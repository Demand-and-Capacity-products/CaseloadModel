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E32A3820-6A03-43F0-9C1B-0A26B4C7969B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1" i="11" l="1"/>
  <c r="E142" i="11"/>
  <c r="E143" i="11"/>
  <c r="E144" i="11"/>
  <c r="F144" i="11" s="1"/>
  <c r="E145" i="11"/>
  <c r="E146" i="11"/>
  <c r="E147" i="11"/>
  <c r="F147" i="11" s="1"/>
  <c r="E148" i="1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3" i="11"/>
  <c r="F145" i="11"/>
  <c r="F146" i="11"/>
  <c r="F148" i="11"/>
  <c r="F149" i="11"/>
  <c r="F153" i="11"/>
  <c r="F156" i="11"/>
  <c r="F157" i="11"/>
  <c r="F161" i="11"/>
  <c r="F164" i="11"/>
  <c r="F165" i="11"/>
  <c r="F169" i="11"/>
  <c r="F172" i="11"/>
  <c r="F173" i="11"/>
  <c r="F177" i="11"/>
  <c r="F180" i="11"/>
  <c r="F181" i="11"/>
  <c r="F185" i="11"/>
  <c r="F188" i="11"/>
  <c r="F189" i="11"/>
  <c r="F193" i="11"/>
  <c r="F196" i="11"/>
  <c r="F197" i="11"/>
  <c r="F201" i="11"/>
  <c r="F204" i="11"/>
  <c r="F205" i="11"/>
  <c r="F209" i="11"/>
  <c r="F212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D140" i="11" s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F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B36" i="8" a="1"/>
  <c r="B36" i="8" s="1"/>
  <c r="B31" i="8" a="1"/>
  <c r="B31" i="8" s="1"/>
  <c r="A276" i="10"/>
  <c r="J259" i="10"/>
  <c r="I259" i="10"/>
  <c r="H259" i="10"/>
  <c r="A257" i="10"/>
  <c r="A239" i="10"/>
  <c r="A221" i="10"/>
  <c r="A127" i="10"/>
  <c r="A109" i="10"/>
  <c r="A91" i="10"/>
  <c r="C37" i="11"/>
  <c r="D37" i="11" s="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F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36" i="11" s="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 s="1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V8" i="9" s="1"/>
  <c r="W8" i="9" s="1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7" i="9" l="1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AT7" i="9" l="1"/>
  <c r="D139" i="11"/>
  <c r="D36" i="11"/>
  <c r="A33" i="8"/>
  <c r="AN3" i="5" l="1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1" i="2" l="1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F31" i="13" l="1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C25" i="2"/>
  <c r="U5" i="14"/>
  <c r="B74" i="8" s="1"/>
  <c r="W5" i="14"/>
  <c r="X5" i="14"/>
  <c r="V5" i="14"/>
  <c r="T5" i="14"/>
  <c r="B73" i="8" s="1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E26" i="2" l="1"/>
  <c r="D26" i="2" s="1"/>
  <c r="C21" i="5" s="1"/>
  <c r="C26" i="2"/>
  <c r="W13" i="14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C27" i="2"/>
  <c r="D27" i="2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E28" i="2" l="1"/>
  <c r="D23" i="5" s="1"/>
  <c r="E23" i="5" s="1"/>
  <c r="C28" i="2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E29" i="2" l="1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E32" i="2" l="1"/>
  <c r="D27" i="5" s="1"/>
  <c r="E27" i="5" s="1"/>
  <c r="C32" i="2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E33" i="2" l="1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6" i="2" l="1"/>
  <c r="D31" i="5" s="1"/>
  <c r="E31" i="5" s="1"/>
  <c r="C36" i="2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B31" i="5"/>
  <c r="A37" i="2"/>
  <c r="E37" i="2" l="1"/>
  <c r="D37" i="2" s="1"/>
  <c r="C32" i="5" s="1"/>
  <c r="C37" i="2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B32" i="5"/>
  <c r="A38" i="2"/>
  <c r="E38" i="2" l="1"/>
  <c r="D38" i="2" s="1"/>
  <c r="C33" i="5" s="1"/>
  <c r="C38" i="2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E39" i="2" l="1"/>
  <c r="C39" i="2"/>
  <c r="D39" i="2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E41" i="2" l="1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E43" i="2" l="1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C44" i="2"/>
  <c r="D39" i="5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E45" i="2" l="1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E47" i="2" l="1"/>
  <c r="D47" i="2" s="1"/>
  <c r="C42" i="5" s="1"/>
  <c r="C47" i="2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E48" i="2" l="1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E51" i="2" l="1"/>
  <c r="C51" i="2"/>
  <c r="D46" i="5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E53" i="2" l="1"/>
  <c r="D48" i="5" s="1"/>
  <c r="E48" i="5" s="1"/>
  <c r="C53" i="2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54" i="2" l="1"/>
  <c r="D49" i="5" s="1"/>
  <c r="E49" i="5" s="1"/>
  <c r="C54" i="2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55" i="2" l="1"/>
  <c r="C55" i="2"/>
  <c r="V48" i="5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6" i="2" l="1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E58" i="2" l="1"/>
  <c r="D53" i="5" s="1"/>
  <c r="E53" i="5" s="1"/>
  <c r="C58" i="2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E59" i="2" l="1"/>
  <c r="D59" i="2" s="1"/>
  <c r="C54" i="5" s="1"/>
  <c r="C59" i="2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E60" i="2" l="1"/>
  <c r="D55" i="5" s="1"/>
  <c r="E55" i="5" s="1"/>
  <c r="C60" i="2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E61" i="2" l="1"/>
  <c r="D56" i="5" s="1"/>
  <c r="E56" i="5" s="1"/>
  <c r="C61" i="2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62" i="2" l="1"/>
  <c r="D57" i="5" s="1"/>
  <c r="E57" i="5" s="1"/>
  <c r="C62" i="2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E63" i="2" l="1"/>
  <c r="D58" i="5" s="1"/>
  <c r="E58" i="5" s="1"/>
  <c r="C63" i="2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B58" i="5"/>
  <c r="A64" i="2"/>
  <c r="E64" i="2" l="1"/>
  <c r="D59" i="5" s="1"/>
  <c r="E59" i="5" s="1"/>
  <c r="C64" i="2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B59" i="5"/>
  <c r="A65" i="2"/>
  <c r="E65" i="2" l="1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E69" i="2" l="1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B65" i="5"/>
  <c r="E71" i="2" l="1"/>
  <c r="C71" i="2"/>
  <c r="D71" i="2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74" i="2" l="1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8" i="2" l="1"/>
  <c r="D73" i="5" s="1"/>
  <c r="E73" i="5" s="1"/>
  <c r="C78" i="2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E79" i="2" l="1"/>
  <c r="D74" i="5" s="1"/>
  <c r="E74" i="5" s="1"/>
  <c r="C79" i="2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B8" i="12"/>
  <c r="E6" i="7"/>
  <c r="E7" i="7" s="1"/>
  <c r="I5" i="13"/>
  <c r="A5" i="10"/>
  <c r="A135" i="10"/>
  <c r="B135" i="10" s="1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51" i="7"/>
  <c r="T43" i="7"/>
  <c r="T35" i="7"/>
  <c r="T27" i="7"/>
  <c r="T19" i="7"/>
  <c r="T11" i="7"/>
  <c r="T54" i="7"/>
  <c r="T38" i="7"/>
  <c r="T22" i="7"/>
  <c r="T6" i="7"/>
  <c r="T44" i="7"/>
  <c r="T28" i="7"/>
  <c r="T12" i="7"/>
  <c r="T49" i="7"/>
  <c r="T41" i="7"/>
  <c r="T33" i="7"/>
  <c r="T25" i="7"/>
  <c r="T55" i="7"/>
  <c r="T47" i="7"/>
  <c r="T39" i="7"/>
  <c r="T31" i="7"/>
  <c r="T23" i="7"/>
  <c r="T15" i="7"/>
  <c r="T7" i="7"/>
  <c r="T46" i="7"/>
  <c r="T30" i="7"/>
  <c r="T14" i="7"/>
  <c r="T52" i="7"/>
  <c r="T36" i="7"/>
  <c r="T20" i="7"/>
  <c r="T45" i="7"/>
  <c r="T17" i="7"/>
  <c r="T50" i="7"/>
  <c r="T18" i="7"/>
  <c r="T40" i="7"/>
  <c r="T8" i="7"/>
  <c r="T37" i="7"/>
  <c r="T13" i="7"/>
  <c r="T42" i="7"/>
  <c r="T10" i="7"/>
  <c r="T32" i="7"/>
  <c r="T29" i="7"/>
  <c r="T9" i="7"/>
  <c r="T34" i="7"/>
  <c r="T56" i="7"/>
  <c r="T24" i="7"/>
  <c r="T53" i="7"/>
  <c r="T21" i="7"/>
  <c r="T5" i="7"/>
  <c r="T26" i="7"/>
  <c r="T48" i="7"/>
  <c r="T16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L19" i="7" s="1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V13" i="7" s="1"/>
  <c r="R33" i="7"/>
  <c r="R34" i="7"/>
  <c r="V34" i="7" s="1"/>
  <c r="R54" i="7"/>
  <c r="R44" i="7"/>
  <c r="R7" i="7"/>
  <c r="R39" i="7"/>
  <c r="R51" i="7"/>
  <c r="R16" i="7"/>
  <c r="R56" i="7"/>
  <c r="R10" i="7"/>
  <c r="R27" i="7"/>
  <c r="R11" i="7"/>
  <c r="V11" i="7" s="1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Z30" i="7" s="1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AB15" i="7" s="1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AB49" i="7" s="1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F29" i="7" s="1"/>
  <c r="BB36" i="7"/>
  <c r="BF36" i="7" s="1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H35" i="11" l="1" a="1"/>
  <c r="H35" i="11" s="1"/>
  <c r="CR5" i="10" s="1"/>
  <c r="H138" i="11" a="1"/>
  <c r="H138" i="11" s="1"/>
  <c r="E135" i="10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AT5" i="10"/>
  <c r="E5" i="10"/>
  <c r="BU5" i="10"/>
  <c r="CP5" i="10"/>
  <c r="CJ5" i="10"/>
  <c r="N5" i="10"/>
  <c r="CV5" i="10"/>
  <c r="AW5" i="10"/>
  <c r="W5" i="10"/>
  <c r="BL5" i="10"/>
  <c r="CL5" i="10"/>
  <c r="S5" i="10"/>
  <c r="T5" i="10"/>
  <c r="AZ5" i="10"/>
  <c r="AS5" i="10"/>
  <c r="V5" i="10"/>
  <c r="Z5" i="10"/>
  <c r="AE5" i="10"/>
  <c r="B241" i="10" a="1"/>
  <c r="B241" i="10" s="1"/>
  <c r="AX5" i="10"/>
  <c r="B111" i="10" a="1"/>
  <c r="B111" i="10" s="1"/>
  <c r="X5" i="10"/>
  <c r="CC5" i="10"/>
  <c r="BZ5" i="10"/>
  <c r="BY5" i="10"/>
  <c r="AD5" i="10"/>
  <c r="AI5" i="10"/>
  <c r="B5" i="10"/>
  <c r="I7" i="13"/>
  <c r="A137" i="10"/>
  <c r="B137" i="10" s="1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B136" i="10" s="1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BA32" i="7" s="1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31" i="7"/>
  <c r="O49" i="7"/>
  <c r="O26" i="7"/>
  <c r="O19" i="7"/>
  <c r="O11" i="7"/>
  <c r="O34" i="7"/>
  <c r="O24" i="7"/>
  <c r="O43" i="7"/>
  <c r="O37" i="7"/>
  <c r="O52" i="7"/>
  <c r="O42" i="7"/>
  <c r="O12" i="7"/>
  <c r="O41" i="7"/>
  <c r="O17" i="7"/>
  <c r="O7" i="7"/>
  <c r="O47" i="7"/>
  <c r="O20" i="7"/>
  <c r="O55" i="7"/>
  <c r="O25" i="7"/>
  <c r="O46" i="7"/>
  <c r="O36" i="7"/>
  <c r="O6" i="7"/>
  <c r="O28" i="7"/>
  <c r="O13" i="7"/>
  <c r="U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I8" i="7" s="1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V21" i="7"/>
  <c r="AQ7" i="7"/>
  <c r="AB12" i="7"/>
  <c r="AE25" i="7"/>
  <c r="AI25" i="7" s="1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V36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V39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I44" i="7" s="1"/>
  <c r="AE46" i="7"/>
  <c r="AE24" i="7"/>
  <c r="AE36" i="7"/>
  <c r="AW17" i="7"/>
  <c r="AW26" i="7"/>
  <c r="AW13" i="7"/>
  <c r="AW46" i="7"/>
  <c r="BA46" i="7" s="1"/>
  <c r="AW6" i="7"/>
  <c r="AW14" i="7"/>
  <c r="AW38" i="7"/>
  <c r="AW7" i="7"/>
  <c r="AW40" i="7"/>
  <c r="AW33" i="7"/>
  <c r="AW36" i="7"/>
  <c r="AW18" i="7"/>
  <c r="BA18" i="7" s="1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AC44" i="7" s="1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AC24" i="7" s="1"/>
  <c r="Y18" i="7"/>
  <c r="Y15" i="7"/>
  <c r="Y36" i="7"/>
  <c r="Y20" i="7"/>
  <c r="Y41" i="7"/>
  <c r="Y53" i="7"/>
  <c r="Y5" i="7"/>
  <c r="Y12" i="7"/>
  <c r="AC12" i="7" s="1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U44" i="7" s="1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U17" i="7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G19" i="7" s="1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K37" i="7" s="1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S28" i="7" s="1"/>
  <c r="BO51" i="7"/>
  <c r="BO16" i="7"/>
  <c r="BO55" i="7"/>
  <c r="BO41" i="7"/>
  <c r="BO33" i="7"/>
  <c r="BO30" i="7"/>
  <c r="BO15" i="7"/>
  <c r="BO48" i="7"/>
  <c r="BO25" i="7"/>
  <c r="BO56" i="7"/>
  <c r="BS56" i="7" s="1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U55" i="7" l="1"/>
  <c r="U53" i="7"/>
  <c r="U10" i="7"/>
  <c r="U31" i="7"/>
  <c r="U42" i="7"/>
  <c r="U30" i="7"/>
  <c r="U43" i="7"/>
  <c r="U29" i="7"/>
  <c r="BY29" i="7"/>
  <c r="BZ135" i="10"/>
  <c r="CE135" i="10"/>
  <c r="CQ42" i="7"/>
  <c r="AO52" i="7"/>
  <c r="BD33" i="13"/>
  <c r="BD49" i="13"/>
  <c r="CQ47" i="7"/>
  <c r="W10" i="7"/>
  <c r="BM53" i="7"/>
  <c r="BS25" i="7"/>
  <c r="BG42" i="7"/>
  <c r="BG7" i="7"/>
  <c r="U39" i="7"/>
  <c r="U49" i="7"/>
  <c r="U34" i="7"/>
  <c r="U27" i="7"/>
  <c r="U37" i="7"/>
  <c r="U52" i="7"/>
  <c r="U14" i="7"/>
  <c r="U51" i="7"/>
  <c r="U40" i="7"/>
  <c r="CK13" i="7"/>
  <c r="BG56" i="7"/>
  <c r="U7" i="7"/>
  <c r="U17" i="7"/>
  <c r="U18" i="7"/>
  <c r="W18" i="7" s="1"/>
  <c r="U50" i="7"/>
  <c r="U5" i="7"/>
  <c r="U20" i="7"/>
  <c r="U9" i="7"/>
  <c r="U46" i="7"/>
  <c r="U8" i="7"/>
  <c r="W50" i="7"/>
  <c r="U23" i="7"/>
  <c r="W23" i="7" s="1"/>
  <c r="U33" i="7"/>
  <c r="U26" i="7"/>
  <c r="U11" i="7"/>
  <c r="U21" i="7"/>
  <c r="U36" i="7"/>
  <c r="U41" i="7"/>
  <c r="U19" i="7"/>
  <c r="U24" i="7"/>
  <c r="W24" i="7" s="1"/>
  <c r="BY40" i="7"/>
  <c r="BD36" i="13"/>
  <c r="BD40" i="13"/>
  <c r="U28" i="7"/>
  <c r="U15" i="7"/>
  <c r="U25" i="7"/>
  <c r="U22" i="7"/>
  <c r="U54" i="7"/>
  <c r="W54" i="7" s="1"/>
  <c r="U13" i="7"/>
  <c r="U16" i="7"/>
  <c r="U48" i="7"/>
  <c r="U12" i="7"/>
  <c r="W12" i="7" s="1"/>
  <c r="U44" i="7"/>
  <c r="U47" i="7"/>
  <c r="U6" i="7"/>
  <c r="U38" i="7"/>
  <c r="W38" i="7" s="1"/>
  <c r="U35" i="7"/>
  <c r="U45" i="7"/>
  <c r="W16" i="7"/>
  <c r="BY33" i="7"/>
  <c r="BY27" i="7"/>
  <c r="CF135" i="10"/>
  <c r="D135" i="10"/>
  <c r="AT135" i="10"/>
  <c r="AD135" i="10"/>
  <c r="AU135" i="10"/>
  <c r="BX135" i="10"/>
  <c r="F135" i="10"/>
  <c r="AM135" i="10"/>
  <c r="S135" i="10"/>
  <c r="BO135" i="10"/>
  <c r="AG135" i="10"/>
  <c r="Q135" i="10"/>
  <c r="BV135" i="10"/>
  <c r="L135" i="10"/>
  <c r="AO135" i="10"/>
  <c r="CD135" i="10"/>
  <c r="T135" i="10"/>
  <c r="BJ135" i="10"/>
  <c r="AJ135" i="10"/>
  <c r="CB135" i="10"/>
  <c r="J135" i="10"/>
  <c r="AQ135" i="10"/>
  <c r="BT135" i="10"/>
  <c r="R135" i="10"/>
  <c r="BP135" i="10"/>
  <c r="AZ135" i="10"/>
  <c r="AI135" i="10"/>
  <c r="P135" i="10"/>
  <c r="AS135" i="10"/>
  <c r="BR135" i="10"/>
  <c r="H135" i="10"/>
  <c r="BA135" i="10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K5" i="10"/>
  <c r="CE5" i="10"/>
  <c r="BN5" i="10"/>
  <c r="AC5" i="10"/>
  <c r="L5" i="10"/>
  <c r="AB5" i="10"/>
  <c r="BD5" i="10"/>
  <c r="BF5" i="10"/>
  <c r="CQ5" i="10"/>
  <c r="CT5" i="10"/>
  <c r="BH5" i="10"/>
  <c r="BG5" i="10"/>
  <c r="H5" i="10"/>
  <c r="BE5" i="10"/>
  <c r="BJ5" i="10"/>
  <c r="AN5" i="10"/>
  <c r="BA5" i="10"/>
  <c r="CD5" i="10"/>
  <c r="AF5" i="10"/>
  <c r="U5" i="10"/>
  <c r="AA5" i="10"/>
  <c r="BC5" i="10"/>
  <c r="P5" i="10"/>
  <c r="CI5" i="10"/>
  <c r="AK5" i="10"/>
  <c r="AW135" i="10"/>
  <c r="CS135" i="10"/>
  <c r="CU135" i="10"/>
  <c r="CC135" i="10"/>
  <c r="BL135" i="10"/>
  <c r="CQ135" i="10"/>
  <c r="AE135" i="10"/>
  <c r="BF135" i="10"/>
  <c r="CO135" i="10"/>
  <c r="AC135" i="10"/>
  <c r="BH135" i="10"/>
  <c r="CM135" i="10"/>
  <c r="AA135" i="10"/>
  <c r="BB135" i="10"/>
  <c r="CK135" i="10"/>
  <c r="Y135" i="10"/>
  <c r="BD135" i="10"/>
  <c r="CI135" i="10"/>
  <c r="W135" i="10"/>
  <c r="BN135" i="10"/>
  <c r="CW135" i="10"/>
  <c r="AK135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C5" i="10"/>
  <c r="O5" i="10"/>
  <c r="AP5" i="10"/>
  <c r="AO5" i="10"/>
  <c r="BX5" i="10"/>
  <c r="CF5" i="10"/>
  <c r="CB5" i="10"/>
  <c r="BV5" i="10"/>
  <c r="AL5" i="10"/>
  <c r="AG5" i="10"/>
  <c r="I5" i="10"/>
  <c r="CW5" i="10"/>
  <c r="BS5" i="10"/>
  <c r="CM5" i="10"/>
  <c r="BT5" i="10"/>
  <c r="BW5" i="10"/>
  <c r="CA5" i="10"/>
  <c r="M5" i="10"/>
  <c r="CN5" i="10"/>
  <c r="BM5" i="10"/>
  <c r="CU5" i="10"/>
  <c r="AY5" i="10"/>
  <c r="BR5" i="10"/>
  <c r="AR5" i="10"/>
  <c r="AV5" i="10"/>
  <c r="AV135" i="10"/>
  <c r="CA135" i="10"/>
  <c r="O135" i="10"/>
  <c r="AP135" i="10"/>
  <c r="BY135" i="10"/>
  <c r="M135" i="10"/>
  <c r="AR135" i="10"/>
  <c r="BW135" i="10"/>
  <c r="K135" i="10"/>
  <c r="AL135" i="10"/>
  <c r="BU135" i="10"/>
  <c r="I135" i="10"/>
  <c r="AN135" i="10"/>
  <c r="BS135" i="10"/>
  <c r="G135" i="10"/>
  <c r="AX135" i="10"/>
  <c r="CG135" i="10"/>
  <c r="U135" i="10"/>
  <c r="I35" i="11" a="1"/>
  <c r="I35" i="11" s="1"/>
  <c r="I138" i="11" a="1"/>
  <c r="I138" i="11" s="1"/>
  <c r="BN136" i="10" s="1"/>
  <c r="B226" i="10"/>
  <c r="B206" i="10"/>
  <c r="B220" i="10"/>
  <c r="B225" i="10"/>
  <c r="B236" i="10"/>
  <c r="B227" i="10"/>
  <c r="B209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0" i="10"/>
  <c r="B217" i="10"/>
  <c r="B215" i="10"/>
  <c r="B224" i="10"/>
  <c r="B232" i="10"/>
  <c r="B234" i="10"/>
  <c r="B216" i="10"/>
  <c r="B229" i="10"/>
  <c r="B211" i="10"/>
  <c r="B207" i="10"/>
  <c r="B237" i="10"/>
  <c r="L137" i="10"/>
  <c r="AB137" i="10"/>
  <c r="AR137" i="10"/>
  <c r="BH137" i="10"/>
  <c r="BX137" i="10"/>
  <c r="CN137" i="10"/>
  <c r="P137" i="10"/>
  <c r="AF137" i="10"/>
  <c r="AV137" i="10"/>
  <c r="BL137" i="10"/>
  <c r="CB137" i="10"/>
  <c r="CR137" i="10"/>
  <c r="D137" i="10"/>
  <c r="T137" i="10"/>
  <c r="AJ137" i="10"/>
  <c r="AZ137" i="10"/>
  <c r="BP137" i="10"/>
  <c r="CF137" i="10"/>
  <c r="CV137" i="10"/>
  <c r="X137" i="10"/>
  <c r="CJ137" i="10"/>
  <c r="Q137" i="10"/>
  <c r="AG137" i="10"/>
  <c r="AW137" i="10"/>
  <c r="BM137" i="10"/>
  <c r="CC137" i="10"/>
  <c r="CS137" i="10"/>
  <c r="F137" i="10"/>
  <c r="V137" i="10"/>
  <c r="AL137" i="10"/>
  <c r="BB137" i="10"/>
  <c r="BR137" i="10"/>
  <c r="CH137" i="10"/>
  <c r="AN137" i="10"/>
  <c r="E137" i="10"/>
  <c r="U137" i="10"/>
  <c r="AK137" i="10"/>
  <c r="BA137" i="10"/>
  <c r="BQ137" i="10"/>
  <c r="CG137" i="10"/>
  <c r="CW137" i="10"/>
  <c r="J137" i="10"/>
  <c r="Z137" i="10"/>
  <c r="AP137" i="10"/>
  <c r="BF137" i="10"/>
  <c r="BV137" i="10"/>
  <c r="CL137" i="10"/>
  <c r="BD137" i="10"/>
  <c r="I137" i="10"/>
  <c r="Y137" i="10"/>
  <c r="AO137" i="10"/>
  <c r="BE137" i="10"/>
  <c r="BU137" i="10"/>
  <c r="CK137" i="10"/>
  <c r="N137" i="10"/>
  <c r="AD137" i="10"/>
  <c r="AT137" i="10"/>
  <c r="BJ137" i="10"/>
  <c r="BZ137" i="10"/>
  <c r="CP137" i="10"/>
  <c r="BT137" i="10"/>
  <c r="BI137" i="10"/>
  <c r="AX137" i="10"/>
  <c r="K137" i="10"/>
  <c r="AA137" i="10"/>
  <c r="AQ137" i="10"/>
  <c r="BG137" i="10"/>
  <c r="BW137" i="10"/>
  <c r="CM137" i="10"/>
  <c r="M137" i="10"/>
  <c r="BY137" i="10"/>
  <c r="BN137" i="10"/>
  <c r="O137" i="10"/>
  <c r="AE137" i="10"/>
  <c r="AU137" i="10"/>
  <c r="BK137" i="10"/>
  <c r="CA137" i="10"/>
  <c r="CQ137" i="10"/>
  <c r="AC137" i="10"/>
  <c r="CO137" i="10"/>
  <c r="R137" i="10"/>
  <c r="CD137" i="10"/>
  <c r="C137" i="10"/>
  <c r="S137" i="10"/>
  <c r="AI137" i="10"/>
  <c r="AY137" i="10"/>
  <c r="BO137" i="10"/>
  <c r="CE137" i="10"/>
  <c r="CU137" i="10"/>
  <c r="AH137" i="10"/>
  <c r="W137" i="10"/>
  <c r="CI137" i="10"/>
  <c r="CT137" i="10"/>
  <c r="AM137" i="10"/>
  <c r="H137" i="10"/>
  <c r="AS137" i="10"/>
  <c r="BC137" i="10"/>
  <c r="BS137" i="10"/>
  <c r="G137" i="10"/>
  <c r="AU5" i="10"/>
  <c r="G5" i="10"/>
  <c r="AH5" i="10"/>
  <c r="Q5" i="10"/>
  <c r="CS5" i="10"/>
  <c r="D5" i="10"/>
  <c r="AQ5" i="10"/>
  <c r="BK5" i="10"/>
  <c r="R5" i="10"/>
  <c r="CH5" i="10"/>
  <c r="CO5" i="10"/>
  <c r="BP5" i="10"/>
  <c r="BB5" i="10"/>
  <c r="J5" i="10"/>
  <c r="CK5" i="10"/>
  <c r="BQ5" i="10"/>
  <c r="F5" i="10"/>
  <c r="CG5" i="10"/>
  <c r="BO5" i="10"/>
  <c r="AJ5" i="10"/>
  <c r="BI5" i="10"/>
  <c r="AM5" i="10"/>
  <c r="Y5" i="10"/>
  <c r="N135" i="10"/>
  <c r="BM135" i="10"/>
  <c r="C135" i="10"/>
  <c r="AY135" i="10"/>
  <c r="CV135" i="10"/>
  <c r="CP135" i="10"/>
  <c r="CR135" i="10"/>
  <c r="AF135" i="10"/>
  <c r="BK135" i="10"/>
  <c r="CL135" i="10"/>
  <c r="Z135" i="10"/>
  <c r="BI135" i="10"/>
  <c r="CN135" i="10"/>
  <c r="AB135" i="10"/>
  <c r="BG135" i="10"/>
  <c r="CH135" i="10"/>
  <c r="V135" i="10"/>
  <c r="BE135" i="10"/>
  <c r="CJ135" i="10"/>
  <c r="X135" i="10"/>
  <c r="BC135" i="10"/>
  <c r="CT135" i="10"/>
  <c r="AH135" i="10"/>
  <c r="BQ135" i="10"/>
  <c r="AU34" i="7"/>
  <c r="Q24" i="7"/>
  <c r="W21" i="7"/>
  <c r="AC54" i="7"/>
  <c r="BM48" i="7"/>
  <c r="CK35" i="7"/>
  <c r="W26" i="7"/>
  <c r="BM9" i="7"/>
  <c r="B96" i="10"/>
  <c r="B95" i="10"/>
  <c r="B94" i="10"/>
  <c r="B80" i="10"/>
  <c r="B79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O38" i="7"/>
  <c r="Q38" i="7" s="1"/>
  <c r="O29" i="7"/>
  <c r="O22" i="7"/>
  <c r="O9" i="7"/>
  <c r="O53" i="7"/>
  <c r="Q53" i="7" s="1"/>
  <c r="O44" i="7"/>
  <c r="O27" i="7"/>
  <c r="O10" i="7"/>
  <c r="O40" i="7"/>
  <c r="BY36" i="7"/>
  <c r="O45" i="7"/>
  <c r="O39" i="7"/>
  <c r="Q39" i="7" s="1"/>
  <c r="O15" i="7"/>
  <c r="Q15" i="7" s="1"/>
  <c r="O8" i="7"/>
  <c r="O50" i="7"/>
  <c r="O35" i="7"/>
  <c r="O30" i="7"/>
  <c r="O21" i="7"/>
  <c r="O14" i="7"/>
  <c r="O54" i="7"/>
  <c r="O51" i="7"/>
  <c r="Q51" i="7" s="1"/>
  <c r="O18" i="7"/>
  <c r="Q18" i="7" s="1"/>
  <c r="BY8" i="7"/>
  <c r="AH188" i="5"/>
  <c r="C6" i="10"/>
  <c r="B6" i="10"/>
  <c r="C7" i="10"/>
  <c r="B7" i="10"/>
  <c r="H37" i="7"/>
  <c r="C93" i="10" a="1"/>
  <c r="C93" i="10" s="1"/>
  <c r="C75" i="10" a="1"/>
  <c r="C75" i="10" s="1"/>
  <c r="BB6" i="10"/>
  <c r="AM6" i="10"/>
  <c r="AQ6" i="10"/>
  <c r="O6" i="10"/>
  <c r="BR6" i="10"/>
  <c r="G6" i="10"/>
  <c r="CA6" i="10"/>
  <c r="AP6" i="10"/>
  <c r="CQ6" i="10"/>
  <c r="Z6" i="10"/>
  <c r="F6" i="10"/>
  <c r="AW6" i="10"/>
  <c r="AG6" i="10"/>
  <c r="CL6" i="10"/>
  <c r="M6" i="10"/>
  <c r="BX6" i="10"/>
  <c r="CS6" i="10"/>
  <c r="CC6" i="10"/>
  <c r="AV6" i="10"/>
  <c r="AR6" i="10"/>
  <c r="AB6" i="10"/>
  <c r="L6" i="10"/>
  <c r="BW6" i="10"/>
  <c r="CB6" i="10"/>
  <c r="CR6" i="10"/>
  <c r="C205" i="10" a="1"/>
  <c r="C205" i="10" s="1"/>
  <c r="C223" i="10" a="1"/>
  <c r="C223" i="10" s="1"/>
  <c r="BQ6" i="10"/>
  <c r="AU6" i="10"/>
  <c r="S6" i="10"/>
  <c r="K6" i="10"/>
  <c r="BO6" i="10"/>
  <c r="CI6" i="10"/>
  <c r="BE6" i="10"/>
  <c r="AL6" i="10"/>
  <c r="BI6" i="10"/>
  <c r="R6" i="10"/>
  <c r="V6" i="10"/>
  <c r="AS6" i="10"/>
  <c r="AC6" i="10"/>
  <c r="CH6" i="10"/>
  <c r="I6" i="10"/>
  <c r="BT6" i="10"/>
  <c r="CO6" i="10"/>
  <c r="AZ6" i="10"/>
  <c r="Q6" i="10"/>
  <c r="AN6" i="10"/>
  <c r="X6" i="10"/>
  <c r="H6" i="10"/>
  <c r="BS6" i="10"/>
  <c r="CV6" i="10"/>
  <c r="CJ6" i="10"/>
  <c r="C111" i="10" a="1"/>
  <c r="C111" i="10" s="1"/>
  <c r="C241" i="10" a="1"/>
  <c r="C241" i="10" s="1"/>
  <c r="BD6" i="10"/>
  <c r="AI6" i="10"/>
  <c r="AA6" i="10"/>
  <c r="BF6" i="10"/>
  <c r="BK6" i="10"/>
  <c r="CM6" i="10"/>
  <c r="BA6" i="10"/>
  <c r="AH6" i="10"/>
  <c r="BY6" i="10"/>
  <c r="N6" i="10"/>
  <c r="CT6" i="10"/>
  <c r="AO6" i="10"/>
  <c r="BJ6" i="10"/>
  <c r="CD6" i="10"/>
  <c r="E6" i="10"/>
  <c r="BM6" i="10"/>
  <c r="CK6" i="10"/>
  <c r="BC6" i="10"/>
  <c r="U6" i="10"/>
  <c r="AJ6" i="10"/>
  <c r="T6" i="10"/>
  <c r="D6" i="10"/>
  <c r="BP6" i="10"/>
  <c r="CN6" i="10"/>
  <c r="AX6" i="10"/>
  <c r="AE6" i="10"/>
  <c r="W6" i="10"/>
  <c r="BV6" i="10"/>
  <c r="CU6" i="10"/>
  <c r="CE6" i="10"/>
  <c r="AT6" i="10"/>
  <c r="AD6" i="10"/>
  <c r="BU6" i="10"/>
  <c r="J6" i="10"/>
  <c r="BN6" i="10"/>
  <c r="AK6" i="10"/>
  <c r="CP6" i="10"/>
  <c r="BZ6" i="10"/>
  <c r="BH6" i="10"/>
  <c r="CW6" i="10"/>
  <c r="CG6" i="10"/>
  <c r="AY6" i="10"/>
  <c r="Y6" i="10"/>
  <c r="AF6" i="10"/>
  <c r="P6" i="10"/>
  <c r="BG6" i="10"/>
  <c r="BL6" i="10"/>
  <c r="CF6" i="10"/>
  <c r="BY11" i="7"/>
  <c r="BY12" i="7"/>
  <c r="AX7" i="10"/>
  <c r="AM7" i="10"/>
  <c r="AE7" i="10"/>
  <c r="K7" i="10"/>
  <c r="BV7" i="10"/>
  <c r="CM7" i="10"/>
  <c r="AP7" i="10"/>
  <c r="CE7" i="10"/>
  <c r="R7" i="10"/>
  <c r="BN7" i="10"/>
  <c r="CL7" i="10"/>
  <c r="V7" i="10"/>
  <c r="AK7" i="10"/>
  <c r="AC7" i="10"/>
  <c r="Y7" i="10"/>
  <c r="CS7" i="10"/>
  <c r="M7" i="10"/>
  <c r="AV7" i="10"/>
  <c r="AB7" i="10"/>
  <c r="D7" i="10"/>
  <c r="CG7" i="10"/>
  <c r="BL7" i="10"/>
  <c r="CO7" i="10"/>
  <c r="BW7" i="10"/>
  <c r="BS7" i="10"/>
  <c r="D241" i="10" a="1"/>
  <c r="D241" i="10" s="1"/>
  <c r="BD7" i="10"/>
  <c r="BQ7" i="10"/>
  <c r="AA7" i="10"/>
  <c r="G7" i="10"/>
  <c r="BR7" i="10"/>
  <c r="BO7" i="10"/>
  <c r="AL7" i="10"/>
  <c r="CA7" i="10"/>
  <c r="N7" i="10"/>
  <c r="BJ7" i="10"/>
  <c r="AH7" i="10"/>
  <c r="BI7" i="10"/>
  <c r="CH7" i="10"/>
  <c r="AW7" i="10"/>
  <c r="E7" i="10"/>
  <c r="CK7" i="10"/>
  <c r="BH7" i="10"/>
  <c r="BT7" i="10"/>
  <c r="X7" i="10"/>
  <c r="CJ7" i="10"/>
  <c r="BC7" i="10"/>
  <c r="CR7" i="10"/>
  <c r="AY7" i="10"/>
  <c r="CV7" i="10"/>
  <c r="BG7" i="10"/>
  <c r="D205" i="10" a="1"/>
  <c r="D205" i="10" s="1"/>
  <c r="O7" i="10"/>
  <c r="AT7" i="10"/>
  <c r="F7" i="10"/>
  <c r="AS7" i="10"/>
  <c r="BM7" i="10"/>
  <c r="AJ7" i="10"/>
  <c r="AF7" i="10"/>
  <c r="CF7" i="10"/>
  <c r="D93" i="10" a="1"/>
  <c r="D93" i="10" s="1"/>
  <c r="D75" i="10" a="1"/>
  <c r="D75" i="10" s="1"/>
  <c r="AU7" i="10"/>
  <c r="BB7" i="10"/>
  <c r="W7" i="10"/>
  <c r="S7" i="10"/>
  <c r="CU7" i="10"/>
  <c r="BK7" i="10"/>
  <c r="CI7" i="10"/>
  <c r="BA7" i="10"/>
  <c r="J7" i="10"/>
  <c r="CT7" i="10"/>
  <c r="BU7" i="10"/>
  <c r="BY7" i="10"/>
  <c r="CD7" i="10"/>
  <c r="AO7" i="10"/>
  <c r="U7" i="10"/>
  <c r="I7" i="10"/>
  <c r="BX7" i="10"/>
  <c r="CC7" i="10"/>
  <c r="T7" i="10"/>
  <c r="CB7" i="10"/>
  <c r="AN7" i="10"/>
  <c r="P7" i="10"/>
  <c r="AR7" i="10"/>
  <c r="CN7" i="10"/>
  <c r="D223" i="10" a="1"/>
  <c r="D223" i="10" s="1"/>
  <c r="D111" i="10" a="1"/>
  <c r="D111" i="10" s="1"/>
  <c r="BF7" i="10"/>
  <c r="BE7" i="10"/>
  <c r="CP7" i="10"/>
  <c r="BZ7" i="10"/>
  <c r="Q7" i="10"/>
  <c r="L7" i="10"/>
  <c r="H7" i="10"/>
  <c r="AQ7" i="10"/>
  <c r="AI7" i="10"/>
  <c r="CQ7" i="10"/>
  <c r="Z7" i="10"/>
  <c r="AD7" i="10"/>
  <c r="AG7" i="10"/>
  <c r="AZ7" i="10"/>
  <c r="CW7" i="10"/>
  <c r="BP7" i="10"/>
  <c r="A138" i="10"/>
  <c r="B138" i="10" s="1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W27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6" i="7"/>
  <c r="W30" i="7"/>
  <c r="W35" i="7"/>
  <c r="W51" i="7"/>
  <c r="W47" i="7"/>
  <c r="W31" i="7"/>
  <c r="AC47" i="7"/>
  <c r="W39" i="7"/>
  <c r="W42" i="7"/>
  <c r="W49" i="7"/>
  <c r="W20" i="7"/>
  <c r="W22" i="7"/>
  <c r="BA22" i="7"/>
  <c r="AG59" i="7"/>
  <c r="BK59" i="7"/>
  <c r="BM42" i="7"/>
  <c r="BM19" i="7"/>
  <c r="BM30" i="7"/>
  <c r="BI59" i="7"/>
  <c r="BM29" i="7"/>
  <c r="AI7" i="7"/>
  <c r="U59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44" i="7"/>
  <c r="AC7" i="7"/>
  <c r="AC49" i="7"/>
  <c r="AC42" i="7"/>
  <c r="AC30" i="7"/>
  <c r="BM21" i="7"/>
  <c r="BM43" i="7"/>
  <c r="BM22" i="7"/>
  <c r="W29" i="7"/>
  <c r="W13" i="7"/>
  <c r="W52" i="7"/>
  <c r="W46" i="7"/>
  <c r="W7" i="7"/>
  <c r="W37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AO16" i="7"/>
  <c r="Q33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20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AI159" i="5" l="1"/>
  <c r="AI160" i="5"/>
  <c r="CS136" i="10"/>
  <c r="CV136" i="10"/>
  <c r="L136" i="10"/>
  <c r="AO136" i="10"/>
  <c r="BB136" i="10"/>
  <c r="D136" i="10"/>
  <c r="AF136" i="10"/>
  <c r="AT136" i="10"/>
  <c r="AM136" i="10"/>
  <c r="BT136" i="10"/>
  <c r="CQ136" i="10"/>
  <c r="AE136" i="10"/>
  <c r="AV136" i="10"/>
  <c r="CM136" i="10"/>
  <c r="AS136" i="10"/>
  <c r="BF136" i="10"/>
  <c r="H136" i="10"/>
  <c r="AK136" i="10"/>
  <c r="AX136" i="10"/>
  <c r="AD136" i="10"/>
  <c r="P136" i="10"/>
  <c r="BX136" i="10"/>
  <c r="CU136" i="10"/>
  <c r="AI136" i="10"/>
  <c r="BP136" i="10"/>
  <c r="D206" i="10"/>
  <c r="D209" i="10"/>
  <c r="D225" i="10"/>
  <c r="D207" i="10"/>
  <c r="D234" i="10"/>
  <c r="D233" i="10"/>
  <c r="D215" i="10"/>
  <c r="D238" i="10"/>
  <c r="D226" i="10"/>
  <c r="D208" i="10"/>
  <c r="D224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46" i="10"/>
  <c r="B250" i="10"/>
  <c r="B255" i="10"/>
  <c r="AW136" i="10"/>
  <c r="CP136" i="10"/>
  <c r="CL136" i="10"/>
  <c r="AA136" i="10"/>
  <c r="CC136" i="10"/>
  <c r="BW136" i="10"/>
  <c r="BM136" i="10"/>
  <c r="CO136" i="10"/>
  <c r="AC136" i="10"/>
  <c r="BH136" i="10"/>
  <c r="CI136" i="10"/>
  <c r="W136" i="10"/>
  <c r="AP136" i="10"/>
  <c r="CK136" i="10"/>
  <c r="Y136" i="10"/>
  <c r="BD136" i="10"/>
  <c r="CE136" i="10"/>
  <c r="S136" i="10"/>
  <c r="AL136" i="10"/>
  <c r="CG136" i="10"/>
  <c r="U136" i="10"/>
  <c r="AZ136" i="10"/>
  <c r="CA136" i="10"/>
  <c r="O136" i="10"/>
  <c r="AH136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24" i="10"/>
  <c r="C206" i="10"/>
  <c r="C209" i="10"/>
  <c r="C212" i="10"/>
  <c r="C237" i="10"/>
  <c r="C219" i="10"/>
  <c r="C236" i="10"/>
  <c r="C232" i="10"/>
  <c r="C231" i="10"/>
  <c r="C234" i="10"/>
  <c r="C216" i="10"/>
  <c r="C220" i="10"/>
  <c r="C228" i="10"/>
  <c r="C226" i="10"/>
  <c r="C225" i="10"/>
  <c r="C230" i="10"/>
  <c r="C213" i="10"/>
  <c r="C249" i="10" s="1"/>
  <c r="C208" i="10"/>
  <c r="C227" i="10"/>
  <c r="C207" i="10"/>
  <c r="C233" i="10"/>
  <c r="C238" i="10"/>
  <c r="C218" i="10"/>
  <c r="C254" i="10" s="1"/>
  <c r="C217" i="10"/>
  <c r="C211" i="10"/>
  <c r="C210" i="10"/>
  <c r="C229" i="10"/>
  <c r="C214" i="10"/>
  <c r="C250" i="10" s="1"/>
  <c r="C215" i="10"/>
  <c r="C251" i="10" s="1"/>
  <c r="C235" i="10"/>
  <c r="B239" i="10"/>
  <c r="B244" i="10"/>
  <c r="B245" i="10"/>
  <c r="B256" i="10"/>
  <c r="CT136" i="10"/>
  <c r="CR136" i="10"/>
  <c r="CH136" i="10"/>
  <c r="BZ136" i="10"/>
  <c r="Q136" i="10"/>
  <c r="K136" i="10"/>
  <c r="BL136" i="10"/>
  <c r="BY136" i="10"/>
  <c r="M136" i="10"/>
  <c r="AR136" i="10"/>
  <c r="BS136" i="10"/>
  <c r="G136" i="10"/>
  <c r="Z136" i="10"/>
  <c r="BU136" i="10"/>
  <c r="I136" i="10"/>
  <c r="AN136" i="10"/>
  <c r="BO136" i="10"/>
  <c r="C136" i="10"/>
  <c r="V136" i="10"/>
  <c r="BQ136" i="10"/>
  <c r="E136" i="10"/>
  <c r="AJ136" i="10"/>
  <c r="BK136" i="10"/>
  <c r="CD136" i="10"/>
  <c r="R136" i="10"/>
  <c r="K35" i="11" a="1"/>
  <c r="K35" i="11" s="1"/>
  <c r="K138" i="11" a="1"/>
  <c r="K138" i="11" s="1"/>
  <c r="AO138" i="10" s="1"/>
  <c r="B243" i="10"/>
  <c r="B249" i="10"/>
  <c r="B252" i="10"/>
  <c r="B251" i="10"/>
  <c r="B254" i="10"/>
  <c r="B242" i="10"/>
  <c r="B221" i="10"/>
  <c r="CW136" i="10"/>
  <c r="AQ136" i="10"/>
  <c r="AG136" i="10"/>
  <c r="N136" i="10"/>
  <c r="CB136" i="10"/>
  <c r="BJ136" i="10"/>
  <c r="BG136" i="10"/>
  <c r="BI136" i="10"/>
  <c r="CN136" i="10"/>
  <c r="AB136" i="10"/>
  <c r="BC136" i="10"/>
  <c r="BV136" i="10"/>
  <c r="J136" i="10"/>
  <c r="BE136" i="10"/>
  <c r="CJ136" i="10"/>
  <c r="X136" i="10"/>
  <c r="AY136" i="10"/>
  <c r="BR136" i="10"/>
  <c r="F136" i="10"/>
  <c r="BA136" i="10"/>
  <c r="CF136" i="10"/>
  <c r="T136" i="10"/>
  <c r="AU136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C8" i="10"/>
  <c r="B8" i="10"/>
  <c r="B91" i="10"/>
  <c r="B112" i="10"/>
  <c r="A139" i="10"/>
  <c r="B139" i="10" s="1"/>
  <c r="I9" i="13"/>
  <c r="E10" i="7"/>
  <c r="A9" i="10"/>
  <c r="AM8" i="10"/>
  <c r="AI8" i="10"/>
  <c r="S8" i="10"/>
  <c r="G8" i="10"/>
  <c r="CM8" i="10"/>
  <c r="AH8" i="10"/>
  <c r="AP8" i="10"/>
  <c r="AT8" i="10"/>
  <c r="BY8" i="10"/>
  <c r="BU8" i="10"/>
  <c r="CP8" i="10"/>
  <c r="AO8" i="10"/>
  <c r="CH8" i="10"/>
  <c r="AC8" i="10"/>
  <c r="I8" i="10"/>
  <c r="BT8" i="10"/>
  <c r="BM8" i="10"/>
  <c r="CV8" i="10"/>
  <c r="CF8" i="10"/>
  <c r="BG8" i="10"/>
  <c r="BL8" i="10"/>
  <c r="AY8" i="10"/>
  <c r="X8" i="10"/>
  <c r="H8" i="10"/>
  <c r="AX8" i="10"/>
  <c r="BB8" i="10"/>
  <c r="AE8" i="10"/>
  <c r="BF8" i="10"/>
  <c r="BV8" i="10"/>
  <c r="BO8" i="10"/>
  <c r="Z8" i="10"/>
  <c r="CE8" i="10"/>
  <c r="AL8" i="10"/>
  <c r="BI8" i="10"/>
  <c r="BN8" i="10"/>
  <c r="R8" i="10"/>
  <c r="AK8" i="10"/>
  <c r="CD8" i="10"/>
  <c r="Y8" i="10"/>
  <c r="CG8" i="10"/>
  <c r="CO8" i="10"/>
  <c r="CK8" i="10"/>
  <c r="CR8" i="10"/>
  <c r="CC8" i="10"/>
  <c r="BW8" i="10"/>
  <c r="CW8" i="10"/>
  <c r="AJ8" i="10"/>
  <c r="T8" i="10"/>
  <c r="CB8" i="10"/>
  <c r="E241" i="10" a="1"/>
  <c r="E241" i="10" s="1"/>
  <c r="AU8" i="10"/>
  <c r="BD8" i="10"/>
  <c r="AA8" i="10"/>
  <c r="O8" i="10"/>
  <c r="CU8" i="10"/>
  <c r="BK8" i="10"/>
  <c r="CI8" i="10"/>
  <c r="CA8" i="10"/>
  <c r="AD8" i="10"/>
  <c r="N8" i="10"/>
  <c r="BJ8" i="10"/>
  <c r="J8" i="10"/>
  <c r="AG8" i="10"/>
  <c r="BZ8" i="10"/>
  <c r="Q8" i="10"/>
  <c r="BH8" i="10"/>
  <c r="U8" i="10"/>
  <c r="BC8" i="10"/>
  <c r="CN8" i="10"/>
  <c r="AR8" i="10"/>
  <c r="BS8" i="10"/>
  <c r="CS8" i="10"/>
  <c r="AF8" i="10"/>
  <c r="P8" i="10"/>
  <c r="D8" i="10"/>
  <c r="E223" i="10" a="1"/>
  <c r="E223" i="10" s="1"/>
  <c r="E111" i="10" a="1"/>
  <c r="E111" i="10" s="1"/>
  <c r="AQ8" i="10"/>
  <c r="BQ8" i="10"/>
  <c r="W8" i="10"/>
  <c r="K8" i="10"/>
  <c r="CQ8" i="10"/>
  <c r="BR8" i="10"/>
  <c r="BA8" i="10"/>
  <c r="BE8" i="10"/>
  <c r="V8" i="10"/>
  <c r="F8" i="10"/>
  <c r="CT8" i="10"/>
  <c r="AS8" i="10"/>
  <c r="CL8" i="10"/>
  <c r="AW8" i="10"/>
  <c r="M8" i="10"/>
  <c r="BX8" i="10"/>
  <c r="E8" i="10"/>
  <c r="AV8" i="10"/>
  <c r="CJ8" i="10"/>
  <c r="AN8" i="10"/>
  <c r="BP8" i="10"/>
  <c r="AZ8" i="10"/>
  <c r="AB8" i="10"/>
  <c r="L8" i="10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244" i="10" l="1"/>
  <c r="CA138" i="10"/>
  <c r="D249" i="10"/>
  <c r="D255" i="10"/>
  <c r="D252" i="10"/>
  <c r="CN138" i="10"/>
  <c r="BS138" i="10"/>
  <c r="T138" i="10"/>
  <c r="CV138" i="10"/>
  <c r="CU138" i="10"/>
  <c r="BD138" i="10"/>
  <c r="BB138" i="10"/>
  <c r="AZ138" i="10"/>
  <c r="AB138" i="10"/>
  <c r="CM138" i="10"/>
  <c r="Q138" i="10"/>
  <c r="C243" i="10"/>
  <c r="BL138" i="10"/>
  <c r="AP138" i="10"/>
  <c r="AA138" i="10"/>
  <c r="BK138" i="10"/>
  <c r="AV138" i="10"/>
  <c r="BX138" i="10"/>
  <c r="AK138" i="10"/>
  <c r="O138" i="10"/>
  <c r="K138" i="10"/>
  <c r="CT138" i="10"/>
  <c r="J138" i="10"/>
  <c r="BP138" i="10"/>
  <c r="CR138" i="10"/>
  <c r="AF138" i="10"/>
  <c r="BF138" i="10"/>
  <c r="BH138" i="10"/>
  <c r="CQ138" i="10"/>
  <c r="CJ138" i="10"/>
  <c r="X138" i="10"/>
  <c r="CL138" i="10"/>
  <c r="BG138" i="10"/>
  <c r="CH138" i="10"/>
  <c r="V138" i="10"/>
  <c r="AX138" i="10"/>
  <c r="AJ138" i="10"/>
  <c r="BV138" i="10"/>
  <c r="AU138" i="10"/>
  <c r="L138" i="10"/>
  <c r="AN138" i="10"/>
  <c r="BW138" i="10"/>
  <c r="AL138" i="10"/>
  <c r="AC138" i="10"/>
  <c r="CF138" i="10"/>
  <c r="D138" i="10"/>
  <c r="CB138" i="10"/>
  <c r="P138" i="10"/>
  <c r="CW138" i="10"/>
  <c r="AR138" i="10"/>
  <c r="AE138" i="10"/>
  <c r="BT138" i="10"/>
  <c r="H138" i="10"/>
  <c r="Z138" i="10"/>
  <c r="AQ138" i="10"/>
  <c r="BR138" i="10"/>
  <c r="F138" i="10"/>
  <c r="CP138" i="10"/>
  <c r="CG138" i="10"/>
  <c r="AY138" i="10"/>
  <c r="D250" i="10"/>
  <c r="D243" i="10"/>
  <c r="D248" i="10"/>
  <c r="BC138" i="10"/>
  <c r="R138" i="10"/>
  <c r="BZ138" i="10"/>
  <c r="Y138" i="10"/>
  <c r="G138" i="10"/>
  <c r="BO138" i="10"/>
  <c r="CS138" i="10"/>
  <c r="U138" i="10"/>
  <c r="AM138" i="10"/>
  <c r="CD138" i="10"/>
  <c r="BQ138" i="10"/>
  <c r="AI138" i="10"/>
  <c r="AT138" i="10"/>
  <c r="CC138" i="10"/>
  <c r="CO138" i="10"/>
  <c r="CK138" i="10"/>
  <c r="I138" i="10"/>
  <c r="CI138" i="10"/>
  <c r="W138" i="10"/>
  <c r="BN138" i="10"/>
  <c r="E138" i="10"/>
  <c r="C138" i="10"/>
  <c r="AD138" i="10"/>
  <c r="BM138" i="10"/>
  <c r="BI138" i="10"/>
  <c r="BU138" i="10"/>
  <c r="N138" i="10"/>
  <c r="AG138" i="10"/>
  <c r="AS138" i="10"/>
  <c r="BE13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42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B257" i="10"/>
  <c r="AH138" i="10"/>
  <c r="CE138" i="10"/>
  <c r="S138" i="10"/>
  <c r="BJ138" i="10"/>
  <c r="BA138" i="10"/>
  <c r="AW138" i="10"/>
  <c r="BY138" i="10"/>
  <c r="M138" i="10"/>
  <c r="C247" i="10"/>
  <c r="C239" i="10"/>
  <c r="D247" i="10"/>
  <c r="D256" i="10"/>
  <c r="D239" i="10"/>
  <c r="D251" i="10"/>
  <c r="BN139" i="10"/>
  <c r="C253" i="10"/>
  <c r="C256" i="10"/>
  <c r="C248" i="10"/>
  <c r="D246" i="10"/>
  <c r="D254" i="10"/>
  <c r="D244" i="10"/>
  <c r="D245" i="10"/>
  <c r="L35" i="11" a="1"/>
  <c r="L35" i="11" s="1"/>
  <c r="AI9" i="10" s="1"/>
  <c r="L138" i="11" a="1"/>
  <c r="L138" i="11" s="1"/>
  <c r="V139" i="10" s="1"/>
  <c r="C252" i="10"/>
  <c r="C245" i="10"/>
  <c r="D253" i="10"/>
  <c r="D221" i="10"/>
  <c r="D242" i="10"/>
  <c r="E80" i="10"/>
  <c r="E79" i="10"/>
  <c r="E97" i="10"/>
  <c r="E96" i="10"/>
  <c r="E100" i="10"/>
  <c r="E95" i="10"/>
  <c r="E99" i="10"/>
  <c r="E94" i="10"/>
  <c r="E98" i="10"/>
  <c r="E102" i="10"/>
  <c r="E120" i="10" s="1"/>
  <c r="E106" i="10"/>
  <c r="E101" i="10"/>
  <c r="E105" i="10"/>
  <c r="E104" i="10"/>
  <c r="E103" i="10"/>
  <c r="E108" i="10"/>
  <c r="E107" i="10"/>
  <c r="E125" i="10" s="1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9" i="10"/>
  <c r="B9" i="10"/>
  <c r="C112" i="10"/>
  <c r="C91" i="10"/>
  <c r="BB9" i="10"/>
  <c r="BO9" i="10"/>
  <c r="BU9" i="10"/>
  <c r="CH9" i="10"/>
  <c r="E9" i="10"/>
  <c r="AJ9" i="10"/>
  <c r="F241" i="10" a="1"/>
  <c r="F241" i="10" s="1"/>
  <c r="F75" i="10" a="1"/>
  <c r="F75" i="10" s="1"/>
  <c r="AD9" i="10"/>
  <c r="AN9" i="10"/>
  <c r="H9" i="10"/>
  <c r="F93" i="10" a="1"/>
  <c r="F93" i="10" s="1"/>
  <c r="AE9" i="10"/>
  <c r="AM9" i="10"/>
  <c r="BA9" i="10"/>
  <c r="CU9" i="10"/>
  <c r="R9" i="10"/>
  <c r="F9" i="10"/>
  <c r="AC9" i="10"/>
  <c r="BM9" i="10"/>
  <c r="CO9" i="10"/>
  <c r="AV9" i="10"/>
  <c r="P9" i="10"/>
  <c r="BG9" i="10"/>
  <c r="F223" i="10" a="1"/>
  <c r="F223" i="10" s="1"/>
  <c r="F111" i="10" a="1"/>
  <c r="F111" i="10" s="1"/>
  <c r="CG9" i="10"/>
  <c r="F205" i="10" a="1"/>
  <c r="F205" i="10" s="1"/>
  <c r="CE9" i="10"/>
  <c r="CQ9" i="10"/>
  <c r="BT9" i="10"/>
  <c r="X9" i="10"/>
  <c r="AA9" i="10"/>
  <c r="BF9" i="10"/>
  <c r="AL9" i="10"/>
  <c r="BE9" i="10"/>
  <c r="J9" i="10"/>
  <c r="BI9" i="10"/>
  <c r="Y9" i="10"/>
  <c r="CS9" i="10"/>
  <c r="CN9" i="10"/>
  <c r="AB9" i="10"/>
  <c r="CJ9" i="10"/>
  <c r="AQ9" i="10"/>
  <c r="CF9" i="10"/>
  <c r="BL9" i="10"/>
  <c r="BD9" i="10"/>
  <c r="BR9" i="10"/>
  <c r="AH9" i="10"/>
  <c r="AW9" i="10"/>
  <c r="CK9" i="10"/>
  <c r="BC9" i="10"/>
  <c r="BS9" i="10"/>
  <c r="E117" i="10"/>
  <c r="A140" i="10"/>
  <c r="B140" i="10" s="1"/>
  <c r="E11" i="7"/>
  <c r="I10" i="13"/>
  <c r="A10" i="10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13" i="7" a="1"/>
  <c r="CZ13" i="7" s="1"/>
  <c r="CZ22" i="7" a="1"/>
  <c r="CZ22" i="7" s="1"/>
  <c r="CZ34" i="7" a="1"/>
  <c r="CZ34" i="7" s="1"/>
  <c r="CZ21" i="7" a="1"/>
  <c r="CZ21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24" i="7"/>
  <c r="CY44" i="7" l="1"/>
  <c r="CY7" i="7"/>
  <c r="E124" i="10"/>
  <c r="CY26" i="7"/>
  <c r="CY19" i="7"/>
  <c r="CY38" i="7"/>
  <c r="CY40" i="7"/>
  <c r="CY12" i="7"/>
  <c r="DA12" i="7" s="1"/>
  <c r="CY28" i="7"/>
  <c r="CY42" i="7"/>
  <c r="CY16" i="7"/>
  <c r="CY5" i="7"/>
  <c r="DA5" i="7" s="1"/>
  <c r="CY55" i="7"/>
  <c r="CZ42" i="7" a="1"/>
  <c r="CZ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DA29" i="7" s="1"/>
  <c r="CY10" i="7"/>
  <c r="DA10" i="7" s="1"/>
  <c r="CY15" i="7"/>
  <c r="DA15" i="7" s="1"/>
  <c r="CY52" i="7"/>
  <c r="DA52" i="7" s="1"/>
  <c r="CY50" i="7"/>
  <c r="DA50" i="7" s="1"/>
  <c r="CY34" i="7"/>
  <c r="CY48" i="7"/>
  <c r="DA48" i="7" s="1"/>
  <c r="CY35" i="7"/>
  <c r="DA35" i="7" s="1"/>
  <c r="CY6" i="7"/>
  <c r="DA6" i="7" s="1"/>
  <c r="CY45" i="7"/>
  <c r="DA45" i="7" s="1"/>
  <c r="CY18" i="7"/>
  <c r="DA18" i="7" s="1"/>
  <c r="CY11" i="7"/>
  <c r="DA11" i="7" s="1"/>
  <c r="CY21" i="7"/>
  <c r="DA21" i="7" s="1"/>
  <c r="E118" i="10"/>
  <c r="E122" i="10"/>
  <c r="CY56" i="7"/>
  <c r="CY20" i="7"/>
  <c r="DA20" i="7" s="1"/>
  <c r="CY43" i="7"/>
  <c r="CY37" i="7"/>
  <c r="DA37" i="7" s="1"/>
  <c r="CY54" i="7"/>
  <c r="DA54" i="7" s="1"/>
  <c r="CY22" i="7"/>
  <c r="DA22" i="7" s="1"/>
  <c r="CY47" i="7"/>
  <c r="DA47" i="7" s="1"/>
  <c r="CY49" i="7"/>
  <c r="DA49" i="7" s="1"/>
  <c r="CY13" i="7"/>
  <c r="DA13" i="7" s="1"/>
  <c r="CY51" i="7"/>
  <c r="DA51" i="7" s="1"/>
  <c r="CY27" i="7"/>
  <c r="DA27" i="7" s="1"/>
  <c r="CY46" i="7"/>
  <c r="DA46" i="7" s="1"/>
  <c r="CY53" i="7"/>
  <c r="DA53" i="7" s="1"/>
  <c r="CY25" i="7"/>
  <c r="DA25" i="7" s="1"/>
  <c r="CY30" i="7"/>
  <c r="DA30" i="7" s="1"/>
  <c r="CY8" i="7"/>
  <c r="DA8" i="7" s="1"/>
  <c r="CY41" i="7"/>
  <c r="DA41" i="7" s="1"/>
  <c r="CY39" i="7"/>
  <c r="DA39" i="7" s="1"/>
  <c r="CY33" i="7"/>
  <c r="DA33" i="7" s="1"/>
  <c r="CY14" i="7"/>
  <c r="DA14" i="7" s="1"/>
  <c r="CY32" i="7"/>
  <c r="DA32" i="7" s="1"/>
  <c r="CY17" i="7"/>
  <c r="DA17" i="7" s="1"/>
  <c r="CY9" i="7"/>
  <c r="CY36" i="7"/>
  <c r="CY31" i="7"/>
  <c r="DA31" i="7" s="1"/>
  <c r="E253" i="10"/>
  <c r="E255" i="10"/>
  <c r="E247" i="10"/>
  <c r="CZ9" i="7" a="1"/>
  <c r="CZ9" i="7" s="1"/>
  <c r="BW9" i="10"/>
  <c r="U9" i="10"/>
  <c r="AO9" i="10"/>
  <c r="BJ9" i="10"/>
  <c r="CM9" i="10"/>
  <c r="AU9" i="10"/>
  <c r="AK9" i="10"/>
  <c r="W9" i="10"/>
  <c r="AF9" i="10"/>
  <c r="Q9" i="10"/>
  <c r="AS9" i="10"/>
  <c r="BN9" i="10"/>
  <c r="BK9" i="10"/>
  <c r="AX9" i="10"/>
  <c r="BH9" i="10"/>
  <c r="O9" i="10"/>
  <c r="CB9" i="10"/>
  <c r="BP9" i="10"/>
  <c r="CC9" i="10"/>
  <c r="CL9" i="10"/>
  <c r="AT9" i="10"/>
  <c r="K9" i="10"/>
  <c r="AW139" i="10"/>
  <c r="CZ7" i="7" a="1"/>
  <c r="CZ7" i="7" s="1"/>
  <c r="DA7" i="7" s="1"/>
  <c r="I9" i="10"/>
  <c r="L9" i="10"/>
  <c r="M9" i="10"/>
  <c r="BZ9" i="10"/>
  <c r="AP9" i="10"/>
  <c r="BV9" i="10"/>
  <c r="BQ9" i="10"/>
  <c r="Z9" i="10"/>
  <c r="CR9" i="10"/>
  <c r="CV9" i="10"/>
  <c r="AZ9" i="10"/>
  <c r="CD9" i="10"/>
  <c r="CI9" i="10"/>
  <c r="G9" i="10"/>
  <c r="BY9" i="10"/>
  <c r="AR9" i="10"/>
  <c r="D9" i="10"/>
  <c r="AY9" i="10"/>
  <c r="BX9" i="10"/>
  <c r="N9" i="10"/>
  <c r="V9" i="10"/>
  <c r="S9" i="10"/>
  <c r="D257" i="10"/>
  <c r="AB139" i="10"/>
  <c r="CT9" i="10"/>
  <c r="T9" i="10"/>
  <c r="CW9" i="10"/>
  <c r="AG9" i="10"/>
  <c r="CP9" i="10"/>
  <c r="CA9" i="10"/>
  <c r="BL139" i="10"/>
  <c r="E246" i="10"/>
  <c r="BM139" i="10"/>
  <c r="AV139" i="10"/>
  <c r="AS139" i="10"/>
  <c r="W139" i="10"/>
  <c r="BQ139" i="10"/>
  <c r="H139" i="10"/>
  <c r="AH139" i="10"/>
  <c r="BV139" i="10"/>
  <c r="Q139" i="10"/>
  <c r="CF139" i="10"/>
  <c r="AO139" i="10"/>
  <c r="E139" i="10"/>
  <c r="AY139" i="10"/>
  <c r="AQ139" i="10"/>
  <c r="J139" i="10"/>
  <c r="E243" i="10"/>
  <c r="CB139" i="10"/>
  <c r="AF139" i="10"/>
  <c r="AX139" i="10"/>
  <c r="R139" i="10"/>
  <c r="AL139" i="10"/>
  <c r="AG139" i="10"/>
  <c r="BI139" i="10"/>
  <c r="CI139" i="10"/>
  <c r="BS139" i="10"/>
  <c r="BT139" i="10"/>
  <c r="AU139" i="10"/>
  <c r="AT139" i="10"/>
  <c r="D139" i="10"/>
  <c r="CS139" i="10"/>
  <c r="CC139" i="10"/>
  <c r="BY139" i="10"/>
  <c r="M139" i="10"/>
  <c r="T139" i="10"/>
  <c r="BU139" i="10"/>
  <c r="I139" i="10"/>
  <c r="AJ139" i="10"/>
  <c r="CW139" i="10"/>
  <c r="AK139" i="10"/>
  <c r="BX139" i="10"/>
  <c r="BC139" i="10"/>
  <c r="AN139" i="10"/>
  <c r="CE139" i="10"/>
  <c r="S139" i="10"/>
  <c r="CA139" i="10"/>
  <c r="O139" i="10"/>
  <c r="BW139" i="10"/>
  <c r="K139" i="10"/>
  <c r="BZ139" i="10"/>
  <c r="N139" i="10"/>
  <c r="AP139" i="10"/>
  <c r="BR139" i="10"/>
  <c r="F139" i="10"/>
  <c r="E245" i="10"/>
  <c r="E249" i="10"/>
  <c r="E221" i="10"/>
  <c r="E242" i="10"/>
  <c r="C257" i="10"/>
  <c r="BE139" i="10"/>
  <c r="CV139" i="10"/>
  <c r="P139" i="10"/>
  <c r="CG139" i="10"/>
  <c r="U139" i="10"/>
  <c r="AZ139" i="10"/>
  <c r="CJ139" i="10"/>
  <c r="X139" i="10"/>
  <c r="BO139" i="10"/>
  <c r="C139" i="10"/>
  <c r="BK139" i="10"/>
  <c r="CT139" i="10"/>
  <c r="BG139" i="10"/>
  <c r="CD139" i="10"/>
  <c r="BJ139" i="10"/>
  <c r="CL139" i="10"/>
  <c r="Z139" i="10"/>
  <c r="BB139" i="10"/>
  <c r="E256" i="10"/>
  <c r="E251" i="10"/>
  <c r="E239" i="10"/>
  <c r="E250" i="10"/>
  <c r="M35" i="11" a="1"/>
  <c r="M35" i="11" s="1"/>
  <c r="AM10" i="10" s="1"/>
  <c r="M138" i="11" a="1"/>
  <c r="M138" i="11" s="1"/>
  <c r="AY140" i="10" s="1"/>
  <c r="F226" i="10"/>
  <c r="F227" i="10"/>
  <c r="F237" i="10"/>
  <c r="F236" i="10"/>
  <c r="F231" i="10"/>
  <c r="F208" i="10"/>
  <c r="F207" i="10"/>
  <c r="F230" i="10"/>
  <c r="F206" i="10"/>
  <c r="F209" i="10"/>
  <c r="F225" i="10"/>
  <c r="F212" i="10"/>
  <c r="F248" i="10" s="1"/>
  <c r="F218" i="10"/>
  <c r="F214" i="10"/>
  <c r="F234" i="10"/>
  <c r="F216" i="10"/>
  <c r="F233" i="10"/>
  <c r="F238" i="10"/>
  <c r="F210" i="10"/>
  <c r="F219" i="10"/>
  <c r="F220" i="10"/>
  <c r="F213" i="10"/>
  <c r="F215" i="10"/>
  <c r="F228" i="10"/>
  <c r="F235" i="10"/>
  <c r="F229" i="10"/>
  <c r="F217" i="10"/>
  <c r="F211" i="10"/>
  <c r="F224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CN139" i="10"/>
  <c r="BP139" i="10"/>
  <c r="AM139" i="10"/>
  <c r="CO139" i="10"/>
  <c r="AC139" i="10"/>
  <c r="AR139" i="10"/>
  <c r="CK139" i="10"/>
  <c r="Y139" i="10"/>
  <c r="BH139" i="10"/>
  <c r="G139" i="10"/>
  <c r="BA139" i="10"/>
  <c r="CR139" i="10"/>
  <c r="L139" i="10"/>
  <c r="BD139" i="10"/>
  <c r="CU139" i="10"/>
  <c r="AI139" i="10"/>
  <c r="CQ139" i="10"/>
  <c r="AE139" i="10"/>
  <c r="CM139" i="10"/>
  <c r="AA139" i="10"/>
  <c r="CP139" i="10"/>
  <c r="AD139" i="10"/>
  <c r="BF139" i="10"/>
  <c r="CH139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B33" i="8"/>
  <c r="C127" i="10"/>
  <c r="E109" i="10"/>
  <c r="C10" i="10"/>
  <c r="B10" i="10"/>
  <c r="S10" i="10"/>
  <c r="BO10" i="10"/>
  <c r="CA10" i="10"/>
  <c r="CT10" i="10"/>
  <c r="BC10" i="10"/>
  <c r="AV10" i="10"/>
  <c r="BS10" i="10"/>
  <c r="G205" i="10" a="1"/>
  <c r="G205" i="10" s="1"/>
  <c r="AU10" i="10"/>
  <c r="BQ10" i="10"/>
  <c r="AI10" i="10"/>
  <c r="BF10" i="10"/>
  <c r="K10" i="10"/>
  <c r="BK10" i="10"/>
  <c r="AT10" i="10"/>
  <c r="BA10" i="10"/>
  <c r="R10" i="10"/>
  <c r="F10" i="10"/>
  <c r="Z10" i="10"/>
  <c r="CH10" i="10"/>
  <c r="AC10" i="10"/>
  <c r="AO10" i="10"/>
  <c r="CP10" i="10"/>
  <c r="Q10" i="10"/>
  <c r="CG10" i="10"/>
  <c r="BM10" i="10"/>
  <c r="AY10" i="10"/>
  <c r="CR10" i="10"/>
  <c r="BT10" i="10"/>
  <c r="AB10" i="10"/>
  <c r="L10" i="10"/>
  <c r="BL10" i="10"/>
  <c r="CF10" i="10"/>
  <c r="G93" i="10" a="1"/>
  <c r="G93" i="10" s="1"/>
  <c r="J10" i="10"/>
  <c r="CD10" i="10"/>
  <c r="AG10" i="10"/>
  <c r="I10" i="10"/>
  <c r="CS10" i="10"/>
  <c r="CJ10" i="10"/>
  <c r="X10" i="10"/>
  <c r="BP10" i="10"/>
  <c r="G223" i="10" a="1"/>
  <c r="G223" i="10" s="1"/>
  <c r="G75" i="10" a="1"/>
  <c r="G75" i="10" s="1"/>
  <c r="CL10" i="10"/>
  <c r="E10" i="10"/>
  <c r="AF10" i="10"/>
  <c r="AQ10" i="10"/>
  <c r="BD10" i="10"/>
  <c r="AE10" i="10"/>
  <c r="BV10" i="10"/>
  <c r="CM10" i="10"/>
  <c r="CU10" i="10"/>
  <c r="CI10" i="10"/>
  <c r="AP10" i="10"/>
  <c r="BI10" i="10"/>
  <c r="BU10" i="10"/>
  <c r="U10" i="10"/>
  <c r="AS10" i="10"/>
  <c r="BH10" i="10"/>
  <c r="BG10" i="10"/>
  <c r="AZ10" i="10"/>
  <c r="H10" i="10"/>
  <c r="CB10" i="10"/>
  <c r="AW10" i="10"/>
  <c r="CC10" i="10"/>
  <c r="P10" i="10"/>
  <c r="AX10" i="10"/>
  <c r="BB10" i="10"/>
  <c r="AA10" i="10"/>
  <c r="BR10" i="10"/>
  <c r="G10" i="10"/>
  <c r="CQ10" i="10"/>
  <c r="CE10" i="10"/>
  <c r="AL10" i="10"/>
  <c r="V10" i="10"/>
  <c r="BY10" i="10"/>
  <c r="BN10" i="10"/>
  <c r="BZ10" i="10"/>
  <c r="M10" i="10"/>
  <c r="Y10" i="10"/>
  <c r="AK10" i="10"/>
  <c r="CW10" i="10"/>
  <c r="BX10" i="10"/>
  <c r="CK10" i="10"/>
  <c r="BW10" i="10"/>
  <c r="AR10" i="10"/>
  <c r="AJ10" i="10"/>
  <c r="T10" i="10"/>
  <c r="D10" i="10"/>
  <c r="CV10" i="10"/>
  <c r="G241" i="10" a="1"/>
  <c r="G241" i="10" s="1"/>
  <c r="G111" i="10" a="1"/>
  <c r="G111" i="10" s="1"/>
  <c r="W10" i="10"/>
  <c r="O10" i="10"/>
  <c r="BE10" i="10"/>
  <c r="AD10" i="10"/>
  <c r="AH10" i="10"/>
  <c r="BJ10" i="10"/>
  <c r="CO10" i="10"/>
  <c r="AN10" i="10"/>
  <c r="CN10" i="10"/>
  <c r="E91" i="10"/>
  <c r="E112" i="10"/>
  <c r="A141" i="10"/>
  <c r="B141" i="10" s="1"/>
  <c r="A11" i="10"/>
  <c r="I11" i="13"/>
  <c r="E12" i="7"/>
  <c r="K59" i="7"/>
  <c r="G63" i="7" s="1" a="1"/>
  <c r="G63" i="7" s="1"/>
  <c r="B32" i="8" s="1"/>
  <c r="DA24" i="7"/>
  <c r="DA44" i="7"/>
  <c r="DA19" i="7"/>
  <c r="DA28" i="7"/>
  <c r="DA38" i="7"/>
  <c r="DA42" i="7"/>
  <c r="DA34" i="7"/>
  <c r="DA16" i="7"/>
  <c r="DA36" i="7"/>
  <c r="DA55" i="7"/>
  <c r="DA43" i="7"/>
  <c r="DA40" i="7"/>
  <c r="DA56" i="7"/>
  <c r="DA26" i="7" l="1"/>
  <c r="DA9" i="7"/>
  <c r="F251" i="10"/>
  <c r="N10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10" i="10"/>
  <c r="G224" i="10"/>
  <c r="G206" i="10"/>
  <c r="G209" i="10"/>
  <c r="G212" i="10"/>
  <c r="G237" i="10"/>
  <c r="G219" i="10"/>
  <c r="G236" i="10"/>
  <c r="G232" i="10"/>
  <c r="G231" i="10"/>
  <c r="G234" i="10"/>
  <c r="G216" i="10"/>
  <c r="G226" i="10"/>
  <c r="G225" i="10"/>
  <c r="G230" i="10"/>
  <c r="G213" i="10"/>
  <c r="G215" i="10"/>
  <c r="G233" i="10"/>
  <c r="G208" i="10"/>
  <c r="G227" i="10"/>
  <c r="G238" i="10"/>
  <c r="G217" i="10"/>
  <c r="G211" i="10"/>
  <c r="G207" i="10"/>
  <c r="G220" i="10"/>
  <c r="G256" i="10" s="1"/>
  <c r="G228" i="10"/>
  <c r="G229" i="10"/>
  <c r="G235" i="10"/>
  <c r="F246" i="10"/>
  <c r="F243" i="10"/>
  <c r="BI140" i="10"/>
  <c r="BZ140" i="10"/>
  <c r="BJ140" i="10"/>
  <c r="BY140" i="10"/>
  <c r="BF140" i="10"/>
  <c r="CK140" i="10"/>
  <c r="Y140" i="10"/>
  <c r="BR140" i="10"/>
  <c r="F140" i="10"/>
  <c r="BA140" i="10"/>
  <c r="AJ140" i="10"/>
  <c r="BN140" i="10"/>
  <c r="CS140" i="10"/>
  <c r="AG140" i="10"/>
  <c r="AE140" i="10"/>
  <c r="BL140" i="10"/>
  <c r="CA140" i="10"/>
  <c r="BH140" i="10"/>
  <c r="BK140" i="10"/>
  <c r="AN140" i="10"/>
  <c r="CM140" i="10"/>
  <c r="AA140" i="10"/>
  <c r="BC140" i="10"/>
  <c r="CU140" i="10"/>
  <c r="AI140" i="10"/>
  <c r="F249" i="10"/>
  <c r="F250" i="10"/>
  <c r="F244" i="10"/>
  <c r="BP140" i="10"/>
  <c r="N140" i="10"/>
  <c r="CO140" i="10"/>
  <c r="M140" i="10"/>
  <c r="AP140" i="10"/>
  <c r="BU140" i="10"/>
  <c r="I140" i="10"/>
  <c r="BB140" i="10"/>
  <c r="CW140" i="10"/>
  <c r="AK140" i="10"/>
  <c r="CQ140" i="10"/>
  <c r="AX140" i="10"/>
  <c r="CC140" i="10"/>
  <c r="Q140" i="10"/>
  <c r="E140" i="10"/>
  <c r="AV140" i="10"/>
  <c r="O140" i="10"/>
  <c r="AR140" i="10"/>
  <c r="CJ140" i="10"/>
  <c r="X140" i="10"/>
  <c r="BW140" i="10"/>
  <c r="K140" i="10"/>
  <c r="AM140" i="10"/>
  <c r="CE140" i="10"/>
  <c r="S140" i="10"/>
  <c r="E257" i="10"/>
  <c r="N35" i="11" a="1"/>
  <c r="N35" i="11" s="1"/>
  <c r="N138" i="11" a="1"/>
  <c r="N138" i="11" s="1"/>
  <c r="F242" i="10"/>
  <c r="F221" i="10"/>
  <c r="CP140" i="10"/>
  <c r="AS140" i="10"/>
  <c r="AC140" i="10"/>
  <c r="CL140" i="10"/>
  <c r="Z140" i="10"/>
  <c r="BE140" i="10"/>
  <c r="AZ140" i="10"/>
  <c r="AL140" i="10"/>
  <c r="CG140" i="10"/>
  <c r="U140" i="10"/>
  <c r="CT140" i="10"/>
  <c r="AH140" i="10"/>
  <c r="BM140" i="10"/>
  <c r="CF140" i="10"/>
  <c r="CR140" i="10"/>
  <c r="AF140" i="10"/>
  <c r="CN140" i="10"/>
  <c r="AB140" i="10"/>
  <c r="BT140" i="10"/>
  <c r="H140" i="10"/>
  <c r="BG140" i="10"/>
  <c r="CI140" i="10"/>
  <c r="W140" i="10"/>
  <c r="BO140" i="10"/>
  <c r="C140" i="10"/>
  <c r="P141" i="10"/>
  <c r="AF141" i="10"/>
  <c r="AV141" i="10"/>
  <c r="BL141" i="10"/>
  <c r="CB141" i="10"/>
  <c r="CR141" i="10"/>
  <c r="D141" i="10"/>
  <c r="T141" i="10"/>
  <c r="AJ141" i="10"/>
  <c r="AZ141" i="10"/>
  <c r="BP141" i="10"/>
  <c r="CF141" i="10"/>
  <c r="CV141" i="10"/>
  <c r="H141" i="10"/>
  <c r="X141" i="10"/>
  <c r="AN141" i="10"/>
  <c r="BD141" i="10"/>
  <c r="BT141" i="10"/>
  <c r="CJ141" i="10"/>
  <c r="L141" i="10"/>
  <c r="BX141" i="10"/>
  <c r="E141" i="10"/>
  <c r="U141" i="10"/>
  <c r="AK141" i="10"/>
  <c r="BA141" i="10"/>
  <c r="BQ141" i="10"/>
  <c r="CG141" i="10"/>
  <c r="CW141" i="10"/>
  <c r="AB141" i="10"/>
  <c r="CN141" i="10"/>
  <c r="I141" i="10"/>
  <c r="Y141" i="10"/>
  <c r="AO141" i="10"/>
  <c r="BE141" i="10"/>
  <c r="BU141" i="10"/>
  <c r="CK141" i="10"/>
  <c r="AR141" i="10"/>
  <c r="M141" i="10"/>
  <c r="AC141" i="10"/>
  <c r="AS141" i="10"/>
  <c r="BI141" i="10"/>
  <c r="BY141" i="10"/>
  <c r="CO141" i="10"/>
  <c r="AW141" i="10"/>
  <c r="N141" i="10"/>
  <c r="AD141" i="10"/>
  <c r="AT141" i="10"/>
  <c r="BJ141" i="10"/>
  <c r="BZ141" i="10"/>
  <c r="CP141" i="10"/>
  <c r="O141" i="10"/>
  <c r="AE141" i="10"/>
  <c r="AU141" i="10"/>
  <c r="BK141" i="10"/>
  <c r="CA141" i="10"/>
  <c r="CQ141" i="10"/>
  <c r="BM141" i="10"/>
  <c r="R141" i="10"/>
  <c r="AH141" i="10"/>
  <c r="AX141" i="10"/>
  <c r="BN141" i="10"/>
  <c r="CD141" i="10"/>
  <c r="CT141" i="10"/>
  <c r="C141" i="10"/>
  <c r="S141" i="10"/>
  <c r="AI141" i="10"/>
  <c r="AY141" i="10"/>
  <c r="BO141" i="10"/>
  <c r="CE141" i="10"/>
  <c r="CU141" i="10"/>
  <c r="BH141" i="10"/>
  <c r="Q141" i="10"/>
  <c r="CC141" i="10"/>
  <c r="F141" i="10"/>
  <c r="V141" i="10"/>
  <c r="AL141" i="10"/>
  <c r="BB141" i="10"/>
  <c r="BR141" i="10"/>
  <c r="CH141" i="10"/>
  <c r="G141" i="10"/>
  <c r="W141" i="10"/>
  <c r="AM141" i="10"/>
  <c r="BC141" i="10"/>
  <c r="BS141" i="10"/>
  <c r="CI141" i="10"/>
  <c r="AG141" i="10"/>
  <c r="AP141" i="10"/>
  <c r="K141" i="10"/>
  <c r="BW141" i="10"/>
  <c r="CS141" i="10"/>
  <c r="BF141" i="10"/>
  <c r="AA141" i="10"/>
  <c r="CM141" i="10"/>
  <c r="J141" i="10"/>
  <c r="BV141" i="10"/>
  <c r="AQ141" i="10"/>
  <c r="CL141" i="10"/>
  <c r="BG141" i="10"/>
  <c r="Z141" i="10"/>
  <c r="F247" i="10"/>
  <c r="F255" i="10"/>
  <c r="F252" i="10"/>
  <c r="AD140" i="10"/>
  <c r="D140" i="10"/>
  <c r="AT140" i="10"/>
  <c r="BV140" i="10"/>
  <c r="J140" i="10"/>
  <c r="AO140" i="10"/>
  <c r="CH140" i="10"/>
  <c r="V140" i="10"/>
  <c r="BQ140" i="10"/>
  <c r="CV140" i="10"/>
  <c r="CD140" i="10"/>
  <c r="R140" i="10"/>
  <c r="AW140" i="10"/>
  <c r="T140" i="10"/>
  <c r="CB140" i="10"/>
  <c r="P140" i="10"/>
  <c r="BX140" i="10"/>
  <c r="L140" i="10"/>
  <c r="BD140" i="10"/>
  <c r="AU140" i="10"/>
  <c r="AQ140" i="10"/>
  <c r="BS140" i="10"/>
  <c r="G140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C11" i="10"/>
  <c r="B11" i="10"/>
  <c r="AX11" i="10"/>
  <c r="AE11" i="10"/>
  <c r="S11" i="10"/>
  <c r="BF11" i="10"/>
  <c r="BO11" i="10"/>
  <c r="CM11" i="10"/>
  <c r="CI11" i="10"/>
  <c r="BA11" i="10"/>
  <c r="N11" i="10"/>
  <c r="BY11" i="10"/>
  <c r="BU11" i="10"/>
  <c r="AO11" i="10"/>
  <c r="CP11" i="10"/>
  <c r="CL11" i="10"/>
  <c r="U11" i="10"/>
  <c r="BT11" i="10"/>
  <c r="BX11" i="10"/>
  <c r="CS11" i="10"/>
  <c r="CC11" i="10"/>
  <c r="BS11" i="10"/>
  <c r="BW11" i="10"/>
  <c r="AF11" i="10"/>
  <c r="CV11" i="10"/>
  <c r="BP11" i="10"/>
  <c r="H205" i="10" a="1"/>
  <c r="H205" i="10" s="1"/>
  <c r="H75" i="10" a="1"/>
  <c r="H75" i="10" s="1"/>
  <c r="CJ11" i="10"/>
  <c r="BD11" i="10"/>
  <c r="AU11" i="10"/>
  <c r="O11" i="10"/>
  <c r="BV11" i="10"/>
  <c r="BK11" i="10"/>
  <c r="BE11" i="10"/>
  <c r="CE11" i="10"/>
  <c r="AH11" i="10"/>
  <c r="F11" i="10"/>
  <c r="CT11" i="10"/>
  <c r="BN11" i="10"/>
  <c r="AG11" i="10"/>
  <c r="CH11" i="10"/>
  <c r="BZ11" i="10"/>
  <c r="AZ11" i="10"/>
  <c r="M11" i="10"/>
  <c r="I11" i="10"/>
  <c r="CO11" i="10"/>
  <c r="AN11" i="10"/>
  <c r="X11" i="10"/>
  <c r="AV11" i="10"/>
  <c r="AB11" i="10"/>
  <c r="CN11" i="10"/>
  <c r="BL11" i="10"/>
  <c r="H223" i="10" a="1"/>
  <c r="H223" i="10" s="1"/>
  <c r="H93" i="10" a="1"/>
  <c r="H93" i="10" s="1"/>
  <c r="W11" i="10"/>
  <c r="BR11" i="10"/>
  <c r="AL11" i="10"/>
  <c r="J11" i="10"/>
  <c r="AW11" i="10"/>
  <c r="AK11" i="10"/>
  <c r="AY11" i="10"/>
  <c r="CW11" i="10"/>
  <c r="H11" i="10"/>
  <c r="AJ11" i="10"/>
  <c r="CB11" i="10"/>
  <c r="BQ11" i="10"/>
  <c r="AQ11" i="10"/>
  <c r="AM11" i="10"/>
  <c r="K11" i="10"/>
  <c r="G11" i="10"/>
  <c r="CQ11" i="10"/>
  <c r="AT11" i="10"/>
  <c r="CA11" i="10"/>
  <c r="Z11" i="10"/>
  <c r="R11" i="10"/>
  <c r="AD11" i="10"/>
  <c r="CD11" i="10"/>
  <c r="Y11" i="10"/>
  <c r="AS11" i="10"/>
  <c r="BJ11" i="10"/>
  <c r="BC11" i="10"/>
  <c r="E11" i="10"/>
  <c r="BM11" i="10"/>
  <c r="CK11" i="10"/>
  <c r="T11" i="10"/>
  <c r="P11" i="10"/>
  <c r="AR11" i="10"/>
  <c r="L11" i="10"/>
  <c r="CF11" i="10"/>
  <c r="CR11" i="10"/>
  <c r="H111" i="10" a="1"/>
  <c r="H111" i="10" s="1"/>
  <c r="AI11" i="10"/>
  <c r="AA11" i="10"/>
  <c r="CU11" i="10"/>
  <c r="AP11" i="10"/>
  <c r="V11" i="10"/>
  <c r="BI11" i="10"/>
  <c r="Q11" i="10"/>
  <c r="AC11" i="10"/>
  <c r="BH11" i="10"/>
  <c r="CG11" i="10"/>
  <c r="BG11" i="10"/>
  <c r="D11" i="10"/>
  <c r="H241" i="10" a="1"/>
  <c r="H241" i="10" s="1"/>
  <c r="BB11" i="10"/>
  <c r="F112" i="10"/>
  <c r="F91" i="10"/>
  <c r="A12" i="10"/>
  <c r="A142" i="10"/>
  <c r="B142" i="10" s="1"/>
  <c r="E13" i="7"/>
  <c r="I12" i="13"/>
  <c r="G244" i="10" l="1"/>
  <c r="G249" i="10"/>
  <c r="G255" i="10"/>
  <c r="O35" i="11" a="1"/>
  <c r="O35" i="11" s="1"/>
  <c r="O138" i="11" a="1"/>
  <c r="O138" i="11" s="1"/>
  <c r="G253" i="10"/>
  <c r="G239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G246" i="10"/>
  <c r="H213" i="10"/>
  <c r="H209" i="10"/>
  <c r="H225" i="10"/>
  <c r="H207" i="10"/>
  <c r="H234" i="10"/>
  <c r="H233" i="10"/>
  <c r="H226" i="10"/>
  <c r="H208" i="10"/>
  <c r="H224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M142" i="10"/>
  <c r="AC142" i="10"/>
  <c r="Q142" i="10"/>
  <c r="AG142" i="10"/>
  <c r="AW142" i="10"/>
  <c r="BM142" i="10"/>
  <c r="CC142" i="10"/>
  <c r="CS142" i="10"/>
  <c r="E142" i="10"/>
  <c r="U142" i="10"/>
  <c r="AK142" i="10"/>
  <c r="BA142" i="10"/>
  <c r="BQ142" i="10"/>
  <c r="CG142" i="10"/>
  <c r="CW142" i="10"/>
  <c r="AO142" i="10"/>
  <c r="BU142" i="10"/>
  <c r="R142" i="10"/>
  <c r="AH142" i="10"/>
  <c r="AX142" i="10"/>
  <c r="BN142" i="10"/>
  <c r="CD142" i="10"/>
  <c r="CT142" i="10"/>
  <c r="AS142" i="10"/>
  <c r="BY142" i="10"/>
  <c r="F142" i="10"/>
  <c r="V142" i="10"/>
  <c r="AL142" i="10"/>
  <c r="BB142" i="10"/>
  <c r="BR142" i="10"/>
  <c r="CH142" i="10"/>
  <c r="I142" i="10"/>
  <c r="BE142" i="10"/>
  <c r="CK142" i="10"/>
  <c r="J142" i="10"/>
  <c r="Z142" i="10"/>
  <c r="AP142" i="10"/>
  <c r="BF142" i="10"/>
  <c r="BV142" i="10"/>
  <c r="CL142" i="10"/>
  <c r="BI142" i="10"/>
  <c r="N142" i="10"/>
  <c r="BZ142" i="10"/>
  <c r="K142" i="10"/>
  <c r="AA142" i="10"/>
  <c r="AQ142" i="10"/>
  <c r="BG142" i="10"/>
  <c r="BW142" i="10"/>
  <c r="CM142" i="10"/>
  <c r="L142" i="10"/>
  <c r="AB142" i="10"/>
  <c r="AR142" i="10"/>
  <c r="BH142" i="10"/>
  <c r="BX142" i="10"/>
  <c r="CN142" i="10"/>
  <c r="CO142" i="10"/>
  <c r="AD142" i="10"/>
  <c r="CP142" i="10"/>
  <c r="O142" i="10"/>
  <c r="AE142" i="10"/>
  <c r="AU142" i="10"/>
  <c r="BK142" i="10"/>
  <c r="CA142" i="10"/>
  <c r="CQ142" i="10"/>
  <c r="P142" i="10"/>
  <c r="AF142" i="10"/>
  <c r="AV142" i="10"/>
  <c r="AT142" i="10"/>
  <c r="C142" i="10"/>
  <c r="S142" i="10"/>
  <c r="AI142" i="10"/>
  <c r="AY142" i="10"/>
  <c r="BO142" i="10"/>
  <c r="CE142" i="10"/>
  <c r="CU142" i="10"/>
  <c r="D142" i="10"/>
  <c r="T142" i="10"/>
  <c r="AJ142" i="10"/>
  <c r="AZ142" i="10"/>
  <c r="BP142" i="10"/>
  <c r="CF142" i="10"/>
  <c r="Y142" i="10"/>
  <c r="G142" i="10"/>
  <c r="BS142" i="10"/>
  <c r="AN142" i="10"/>
  <c r="CB142" i="10"/>
  <c r="W142" i="10"/>
  <c r="CI142" i="10"/>
  <c r="BD142" i="10"/>
  <c r="CJ142" i="10"/>
  <c r="BJ142" i="10"/>
  <c r="AM142" i="10"/>
  <c r="H142" i="10"/>
  <c r="BL142" i="10"/>
  <c r="CR142" i="10"/>
  <c r="BT142" i="10"/>
  <c r="BC142" i="10"/>
  <c r="CV142" i="10"/>
  <c r="X142" i="10"/>
  <c r="G247" i="10"/>
  <c r="G242" i="10"/>
  <c r="G221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C12" i="10"/>
  <c r="B12" i="10"/>
  <c r="AU12" i="10"/>
  <c r="BB12" i="10"/>
  <c r="AA12" i="10"/>
  <c r="G12" i="10"/>
  <c r="BR12" i="10"/>
  <c r="CE12" i="10"/>
  <c r="AL12" i="10"/>
  <c r="V12" i="10"/>
  <c r="BE12" i="10"/>
  <c r="BI12" i="10"/>
  <c r="CP12" i="10"/>
  <c r="AC12" i="10"/>
  <c r="CT12" i="10"/>
  <c r="BZ12" i="10"/>
  <c r="AK12" i="10"/>
  <c r="BH12" i="10"/>
  <c r="I12" i="10"/>
  <c r="BC12" i="10"/>
  <c r="BS12" i="10"/>
  <c r="BM12" i="10"/>
  <c r="AB12" i="10"/>
  <c r="D12" i="10"/>
  <c r="CN12" i="10"/>
  <c r="X12" i="10"/>
  <c r="I205" i="10" a="1"/>
  <c r="I205" i="10" s="1"/>
  <c r="CL12" i="10"/>
  <c r="BT12" i="10"/>
  <c r="BL12" i="10"/>
  <c r="BG12" i="10"/>
  <c r="I93" i="10" a="1"/>
  <c r="I93" i="10" s="1"/>
  <c r="BQ12" i="10"/>
  <c r="BK12" i="10"/>
  <c r="BN12" i="10"/>
  <c r="AS12" i="10"/>
  <c r="P12" i="10"/>
  <c r="BP12" i="10"/>
  <c r="I223" i="10" a="1"/>
  <c r="I223" i="10" s="1"/>
  <c r="AQ12" i="10"/>
  <c r="AE12" i="10"/>
  <c r="S12" i="10"/>
  <c r="BF12" i="10"/>
  <c r="CU12" i="10"/>
  <c r="BA12" i="10"/>
  <c r="AH12" i="10"/>
  <c r="CM12" i="10"/>
  <c r="F12" i="10"/>
  <c r="BU12" i="10"/>
  <c r="R12" i="10"/>
  <c r="AW12" i="10"/>
  <c r="AY12" i="10"/>
  <c r="CK12" i="10"/>
  <c r="CJ12" i="10"/>
  <c r="BV12" i="10"/>
  <c r="CI12" i="10"/>
  <c r="U12" i="10"/>
  <c r="CW12" i="10"/>
  <c r="AR12" i="10"/>
  <c r="CC12" i="10"/>
  <c r="AX12" i="10"/>
  <c r="K12" i="10"/>
  <c r="AD12" i="10"/>
  <c r="N12" i="10"/>
  <c r="AV12" i="10"/>
  <c r="CR12" i="10"/>
  <c r="CF12" i="10"/>
  <c r="AM12" i="10"/>
  <c r="BD12" i="10"/>
  <c r="W12" i="10"/>
  <c r="O12" i="10"/>
  <c r="BO12" i="10"/>
  <c r="CQ12" i="10"/>
  <c r="AP12" i="10"/>
  <c r="Z12" i="10"/>
  <c r="CA12" i="10"/>
  <c r="J12" i="10"/>
  <c r="BJ12" i="10"/>
  <c r="AG12" i="10"/>
  <c r="Q12" i="10"/>
  <c r="CD12" i="10"/>
  <c r="AO12" i="10"/>
  <c r="M12" i="10"/>
  <c r="E12" i="10"/>
  <c r="AZ12" i="10"/>
  <c r="BW12" i="10"/>
  <c r="CB12" i="10"/>
  <c r="AJ12" i="10"/>
  <c r="H12" i="10"/>
  <c r="CV12" i="10"/>
  <c r="CG12" i="10"/>
  <c r="AN12" i="10"/>
  <c r="I241" i="10" a="1"/>
  <c r="I241" i="10" s="1"/>
  <c r="I111" i="10" a="1"/>
  <c r="I111" i="10" s="1"/>
  <c r="Y12" i="10"/>
  <c r="BX12" i="10"/>
  <c r="AF12" i="10"/>
  <c r="T12" i="10"/>
  <c r="CS12" i="10"/>
  <c r="AI12" i="10"/>
  <c r="AT12" i="10"/>
  <c r="BY12" i="10"/>
  <c r="CH12" i="10"/>
  <c r="CO12" i="10"/>
  <c r="L12" i="10"/>
  <c r="I75" i="10" a="1"/>
  <c r="I75" i="10" s="1"/>
  <c r="G112" i="10"/>
  <c r="G91" i="10"/>
  <c r="I13" i="13"/>
  <c r="E14" i="7"/>
  <c r="A13" i="10"/>
  <c r="A143" i="10"/>
  <c r="B143" i="10" s="1"/>
  <c r="H119" i="10" l="1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AL143" i="10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39" i="10"/>
  <c r="H249" i="10"/>
  <c r="H254" i="10"/>
  <c r="H244" i="10"/>
  <c r="H243" i="10"/>
  <c r="H255" i="10"/>
  <c r="H251" i="10"/>
  <c r="V143" i="10"/>
  <c r="O143" i="10"/>
  <c r="AU143" i="10"/>
  <c r="Z143" i="10"/>
  <c r="C143" i="10"/>
  <c r="AI143" i="10"/>
  <c r="AD143" i="10"/>
  <c r="W143" i="10"/>
  <c r="AQ143" i="10"/>
  <c r="X143" i="10"/>
  <c r="AN143" i="10"/>
  <c r="BD143" i="10"/>
  <c r="L143" i="10"/>
  <c r="AB143" i="10"/>
  <c r="AR143" i="10"/>
  <c r="BH143" i="10"/>
  <c r="R143" i="10"/>
  <c r="K143" i="10"/>
  <c r="P143" i="10"/>
  <c r="AF143" i="10"/>
  <c r="AV143" i="10"/>
  <c r="BL143" i="10"/>
  <c r="AJ143" i="10"/>
  <c r="E143" i="10"/>
  <c r="U143" i="10"/>
  <c r="AK143" i="10"/>
  <c r="BA143" i="10"/>
  <c r="BQ143" i="10"/>
  <c r="BC143" i="10"/>
  <c r="CC143" i="10"/>
  <c r="CS143" i="10"/>
  <c r="BT143" i="10"/>
  <c r="CL143" i="10"/>
  <c r="BG143" i="10"/>
  <c r="CE143" i="10"/>
  <c r="CU143" i="10"/>
  <c r="BW143" i="10"/>
  <c r="CN143" i="10"/>
  <c r="AH143" i="10"/>
  <c r="AZ143" i="10"/>
  <c r="I143" i="10"/>
  <c r="Y143" i="10"/>
  <c r="AO143" i="10"/>
  <c r="BE143" i="10"/>
  <c r="BU143" i="10"/>
  <c r="BK143" i="10"/>
  <c r="CG143" i="10"/>
  <c r="CW143" i="10"/>
  <c r="AX143" i="10"/>
  <c r="BZ143" i="10"/>
  <c r="CP143" i="10"/>
  <c r="BO143" i="10"/>
  <c r="CI143" i="10"/>
  <c r="BB143" i="10"/>
  <c r="CB143" i="10"/>
  <c r="CR143" i="10"/>
  <c r="D143" i="10"/>
  <c r="BP143" i="10"/>
  <c r="M143" i="10"/>
  <c r="AC143" i="10"/>
  <c r="AS143" i="10"/>
  <c r="BI143" i="10"/>
  <c r="BY143" i="10"/>
  <c r="BS143" i="10"/>
  <c r="CK143" i="10"/>
  <c r="BF143" i="10"/>
  <c r="CD143" i="10"/>
  <c r="CT143" i="10"/>
  <c r="BV143" i="10"/>
  <c r="CM143" i="10"/>
  <c r="BJ143" i="10"/>
  <c r="CF143" i="10"/>
  <c r="CV143" i="10"/>
  <c r="AW143" i="10"/>
  <c r="CO143" i="10"/>
  <c r="BN143" i="10"/>
  <c r="BR143" i="10"/>
  <c r="BM143" i="10"/>
  <c r="CH143" i="10"/>
  <c r="AY143" i="10"/>
  <c r="CJ143" i="10"/>
  <c r="T143" i="10"/>
  <c r="Q143" i="10"/>
  <c r="AT143" i="10"/>
  <c r="CA143" i="10"/>
  <c r="AA143" i="10"/>
  <c r="AG143" i="10"/>
  <c r="BX143" i="10"/>
  <c r="CQ143" i="10"/>
  <c r="I219" i="10"/>
  <c r="I236" i="10"/>
  <c r="I215" i="10"/>
  <c r="I226" i="10"/>
  <c r="I208" i="10"/>
  <c r="I230" i="10"/>
  <c r="I218" i="10"/>
  <c r="I214" i="10"/>
  <c r="I207" i="10"/>
  <c r="I213" i="10"/>
  <c r="I238" i="10"/>
  <c r="I220" i="10"/>
  <c r="I224" i="10"/>
  <c r="I225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42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C13" i="10"/>
  <c r="B13" i="10"/>
  <c r="BD13" i="10"/>
  <c r="AM13" i="10"/>
  <c r="W13" i="10"/>
  <c r="G13" i="10"/>
  <c r="CQ13" i="10"/>
  <c r="CI13" i="10"/>
  <c r="AH13" i="10"/>
  <c r="AP13" i="10"/>
  <c r="V13" i="10"/>
  <c r="BU13" i="10"/>
  <c r="BJ13" i="10"/>
  <c r="CH13" i="10"/>
  <c r="AW13" i="10"/>
  <c r="AC13" i="10"/>
  <c r="CW13" i="10"/>
  <c r="BM13" i="10"/>
  <c r="Q13" i="10"/>
  <c r="BX13" i="10"/>
  <c r="BW13" i="10"/>
  <c r="AF13" i="10"/>
  <c r="CR13" i="10"/>
  <c r="BC13" i="10"/>
  <c r="L13" i="10"/>
  <c r="CF13" i="10"/>
  <c r="J241" i="10" a="1"/>
  <c r="J241" i="10" s="1"/>
  <c r="J111" i="10" a="1"/>
  <c r="J111" i="10" s="1"/>
  <c r="BN13" i="10"/>
  <c r="AG13" i="10"/>
  <c r="I13" i="10"/>
  <c r="T13" i="10"/>
  <c r="AR13" i="10"/>
  <c r="J93" i="10" a="1"/>
  <c r="J93" i="10" s="1"/>
  <c r="BB13" i="10"/>
  <c r="K13" i="10"/>
  <c r="CU13" i="10"/>
  <c r="BY13" i="10"/>
  <c r="CP13" i="10"/>
  <c r="Y13" i="10"/>
  <c r="U13" i="10"/>
  <c r="AZ13" i="10"/>
  <c r="AB13" i="10"/>
  <c r="BS13" i="10"/>
  <c r="AX13" i="10"/>
  <c r="AA13" i="10"/>
  <c r="O13" i="10"/>
  <c r="BR13" i="10"/>
  <c r="CM13" i="10"/>
  <c r="CA13" i="10"/>
  <c r="CE13" i="10"/>
  <c r="AL13" i="10"/>
  <c r="BI13" i="10"/>
  <c r="R13" i="10"/>
  <c r="CT13" i="10"/>
  <c r="AS13" i="10"/>
  <c r="CS13" i="10"/>
  <c r="CV13" i="10"/>
  <c r="H13" i="10"/>
  <c r="AU13" i="10"/>
  <c r="BF13" i="10"/>
  <c r="AD13" i="10"/>
  <c r="CD13" i="10"/>
  <c r="E13" i="10"/>
  <c r="D13" i="10"/>
  <c r="BQ13" i="10"/>
  <c r="AQ13" i="10"/>
  <c r="AI13" i="10"/>
  <c r="S13" i="10"/>
  <c r="BK13" i="10"/>
  <c r="BO13" i="10"/>
  <c r="BE13" i="10"/>
  <c r="AT13" i="10"/>
  <c r="Z13" i="10"/>
  <c r="J13" i="10"/>
  <c r="F13" i="10"/>
  <c r="CL13" i="10"/>
  <c r="BZ13" i="10"/>
  <c r="AK13" i="10"/>
  <c r="M13" i="10"/>
  <c r="BT13" i="10"/>
  <c r="CG13" i="10"/>
  <c r="BH13" i="10"/>
  <c r="P13" i="10"/>
  <c r="AY13" i="10"/>
  <c r="BL13" i="10"/>
  <c r="AJ13" i="10"/>
  <c r="X13" i="10"/>
  <c r="CB13" i="10"/>
  <c r="CN13" i="10"/>
  <c r="J223" i="10" a="1"/>
  <c r="J223" i="10" s="1"/>
  <c r="CO13" i="10"/>
  <c r="AV13" i="10"/>
  <c r="CJ13" i="10"/>
  <c r="BG13" i="10"/>
  <c r="J205" i="10" a="1"/>
  <c r="J205" i="10" s="1"/>
  <c r="AE13" i="10"/>
  <c r="BV13" i="10"/>
  <c r="BA13" i="10"/>
  <c r="N13" i="10"/>
  <c r="AO13" i="10"/>
  <c r="CK13" i="10"/>
  <c r="AN13" i="10"/>
  <c r="CC13" i="10"/>
  <c r="BP13" i="10"/>
  <c r="J75" i="10" a="1"/>
  <c r="J75" i="10" s="1"/>
  <c r="H112" i="10"/>
  <c r="H91" i="10"/>
  <c r="A144" i="10"/>
  <c r="B144" i="10" s="1"/>
  <c r="E15" i="7"/>
  <c r="A14" i="10"/>
  <c r="I14" i="13"/>
  <c r="I244" i="10" l="1"/>
  <c r="I245" i="10"/>
  <c r="I248" i="10"/>
  <c r="I253" i="10"/>
  <c r="AM143" i="10"/>
  <c r="N143" i="10"/>
  <c r="AP143" i="10"/>
  <c r="AE143" i="10"/>
  <c r="F143" i="10"/>
  <c r="H143" i="10"/>
  <c r="G143" i="10"/>
  <c r="S143" i="10"/>
  <c r="J14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42" i="10"/>
  <c r="I221" i="10"/>
  <c r="I252" i="10"/>
  <c r="I256" i="10"/>
  <c r="I250" i="10"/>
  <c r="I254" i="10"/>
  <c r="I251" i="10"/>
  <c r="J224" i="10"/>
  <c r="J206" i="10"/>
  <c r="J218" i="10"/>
  <c r="J232" i="10"/>
  <c r="J214" i="10"/>
  <c r="J215" i="10"/>
  <c r="J220" i="10"/>
  <c r="J228" i="10"/>
  <c r="J210" i="10"/>
  <c r="J226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25" i="10"/>
  <c r="J212" i="10"/>
  <c r="J235" i="10"/>
  <c r="J229" i="10"/>
  <c r="J238" i="10"/>
  <c r="J211" i="10"/>
  <c r="H257" i="10"/>
  <c r="I246" i="10"/>
  <c r="I249" i="10"/>
  <c r="Q35" i="11" a="1"/>
  <c r="Q35" i="11" s="1"/>
  <c r="Q138" i="11" a="1"/>
  <c r="Q138" i="11" s="1"/>
  <c r="N144" i="10" s="1"/>
  <c r="I247" i="10"/>
  <c r="I239" i="10"/>
  <c r="I243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C14" i="10"/>
  <c r="B14" i="10"/>
  <c r="A145" i="10"/>
  <c r="B145" i="10" s="1"/>
  <c r="E16" i="7"/>
  <c r="I15" i="13"/>
  <c r="A15" i="10"/>
  <c r="AQ14" i="10"/>
  <c r="K14" i="10"/>
  <c r="CI14" i="10"/>
  <c r="CM14" i="10"/>
  <c r="F14" i="10"/>
  <c r="Q14" i="10"/>
  <c r="CT14" i="10"/>
  <c r="CG14" i="10"/>
  <c r="CC14" i="10"/>
  <c r="X14" i="10"/>
  <c r="AZ14" i="10"/>
  <c r="CB14" i="10"/>
  <c r="K205" i="10" a="1"/>
  <c r="K205" i="10" s="1"/>
  <c r="J14" i="10"/>
  <c r="E14" i="10"/>
  <c r="AN14" i="10"/>
  <c r="BW14" i="10"/>
  <c r="BD14" i="10"/>
  <c r="AI14" i="10"/>
  <c r="G14" i="10"/>
  <c r="AA14" i="10"/>
  <c r="CU14" i="10"/>
  <c r="CE14" i="10"/>
  <c r="AL14" i="10"/>
  <c r="AD14" i="10"/>
  <c r="BN14" i="10"/>
  <c r="AH14" i="10"/>
  <c r="BZ14" i="10"/>
  <c r="BJ14" i="10"/>
  <c r="AK14" i="10"/>
  <c r="CL14" i="10"/>
  <c r="M14" i="10"/>
  <c r="AY14" i="10"/>
  <c r="BX14" i="10"/>
  <c r="BC14" i="10"/>
  <c r="AV14" i="10"/>
  <c r="H14" i="10"/>
  <c r="T14" i="10"/>
  <c r="BG14" i="10"/>
  <c r="BL14" i="10"/>
  <c r="CV14" i="10"/>
  <c r="K223" i="10" a="1"/>
  <c r="K223" i="10" s="1"/>
  <c r="BB14" i="10"/>
  <c r="BF14" i="10"/>
  <c r="CQ14" i="10"/>
  <c r="CA14" i="10"/>
  <c r="BY14" i="10"/>
  <c r="Y14" i="10"/>
  <c r="BM14" i="10"/>
  <c r="P14" i="10"/>
  <c r="K75" i="10" a="1"/>
  <c r="K75" i="10" s="1"/>
  <c r="AU14" i="10"/>
  <c r="AE14" i="10"/>
  <c r="O14" i="10"/>
  <c r="BA14" i="10"/>
  <c r="Z14" i="10"/>
  <c r="CP14" i="10"/>
  <c r="I14" i="10"/>
  <c r="AR14" i="10"/>
  <c r="CN14" i="10"/>
  <c r="AX14" i="10"/>
  <c r="AM14" i="10"/>
  <c r="S14" i="10"/>
  <c r="BR14" i="10"/>
  <c r="BO14" i="10"/>
  <c r="BV14" i="10"/>
  <c r="AT14" i="10"/>
  <c r="BE14" i="10"/>
  <c r="R14" i="10"/>
  <c r="V14" i="10"/>
  <c r="BI14" i="10"/>
  <c r="AG14" i="10"/>
  <c r="CD14" i="10"/>
  <c r="BU14" i="10"/>
  <c r="AC14" i="10"/>
  <c r="CW14" i="10"/>
  <c r="CK14" i="10"/>
  <c r="CS14" i="10"/>
  <c r="BT14" i="10"/>
  <c r="AJ14" i="10"/>
  <c r="AF14" i="10"/>
  <c r="L14" i="10"/>
  <c r="BS14" i="10"/>
  <c r="CJ14" i="10"/>
  <c r="CF14" i="10"/>
  <c r="K241" i="10" a="1"/>
  <c r="K241" i="10" s="1"/>
  <c r="K93" i="10" a="1"/>
  <c r="K93" i="10" s="1"/>
  <c r="BQ14" i="10"/>
  <c r="W14" i="10"/>
  <c r="BK14" i="10"/>
  <c r="AP14" i="10"/>
  <c r="N14" i="10"/>
  <c r="CH14" i="10"/>
  <c r="AO14" i="10"/>
  <c r="U14" i="10"/>
  <c r="BH14" i="10"/>
  <c r="CO14" i="10"/>
  <c r="AB14" i="10"/>
  <c r="BP14" i="10"/>
  <c r="K111" i="10" a="1"/>
  <c r="K111" i="10" s="1"/>
  <c r="AW14" i="10"/>
  <c r="AS14" i="10"/>
  <c r="D14" i="10"/>
  <c r="CR14" i="10"/>
  <c r="I112" i="10"/>
  <c r="I91" i="10"/>
  <c r="J248" i="10" l="1"/>
  <c r="J244" i="10"/>
  <c r="J247" i="10"/>
  <c r="K206" i="10"/>
  <c r="K209" i="10"/>
  <c r="K227" i="10"/>
  <c r="K213" i="10"/>
  <c r="K233" i="10"/>
  <c r="K238" i="10"/>
  <c r="K220" i="10"/>
  <c r="K235" i="10"/>
  <c r="K208" i="10"/>
  <c r="K224" i="10"/>
  <c r="K207" i="10"/>
  <c r="K212" i="10"/>
  <c r="K237" i="10"/>
  <c r="K219" i="10"/>
  <c r="K236" i="10"/>
  <c r="K232" i="10"/>
  <c r="K231" i="10"/>
  <c r="K234" i="10"/>
  <c r="K216" i="10"/>
  <c r="K228" i="10"/>
  <c r="K226" i="10"/>
  <c r="K225" i="10"/>
  <c r="K211" i="10"/>
  <c r="K215" i="10"/>
  <c r="K217" i="10"/>
  <c r="K214" i="10"/>
  <c r="K210" i="10"/>
  <c r="K230" i="10"/>
  <c r="K218" i="10"/>
  <c r="K229" i="10"/>
  <c r="J252" i="10"/>
  <c r="J255" i="10"/>
  <c r="J246" i="10"/>
  <c r="J250" i="10"/>
  <c r="J239" i="10"/>
  <c r="CE144" i="10"/>
  <c r="E144" i="10"/>
  <c r="CL144" i="10"/>
  <c r="AB144" i="10"/>
  <c r="CW144" i="10"/>
  <c r="CU144" i="10"/>
  <c r="CC144" i="10"/>
  <c r="Q144" i="10"/>
  <c r="AN144" i="10"/>
  <c r="CA144" i="10"/>
  <c r="O144" i="10"/>
  <c r="AL144" i="10"/>
  <c r="BY144" i="10"/>
  <c r="M144" i="10"/>
  <c r="AZ144" i="10"/>
  <c r="CM144" i="10"/>
  <c r="AA144" i="10"/>
  <c r="BN144" i="10"/>
  <c r="CK144" i="10"/>
  <c r="Y144" i="10"/>
  <c r="BL144" i="10"/>
  <c r="CI144" i="10"/>
  <c r="W144" i="10"/>
  <c r="BJ144" i="10"/>
  <c r="R35" i="11" a="1"/>
  <c r="R35" i="11" s="1"/>
  <c r="R138" i="11" a="1"/>
  <c r="R138" i="11" s="1"/>
  <c r="AQ145" i="10" s="1"/>
  <c r="J253" i="10"/>
  <c r="CG144" i="10"/>
  <c r="S144" i="10"/>
  <c r="AR144" i="10"/>
  <c r="Z144" i="10"/>
  <c r="AY144" i="10"/>
  <c r="AK144" i="10"/>
  <c r="AI144" i="10"/>
  <c r="BM144" i="10"/>
  <c r="CJ144" i="10"/>
  <c r="X144" i="10"/>
  <c r="BK144" i="10"/>
  <c r="CH144" i="10"/>
  <c r="V144" i="10"/>
  <c r="BI144" i="10"/>
  <c r="CV144" i="10"/>
  <c r="AJ144" i="10"/>
  <c r="BW144" i="10"/>
  <c r="K144" i="10"/>
  <c r="AX144" i="10"/>
  <c r="BU144" i="10"/>
  <c r="I144" i="10"/>
  <c r="AV144" i="10"/>
  <c r="BS144" i="10"/>
  <c r="G144" i="10"/>
  <c r="AT144" i="10"/>
  <c r="I257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AP144" i="10"/>
  <c r="BH144" i="10"/>
  <c r="BO144" i="10"/>
  <c r="BA144" i="10"/>
  <c r="BV144" i="10"/>
  <c r="BX144" i="10"/>
  <c r="BF144" i="10"/>
  <c r="AW144" i="10"/>
  <c r="BT144" i="10"/>
  <c r="H144" i="10"/>
  <c r="AU144" i="10"/>
  <c r="BR144" i="10"/>
  <c r="F144" i="10"/>
  <c r="AS144" i="10"/>
  <c r="CF144" i="10"/>
  <c r="T144" i="10"/>
  <c r="BG144" i="10"/>
  <c r="CT144" i="10"/>
  <c r="AH144" i="10"/>
  <c r="BE144" i="10"/>
  <c r="CR144" i="10"/>
  <c r="AF144" i="10"/>
  <c r="BC144" i="10"/>
  <c r="CP144" i="10"/>
  <c r="AD144" i="10"/>
  <c r="J243" i="10"/>
  <c r="J249" i="10"/>
  <c r="J251" i="10"/>
  <c r="J221" i="10"/>
  <c r="J242" i="10"/>
  <c r="U144" i="10"/>
  <c r="BQ144" i="10"/>
  <c r="C144" i="10"/>
  <c r="CN144" i="10"/>
  <c r="J144" i="10"/>
  <c r="L144" i="10"/>
  <c r="CS144" i="10"/>
  <c r="AG144" i="10"/>
  <c r="BD144" i="10"/>
  <c r="CQ144" i="10"/>
  <c r="AE144" i="10"/>
  <c r="BB144" i="10"/>
  <c r="CO144" i="10"/>
  <c r="AC144" i="10"/>
  <c r="BP144" i="10"/>
  <c r="D144" i="10"/>
  <c r="AQ144" i="10"/>
  <c r="CD144" i="10"/>
  <c r="R144" i="10"/>
  <c r="AO144" i="10"/>
  <c r="CB144" i="10"/>
  <c r="P144" i="10"/>
  <c r="AM144" i="10"/>
  <c r="BZ144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21" i="10" s="1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C15" i="10"/>
  <c r="B15" i="10"/>
  <c r="AM15" i="10"/>
  <c r="BQ15" i="10"/>
  <c r="W15" i="10"/>
  <c r="BF15" i="10"/>
  <c r="BK15" i="10"/>
  <c r="Z15" i="10"/>
  <c r="AH15" i="10"/>
  <c r="BA15" i="10"/>
  <c r="N15" i="10"/>
  <c r="BI15" i="10"/>
  <c r="BN15" i="10"/>
  <c r="CP15" i="10"/>
  <c r="AW15" i="10"/>
  <c r="AG15" i="10"/>
  <c r="AV15" i="10"/>
  <c r="U15" i="10"/>
  <c r="CS15" i="10"/>
  <c r="H15" i="10"/>
  <c r="CJ15" i="10"/>
  <c r="AR15" i="10"/>
  <c r="BS15" i="10"/>
  <c r="CF15" i="10"/>
  <c r="BC15" i="10"/>
  <c r="T15" i="10"/>
  <c r="L223" i="10" a="1"/>
  <c r="L223" i="10" s="1"/>
  <c r="L75" i="10" a="1"/>
  <c r="L75" i="10" s="1"/>
  <c r="BW15" i="10"/>
  <c r="CB15" i="10"/>
  <c r="BD15" i="10"/>
  <c r="AI15" i="10"/>
  <c r="S15" i="10"/>
  <c r="O15" i="10"/>
  <c r="CU15" i="10"/>
  <c r="CQ15" i="10"/>
  <c r="CI15" i="10"/>
  <c r="AT15" i="10"/>
  <c r="AD15" i="10"/>
  <c r="BY15" i="10"/>
  <c r="CD15" i="10"/>
  <c r="CL15" i="10"/>
  <c r="AS15" i="10"/>
  <c r="AC15" i="10"/>
  <c r="Q15" i="10"/>
  <c r="I15" i="10"/>
  <c r="AJ15" i="10"/>
  <c r="D15" i="10"/>
  <c r="CO15" i="10"/>
  <c r="AB15" i="10"/>
  <c r="BP15" i="10"/>
  <c r="BM15" i="10"/>
  <c r="CW15" i="10"/>
  <c r="BG15" i="10"/>
  <c r="L111" i="10" a="1"/>
  <c r="L111" i="10" s="1"/>
  <c r="AX15" i="10"/>
  <c r="AQ15" i="10"/>
  <c r="G15" i="10"/>
  <c r="BO15" i="10"/>
  <c r="CE15" i="10"/>
  <c r="R15" i="10"/>
  <c r="BU15" i="10"/>
  <c r="AO15" i="10"/>
  <c r="BH15" i="10"/>
  <c r="M15" i="10"/>
  <c r="CC15" i="10"/>
  <c r="CV15" i="10"/>
  <c r="CG15" i="10"/>
  <c r="L241" i="10" a="1"/>
  <c r="L241" i="10" s="1"/>
  <c r="L93" i="10" a="1"/>
  <c r="L93" i="10" s="1"/>
  <c r="AE15" i="10"/>
  <c r="BV15" i="10"/>
  <c r="AP15" i="10"/>
  <c r="AL15" i="10"/>
  <c r="CT15" i="10"/>
  <c r="CH15" i="10"/>
  <c r="Y15" i="10"/>
  <c r="AF15" i="10"/>
  <c r="BL15" i="10"/>
  <c r="P15" i="10"/>
  <c r="CK15" i="10"/>
  <c r="L205" i="10" a="1"/>
  <c r="L205" i="10" s="1"/>
  <c r="BB15" i="10"/>
  <c r="AU15" i="10"/>
  <c r="AA15" i="10"/>
  <c r="K15" i="10"/>
  <c r="BR15" i="10"/>
  <c r="CA15" i="10"/>
  <c r="CM15" i="10"/>
  <c r="BE15" i="10"/>
  <c r="V15" i="10"/>
  <c r="F15" i="10"/>
  <c r="J15" i="10"/>
  <c r="BJ15" i="10"/>
  <c r="BZ15" i="10"/>
  <c r="AK15" i="10"/>
  <c r="BT15" i="10"/>
  <c r="BX15" i="10"/>
  <c r="E15" i="10"/>
  <c r="X15" i="10"/>
  <c r="CR15" i="10"/>
  <c r="AY15" i="10"/>
  <c r="L15" i="10"/>
  <c r="CN15" i="10"/>
  <c r="AZ15" i="10"/>
  <c r="AN15" i="10"/>
  <c r="J112" i="10"/>
  <c r="J91" i="10"/>
  <c r="A146" i="10"/>
  <c r="B146" i="10" s="1"/>
  <c r="A16" i="10"/>
  <c r="I16" i="13"/>
  <c r="E17" i="7"/>
  <c r="K253" i="10" l="1"/>
  <c r="K113" i="10"/>
  <c r="K250" i="10"/>
  <c r="K251" i="10"/>
  <c r="K246" i="10"/>
  <c r="K254" i="10"/>
  <c r="K252" i="10"/>
  <c r="K256" i="10"/>
  <c r="S35" i="11" a="1"/>
  <c r="S35" i="11" s="1"/>
  <c r="S138" i="11" a="1"/>
  <c r="S138" i="11" s="1"/>
  <c r="CK145" i="10"/>
  <c r="G145" i="10"/>
  <c r="I145" i="10"/>
  <c r="CD145" i="10"/>
  <c r="P145" i="10"/>
  <c r="BL145" i="10"/>
  <c r="BZ145" i="10"/>
  <c r="N145" i="10"/>
  <c r="BA145" i="10"/>
  <c r="CN145" i="10"/>
  <c r="AB145" i="10"/>
  <c r="BO145" i="10"/>
  <c r="C145" i="10"/>
  <c r="AP145" i="10"/>
  <c r="CC145" i="10"/>
  <c r="Q145" i="10"/>
  <c r="AN145" i="10"/>
  <c r="CA145" i="10"/>
  <c r="O145" i="10"/>
  <c r="AL145" i="10"/>
  <c r="BY145" i="10"/>
  <c r="M145" i="10"/>
  <c r="AZ145" i="10"/>
  <c r="CM145" i="10"/>
  <c r="AA145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Y145" i="10"/>
  <c r="CT145" i="10"/>
  <c r="CR145" i="10"/>
  <c r="R145" i="10"/>
  <c r="AM145" i="10"/>
  <c r="CI145" i="10"/>
  <c r="BJ145" i="10"/>
  <c r="CW145" i="10"/>
  <c r="AK145" i="10"/>
  <c r="BX145" i="10"/>
  <c r="L145" i="10"/>
  <c r="AY145" i="10"/>
  <c r="CL145" i="10"/>
  <c r="Z145" i="10"/>
  <c r="BM145" i="10"/>
  <c r="CJ145" i="10"/>
  <c r="X145" i="10"/>
  <c r="BK145" i="10"/>
  <c r="CH145" i="10"/>
  <c r="V145" i="10"/>
  <c r="BI145" i="10"/>
  <c r="CV145" i="10"/>
  <c r="AJ145" i="10"/>
  <c r="BW145" i="10"/>
  <c r="K145" i="10"/>
  <c r="K247" i="10"/>
  <c r="K243" i="10"/>
  <c r="H146" i="10"/>
  <c r="X146" i="10"/>
  <c r="AN146" i="10"/>
  <c r="BD146" i="10"/>
  <c r="BT146" i="10"/>
  <c r="CJ146" i="10"/>
  <c r="Q146" i="10"/>
  <c r="AG146" i="10"/>
  <c r="AW146" i="10"/>
  <c r="BM146" i="10"/>
  <c r="CC146" i="10"/>
  <c r="CS146" i="10"/>
  <c r="J146" i="10"/>
  <c r="Z146" i="10"/>
  <c r="AP146" i="10"/>
  <c r="BF146" i="10"/>
  <c r="BV146" i="10"/>
  <c r="CL146" i="10"/>
  <c r="C146" i="10"/>
  <c r="S146" i="10"/>
  <c r="AI146" i="10"/>
  <c r="L146" i="10"/>
  <c r="AB146" i="10"/>
  <c r="AR146" i="10"/>
  <c r="BH146" i="10"/>
  <c r="BX146" i="10"/>
  <c r="CN146" i="10"/>
  <c r="E146" i="10"/>
  <c r="U146" i="10"/>
  <c r="AK146" i="10"/>
  <c r="BA146" i="10"/>
  <c r="BQ146" i="10"/>
  <c r="CG146" i="10"/>
  <c r="CW146" i="10"/>
  <c r="N146" i="10"/>
  <c r="AD146" i="10"/>
  <c r="AT146" i="10"/>
  <c r="BJ146" i="10"/>
  <c r="BZ146" i="10"/>
  <c r="CP146" i="10"/>
  <c r="G146" i="10"/>
  <c r="W146" i="10"/>
  <c r="P146" i="10"/>
  <c r="AF146" i="10"/>
  <c r="AV146" i="10"/>
  <c r="BL146" i="10"/>
  <c r="CB146" i="10"/>
  <c r="CR146" i="10"/>
  <c r="I146" i="10"/>
  <c r="Y146" i="10"/>
  <c r="AO146" i="10"/>
  <c r="BE146" i="10"/>
  <c r="BU146" i="10"/>
  <c r="CK146" i="10"/>
  <c r="R146" i="10"/>
  <c r="AH146" i="10"/>
  <c r="AX146" i="10"/>
  <c r="BN146" i="10"/>
  <c r="CD146" i="10"/>
  <c r="CT146" i="10"/>
  <c r="K146" i="10"/>
  <c r="AZ146" i="10"/>
  <c r="AC146" i="10"/>
  <c r="CO146" i="10"/>
  <c r="F146" i="10"/>
  <c r="BR146" i="10"/>
  <c r="AA146" i="10"/>
  <c r="AU146" i="10"/>
  <c r="BK146" i="10"/>
  <c r="CA146" i="10"/>
  <c r="CQ146" i="10"/>
  <c r="D146" i="10"/>
  <c r="BP146" i="10"/>
  <c r="AS146" i="10"/>
  <c r="V146" i="10"/>
  <c r="CH146" i="10"/>
  <c r="AE146" i="10"/>
  <c r="AY146" i="10"/>
  <c r="BO146" i="10"/>
  <c r="CE146" i="10"/>
  <c r="CU146" i="10"/>
  <c r="T146" i="10"/>
  <c r="CF146" i="10"/>
  <c r="BI146" i="10"/>
  <c r="AL146" i="10"/>
  <c r="AM146" i="10"/>
  <c r="BC146" i="10"/>
  <c r="BS146" i="10"/>
  <c r="CI146" i="10"/>
  <c r="M146" i="10"/>
  <c r="BW146" i="10"/>
  <c r="BY146" i="10"/>
  <c r="O146" i="10"/>
  <c r="CM146" i="10"/>
  <c r="AJ146" i="10"/>
  <c r="AQ146" i="10"/>
  <c r="CV146" i="10"/>
  <c r="BG146" i="10"/>
  <c r="BB146" i="10"/>
  <c r="BS145" i="10"/>
  <c r="AH145" i="10"/>
  <c r="AF145" i="10"/>
  <c r="BE145" i="10"/>
  <c r="BN145" i="10"/>
  <c r="W145" i="10"/>
  <c r="AT145" i="10"/>
  <c r="CG145" i="10"/>
  <c r="U145" i="10"/>
  <c r="BH145" i="10"/>
  <c r="CU145" i="10"/>
  <c r="AI145" i="10"/>
  <c r="BV145" i="10"/>
  <c r="J145" i="10"/>
  <c r="AW145" i="10"/>
  <c r="BT145" i="10"/>
  <c r="H145" i="10"/>
  <c r="AU145" i="10"/>
  <c r="BR145" i="10"/>
  <c r="F145" i="10"/>
  <c r="AS145" i="10"/>
  <c r="CF145" i="10"/>
  <c r="T145" i="10"/>
  <c r="BG145" i="10"/>
  <c r="K255" i="10"/>
  <c r="K239" i="10"/>
  <c r="K245" i="10"/>
  <c r="L230" i="10"/>
  <c r="L212" i="10"/>
  <c r="L236" i="10"/>
  <c r="L216" i="10"/>
  <c r="L208" i="10"/>
  <c r="L225" i="10"/>
  <c r="L207" i="10"/>
  <c r="L219" i="10"/>
  <c r="L218" i="10"/>
  <c r="L214" i="10"/>
  <c r="L234" i="10"/>
  <c r="L233" i="10"/>
  <c r="L215" i="10"/>
  <c r="L238" i="10"/>
  <c r="L210" i="10"/>
  <c r="L209" i="10"/>
  <c r="L220" i="10"/>
  <c r="L235" i="10"/>
  <c r="L227" i="10"/>
  <c r="L224" i="10"/>
  <c r="L237" i="10"/>
  <c r="L232" i="10"/>
  <c r="L228" i="10"/>
  <c r="L229" i="10"/>
  <c r="L226" i="10"/>
  <c r="L206" i="10"/>
  <c r="L231" i="10"/>
  <c r="L217" i="10"/>
  <c r="L211" i="10"/>
  <c r="L213" i="10"/>
  <c r="J257" i="10"/>
  <c r="AV145" i="10"/>
  <c r="AX145" i="10"/>
  <c r="BU145" i="10"/>
  <c r="BC145" i="10"/>
  <c r="CB145" i="10"/>
  <c r="AO145" i="10"/>
  <c r="CP145" i="10"/>
  <c r="AD145" i="10"/>
  <c r="BQ145" i="10"/>
  <c r="E145" i="10"/>
  <c r="AR145" i="10"/>
  <c r="CE145" i="10"/>
  <c r="S145" i="10"/>
  <c r="BF145" i="10"/>
  <c r="CS145" i="10"/>
  <c r="AG145" i="10"/>
  <c r="BD145" i="10"/>
  <c r="CQ145" i="10"/>
  <c r="AE145" i="10"/>
  <c r="BB145" i="10"/>
  <c r="CO145" i="10"/>
  <c r="AC145" i="10"/>
  <c r="BP145" i="10"/>
  <c r="D145" i="10"/>
  <c r="K244" i="10"/>
  <c r="K221" i="10"/>
  <c r="K242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C16" i="10"/>
  <c r="B16" i="10"/>
  <c r="A147" i="10"/>
  <c r="B147" i="10" s="1"/>
  <c r="E18" i="7"/>
  <c r="I17" i="13"/>
  <c r="A17" i="10"/>
  <c r="AU16" i="10"/>
  <c r="AE16" i="10"/>
  <c r="AA16" i="10"/>
  <c r="S16" i="10"/>
  <c r="BK16" i="10"/>
  <c r="AP16" i="10"/>
  <c r="Z16" i="10"/>
  <c r="CE16" i="10"/>
  <c r="CU16" i="10"/>
  <c r="BU16" i="10"/>
  <c r="J16" i="10"/>
  <c r="CH16" i="10"/>
  <c r="AS16" i="10"/>
  <c r="AC16" i="10"/>
  <c r="BH16" i="10"/>
  <c r="BM16" i="10"/>
  <c r="CK16" i="10"/>
  <c r="BT16" i="10"/>
  <c r="AB16" i="10"/>
  <c r="BP16" i="10"/>
  <c r="BC16" i="10"/>
  <c r="AV16" i="10"/>
  <c r="P16" i="10"/>
  <c r="CJ16" i="10"/>
  <c r="M241" i="10" a="1"/>
  <c r="M241" i="10" s="1"/>
  <c r="M93" i="10" a="1"/>
  <c r="M93" i="10" s="1"/>
  <c r="CQ16" i="10"/>
  <c r="V16" i="10"/>
  <c r="BN16" i="10"/>
  <c r="AO16" i="10"/>
  <c r="BX16" i="10"/>
  <c r="AZ16" i="10"/>
  <c r="AY16" i="10"/>
  <c r="H16" i="10"/>
  <c r="M111" i="10" a="1"/>
  <c r="M111" i="10" s="1"/>
  <c r="AX16" i="10"/>
  <c r="BQ16" i="10"/>
  <c r="AQ16" i="10"/>
  <c r="BR16" i="10"/>
  <c r="BF16" i="10"/>
  <c r="BV16" i="10"/>
  <c r="AH16" i="10"/>
  <c r="AT16" i="10"/>
  <c r="BE16" i="10"/>
  <c r="BI16" i="10"/>
  <c r="R16" i="10"/>
  <c r="CT16" i="10"/>
  <c r="BZ16" i="10"/>
  <c r="AK16" i="10"/>
  <c r="CP16" i="10"/>
  <c r="U16" i="10"/>
  <c r="CS16" i="10"/>
  <c r="M16" i="10"/>
  <c r="CC16" i="10"/>
  <c r="BG16" i="10"/>
  <c r="CF16" i="10"/>
  <c r="AN16" i="10"/>
  <c r="AF16" i="10"/>
  <c r="BL16" i="10"/>
  <c r="D16" i="10"/>
  <c r="M205" i="10" a="1"/>
  <c r="M205" i="10" s="1"/>
  <c r="Q16" i="10"/>
  <c r="CO16" i="10"/>
  <c r="E16" i="10"/>
  <c r="BS16" i="10"/>
  <c r="BW16" i="10"/>
  <c r="X16" i="10"/>
  <c r="CB16" i="10"/>
  <c r="M75" i="10" a="1"/>
  <c r="M75" i="10" s="1"/>
  <c r="W16" i="10"/>
  <c r="K16" i="10"/>
  <c r="AL16" i="10"/>
  <c r="BJ16" i="10"/>
  <c r="CD16" i="10"/>
  <c r="Y16" i="10"/>
  <c r="CG16" i="10"/>
  <c r="L16" i="10"/>
  <c r="AJ16" i="10"/>
  <c r="M223" i="10" a="1"/>
  <c r="M223" i="10" s="1"/>
  <c r="BD16" i="10"/>
  <c r="BB16" i="10"/>
  <c r="AI16" i="10"/>
  <c r="O16" i="10"/>
  <c r="CM16" i="10"/>
  <c r="BO16" i="10"/>
  <c r="AD16" i="10"/>
  <c r="CI16" i="10"/>
  <c r="BA16" i="10"/>
  <c r="BY16" i="10"/>
  <c r="N16" i="10"/>
  <c r="CL16" i="10"/>
  <c r="AW16" i="10"/>
  <c r="AG16" i="10"/>
  <c r="I16" i="10"/>
  <c r="AR16" i="10"/>
  <c r="T16" i="10"/>
  <c r="CR16" i="10"/>
  <c r="AM16" i="10"/>
  <c r="G16" i="10"/>
  <c r="CA16" i="10"/>
  <c r="F16" i="10"/>
  <c r="CW16" i="10"/>
  <c r="CN16" i="10"/>
  <c r="CV16" i="10"/>
  <c r="K112" i="10"/>
  <c r="K91" i="10"/>
  <c r="L243" i="10" l="1"/>
  <c r="L256" i="10"/>
  <c r="L253" i="10"/>
  <c r="L255" i="10"/>
  <c r="L247" i="10"/>
  <c r="L251" i="10"/>
  <c r="L254" i="10"/>
  <c r="L24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4" i="10"/>
  <c r="M209" i="10"/>
  <c r="M227" i="10"/>
  <c r="M225" i="10"/>
  <c r="M212" i="10"/>
  <c r="M237" i="10"/>
  <c r="M232" i="10"/>
  <c r="M231" i="10"/>
  <c r="M216" i="10"/>
  <c r="M233" i="10"/>
  <c r="M228" i="10"/>
  <c r="M210" i="10"/>
  <c r="M219" i="10"/>
  <c r="M236" i="10"/>
  <c r="M22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39" i="10"/>
  <c r="L245" i="10"/>
  <c r="L252" i="10"/>
  <c r="T35" i="11" a="1"/>
  <c r="T35" i="11" s="1"/>
  <c r="T138" i="11" a="1"/>
  <c r="T138" i="11" s="1"/>
  <c r="U147" i="10" s="1"/>
  <c r="L246" i="10"/>
  <c r="K257" i="10"/>
  <c r="L249" i="10"/>
  <c r="L221" i="10"/>
  <c r="L242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C17" i="10"/>
  <c r="B17" i="10"/>
  <c r="L91" i="10"/>
  <c r="L112" i="10"/>
  <c r="K17" i="10"/>
  <c r="CI17" i="10"/>
  <c r="V17" i="10"/>
  <c r="M17" i="10"/>
  <c r="I17" i="10"/>
  <c r="BX17" i="10"/>
  <c r="T17" i="10"/>
  <c r="CB17" i="10"/>
  <c r="BL17" i="10"/>
  <c r="BQ17" i="10"/>
  <c r="AI17" i="10"/>
  <c r="W17" i="10"/>
  <c r="BR17" i="10"/>
  <c r="BF17" i="10"/>
  <c r="CE17" i="10"/>
  <c r="CA17" i="10"/>
  <c r="AH17" i="10"/>
  <c r="BI17" i="10"/>
  <c r="CP17" i="10"/>
  <c r="F17" i="10"/>
  <c r="BZ17" i="10"/>
  <c r="AK17" i="10"/>
  <c r="CD17" i="10"/>
  <c r="BM17" i="10"/>
  <c r="CK17" i="10"/>
  <c r="Y17" i="10"/>
  <c r="Q17" i="10"/>
  <c r="BW17" i="10"/>
  <c r="AN17" i="10"/>
  <c r="BP17" i="10"/>
  <c r="N75" i="10" a="1"/>
  <c r="N75" i="10" s="1"/>
  <c r="BD17" i="10"/>
  <c r="AX17" i="10"/>
  <c r="AE17" i="10"/>
  <c r="S17" i="10"/>
  <c r="BV17" i="10"/>
  <c r="BO17" i="10"/>
  <c r="BE17" i="10"/>
  <c r="AT17" i="10"/>
  <c r="AD17" i="10"/>
  <c r="BU17" i="10"/>
  <c r="J17" i="10"/>
  <c r="BY17" i="10"/>
  <c r="AW17" i="10"/>
  <c r="AG17" i="10"/>
  <c r="BN17" i="10"/>
  <c r="CW17" i="10"/>
  <c r="CG17" i="10"/>
  <c r="E17" i="10"/>
  <c r="BT17" i="10"/>
  <c r="CV17" i="10"/>
  <c r="AJ17" i="10"/>
  <c r="H17" i="10"/>
  <c r="BG17" i="10"/>
  <c r="CN17" i="10"/>
  <c r="CR17" i="10"/>
  <c r="N241" i="10" a="1"/>
  <c r="N241" i="10" s="1"/>
  <c r="AU17" i="10"/>
  <c r="G17" i="10"/>
  <c r="CQ17" i="10"/>
  <c r="CT17" i="10"/>
  <c r="AO17" i="10"/>
  <c r="AY17" i="10"/>
  <c r="AR17" i="10"/>
  <c r="D17" i="10"/>
  <c r="N93" i="10" a="1"/>
  <c r="N93" i="10" s="1"/>
  <c r="P17" i="10"/>
  <c r="BB17" i="10"/>
  <c r="AM17" i="10"/>
  <c r="AA17" i="10"/>
  <c r="O17" i="10"/>
  <c r="BK17" i="10"/>
  <c r="CU17" i="10"/>
  <c r="BA17" i="10"/>
  <c r="AP17" i="10"/>
  <c r="Z17" i="10"/>
  <c r="BJ17" i="10"/>
  <c r="R17" i="10"/>
  <c r="CL17" i="10"/>
  <c r="AS17" i="10"/>
  <c r="AC17" i="10"/>
  <c r="U17" i="10"/>
  <c r="CS17" i="10"/>
  <c r="CC17" i="10"/>
  <c r="BH17" i="10"/>
  <c r="BC17" i="10"/>
  <c r="AV17" i="10"/>
  <c r="X17" i="10"/>
  <c r="AF17" i="10"/>
  <c r="BS17" i="10"/>
  <c r="CF17" i="10"/>
  <c r="CJ17" i="10"/>
  <c r="N223" i="10" a="1"/>
  <c r="N223" i="10" s="1"/>
  <c r="N111" i="10" a="1"/>
  <c r="N111" i="10" s="1"/>
  <c r="AQ17" i="10"/>
  <c r="CM17" i="10"/>
  <c r="AL17" i="10"/>
  <c r="N17" i="10"/>
  <c r="CH17" i="10"/>
  <c r="CO17" i="10"/>
  <c r="AZ17" i="10"/>
  <c r="AB17" i="10"/>
  <c r="N205" i="10" a="1"/>
  <c r="N205" i="10" s="1"/>
  <c r="L17" i="10"/>
  <c r="A18" i="10"/>
  <c r="A148" i="10"/>
  <c r="B148" i="10" s="1"/>
  <c r="E19" i="7"/>
  <c r="I18" i="13"/>
  <c r="M122" i="10" l="1"/>
  <c r="M125" i="10"/>
  <c r="M126" i="10"/>
  <c r="X147" i="10"/>
  <c r="M124" i="10"/>
  <c r="M243" i="10"/>
  <c r="M255" i="10"/>
  <c r="M250" i="10"/>
  <c r="M244" i="10"/>
  <c r="M246" i="10"/>
  <c r="M253" i="10"/>
  <c r="M251" i="10"/>
  <c r="M245" i="10"/>
  <c r="CJ147" i="10"/>
  <c r="M256" i="10"/>
  <c r="AP147" i="10"/>
  <c r="M254" i="10"/>
  <c r="BD147" i="10"/>
  <c r="L257" i="10"/>
  <c r="BT147" i="10"/>
  <c r="CE147" i="10"/>
  <c r="CV147" i="10"/>
  <c r="AJ147" i="10"/>
  <c r="C147" i="10"/>
  <c r="CR147" i="10"/>
  <c r="AF147" i="10"/>
  <c r="J147" i="10"/>
  <c r="BX147" i="10"/>
  <c r="L147" i="10"/>
  <c r="CC147" i="10"/>
  <c r="BK147" i="10"/>
  <c r="CH147" i="10"/>
  <c r="V147" i="10"/>
  <c r="BI147" i="10"/>
  <c r="CM147" i="10"/>
  <c r="AA147" i="10"/>
  <c r="BN147" i="10"/>
  <c r="CK147" i="10"/>
  <c r="Y147" i="10"/>
  <c r="BC147" i="10"/>
  <c r="CP147" i="10"/>
  <c r="AD147" i="10"/>
  <c r="BQ147" i="10"/>
  <c r="E147" i="10"/>
  <c r="M247" i="10"/>
  <c r="U35" i="11" a="1"/>
  <c r="U35" i="11" s="1"/>
  <c r="U138" i="11" a="1"/>
  <c r="U138" i="11" s="1"/>
  <c r="H147" i="10"/>
  <c r="AN147" i="10"/>
  <c r="CF147" i="10"/>
  <c r="T147" i="10"/>
  <c r="CL147" i="10"/>
  <c r="CB147" i="10"/>
  <c r="P147" i="10"/>
  <c r="CS147" i="10"/>
  <c r="BH147" i="10"/>
  <c r="CU147" i="10"/>
  <c r="Q147" i="10"/>
  <c r="AU147" i="10"/>
  <c r="BR147" i="10"/>
  <c r="F147" i="10"/>
  <c r="AS147" i="10"/>
  <c r="BW147" i="10"/>
  <c r="K147" i="10"/>
  <c r="AX147" i="10"/>
  <c r="BU147" i="10"/>
  <c r="I147" i="10"/>
  <c r="AM147" i="10"/>
  <c r="BZ147" i="10"/>
  <c r="N147" i="10"/>
  <c r="BA147" i="10"/>
  <c r="N209" i="10"/>
  <c r="N207" i="10"/>
  <c r="N225" i="10"/>
  <c r="N212" i="10"/>
  <c r="N216" i="10"/>
  <c r="N233" i="10"/>
  <c r="N238" i="10"/>
  <c r="N235" i="10"/>
  <c r="N224" i="10"/>
  <c r="N206" i="10"/>
  <c r="N218" i="10"/>
  <c r="N232" i="10"/>
  <c r="N214" i="10"/>
  <c r="N226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S147" i="10"/>
  <c r="BP147" i="10"/>
  <c r="D147" i="10"/>
  <c r="Z147" i="10"/>
  <c r="BL147" i="10"/>
  <c r="AY147" i="10"/>
  <c r="AG147" i="10"/>
  <c r="AR147" i="10"/>
  <c r="AI147" i="10"/>
  <c r="CQ147" i="10"/>
  <c r="AE147" i="10"/>
  <c r="BB147" i="10"/>
  <c r="CO147" i="10"/>
  <c r="AC147" i="10"/>
  <c r="BG147" i="10"/>
  <c r="CT147" i="10"/>
  <c r="AH147" i="10"/>
  <c r="BE147" i="10"/>
  <c r="CI147" i="10"/>
  <c r="W147" i="10"/>
  <c r="BJ147" i="10"/>
  <c r="CW147" i="10"/>
  <c r="AK147" i="10"/>
  <c r="M242" i="10"/>
  <c r="M221" i="10"/>
  <c r="M252" i="10"/>
  <c r="M248" i="10"/>
  <c r="M239" i="10"/>
  <c r="R148" i="10"/>
  <c r="AH148" i="10"/>
  <c r="AX148" i="10"/>
  <c r="BN148" i="10"/>
  <c r="CD148" i="10"/>
  <c r="CT148" i="10"/>
  <c r="K148" i="10"/>
  <c r="AA148" i="10"/>
  <c r="AQ148" i="10"/>
  <c r="BG148" i="10"/>
  <c r="BW148" i="10"/>
  <c r="CM148" i="10"/>
  <c r="D148" i="10"/>
  <c r="T148" i="10"/>
  <c r="AJ148" i="10"/>
  <c r="AZ148" i="10"/>
  <c r="BP148" i="10"/>
  <c r="CF148" i="10"/>
  <c r="CV148" i="10"/>
  <c r="F148" i="10"/>
  <c r="V148" i="10"/>
  <c r="AL148" i="10"/>
  <c r="BB148" i="10"/>
  <c r="BR148" i="10"/>
  <c r="CH148" i="10"/>
  <c r="O148" i="10"/>
  <c r="AE148" i="10"/>
  <c r="AU148" i="10"/>
  <c r="BK148" i="10"/>
  <c r="CA148" i="10"/>
  <c r="CQ148" i="10"/>
  <c r="H148" i="10"/>
  <c r="X148" i="10"/>
  <c r="AN148" i="10"/>
  <c r="BD148" i="10"/>
  <c r="BT148" i="10"/>
  <c r="CJ148" i="10"/>
  <c r="J148" i="10"/>
  <c r="Z148" i="10"/>
  <c r="AP148" i="10"/>
  <c r="BF148" i="10"/>
  <c r="BV148" i="10"/>
  <c r="CL148" i="10"/>
  <c r="C148" i="10"/>
  <c r="S148" i="10"/>
  <c r="AI148" i="10"/>
  <c r="AY148" i="10"/>
  <c r="BO148" i="10"/>
  <c r="CE148" i="10"/>
  <c r="CU148" i="10"/>
  <c r="L148" i="10"/>
  <c r="AB148" i="10"/>
  <c r="AR148" i="10"/>
  <c r="BH148" i="10"/>
  <c r="BX148" i="10"/>
  <c r="CN148" i="10"/>
  <c r="AT148" i="10"/>
  <c r="W148" i="10"/>
  <c r="CI148" i="10"/>
  <c r="BL148" i="10"/>
  <c r="I148" i="10"/>
  <c r="Y148" i="10"/>
  <c r="AO148" i="10"/>
  <c r="BE148" i="10"/>
  <c r="BU148" i="10"/>
  <c r="CK148" i="10"/>
  <c r="BJ148" i="10"/>
  <c r="AM148" i="10"/>
  <c r="P148" i="10"/>
  <c r="CB148" i="10"/>
  <c r="M148" i="10"/>
  <c r="AC148" i="10"/>
  <c r="AS148" i="10"/>
  <c r="BI148" i="10"/>
  <c r="BY148" i="10"/>
  <c r="CO148" i="10"/>
  <c r="N148" i="10"/>
  <c r="BZ148" i="10"/>
  <c r="BC148" i="10"/>
  <c r="AF148" i="10"/>
  <c r="CR148" i="10"/>
  <c r="Q148" i="10"/>
  <c r="AG148" i="10"/>
  <c r="AW148" i="10"/>
  <c r="BM148" i="10"/>
  <c r="CC148" i="10"/>
  <c r="CS148" i="10"/>
  <c r="BS148" i="10"/>
  <c r="E148" i="10"/>
  <c r="BQ148" i="10"/>
  <c r="AD148" i="10"/>
  <c r="U148" i="10"/>
  <c r="CG148" i="10"/>
  <c r="CP148" i="10"/>
  <c r="AV148" i="10"/>
  <c r="AK148" i="10"/>
  <c r="CW148" i="10"/>
  <c r="G148" i="10"/>
  <c r="BA148" i="10"/>
  <c r="BM147" i="10"/>
  <c r="AZ147" i="10"/>
  <c r="BO147" i="10"/>
  <c r="AW147" i="10"/>
  <c r="AV147" i="10"/>
  <c r="BV147" i="10"/>
  <c r="CN147" i="10"/>
  <c r="AB147" i="10"/>
  <c r="BF147" i="10"/>
  <c r="CA147" i="10"/>
  <c r="O147" i="10"/>
  <c r="AL147" i="10"/>
  <c r="BY147" i="10"/>
  <c r="M147" i="10"/>
  <c r="AQ147" i="10"/>
  <c r="CD147" i="10"/>
  <c r="R147" i="10"/>
  <c r="AO147" i="10"/>
  <c r="BS147" i="10"/>
  <c r="G147" i="10"/>
  <c r="AT147" i="10"/>
  <c r="CG147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C18" i="10"/>
  <c r="B18" i="10"/>
  <c r="BD18" i="10"/>
  <c r="AI18" i="10"/>
  <c r="AM18" i="10"/>
  <c r="K18" i="10"/>
  <c r="G18" i="10"/>
  <c r="AT18" i="10"/>
  <c r="AH18" i="10"/>
  <c r="CA18" i="10"/>
  <c r="CP18" i="10"/>
  <c r="F18" i="10"/>
  <c r="BN18" i="10"/>
  <c r="AK18" i="10"/>
  <c r="CH18" i="10"/>
  <c r="AC18" i="10"/>
  <c r="Y18" i="10"/>
  <c r="BX18" i="10"/>
  <c r="I18" i="10"/>
  <c r="D18" i="10"/>
  <c r="CF18" i="10"/>
  <c r="AJ18" i="10"/>
  <c r="BS18" i="10"/>
  <c r="AN18" i="10"/>
  <c r="L18" i="10"/>
  <c r="AY18" i="10"/>
  <c r="O205" i="10" a="1"/>
  <c r="O205" i="10" s="1"/>
  <c r="AX18" i="10"/>
  <c r="AE18" i="10"/>
  <c r="O18" i="10"/>
  <c r="BV18" i="10"/>
  <c r="BR18" i="10"/>
  <c r="CQ18" i="10"/>
  <c r="AD18" i="10"/>
  <c r="BE18" i="10"/>
  <c r="Z18" i="10"/>
  <c r="BI18" i="10"/>
  <c r="BJ18" i="10"/>
  <c r="U18" i="10"/>
  <c r="BZ18" i="10"/>
  <c r="CD18" i="10"/>
  <c r="AZ18" i="10"/>
  <c r="CS18" i="10"/>
  <c r="X18" i="10"/>
  <c r="BL18" i="10"/>
  <c r="O75" i="10" a="1"/>
  <c r="O75" i="10" s="1"/>
  <c r="AQ18" i="10"/>
  <c r="BQ18" i="10"/>
  <c r="AA18" i="10"/>
  <c r="S18" i="10"/>
  <c r="BO18" i="10"/>
  <c r="CM18" i="10"/>
  <c r="AP18" i="10"/>
  <c r="CI18" i="10"/>
  <c r="BA18" i="10"/>
  <c r="R18" i="10"/>
  <c r="BY18" i="10"/>
  <c r="CT18" i="10"/>
  <c r="M18" i="10"/>
  <c r="AS18" i="10"/>
  <c r="AW18" i="10"/>
  <c r="E18" i="10"/>
  <c r="BT18" i="10"/>
  <c r="AR18" i="10"/>
  <c r="CV18" i="10"/>
  <c r="CG18" i="10"/>
  <c r="H18" i="10"/>
  <c r="CR18" i="10"/>
  <c r="T18" i="10"/>
  <c r="CK18" i="10"/>
  <c r="BW18" i="10"/>
  <c r="O223" i="10" a="1"/>
  <c r="O223" i="10" s="1"/>
  <c r="O93" i="10" a="1"/>
  <c r="O93" i="10" s="1"/>
  <c r="W18" i="10"/>
  <c r="CU18" i="10"/>
  <c r="AL18" i="10"/>
  <c r="J18" i="10"/>
  <c r="BU18" i="10"/>
  <c r="V18" i="10"/>
  <c r="AG18" i="10"/>
  <c r="BH18" i="10"/>
  <c r="CO18" i="10"/>
  <c r="CN18" i="10"/>
  <c r="BG18" i="10"/>
  <c r="CJ18" i="10"/>
  <c r="CC18" i="10"/>
  <c r="CB18" i="10"/>
  <c r="O241" i="10" a="1"/>
  <c r="O241" i="10" s="1"/>
  <c r="O111" i="10" a="1"/>
  <c r="O111" i="10" s="1"/>
  <c r="Q18" i="10"/>
  <c r="CW18" i="10"/>
  <c r="AB18" i="10"/>
  <c r="AV18" i="10"/>
  <c r="AU18" i="10"/>
  <c r="BB18" i="10"/>
  <c r="BF18" i="10"/>
  <c r="BK18" i="10"/>
  <c r="CE18" i="10"/>
  <c r="N18" i="10"/>
  <c r="CL18" i="10"/>
  <c r="AO18" i="10"/>
  <c r="AF18" i="10"/>
  <c r="BC18" i="10"/>
  <c r="P18" i="10"/>
  <c r="BP18" i="10"/>
  <c r="BM18" i="10"/>
  <c r="M112" i="10"/>
  <c r="M91" i="10"/>
  <c r="A149" i="10"/>
  <c r="B149" i="10" s="1"/>
  <c r="E20" i="7"/>
  <c r="I19" i="13"/>
  <c r="A19" i="10"/>
  <c r="N251" i="10" l="1"/>
  <c r="N244" i="10"/>
  <c r="N253" i="10"/>
  <c r="N246" i="10"/>
  <c r="N255" i="10"/>
  <c r="N250" i="10"/>
  <c r="M257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42" i="10"/>
  <c r="N221" i="10"/>
  <c r="N243" i="10"/>
  <c r="O226" i="10"/>
  <c r="O225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43" i="10" s="1"/>
  <c r="O212" i="10"/>
  <c r="O248" i="10" s="1"/>
  <c r="O219" i="10"/>
  <c r="O211" i="10"/>
  <c r="O224" i="10"/>
  <c r="O237" i="10"/>
  <c r="O232" i="10"/>
  <c r="O234" i="10"/>
  <c r="O238" i="10"/>
  <c r="O220" i="10"/>
  <c r="O236" i="10"/>
  <c r="O231" i="10"/>
  <c r="O216" i="10"/>
  <c r="N249" i="10"/>
  <c r="N256" i="10"/>
  <c r="N239" i="10"/>
  <c r="N252" i="10"/>
  <c r="N245" i="10"/>
  <c r="V35" i="11" a="1"/>
  <c r="V35" i="11" s="1"/>
  <c r="K19" i="10" s="1"/>
  <c r="V138" i="11" a="1"/>
  <c r="V138" i="11" s="1"/>
  <c r="AE149" i="10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19" i="10" s="1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C19" i="10"/>
  <c r="B19" i="10"/>
  <c r="A150" i="10"/>
  <c r="B150" i="10" s="1"/>
  <c r="E21" i="7"/>
  <c r="I20" i="13"/>
  <c r="A20" i="10"/>
  <c r="W19" i="10"/>
  <c r="CQ19" i="10"/>
  <c r="F19" i="10"/>
  <c r="CO19" i="10"/>
  <c r="BL19" i="10"/>
  <c r="BP19" i="10"/>
  <c r="P223" i="10" a="1"/>
  <c r="P223" i="10" s="1"/>
  <c r="P93" i="10" a="1"/>
  <c r="P93" i="10" s="1"/>
  <c r="BI19" i="10"/>
  <c r="CW19" i="10"/>
  <c r="BG19" i="10"/>
  <c r="P75" i="10" a="1"/>
  <c r="P75" i="10" s="1"/>
  <c r="CT19" i="10"/>
  <c r="AX19" i="10"/>
  <c r="BO19" i="10"/>
  <c r="BJ19" i="10"/>
  <c r="CR19" i="10"/>
  <c r="N19" i="10"/>
  <c r="P205" i="10" a="1"/>
  <c r="P205" i="10" s="1"/>
  <c r="G19" i="10"/>
  <c r="BE19" i="10"/>
  <c r="CP19" i="10"/>
  <c r="AV19" i="10"/>
  <c r="CJ19" i="10"/>
  <c r="CV19" i="10"/>
  <c r="P241" i="10" a="1"/>
  <c r="P241" i="10" s="1"/>
  <c r="AI19" i="10"/>
  <c r="BH19" i="10"/>
  <c r="P111" i="10" a="1"/>
  <c r="P111" i="10" s="1"/>
  <c r="O19" i="10"/>
  <c r="P19" i="10"/>
  <c r="N112" i="10"/>
  <c r="N91" i="10"/>
  <c r="O123" i="10"/>
  <c r="O125" i="10" l="1"/>
  <c r="O118" i="10"/>
  <c r="O121" i="10"/>
  <c r="O113" i="10"/>
  <c r="O122" i="10"/>
  <c r="O247" i="10"/>
  <c r="O114" i="10"/>
  <c r="BN149" i="10"/>
  <c r="BZ149" i="10"/>
  <c r="J149" i="10"/>
  <c r="K149" i="10"/>
  <c r="AM149" i="10"/>
  <c r="CU149" i="10"/>
  <c r="AN149" i="10"/>
  <c r="O253" i="10"/>
  <c r="AX149" i="10"/>
  <c r="AT149" i="10"/>
  <c r="CM149" i="10"/>
  <c r="AO149" i="10"/>
  <c r="CG149" i="10"/>
  <c r="AI149" i="10"/>
  <c r="CA149" i="10"/>
  <c r="CD149" i="10"/>
  <c r="CT149" i="10"/>
  <c r="CF149" i="10"/>
  <c r="BB149" i="10"/>
  <c r="CB149" i="10"/>
  <c r="U149" i="10"/>
  <c r="CC149" i="10"/>
  <c r="O149" i="10"/>
  <c r="O256" i="10"/>
  <c r="R149" i="10"/>
  <c r="BY149" i="10"/>
  <c r="BV149" i="10"/>
  <c r="CO149" i="10"/>
  <c r="P149" i="10"/>
  <c r="BH149" i="10"/>
  <c r="Q149" i="10"/>
  <c r="U19" i="10"/>
  <c r="AU19" i="10"/>
  <c r="BZ19" i="10"/>
  <c r="BB19" i="10"/>
  <c r="L19" i="10"/>
  <c r="CG19" i="10"/>
  <c r="I19" i="10"/>
  <c r="R19" i="10"/>
  <c r="AD19" i="10"/>
  <c r="AM19" i="10"/>
  <c r="CN19" i="10"/>
  <c r="V19" i="10"/>
  <c r="E19" i="10"/>
  <c r="CI19" i="10"/>
  <c r="BF19" i="10"/>
  <c r="BW19" i="10"/>
  <c r="AP19" i="10"/>
  <c r="T19" i="10"/>
  <c r="CK19" i="10"/>
  <c r="X19" i="10"/>
  <c r="BX19" i="10"/>
  <c r="AK19" i="10"/>
  <c r="J19" i="10"/>
  <c r="AL19" i="10"/>
  <c r="AA19" i="10"/>
  <c r="M149" i="10"/>
  <c r="AJ149" i="10"/>
  <c r="CP149" i="10"/>
  <c r="AD149" i="10"/>
  <c r="T149" i="10"/>
  <c r="BF149" i="10"/>
  <c r="AS149" i="10"/>
  <c r="AA149" i="10"/>
  <c r="AL149" i="10"/>
  <c r="AC149" i="10"/>
  <c r="CK149" i="10"/>
  <c r="Y149" i="10"/>
  <c r="BL149" i="10"/>
  <c r="CI149" i="10"/>
  <c r="W149" i="10"/>
  <c r="BQ149" i="10"/>
  <c r="E149" i="10"/>
  <c r="AR149" i="10"/>
  <c r="CE149" i="10"/>
  <c r="S149" i="10"/>
  <c r="BM149" i="10"/>
  <c r="CJ149" i="10"/>
  <c r="X149" i="10"/>
  <c r="BK149" i="10"/>
  <c r="O252" i="10"/>
  <c r="O239" i="10"/>
  <c r="O249" i="10"/>
  <c r="O251" i="10"/>
  <c r="N257" i="10"/>
  <c r="CL19" i="10"/>
  <c r="AJ19" i="10"/>
  <c r="Q19" i="10"/>
  <c r="CH19" i="10"/>
  <c r="BY19" i="10"/>
  <c r="CU19" i="10"/>
  <c r="BQ19" i="10"/>
  <c r="CB19" i="10"/>
  <c r="D19" i="10"/>
  <c r="AG19" i="10"/>
  <c r="CM19" i="10"/>
  <c r="S19" i="10"/>
  <c r="AY19" i="10"/>
  <c r="BR19" i="10"/>
  <c r="AF19" i="10"/>
  <c r="AW19" i="10"/>
  <c r="AR19" i="10"/>
  <c r="M19" i="10"/>
  <c r="CD19" i="10"/>
  <c r="Z19" i="10"/>
  <c r="BV19" i="10"/>
  <c r="AQ19" i="10"/>
  <c r="O117" i="10"/>
  <c r="N149" i="10"/>
  <c r="AQ149" i="10"/>
  <c r="AP149" i="10"/>
  <c r="BP149" i="10"/>
  <c r="CH149" i="10"/>
  <c r="V149" i="10"/>
  <c r="AZ149" i="10"/>
  <c r="BU149" i="10"/>
  <c r="I149" i="10"/>
  <c r="AV149" i="10"/>
  <c r="BS149" i="10"/>
  <c r="G149" i="10"/>
  <c r="BA149" i="10"/>
  <c r="CN149" i="10"/>
  <c r="AB149" i="10"/>
  <c r="BO149" i="10"/>
  <c r="C149" i="10"/>
  <c r="AW149" i="10"/>
  <c r="BT149" i="10"/>
  <c r="H149" i="10"/>
  <c r="AU149" i="10"/>
  <c r="O221" i="10"/>
  <c r="O242" i="10"/>
  <c r="O250" i="10"/>
  <c r="P226" i="10"/>
  <c r="P224" i="10"/>
  <c r="P209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25" i="10"/>
  <c r="P219" i="10"/>
  <c r="P218" i="10"/>
  <c r="P229" i="10"/>
  <c r="P238" i="10"/>
  <c r="O246" i="10"/>
  <c r="BU19" i="10"/>
  <c r="AB19" i="10"/>
  <c r="CE19" i="10"/>
  <c r="H19" i="10"/>
  <c r="CA19" i="10"/>
  <c r="BS19" i="10"/>
  <c r="CC19" i="10"/>
  <c r="CS19" i="10"/>
  <c r="AC19" i="10"/>
  <c r="AT19" i="10"/>
  <c r="BK19" i="10"/>
  <c r="BD19" i="10"/>
  <c r="BT19" i="10"/>
  <c r="AN19" i="10"/>
  <c r="AO19" i="10"/>
  <c r="AH19" i="10"/>
  <c r="AE19" i="10"/>
  <c r="Y19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AZ19" i="10"/>
  <c r="BN19" i="10"/>
  <c r="CF19" i="10"/>
  <c r="BC19" i="10"/>
  <c r="BM19" i="10"/>
  <c r="AS19" i="10"/>
  <c r="BA19" i="10"/>
  <c r="W35" i="11" a="1"/>
  <c r="W35" i="11" s="1"/>
  <c r="W138" i="11" a="1"/>
  <c r="W138" i="11" s="1"/>
  <c r="L150" i="10" s="1"/>
  <c r="BG149" i="10"/>
  <c r="CV149" i="10"/>
  <c r="AH149" i="10"/>
  <c r="BJ149" i="10"/>
  <c r="BI149" i="10"/>
  <c r="CL149" i="10"/>
  <c r="Z149" i="10"/>
  <c r="D149" i="10"/>
  <c r="BR149" i="10"/>
  <c r="F149" i="10"/>
  <c r="BW149" i="10"/>
  <c r="BE149" i="10"/>
  <c r="CR149" i="10"/>
  <c r="AF149" i="10"/>
  <c r="BC149" i="10"/>
  <c r="CW149" i="10"/>
  <c r="AK149" i="10"/>
  <c r="BX149" i="10"/>
  <c r="L149" i="10"/>
  <c r="AY149" i="10"/>
  <c r="CS149" i="10"/>
  <c r="AG149" i="10"/>
  <c r="BD149" i="10"/>
  <c r="CQ149" i="10"/>
  <c r="O255" i="10"/>
  <c r="O244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C20" i="10"/>
  <c r="B20" i="10"/>
  <c r="AX20" i="10"/>
  <c r="AI20" i="10"/>
  <c r="AE20" i="10"/>
  <c r="BF20" i="10"/>
  <c r="BO20" i="10"/>
  <c r="CE20" i="10"/>
  <c r="AT20" i="10"/>
  <c r="CA20" i="10"/>
  <c r="CT20" i="10"/>
  <c r="F20" i="10"/>
  <c r="BI20" i="10"/>
  <c r="CL20" i="10"/>
  <c r="Y20" i="10"/>
  <c r="AW20" i="10"/>
  <c r="BX20" i="10"/>
  <c r="M20" i="10"/>
  <c r="I20" i="10"/>
  <c r="CK20" i="10"/>
  <c r="AR20" i="10"/>
  <c r="BG20" i="10"/>
  <c r="AV20" i="10"/>
  <c r="AN20" i="10"/>
  <c r="H20" i="10"/>
  <c r="CF20" i="10"/>
  <c r="Q205" i="10" a="1"/>
  <c r="Q205" i="10" s="1"/>
  <c r="D20" i="10"/>
  <c r="Q75" i="10" a="1"/>
  <c r="Q75" i="10" s="1"/>
  <c r="AU20" i="10"/>
  <c r="O20" i="10"/>
  <c r="BK20" i="10"/>
  <c r="AL20" i="10"/>
  <c r="V20" i="10"/>
  <c r="N20" i="10"/>
  <c r="AO20" i="10"/>
  <c r="AG20" i="10"/>
  <c r="Q20" i="10"/>
  <c r="AZ20" i="10"/>
  <c r="BL20" i="10"/>
  <c r="X20" i="10"/>
  <c r="CV20" i="10"/>
  <c r="Q93" i="10" a="1"/>
  <c r="Q93" i="10" s="1"/>
  <c r="BZ20" i="10"/>
  <c r="CC20" i="10"/>
  <c r="U20" i="10"/>
  <c r="AY20" i="10"/>
  <c r="BC20" i="10"/>
  <c r="BP20" i="10"/>
  <c r="Q111" i="10" a="1"/>
  <c r="Q111" i="10" s="1"/>
  <c r="BD20" i="10"/>
  <c r="AA20" i="10"/>
  <c r="W20" i="10"/>
  <c r="BV20" i="10"/>
  <c r="CU20" i="10"/>
  <c r="BE20" i="10"/>
  <c r="AP20" i="10"/>
  <c r="AH20" i="10"/>
  <c r="CP20" i="10"/>
  <c r="R20" i="10"/>
  <c r="BY20" i="10"/>
  <c r="AS20" i="10"/>
  <c r="CH20" i="10"/>
  <c r="AK20" i="10"/>
  <c r="BM20" i="10"/>
  <c r="E20" i="10"/>
  <c r="BT20" i="10"/>
  <c r="CG20" i="10"/>
  <c r="L20" i="10"/>
  <c r="BS20" i="10"/>
  <c r="AF20" i="10"/>
  <c r="AJ20" i="10"/>
  <c r="CJ20" i="10"/>
  <c r="BQ20" i="10"/>
  <c r="S20" i="10"/>
  <c r="G20" i="10"/>
  <c r="BA20" i="10"/>
  <c r="AD20" i="10"/>
  <c r="BU20" i="10"/>
  <c r="CD20" i="10"/>
  <c r="CS20" i="10"/>
  <c r="CW20" i="10"/>
  <c r="CN20" i="10"/>
  <c r="P20" i="10"/>
  <c r="BW20" i="10"/>
  <c r="Q223" i="10" a="1"/>
  <c r="Q223" i="10" s="1"/>
  <c r="AC20" i="10"/>
  <c r="BH20" i="10"/>
  <c r="CO20" i="10"/>
  <c r="AB20" i="10"/>
  <c r="CR20" i="10"/>
  <c r="CB20" i="10"/>
  <c r="AM20" i="10"/>
  <c r="BB20" i="10"/>
  <c r="AQ20" i="10"/>
  <c r="K20" i="10"/>
  <c r="BR20" i="10"/>
  <c r="CQ20" i="10"/>
  <c r="CM20" i="10"/>
  <c r="CI20" i="10"/>
  <c r="BN20" i="10"/>
  <c r="J20" i="10"/>
  <c r="Z20" i="10"/>
  <c r="BJ20" i="10"/>
  <c r="T20" i="10"/>
  <c r="Q241" i="10" a="1"/>
  <c r="Q241" i="10" s="1"/>
  <c r="O112" i="10"/>
  <c r="O91" i="10"/>
  <c r="A151" i="10"/>
  <c r="B151" i="10" s="1"/>
  <c r="E22" i="7"/>
  <c r="I21" i="13"/>
  <c r="A21" i="10"/>
  <c r="O127" i="10" l="1"/>
  <c r="P250" i="10"/>
  <c r="P255" i="10"/>
  <c r="P244" i="10"/>
  <c r="P254" i="10"/>
  <c r="P246" i="10"/>
  <c r="P243" i="10"/>
  <c r="P256" i="10"/>
  <c r="P248" i="10"/>
  <c r="P249" i="10"/>
  <c r="Q206" i="10"/>
  <c r="Q207" i="10"/>
  <c r="Q213" i="10"/>
  <c r="Q234" i="10"/>
  <c r="Q238" i="10"/>
  <c r="Q220" i="10"/>
  <c r="Q224" i="10"/>
  <c r="Q209" i="10"/>
  <c r="Q227" i="10"/>
  <c r="Q225" i="10"/>
  <c r="Q212" i="10"/>
  <c r="Q237" i="10"/>
  <c r="Q232" i="10"/>
  <c r="Q231" i="10"/>
  <c r="Q216" i="10"/>
  <c r="Q233" i="10"/>
  <c r="Q219" i="10"/>
  <c r="Q236" i="10"/>
  <c r="Q215" i="10"/>
  <c r="Q226" i="10"/>
  <c r="Q230" i="10"/>
  <c r="Q228" i="10"/>
  <c r="Q210" i="10"/>
  <c r="Q229" i="10"/>
  <c r="Q208" i="10"/>
  <c r="Q218" i="10"/>
  <c r="Q217" i="10"/>
  <c r="Q211" i="10"/>
  <c r="Q247" i="10" s="1"/>
  <c r="Q214" i="10"/>
  <c r="Q250" i="10" s="1"/>
  <c r="Q235" i="10"/>
  <c r="AK150" i="10"/>
  <c r="AU150" i="10"/>
  <c r="CO150" i="10"/>
  <c r="CH150" i="10"/>
  <c r="AW150" i="10"/>
  <c r="CT150" i="10"/>
  <c r="BI150" i="10"/>
  <c r="CK150" i="10"/>
  <c r="CB150" i="10"/>
  <c r="BS150" i="10"/>
  <c r="AA150" i="10"/>
  <c r="CW150" i="10"/>
  <c r="CN150" i="10"/>
  <c r="CU150" i="10"/>
  <c r="BC150" i="10"/>
  <c r="J150" i="10"/>
  <c r="AR150" i="10"/>
  <c r="CQ150" i="10"/>
  <c r="AY150" i="10"/>
  <c r="Q150" i="10"/>
  <c r="AC150" i="10"/>
  <c r="AH150" i="10"/>
  <c r="P150" i="10"/>
  <c r="U150" i="10"/>
  <c r="P245" i="10"/>
  <c r="O257" i="10"/>
  <c r="BZ150" i="10"/>
  <c r="CM150" i="10"/>
  <c r="CL150" i="10"/>
  <c r="BP150" i="10"/>
  <c r="BR150" i="10"/>
  <c r="BF150" i="10"/>
  <c r="CD150" i="10"/>
  <c r="CV150" i="10"/>
  <c r="BU150" i="10"/>
  <c r="BL150" i="10"/>
  <c r="BA150" i="10"/>
  <c r="K150" i="10"/>
  <c r="CG150" i="10"/>
  <c r="BX150" i="10"/>
  <c r="CE150" i="10"/>
  <c r="AM150" i="10"/>
  <c r="CS150" i="10"/>
  <c r="CJ150" i="10"/>
  <c r="CA150" i="10"/>
  <c r="AI150" i="10"/>
  <c r="AL150" i="10"/>
  <c r="M150" i="10"/>
  <c r="R150" i="10"/>
  <c r="AT150" i="10"/>
  <c r="E150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42" i="10"/>
  <c r="P221" i="10"/>
  <c r="P239" i="10"/>
  <c r="BJ150" i="10"/>
  <c r="CP150" i="10"/>
  <c r="BV150" i="10"/>
  <c r="BW150" i="10"/>
  <c r="AZ150" i="10"/>
  <c r="O150" i="10"/>
  <c r="BN150" i="10"/>
  <c r="AF150" i="10"/>
  <c r="BD150" i="10"/>
  <c r="AO150" i="10"/>
  <c r="BG150" i="10"/>
  <c r="Z150" i="10"/>
  <c r="BQ150" i="10"/>
  <c r="BH150" i="10"/>
  <c r="BO150" i="10"/>
  <c r="W150" i="10"/>
  <c r="CC150" i="10"/>
  <c r="BT150" i="10"/>
  <c r="BK150" i="10"/>
  <c r="S150" i="10"/>
  <c r="V150" i="10"/>
  <c r="T150" i="10"/>
  <c r="Y150" i="10"/>
  <c r="AD150" i="10"/>
  <c r="AB150" i="10"/>
  <c r="X35" i="11" a="1"/>
  <c r="X35" i="11" s="1"/>
  <c r="BQ21" i="10" s="1"/>
  <c r="X138" i="11" a="1"/>
  <c r="X138" i="11" s="1"/>
  <c r="BH151" i="10" s="1"/>
  <c r="P253" i="10"/>
  <c r="AJ150" i="10"/>
  <c r="CF150" i="10"/>
  <c r="BE150" i="10"/>
  <c r="AE150" i="10"/>
  <c r="BY150" i="10"/>
  <c r="AP150" i="10"/>
  <c r="AS150" i="10"/>
  <c r="X150" i="10"/>
  <c r="CR150" i="10"/>
  <c r="CI150" i="10"/>
  <c r="AQ150" i="10"/>
  <c r="H150" i="10"/>
  <c r="AX150" i="10"/>
  <c r="AG150" i="10"/>
  <c r="AV150" i="10"/>
  <c r="G150" i="10"/>
  <c r="BM150" i="10"/>
  <c r="BB150" i="10"/>
  <c r="AN150" i="10"/>
  <c r="C150" i="10"/>
  <c r="F150" i="10"/>
  <c r="D150" i="10"/>
  <c r="I150" i="10"/>
  <c r="N15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B21" i="10"/>
  <c r="A152" i="10"/>
  <c r="B152" i="10" s="1"/>
  <c r="I22" i="13"/>
  <c r="E23" i="7"/>
  <c r="A22" i="10"/>
  <c r="O21" i="10"/>
  <c r="BA21" i="10"/>
  <c r="AK21" i="10"/>
  <c r="Q21" i="10"/>
  <c r="CC21" i="10"/>
  <c r="CF21" i="10"/>
  <c r="R205" i="10" a="1"/>
  <c r="R205" i="10" s="1"/>
  <c r="R93" i="10" a="1"/>
  <c r="R93" i="10" s="1"/>
  <c r="BJ21" i="10"/>
  <c r="BS21" i="10"/>
  <c r="BO21" i="10"/>
  <c r="BT21" i="10"/>
  <c r="R111" i="10" a="1"/>
  <c r="R111" i="10" s="1"/>
  <c r="BV21" i="10"/>
  <c r="AH21" i="10"/>
  <c r="AS21" i="10"/>
  <c r="BH21" i="10"/>
  <c r="AV21" i="10"/>
  <c r="BP21" i="10"/>
  <c r="R75" i="10" a="1"/>
  <c r="R75" i="10" s="1"/>
  <c r="BY21" i="10"/>
  <c r="CV21" i="10"/>
  <c r="CL21" i="10"/>
  <c r="CB21" i="10"/>
  <c r="R241" i="10" a="1"/>
  <c r="R241" i="10" s="1"/>
  <c r="AE21" i="10"/>
  <c r="BI21" i="10"/>
  <c r="X21" i="10"/>
  <c r="R223" i="10" a="1"/>
  <c r="R223" i="10" s="1"/>
  <c r="R21" i="10"/>
  <c r="T21" i="10"/>
  <c r="P91" i="10"/>
  <c r="P112" i="10"/>
  <c r="Q254" i="10" l="1"/>
  <c r="P257" i="10"/>
  <c r="AQ151" i="10"/>
  <c r="BF151" i="10"/>
  <c r="CQ151" i="10"/>
  <c r="F151" i="10"/>
  <c r="BN151" i="10"/>
  <c r="CP151" i="10"/>
  <c r="AR151" i="10"/>
  <c r="Q256" i="10"/>
  <c r="BD151" i="10"/>
  <c r="CU151" i="10"/>
  <c r="AE151" i="10"/>
  <c r="AS151" i="10"/>
  <c r="CK151" i="10"/>
  <c r="AD151" i="10"/>
  <c r="BG151" i="10"/>
  <c r="AI151" i="10"/>
  <c r="BM151" i="10"/>
  <c r="CF151" i="10"/>
  <c r="Y151" i="10"/>
  <c r="BQ151" i="10"/>
  <c r="Q245" i="10"/>
  <c r="BC151" i="10"/>
  <c r="CC151" i="10"/>
  <c r="BR151" i="10"/>
  <c r="T151" i="10"/>
  <c r="BL151" i="10"/>
  <c r="E151" i="10"/>
  <c r="Q246" i="10"/>
  <c r="Y35" i="11" a="1"/>
  <c r="Y35" i="11" s="1"/>
  <c r="Y138" i="11" a="1"/>
  <c r="Y138" i="11" s="1"/>
  <c r="AF21" i="10"/>
  <c r="AT21" i="10"/>
  <c r="AR21" i="10"/>
  <c r="N21" i="10"/>
  <c r="CS21" i="10"/>
  <c r="V21" i="10"/>
  <c r="CJ21" i="10"/>
  <c r="P21" i="10"/>
  <c r="BC21" i="10"/>
  <c r="AL21" i="10"/>
  <c r="AP21" i="10"/>
  <c r="K21" i="10"/>
  <c r="BW21" i="10"/>
  <c r="AW21" i="10"/>
  <c r="AM21" i="10"/>
  <c r="H21" i="10"/>
  <c r="CE21" i="10"/>
  <c r="CR21" i="10"/>
  <c r="AB21" i="10"/>
  <c r="E21" i="10"/>
  <c r="CP21" i="10"/>
  <c r="CA21" i="10"/>
  <c r="S21" i="10"/>
  <c r="C21" i="10"/>
  <c r="J151" i="10"/>
  <c r="BW151" i="10"/>
  <c r="BV151" i="10"/>
  <c r="AM151" i="10"/>
  <c r="CS151" i="10"/>
  <c r="CE151" i="10"/>
  <c r="S151" i="10"/>
  <c r="Q151" i="10"/>
  <c r="CA151" i="10"/>
  <c r="O151" i="10"/>
  <c r="BT151" i="10"/>
  <c r="BB151" i="10"/>
  <c r="CO151" i="10"/>
  <c r="AC151" i="10"/>
  <c r="BP151" i="10"/>
  <c r="D151" i="10"/>
  <c r="AX151" i="10"/>
  <c r="BU151" i="10"/>
  <c r="I151" i="10"/>
  <c r="AV151" i="10"/>
  <c r="BZ151" i="10"/>
  <c r="N151" i="10"/>
  <c r="BA151" i="10"/>
  <c r="CN151" i="10"/>
  <c r="AB151" i="10"/>
  <c r="Q253" i="10"/>
  <c r="Q251" i="10"/>
  <c r="Q252" i="10"/>
  <c r="Q248" i="10"/>
  <c r="Q239" i="10"/>
  <c r="Q249" i="10"/>
  <c r="AY21" i="10"/>
  <c r="I21" i="10"/>
  <c r="U21" i="10"/>
  <c r="BK21" i="10"/>
  <c r="BD21" i="10"/>
  <c r="CG21" i="10"/>
  <c r="CI21" i="10"/>
  <c r="CK21" i="10"/>
  <c r="BR21" i="10"/>
  <c r="D21" i="10"/>
  <c r="BM21" i="10"/>
  <c r="AG21" i="10"/>
  <c r="BN21" i="10"/>
  <c r="BE21" i="10"/>
  <c r="AI21" i="10"/>
  <c r="BL21" i="10"/>
  <c r="CT21" i="10"/>
  <c r="AA21" i="10"/>
  <c r="BX21" i="10"/>
  <c r="L21" i="10"/>
  <c r="AZ21" i="10"/>
  <c r="AO21" i="10"/>
  <c r="Z21" i="10"/>
  <c r="CU21" i="10"/>
  <c r="AU21" i="10"/>
  <c r="CM151" i="10"/>
  <c r="K151" i="10"/>
  <c r="CI151" i="10"/>
  <c r="W151" i="10"/>
  <c r="AG151" i="10"/>
  <c r="BO151" i="10"/>
  <c r="C151" i="10"/>
  <c r="CJ151" i="10"/>
  <c r="BK151" i="10"/>
  <c r="CL151" i="10"/>
  <c r="H151" i="10"/>
  <c r="AL151" i="10"/>
  <c r="BY151" i="10"/>
  <c r="M151" i="10"/>
  <c r="AZ151" i="10"/>
  <c r="CT151" i="10"/>
  <c r="AH151" i="10"/>
  <c r="BE151" i="10"/>
  <c r="CR151" i="10"/>
  <c r="AF151" i="10"/>
  <c r="BJ151" i="10"/>
  <c r="CW151" i="10"/>
  <c r="AK151" i="10"/>
  <c r="BX151" i="10"/>
  <c r="L151" i="10"/>
  <c r="Q243" i="10"/>
  <c r="G21" i="10"/>
  <c r="AX21" i="10"/>
  <c r="AQ21" i="10"/>
  <c r="BU21" i="10"/>
  <c r="AC21" i="10"/>
  <c r="W21" i="10"/>
  <c r="M21" i="10"/>
  <c r="CQ21" i="10"/>
  <c r="Y21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AJ21" i="10"/>
  <c r="CO21" i="10"/>
  <c r="CD21" i="10"/>
  <c r="F21" i="10"/>
  <c r="BF21" i="10"/>
  <c r="BB21" i="10"/>
  <c r="BG21" i="10"/>
  <c r="AD21" i="10"/>
  <c r="CN21" i="10"/>
  <c r="BZ21" i="10"/>
  <c r="R208" i="10"/>
  <c r="R230" i="10"/>
  <c r="R213" i="10"/>
  <c r="R234" i="10"/>
  <c r="R206" i="10"/>
  <c r="R209" i="10"/>
  <c r="R207" i="10"/>
  <c r="R225" i="10"/>
  <c r="R212" i="10"/>
  <c r="R216" i="10"/>
  <c r="R233" i="10"/>
  <c r="R224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R226" i="10"/>
  <c r="AN21" i="10"/>
  <c r="CW21" i="10"/>
  <c r="CH21" i="10"/>
  <c r="J21" i="10"/>
  <c r="CM21" i="10"/>
  <c r="I152" i="10"/>
  <c r="Y152" i="10"/>
  <c r="AO152" i="10"/>
  <c r="BE152" i="10"/>
  <c r="BU152" i="10"/>
  <c r="CK152" i="10"/>
  <c r="R152" i="10"/>
  <c r="AH152" i="10"/>
  <c r="AX152" i="10"/>
  <c r="BN152" i="10"/>
  <c r="CD152" i="10"/>
  <c r="CT152" i="10"/>
  <c r="K152" i="10"/>
  <c r="AA152" i="10"/>
  <c r="AQ152" i="10"/>
  <c r="BG152" i="10"/>
  <c r="BW152" i="10"/>
  <c r="CM152" i="10"/>
  <c r="M152" i="10"/>
  <c r="AC152" i="10"/>
  <c r="AS152" i="10"/>
  <c r="BI152" i="10"/>
  <c r="BY152" i="10"/>
  <c r="CO152" i="10"/>
  <c r="F152" i="10"/>
  <c r="V152" i="10"/>
  <c r="AL152" i="10"/>
  <c r="BB152" i="10"/>
  <c r="BR152" i="10"/>
  <c r="CH152" i="10"/>
  <c r="O152" i="10"/>
  <c r="AE152" i="10"/>
  <c r="AU152" i="10"/>
  <c r="BK152" i="10"/>
  <c r="CA152" i="10"/>
  <c r="CQ152" i="10"/>
  <c r="Q152" i="10"/>
  <c r="AG152" i="10"/>
  <c r="AW152" i="10"/>
  <c r="BM152" i="10"/>
  <c r="CC152" i="10"/>
  <c r="CS152" i="10"/>
  <c r="J152" i="10"/>
  <c r="Z152" i="10"/>
  <c r="AP152" i="10"/>
  <c r="BF152" i="10"/>
  <c r="BV152" i="10"/>
  <c r="CL152" i="10"/>
  <c r="C152" i="10"/>
  <c r="S152" i="10"/>
  <c r="AI152" i="10"/>
  <c r="AY152" i="10"/>
  <c r="BO152" i="10"/>
  <c r="CE152" i="10"/>
  <c r="CU152" i="10"/>
  <c r="AK152" i="10"/>
  <c r="CW152" i="10"/>
  <c r="AD152" i="10"/>
  <c r="CP152" i="10"/>
  <c r="BC152" i="10"/>
  <c r="L152" i="10"/>
  <c r="AB152" i="10"/>
  <c r="AR152" i="10"/>
  <c r="BH152" i="10"/>
  <c r="BX152" i="10"/>
  <c r="CN152" i="10"/>
  <c r="BA152" i="10"/>
  <c r="AT152" i="10"/>
  <c r="G152" i="10"/>
  <c r="BS152" i="10"/>
  <c r="P152" i="10"/>
  <c r="AF152" i="10"/>
  <c r="AV152" i="10"/>
  <c r="BL152" i="10"/>
  <c r="CB152" i="10"/>
  <c r="CR152" i="10"/>
  <c r="E152" i="10"/>
  <c r="BQ152" i="10"/>
  <c r="BJ152" i="10"/>
  <c r="W152" i="10"/>
  <c r="CI152" i="10"/>
  <c r="D152" i="10"/>
  <c r="T152" i="10"/>
  <c r="AJ152" i="10"/>
  <c r="AZ152" i="10"/>
  <c r="BP152" i="10"/>
  <c r="CF152" i="10"/>
  <c r="CV152" i="10"/>
  <c r="CG152" i="10"/>
  <c r="X152" i="10"/>
  <c r="CJ152" i="10"/>
  <c r="AM152" i="10"/>
  <c r="AN152" i="10"/>
  <c r="N152" i="10"/>
  <c r="BD152" i="10"/>
  <c r="U152" i="10"/>
  <c r="BZ152" i="10"/>
  <c r="H152" i="10"/>
  <c r="BT152" i="10"/>
  <c r="AA151" i="10"/>
  <c r="AW151" i="10"/>
  <c r="BS151" i="10"/>
  <c r="G151" i="10"/>
  <c r="AN151" i="10"/>
  <c r="AY151" i="10"/>
  <c r="AP151" i="10"/>
  <c r="X151" i="10"/>
  <c r="AU151" i="10"/>
  <c r="Z151" i="10"/>
  <c r="CH151" i="10"/>
  <c r="V151" i="10"/>
  <c r="BI151" i="10"/>
  <c r="CV151" i="10"/>
  <c r="AJ151" i="10"/>
  <c r="CD151" i="10"/>
  <c r="R151" i="10"/>
  <c r="AO151" i="10"/>
  <c r="CB151" i="10"/>
  <c r="P151" i="10"/>
  <c r="AT151" i="10"/>
  <c r="CG151" i="10"/>
  <c r="U151" i="10"/>
  <c r="Q244" i="10"/>
  <c r="Q255" i="10"/>
  <c r="Q242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C22" i="10"/>
  <c r="B22" i="10"/>
  <c r="AM22" i="10"/>
  <c r="BD22" i="10"/>
  <c r="AA22" i="10"/>
  <c r="BR22" i="10"/>
  <c r="BO22" i="10"/>
  <c r="CI22" i="10"/>
  <c r="AT22" i="10"/>
  <c r="AH22" i="10"/>
  <c r="BN22" i="10"/>
  <c r="AD22" i="10"/>
  <c r="N22" i="10"/>
  <c r="BZ22" i="10"/>
  <c r="Q22" i="10"/>
  <c r="AG22" i="10"/>
  <c r="BM22" i="10"/>
  <c r="BH22" i="10"/>
  <c r="M22" i="10"/>
  <c r="CG22" i="10"/>
  <c r="AV22" i="10"/>
  <c r="AJ22" i="10"/>
  <c r="D22" i="10"/>
  <c r="BT22" i="10"/>
  <c r="P22" i="10"/>
  <c r="BS22" i="10"/>
  <c r="S93" i="10" a="1"/>
  <c r="S93" i="10" s="1"/>
  <c r="AL22" i="10"/>
  <c r="V22" i="10"/>
  <c r="AS22" i="10"/>
  <c r="AC22" i="10"/>
  <c r="CS22" i="10"/>
  <c r="I22" i="10"/>
  <c r="CV22" i="10"/>
  <c r="BP22" i="10"/>
  <c r="BW22" i="10"/>
  <c r="S241" i="10" a="1"/>
  <c r="S241" i="10" s="1"/>
  <c r="CM22" i="10"/>
  <c r="J22" i="10"/>
  <c r="U22" i="10"/>
  <c r="CC22" i="10"/>
  <c r="AN22" i="10"/>
  <c r="BG22" i="10"/>
  <c r="AX22" i="10"/>
  <c r="AI22" i="10"/>
  <c r="S22" i="10"/>
  <c r="K22" i="10"/>
  <c r="CU22" i="10"/>
  <c r="CE22" i="10"/>
  <c r="BE22" i="10"/>
  <c r="CT22" i="10"/>
  <c r="BY22" i="10"/>
  <c r="BJ22" i="10"/>
  <c r="BX22" i="10"/>
  <c r="BC22" i="10"/>
  <c r="X22" i="10"/>
  <c r="AB22" i="10"/>
  <c r="BL22" i="10"/>
  <c r="S111" i="10" a="1"/>
  <c r="S111" i="10" s="1"/>
  <c r="AQ22" i="10"/>
  <c r="O22" i="10"/>
  <c r="CQ22" i="10"/>
  <c r="CH22" i="10"/>
  <c r="Y22" i="10"/>
  <c r="L22" i="10"/>
  <c r="CJ22" i="10"/>
  <c r="BQ22" i="10"/>
  <c r="BB22" i="10"/>
  <c r="AE22" i="10"/>
  <c r="G22" i="10"/>
  <c r="BV22" i="10"/>
  <c r="BF22" i="10"/>
  <c r="CA22" i="10"/>
  <c r="AP22" i="10"/>
  <c r="F22" i="10"/>
  <c r="Z22" i="10"/>
  <c r="CP22" i="10"/>
  <c r="BU22" i="10"/>
  <c r="AK22" i="10"/>
  <c r="AW22" i="10"/>
  <c r="CL22" i="10"/>
  <c r="CO22" i="10"/>
  <c r="CK22" i="10"/>
  <c r="E22" i="10"/>
  <c r="AY22" i="10"/>
  <c r="AR22" i="10"/>
  <c r="T22" i="10"/>
  <c r="CN22" i="10"/>
  <c r="H22" i="10"/>
  <c r="CB22" i="10"/>
  <c r="CR22" i="10"/>
  <c r="S205" i="10" a="1"/>
  <c r="S205" i="10" s="1"/>
  <c r="S75" i="10" a="1"/>
  <c r="S75" i="10" s="1"/>
  <c r="AU22" i="10"/>
  <c r="BK22" i="10"/>
  <c r="BI22" i="10"/>
  <c r="AO22" i="10"/>
  <c r="CW22" i="10"/>
  <c r="CF22" i="10"/>
  <c r="S223" i="10" a="1"/>
  <c r="S223" i="10" s="1"/>
  <c r="W22" i="10"/>
  <c r="BA22" i="10"/>
  <c r="R22" i="10"/>
  <c r="CD22" i="10"/>
  <c r="AZ22" i="10"/>
  <c r="AF22" i="10"/>
  <c r="I23" i="13"/>
  <c r="A23" i="10"/>
  <c r="A153" i="10"/>
  <c r="B153" i="10" s="1"/>
  <c r="E24" i="7"/>
  <c r="Q91" i="10"/>
  <c r="Q112" i="10"/>
  <c r="R248" i="10" l="1"/>
  <c r="R255" i="10"/>
  <c r="Q257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3" i="10"/>
  <c r="R249" i="10"/>
  <c r="Z35" i="11" a="1"/>
  <c r="Z35" i="11" s="1"/>
  <c r="Z138" i="11" a="1"/>
  <c r="Z138" i="11" s="1"/>
  <c r="F153" i="10" s="1"/>
  <c r="S208" i="10"/>
  <c r="S224" i="10"/>
  <c r="S207" i="10"/>
  <c r="S212" i="10"/>
  <c r="S237" i="10"/>
  <c r="S219" i="10"/>
  <c r="S236" i="10"/>
  <c r="S232" i="10"/>
  <c r="S231" i="10"/>
  <c r="S234" i="10"/>
  <c r="S216" i="10"/>
  <c r="S228" i="10"/>
  <c r="S226" i="10"/>
  <c r="S225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39" i="10"/>
  <c r="R256" i="10"/>
  <c r="R254" i="10"/>
  <c r="R221" i="10"/>
  <c r="R242" i="10"/>
  <c r="R24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C23" i="10"/>
  <c r="B23" i="10"/>
  <c r="BQ23" i="10"/>
  <c r="AM23" i="10"/>
  <c r="AE23" i="10"/>
  <c r="BV23" i="10"/>
  <c r="CU23" i="10"/>
  <c r="CI23" i="10"/>
  <c r="V23" i="10"/>
  <c r="AT23" i="10"/>
  <c r="R23" i="10"/>
  <c r="BI23" i="10"/>
  <c r="J23" i="10"/>
  <c r="AW23" i="10"/>
  <c r="CH23" i="10"/>
  <c r="CD23" i="10"/>
  <c r="U23" i="10"/>
  <c r="Q23" i="10"/>
  <c r="E23" i="10"/>
  <c r="BW23" i="10"/>
  <c r="CF23" i="10"/>
  <c r="AF23" i="10"/>
  <c r="O23" i="10"/>
  <c r="CA23" i="10"/>
  <c r="BU23" i="10"/>
  <c r="AG23" i="10"/>
  <c r="AJ23" i="10"/>
  <c r="BP23" i="10"/>
  <c r="T111" i="10" a="1"/>
  <c r="T111" i="10" s="1"/>
  <c r="BD23" i="10"/>
  <c r="AU23" i="10"/>
  <c r="S23" i="10"/>
  <c r="K23" i="10"/>
  <c r="CQ23" i="10"/>
  <c r="BE23" i="10"/>
  <c r="CE23" i="10"/>
  <c r="AD23" i="10"/>
  <c r="CP23" i="10"/>
  <c r="BY23" i="10"/>
  <c r="F23" i="10"/>
  <c r="AO23" i="10"/>
  <c r="BZ23" i="10"/>
  <c r="AS23" i="10"/>
  <c r="AY23" i="10"/>
  <c r="I23" i="10"/>
  <c r="BM23" i="10"/>
  <c r="BC23" i="10"/>
  <c r="T23" i="10"/>
  <c r="BS23" i="10"/>
  <c r="P23" i="10"/>
  <c r="CG23" i="10"/>
  <c r="AV23" i="10"/>
  <c r="CR23" i="10"/>
  <c r="T241" i="10" a="1"/>
  <c r="T241" i="10" s="1"/>
  <c r="AX23" i="10"/>
  <c r="AA23" i="10"/>
  <c r="BR23" i="10"/>
  <c r="CM23" i="10"/>
  <c r="M23" i="10"/>
  <c r="CS23" i="10"/>
  <c r="AZ23" i="10"/>
  <c r="T205" i="10" a="1"/>
  <c r="T205" i="10" s="1"/>
  <c r="BO23" i="10"/>
  <c r="AH23" i="10"/>
  <c r="BT23" i="10"/>
  <c r="L23" i="10"/>
  <c r="D23" i="10"/>
  <c r="BB23" i="10"/>
  <c r="W23" i="10"/>
  <c r="AI23" i="10"/>
  <c r="G23" i="10"/>
  <c r="BK23" i="10"/>
  <c r="BF23" i="10"/>
  <c r="AL23" i="10"/>
  <c r="BA23" i="10"/>
  <c r="Z23" i="10"/>
  <c r="N23" i="10"/>
  <c r="CT23" i="10"/>
  <c r="CL23" i="10"/>
  <c r="BN23" i="10"/>
  <c r="Y23" i="10"/>
  <c r="AC23" i="10"/>
  <c r="CO23" i="10"/>
  <c r="BX23" i="10"/>
  <c r="CK23" i="10"/>
  <c r="AB23" i="10"/>
  <c r="H23" i="10"/>
  <c r="CW23" i="10"/>
  <c r="CJ23" i="10"/>
  <c r="AR23" i="10"/>
  <c r="BG23" i="10"/>
  <c r="CB23" i="10"/>
  <c r="T223" i="10" a="1"/>
  <c r="T223" i="10" s="1"/>
  <c r="T93" i="10" a="1"/>
  <c r="T93" i="10" s="1"/>
  <c r="CC23" i="10"/>
  <c r="X23" i="10"/>
  <c r="AN23" i="10"/>
  <c r="BL23" i="10"/>
  <c r="T75" i="10" a="1"/>
  <c r="T75" i="10" s="1"/>
  <c r="AQ23" i="10"/>
  <c r="AP23" i="10"/>
  <c r="BJ23" i="10"/>
  <c r="AK23" i="10"/>
  <c r="BH23" i="10"/>
  <c r="CV23" i="10"/>
  <c r="CN23" i="10"/>
  <c r="R112" i="10"/>
  <c r="R91" i="10"/>
  <c r="E25" i="7"/>
  <c r="A24" i="10"/>
  <c r="A154" i="10"/>
  <c r="B154" i="10" s="1"/>
  <c r="I24" i="13"/>
  <c r="S246" i="10" l="1"/>
  <c r="S250" i="10"/>
  <c r="S253" i="10"/>
  <c r="S256" i="10"/>
  <c r="S254" i="10"/>
  <c r="S247" i="10"/>
  <c r="S255" i="10"/>
  <c r="CA154" i="10"/>
  <c r="BN154" i="10"/>
  <c r="AA35" i="11" a="1"/>
  <c r="AA35" i="11" s="1"/>
  <c r="AA138" i="11" a="1"/>
  <c r="AA138" i="11" s="1"/>
  <c r="C154" i="10" s="1"/>
  <c r="T225" i="10"/>
  <c r="T207" i="10"/>
  <c r="T219" i="10"/>
  <c r="T218" i="10"/>
  <c r="T214" i="10"/>
  <c r="T234" i="10"/>
  <c r="T233" i="10"/>
  <c r="T215" i="10"/>
  <c r="T238" i="10"/>
  <c r="T210" i="10"/>
  <c r="T226" i="10"/>
  <c r="T224" i="10"/>
  <c r="T209" i="10"/>
  <c r="T227" i="10"/>
  <c r="T237" i="10"/>
  <c r="T232" i="10"/>
  <c r="T231" i="10"/>
  <c r="T213" i="10"/>
  <c r="T230" i="10"/>
  <c r="T212" i="10"/>
  <c r="T236" i="10"/>
  <c r="T216" i="10"/>
  <c r="T252" i="10" s="1"/>
  <c r="T217" i="10"/>
  <c r="T211" i="10"/>
  <c r="T206" i="10"/>
  <c r="T229" i="10"/>
  <c r="T220" i="10"/>
  <c r="T228" i="10"/>
  <c r="T235" i="10"/>
  <c r="T208" i="10"/>
  <c r="R257" i="10"/>
  <c r="S251" i="10"/>
  <c r="S244" i="10"/>
  <c r="CG153" i="10"/>
  <c r="E153" i="10"/>
  <c r="CS153" i="10"/>
  <c r="AG153" i="10"/>
  <c r="AA153" i="10"/>
  <c r="BY153" i="10"/>
  <c r="M153" i="10"/>
  <c r="K153" i="10"/>
  <c r="BU153" i="10"/>
  <c r="I153" i="10"/>
  <c r="BN153" i="10"/>
  <c r="AV153" i="10"/>
  <c r="BS153" i="10"/>
  <c r="G153" i="10"/>
  <c r="AT153" i="10"/>
  <c r="BX153" i="10"/>
  <c r="L153" i="10"/>
  <c r="AY153" i="10"/>
  <c r="CL153" i="10"/>
  <c r="Z153" i="10"/>
  <c r="BD153" i="10"/>
  <c r="CQ153" i="10"/>
  <c r="AE153" i="10"/>
  <c r="BB153" i="10"/>
  <c r="S248" i="10"/>
  <c r="CW153" i="10"/>
  <c r="U153" i="10"/>
  <c r="AX153" i="10"/>
  <c r="CC153" i="10"/>
  <c r="Q153" i="10"/>
  <c r="CT153" i="10"/>
  <c r="BI153" i="10"/>
  <c r="CV153" i="10"/>
  <c r="CD153" i="10"/>
  <c r="BE153" i="10"/>
  <c r="CF153" i="10"/>
  <c r="CR153" i="10"/>
  <c r="AF153" i="10"/>
  <c r="BC153" i="10"/>
  <c r="CP153" i="10"/>
  <c r="AD153" i="10"/>
  <c r="BH153" i="10"/>
  <c r="CU153" i="10"/>
  <c r="AI153" i="10"/>
  <c r="BV153" i="10"/>
  <c r="J153" i="10"/>
  <c r="AN153" i="10"/>
  <c r="CA153" i="10"/>
  <c r="O153" i="10"/>
  <c r="AL153" i="10"/>
  <c r="S245" i="10"/>
  <c r="S252" i="10"/>
  <c r="S243" i="10"/>
  <c r="BP153" i="10"/>
  <c r="D153" i="10"/>
  <c r="BA153" i="10"/>
  <c r="BM153" i="10"/>
  <c r="AZ153" i="10"/>
  <c r="AH153" i="10"/>
  <c r="AS153" i="10"/>
  <c r="AJ153" i="10"/>
  <c r="R153" i="10"/>
  <c r="AO153" i="10"/>
  <c r="T153" i="10"/>
  <c r="CB153" i="10"/>
  <c r="P153" i="10"/>
  <c r="AM153" i="10"/>
  <c r="BZ153" i="10"/>
  <c r="N153" i="10"/>
  <c r="AR153" i="10"/>
  <c r="CE153" i="10"/>
  <c r="S153" i="10"/>
  <c r="BF153" i="10"/>
  <c r="CJ153" i="10"/>
  <c r="X153" i="10"/>
  <c r="BK153" i="10"/>
  <c r="CH153" i="10"/>
  <c r="V153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42" i="10"/>
  <c r="S221" i="10"/>
  <c r="S239" i="10"/>
  <c r="AK153" i="10"/>
  <c r="BQ153" i="10"/>
  <c r="AQ153" i="10"/>
  <c r="AW153" i="10"/>
  <c r="CM153" i="10"/>
  <c r="CO153" i="10"/>
  <c r="AC153" i="10"/>
  <c r="BW153" i="10"/>
  <c r="CK153" i="10"/>
  <c r="Y153" i="10"/>
  <c r="BG153" i="10"/>
  <c r="BL153" i="10"/>
  <c r="CI153" i="10"/>
  <c r="W153" i="10"/>
  <c r="BJ153" i="10"/>
  <c r="CN153" i="10"/>
  <c r="AB153" i="10"/>
  <c r="BO153" i="10"/>
  <c r="C153" i="10"/>
  <c r="AP153" i="10"/>
  <c r="BT153" i="10"/>
  <c r="H153" i="10"/>
  <c r="AU153" i="10"/>
  <c r="BR153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C24" i="10"/>
  <c r="B24" i="10"/>
  <c r="A155" i="10"/>
  <c r="B155" i="10" s="1"/>
  <c r="E26" i="7"/>
  <c r="I25" i="13"/>
  <c r="A25" i="10"/>
  <c r="BB24" i="10"/>
  <c r="AE24" i="10"/>
  <c r="AQ24" i="10"/>
  <c r="BF24" i="10"/>
  <c r="BO24" i="10"/>
  <c r="Z24" i="10"/>
  <c r="AT24" i="10"/>
  <c r="CA24" i="10"/>
  <c r="V24" i="10"/>
  <c r="BI24" i="10"/>
  <c r="CT24" i="10"/>
  <c r="CP24" i="10"/>
  <c r="AO24" i="10"/>
  <c r="CH24" i="10"/>
  <c r="CO24" i="10"/>
  <c r="AV24" i="10"/>
  <c r="BM24" i="10"/>
  <c r="M24" i="10"/>
  <c r="CK24" i="10"/>
  <c r="X24" i="10"/>
  <c r="BL24" i="10"/>
  <c r="CB24" i="10"/>
  <c r="L24" i="10"/>
  <c r="AB24" i="10"/>
  <c r="U223" i="10" a="1"/>
  <c r="U223" i="10" s="1"/>
  <c r="U93" i="10" a="1"/>
  <c r="U93" i="10" s="1"/>
  <c r="BD24" i="10"/>
  <c r="S24" i="10"/>
  <c r="AD24" i="10"/>
  <c r="CE24" i="10"/>
  <c r="F24" i="10"/>
  <c r="AS24" i="10"/>
  <c r="BC24" i="10"/>
  <c r="Q24" i="10"/>
  <c r="BP24" i="10"/>
  <c r="P24" i="10"/>
  <c r="U241" i="10" a="1"/>
  <c r="U241" i="10" s="1"/>
  <c r="AU24" i="10"/>
  <c r="AI24" i="10"/>
  <c r="O24" i="10"/>
  <c r="G24" i="10"/>
  <c r="BK24" i="10"/>
  <c r="CI24" i="10"/>
  <c r="CU24" i="10"/>
  <c r="BE24" i="10"/>
  <c r="N24" i="10"/>
  <c r="BU24" i="10"/>
  <c r="BN24" i="10"/>
  <c r="BZ24" i="10"/>
  <c r="AG24" i="10"/>
  <c r="CD24" i="10"/>
  <c r="CG24" i="10"/>
  <c r="E24" i="10"/>
  <c r="CW24" i="10"/>
  <c r="U24" i="10"/>
  <c r="CC24" i="10"/>
  <c r="T24" i="10"/>
  <c r="CR24" i="10"/>
  <c r="AR24" i="10"/>
  <c r="H24" i="10"/>
  <c r="BG24" i="10"/>
  <c r="U205" i="10" a="1"/>
  <c r="U205" i="10" s="1"/>
  <c r="Y24" i="10"/>
  <c r="BH24" i="10"/>
  <c r="AN24" i="10"/>
  <c r="BS24" i="10"/>
  <c r="CJ24" i="10"/>
  <c r="AF24" i="10"/>
  <c r="D24" i="10"/>
  <c r="BW24" i="10"/>
  <c r="U111" i="10" a="1"/>
  <c r="U111" i="10" s="1"/>
  <c r="AM24" i="10"/>
  <c r="BR24" i="10"/>
  <c r="CQ24" i="10"/>
  <c r="AL24" i="10"/>
  <c r="BJ24" i="10"/>
  <c r="CL24" i="10"/>
  <c r="BX24" i="10"/>
  <c r="AY24" i="10"/>
  <c r="CF24" i="10"/>
  <c r="CN24" i="10"/>
  <c r="U75" i="10" a="1"/>
  <c r="U75" i="10" s="1"/>
  <c r="BQ24" i="10"/>
  <c r="AX24" i="10"/>
  <c r="AA24" i="10"/>
  <c r="K24" i="10"/>
  <c r="BV24" i="10"/>
  <c r="AH24" i="10"/>
  <c r="BA24" i="10"/>
  <c r="CM24" i="10"/>
  <c r="AP24" i="10"/>
  <c r="J24" i="10"/>
  <c r="R24" i="10"/>
  <c r="AK24" i="10"/>
  <c r="AW24" i="10"/>
  <c r="AC24" i="10"/>
  <c r="AZ24" i="10"/>
  <c r="CS24" i="10"/>
  <c r="I24" i="10"/>
  <c r="W24" i="10"/>
  <c r="BY24" i="10"/>
  <c r="BT24" i="10"/>
  <c r="AJ24" i="10"/>
  <c r="CV24" i="10"/>
  <c r="S91" i="10"/>
  <c r="S112" i="10"/>
  <c r="T117" i="10" l="1"/>
  <c r="T120" i="10"/>
  <c r="T125" i="10"/>
  <c r="T244" i="10"/>
  <c r="T122" i="10"/>
  <c r="T113" i="10"/>
  <c r="T256" i="10"/>
  <c r="T119" i="10"/>
  <c r="T248" i="10"/>
  <c r="T251" i="10"/>
  <c r="S257" i="10"/>
  <c r="T124" i="10"/>
  <c r="T116" i="10"/>
  <c r="T249" i="10"/>
  <c r="T243" i="10"/>
  <c r="T253" i="10"/>
  <c r="T255" i="10"/>
  <c r="BT154" i="10"/>
  <c r="CS154" i="10"/>
  <c r="AG154" i="10"/>
  <c r="AT154" i="10"/>
  <c r="Q154" i="10"/>
  <c r="BV154" i="10"/>
  <c r="J154" i="10"/>
  <c r="CH154" i="10"/>
  <c r="V154" i="10"/>
  <c r="X154" i="10"/>
  <c r="BY154" i="10"/>
  <c r="M154" i="10"/>
  <c r="AZ154" i="10"/>
  <c r="CM154" i="10"/>
  <c r="AA154" i="10"/>
  <c r="BE154" i="10"/>
  <c r="CR154" i="10"/>
  <c r="AF154" i="10"/>
  <c r="BC154" i="10"/>
  <c r="CW154" i="10"/>
  <c r="AK154" i="10"/>
  <c r="BX154" i="10"/>
  <c r="L154" i="10"/>
  <c r="AY154" i="10"/>
  <c r="AB35" i="11" a="1"/>
  <c r="AB35" i="11" s="1"/>
  <c r="AB138" i="11" a="1"/>
  <c r="AB138" i="11" s="1"/>
  <c r="I155" i="10" s="1"/>
  <c r="T246" i="10"/>
  <c r="O154" i="10"/>
  <c r="H154" i="10"/>
  <c r="CP154" i="10"/>
  <c r="AD154" i="10"/>
  <c r="BD154" i="10"/>
  <c r="BF154" i="10"/>
  <c r="BM154" i="10"/>
  <c r="BR154" i="10"/>
  <c r="F154" i="10"/>
  <c r="CQ154" i="10"/>
  <c r="BI154" i="10"/>
  <c r="CV154" i="10"/>
  <c r="AJ154" i="10"/>
  <c r="BW154" i="10"/>
  <c r="K154" i="10"/>
  <c r="AO154" i="10"/>
  <c r="CB154" i="10"/>
  <c r="P154" i="10"/>
  <c r="AM154" i="10"/>
  <c r="CG154" i="10"/>
  <c r="U154" i="10"/>
  <c r="BH154" i="10"/>
  <c r="CU154" i="10"/>
  <c r="AI154" i="10"/>
  <c r="T221" i="10"/>
  <c r="T242" i="10"/>
  <c r="T245" i="10"/>
  <c r="T250" i="10"/>
  <c r="CT154" i="10"/>
  <c r="CD154" i="10"/>
  <c r="BZ154" i="10"/>
  <c r="N154" i="10"/>
  <c r="BK154" i="10"/>
  <c r="AP154" i="10"/>
  <c r="AN154" i="10"/>
  <c r="BB154" i="10"/>
  <c r="AW154" i="10"/>
  <c r="AE154" i="10"/>
  <c r="AS154" i="10"/>
  <c r="CF154" i="10"/>
  <c r="T154" i="10"/>
  <c r="BG154" i="10"/>
  <c r="CK154" i="10"/>
  <c r="Y154" i="10"/>
  <c r="BL154" i="10"/>
  <c r="CI154" i="10"/>
  <c r="W154" i="10"/>
  <c r="BQ154" i="10"/>
  <c r="E154" i="10"/>
  <c r="AR154" i="10"/>
  <c r="CE154" i="10"/>
  <c r="S154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26" i="10"/>
  <c r="U208" i="10"/>
  <c r="U230" i="10"/>
  <c r="U218" i="10"/>
  <c r="U214" i="10"/>
  <c r="U235" i="10"/>
  <c r="U207" i="10"/>
  <c r="U213" i="10"/>
  <c r="U224" i="10"/>
  <c r="U206" i="10"/>
  <c r="U209" i="10"/>
  <c r="U227" i="10"/>
  <c r="U225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39" i="10"/>
  <c r="T254" i="10"/>
  <c r="AX154" i="10"/>
  <c r="AH154" i="10"/>
  <c r="R154" i="10"/>
  <c r="BJ154" i="10"/>
  <c r="CC154" i="10"/>
  <c r="CL154" i="10"/>
  <c r="Z154" i="10"/>
  <c r="AU154" i="10"/>
  <c r="AL154" i="10"/>
  <c r="CJ154" i="10"/>
  <c r="CO154" i="10"/>
  <c r="AC154" i="10"/>
  <c r="BP154" i="10"/>
  <c r="D154" i="10"/>
  <c r="AQ154" i="10"/>
  <c r="BU154" i="10"/>
  <c r="I154" i="10"/>
  <c r="AV154" i="10"/>
  <c r="BS154" i="10"/>
  <c r="G154" i="10"/>
  <c r="BA154" i="10"/>
  <c r="CN154" i="10"/>
  <c r="AB154" i="10"/>
  <c r="BO1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C25" i="10"/>
  <c r="B25" i="10"/>
  <c r="T112" i="10"/>
  <c r="T91" i="10"/>
  <c r="AX25" i="10"/>
  <c r="AE25" i="10"/>
  <c r="AM25" i="10"/>
  <c r="BV25" i="10"/>
  <c r="BO25" i="10"/>
  <c r="CI25" i="10"/>
  <c r="AP25" i="10"/>
  <c r="AL25" i="10"/>
  <c r="BU25" i="10"/>
  <c r="N25" i="10"/>
  <c r="BY25" i="10"/>
  <c r="AS25" i="10"/>
  <c r="AC25" i="10"/>
  <c r="CH25" i="10"/>
  <c r="BX25" i="10"/>
  <c r="AV25" i="10"/>
  <c r="BD25" i="10"/>
  <c r="W25" i="10"/>
  <c r="AA25" i="10"/>
  <c r="K25" i="10"/>
  <c r="CU25" i="10"/>
  <c r="CE25" i="10"/>
  <c r="BE25" i="10"/>
  <c r="AH25" i="10"/>
  <c r="BJ25" i="10"/>
  <c r="J25" i="10"/>
  <c r="V25" i="10"/>
  <c r="AO25" i="10"/>
  <c r="Y25" i="10"/>
  <c r="CT25" i="10"/>
  <c r="BT25" i="10"/>
  <c r="I25" i="10"/>
  <c r="BM25" i="10"/>
  <c r="BC25" i="10"/>
  <c r="AJ25" i="10"/>
  <c r="CV25" i="10"/>
  <c r="L25" i="10"/>
  <c r="AB25" i="10"/>
  <c r="BW25" i="10"/>
  <c r="CR25" i="10"/>
  <c r="V241" i="10" a="1"/>
  <c r="V241" i="10" s="1"/>
  <c r="BG25" i="10"/>
  <c r="S25" i="10"/>
  <c r="CM25" i="10"/>
  <c r="Z25" i="10"/>
  <c r="AW25" i="10"/>
  <c r="M25" i="10"/>
  <c r="AZ25" i="10"/>
  <c r="CO25" i="10"/>
  <c r="AN25" i="10"/>
  <c r="CB25" i="10"/>
  <c r="V205" i="10" a="1"/>
  <c r="V205" i="10" s="1"/>
  <c r="Q25" i="10"/>
  <c r="CC25" i="10"/>
  <c r="BP25" i="10"/>
  <c r="BS25" i="10"/>
  <c r="BQ25" i="10"/>
  <c r="AQ25" i="10"/>
  <c r="AI25" i="10"/>
  <c r="O25" i="10"/>
  <c r="BF25" i="10"/>
  <c r="BK25" i="10"/>
  <c r="CA25" i="10"/>
  <c r="AT25" i="10"/>
  <c r="AD25" i="10"/>
  <c r="CP25" i="10"/>
  <c r="F25" i="10"/>
  <c r="BN25" i="10"/>
  <c r="AK25" i="10"/>
  <c r="CD25" i="10"/>
  <c r="CL25" i="10"/>
  <c r="CW25" i="10"/>
  <c r="U25" i="10"/>
  <c r="CS25" i="10"/>
  <c r="AY25" i="10"/>
  <c r="T25" i="10"/>
  <c r="CF25" i="10"/>
  <c r="AR25" i="10"/>
  <c r="X25" i="10"/>
  <c r="CN25" i="10"/>
  <c r="V223" i="10" a="1"/>
  <c r="V223" i="10" s="1"/>
  <c r="V111" i="10" a="1"/>
  <c r="V111" i="10" s="1"/>
  <c r="BB25" i="10"/>
  <c r="G25" i="10"/>
  <c r="BA25" i="10"/>
  <c r="R25" i="10"/>
  <c r="AG25" i="10"/>
  <c r="CK25" i="10"/>
  <c r="CG25" i="10"/>
  <c r="D25" i="10"/>
  <c r="P25" i="10"/>
  <c r="CJ25" i="10"/>
  <c r="V93" i="10" a="1"/>
  <c r="V93" i="10" s="1"/>
  <c r="E25" i="10"/>
  <c r="H25" i="10"/>
  <c r="AF25" i="10"/>
  <c r="BL25" i="10"/>
  <c r="V75" i="10" a="1"/>
  <c r="V75" i="10" s="1"/>
  <c r="AU25" i="10"/>
  <c r="BR25" i="10"/>
  <c r="CQ25" i="10"/>
  <c r="BI25" i="10"/>
  <c r="BZ25" i="10"/>
  <c r="BH25" i="10"/>
  <c r="I26" i="13"/>
  <c r="A26" i="10"/>
  <c r="E27" i="7"/>
  <c r="A156" i="10"/>
  <c r="B156" i="10" s="1"/>
  <c r="U247" i="10" l="1"/>
  <c r="U244" i="10"/>
  <c r="U251" i="10"/>
  <c r="U248" i="10"/>
  <c r="U255" i="10"/>
  <c r="U253" i="10"/>
  <c r="U246" i="10"/>
  <c r="U245" i="10"/>
  <c r="U243" i="10"/>
  <c r="BB155" i="10"/>
  <c r="AV155" i="10"/>
  <c r="O155" i="10"/>
  <c r="BX155" i="10"/>
  <c r="CH155" i="10"/>
  <c r="T155" i="10"/>
  <c r="AN155" i="10"/>
  <c r="BW155" i="10"/>
  <c r="K155" i="10"/>
  <c r="AX155" i="10"/>
  <c r="CJ155" i="10"/>
  <c r="BS155" i="10"/>
  <c r="G155" i="10"/>
  <c r="AT155" i="10"/>
  <c r="BT155" i="10"/>
  <c r="CU155" i="10"/>
  <c r="AI155" i="10"/>
  <c r="BV155" i="10"/>
  <c r="BA155" i="10"/>
  <c r="CC155" i="10"/>
  <c r="Q155" i="10"/>
  <c r="BY155" i="10"/>
  <c r="M155" i="10"/>
  <c r="BE155" i="10"/>
  <c r="V226" i="10"/>
  <c r="V227" i="10"/>
  <c r="V237" i="10"/>
  <c r="V219" i="10"/>
  <c r="V236" i="10"/>
  <c r="V231" i="10"/>
  <c r="V234" i="10"/>
  <c r="V208" i="10"/>
  <c r="V230" i="10"/>
  <c r="V213" i="10"/>
  <c r="V249" i="10" s="1"/>
  <c r="V206" i="10"/>
  <c r="V209" i="10"/>
  <c r="V207" i="10"/>
  <c r="V225" i="10"/>
  <c r="V212" i="10"/>
  <c r="V216" i="10"/>
  <c r="V233" i="10"/>
  <c r="V238" i="10"/>
  <c r="V224" i="10"/>
  <c r="V232" i="10"/>
  <c r="V235" i="10"/>
  <c r="V217" i="10"/>
  <c r="V228" i="10"/>
  <c r="V218" i="10"/>
  <c r="V220" i="10"/>
  <c r="V229" i="10"/>
  <c r="V214" i="10"/>
  <c r="V215" i="10"/>
  <c r="V211" i="10"/>
  <c r="V210" i="10"/>
  <c r="U256" i="10"/>
  <c r="U252" i="10"/>
  <c r="U242" i="10"/>
  <c r="U221" i="10"/>
  <c r="AK155" i="10"/>
  <c r="BL155" i="10"/>
  <c r="CN155" i="10"/>
  <c r="AL155" i="10"/>
  <c r="L155" i="10"/>
  <c r="CB155" i="10"/>
  <c r="AU155" i="10"/>
  <c r="BP155" i="10"/>
  <c r="BG155" i="10"/>
  <c r="CT155" i="10"/>
  <c r="AH155" i="10"/>
  <c r="X155" i="10"/>
  <c r="BC155" i="10"/>
  <c r="CP155" i="10"/>
  <c r="AD155" i="10"/>
  <c r="H155" i="10"/>
  <c r="CE155" i="10"/>
  <c r="S155" i="10"/>
  <c r="BF155" i="10"/>
  <c r="Z155" i="10"/>
  <c r="BM155" i="10"/>
  <c r="V155" i="10"/>
  <c r="BI155" i="10"/>
  <c r="R155" i="10"/>
  <c r="AO155" i="10"/>
  <c r="U239" i="10"/>
  <c r="U250" i="10"/>
  <c r="T257" i="10"/>
  <c r="AE155" i="10"/>
  <c r="BD155" i="10"/>
  <c r="AB155" i="10"/>
  <c r="CR155" i="10"/>
  <c r="CF155" i="10"/>
  <c r="P155" i="10"/>
  <c r="BR155" i="10"/>
  <c r="D155" i="10"/>
  <c r="AQ155" i="10"/>
  <c r="CD155" i="10"/>
  <c r="CG155" i="10"/>
  <c r="AZ155" i="10"/>
  <c r="AM155" i="10"/>
  <c r="BZ155" i="10"/>
  <c r="BQ155" i="10"/>
  <c r="CV155" i="10"/>
  <c r="BO155" i="10"/>
  <c r="C155" i="10"/>
  <c r="AP155" i="10"/>
  <c r="J155" i="10"/>
  <c r="AW155" i="10"/>
  <c r="F155" i="10"/>
  <c r="AS155" i="10"/>
  <c r="CK155" i="10"/>
  <c r="Y155" i="10"/>
  <c r="AC35" i="11" a="1"/>
  <c r="AC35" i="11" s="1"/>
  <c r="AC138" i="11" a="1"/>
  <c r="AC138" i="11" s="1"/>
  <c r="AL156" i="10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AR155" i="10"/>
  <c r="CQ155" i="10"/>
  <c r="CA155" i="10"/>
  <c r="AF155" i="10"/>
  <c r="BK155" i="10"/>
  <c r="BH155" i="10"/>
  <c r="CW155" i="10"/>
  <c r="CM155" i="10"/>
  <c r="AA155" i="10"/>
  <c r="BN155" i="10"/>
  <c r="U155" i="10"/>
  <c r="CI155" i="10"/>
  <c r="W155" i="10"/>
  <c r="BJ155" i="10"/>
  <c r="E155" i="10"/>
  <c r="AJ155" i="10"/>
  <c r="AY155" i="10"/>
  <c r="CL155" i="10"/>
  <c r="N155" i="10"/>
  <c r="CS155" i="10"/>
  <c r="AG155" i="10"/>
  <c r="CO155" i="10"/>
  <c r="AC155" i="10"/>
  <c r="BU155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C26" i="10"/>
  <c r="B26" i="10"/>
  <c r="U91" i="10"/>
  <c r="U112" i="10"/>
  <c r="BD26" i="10"/>
  <c r="BB26" i="10"/>
  <c r="AI26" i="10"/>
  <c r="S26" i="10"/>
  <c r="BR26" i="10"/>
  <c r="CM26" i="10"/>
  <c r="CI26" i="10"/>
  <c r="AL26" i="10"/>
  <c r="AD26" i="10"/>
  <c r="BU26" i="10"/>
  <c r="Z26" i="10"/>
  <c r="CT26" i="10"/>
  <c r="CL26" i="10"/>
  <c r="AO26" i="10"/>
  <c r="BZ26" i="10"/>
  <c r="I26" i="10"/>
  <c r="BM26" i="10"/>
  <c r="CC26" i="10"/>
  <c r="Y26" i="10"/>
  <c r="AR26" i="10"/>
  <c r="T26" i="10"/>
  <c r="BG26" i="10"/>
  <c r="CN26" i="10"/>
  <c r="BS26" i="10"/>
  <c r="H26" i="10"/>
  <c r="W111" i="10" a="1"/>
  <c r="W111" i="10" s="1"/>
  <c r="BP26" i="10"/>
  <c r="CV26" i="10"/>
  <c r="W223" i="10" a="1"/>
  <c r="W223" i="10" s="1"/>
  <c r="W93" i="10" a="1"/>
  <c r="W93" i="10" s="1"/>
  <c r="K26" i="10"/>
  <c r="AP26" i="10"/>
  <c r="F26" i="10"/>
  <c r="CD26" i="10"/>
  <c r="Q26" i="10"/>
  <c r="CS26" i="10"/>
  <c r="AF26" i="10"/>
  <c r="CB26" i="10"/>
  <c r="CJ26" i="10"/>
  <c r="AA26" i="10"/>
  <c r="CU26" i="10"/>
  <c r="BY26" i="10"/>
  <c r="AC26" i="10"/>
  <c r="CP26" i="10"/>
  <c r="CK26" i="10"/>
  <c r="CO26" i="10"/>
  <c r="CR26" i="10"/>
  <c r="W205" i="10" a="1"/>
  <c r="W205" i="10" s="1"/>
  <c r="AX26" i="10"/>
  <c r="AQ26" i="10"/>
  <c r="W26" i="10"/>
  <c r="BF26" i="10"/>
  <c r="BV26" i="10"/>
  <c r="G26" i="10"/>
  <c r="BE26" i="10"/>
  <c r="CE26" i="10"/>
  <c r="N26" i="10"/>
  <c r="R26" i="10"/>
  <c r="V26" i="10"/>
  <c r="BI26" i="10"/>
  <c r="CH26" i="10"/>
  <c r="AK26" i="10"/>
  <c r="U26" i="10"/>
  <c r="E26" i="10"/>
  <c r="CW26" i="10"/>
  <c r="AZ26" i="10"/>
  <c r="BT26" i="10"/>
  <c r="AJ26" i="10"/>
  <c r="P26" i="10"/>
  <c r="CF26" i="10"/>
  <c r="X26" i="10"/>
  <c r="BK26" i="10"/>
  <c r="J26" i="10"/>
  <c r="AW26" i="10"/>
  <c r="BC26" i="10"/>
  <c r="BL26" i="10"/>
  <c r="O26" i="10"/>
  <c r="AT26" i="10"/>
  <c r="BJ26" i="10"/>
  <c r="BX26" i="10"/>
  <c r="AB26" i="10"/>
  <c r="AN26" i="10"/>
  <c r="BQ26" i="10"/>
  <c r="AM26" i="10"/>
  <c r="AE26" i="10"/>
  <c r="BO26" i="10"/>
  <c r="CA26" i="10"/>
  <c r="BN26" i="10"/>
  <c r="AG26" i="10"/>
  <c r="BH26" i="10"/>
  <c r="CG26" i="10"/>
  <c r="L26" i="10"/>
  <c r="AY26" i="10"/>
  <c r="W241" i="10" a="1"/>
  <c r="W241" i="10" s="1"/>
  <c r="W75" i="10" a="1"/>
  <c r="W75" i="10" s="1"/>
  <c r="AU26" i="10"/>
  <c r="CQ26" i="10"/>
  <c r="BA26" i="10"/>
  <c r="AH26" i="10"/>
  <c r="AS26" i="10"/>
  <c r="M26" i="10"/>
  <c r="AV26" i="10"/>
  <c r="D26" i="10"/>
  <c r="BW26" i="10"/>
  <c r="I27" i="13"/>
  <c r="A27" i="10"/>
  <c r="A157" i="10"/>
  <c r="B157" i="10" s="1"/>
  <c r="E28" i="7"/>
  <c r="V250" i="10" l="1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V243" i="10"/>
  <c r="AD35" i="11" a="1"/>
  <c r="AD35" i="11" s="1"/>
  <c r="AD138" i="11" a="1"/>
  <c r="AD138" i="11" s="1"/>
  <c r="V239" i="10"/>
  <c r="V221" i="10"/>
  <c r="V242" i="10"/>
  <c r="S156" i="10"/>
  <c r="AC156" i="10"/>
  <c r="CI156" i="10"/>
  <c r="CB156" i="10"/>
  <c r="AR156" i="10"/>
  <c r="CR156" i="10"/>
  <c r="AB156" i="10"/>
  <c r="AS156" i="10"/>
  <c r="U156" i="10"/>
  <c r="CF156" i="10"/>
  <c r="BT156" i="10"/>
  <c r="X156" i="10"/>
  <c r="O156" i="10"/>
  <c r="AY156" i="10"/>
  <c r="BP156" i="10"/>
  <c r="D156" i="10"/>
  <c r="CT156" i="10"/>
  <c r="AK156" i="10"/>
  <c r="AV156" i="10"/>
  <c r="W156" i="10"/>
  <c r="CP156" i="10"/>
  <c r="AD156" i="10"/>
  <c r="BF156" i="10"/>
  <c r="CH156" i="10"/>
  <c r="V156" i="10"/>
  <c r="V246" i="10"/>
  <c r="V253" i="10"/>
  <c r="I156" i="10"/>
  <c r="CG156" i="10"/>
  <c r="BK156" i="10"/>
  <c r="BA156" i="10"/>
  <c r="C156" i="10"/>
  <c r="BW156" i="10"/>
  <c r="BN156" i="10"/>
  <c r="CM156" i="10"/>
  <c r="CU156" i="10"/>
  <c r="BG156" i="10"/>
  <c r="AG156" i="10"/>
  <c r="H156" i="10"/>
  <c r="AX156" i="10"/>
  <c r="CJ156" i="10"/>
  <c r="AZ156" i="10"/>
  <c r="AQ156" i="10"/>
  <c r="AH156" i="10"/>
  <c r="CE156" i="10"/>
  <c r="AF156" i="10"/>
  <c r="G156" i="10"/>
  <c r="BZ156" i="10"/>
  <c r="N156" i="10"/>
  <c r="AP156" i="10"/>
  <c r="BR156" i="10"/>
  <c r="F156" i="10"/>
  <c r="W208" i="10"/>
  <c r="W224" i="10"/>
  <c r="W206" i="10"/>
  <c r="W207" i="10"/>
  <c r="W212" i="10"/>
  <c r="W237" i="10"/>
  <c r="W219" i="10"/>
  <c r="W236" i="10"/>
  <c r="W232" i="10"/>
  <c r="W231" i="10"/>
  <c r="W234" i="10"/>
  <c r="W216" i="10"/>
  <c r="W226" i="10"/>
  <c r="W225" i="10"/>
  <c r="W230" i="10"/>
  <c r="W218" i="10"/>
  <c r="W254" i="10" s="1"/>
  <c r="W214" i="10"/>
  <c r="W250" i="10" s="1"/>
  <c r="W215" i="10"/>
  <c r="W210" i="10"/>
  <c r="W228" i="10"/>
  <c r="W209" i="10"/>
  <c r="W213" i="10"/>
  <c r="W249" i="10" s="1"/>
  <c r="W233" i="10"/>
  <c r="W211" i="10"/>
  <c r="W227" i="10"/>
  <c r="W235" i="10"/>
  <c r="W217" i="10"/>
  <c r="W229" i="10"/>
  <c r="W238" i="10"/>
  <c r="W220" i="10"/>
  <c r="U257" i="10"/>
  <c r="BS156" i="10"/>
  <c r="BH156" i="10"/>
  <c r="M156" i="10"/>
  <c r="CK156" i="10"/>
  <c r="CC156" i="10"/>
  <c r="AO156" i="10"/>
  <c r="CS156" i="10"/>
  <c r="BQ156" i="10"/>
  <c r="L156" i="10"/>
  <c r="E156" i="10"/>
  <c r="BD156" i="10"/>
  <c r="AU156" i="10"/>
  <c r="CV156" i="10"/>
  <c r="BM156" i="10"/>
  <c r="AJ156" i="10"/>
  <c r="AA156" i="10"/>
  <c r="CQ156" i="10"/>
  <c r="BE156" i="10"/>
  <c r="P156" i="10"/>
  <c r="CD156" i="10"/>
  <c r="BJ156" i="10"/>
  <c r="CL156" i="10"/>
  <c r="Z156" i="10"/>
  <c r="BB156" i="10"/>
  <c r="C157" i="10"/>
  <c r="S157" i="10"/>
  <c r="G157" i="10"/>
  <c r="W157" i="10"/>
  <c r="K157" i="10"/>
  <c r="AA157" i="10"/>
  <c r="E157" i="10"/>
  <c r="Z157" i="10"/>
  <c r="AQ157" i="10"/>
  <c r="BG157" i="10"/>
  <c r="BW157" i="10"/>
  <c r="CM157" i="10"/>
  <c r="Q157" i="10"/>
  <c r="AJ157" i="10"/>
  <c r="AZ157" i="10"/>
  <c r="BP157" i="10"/>
  <c r="CF157" i="10"/>
  <c r="CV157" i="10"/>
  <c r="J157" i="10"/>
  <c r="AE157" i="10"/>
  <c r="AU157" i="10"/>
  <c r="BK157" i="10"/>
  <c r="CA157" i="10"/>
  <c r="CQ157" i="10"/>
  <c r="V157" i="10"/>
  <c r="AN157" i="10"/>
  <c r="BD157" i="10"/>
  <c r="BT157" i="10"/>
  <c r="CJ157" i="10"/>
  <c r="O157" i="10"/>
  <c r="P157" i="10"/>
  <c r="AI157" i="10"/>
  <c r="AY157" i="10"/>
  <c r="BO157" i="10"/>
  <c r="CE157" i="10"/>
  <c r="CU157" i="10"/>
  <c r="F157" i="10"/>
  <c r="AB157" i="10"/>
  <c r="AR157" i="10"/>
  <c r="BH157" i="10"/>
  <c r="BX157" i="10"/>
  <c r="CN157" i="10"/>
  <c r="BS157" i="10"/>
  <c r="AF157" i="10"/>
  <c r="CR157" i="10"/>
  <c r="M157" i="10"/>
  <c r="AG157" i="10"/>
  <c r="AW157" i="10"/>
  <c r="BM157" i="10"/>
  <c r="CC157" i="10"/>
  <c r="CS157" i="10"/>
  <c r="T157" i="10"/>
  <c r="AL157" i="10"/>
  <c r="BB157" i="10"/>
  <c r="BR157" i="10"/>
  <c r="CH157" i="10"/>
  <c r="U157" i="10"/>
  <c r="CI157" i="10"/>
  <c r="AV157" i="10"/>
  <c r="R157" i="10"/>
  <c r="AK157" i="10"/>
  <c r="BA157" i="10"/>
  <c r="BQ157" i="10"/>
  <c r="CG157" i="10"/>
  <c r="CW157" i="10"/>
  <c r="D157" i="10"/>
  <c r="Y157" i="10"/>
  <c r="AP157" i="10"/>
  <c r="BF157" i="10"/>
  <c r="BV157" i="10"/>
  <c r="CL157" i="10"/>
  <c r="AM157" i="10"/>
  <c r="BL157" i="10"/>
  <c r="X157" i="10"/>
  <c r="AO157" i="10"/>
  <c r="BE157" i="10"/>
  <c r="BU157" i="10"/>
  <c r="CK157" i="10"/>
  <c r="I157" i="10"/>
  <c r="AD157" i="10"/>
  <c r="AT157" i="10"/>
  <c r="BJ157" i="10"/>
  <c r="BZ157" i="10"/>
  <c r="CP157" i="10"/>
  <c r="AS157" i="10"/>
  <c r="N157" i="10"/>
  <c r="CD157" i="10"/>
  <c r="L157" i="10"/>
  <c r="BI157" i="10"/>
  <c r="AH157" i="10"/>
  <c r="CT157" i="10"/>
  <c r="CB157" i="10"/>
  <c r="H157" i="10"/>
  <c r="BY157" i="10"/>
  <c r="AX157" i="10"/>
  <c r="BN157" i="10"/>
  <c r="BC157" i="10"/>
  <c r="AC157" i="10"/>
  <c r="CO157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44" i="10"/>
  <c r="V255" i="10"/>
  <c r="CN156" i="10"/>
  <c r="BY156" i="10"/>
  <c r="BI156" i="10"/>
  <c r="CW156" i="10"/>
  <c r="AW156" i="10"/>
  <c r="BC156" i="10"/>
  <c r="BO156" i="10"/>
  <c r="BX156" i="10"/>
  <c r="Y156" i="10"/>
  <c r="AI156" i="10"/>
  <c r="CO156" i="10"/>
  <c r="AN156" i="10"/>
  <c r="AE156" i="10"/>
  <c r="CA156" i="10"/>
  <c r="Q156" i="10"/>
  <c r="T156" i="10"/>
  <c r="K156" i="10"/>
  <c r="BU156" i="10"/>
  <c r="BL156" i="10"/>
  <c r="AM156" i="10"/>
  <c r="R156" i="10"/>
  <c r="AT156" i="10"/>
  <c r="BV156" i="10"/>
  <c r="J156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C27" i="10"/>
  <c r="B27" i="10"/>
  <c r="V112" i="10"/>
  <c r="V91" i="10"/>
  <c r="BB27" i="10"/>
  <c r="AI27" i="10"/>
  <c r="W27" i="10"/>
  <c r="BV27" i="10"/>
  <c r="BO27" i="10"/>
  <c r="CA27" i="10"/>
  <c r="CI27" i="10"/>
  <c r="Z27" i="10"/>
  <c r="AD27" i="10"/>
  <c r="AL27" i="10"/>
  <c r="BY27" i="10"/>
  <c r="Y27" i="10"/>
  <c r="AO27" i="10"/>
  <c r="CH27" i="10"/>
  <c r="AC27" i="10"/>
  <c r="CK27" i="10"/>
  <c r="BH27" i="10"/>
  <c r="X27" i="10"/>
  <c r="CV27" i="10"/>
  <c r="H27" i="10"/>
  <c r="AZ27" i="10"/>
  <c r="AB27" i="10"/>
  <c r="CN27" i="10"/>
  <c r="BL27" i="10"/>
  <c r="X223" i="10" a="1"/>
  <c r="X223" i="10" s="1"/>
  <c r="X93" i="10" a="1"/>
  <c r="X93" i="10" s="1"/>
  <c r="CB27" i="10"/>
  <c r="X111" i="10" a="1"/>
  <c r="X111" i="10" s="1"/>
  <c r="BD27" i="10"/>
  <c r="S27" i="10"/>
  <c r="AT27" i="10"/>
  <c r="F27" i="10"/>
  <c r="Q27" i="10"/>
  <c r="BZ27" i="10"/>
  <c r="CW27" i="10"/>
  <c r="CO27" i="10"/>
  <c r="CJ27" i="10"/>
  <c r="X241" i="10" a="1"/>
  <c r="X241" i="10" s="1"/>
  <c r="AQ27" i="10"/>
  <c r="BK27" i="10"/>
  <c r="BA27" i="10"/>
  <c r="BI27" i="10"/>
  <c r="AK27" i="10"/>
  <c r="BS27" i="10"/>
  <c r="BG27" i="10"/>
  <c r="X205" i="10" a="1"/>
  <c r="X205" i="10" s="1"/>
  <c r="BQ27" i="10"/>
  <c r="AE27" i="10"/>
  <c r="K27" i="10"/>
  <c r="O27" i="10"/>
  <c r="CU27" i="10"/>
  <c r="BE27" i="10"/>
  <c r="CE27" i="10"/>
  <c r="V27" i="10"/>
  <c r="J27" i="10"/>
  <c r="AH27" i="10"/>
  <c r="CL27" i="10"/>
  <c r="U27" i="10"/>
  <c r="CT27" i="10"/>
  <c r="CD27" i="10"/>
  <c r="E27" i="10"/>
  <c r="CC27" i="10"/>
  <c r="BX27" i="10"/>
  <c r="T27" i="10"/>
  <c r="BC27" i="10"/>
  <c r="BT27" i="10"/>
  <c r="AY27" i="10"/>
  <c r="P27" i="10"/>
  <c r="CR27" i="10"/>
  <c r="AX27" i="10"/>
  <c r="G27" i="10"/>
  <c r="CQ27" i="10"/>
  <c r="R27" i="10"/>
  <c r="BN27" i="10"/>
  <c r="M27" i="10"/>
  <c r="AN27" i="10"/>
  <c r="L27" i="10"/>
  <c r="AU27" i="10"/>
  <c r="CM27" i="10"/>
  <c r="CP27" i="10"/>
  <c r="AW27" i="10"/>
  <c r="I27" i="10"/>
  <c r="CG27" i="10"/>
  <c r="CF27" i="10"/>
  <c r="AA27" i="10"/>
  <c r="BR27" i="10"/>
  <c r="N27" i="10"/>
  <c r="AS27" i="10"/>
  <c r="BM27" i="10"/>
  <c r="BW27" i="10"/>
  <c r="AR27" i="10"/>
  <c r="BP27" i="10"/>
  <c r="AM27" i="10"/>
  <c r="BF27" i="10"/>
  <c r="AP27" i="10"/>
  <c r="AG27" i="10"/>
  <c r="CS27" i="10"/>
  <c r="AJ27" i="10"/>
  <c r="D27" i="10"/>
  <c r="BU27" i="10"/>
  <c r="BJ27" i="10"/>
  <c r="AV27" i="10"/>
  <c r="AF27" i="10"/>
  <c r="X75" i="10" a="1"/>
  <c r="X75" i="10" s="1"/>
  <c r="A158" i="10"/>
  <c r="B158" i="10" s="1"/>
  <c r="I28" i="13"/>
  <c r="E29" i="7"/>
  <c r="A28" i="10"/>
  <c r="W126" i="10" l="1"/>
  <c r="W252" i="10"/>
  <c r="W115" i="10"/>
  <c r="W253" i="10"/>
  <c r="W246" i="10"/>
  <c r="W255" i="10"/>
  <c r="W221" i="10"/>
  <c r="W242" i="10"/>
  <c r="W256" i="10"/>
  <c r="W251" i="10"/>
  <c r="W239" i="10"/>
  <c r="X208" i="10"/>
  <c r="X219" i="10"/>
  <c r="X220" i="10"/>
  <c r="X206" i="10"/>
  <c r="X225" i="10"/>
  <c r="X207" i="10"/>
  <c r="X218" i="10"/>
  <c r="X214" i="10"/>
  <c r="X234" i="10"/>
  <c r="X233" i="10"/>
  <c r="X226" i="10"/>
  <c r="X224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W244" i="10"/>
  <c r="AE35" i="11" a="1"/>
  <c r="AE35" i="11" s="1"/>
  <c r="AE138" i="11" a="1"/>
  <c r="AE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H158" i="10"/>
  <c r="X158" i="10"/>
  <c r="AN158" i="10"/>
  <c r="BD158" i="10"/>
  <c r="BT158" i="10"/>
  <c r="CJ158" i="10"/>
  <c r="Q158" i="10"/>
  <c r="AG158" i="10"/>
  <c r="AW158" i="10"/>
  <c r="BM158" i="10"/>
  <c r="CC158" i="10"/>
  <c r="CS158" i="10"/>
  <c r="L158" i="10"/>
  <c r="AB158" i="10"/>
  <c r="AR158" i="10"/>
  <c r="BH158" i="10"/>
  <c r="BX158" i="10"/>
  <c r="CN158" i="10"/>
  <c r="E158" i="10"/>
  <c r="U158" i="10"/>
  <c r="AK158" i="10"/>
  <c r="BA158" i="10"/>
  <c r="BQ158" i="10"/>
  <c r="CG158" i="10"/>
  <c r="CW158" i="10"/>
  <c r="P158" i="10"/>
  <c r="AF158" i="10"/>
  <c r="AV158" i="10"/>
  <c r="BL158" i="10"/>
  <c r="CB158" i="10"/>
  <c r="CR158" i="10"/>
  <c r="I158" i="10"/>
  <c r="Y158" i="10"/>
  <c r="AO158" i="10"/>
  <c r="BE158" i="10"/>
  <c r="BU158" i="10"/>
  <c r="CK158" i="10"/>
  <c r="AJ158" i="10"/>
  <c r="CV158" i="10"/>
  <c r="BI158" i="10"/>
  <c r="N158" i="10"/>
  <c r="AD158" i="10"/>
  <c r="AT158" i="10"/>
  <c r="BJ158" i="10"/>
  <c r="BZ158" i="10"/>
  <c r="CP158" i="10"/>
  <c r="C158" i="10"/>
  <c r="S158" i="10"/>
  <c r="AI158" i="10"/>
  <c r="AY158" i="10"/>
  <c r="BO158" i="10"/>
  <c r="CE158" i="10"/>
  <c r="CU158" i="10"/>
  <c r="AZ158" i="10"/>
  <c r="M158" i="10"/>
  <c r="BY158" i="10"/>
  <c r="R158" i="10"/>
  <c r="AH158" i="10"/>
  <c r="AX158" i="10"/>
  <c r="BN158" i="10"/>
  <c r="CD158" i="10"/>
  <c r="CT158" i="10"/>
  <c r="G158" i="10"/>
  <c r="W158" i="10"/>
  <c r="AM158" i="10"/>
  <c r="BC158" i="10"/>
  <c r="BS158" i="10"/>
  <c r="CI158" i="10"/>
  <c r="D158" i="10"/>
  <c r="BP158" i="10"/>
  <c r="AC158" i="10"/>
  <c r="CO158" i="10"/>
  <c r="F158" i="10"/>
  <c r="V158" i="10"/>
  <c r="AL158" i="10"/>
  <c r="BB158" i="10"/>
  <c r="BR158" i="10"/>
  <c r="CH158" i="10"/>
  <c r="K158" i="10"/>
  <c r="AA158" i="10"/>
  <c r="AQ158" i="10"/>
  <c r="BG158" i="10"/>
  <c r="BW158" i="10"/>
  <c r="CM158" i="10"/>
  <c r="T158" i="10"/>
  <c r="J158" i="10"/>
  <c r="BV158" i="10"/>
  <c r="AU158" i="10"/>
  <c r="CF158" i="10"/>
  <c r="Z158" i="10"/>
  <c r="CL158" i="10"/>
  <c r="BK158" i="10"/>
  <c r="AP158" i="10"/>
  <c r="O158" i="10"/>
  <c r="CA158" i="10"/>
  <c r="AS158" i="10"/>
  <c r="AE158" i="10"/>
  <c r="BF158" i="10"/>
  <c r="CQ158" i="10"/>
  <c r="W247" i="10"/>
  <c r="W243" i="10"/>
  <c r="V257" i="10"/>
  <c r="X96" i="10"/>
  <c r="X95" i="10"/>
  <c r="X99" i="10"/>
  <c r="X94" i="10"/>
  <c r="X98" i="10"/>
  <c r="X97" i="10"/>
  <c r="X101" i="10"/>
  <c r="X105" i="10"/>
  <c r="X104" i="10"/>
  <c r="X103" i="10"/>
  <c r="X100" i="10"/>
  <c r="X118" i="10" s="1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C28" i="10"/>
  <c r="B28" i="10"/>
  <c r="W91" i="10"/>
  <c r="W112" i="10"/>
  <c r="BD28" i="10"/>
  <c r="AM28" i="10"/>
  <c r="G28" i="10"/>
  <c r="K28" i="10"/>
  <c r="CU28" i="10"/>
  <c r="BE28" i="10"/>
  <c r="AT28" i="10"/>
  <c r="AD28" i="10"/>
  <c r="BN28" i="10"/>
  <c r="N28" i="10"/>
  <c r="BU28" i="10"/>
  <c r="BZ28" i="10"/>
  <c r="AC28" i="10"/>
  <c r="AS28" i="10"/>
  <c r="BH28" i="10"/>
  <c r="AY28" i="10"/>
  <c r="U28" i="10"/>
  <c r="CO28" i="10"/>
  <c r="AN28" i="10"/>
  <c r="P28" i="10"/>
  <c r="CJ28" i="10"/>
  <c r="BP28" i="10"/>
  <c r="BC28" i="10"/>
  <c r="BW28" i="10"/>
  <c r="Y93" i="10" a="1"/>
  <c r="Y93" i="10" s="1"/>
  <c r="BR28" i="10"/>
  <c r="AL28" i="10"/>
  <c r="Z28" i="10"/>
  <c r="Q28" i="10"/>
  <c r="CW28" i="10"/>
  <c r="CC28" i="10"/>
  <c r="AJ28" i="10"/>
  <c r="D28" i="10"/>
  <c r="O28" i="10"/>
  <c r="CA28" i="10"/>
  <c r="R28" i="10"/>
  <c r="CD28" i="10"/>
  <c r="I28" i="10"/>
  <c r="CS28" i="10"/>
  <c r="X28" i="10"/>
  <c r="AZ28" i="10"/>
  <c r="Y205" i="10" a="1"/>
  <c r="Y205" i="10" s="1"/>
  <c r="BQ28" i="10"/>
  <c r="BB28" i="10"/>
  <c r="AA28" i="10"/>
  <c r="BV28" i="10"/>
  <c r="BF28" i="10"/>
  <c r="CQ28" i="10"/>
  <c r="CE28" i="10"/>
  <c r="AP28" i="10"/>
  <c r="CI28" i="10"/>
  <c r="BJ28" i="10"/>
  <c r="J28" i="10"/>
  <c r="CL28" i="10"/>
  <c r="AW28" i="10"/>
  <c r="Y28" i="10"/>
  <c r="AK28" i="10"/>
  <c r="BX28" i="10"/>
  <c r="AV28" i="10"/>
  <c r="M28" i="10"/>
  <c r="CK28" i="10"/>
  <c r="AF28" i="10"/>
  <c r="BL28" i="10"/>
  <c r="CB28" i="10"/>
  <c r="CV28" i="10"/>
  <c r="L28" i="10"/>
  <c r="BS28" i="10"/>
  <c r="Y223" i="10" a="1"/>
  <c r="Y223" i="10" s="1"/>
  <c r="Y75" i="10" a="1"/>
  <c r="Y75" i="10" s="1"/>
  <c r="S28" i="10"/>
  <c r="BA28" i="10"/>
  <c r="V28" i="10"/>
  <c r="AO28" i="10"/>
  <c r="BT28" i="10"/>
  <c r="AB28" i="10"/>
  <c r="CF28" i="10"/>
  <c r="Y241" i="10" a="1"/>
  <c r="Y241" i="10" s="1"/>
  <c r="Y111" i="10" a="1"/>
  <c r="Y111" i="10" s="1"/>
  <c r="AX28" i="10"/>
  <c r="AE28" i="10"/>
  <c r="BO28" i="10"/>
  <c r="AH28" i="10"/>
  <c r="BI28" i="10"/>
  <c r="AG28" i="10"/>
  <c r="CG28" i="10"/>
  <c r="AR28" i="10"/>
  <c r="CN28" i="10"/>
  <c r="BG28" i="10"/>
  <c r="AU28" i="10"/>
  <c r="AQ28" i="10"/>
  <c r="AI28" i="10"/>
  <c r="CM28" i="10"/>
  <c r="F28" i="10"/>
  <c r="CH28" i="10"/>
  <c r="CP28" i="10"/>
  <c r="BM28" i="10"/>
  <c r="CR28" i="10"/>
  <c r="H28" i="10"/>
  <c r="W28" i="10"/>
  <c r="BK28" i="10"/>
  <c r="BY28" i="10"/>
  <c r="CT28" i="10"/>
  <c r="E28" i="10"/>
  <c r="T28" i="10"/>
  <c r="I29" i="13"/>
  <c r="A29" i="10"/>
  <c r="A159" i="10"/>
  <c r="B159" i="10" s="1"/>
  <c r="E30" i="7"/>
  <c r="X113" i="10" l="1"/>
  <c r="X246" i="10"/>
  <c r="X121" i="10"/>
  <c r="X124" i="10"/>
  <c r="X125" i="10"/>
  <c r="X120" i="10"/>
  <c r="X247" i="10"/>
  <c r="X252" i="10"/>
  <c r="X119" i="10"/>
  <c r="X117" i="10"/>
  <c r="X251" i="10"/>
  <c r="X249" i="10"/>
  <c r="X243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39" i="10"/>
  <c r="X250" i="10"/>
  <c r="X242" i="10"/>
  <c r="X221" i="10"/>
  <c r="X254" i="10"/>
  <c r="X256" i="10"/>
  <c r="X255" i="10"/>
  <c r="AF35" i="11" a="1"/>
  <c r="AF35" i="11" s="1"/>
  <c r="AF138" i="11" a="1"/>
  <c r="AF138" i="11" s="1"/>
  <c r="BA159" i="10" s="1"/>
  <c r="Y219" i="10"/>
  <c r="Y236" i="10"/>
  <c r="Y215" i="10"/>
  <c r="Y226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24" i="10"/>
  <c r="Y206" i="10"/>
  <c r="Y225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244" i="10"/>
  <c r="W257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C29" i="10"/>
  <c r="B29" i="10"/>
  <c r="I30" i="13"/>
  <c r="E31" i="7"/>
  <c r="A30" i="10"/>
  <c r="A160" i="10"/>
  <c r="B160" i="10" s="1"/>
  <c r="BQ29" i="10"/>
  <c r="AM29" i="10"/>
  <c r="W29" i="10"/>
  <c r="K29" i="10"/>
  <c r="G29" i="10"/>
  <c r="CA29" i="10"/>
  <c r="AP29" i="10"/>
  <c r="AT29" i="10"/>
  <c r="F29" i="10"/>
  <c r="J29" i="10"/>
  <c r="V29" i="10"/>
  <c r="CD29" i="10"/>
  <c r="AW29" i="10"/>
  <c r="AS29" i="10"/>
  <c r="BM29" i="10"/>
  <c r="CC29" i="10"/>
  <c r="M29" i="10"/>
  <c r="BX29" i="10"/>
  <c r="AN29" i="10"/>
  <c r="CJ29" i="10"/>
  <c r="AF29" i="10"/>
  <c r="BP29" i="10"/>
  <c r="Z205" i="10" a="1"/>
  <c r="Z205" i="10" s="1"/>
  <c r="BD29" i="10"/>
  <c r="AI29" i="10"/>
  <c r="BV29" i="10"/>
  <c r="BO29" i="10"/>
  <c r="BF29" i="10"/>
  <c r="BA29" i="10"/>
  <c r="CM29" i="10"/>
  <c r="AL29" i="10"/>
  <c r="BI29" i="10"/>
  <c r="BY29" i="10"/>
  <c r="N29" i="10"/>
  <c r="AG29" i="10"/>
  <c r="AO29" i="10"/>
  <c r="AK29" i="10"/>
  <c r="CS29" i="10"/>
  <c r="BC29" i="10"/>
  <c r="I29" i="10"/>
  <c r="CW29" i="10"/>
  <c r="X29" i="10"/>
  <c r="AZ29" i="10"/>
  <c r="AB29" i="10"/>
  <c r="BL29" i="10"/>
  <c r="T29" i="10"/>
  <c r="CV29" i="10"/>
  <c r="Z111" i="10" a="1"/>
  <c r="Z111" i="10" s="1"/>
  <c r="CQ29" i="10"/>
  <c r="CH29" i="10"/>
  <c r="BT29" i="10"/>
  <c r="BH29" i="10"/>
  <c r="AR29" i="10"/>
  <c r="BS29" i="10"/>
  <c r="Z241" i="10" a="1"/>
  <c r="Z241" i="10" s="1"/>
  <c r="BW29" i="10"/>
  <c r="Z93" i="10" a="1"/>
  <c r="Z93" i="10" s="1"/>
  <c r="BB29" i="10"/>
  <c r="AU29" i="10"/>
  <c r="AE29" i="10"/>
  <c r="S29" i="10"/>
  <c r="BK29" i="10"/>
  <c r="CU29" i="10"/>
  <c r="AD29" i="10"/>
  <c r="CE29" i="10"/>
  <c r="AH29" i="10"/>
  <c r="BU29" i="10"/>
  <c r="Z29" i="10"/>
  <c r="CL29" i="10"/>
  <c r="Y29" i="10"/>
  <c r="AC29" i="10"/>
  <c r="CT29" i="10"/>
  <c r="CK29" i="10"/>
  <c r="AY29" i="10"/>
  <c r="E29" i="10"/>
  <c r="Q29" i="10"/>
  <c r="H29" i="10"/>
  <c r="AV29" i="10"/>
  <c r="P29" i="10"/>
  <c r="CR29" i="10"/>
  <c r="D29" i="10"/>
  <c r="CF29" i="10"/>
  <c r="Z223" i="10" a="1"/>
  <c r="Z223" i="10" s="1"/>
  <c r="AX29" i="10"/>
  <c r="AQ29" i="10"/>
  <c r="O29" i="10"/>
  <c r="CI29" i="10"/>
  <c r="R29" i="10"/>
  <c r="BJ29" i="10"/>
  <c r="BZ29" i="10"/>
  <c r="U29" i="10"/>
  <c r="BG29" i="10"/>
  <c r="CN29" i="10"/>
  <c r="Z75" i="10" a="1"/>
  <c r="Z75" i="10" s="1"/>
  <c r="AJ29" i="10"/>
  <c r="AA29" i="10"/>
  <c r="BR29" i="10"/>
  <c r="BE29" i="10"/>
  <c r="CP29" i="10"/>
  <c r="BN29" i="10"/>
  <c r="CG29" i="10"/>
  <c r="CO29" i="10"/>
  <c r="L29" i="10"/>
  <c r="CB29" i="10"/>
  <c r="X112" i="10"/>
  <c r="X91" i="10"/>
  <c r="Y252" i="10" l="1"/>
  <c r="Y253" i="10"/>
  <c r="Y245" i="10"/>
  <c r="Y256" i="10"/>
  <c r="Y244" i="10"/>
  <c r="AR159" i="10"/>
  <c r="CI159" i="10"/>
  <c r="Y246" i="10"/>
  <c r="Y254" i="10"/>
  <c r="Y242" i="10"/>
  <c r="Y221" i="10"/>
  <c r="Y243" i="10"/>
  <c r="BH159" i="10"/>
  <c r="BS159" i="10"/>
  <c r="AB159" i="10"/>
  <c r="L159" i="10"/>
  <c r="BT159" i="10"/>
  <c r="H159" i="10"/>
  <c r="AY159" i="10"/>
  <c r="BF159" i="10"/>
  <c r="CF159" i="10"/>
  <c r="T159" i="10"/>
  <c r="BK159" i="10"/>
  <c r="AP159" i="10"/>
  <c r="CB159" i="10"/>
  <c r="P159" i="10"/>
  <c r="AQ159" i="10"/>
  <c r="Z159" i="10"/>
  <c r="BB159" i="10"/>
  <c r="CO159" i="10"/>
  <c r="AC159" i="10"/>
  <c r="BN159" i="10"/>
  <c r="CK159" i="10"/>
  <c r="Y159" i="10"/>
  <c r="BJ159" i="10"/>
  <c r="CW159" i="10"/>
  <c r="AK159" i="10"/>
  <c r="Y239" i="10"/>
  <c r="Y255" i="10"/>
  <c r="G159" i="10"/>
  <c r="BC159" i="10"/>
  <c r="AM159" i="10"/>
  <c r="BD159" i="10"/>
  <c r="CU159" i="10"/>
  <c r="AI159" i="10"/>
  <c r="CS159" i="10"/>
  <c r="BP159" i="10"/>
  <c r="D159" i="10"/>
  <c r="AU159" i="10"/>
  <c r="CC159" i="10"/>
  <c r="BL159" i="10"/>
  <c r="CM159" i="10"/>
  <c r="AA159" i="10"/>
  <c r="BM159" i="10"/>
  <c r="AL159" i="10"/>
  <c r="BY159" i="10"/>
  <c r="M159" i="10"/>
  <c r="AX159" i="10"/>
  <c r="BU159" i="10"/>
  <c r="I159" i="10"/>
  <c r="AT159" i="10"/>
  <c r="CG159" i="10"/>
  <c r="U159" i="10"/>
  <c r="Z224" i="10"/>
  <c r="Z206" i="10"/>
  <c r="Z218" i="10"/>
  <c r="Z232" i="10"/>
  <c r="Z214" i="10"/>
  <c r="Z215" i="10"/>
  <c r="Z220" i="10"/>
  <c r="Z228" i="10"/>
  <c r="Z210" i="10"/>
  <c r="Z226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09" i="10"/>
  <c r="Z216" i="10"/>
  <c r="Z238" i="10"/>
  <c r="Z235" i="10"/>
  <c r="Z217" i="10"/>
  <c r="Z233" i="10"/>
  <c r="Z229" i="10"/>
  <c r="Z225" i="10"/>
  <c r="Z212" i="10"/>
  <c r="Z248" i="10" s="1"/>
  <c r="AG35" i="11" a="1"/>
  <c r="AG35" i="11" s="1"/>
  <c r="AG138" i="11" a="1"/>
  <c r="AG138" i="11" s="1"/>
  <c r="R160" i="10" s="1"/>
  <c r="Y247" i="10"/>
  <c r="Y250" i="10"/>
  <c r="W159" i="10"/>
  <c r="AW159" i="10"/>
  <c r="BV159" i="10"/>
  <c r="J159" i="10"/>
  <c r="AN159" i="10"/>
  <c r="CE159" i="10"/>
  <c r="S159" i="10"/>
  <c r="AG159" i="10"/>
  <c r="AZ159" i="10"/>
  <c r="CQ159" i="10"/>
  <c r="AE159" i="10"/>
  <c r="Q159" i="10"/>
  <c r="AV159" i="10"/>
  <c r="BW159" i="10"/>
  <c r="K159" i="10"/>
  <c r="CH159" i="10"/>
  <c r="V159" i="10"/>
  <c r="BI159" i="10"/>
  <c r="CT159" i="10"/>
  <c r="AH159" i="10"/>
  <c r="BE159" i="10"/>
  <c r="CP159" i="10"/>
  <c r="AD159" i="10"/>
  <c r="BQ159" i="10"/>
  <c r="E159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CN159" i="10"/>
  <c r="BX159" i="10"/>
  <c r="CJ159" i="10"/>
  <c r="X159" i="10"/>
  <c r="BO159" i="10"/>
  <c r="C159" i="10"/>
  <c r="CV159" i="10"/>
  <c r="AJ159" i="10"/>
  <c r="CA159" i="10"/>
  <c r="O159" i="10"/>
  <c r="CR159" i="10"/>
  <c r="AF159" i="10"/>
  <c r="BG159" i="10"/>
  <c r="CL159" i="10"/>
  <c r="BR159" i="10"/>
  <c r="F159" i="10"/>
  <c r="AS159" i="10"/>
  <c r="CD159" i="10"/>
  <c r="R159" i="10"/>
  <c r="AO159" i="10"/>
  <c r="BZ159" i="10"/>
  <c r="N159" i="10"/>
  <c r="X257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C30" i="10"/>
  <c r="B30" i="10"/>
  <c r="Y112" i="10"/>
  <c r="Y91" i="10"/>
  <c r="AM30" i="10"/>
  <c r="CE30" i="10"/>
  <c r="Z30" i="10"/>
  <c r="AO30" i="10"/>
  <c r="M30" i="10"/>
  <c r="X30" i="10"/>
  <c r="AA223" i="10" a="1"/>
  <c r="AA223" i="10" s="1"/>
  <c r="BB30" i="10"/>
  <c r="AI30" i="10"/>
  <c r="K30" i="10"/>
  <c r="BK30" i="10"/>
  <c r="BR30" i="10"/>
  <c r="CA30" i="10"/>
  <c r="BE30" i="10"/>
  <c r="AT30" i="10"/>
  <c r="BI30" i="10"/>
  <c r="F30" i="10"/>
  <c r="CP30" i="10"/>
  <c r="BJ30" i="10"/>
  <c r="AG30" i="10"/>
  <c r="BZ30" i="10"/>
  <c r="CW30" i="10"/>
  <c r="AY30" i="10"/>
  <c r="CS30" i="10"/>
  <c r="I30" i="10"/>
  <c r="AR30" i="10"/>
  <c r="L30" i="10"/>
  <c r="CV30" i="10"/>
  <c r="CC30" i="10"/>
  <c r="P30" i="10"/>
  <c r="CR30" i="10"/>
  <c r="AA93" i="10" a="1"/>
  <c r="AA93" i="10" s="1"/>
  <c r="AA241" i="10" a="1"/>
  <c r="AA241" i="10" s="1"/>
  <c r="AU30" i="10"/>
  <c r="AA30" i="10"/>
  <c r="CI30" i="10"/>
  <c r="AH30" i="10"/>
  <c r="CT30" i="10"/>
  <c r="AW30" i="10"/>
  <c r="AZ30" i="10"/>
  <c r="CO30" i="10"/>
  <c r="BP30" i="10"/>
  <c r="AF30" i="10"/>
  <c r="CB30" i="10"/>
  <c r="AA205" i="10" a="1"/>
  <c r="AA205" i="10" s="1"/>
  <c r="S30" i="10"/>
  <c r="CQ30" i="10"/>
  <c r="V30" i="10"/>
  <c r="BX30" i="10"/>
  <c r="AV30" i="10"/>
  <c r="BG30" i="10"/>
  <c r="BD30" i="10"/>
  <c r="AQ30" i="10"/>
  <c r="AE30" i="10"/>
  <c r="W30" i="10"/>
  <c r="BO30" i="10"/>
  <c r="G30" i="10"/>
  <c r="BA30" i="10"/>
  <c r="AP30" i="10"/>
  <c r="AL30" i="10"/>
  <c r="BY30" i="10"/>
  <c r="J30" i="10"/>
  <c r="CD30" i="10"/>
  <c r="CL30" i="10"/>
  <c r="CH30" i="10"/>
  <c r="Y30" i="10"/>
  <c r="CG30" i="10"/>
  <c r="Q30" i="10"/>
  <c r="CK30" i="10"/>
  <c r="BT30" i="10"/>
  <c r="AJ30" i="10"/>
  <c r="D30" i="10"/>
  <c r="CN30" i="10"/>
  <c r="AN30" i="10"/>
  <c r="H30" i="10"/>
  <c r="CJ30" i="10"/>
  <c r="AA111" i="10" a="1"/>
  <c r="AA111" i="10" s="1"/>
  <c r="CU30" i="10"/>
  <c r="AD30" i="10"/>
  <c r="BN30" i="10"/>
  <c r="AC30" i="10"/>
  <c r="BH30" i="10"/>
  <c r="U30" i="10"/>
  <c r="AB30" i="10"/>
  <c r="CF30" i="10"/>
  <c r="BS30" i="10"/>
  <c r="AA75" i="10" a="1"/>
  <c r="AA75" i="10" s="1"/>
  <c r="BV30" i="10"/>
  <c r="CM30" i="10"/>
  <c r="BU30" i="10"/>
  <c r="BC30" i="10"/>
  <c r="T30" i="10"/>
  <c r="BW30" i="10"/>
  <c r="AX30" i="10"/>
  <c r="O30" i="10"/>
  <c r="R30" i="10"/>
  <c r="AS30" i="10"/>
  <c r="E30" i="10"/>
  <c r="BQ30" i="10"/>
  <c r="BF30" i="10"/>
  <c r="N30" i="10"/>
  <c r="AK30" i="10"/>
  <c r="BM30" i="10"/>
  <c r="BL30" i="10"/>
  <c r="I31" i="13"/>
  <c r="A31" i="10"/>
  <c r="E32" i="7"/>
  <c r="A161" i="10"/>
  <c r="B161" i="10" s="1"/>
  <c r="Z255" i="10" l="1"/>
  <c r="Z246" i="10"/>
  <c r="Z245" i="10"/>
  <c r="Z252" i="10"/>
  <c r="Z250" i="10"/>
  <c r="Z244" i="10"/>
  <c r="AA209" i="10"/>
  <c r="AA227" i="10"/>
  <c r="AA213" i="10"/>
  <c r="AA233" i="10"/>
  <c r="AA238" i="10"/>
  <c r="AA220" i="10"/>
  <c r="AA219" i="10"/>
  <c r="AA208" i="10"/>
  <c r="AA224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26" i="10"/>
  <c r="AA225" i="10"/>
  <c r="AA215" i="10"/>
  <c r="AA210" i="10"/>
  <c r="AA246" i="10" s="1"/>
  <c r="AA217" i="10"/>
  <c r="AA214" i="10"/>
  <c r="AA230" i="10"/>
  <c r="Z256" i="10"/>
  <c r="Z254" i="10"/>
  <c r="Y160" i="10"/>
  <c r="CV160" i="10"/>
  <c r="CK160" i="10"/>
  <c r="BA160" i="10"/>
  <c r="BI160" i="10"/>
  <c r="U160" i="10"/>
  <c r="BL160" i="10"/>
  <c r="CI160" i="10"/>
  <c r="BE160" i="10"/>
  <c r="CN160" i="10"/>
  <c r="AB160" i="10"/>
  <c r="AT160" i="10"/>
  <c r="AC160" i="10"/>
  <c r="BD160" i="10"/>
  <c r="BC160" i="10"/>
  <c r="CE160" i="10"/>
  <c r="S160" i="10"/>
  <c r="BF160" i="10"/>
  <c r="CQ160" i="10"/>
  <c r="AE160" i="10"/>
  <c r="BB160" i="10"/>
  <c r="CM160" i="10"/>
  <c r="AA160" i="10"/>
  <c r="BN160" i="10"/>
  <c r="Z253" i="10"/>
  <c r="Z251" i="10"/>
  <c r="Z221" i="10"/>
  <c r="Z242" i="10"/>
  <c r="AZ160" i="10"/>
  <c r="CC160" i="10"/>
  <c r="AJ160" i="10"/>
  <c r="CF160" i="10"/>
  <c r="BP160" i="10"/>
  <c r="BU160" i="10"/>
  <c r="E160" i="10"/>
  <c r="AV160" i="10"/>
  <c r="W160" i="10"/>
  <c r="CG160" i="10"/>
  <c r="BX160" i="10"/>
  <c r="L160" i="10"/>
  <c r="CO160" i="10"/>
  <c r="M160" i="10"/>
  <c r="AN160" i="10"/>
  <c r="CP160" i="10"/>
  <c r="BO160" i="10"/>
  <c r="C160" i="10"/>
  <c r="AP160" i="10"/>
  <c r="CA160" i="10"/>
  <c r="O160" i="10"/>
  <c r="AL160" i="10"/>
  <c r="BW160" i="10"/>
  <c r="K160" i="10"/>
  <c r="AX160" i="10"/>
  <c r="AH35" i="11" a="1"/>
  <c r="AH35" i="11" s="1"/>
  <c r="AH138" i="11" a="1"/>
  <c r="AH138" i="11" s="1"/>
  <c r="O161" i="10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Z239" i="10"/>
  <c r="N160" i="10"/>
  <c r="BY160" i="10"/>
  <c r="AM160" i="10"/>
  <c r="T160" i="10"/>
  <c r="D160" i="10"/>
  <c r="CW160" i="10"/>
  <c r="CR160" i="10"/>
  <c r="AF160" i="10"/>
  <c r="BJ160" i="10"/>
  <c r="AG160" i="10"/>
  <c r="BH160" i="10"/>
  <c r="BS160" i="10"/>
  <c r="AO160" i="10"/>
  <c r="CJ160" i="10"/>
  <c r="X160" i="10"/>
  <c r="AD160" i="10"/>
  <c r="AY160" i="10"/>
  <c r="CL160" i="10"/>
  <c r="Z160" i="10"/>
  <c r="BK160" i="10"/>
  <c r="CH160" i="10"/>
  <c r="V160" i="10"/>
  <c r="BG160" i="10"/>
  <c r="CT160" i="10"/>
  <c r="AH160" i="10"/>
  <c r="Z243" i="10"/>
  <c r="CS160" i="10"/>
  <c r="I160" i="10"/>
  <c r="BM160" i="10"/>
  <c r="AW160" i="10"/>
  <c r="BZ160" i="10"/>
  <c r="AK160" i="10"/>
  <c r="CB160" i="10"/>
  <c r="P160" i="10"/>
  <c r="AS160" i="10"/>
  <c r="Q160" i="10"/>
  <c r="AR160" i="10"/>
  <c r="G160" i="10"/>
  <c r="BQ160" i="10"/>
  <c r="BT160" i="10"/>
  <c r="H160" i="10"/>
  <c r="CU160" i="10"/>
  <c r="AI160" i="10"/>
  <c r="BV160" i="10"/>
  <c r="J160" i="10"/>
  <c r="AU160" i="10"/>
  <c r="BR160" i="10"/>
  <c r="F160" i="10"/>
  <c r="AQ160" i="10"/>
  <c r="CD160" i="10"/>
  <c r="Y25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C31" i="10"/>
  <c r="B31" i="10"/>
  <c r="AI31" i="10"/>
  <c r="CU31" i="10"/>
  <c r="BA31" i="10"/>
  <c r="BN31" i="10"/>
  <c r="AS31" i="10"/>
  <c r="Q31" i="10"/>
  <c r="CW31" i="10"/>
  <c r="AZ31" i="10"/>
  <c r="AB223" i="10" a="1"/>
  <c r="AB223" i="10" s="1"/>
  <c r="BQ31" i="10"/>
  <c r="AE31" i="10"/>
  <c r="K31" i="10"/>
  <c r="BF31" i="10"/>
  <c r="G31" i="10"/>
  <c r="CE31" i="10"/>
  <c r="BE31" i="10"/>
  <c r="AT31" i="10"/>
  <c r="N31" i="10"/>
  <c r="CP31" i="10"/>
  <c r="CH31" i="10"/>
  <c r="AW31" i="10"/>
  <c r="BU31" i="10"/>
  <c r="AK31" i="10"/>
  <c r="I31" i="10"/>
  <c r="CK31" i="10"/>
  <c r="BT31" i="10"/>
  <c r="AN31" i="10"/>
  <c r="CV31" i="10"/>
  <c r="AR31" i="10"/>
  <c r="L31" i="10"/>
  <c r="CR31" i="10"/>
  <c r="AF31" i="10"/>
  <c r="BW31" i="10"/>
  <c r="AB93" i="10" a="1"/>
  <c r="AB93" i="10" s="1"/>
  <c r="T31" i="10"/>
  <c r="BG31" i="10"/>
  <c r="AM31" i="10"/>
  <c r="BD31" i="10"/>
  <c r="S31" i="10"/>
  <c r="O31" i="10"/>
  <c r="BR31" i="10"/>
  <c r="BK31" i="10"/>
  <c r="AL31" i="10"/>
  <c r="AP31" i="10"/>
  <c r="V31" i="10"/>
  <c r="J31" i="10"/>
  <c r="AD31" i="10"/>
  <c r="CT31" i="10"/>
  <c r="AO31" i="10"/>
  <c r="BJ31" i="10"/>
  <c r="AC31" i="10"/>
  <c r="BH31" i="10"/>
  <c r="M31" i="10"/>
  <c r="AY31" i="10"/>
  <c r="X31" i="10"/>
  <c r="CN31" i="10"/>
  <c r="AJ31" i="10"/>
  <c r="D31" i="10"/>
  <c r="CJ31" i="10"/>
  <c r="CO31" i="10"/>
  <c r="BL31" i="10"/>
  <c r="AB241" i="10" a="1"/>
  <c r="AB241" i="10" s="1"/>
  <c r="BS31" i="10"/>
  <c r="CG31" i="10"/>
  <c r="AB205" i="10" a="1"/>
  <c r="AB205" i="10" s="1"/>
  <c r="BB31" i="10"/>
  <c r="BV31" i="10"/>
  <c r="CI31" i="10"/>
  <c r="BY31" i="10"/>
  <c r="Y31" i="10"/>
  <c r="CS31" i="10"/>
  <c r="H31" i="10"/>
  <c r="AB75" i="10" a="1"/>
  <c r="AB75" i="10" s="1"/>
  <c r="AX31" i="10"/>
  <c r="AU31" i="10"/>
  <c r="AQ31" i="10"/>
  <c r="AA31" i="10"/>
  <c r="BO31" i="10"/>
  <c r="CQ31" i="10"/>
  <c r="CA31" i="10"/>
  <c r="AH31" i="10"/>
  <c r="R31" i="10"/>
  <c r="BI31" i="10"/>
  <c r="Z31" i="10"/>
  <c r="CD31" i="10"/>
  <c r="AG31" i="10"/>
  <c r="BZ31" i="10"/>
  <c r="U31" i="10"/>
  <c r="BM31" i="10"/>
  <c r="E31" i="10"/>
  <c r="BC31" i="10"/>
  <c r="P31" i="10"/>
  <c r="CF31" i="10"/>
  <c r="AB31" i="10"/>
  <c r="CC31" i="10"/>
  <c r="CB31" i="10"/>
  <c r="AB111" i="10" a="1"/>
  <c r="AB111" i="10" s="1"/>
  <c r="W31" i="10"/>
  <c r="CM31" i="10"/>
  <c r="F31" i="10"/>
  <c r="CL31" i="10"/>
  <c r="BX31" i="10"/>
  <c r="AV31" i="10"/>
  <c r="BP31" i="10"/>
  <c r="Z112" i="10"/>
  <c r="Z91" i="10"/>
  <c r="I32" i="13"/>
  <c r="E33" i="7"/>
  <c r="A32" i="10"/>
  <c r="A162" i="10"/>
  <c r="B162" i="10" s="1"/>
  <c r="AA250" i="10" l="1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25" i="10"/>
  <c r="AB207" i="10"/>
  <c r="AB218" i="10"/>
  <c r="AB214" i="10"/>
  <c r="AB234" i="10"/>
  <c r="AB233" i="10"/>
  <c r="AB215" i="10"/>
  <c r="AB238" i="10"/>
  <c r="AB210" i="10"/>
  <c r="AB227" i="10"/>
  <c r="AB213" i="10"/>
  <c r="AB235" i="10"/>
  <c r="AB228" i="10"/>
  <c r="AB209" i="10"/>
  <c r="AB245" i="10" s="1"/>
  <c r="AB219" i="10"/>
  <c r="AB229" i="10"/>
  <c r="AB231" i="10"/>
  <c r="AB224" i="10"/>
  <c r="AB237" i="10"/>
  <c r="AB232" i="10"/>
  <c r="AB220" i="10"/>
  <c r="AB217" i="10"/>
  <c r="AB211" i="10"/>
  <c r="AB226" i="10"/>
  <c r="Q161" i="10"/>
  <c r="CD161" i="10"/>
  <c r="R161" i="10"/>
  <c r="N161" i="10"/>
  <c r="CL161" i="10"/>
  <c r="CO161" i="10"/>
  <c r="AC161" i="10"/>
  <c r="AA161" i="10"/>
  <c r="V161" i="10"/>
  <c r="BE161" i="10"/>
  <c r="CV161" i="10"/>
  <c r="BF161" i="10"/>
  <c r="AH161" i="10"/>
  <c r="BA161" i="10"/>
  <c r="CF161" i="10"/>
  <c r="CB161" i="10"/>
  <c r="P161" i="10"/>
  <c r="AM161" i="10"/>
  <c r="BX161" i="10"/>
  <c r="L161" i="10"/>
  <c r="AY161" i="10"/>
  <c r="CJ161" i="10"/>
  <c r="X161" i="10"/>
  <c r="BK161" i="10"/>
  <c r="AA248" i="10"/>
  <c r="AA244" i="10"/>
  <c r="Z257" i="10"/>
  <c r="BJ161" i="10"/>
  <c r="CC161" i="10"/>
  <c r="BM161" i="10"/>
  <c r="AW161" i="10"/>
  <c r="CS161" i="10"/>
  <c r="Z161" i="10"/>
  <c r="BY161" i="10"/>
  <c r="M161" i="10"/>
  <c r="BV161" i="10"/>
  <c r="AX161" i="10"/>
  <c r="AO161" i="10"/>
  <c r="AJ161" i="10"/>
  <c r="BR161" i="10"/>
  <c r="CW161" i="10"/>
  <c r="AK161" i="10"/>
  <c r="T161" i="10"/>
  <c r="BL161" i="10"/>
  <c r="CI161" i="10"/>
  <c r="W161" i="10"/>
  <c r="BH161" i="10"/>
  <c r="CU161" i="10"/>
  <c r="AI161" i="10"/>
  <c r="BT161" i="10"/>
  <c r="H161" i="10"/>
  <c r="AU161" i="10"/>
  <c r="AA243" i="10"/>
  <c r="AA255" i="10"/>
  <c r="AA249" i="10"/>
  <c r="AP161" i="10"/>
  <c r="AT161" i="10"/>
  <c r="CP161" i="10"/>
  <c r="AQ161" i="10"/>
  <c r="AG161" i="10"/>
  <c r="AL161" i="10"/>
  <c r="BI161" i="10"/>
  <c r="AZ161" i="10"/>
  <c r="J161" i="10"/>
  <c r="CK161" i="10"/>
  <c r="Y161" i="10"/>
  <c r="BW161" i="10"/>
  <c r="F161" i="10"/>
  <c r="CG161" i="10"/>
  <c r="U161" i="10"/>
  <c r="BG161" i="10"/>
  <c r="AV161" i="10"/>
  <c r="BS161" i="10"/>
  <c r="G161" i="10"/>
  <c r="AR161" i="10"/>
  <c r="CE161" i="10"/>
  <c r="S161" i="10"/>
  <c r="BD161" i="10"/>
  <c r="CQ161" i="10"/>
  <c r="AE161" i="10"/>
  <c r="AA252" i="10"/>
  <c r="AA242" i="10"/>
  <c r="AA221" i="10"/>
  <c r="AA256" i="10"/>
  <c r="L162" i="10"/>
  <c r="AB162" i="10"/>
  <c r="AR162" i="10"/>
  <c r="BH162" i="10"/>
  <c r="BX162" i="10"/>
  <c r="CN162" i="10"/>
  <c r="E162" i="10"/>
  <c r="U162" i="10"/>
  <c r="AK162" i="10"/>
  <c r="BA162" i="10"/>
  <c r="BQ162" i="10"/>
  <c r="P162" i="10"/>
  <c r="AF162" i="10"/>
  <c r="AV162" i="10"/>
  <c r="BL162" i="10"/>
  <c r="CB162" i="10"/>
  <c r="CR162" i="10"/>
  <c r="I162" i="10"/>
  <c r="Y162" i="10"/>
  <c r="AO162" i="10"/>
  <c r="BE162" i="10"/>
  <c r="D162" i="10"/>
  <c r="T162" i="10"/>
  <c r="AJ162" i="10"/>
  <c r="AZ162" i="10"/>
  <c r="BP162" i="10"/>
  <c r="CF162" i="10"/>
  <c r="CV162" i="10"/>
  <c r="M162" i="10"/>
  <c r="AC162" i="10"/>
  <c r="AS162" i="10"/>
  <c r="BI162" i="10"/>
  <c r="X162" i="10"/>
  <c r="CJ162" i="10"/>
  <c r="AW162" i="10"/>
  <c r="CC162" i="10"/>
  <c r="CS162" i="10"/>
  <c r="R162" i="10"/>
  <c r="AH162" i="10"/>
  <c r="AX162" i="10"/>
  <c r="BN162" i="10"/>
  <c r="CD162" i="10"/>
  <c r="CT162" i="10"/>
  <c r="BK162" i="10"/>
  <c r="AI162" i="10"/>
  <c r="CU162" i="10"/>
  <c r="W162" i="10"/>
  <c r="CI162" i="10"/>
  <c r="AN162" i="10"/>
  <c r="BM162" i="10"/>
  <c r="CG162" i="10"/>
  <c r="CW162" i="10"/>
  <c r="F162" i="10"/>
  <c r="V162" i="10"/>
  <c r="AL162" i="10"/>
  <c r="BB162" i="10"/>
  <c r="BR162" i="10"/>
  <c r="CH162" i="10"/>
  <c r="O162" i="10"/>
  <c r="CA162" i="10"/>
  <c r="AY162" i="10"/>
  <c r="AM162" i="10"/>
  <c r="BD162" i="10"/>
  <c r="Q162" i="10"/>
  <c r="BU162" i="10"/>
  <c r="CK162" i="10"/>
  <c r="J162" i="10"/>
  <c r="Z162" i="10"/>
  <c r="AP162" i="10"/>
  <c r="BF162" i="10"/>
  <c r="BV162" i="10"/>
  <c r="CL162" i="10"/>
  <c r="AE162" i="10"/>
  <c r="CQ162" i="10"/>
  <c r="C162" i="10"/>
  <c r="BO162" i="10"/>
  <c r="BC162" i="10"/>
  <c r="BJ162" i="10"/>
  <c r="CE162" i="10"/>
  <c r="G162" i="10"/>
  <c r="AQ162" i="10"/>
  <c r="AG162" i="10"/>
  <c r="N162" i="10"/>
  <c r="BZ162" i="10"/>
  <c r="BS162" i="10"/>
  <c r="BG162" i="10"/>
  <c r="H162" i="10"/>
  <c r="BY162" i="10"/>
  <c r="AD162" i="10"/>
  <c r="CP162" i="10"/>
  <c r="K162" i="10"/>
  <c r="BW162" i="10"/>
  <c r="CM162" i="10"/>
  <c r="AT162" i="10"/>
  <c r="AU162" i="10"/>
  <c r="CO162" i="10"/>
  <c r="S162" i="10"/>
  <c r="BT162" i="10"/>
  <c r="AA162" i="10"/>
  <c r="D161" i="10"/>
  <c r="BB161" i="10"/>
  <c r="AD161" i="10"/>
  <c r="BZ161" i="10"/>
  <c r="BP161" i="10"/>
  <c r="BN161" i="10"/>
  <c r="AS161" i="10"/>
  <c r="CM161" i="10"/>
  <c r="CH161" i="10"/>
  <c r="BU161" i="10"/>
  <c r="I161" i="10"/>
  <c r="K161" i="10"/>
  <c r="CT161" i="10"/>
  <c r="BQ161" i="10"/>
  <c r="E161" i="10"/>
  <c r="CR161" i="10"/>
  <c r="AF161" i="10"/>
  <c r="BC161" i="10"/>
  <c r="CN161" i="10"/>
  <c r="AB161" i="10"/>
  <c r="BO161" i="10"/>
  <c r="C161" i="10"/>
  <c r="AN161" i="10"/>
  <c r="CA161" i="10"/>
  <c r="AA239" i="10"/>
  <c r="AB80" i="10"/>
  <c r="AB79" i="10"/>
  <c r="AB96" i="10"/>
  <c r="AB95" i="10"/>
  <c r="AB99" i="10"/>
  <c r="AB117" i="10" s="1"/>
  <c r="AB94" i="10"/>
  <c r="AB98" i="10"/>
  <c r="AB97" i="10"/>
  <c r="AB101" i="10"/>
  <c r="AB119" i="10" s="1"/>
  <c r="AB105" i="10"/>
  <c r="AB123" i="10" s="1"/>
  <c r="AB100" i="10"/>
  <c r="AB118" i="10" s="1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B32" i="10"/>
  <c r="C32" i="10"/>
  <c r="A163" i="10"/>
  <c r="B163" i="10" s="1"/>
  <c r="E34" i="7"/>
  <c r="A33" i="10"/>
  <c r="I33" i="13"/>
  <c r="AA112" i="10"/>
  <c r="AA91" i="10"/>
  <c r="AU32" i="10"/>
  <c r="W32" i="10"/>
  <c r="S32" i="10"/>
  <c r="BF32" i="10"/>
  <c r="BO32" i="10"/>
  <c r="BK32" i="10"/>
  <c r="Z32" i="10"/>
  <c r="CA32" i="10"/>
  <c r="BI32" i="10"/>
  <c r="N32" i="10"/>
  <c r="J32" i="10"/>
  <c r="CD32" i="10"/>
  <c r="CH32" i="10"/>
  <c r="AG32" i="10"/>
  <c r="CK32" i="10"/>
  <c r="BX32" i="10"/>
  <c r="E32" i="10"/>
  <c r="CW32" i="10"/>
  <c r="BG32" i="10"/>
  <c r="AN32" i="10"/>
  <c r="P32" i="10"/>
  <c r="CN32" i="10"/>
  <c r="CG32" i="10"/>
  <c r="CB32" i="10"/>
  <c r="AC205" i="10" a="1"/>
  <c r="AC205" i="10" s="1"/>
  <c r="AC75" i="10" a="1"/>
  <c r="AC75" i="10" s="1"/>
  <c r="AK32" i="10"/>
  <c r="I32" i="10"/>
  <c r="CO32" i="10"/>
  <c r="AB32" i="10"/>
  <c r="AJ32" i="10"/>
  <c r="AC241" i="10" a="1"/>
  <c r="AC241" i="10" s="1"/>
  <c r="BB32" i="10"/>
  <c r="G32" i="10"/>
  <c r="AH32" i="10"/>
  <c r="AD32" i="10"/>
  <c r="CL32" i="10"/>
  <c r="CS32" i="10"/>
  <c r="M32" i="10"/>
  <c r="AR32" i="10"/>
  <c r="CR32" i="10"/>
  <c r="D32" i="10"/>
  <c r="BQ32" i="10"/>
  <c r="AM32" i="10"/>
  <c r="O32" i="10"/>
  <c r="BV32" i="10"/>
  <c r="CU32" i="10"/>
  <c r="CI32" i="10"/>
  <c r="BE32" i="10"/>
  <c r="AT32" i="10"/>
  <c r="BU32" i="10"/>
  <c r="F32" i="10"/>
  <c r="BY32" i="10"/>
  <c r="AS32" i="10"/>
  <c r="BZ32" i="10"/>
  <c r="AC32" i="10"/>
  <c r="CC32" i="10"/>
  <c r="Y32" i="10"/>
  <c r="BM32" i="10"/>
  <c r="AY32" i="10"/>
  <c r="BW32" i="10"/>
  <c r="AF32" i="10"/>
  <c r="H32" i="10"/>
  <c r="CJ32" i="10"/>
  <c r="AZ32" i="10"/>
  <c r="BP32" i="10"/>
  <c r="BJ32" i="10"/>
  <c r="Q32" i="10"/>
  <c r="AV32" i="10"/>
  <c r="BL32" i="10"/>
  <c r="BS32" i="10"/>
  <c r="AC93" i="10" a="1"/>
  <c r="AC93" i="10" s="1"/>
  <c r="AE32" i="10"/>
  <c r="BR32" i="10"/>
  <c r="BA32" i="10"/>
  <c r="R32" i="10"/>
  <c r="CT32" i="10"/>
  <c r="BH32" i="10"/>
  <c r="L32" i="10"/>
  <c r="X32" i="10"/>
  <c r="T32" i="10"/>
  <c r="CF32" i="10"/>
  <c r="AX32" i="10"/>
  <c r="BD32" i="10"/>
  <c r="AI32" i="10"/>
  <c r="K32" i="10"/>
  <c r="AA32" i="10"/>
  <c r="CQ32" i="10"/>
  <c r="AP32" i="10"/>
  <c r="CE32" i="10"/>
  <c r="AL32" i="10"/>
  <c r="CP32" i="10"/>
  <c r="BN32" i="10"/>
  <c r="AW32" i="10"/>
  <c r="U32" i="10"/>
  <c r="BT32" i="10"/>
  <c r="CV32" i="10"/>
  <c r="AQ32" i="10"/>
  <c r="CM32" i="10"/>
  <c r="V32" i="10"/>
  <c r="AO32" i="10"/>
  <c r="BC32" i="10"/>
  <c r="AC223" i="10" a="1"/>
  <c r="AC223" i="10" s="1"/>
  <c r="AC111" i="10" a="1"/>
  <c r="AC111" i="10" s="1"/>
  <c r="AB126" i="10" l="1"/>
  <c r="AB120" i="10"/>
  <c r="AB125" i="10"/>
  <c r="AB124" i="10"/>
  <c r="AB122" i="10"/>
  <c r="AB113" i="10"/>
  <c r="AB247" i="10"/>
  <c r="AB253" i="10"/>
  <c r="AB121" i="10"/>
  <c r="AB256" i="10"/>
  <c r="AB248" i="10"/>
  <c r="AB254" i="10"/>
  <c r="AB243" i="10"/>
  <c r="AB255" i="10"/>
  <c r="AB249" i="10"/>
  <c r="AB251" i="10"/>
  <c r="AB244" i="10"/>
  <c r="AA257" i="10"/>
  <c r="AB239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24" i="10"/>
  <c r="AC209" i="10"/>
  <c r="AC227" i="10"/>
  <c r="AC225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2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I163" i="10" s="1"/>
  <c r="AB250" i="10"/>
  <c r="AB221" i="10"/>
  <c r="AB242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B33" i="10"/>
  <c r="C33" i="10"/>
  <c r="BQ33" i="10"/>
  <c r="AE33" i="10"/>
  <c r="S33" i="10"/>
  <c r="G33" i="10"/>
  <c r="BR33" i="10"/>
  <c r="CE33" i="10"/>
  <c r="BE33" i="10"/>
  <c r="AD33" i="10"/>
  <c r="BJ33" i="10"/>
  <c r="BI33" i="10"/>
  <c r="CH33" i="10"/>
  <c r="AG33" i="10"/>
  <c r="CP33" i="10"/>
  <c r="AS33" i="10"/>
  <c r="BC33" i="10"/>
  <c r="CS33" i="10"/>
  <c r="I33" i="10"/>
  <c r="AZ33" i="10"/>
  <c r="AN33" i="10"/>
  <c r="CJ33" i="10"/>
  <c r="AF33" i="10"/>
  <c r="CW33" i="10"/>
  <c r="BS33" i="10"/>
  <c r="AX33" i="10"/>
  <c r="AU33" i="10"/>
  <c r="O33" i="10"/>
  <c r="BF33" i="10"/>
  <c r="BO33" i="10"/>
  <c r="CA33" i="10"/>
  <c r="AT33" i="10"/>
  <c r="CQ33" i="10"/>
  <c r="V33" i="10"/>
  <c r="Z33" i="10"/>
  <c r="BZ33" i="10"/>
  <c r="BU33" i="10"/>
  <c r="AW33" i="10"/>
  <c r="AK33" i="10"/>
  <c r="Y33" i="10"/>
  <c r="CK33" i="10"/>
  <c r="E33" i="10"/>
  <c r="CC33" i="10"/>
  <c r="X33" i="10"/>
  <c r="CG33" i="10"/>
  <c r="AB33" i="10"/>
  <c r="AJ33" i="10"/>
  <c r="CN33" i="10"/>
  <c r="BL33" i="10"/>
  <c r="AD111" i="10" a="1"/>
  <c r="AD111" i="10" s="1"/>
  <c r="AD241" i="10" a="1"/>
  <c r="AD241" i="10" s="1"/>
  <c r="AM33" i="10"/>
  <c r="K33" i="10"/>
  <c r="BA33" i="10"/>
  <c r="F33" i="10"/>
  <c r="CT33" i="10"/>
  <c r="BM33" i="10"/>
  <c r="D33" i="10"/>
  <c r="L33" i="10"/>
  <c r="CF33" i="10"/>
  <c r="AD205" i="10" a="1"/>
  <c r="AD205" i="10" s="1"/>
  <c r="BB33" i="10"/>
  <c r="BD33" i="10"/>
  <c r="AI33" i="10"/>
  <c r="W33" i="10"/>
  <c r="BK33" i="10"/>
  <c r="BV33" i="10"/>
  <c r="CM33" i="10"/>
  <c r="AL33" i="10"/>
  <c r="AP33" i="10"/>
  <c r="N33" i="10"/>
  <c r="R33" i="10"/>
  <c r="CL33" i="10"/>
  <c r="BN33" i="10"/>
  <c r="AO33" i="10"/>
  <c r="Q33" i="10"/>
  <c r="BT33" i="10"/>
  <c r="U33" i="10"/>
  <c r="BH33" i="10"/>
  <c r="AY33" i="10"/>
  <c r="H33" i="10"/>
  <c r="AV33" i="10"/>
  <c r="P33" i="10"/>
  <c r="T33" i="10"/>
  <c r="CB33" i="10"/>
  <c r="CR33" i="10"/>
  <c r="CU33" i="10"/>
  <c r="AH33" i="10"/>
  <c r="BY33" i="10"/>
  <c r="AC33" i="10"/>
  <c r="M33" i="10"/>
  <c r="BG33" i="10"/>
  <c r="BW33" i="10"/>
  <c r="AD223" i="10" a="1"/>
  <c r="AD223" i="10" s="1"/>
  <c r="AD75" i="10" a="1"/>
  <c r="AD75" i="10" s="1"/>
  <c r="CV33" i="10"/>
  <c r="AQ33" i="10"/>
  <c r="AA33" i="10"/>
  <c r="CI33" i="10"/>
  <c r="J33" i="10"/>
  <c r="CD33" i="10"/>
  <c r="CO33" i="10"/>
  <c r="BX33" i="10"/>
  <c r="AR33" i="10"/>
  <c r="BP33" i="10"/>
  <c r="AD93" i="10" a="1"/>
  <c r="AD93" i="10" s="1"/>
  <c r="I34" i="13"/>
  <c r="E35" i="7"/>
  <c r="A34" i="10"/>
  <c r="A164" i="10"/>
  <c r="B164" i="10" s="1"/>
  <c r="AB91" i="10"/>
  <c r="AB112" i="10"/>
  <c r="AC243" i="10" l="1"/>
  <c r="AC250" i="10"/>
  <c r="AC249" i="10"/>
  <c r="AC244" i="10"/>
  <c r="AC246" i="10"/>
  <c r="AC245" i="10"/>
  <c r="AK35" i="11" a="1"/>
  <c r="AK35" i="11" s="1"/>
  <c r="AK138" i="11" a="1"/>
  <c r="AK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BU163" i="10"/>
  <c r="CQ163" i="10"/>
  <c r="AU163" i="10"/>
  <c r="BG163" i="10"/>
  <c r="AO163" i="10"/>
  <c r="AK163" i="10"/>
  <c r="CA163" i="10"/>
  <c r="BO163" i="10"/>
  <c r="BV163" i="10"/>
  <c r="AN163" i="10"/>
  <c r="AR163" i="10"/>
  <c r="BA163" i="10"/>
  <c r="BR163" i="10"/>
  <c r="F163" i="10"/>
  <c r="BD163" i="10"/>
  <c r="CC163" i="10"/>
  <c r="CM163" i="10"/>
  <c r="C163" i="10"/>
  <c r="AH163" i="10"/>
  <c r="BT163" i="10"/>
  <c r="BX163" i="10"/>
  <c r="BL163" i="10"/>
  <c r="BZ163" i="10"/>
  <c r="N163" i="10"/>
  <c r="E164" i="10"/>
  <c r="U164" i="10"/>
  <c r="AK164" i="10"/>
  <c r="BA164" i="10"/>
  <c r="BQ164" i="10"/>
  <c r="CG164" i="10"/>
  <c r="CW164" i="10"/>
  <c r="N164" i="10"/>
  <c r="AD164" i="10"/>
  <c r="AT164" i="10"/>
  <c r="BJ164" i="10"/>
  <c r="BZ164" i="10"/>
  <c r="CP164" i="10"/>
  <c r="K164" i="10"/>
  <c r="AA164" i="10"/>
  <c r="AQ164" i="10"/>
  <c r="BG164" i="10"/>
  <c r="BW164" i="10"/>
  <c r="CM164" i="10"/>
  <c r="I164" i="10"/>
  <c r="Y164" i="10"/>
  <c r="AO164" i="10"/>
  <c r="BE164" i="10"/>
  <c r="BU164" i="10"/>
  <c r="CK164" i="10"/>
  <c r="R164" i="10"/>
  <c r="AH164" i="10"/>
  <c r="AX164" i="10"/>
  <c r="BN164" i="10"/>
  <c r="CD164" i="10"/>
  <c r="CT164" i="10"/>
  <c r="O164" i="10"/>
  <c r="AE164" i="10"/>
  <c r="AU164" i="10"/>
  <c r="BK164" i="10"/>
  <c r="CA164" i="10"/>
  <c r="CQ164" i="10"/>
  <c r="M164" i="10"/>
  <c r="AC164" i="10"/>
  <c r="AS164" i="10"/>
  <c r="BI164" i="10"/>
  <c r="BY164" i="10"/>
  <c r="CO164" i="10"/>
  <c r="F164" i="10"/>
  <c r="V164" i="10"/>
  <c r="AL164" i="10"/>
  <c r="BB164" i="10"/>
  <c r="BR164" i="10"/>
  <c r="CH164" i="10"/>
  <c r="C164" i="10"/>
  <c r="S164" i="10"/>
  <c r="AI164" i="10"/>
  <c r="AY164" i="10"/>
  <c r="BO164" i="10"/>
  <c r="CE164" i="10"/>
  <c r="CU164" i="10"/>
  <c r="BM164" i="10"/>
  <c r="BF164" i="10"/>
  <c r="AM164" i="10"/>
  <c r="P164" i="10"/>
  <c r="AF164" i="10"/>
  <c r="AV164" i="10"/>
  <c r="BL164" i="10"/>
  <c r="CB164" i="10"/>
  <c r="CR164" i="10"/>
  <c r="Q164" i="10"/>
  <c r="CC164" i="10"/>
  <c r="J164" i="10"/>
  <c r="BV164" i="10"/>
  <c r="BC164" i="10"/>
  <c r="D164" i="10"/>
  <c r="T164" i="10"/>
  <c r="AJ164" i="10"/>
  <c r="AZ164" i="10"/>
  <c r="BP164" i="10"/>
  <c r="CF164" i="10"/>
  <c r="CV164" i="10"/>
  <c r="AG164" i="10"/>
  <c r="CS164" i="10"/>
  <c r="Z164" i="10"/>
  <c r="CL164" i="10"/>
  <c r="G164" i="10"/>
  <c r="BS164" i="10"/>
  <c r="H164" i="10"/>
  <c r="X164" i="10"/>
  <c r="AN164" i="10"/>
  <c r="BD164" i="10"/>
  <c r="BT164" i="10"/>
  <c r="CJ164" i="10"/>
  <c r="AP164" i="10"/>
  <c r="BH164" i="10"/>
  <c r="AW164" i="10"/>
  <c r="AR164" i="10"/>
  <c r="W164" i="10"/>
  <c r="L164" i="10"/>
  <c r="BX164" i="10"/>
  <c r="CI164" i="10"/>
  <c r="AB164" i="10"/>
  <c r="CN164" i="10"/>
  <c r="AB257" i="10"/>
  <c r="AC221" i="10"/>
  <c r="AC242" i="10"/>
  <c r="AC252" i="10"/>
  <c r="AC255" i="10"/>
  <c r="AZ163" i="10"/>
  <c r="BF163" i="10"/>
  <c r="AS163" i="10"/>
  <c r="Y163" i="10"/>
  <c r="AP163" i="10"/>
  <c r="S163" i="10"/>
  <c r="CL163" i="10"/>
  <c r="BE163" i="10"/>
  <c r="CN163" i="10"/>
  <c r="J163" i="10"/>
  <c r="P163" i="10"/>
  <c r="W163" i="10"/>
  <c r="AF163" i="10"/>
  <c r="BB163" i="10"/>
  <c r="U163" i="10"/>
  <c r="AI163" i="10"/>
  <c r="BH163" i="10"/>
  <c r="BQ163" i="10"/>
  <c r="CD163" i="10"/>
  <c r="R163" i="10"/>
  <c r="AY163" i="10"/>
  <c r="BC163" i="10"/>
  <c r="AQ163" i="10"/>
  <c r="BJ163" i="10"/>
  <c r="Q163" i="10"/>
  <c r="AD206" i="10"/>
  <c r="AD209" i="10"/>
  <c r="AD207" i="10"/>
  <c r="AD225" i="10"/>
  <c r="AD212" i="10"/>
  <c r="AD216" i="10"/>
  <c r="AD233" i="10"/>
  <c r="AD238" i="10"/>
  <c r="AD235" i="10"/>
  <c r="AD224" i="10"/>
  <c r="AD219" i="10"/>
  <c r="AD218" i="10"/>
  <c r="AD232" i="10"/>
  <c r="AD214" i="10"/>
  <c r="AD234" i="10"/>
  <c r="AD226" i="10"/>
  <c r="AD227" i="10"/>
  <c r="AD237" i="10"/>
  <c r="AD236" i="10"/>
  <c r="AD231" i="10"/>
  <c r="AD208" i="10"/>
  <c r="AD230" i="10"/>
  <c r="AD215" i="10"/>
  <c r="AD251" i="10" s="1"/>
  <c r="AD228" i="10"/>
  <c r="AD210" i="10"/>
  <c r="AD211" i="10"/>
  <c r="AD213" i="10"/>
  <c r="AD220" i="10"/>
  <c r="AD256" i="10" s="1"/>
  <c r="AD217" i="10"/>
  <c r="AD253" i="10" s="1"/>
  <c r="AD229" i="10"/>
  <c r="CB163" i="10"/>
  <c r="AE163" i="10"/>
  <c r="CK163" i="10"/>
  <c r="X163" i="10"/>
  <c r="CF163" i="10"/>
  <c r="CJ163" i="10"/>
  <c r="Z163" i="10"/>
  <c r="AJ163" i="10"/>
  <c r="CV163" i="10"/>
  <c r="CE163" i="10"/>
  <c r="CI163" i="10"/>
  <c r="CR163" i="10"/>
  <c r="G163" i="10"/>
  <c r="AL163" i="10"/>
  <c r="CT163" i="10"/>
  <c r="D163" i="10"/>
  <c r="AM163" i="10"/>
  <c r="AV163" i="10"/>
  <c r="BN163" i="10"/>
  <c r="E163" i="10"/>
  <c r="AC163" i="10"/>
  <c r="AG163" i="10"/>
  <c r="T163" i="10"/>
  <c r="AT163" i="10"/>
  <c r="M163" i="10"/>
  <c r="AC253" i="10"/>
  <c r="AC247" i="10"/>
  <c r="AC248" i="10"/>
  <c r="AC239" i="10"/>
  <c r="K163" i="10"/>
  <c r="BS163" i="10"/>
  <c r="BP163" i="10"/>
  <c r="AW163" i="10"/>
  <c r="BK163" i="10"/>
  <c r="AB163" i="10"/>
  <c r="CU163" i="10"/>
  <c r="H163" i="10"/>
  <c r="L163" i="10"/>
  <c r="BI163" i="10"/>
  <c r="BM163" i="10"/>
  <c r="BW163" i="10"/>
  <c r="CH163" i="10"/>
  <c r="V163" i="10"/>
  <c r="BY163" i="10"/>
  <c r="CW163" i="10"/>
  <c r="O163" i="10"/>
  <c r="AA163" i="10"/>
  <c r="AX163" i="10"/>
  <c r="CO163" i="10"/>
  <c r="CS163" i="10"/>
  <c r="CG163" i="10"/>
  <c r="CP163" i="10"/>
  <c r="AD163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B34" i="10"/>
  <c r="C34" i="10"/>
  <c r="AX34" i="10"/>
  <c r="BK34" i="10"/>
  <c r="V34" i="10"/>
  <c r="CD34" i="10"/>
  <c r="CW34" i="10"/>
  <c r="BL34" i="10"/>
  <c r="CN34" i="10"/>
  <c r="BQ34" i="10"/>
  <c r="AQ34" i="10"/>
  <c r="O34" i="10"/>
  <c r="BF34" i="10"/>
  <c r="CQ34" i="10"/>
  <c r="AT34" i="10"/>
  <c r="CM34" i="10"/>
  <c r="AH34" i="10"/>
  <c r="BJ34" i="10"/>
  <c r="BY34" i="10"/>
  <c r="J34" i="10"/>
  <c r="AC34" i="10"/>
  <c r="AG34" i="10"/>
  <c r="AW34" i="10"/>
  <c r="AY34" i="10"/>
  <c r="Q34" i="10"/>
  <c r="I34" i="10"/>
  <c r="AN34" i="10"/>
  <c r="H34" i="10"/>
  <c r="CR34" i="10"/>
  <c r="AR34" i="10"/>
  <c r="L34" i="10"/>
  <c r="CC34" i="10"/>
  <c r="CF34" i="10"/>
  <c r="AE241" i="10" a="1"/>
  <c r="AE241" i="10" s="1"/>
  <c r="AE75" i="10" a="1"/>
  <c r="AE75" i="10" s="1"/>
  <c r="AM34" i="10"/>
  <c r="BO34" i="10"/>
  <c r="BE34" i="10"/>
  <c r="N34" i="10"/>
  <c r="AS34" i="10"/>
  <c r="BH34" i="10"/>
  <c r="CG34" i="10"/>
  <c r="BM34" i="10"/>
  <c r="BC34" i="10"/>
  <c r="CB34" i="10"/>
  <c r="AE111" i="10" a="1"/>
  <c r="AE111" i="10" s="1"/>
  <c r="S34" i="10"/>
  <c r="CA34" i="10"/>
  <c r="BI34" i="10"/>
  <c r="CH34" i="10"/>
  <c r="AZ34" i="10"/>
  <c r="T34" i="10"/>
  <c r="AE93" i="10" a="1"/>
  <c r="AE93" i="10" s="1"/>
  <c r="BD34" i="10"/>
  <c r="BB34" i="10"/>
  <c r="AE34" i="10"/>
  <c r="G34" i="10"/>
  <c r="BV34" i="10"/>
  <c r="BR34" i="10"/>
  <c r="AL34" i="10"/>
  <c r="CE34" i="10"/>
  <c r="Z34" i="10"/>
  <c r="R34" i="10"/>
  <c r="F34" i="10"/>
  <c r="BN34" i="10"/>
  <c r="CL34" i="10"/>
  <c r="Y34" i="10"/>
  <c r="AO34" i="10"/>
  <c r="AV34" i="10"/>
  <c r="E34" i="10"/>
  <c r="BX34" i="10"/>
  <c r="AF34" i="10"/>
  <c r="BG34" i="10"/>
  <c r="CJ34" i="10"/>
  <c r="AJ34" i="10"/>
  <c r="D34" i="10"/>
  <c r="BS34" i="10"/>
  <c r="BW34" i="10"/>
  <c r="AE205" i="10" a="1"/>
  <c r="AE205" i="10" s="1"/>
  <c r="AU34" i="10"/>
  <c r="AA34" i="10"/>
  <c r="BA34" i="10"/>
  <c r="AD34" i="10"/>
  <c r="BZ34" i="10"/>
  <c r="CT34" i="10"/>
  <c r="U34" i="10"/>
  <c r="BP34" i="10"/>
  <c r="AB34" i="10"/>
  <c r="CV34" i="10"/>
  <c r="CI34" i="10"/>
  <c r="CP34" i="10"/>
  <c r="CO34" i="10"/>
  <c r="P34" i="10"/>
  <c r="CS34" i="10"/>
  <c r="W34" i="10"/>
  <c r="CU34" i="10"/>
  <c r="BU34" i="10"/>
  <c r="BT34" i="10"/>
  <c r="X34" i="10"/>
  <c r="AI34" i="10"/>
  <c r="K34" i="10"/>
  <c r="AP34" i="10"/>
  <c r="AK34" i="10"/>
  <c r="M34" i="10"/>
  <c r="CK34" i="10"/>
  <c r="AE223" i="10" a="1"/>
  <c r="AE223" i="10" s="1"/>
  <c r="AC91" i="10"/>
  <c r="AC112" i="10"/>
  <c r="A165" i="10"/>
  <c r="B165" i="10" s="1"/>
  <c r="E36" i="7"/>
  <c r="I35" i="13"/>
  <c r="A35" i="10"/>
  <c r="AD244" i="10" l="1"/>
  <c r="AD250" i="10"/>
  <c r="AD252" i="10"/>
  <c r="AD254" i="10"/>
  <c r="AE226" i="10"/>
  <c r="AE225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24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3" i="10"/>
  <c r="AD247" i="10"/>
  <c r="AD239" i="10"/>
  <c r="AD245" i="10"/>
  <c r="AD246" i="10"/>
  <c r="AD248" i="10"/>
  <c r="AD242" i="10"/>
  <c r="AD221" i="10"/>
  <c r="AC257" i="10"/>
  <c r="AL35" i="11" a="1"/>
  <c r="AL35" i="11" s="1"/>
  <c r="AL138" i="11" a="1"/>
  <c r="AL138" i="11" s="1"/>
  <c r="AX165" i="10" s="1"/>
  <c r="AE80" i="10"/>
  <c r="AE79" i="10"/>
  <c r="AE95" i="10"/>
  <c r="AE94" i="10"/>
  <c r="AE98" i="10"/>
  <c r="AE97" i="10"/>
  <c r="AE115" i="10" s="1"/>
  <c r="AE96" i="10"/>
  <c r="AE114" i="10" s="1"/>
  <c r="AE100" i="10"/>
  <c r="AE104" i="10"/>
  <c r="AE99" i="10"/>
  <c r="AE103" i="10"/>
  <c r="AE121" i="10" s="1"/>
  <c r="AE102" i="10"/>
  <c r="AE108" i="10"/>
  <c r="AE101" i="10"/>
  <c r="AE107" i="10"/>
  <c r="AE105" i="10"/>
  <c r="AE123" i="10" s="1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B35" i="10"/>
  <c r="C35" i="10"/>
  <c r="BD35" i="10"/>
  <c r="AM35" i="10"/>
  <c r="AA35" i="10"/>
  <c r="G35" i="10"/>
  <c r="CU35" i="10"/>
  <c r="BV35" i="10"/>
  <c r="CA35" i="10"/>
  <c r="AP35" i="10"/>
  <c r="BJ35" i="10"/>
  <c r="R35" i="10"/>
  <c r="N35" i="10"/>
  <c r="AW35" i="10"/>
  <c r="Q35" i="10"/>
  <c r="AK35" i="10"/>
  <c r="U35" i="10"/>
  <c r="M35" i="10"/>
  <c r="I35" i="10"/>
  <c r="AZ35" i="10"/>
  <c r="AJ35" i="10"/>
  <c r="H35" i="10"/>
  <c r="BP35" i="10"/>
  <c r="BL35" i="10"/>
  <c r="AR35" i="10"/>
  <c r="CJ35" i="10"/>
  <c r="AX35" i="10"/>
  <c r="W35" i="10"/>
  <c r="S35" i="10"/>
  <c r="BF35" i="10"/>
  <c r="BK35" i="10"/>
  <c r="BE35" i="10"/>
  <c r="BA35" i="10"/>
  <c r="AH35" i="10"/>
  <c r="CT35" i="10"/>
  <c r="F35" i="10"/>
  <c r="BU35" i="10"/>
  <c r="AO35" i="10"/>
  <c r="CH35" i="10"/>
  <c r="AC35" i="10"/>
  <c r="BT35" i="10"/>
  <c r="E35" i="10"/>
  <c r="BH35" i="10"/>
  <c r="CK35" i="10"/>
  <c r="AF35" i="10"/>
  <c r="D35" i="10"/>
  <c r="CC35" i="10"/>
  <c r="CN35" i="10"/>
  <c r="AB35" i="10"/>
  <c r="CB35" i="10"/>
  <c r="AF241" i="10" a="1"/>
  <c r="AF241" i="10" s="1"/>
  <c r="CV35" i="10"/>
  <c r="AQ35" i="10"/>
  <c r="O35" i="10"/>
  <c r="CE35" i="10"/>
  <c r="V35" i="10"/>
  <c r="Y35" i="10"/>
  <c r="AV35" i="10"/>
  <c r="BM35" i="10"/>
  <c r="P35" i="10"/>
  <c r="L35" i="10"/>
  <c r="CR35" i="10"/>
  <c r="AF223" i="10" a="1"/>
  <c r="AF223" i="10" s="1"/>
  <c r="AF75" i="10" a="1"/>
  <c r="AF75" i="10" s="1"/>
  <c r="AU35" i="10"/>
  <c r="BQ35" i="10"/>
  <c r="AI35" i="10"/>
  <c r="K35" i="10"/>
  <c r="BR35" i="10"/>
  <c r="CQ35" i="10"/>
  <c r="AT35" i="10"/>
  <c r="AD35" i="10"/>
  <c r="Z35" i="10"/>
  <c r="AL35" i="10"/>
  <c r="BI35" i="10"/>
  <c r="J35" i="10"/>
  <c r="AG35" i="10"/>
  <c r="CD35" i="10"/>
  <c r="CP35" i="10"/>
  <c r="AY35" i="10"/>
  <c r="CW35" i="10"/>
  <c r="BX35" i="10"/>
  <c r="CG35" i="10"/>
  <c r="X35" i="10"/>
  <c r="BG35" i="10"/>
  <c r="BC35" i="10"/>
  <c r="CF35" i="10"/>
  <c r="T35" i="10"/>
  <c r="AF205" i="10" a="1"/>
  <c r="AF205" i="10" s="1"/>
  <c r="AF111" i="10" a="1"/>
  <c r="AF111" i="10" s="1"/>
  <c r="AE35" i="10"/>
  <c r="CM35" i="10"/>
  <c r="BN35" i="10"/>
  <c r="BZ35" i="10"/>
  <c r="CL35" i="10"/>
  <c r="CO35" i="10"/>
  <c r="AN35" i="10"/>
  <c r="BW35" i="10"/>
  <c r="CS35" i="10"/>
  <c r="BS35" i="10"/>
  <c r="AF93" i="10" a="1"/>
  <c r="AF93" i="10" s="1"/>
  <c r="BB35" i="10"/>
  <c r="BO35" i="10"/>
  <c r="CI35" i="10"/>
  <c r="BY35" i="10"/>
  <c r="AS35" i="10"/>
  <c r="AD91" i="10"/>
  <c r="AD112" i="10"/>
  <c r="AE116" i="10"/>
  <c r="A36" i="10"/>
  <c r="I36" i="13"/>
  <c r="A166" i="10"/>
  <c r="B166" i="10" s="1"/>
  <c r="E37" i="7"/>
  <c r="AE124" i="10" l="1"/>
  <c r="AE248" i="10"/>
  <c r="AE243" i="10"/>
  <c r="AE122" i="10"/>
  <c r="AE118" i="10"/>
  <c r="AE113" i="10"/>
  <c r="AE126" i="10"/>
  <c r="AE117" i="10"/>
  <c r="AE247" i="10"/>
  <c r="AE244" i="10"/>
  <c r="AE253" i="10"/>
  <c r="AD257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BE165" i="10"/>
  <c r="G165" i="10"/>
  <c r="Y165" i="10"/>
  <c r="BQ165" i="10"/>
  <c r="E165" i="10"/>
  <c r="BJ165" i="10"/>
  <c r="AW165" i="10"/>
  <c r="T165" i="10"/>
  <c r="BY165" i="10"/>
  <c r="M165" i="10"/>
  <c r="W165" i="10"/>
  <c r="CB165" i="10"/>
  <c r="P165" i="10"/>
  <c r="AY165" i="10"/>
  <c r="CL165" i="10"/>
  <c r="Z165" i="10"/>
  <c r="BH165" i="10"/>
  <c r="CQ165" i="10"/>
  <c r="AE165" i="10"/>
  <c r="BB165" i="10"/>
  <c r="CJ165" i="10"/>
  <c r="X165" i="10"/>
  <c r="BG165" i="10"/>
  <c r="CT165" i="10"/>
  <c r="AH165" i="10"/>
  <c r="AE242" i="10"/>
  <c r="AE221" i="10"/>
  <c r="AE256" i="10"/>
  <c r="AE245" i="10"/>
  <c r="AE254" i="10"/>
  <c r="BS165" i="10"/>
  <c r="BZ165" i="10"/>
  <c r="N165" i="10"/>
  <c r="BA165" i="10"/>
  <c r="CV165" i="10"/>
  <c r="CS165" i="10"/>
  <c r="AG165" i="10"/>
  <c r="AM165" i="10"/>
  <c r="BI165" i="10"/>
  <c r="BP165" i="10"/>
  <c r="CP165" i="10"/>
  <c r="BL165" i="10"/>
  <c r="CU165" i="10"/>
  <c r="AI165" i="10"/>
  <c r="BV165" i="10"/>
  <c r="J165" i="10"/>
  <c r="AR165" i="10"/>
  <c r="CA165" i="10"/>
  <c r="O165" i="10"/>
  <c r="AL165" i="10"/>
  <c r="BT165" i="10"/>
  <c r="H165" i="10"/>
  <c r="AQ165" i="10"/>
  <c r="CD165" i="10"/>
  <c r="R165" i="10"/>
  <c r="AE239" i="10"/>
  <c r="AE255" i="10"/>
  <c r="AE246" i="10"/>
  <c r="I165" i="10"/>
  <c r="BU165" i="10"/>
  <c r="CW165" i="10"/>
  <c r="AK165" i="10"/>
  <c r="AJ165" i="10"/>
  <c r="CC165" i="10"/>
  <c r="Q165" i="10"/>
  <c r="AT165" i="10"/>
  <c r="AS165" i="10"/>
  <c r="D165" i="10"/>
  <c r="AD165" i="10"/>
  <c r="AV165" i="10"/>
  <c r="CE165" i="10"/>
  <c r="S165" i="10"/>
  <c r="BF165" i="10"/>
  <c r="CN165" i="10"/>
  <c r="AB165" i="10"/>
  <c r="BK165" i="10"/>
  <c r="CH165" i="10"/>
  <c r="V165" i="10"/>
  <c r="BD165" i="10"/>
  <c r="CM165" i="10"/>
  <c r="AA165" i="10"/>
  <c r="BN165" i="10"/>
  <c r="AE252" i="10"/>
  <c r="AE249" i="10"/>
  <c r="AE251" i="10"/>
  <c r="AM35" i="11" a="1"/>
  <c r="AM35" i="11" s="1"/>
  <c r="AM138" i="11" a="1"/>
  <c r="AM138" i="11" s="1"/>
  <c r="AU166" i="10" s="1"/>
  <c r="AF226" i="10"/>
  <c r="AF224" i="10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25" i="10"/>
  <c r="AF215" i="10"/>
  <c r="AF214" i="10"/>
  <c r="AF234" i="10"/>
  <c r="AF233" i="10"/>
  <c r="AF238" i="10"/>
  <c r="AF235" i="10"/>
  <c r="AF218" i="10"/>
  <c r="AF254" i="10" s="1"/>
  <c r="AF229" i="10"/>
  <c r="AF206" i="10"/>
  <c r="AF210" i="10"/>
  <c r="AF217" i="10"/>
  <c r="AF211" i="10"/>
  <c r="AF247" i="10" s="1"/>
  <c r="AZ165" i="10"/>
  <c r="AO165" i="10"/>
  <c r="CK165" i="10"/>
  <c r="CG165" i="10"/>
  <c r="U165" i="10"/>
  <c r="BC165" i="10"/>
  <c r="BM165" i="10"/>
  <c r="CF165" i="10"/>
  <c r="CO165" i="10"/>
  <c r="AC165" i="10"/>
  <c r="CI165" i="10"/>
  <c r="CR165" i="10"/>
  <c r="AF165" i="10"/>
  <c r="BO165" i="10"/>
  <c r="C165" i="10"/>
  <c r="AP165" i="10"/>
  <c r="BX165" i="10"/>
  <c r="L165" i="10"/>
  <c r="AU165" i="10"/>
  <c r="BR165" i="10"/>
  <c r="F165" i="10"/>
  <c r="AN165" i="10"/>
  <c r="BW165" i="10"/>
  <c r="K165" i="10"/>
  <c r="AE250" i="10"/>
  <c r="AF80" i="10"/>
  <c r="AF79" i="10"/>
  <c r="AF96" i="10"/>
  <c r="AF114" i="10" s="1"/>
  <c r="AF95" i="10"/>
  <c r="AF99" i="10"/>
  <c r="AF117" i="10" s="1"/>
  <c r="AF94" i="10"/>
  <c r="AF98" i="10"/>
  <c r="AF97" i="10"/>
  <c r="AF101" i="10"/>
  <c r="AF119" i="10" s="1"/>
  <c r="AF105" i="10"/>
  <c r="AF104" i="10"/>
  <c r="AF103" i="10"/>
  <c r="AF121" i="10" s="1"/>
  <c r="AF106" i="10"/>
  <c r="AF100" i="10"/>
  <c r="AF118" i="10" s="1"/>
  <c r="AF108" i="10"/>
  <c r="AF126" i="10" s="1"/>
  <c r="AF102" i="10"/>
  <c r="AF107" i="10"/>
  <c r="AF125" i="10" s="1"/>
  <c r="AD127" i="10"/>
  <c r="AE119" i="10"/>
  <c r="AE120" i="10"/>
  <c r="AE125" i="10"/>
  <c r="AE109" i="10"/>
  <c r="C36" i="10"/>
  <c r="B36" i="10"/>
  <c r="A167" i="10"/>
  <c r="B167" i="10" s="1"/>
  <c r="I37" i="13"/>
  <c r="A37" i="10"/>
  <c r="E38" i="7"/>
  <c r="BQ36" i="10"/>
  <c r="AI36" i="10"/>
  <c r="W36" i="10"/>
  <c r="S36" i="10"/>
  <c r="BV36" i="10"/>
  <c r="BE36" i="10"/>
  <c r="AD36" i="10"/>
  <c r="CE36" i="10"/>
  <c r="BY36" i="10"/>
  <c r="BU36" i="10"/>
  <c r="BI36" i="10"/>
  <c r="AC36" i="10"/>
  <c r="CD36" i="10"/>
  <c r="BJ36" i="10"/>
  <c r="BM36" i="10"/>
  <c r="CG36" i="10"/>
  <c r="BH36" i="10"/>
  <c r="BT36" i="10"/>
  <c r="AY36" i="10"/>
  <c r="BW36" i="10"/>
  <c r="AB36" i="10"/>
  <c r="BB36" i="10"/>
  <c r="AE36" i="10"/>
  <c r="O36" i="10"/>
  <c r="BF36" i="10"/>
  <c r="BO36" i="10"/>
  <c r="BA36" i="10"/>
  <c r="CI36" i="10"/>
  <c r="AP36" i="10"/>
  <c r="CT36" i="10"/>
  <c r="V36" i="10"/>
  <c r="CP36" i="10"/>
  <c r="Y36" i="10"/>
  <c r="AG36" i="10"/>
  <c r="CH36" i="10"/>
  <c r="CW36" i="10"/>
  <c r="BC36" i="10"/>
  <c r="BX36" i="10"/>
  <c r="CC36" i="10"/>
  <c r="AV36" i="10"/>
  <c r="AR36" i="10"/>
  <c r="X36" i="10"/>
  <c r="T36" i="10"/>
  <c r="CF36" i="10"/>
  <c r="CB36" i="10"/>
  <c r="AG111" i="10" a="1"/>
  <c r="AG111" i="10" s="1"/>
  <c r="P36" i="10"/>
  <c r="BL36" i="10"/>
  <c r="AG223" i="10" a="1"/>
  <c r="AG223" i="10" s="1"/>
  <c r="AG75" i="10" a="1"/>
  <c r="AG75" i="10" s="1"/>
  <c r="AQ36" i="10"/>
  <c r="AX36" i="10"/>
  <c r="G36" i="10"/>
  <c r="CA36" i="10"/>
  <c r="Z36" i="10"/>
  <c r="CL36" i="10"/>
  <c r="CO36" i="10"/>
  <c r="BS36" i="10"/>
  <c r="CK36" i="10"/>
  <c r="CN36" i="10"/>
  <c r="AJ36" i="10"/>
  <c r="BD36" i="10"/>
  <c r="AU36" i="10"/>
  <c r="AM36" i="10"/>
  <c r="K36" i="10"/>
  <c r="BR36" i="10"/>
  <c r="CQ36" i="10"/>
  <c r="AT36" i="10"/>
  <c r="CU36" i="10"/>
  <c r="AH36" i="10"/>
  <c r="R36" i="10"/>
  <c r="N36" i="10"/>
  <c r="AS36" i="10"/>
  <c r="U36" i="10"/>
  <c r="BN36" i="10"/>
  <c r="BZ36" i="10"/>
  <c r="CS36" i="10"/>
  <c r="Q36" i="10"/>
  <c r="M36" i="10"/>
  <c r="AZ36" i="10"/>
  <c r="L36" i="10"/>
  <c r="AN36" i="10"/>
  <c r="D36" i="10"/>
  <c r="H36" i="10"/>
  <c r="AA36" i="10"/>
  <c r="BK36" i="10"/>
  <c r="AL36" i="10"/>
  <c r="J36" i="10"/>
  <c r="AK36" i="10"/>
  <c r="AO36" i="10"/>
  <c r="E36" i="10"/>
  <c r="AF36" i="10"/>
  <c r="CR36" i="10"/>
  <c r="AG241" i="10" a="1"/>
  <c r="AG241" i="10" s="1"/>
  <c r="CV36" i="10"/>
  <c r="CM36" i="10"/>
  <c r="F36" i="10"/>
  <c r="AW36" i="10"/>
  <c r="I36" i="10"/>
  <c r="BG36" i="10"/>
  <c r="BP36" i="10"/>
  <c r="AG93" i="10" a="1"/>
  <c r="AG93" i="10" s="1"/>
  <c r="CJ36" i="10"/>
  <c r="AG205" i="10" a="1"/>
  <c r="AG205" i="10" s="1"/>
  <c r="AE112" i="10"/>
  <c r="AE91" i="10"/>
  <c r="AF116" i="10" l="1"/>
  <c r="AF113" i="10"/>
  <c r="AF122" i="10"/>
  <c r="AF120" i="10"/>
  <c r="AF250" i="10"/>
  <c r="AF246" i="10"/>
  <c r="AF248" i="10"/>
  <c r="AF244" i="10"/>
  <c r="AF255" i="10"/>
  <c r="AF251" i="10"/>
  <c r="AF243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J166" i="10"/>
  <c r="BR166" i="10"/>
  <c r="Q166" i="10"/>
  <c r="BN166" i="10"/>
  <c r="BM166" i="10"/>
  <c r="AA166" i="10"/>
  <c r="AT166" i="10"/>
  <c r="BP166" i="10"/>
  <c r="CL166" i="10"/>
  <c r="Z166" i="10"/>
  <c r="AZ166" i="10"/>
  <c r="BI166" i="10"/>
  <c r="CR166" i="10"/>
  <c r="AF166" i="10"/>
  <c r="BC166" i="10"/>
  <c r="CK166" i="10"/>
  <c r="Y166" i="10"/>
  <c r="BH166" i="10"/>
  <c r="CU166" i="10"/>
  <c r="AI166" i="10"/>
  <c r="CG166" i="10"/>
  <c r="U166" i="10"/>
  <c r="BD166" i="10"/>
  <c r="CQ166" i="10"/>
  <c r="AE166" i="10"/>
  <c r="AF256" i="10"/>
  <c r="CH166" i="10"/>
  <c r="F166" i="10"/>
  <c r="CV166" i="10"/>
  <c r="AX166" i="10"/>
  <c r="CF166" i="10"/>
  <c r="CP166" i="10"/>
  <c r="AD166" i="10"/>
  <c r="D166" i="10"/>
  <c r="BV166" i="10"/>
  <c r="J166" i="10"/>
  <c r="BG166" i="10"/>
  <c r="AS166" i="10"/>
  <c r="CB166" i="10"/>
  <c r="P166" i="10"/>
  <c r="AM166" i="10"/>
  <c r="BU166" i="10"/>
  <c r="I166" i="10"/>
  <c r="AR166" i="10"/>
  <c r="CE166" i="10"/>
  <c r="S166" i="10"/>
  <c r="BQ166" i="10"/>
  <c r="E166" i="10"/>
  <c r="AN166" i="10"/>
  <c r="CA166" i="10"/>
  <c r="O166" i="10"/>
  <c r="AE257" i="10"/>
  <c r="AG207" i="10"/>
  <c r="AG213" i="10"/>
  <c r="AG238" i="10"/>
  <c r="AG220" i="10"/>
  <c r="AG224" i="10"/>
  <c r="AG209" i="10"/>
  <c r="AG227" i="10"/>
  <c r="AG225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26" i="10"/>
  <c r="AG230" i="10"/>
  <c r="AG235" i="10"/>
  <c r="AG208" i="10"/>
  <c r="AG218" i="10"/>
  <c r="AG228" i="10"/>
  <c r="AG210" i="10"/>
  <c r="AG211" i="10"/>
  <c r="AG229" i="10"/>
  <c r="AF242" i="10"/>
  <c r="AF221" i="10"/>
  <c r="AF245" i="10"/>
  <c r="V166" i="10"/>
  <c r="CC166" i="10"/>
  <c r="CT166" i="10"/>
  <c r="AH166" i="10"/>
  <c r="T166" i="10"/>
  <c r="BZ166" i="10"/>
  <c r="N166" i="10"/>
  <c r="BW166" i="10"/>
  <c r="BF166" i="10"/>
  <c r="CS166" i="10"/>
  <c r="CO166" i="10"/>
  <c r="AC166" i="10"/>
  <c r="BL166" i="10"/>
  <c r="CI166" i="10"/>
  <c r="W166" i="10"/>
  <c r="BE166" i="10"/>
  <c r="CN166" i="10"/>
  <c r="AB166" i="10"/>
  <c r="BO166" i="10"/>
  <c r="C166" i="10"/>
  <c r="BA166" i="10"/>
  <c r="CJ166" i="10"/>
  <c r="X166" i="10"/>
  <c r="BK166" i="10"/>
  <c r="AN35" i="11" a="1"/>
  <c r="AN35" i="11" s="1"/>
  <c r="AN138" i="11" a="1"/>
  <c r="AN138" i="11" s="1"/>
  <c r="L167" i="10" s="1"/>
  <c r="AF252" i="10"/>
  <c r="AF239" i="10"/>
  <c r="AL166" i="10"/>
  <c r="AQ166" i="10"/>
  <c r="BB166" i="10"/>
  <c r="CD166" i="10"/>
  <c r="R166" i="10"/>
  <c r="CM166" i="10"/>
  <c r="BJ166" i="10"/>
  <c r="AW166" i="10"/>
  <c r="K166" i="10"/>
  <c r="AP166" i="10"/>
  <c r="AG166" i="10"/>
  <c r="BY166" i="10"/>
  <c r="M166" i="10"/>
  <c r="AV166" i="10"/>
  <c r="BS166" i="10"/>
  <c r="G166" i="10"/>
  <c r="AO166" i="10"/>
  <c r="BX166" i="10"/>
  <c r="L166" i="10"/>
  <c r="AY166" i="10"/>
  <c r="CW166" i="10"/>
  <c r="AK166" i="10"/>
  <c r="BT166" i="10"/>
  <c r="H166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C37" i="10"/>
  <c r="B37" i="10"/>
  <c r="A168" i="10"/>
  <c r="B168" i="10" s="1"/>
  <c r="I38" i="13"/>
  <c r="E39" i="7"/>
  <c r="A38" i="10"/>
  <c r="AF112" i="10"/>
  <c r="AF91" i="10"/>
  <c r="BK37" i="10"/>
  <c r="J37" i="10"/>
  <c r="Y37" i="10"/>
  <c r="CW37" i="10"/>
  <c r="BM37" i="10"/>
  <c r="CR37" i="10"/>
  <c r="AX37" i="10"/>
  <c r="AA37" i="10"/>
  <c r="W37" i="10"/>
  <c r="BF37" i="10"/>
  <c r="CQ37" i="10"/>
  <c r="CI37" i="10"/>
  <c r="AP37" i="10"/>
  <c r="BE37" i="10"/>
  <c r="Z37" i="10"/>
  <c r="BI37" i="10"/>
  <c r="BY37" i="10"/>
  <c r="U37" i="10"/>
  <c r="CD37" i="10"/>
  <c r="AW37" i="10"/>
  <c r="Q37" i="10"/>
  <c r="E37" i="10"/>
  <c r="AY37" i="10"/>
  <c r="T37" i="10"/>
  <c r="CF37" i="10"/>
  <c r="CK37" i="10"/>
  <c r="H37" i="10"/>
  <c r="AF37" i="10"/>
  <c r="BG37" i="10"/>
  <c r="CN37" i="10"/>
  <c r="AH205" i="10" a="1"/>
  <c r="AH205" i="10" s="1"/>
  <c r="AH111" i="10" a="1"/>
  <c r="AH111" i="10" s="1"/>
  <c r="BU37" i="10"/>
  <c r="BJ37" i="10"/>
  <c r="AO37" i="10"/>
  <c r="BH37" i="10"/>
  <c r="BS37" i="10"/>
  <c r="BC37" i="10"/>
  <c r="AB37" i="10"/>
  <c r="CJ37" i="10"/>
  <c r="AU37" i="10"/>
  <c r="AE37" i="10"/>
  <c r="CU37" i="10"/>
  <c r="CE37" i="10"/>
  <c r="F37" i="10"/>
  <c r="CH37" i="10"/>
  <c r="I37" i="10"/>
  <c r="CV37" i="10"/>
  <c r="AR37" i="10"/>
  <c r="AH241" i="10" a="1"/>
  <c r="AH241" i="10" s="1"/>
  <c r="BD37" i="10"/>
  <c r="BQ37" i="10"/>
  <c r="S37" i="10"/>
  <c r="K37" i="10"/>
  <c r="BV37" i="10"/>
  <c r="BO37" i="10"/>
  <c r="CA37" i="10"/>
  <c r="AH37" i="10"/>
  <c r="N37" i="10"/>
  <c r="V37" i="10"/>
  <c r="BZ37" i="10"/>
  <c r="CP37" i="10"/>
  <c r="CO37" i="10"/>
  <c r="BT37" i="10"/>
  <c r="CC37" i="10"/>
  <c r="CG37" i="10"/>
  <c r="BW37" i="10"/>
  <c r="AH75" i="10" a="1"/>
  <c r="AH75" i="10" s="1"/>
  <c r="BB37" i="10"/>
  <c r="AQ37" i="10"/>
  <c r="AM37" i="10"/>
  <c r="O37" i="10"/>
  <c r="BR37" i="10"/>
  <c r="AL37" i="10"/>
  <c r="AT37" i="10"/>
  <c r="CM37" i="10"/>
  <c r="BN37" i="10"/>
  <c r="R37" i="10"/>
  <c r="AD37" i="10"/>
  <c r="AS37" i="10"/>
  <c r="CL37" i="10"/>
  <c r="AG37" i="10"/>
  <c r="AC37" i="10"/>
  <c r="M37" i="10"/>
  <c r="BX37" i="10"/>
  <c r="CS37" i="10"/>
  <c r="BP37" i="10"/>
  <c r="D37" i="10"/>
  <c r="AN37" i="10"/>
  <c r="AV37" i="10"/>
  <c r="P37" i="10"/>
  <c r="BL37" i="10"/>
  <c r="CB37" i="10"/>
  <c r="AH223" i="10" a="1"/>
  <c r="AH223" i="10" s="1"/>
  <c r="AI37" i="10"/>
  <c r="G37" i="10"/>
  <c r="BA37" i="10"/>
  <c r="CT37" i="10"/>
  <c r="AK37" i="10"/>
  <c r="AZ37" i="10"/>
  <c r="AJ37" i="10"/>
  <c r="X37" i="10"/>
  <c r="L37" i="10"/>
  <c r="AH93" i="10" a="1"/>
  <c r="AH93" i="10" s="1"/>
  <c r="AG125" i="10" l="1"/>
  <c r="AG117" i="10"/>
  <c r="AG121" i="10"/>
  <c r="AG114" i="10"/>
  <c r="AG119" i="10"/>
  <c r="AG126" i="10"/>
  <c r="AG115" i="10"/>
  <c r="AG254" i="10"/>
  <c r="AG251" i="10"/>
  <c r="AG244" i="10"/>
  <c r="AG255" i="10"/>
  <c r="AH208" i="10"/>
  <c r="AH230" i="10"/>
  <c r="AH213" i="10"/>
  <c r="AH206" i="10"/>
  <c r="AH209" i="10"/>
  <c r="AH207" i="10"/>
  <c r="AH225" i="10"/>
  <c r="AH212" i="10"/>
  <c r="AH216" i="10"/>
  <c r="AH233" i="10"/>
  <c r="AH224" i="10"/>
  <c r="AH219" i="10"/>
  <c r="AH218" i="10"/>
  <c r="AH232" i="10"/>
  <c r="AH214" i="10"/>
  <c r="AH234" i="10"/>
  <c r="AH215" i="10"/>
  <c r="AH220" i="10"/>
  <c r="AH228" i="10"/>
  <c r="AH210" i="10"/>
  <c r="AH229" i="10"/>
  <c r="AH226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C167" i="10"/>
  <c r="BO167" i="10"/>
  <c r="CQ167" i="10"/>
  <c r="AE167" i="10"/>
  <c r="AW167" i="10"/>
  <c r="BG167" i="10"/>
  <c r="BZ167" i="10"/>
  <c r="AN167" i="10"/>
  <c r="AM167" i="10"/>
  <c r="CC167" i="10"/>
  <c r="CL167" i="10"/>
  <c r="Z167" i="10"/>
  <c r="BI167" i="10"/>
  <c r="CV167" i="10"/>
  <c r="AJ167" i="10"/>
  <c r="BR167" i="10"/>
  <c r="F167" i="10"/>
  <c r="AO167" i="10"/>
  <c r="CB167" i="10"/>
  <c r="P167" i="10"/>
  <c r="AX167" i="10"/>
  <c r="CG167" i="10"/>
  <c r="U167" i="10"/>
  <c r="BH167" i="10"/>
  <c r="AO35" i="11" a="1"/>
  <c r="AO35" i="11" s="1"/>
  <c r="AO138" i="11" a="1"/>
  <c r="AO138" i="11" s="1"/>
  <c r="AO168" i="10" s="1"/>
  <c r="AG247" i="10"/>
  <c r="AG253" i="10"/>
  <c r="AG248" i="10"/>
  <c r="AG239" i="10"/>
  <c r="AG243" i="10"/>
  <c r="H167" i="10"/>
  <c r="CU167" i="10"/>
  <c r="CE167" i="10"/>
  <c r="CA167" i="10"/>
  <c r="O167" i="10"/>
  <c r="BD167" i="10"/>
  <c r="AQ167" i="10"/>
  <c r="N167" i="10"/>
  <c r="CI167" i="10"/>
  <c r="W167" i="10"/>
  <c r="Q167" i="10"/>
  <c r="BV167" i="10"/>
  <c r="J167" i="10"/>
  <c r="AS167" i="10"/>
  <c r="CF167" i="10"/>
  <c r="T167" i="10"/>
  <c r="BB167" i="10"/>
  <c r="CK167" i="10"/>
  <c r="Y167" i="10"/>
  <c r="BL167" i="10"/>
  <c r="CT167" i="10"/>
  <c r="AH167" i="10"/>
  <c r="BQ167" i="10"/>
  <c r="E167" i="10"/>
  <c r="AR167" i="10"/>
  <c r="AG246" i="10"/>
  <c r="AG256" i="10"/>
  <c r="AY167" i="10"/>
  <c r="AI167" i="10"/>
  <c r="S167" i="10"/>
  <c r="BK167" i="10"/>
  <c r="CP167" i="10"/>
  <c r="CM167" i="10"/>
  <c r="AA167" i="10"/>
  <c r="CS167" i="10"/>
  <c r="BS167" i="10"/>
  <c r="G167" i="10"/>
  <c r="CJ167" i="10"/>
  <c r="BF167" i="10"/>
  <c r="CO167" i="10"/>
  <c r="AC167" i="10"/>
  <c r="BP167" i="10"/>
  <c r="D167" i="10"/>
  <c r="AL167" i="10"/>
  <c r="BU167" i="10"/>
  <c r="I167" i="10"/>
  <c r="AV167" i="10"/>
  <c r="CD167" i="10"/>
  <c r="R167" i="10"/>
  <c r="BA167" i="10"/>
  <c r="CN167" i="10"/>
  <c r="AB167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F257" i="10"/>
  <c r="AG242" i="10"/>
  <c r="AG221" i="10"/>
  <c r="AT167" i="10"/>
  <c r="BM167" i="10"/>
  <c r="BT167" i="10"/>
  <c r="AU167" i="10"/>
  <c r="AD167" i="10"/>
  <c r="BW167" i="10"/>
  <c r="K167" i="10"/>
  <c r="AG167" i="10"/>
  <c r="BC167" i="10"/>
  <c r="BJ167" i="10"/>
  <c r="X167" i="10"/>
  <c r="AP167" i="10"/>
  <c r="BY167" i="10"/>
  <c r="M167" i="10"/>
  <c r="AZ167" i="10"/>
  <c r="CH167" i="10"/>
  <c r="V167" i="10"/>
  <c r="BE167" i="10"/>
  <c r="CR167" i="10"/>
  <c r="AF167" i="10"/>
  <c r="BN167" i="10"/>
  <c r="CW167" i="10"/>
  <c r="AK167" i="10"/>
  <c r="BX16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B38" i="10"/>
  <c r="C38" i="10"/>
  <c r="AX38" i="10"/>
  <c r="AI38" i="10"/>
  <c r="W38" i="10"/>
  <c r="L38" i="10"/>
  <c r="BQ38" i="10"/>
  <c r="BB38" i="10"/>
  <c r="K38" i="10"/>
  <c r="BR38" i="10"/>
  <c r="CQ38" i="10"/>
  <c r="AP38" i="10"/>
  <c r="CA38" i="10"/>
  <c r="BA38" i="10"/>
  <c r="V38" i="10"/>
  <c r="BI38" i="10"/>
  <c r="BU38" i="10"/>
  <c r="U38" i="10"/>
  <c r="BJ38" i="10"/>
  <c r="AS38" i="10"/>
  <c r="M38" i="10"/>
  <c r="BH38" i="10"/>
  <c r="BM38" i="10"/>
  <c r="AZ38" i="10"/>
  <c r="X38" i="10"/>
  <c r="BS38" i="10"/>
  <c r="AJ38" i="10"/>
  <c r="D38" i="10"/>
  <c r="CN38" i="10"/>
  <c r="CR38" i="10"/>
  <c r="AI205" i="10" a="1"/>
  <c r="AI205" i="10" s="1"/>
  <c r="AI75" i="10" a="1"/>
  <c r="AI75" i="10" s="1"/>
  <c r="CG38" i="10"/>
  <c r="BP38" i="10"/>
  <c r="CJ38" i="10"/>
  <c r="AI223" i="10" a="1"/>
  <c r="AI223" i="10" s="1"/>
  <c r="BD38" i="10"/>
  <c r="AE38" i="10"/>
  <c r="BO38" i="10"/>
  <c r="Z38" i="10"/>
  <c r="J38" i="10"/>
  <c r="BN38" i="10"/>
  <c r="CP38" i="10"/>
  <c r="AG38" i="10"/>
  <c r="CO38" i="10"/>
  <c r="AN38" i="10"/>
  <c r="AY38" i="10"/>
  <c r="BL38" i="10"/>
  <c r="AI111" i="10" a="1"/>
  <c r="AI111" i="10" s="1"/>
  <c r="G38" i="10"/>
  <c r="CI38" i="10"/>
  <c r="N38" i="10"/>
  <c r="BZ38" i="10"/>
  <c r="CL38" i="10"/>
  <c r="AV38" i="10"/>
  <c r="CC38" i="10"/>
  <c r="BW38" i="10"/>
  <c r="AU38" i="10"/>
  <c r="AA38" i="10"/>
  <c r="AM38" i="10"/>
  <c r="S38" i="10"/>
  <c r="BV38" i="10"/>
  <c r="CU38" i="10"/>
  <c r="AH38" i="10"/>
  <c r="AT38" i="10"/>
  <c r="AD38" i="10"/>
  <c r="AL38" i="10"/>
  <c r="BY38" i="10"/>
  <c r="CH38" i="10"/>
  <c r="Q38" i="10"/>
  <c r="CD38" i="10"/>
  <c r="AK38" i="10"/>
  <c r="I38" i="10"/>
  <c r="BX38" i="10"/>
  <c r="CS38" i="10"/>
  <c r="BC38" i="10"/>
  <c r="P38" i="10"/>
  <c r="AB38" i="10"/>
  <c r="CF38" i="10"/>
  <c r="AQ38" i="10"/>
  <c r="O38" i="10"/>
  <c r="BF38" i="10"/>
  <c r="CM38" i="10"/>
  <c r="R38" i="10"/>
  <c r="AW38" i="10"/>
  <c r="AC38" i="10"/>
  <c r="BT38" i="10"/>
  <c r="CK38" i="10"/>
  <c r="H38" i="10"/>
  <c r="T38" i="10"/>
  <c r="CW38" i="10"/>
  <c r="BK38" i="10"/>
  <c r="BE38" i="10"/>
  <c r="CT38" i="10"/>
  <c r="AO38" i="10"/>
  <c r="Y38" i="10"/>
  <c r="E38" i="10"/>
  <c r="AF38" i="10"/>
  <c r="AR38" i="10"/>
  <c r="BG38" i="10"/>
  <c r="CB38" i="10"/>
  <c r="CE38" i="10"/>
  <c r="F38" i="10"/>
  <c r="CV38" i="10"/>
  <c r="AI241" i="10" a="1"/>
  <c r="AI241" i="10" s="1"/>
  <c r="AI93" i="10" a="1"/>
  <c r="AI93" i="10" s="1"/>
  <c r="AG112" i="10"/>
  <c r="AG91" i="10"/>
  <c r="I39" i="13"/>
  <c r="A169" i="10"/>
  <c r="B169" i="10" s="1"/>
  <c r="E40" i="7"/>
  <c r="A39" i="10"/>
  <c r="AH122" i="10" l="1"/>
  <c r="AH114" i="10"/>
  <c r="AH113" i="10"/>
  <c r="AH251" i="10"/>
  <c r="AH243" i="10"/>
  <c r="AH248" i="10"/>
  <c r="AG257" i="10"/>
  <c r="AH247" i="10"/>
  <c r="AH253" i="10"/>
  <c r="AH250" i="10"/>
  <c r="AI208" i="10"/>
  <c r="AI224" i="10"/>
  <c r="AI207" i="10"/>
  <c r="AI212" i="10"/>
  <c r="AI237" i="10"/>
  <c r="AI236" i="10"/>
  <c r="AI232" i="10"/>
  <c r="AI231" i="10"/>
  <c r="AI216" i="10"/>
  <c r="AI228" i="10"/>
  <c r="AI226" i="10"/>
  <c r="AI206" i="10"/>
  <c r="AI225" i="10"/>
  <c r="AI230" i="10"/>
  <c r="AI218" i="10"/>
  <c r="AI214" i="10"/>
  <c r="AI234" i="10"/>
  <c r="AI209" i="10"/>
  <c r="AI227" i="10"/>
  <c r="AI213" i="10"/>
  <c r="AI249" i="10" s="1"/>
  <c r="AI233" i="10"/>
  <c r="AI238" i="10"/>
  <c r="AI220" i="10"/>
  <c r="AI235" i="10"/>
  <c r="AI217" i="10"/>
  <c r="AI229" i="10"/>
  <c r="AI215" i="10"/>
  <c r="AI210" i="10"/>
  <c r="AI211" i="10"/>
  <c r="AI219" i="10"/>
  <c r="CB168" i="10"/>
  <c r="CP168" i="10"/>
  <c r="K168" i="10"/>
  <c r="BX168" i="10"/>
  <c r="L168" i="10"/>
  <c r="CG168" i="10"/>
  <c r="BD168" i="10"/>
  <c r="AQ168" i="10"/>
  <c r="CV168" i="10"/>
  <c r="AJ168" i="10"/>
  <c r="AA168" i="10"/>
  <c r="BS168" i="10"/>
  <c r="G168" i="10"/>
  <c r="AP168" i="10"/>
  <c r="CC168" i="10"/>
  <c r="Q168" i="10"/>
  <c r="AY168" i="10"/>
  <c r="CH168" i="10"/>
  <c r="V168" i="10"/>
  <c r="BI168" i="10"/>
  <c r="CQ168" i="10"/>
  <c r="AE168" i="10"/>
  <c r="BN168" i="10"/>
  <c r="CK168" i="10"/>
  <c r="Y168" i="10"/>
  <c r="AH246" i="10"/>
  <c r="AH255" i="10"/>
  <c r="AH221" i="10"/>
  <c r="AH242" i="10"/>
  <c r="P168" i="10"/>
  <c r="BL168" i="10"/>
  <c r="AV168" i="10"/>
  <c r="BH168" i="10"/>
  <c r="BG168" i="10"/>
  <c r="U168" i="10"/>
  <c r="AN168" i="10"/>
  <c r="BJ168" i="10"/>
  <c r="CF168" i="10"/>
  <c r="T168" i="10"/>
  <c r="AT168" i="10"/>
  <c r="BC168" i="10"/>
  <c r="CL168" i="10"/>
  <c r="Z168" i="10"/>
  <c r="BM168" i="10"/>
  <c r="CU168" i="10"/>
  <c r="AI168" i="10"/>
  <c r="BR168" i="10"/>
  <c r="F168" i="10"/>
  <c r="AS168" i="10"/>
  <c r="CA168" i="10"/>
  <c r="O168" i="10"/>
  <c r="AX168" i="10"/>
  <c r="BU168" i="10"/>
  <c r="I168" i="10"/>
  <c r="AH239" i="10"/>
  <c r="AH249" i="10"/>
  <c r="AP35" i="11" a="1"/>
  <c r="AP35" i="11" s="1"/>
  <c r="AP138" i="11" a="1"/>
  <c r="AP138" i="11" s="1"/>
  <c r="F169" i="10" s="1"/>
  <c r="AD168" i="10"/>
  <c r="AK168" i="10"/>
  <c r="BW168" i="10"/>
  <c r="AR168" i="10"/>
  <c r="BZ168" i="10"/>
  <c r="CJ168" i="10"/>
  <c r="X168" i="10"/>
  <c r="BQ168" i="10"/>
  <c r="BP168" i="10"/>
  <c r="D168" i="10"/>
  <c r="BA168" i="10"/>
  <c r="AM168" i="10"/>
  <c r="BV168" i="10"/>
  <c r="J168" i="10"/>
  <c r="AW168" i="10"/>
  <c r="CE168" i="10"/>
  <c r="S168" i="10"/>
  <c r="BB168" i="10"/>
  <c r="CO168" i="10"/>
  <c r="AC168" i="10"/>
  <c r="BK168" i="10"/>
  <c r="CT168" i="10"/>
  <c r="AH168" i="10"/>
  <c r="BE168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F168" i="10"/>
  <c r="CW168" i="10"/>
  <c r="CR168" i="10"/>
  <c r="CN168" i="10"/>
  <c r="AB168" i="10"/>
  <c r="N168" i="10"/>
  <c r="BT168" i="10"/>
  <c r="H168" i="10"/>
  <c r="E168" i="10"/>
  <c r="AZ168" i="10"/>
  <c r="CM168" i="10"/>
  <c r="CI168" i="10"/>
  <c r="W168" i="10"/>
  <c r="BF168" i="10"/>
  <c r="CS168" i="10"/>
  <c r="AG168" i="10"/>
  <c r="BO168" i="10"/>
  <c r="C168" i="10"/>
  <c r="AL168" i="10"/>
  <c r="BY168" i="10"/>
  <c r="M168" i="10"/>
  <c r="AU168" i="10"/>
  <c r="CD168" i="10"/>
  <c r="R168" i="10"/>
  <c r="AH254" i="10"/>
  <c r="AH252" i="10"/>
  <c r="AH245" i="10"/>
  <c r="AH244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B39" i="10"/>
  <c r="C39" i="10"/>
  <c r="AH91" i="10"/>
  <c r="AH112" i="10"/>
  <c r="A40" i="10"/>
  <c r="E41" i="7"/>
  <c r="A170" i="10"/>
  <c r="B170" i="10" s="1"/>
  <c r="I40" i="13"/>
  <c r="AU39" i="10"/>
  <c r="AA39" i="10"/>
  <c r="AE39" i="10"/>
  <c r="K39" i="10"/>
  <c r="CU39" i="10"/>
  <c r="CM39" i="10"/>
  <c r="AH39" i="10"/>
  <c r="AT39" i="10"/>
  <c r="J39" i="10"/>
  <c r="F39" i="10"/>
  <c r="BI39" i="10"/>
  <c r="AK39" i="10"/>
  <c r="BZ39" i="10"/>
  <c r="AW39" i="10"/>
  <c r="Q39" i="10"/>
  <c r="BH39" i="10"/>
  <c r="BC39" i="10"/>
  <c r="CS39" i="10"/>
  <c r="CV39" i="10"/>
  <c r="AN39" i="10"/>
  <c r="L39" i="10"/>
  <c r="AV39" i="10"/>
  <c r="CR39" i="10"/>
  <c r="H39" i="10"/>
  <c r="AJ241" i="10" a="1"/>
  <c r="AJ241" i="10" s="1"/>
  <c r="AQ39" i="10"/>
  <c r="AM39" i="10"/>
  <c r="S39" i="10"/>
  <c r="BV39" i="10"/>
  <c r="BF39" i="10"/>
  <c r="CE39" i="10"/>
  <c r="Z39" i="10"/>
  <c r="AL39" i="10"/>
  <c r="CP39" i="10"/>
  <c r="BY39" i="10"/>
  <c r="BJ39" i="10"/>
  <c r="AC39" i="10"/>
  <c r="BN39" i="10"/>
  <c r="AO39" i="10"/>
  <c r="BT39" i="10"/>
  <c r="BX39" i="10"/>
  <c r="CW39" i="10"/>
  <c r="CG39" i="10"/>
  <c r="CO39" i="10"/>
  <c r="AJ39" i="10"/>
  <c r="CK39" i="10"/>
  <c r="X39" i="10"/>
  <c r="CB39" i="10"/>
  <c r="D39" i="10"/>
  <c r="AJ205" i="10" a="1"/>
  <c r="AJ205" i="10" s="1"/>
  <c r="AJ111" i="10" a="1"/>
  <c r="AJ111" i="10" s="1"/>
  <c r="G39" i="10"/>
  <c r="AP39" i="10"/>
  <c r="R39" i="10"/>
  <c r="CH39" i="10"/>
  <c r="I39" i="10"/>
  <c r="BL39" i="10"/>
  <c r="AZ39" i="10"/>
  <c r="CF39" i="10"/>
  <c r="AJ75" i="10" a="1"/>
  <c r="AJ75" i="10" s="1"/>
  <c r="BD39" i="10"/>
  <c r="AX39" i="10"/>
  <c r="W39" i="10"/>
  <c r="O39" i="10"/>
  <c r="BO39" i="10"/>
  <c r="CQ39" i="10"/>
  <c r="BA39" i="10"/>
  <c r="CI39" i="10"/>
  <c r="BE39" i="10"/>
  <c r="V39" i="10"/>
  <c r="BU39" i="10"/>
  <c r="CT39" i="10"/>
  <c r="U39" i="10"/>
  <c r="CL39" i="10"/>
  <c r="AG39" i="10"/>
  <c r="BM39" i="10"/>
  <c r="M39" i="10"/>
  <c r="AF39" i="10"/>
  <c r="BG39" i="10"/>
  <c r="AY39" i="10"/>
  <c r="AB39" i="10"/>
  <c r="CC39" i="10"/>
  <c r="P39" i="10"/>
  <c r="BP39" i="10"/>
  <c r="CN39" i="10"/>
  <c r="AJ223" i="10" a="1"/>
  <c r="AJ223" i="10" s="1"/>
  <c r="AJ93" i="10" a="1"/>
  <c r="AJ93" i="10" s="1"/>
  <c r="BB39" i="10"/>
  <c r="BQ39" i="10"/>
  <c r="BK39" i="10"/>
  <c r="CA39" i="10"/>
  <c r="N39" i="10"/>
  <c r="CD39" i="10"/>
  <c r="E39" i="10"/>
  <c r="AR39" i="10"/>
  <c r="BW39" i="10"/>
  <c r="CJ39" i="10"/>
  <c r="AI39" i="10"/>
  <c r="BR39" i="10"/>
  <c r="AD39" i="10"/>
  <c r="AS39" i="10"/>
  <c r="Y39" i="10"/>
  <c r="BS39" i="10"/>
  <c r="T39" i="10"/>
  <c r="AI255" i="10" l="1"/>
  <c r="AI250" i="10"/>
  <c r="AI251" i="10"/>
  <c r="AI253" i="10"/>
  <c r="AI246" i="10"/>
  <c r="AI254" i="10"/>
  <c r="AI245" i="10"/>
  <c r="AQ35" i="11" a="1"/>
  <c r="AQ35" i="11" s="1"/>
  <c r="AQ138" i="11" a="1"/>
  <c r="AQ138" i="11" s="1"/>
  <c r="AI247" i="10"/>
  <c r="AI252" i="10"/>
  <c r="AI244" i="10"/>
  <c r="CO169" i="10"/>
  <c r="BY169" i="10"/>
  <c r="BU169" i="10"/>
  <c r="I169" i="10"/>
  <c r="AQ169" i="10"/>
  <c r="BQ169" i="10"/>
  <c r="E169" i="10"/>
  <c r="CM169" i="10"/>
  <c r="CS169" i="10"/>
  <c r="AG169" i="10"/>
  <c r="BW169" i="10"/>
  <c r="AJ169" i="10"/>
  <c r="BS169" i="10"/>
  <c r="G169" i="10"/>
  <c r="AT169" i="10"/>
  <c r="CB169" i="10"/>
  <c r="P169" i="10"/>
  <c r="AY169" i="10"/>
  <c r="CL169" i="10"/>
  <c r="Z169" i="10"/>
  <c r="BH169" i="10"/>
  <c r="CQ169" i="10"/>
  <c r="AE169" i="10"/>
  <c r="BB169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21" i="10"/>
  <c r="AI242" i="10"/>
  <c r="AI248" i="10"/>
  <c r="AS169" i="10"/>
  <c r="AC169" i="10"/>
  <c r="M169" i="10"/>
  <c r="BE169" i="10"/>
  <c r="CV169" i="10"/>
  <c r="AX169" i="10"/>
  <c r="BA169" i="10"/>
  <c r="CJ169" i="10"/>
  <c r="AA169" i="10"/>
  <c r="CC169" i="10"/>
  <c r="Q169" i="10"/>
  <c r="K169" i="10"/>
  <c r="T169" i="10"/>
  <c r="BC169" i="10"/>
  <c r="CP169" i="10"/>
  <c r="AD169" i="10"/>
  <c r="BL169" i="10"/>
  <c r="CU169" i="10"/>
  <c r="AI169" i="10"/>
  <c r="BV169" i="10"/>
  <c r="J169" i="10"/>
  <c r="AR169" i="10"/>
  <c r="CA169" i="10"/>
  <c r="O169" i="10"/>
  <c r="AL169" i="10"/>
  <c r="C170" i="10"/>
  <c r="S170" i="10"/>
  <c r="AI170" i="10"/>
  <c r="AY170" i="10"/>
  <c r="BO170" i="10"/>
  <c r="CE170" i="10"/>
  <c r="CU170" i="10"/>
  <c r="L170" i="10"/>
  <c r="AB170" i="10"/>
  <c r="AR170" i="10"/>
  <c r="BH170" i="10"/>
  <c r="BX170" i="10"/>
  <c r="CN170" i="10"/>
  <c r="I170" i="10"/>
  <c r="Y170" i="10"/>
  <c r="AO170" i="10"/>
  <c r="BE170" i="10"/>
  <c r="BU170" i="10"/>
  <c r="CK170" i="10"/>
  <c r="G170" i="10"/>
  <c r="W170" i="10"/>
  <c r="AM170" i="10"/>
  <c r="BC170" i="10"/>
  <c r="BS170" i="10"/>
  <c r="CI170" i="10"/>
  <c r="P170" i="10"/>
  <c r="AF170" i="10"/>
  <c r="AV170" i="10"/>
  <c r="BL170" i="10"/>
  <c r="CB170" i="10"/>
  <c r="CR170" i="10"/>
  <c r="M170" i="10"/>
  <c r="AC170" i="10"/>
  <c r="AS170" i="10"/>
  <c r="BI170" i="10"/>
  <c r="BY170" i="10"/>
  <c r="CO170" i="10"/>
  <c r="K170" i="10"/>
  <c r="AA170" i="10"/>
  <c r="AQ170" i="10"/>
  <c r="BG170" i="10"/>
  <c r="BW170" i="10"/>
  <c r="CM170" i="10"/>
  <c r="D170" i="10"/>
  <c r="T170" i="10"/>
  <c r="AJ170" i="10"/>
  <c r="AZ170" i="10"/>
  <c r="BP170" i="10"/>
  <c r="CF170" i="10"/>
  <c r="CV170" i="10"/>
  <c r="AU170" i="10"/>
  <c r="AN170" i="10"/>
  <c r="Q170" i="10"/>
  <c r="AW170" i="10"/>
  <c r="CC170" i="10"/>
  <c r="N170" i="10"/>
  <c r="AD170" i="10"/>
  <c r="AT170" i="10"/>
  <c r="BJ170" i="10"/>
  <c r="BZ170" i="10"/>
  <c r="CP170" i="10"/>
  <c r="BK170" i="10"/>
  <c r="BD170" i="10"/>
  <c r="U170" i="10"/>
  <c r="BA170" i="10"/>
  <c r="CG170" i="10"/>
  <c r="R170" i="10"/>
  <c r="AH170" i="10"/>
  <c r="AX170" i="10"/>
  <c r="BN170" i="10"/>
  <c r="CD170" i="10"/>
  <c r="CT170" i="10"/>
  <c r="O170" i="10"/>
  <c r="CA170" i="10"/>
  <c r="H170" i="10"/>
  <c r="BT170" i="10"/>
  <c r="AG170" i="10"/>
  <c r="BM170" i="10"/>
  <c r="CS170" i="10"/>
  <c r="F170" i="10"/>
  <c r="V170" i="10"/>
  <c r="AL170" i="10"/>
  <c r="BB170" i="10"/>
  <c r="BR170" i="10"/>
  <c r="CH170" i="10"/>
  <c r="AE170" i="10"/>
  <c r="AK170" i="10"/>
  <c r="AP170" i="10"/>
  <c r="Z170" i="10"/>
  <c r="CQ170" i="10"/>
  <c r="X170" i="10"/>
  <c r="BQ170" i="10"/>
  <c r="BF170" i="10"/>
  <c r="E170" i="10"/>
  <c r="CL170" i="10"/>
  <c r="CJ170" i="10"/>
  <c r="CW170" i="10"/>
  <c r="J170" i="10"/>
  <c r="BV170" i="10"/>
  <c r="AH257" i="10"/>
  <c r="AI256" i="10"/>
  <c r="AI243" i="10"/>
  <c r="BT169" i="10"/>
  <c r="AN169" i="10"/>
  <c r="BG169" i="10"/>
  <c r="AO169" i="10"/>
  <c r="BP169" i="10"/>
  <c r="CW169" i="10"/>
  <c r="AK169" i="10"/>
  <c r="BD169" i="10"/>
  <c r="CT169" i="10"/>
  <c r="BM169" i="10"/>
  <c r="CF169" i="10"/>
  <c r="CD169" i="10"/>
  <c r="D169" i="10"/>
  <c r="AM169" i="10"/>
  <c r="BZ169" i="10"/>
  <c r="N169" i="10"/>
  <c r="AV169" i="10"/>
  <c r="CE169" i="10"/>
  <c r="S169" i="10"/>
  <c r="BF169" i="10"/>
  <c r="CN169" i="10"/>
  <c r="AB169" i="10"/>
  <c r="BK169" i="10"/>
  <c r="CH169" i="10"/>
  <c r="V169" i="10"/>
  <c r="AJ225" i="10"/>
  <c r="AJ207" i="10"/>
  <c r="AJ218" i="10"/>
  <c r="AJ214" i="10"/>
  <c r="AJ234" i="10"/>
  <c r="AJ233" i="10"/>
  <c r="AJ215" i="10"/>
  <c r="AJ238" i="10"/>
  <c r="AJ210" i="10"/>
  <c r="AJ226" i="10"/>
  <c r="AJ224" i="10"/>
  <c r="AJ206" i="10"/>
  <c r="AJ209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I239" i="10"/>
  <c r="BI169" i="10"/>
  <c r="BN169" i="10"/>
  <c r="CK169" i="10"/>
  <c r="Y169" i="10"/>
  <c r="X169" i="10"/>
  <c r="CG169" i="10"/>
  <c r="U169" i="10"/>
  <c r="H169" i="10"/>
  <c r="AH169" i="10"/>
  <c r="AW169" i="10"/>
  <c r="AZ169" i="10"/>
  <c r="R169" i="10"/>
  <c r="CI169" i="10"/>
  <c r="W169" i="10"/>
  <c r="BJ169" i="10"/>
  <c r="CR169" i="10"/>
  <c r="AF169" i="10"/>
  <c r="BO169" i="10"/>
  <c r="C169" i="10"/>
  <c r="AP169" i="10"/>
  <c r="BX169" i="10"/>
  <c r="L169" i="10"/>
  <c r="AU169" i="10"/>
  <c r="BR169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C40" i="10"/>
  <c r="B40" i="10"/>
  <c r="A171" i="10"/>
  <c r="B171" i="10" s="1"/>
  <c r="E42" i="7"/>
  <c r="I41" i="13"/>
  <c r="A41" i="10"/>
  <c r="AU40" i="10"/>
  <c r="AM40" i="10"/>
  <c r="AA40" i="10"/>
  <c r="K40" i="10"/>
  <c r="BO40" i="10"/>
  <c r="CM40" i="10"/>
  <c r="AL40" i="10"/>
  <c r="CI40" i="10"/>
  <c r="BI40" i="10"/>
  <c r="BJ40" i="10"/>
  <c r="J40" i="10"/>
  <c r="AC40" i="10"/>
  <c r="CT40" i="10"/>
  <c r="BZ40" i="10"/>
  <c r="M40" i="10"/>
  <c r="BM40" i="10"/>
  <c r="Q40" i="10"/>
  <c r="CV40" i="10"/>
  <c r="CF40" i="10"/>
  <c r="AV40" i="10"/>
  <c r="P40" i="10"/>
  <c r="BP40" i="10"/>
  <c r="AB40" i="10"/>
  <c r="BW40" i="10"/>
  <c r="AK205" i="10" a="1"/>
  <c r="AK205" i="10" s="1"/>
  <c r="AW40" i="10"/>
  <c r="BT40" i="10"/>
  <c r="AZ40" i="10"/>
  <c r="AR40" i="10"/>
  <c r="AK241" i="10" a="1"/>
  <c r="AK241" i="10" s="1"/>
  <c r="Z40" i="10"/>
  <c r="AS40" i="10"/>
  <c r="BX40" i="10"/>
  <c r="BC40" i="10"/>
  <c r="BS40" i="10"/>
  <c r="CB40" i="10"/>
  <c r="BD40" i="10"/>
  <c r="AE40" i="10"/>
  <c r="S40" i="10"/>
  <c r="BV40" i="10"/>
  <c r="BK40" i="10"/>
  <c r="CE40" i="10"/>
  <c r="AH40" i="10"/>
  <c r="CA40" i="10"/>
  <c r="BU40" i="10"/>
  <c r="V40" i="10"/>
  <c r="F40" i="10"/>
  <c r="U40" i="10"/>
  <c r="CL40" i="10"/>
  <c r="AG40" i="10"/>
  <c r="I40" i="10"/>
  <c r="CC40" i="10"/>
  <c r="BH40" i="10"/>
  <c r="CR40" i="10"/>
  <c r="CG40" i="10"/>
  <c r="AN40" i="10"/>
  <c r="H40" i="10"/>
  <c r="AY40" i="10"/>
  <c r="T40" i="10"/>
  <c r="D40" i="10"/>
  <c r="AK75" i="10" a="1"/>
  <c r="AK75" i="10" s="1"/>
  <c r="CU40" i="10"/>
  <c r="CQ40" i="10"/>
  <c r="AT40" i="10"/>
  <c r="AD40" i="10"/>
  <c r="BE40" i="10"/>
  <c r="BY40" i="10"/>
  <c r="R40" i="10"/>
  <c r="CP40" i="10"/>
  <c r="AO40" i="10"/>
  <c r="CH40" i="10"/>
  <c r="E40" i="10"/>
  <c r="CN40" i="10"/>
  <c r="AF40" i="10"/>
  <c r="L40" i="10"/>
  <c r="AK111" i="10" a="1"/>
  <c r="AK111" i="10" s="1"/>
  <c r="AI40" i="10"/>
  <c r="BR40" i="10"/>
  <c r="N40" i="10"/>
  <c r="Y40" i="10"/>
  <c r="CJ40" i="10"/>
  <c r="CO40" i="10"/>
  <c r="AX40" i="10"/>
  <c r="BB40" i="10"/>
  <c r="W40" i="10"/>
  <c r="O40" i="10"/>
  <c r="CW40" i="10"/>
  <c r="BG40" i="10"/>
  <c r="BL40" i="10"/>
  <c r="AQ40" i="10"/>
  <c r="G40" i="10"/>
  <c r="BF40" i="10"/>
  <c r="BA40" i="10"/>
  <c r="CD40" i="10"/>
  <c r="CS40" i="10"/>
  <c r="AJ40" i="10"/>
  <c r="AK223" i="10" a="1"/>
  <c r="AK223" i="10" s="1"/>
  <c r="BQ40" i="10"/>
  <c r="AP40" i="10"/>
  <c r="BN40" i="10"/>
  <c r="AK40" i="10"/>
  <c r="CK40" i="10"/>
  <c r="X40" i="10"/>
  <c r="AK93" i="10" a="1"/>
  <c r="AK93" i="10" s="1"/>
  <c r="AI112" i="10"/>
  <c r="AI91" i="10"/>
  <c r="AJ244" i="10" l="1"/>
  <c r="AJ248" i="10"/>
  <c r="AJ245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26" i="10"/>
  <c r="AK208" i="10"/>
  <c r="AK230" i="10"/>
  <c r="AK218" i="10"/>
  <c r="AK214" i="10"/>
  <c r="AK235" i="10"/>
  <c r="AK207" i="10"/>
  <c r="AK213" i="10"/>
  <c r="AK224" i="10"/>
  <c r="AK209" i="10"/>
  <c r="AK227" i="10"/>
  <c r="AK225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39" i="10"/>
  <c r="AJ251" i="10"/>
  <c r="AJ254" i="10"/>
  <c r="AI257" i="10"/>
  <c r="AR35" i="11" a="1"/>
  <c r="AR35" i="11" s="1"/>
  <c r="AR138" i="11" a="1"/>
  <c r="AR138" i="11" s="1"/>
  <c r="AF171" i="10" s="1"/>
  <c r="AJ253" i="10"/>
  <c r="AJ243" i="10"/>
  <c r="AJ246" i="10"/>
  <c r="AJ242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23" i="10" s="1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C41" i="10"/>
  <c r="B41" i="10"/>
  <c r="AJ112" i="10"/>
  <c r="AJ91" i="10"/>
  <c r="AQ41" i="10"/>
  <c r="AM41" i="10"/>
  <c r="W41" i="10"/>
  <c r="S41" i="10"/>
  <c r="CM41" i="10"/>
  <c r="CQ41" i="10"/>
  <c r="CI41" i="10"/>
  <c r="AL41" i="10"/>
  <c r="BY41" i="10"/>
  <c r="AD41" i="10"/>
  <c r="AK41" i="10"/>
  <c r="E41" i="10"/>
  <c r="BM41" i="10"/>
  <c r="CJ41" i="10"/>
  <c r="CV41" i="10"/>
  <c r="BL41" i="10"/>
  <c r="K41" i="10"/>
  <c r="BE41" i="10"/>
  <c r="N41" i="10"/>
  <c r="M41" i="10"/>
  <c r="AN41" i="10"/>
  <c r="AR41" i="10"/>
  <c r="AX41" i="10"/>
  <c r="AI41" i="10"/>
  <c r="O41" i="10"/>
  <c r="BF41" i="10"/>
  <c r="BV41" i="10"/>
  <c r="CE41" i="10"/>
  <c r="CA41" i="10"/>
  <c r="AH41" i="10"/>
  <c r="Z41" i="10"/>
  <c r="BN41" i="10"/>
  <c r="BI41" i="10"/>
  <c r="AW41" i="10"/>
  <c r="AG41" i="10"/>
  <c r="Q41" i="10"/>
  <c r="CW41" i="10"/>
  <c r="U41" i="10"/>
  <c r="AC41" i="10"/>
  <c r="AZ41" i="10"/>
  <c r="AY41" i="10"/>
  <c r="P41" i="10"/>
  <c r="CN41" i="10"/>
  <c r="BC41" i="10"/>
  <c r="T41" i="10"/>
  <c r="BG41" i="10"/>
  <c r="AL75" i="10" a="1"/>
  <c r="AL75" i="10" s="1"/>
  <c r="BQ41" i="10"/>
  <c r="BD41" i="10"/>
  <c r="BR41" i="10"/>
  <c r="AT41" i="10"/>
  <c r="BJ41" i="10"/>
  <c r="AS41" i="10"/>
  <c r="BX41" i="10"/>
  <c r="BW41" i="10"/>
  <c r="CF41" i="10"/>
  <c r="BP41" i="10"/>
  <c r="AU41" i="10"/>
  <c r="BB41" i="10"/>
  <c r="AA41" i="10"/>
  <c r="G41" i="10"/>
  <c r="CU41" i="10"/>
  <c r="BK41" i="10"/>
  <c r="BA41" i="10"/>
  <c r="AP41" i="10"/>
  <c r="F41" i="10"/>
  <c r="R41" i="10"/>
  <c r="CT41" i="10"/>
  <c r="CP41" i="10"/>
  <c r="AO41" i="10"/>
  <c r="CD41" i="10"/>
  <c r="I41" i="10"/>
  <c r="CO41" i="10"/>
  <c r="BT41" i="10"/>
  <c r="CK41" i="10"/>
  <c r="CR41" i="10"/>
  <c r="AF41" i="10"/>
  <c r="BS41" i="10"/>
  <c r="CC41" i="10"/>
  <c r="AJ41" i="10"/>
  <c r="D41" i="10"/>
  <c r="CB41" i="10"/>
  <c r="AL223" i="10" a="1"/>
  <c r="AL223" i="10" s="1"/>
  <c r="AL111" i="10" a="1"/>
  <c r="AL111" i="10" s="1"/>
  <c r="J41" i="10"/>
  <c r="CH41" i="10"/>
  <c r="BZ41" i="10"/>
  <c r="Y41" i="10"/>
  <c r="CG41" i="10"/>
  <c r="X41" i="10"/>
  <c r="AV41" i="10"/>
  <c r="AB41" i="10"/>
  <c r="AL205" i="10" a="1"/>
  <c r="AL205" i="10" s="1"/>
  <c r="AL93" i="10" a="1"/>
  <c r="AL93" i="10" s="1"/>
  <c r="AE41" i="10"/>
  <c r="BO41" i="10"/>
  <c r="V41" i="10"/>
  <c r="BU41" i="10"/>
  <c r="CL41" i="10"/>
  <c r="CS41" i="10"/>
  <c r="BH41" i="10"/>
  <c r="H41" i="10"/>
  <c r="L41" i="10"/>
  <c r="AL241" i="10" a="1"/>
  <c r="AL241" i="10" s="1"/>
  <c r="A172" i="10"/>
  <c r="B172" i="10" s="1"/>
  <c r="I42" i="13"/>
  <c r="E43" i="7"/>
  <c r="A42" i="10"/>
  <c r="AK122" i="10"/>
  <c r="AK121" i="10" l="1"/>
  <c r="AK126" i="10"/>
  <c r="AK124" i="10"/>
  <c r="AK119" i="10"/>
  <c r="AK253" i="10"/>
  <c r="AK117" i="10"/>
  <c r="AK125" i="10"/>
  <c r="AK120" i="10"/>
  <c r="AK113" i="10"/>
  <c r="AK114" i="10"/>
  <c r="AK247" i="10"/>
  <c r="AK244" i="10"/>
  <c r="AK251" i="10"/>
  <c r="AK256" i="10"/>
  <c r="AK248" i="10"/>
  <c r="AK246" i="10"/>
  <c r="AK252" i="10"/>
  <c r="AK255" i="10"/>
  <c r="AJ257" i="10"/>
  <c r="AL226" i="10"/>
  <c r="AL227" i="10"/>
  <c r="AL237" i="10"/>
  <c r="AL236" i="10"/>
  <c r="AL231" i="10"/>
  <c r="AL208" i="10"/>
  <c r="AL230" i="10"/>
  <c r="AL213" i="10"/>
  <c r="AL206" i="10"/>
  <c r="AL209" i="10"/>
  <c r="AL245" i="10" s="1"/>
  <c r="AL207" i="10"/>
  <c r="AL225" i="10"/>
  <c r="AL212" i="10"/>
  <c r="AL216" i="10"/>
  <c r="AL233" i="10"/>
  <c r="AL238" i="10"/>
  <c r="AL214" i="10"/>
  <c r="AL217" i="10"/>
  <c r="AL235" i="10"/>
  <c r="AL224" i="10"/>
  <c r="AL232" i="10"/>
  <c r="AL215" i="10"/>
  <c r="AL228" i="10"/>
  <c r="AL210" i="10"/>
  <c r="AL229" i="10"/>
  <c r="AL220" i="10"/>
  <c r="AL219" i="10"/>
  <c r="AL255" i="10" s="1"/>
  <c r="AL218" i="10"/>
  <c r="AL254" i="10" s="1"/>
  <c r="AL211" i="10"/>
  <c r="AL247" i="10" s="1"/>
  <c r="AL234" i="10"/>
  <c r="AS35" i="11" a="1"/>
  <c r="AS35" i="11" s="1"/>
  <c r="AS138" i="11" a="1"/>
  <c r="AS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BA171" i="10"/>
  <c r="CI171" i="10"/>
  <c r="G171" i="10"/>
  <c r="BO171" i="10"/>
  <c r="C171" i="10"/>
  <c r="AD171" i="10"/>
  <c r="CQ171" i="10"/>
  <c r="AE171" i="10"/>
  <c r="BN171" i="10"/>
  <c r="U171" i="10"/>
  <c r="BW171" i="10"/>
  <c r="K171" i="10"/>
  <c r="AT171" i="10"/>
  <c r="BX171" i="10"/>
  <c r="BM171" i="10"/>
  <c r="CJ171" i="10"/>
  <c r="X171" i="10"/>
  <c r="J171" i="10"/>
  <c r="AS171" i="10"/>
  <c r="CF171" i="10"/>
  <c r="T171" i="10"/>
  <c r="F171" i="10"/>
  <c r="AO171" i="10"/>
  <c r="CB171" i="10"/>
  <c r="P171" i="10"/>
  <c r="AK243" i="10"/>
  <c r="AM171" i="10"/>
  <c r="W171" i="10"/>
  <c r="BF171" i="10"/>
  <c r="AY171" i="10"/>
  <c r="CH171" i="10"/>
  <c r="CW171" i="10"/>
  <c r="CA171" i="10"/>
  <c r="O171" i="10"/>
  <c r="AX171" i="10"/>
  <c r="CN171" i="10"/>
  <c r="BG171" i="10"/>
  <c r="CP171" i="10"/>
  <c r="N171" i="10"/>
  <c r="L171" i="10"/>
  <c r="AW171" i="10"/>
  <c r="BT171" i="10"/>
  <c r="H171" i="10"/>
  <c r="CO171" i="10"/>
  <c r="AC171" i="10"/>
  <c r="BP171" i="10"/>
  <c r="D171" i="10"/>
  <c r="CK171" i="10"/>
  <c r="Y171" i="10"/>
  <c r="BL171" i="10"/>
  <c r="AK245" i="10"/>
  <c r="BC171" i="10"/>
  <c r="CL171" i="10"/>
  <c r="BV171" i="10"/>
  <c r="CU171" i="10"/>
  <c r="AI171" i="10"/>
  <c r="BR171" i="10"/>
  <c r="AK171" i="10"/>
  <c r="BK171" i="10"/>
  <c r="CT171" i="10"/>
  <c r="R171" i="10"/>
  <c r="AB171" i="10"/>
  <c r="AQ171" i="10"/>
  <c r="BZ171" i="10"/>
  <c r="BQ171" i="10"/>
  <c r="CS171" i="10"/>
  <c r="AG171" i="10"/>
  <c r="BD171" i="10"/>
  <c r="AP171" i="10"/>
  <c r="BY171" i="10"/>
  <c r="M171" i="10"/>
  <c r="AZ171" i="10"/>
  <c r="AL171" i="10"/>
  <c r="BU171" i="10"/>
  <c r="I171" i="10"/>
  <c r="AV171" i="10"/>
  <c r="AK242" i="10"/>
  <c r="AK221" i="10"/>
  <c r="AK239" i="10"/>
  <c r="AK250" i="10"/>
  <c r="M172" i="10"/>
  <c r="AC172" i="10"/>
  <c r="AS172" i="10"/>
  <c r="BI172" i="10"/>
  <c r="BY172" i="10"/>
  <c r="CO172" i="10"/>
  <c r="F172" i="10"/>
  <c r="V172" i="10"/>
  <c r="AL172" i="10"/>
  <c r="BB172" i="10"/>
  <c r="BR172" i="10"/>
  <c r="CH172" i="10"/>
  <c r="Q172" i="10"/>
  <c r="AG172" i="10"/>
  <c r="AW172" i="10"/>
  <c r="BM172" i="10"/>
  <c r="CC172" i="10"/>
  <c r="CS172" i="10"/>
  <c r="J172" i="10"/>
  <c r="Z172" i="10"/>
  <c r="AP172" i="10"/>
  <c r="BF172" i="10"/>
  <c r="BV172" i="10"/>
  <c r="CL172" i="10"/>
  <c r="E172" i="10"/>
  <c r="U172" i="10"/>
  <c r="AK172" i="10"/>
  <c r="BA172" i="10"/>
  <c r="BQ172" i="10"/>
  <c r="CG172" i="10"/>
  <c r="CW172" i="10"/>
  <c r="N172" i="10"/>
  <c r="AD172" i="10"/>
  <c r="AT172" i="10"/>
  <c r="BJ172" i="10"/>
  <c r="BZ172" i="10"/>
  <c r="CP172" i="10"/>
  <c r="AO172" i="10"/>
  <c r="AH172" i="10"/>
  <c r="CT172" i="10"/>
  <c r="K172" i="10"/>
  <c r="AA172" i="10"/>
  <c r="AQ172" i="10"/>
  <c r="BG172" i="10"/>
  <c r="BW172" i="10"/>
  <c r="CM172" i="10"/>
  <c r="H172" i="10"/>
  <c r="X172" i="10"/>
  <c r="AN172" i="10"/>
  <c r="BD172" i="10"/>
  <c r="BT172" i="10"/>
  <c r="CJ172" i="10"/>
  <c r="BE172" i="10"/>
  <c r="AX172" i="10"/>
  <c r="O172" i="10"/>
  <c r="AE172" i="10"/>
  <c r="AU172" i="10"/>
  <c r="BK172" i="10"/>
  <c r="CA172" i="10"/>
  <c r="CQ172" i="10"/>
  <c r="L172" i="10"/>
  <c r="AB172" i="10"/>
  <c r="AR172" i="10"/>
  <c r="BH172" i="10"/>
  <c r="BX172" i="10"/>
  <c r="CN172" i="10"/>
  <c r="I172" i="10"/>
  <c r="BU172" i="10"/>
  <c r="BN172" i="10"/>
  <c r="C172" i="10"/>
  <c r="S172" i="10"/>
  <c r="AI172" i="10"/>
  <c r="AY172" i="10"/>
  <c r="BO172" i="10"/>
  <c r="CE172" i="10"/>
  <c r="CU172" i="10"/>
  <c r="P172" i="10"/>
  <c r="AF172" i="10"/>
  <c r="AV172" i="10"/>
  <c r="BL172" i="10"/>
  <c r="CB172" i="10"/>
  <c r="CR172" i="10"/>
  <c r="CK172" i="10"/>
  <c r="R172" i="10"/>
  <c r="W172" i="10"/>
  <c r="CI172" i="10"/>
  <c r="AJ172" i="10"/>
  <c r="CV172" i="10"/>
  <c r="G172" i="10"/>
  <c r="CF172" i="10"/>
  <c r="CD172" i="10"/>
  <c r="AM172" i="10"/>
  <c r="AZ172" i="10"/>
  <c r="Y172" i="10"/>
  <c r="BS172" i="10"/>
  <c r="T172" i="10"/>
  <c r="BC172" i="10"/>
  <c r="D172" i="10"/>
  <c r="BP172" i="10"/>
  <c r="AH171" i="10"/>
  <c r="BH171" i="10"/>
  <c r="BS171" i="10"/>
  <c r="CE171" i="10"/>
  <c r="S171" i="10"/>
  <c r="BB171" i="10"/>
  <c r="AR171" i="10"/>
  <c r="AU171" i="10"/>
  <c r="CD171" i="10"/>
  <c r="CG171" i="10"/>
  <c r="CM171" i="10"/>
  <c r="AA171" i="10"/>
  <c r="BJ171" i="10"/>
  <c r="E171" i="10"/>
  <c r="CC171" i="10"/>
  <c r="Q171" i="10"/>
  <c r="AN171" i="10"/>
  <c r="Z171" i="10"/>
  <c r="BI171" i="10"/>
  <c r="CV171" i="10"/>
  <c r="AJ171" i="10"/>
  <c r="V171" i="10"/>
  <c r="BE171" i="10"/>
  <c r="CR171" i="10"/>
  <c r="AK249" i="10"/>
  <c r="AK254" i="10"/>
  <c r="AK116" i="10"/>
  <c r="AL80" i="10"/>
  <c r="AL79" i="10"/>
  <c r="AL94" i="10"/>
  <c r="AL98" i="10"/>
  <c r="AL97" i="10"/>
  <c r="AL96" i="10"/>
  <c r="AL114" i="10" s="1"/>
  <c r="AL95" i="10"/>
  <c r="AL99" i="10"/>
  <c r="AL117" i="10" s="1"/>
  <c r="AL103" i="10"/>
  <c r="AL102" i="10"/>
  <c r="AL120" i="10" s="1"/>
  <c r="AL101" i="10"/>
  <c r="AL119" i="10" s="1"/>
  <c r="AL107" i="10"/>
  <c r="AL125" i="10" s="1"/>
  <c r="AL104" i="10"/>
  <c r="AL105" i="10"/>
  <c r="AL123" i="10" s="1"/>
  <c r="AL106" i="10"/>
  <c r="AL124" i="10" s="1"/>
  <c r="AL100" i="10"/>
  <c r="AL108" i="10"/>
  <c r="AL126" i="10" s="1"/>
  <c r="AJ127" i="10"/>
  <c r="AK109" i="10"/>
  <c r="C42" i="10"/>
  <c r="B42" i="10"/>
  <c r="BD42" i="10"/>
  <c r="W42" i="10"/>
  <c r="AA42" i="10"/>
  <c r="K42" i="10"/>
  <c r="BK42" i="10"/>
  <c r="CI42" i="10"/>
  <c r="CU42" i="10"/>
  <c r="CE42" i="10"/>
  <c r="R42" i="10"/>
  <c r="CT42" i="10"/>
  <c r="N42" i="10"/>
  <c r="CD42" i="10"/>
  <c r="AK42" i="10"/>
  <c r="AG42" i="10"/>
  <c r="E42" i="10"/>
  <c r="CW42" i="10"/>
  <c r="U42" i="10"/>
  <c r="AY42" i="10"/>
  <c r="AN42" i="10"/>
  <c r="H42" i="10"/>
  <c r="AR42" i="10"/>
  <c r="L42" i="10"/>
  <c r="CB42" i="10"/>
  <c r="CN42" i="10"/>
  <c r="AM93" i="10" a="1"/>
  <c r="AM93" i="10" s="1"/>
  <c r="G42" i="10"/>
  <c r="AT42" i="10"/>
  <c r="CP42" i="10"/>
  <c r="CS42" i="10"/>
  <c r="CR42" i="10"/>
  <c r="CF42" i="10"/>
  <c r="AX42" i="10"/>
  <c r="BO42" i="10"/>
  <c r="AL42" i="10"/>
  <c r="Y42" i="10"/>
  <c r="CC42" i="10"/>
  <c r="BC42" i="10"/>
  <c r="AM223" i="10" a="1"/>
  <c r="AM223" i="10" s="1"/>
  <c r="AU42" i="10"/>
  <c r="AI42" i="10"/>
  <c r="AQ42" i="10"/>
  <c r="BV42" i="10"/>
  <c r="BR42" i="10"/>
  <c r="CQ42" i="10"/>
  <c r="AH42" i="10"/>
  <c r="BE42" i="10"/>
  <c r="Z42" i="10"/>
  <c r="BI42" i="10"/>
  <c r="J42" i="10"/>
  <c r="CL42" i="10"/>
  <c r="BZ42" i="10"/>
  <c r="AW42" i="10"/>
  <c r="BN42" i="10"/>
  <c r="BT42" i="10"/>
  <c r="CO42" i="10"/>
  <c r="BH42" i="10"/>
  <c r="BW42" i="10"/>
  <c r="X42" i="10"/>
  <c r="CJ42" i="10"/>
  <c r="AB42" i="10"/>
  <c r="AV42" i="10"/>
  <c r="BP42" i="10"/>
  <c r="BS42" i="10"/>
  <c r="AM241" i="10" a="1"/>
  <c r="AM241" i="10" s="1"/>
  <c r="AM111" i="10" a="1"/>
  <c r="AM111" i="10" s="1"/>
  <c r="CG42" i="10"/>
  <c r="BG42" i="10"/>
  <c r="BL42" i="10"/>
  <c r="S42" i="10"/>
  <c r="CA42" i="10"/>
  <c r="BU42" i="10"/>
  <c r="I42" i="10"/>
  <c r="AF42" i="10"/>
  <c r="D42" i="10"/>
  <c r="BQ42" i="10"/>
  <c r="AE42" i="10"/>
  <c r="AM42" i="10"/>
  <c r="O42" i="10"/>
  <c r="BF42" i="10"/>
  <c r="CM42" i="10"/>
  <c r="BA42" i="10"/>
  <c r="AD42" i="10"/>
  <c r="V42" i="10"/>
  <c r="BJ42" i="10"/>
  <c r="BY42" i="10"/>
  <c r="CH42" i="10"/>
  <c r="AS42" i="10"/>
  <c r="AO42" i="10"/>
  <c r="M42" i="10"/>
  <c r="BM42" i="10"/>
  <c r="CK42" i="10"/>
  <c r="BX42" i="10"/>
  <c r="AZ42" i="10"/>
  <c r="P42" i="10"/>
  <c r="T42" i="10"/>
  <c r="CV42" i="10"/>
  <c r="AM205" i="10" a="1"/>
  <c r="AM205" i="10" s="1"/>
  <c r="BB42" i="10"/>
  <c r="AP42" i="10"/>
  <c r="F42" i="10"/>
  <c r="AC42" i="10"/>
  <c r="Q42" i="10"/>
  <c r="AJ42" i="10"/>
  <c r="AM75" i="10" a="1"/>
  <c r="AM75" i="10" s="1"/>
  <c r="AK91" i="10"/>
  <c r="AK112" i="10"/>
  <c r="I43" i="13"/>
  <c r="A43" i="10"/>
  <c r="A173" i="10"/>
  <c r="B173" i="10" s="1"/>
  <c r="E44" i="7"/>
  <c r="AL122" i="10" l="1"/>
  <c r="AL118" i="10"/>
  <c r="AL116" i="10"/>
  <c r="AL121" i="10"/>
  <c r="AL256" i="10"/>
  <c r="AL115" i="10"/>
  <c r="AK127" i="10"/>
  <c r="AL113" i="10"/>
  <c r="AL251" i="10"/>
  <c r="AL244" i="10"/>
  <c r="AL248" i="10"/>
  <c r="AL253" i="10"/>
  <c r="AL249" i="10"/>
  <c r="AL243" i="10"/>
  <c r="AL246" i="10"/>
  <c r="AM219" i="10"/>
  <c r="AM208" i="10"/>
  <c r="AM224" i="10"/>
  <c r="AM207" i="10"/>
  <c r="AM212" i="10"/>
  <c r="AM237" i="10"/>
  <c r="AM236" i="10"/>
  <c r="AM232" i="10"/>
  <c r="AM231" i="10"/>
  <c r="AM216" i="10"/>
  <c r="AM226" i="10"/>
  <c r="AM206" i="10"/>
  <c r="AM225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49" i="10" s="1"/>
  <c r="AM228" i="10"/>
  <c r="AM235" i="10"/>
  <c r="AM217" i="10"/>
  <c r="AM229" i="10"/>
  <c r="AM227" i="10"/>
  <c r="AT35" i="11" a="1"/>
  <c r="AT35" i="11" s="1"/>
  <c r="AT138" i="11" a="1"/>
  <c r="AT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39" i="10"/>
  <c r="AK257" i="10"/>
  <c r="AL252" i="10"/>
  <c r="J173" i="10"/>
  <c r="Z173" i="10"/>
  <c r="AP173" i="10"/>
  <c r="BF173" i="10"/>
  <c r="BV173" i="10"/>
  <c r="CL173" i="10"/>
  <c r="C173" i="10"/>
  <c r="S173" i="10"/>
  <c r="AI173" i="10"/>
  <c r="AY173" i="10"/>
  <c r="BO173" i="10"/>
  <c r="CE173" i="10"/>
  <c r="CU173" i="10"/>
  <c r="N173" i="10"/>
  <c r="AD173" i="10"/>
  <c r="AT173" i="10"/>
  <c r="BJ173" i="10"/>
  <c r="BZ173" i="10"/>
  <c r="CP173" i="10"/>
  <c r="G173" i="10"/>
  <c r="W173" i="10"/>
  <c r="AM173" i="10"/>
  <c r="BC173" i="10"/>
  <c r="BS173" i="10"/>
  <c r="CI173" i="10"/>
  <c r="R173" i="10"/>
  <c r="AH173" i="10"/>
  <c r="AX173" i="10"/>
  <c r="BN173" i="10"/>
  <c r="CD173" i="10"/>
  <c r="CT173" i="10"/>
  <c r="K173" i="10"/>
  <c r="AA173" i="10"/>
  <c r="AQ173" i="10"/>
  <c r="BG173" i="10"/>
  <c r="BW173" i="10"/>
  <c r="CM173" i="10"/>
  <c r="F173" i="10"/>
  <c r="BR173" i="10"/>
  <c r="BK173" i="10"/>
  <c r="H173" i="10"/>
  <c r="X173" i="10"/>
  <c r="AN173" i="10"/>
  <c r="BD173" i="10"/>
  <c r="BT173" i="10"/>
  <c r="CJ173" i="10"/>
  <c r="E173" i="10"/>
  <c r="U173" i="10"/>
  <c r="AK173" i="10"/>
  <c r="BA173" i="10"/>
  <c r="BQ173" i="10"/>
  <c r="CG173" i="10"/>
  <c r="CW173" i="10"/>
  <c r="V173" i="10"/>
  <c r="CH173" i="10"/>
  <c r="O173" i="10"/>
  <c r="CA173" i="10"/>
  <c r="L173" i="10"/>
  <c r="AB173" i="10"/>
  <c r="AR173" i="10"/>
  <c r="BH173" i="10"/>
  <c r="BX173" i="10"/>
  <c r="CN173" i="10"/>
  <c r="I173" i="10"/>
  <c r="Y173" i="10"/>
  <c r="AO173" i="10"/>
  <c r="BE173" i="10"/>
  <c r="BU173" i="10"/>
  <c r="CK173" i="10"/>
  <c r="AL173" i="10"/>
  <c r="AE173" i="10"/>
  <c r="CQ173" i="10"/>
  <c r="P173" i="10"/>
  <c r="AF173" i="10"/>
  <c r="AV173" i="10"/>
  <c r="BL173" i="10"/>
  <c r="CB173" i="10"/>
  <c r="CR173" i="10"/>
  <c r="M173" i="10"/>
  <c r="AC173" i="10"/>
  <c r="AS173" i="10"/>
  <c r="BI173" i="10"/>
  <c r="BY173" i="10"/>
  <c r="CO173" i="10"/>
  <c r="AZ173" i="10"/>
  <c r="BM173" i="10"/>
  <c r="AJ173" i="10"/>
  <c r="BB173" i="10"/>
  <c r="D173" i="10"/>
  <c r="BP173" i="10"/>
  <c r="Q173" i="10"/>
  <c r="CC173" i="10"/>
  <c r="CV173" i="10"/>
  <c r="AU173" i="10"/>
  <c r="T173" i="10"/>
  <c r="CF173" i="10"/>
  <c r="AG173" i="10"/>
  <c r="CS173" i="10"/>
  <c r="AW173" i="10"/>
  <c r="AL250" i="10"/>
  <c r="AL221" i="10"/>
  <c r="AL242" i="10"/>
  <c r="AM79" i="10"/>
  <c r="AM80" i="10"/>
  <c r="AM95" i="10"/>
  <c r="AM113" i="10" s="1"/>
  <c r="AM94" i="10"/>
  <c r="AM98" i="10"/>
  <c r="AM97" i="10"/>
  <c r="AM96" i="10"/>
  <c r="AM114" i="10" s="1"/>
  <c r="AM100" i="10"/>
  <c r="AM104" i="10"/>
  <c r="AM99" i="10"/>
  <c r="AM117" i="10" s="1"/>
  <c r="AM103" i="10"/>
  <c r="AM102" i="10"/>
  <c r="AM108" i="10"/>
  <c r="AM107" i="10"/>
  <c r="AM105" i="10"/>
  <c r="AM106" i="10"/>
  <c r="AM124" i="10" s="1"/>
  <c r="AM101" i="10"/>
  <c r="AL109" i="10"/>
  <c r="C43" i="10"/>
  <c r="B43" i="10"/>
  <c r="AL112" i="10"/>
  <c r="AL91" i="10"/>
  <c r="BB43" i="10"/>
  <c r="AM43" i="10"/>
  <c r="O43" i="10"/>
  <c r="K43" i="10"/>
  <c r="CU43" i="10"/>
  <c r="CQ43" i="10"/>
  <c r="CA43" i="10"/>
  <c r="AL43" i="10"/>
  <c r="V43" i="10"/>
  <c r="F43" i="10"/>
  <c r="BU43" i="10"/>
  <c r="AG43" i="10"/>
  <c r="CH43" i="10"/>
  <c r="CD43" i="10"/>
  <c r="BH43" i="10"/>
  <c r="BX43" i="10"/>
  <c r="I43" i="10"/>
  <c r="CK43" i="10"/>
  <c r="AF43" i="10"/>
  <c r="BS43" i="10"/>
  <c r="BL43" i="10"/>
  <c r="P43" i="10"/>
  <c r="L43" i="10"/>
  <c r="CN43" i="10"/>
  <c r="AN223" i="10" a="1"/>
  <c r="AN223" i="10" s="1"/>
  <c r="AU43" i="10"/>
  <c r="W43" i="10"/>
  <c r="G43" i="10"/>
  <c r="BK43" i="10"/>
  <c r="BF43" i="10"/>
  <c r="CM43" i="10"/>
  <c r="BA43" i="10"/>
  <c r="AH43" i="10"/>
  <c r="BI43" i="10"/>
  <c r="Y43" i="10"/>
  <c r="AZ43" i="10"/>
  <c r="CG43" i="10"/>
  <c r="CJ43" i="10"/>
  <c r="CF43" i="10"/>
  <c r="AN111" i="10" a="1"/>
  <c r="AN111" i="10" s="1"/>
  <c r="R43" i="10"/>
  <c r="BN43" i="10"/>
  <c r="BZ43" i="10"/>
  <c r="BT43" i="10"/>
  <c r="AB43" i="10"/>
  <c r="BM43" i="10"/>
  <c r="BQ43" i="10"/>
  <c r="AX43" i="10"/>
  <c r="AE43" i="10"/>
  <c r="AA43" i="10"/>
  <c r="BV43" i="10"/>
  <c r="BR43" i="10"/>
  <c r="CI43" i="10"/>
  <c r="AT43" i="10"/>
  <c r="AD43" i="10"/>
  <c r="N43" i="10"/>
  <c r="CT43" i="10"/>
  <c r="AW43" i="10"/>
  <c r="Q43" i="10"/>
  <c r="CP43" i="10"/>
  <c r="AK43" i="10"/>
  <c r="AY43" i="10"/>
  <c r="M43" i="10"/>
  <c r="CS43" i="10"/>
  <c r="CC43" i="10"/>
  <c r="T43" i="10"/>
  <c r="AN43" i="10"/>
  <c r="AV43" i="10"/>
  <c r="AR43" i="10"/>
  <c r="D43" i="10"/>
  <c r="BP43" i="10"/>
  <c r="AN241" i="10" a="1"/>
  <c r="AN241" i="10" s="1"/>
  <c r="AN93" i="10" a="1"/>
  <c r="AN93" i="10" s="1"/>
  <c r="AQ43" i="10"/>
  <c r="BD43" i="10"/>
  <c r="AI43" i="10"/>
  <c r="S43" i="10"/>
  <c r="BO43" i="10"/>
  <c r="BE43" i="10"/>
  <c r="CE43" i="10"/>
  <c r="AP43" i="10"/>
  <c r="Z43" i="10"/>
  <c r="J43" i="10"/>
  <c r="BY43" i="10"/>
  <c r="AO43" i="10"/>
  <c r="BJ43" i="10"/>
  <c r="CL43" i="10"/>
  <c r="AC43" i="10"/>
  <c r="U43" i="10"/>
  <c r="E43" i="10"/>
  <c r="CO43" i="10"/>
  <c r="BC43" i="10"/>
  <c r="BG43" i="10"/>
  <c r="BW43" i="10"/>
  <c r="X43" i="10"/>
  <c r="AJ43" i="10"/>
  <c r="CV43" i="10"/>
  <c r="CB43" i="10"/>
  <c r="AN205" i="10" a="1"/>
  <c r="AN205" i="10" s="1"/>
  <c r="AN75" i="10" a="1"/>
  <c r="AN75" i="10" s="1"/>
  <c r="AS43" i="10"/>
  <c r="CW43" i="10"/>
  <c r="CR43" i="10"/>
  <c r="H43" i="10"/>
  <c r="A174" i="10"/>
  <c r="B174" i="10" s="1"/>
  <c r="E45" i="7"/>
  <c r="I44" i="13"/>
  <c r="A44" i="10"/>
  <c r="AL127" i="10" l="1"/>
  <c r="AM118" i="10"/>
  <c r="AM126" i="10"/>
  <c r="AM119" i="10"/>
  <c r="AM254" i="10"/>
  <c r="AM123" i="10"/>
  <c r="AL257" i="10"/>
  <c r="AM115" i="10"/>
  <c r="AM253" i="10"/>
  <c r="AM256" i="10"/>
  <c r="AM221" i="10"/>
  <c r="AM242" i="10"/>
  <c r="AM243" i="10"/>
  <c r="AM245" i="10"/>
  <c r="AM239" i="10"/>
  <c r="AU35" i="11" a="1"/>
  <c r="AU35" i="11" s="1"/>
  <c r="AU138" i="11" a="1"/>
  <c r="AU138" i="11" s="1"/>
  <c r="W174" i="10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M244" i="10"/>
  <c r="AN208" i="10"/>
  <c r="AN220" i="10"/>
  <c r="AN225" i="10"/>
  <c r="AN207" i="10"/>
  <c r="AN218" i="10"/>
  <c r="AN214" i="10"/>
  <c r="AN233" i="10"/>
  <c r="AN226" i="10"/>
  <c r="AN224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46" i="10" s="1"/>
  <c r="AN229" i="10"/>
  <c r="AN230" i="10"/>
  <c r="AN235" i="10"/>
  <c r="AN217" i="10"/>
  <c r="AN211" i="10"/>
  <c r="AN247" i="10" s="1"/>
  <c r="AN212" i="10"/>
  <c r="AN248" i="10" s="1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B44" i="10"/>
  <c r="C44" i="10"/>
  <c r="I45" i="13"/>
  <c r="E46" i="7"/>
  <c r="A45" i="10"/>
  <c r="A175" i="10"/>
  <c r="B175" i="10" s="1"/>
  <c r="AM112" i="10"/>
  <c r="AM91" i="10"/>
  <c r="AQ44" i="10"/>
  <c r="AA44" i="10"/>
  <c r="W44" i="10"/>
  <c r="G44" i="10"/>
  <c r="BO44" i="10"/>
  <c r="CE44" i="10"/>
  <c r="CQ44" i="10"/>
  <c r="AL44" i="10"/>
  <c r="N44" i="10"/>
  <c r="BI44" i="10"/>
  <c r="BY44" i="10"/>
  <c r="BJ44" i="10"/>
  <c r="CL44" i="10"/>
  <c r="AS44" i="10"/>
  <c r="BH44" i="10"/>
  <c r="E44" i="10"/>
  <c r="BM44" i="10"/>
  <c r="BC44" i="10"/>
  <c r="BW44" i="10"/>
  <c r="CF44" i="10"/>
  <c r="D44" i="10"/>
  <c r="AZ44" i="10"/>
  <c r="AU44" i="10"/>
  <c r="BB44" i="10"/>
  <c r="K44" i="10"/>
  <c r="BF44" i="10"/>
  <c r="BV44" i="10"/>
  <c r="BE44" i="10"/>
  <c r="CI44" i="10"/>
  <c r="Z44" i="10"/>
  <c r="J44" i="10"/>
  <c r="AD44" i="10"/>
  <c r="AO44" i="10"/>
  <c r="CP44" i="10"/>
  <c r="CH44" i="10"/>
  <c r="U44" i="10"/>
  <c r="CO44" i="10"/>
  <c r="Y44" i="10"/>
  <c r="CW44" i="10"/>
  <c r="BT44" i="10"/>
  <c r="BL44" i="10"/>
  <c r="AJ44" i="10"/>
  <c r="BP44" i="10"/>
  <c r="AV44" i="10"/>
  <c r="AN44" i="10"/>
  <c r="BS44" i="10"/>
  <c r="AO93" i="10" a="1"/>
  <c r="AO93" i="10" s="1"/>
  <c r="AI44" i="10"/>
  <c r="O44" i="10"/>
  <c r="CU44" i="10"/>
  <c r="BA44" i="10"/>
  <c r="AH44" i="10"/>
  <c r="CT44" i="10"/>
  <c r="BZ44" i="10"/>
  <c r="Q44" i="10"/>
  <c r="BX44" i="10"/>
  <c r="L44" i="10"/>
  <c r="T44" i="10"/>
  <c r="P44" i="10"/>
  <c r="CR44" i="10"/>
  <c r="AO111" i="10" a="1"/>
  <c r="AO111" i="10" s="1"/>
  <c r="CB44" i="10"/>
  <c r="AO205" i="10" a="1"/>
  <c r="AO205" i="10" s="1"/>
  <c r="BQ44" i="10"/>
  <c r="BD44" i="10"/>
  <c r="AM44" i="10"/>
  <c r="S44" i="10"/>
  <c r="BR44" i="10"/>
  <c r="BK44" i="10"/>
  <c r="AT44" i="10"/>
  <c r="CA44" i="10"/>
  <c r="V44" i="10"/>
  <c r="F44" i="10"/>
  <c r="BU44" i="10"/>
  <c r="AK44" i="10"/>
  <c r="AW44" i="10"/>
  <c r="CD44" i="10"/>
  <c r="CC44" i="10"/>
  <c r="AC44" i="10"/>
  <c r="I44" i="10"/>
  <c r="CS44" i="10"/>
  <c r="AR44" i="10"/>
  <c r="CV44" i="10"/>
  <c r="AB44" i="10"/>
  <c r="CJ44" i="10"/>
  <c r="X44" i="10"/>
  <c r="AF44" i="10"/>
  <c r="BG44" i="10"/>
  <c r="AO223" i="10" a="1"/>
  <c r="AO223" i="10" s="1"/>
  <c r="AX44" i="10"/>
  <c r="AE44" i="10"/>
  <c r="CM44" i="10"/>
  <c r="AP44" i="10"/>
  <c r="R44" i="10"/>
  <c r="AG44" i="10"/>
  <c r="BN44" i="10"/>
  <c r="M44" i="10"/>
  <c r="CK44" i="10"/>
  <c r="CN44" i="10"/>
  <c r="CG44" i="10"/>
  <c r="H44" i="10"/>
  <c r="AO241" i="10" a="1"/>
  <c r="AO241" i="10" s="1"/>
  <c r="AY44" i="10"/>
  <c r="AO75" i="10" a="1"/>
  <c r="AO75" i="10" s="1"/>
  <c r="AN122" i="10" l="1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43" i="10"/>
  <c r="AN253" i="10"/>
  <c r="AN245" i="10"/>
  <c r="AV35" i="11" a="1"/>
  <c r="AV35" i="11" s="1"/>
  <c r="AV138" i="11" a="1"/>
  <c r="AV138" i="11" s="1"/>
  <c r="AN255" i="10"/>
  <c r="AN221" i="10"/>
  <c r="AN242" i="10"/>
  <c r="AN250" i="10"/>
  <c r="AN256" i="10"/>
  <c r="AW174" i="10"/>
  <c r="AT174" i="10"/>
  <c r="L174" i="10"/>
  <c r="Q174" i="10"/>
  <c r="BF174" i="10"/>
  <c r="CO174" i="10"/>
  <c r="AC174" i="10"/>
  <c r="C174" i="10"/>
  <c r="AL174" i="10"/>
  <c r="BU174" i="10"/>
  <c r="I174" i="10"/>
  <c r="CD174" i="10"/>
  <c r="R174" i="10"/>
  <c r="BA174" i="10"/>
  <c r="CN174" i="10"/>
  <c r="CJ174" i="10"/>
  <c r="X174" i="10"/>
  <c r="BK174" i="10"/>
  <c r="CV174" i="10"/>
  <c r="AJ174" i="10"/>
  <c r="BW174" i="10"/>
  <c r="K174" i="10"/>
  <c r="AV174" i="10"/>
  <c r="BS174" i="10"/>
  <c r="G174" i="10"/>
  <c r="AN239" i="10"/>
  <c r="AN254" i="10"/>
  <c r="AN244" i="10"/>
  <c r="S174" i="10"/>
  <c r="CS174" i="10"/>
  <c r="CP174" i="10"/>
  <c r="BX174" i="10"/>
  <c r="AP174" i="10"/>
  <c r="BY174" i="10"/>
  <c r="M174" i="10"/>
  <c r="CH174" i="10"/>
  <c r="V174" i="10"/>
  <c r="BE174" i="10"/>
  <c r="AR174" i="10"/>
  <c r="BN174" i="10"/>
  <c r="CW174" i="10"/>
  <c r="AK174" i="10"/>
  <c r="AB174" i="10"/>
  <c r="BT174" i="10"/>
  <c r="H174" i="10"/>
  <c r="AU174" i="10"/>
  <c r="CF174" i="10"/>
  <c r="T174" i="10"/>
  <c r="BG174" i="10"/>
  <c r="CR174" i="10"/>
  <c r="AF174" i="10"/>
  <c r="BC17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26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24" i="10"/>
  <c r="AO225" i="10"/>
  <c r="AO237" i="10"/>
  <c r="AO232" i="10"/>
  <c r="AO235" i="10"/>
  <c r="BM174" i="10"/>
  <c r="BZ174" i="10"/>
  <c r="AG174" i="10"/>
  <c r="AD174" i="10"/>
  <c r="CL174" i="10"/>
  <c r="Z174" i="10"/>
  <c r="BI174" i="10"/>
  <c r="BH174" i="10"/>
  <c r="BR174" i="10"/>
  <c r="F174" i="10"/>
  <c r="AO174" i="10"/>
  <c r="AY174" i="10"/>
  <c r="AX174" i="10"/>
  <c r="CG174" i="10"/>
  <c r="U174" i="10"/>
  <c r="CU174" i="10"/>
  <c r="BD174" i="10"/>
  <c r="CQ174" i="10"/>
  <c r="AE174" i="10"/>
  <c r="BP174" i="10"/>
  <c r="D174" i="10"/>
  <c r="AQ174" i="10"/>
  <c r="CB174" i="10"/>
  <c r="P174" i="10"/>
  <c r="AM174" i="10"/>
  <c r="AM257" i="10"/>
  <c r="D175" i="10"/>
  <c r="T175" i="10"/>
  <c r="AJ175" i="10"/>
  <c r="AZ175" i="10"/>
  <c r="BP175" i="10"/>
  <c r="CF175" i="10"/>
  <c r="CV175" i="10"/>
  <c r="M175" i="10"/>
  <c r="AC175" i="10"/>
  <c r="AS175" i="10"/>
  <c r="BI175" i="10"/>
  <c r="BY175" i="10"/>
  <c r="CO175" i="10"/>
  <c r="H175" i="10"/>
  <c r="X175" i="10"/>
  <c r="AN175" i="10"/>
  <c r="BD175" i="10"/>
  <c r="BT175" i="10"/>
  <c r="CJ175" i="10"/>
  <c r="Q175" i="10"/>
  <c r="AG175" i="10"/>
  <c r="AW175" i="10"/>
  <c r="BM175" i="10"/>
  <c r="CC175" i="10"/>
  <c r="CS175" i="10"/>
  <c r="L175" i="10"/>
  <c r="AB175" i="10"/>
  <c r="AR175" i="10"/>
  <c r="BH175" i="10"/>
  <c r="BX175" i="10"/>
  <c r="CN175" i="10"/>
  <c r="E175" i="10"/>
  <c r="U175" i="10"/>
  <c r="AK175" i="10"/>
  <c r="BA175" i="10"/>
  <c r="BQ175" i="10"/>
  <c r="CG175" i="10"/>
  <c r="CW175" i="10"/>
  <c r="BL175" i="10"/>
  <c r="BE175" i="10"/>
  <c r="R175" i="10"/>
  <c r="AH175" i="10"/>
  <c r="AX175" i="10"/>
  <c r="BN175" i="10"/>
  <c r="CD175" i="10"/>
  <c r="CT175" i="10"/>
  <c r="O175" i="10"/>
  <c r="AE175" i="10"/>
  <c r="AU175" i="10"/>
  <c r="BK175" i="10"/>
  <c r="CA175" i="10"/>
  <c r="CQ175" i="10"/>
  <c r="P175" i="10"/>
  <c r="CB175" i="10"/>
  <c r="I175" i="10"/>
  <c r="BU175" i="10"/>
  <c r="F175" i="10"/>
  <c r="V175" i="10"/>
  <c r="AL175" i="10"/>
  <c r="BB175" i="10"/>
  <c r="BR175" i="10"/>
  <c r="CH175" i="10"/>
  <c r="C175" i="10"/>
  <c r="S175" i="10"/>
  <c r="AI175" i="10"/>
  <c r="AY175" i="10"/>
  <c r="BO175" i="10"/>
  <c r="CE175" i="10"/>
  <c r="CU175" i="10"/>
  <c r="AF175" i="10"/>
  <c r="CR175" i="10"/>
  <c r="Y175" i="10"/>
  <c r="CK175" i="10"/>
  <c r="J175" i="10"/>
  <c r="Z175" i="10"/>
  <c r="AP175" i="10"/>
  <c r="BF175" i="10"/>
  <c r="BV175" i="10"/>
  <c r="CL175" i="10"/>
  <c r="G175" i="10"/>
  <c r="W175" i="10"/>
  <c r="AM175" i="10"/>
  <c r="BC175" i="10"/>
  <c r="BS175" i="10"/>
  <c r="CI175" i="10"/>
  <c r="AV175" i="10"/>
  <c r="AT175" i="10"/>
  <c r="BG175" i="10"/>
  <c r="CP175" i="10"/>
  <c r="AO175" i="10"/>
  <c r="BJ175" i="10"/>
  <c r="K175" i="10"/>
  <c r="BW175" i="10"/>
  <c r="AD175" i="10"/>
  <c r="N175" i="10"/>
  <c r="BZ175" i="10"/>
  <c r="AA175" i="10"/>
  <c r="CM175" i="10"/>
  <c r="AQ175" i="10"/>
  <c r="BJ174" i="10"/>
  <c r="CE174" i="10"/>
  <c r="N174" i="10"/>
  <c r="CC174" i="10"/>
  <c r="BV174" i="10"/>
  <c r="J174" i="10"/>
  <c r="AS174" i="10"/>
  <c r="BO174" i="10"/>
  <c r="BB174" i="10"/>
  <c r="CK174" i="10"/>
  <c r="Y174" i="10"/>
  <c r="CT174" i="10"/>
  <c r="AH174" i="10"/>
  <c r="BQ174" i="10"/>
  <c r="E174" i="10"/>
  <c r="AI174" i="10"/>
  <c r="AN174" i="10"/>
  <c r="CA174" i="10"/>
  <c r="O174" i="10"/>
  <c r="AZ174" i="10"/>
  <c r="CM174" i="10"/>
  <c r="AA174" i="10"/>
  <c r="BL174" i="10"/>
  <c r="CI174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B45" i="10"/>
  <c r="C45" i="10"/>
  <c r="BB45" i="10"/>
  <c r="AI45" i="10"/>
  <c r="S45" i="10"/>
  <c r="G45" i="10"/>
  <c r="CU45" i="10"/>
  <c r="AD45" i="10"/>
  <c r="CE45" i="10"/>
  <c r="CI45" i="10"/>
  <c r="CP45" i="10"/>
  <c r="F45" i="10"/>
  <c r="J45" i="10"/>
  <c r="CT45" i="10"/>
  <c r="AS45" i="10"/>
  <c r="BZ45" i="10"/>
  <c r="AZ45" i="10"/>
  <c r="E45" i="10"/>
  <c r="Q45" i="10"/>
  <c r="BC45" i="10"/>
  <c r="AR45" i="10"/>
  <c r="L45" i="10"/>
  <c r="CJ45" i="10"/>
  <c r="P45" i="10"/>
  <c r="BS45" i="10"/>
  <c r="BL45" i="10"/>
  <c r="AP205" i="10" a="1"/>
  <c r="AP205" i="10" s="1"/>
  <c r="AN45" i="10"/>
  <c r="BP45" i="10"/>
  <c r="BE45" i="10"/>
  <c r="BJ45" i="10"/>
  <c r="CH45" i="10"/>
  <c r="M45" i="10"/>
  <c r="CK45" i="10"/>
  <c r="AF45" i="10"/>
  <c r="CN45" i="10"/>
  <c r="W45" i="10"/>
  <c r="CM45" i="10"/>
  <c r="R45" i="10"/>
  <c r="CO45" i="10"/>
  <c r="CG45" i="10"/>
  <c r="T45" i="10"/>
  <c r="BG45" i="10"/>
  <c r="AP241" i="10" a="1"/>
  <c r="AP241" i="10" s="1"/>
  <c r="AU45" i="10"/>
  <c r="AE45" i="10"/>
  <c r="AQ45" i="10"/>
  <c r="BV45" i="10"/>
  <c r="BO45" i="10"/>
  <c r="BA45" i="10"/>
  <c r="AL45" i="10"/>
  <c r="CA45" i="10"/>
  <c r="N45" i="10"/>
  <c r="BN45" i="10"/>
  <c r="BY45" i="10"/>
  <c r="CL45" i="10"/>
  <c r="AO45" i="10"/>
  <c r="AC45" i="10"/>
  <c r="Y45" i="10"/>
  <c r="BM45" i="10"/>
  <c r="BX45" i="10"/>
  <c r="AY45" i="10"/>
  <c r="AJ45" i="10"/>
  <c r="D45" i="10"/>
  <c r="BT45" i="10"/>
  <c r="CV45" i="10"/>
  <c r="AP75" i="10" a="1"/>
  <c r="AP75" i="10" s="1"/>
  <c r="AH45" i="10"/>
  <c r="BU45" i="10"/>
  <c r="BH45" i="10"/>
  <c r="CW45" i="10"/>
  <c r="BW45" i="10"/>
  <c r="CB45" i="10"/>
  <c r="AP93" i="10" a="1"/>
  <c r="AP93" i="10" s="1"/>
  <c r="K45" i="10"/>
  <c r="BK45" i="10"/>
  <c r="CD45" i="10"/>
  <c r="I45" i="10"/>
  <c r="CC45" i="10"/>
  <c r="CR45" i="10"/>
  <c r="H45" i="10"/>
  <c r="AP111" i="10" a="1"/>
  <c r="AP111" i="10" s="1"/>
  <c r="BQ45" i="10"/>
  <c r="BD45" i="10"/>
  <c r="AA45" i="10"/>
  <c r="O45" i="10"/>
  <c r="BF45" i="10"/>
  <c r="CQ45" i="10"/>
  <c r="AT45" i="10"/>
  <c r="BI45" i="10"/>
  <c r="AK45" i="10"/>
  <c r="CS45" i="10"/>
  <c r="AB45" i="10"/>
  <c r="AV45" i="10"/>
  <c r="AP223" i="10" a="1"/>
  <c r="AP223" i="10" s="1"/>
  <c r="AX45" i="10"/>
  <c r="BR45" i="10"/>
  <c r="Z45" i="10"/>
  <c r="AG45" i="10"/>
  <c r="U45" i="10"/>
  <c r="X45" i="10"/>
  <c r="CF45" i="10"/>
  <c r="AM45" i="10"/>
  <c r="AP45" i="10"/>
  <c r="V45" i="10"/>
  <c r="AW45" i="10"/>
  <c r="AN91" i="10"/>
  <c r="AN112" i="10"/>
  <c r="A176" i="10"/>
  <c r="B176" i="10" s="1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24" i="10"/>
  <c r="AP219" i="10"/>
  <c r="AP218" i="10"/>
  <c r="AP232" i="10"/>
  <c r="AP214" i="10"/>
  <c r="AP234" i="10"/>
  <c r="AP215" i="10"/>
  <c r="AP220" i="10"/>
  <c r="AP228" i="10"/>
  <c r="AP210" i="10"/>
  <c r="AP226" i="10"/>
  <c r="AP227" i="10"/>
  <c r="AP237" i="10"/>
  <c r="AP236" i="10"/>
  <c r="AP231" i="10"/>
  <c r="AP208" i="10"/>
  <c r="AP230" i="10"/>
  <c r="AP213" i="10"/>
  <c r="AP206" i="10"/>
  <c r="AP225" i="10"/>
  <c r="AP212" i="10"/>
  <c r="AP235" i="10"/>
  <c r="AP238" i="10"/>
  <c r="AP207" i="10"/>
  <c r="AP243" i="10" s="1"/>
  <c r="AP217" i="10"/>
  <c r="AP233" i="10"/>
  <c r="AP209" i="10"/>
  <c r="AP216" i="10"/>
  <c r="AP229" i="10"/>
  <c r="AP211" i="10"/>
  <c r="AO239" i="10"/>
  <c r="AO253" i="10"/>
  <c r="AO255" i="10"/>
  <c r="AO249" i="10"/>
  <c r="AW35" i="11" a="1"/>
  <c r="AW35" i="11" s="1"/>
  <c r="AW138" i="11" a="1"/>
  <c r="AW138" i="11" s="1"/>
  <c r="J176" i="10" s="1"/>
  <c r="AO245" i="10"/>
  <c r="AO243" i="10"/>
  <c r="AO244" i="10"/>
  <c r="AO242" i="10"/>
  <c r="AO221" i="10"/>
  <c r="AN257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B46" i="10"/>
  <c r="C46" i="10"/>
  <c r="I47" i="13"/>
  <c r="E48" i="7"/>
  <c r="A177" i="10"/>
  <c r="B177" i="10" s="1"/>
  <c r="A47" i="10"/>
  <c r="BB46" i="10"/>
  <c r="S46" i="10"/>
  <c r="AE46" i="10"/>
  <c r="K46" i="10"/>
  <c r="BO46" i="10"/>
  <c r="CA46" i="10"/>
  <c r="BA46" i="10"/>
  <c r="BE46" i="10"/>
  <c r="BY46" i="10"/>
  <c r="V46" i="10"/>
  <c r="Z46" i="10"/>
  <c r="CL46" i="10"/>
  <c r="AS46" i="10"/>
  <c r="AO46" i="10"/>
  <c r="CG46" i="10"/>
  <c r="CO46" i="10"/>
  <c r="BH46" i="10"/>
  <c r="BM46" i="10"/>
  <c r="BS46" i="10"/>
  <c r="AF46" i="10"/>
  <c r="AR46" i="10"/>
  <c r="L46" i="10"/>
  <c r="BL46" i="10"/>
  <c r="CV46" i="10"/>
  <c r="AQ111" i="10" a="1"/>
  <c r="AQ111" i="10" s="1"/>
  <c r="CN46" i="10"/>
  <c r="AX46" i="10"/>
  <c r="W46" i="10"/>
  <c r="G46" i="10"/>
  <c r="BK46" i="10"/>
  <c r="CI46" i="10"/>
  <c r="BJ46" i="10"/>
  <c r="BU46" i="10"/>
  <c r="AC46" i="10"/>
  <c r="E46" i="10"/>
  <c r="AZ46" i="10"/>
  <c r="CS46" i="10"/>
  <c r="AB46" i="10"/>
  <c r="CB46" i="10"/>
  <c r="AQ205" i="10" a="1"/>
  <c r="AQ205" i="10" s="1"/>
  <c r="BZ46" i="10"/>
  <c r="CK46" i="10"/>
  <c r="AY46" i="10"/>
  <c r="AN46" i="10"/>
  <c r="H46" i="10"/>
  <c r="BP46" i="10"/>
  <c r="AQ93" i="10" a="1"/>
  <c r="AQ93" i="10" s="1"/>
  <c r="BD46" i="10"/>
  <c r="AU46" i="10"/>
  <c r="AA46" i="10"/>
  <c r="BF46" i="10"/>
  <c r="CQ46" i="10"/>
  <c r="AL46" i="10"/>
  <c r="AT46" i="10"/>
  <c r="AD46" i="10"/>
  <c r="BN46" i="10"/>
  <c r="F46" i="10"/>
  <c r="N46" i="10"/>
  <c r="CD46" i="10"/>
  <c r="AK46" i="10"/>
  <c r="AG46" i="10"/>
  <c r="M46" i="10"/>
  <c r="I46" i="10"/>
  <c r="BX46" i="10"/>
  <c r="AV46" i="10"/>
  <c r="BT46" i="10"/>
  <c r="X46" i="10"/>
  <c r="AJ46" i="10"/>
  <c r="D46" i="10"/>
  <c r="CF46" i="10"/>
  <c r="AQ241" i="10" a="1"/>
  <c r="AQ241" i="10" s="1"/>
  <c r="AQ46" i="10"/>
  <c r="BV46" i="10"/>
  <c r="AP46" i="10"/>
  <c r="R46" i="10"/>
  <c r="BI46" i="10"/>
  <c r="CP46" i="10"/>
  <c r="Y46" i="10"/>
  <c r="U46" i="10"/>
  <c r="CC46" i="10"/>
  <c r="P46" i="10"/>
  <c r="BW46" i="10"/>
  <c r="CR46" i="10"/>
  <c r="AQ75" i="10" a="1"/>
  <c r="AQ75" i="10" s="1"/>
  <c r="CH46" i="10"/>
  <c r="AW46" i="10"/>
  <c r="Q46" i="10"/>
  <c r="BG46" i="10"/>
  <c r="T46" i="10"/>
  <c r="CJ46" i="10"/>
  <c r="AQ223" i="10" a="1"/>
  <c r="AQ223" i="10" s="1"/>
  <c r="BQ46" i="10"/>
  <c r="AI46" i="10"/>
  <c r="AM46" i="10"/>
  <c r="O46" i="10"/>
  <c r="BR46" i="10"/>
  <c r="CM46" i="10"/>
  <c r="CU46" i="10"/>
  <c r="CE46" i="10"/>
  <c r="J46" i="10"/>
  <c r="CT46" i="10"/>
  <c r="AH46" i="10"/>
  <c r="CW46" i="10"/>
  <c r="BC46" i="10"/>
  <c r="AO91" i="10"/>
  <c r="AO112" i="10"/>
  <c r="T176" i="10" l="1"/>
  <c r="AP245" i="10"/>
  <c r="BE176" i="10"/>
  <c r="AP249" i="10"/>
  <c r="AP244" i="10"/>
  <c r="AP253" i="10"/>
  <c r="AP252" i="10"/>
  <c r="AP248" i="10"/>
  <c r="AP247" i="10"/>
  <c r="AP246" i="10"/>
  <c r="AP250" i="10"/>
  <c r="BY176" i="10"/>
  <c r="CV176" i="10"/>
  <c r="CK176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09" i="10"/>
  <c r="AQ227" i="10"/>
  <c r="AQ213" i="10"/>
  <c r="AQ234" i="10"/>
  <c r="AQ233" i="10"/>
  <c r="AQ238" i="10"/>
  <c r="AQ220" i="10"/>
  <c r="AQ219" i="10"/>
  <c r="AQ208" i="10"/>
  <c r="AQ224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0" i="10"/>
  <c r="AQ246" i="10" s="1"/>
  <c r="AQ218" i="10"/>
  <c r="AQ229" i="10"/>
  <c r="AQ226" i="10"/>
  <c r="AQ225" i="10"/>
  <c r="AQ215" i="10"/>
  <c r="AQ235" i="10"/>
  <c r="AQ217" i="10"/>
  <c r="AX35" i="11" a="1"/>
  <c r="AX35" i="11" s="1"/>
  <c r="AX138" i="11" a="1"/>
  <c r="AX138" i="11" s="1"/>
  <c r="AO257" i="10"/>
  <c r="AU176" i="10"/>
  <c r="AN176" i="10"/>
  <c r="AG176" i="10"/>
  <c r="BN176" i="10"/>
  <c r="CF176" i="10"/>
  <c r="CW176" i="10"/>
  <c r="AI176" i="10"/>
  <c r="S176" i="10"/>
  <c r="AF176" i="10"/>
  <c r="BH176" i="10"/>
  <c r="CC176" i="10"/>
  <c r="CJ176" i="10"/>
  <c r="BS176" i="10"/>
  <c r="AE176" i="10"/>
  <c r="BJ176" i="10"/>
  <c r="G176" i="10"/>
  <c r="AV176" i="10"/>
  <c r="BG176" i="10"/>
  <c r="BV176" i="10"/>
  <c r="C176" i="10"/>
  <c r="BB176" i="10"/>
  <c r="AC176" i="10"/>
  <c r="I176" i="10"/>
  <c r="E176" i="10"/>
  <c r="Q176" i="10"/>
  <c r="AP242" i="10"/>
  <c r="AP221" i="10"/>
  <c r="AP251" i="10"/>
  <c r="AP254" i="10"/>
  <c r="C177" i="10"/>
  <c r="S177" i="10"/>
  <c r="AI177" i="10"/>
  <c r="AY177" i="10"/>
  <c r="BO177" i="10"/>
  <c r="CE177" i="10"/>
  <c r="CU177" i="10"/>
  <c r="G177" i="10"/>
  <c r="W177" i="10"/>
  <c r="AM177" i="10"/>
  <c r="BC177" i="10"/>
  <c r="BS177" i="10"/>
  <c r="CI177" i="10"/>
  <c r="H177" i="10"/>
  <c r="X177" i="10"/>
  <c r="AN177" i="10"/>
  <c r="BD177" i="10"/>
  <c r="BT177" i="10"/>
  <c r="CJ177" i="10"/>
  <c r="M177" i="10"/>
  <c r="K177" i="10"/>
  <c r="AA177" i="10"/>
  <c r="AQ177" i="10"/>
  <c r="BG177" i="10"/>
  <c r="BW177" i="10"/>
  <c r="CM177" i="10"/>
  <c r="BK177" i="10"/>
  <c r="P177" i="10"/>
  <c r="AJ177" i="10"/>
  <c r="BH177" i="10"/>
  <c r="CB177" i="10"/>
  <c r="CV177" i="10"/>
  <c r="I177" i="10"/>
  <c r="AC177" i="10"/>
  <c r="AS177" i="10"/>
  <c r="BI177" i="10"/>
  <c r="BY177" i="10"/>
  <c r="CO177" i="10"/>
  <c r="N177" i="10"/>
  <c r="AD177" i="10"/>
  <c r="AT177" i="10"/>
  <c r="BJ177" i="10"/>
  <c r="BZ177" i="10"/>
  <c r="CP177" i="10"/>
  <c r="AU177" i="10"/>
  <c r="AF177" i="10"/>
  <c r="CR177" i="10"/>
  <c r="E177" i="10"/>
  <c r="BE177" i="10"/>
  <c r="J177" i="10"/>
  <c r="Z177" i="10"/>
  <c r="BV177" i="10"/>
  <c r="O177" i="10"/>
  <c r="CA177" i="10"/>
  <c r="T177" i="10"/>
  <c r="AR177" i="10"/>
  <c r="BL177" i="10"/>
  <c r="CF177" i="10"/>
  <c r="Q177" i="10"/>
  <c r="AG177" i="10"/>
  <c r="AW177" i="10"/>
  <c r="BM177" i="10"/>
  <c r="CC177" i="10"/>
  <c r="CS177" i="10"/>
  <c r="R177" i="10"/>
  <c r="AH177" i="10"/>
  <c r="AX177" i="10"/>
  <c r="BN177" i="10"/>
  <c r="CD177" i="10"/>
  <c r="CT177" i="10"/>
  <c r="L177" i="10"/>
  <c r="BX177" i="10"/>
  <c r="AO177" i="10"/>
  <c r="CK177" i="10"/>
  <c r="AP177" i="10"/>
  <c r="CL177" i="10"/>
  <c r="AE177" i="10"/>
  <c r="CQ177" i="10"/>
  <c r="D177" i="10"/>
  <c r="AB177" i="10"/>
  <c r="AV177" i="10"/>
  <c r="BP177" i="10"/>
  <c r="CN177" i="10"/>
  <c r="U177" i="10"/>
  <c r="AK177" i="10"/>
  <c r="BA177" i="10"/>
  <c r="BQ177" i="10"/>
  <c r="CG177" i="10"/>
  <c r="CW177" i="10"/>
  <c r="F177" i="10"/>
  <c r="V177" i="10"/>
  <c r="AL177" i="10"/>
  <c r="BB177" i="10"/>
  <c r="BR177" i="10"/>
  <c r="CH177" i="10"/>
  <c r="AZ177" i="10"/>
  <c r="Y177" i="10"/>
  <c r="BU177" i="10"/>
  <c r="BF177" i="10"/>
  <c r="CE176" i="10"/>
  <c r="F176" i="10"/>
  <c r="AM176" i="10"/>
  <c r="CG176" i="10"/>
  <c r="CN176" i="10"/>
  <c r="CU176" i="10"/>
  <c r="AX176" i="10"/>
  <c r="CI176" i="10"/>
  <c r="BM176" i="10"/>
  <c r="BP176" i="10"/>
  <c r="AY176" i="10"/>
  <c r="K176" i="10"/>
  <c r="AT176" i="10"/>
  <c r="CR176" i="10"/>
  <c r="AA176" i="10"/>
  <c r="AQ176" i="10"/>
  <c r="BF176" i="10"/>
  <c r="AL176" i="10"/>
  <c r="AJ176" i="10"/>
  <c r="AH176" i="10"/>
  <c r="AD176" i="10"/>
  <c r="AP176" i="10"/>
  <c r="AP255" i="10"/>
  <c r="BU176" i="10"/>
  <c r="BX176" i="10"/>
  <c r="BK176" i="10"/>
  <c r="CO176" i="10"/>
  <c r="BO176" i="10"/>
  <c r="BQ176" i="10"/>
  <c r="BT176" i="10"/>
  <c r="CA176" i="10"/>
  <c r="M176" i="10"/>
  <c r="H176" i="10"/>
  <c r="AW176" i="10"/>
  <c r="AR176" i="10"/>
  <c r="X176" i="10"/>
  <c r="CP176" i="10"/>
  <c r="W176" i="10"/>
  <c r="CB176" i="10"/>
  <c r="CM176" i="10"/>
  <c r="P176" i="10"/>
  <c r="AO176" i="10"/>
  <c r="CH176" i="10"/>
  <c r="L176" i="10"/>
  <c r="R176" i="10"/>
  <c r="N176" i="10"/>
  <c r="Z176" i="10"/>
  <c r="AP239" i="10"/>
  <c r="BD176" i="10"/>
  <c r="AK176" i="10"/>
  <c r="AS176" i="10"/>
  <c r="CD176" i="10"/>
  <c r="BA176" i="10"/>
  <c r="AZ176" i="10"/>
  <c r="BC176" i="10"/>
  <c r="BI176" i="10"/>
  <c r="CS176" i="10"/>
  <c r="AB176" i="10"/>
  <c r="CQ176" i="10"/>
  <c r="CT176" i="10"/>
  <c r="BZ176" i="10"/>
  <c r="D176" i="10"/>
  <c r="BL176" i="10"/>
  <c r="BW176" i="10"/>
  <c r="CL176" i="10"/>
  <c r="O176" i="10"/>
  <c r="BR176" i="10"/>
  <c r="V176" i="10"/>
  <c r="Y176" i="10"/>
  <c r="U176" i="10"/>
  <c r="AP256" i="10"/>
  <c r="AQ79" i="10"/>
  <c r="AQ80" i="10"/>
  <c r="AQ95" i="10"/>
  <c r="AQ94" i="10"/>
  <c r="AQ98" i="10"/>
  <c r="AQ97" i="10"/>
  <c r="AQ96" i="10"/>
  <c r="AQ100" i="10"/>
  <c r="AQ118" i="10" s="1"/>
  <c r="AQ104" i="10"/>
  <c r="AQ103" i="10"/>
  <c r="AQ121" i="10" s="1"/>
  <c r="AQ102" i="10"/>
  <c r="AQ99" i="10"/>
  <c r="AQ117" i="10" s="1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C47" i="10"/>
  <c r="B47" i="10"/>
  <c r="AU47" i="10"/>
  <c r="AM47" i="10"/>
  <c r="AQ47" i="10"/>
  <c r="K47" i="10"/>
  <c r="BR47" i="10"/>
  <c r="BK47" i="10"/>
  <c r="BE47" i="10"/>
  <c r="AH47" i="10"/>
  <c r="BU47" i="10"/>
  <c r="V47" i="10"/>
  <c r="N47" i="10"/>
  <c r="AO47" i="10"/>
  <c r="CT47" i="10"/>
  <c r="CD47" i="10"/>
  <c r="BX47" i="10"/>
  <c r="AZ47" i="10"/>
  <c r="U47" i="10"/>
  <c r="BC47" i="10"/>
  <c r="AR47" i="10"/>
  <c r="L47" i="10"/>
  <c r="AV47" i="10"/>
  <c r="AR223" i="10" a="1"/>
  <c r="AR223" i="10" s="1"/>
  <c r="AX47" i="10"/>
  <c r="AE47" i="10"/>
  <c r="S47" i="10"/>
  <c r="G47" i="10"/>
  <c r="BO47" i="10"/>
  <c r="CE47" i="10"/>
  <c r="AP47" i="10"/>
  <c r="AD47" i="10"/>
  <c r="BN47" i="10"/>
  <c r="J47" i="10"/>
  <c r="BJ47" i="10"/>
  <c r="AK47" i="10"/>
  <c r="CP47" i="10"/>
  <c r="AW47" i="10"/>
  <c r="CW47" i="10"/>
  <c r="I47" i="10"/>
  <c r="Q47" i="10"/>
  <c r="BM47" i="10"/>
  <c r="AJ47" i="10"/>
  <c r="D47" i="10"/>
  <c r="BS47" i="10"/>
  <c r="CC47" i="10"/>
  <c r="P47" i="10"/>
  <c r="CR47" i="10"/>
  <c r="AR75" i="10" a="1"/>
  <c r="AR75" i="10" s="1"/>
  <c r="BQ47" i="10"/>
  <c r="AI47" i="10"/>
  <c r="AA47" i="10"/>
  <c r="O47" i="10"/>
  <c r="BV47" i="10"/>
  <c r="BA47" i="10"/>
  <c r="CA47" i="10"/>
  <c r="CU47" i="10"/>
  <c r="Z47" i="10"/>
  <c r="R47" i="10"/>
  <c r="F47" i="10"/>
  <c r="BZ47" i="10"/>
  <c r="AC47" i="10"/>
  <c r="AG47" i="10"/>
  <c r="E47" i="10"/>
  <c r="CO47" i="10"/>
  <c r="BP47" i="10"/>
  <c r="AN47" i="10"/>
  <c r="CB47" i="10"/>
  <c r="AR93" i="10" a="1"/>
  <c r="AR93" i="10" s="1"/>
  <c r="CN47" i="10"/>
  <c r="CJ47" i="10"/>
  <c r="BW47" i="10"/>
  <c r="CL47" i="10"/>
  <c r="CK47" i="10"/>
  <c r="M47" i="10"/>
  <c r="AB47" i="10"/>
  <c r="CV47" i="10"/>
  <c r="H47" i="10"/>
  <c r="AR241" i="10" a="1"/>
  <c r="AR241" i="10" s="1"/>
  <c r="AF47" i="10"/>
  <c r="AR205" i="10" a="1"/>
  <c r="AR205" i="10" s="1"/>
  <c r="CF47" i="10"/>
  <c r="BD47" i="10"/>
  <c r="BB47" i="10"/>
  <c r="W47" i="10"/>
  <c r="BF47" i="10"/>
  <c r="CQ47" i="10"/>
  <c r="AT47" i="10"/>
  <c r="CI47" i="10"/>
  <c r="CM47" i="10"/>
  <c r="AL47" i="10"/>
  <c r="BY47" i="10"/>
  <c r="BI47" i="10"/>
  <c r="AS47" i="10"/>
  <c r="Y47" i="10"/>
  <c r="CH47" i="10"/>
  <c r="BH47" i="10"/>
  <c r="CG47" i="10"/>
  <c r="CS47" i="10"/>
  <c r="BT47" i="10"/>
  <c r="AY47" i="10"/>
  <c r="T47" i="10"/>
  <c r="BL47" i="10"/>
  <c r="BG47" i="10"/>
  <c r="AR111" i="10" a="1"/>
  <c r="AR111" i="10" s="1"/>
  <c r="X47" i="10"/>
  <c r="AP112" i="10"/>
  <c r="AP91" i="10"/>
  <c r="I48" i="13"/>
  <c r="A48" i="10"/>
  <c r="A178" i="10"/>
  <c r="B178" i="10" s="1"/>
  <c r="E49" i="7"/>
  <c r="AQ115" i="10" l="1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P257" i="10"/>
  <c r="AQ239" i="10"/>
  <c r="AR206" i="10"/>
  <c r="AR230" i="10"/>
  <c r="AR212" i="10"/>
  <c r="AR236" i="10"/>
  <c r="AR216" i="10"/>
  <c r="AR208" i="10"/>
  <c r="AR225" i="10"/>
  <c r="AR207" i="10"/>
  <c r="AR218" i="10"/>
  <c r="AR214" i="10"/>
  <c r="AR215" i="10"/>
  <c r="AR238" i="10"/>
  <c r="AR210" i="10"/>
  <c r="AR226" i="10"/>
  <c r="AR231" i="10"/>
  <c r="AR220" i="10"/>
  <c r="AR235" i="10"/>
  <c r="AR224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53" i="10" s="1"/>
  <c r="AR211" i="10"/>
  <c r="AR247" i="10" s="1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4" i="10"/>
  <c r="AQ247" i="10"/>
  <c r="AQ248" i="10"/>
  <c r="AQ255" i="10"/>
  <c r="AQ242" i="10"/>
  <c r="AQ221" i="10"/>
  <c r="P178" i="10"/>
  <c r="AF178" i="10"/>
  <c r="AV178" i="10"/>
  <c r="BL178" i="10"/>
  <c r="CB178" i="10"/>
  <c r="CR178" i="10"/>
  <c r="D178" i="10"/>
  <c r="T178" i="10"/>
  <c r="AJ178" i="10"/>
  <c r="AZ178" i="10"/>
  <c r="BP178" i="10"/>
  <c r="CF178" i="10"/>
  <c r="CV178" i="10"/>
  <c r="E178" i="10"/>
  <c r="U178" i="10"/>
  <c r="AK178" i="10"/>
  <c r="BA178" i="10"/>
  <c r="BQ178" i="10"/>
  <c r="CG178" i="10"/>
  <c r="CW178" i="10"/>
  <c r="H178" i="10"/>
  <c r="X178" i="10"/>
  <c r="AN178" i="10"/>
  <c r="BD178" i="10"/>
  <c r="BT178" i="10"/>
  <c r="CJ178" i="10"/>
  <c r="AB178" i="10"/>
  <c r="CN178" i="10"/>
  <c r="Y178" i="10"/>
  <c r="AS178" i="10"/>
  <c r="BM178" i="10"/>
  <c r="CK178" i="10"/>
  <c r="J178" i="10"/>
  <c r="Z178" i="10"/>
  <c r="AP178" i="10"/>
  <c r="BF178" i="10"/>
  <c r="BV178" i="10"/>
  <c r="CL178" i="10"/>
  <c r="K178" i="10"/>
  <c r="AA178" i="10"/>
  <c r="AQ178" i="10"/>
  <c r="BG178" i="10"/>
  <c r="BW178" i="10"/>
  <c r="CM178" i="10"/>
  <c r="CE178" i="10"/>
  <c r="CC178" i="10"/>
  <c r="F178" i="10"/>
  <c r="AL178" i="10"/>
  <c r="CH178" i="10"/>
  <c r="W178" i="10"/>
  <c r="BS178" i="10"/>
  <c r="AR178" i="10"/>
  <c r="I178" i="10"/>
  <c r="AC178" i="10"/>
  <c r="AW178" i="10"/>
  <c r="BU178" i="10"/>
  <c r="CO178" i="10"/>
  <c r="N178" i="10"/>
  <c r="AD178" i="10"/>
  <c r="AT178" i="10"/>
  <c r="BJ178" i="10"/>
  <c r="BZ178" i="10"/>
  <c r="CP178" i="10"/>
  <c r="O178" i="10"/>
  <c r="AE178" i="10"/>
  <c r="AU178" i="10"/>
  <c r="BK178" i="10"/>
  <c r="CA178" i="10"/>
  <c r="CQ178" i="10"/>
  <c r="AI178" i="10"/>
  <c r="BO178" i="10"/>
  <c r="CU178" i="10"/>
  <c r="L178" i="10"/>
  <c r="AO178" i="10"/>
  <c r="V178" i="10"/>
  <c r="BR178" i="10"/>
  <c r="AM178" i="10"/>
  <c r="BC178" i="10"/>
  <c r="BH178" i="10"/>
  <c r="M178" i="10"/>
  <c r="AG178" i="10"/>
  <c r="BE178" i="10"/>
  <c r="BY178" i="10"/>
  <c r="CS178" i="10"/>
  <c r="R178" i="10"/>
  <c r="AH178" i="10"/>
  <c r="AX178" i="10"/>
  <c r="BN178" i="10"/>
  <c r="CD178" i="10"/>
  <c r="CT178" i="10"/>
  <c r="C178" i="10"/>
  <c r="S178" i="10"/>
  <c r="AY178" i="10"/>
  <c r="BX178" i="10"/>
  <c r="Q178" i="10"/>
  <c r="BI178" i="10"/>
  <c r="BB178" i="10"/>
  <c r="G178" i="10"/>
  <c r="CI178" i="10"/>
  <c r="AQ243" i="10"/>
  <c r="AQ249" i="10"/>
  <c r="AR96" i="10"/>
  <c r="AR95" i="10"/>
  <c r="AR99" i="10"/>
  <c r="AR117" i="10" s="1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B48" i="10"/>
  <c r="C48" i="10"/>
  <c r="AQ91" i="10"/>
  <c r="AQ112" i="10"/>
  <c r="BD48" i="10"/>
  <c r="AM48" i="10"/>
  <c r="W48" i="10"/>
  <c r="G48" i="10"/>
  <c r="BF48" i="10"/>
  <c r="AH48" i="10"/>
  <c r="CA48" i="10"/>
  <c r="BE48" i="10"/>
  <c r="CT48" i="10"/>
  <c r="V48" i="10"/>
  <c r="CP48" i="10"/>
  <c r="BT48" i="10"/>
  <c r="BG48" i="10"/>
  <c r="CS48" i="10"/>
  <c r="BB48" i="10"/>
  <c r="AI48" i="10"/>
  <c r="O48" i="10"/>
  <c r="BO48" i="10"/>
  <c r="BV48" i="10"/>
  <c r="Z48" i="10"/>
  <c r="BA48" i="10"/>
  <c r="AP48" i="10"/>
  <c r="N48" i="10"/>
  <c r="R48" i="10"/>
  <c r="CL48" i="10"/>
  <c r="AC48" i="10"/>
  <c r="BZ48" i="10"/>
  <c r="AK48" i="10"/>
  <c r="CW48" i="10"/>
  <c r="I48" i="10"/>
  <c r="BH48" i="10"/>
  <c r="AR48" i="10"/>
  <c r="BW48" i="10"/>
  <c r="AF48" i="10"/>
  <c r="P48" i="10"/>
  <c r="CR48" i="10"/>
  <c r="AJ48" i="10"/>
  <c r="CV48" i="10"/>
  <c r="AS111" i="10" a="1"/>
  <c r="AS111" i="10" s="1"/>
  <c r="S48" i="10"/>
  <c r="CU48" i="10"/>
  <c r="CE48" i="10"/>
  <c r="AD48" i="10"/>
  <c r="F48" i="10"/>
  <c r="BU48" i="10"/>
  <c r="BC48" i="10"/>
  <c r="BX48" i="10"/>
  <c r="AZ48" i="10"/>
  <c r="AY48" i="10"/>
  <c r="AS223" i="10" a="1"/>
  <c r="AS223" i="10" s="1"/>
  <c r="AS93" i="10" a="1"/>
  <c r="AS93" i="10" s="1"/>
  <c r="BJ48" i="10"/>
  <c r="U48" i="10"/>
  <c r="T48" i="10"/>
  <c r="AS205" i="10" a="1"/>
  <c r="AS205" i="10" s="1"/>
  <c r="AQ48" i="10"/>
  <c r="AX48" i="10"/>
  <c r="AE48" i="10"/>
  <c r="AA48" i="10"/>
  <c r="BK48" i="10"/>
  <c r="BR48" i="10"/>
  <c r="CQ48" i="10"/>
  <c r="AT48" i="10"/>
  <c r="AL48" i="10"/>
  <c r="BI48" i="10"/>
  <c r="J48" i="10"/>
  <c r="CH48" i="10"/>
  <c r="Q48" i="10"/>
  <c r="BN48" i="10"/>
  <c r="AG48" i="10"/>
  <c r="CK48" i="10"/>
  <c r="E48" i="10"/>
  <c r="CO48" i="10"/>
  <c r="AN48" i="10"/>
  <c r="BM48" i="10"/>
  <c r="AB48" i="10"/>
  <c r="L48" i="10"/>
  <c r="CF48" i="10"/>
  <c r="D48" i="10"/>
  <c r="CN48" i="10"/>
  <c r="AS241" i="10" a="1"/>
  <c r="AS241" i="10" s="1"/>
  <c r="BQ48" i="10"/>
  <c r="AU48" i="10"/>
  <c r="K48" i="10"/>
  <c r="CM48" i="10"/>
  <c r="CI48" i="10"/>
  <c r="BY48" i="10"/>
  <c r="CD48" i="10"/>
  <c r="AS48" i="10"/>
  <c r="Y48" i="10"/>
  <c r="H48" i="10"/>
  <c r="X48" i="10"/>
  <c r="BL48" i="10"/>
  <c r="AW48" i="10"/>
  <c r="M48" i="10"/>
  <c r="AV48" i="10"/>
  <c r="CJ48" i="10"/>
  <c r="CC48" i="10"/>
  <c r="BS48" i="10"/>
  <c r="CB48" i="10"/>
  <c r="AO48" i="10"/>
  <c r="CG48" i="10"/>
  <c r="BP48" i="10"/>
  <c r="AS75" i="10" a="1"/>
  <c r="AS75" i="10" s="1"/>
  <c r="I49" i="13"/>
  <c r="E50" i="7"/>
  <c r="A49" i="10"/>
  <c r="A179" i="10"/>
  <c r="B179" i="10" s="1"/>
  <c r="AR126" i="10" l="1"/>
  <c r="AR118" i="10"/>
  <c r="AR255" i="10"/>
  <c r="AR256" i="10"/>
  <c r="AR124" i="10"/>
  <c r="AR125" i="10"/>
  <c r="AR254" i="10"/>
  <c r="AR245" i="10"/>
  <c r="AR248" i="10"/>
  <c r="AR243" i="10"/>
  <c r="AZ35" i="11" a="1"/>
  <c r="AZ35" i="11" s="1"/>
  <c r="AZ138" i="11" a="1"/>
  <c r="AZ138" i="11" s="1"/>
  <c r="BI179" i="10" s="1"/>
  <c r="AR251" i="10"/>
  <c r="AR239" i="10"/>
  <c r="AR250" i="10"/>
  <c r="AR244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4" i="10"/>
  <c r="AS209" i="10"/>
  <c r="AS227" i="10"/>
  <c r="AS225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26" i="10"/>
  <c r="AS208" i="10"/>
  <c r="AS206" i="10"/>
  <c r="AS230" i="10"/>
  <c r="AS218" i="10"/>
  <c r="AS214" i="10"/>
  <c r="AS235" i="10"/>
  <c r="AS213" i="10"/>
  <c r="AS215" i="10"/>
  <c r="AS251" i="10" s="1"/>
  <c r="AS238" i="10"/>
  <c r="AS211" i="10"/>
  <c r="AS220" i="10"/>
  <c r="AS217" i="10"/>
  <c r="AS229" i="10"/>
  <c r="AS207" i="10"/>
  <c r="AQ257" i="10"/>
  <c r="AR246" i="10"/>
  <c r="AR252" i="10"/>
  <c r="AR24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C49" i="10"/>
  <c r="B49" i="10"/>
  <c r="A180" i="10"/>
  <c r="B180" i="10" s="1"/>
  <c r="E51" i="7"/>
  <c r="A50" i="10"/>
  <c r="I50" i="13"/>
  <c r="AR112" i="10"/>
  <c r="AR91" i="10"/>
  <c r="AQ49" i="10"/>
  <c r="BB49" i="10"/>
  <c r="W49" i="10"/>
  <c r="O49" i="10"/>
  <c r="BO49" i="10"/>
  <c r="BE49" i="10"/>
  <c r="AD49" i="10"/>
  <c r="BA49" i="10"/>
  <c r="R49" i="10"/>
  <c r="BJ49" i="10"/>
  <c r="N49" i="10"/>
  <c r="AS49" i="10"/>
  <c r="Y49" i="10"/>
  <c r="CD49" i="10"/>
  <c r="BX49" i="10"/>
  <c r="Q49" i="10"/>
  <c r="BM49" i="10"/>
  <c r="BT49" i="10"/>
  <c r="AR49" i="10"/>
  <c r="BG49" i="10"/>
  <c r="CW49" i="10"/>
  <c r="AB49" i="10"/>
  <c r="D49" i="10"/>
  <c r="CJ49" i="10"/>
  <c r="AT205" i="10" a="1"/>
  <c r="AT205" i="10" s="1"/>
  <c r="BQ49" i="10"/>
  <c r="K49" i="10"/>
  <c r="BK49" i="10"/>
  <c r="CQ49" i="10"/>
  <c r="J49" i="10"/>
  <c r="BI49" i="10"/>
  <c r="U49" i="10"/>
  <c r="CO49" i="10"/>
  <c r="CS49" i="10"/>
  <c r="AF49" i="10"/>
  <c r="AZ49" i="10"/>
  <c r="CV49" i="10"/>
  <c r="AT111" i="10" a="1"/>
  <c r="AT111" i="10" s="1"/>
  <c r="AM49" i="10"/>
  <c r="G49" i="10"/>
  <c r="AP49" i="10"/>
  <c r="AT49" i="10"/>
  <c r="CP49" i="10"/>
  <c r="AO49" i="10"/>
  <c r="AW49" i="10"/>
  <c r="M49" i="10"/>
  <c r="CK49" i="10"/>
  <c r="BW49" i="10"/>
  <c r="L49" i="10"/>
  <c r="BS49" i="10"/>
  <c r="AX49" i="10"/>
  <c r="BD49" i="10"/>
  <c r="AI49" i="10"/>
  <c r="S49" i="10"/>
  <c r="BF49" i="10"/>
  <c r="CU49" i="10"/>
  <c r="AL49" i="10"/>
  <c r="CE49" i="10"/>
  <c r="Z49" i="10"/>
  <c r="F49" i="10"/>
  <c r="BU49" i="10"/>
  <c r="BY49" i="10"/>
  <c r="AK49" i="10"/>
  <c r="CL49" i="10"/>
  <c r="BZ49" i="10"/>
  <c r="CC49" i="10"/>
  <c r="I49" i="10"/>
  <c r="BC49" i="10"/>
  <c r="CG49" i="10"/>
  <c r="T49" i="10"/>
  <c r="BL49" i="10"/>
  <c r="AN49" i="10"/>
  <c r="AY49" i="10"/>
  <c r="CF49" i="10"/>
  <c r="CR49" i="10"/>
  <c r="AT241" i="10" a="1"/>
  <c r="AT241" i="10" s="1"/>
  <c r="AT93" i="10" a="1"/>
  <c r="AT93" i="10" s="1"/>
  <c r="AU49" i="10"/>
  <c r="AE49" i="10"/>
  <c r="AA49" i="10"/>
  <c r="BV49" i="10"/>
  <c r="BR49" i="10"/>
  <c r="CI49" i="10"/>
  <c r="CM49" i="10"/>
  <c r="CA49" i="10"/>
  <c r="V49" i="10"/>
  <c r="BN49" i="10"/>
  <c r="AH49" i="10"/>
  <c r="CT49" i="10"/>
  <c r="AG49" i="10"/>
  <c r="CH49" i="10"/>
  <c r="AC49" i="10"/>
  <c r="BH49" i="10"/>
  <c r="E49" i="10"/>
  <c r="BP49" i="10"/>
  <c r="AV49" i="10"/>
  <c r="P49" i="10"/>
  <c r="CN49" i="10"/>
  <c r="AJ49" i="10"/>
  <c r="X49" i="10"/>
  <c r="H49" i="10"/>
  <c r="CB49" i="10"/>
  <c r="AT223" i="10" a="1"/>
  <c r="AT223" i="10" s="1"/>
  <c r="AT75" i="10" a="1"/>
  <c r="AT75" i="10" s="1"/>
  <c r="AS250" i="10" l="1"/>
  <c r="AS249" i="10"/>
  <c r="AS243" i="10"/>
  <c r="AS254" i="10"/>
  <c r="AS253" i="10"/>
  <c r="AS252" i="10"/>
  <c r="AS255" i="10"/>
  <c r="AS256" i="10"/>
  <c r="AS244" i="10"/>
  <c r="AS248" i="10"/>
  <c r="AS239" i="10"/>
  <c r="AJ179" i="10"/>
  <c r="CW179" i="10"/>
  <c r="CA179" i="10"/>
  <c r="O179" i="10"/>
  <c r="V179" i="10"/>
  <c r="BP179" i="10"/>
  <c r="CL179" i="10"/>
  <c r="CR179" i="10"/>
  <c r="BH179" i="10"/>
  <c r="CM179" i="10"/>
  <c r="AA179" i="10"/>
  <c r="AL179" i="10"/>
  <c r="CF179" i="10"/>
  <c r="AY179" i="10"/>
  <c r="AF179" i="10"/>
  <c r="AN179" i="10"/>
  <c r="BS179" i="10"/>
  <c r="G179" i="10"/>
  <c r="AD179" i="10"/>
  <c r="BQ179" i="10"/>
  <c r="E179" i="10"/>
  <c r="AX179" i="10"/>
  <c r="CC179" i="10"/>
  <c r="Q179" i="10"/>
  <c r="AS179" i="10"/>
  <c r="AT206" i="10"/>
  <c r="AT209" i="10"/>
  <c r="AT207" i="10"/>
  <c r="AT225" i="10"/>
  <c r="AT212" i="10"/>
  <c r="AT216" i="10"/>
  <c r="AT233" i="10"/>
  <c r="AT238" i="10"/>
  <c r="AT235" i="10"/>
  <c r="AT224" i="10"/>
  <c r="AT219" i="10"/>
  <c r="AT218" i="10"/>
  <c r="AT232" i="10"/>
  <c r="AT214" i="10"/>
  <c r="AT234" i="10"/>
  <c r="AT226" i="10"/>
  <c r="AT227" i="10"/>
  <c r="AT237" i="10"/>
  <c r="AT236" i="10"/>
  <c r="AT231" i="10"/>
  <c r="AT220" i="10"/>
  <c r="AT229" i="10"/>
  <c r="AT208" i="10"/>
  <c r="AT230" i="10"/>
  <c r="AT215" i="10"/>
  <c r="AT228" i="10"/>
  <c r="AT210" i="10"/>
  <c r="AT217" i="10"/>
  <c r="AT211" i="10"/>
  <c r="AT213" i="10"/>
  <c r="BA35" i="11" a="1"/>
  <c r="BA35" i="11" s="1"/>
  <c r="BA138" i="11" a="1"/>
  <c r="BA138" i="11" s="1"/>
  <c r="CE179" i="10"/>
  <c r="BL179" i="10"/>
  <c r="BK179" i="10"/>
  <c r="CH179" i="10"/>
  <c r="CK179" i="10"/>
  <c r="D179" i="10"/>
  <c r="BR179" i="10"/>
  <c r="AV179" i="10"/>
  <c r="AR179" i="10"/>
  <c r="BW179" i="10"/>
  <c r="K179" i="10"/>
  <c r="N179" i="10"/>
  <c r="AZ179" i="10"/>
  <c r="S179" i="10"/>
  <c r="CJ179" i="10"/>
  <c r="X179" i="10"/>
  <c r="BC179" i="10"/>
  <c r="CP179" i="10"/>
  <c r="J179" i="10"/>
  <c r="BA179" i="10"/>
  <c r="CT179" i="10"/>
  <c r="AH179" i="10"/>
  <c r="BM179" i="10"/>
  <c r="CO179" i="10"/>
  <c r="AC179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C179" i="10"/>
  <c r="P179" i="10"/>
  <c r="AU179" i="10"/>
  <c r="BJ179" i="10"/>
  <c r="Y179" i="10"/>
  <c r="BO179" i="10"/>
  <c r="F179" i="10"/>
  <c r="CN179" i="10"/>
  <c r="AB179" i="10"/>
  <c r="BG179" i="10"/>
  <c r="BZ179" i="10"/>
  <c r="BU179" i="10"/>
  <c r="T179" i="10"/>
  <c r="AT179" i="10"/>
  <c r="BT179" i="10"/>
  <c r="H179" i="10"/>
  <c r="AM179" i="10"/>
  <c r="BV179" i="10"/>
  <c r="BE179" i="10"/>
  <c r="AK179" i="10"/>
  <c r="CD179" i="10"/>
  <c r="R179" i="10"/>
  <c r="AW179" i="10"/>
  <c r="BY179" i="10"/>
  <c r="M179" i="10"/>
  <c r="J180" i="10"/>
  <c r="Z180" i="10"/>
  <c r="AP180" i="10"/>
  <c r="BF180" i="10"/>
  <c r="BV180" i="10"/>
  <c r="CL180" i="10"/>
  <c r="N180" i="10"/>
  <c r="AD180" i="10"/>
  <c r="AT180" i="10"/>
  <c r="BJ180" i="10"/>
  <c r="BZ180" i="10"/>
  <c r="CP180" i="10"/>
  <c r="O180" i="10"/>
  <c r="AE180" i="10"/>
  <c r="AU180" i="10"/>
  <c r="BK180" i="10"/>
  <c r="CA180" i="10"/>
  <c r="CQ180" i="10"/>
  <c r="F180" i="10"/>
  <c r="AL180" i="10"/>
  <c r="BR180" i="10"/>
  <c r="S180" i="10"/>
  <c r="AM180" i="10"/>
  <c r="BG180" i="10"/>
  <c r="CE180" i="10"/>
  <c r="D180" i="10"/>
  <c r="T180" i="10"/>
  <c r="AJ180" i="10"/>
  <c r="AZ180" i="10"/>
  <c r="BP180" i="10"/>
  <c r="CF180" i="10"/>
  <c r="CV180" i="10"/>
  <c r="E180" i="10"/>
  <c r="U180" i="10"/>
  <c r="AK180" i="10"/>
  <c r="BA180" i="10"/>
  <c r="BQ180" i="10"/>
  <c r="CG180" i="10"/>
  <c r="CW180" i="10"/>
  <c r="AC180" i="10"/>
  <c r="BY180" i="10"/>
  <c r="K180" i="10"/>
  <c r="BW180" i="10"/>
  <c r="AV180" i="10"/>
  <c r="AW180" i="10"/>
  <c r="CC180" i="10"/>
  <c r="R180" i="10"/>
  <c r="AX180" i="10"/>
  <c r="CD180" i="10"/>
  <c r="C180" i="10"/>
  <c r="W180" i="10"/>
  <c r="AQ180" i="10"/>
  <c r="BO180" i="10"/>
  <c r="CI180" i="10"/>
  <c r="H180" i="10"/>
  <c r="X180" i="10"/>
  <c r="AN180" i="10"/>
  <c r="BD180" i="10"/>
  <c r="BT180" i="10"/>
  <c r="CJ180" i="10"/>
  <c r="I180" i="10"/>
  <c r="Y180" i="10"/>
  <c r="AO180" i="10"/>
  <c r="BE180" i="10"/>
  <c r="BU180" i="10"/>
  <c r="CK180" i="10"/>
  <c r="M180" i="10"/>
  <c r="BI180" i="10"/>
  <c r="AH180" i="10"/>
  <c r="BN180" i="10"/>
  <c r="BC180" i="10"/>
  <c r="P180" i="10"/>
  <c r="BL180" i="10"/>
  <c r="CR180" i="10"/>
  <c r="AG180" i="10"/>
  <c r="CS180" i="10"/>
  <c r="V180" i="10"/>
  <c r="BB180" i="10"/>
  <c r="CH180" i="10"/>
  <c r="G180" i="10"/>
  <c r="AA180" i="10"/>
  <c r="AY180" i="10"/>
  <c r="BS180" i="10"/>
  <c r="CM180" i="10"/>
  <c r="L180" i="10"/>
  <c r="AB180" i="10"/>
  <c r="AR180" i="10"/>
  <c r="BH180" i="10"/>
  <c r="BX180" i="10"/>
  <c r="CN180" i="10"/>
  <c r="AS180" i="10"/>
  <c r="CO180" i="10"/>
  <c r="CT180" i="10"/>
  <c r="AI180" i="10"/>
  <c r="CU180" i="10"/>
  <c r="AF180" i="10"/>
  <c r="CB180" i="10"/>
  <c r="Q180" i="10"/>
  <c r="BM180" i="10"/>
  <c r="AR257" i="10"/>
  <c r="AS247" i="10"/>
  <c r="AS242" i="10"/>
  <c r="AS221" i="10"/>
  <c r="AS246" i="10"/>
  <c r="AS245" i="10"/>
  <c r="Z179" i="10"/>
  <c r="CQ179" i="10"/>
  <c r="AE179" i="10"/>
  <c r="AP179" i="10"/>
  <c r="CV179" i="10"/>
  <c r="AI179" i="10"/>
  <c r="AO179" i="10"/>
  <c r="BX179" i="10"/>
  <c r="L179" i="10"/>
  <c r="AQ179" i="10"/>
  <c r="BF179" i="10"/>
  <c r="I179" i="10"/>
  <c r="CU179" i="10"/>
  <c r="CB179" i="10"/>
  <c r="BD179" i="10"/>
  <c r="CI179" i="10"/>
  <c r="W179" i="10"/>
  <c r="BB179" i="10"/>
  <c r="CG179" i="10"/>
  <c r="U179" i="10"/>
  <c r="BN179" i="10"/>
  <c r="CS179" i="10"/>
  <c r="AG179" i="10"/>
  <c r="AT94" i="10"/>
  <c r="AT98" i="10"/>
  <c r="AT97" i="10"/>
  <c r="AT96" i="10"/>
  <c r="AT114" i="10" s="1"/>
  <c r="AT95" i="10"/>
  <c r="AT99" i="10"/>
  <c r="AT103" i="10"/>
  <c r="AT121" i="10" s="1"/>
  <c r="AT102" i="10"/>
  <c r="AT101" i="10"/>
  <c r="AT100" i="10"/>
  <c r="AT107" i="10"/>
  <c r="AT105" i="10"/>
  <c r="AT123" i="10" s="1"/>
  <c r="AT106" i="10"/>
  <c r="AT104" i="10"/>
  <c r="AT122" i="10" s="1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C50" i="10"/>
  <c r="B50" i="10"/>
  <c r="AS112" i="10"/>
  <c r="AS91" i="10"/>
  <c r="BD50" i="10"/>
  <c r="AM50" i="10"/>
  <c r="AE50" i="10"/>
  <c r="K50" i="10"/>
  <c r="BF50" i="10"/>
  <c r="CA50" i="10"/>
  <c r="BE50" i="10"/>
  <c r="AH50" i="10"/>
  <c r="BY50" i="10"/>
  <c r="J50" i="10"/>
  <c r="BU50" i="10"/>
  <c r="AS50" i="10"/>
  <c r="BJ50" i="10"/>
  <c r="AW50" i="10"/>
  <c r="M50" i="10"/>
  <c r="CS50" i="10"/>
  <c r="CO50" i="10"/>
  <c r="CK50" i="10"/>
  <c r="BC50" i="10"/>
  <c r="AB50" i="10"/>
  <c r="CV50" i="10"/>
  <c r="T50" i="10"/>
  <c r="CJ50" i="10"/>
  <c r="BW50" i="10"/>
  <c r="AU205" i="10" a="1"/>
  <c r="AU205" i="10" s="1"/>
  <c r="AU75" i="10" a="1"/>
  <c r="AU75" i="10" s="1"/>
  <c r="AA50" i="10"/>
  <c r="CU50" i="10"/>
  <c r="N50" i="10"/>
  <c r="AL50" i="10"/>
  <c r="CH50" i="10"/>
  <c r="BH50" i="10"/>
  <c r="AN50" i="10"/>
  <c r="AR50" i="10"/>
  <c r="CF50" i="10"/>
  <c r="AX50" i="10"/>
  <c r="AQ50" i="10"/>
  <c r="G50" i="10"/>
  <c r="CI50" i="10"/>
  <c r="BI50" i="10"/>
  <c r="CT50" i="10"/>
  <c r="AG50" i="10"/>
  <c r="BM50" i="10"/>
  <c r="CC50" i="10"/>
  <c r="AJ50" i="10"/>
  <c r="AU93" i="10" a="1"/>
  <c r="AU93" i="10" s="1"/>
  <c r="AU50" i="10"/>
  <c r="AI50" i="10"/>
  <c r="S50" i="10"/>
  <c r="BV50" i="10"/>
  <c r="BO50" i="10"/>
  <c r="BA50" i="10"/>
  <c r="AP50" i="10"/>
  <c r="AD50" i="10"/>
  <c r="Z50" i="10"/>
  <c r="F50" i="10"/>
  <c r="BN50" i="10"/>
  <c r="AO50" i="10"/>
  <c r="CL50" i="10"/>
  <c r="AC50" i="10"/>
  <c r="I50" i="10"/>
  <c r="AZ50" i="10"/>
  <c r="Y50" i="10"/>
  <c r="CG50" i="10"/>
  <c r="AV50" i="10"/>
  <c r="X50" i="10"/>
  <c r="CR50" i="10"/>
  <c r="L50" i="10"/>
  <c r="D50" i="10"/>
  <c r="BP50" i="10"/>
  <c r="AU111" i="10" a="1"/>
  <c r="AU111" i="10" s="1"/>
  <c r="BB50" i="10"/>
  <c r="O50" i="10"/>
  <c r="AT50" i="10"/>
  <c r="V50" i="10"/>
  <c r="AK50" i="10"/>
  <c r="U50" i="10"/>
  <c r="BX50" i="10"/>
  <c r="P50" i="10"/>
  <c r="BS50" i="10"/>
  <c r="AU223" i="10" a="1"/>
  <c r="AU223" i="10" s="1"/>
  <c r="W50" i="10"/>
  <c r="CE50" i="10"/>
  <c r="CM50" i="10"/>
  <c r="R50" i="10"/>
  <c r="CP50" i="10"/>
  <c r="CD50" i="10"/>
  <c r="BT50" i="10"/>
  <c r="AF50" i="10"/>
  <c r="BL50" i="10"/>
  <c r="AU241" i="10" a="1"/>
  <c r="AU241" i="10" s="1"/>
  <c r="BQ50" i="10"/>
  <c r="BR50" i="10"/>
  <c r="BK50" i="10"/>
  <c r="BZ50" i="10"/>
  <c r="E50" i="10"/>
  <c r="AY50" i="10"/>
  <c r="BG50" i="10"/>
  <c r="CQ50" i="10"/>
  <c r="Q50" i="10"/>
  <c r="H50" i="10"/>
  <c r="CB50" i="10"/>
  <c r="CW50" i="10"/>
  <c r="CN50" i="10"/>
  <c r="A181" i="10"/>
  <c r="B181" i="10" s="1"/>
  <c r="I51" i="13"/>
  <c r="E52" i="7"/>
  <c r="A51" i="10"/>
  <c r="AT117" i="10"/>
  <c r="AT251" i="10" l="1"/>
  <c r="AT244" i="10"/>
  <c r="AT249" i="10"/>
  <c r="AT247" i="10"/>
  <c r="AT256" i="10"/>
  <c r="AT253" i="10"/>
  <c r="AT250" i="10"/>
  <c r="AT120" i="10"/>
  <c r="AT246" i="10"/>
  <c r="AT254" i="10"/>
  <c r="BB35" i="11" a="1"/>
  <c r="BB35" i="11" s="1"/>
  <c r="BB138" i="11" a="1"/>
  <c r="BB138" i="11" s="1"/>
  <c r="BC181" i="10" s="1"/>
  <c r="AT255" i="10"/>
  <c r="AT243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39" i="10"/>
  <c r="AT252" i="10"/>
  <c r="AT245" i="10"/>
  <c r="AU226" i="10"/>
  <c r="AU206" i="10"/>
  <c r="AU225" i="10"/>
  <c r="AU230" i="10"/>
  <c r="AU218" i="10"/>
  <c r="AU214" i="10"/>
  <c r="AU215" i="10"/>
  <c r="AU210" i="10"/>
  <c r="AU209" i="10"/>
  <c r="AU227" i="10"/>
  <c r="AU213" i="10"/>
  <c r="AU234" i="10"/>
  <c r="AU219" i="10"/>
  <c r="AU224" i="10"/>
  <c r="AU237" i="10"/>
  <c r="AU232" i="10"/>
  <c r="AU233" i="10"/>
  <c r="AU235" i="10"/>
  <c r="AU217" i="10"/>
  <c r="AU229" i="10"/>
  <c r="AU208" i="10"/>
  <c r="AU244" i="10" s="1"/>
  <c r="AU207" i="10"/>
  <c r="AU212" i="10"/>
  <c r="AU236" i="10"/>
  <c r="AU231" i="10"/>
  <c r="AU216" i="10"/>
  <c r="AU211" i="10"/>
  <c r="AU238" i="10"/>
  <c r="AU220" i="10"/>
  <c r="AU228" i="10"/>
  <c r="AS257" i="10"/>
  <c r="AT248" i="10"/>
  <c r="AT221" i="10"/>
  <c r="AT242" i="10"/>
  <c r="AU95" i="10"/>
  <c r="AU94" i="10"/>
  <c r="AU98" i="10"/>
  <c r="AU97" i="10"/>
  <c r="AU96" i="10"/>
  <c r="AU114" i="10" s="1"/>
  <c r="AU100" i="10"/>
  <c r="AU104" i="10"/>
  <c r="AU122" i="10" s="1"/>
  <c r="AU99" i="10"/>
  <c r="AU103" i="10"/>
  <c r="AU102" i="10"/>
  <c r="AU120" i="10" s="1"/>
  <c r="AU108" i="10"/>
  <c r="AU101" i="10"/>
  <c r="AU119" i="10" s="1"/>
  <c r="AU107" i="10"/>
  <c r="AU105" i="10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B51" i="10"/>
  <c r="C51" i="10"/>
  <c r="A182" i="10"/>
  <c r="B182" i="10" s="1"/>
  <c r="E53" i="7"/>
  <c r="A52" i="10"/>
  <c r="I52" i="13"/>
  <c r="AT112" i="10"/>
  <c r="AT91" i="10"/>
  <c r="BB51" i="10"/>
  <c r="AM51" i="10"/>
  <c r="O51" i="10"/>
  <c r="K51" i="10"/>
  <c r="BK51" i="10"/>
  <c r="CU51" i="10"/>
  <c r="AT51" i="10"/>
  <c r="AL51" i="10"/>
  <c r="BU51" i="10"/>
  <c r="V51" i="10"/>
  <c r="BN51" i="10"/>
  <c r="CP51" i="10"/>
  <c r="AG51" i="10"/>
  <c r="CD51" i="10"/>
  <c r="CK51" i="10"/>
  <c r="Q51" i="10"/>
  <c r="BX51" i="10"/>
  <c r="BC51" i="10"/>
  <c r="CJ51" i="10"/>
  <c r="BT51" i="10"/>
  <c r="T51" i="10"/>
  <c r="X51" i="10"/>
  <c r="BW51" i="10"/>
  <c r="CR51" i="10"/>
  <c r="AV223" i="10" a="1"/>
  <c r="AV223" i="10" s="1"/>
  <c r="AX51" i="10"/>
  <c r="AI51" i="10"/>
  <c r="G51" i="10"/>
  <c r="BR51" i="10"/>
  <c r="CE51" i="10"/>
  <c r="CM51" i="10"/>
  <c r="N51" i="10"/>
  <c r="BJ51" i="10"/>
  <c r="AS51" i="10"/>
  <c r="Y51" i="10"/>
  <c r="AW51" i="10"/>
  <c r="CG51" i="10"/>
  <c r="BM51" i="10"/>
  <c r="CO51" i="10"/>
  <c r="AZ51" i="10"/>
  <c r="D51" i="10"/>
  <c r="AV75" i="10" a="1"/>
  <c r="AV75" i="10" s="1"/>
  <c r="AE51" i="10"/>
  <c r="CI51" i="10"/>
  <c r="R51" i="10"/>
  <c r="M51" i="10"/>
  <c r="AB51" i="10"/>
  <c r="AR51" i="10"/>
  <c r="P51" i="10"/>
  <c r="BQ51" i="10"/>
  <c r="AU51" i="10"/>
  <c r="AA51" i="10"/>
  <c r="BF51" i="10"/>
  <c r="BV51" i="10"/>
  <c r="CQ51" i="10"/>
  <c r="CA51" i="10"/>
  <c r="BE51" i="10"/>
  <c r="AH51" i="10"/>
  <c r="BI51" i="10"/>
  <c r="J51" i="10"/>
  <c r="CT51" i="10"/>
  <c r="AO51" i="10"/>
  <c r="CL51" i="10"/>
  <c r="AC51" i="10"/>
  <c r="AY51" i="10"/>
  <c r="I51" i="10"/>
  <c r="CS51" i="10"/>
  <c r="H51" i="10"/>
  <c r="CC51" i="10"/>
  <c r="AN51" i="10"/>
  <c r="AV51" i="10"/>
  <c r="L51" i="10"/>
  <c r="CN51" i="10"/>
  <c r="CV51" i="10"/>
  <c r="AV241" i="10" a="1"/>
  <c r="AV241" i="10" s="1"/>
  <c r="AV93" i="10" a="1"/>
  <c r="AV93" i="10" s="1"/>
  <c r="AQ51" i="10"/>
  <c r="W51" i="10"/>
  <c r="S51" i="10"/>
  <c r="BO51" i="10"/>
  <c r="AD51" i="10"/>
  <c r="BA51" i="10"/>
  <c r="AP51" i="10"/>
  <c r="Z51" i="10"/>
  <c r="BY51" i="10"/>
  <c r="F51" i="10"/>
  <c r="BZ51" i="10"/>
  <c r="AK51" i="10"/>
  <c r="CH51" i="10"/>
  <c r="CW51" i="10"/>
  <c r="U51" i="10"/>
  <c r="E51" i="10"/>
  <c r="BH51" i="10"/>
  <c r="BS51" i="10"/>
  <c r="AJ51" i="10"/>
  <c r="BG51" i="10"/>
  <c r="CF51" i="10"/>
  <c r="AV111" i="10" a="1"/>
  <c r="AV111" i="10" s="1"/>
  <c r="BD51" i="10"/>
  <c r="BL51" i="10"/>
  <c r="AF51" i="10"/>
  <c r="CB51" i="10"/>
  <c r="AV205" i="10" a="1"/>
  <c r="AV205" i="10" s="1"/>
  <c r="BP51" i="10"/>
  <c r="AU248" i="10" l="1"/>
  <c r="AU252" i="10"/>
  <c r="AU256" i="10"/>
  <c r="AU247" i="10"/>
  <c r="AU113" i="10"/>
  <c r="AU123" i="10"/>
  <c r="AU121" i="10"/>
  <c r="AU117" i="10"/>
  <c r="AT257" i="10"/>
  <c r="AU243" i="10"/>
  <c r="AU118" i="10"/>
  <c r="AU253" i="10"/>
  <c r="AV226" i="10"/>
  <c r="AV224" i="10"/>
  <c r="AV209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44" i="10" s="1"/>
  <c r="AV220" i="10"/>
  <c r="AV225" i="10"/>
  <c r="AV218" i="10"/>
  <c r="AV238" i="10"/>
  <c r="AV217" i="10"/>
  <c r="AV211" i="10"/>
  <c r="AV207" i="10"/>
  <c r="AV215" i="10"/>
  <c r="AV210" i="10"/>
  <c r="AV235" i="10"/>
  <c r="AV214" i="10"/>
  <c r="AV229" i="10"/>
  <c r="AU246" i="10"/>
  <c r="CP181" i="10"/>
  <c r="BV181" i="10"/>
  <c r="BE181" i="10"/>
  <c r="CV181" i="10"/>
  <c r="P181" i="10"/>
  <c r="BJ181" i="10"/>
  <c r="BL181" i="10"/>
  <c r="Z181" i="10"/>
  <c r="BB181" i="10"/>
  <c r="CW181" i="10"/>
  <c r="AK181" i="10"/>
  <c r="BT181" i="10"/>
  <c r="CA181" i="10"/>
  <c r="AD181" i="10"/>
  <c r="CF181" i="10"/>
  <c r="CT181" i="10"/>
  <c r="AH181" i="10"/>
  <c r="BM181" i="10"/>
  <c r="CJ181" i="10"/>
  <c r="D181" i="10"/>
  <c r="C181" i="10"/>
  <c r="AR181" i="10"/>
  <c r="BW181" i="10"/>
  <c r="K181" i="10"/>
  <c r="AM181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N181" i="10"/>
  <c r="AP181" i="10"/>
  <c r="AO181" i="10"/>
  <c r="CB181" i="10"/>
  <c r="CE181" i="10"/>
  <c r="AT181" i="10"/>
  <c r="T181" i="10"/>
  <c r="J181" i="10"/>
  <c r="AL181" i="10"/>
  <c r="CG181" i="10"/>
  <c r="U181" i="10"/>
  <c r="AZ181" i="10"/>
  <c r="AU181" i="10"/>
  <c r="CO181" i="10"/>
  <c r="AN181" i="10"/>
  <c r="CD181" i="10"/>
  <c r="R181" i="10"/>
  <c r="AW181" i="10"/>
  <c r="BP181" i="10"/>
  <c r="CU181" i="10"/>
  <c r="CN181" i="10"/>
  <c r="AB181" i="10"/>
  <c r="BG181" i="10"/>
  <c r="CI181" i="10"/>
  <c r="W181" i="10"/>
  <c r="BC35" i="11" a="1"/>
  <c r="BC35" i="11" s="1"/>
  <c r="BC138" i="11" a="1"/>
  <c r="BC138" i="11" s="1"/>
  <c r="AJ182" i="10" s="1"/>
  <c r="AU239" i="10"/>
  <c r="AU250" i="10"/>
  <c r="AU242" i="10"/>
  <c r="AU221" i="10"/>
  <c r="BI181" i="10"/>
  <c r="CK181" i="10"/>
  <c r="Y181" i="10"/>
  <c r="BD181" i="10"/>
  <c r="AY181" i="10"/>
  <c r="BY181" i="10"/>
  <c r="BK181" i="10"/>
  <c r="CH181" i="10"/>
  <c r="V181" i="10"/>
  <c r="BQ181" i="10"/>
  <c r="E181" i="10"/>
  <c r="AF181" i="10"/>
  <c r="O181" i="10"/>
  <c r="AC181" i="10"/>
  <c r="AE181" i="10"/>
  <c r="BN181" i="10"/>
  <c r="CS181" i="10"/>
  <c r="AG181" i="10"/>
  <c r="AV181" i="10"/>
  <c r="BO181" i="10"/>
  <c r="BX181" i="10"/>
  <c r="L181" i="10"/>
  <c r="AQ181" i="10"/>
  <c r="BS181" i="10"/>
  <c r="G181" i="10"/>
  <c r="AU255" i="10"/>
  <c r="AU245" i="10"/>
  <c r="AU254" i="10"/>
  <c r="CQ181" i="10"/>
  <c r="BU181" i="10"/>
  <c r="I181" i="10"/>
  <c r="AJ181" i="10"/>
  <c r="S181" i="10"/>
  <c r="AS181" i="10"/>
  <c r="BF181" i="10"/>
  <c r="BR181" i="10"/>
  <c r="F181" i="10"/>
  <c r="BA181" i="10"/>
  <c r="CR181" i="10"/>
  <c r="H181" i="10"/>
  <c r="BZ181" i="10"/>
  <c r="M181" i="10"/>
  <c r="CL181" i="10"/>
  <c r="AX181" i="10"/>
  <c r="CC181" i="10"/>
  <c r="Q181" i="10"/>
  <c r="X181" i="10"/>
  <c r="AI181" i="10"/>
  <c r="BH181" i="10"/>
  <c r="CM181" i="10"/>
  <c r="AA181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B52" i="10"/>
  <c r="C52" i="10"/>
  <c r="AU112" i="10"/>
  <c r="AU91" i="10"/>
  <c r="U52" i="10"/>
  <c r="BG52" i="10"/>
  <c r="BS52" i="10"/>
  <c r="P52" i="10"/>
  <c r="CF52" i="10"/>
  <c r="AX52" i="10"/>
  <c r="BO52" i="10"/>
  <c r="AT52" i="10"/>
  <c r="J52" i="10"/>
  <c r="CP52" i="10"/>
  <c r="I52" i="10"/>
  <c r="CV52" i="10"/>
  <c r="X52" i="10"/>
  <c r="BB52" i="10"/>
  <c r="AI52" i="10"/>
  <c r="O52" i="10"/>
  <c r="BV52" i="10"/>
  <c r="G52" i="10"/>
  <c r="AH52" i="10"/>
  <c r="BA52" i="10"/>
  <c r="AP52" i="10"/>
  <c r="N52" i="10"/>
  <c r="R52" i="10"/>
  <c r="CH52" i="10"/>
  <c r="Q52" i="10"/>
  <c r="BJ52" i="10"/>
  <c r="AK52" i="10"/>
  <c r="BC52" i="10"/>
  <c r="M52" i="10"/>
  <c r="CO52" i="10"/>
  <c r="AY52" i="10"/>
  <c r="BW52" i="10"/>
  <c r="AN52" i="10"/>
  <c r="BM52" i="10"/>
  <c r="AB52" i="10"/>
  <c r="BT52" i="10"/>
  <c r="BL52" i="10"/>
  <c r="AW111" i="10" a="1"/>
  <c r="AW111" i="10" s="1"/>
  <c r="AE52" i="10"/>
  <c r="BR52" i="10"/>
  <c r="AL52" i="10"/>
  <c r="CD52" i="10"/>
  <c r="AG52" i="10"/>
  <c r="CC52" i="10"/>
  <c r="L52" i="10"/>
  <c r="BP52" i="10"/>
  <c r="AW223" i="10" a="1"/>
  <c r="AW223" i="10" s="1"/>
  <c r="BQ52" i="10"/>
  <c r="AU52" i="10"/>
  <c r="AA52" i="10"/>
  <c r="K52" i="10"/>
  <c r="BK52" i="10"/>
  <c r="CQ52" i="10"/>
  <c r="CE52" i="10"/>
  <c r="CI52" i="10"/>
  <c r="CT52" i="10"/>
  <c r="BY52" i="10"/>
  <c r="F52" i="10"/>
  <c r="AW52" i="10"/>
  <c r="BU52" i="10"/>
  <c r="AS52" i="10"/>
  <c r="Y52" i="10"/>
  <c r="CK52" i="10"/>
  <c r="E52" i="10"/>
  <c r="AZ52" i="10"/>
  <c r="D52" i="10"/>
  <c r="CJ52" i="10"/>
  <c r="H52" i="10"/>
  <c r="AV52" i="10"/>
  <c r="T52" i="10"/>
  <c r="CR52" i="10"/>
  <c r="CB52" i="10"/>
  <c r="AW241" i="10" a="1"/>
  <c r="AW241" i="10" s="1"/>
  <c r="AW75" i="10" a="1"/>
  <c r="AW75" i="10" s="1"/>
  <c r="BD52" i="10"/>
  <c r="AM52" i="10"/>
  <c r="W52" i="10"/>
  <c r="BF52" i="10"/>
  <c r="CU52" i="10"/>
  <c r="CM52" i="10"/>
  <c r="CA52" i="10"/>
  <c r="BE52" i="10"/>
  <c r="AD52" i="10"/>
  <c r="V52" i="10"/>
  <c r="CL52" i="10"/>
  <c r="AC52" i="10"/>
  <c r="BZ52" i="10"/>
  <c r="AO52" i="10"/>
  <c r="BH52" i="10"/>
  <c r="BX52" i="10"/>
  <c r="CS52" i="10"/>
  <c r="AR52" i="10"/>
  <c r="AF52" i="10"/>
  <c r="AW205" i="10" a="1"/>
  <c r="AW205" i="10" s="1"/>
  <c r="AW93" i="10" a="1"/>
  <c r="AW93" i="10" s="1"/>
  <c r="AQ52" i="10"/>
  <c r="S52" i="10"/>
  <c r="Z52" i="10"/>
  <c r="BI52" i="10"/>
  <c r="BN52" i="10"/>
  <c r="CW52" i="10"/>
  <c r="AJ52" i="10"/>
  <c r="CG52" i="10"/>
  <c r="CN52" i="10"/>
  <c r="A53" i="10"/>
  <c r="I53" i="13"/>
  <c r="E54" i="7"/>
  <c r="A183" i="10"/>
  <c r="B183" i="10" s="1"/>
  <c r="AV250" i="10" l="1"/>
  <c r="AV246" i="10"/>
  <c r="AV251" i="10"/>
  <c r="AV255" i="10"/>
  <c r="AV243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U257" i="10"/>
  <c r="CL182" i="10"/>
  <c r="BH182" i="10"/>
  <c r="BR182" i="10"/>
  <c r="F182" i="10"/>
  <c r="U182" i="10"/>
  <c r="BW182" i="10"/>
  <c r="CO182" i="10"/>
  <c r="BC182" i="10"/>
  <c r="BO182" i="10"/>
  <c r="C182" i="10"/>
  <c r="AX182" i="10"/>
  <c r="CC182" i="10"/>
  <c r="BX182" i="10"/>
  <c r="BG182" i="10"/>
  <c r="AW182" i="10"/>
  <c r="CA182" i="10"/>
  <c r="O182" i="10"/>
  <c r="AT182" i="10"/>
  <c r="BY182" i="10"/>
  <c r="CR182" i="10"/>
  <c r="BU182" i="10"/>
  <c r="I182" i="10"/>
  <c r="AN182" i="10"/>
  <c r="CF182" i="10"/>
  <c r="T182" i="10"/>
  <c r="AV247" i="10"/>
  <c r="J182" i="10"/>
  <c r="CI182" i="10"/>
  <c r="BB182" i="10"/>
  <c r="CG182" i="10"/>
  <c r="CB182" i="10"/>
  <c r="AA182" i="10"/>
  <c r="AC182" i="10"/>
  <c r="G182" i="10"/>
  <c r="AY182" i="10"/>
  <c r="CT182" i="10"/>
  <c r="AH182" i="10"/>
  <c r="BI182" i="10"/>
  <c r="AR182" i="10"/>
  <c r="K182" i="10"/>
  <c r="BS182" i="10"/>
  <c r="BK182" i="10"/>
  <c r="CP182" i="10"/>
  <c r="AD182" i="10"/>
  <c r="BA182" i="10"/>
  <c r="BL182" i="10"/>
  <c r="BE182" i="10"/>
  <c r="CJ182" i="10"/>
  <c r="X182" i="10"/>
  <c r="BP182" i="10"/>
  <c r="D182" i="10"/>
  <c r="AV253" i="10"/>
  <c r="AV256" i="10"/>
  <c r="AV248" i="10"/>
  <c r="AV245" i="10"/>
  <c r="AW207" i="10"/>
  <c r="AW213" i="10"/>
  <c r="AW238" i="10"/>
  <c r="AW220" i="10"/>
  <c r="AW224" i="10"/>
  <c r="AW209" i="10"/>
  <c r="AW227" i="10"/>
  <c r="AW225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54" i="10" s="1"/>
  <c r="AW235" i="10"/>
  <c r="AW229" i="10"/>
  <c r="AW214" i="10"/>
  <c r="AW208" i="10"/>
  <c r="AW226" i="10"/>
  <c r="AW230" i="10"/>
  <c r="AW211" i="10"/>
  <c r="AW217" i="10"/>
  <c r="BD35" i="11" a="1"/>
  <c r="BD35" i="11" s="1"/>
  <c r="BD138" i="11" a="1"/>
  <c r="BD138" i="11" s="1"/>
  <c r="AW183" i="10" s="1"/>
  <c r="E183" i="10"/>
  <c r="BA183" i="10"/>
  <c r="CW183" i="10"/>
  <c r="V183" i="10"/>
  <c r="BB183" i="10"/>
  <c r="CH183" i="10"/>
  <c r="BI183" i="10"/>
  <c r="R183" i="10"/>
  <c r="BJ183" i="10"/>
  <c r="K183" i="10"/>
  <c r="AQ183" i="10"/>
  <c r="BW183" i="10"/>
  <c r="L183" i="10"/>
  <c r="AR183" i="10"/>
  <c r="BX183" i="10"/>
  <c r="T183" i="10"/>
  <c r="CV183" i="10"/>
  <c r="N183" i="10"/>
  <c r="W183" i="10"/>
  <c r="CJ183" i="10"/>
  <c r="AO183" i="10"/>
  <c r="Z183" i="10"/>
  <c r="BN183" i="10"/>
  <c r="O183" i="10"/>
  <c r="AU183" i="10"/>
  <c r="CA183" i="10"/>
  <c r="P183" i="10"/>
  <c r="AV183" i="10"/>
  <c r="CB183" i="10"/>
  <c r="D183" i="10"/>
  <c r="CF183" i="10"/>
  <c r="BF183" i="10"/>
  <c r="G183" i="10"/>
  <c r="CI183" i="10"/>
  <c r="BD183" i="10"/>
  <c r="AS183" i="10"/>
  <c r="J183" i="10"/>
  <c r="AX183" i="10"/>
  <c r="CP183" i="10"/>
  <c r="S183" i="10"/>
  <c r="AY183" i="10"/>
  <c r="CE183" i="10"/>
  <c r="BP183" i="10"/>
  <c r="AH183" i="10"/>
  <c r="BS183" i="10"/>
  <c r="BT183" i="10"/>
  <c r="BQ182" i="10"/>
  <c r="AM182" i="10"/>
  <c r="AL182" i="10"/>
  <c r="BM182" i="10"/>
  <c r="AV182" i="10"/>
  <c r="BF182" i="10"/>
  <c r="CN182" i="10"/>
  <c r="CU182" i="10"/>
  <c r="AI182" i="10"/>
  <c r="CD182" i="10"/>
  <c r="R182" i="10"/>
  <c r="AK182" i="10"/>
  <c r="L182" i="10"/>
  <c r="BV182" i="10"/>
  <c r="W182" i="10"/>
  <c r="AU182" i="10"/>
  <c r="BZ182" i="10"/>
  <c r="N182" i="10"/>
  <c r="AG182" i="10"/>
  <c r="AF182" i="10"/>
  <c r="AO182" i="10"/>
  <c r="BT182" i="10"/>
  <c r="H182" i="10"/>
  <c r="AZ182" i="10"/>
  <c r="AV239" i="10"/>
  <c r="AQ182" i="10"/>
  <c r="E182" i="10"/>
  <c r="CH182" i="10"/>
  <c r="V182" i="10"/>
  <c r="AS182" i="10"/>
  <c r="P182" i="10"/>
  <c r="Z182" i="10"/>
  <c r="AB182" i="10"/>
  <c r="CE182" i="10"/>
  <c r="S182" i="10"/>
  <c r="BN182" i="10"/>
  <c r="CW182" i="10"/>
  <c r="Q182" i="10"/>
  <c r="CM182" i="10"/>
  <c r="AP182" i="10"/>
  <c r="CQ182" i="10"/>
  <c r="AE182" i="10"/>
  <c r="BJ182" i="10"/>
  <c r="CS182" i="10"/>
  <c r="M182" i="10"/>
  <c r="CK182" i="10"/>
  <c r="Y182" i="10"/>
  <c r="BD182" i="10"/>
  <c r="CV182" i="10"/>
  <c r="AV242" i="10"/>
  <c r="AV221" i="10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C53" i="10"/>
  <c r="B53" i="10"/>
  <c r="AU53" i="10"/>
  <c r="AE53" i="10"/>
  <c r="W53" i="10"/>
  <c r="O53" i="10"/>
  <c r="BO53" i="10"/>
  <c r="AP53" i="10"/>
  <c r="CU53" i="10"/>
  <c r="BA53" i="10"/>
  <c r="R53" i="10"/>
  <c r="BJ53" i="10"/>
  <c r="N53" i="10"/>
  <c r="AO53" i="10"/>
  <c r="U53" i="10"/>
  <c r="AW53" i="10"/>
  <c r="CO53" i="10"/>
  <c r="M53" i="10"/>
  <c r="BT53" i="10"/>
  <c r="T53" i="10"/>
  <c r="CN53" i="10"/>
  <c r="CV53" i="10"/>
  <c r="AR53" i="10"/>
  <c r="CG53" i="10"/>
  <c r="X53" i="10"/>
  <c r="H53" i="10"/>
  <c r="AX205" i="10" a="1"/>
  <c r="AX205" i="10" s="1"/>
  <c r="AF53" i="10"/>
  <c r="L53" i="10"/>
  <c r="AX111" i="10" a="1"/>
  <c r="AX111" i="10" s="1"/>
  <c r="BB53" i="10"/>
  <c r="BR53" i="10"/>
  <c r="CA53" i="10"/>
  <c r="BU53" i="10"/>
  <c r="CD53" i="10"/>
  <c r="Q53" i="10"/>
  <c r="CR53" i="10"/>
  <c r="CW53" i="10"/>
  <c r="CJ53" i="10"/>
  <c r="AX241" i="10" a="1"/>
  <c r="AX241" i="10" s="1"/>
  <c r="AQ53" i="10"/>
  <c r="AM53" i="10"/>
  <c r="S53" i="10"/>
  <c r="G53" i="10"/>
  <c r="BK53" i="10"/>
  <c r="AL53" i="10"/>
  <c r="CI53" i="10"/>
  <c r="AT53" i="10"/>
  <c r="J53" i="10"/>
  <c r="CP53" i="10"/>
  <c r="BI53" i="10"/>
  <c r="AK53" i="10"/>
  <c r="CL53" i="10"/>
  <c r="CT53" i="10"/>
  <c r="CC53" i="10"/>
  <c r="I53" i="10"/>
  <c r="BM53" i="10"/>
  <c r="D53" i="10"/>
  <c r="AY53" i="10"/>
  <c r="CK53" i="10"/>
  <c r="AZ53" i="10"/>
  <c r="BL53" i="10"/>
  <c r="BD53" i="10"/>
  <c r="BV53" i="10"/>
  <c r="AD53" i="10"/>
  <c r="BN53" i="10"/>
  <c r="Y53" i="10"/>
  <c r="BH53" i="10"/>
  <c r="BW53" i="10"/>
  <c r="AB53" i="10"/>
  <c r="AX75" i="10" a="1"/>
  <c r="AX75" i="10" s="1"/>
  <c r="AX53" i="10"/>
  <c r="BQ53" i="10"/>
  <c r="AI53" i="10"/>
  <c r="K53" i="10"/>
  <c r="BF53" i="10"/>
  <c r="CQ53" i="10"/>
  <c r="CM53" i="10"/>
  <c r="CE53" i="10"/>
  <c r="AH53" i="10"/>
  <c r="F53" i="10"/>
  <c r="Z53" i="10"/>
  <c r="BY53" i="10"/>
  <c r="AG53" i="10"/>
  <c r="CH53" i="10"/>
  <c r="BZ53" i="10"/>
  <c r="AC53" i="10"/>
  <c r="E53" i="10"/>
  <c r="CS53" i="10"/>
  <c r="BP53" i="10"/>
  <c r="BG53" i="10"/>
  <c r="BC53" i="10"/>
  <c r="P53" i="10"/>
  <c r="AN53" i="10"/>
  <c r="BS53" i="10"/>
  <c r="CF53" i="10"/>
  <c r="AX223" i="10" a="1"/>
  <c r="AX223" i="10" s="1"/>
  <c r="AX93" i="10" a="1"/>
  <c r="AX93" i="10" s="1"/>
  <c r="AA53" i="10"/>
  <c r="BE53" i="10"/>
  <c r="V53" i="10"/>
  <c r="AS53" i="10"/>
  <c r="BX53" i="10"/>
  <c r="AJ53" i="10"/>
  <c r="AV53" i="10"/>
  <c r="CB53" i="10"/>
  <c r="AV91" i="10"/>
  <c r="AV112" i="10"/>
  <c r="A184" i="10"/>
  <c r="B184" i="10" s="1"/>
  <c r="E55" i="7"/>
  <c r="I54" i="13"/>
  <c r="A54" i="10"/>
  <c r="X183" i="10" l="1"/>
  <c r="CK183" i="10"/>
  <c r="BO183" i="10"/>
  <c r="C183" i="10"/>
  <c r="AD183" i="10"/>
  <c r="M183" i="10"/>
  <c r="BC183" i="10"/>
  <c r="Y183" i="10"/>
  <c r="CR183" i="10"/>
  <c r="AF183" i="10"/>
  <c r="BK183" i="10"/>
  <c r="CL183" i="10"/>
  <c r="BU183" i="10"/>
  <c r="AN183" i="10"/>
  <c r="BE183" i="10"/>
  <c r="CN183" i="10"/>
  <c r="AB183" i="10"/>
  <c r="BG183" i="10"/>
  <c r="CD183" i="10"/>
  <c r="CO183" i="10"/>
  <c r="BR183" i="10"/>
  <c r="F183" i="10"/>
  <c r="U183" i="10"/>
  <c r="AM183" i="10"/>
  <c r="CU183" i="10"/>
  <c r="AI183" i="10"/>
  <c r="BV183" i="10"/>
  <c r="BY183" i="10"/>
  <c r="H183" i="10"/>
  <c r="CT183" i="10"/>
  <c r="AJ183" i="10"/>
  <c r="BL183" i="10"/>
  <c r="CQ183" i="10"/>
  <c r="AE183" i="10"/>
  <c r="AT183" i="10"/>
  <c r="I183" i="10"/>
  <c r="BZ183" i="10"/>
  <c r="AZ183" i="10"/>
  <c r="BH183" i="10"/>
  <c r="CM183" i="10"/>
  <c r="AA183" i="10"/>
  <c r="AP183" i="10"/>
  <c r="AC183" i="10"/>
  <c r="AL183" i="10"/>
  <c r="CG183" i="10"/>
  <c r="AG183" i="10"/>
  <c r="BQ183" i="10"/>
  <c r="CS183" i="10"/>
  <c r="Q183" i="10"/>
  <c r="AV257" i="10"/>
  <c r="AW247" i="10"/>
  <c r="AW250" i="10"/>
  <c r="AW253" i="10"/>
  <c r="AW244" i="10"/>
  <c r="AW245" i="10"/>
  <c r="AW256" i="10"/>
  <c r="AK183" i="10"/>
  <c r="CC183" i="10"/>
  <c r="BM183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25" i="10"/>
  <c r="AX212" i="10"/>
  <c r="AX248" i="10" s="1"/>
  <c r="AX216" i="10"/>
  <c r="AX233" i="10"/>
  <c r="AX224" i="10"/>
  <c r="AX219" i="10"/>
  <c r="AX218" i="10"/>
  <c r="AX232" i="10"/>
  <c r="AX214" i="10"/>
  <c r="AX234" i="10"/>
  <c r="AX215" i="10"/>
  <c r="AX220" i="10"/>
  <c r="AX228" i="10"/>
  <c r="AX210" i="10"/>
  <c r="AX226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AQ184" i="10"/>
  <c r="BE35" i="11" a="1"/>
  <c r="BE35" i="11" s="1"/>
  <c r="BE138" i="11" a="1"/>
  <c r="BE138" i="11" s="1"/>
  <c r="AD184" i="10" s="1"/>
  <c r="AW246" i="10"/>
  <c r="AW242" i="10"/>
  <c r="AW221" i="10"/>
  <c r="AW248" i="10"/>
  <c r="AW239" i="10"/>
  <c r="AW243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C54" i="10"/>
  <c r="B54" i="10"/>
  <c r="AW91" i="10"/>
  <c r="AW112" i="10"/>
  <c r="A185" i="10"/>
  <c r="B185" i="10" s="1"/>
  <c r="I55" i="13"/>
  <c r="E56" i="7"/>
  <c r="A55" i="10"/>
  <c r="BD54" i="10"/>
  <c r="AM54" i="10"/>
  <c r="O54" i="10"/>
  <c r="S54" i="10"/>
  <c r="CU54" i="10"/>
  <c r="BA54" i="10"/>
  <c r="AP54" i="10"/>
  <c r="CA54" i="10"/>
  <c r="BY54" i="10"/>
  <c r="F54" i="10"/>
  <c r="BU54" i="10"/>
  <c r="AS54" i="10"/>
  <c r="BN54" i="10"/>
  <c r="AW54" i="10"/>
  <c r="E54" i="10"/>
  <c r="Y54" i="10"/>
  <c r="U54" i="10"/>
  <c r="CK54" i="10"/>
  <c r="AB54" i="10"/>
  <c r="CJ54" i="10"/>
  <c r="AV54" i="10"/>
  <c r="T54" i="10"/>
  <c r="BP54" i="10"/>
  <c r="CV54" i="10"/>
  <c r="AY223" i="10" a="1"/>
  <c r="AY223" i="10" s="1"/>
  <c r="AY93" i="10" a="1"/>
  <c r="AY93" i="10" s="1"/>
  <c r="AY75" i="10" a="1"/>
  <c r="AY75" i="10" s="1"/>
  <c r="K54" i="10"/>
  <c r="CM54" i="10"/>
  <c r="Z54" i="10"/>
  <c r="CD54" i="10"/>
  <c r="BX54" i="10"/>
  <c r="H54" i="10"/>
  <c r="L54" i="10"/>
  <c r="CB54" i="10"/>
  <c r="AU54" i="10"/>
  <c r="AE54" i="10"/>
  <c r="G54" i="10"/>
  <c r="BF54" i="10"/>
  <c r="BO54" i="10"/>
  <c r="AT54" i="10"/>
  <c r="AH54" i="10"/>
  <c r="AD54" i="10"/>
  <c r="V54" i="10"/>
  <c r="CT54" i="10"/>
  <c r="BJ54" i="10"/>
  <c r="AO54" i="10"/>
  <c r="CL54" i="10"/>
  <c r="AC54" i="10"/>
  <c r="BM54" i="10"/>
  <c r="BH54" i="10"/>
  <c r="Q54" i="10"/>
  <c r="CG54" i="10"/>
  <c r="X54" i="10"/>
  <c r="CC54" i="10"/>
  <c r="AR54" i="10"/>
  <c r="P54" i="10"/>
  <c r="BL54" i="10"/>
  <c r="CF54" i="10"/>
  <c r="AQ54" i="10"/>
  <c r="AI54" i="10"/>
  <c r="CE54" i="10"/>
  <c r="J54" i="10"/>
  <c r="AG54" i="10"/>
  <c r="AY54" i="10"/>
  <c r="AZ54" i="10"/>
  <c r="BS54" i="10"/>
  <c r="AY205" i="10" a="1"/>
  <c r="AY205" i="10" s="1"/>
  <c r="AY111" i="10" a="1"/>
  <c r="AY111" i="10" s="1"/>
  <c r="BB54" i="10"/>
  <c r="BQ54" i="10"/>
  <c r="AA54" i="10"/>
  <c r="W54" i="10"/>
  <c r="BR54" i="10"/>
  <c r="CI54" i="10"/>
  <c r="CQ54" i="10"/>
  <c r="BK54" i="10"/>
  <c r="N54" i="10"/>
  <c r="R54" i="10"/>
  <c r="AL54" i="10"/>
  <c r="CP54" i="10"/>
  <c r="AK54" i="10"/>
  <c r="CH54" i="10"/>
  <c r="M54" i="10"/>
  <c r="CS54" i="10"/>
  <c r="CO54" i="10"/>
  <c r="BT54" i="10"/>
  <c r="BC54" i="10"/>
  <c r="CN54" i="10"/>
  <c r="AJ54" i="10"/>
  <c r="AN54" i="10"/>
  <c r="BW54" i="10"/>
  <c r="CR54" i="10"/>
  <c r="D54" i="10"/>
  <c r="AY241" i="10" a="1"/>
  <c r="AY241" i="10" s="1"/>
  <c r="AX54" i="10"/>
  <c r="BV54" i="10"/>
  <c r="BE54" i="10"/>
  <c r="BI54" i="10"/>
  <c r="BZ54" i="10"/>
  <c r="I54" i="10"/>
  <c r="CW54" i="10"/>
  <c r="AF54" i="10"/>
  <c r="BG54" i="10"/>
  <c r="AX245" i="10" l="1"/>
  <c r="CW184" i="10"/>
  <c r="AX251" i="10"/>
  <c r="AX247" i="10"/>
  <c r="AX246" i="10"/>
  <c r="AX253" i="10"/>
  <c r="AX250" i="10"/>
  <c r="AZ184" i="10"/>
  <c r="CS184" i="10"/>
  <c r="BL184" i="10"/>
  <c r="CA184" i="10"/>
  <c r="BV184" i="10"/>
  <c r="AK184" i="10"/>
  <c r="T184" i="10"/>
  <c r="AG184" i="10"/>
  <c r="AS184" i="10"/>
  <c r="BX184" i="10"/>
  <c r="L184" i="10"/>
  <c r="AE184" i="10"/>
  <c r="F184" i="10"/>
  <c r="BP184" i="10"/>
  <c r="CC184" i="10"/>
  <c r="BE184" i="10"/>
  <c r="CJ184" i="10"/>
  <c r="X184" i="10"/>
  <c r="AU184" i="10"/>
  <c r="BF184" i="10"/>
  <c r="BO184" i="10"/>
  <c r="C184" i="10"/>
  <c r="AX184" i="10"/>
  <c r="BZ184" i="10"/>
  <c r="N184" i="10"/>
  <c r="AX256" i="10"/>
  <c r="AX243" i="10"/>
  <c r="AY208" i="10"/>
  <c r="AY224" i="10"/>
  <c r="AY207" i="10"/>
  <c r="AY212" i="10"/>
  <c r="AY237" i="10"/>
  <c r="AY236" i="10"/>
  <c r="AY232" i="10"/>
  <c r="AY231" i="10"/>
  <c r="AY216" i="10"/>
  <c r="AY228" i="10"/>
  <c r="AY226" i="10"/>
  <c r="AY225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K185" i="10" s="1"/>
  <c r="D184" i="10"/>
  <c r="Q184" i="10"/>
  <c r="AV184" i="10"/>
  <c r="BG184" i="10"/>
  <c r="AP184" i="10"/>
  <c r="E184" i="10"/>
  <c r="BK184" i="10"/>
  <c r="CO184" i="10"/>
  <c r="AC184" i="10"/>
  <c r="BH184" i="10"/>
  <c r="CQ184" i="10"/>
  <c r="K184" i="10"/>
  <c r="CG184" i="10"/>
  <c r="CI184" i="10"/>
  <c r="AW184" i="10"/>
  <c r="AO184" i="10"/>
  <c r="BT184" i="10"/>
  <c r="H184" i="10"/>
  <c r="AA184" i="10"/>
  <c r="Z184" i="10"/>
  <c r="AY184" i="10"/>
  <c r="CT184" i="10"/>
  <c r="AH184" i="10"/>
  <c r="BJ184" i="10"/>
  <c r="AX242" i="10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W257" i="10"/>
  <c r="CR184" i="10"/>
  <c r="AF184" i="10"/>
  <c r="AM184" i="10"/>
  <c r="J184" i="10"/>
  <c r="CF184" i="10"/>
  <c r="V184" i="10"/>
  <c r="BY184" i="10"/>
  <c r="M184" i="10"/>
  <c r="AR184" i="10"/>
  <c r="BW184" i="10"/>
  <c r="BR184" i="10"/>
  <c r="U184" i="10"/>
  <c r="W184" i="10"/>
  <c r="CK184" i="10"/>
  <c r="Y184" i="10"/>
  <c r="BD184" i="10"/>
  <c r="CM184" i="10"/>
  <c r="G184" i="10"/>
  <c r="CU184" i="10"/>
  <c r="AI184" i="10"/>
  <c r="CD184" i="10"/>
  <c r="R184" i="10"/>
  <c r="AT184" i="10"/>
  <c r="AX255" i="10"/>
  <c r="BA184" i="10"/>
  <c r="CH184" i="10"/>
  <c r="CB184" i="10"/>
  <c r="P184" i="10"/>
  <c r="O184" i="10"/>
  <c r="BQ184" i="10"/>
  <c r="AJ184" i="10"/>
  <c r="BM184" i="10"/>
  <c r="BI184" i="10"/>
  <c r="CN184" i="10"/>
  <c r="AB184" i="10"/>
  <c r="BC184" i="10"/>
  <c r="AL184" i="10"/>
  <c r="CV184" i="10"/>
  <c r="BB184" i="10"/>
  <c r="BU184" i="10"/>
  <c r="I184" i="10"/>
  <c r="AN184" i="10"/>
  <c r="BS184" i="10"/>
  <c r="CL184" i="10"/>
  <c r="CE184" i="10"/>
  <c r="S184" i="10"/>
  <c r="BN184" i="10"/>
  <c r="CP184" i="10"/>
  <c r="AX239" i="10"/>
  <c r="AX244" i="10"/>
  <c r="AY95" i="10"/>
  <c r="AY94" i="10"/>
  <c r="AY98" i="10"/>
  <c r="AY97" i="10"/>
  <c r="AY96" i="10"/>
  <c r="AY114" i="10" s="1"/>
  <c r="AY100" i="10"/>
  <c r="AY118" i="10" s="1"/>
  <c r="AY104" i="10"/>
  <c r="AY122" i="10" s="1"/>
  <c r="AY103" i="10"/>
  <c r="AY102" i="10"/>
  <c r="AY120" i="10" s="1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B55" i="10"/>
  <c r="C55" i="10"/>
  <c r="BB55" i="10"/>
  <c r="AM55" i="10"/>
  <c r="AQ55" i="10"/>
  <c r="BF55" i="10"/>
  <c r="BK55" i="10"/>
  <c r="CE55" i="10"/>
  <c r="AT55" i="10"/>
  <c r="AL55" i="10"/>
  <c r="BU55" i="10"/>
  <c r="V55" i="10"/>
  <c r="BN55" i="10"/>
  <c r="AS55" i="10"/>
  <c r="Y55" i="10"/>
  <c r="CD55" i="10"/>
  <c r="Q55" i="10"/>
  <c r="AZ55" i="10"/>
  <c r="BX55" i="10"/>
  <c r="BT55" i="10"/>
  <c r="AN55" i="10"/>
  <c r="CF55" i="10"/>
  <c r="CR55" i="10"/>
  <c r="CC55" i="10"/>
  <c r="H55" i="10"/>
  <c r="BP55" i="10"/>
  <c r="AZ223" i="10" a="1"/>
  <c r="AZ223" i="10" s="1"/>
  <c r="AI55" i="10"/>
  <c r="O55" i="10"/>
  <c r="AD55" i="10"/>
  <c r="CQ55" i="10"/>
  <c r="R55" i="10"/>
  <c r="AO55" i="10"/>
  <c r="AW55" i="10"/>
  <c r="M55" i="10"/>
  <c r="AY55" i="10"/>
  <c r="BC55" i="10"/>
  <c r="AF55" i="10"/>
  <c r="BL55" i="10"/>
  <c r="T55" i="10"/>
  <c r="AZ241" i="10" a="1"/>
  <c r="AZ241" i="10" s="1"/>
  <c r="BD55" i="10"/>
  <c r="W55" i="10"/>
  <c r="BO55" i="10"/>
  <c r="AP55" i="10"/>
  <c r="F55" i="10"/>
  <c r="AG55" i="10"/>
  <c r="CG55" i="10"/>
  <c r="AR55" i="10"/>
  <c r="D55" i="10"/>
  <c r="BG55" i="10"/>
  <c r="AZ75" i="10" a="1"/>
  <c r="AZ75" i="10" s="1"/>
  <c r="AX55" i="10"/>
  <c r="S55" i="10"/>
  <c r="CU55" i="10"/>
  <c r="CM55" i="10"/>
  <c r="N55" i="10"/>
  <c r="BJ55" i="10"/>
  <c r="CT55" i="10"/>
  <c r="CW55" i="10"/>
  <c r="BM55" i="10"/>
  <c r="X55" i="10"/>
  <c r="CN55" i="10"/>
  <c r="BS55" i="10"/>
  <c r="AZ111" i="10" a="1"/>
  <c r="AZ111" i="10" s="1"/>
  <c r="CB55" i="10"/>
  <c r="AZ93" i="10" a="1"/>
  <c r="AZ93" i="10" s="1"/>
  <c r="G55" i="10"/>
  <c r="CI55" i="10"/>
  <c r="Z55" i="10"/>
  <c r="BZ55" i="10"/>
  <c r="U55" i="10"/>
  <c r="E55" i="10"/>
  <c r="CJ55" i="10"/>
  <c r="P55" i="10"/>
  <c r="CV55" i="10"/>
  <c r="BQ55" i="10"/>
  <c r="AU55" i="10"/>
  <c r="AE55" i="10"/>
  <c r="K55" i="10"/>
  <c r="BV55" i="10"/>
  <c r="BR55" i="10"/>
  <c r="CA55" i="10"/>
  <c r="BE55" i="10"/>
  <c r="AH55" i="10"/>
  <c r="BI55" i="10"/>
  <c r="J55" i="10"/>
  <c r="CP55" i="10"/>
  <c r="AK55" i="10"/>
  <c r="CL55" i="10"/>
  <c r="AC55" i="10"/>
  <c r="CK55" i="10"/>
  <c r="I55" i="10"/>
  <c r="CS55" i="10"/>
  <c r="AV55" i="10"/>
  <c r="L55" i="10"/>
  <c r="AJ55" i="10"/>
  <c r="CO55" i="10"/>
  <c r="BW55" i="10"/>
  <c r="AA55" i="10"/>
  <c r="BA55" i="10"/>
  <c r="BY55" i="10"/>
  <c r="CH55" i="10"/>
  <c r="BH55" i="10"/>
  <c r="AB55" i="10"/>
  <c r="AZ205" i="10" a="1"/>
  <c r="AZ205" i="10" s="1"/>
  <c r="AX112" i="10"/>
  <c r="AX91" i="10"/>
  <c r="I56" i="13"/>
  <c r="A56" i="10"/>
  <c r="A186" i="10"/>
  <c r="B186" i="10" s="1"/>
  <c r="AY250" i="10" l="1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39" i="10"/>
  <c r="H185" i="10"/>
  <c r="BY185" i="10"/>
  <c r="M185" i="10"/>
  <c r="X185" i="10"/>
  <c r="G185" i="10"/>
  <c r="AG185" i="10"/>
  <c r="CP185" i="10"/>
  <c r="BV185" i="10"/>
  <c r="J185" i="10"/>
  <c r="AO185" i="10"/>
  <c r="BH185" i="10"/>
  <c r="BO185" i="10"/>
  <c r="AX185" i="10"/>
  <c r="CN185" i="10"/>
  <c r="AD185" i="10"/>
  <c r="AL185" i="10"/>
  <c r="CG185" i="10"/>
  <c r="U185" i="10"/>
  <c r="BD185" i="10"/>
  <c r="BC185" i="10"/>
  <c r="BL185" i="10"/>
  <c r="CQ185" i="10"/>
  <c r="AE185" i="10"/>
  <c r="BG185" i="10"/>
  <c r="AX257" i="10"/>
  <c r="AY252" i="10"/>
  <c r="AY244" i="10"/>
  <c r="CD185" i="10"/>
  <c r="CE185" i="10"/>
  <c r="BI185" i="10"/>
  <c r="CJ185" i="10"/>
  <c r="D185" i="10"/>
  <c r="BN185" i="10"/>
  <c r="BT185" i="10"/>
  <c r="BJ185" i="10"/>
  <c r="BF185" i="10"/>
  <c r="CK185" i="10"/>
  <c r="Y185" i="10"/>
  <c r="AN185" i="10"/>
  <c r="AI185" i="10"/>
  <c r="AH185" i="10"/>
  <c r="AZ185" i="10"/>
  <c r="CH185" i="10"/>
  <c r="V185" i="10"/>
  <c r="BQ185" i="10"/>
  <c r="E185" i="10"/>
  <c r="AJ185" i="10"/>
  <c r="W185" i="10"/>
  <c r="AV185" i="10"/>
  <c r="CA185" i="10"/>
  <c r="O185" i="10"/>
  <c r="AQ185" i="10"/>
  <c r="BG35" i="11" a="1"/>
  <c r="BG35" i="11" s="1"/>
  <c r="BG138" i="11" a="1"/>
  <c r="BG138" i="11" s="1"/>
  <c r="AR186" i="10" s="1"/>
  <c r="AZ225" i="10"/>
  <c r="AZ207" i="10"/>
  <c r="AZ218" i="10"/>
  <c r="AZ214" i="10"/>
  <c r="AZ215" i="10"/>
  <c r="AZ238" i="10"/>
  <c r="AZ210" i="10"/>
  <c r="AZ226" i="10"/>
  <c r="AZ224" i="10"/>
  <c r="AZ227" i="10"/>
  <c r="AZ237" i="10"/>
  <c r="AZ219" i="10"/>
  <c r="AZ232" i="10"/>
  <c r="AZ231" i="10"/>
  <c r="AZ213" i="10"/>
  <c r="AZ234" i="10"/>
  <c r="AZ209" i="10"/>
  <c r="AZ230" i="10"/>
  <c r="AZ212" i="10"/>
  <c r="AZ236" i="10"/>
  <c r="AZ216" i="10"/>
  <c r="AZ217" i="10"/>
  <c r="AZ206" i="10"/>
  <c r="AZ211" i="10"/>
  <c r="AZ208" i="10"/>
  <c r="AZ220" i="10"/>
  <c r="AZ256" i="10" s="1"/>
  <c r="AZ233" i="10"/>
  <c r="AZ228" i="10"/>
  <c r="AZ235" i="10"/>
  <c r="AZ229" i="10"/>
  <c r="AY221" i="10"/>
  <c r="AY242" i="10"/>
  <c r="AY248" i="10"/>
  <c r="BM185" i="10"/>
  <c r="AT185" i="10"/>
  <c r="AS185" i="10"/>
  <c r="BP185" i="10"/>
  <c r="BS185" i="10"/>
  <c r="R185" i="10"/>
  <c r="AB185" i="10"/>
  <c r="N185" i="10"/>
  <c r="AP185" i="10"/>
  <c r="BU185" i="10"/>
  <c r="I185" i="10"/>
  <c r="T185" i="10"/>
  <c r="C185" i="10"/>
  <c r="CC185" i="10"/>
  <c r="AY185" i="10"/>
  <c r="BR185" i="10"/>
  <c r="F185" i="10"/>
  <c r="BA185" i="10"/>
  <c r="CV185" i="10"/>
  <c r="L185" i="10"/>
  <c r="CR185" i="10"/>
  <c r="AF185" i="10"/>
  <c r="BK185" i="10"/>
  <c r="CM185" i="10"/>
  <c r="AA185" i="10"/>
  <c r="AY243" i="10"/>
  <c r="Q185" i="10"/>
  <c r="CO185" i="10"/>
  <c r="AC185" i="10"/>
  <c r="AR185" i="10"/>
  <c r="AM185" i="10"/>
  <c r="CS185" i="10"/>
  <c r="S185" i="10"/>
  <c r="CL185" i="10"/>
  <c r="Z185" i="10"/>
  <c r="BE185" i="10"/>
  <c r="CF185" i="10"/>
  <c r="CU185" i="10"/>
  <c r="CT185" i="10"/>
  <c r="AW185" i="10"/>
  <c r="BZ185" i="10"/>
  <c r="BB185" i="10"/>
  <c r="CW185" i="10"/>
  <c r="AK185" i="10"/>
  <c r="BX185" i="10"/>
  <c r="CI185" i="10"/>
  <c r="CB185" i="10"/>
  <c r="P185" i="10"/>
  <c r="AU185" i="10"/>
  <c r="BW185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56" i="10"/>
  <c r="C56" i="10"/>
  <c r="BA93" i="10" a="1"/>
  <c r="BA93" i="10" s="1"/>
  <c r="BA75" i="10" a="1"/>
  <c r="BA75" i="10" s="1"/>
  <c r="BD56" i="10"/>
  <c r="AU56" i="10"/>
  <c r="W56" i="10"/>
  <c r="K56" i="10"/>
  <c r="BK56" i="10"/>
  <c r="CU56" i="10"/>
  <c r="Z56" i="10"/>
  <c r="CE56" i="10"/>
  <c r="AD56" i="10"/>
  <c r="CT56" i="10"/>
  <c r="F56" i="10"/>
  <c r="Q56" i="10"/>
  <c r="BJ56" i="10"/>
  <c r="AS56" i="10"/>
  <c r="BT56" i="10"/>
  <c r="CK56" i="10"/>
  <c r="E56" i="10"/>
  <c r="CC56" i="10"/>
  <c r="AF56" i="10"/>
  <c r="BL56" i="10"/>
  <c r="BW56" i="10"/>
  <c r="AR56" i="10"/>
  <c r="D56" i="10"/>
  <c r="CV56" i="10"/>
  <c r="CN56" i="10"/>
  <c r="BA223" i="10" a="1"/>
  <c r="BA223" i="10" s="1"/>
  <c r="CM56" i="10"/>
  <c r="N56" i="10"/>
  <c r="BZ56" i="10"/>
  <c r="BN56" i="10"/>
  <c r="AO56" i="10"/>
  <c r="Y56" i="10"/>
  <c r="BH56" i="10"/>
  <c r="T56" i="10"/>
  <c r="AY56" i="10"/>
  <c r="AN56" i="10"/>
  <c r="CF56" i="10"/>
  <c r="AX56" i="10"/>
  <c r="AI56" i="10"/>
  <c r="BR56" i="10"/>
  <c r="CI56" i="10"/>
  <c r="BY56" i="10"/>
  <c r="BU56" i="10"/>
  <c r="AG56" i="10"/>
  <c r="CO56" i="10"/>
  <c r="X56" i="10"/>
  <c r="AB56" i="10"/>
  <c r="BA111" i="10" a="1"/>
  <c r="BA111" i="10" s="1"/>
  <c r="AQ56" i="10"/>
  <c r="AM56" i="10"/>
  <c r="AE56" i="10"/>
  <c r="G56" i="10"/>
  <c r="CQ56" i="10"/>
  <c r="CA56" i="10"/>
  <c r="BA56" i="10"/>
  <c r="V56" i="10"/>
  <c r="CL56" i="10"/>
  <c r="BC56" i="10"/>
  <c r="AZ56" i="10"/>
  <c r="CR56" i="10"/>
  <c r="BG56" i="10"/>
  <c r="BA205" i="10" a="1"/>
  <c r="BA205" i="10" s="1"/>
  <c r="O56" i="10"/>
  <c r="AL56" i="10"/>
  <c r="AC56" i="10"/>
  <c r="I56" i="10"/>
  <c r="BS56" i="10"/>
  <c r="CB56" i="10"/>
  <c r="BQ56" i="10"/>
  <c r="AA56" i="10"/>
  <c r="S56" i="10"/>
  <c r="BV56" i="10"/>
  <c r="BF56" i="10"/>
  <c r="AT56" i="10"/>
  <c r="AP56" i="10"/>
  <c r="BE56" i="10"/>
  <c r="BI56" i="10"/>
  <c r="R56" i="10"/>
  <c r="AW56" i="10"/>
  <c r="CP56" i="10"/>
  <c r="CH56" i="10"/>
  <c r="AK56" i="10"/>
  <c r="U56" i="10"/>
  <c r="M56" i="10"/>
  <c r="BX56" i="10"/>
  <c r="CG56" i="10"/>
  <c r="P56" i="10"/>
  <c r="CS56" i="10"/>
  <c r="L56" i="10"/>
  <c r="AJ56" i="10"/>
  <c r="H56" i="10"/>
  <c r="CJ56" i="10"/>
  <c r="BB56" i="10"/>
  <c r="BO56" i="10"/>
  <c r="AH56" i="10"/>
  <c r="J56" i="10"/>
  <c r="CD56" i="10"/>
  <c r="CW56" i="10"/>
  <c r="AV56" i="10"/>
  <c r="BM56" i="10"/>
  <c r="BP56" i="10"/>
  <c r="BA241" i="10" a="1"/>
  <c r="BA241" i="10" s="1"/>
  <c r="AY112" i="10"/>
  <c r="AY91" i="10"/>
  <c r="AZ244" i="10" l="1"/>
  <c r="AZ255" i="10"/>
  <c r="AZ243" i="10"/>
  <c r="AZ252" i="10"/>
  <c r="AZ245" i="10"/>
  <c r="AZ239" i="10"/>
  <c r="AZ251" i="10"/>
  <c r="AE186" i="10"/>
  <c r="BW186" i="10"/>
  <c r="J186" i="10"/>
  <c r="I186" i="10"/>
  <c r="BP186" i="10"/>
  <c r="CQ186" i="10"/>
  <c r="AK186" i="10"/>
  <c r="AT186" i="10"/>
  <c r="AD186" i="10"/>
  <c r="BC186" i="10"/>
  <c r="BV186" i="10"/>
  <c r="AW186" i="10"/>
  <c r="BA186" i="10"/>
  <c r="T186" i="10"/>
  <c r="N186" i="10"/>
  <c r="AF186" i="10"/>
  <c r="BZ186" i="10"/>
  <c r="BO186" i="10"/>
  <c r="C186" i="10"/>
  <c r="CS186" i="10"/>
  <c r="CV186" i="10"/>
  <c r="P186" i="10"/>
  <c r="AC186" i="10"/>
  <c r="CN186" i="10"/>
  <c r="AB186" i="10"/>
  <c r="BA78" i="10"/>
  <c r="BA88" i="10"/>
  <c r="BC88" i="10" s="1"/>
  <c r="B273" i="10" s="1"/>
  <c r="BA87" i="10"/>
  <c r="BC87" i="10" s="1"/>
  <c r="B272" i="10" s="1"/>
  <c r="BA84" i="10"/>
  <c r="BA86" i="10"/>
  <c r="BA77" i="10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Y257" i="10"/>
  <c r="AZ247" i="10"/>
  <c r="AZ250" i="10"/>
  <c r="CD186" i="10"/>
  <c r="AA186" i="10"/>
  <c r="AX186" i="10"/>
  <c r="BR186" i="10"/>
  <c r="AV186" i="10"/>
  <c r="BK186" i="10"/>
  <c r="CK186" i="10"/>
  <c r="CM186" i="10"/>
  <c r="BE186" i="10"/>
  <c r="AM186" i="10"/>
  <c r="V186" i="10"/>
  <c r="Y186" i="10"/>
  <c r="CF186" i="10"/>
  <c r="BJ186" i="10"/>
  <c r="BU186" i="10"/>
  <c r="BM186" i="10"/>
  <c r="CO186" i="10"/>
  <c r="AY186" i="10"/>
  <c r="BF186" i="10"/>
  <c r="AO186" i="10"/>
  <c r="CB186" i="10"/>
  <c r="BN186" i="10"/>
  <c r="M186" i="10"/>
  <c r="BX186" i="10"/>
  <c r="L186" i="10"/>
  <c r="AZ221" i="10"/>
  <c r="AZ242" i="10"/>
  <c r="AZ248" i="10"/>
  <c r="AZ249" i="10"/>
  <c r="AZ246" i="10"/>
  <c r="AZ254" i="10"/>
  <c r="Q186" i="10"/>
  <c r="CL186" i="10"/>
  <c r="BI186" i="10"/>
  <c r="CC186" i="10"/>
  <c r="X186" i="10"/>
  <c r="O186" i="10"/>
  <c r="AZ186" i="10"/>
  <c r="AQ186" i="10"/>
  <c r="CI186" i="10"/>
  <c r="W186" i="10"/>
  <c r="F186" i="10"/>
  <c r="E186" i="10"/>
  <c r="BL186" i="10"/>
  <c r="CA186" i="10"/>
  <c r="CH186" i="10"/>
  <c r="BG186" i="10"/>
  <c r="CU186" i="10"/>
  <c r="AI186" i="10"/>
  <c r="R186" i="10"/>
  <c r="U186" i="10"/>
  <c r="BD186" i="10"/>
  <c r="CG186" i="10"/>
  <c r="AL186" i="10"/>
  <c r="BH186" i="10"/>
  <c r="BA226" i="10"/>
  <c r="BC226" i="10" s="1"/>
  <c r="F263" i="10" s="1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24" i="10"/>
  <c r="BA206" i="10"/>
  <c r="BA227" i="10"/>
  <c r="BC227" i="10" s="1"/>
  <c r="F264" i="10" s="1"/>
  <c r="BA225" i="10"/>
  <c r="BC225" i="10" s="1"/>
  <c r="F262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Y186" i="10"/>
  <c r="CR186" i="10"/>
  <c r="Z186" i="10"/>
  <c r="AG186" i="10"/>
  <c r="CJ186" i="10"/>
  <c r="D186" i="10"/>
  <c r="AP186" i="10"/>
  <c r="H186" i="10"/>
  <c r="CP186" i="10"/>
  <c r="BS186" i="10"/>
  <c r="G186" i="10"/>
  <c r="AH186" i="10"/>
  <c r="BB186" i="10"/>
  <c r="AN186" i="10"/>
  <c r="AU186" i="10"/>
  <c r="BT186" i="10"/>
  <c r="K186" i="10"/>
  <c r="CE186" i="10"/>
  <c r="S186" i="10"/>
  <c r="CT186" i="10"/>
  <c r="CW186" i="10"/>
  <c r="AJ186" i="10"/>
  <c r="AS186" i="10"/>
  <c r="BQ186" i="10"/>
  <c r="BA97" i="10"/>
  <c r="BC97" i="10" s="1"/>
  <c r="C264" i="10" s="1"/>
  <c r="I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AZ112" i="10"/>
  <c r="AZ91" i="10"/>
  <c r="I272" i="10" l="1"/>
  <c r="I268" i="10"/>
  <c r="C89" i="13" s="1"/>
  <c r="E89" i="13" s="1"/>
  <c r="I263" i="10"/>
  <c r="C65" i="12" s="1"/>
  <c r="I269" i="10"/>
  <c r="C71" i="12" s="1"/>
  <c r="I262" i="10"/>
  <c r="C83" i="13" s="1"/>
  <c r="E83" i="13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A239" i="10"/>
  <c r="BC224" i="10"/>
  <c r="F261" i="10" s="1"/>
  <c r="F276" i="10" s="1"/>
  <c r="BA244" i="10"/>
  <c r="BC244" i="10" s="1"/>
  <c r="G263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A243" i="10"/>
  <c r="BC243" i="10" s="1"/>
  <c r="G262" i="10" s="1"/>
  <c r="BC207" i="10"/>
  <c r="E262" i="10" s="1"/>
  <c r="H262" i="10" s="1"/>
  <c r="BA254" i="10"/>
  <c r="BC254" i="10" s="1"/>
  <c r="G273" i="10" s="1"/>
  <c r="BC218" i="10"/>
  <c r="E273" i="10" s="1"/>
  <c r="H273" i="10" s="1"/>
  <c r="AZ257" i="10"/>
  <c r="BA251" i="10"/>
  <c r="BC251" i="10" s="1"/>
  <c r="G270" i="10" s="1"/>
  <c r="BC215" i="10"/>
  <c r="E270" i="10" s="1"/>
  <c r="BA221" i="10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66" i="12"/>
  <c r="C85" i="13"/>
  <c r="E85" i="13" s="1"/>
  <c r="C74" i="12"/>
  <c r="C93" i="13"/>
  <c r="E93" i="13" s="1"/>
  <c r="C70" i="12"/>
  <c r="C64" i="12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C95" i="13"/>
  <c r="E95" i="13" s="1"/>
  <c r="B64" i="12" l="1"/>
  <c r="B83" i="13"/>
  <c r="D83" i="13" s="1"/>
  <c r="H271" i="10"/>
  <c r="C84" i="13"/>
  <c r="E84" i="13" s="1"/>
  <c r="C88" i="13"/>
  <c r="E88" i="13" s="1"/>
  <c r="H268" i="10"/>
  <c r="C86" i="13"/>
  <c r="E86" i="13" s="1"/>
  <c r="H270" i="10"/>
  <c r="B72" i="12" s="1"/>
  <c r="H267" i="10"/>
  <c r="B69" i="12" s="1"/>
  <c r="H263" i="10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BC242" i="10"/>
  <c r="G261" i="10" s="1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73" i="12"/>
  <c r="B92" i="13"/>
  <c r="D92" i="13" s="1"/>
  <c r="F92" i="13" s="1"/>
  <c r="B70" i="12"/>
  <c r="B89" i="13"/>
  <c r="D89" i="13" s="1"/>
  <c r="F89" i="13" s="1"/>
  <c r="B283" i="10" a="1"/>
  <c r="B283" i="10" s="1"/>
  <c r="J266" i="10"/>
  <c r="G37" i="8" a="1"/>
  <c r="G37" i="8" s="1"/>
  <c r="B71" i="12"/>
  <c r="B88" i="13"/>
  <c r="D88" i="13" s="1"/>
  <c r="F88" i="13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B65" i="12"/>
  <c r="B84" i="13"/>
  <c r="D84" i="13" s="1"/>
  <c r="F84" i="13" s="1"/>
  <c r="I261" i="10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F86" i="13" l="1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B38" i="8" s="1" a="1"/>
  <c r="B38" i="8" s="1"/>
  <c r="C63" i="12"/>
  <c r="I276" i="10"/>
  <c r="C82" i="13"/>
  <c r="E82" i="13" s="1"/>
  <c r="F82" i="13" s="1"/>
  <c r="D276" i="10"/>
  <c r="B37" i="8" s="1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<sst xmlns="http://schemas.openxmlformats.org/spreadsheetml/2006/main" count="821" uniqueCount="218">
  <si>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</si>
  <si>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</si>
  <si>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</si>
  <si>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</si>
  <si>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</si>
  <si>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</si>
  <si>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</si>
  <si>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</si>
  <si>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</si>
  <si>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</si>
  <si>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</si>
  <si>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</si>
  <si>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</si>
  <si>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</si>
  <si>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</si>
  <si>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</si>
  <si>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</si>
  <si>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</si>
  <si>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</si>
  <si>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</si>
  <si>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</si>
  <si>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</si>
  <si>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</si>
  <si>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</si>
  <si>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</si>
  <si>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</si>
  <si>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</si>
  <si>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</si>
  <si>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</si>
  <si>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</si>
  <si>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</si>
  <si>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</si>
  <si>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</si>
  <si>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</si>
  <si>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</si>
  <si>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</si>
  <si>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</si>
  <si>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</si>
  <si>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</si>
  <si>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</si>
  <si>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</si>
  <si>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</si>
  <si>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</si>
  <si>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</si>
  <si>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</si>
  <si>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</si>
  <si>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</si>
  <si>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</si>
  <si>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</si>
  <si>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</si>
  <si>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</si>
  <si>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</si>
  <si>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</si>
  <si>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</si>
  <si>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</si>
  <si>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</si>
  <si>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</si>
  <si>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</si>
  <si>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</si>
  <si>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</si>
  <si>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</si>
  <si>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</si>
  <si>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</si>
  <si>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</si>
  <si>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</si>
  <si>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</si>
  <si>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</si>
  <si>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</si>
  <si>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</si>
  <si>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</si>
  <si>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</si>
  <si>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</si>
  <si>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</si>
  <si>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</si>
  <si>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</si>
  <si>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</si>
  <si>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</si>
  <si>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</si>
  <si>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</si>
  <si>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</si>
  <si>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</si>
  <si>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</si>
  <si>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</si>
  <si>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</si>
  <si>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</si>
  <si>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</si>
  <si>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</si>
  <si>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</si>
  <si>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</si>
  <si>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</si>
  <si>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</si>
  <si>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</si>
  <si>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</si>
  <si>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</si>
  <si>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</si>
  <si>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</si>
  <si>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</si>
  <si>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</si>
  <si>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</si>
  <si>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</si>
  <si>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</si>
  <si>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</si>
  <si>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</si>
  <si>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</si>
  <si>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</si>
  <si>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</si>
  <si>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</si>
  <si>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</si>
  <si>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</si>
  <si>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</si>
  <si>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</si>
  <si>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</si>
  <si>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</si>
  <si>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</si>
  <si>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</si>
  <si>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</si>
  <si>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</si>
  <si>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</si>
  <si>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</si>
  <si>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</si>
  <si>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</si>
  <si>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</si>
  <si>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</si>
  <si>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</si>
  <si>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</si>
  <si>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</si>
  <si>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</si>
  <si>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</si>
  <si>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</si>
  <si>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</si>
  <si>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</si>
  <si>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</si>
  <si>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</si>
  <si>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</si>
  <si>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</si>
  <si>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</si>
  <si>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</si>
  <si>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</si>
  <si>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</si>
  <si>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</si>
  <si>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</si>
  <si>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</si>
  <si>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</si>
  <si>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</si>
  <si>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</si>
  <si>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</si>
  <si>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</si>
  <si>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</si>
  <si>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</si>
  <si>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</si>
  <si>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</si>
  <si>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</si>
  <si>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</si>
  <si>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</si>
  <si>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</si>
  <si>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</si>
  <si>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</si>
  <si>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</si>
  <si>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</si>
  <si>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</si>
  <si>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</si>
  <si>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</si>
  <si>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</si>
  <si>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</si>
  <si>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</si>
  <si>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</si>
  <si>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</si>
  <si>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</si>
  <si>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</si>
  <si>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</si>
  <si>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</si>
  <si>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</si>
  <si>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</si>
  <si>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</si>
  <si>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</si>
  <si>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</si>
  <si>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</si>
  <si>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</si>
  <si>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</si>
  <si>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</si>
  <si>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</si>
  <si>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</si>
  <si>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</si>
  <si>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</si>
  <si>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</si>
  <si>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</si>
  <si>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</si>
  <si>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</si>
  <si>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</si>
  <si>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</si>
  <si>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</si>
  <si>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</si>
  <si>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</si>
  <si>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</si>
  <si>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</si>
  <si>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</si>
  <si>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</si>
  <si>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</si>
  <si>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</si>
  <si>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</si>
  <si>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</si>
  <si>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</si>
  <si>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</si>
  <si>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</si>
  <si>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</si>
  <si>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</si>
  <si>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</si>
  <si>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here</t>
  </si>
  <si>
    <t>Capacity Summary - Core/Adhoc</t>
  </si>
  <si>
    <t>Core Sessions</t>
  </si>
  <si>
    <t>Ad-Hoc Sessions</t>
  </si>
  <si>
    <t>Caseload Model</t>
  </si>
  <si>
    <t>Caseload 1</t>
  </si>
  <si>
    <t>Caseload 2</t>
  </si>
  <si>
    <t>Caseload 3</t>
  </si>
  <si>
    <t>Caseload 4</t>
  </si>
  <si>
    <t>Caseload 5</t>
  </si>
  <si>
    <t>v0.9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</si>
</sst>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numRef>
              <c:f>[0]!SPC_Dates</c:f>
            </c:num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</c:numRef>
          </c:cat>
          <c:val>
            <c:numRef>
              <c:f>[0]!SPC_Mean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</c:num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</c:numRef>
          </c:cat>
          <c:val>
            <c:numRef>
              <c:f>[0]!SPC_UCL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[0]!SPC_Dates</c:f>
            </c:numRef>
          </c:cat>
          <c:val>
            <c:numRef>
              <c:f>[0]!SPC_LCL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Caseload 1,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Caseload 1</c:v>
                </c:pt>
                <c:pt idx="1">
                  <c:v>Caseload 2</c:v>
                </c:pt>
                <c:pt idx="2">
                  <c:v>Caseload 3</c:v>
                </c:pt>
                <c:pt idx="3">
                  <c:v>Caseload 4</c:v>
                </c:pt>
                <c:pt idx="4">
                  <c:v>Caseload 5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15</xdr:col>
      <xdr:colOff>679450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15</xdr:col>
      <xdr:colOff>685800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15</xdr:col>
      <xdr:colOff>346076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259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262"/>
  <sheetViews>
    <sheetView topLeftCell="J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163</v>
      </c>
      <c r="X1" t="s">
        <v>169</v>
      </c>
      <c r="Z1" t="s">
        <v>192</v>
      </c>
      <c r="AB1" t="s">
        <v>199</v>
      </c>
      <c r="AD1" t="s">
        <v>208</v>
      </c>
    </row>
    <row r="2" spans="1:30" x14ac:dyDescent="0.35">
      <c r="B2" t="str">
        <f>Setup!A20</f>
        <v>Caseload 1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/>
      </c>
      <c r="T2" t="str">
        <f>"All "&amp;Setup!$B$15</f>
        <v>All Caseloads</v>
      </c>
      <c r="V2" t="s">
        <v>164</v>
      </c>
      <c r="X2" s="77" t="s">
        <v>11</v>
      </c>
      <c r="Z2" t="s">
        <v>193</v>
      </c>
      <c r="AB2" t="s">
        <v>95</v>
      </c>
      <c r="AD2" t="s">
        <v>209</v>
      </c>
    </row>
    <row r="3" spans="1:30" x14ac:dyDescent="0.35">
      <c r="B3" t="str">
        <f>Setup!A21</f>
        <v>Caseload 2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:R262">IF(Setup!B11="Weekly",INDEX('SPC Backing (Hide)'!$B$4:$B$263,Demand!A8,1),INDEX('SPC Backing (Hide)'!E4:E263,Demand!A8,1))</f>
        <v/>
      </c>
      <c r="T3" t="str">
        <f>Setup!A20</f>
        <v>Caseload 1</v>
      </c>
      <c r="V3" t="s">
        <v>165</v>
      </c>
      <c r="X3" s="77" t="s">
        <v>186</v>
      </c>
      <c r="Z3" t="s">
        <v>104</v>
      </c>
      <c r="AB3" t="s">
        <v>138</v>
      </c>
      <c r="AD3" t="s">
        <v>210</v>
      </c>
    </row>
    <row r="4" spans="1:30" x14ac:dyDescent="0.35">
      <c r="B4" t="str">
        <f>Setup!A22</f>
        <v>Caseload 3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R4" t="str">
        <v/>
      </c>
      <c r="T4" t="str">
        <f>Setup!A21</f>
        <v>Caseload 2</v>
      </c>
      <c r="X4" s="77" t="s">
        <v>170</v>
      </c>
    </row>
    <row r="5" spans="1:30" x14ac:dyDescent="0.35">
      <c r="B5" t="str">
        <f>Setup!A23</f>
        <v>Caseload 4</v>
      </c>
      <c r="D5">
        <v>4</v>
      </c>
      <c r="H5" t="s">
        <v>80</v>
      </c>
      <c r="I5">
        <v>0.8</v>
      </c>
      <c r="K5" t="s">
        <v>83</v>
      </c>
      <c r="L5">
        <v>1</v>
      </c>
      <c r="R5" t="str">
        <v/>
      </c>
      <c r="T5" t="str">
        <f>Setup!A22</f>
        <v>Caseload 3</v>
      </c>
      <c r="X5" s="77" t="s">
        <v>171</v>
      </c>
    </row>
    <row r="6" spans="1:30" x14ac:dyDescent="0.35">
      <c r="B6" t="str">
        <f>Setup!A24</f>
        <v>Caseload 5</v>
      </c>
      <c r="D6">
        <v>5</v>
      </c>
      <c r="K6" t="s">
        <v>84</v>
      </c>
      <c r="L6">
        <v>0.5</v>
      </c>
      <c r="R6" t="str">
        <v/>
      </c>
      <c r="T6" t="str">
        <f>Setup!A23</f>
        <v>Caseload 4</v>
      </c>
      <c r="X6" s="77" t="s">
        <v>172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R7" t="str">
        <v/>
      </c>
      <c r="T7" t="str">
        <f>Setup!A24</f>
        <v>Caseload 5</v>
      </c>
      <c r="X7" s="77" t="s">
        <v>173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R8" t="str">
        <v/>
      </c>
      <c r="T8" t="str">
        <f>Setup!A25</f>
        <v>Caseload 6</v>
      </c>
      <c r="X8" s="77" t="s">
        <v>174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R9" t="str">
        <v/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R10" t="str">
        <v/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R11" t="str">
        <v/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R12" t="str">
        <v/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R13" t="str">
        <v/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R14" t="str">
        <v/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R15" t="str">
        <v/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R16" t="str">
        <v/>
      </c>
      <c r="T16" t="str">
        <f>Setup!A33</f>
        <v>Caseload 14</v>
      </c>
    </row>
    <row r="17" spans="18:20" x14ac:dyDescent="0.35">
      <c r="R17" t="str">
        <v/>
      </c>
      <c r="T17" t="str">
        <f>Setup!A34</f>
        <v>Caseload 15</v>
      </c>
    </row>
    <row r="18" spans="18:20" x14ac:dyDescent="0.35">
      <c r="R18" t="str">
        <v/>
      </c>
    </row>
    <row r="19" spans="18:20" x14ac:dyDescent="0.35">
      <c r="R19" t="str">
        <v/>
      </c>
    </row>
    <row r="20" spans="18:20" x14ac:dyDescent="0.35">
      <c r="R20" t="str">
        <v/>
      </c>
    </row>
    <row r="21" spans="18:20" x14ac:dyDescent="0.35">
      <c r="R21" t="str">
        <v/>
      </c>
    </row>
    <row r="22" spans="18:20" x14ac:dyDescent="0.35">
      <c r="R22" t="str">
        <v/>
      </c>
    </row>
    <row r="23" spans="18:20" x14ac:dyDescent="0.35">
      <c r="R23" t="str">
        <v/>
      </c>
    </row>
    <row r="24" spans="18:20" x14ac:dyDescent="0.35">
      <c r="R24" t="str">
        <v/>
      </c>
    </row>
    <row r="25" spans="18:20" x14ac:dyDescent="0.35">
      <c r="R25" t="str">
        <v/>
      </c>
    </row>
    <row r="26" spans="18:20" x14ac:dyDescent="0.35">
      <c r="R26" t="str">
        <v/>
      </c>
    </row>
    <row r="27" spans="18:20" x14ac:dyDescent="0.35">
      <c r="R27" t="str">
        <v/>
      </c>
    </row>
    <row r="28" spans="18:20" x14ac:dyDescent="0.35">
      <c r="R28" t="str">
        <v/>
      </c>
    </row>
    <row r="29" spans="18:20" x14ac:dyDescent="0.35">
      <c r="R29" t="str">
        <v/>
      </c>
    </row>
    <row r="30" spans="18:20" x14ac:dyDescent="0.35">
      <c r="R30" t="str">
        <v/>
      </c>
    </row>
    <row r="31" spans="18:20" x14ac:dyDescent="0.35">
      <c r="R31" t="str">
        <v/>
      </c>
    </row>
    <row r="32" spans="18:20" x14ac:dyDescent="0.35">
      <c r="R32" t="str">
        <v/>
      </c>
    </row>
    <row r="33" spans="18:18" x14ac:dyDescent="0.35">
      <c r="R33" t="str">
        <v/>
      </c>
    </row>
    <row r="34" spans="18:18" x14ac:dyDescent="0.35">
      <c r="R34" t="str">
        <v/>
      </c>
    </row>
    <row r="35" spans="18:18" x14ac:dyDescent="0.35">
      <c r="R35" t="str">
        <v/>
      </c>
    </row>
    <row r="36" spans="18:18" x14ac:dyDescent="0.35">
      <c r="R36" t="str">
        <v/>
      </c>
    </row>
    <row r="37" spans="18:18" x14ac:dyDescent="0.35">
      <c r="R37" t="str">
        <v/>
      </c>
    </row>
    <row r="38" spans="18:18" x14ac:dyDescent="0.35">
      <c r="R38" t="str">
        <v/>
      </c>
    </row>
    <row r="39" spans="18:18" x14ac:dyDescent="0.35">
      <c r="R39" t="str">
        <v/>
      </c>
    </row>
    <row r="40" spans="18:18" x14ac:dyDescent="0.35">
      <c r="R40" t="str">
        <v/>
      </c>
    </row>
    <row r="41" spans="18:18" x14ac:dyDescent="0.35">
      <c r="R41" t="str">
        <v/>
      </c>
    </row>
    <row r="42" spans="18:18" x14ac:dyDescent="0.35">
      <c r="R42" t="str">
        <v/>
      </c>
    </row>
    <row r="43" spans="18:18" x14ac:dyDescent="0.35">
      <c r="R43" t="str">
        <v/>
      </c>
    </row>
    <row r="44" spans="18:18" x14ac:dyDescent="0.35">
      <c r="R44" t="str">
        <v/>
      </c>
    </row>
    <row r="45" spans="18:18" x14ac:dyDescent="0.35">
      <c r="R45" t="str">
        <v/>
      </c>
    </row>
    <row r="46" spans="18:18" x14ac:dyDescent="0.35">
      <c r="R46" t="str">
        <v/>
      </c>
    </row>
    <row r="47" spans="18:18" x14ac:dyDescent="0.35">
      <c r="R47" t="str">
        <v/>
      </c>
    </row>
    <row r="48" spans="18:18" x14ac:dyDescent="0.35">
      <c r="R48" t="str">
        <v/>
      </c>
    </row>
    <row r="49" spans="18:18" x14ac:dyDescent="0.35">
      <c r="R49" t="str">
        <v/>
      </c>
    </row>
    <row r="50" spans="18:18" x14ac:dyDescent="0.35">
      <c r="R50" t="str">
        <v/>
      </c>
    </row>
    <row r="51" spans="18:18" x14ac:dyDescent="0.35">
      <c r="R51" t="str">
        <v/>
      </c>
    </row>
    <row r="52" spans="18:18" x14ac:dyDescent="0.35">
      <c r="R52" t="str">
        <v/>
      </c>
    </row>
    <row r="53" spans="18:18" x14ac:dyDescent="0.35">
      <c r="R53" t="str">
        <v/>
      </c>
    </row>
    <row r="54" spans="18:18" x14ac:dyDescent="0.35">
      <c r="R54" t="str">
        <v/>
      </c>
    </row>
    <row r="55" spans="18:18" x14ac:dyDescent="0.35">
      <c r="R55" t="str">
        <v/>
      </c>
    </row>
    <row r="56" spans="18:18" x14ac:dyDescent="0.35">
      <c r="R56" t="str">
        <v/>
      </c>
    </row>
    <row r="57" spans="18:18" x14ac:dyDescent="0.35">
      <c r="R57" t="str">
        <v/>
      </c>
    </row>
    <row r="58" spans="18:18" x14ac:dyDescent="0.35">
      <c r="R58" t="str">
        <v/>
      </c>
    </row>
    <row r="59" spans="18:18" x14ac:dyDescent="0.35">
      <c r="R59" t="str">
        <v/>
      </c>
    </row>
    <row r="60" spans="18:18" x14ac:dyDescent="0.35">
      <c r="R60" t="str">
        <v/>
      </c>
    </row>
    <row r="61" spans="18:18" x14ac:dyDescent="0.35">
      <c r="R61" t="str">
        <v/>
      </c>
    </row>
    <row r="62" spans="18:18" x14ac:dyDescent="0.35">
      <c r="R62" t="str">
        <v/>
      </c>
    </row>
    <row r="63" spans="18:18" x14ac:dyDescent="0.35">
      <c r="R63" t="str">
        <v/>
      </c>
    </row>
    <row r="64" spans="18:18" x14ac:dyDescent="0.35">
      <c r="R64" t="str">
        <v/>
      </c>
    </row>
    <row r="65" spans="18:18" x14ac:dyDescent="0.35">
      <c r="R65" t="str">
        <v/>
      </c>
    </row>
    <row r="66" spans="18:18" x14ac:dyDescent="0.35">
      <c r="R66" t="str">
        <v/>
      </c>
    </row>
    <row r="67" spans="18:18" x14ac:dyDescent="0.35">
      <c r="R67" t="str">
        <v/>
      </c>
    </row>
    <row r="68" spans="18:18" x14ac:dyDescent="0.35">
      <c r="R68" t="str">
        <v/>
      </c>
    </row>
    <row r="69" spans="18:18" x14ac:dyDescent="0.35">
      <c r="R69" t="str">
        <v/>
      </c>
    </row>
    <row r="70" spans="18:18" x14ac:dyDescent="0.35">
      <c r="R70" t="str">
        <v/>
      </c>
    </row>
    <row r="71" spans="18:18" x14ac:dyDescent="0.35">
      <c r="R71" t="str">
        <v/>
      </c>
    </row>
    <row r="72" spans="18:18" x14ac:dyDescent="0.35">
      <c r="R72" t="str">
        <v/>
      </c>
    </row>
    <row r="73" spans="18:18" x14ac:dyDescent="0.35">
      <c r="R73" t="str">
        <v/>
      </c>
    </row>
    <row r="74" spans="18:18" x14ac:dyDescent="0.35">
      <c r="R74" t="str">
        <v/>
      </c>
    </row>
    <row r="75" spans="18:18" x14ac:dyDescent="0.35">
      <c r="R75" t="str">
        <v/>
      </c>
    </row>
    <row r="76" spans="18:18" x14ac:dyDescent="0.35">
      <c r="R76" t="str">
        <v/>
      </c>
    </row>
    <row r="77" spans="18:18" x14ac:dyDescent="0.35">
      <c r="R77" t="str">
        <v/>
      </c>
    </row>
    <row r="78" spans="18:18" x14ac:dyDescent="0.35">
      <c r="R78" t="str">
        <v/>
      </c>
    </row>
    <row r="79" spans="18:18" x14ac:dyDescent="0.35">
      <c r="R79" t="str">
        <v/>
      </c>
    </row>
    <row r="80" spans="18:18" x14ac:dyDescent="0.35">
      <c r="R80" t="str">
        <v/>
      </c>
    </row>
    <row r="81" spans="18:18" x14ac:dyDescent="0.35">
      <c r="R81" t="str">
        <v/>
      </c>
    </row>
    <row r="82" spans="18:18" x14ac:dyDescent="0.35">
      <c r="R82" t="str">
        <v/>
      </c>
    </row>
    <row r="83" spans="18:18" x14ac:dyDescent="0.35">
      <c r="R83" t="str">
        <v/>
      </c>
    </row>
    <row r="84" spans="18:18" x14ac:dyDescent="0.35">
      <c r="R84" t="str">
        <v/>
      </c>
    </row>
    <row r="85" spans="18:18" x14ac:dyDescent="0.35">
      <c r="R85" t="str">
        <v/>
      </c>
    </row>
    <row r="86" spans="18:18" x14ac:dyDescent="0.35">
      <c r="R86" t="str">
        <v/>
      </c>
    </row>
    <row r="87" spans="18:18" x14ac:dyDescent="0.35">
      <c r="R87" t="str">
        <v/>
      </c>
    </row>
    <row r="88" spans="18:18" x14ac:dyDescent="0.35">
      <c r="R88" t="str">
        <v/>
      </c>
    </row>
    <row r="89" spans="18:18" x14ac:dyDescent="0.35">
      <c r="R89" t="str">
        <v/>
      </c>
    </row>
    <row r="90" spans="18:18" x14ac:dyDescent="0.35">
      <c r="R90" t="str">
        <v/>
      </c>
    </row>
    <row r="91" spans="18:18" x14ac:dyDescent="0.35">
      <c r="R91" t="str">
        <v/>
      </c>
    </row>
    <row r="92" spans="18:18" x14ac:dyDescent="0.35">
      <c r="R92" t="str">
        <v/>
      </c>
    </row>
    <row r="93" spans="18:18" x14ac:dyDescent="0.35">
      <c r="R93" t="str">
        <v/>
      </c>
    </row>
    <row r="94" spans="18:18" x14ac:dyDescent="0.35">
      <c r="R94" t="str">
        <v/>
      </c>
    </row>
    <row r="95" spans="18:18" x14ac:dyDescent="0.35">
      <c r="R95" t="str">
        <v/>
      </c>
    </row>
    <row r="96" spans="18:18" x14ac:dyDescent="0.35">
      <c r="R96" t="str">
        <v/>
      </c>
    </row>
    <row r="97" spans="18:18" x14ac:dyDescent="0.35">
      <c r="R97" t="str">
        <v/>
      </c>
    </row>
    <row r="98" spans="18:18" x14ac:dyDescent="0.35">
      <c r="R98" t="str">
        <v/>
      </c>
    </row>
    <row r="99" spans="18:18" x14ac:dyDescent="0.35">
      <c r="R99" t="str">
        <v/>
      </c>
    </row>
    <row r="100" spans="18:18" x14ac:dyDescent="0.35">
      <c r="R100" t="str">
        <v/>
      </c>
    </row>
    <row r="101" spans="18:18" x14ac:dyDescent="0.35">
      <c r="R101" t="str">
        <v/>
      </c>
    </row>
    <row r="102" spans="18:18" x14ac:dyDescent="0.35">
      <c r="R102" t="str">
        <v/>
      </c>
    </row>
    <row r="103" spans="18:18" x14ac:dyDescent="0.35">
      <c r="R103" t="str">
        <v/>
      </c>
    </row>
    <row r="104" spans="18:18" x14ac:dyDescent="0.35">
      <c r="R104" t="str">
        <v/>
      </c>
    </row>
    <row r="105" spans="18:18" x14ac:dyDescent="0.35">
      <c r="R105" t="str">
        <v/>
      </c>
    </row>
    <row r="106" spans="18:18" x14ac:dyDescent="0.35">
      <c r="R106" t="str">
        <v/>
      </c>
    </row>
    <row r="107" spans="18:18" x14ac:dyDescent="0.35">
      <c r="R107" t="str">
        <v/>
      </c>
    </row>
    <row r="108" spans="18:18" x14ac:dyDescent="0.35">
      <c r="R108" t="str">
        <v/>
      </c>
    </row>
    <row r="109" spans="18:18" x14ac:dyDescent="0.35">
      <c r="R109" t="str">
        <v/>
      </c>
    </row>
    <row r="110" spans="18:18" x14ac:dyDescent="0.35">
      <c r="R110" t="str">
        <v/>
      </c>
    </row>
    <row r="111" spans="18:18" x14ac:dyDescent="0.35">
      <c r="R111" t="str">
        <v/>
      </c>
    </row>
    <row r="112" spans="18:18" x14ac:dyDescent="0.35">
      <c r="R112" t="str">
        <v/>
      </c>
    </row>
    <row r="113" spans="18:18" x14ac:dyDescent="0.35">
      <c r="R113" t="str">
        <v/>
      </c>
    </row>
    <row r="114" spans="18:18" x14ac:dyDescent="0.35">
      <c r="R114" t="str">
        <v/>
      </c>
    </row>
    <row r="115" spans="18:18" x14ac:dyDescent="0.35">
      <c r="R115" t="str">
        <v/>
      </c>
    </row>
    <row r="116" spans="18:18" x14ac:dyDescent="0.35">
      <c r="R116" t="str">
        <v/>
      </c>
    </row>
    <row r="117" spans="18:18" x14ac:dyDescent="0.35">
      <c r="R117" t="str">
        <v/>
      </c>
    </row>
    <row r="118" spans="18:18" x14ac:dyDescent="0.35">
      <c r="R118" t="str">
        <v/>
      </c>
    </row>
    <row r="119" spans="18:18" x14ac:dyDescent="0.35">
      <c r="R119" t="str">
        <v/>
      </c>
    </row>
    <row r="120" spans="18:18" x14ac:dyDescent="0.35">
      <c r="R120" t="str">
        <v/>
      </c>
    </row>
    <row r="121" spans="18:18" x14ac:dyDescent="0.35">
      <c r="R121" t="str">
        <v/>
      </c>
    </row>
    <row r="122" spans="18:18" x14ac:dyDescent="0.35">
      <c r="R122" t="str">
        <v/>
      </c>
    </row>
    <row r="123" spans="18:18" x14ac:dyDescent="0.35">
      <c r="R123" t="str">
        <v/>
      </c>
    </row>
    <row r="124" spans="18:18" x14ac:dyDescent="0.35">
      <c r="R124" t="str">
        <v/>
      </c>
    </row>
    <row r="125" spans="18:18" x14ac:dyDescent="0.35">
      <c r="R125" t="str">
        <v/>
      </c>
    </row>
    <row r="126" spans="18:18" x14ac:dyDescent="0.35">
      <c r="R126" t="str">
        <v/>
      </c>
    </row>
    <row r="127" spans="18:18" x14ac:dyDescent="0.35">
      <c r="R127" t="str">
        <v/>
      </c>
    </row>
    <row r="128" spans="18:18" x14ac:dyDescent="0.35">
      <c r="R128" t="str">
        <v/>
      </c>
    </row>
    <row r="129" spans="18:18" x14ac:dyDescent="0.35">
      <c r="R129" t="str">
        <v/>
      </c>
    </row>
    <row r="130" spans="18:18" x14ac:dyDescent="0.35">
      <c r="R130" t="str">
        <v/>
      </c>
    </row>
    <row r="131" spans="18:18" x14ac:dyDescent="0.35">
      <c r="R131" t="str">
        <v/>
      </c>
    </row>
    <row r="132" spans="18:18" x14ac:dyDescent="0.35">
      <c r="R132" t="str">
        <v/>
      </c>
    </row>
    <row r="133" spans="18:18" x14ac:dyDescent="0.35">
      <c r="R133" t="str">
        <v/>
      </c>
    </row>
    <row r="134" spans="18:18" x14ac:dyDescent="0.35">
      <c r="R134" t="str">
        <v/>
      </c>
    </row>
    <row r="135" spans="18:18" x14ac:dyDescent="0.35">
      <c r="R135" t="str">
        <v/>
      </c>
    </row>
    <row r="136" spans="18:18" x14ac:dyDescent="0.35">
      <c r="R136" t="str">
        <v/>
      </c>
    </row>
    <row r="137" spans="18:18" x14ac:dyDescent="0.35">
      <c r="R137" t="str">
        <v/>
      </c>
    </row>
    <row r="138" spans="18:18" x14ac:dyDescent="0.35">
      <c r="R138" t="str">
        <v/>
      </c>
    </row>
    <row r="139" spans="18:18" x14ac:dyDescent="0.35">
      <c r="R139" t="str">
        <v/>
      </c>
    </row>
    <row r="140" spans="18:18" x14ac:dyDescent="0.35">
      <c r="R140" t="str">
        <v/>
      </c>
    </row>
    <row r="141" spans="18:18" x14ac:dyDescent="0.35">
      <c r="R141" t="str">
        <v/>
      </c>
    </row>
    <row r="142" spans="18:18" x14ac:dyDescent="0.35">
      <c r="R142" t="str">
        <v/>
      </c>
    </row>
    <row r="143" spans="18:18" x14ac:dyDescent="0.35">
      <c r="R143" t="str">
        <v/>
      </c>
    </row>
    <row r="144" spans="18:18" x14ac:dyDescent="0.35">
      <c r="R144" t="str">
        <v/>
      </c>
    </row>
    <row r="145" spans="18:18" x14ac:dyDescent="0.35">
      <c r="R145" t="str">
        <v/>
      </c>
    </row>
    <row r="146" spans="18:18" x14ac:dyDescent="0.35">
      <c r="R146" t="str">
        <v/>
      </c>
    </row>
    <row r="147" spans="18:18" x14ac:dyDescent="0.35">
      <c r="R147" t="str">
        <v/>
      </c>
    </row>
    <row r="148" spans="18:18" x14ac:dyDescent="0.35">
      <c r="R148" t="str">
        <v/>
      </c>
    </row>
    <row r="149" spans="18:18" x14ac:dyDescent="0.35">
      <c r="R149" t="str">
        <v/>
      </c>
    </row>
    <row r="150" spans="18:18" x14ac:dyDescent="0.35">
      <c r="R150" t="str">
        <v/>
      </c>
    </row>
    <row r="151" spans="18:18" x14ac:dyDescent="0.35">
      <c r="R151" t="str">
        <v/>
      </c>
    </row>
    <row r="152" spans="18:18" x14ac:dyDescent="0.35">
      <c r="R152" t="str">
        <v/>
      </c>
    </row>
    <row r="153" spans="18:18" x14ac:dyDescent="0.35">
      <c r="R153" t="str">
        <v/>
      </c>
    </row>
    <row r="154" spans="18:18" x14ac:dyDescent="0.35">
      <c r="R154" t="str">
        <v/>
      </c>
    </row>
    <row r="155" spans="18:18" x14ac:dyDescent="0.35">
      <c r="R155" t="str">
        <v/>
      </c>
    </row>
    <row r="156" spans="18:18" x14ac:dyDescent="0.35">
      <c r="R156" t="str">
        <v/>
      </c>
    </row>
    <row r="157" spans="18:18" x14ac:dyDescent="0.35">
      <c r="R157" t="str">
        <v/>
      </c>
    </row>
    <row r="158" spans="18:18" x14ac:dyDescent="0.35">
      <c r="R158" t="str">
        <v/>
      </c>
    </row>
    <row r="159" spans="18:18" x14ac:dyDescent="0.35">
      <c r="R159" t="str">
        <v/>
      </c>
    </row>
    <row r="160" spans="18:18" x14ac:dyDescent="0.35">
      <c r="R160" t="str">
        <v/>
      </c>
    </row>
    <row r="161" spans="18:18" x14ac:dyDescent="0.35">
      <c r="R161" t="str">
        <v/>
      </c>
    </row>
    <row r="162" spans="18:18" x14ac:dyDescent="0.35">
      <c r="R162" t="str">
        <v/>
      </c>
    </row>
    <row r="163" spans="18:18" x14ac:dyDescent="0.35">
      <c r="R163" t="str">
        <v/>
      </c>
    </row>
    <row r="164" spans="18:18" x14ac:dyDescent="0.35">
      <c r="R164" t="str">
        <v/>
      </c>
    </row>
    <row r="165" spans="18:18" x14ac:dyDescent="0.35">
      <c r="R165" t="str">
        <v/>
      </c>
    </row>
    <row r="166" spans="18:18" x14ac:dyDescent="0.35">
      <c r="R166" t="str">
        <v/>
      </c>
    </row>
    <row r="167" spans="18:18" x14ac:dyDescent="0.35">
      <c r="R167" t="str">
        <v/>
      </c>
    </row>
    <row r="168" spans="18:18" x14ac:dyDescent="0.35">
      <c r="R168" t="str">
        <v/>
      </c>
    </row>
    <row r="169" spans="18:18" x14ac:dyDescent="0.35">
      <c r="R169" t="str">
        <v/>
      </c>
    </row>
    <row r="170" spans="18:18" x14ac:dyDescent="0.35">
      <c r="R170" t="str">
        <v/>
      </c>
    </row>
    <row r="171" spans="18:18" x14ac:dyDescent="0.35">
      <c r="R171" t="str">
        <v/>
      </c>
    </row>
    <row r="172" spans="18:18" x14ac:dyDescent="0.35">
      <c r="R172" t="str">
        <v/>
      </c>
    </row>
    <row r="173" spans="18:18" x14ac:dyDescent="0.35">
      <c r="R173" t="str">
        <v/>
      </c>
    </row>
    <row r="174" spans="18:18" x14ac:dyDescent="0.35">
      <c r="R174" t="str">
        <v/>
      </c>
    </row>
    <row r="175" spans="18:18" x14ac:dyDescent="0.35">
      <c r="R175" t="str">
        <v/>
      </c>
    </row>
    <row r="176" spans="18:18" x14ac:dyDescent="0.35">
      <c r="R176" t="str">
        <v/>
      </c>
    </row>
    <row r="177" spans="18:18" x14ac:dyDescent="0.35">
      <c r="R177" t="str">
        <v/>
      </c>
    </row>
    <row r="178" spans="18:18" x14ac:dyDescent="0.35">
      <c r="R178" t="str">
        <v/>
      </c>
    </row>
    <row r="179" spans="18:18" x14ac:dyDescent="0.35">
      <c r="R179" t="str">
        <v/>
      </c>
    </row>
    <row r="180" spans="18:18" x14ac:dyDescent="0.35">
      <c r="R180" t="str">
        <v/>
      </c>
    </row>
    <row r="181" spans="18:18" x14ac:dyDescent="0.35">
      <c r="R181" t="str">
        <v/>
      </c>
    </row>
    <row r="182" spans="18:18" x14ac:dyDescent="0.35">
      <c r="R182" t="str">
        <v/>
      </c>
    </row>
    <row r="183" spans="18:18" x14ac:dyDescent="0.35">
      <c r="R183" t="str">
        <v/>
      </c>
    </row>
    <row r="184" spans="18:18" x14ac:dyDescent="0.35">
      <c r="R184" t="str">
        <v/>
      </c>
    </row>
    <row r="185" spans="18:18" x14ac:dyDescent="0.35">
      <c r="R185" t="str">
        <v/>
      </c>
    </row>
    <row r="186" spans="18:18" x14ac:dyDescent="0.35">
      <c r="R186" t="str">
        <v/>
      </c>
    </row>
    <row r="187" spans="18:18" x14ac:dyDescent="0.35">
      <c r="R187" t="str">
        <v/>
      </c>
    </row>
    <row r="188" spans="18:18" x14ac:dyDescent="0.35">
      <c r="R188" t="str">
        <v/>
      </c>
    </row>
    <row r="189" spans="18:18" x14ac:dyDescent="0.35">
      <c r="R189" t="str">
        <v/>
      </c>
    </row>
    <row r="190" spans="18:18" x14ac:dyDescent="0.35">
      <c r="R190" t="str">
        <v/>
      </c>
    </row>
    <row r="191" spans="18:18" x14ac:dyDescent="0.35">
      <c r="R191" t="str">
        <v/>
      </c>
    </row>
    <row r="192" spans="18:18" x14ac:dyDescent="0.35">
      <c r="R192" t="str">
        <v/>
      </c>
    </row>
    <row r="193" spans="18:18" x14ac:dyDescent="0.35">
      <c r="R193" t="str">
        <v/>
      </c>
    </row>
    <row r="194" spans="18:18" x14ac:dyDescent="0.35">
      <c r="R194" t="str">
        <v/>
      </c>
    </row>
    <row r="195" spans="18:18" x14ac:dyDescent="0.35">
      <c r="R195" t="str">
        <v/>
      </c>
    </row>
    <row r="196" spans="18:18" x14ac:dyDescent="0.35">
      <c r="R196" t="str">
        <v/>
      </c>
    </row>
    <row r="197" spans="18:18" x14ac:dyDescent="0.35">
      <c r="R197" t="str">
        <v/>
      </c>
    </row>
    <row r="198" spans="18:18" x14ac:dyDescent="0.35">
      <c r="R198" t="str">
        <v/>
      </c>
    </row>
    <row r="199" spans="18:18" x14ac:dyDescent="0.35">
      <c r="R199" t="str">
        <v/>
      </c>
    </row>
    <row r="200" spans="18:18" x14ac:dyDescent="0.35">
      <c r="R200" t="str">
        <v/>
      </c>
    </row>
    <row r="201" spans="18:18" x14ac:dyDescent="0.35">
      <c r="R201" t="str">
        <v/>
      </c>
    </row>
    <row r="202" spans="18:18" x14ac:dyDescent="0.35">
      <c r="R202" t="str">
        <v/>
      </c>
    </row>
    <row r="203" spans="18:18" x14ac:dyDescent="0.35">
      <c r="R203" t="str">
        <v/>
      </c>
    </row>
    <row r="204" spans="18:18" x14ac:dyDescent="0.35">
      <c r="R204" t="str">
        <v/>
      </c>
    </row>
    <row r="205" spans="18:18" x14ac:dyDescent="0.35">
      <c r="R205" t="str">
        <v/>
      </c>
    </row>
    <row r="206" spans="18:18" x14ac:dyDescent="0.35">
      <c r="R206" t="str">
        <v/>
      </c>
    </row>
    <row r="207" spans="18:18" x14ac:dyDescent="0.35">
      <c r="R207" t="str">
        <v/>
      </c>
    </row>
    <row r="208" spans="18:18" x14ac:dyDescent="0.35">
      <c r="R208" t="str">
        <v/>
      </c>
    </row>
    <row r="209" spans="18:18" x14ac:dyDescent="0.35">
      <c r="R209" t="str">
        <v/>
      </c>
    </row>
    <row r="210" spans="18:18" x14ac:dyDescent="0.35">
      <c r="R210" t="str">
        <v/>
      </c>
    </row>
    <row r="211" spans="18:18" x14ac:dyDescent="0.35">
      <c r="R211" t="str">
        <v/>
      </c>
    </row>
    <row r="212" spans="18:18" x14ac:dyDescent="0.35">
      <c r="R212" t="str">
        <v/>
      </c>
    </row>
    <row r="213" spans="18:18" x14ac:dyDescent="0.35">
      <c r="R213" t="str">
        <v/>
      </c>
    </row>
    <row r="214" spans="18:18" x14ac:dyDescent="0.35">
      <c r="R214" t="str">
        <v/>
      </c>
    </row>
    <row r="215" spans="18:18" x14ac:dyDescent="0.35">
      <c r="R215" t="str">
        <v/>
      </c>
    </row>
    <row r="216" spans="18:18" x14ac:dyDescent="0.35">
      <c r="R216" t="str">
        <v/>
      </c>
    </row>
    <row r="217" spans="18:18" x14ac:dyDescent="0.35">
      <c r="R217" t="str">
        <v/>
      </c>
    </row>
    <row r="218" spans="18:18" x14ac:dyDescent="0.35">
      <c r="R218" t="str">
        <v/>
      </c>
    </row>
    <row r="219" spans="18:18" x14ac:dyDescent="0.35">
      <c r="R219" t="str">
        <v/>
      </c>
    </row>
    <row r="220" spans="18:18" x14ac:dyDescent="0.35">
      <c r="R220" t="str">
        <v/>
      </c>
    </row>
    <row r="221" spans="18:18" x14ac:dyDescent="0.35">
      <c r="R221" t="str">
        <v/>
      </c>
    </row>
    <row r="222" spans="18:18" x14ac:dyDescent="0.35">
      <c r="R222" t="str">
        <v/>
      </c>
    </row>
    <row r="223" spans="18:18" x14ac:dyDescent="0.35">
      <c r="R223" t="str">
        <v/>
      </c>
    </row>
    <row r="224" spans="18:18" x14ac:dyDescent="0.35">
      <c r="R224" t="str">
        <v/>
      </c>
    </row>
    <row r="225" spans="18:18" x14ac:dyDescent="0.35">
      <c r="R225" t="str">
        <v/>
      </c>
    </row>
    <row r="226" spans="18:18" x14ac:dyDescent="0.35">
      <c r="R226" t="str">
        <v/>
      </c>
    </row>
    <row r="227" spans="18:18" x14ac:dyDescent="0.35">
      <c r="R227" t="str">
        <v/>
      </c>
    </row>
    <row r="228" spans="18:18" x14ac:dyDescent="0.35">
      <c r="R228" t="str">
        <v/>
      </c>
    </row>
    <row r="229" spans="18:18" x14ac:dyDescent="0.35">
      <c r="R229" t="str">
        <v/>
      </c>
    </row>
    <row r="230" spans="18:18" x14ac:dyDescent="0.35">
      <c r="R230" t="str">
        <v/>
      </c>
    </row>
    <row r="231" spans="18:18" x14ac:dyDescent="0.35">
      <c r="R231" t="str">
        <v/>
      </c>
    </row>
    <row r="232" spans="18:18" x14ac:dyDescent="0.35">
      <c r="R232" t="str">
        <v/>
      </c>
    </row>
    <row r="233" spans="18:18" x14ac:dyDescent="0.35">
      <c r="R233" t="str">
        <v/>
      </c>
    </row>
    <row r="234" spans="18:18" x14ac:dyDescent="0.35">
      <c r="R234" t="str">
        <v/>
      </c>
    </row>
    <row r="235" spans="18:18" x14ac:dyDescent="0.35">
      <c r="R235" t="str">
        <v/>
      </c>
    </row>
    <row r="236" spans="18:18" x14ac:dyDescent="0.35">
      <c r="R236" t="str">
        <v/>
      </c>
    </row>
    <row r="237" spans="18:18" x14ac:dyDescent="0.35">
      <c r="R237" t="str">
        <v/>
      </c>
    </row>
    <row r="238" spans="18:18" x14ac:dyDescent="0.35">
      <c r="R238" t="str">
        <v/>
      </c>
    </row>
    <row r="239" spans="18:18" x14ac:dyDescent="0.35">
      <c r="R239" t="str">
        <v/>
      </c>
    </row>
    <row r="240" spans="18:18" x14ac:dyDescent="0.35">
      <c r="R240" t="str">
        <v/>
      </c>
    </row>
    <row r="241" spans="18:18" x14ac:dyDescent="0.35">
      <c r="R241" t="str">
        <v/>
      </c>
    </row>
    <row r="242" spans="18:18" x14ac:dyDescent="0.35">
      <c r="R242" t="str">
        <v/>
      </c>
    </row>
    <row r="243" spans="18:18" x14ac:dyDescent="0.35">
      <c r="R243" t="str">
        <v/>
      </c>
    </row>
    <row r="244" spans="18:18" x14ac:dyDescent="0.35">
      <c r="R244" t="str">
        <v/>
      </c>
    </row>
    <row r="245" spans="18:18" x14ac:dyDescent="0.35">
      <c r="R245" t="str">
        <v/>
      </c>
    </row>
    <row r="246" spans="18:18" x14ac:dyDescent="0.35">
      <c r="R246" t="str">
        <v/>
      </c>
    </row>
    <row r="247" spans="18:18" x14ac:dyDescent="0.35">
      <c r="R247" t="str">
        <v/>
      </c>
    </row>
    <row r="248" spans="18:18" x14ac:dyDescent="0.35">
      <c r="R248" t="str">
        <v/>
      </c>
    </row>
    <row r="249" spans="18:18" x14ac:dyDescent="0.35">
      <c r="R249" t="str">
        <v/>
      </c>
    </row>
    <row r="250" spans="18:18" x14ac:dyDescent="0.35">
      <c r="R250" t="str">
        <v/>
      </c>
    </row>
    <row r="251" spans="18:18" x14ac:dyDescent="0.35">
      <c r="R251" t="str">
        <v/>
      </c>
    </row>
    <row r="252" spans="18:18" x14ac:dyDescent="0.35">
      <c r="R252" t="str">
        <v/>
      </c>
    </row>
    <row r="253" spans="18:18" x14ac:dyDescent="0.35">
      <c r="R253" t="str">
        <v/>
      </c>
    </row>
    <row r="254" spans="18:18" x14ac:dyDescent="0.35">
      <c r="R254" t="str">
        <v/>
      </c>
    </row>
    <row r="255" spans="18:18" x14ac:dyDescent="0.35">
      <c r="R255" t="str">
        <v/>
      </c>
    </row>
    <row r="256" spans="18:18" x14ac:dyDescent="0.35">
      <c r="R256" t="str">
        <v/>
      </c>
    </row>
    <row r="257" spans="18:18" x14ac:dyDescent="0.35">
      <c r="R257" t="str">
        <v/>
      </c>
    </row>
    <row r="258" spans="18:18" x14ac:dyDescent="0.35">
      <c r="R258" t="str">
        <v/>
      </c>
    </row>
    <row r="259" spans="18:18" x14ac:dyDescent="0.35">
      <c r="R259" t="str">
        <v/>
      </c>
    </row>
    <row r="260" spans="18:18" x14ac:dyDescent="0.35">
      <c r="R260" t="str">
        <v/>
      </c>
    </row>
    <row r="261" spans="18:18" x14ac:dyDescent="0.35">
      <c r="R261" t="str">
        <v/>
      </c>
    </row>
    <row r="262" spans="18:18" x14ac:dyDescent="0.35">
      <c r="R262" t="str">
        <v/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showRowColHeader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5" t="s">
        <v>211</v>
      </c>
    </row>
    <row r="2" spans="1:19" x14ac:dyDescent="0.35">
      <c r="A2" t="s">
        <v>217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35"/>
      <c r="C5" s="136"/>
      <c r="D5" s="136"/>
      <c r="E5" s="136"/>
      <c r="F5" s="136"/>
      <c r="G5" s="137"/>
    </row>
    <row r="6" spans="1:19" ht="15" thickBot="1" x14ac:dyDescent="0.4"/>
    <row r="7" spans="1:19" ht="15" thickBot="1" x14ac:dyDescent="0.4">
      <c r="A7" s="57" t="s">
        <v>1</v>
      </c>
      <c r="B7" s="135"/>
      <c r="C7" s="136"/>
      <c r="D7" s="136"/>
      <c r="E7" s="136"/>
      <c r="F7" s="136"/>
      <c r="G7" s="13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38" t="s">
        <v>110</v>
      </c>
    </row>
    <row r="12" spans="1:19" ht="15" thickBot="1" x14ac:dyDescent="0.4"/>
    <row r="13" spans="1:19" ht="15" thickBot="1" x14ac:dyDescent="0.4">
      <c r="A13" s="57" t="s">
        <v>75</v>
      </c>
      <c r="B13" s="138" t="s">
        <v>77</v>
      </c>
    </row>
    <row r="14" spans="1:19" ht="15" thickBot="1" x14ac:dyDescent="0.4"/>
    <row r="15" spans="1:19" ht="15" thickBot="1" x14ac:dyDescent="0.4">
      <c r="A15" s="57" t="s">
        <v>168</v>
      </c>
      <c r="B15" s="138" t="s">
        <v>11</v>
      </c>
    </row>
    <row r="16" spans="1:19" ht="15" thickBot="1" x14ac:dyDescent="0.4"/>
    <row r="17" spans="1:2" ht="15" thickBot="1" x14ac:dyDescent="0.4">
      <c r="A17" s="57" t="str">
        <f>"Number of "&amp;B15&amp;":"</f>
        <v>Number of Caseloads:</v>
      </c>
      <c r="B17" s="138">
        <v>15</v>
      </c>
    </row>
    <row r="18" spans="1:2" ht="15" thickBot="1" x14ac:dyDescent="0.4"/>
    <row r="19" spans="1:2" ht="15" thickBot="1" x14ac:dyDescent="0.4">
      <c r="A19" s="57" t="str">
        <f>B15&amp;" Names:"</f>
        <v>Caseloads Names:</v>
      </c>
      <c r="B19" s="57" t="str">
        <f>B15&amp;" Description:"</f>
        <v>Caseloads Description:</v>
      </c>
    </row>
    <row r="20" spans="1:2" x14ac:dyDescent="0.35">
      <c r="A20" s="139" t="s">
        <v>212</v>
      </c>
      <c r="B20" s="139"/>
    </row>
    <row r="21" spans="1:2" x14ac:dyDescent="0.35">
      <c r="A21" s="140" t="s">
        <v>213</v>
      </c>
      <c r="B21" s="140"/>
    </row>
    <row r="22" spans="1:2" x14ac:dyDescent="0.35">
      <c r="A22" s="140" t="s">
        <v>214</v>
      </c>
      <c r="B22" s="140"/>
    </row>
    <row r="23" spans="1:2" x14ac:dyDescent="0.35">
      <c r="A23" s="140" t="s">
        <v>215</v>
      </c>
      <c r="B23" s="140"/>
    </row>
    <row r="24" spans="1:2" x14ac:dyDescent="0.35">
      <c r="A24" s="140" t="s">
        <v>216</v>
      </c>
      <c r="B24" s="140"/>
    </row>
    <row r="25" spans="1:2" x14ac:dyDescent="0.35">
      <c r="A25" s="140" t="s">
        <v>206</v>
      </c>
      <c r="B25" s="140"/>
    </row>
    <row r="26" spans="1:2" x14ac:dyDescent="0.35">
      <c r="A26" s="140" t="s">
        <v>2</v>
      </c>
      <c r="B26" s="140"/>
    </row>
    <row r="27" spans="1:2" x14ac:dyDescent="0.35">
      <c r="A27" s="140" t="s">
        <v>3</v>
      </c>
      <c r="B27" s="140"/>
    </row>
    <row r="28" spans="1:2" x14ac:dyDescent="0.35">
      <c r="A28" s="140" t="s">
        <v>4</v>
      </c>
      <c r="B28" s="140"/>
    </row>
    <row r="29" spans="1:2" x14ac:dyDescent="0.35">
      <c r="A29" s="140" t="s">
        <v>5</v>
      </c>
      <c r="B29" s="140"/>
    </row>
    <row r="30" spans="1:2" x14ac:dyDescent="0.35">
      <c r="A30" s="140" t="s">
        <v>6</v>
      </c>
      <c r="B30" s="140"/>
    </row>
    <row r="31" spans="1:2" x14ac:dyDescent="0.35">
      <c r="A31" s="140" t="s">
        <v>7</v>
      </c>
      <c r="B31" s="140"/>
    </row>
    <row r="32" spans="1:2" x14ac:dyDescent="0.35">
      <c r="A32" s="140" t="s">
        <v>8</v>
      </c>
      <c r="B32" s="140"/>
    </row>
    <row r="33" spans="1:19" x14ac:dyDescent="0.35">
      <c r="A33" s="140" t="s">
        <v>9</v>
      </c>
      <c r="B33" s="140"/>
    </row>
    <row r="34" spans="1:19" ht="15" thickBot="1" x14ac:dyDescent="0.4">
      <c r="A34" s="140" t="s">
        <v>10</v>
      </c>
      <c r="B34" s="140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sheetProtection algorithmName="SHA-512" hashValue="IDn1t7ve7IZEvpbJhQVh9jTQF7UPVj2j96PgjLGFxOKEsfzxTQfD+cDswBQep3fRYyj/nNBhQtr+rxFuR6oAyQ==" saltValue="/06SBFHimcG0HWrt1an1Bw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showRowColHeaders="0" workbookViewId="0">
      <selection activeCell="I13" sqref="I13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customWidth="1"/>
    <col min="4" max="5" width="10.453125" hidden="1" customWidth="1"/>
    <col min="6" max="20" width="8.7265625" customWidth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thickBot="1" x14ac:dyDescent="0.4">
      <c r="A3" s="57" t="s">
        <v>14</v>
      </c>
      <c r="B3" s="141"/>
    </row>
    <row r="4" spans="1:21" ht="15" hidden="1" thickBot="1" x14ac:dyDescent="0.4"/>
    <row r="5" spans="1:21" ht="15" hidden="1" thickBot="1" x14ac:dyDescent="0.4">
      <c r="A5" s="57" t="s">
        <v>106</v>
      </c>
      <c r="B5" s="56" t="s">
        <v>140</v>
      </c>
    </row>
    <row r="6" spans="1:21" ht="15" hidden="1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0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Caseload 1</v>
      </c>
      <c r="G8" s="40" t="str" cm="1">
        <f t="array" ref="G8">INDEX('Data Validation (Hide)'!$B$2:$B$16,COLUMN(B1),1)</f>
        <v>Caseload 2</v>
      </c>
      <c r="H8" s="40" t="str" cm="1">
        <f t="array" ref="H8">INDEX('Data Validation (Hide)'!$B$2:$B$16,COLUMN(C1),1)</f>
        <v>Caseload 3</v>
      </c>
      <c r="I8" s="40" t="str" cm="1">
        <f t="array" ref="I8">INDEX('Data Validation (Hide)'!$B$2:$B$16,COLUMN(D1),1)</f>
        <v>Caseload 4</v>
      </c>
      <c r="J8" s="41" t="str" cm="1">
        <f t="array" ref="J8">INDEX('Data Validation (Hide)'!$B$2:$B$16,COLUMN(E1),1)</f>
        <v>Caseload 5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 t="str">
        <f>IF(COUNTBLANK(F9:T9)=15,"",1)</f>
        <v/>
      </c>
      <c r="C9" s="38" t="str">
        <f>IF(A9="","",B3)</f>
        <v/>
      </c>
      <c r="D9" s="60" t="str">
        <f>IF(A9="","",B6)</f>
        <v/>
      </c>
      <c r="E9" s="60" t="str">
        <f>IF(A9="","",MONTH(DATEVALUE(B5&amp;" 1")))</f>
        <v/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7"/>
    </row>
    <row r="10" spans="1:21" x14ac:dyDescent="0.35">
      <c r="A10" s="24" t="str">
        <f t="shared" ref="A10:A73" si="0">IF(COUNTBLANK(F10:T10)=15,"",A9+1)</f>
        <v/>
      </c>
      <c r="C10" s="38" t="str">
        <f t="shared" ref="C10:C73" si="1">IF(A10="","",C9+7)</f>
        <v/>
      </c>
      <c r="D10" s="61" t="str">
        <f>IF(E10=1,MAX($D$9:D9)+1,"")</f>
        <v/>
      </c>
      <c r="E10" s="61" t="str">
        <f>IF(A10="","",IF(E9=12,1,E9+1))</f>
        <v/>
      </c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7"/>
    </row>
    <row r="11" spans="1:21" x14ac:dyDescent="0.35">
      <c r="A11" s="24" t="str">
        <f t="shared" si="0"/>
        <v/>
      </c>
      <c r="C11" s="38" t="str">
        <f t="shared" si="1"/>
        <v/>
      </c>
      <c r="D11" s="61" t="str">
        <f>IF(E11=1,MAX($D$9:D10)+1,"")</f>
        <v/>
      </c>
      <c r="E11" s="61" t="str">
        <f t="shared" ref="E11:E74" si="2">IF(A11="","",IF(E10=12,1,E10+1))</f>
        <v/>
      </c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7"/>
    </row>
    <row r="12" spans="1:21" x14ac:dyDescent="0.35">
      <c r="A12" s="24" t="str">
        <f t="shared" si="0"/>
        <v/>
      </c>
      <c r="C12" s="38" t="str">
        <f t="shared" si="1"/>
        <v/>
      </c>
      <c r="D12" s="61" t="str">
        <f>IF(E12=1,MAX($D$9:D11)+1,"")</f>
        <v/>
      </c>
      <c r="E12" s="61" t="str">
        <f t="shared" si="2"/>
        <v/>
      </c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7"/>
    </row>
    <row r="13" spans="1:21" x14ac:dyDescent="0.35">
      <c r="A13" s="24" t="str">
        <f t="shared" si="0"/>
        <v/>
      </c>
      <c r="C13" s="38" t="str">
        <f t="shared" si="1"/>
        <v/>
      </c>
      <c r="D13" s="61" t="str">
        <f>IF(E13=1,MAX($D$9:D12)+1,"")</f>
        <v/>
      </c>
      <c r="E13" s="61" t="str">
        <f t="shared" si="2"/>
        <v/>
      </c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7"/>
    </row>
    <row r="14" spans="1:21" x14ac:dyDescent="0.35">
      <c r="A14" s="24" t="str">
        <f t="shared" si="0"/>
        <v/>
      </c>
      <c r="C14" s="38" t="str">
        <f t="shared" si="1"/>
        <v/>
      </c>
      <c r="D14" s="61" t="str">
        <f>IF(E14=1,MAX($D$9:D13)+1,"")</f>
        <v/>
      </c>
      <c r="E14" s="61" t="str">
        <f t="shared" si="2"/>
        <v/>
      </c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7"/>
    </row>
    <row r="15" spans="1:21" x14ac:dyDescent="0.35">
      <c r="A15" s="24" t="str">
        <f t="shared" si="0"/>
        <v/>
      </c>
      <c r="C15" s="38" t="str">
        <f t="shared" si="1"/>
        <v/>
      </c>
      <c r="D15" s="61" t="str">
        <f>IF(E15=1,MAX($D$9:D14)+1,"")</f>
        <v/>
      </c>
      <c r="E15" s="61" t="str">
        <f t="shared" si="2"/>
        <v/>
      </c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7"/>
    </row>
    <row r="16" spans="1:21" x14ac:dyDescent="0.35">
      <c r="A16" s="24" t="str">
        <f t="shared" si="0"/>
        <v/>
      </c>
      <c r="C16" s="38" t="str">
        <f t="shared" si="1"/>
        <v/>
      </c>
      <c r="D16" s="61" t="str">
        <f>IF(E16=1,MAX($D$9:D15)+1,"")</f>
        <v/>
      </c>
      <c r="E16" s="61" t="str">
        <f t="shared" si="2"/>
        <v/>
      </c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7"/>
    </row>
    <row r="17" spans="1:21" x14ac:dyDescent="0.35">
      <c r="A17" s="24" t="str">
        <f t="shared" si="0"/>
        <v/>
      </c>
      <c r="C17" s="38" t="str">
        <f t="shared" si="1"/>
        <v/>
      </c>
      <c r="D17" s="61" t="str">
        <f>IF(E17=1,MAX($D$9:D16)+1,"")</f>
        <v/>
      </c>
      <c r="E17" s="61" t="str">
        <f t="shared" si="2"/>
        <v/>
      </c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7"/>
    </row>
    <row r="18" spans="1:21" x14ac:dyDescent="0.35">
      <c r="A18" s="24" t="str">
        <f t="shared" si="0"/>
        <v/>
      </c>
      <c r="C18" s="38" t="str">
        <f t="shared" si="1"/>
        <v/>
      </c>
      <c r="D18" s="61" t="str">
        <f>IF(E18=1,MAX($D$9:D17)+1,"")</f>
        <v/>
      </c>
      <c r="E18" s="61" t="str">
        <f t="shared" si="2"/>
        <v/>
      </c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7"/>
    </row>
    <row r="19" spans="1:21" x14ac:dyDescent="0.35">
      <c r="A19" s="24" t="str">
        <f t="shared" si="0"/>
        <v/>
      </c>
      <c r="C19" s="38" t="str">
        <f t="shared" si="1"/>
        <v/>
      </c>
      <c r="D19" s="61" t="str">
        <f>IF(E19=1,MAX($D$9:D18)+1,"")</f>
        <v/>
      </c>
      <c r="E19" s="61" t="str">
        <f t="shared" si="2"/>
        <v/>
      </c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7"/>
    </row>
    <row r="20" spans="1:21" x14ac:dyDescent="0.35">
      <c r="A20" s="24" t="str">
        <f t="shared" si="0"/>
        <v/>
      </c>
      <c r="C20" s="38" t="str">
        <f t="shared" si="1"/>
        <v/>
      </c>
      <c r="D20" s="61" t="str">
        <f>IF(E20=1,MAX($D$9:D19)+1,"")</f>
        <v/>
      </c>
      <c r="E20" s="61" t="str">
        <f t="shared" si="2"/>
        <v/>
      </c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7"/>
    </row>
    <row r="21" spans="1:21" x14ac:dyDescent="0.35">
      <c r="A21" s="24" t="str">
        <f t="shared" si="0"/>
        <v/>
      </c>
      <c r="C21" s="38" t="str">
        <f t="shared" si="1"/>
        <v/>
      </c>
      <c r="D21" s="61" t="str">
        <f>IF(E21=1,MAX($D$9:D20)+1,"")</f>
        <v/>
      </c>
      <c r="E21" s="61" t="str">
        <f t="shared" si="2"/>
        <v/>
      </c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7"/>
    </row>
  </sheetData>
  <sheetProtection algorithmName="SHA-512" hashValue="fZMmtgdrTest+6rPjlMfUCBAWk70wHhxz7z02NXYRhyCruzxdsc5SKsR2homyNqSHViCtOTPtkyyU2ZJVolx5w==" saltValue="v9ayMPYJc+mxju9X4gxkm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showRowColHeader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44" t="s">
        <v>212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44" t="s">
        <v>95</v>
      </c>
    </row>
    <row r="7" spans="1:4" ht="15" thickBot="1" x14ac:dyDescent="0.4">
      <c r="A7" s="47" t="s">
        <v>93</v>
      </c>
      <c r="B7" s="144" t="s">
        <v>95</v>
      </c>
    </row>
    <row r="8" spans="1:4" ht="15" thickBot="1" x14ac:dyDescent="0.4">
      <c r="A8" s="47" t="s">
        <v>94</v>
      </c>
      <c r="B8" s="144" t="s">
        <v>95</v>
      </c>
    </row>
    <row r="9" spans="1:4" ht="15" thickBot="1" x14ac:dyDescent="0.4">
      <c r="A9" s="48" t="s">
        <v>29</v>
      </c>
      <c r="B9" s="145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44" t="s">
        <v>138</v>
      </c>
    </row>
    <row r="13" spans="1:4" ht="15" thickBot="1" x14ac:dyDescent="0.4">
      <c r="A13" s="34" t="s">
        <v>97</v>
      </c>
      <c r="B13" s="141">
        <v>43617</v>
      </c>
    </row>
    <row r="14" spans="1:4" ht="15" thickBot="1" x14ac:dyDescent="0.4">
      <c r="A14" s="48" t="s">
        <v>98</v>
      </c>
      <c r="B14" s="141">
        <v>43701</v>
      </c>
    </row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</sheetData>
  <sheetProtection algorithmName="SHA-512" hashValue="VEZ8htYaSM6qt8fvnw6S7uFGQhIkrZ3lfLdxSvYwAiiL7+tdC6B12+kAWDo0VPUnbwD5gg9B9cOk1l+YacEaBw==" saltValue="DVrFbWmmGyChOgbZvukFYg==" spinCount="100000" sheet="1" objects="1" scenarios="1"/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Caseload 1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Caseload 2</v>
      </c>
      <c r="H3" s="4" t="str" cm="1">
        <f t="array" ref="H3">INDEX('Data Validation (Hide)'!$B$2:$B$16,COLUMN(C1),1)</f>
        <v>Caseload 3</v>
      </c>
      <c r="I3" s="4" t="str" cm="1">
        <f t="array" ref="I3">INDEX('Data Validation (Hide)'!$B$2:$B$16,COLUMN(D1),1)</f>
        <v>Caseload 4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 t="str">
        <f>Demand!C9</f>
        <v/>
      </c>
      <c r="C4" s="58" t="str">
        <f>Demand!D9</f>
        <v/>
      </c>
      <c r="D4" s="58" t="str">
        <f>Demand!E9</f>
        <v/>
      </c>
      <c r="E4" s="58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0</v>
      </c>
      <c r="W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" t="e">
        <f>Y4/1.128</f>
        <v>#N/A</v>
      </c>
      <c r="AA4" t="e">
        <f>MAX(0,W4-(3*Z4))</f>
        <v>#N/A</v>
      </c>
      <c r="AB4" t="e">
        <f>MAX(0,W4-(2*Z4))</f>
        <v>#N/A</v>
      </c>
      <c r="AC4" t="e">
        <f>MAX(0,W4-Z4)</f>
        <v>#N/A</v>
      </c>
      <c r="AD4" t="e">
        <f>W4+Z4</f>
        <v>#N/A</v>
      </c>
      <c r="AE4" t="e">
        <f>W4+(2*Z4)</f>
        <v>#N/A</v>
      </c>
      <c r="AF4" t="e">
        <f>W4+(3*Z4)</f>
        <v>#N/A</v>
      </c>
      <c r="AG4" t="e">
        <f>IF(OR(V4&gt;AF4,V4&lt;AA4),V4,NA())</f>
        <v>#N/A</v>
      </c>
      <c r="AH4" t="e">
        <f>IF(V4&gt;AE4,2,IF(V4&lt;AB4,-2,IF(V4&gt;W4,1,IF(V4&lt;W4,-1,0))))</f>
        <v>#N/A</v>
      </c>
      <c r="AI4" t="e">
        <f>IF(ABS(SUM(AH4:AH6))&gt;=5,V4,NA())</f>
        <v>#N/A</v>
      </c>
      <c r="AJ4">
        <f>IF(V5&gt;V4,1,IF(V5&lt;V4,-1,0))</f>
        <v>0</v>
      </c>
      <c r="AK4" t="e">
        <f>IF(ABS(SUM(AJ4:AJ9))=6,V4,NA())</f>
        <v>#N/A</v>
      </c>
      <c r="AL4" t="e">
        <f>IF(V4&lt;W4,-1,IF(V4&gt;W4,1,0))</f>
        <v>#N/A</v>
      </c>
      <c r="AM4" t="e">
        <f>IF(ABS(SUM(AL4:AL12))=9,V4,NA())</f>
        <v>#N/A</v>
      </c>
      <c r="AN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" t="e">
        <f>AO4-AN4</f>
        <v>#N/A</v>
      </c>
    </row>
    <row r="5" spans="1:42" x14ac:dyDescent="0.35">
      <c r="B5" s="12" t="str">
        <f>Demand!C10</f>
        <v/>
      </c>
      <c r="C5" s="58" t="str">
        <f>Demand!D10</f>
        <v/>
      </c>
      <c r="D5" s="58" t="str">
        <f>Demand!E10</f>
        <v/>
      </c>
      <c r="E5" s="58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0</v>
      </c>
      <c r="W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" t="e">
        <f t="shared" ref="Z5:Z68" si="0">Y5/1.128</f>
        <v>#N/A</v>
      </c>
      <c r="AA5" t="e">
        <f t="shared" ref="AA5:AA68" si="1">MAX(0,W5-(3*Z5))</f>
        <v>#N/A</v>
      </c>
      <c r="AB5" t="e">
        <f t="shared" ref="AB5:AB68" si="2">MAX(0,W5-(2*Z5))</f>
        <v>#N/A</v>
      </c>
      <c r="AC5" t="e">
        <f t="shared" ref="AC5:AC68" si="3">MAX(0,W5-Z5)</f>
        <v>#N/A</v>
      </c>
      <c r="AD5" t="e">
        <f t="shared" ref="AD5:AD68" si="4">W5+Z5</f>
        <v>#N/A</v>
      </c>
      <c r="AE5" t="e">
        <f t="shared" ref="AE5:AE68" si="5">W5+(2*Z5)</f>
        <v>#N/A</v>
      </c>
      <c r="AF5" t="e">
        <f t="shared" ref="AF5:AF68" si="6">W5+(3*Z5)</f>
        <v>#N/A</v>
      </c>
      <c r="AG5" t="e">
        <f t="shared" ref="AG5:AG68" si="7">IF(OR(V5&gt;AF5,V5&lt;AA5),V5,NA())</f>
        <v>#N/A</v>
      </c>
      <c r="AH5" t="e">
        <f>IF(V5&gt;AE5,2,IF(V5&lt;AB5,-2,IF(V5&gt;W5,1,IF(V5&lt;W5,-1,0))))</f>
        <v>#N/A</v>
      </c>
      <c r="AI5" t="e">
        <f t="shared" ref="AI5:AI68" si="8">IF(ABS(SUM(AH5:AH7))&gt;=5,V5,NA())</f>
        <v>#N/A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 t="e">
        <f t="shared" ref="AL5:AL68" si="11">IF(V5&lt;W5,-1,IF(V5&gt;W5,1,0))</f>
        <v>#N/A</v>
      </c>
      <c r="AM5" t="e">
        <f t="shared" ref="AM5:AM68" si="12">IF(ABS(SUM(AL5:AL13))=9,V5,NA())</f>
        <v>#N/A</v>
      </c>
      <c r="AN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" t="e">
        <f t="shared" ref="AP5:AP68" si="13">AO5-AN5</f>
        <v>#N/A</v>
      </c>
    </row>
    <row r="6" spans="1:42" x14ac:dyDescent="0.35">
      <c r="B6" s="12" t="str">
        <f>Demand!C11</f>
        <v/>
      </c>
      <c r="C6" s="58" t="str">
        <f>Demand!D11</f>
        <v/>
      </c>
      <c r="D6" s="58" t="str">
        <f>Demand!E11</f>
        <v/>
      </c>
      <c r="E6" s="58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0</v>
      </c>
      <c r="W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" t="e">
        <f t="shared" si="0"/>
        <v>#N/A</v>
      </c>
      <c r="AA6" t="e">
        <f t="shared" si="1"/>
        <v>#N/A</v>
      </c>
      <c r="AB6" t="e">
        <f t="shared" si="2"/>
        <v>#N/A</v>
      </c>
      <c r="AC6" t="e">
        <f t="shared" si="3"/>
        <v>#N/A</v>
      </c>
      <c r="AD6" t="e">
        <f t="shared" si="4"/>
        <v>#N/A</v>
      </c>
      <c r="AE6" t="e">
        <f t="shared" si="5"/>
        <v>#N/A</v>
      </c>
      <c r="AF6" t="e">
        <f t="shared" si="6"/>
        <v>#N/A</v>
      </c>
      <c r="AG6" t="e">
        <f t="shared" si="7"/>
        <v>#N/A</v>
      </c>
      <c r="AH6" t="e">
        <f t="shared" ref="AH6:AH69" si="14">IF(V6&gt;AE6,2,IF(V6&lt;AB6,-2,IF(V6&gt;W6,1,IF(V6&lt;W6,-1,0))))</f>
        <v>#N/A</v>
      </c>
      <c r="AI6" t="e">
        <f t="shared" si="8"/>
        <v>#N/A</v>
      </c>
      <c r="AJ6">
        <f t="shared" si="9"/>
        <v>0</v>
      </c>
      <c r="AK6" t="e">
        <f t="shared" si="10"/>
        <v>#N/A</v>
      </c>
      <c r="AL6" t="e">
        <f t="shared" si="11"/>
        <v>#N/A</v>
      </c>
      <c r="AM6" t="e">
        <f t="shared" si="12"/>
        <v>#N/A</v>
      </c>
      <c r="AN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" t="e">
        <f t="shared" si="13"/>
        <v>#N/A</v>
      </c>
    </row>
    <row r="7" spans="1:42" x14ac:dyDescent="0.35">
      <c r="B7" s="12" t="str">
        <f>Demand!C12</f>
        <v/>
      </c>
      <c r="C7" s="58" t="str">
        <f>Demand!D12</f>
        <v/>
      </c>
      <c r="D7" s="58" t="str">
        <f>Demand!E12</f>
        <v/>
      </c>
      <c r="E7" s="58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0</v>
      </c>
      <c r="W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" t="e">
        <f t="shared" si="0"/>
        <v>#N/A</v>
      </c>
      <c r="AA7" t="e">
        <f t="shared" si="1"/>
        <v>#N/A</v>
      </c>
      <c r="AB7" t="e">
        <f t="shared" si="2"/>
        <v>#N/A</v>
      </c>
      <c r="AC7" t="e">
        <f t="shared" si="3"/>
        <v>#N/A</v>
      </c>
      <c r="AD7" t="e">
        <f t="shared" si="4"/>
        <v>#N/A</v>
      </c>
      <c r="AE7" t="e">
        <f t="shared" si="5"/>
        <v>#N/A</v>
      </c>
      <c r="AF7" t="e">
        <f t="shared" si="6"/>
        <v>#N/A</v>
      </c>
      <c r="AG7" t="e">
        <f t="shared" si="7"/>
        <v>#N/A</v>
      </c>
      <c r="AH7" t="e">
        <f t="shared" si="14"/>
        <v>#N/A</v>
      </c>
      <c r="AI7" t="e">
        <f t="shared" si="8"/>
        <v>#N/A</v>
      </c>
      <c r="AJ7">
        <f t="shared" si="9"/>
        <v>0</v>
      </c>
      <c r="AK7" t="e">
        <f t="shared" si="10"/>
        <v>#N/A</v>
      </c>
      <c r="AL7" t="e">
        <f t="shared" si="11"/>
        <v>#N/A</v>
      </c>
      <c r="AM7" t="e">
        <f t="shared" si="12"/>
        <v>#N/A</v>
      </c>
      <c r="AN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" t="e">
        <f t="shared" si="13"/>
        <v>#N/A</v>
      </c>
    </row>
    <row r="8" spans="1:42" x14ac:dyDescent="0.35">
      <c r="B8" s="12" t="str">
        <f>Demand!C13</f>
        <v/>
      </c>
      <c r="C8" s="58" t="str">
        <f>Demand!D13</f>
        <v/>
      </c>
      <c r="D8" s="58" t="str">
        <f>Demand!E13</f>
        <v/>
      </c>
      <c r="E8" s="58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0</v>
      </c>
      <c r="W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" t="e">
        <f t="shared" si="0"/>
        <v>#N/A</v>
      </c>
      <c r="AA8" t="e">
        <f t="shared" si="1"/>
        <v>#N/A</v>
      </c>
      <c r="AB8" t="e">
        <f t="shared" si="2"/>
        <v>#N/A</v>
      </c>
      <c r="AC8" t="e">
        <f t="shared" si="3"/>
        <v>#N/A</v>
      </c>
      <c r="AD8" t="e">
        <f t="shared" si="4"/>
        <v>#N/A</v>
      </c>
      <c r="AE8" t="e">
        <f t="shared" si="5"/>
        <v>#N/A</v>
      </c>
      <c r="AF8" t="e">
        <f t="shared" si="6"/>
        <v>#N/A</v>
      </c>
      <c r="AG8" t="e">
        <f t="shared" si="7"/>
        <v>#N/A</v>
      </c>
      <c r="AH8" t="e">
        <f t="shared" si="14"/>
        <v>#N/A</v>
      </c>
      <c r="AI8" t="e">
        <f t="shared" si="8"/>
        <v>#N/A</v>
      </c>
      <c r="AJ8">
        <f t="shared" si="9"/>
        <v>0</v>
      </c>
      <c r="AK8" t="e">
        <f t="shared" si="10"/>
        <v>#N/A</v>
      </c>
      <c r="AL8" t="e">
        <f t="shared" si="11"/>
        <v>#N/A</v>
      </c>
      <c r="AM8" t="e">
        <f t="shared" si="12"/>
        <v>#N/A</v>
      </c>
      <c r="AN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" t="e">
        <f t="shared" si="13"/>
        <v>#N/A</v>
      </c>
    </row>
    <row r="9" spans="1:42" x14ac:dyDescent="0.35">
      <c r="B9" s="12" t="str">
        <f>Demand!C14</f>
        <v/>
      </c>
      <c r="C9" s="58" t="str">
        <f>Demand!D14</f>
        <v/>
      </c>
      <c r="D9" s="58" t="str">
        <f>Demand!E14</f>
        <v/>
      </c>
      <c r="E9" s="58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0</v>
      </c>
      <c r="W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" t="e">
        <f t="shared" si="0"/>
        <v>#N/A</v>
      </c>
      <c r="AA9" t="e">
        <f t="shared" si="1"/>
        <v>#N/A</v>
      </c>
      <c r="AB9" t="e">
        <f t="shared" si="2"/>
        <v>#N/A</v>
      </c>
      <c r="AC9" t="e">
        <f t="shared" si="3"/>
        <v>#N/A</v>
      </c>
      <c r="AD9" t="e">
        <f t="shared" si="4"/>
        <v>#N/A</v>
      </c>
      <c r="AE9" t="e">
        <f t="shared" si="5"/>
        <v>#N/A</v>
      </c>
      <c r="AF9" t="e">
        <f t="shared" si="6"/>
        <v>#N/A</v>
      </c>
      <c r="AG9" t="e">
        <f t="shared" si="7"/>
        <v>#N/A</v>
      </c>
      <c r="AH9" t="e">
        <f t="shared" si="14"/>
        <v>#N/A</v>
      </c>
      <c r="AI9" t="e">
        <f t="shared" si="8"/>
        <v>#N/A</v>
      </c>
      <c r="AJ9">
        <f t="shared" si="9"/>
        <v>0</v>
      </c>
      <c r="AK9" t="e">
        <f t="shared" si="10"/>
        <v>#N/A</v>
      </c>
      <c r="AL9" t="e">
        <f t="shared" si="11"/>
        <v>#N/A</v>
      </c>
      <c r="AM9" t="e">
        <f t="shared" si="12"/>
        <v>#N/A</v>
      </c>
      <c r="AN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" t="e">
        <f t="shared" si="13"/>
        <v>#N/A</v>
      </c>
    </row>
    <row r="10" spans="1:42" x14ac:dyDescent="0.35">
      <c r="B10" s="12" t="str">
        <f>Demand!C15</f>
        <v/>
      </c>
      <c r="C10" s="58" t="str">
        <f>Demand!D15</f>
        <v/>
      </c>
      <c r="D10" s="58" t="str">
        <f>Demand!E15</f>
        <v/>
      </c>
      <c r="E10" s="58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0</v>
      </c>
      <c r="W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" t="e">
        <f t="shared" si="0"/>
        <v>#N/A</v>
      </c>
      <c r="AA10" t="e">
        <f t="shared" si="1"/>
        <v>#N/A</v>
      </c>
      <c r="AB10" t="e">
        <f t="shared" si="2"/>
        <v>#N/A</v>
      </c>
      <c r="AC10" t="e">
        <f t="shared" si="3"/>
        <v>#N/A</v>
      </c>
      <c r="AD10" t="e">
        <f t="shared" si="4"/>
        <v>#N/A</v>
      </c>
      <c r="AE10" t="e">
        <f t="shared" si="5"/>
        <v>#N/A</v>
      </c>
      <c r="AF10" t="e">
        <f t="shared" si="6"/>
        <v>#N/A</v>
      </c>
      <c r="AG10" t="e">
        <f t="shared" si="7"/>
        <v>#N/A</v>
      </c>
      <c r="AH10" t="e">
        <f t="shared" si="14"/>
        <v>#N/A</v>
      </c>
      <c r="AI10" t="e">
        <f t="shared" si="8"/>
        <v>#N/A</v>
      </c>
      <c r="AJ10">
        <f t="shared" si="9"/>
        <v>0</v>
      </c>
      <c r="AK10" t="e">
        <f t="shared" si="10"/>
        <v>#N/A</v>
      </c>
      <c r="AL10" t="e">
        <f t="shared" si="11"/>
        <v>#N/A</v>
      </c>
      <c r="AM10" t="e">
        <f t="shared" si="12"/>
        <v>#N/A</v>
      </c>
      <c r="AN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" t="e">
        <f t="shared" si="13"/>
        <v>#N/A</v>
      </c>
    </row>
    <row r="11" spans="1:42" x14ac:dyDescent="0.35">
      <c r="B11" s="12" t="str">
        <f>Demand!C16</f>
        <v/>
      </c>
      <c r="C11" s="58" t="str">
        <f>Demand!D16</f>
        <v/>
      </c>
      <c r="D11" s="58" t="str">
        <f>Demand!E16</f>
        <v/>
      </c>
      <c r="E11" s="58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0</v>
      </c>
      <c r="V11" cm="1">
        <f t="array" ref="V11">INDEX($F$4:$T$263,ROW(A8),MATCH($W$2,$F$3:$T$3,0))</f>
        <v>0</v>
      </c>
      <c r="W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" t="e">
        <f t="shared" si="0"/>
        <v>#N/A</v>
      </c>
      <c r="AA11" t="e">
        <f t="shared" si="1"/>
        <v>#N/A</v>
      </c>
      <c r="AB11" t="e">
        <f t="shared" si="2"/>
        <v>#N/A</v>
      </c>
      <c r="AC11" t="e">
        <f t="shared" si="3"/>
        <v>#N/A</v>
      </c>
      <c r="AD11" t="e">
        <f t="shared" si="4"/>
        <v>#N/A</v>
      </c>
      <c r="AE11" t="e">
        <f t="shared" si="5"/>
        <v>#N/A</v>
      </c>
      <c r="AF11" t="e">
        <f t="shared" si="6"/>
        <v>#N/A</v>
      </c>
      <c r="AG11" t="e">
        <f t="shared" si="7"/>
        <v>#N/A</v>
      </c>
      <c r="AH11" t="e">
        <f t="shared" si="14"/>
        <v>#N/A</v>
      </c>
      <c r="AI11" t="e">
        <f t="shared" si="8"/>
        <v>#N/A</v>
      </c>
      <c r="AJ11">
        <f t="shared" si="9"/>
        <v>0</v>
      </c>
      <c r="AK11" t="e">
        <f t="shared" si="10"/>
        <v>#N/A</v>
      </c>
      <c r="AL11" t="e">
        <f t="shared" si="11"/>
        <v>#N/A</v>
      </c>
      <c r="AM11" t="e">
        <f t="shared" si="12"/>
        <v>#N/A</v>
      </c>
      <c r="AN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" t="e">
        <f t="shared" si="13"/>
        <v>#N/A</v>
      </c>
    </row>
    <row r="12" spans="1:42" x14ac:dyDescent="0.35">
      <c r="B12" s="12" t="str">
        <f>Demand!C17</f>
        <v/>
      </c>
      <c r="C12" s="58" t="str">
        <f>Demand!D17</f>
        <v/>
      </c>
      <c r="D12" s="58" t="str">
        <f>Demand!E17</f>
        <v/>
      </c>
      <c r="E12" s="58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0</v>
      </c>
      <c r="V12" cm="1">
        <f t="array" ref="V12">INDEX($F$4:$T$263,ROW(A9),MATCH($W$2,$F$3:$T$3,0))</f>
        <v>0</v>
      </c>
      <c r="W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" t="e">
        <f t="shared" si="0"/>
        <v>#N/A</v>
      </c>
      <c r="AA12" t="e">
        <f t="shared" si="1"/>
        <v>#N/A</v>
      </c>
      <c r="AB12" t="e">
        <f t="shared" si="2"/>
        <v>#N/A</v>
      </c>
      <c r="AC12" t="e">
        <f t="shared" si="3"/>
        <v>#N/A</v>
      </c>
      <c r="AD12" t="e">
        <f t="shared" si="4"/>
        <v>#N/A</v>
      </c>
      <c r="AE12" t="e">
        <f t="shared" si="5"/>
        <v>#N/A</v>
      </c>
      <c r="AF12" t="e">
        <f t="shared" si="6"/>
        <v>#N/A</v>
      </c>
      <c r="AG12" t="e">
        <f t="shared" si="7"/>
        <v>#N/A</v>
      </c>
      <c r="AH12" t="e">
        <f t="shared" si="14"/>
        <v>#N/A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 t="e">
        <f t="shared" si="11"/>
        <v>#N/A</v>
      </c>
      <c r="AM12" t="e">
        <f t="shared" si="12"/>
        <v>#N/A</v>
      </c>
      <c r="AN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" t="e">
        <f t="shared" si="13"/>
        <v>#N/A</v>
      </c>
    </row>
    <row r="13" spans="1:42" x14ac:dyDescent="0.35">
      <c r="B13" s="12" t="str">
        <f>Demand!C18</f>
        <v/>
      </c>
      <c r="C13" s="58" t="str">
        <f>Demand!D18</f>
        <v/>
      </c>
      <c r="D13" s="58" t="str">
        <f>Demand!E18</f>
        <v/>
      </c>
      <c r="E13" s="58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0</v>
      </c>
      <c r="V13" cm="1">
        <f t="array" ref="V13">INDEX($F$4:$T$263,ROW(A10),MATCH($W$2,$F$3:$T$3,0))</f>
        <v>0</v>
      </c>
      <c r="W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" t="e">
        <f t="shared" si="0"/>
        <v>#N/A</v>
      </c>
      <c r="AA13" t="e">
        <f t="shared" si="1"/>
        <v>#N/A</v>
      </c>
      <c r="AB13" t="e">
        <f t="shared" si="2"/>
        <v>#N/A</v>
      </c>
      <c r="AC13" t="e">
        <f t="shared" si="3"/>
        <v>#N/A</v>
      </c>
      <c r="AD13" t="e">
        <f t="shared" si="4"/>
        <v>#N/A</v>
      </c>
      <c r="AE13" t="e">
        <f t="shared" si="5"/>
        <v>#N/A</v>
      </c>
      <c r="AF13" t="e">
        <f t="shared" si="6"/>
        <v>#N/A</v>
      </c>
      <c r="AG13" t="e">
        <f t="shared" si="7"/>
        <v>#N/A</v>
      </c>
      <c r="AH13" t="e">
        <f t="shared" si="14"/>
        <v>#N/A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 t="e">
        <f t="shared" si="11"/>
        <v>#N/A</v>
      </c>
      <c r="AM13" t="e">
        <f t="shared" si="12"/>
        <v>#N/A</v>
      </c>
      <c r="AN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" t="e">
        <f t="shared" si="13"/>
        <v>#N/A</v>
      </c>
    </row>
    <row r="14" spans="1:42" x14ac:dyDescent="0.35">
      <c r="B14" s="12" t="str">
        <f>Demand!C19</f>
        <v/>
      </c>
      <c r="C14" s="58" t="str">
        <f>Demand!D19</f>
        <v/>
      </c>
      <c r="D14" s="58" t="str">
        <f>Demand!E19</f>
        <v/>
      </c>
      <c r="E14" s="58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0</v>
      </c>
      <c r="V14" cm="1">
        <f t="array" ref="V14">INDEX($F$4:$T$263,ROW(A11),MATCH($W$2,$F$3:$T$3,0))</f>
        <v>0</v>
      </c>
      <c r="W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" t="e">
        <f t="shared" si="0"/>
        <v>#N/A</v>
      </c>
      <c r="AA14" t="e">
        <f t="shared" si="1"/>
        <v>#N/A</v>
      </c>
      <c r="AB14" t="e">
        <f t="shared" si="2"/>
        <v>#N/A</v>
      </c>
      <c r="AC14" t="e">
        <f t="shared" si="3"/>
        <v>#N/A</v>
      </c>
      <c r="AD14" t="e">
        <f t="shared" si="4"/>
        <v>#N/A</v>
      </c>
      <c r="AE14" t="e">
        <f t="shared" si="5"/>
        <v>#N/A</v>
      </c>
      <c r="AF14" t="e">
        <f t="shared" si="6"/>
        <v>#N/A</v>
      </c>
      <c r="AG14" t="e">
        <f t="shared" si="7"/>
        <v>#N/A</v>
      </c>
      <c r="AH14" t="e">
        <f t="shared" si="14"/>
        <v>#N/A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 t="e">
        <f t="shared" si="11"/>
        <v>#N/A</v>
      </c>
      <c r="AM14" t="e">
        <f t="shared" si="12"/>
        <v>#N/A</v>
      </c>
      <c r="AN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" t="e">
        <f t="shared" si="13"/>
        <v>#N/A</v>
      </c>
    </row>
    <row r="15" spans="1:42" x14ac:dyDescent="0.35">
      <c r="B15" s="12" t="str">
        <f>Demand!C20</f>
        <v/>
      </c>
      <c r="C15" s="58" t="str">
        <f>Demand!D20</f>
        <v/>
      </c>
      <c r="D15" s="58" t="str">
        <f>Demand!E20</f>
        <v/>
      </c>
      <c r="E15" s="58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0</v>
      </c>
      <c r="V15" cm="1">
        <f t="array" ref="V15">INDEX($F$4:$T$263,ROW(A12),MATCH($W$2,$F$3:$T$3,0))</f>
        <v>0</v>
      </c>
      <c r="W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" t="e">
        <f t="shared" si="0"/>
        <v>#N/A</v>
      </c>
      <c r="AA15" t="e">
        <f t="shared" si="1"/>
        <v>#N/A</v>
      </c>
      <c r="AB15" t="e">
        <f t="shared" si="2"/>
        <v>#N/A</v>
      </c>
      <c r="AC15" t="e">
        <f t="shared" si="3"/>
        <v>#N/A</v>
      </c>
      <c r="AD15" t="e">
        <f t="shared" si="4"/>
        <v>#N/A</v>
      </c>
      <c r="AE15" t="e">
        <f t="shared" si="5"/>
        <v>#N/A</v>
      </c>
      <c r="AF15" t="e">
        <f t="shared" si="6"/>
        <v>#N/A</v>
      </c>
      <c r="AG15" t="e">
        <f t="shared" si="7"/>
        <v>#N/A</v>
      </c>
      <c r="AH15" t="e">
        <f t="shared" si="14"/>
        <v>#N/A</v>
      </c>
      <c r="AI15" t="e">
        <f t="shared" si="8"/>
        <v>#N/A</v>
      </c>
      <c r="AJ15">
        <f t="shared" si="9"/>
        <v>0</v>
      </c>
      <c r="AK15" t="e">
        <f t="shared" si="10"/>
        <v>#N/A</v>
      </c>
      <c r="AL15" t="e">
        <f t="shared" si="11"/>
        <v>#N/A</v>
      </c>
      <c r="AM15" t="e">
        <f t="shared" si="12"/>
        <v>#N/A</v>
      </c>
      <c r="AN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" t="e">
        <f t="shared" si="13"/>
        <v>#N/A</v>
      </c>
    </row>
    <row r="16" spans="1:42" x14ac:dyDescent="0.35">
      <c r="B16" s="12" t="str">
        <f>Demand!C21</f>
        <v/>
      </c>
      <c r="C16" s="58" t="str">
        <f>Demand!D21</f>
        <v/>
      </c>
      <c r="D16" s="58" t="str">
        <f>Demand!E21</f>
        <v/>
      </c>
      <c r="E16" s="58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0</v>
      </c>
      <c r="V16" cm="1">
        <f t="array" ref="V16">INDEX($F$4:$T$263,ROW(A13),MATCH($W$2,$F$3:$T$3,0))</f>
        <v>0</v>
      </c>
      <c r="W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" t="e">
        <f t="shared" si="0"/>
        <v>#N/A</v>
      </c>
      <c r="AA16" t="e">
        <f t="shared" si="1"/>
        <v>#N/A</v>
      </c>
      <c r="AB16" t="e">
        <f t="shared" si="2"/>
        <v>#N/A</v>
      </c>
      <c r="AC16" t="e">
        <f t="shared" si="3"/>
        <v>#N/A</v>
      </c>
      <c r="AD16" t="e">
        <f t="shared" si="4"/>
        <v>#N/A</v>
      </c>
      <c r="AE16" t="e">
        <f t="shared" si="5"/>
        <v>#N/A</v>
      </c>
      <c r="AF16" t="e">
        <f t="shared" si="6"/>
        <v>#N/A</v>
      </c>
      <c r="AG16" t="e">
        <f t="shared" si="7"/>
        <v>#N/A</v>
      </c>
      <c r="AH16" t="e">
        <f t="shared" si="14"/>
        <v>#N/A</v>
      </c>
      <c r="AI16" t="e">
        <f t="shared" si="8"/>
        <v>#N/A</v>
      </c>
      <c r="AJ16">
        <f t="shared" si="9"/>
        <v>0</v>
      </c>
      <c r="AK16" t="e">
        <f t="shared" si="10"/>
        <v>#N/A</v>
      </c>
      <c r="AL16" t="e">
        <f t="shared" si="11"/>
        <v>#N/A</v>
      </c>
      <c r="AM16" t="e">
        <f t="shared" si="12"/>
        <v>#N/A</v>
      </c>
      <c r="AN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" t="e">
        <f t="shared" si="13"/>
        <v>#N/A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0</v>
      </c>
      <c r="V17" cm="1">
        <f t="array" ref="V17">INDEX($F$4:$T$263,ROW(A14),MATCH($W$2,$F$3:$T$3,0))</f>
        <v>0</v>
      </c>
      <c r="W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" t="e">
        <f t="shared" si="0"/>
        <v>#N/A</v>
      </c>
      <c r="AA17" t="e">
        <f t="shared" si="1"/>
        <v>#N/A</v>
      </c>
      <c r="AB17" t="e">
        <f t="shared" si="2"/>
        <v>#N/A</v>
      </c>
      <c r="AC17" t="e">
        <f t="shared" si="3"/>
        <v>#N/A</v>
      </c>
      <c r="AD17" t="e">
        <f t="shared" si="4"/>
        <v>#N/A</v>
      </c>
      <c r="AE17" t="e">
        <f t="shared" si="5"/>
        <v>#N/A</v>
      </c>
      <c r="AF17" t="e">
        <f t="shared" si="6"/>
        <v>#N/A</v>
      </c>
      <c r="AG17" t="e">
        <f t="shared" si="7"/>
        <v>#N/A</v>
      </c>
      <c r="AH17" t="e">
        <f t="shared" si="14"/>
        <v>#N/A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 t="e">
        <f t="shared" si="11"/>
        <v>#N/A</v>
      </c>
      <c r="AM17" t="e">
        <f t="shared" si="12"/>
        <v>#N/A</v>
      </c>
      <c r="AN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" t="e">
        <f t="shared" si="13"/>
        <v>#N/A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0</v>
      </c>
      <c r="V18" cm="1">
        <f t="array" ref="V18">INDEX($F$4:$T$263,ROW(A15),MATCH($W$2,$F$3:$T$3,0))</f>
        <v>0</v>
      </c>
      <c r="W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" t="e">
        <f t="shared" si="0"/>
        <v>#N/A</v>
      </c>
      <c r="AA18" t="e">
        <f t="shared" si="1"/>
        <v>#N/A</v>
      </c>
      <c r="AB18" t="e">
        <f t="shared" si="2"/>
        <v>#N/A</v>
      </c>
      <c r="AC18" t="e">
        <f t="shared" si="3"/>
        <v>#N/A</v>
      </c>
      <c r="AD18" t="e">
        <f t="shared" si="4"/>
        <v>#N/A</v>
      </c>
      <c r="AE18" t="e">
        <f t="shared" si="5"/>
        <v>#N/A</v>
      </c>
      <c r="AF18" t="e">
        <f t="shared" si="6"/>
        <v>#N/A</v>
      </c>
      <c r="AG18" t="e">
        <f t="shared" si="7"/>
        <v>#N/A</v>
      </c>
      <c r="AH18" t="e">
        <f t="shared" si="14"/>
        <v>#N/A</v>
      </c>
      <c r="AI18" t="e">
        <f t="shared" si="8"/>
        <v>#N/A</v>
      </c>
      <c r="AJ18">
        <f t="shared" si="9"/>
        <v>0</v>
      </c>
      <c r="AK18" t="e">
        <f t="shared" si="10"/>
        <v>#N/A</v>
      </c>
      <c r="AL18" t="e">
        <f t="shared" si="11"/>
        <v>#N/A</v>
      </c>
      <c r="AM18" t="e">
        <f t="shared" si="12"/>
        <v>#N/A</v>
      </c>
      <c r="AN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" t="e">
        <f t="shared" si="13"/>
        <v>#N/A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0</v>
      </c>
      <c r="V19" cm="1">
        <f t="array" ref="V19">INDEX($F$4:$T$263,ROW(A16),MATCH($W$2,$F$3:$T$3,0))</f>
        <v>0</v>
      </c>
      <c r="W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" t="e">
        <f t="shared" si="0"/>
        <v>#N/A</v>
      </c>
      <c r="AA19" t="e">
        <f t="shared" si="1"/>
        <v>#N/A</v>
      </c>
      <c r="AB19" t="e">
        <f t="shared" si="2"/>
        <v>#N/A</v>
      </c>
      <c r="AC19" t="e">
        <f t="shared" si="3"/>
        <v>#N/A</v>
      </c>
      <c r="AD19" t="e">
        <f t="shared" si="4"/>
        <v>#N/A</v>
      </c>
      <c r="AE19" t="e">
        <f t="shared" si="5"/>
        <v>#N/A</v>
      </c>
      <c r="AF19" t="e">
        <f t="shared" si="6"/>
        <v>#N/A</v>
      </c>
      <c r="AG19" t="e">
        <f t="shared" si="7"/>
        <v>#N/A</v>
      </c>
      <c r="AH19" t="e">
        <f t="shared" si="14"/>
        <v>#N/A</v>
      </c>
      <c r="AI19" t="e">
        <f t="shared" si="8"/>
        <v>#N/A</v>
      </c>
      <c r="AJ19">
        <f t="shared" si="9"/>
        <v>0</v>
      </c>
      <c r="AK19" t="e">
        <f t="shared" si="10"/>
        <v>#N/A</v>
      </c>
      <c r="AL19" t="e">
        <f t="shared" si="11"/>
        <v>#N/A</v>
      </c>
      <c r="AM19" t="e">
        <f t="shared" si="12"/>
        <v>#N/A</v>
      </c>
      <c r="AN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" t="e">
        <f t="shared" si="13"/>
        <v>#N/A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0</v>
      </c>
      <c r="V20" cm="1">
        <f t="array" ref="V20">INDEX($F$4:$T$263,ROW(A17),MATCH($W$2,$F$3:$T$3,0))</f>
        <v>0</v>
      </c>
      <c r="W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" t="e">
        <f t="shared" si="0"/>
        <v>#N/A</v>
      </c>
      <c r="AA20" t="e">
        <f t="shared" si="1"/>
        <v>#N/A</v>
      </c>
      <c r="AB20" t="e">
        <f t="shared" si="2"/>
        <v>#N/A</v>
      </c>
      <c r="AC20" t="e">
        <f t="shared" si="3"/>
        <v>#N/A</v>
      </c>
      <c r="AD20" t="e">
        <f t="shared" si="4"/>
        <v>#N/A</v>
      </c>
      <c r="AE20" t="e">
        <f t="shared" si="5"/>
        <v>#N/A</v>
      </c>
      <c r="AF20" t="e">
        <f t="shared" si="6"/>
        <v>#N/A</v>
      </c>
      <c r="AG20" t="e">
        <f t="shared" si="7"/>
        <v>#N/A</v>
      </c>
      <c r="AH20" t="e">
        <f t="shared" si="14"/>
        <v>#N/A</v>
      </c>
      <c r="AI20" t="e">
        <f t="shared" si="8"/>
        <v>#N/A</v>
      </c>
      <c r="AJ20">
        <f t="shared" si="9"/>
        <v>0</v>
      </c>
      <c r="AK20" t="e">
        <f t="shared" si="10"/>
        <v>#N/A</v>
      </c>
      <c r="AL20" t="e">
        <f t="shared" si="11"/>
        <v>#N/A</v>
      </c>
      <c r="AM20" t="e">
        <f t="shared" si="12"/>
        <v>#N/A</v>
      </c>
      <c r="AN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" t="e">
        <f t="shared" si="13"/>
        <v>#N/A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0</v>
      </c>
      <c r="V21" cm="1">
        <f t="array" ref="V21">INDEX($F$4:$T$263,ROW(A18),MATCH($W$2,$F$3:$T$3,0))</f>
        <v>0</v>
      </c>
      <c r="W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" t="e">
        <f t="shared" si="0"/>
        <v>#N/A</v>
      </c>
      <c r="AA21" t="e">
        <f t="shared" si="1"/>
        <v>#N/A</v>
      </c>
      <c r="AB21" t="e">
        <f t="shared" si="2"/>
        <v>#N/A</v>
      </c>
      <c r="AC21" t="e">
        <f t="shared" si="3"/>
        <v>#N/A</v>
      </c>
      <c r="AD21" t="e">
        <f t="shared" si="4"/>
        <v>#N/A</v>
      </c>
      <c r="AE21" t="e">
        <f t="shared" si="5"/>
        <v>#N/A</v>
      </c>
      <c r="AF21" t="e">
        <f t="shared" si="6"/>
        <v>#N/A</v>
      </c>
      <c r="AG21" t="e">
        <f t="shared" si="7"/>
        <v>#N/A</v>
      </c>
      <c r="AH21" t="e">
        <f t="shared" si="14"/>
        <v>#N/A</v>
      </c>
      <c r="AI21" t="e">
        <f t="shared" si="8"/>
        <v>#N/A</v>
      </c>
      <c r="AJ21">
        <f t="shared" si="9"/>
        <v>0</v>
      </c>
      <c r="AK21" t="e">
        <f t="shared" si="10"/>
        <v>#N/A</v>
      </c>
      <c r="AL21" t="e">
        <f t="shared" si="11"/>
        <v>#N/A</v>
      </c>
      <c r="AM21" t="e">
        <f t="shared" si="12"/>
        <v>#N/A</v>
      </c>
      <c r="AN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" t="e">
        <f t="shared" si="13"/>
        <v>#N/A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0</v>
      </c>
      <c r="V22" cm="1">
        <f t="array" ref="V22">INDEX($F$4:$T$263,ROW(A19),MATCH($W$2,$F$3:$T$3,0))</f>
        <v>0</v>
      </c>
      <c r="W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" t="e">
        <f t="shared" si="0"/>
        <v>#N/A</v>
      </c>
      <c r="AA22" t="e">
        <f t="shared" si="1"/>
        <v>#N/A</v>
      </c>
      <c r="AB22" t="e">
        <f t="shared" si="2"/>
        <v>#N/A</v>
      </c>
      <c r="AC22" t="e">
        <f t="shared" si="3"/>
        <v>#N/A</v>
      </c>
      <c r="AD22" t="e">
        <f t="shared" si="4"/>
        <v>#N/A</v>
      </c>
      <c r="AE22" t="e">
        <f t="shared" si="5"/>
        <v>#N/A</v>
      </c>
      <c r="AF22" t="e">
        <f t="shared" si="6"/>
        <v>#N/A</v>
      </c>
      <c r="AG22" t="e">
        <f t="shared" si="7"/>
        <v>#N/A</v>
      </c>
      <c r="AH22" t="e">
        <f t="shared" si="14"/>
        <v>#N/A</v>
      </c>
      <c r="AI22" t="e">
        <f t="shared" si="8"/>
        <v>#N/A</v>
      </c>
      <c r="AJ22">
        <f t="shared" si="9"/>
        <v>0</v>
      </c>
      <c r="AK22" t="e">
        <f t="shared" si="10"/>
        <v>#N/A</v>
      </c>
      <c r="AL22" t="e">
        <f t="shared" si="11"/>
        <v>#N/A</v>
      </c>
      <c r="AM22" t="e">
        <f t="shared" si="12"/>
        <v>#N/A</v>
      </c>
      <c r="AN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" t="e">
        <f t="shared" si="13"/>
        <v>#N/A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0</v>
      </c>
      <c r="V23" cm="1">
        <f t="array" ref="V23">INDEX($F$4:$T$263,ROW(A20),MATCH($W$2,$F$3:$T$3,0))</f>
        <v>0</v>
      </c>
      <c r="W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" t="e">
        <f t="shared" si="0"/>
        <v>#N/A</v>
      </c>
      <c r="AA23" t="e">
        <f t="shared" si="1"/>
        <v>#N/A</v>
      </c>
      <c r="AB23" t="e">
        <f t="shared" si="2"/>
        <v>#N/A</v>
      </c>
      <c r="AC23" t="e">
        <f t="shared" si="3"/>
        <v>#N/A</v>
      </c>
      <c r="AD23" t="e">
        <f t="shared" si="4"/>
        <v>#N/A</v>
      </c>
      <c r="AE23" t="e">
        <f t="shared" si="5"/>
        <v>#N/A</v>
      </c>
      <c r="AF23" t="e">
        <f t="shared" si="6"/>
        <v>#N/A</v>
      </c>
      <c r="AG23" t="e">
        <f t="shared" si="7"/>
        <v>#N/A</v>
      </c>
      <c r="AH23" t="e">
        <f t="shared" si="14"/>
        <v>#N/A</v>
      </c>
      <c r="AI23" t="e">
        <f t="shared" si="8"/>
        <v>#N/A</v>
      </c>
      <c r="AJ23">
        <f t="shared" si="9"/>
        <v>0</v>
      </c>
      <c r="AK23" t="e">
        <f t="shared" si="10"/>
        <v>#N/A</v>
      </c>
      <c r="AL23" t="e">
        <f t="shared" si="11"/>
        <v>#N/A</v>
      </c>
      <c r="AM23" t="e">
        <f t="shared" si="12"/>
        <v>#N/A</v>
      </c>
      <c r="AN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" t="e">
        <f t="shared" si="13"/>
        <v>#N/A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0</v>
      </c>
      <c r="V24" cm="1">
        <f t="array" ref="V24">INDEX($F$4:$T$263,ROW(A21),MATCH($W$2,$F$3:$T$3,0))</f>
        <v>0</v>
      </c>
      <c r="W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" t="e">
        <f t="shared" si="0"/>
        <v>#N/A</v>
      </c>
      <c r="AA24" t="e">
        <f t="shared" si="1"/>
        <v>#N/A</v>
      </c>
      <c r="AB24" t="e">
        <f t="shared" si="2"/>
        <v>#N/A</v>
      </c>
      <c r="AC24" t="e">
        <f t="shared" si="3"/>
        <v>#N/A</v>
      </c>
      <c r="AD24" t="e">
        <f t="shared" si="4"/>
        <v>#N/A</v>
      </c>
      <c r="AE24" t="e">
        <f t="shared" si="5"/>
        <v>#N/A</v>
      </c>
      <c r="AF24" t="e">
        <f t="shared" si="6"/>
        <v>#N/A</v>
      </c>
      <c r="AG24" t="e">
        <f t="shared" si="7"/>
        <v>#N/A</v>
      </c>
      <c r="AH24" t="e">
        <f t="shared" si="14"/>
        <v>#N/A</v>
      </c>
      <c r="AI24" t="e">
        <f t="shared" si="8"/>
        <v>#N/A</v>
      </c>
      <c r="AJ24">
        <f t="shared" si="9"/>
        <v>0</v>
      </c>
      <c r="AK24" t="e">
        <f t="shared" si="10"/>
        <v>#N/A</v>
      </c>
      <c r="AL24" t="e">
        <f t="shared" si="11"/>
        <v>#N/A</v>
      </c>
      <c r="AM24" t="e">
        <f t="shared" si="12"/>
        <v>#N/A</v>
      </c>
      <c r="AN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" t="e">
        <f t="shared" si="13"/>
        <v>#N/A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0</v>
      </c>
      <c r="V25" cm="1">
        <f t="array" ref="V25">INDEX($F$4:$T$263,ROW(A22),MATCH($W$2,$F$3:$T$3,0))</f>
        <v>0</v>
      </c>
      <c r="W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" t="e">
        <f t="shared" si="0"/>
        <v>#N/A</v>
      </c>
      <c r="AA25" t="e">
        <f t="shared" si="1"/>
        <v>#N/A</v>
      </c>
      <c r="AB25" t="e">
        <f t="shared" si="2"/>
        <v>#N/A</v>
      </c>
      <c r="AC25" t="e">
        <f t="shared" si="3"/>
        <v>#N/A</v>
      </c>
      <c r="AD25" t="e">
        <f t="shared" si="4"/>
        <v>#N/A</v>
      </c>
      <c r="AE25" t="e">
        <f t="shared" si="5"/>
        <v>#N/A</v>
      </c>
      <c r="AF25" t="e">
        <f t="shared" si="6"/>
        <v>#N/A</v>
      </c>
      <c r="AG25" t="e">
        <f t="shared" si="7"/>
        <v>#N/A</v>
      </c>
      <c r="AH25" t="e">
        <f t="shared" si="14"/>
        <v>#N/A</v>
      </c>
      <c r="AI25" t="e">
        <f t="shared" si="8"/>
        <v>#N/A</v>
      </c>
      <c r="AJ25">
        <f t="shared" si="9"/>
        <v>0</v>
      </c>
      <c r="AK25" t="e">
        <f t="shared" si="10"/>
        <v>#N/A</v>
      </c>
      <c r="AL25" t="e">
        <f t="shared" si="11"/>
        <v>#N/A</v>
      </c>
      <c r="AM25" t="e">
        <f t="shared" si="12"/>
        <v>#N/A</v>
      </c>
      <c r="AN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" t="e">
        <f t="shared" si="13"/>
        <v>#N/A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0</v>
      </c>
      <c r="V26" cm="1">
        <f t="array" ref="V26">INDEX($F$4:$T$263,ROW(A23),MATCH($W$2,$F$3:$T$3,0))</f>
        <v>0</v>
      </c>
      <c r="W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" t="e">
        <f t="shared" si="0"/>
        <v>#N/A</v>
      </c>
      <c r="AA26" t="e">
        <f t="shared" si="1"/>
        <v>#N/A</v>
      </c>
      <c r="AB26" t="e">
        <f t="shared" si="2"/>
        <v>#N/A</v>
      </c>
      <c r="AC26" t="e">
        <f t="shared" si="3"/>
        <v>#N/A</v>
      </c>
      <c r="AD26" t="e">
        <f t="shared" si="4"/>
        <v>#N/A</v>
      </c>
      <c r="AE26" t="e">
        <f t="shared" si="5"/>
        <v>#N/A</v>
      </c>
      <c r="AF26" t="e">
        <f t="shared" si="6"/>
        <v>#N/A</v>
      </c>
      <c r="AG26" t="e">
        <f t="shared" si="7"/>
        <v>#N/A</v>
      </c>
      <c r="AH26" t="e">
        <f t="shared" si="14"/>
        <v>#N/A</v>
      </c>
      <c r="AI26" t="e">
        <f t="shared" si="8"/>
        <v>#N/A</v>
      </c>
      <c r="AJ26">
        <f t="shared" si="9"/>
        <v>0</v>
      </c>
      <c r="AK26" t="e">
        <f t="shared" si="10"/>
        <v>#N/A</v>
      </c>
      <c r="AL26" t="e">
        <f t="shared" si="11"/>
        <v>#N/A</v>
      </c>
      <c r="AM26" t="e">
        <f t="shared" si="12"/>
        <v>#N/A</v>
      </c>
      <c r="AN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" t="e">
        <f t="shared" si="13"/>
        <v>#N/A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0</v>
      </c>
      <c r="V27" cm="1">
        <f t="array" ref="V27">INDEX($F$4:$T$263,ROW(A24),MATCH($W$2,$F$3:$T$3,0))</f>
        <v>0</v>
      </c>
      <c r="W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7" t="e">
        <f t="shared" si="0"/>
        <v>#N/A</v>
      </c>
      <c r="AA27" t="e">
        <f t="shared" si="1"/>
        <v>#N/A</v>
      </c>
      <c r="AB27" t="e">
        <f t="shared" si="2"/>
        <v>#N/A</v>
      </c>
      <c r="AC27" t="e">
        <f t="shared" si="3"/>
        <v>#N/A</v>
      </c>
      <c r="AD27" t="e">
        <f t="shared" si="4"/>
        <v>#N/A</v>
      </c>
      <c r="AE27" t="e">
        <f t="shared" si="5"/>
        <v>#N/A</v>
      </c>
      <c r="AF27" t="e">
        <f t="shared" si="6"/>
        <v>#N/A</v>
      </c>
      <c r="AG27" t="e">
        <f t="shared" si="7"/>
        <v>#N/A</v>
      </c>
      <c r="AH27" t="e">
        <f t="shared" si="14"/>
        <v>#N/A</v>
      </c>
      <c r="AI27" t="e">
        <f t="shared" si="8"/>
        <v>#N/A</v>
      </c>
      <c r="AJ27">
        <f t="shared" si="9"/>
        <v>0</v>
      </c>
      <c r="AK27" t="e">
        <f t="shared" si="10"/>
        <v>#N/A</v>
      </c>
      <c r="AL27" t="e">
        <f t="shared" si="11"/>
        <v>#N/A</v>
      </c>
      <c r="AM27" t="e">
        <f t="shared" si="12"/>
        <v>#N/A</v>
      </c>
      <c r="AN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7" t="e">
        <f t="shared" si="13"/>
        <v>#N/A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0</v>
      </c>
      <c r="V28" cm="1">
        <f t="array" ref="V28">INDEX($F$4:$T$263,ROW(A25),MATCH($W$2,$F$3:$T$3,0))</f>
        <v>0</v>
      </c>
      <c r="W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8" t="e">
        <f t="shared" si="0"/>
        <v>#N/A</v>
      </c>
      <c r="AA28" t="e">
        <f t="shared" si="1"/>
        <v>#N/A</v>
      </c>
      <c r="AB28" t="e">
        <f t="shared" si="2"/>
        <v>#N/A</v>
      </c>
      <c r="AC28" t="e">
        <f t="shared" si="3"/>
        <v>#N/A</v>
      </c>
      <c r="AD28" t="e">
        <f t="shared" si="4"/>
        <v>#N/A</v>
      </c>
      <c r="AE28" t="e">
        <f t="shared" si="5"/>
        <v>#N/A</v>
      </c>
      <c r="AF28" t="e">
        <f t="shared" si="6"/>
        <v>#N/A</v>
      </c>
      <c r="AG28" t="e">
        <f t="shared" si="7"/>
        <v>#N/A</v>
      </c>
      <c r="AH28" t="e">
        <f t="shared" si="14"/>
        <v>#N/A</v>
      </c>
      <c r="AI28" t="e">
        <f t="shared" si="8"/>
        <v>#N/A</v>
      </c>
      <c r="AJ28">
        <f t="shared" si="9"/>
        <v>0</v>
      </c>
      <c r="AK28" t="e">
        <f t="shared" si="10"/>
        <v>#N/A</v>
      </c>
      <c r="AL28" t="e">
        <f t="shared" si="11"/>
        <v>#N/A</v>
      </c>
      <c r="AM28" t="e">
        <f t="shared" si="12"/>
        <v>#N/A</v>
      </c>
      <c r="AN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8" t="e">
        <f t="shared" si="13"/>
        <v>#N/A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0</v>
      </c>
      <c r="V29" cm="1">
        <f t="array" ref="V29">INDEX($F$4:$T$263,ROW(A26),MATCH($W$2,$F$3:$T$3,0))</f>
        <v>0</v>
      </c>
      <c r="W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9" t="e">
        <f t="shared" si="0"/>
        <v>#N/A</v>
      </c>
      <c r="AA29" t="e">
        <f t="shared" si="1"/>
        <v>#N/A</v>
      </c>
      <c r="AB29" t="e">
        <f t="shared" si="2"/>
        <v>#N/A</v>
      </c>
      <c r="AC29" t="e">
        <f t="shared" si="3"/>
        <v>#N/A</v>
      </c>
      <c r="AD29" t="e">
        <f t="shared" si="4"/>
        <v>#N/A</v>
      </c>
      <c r="AE29" t="e">
        <f t="shared" si="5"/>
        <v>#N/A</v>
      </c>
      <c r="AF29" t="e">
        <f t="shared" si="6"/>
        <v>#N/A</v>
      </c>
      <c r="AG29" t="e">
        <f t="shared" si="7"/>
        <v>#N/A</v>
      </c>
      <c r="AH29" t="e">
        <f t="shared" si="14"/>
        <v>#N/A</v>
      </c>
      <c r="AI29" t="e">
        <f t="shared" si="8"/>
        <v>#N/A</v>
      </c>
      <c r="AJ29">
        <f t="shared" si="9"/>
        <v>0</v>
      </c>
      <c r="AK29" t="e">
        <f t="shared" si="10"/>
        <v>#N/A</v>
      </c>
      <c r="AL29" t="e">
        <f t="shared" si="11"/>
        <v>#N/A</v>
      </c>
      <c r="AM29" t="e">
        <f t="shared" si="12"/>
        <v>#N/A</v>
      </c>
      <c r="AN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9" t="e">
        <f t="shared" si="13"/>
        <v>#N/A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0</v>
      </c>
      <c r="V30" cm="1">
        <f t="array" ref="V30">INDEX($F$4:$T$263,ROW(A27),MATCH($W$2,$F$3:$T$3,0))</f>
        <v>0</v>
      </c>
      <c r="W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0" t="e">
        <f t="shared" si="0"/>
        <v>#N/A</v>
      </c>
      <c r="AA30" t="e">
        <f t="shared" si="1"/>
        <v>#N/A</v>
      </c>
      <c r="AB30" t="e">
        <f t="shared" si="2"/>
        <v>#N/A</v>
      </c>
      <c r="AC30" t="e">
        <f t="shared" si="3"/>
        <v>#N/A</v>
      </c>
      <c r="AD30" t="e">
        <f t="shared" si="4"/>
        <v>#N/A</v>
      </c>
      <c r="AE30" t="e">
        <f t="shared" si="5"/>
        <v>#N/A</v>
      </c>
      <c r="AF30" t="e">
        <f t="shared" si="6"/>
        <v>#N/A</v>
      </c>
      <c r="AG30" t="e">
        <f t="shared" si="7"/>
        <v>#N/A</v>
      </c>
      <c r="AH30" t="e">
        <f t="shared" si="14"/>
        <v>#N/A</v>
      </c>
      <c r="AI30" t="e">
        <f t="shared" si="8"/>
        <v>#N/A</v>
      </c>
      <c r="AJ30">
        <f t="shared" si="9"/>
        <v>0</v>
      </c>
      <c r="AK30" t="e">
        <f t="shared" si="10"/>
        <v>#N/A</v>
      </c>
      <c r="AL30" t="e">
        <f t="shared" si="11"/>
        <v>#N/A</v>
      </c>
      <c r="AM30" t="e">
        <f t="shared" si="12"/>
        <v>#N/A</v>
      </c>
      <c r="AN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0" t="e">
        <f t="shared" si="13"/>
        <v>#N/A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0</v>
      </c>
      <c r="V31" cm="1">
        <f t="array" ref="V31">INDEX($F$4:$T$263,ROW(A28),MATCH($W$2,$F$3:$T$3,0))</f>
        <v>0</v>
      </c>
      <c r="W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1" t="e">
        <f t="shared" si="0"/>
        <v>#N/A</v>
      </c>
      <c r="AA31" t="e">
        <f t="shared" si="1"/>
        <v>#N/A</v>
      </c>
      <c r="AB31" t="e">
        <f t="shared" si="2"/>
        <v>#N/A</v>
      </c>
      <c r="AC31" t="e">
        <f t="shared" si="3"/>
        <v>#N/A</v>
      </c>
      <c r="AD31" t="e">
        <f t="shared" si="4"/>
        <v>#N/A</v>
      </c>
      <c r="AE31" t="e">
        <f t="shared" si="5"/>
        <v>#N/A</v>
      </c>
      <c r="AF31" t="e">
        <f t="shared" si="6"/>
        <v>#N/A</v>
      </c>
      <c r="AG31" t="e">
        <f t="shared" si="7"/>
        <v>#N/A</v>
      </c>
      <c r="AH31" t="e">
        <f t="shared" si="14"/>
        <v>#N/A</v>
      </c>
      <c r="AI31" t="e">
        <f t="shared" si="8"/>
        <v>#N/A</v>
      </c>
      <c r="AJ31">
        <f t="shared" si="9"/>
        <v>0</v>
      </c>
      <c r="AK31" t="e">
        <f t="shared" si="10"/>
        <v>#N/A</v>
      </c>
      <c r="AL31" t="e">
        <f t="shared" si="11"/>
        <v>#N/A</v>
      </c>
      <c r="AM31" t="e">
        <f t="shared" si="12"/>
        <v>#N/A</v>
      </c>
      <c r="AN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1" t="e">
        <f t="shared" si="13"/>
        <v>#N/A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0</v>
      </c>
      <c r="V32" cm="1">
        <f t="array" ref="V32">INDEX($F$4:$T$263,ROW(A29),MATCH($W$2,$F$3:$T$3,0))</f>
        <v>0</v>
      </c>
      <c r="W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2" t="e">
        <f t="shared" si="0"/>
        <v>#N/A</v>
      </c>
      <c r="AA32" t="e">
        <f t="shared" si="1"/>
        <v>#N/A</v>
      </c>
      <c r="AB32" t="e">
        <f t="shared" si="2"/>
        <v>#N/A</v>
      </c>
      <c r="AC32" t="e">
        <f t="shared" si="3"/>
        <v>#N/A</v>
      </c>
      <c r="AD32" t="e">
        <f t="shared" si="4"/>
        <v>#N/A</v>
      </c>
      <c r="AE32" t="e">
        <f t="shared" si="5"/>
        <v>#N/A</v>
      </c>
      <c r="AF32" t="e">
        <f t="shared" si="6"/>
        <v>#N/A</v>
      </c>
      <c r="AG32" t="e">
        <f t="shared" si="7"/>
        <v>#N/A</v>
      </c>
      <c r="AH32" t="e">
        <f t="shared" si="14"/>
        <v>#N/A</v>
      </c>
      <c r="AI32" t="e">
        <f t="shared" si="8"/>
        <v>#N/A</v>
      </c>
      <c r="AJ32">
        <f t="shared" si="9"/>
        <v>0</v>
      </c>
      <c r="AK32" t="e">
        <f t="shared" si="10"/>
        <v>#N/A</v>
      </c>
      <c r="AL32" t="e">
        <f t="shared" si="11"/>
        <v>#N/A</v>
      </c>
      <c r="AM32" t="e">
        <f t="shared" si="12"/>
        <v>#N/A</v>
      </c>
      <c r="AN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2" t="e">
        <f t="shared" si="13"/>
        <v>#N/A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0</v>
      </c>
      <c r="V33" cm="1">
        <f t="array" ref="V33">INDEX($F$4:$T$263,ROW(A30),MATCH($W$2,$F$3:$T$3,0))</f>
        <v>0</v>
      </c>
      <c r="W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3" t="e">
        <f t="shared" si="0"/>
        <v>#N/A</v>
      </c>
      <c r="AA33" t="e">
        <f t="shared" si="1"/>
        <v>#N/A</v>
      </c>
      <c r="AB33" t="e">
        <f t="shared" si="2"/>
        <v>#N/A</v>
      </c>
      <c r="AC33" t="e">
        <f t="shared" si="3"/>
        <v>#N/A</v>
      </c>
      <c r="AD33" t="e">
        <f t="shared" si="4"/>
        <v>#N/A</v>
      </c>
      <c r="AE33" t="e">
        <f t="shared" si="5"/>
        <v>#N/A</v>
      </c>
      <c r="AF33" t="e">
        <f t="shared" si="6"/>
        <v>#N/A</v>
      </c>
      <c r="AG33" t="e">
        <f t="shared" si="7"/>
        <v>#N/A</v>
      </c>
      <c r="AH33" t="e">
        <f t="shared" si="14"/>
        <v>#N/A</v>
      </c>
      <c r="AI33" t="e">
        <f t="shared" si="8"/>
        <v>#N/A</v>
      </c>
      <c r="AJ33">
        <f t="shared" si="9"/>
        <v>0</v>
      </c>
      <c r="AK33" t="e">
        <f t="shared" si="10"/>
        <v>#N/A</v>
      </c>
      <c r="AL33" t="e">
        <f t="shared" si="11"/>
        <v>#N/A</v>
      </c>
      <c r="AM33" t="e">
        <f t="shared" si="12"/>
        <v>#N/A</v>
      </c>
      <c r="AN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3" t="e">
        <f t="shared" si="13"/>
        <v>#N/A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0</v>
      </c>
      <c r="V34" cm="1">
        <f t="array" ref="V34">INDEX($F$4:$T$263,ROW(A31),MATCH($W$2,$F$3:$T$3,0))</f>
        <v>0</v>
      </c>
      <c r="W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4" t="e">
        <f t="shared" si="0"/>
        <v>#N/A</v>
      </c>
      <c r="AA34" t="e">
        <f t="shared" si="1"/>
        <v>#N/A</v>
      </c>
      <c r="AB34" t="e">
        <f t="shared" si="2"/>
        <v>#N/A</v>
      </c>
      <c r="AC34" t="e">
        <f t="shared" si="3"/>
        <v>#N/A</v>
      </c>
      <c r="AD34" t="e">
        <f t="shared" si="4"/>
        <v>#N/A</v>
      </c>
      <c r="AE34" t="e">
        <f t="shared" si="5"/>
        <v>#N/A</v>
      </c>
      <c r="AF34" t="e">
        <f t="shared" si="6"/>
        <v>#N/A</v>
      </c>
      <c r="AG34" t="e">
        <f t="shared" si="7"/>
        <v>#N/A</v>
      </c>
      <c r="AH34" t="e">
        <f t="shared" si="14"/>
        <v>#N/A</v>
      </c>
      <c r="AI34" t="e">
        <f t="shared" si="8"/>
        <v>#N/A</v>
      </c>
      <c r="AJ34">
        <f t="shared" si="9"/>
        <v>0</v>
      </c>
      <c r="AK34" t="e">
        <f t="shared" si="10"/>
        <v>#N/A</v>
      </c>
      <c r="AL34" t="e">
        <f t="shared" si="11"/>
        <v>#N/A</v>
      </c>
      <c r="AM34" t="e">
        <f t="shared" si="12"/>
        <v>#N/A</v>
      </c>
      <c r="AN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4" t="e">
        <f t="shared" si="13"/>
        <v>#N/A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0</v>
      </c>
      <c r="V35" cm="1">
        <f t="array" ref="V35">INDEX($F$4:$T$263,ROW(A32),MATCH($W$2,$F$3:$T$3,0))</f>
        <v>0</v>
      </c>
      <c r="W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5" t="e">
        <f t="shared" si="0"/>
        <v>#N/A</v>
      </c>
      <c r="AA35" t="e">
        <f t="shared" si="1"/>
        <v>#N/A</v>
      </c>
      <c r="AB35" t="e">
        <f t="shared" si="2"/>
        <v>#N/A</v>
      </c>
      <c r="AC35" t="e">
        <f t="shared" si="3"/>
        <v>#N/A</v>
      </c>
      <c r="AD35" t="e">
        <f t="shared" si="4"/>
        <v>#N/A</v>
      </c>
      <c r="AE35" t="e">
        <f t="shared" si="5"/>
        <v>#N/A</v>
      </c>
      <c r="AF35" t="e">
        <f t="shared" si="6"/>
        <v>#N/A</v>
      </c>
      <c r="AG35" t="e">
        <f t="shared" si="7"/>
        <v>#N/A</v>
      </c>
      <c r="AH35" t="e">
        <f t="shared" si="14"/>
        <v>#N/A</v>
      </c>
      <c r="AI35" t="e">
        <f t="shared" si="8"/>
        <v>#N/A</v>
      </c>
      <c r="AJ35">
        <f t="shared" si="9"/>
        <v>0</v>
      </c>
      <c r="AK35" t="e">
        <f t="shared" si="10"/>
        <v>#N/A</v>
      </c>
      <c r="AL35" t="e">
        <f t="shared" si="11"/>
        <v>#N/A</v>
      </c>
      <c r="AM35" t="e">
        <f t="shared" si="12"/>
        <v>#N/A</v>
      </c>
      <c r="AN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5" t="e">
        <f t="shared" si="13"/>
        <v>#N/A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0</v>
      </c>
      <c r="V36" cm="1">
        <f t="array" ref="V36">INDEX($F$4:$T$263,ROW(A33),MATCH($W$2,$F$3:$T$3,0))</f>
        <v>0</v>
      </c>
      <c r="W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6" t="e">
        <f t="shared" si="0"/>
        <v>#N/A</v>
      </c>
      <c r="AA36" t="e">
        <f t="shared" si="1"/>
        <v>#N/A</v>
      </c>
      <c r="AB36" t="e">
        <f t="shared" si="2"/>
        <v>#N/A</v>
      </c>
      <c r="AC36" t="e">
        <f t="shared" si="3"/>
        <v>#N/A</v>
      </c>
      <c r="AD36" t="e">
        <f t="shared" si="4"/>
        <v>#N/A</v>
      </c>
      <c r="AE36" t="e">
        <f t="shared" si="5"/>
        <v>#N/A</v>
      </c>
      <c r="AF36" t="e">
        <f t="shared" si="6"/>
        <v>#N/A</v>
      </c>
      <c r="AG36" t="e">
        <f t="shared" si="7"/>
        <v>#N/A</v>
      </c>
      <c r="AH36" t="e">
        <f t="shared" si="14"/>
        <v>#N/A</v>
      </c>
      <c r="AI36" t="e">
        <f t="shared" si="8"/>
        <v>#N/A</v>
      </c>
      <c r="AJ36">
        <f t="shared" si="9"/>
        <v>0</v>
      </c>
      <c r="AK36" t="e">
        <f t="shared" si="10"/>
        <v>#N/A</v>
      </c>
      <c r="AL36" t="e">
        <f t="shared" si="11"/>
        <v>#N/A</v>
      </c>
      <c r="AM36" t="e">
        <f t="shared" si="12"/>
        <v>#N/A</v>
      </c>
      <c r="AN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6" t="e">
        <f t="shared" si="13"/>
        <v>#N/A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0</v>
      </c>
      <c r="V37" cm="1">
        <f t="array" ref="V37">INDEX($F$4:$T$263,ROW(A34),MATCH($W$2,$F$3:$T$3,0))</f>
        <v>0</v>
      </c>
      <c r="W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7" t="e">
        <f t="shared" si="0"/>
        <v>#N/A</v>
      </c>
      <c r="AA37" t="e">
        <f t="shared" si="1"/>
        <v>#N/A</v>
      </c>
      <c r="AB37" t="e">
        <f t="shared" si="2"/>
        <v>#N/A</v>
      </c>
      <c r="AC37" t="e">
        <f t="shared" si="3"/>
        <v>#N/A</v>
      </c>
      <c r="AD37" t="e">
        <f t="shared" si="4"/>
        <v>#N/A</v>
      </c>
      <c r="AE37" t="e">
        <f t="shared" si="5"/>
        <v>#N/A</v>
      </c>
      <c r="AF37" t="e">
        <f t="shared" si="6"/>
        <v>#N/A</v>
      </c>
      <c r="AG37" t="e">
        <f t="shared" si="7"/>
        <v>#N/A</v>
      </c>
      <c r="AH37" t="e">
        <f t="shared" si="14"/>
        <v>#N/A</v>
      </c>
      <c r="AI37" t="e">
        <f t="shared" si="8"/>
        <v>#N/A</v>
      </c>
      <c r="AJ37">
        <f t="shared" si="9"/>
        <v>0</v>
      </c>
      <c r="AK37" t="e">
        <f t="shared" si="10"/>
        <v>#N/A</v>
      </c>
      <c r="AL37" t="e">
        <f t="shared" si="11"/>
        <v>#N/A</v>
      </c>
      <c r="AM37" t="e">
        <f t="shared" si="12"/>
        <v>#N/A</v>
      </c>
      <c r="AN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7" t="e">
        <f t="shared" si="13"/>
        <v>#N/A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0</v>
      </c>
      <c r="V38" cm="1">
        <f t="array" ref="V38">INDEX($F$4:$T$263,ROW(A35),MATCH($W$2,$F$3:$T$3,0))</f>
        <v>0</v>
      </c>
      <c r="W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8" t="e">
        <f t="shared" si="0"/>
        <v>#N/A</v>
      </c>
      <c r="AA38" t="e">
        <f t="shared" si="1"/>
        <v>#N/A</v>
      </c>
      <c r="AB38" t="e">
        <f t="shared" si="2"/>
        <v>#N/A</v>
      </c>
      <c r="AC38" t="e">
        <f t="shared" si="3"/>
        <v>#N/A</v>
      </c>
      <c r="AD38" t="e">
        <f t="shared" si="4"/>
        <v>#N/A</v>
      </c>
      <c r="AE38" t="e">
        <f t="shared" si="5"/>
        <v>#N/A</v>
      </c>
      <c r="AF38" t="e">
        <f t="shared" si="6"/>
        <v>#N/A</v>
      </c>
      <c r="AG38" t="e">
        <f t="shared" si="7"/>
        <v>#N/A</v>
      </c>
      <c r="AH38" t="e">
        <f t="shared" si="14"/>
        <v>#N/A</v>
      </c>
      <c r="AI38" t="e">
        <f t="shared" si="8"/>
        <v>#N/A</v>
      </c>
      <c r="AJ38">
        <f t="shared" si="9"/>
        <v>0</v>
      </c>
      <c r="AK38" t="e">
        <f t="shared" si="10"/>
        <v>#N/A</v>
      </c>
      <c r="AL38" t="e">
        <f t="shared" si="11"/>
        <v>#N/A</v>
      </c>
      <c r="AM38" t="e">
        <f t="shared" si="12"/>
        <v>#N/A</v>
      </c>
      <c r="AN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8" t="e">
        <f t="shared" si="13"/>
        <v>#N/A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0</v>
      </c>
      <c r="V39" cm="1">
        <f t="array" ref="V39">INDEX($F$4:$T$263,ROW(A36),MATCH($W$2,$F$3:$T$3,0))</f>
        <v>0</v>
      </c>
      <c r="W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39" t="e">
        <f t="shared" si="0"/>
        <v>#N/A</v>
      </c>
      <c r="AA39" t="e">
        <f t="shared" si="1"/>
        <v>#N/A</v>
      </c>
      <c r="AB39" t="e">
        <f t="shared" si="2"/>
        <v>#N/A</v>
      </c>
      <c r="AC39" t="e">
        <f t="shared" si="3"/>
        <v>#N/A</v>
      </c>
      <c r="AD39" t="e">
        <f t="shared" si="4"/>
        <v>#N/A</v>
      </c>
      <c r="AE39" t="e">
        <f t="shared" si="5"/>
        <v>#N/A</v>
      </c>
      <c r="AF39" t="e">
        <f t="shared" si="6"/>
        <v>#N/A</v>
      </c>
      <c r="AG39" t="e">
        <f t="shared" si="7"/>
        <v>#N/A</v>
      </c>
      <c r="AH39" t="e">
        <f t="shared" si="14"/>
        <v>#N/A</v>
      </c>
      <c r="AI39" t="e">
        <f t="shared" si="8"/>
        <v>#N/A</v>
      </c>
      <c r="AJ39">
        <f t="shared" si="9"/>
        <v>0</v>
      </c>
      <c r="AK39" t="e">
        <f t="shared" si="10"/>
        <v>#N/A</v>
      </c>
      <c r="AL39" t="e">
        <f t="shared" si="11"/>
        <v>#N/A</v>
      </c>
      <c r="AM39" t="e">
        <f t="shared" si="12"/>
        <v>#N/A</v>
      </c>
      <c r="AN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39" t="e">
        <f t="shared" si="13"/>
        <v>#N/A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0</v>
      </c>
      <c r="V40" cm="1">
        <f t="array" ref="V40">INDEX($F$4:$T$263,ROW(A37),MATCH($W$2,$F$3:$T$3,0))</f>
        <v>0</v>
      </c>
      <c r="W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0" t="e">
        <f t="shared" si="0"/>
        <v>#N/A</v>
      </c>
      <c r="AA40" t="e">
        <f t="shared" si="1"/>
        <v>#N/A</v>
      </c>
      <c r="AB40" t="e">
        <f t="shared" si="2"/>
        <v>#N/A</v>
      </c>
      <c r="AC40" t="e">
        <f t="shared" si="3"/>
        <v>#N/A</v>
      </c>
      <c r="AD40" t="e">
        <f t="shared" si="4"/>
        <v>#N/A</v>
      </c>
      <c r="AE40" t="e">
        <f t="shared" si="5"/>
        <v>#N/A</v>
      </c>
      <c r="AF40" t="e">
        <f t="shared" si="6"/>
        <v>#N/A</v>
      </c>
      <c r="AG40" t="e">
        <f t="shared" si="7"/>
        <v>#N/A</v>
      </c>
      <c r="AH40" t="e">
        <f t="shared" si="14"/>
        <v>#N/A</v>
      </c>
      <c r="AI40" t="e">
        <f t="shared" si="8"/>
        <v>#N/A</v>
      </c>
      <c r="AJ40">
        <f t="shared" si="9"/>
        <v>0</v>
      </c>
      <c r="AK40" t="e">
        <f t="shared" si="10"/>
        <v>#N/A</v>
      </c>
      <c r="AL40" t="e">
        <f t="shared" si="11"/>
        <v>#N/A</v>
      </c>
      <c r="AM40" t="e">
        <f t="shared" si="12"/>
        <v>#N/A</v>
      </c>
      <c r="AN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0" t="e">
        <f t="shared" si="13"/>
        <v>#N/A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0</v>
      </c>
      <c r="V41" cm="1">
        <f t="array" ref="V41">INDEX($F$4:$T$263,ROW(A38),MATCH($W$2,$F$3:$T$3,0))</f>
        <v>0</v>
      </c>
      <c r="W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1" t="e">
        <f t="shared" si="0"/>
        <v>#N/A</v>
      </c>
      <c r="AA41" t="e">
        <f t="shared" si="1"/>
        <v>#N/A</v>
      </c>
      <c r="AB41" t="e">
        <f t="shared" si="2"/>
        <v>#N/A</v>
      </c>
      <c r="AC41" t="e">
        <f t="shared" si="3"/>
        <v>#N/A</v>
      </c>
      <c r="AD41" t="e">
        <f t="shared" si="4"/>
        <v>#N/A</v>
      </c>
      <c r="AE41" t="e">
        <f t="shared" si="5"/>
        <v>#N/A</v>
      </c>
      <c r="AF41" t="e">
        <f t="shared" si="6"/>
        <v>#N/A</v>
      </c>
      <c r="AG41" t="e">
        <f t="shared" si="7"/>
        <v>#N/A</v>
      </c>
      <c r="AH41" t="e">
        <f t="shared" si="14"/>
        <v>#N/A</v>
      </c>
      <c r="AI41" t="e">
        <f t="shared" si="8"/>
        <v>#N/A</v>
      </c>
      <c r="AJ41">
        <f t="shared" si="9"/>
        <v>0</v>
      </c>
      <c r="AK41" t="e">
        <f t="shared" si="10"/>
        <v>#N/A</v>
      </c>
      <c r="AL41" t="e">
        <f t="shared" si="11"/>
        <v>#N/A</v>
      </c>
      <c r="AM41" t="e">
        <f t="shared" si="12"/>
        <v>#N/A</v>
      </c>
      <c r="AN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1" t="e">
        <f t="shared" si="13"/>
        <v>#N/A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0</v>
      </c>
      <c r="V42" cm="1">
        <f t="array" ref="V42">INDEX($F$4:$T$263,ROW(A39),MATCH($W$2,$F$3:$T$3,0))</f>
        <v>0</v>
      </c>
      <c r="W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2" t="e">
        <f t="shared" si="0"/>
        <v>#N/A</v>
      </c>
      <c r="AA42" t="e">
        <f t="shared" si="1"/>
        <v>#N/A</v>
      </c>
      <c r="AB42" t="e">
        <f t="shared" si="2"/>
        <v>#N/A</v>
      </c>
      <c r="AC42" t="e">
        <f t="shared" si="3"/>
        <v>#N/A</v>
      </c>
      <c r="AD42" t="e">
        <f t="shared" si="4"/>
        <v>#N/A</v>
      </c>
      <c r="AE42" t="e">
        <f t="shared" si="5"/>
        <v>#N/A</v>
      </c>
      <c r="AF42" t="e">
        <f t="shared" si="6"/>
        <v>#N/A</v>
      </c>
      <c r="AG42" t="e">
        <f t="shared" si="7"/>
        <v>#N/A</v>
      </c>
      <c r="AH42" t="e">
        <f t="shared" si="14"/>
        <v>#N/A</v>
      </c>
      <c r="AI42" t="e">
        <f t="shared" si="8"/>
        <v>#N/A</v>
      </c>
      <c r="AJ42">
        <f t="shared" si="9"/>
        <v>0</v>
      </c>
      <c r="AK42" t="e">
        <f t="shared" si="10"/>
        <v>#N/A</v>
      </c>
      <c r="AL42" t="e">
        <f t="shared" si="11"/>
        <v>#N/A</v>
      </c>
      <c r="AM42" t="e">
        <f t="shared" si="12"/>
        <v>#N/A</v>
      </c>
      <c r="AN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2" t="e">
        <f t="shared" si="13"/>
        <v>#N/A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0</v>
      </c>
      <c r="V43" cm="1">
        <f t="array" ref="V43">INDEX($F$4:$T$263,ROW(A40),MATCH($W$2,$F$3:$T$3,0))</f>
        <v>0</v>
      </c>
      <c r="W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3" t="e">
        <f t="shared" si="0"/>
        <v>#N/A</v>
      </c>
      <c r="AA43" t="e">
        <f t="shared" si="1"/>
        <v>#N/A</v>
      </c>
      <c r="AB43" t="e">
        <f t="shared" si="2"/>
        <v>#N/A</v>
      </c>
      <c r="AC43" t="e">
        <f t="shared" si="3"/>
        <v>#N/A</v>
      </c>
      <c r="AD43" t="e">
        <f t="shared" si="4"/>
        <v>#N/A</v>
      </c>
      <c r="AE43" t="e">
        <f t="shared" si="5"/>
        <v>#N/A</v>
      </c>
      <c r="AF43" t="e">
        <f t="shared" si="6"/>
        <v>#N/A</v>
      </c>
      <c r="AG43" t="e">
        <f t="shared" si="7"/>
        <v>#N/A</v>
      </c>
      <c r="AH43" t="e">
        <f t="shared" si="14"/>
        <v>#N/A</v>
      </c>
      <c r="AI43" t="e">
        <f t="shared" si="8"/>
        <v>#N/A</v>
      </c>
      <c r="AJ43">
        <f t="shared" si="9"/>
        <v>0</v>
      </c>
      <c r="AK43" t="e">
        <f t="shared" si="10"/>
        <v>#N/A</v>
      </c>
      <c r="AL43" t="e">
        <f t="shared" si="11"/>
        <v>#N/A</v>
      </c>
      <c r="AM43" t="e">
        <f t="shared" si="12"/>
        <v>#N/A</v>
      </c>
      <c r="AN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3" t="e">
        <f t="shared" si="13"/>
        <v>#N/A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0</v>
      </c>
      <c r="V44" cm="1">
        <f t="array" ref="V44">INDEX($F$4:$T$263,ROW(A41),MATCH($W$2,$F$3:$T$3,0))</f>
        <v>0</v>
      </c>
      <c r="W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4" t="e">
        <f t="shared" si="0"/>
        <v>#N/A</v>
      </c>
      <c r="AA44" t="e">
        <f t="shared" si="1"/>
        <v>#N/A</v>
      </c>
      <c r="AB44" t="e">
        <f t="shared" si="2"/>
        <v>#N/A</v>
      </c>
      <c r="AC44" t="e">
        <f t="shared" si="3"/>
        <v>#N/A</v>
      </c>
      <c r="AD44" t="e">
        <f t="shared" si="4"/>
        <v>#N/A</v>
      </c>
      <c r="AE44" t="e">
        <f t="shared" si="5"/>
        <v>#N/A</v>
      </c>
      <c r="AF44" t="e">
        <f t="shared" si="6"/>
        <v>#N/A</v>
      </c>
      <c r="AG44" t="e">
        <f t="shared" si="7"/>
        <v>#N/A</v>
      </c>
      <c r="AH44" t="e">
        <f t="shared" si="14"/>
        <v>#N/A</v>
      </c>
      <c r="AI44" t="e">
        <f t="shared" si="8"/>
        <v>#N/A</v>
      </c>
      <c r="AJ44">
        <f t="shared" si="9"/>
        <v>0</v>
      </c>
      <c r="AK44" t="e">
        <f t="shared" si="10"/>
        <v>#N/A</v>
      </c>
      <c r="AL44" t="e">
        <f t="shared" si="11"/>
        <v>#N/A</v>
      </c>
      <c r="AM44" t="e">
        <f t="shared" si="12"/>
        <v>#N/A</v>
      </c>
      <c r="AN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4" t="e">
        <f t="shared" si="13"/>
        <v>#N/A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0</v>
      </c>
      <c r="V45" cm="1">
        <f t="array" ref="V45">INDEX($F$4:$T$263,ROW(A42),MATCH($W$2,$F$3:$T$3,0))</f>
        <v>0</v>
      </c>
      <c r="W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5" t="e">
        <f t="shared" si="0"/>
        <v>#N/A</v>
      </c>
      <c r="AA45" t="e">
        <f t="shared" si="1"/>
        <v>#N/A</v>
      </c>
      <c r="AB45" t="e">
        <f t="shared" si="2"/>
        <v>#N/A</v>
      </c>
      <c r="AC45" t="e">
        <f t="shared" si="3"/>
        <v>#N/A</v>
      </c>
      <c r="AD45" t="e">
        <f t="shared" si="4"/>
        <v>#N/A</v>
      </c>
      <c r="AE45" t="e">
        <f t="shared" si="5"/>
        <v>#N/A</v>
      </c>
      <c r="AF45" t="e">
        <f t="shared" si="6"/>
        <v>#N/A</v>
      </c>
      <c r="AG45" t="e">
        <f t="shared" si="7"/>
        <v>#N/A</v>
      </c>
      <c r="AH45" t="e">
        <f t="shared" si="14"/>
        <v>#N/A</v>
      </c>
      <c r="AI45" t="e">
        <f t="shared" si="8"/>
        <v>#N/A</v>
      </c>
      <c r="AJ45">
        <f t="shared" si="9"/>
        <v>0</v>
      </c>
      <c r="AK45" t="e">
        <f t="shared" si="10"/>
        <v>#N/A</v>
      </c>
      <c r="AL45" t="e">
        <f t="shared" si="11"/>
        <v>#N/A</v>
      </c>
      <c r="AM45" t="e">
        <f t="shared" si="12"/>
        <v>#N/A</v>
      </c>
      <c r="AN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5" t="e">
        <f t="shared" si="13"/>
        <v>#N/A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0</v>
      </c>
      <c r="V46" cm="1">
        <f t="array" ref="V46">INDEX($F$4:$T$263,ROW(A43),MATCH($W$2,$F$3:$T$3,0))</f>
        <v>0</v>
      </c>
      <c r="W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6" t="e">
        <f t="shared" si="0"/>
        <v>#N/A</v>
      </c>
      <c r="AA46" t="e">
        <f t="shared" si="1"/>
        <v>#N/A</v>
      </c>
      <c r="AB46" t="e">
        <f t="shared" si="2"/>
        <v>#N/A</v>
      </c>
      <c r="AC46" t="e">
        <f t="shared" si="3"/>
        <v>#N/A</v>
      </c>
      <c r="AD46" t="e">
        <f t="shared" si="4"/>
        <v>#N/A</v>
      </c>
      <c r="AE46" t="e">
        <f t="shared" si="5"/>
        <v>#N/A</v>
      </c>
      <c r="AF46" t="e">
        <f t="shared" si="6"/>
        <v>#N/A</v>
      </c>
      <c r="AG46" t="e">
        <f t="shared" si="7"/>
        <v>#N/A</v>
      </c>
      <c r="AH46" t="e">
        <f t="shared" si="14"/>
        <v>#N/A</v>
      </c>
      <c r="AI46" t="e">
        <f t="shared" si="8"/>
        <v>#N/A</v>
      </c>
      <c r="AJ46">
        <f t="shared" si="9"/>
        <v>0</v>
      </c>
      <c r="AK46" t="e">
        <f t="shared" si="10"/>
        <v>#N/A</v>
      </c>
      <c r="AL46" t="e">
        <f t="shared" si="11"/>
        <v>#N/A</v>
      </c>
      <c r="AM46" t="e">
        <f t="shared" si="12"/>
        <v>#N/A</v>
      </c>
      <c r="AN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6" t="e">
        <f t="shared" si="13"/>
        <v>#N/A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0</v>
      </c>
      <c r="V47" cm="1">
        <f t="array" ref="V47">INDEX($F$4:$T$263,ROW(A44),MATCH($W$2,$F$3:$T$3,0))</f>
        <v>0</v>
      </c>
      <c r="W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7" t="e">
        <f t="shared" si="0"/>
        <v>#N/A</v>
      </c>
      <c r="AA47" t="e">
        <f t="shared" si="1"/>
        <v>#N/A</v>
      </c>
      <c r="AB47" t="e">
        <f t="shared" si="2"/>
        <v>#N/A</v>
      </c>
      <c r="AC47" t="e">
        <f t="shared" si="3"/>
        <v>#N/A</v>
      </c>
      <c r="AD47" t="e">
        <f t="shared" si="4"/>
        <v>#N/A</v>
      </c>
      <c r="AE47" t="e">
        <f t="shared" si="5"/>
        <v>#N/A</v>
      </c>
      <c r="AF47" t="e">
        <f t="shared" si="6"/>
        <v>#N/A</v>
      </c>
      <c r="AG47" t="e">
        <f t="shared" si="7"/>
        <v>#N/A</v>
      </c>
      <c r="AH47" t="e">
        <f t="shared" si="14"/>
        <v>#N/A</v>
      </c>
      <c r="AI47" t="e">
        <f t="shared" si="8"/>
        <v>#N/A</v>
      </c>
      <c r="AJ47">
        <f t="shared" si="9"/>
        <v>0</v>
      </c>
      <c r="AK47" t="e">
        <f t="shared" si="10"/>
        <v>#N/A</v>
      </c>
      <c r="AL47" t="e">
        <f t="shared" si="11"/>
        <v>#N/A</v>
      </c>
      <c r="AM47" t="e">
        <f t="shared" si="12"/>
        <v>#N/A</v>
      </c>
      <c r="AN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7" t="e">
        <f t="shared" si="13"/>
        <v>#N/A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0</v>
      </c>
      <c r="V48" cm="1">
        <f t="array" ref="V48">INDEX($F$4:$T$263,ROW(A45),MATCH($W$2,$F$3:$T$3,0))</f>
        <v>0</v>
      </c>
      <c r="W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8" t="e">
        <f t="shared" si="0"/>
        <v>#N/A</v>
      </c>
      <c r="AA48" t="e">
        <f t="shared" si="1"/>
        <v>#N/A</v>
      </c>
      <c r="AB48" t="e">
        <f t="shared" si="2"/>
        <v>#N/A</v>
      </c>
      <c r="AC48" t="e">
        <f t="shared" si="3"/>
        <v>#N/A</v>
      </c>
      <c r="AD48" t="e">
        <f t="shared" si="4"/>
        <v>#N/A</v>
      </c>
      <c r="AE48" t="e">
        <f t="shared" si="5"/>
        <v>#N/A</v>
      </c>
      <c r="AF48" t="e">
        <f t="shared" si="6"/>
        <v>#N/A</v>
      </c>
      <c r="AG48" t="e">
        <f t="shared" si="7"/>
        <v>#N/A</v>
      </c>
      <c r="AH48" t="e">
        <f t="shared" si="14"/>
        <v>#N/A</v>
      </c>
      <c r="AI48" t="e">
        <f t="shared" si="8"/>
        <v>#N/A</v>
      </c>
      <c r="AJ48">
        <f t="shared" si="9"/>
        <v>0</v>
      </c>
      <c r="AK48" t="e">
        <f t="shared" si="10"/>
        <v>#N/A</v>
      </c>
      <c r="AL48" t="e">
        <f t="shared" si="11"/>
        <v>#N/A</v>
      </c>
      <c r="AM48" t="e">
        <f t="shared" si="12"/>
        <v>#N/A</v>
      </c>
      <c r="AN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8" t="e">
        <f t="shared" si="13"/>
        <v>#N/A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0</v>
      </c>
      <c r="V49" cm="1">
        <f t="array" ref="V49">INDEX($F$4:$T$263,ROW(A46),MATCH($W$2,$F$3:$T$3,0))</f>
        <v>0</v>
      </c>
      <c r="W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49" t="e">
        <f t="shared" si="0"/>
        <v>#N/A</v>
      </c>
      <c r="AA49" t="e">
        <f t="shared" si="1"/>
        <v>#N/A</v>
      </c>
      <c r="AB49" t="e">
        <f t="shared" si="2"/>
        <v>#N/A</v>
      </c>
      <c r="AC49" t="e">
        <f t="shared" si="3"/>
        <v>#N/A</v>
      </c>
      <c r="AD49" t="e">
        <f t="shared" si="4"/>
        <v>#N/A</v>
      </c>
      <c r="AE49" t="e">
        <f t="shared" si="5"/>
        <v>#N/A</v>
      </c>
      <c r="AF49" t="e">
        <f t="shared" si="6"/>
        <v>#N/A</v>
      </c>
      <c r="AG49" t="e">
        <f t="shared" si="7"/>
        <v>#N/A</v>
      </c>
      <c r="AH49" t="e">
        <f t="shared" si="14"/>
        <v>#N/A</v>
      </c>
      <c r="AI49" t="e">
        <f t="shared" si="8"/>
        <v>#N/A</v>
      </c>
      <c r="AJ49">
        <f t="shared" si="9"/>
        <v>0</v>
      </c>
      <c r="AK49" t="e">
        <f t="shared" si="10"/>
        <v>#N/A</v>
      </c>
      <c r="AL49" t="e">
        <f t="shared" si="11"/>
        <v>#N/A</v>
      </c>
      <c r="AM49" t="e">
        <f t="shared" si="12"/>
        <v>#N/A</v>
      </c>
      <c r="AN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49" t="e">
        <f t="shared" si="13"/>
        <v>#N/A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0</v>
      </c>
      <c r="V50" cm="1">
        <f t="array" ref="V50">INDEX($F$4:$T$263,ROW(A47),MATCH($W$2,$F$3:$T$3,0))</f>
        <v>0</v>
      </c>
      <c r="W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0" t="e">
        <f t="shared" si="0"/>
        <v>#N/A</v>
      </c>
      <c r="AA50" t="e">
        <f t="shared" si="1"/>
        <v>#N/A</v>
      </c>
      <c r="AB50" t="e">
        <f t="shared" si="2"/>
        <v>#N/A</v>
      </c>
      <c r="AC50" t="e">
        <f t="shared" si="3"/>
        <v>#N/A</v>
      </c>
      <c r="AD50" t="e">
        <f t="shared" si="4"/>
        <v>#N/A</v>
      </c>
      <c r="AE50" t="e">
        <f t="shared" si="5"/>
        <v>#N/A</v>
      </c>
      <c r="AF50" t="e">
        <f t="shared" si="6"/>
        <v>#N/A</v>
      </c>
      <c r="AG50" t="e">
        <f t="shared" si="7"/>
        <v>#N/A</v>
      </c>
      <c r="AH50" t="e">
        <f t="shared" si="14"/>
        <v>#N/A</v>
      </c>
      <c r="AI50" t="e">
        <f t="shared" si="8"/>
        <v>#N/A</v>
      </c>
      <c r="AJ50">
        <f t="shared" si="9"/>
        <v>0</v>
      </c>
      <c r="AK50" t="e">
        <f t="shared" si="10"/>
        <v>#N/A</v>
      </c>
      <c r="AL50" t="e">
        <f t="shared" si="11"/>
        <v>#N/A</v>
      </c>
      <c r="AM50" t="e">
        <f t="shared" si="12"/>
        <v>#N/A</v>
      </c>
      <c r="AN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0" t="e">
        <f t="shared" si="13"/>
        <v>#N/A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0</v>
      </c>
      <c r="V51" cm="1">
        <f t="array" ref="V51">INDEX($F$4:$T$263,ROW(A48),MATCH($W$2,$F$3:$T$3,0))</f>
        <v>0</v>
      </c>
      <c r="W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1" t="e">
        <f t="shared" si="0"/>
        <v>#N/A</v>
      </c>
      <c r="AA51" t="e">
        <f t="shared" si="1"/>
        <v>#N/A</v>
      </c>
      <c r="AB51" t="e">
        <f t="shared" si="2"/>
        <v>#N/A</v>
      </c>
      <c r="AC51" t="e">
        <f t="shared" si="3"/>
        <v>#N/A</v>
      </c>
      <c r="AD51" t="e">
        <f t="shared" si="4"/>
        <v>#N/A</v>
      </c>
      <c r="AE51" t="e">
        <f t="shared" si="5"/>
        <v>#N/A</v>
      </c>
      <c r="AF51" t="e">
        <f t="shared" si="6"/>
        <v>#N/A</v>
      </c>
      <c r="AG51" t="e">
        <f t="shared" si="7"/>
        <v>#N/A</v>
      </c>
      <c r="AH51" t="e">
        <f t="shared" si="14"/>
        <v>#N/A</v>
      </c>
      <c r="AI51" t="e">
        <f t="shared" si="8"/>
        <v>#N/A</v>
      </c>
      <c r="AJ51">
        <f t="shared" si="9"/>
        <v>0</v>
      </c>
      <c r="AK51" t="e">
        <f t="shared" si="10"/>
        <v>#N/A</v>
      </c>
      <c r="AL51" t="e">
        <f t="shared" si="11"/>
        <v>#N/A</v>
      </c>
      <c r="AM51" t="e">
        <f t="shared" si="12"/>
        <v>#N/A</v>
      </c>
      <c r="AN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1" t="e">
        <f t="shared" si="13"/>
        <v>#N/A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0</v>
      </c>
      <c r="V52" cm="1">
        <f t="array" ref="V52">INDEX($F$4:$T$263,ROW(A49),MATCH($W$2,$F$3:$T$3,0))</f>
        <v>0</v>
      </c>
      <c r="W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2" t="e">
        <f t="shared" si="0"/>
        <v>#N/A</v>
      </c>
      <c r="AA52" t="e">
        <f t="shared" si="1"/>
        <v>#N/A</v>
      </c>
      <c r="AB52" t="e">
        <f t="shared" si="2"/>
        <v>#N/A</v>
      </c>
      <c r="AC52" t="e">
        <f t="shared" si="3"/>
        <v>#N/A</v>
      </c>
      <c r="AD52" t="e">
        <f t="shared" si="4"/>
        <v>#N/A</v>
      </c>
      <c r="AE52" t="e">
        <f t="shared" si="5"/>
        <v>#N/A</v>
      </c>
      <c r="AF52" t="e">
        <f t="shared" si="6"/>
        <v>#N/A</v>
      </c>
      <c r="AG52" t="e">
        <f t="shared" si="7"/>
        <v>#N/A</v>
      </c>
      <c r="AH52" t="e">
        <f t="shared" si="14"/>
        <v>#N/A</v>
      </c>
      <c r="AI52" t="e">
        <f t="shared" si="8"/>
        <v>#N/A</v>
      </c>
      <c r="AJ52">
        <f t="shared" si="9"/>
        <v>0</v>
      </c>
      <c r="AK52" t="e">
        <f t="shared" si="10"/>
        <v>#N/A</v>
      </c>
      <c r="AL52" t="e">
        <f t="shared" si="11"/>
        <v>#N/A</v>
      </c>
      <c r="AM52" t="e">
        <f t="shared" si="12"/>
        <v>#N/A</v>
      </c>
      <c r="AN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2" t="e">
        <f t="shared" si="13"/>
        <v>#N/A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0</v>
      </c>
      <c r="V53" cm="1">
        <f t="array" ref="V53">INDEX($F$4:$T$263,ROW(A50),MATCH($W$2,$F$3:$T$3,0))</f>
        <v>0</v>
      </c>
      <c r="W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3" t="e">
        <f t="shared" si="0"/>
        <v>#N/A</v>
      </c>
      <c r="AA53" t="e">
        <f t="shared" si="1"/>
        <v>#N/A</v>
      </c>
      <c r="AB53" t="e">
        <f t="shared" si="2"/>
        <v>#N/A</v>
      </c>
      <c r="AC53" t="e">
        <f t="shared" si="3"/>
        <v>#N/A</v>
      </c>
      <c r="AD53" t="e">
        <f t="shared" si="4"/>
        <v>#N/A</v>
      </c>
      <c r="AE53" t="e">
        <f t="shared" si="5"/>
        <v>#N/A</v>
      </c>
      <c r="AF53" t="e">
        <f t="shared" si="6"/>
        <v>#N/A</v>
      </c>
      <c r="AG53" t="e">
        <f t="shared" si="7"/>
        <v>#N/A</v>
      </c>
      <c r="AH53" t="e">
        <f t="shared" si="14"/>
        <v>#N/A</v>
      </c>
      <c r="AI53" t="e">
        <f t="shared" si="8"/>
        <v>#N/A</v>
      </c>
      <c r="AJ53">
        <f t="shared" si="9"/>
        <v>0</v>
      </c>
      <c r="AK53" t="e">
        <f t="shared" si="10"/>
        <v>#N/A</v>
      </c>
      <c r="AL53" t="e">
        <f t="shared" si="11"/>
        <v>#N/A</v>
      </c>
      <c r="AM53" t="e">
        <f t="shared" si="12"/>
        <v>#N/A</v>
      </c>
      <c r="AN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3" t="e">
        <f t="shared" si="13"/>
        <v>#N/A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0</v>
      </c>
      <c r="V54" cm="1">
        <f t="array" ref="V54">INDEX($F$4:$T$263,ROW(A51),MATCH($W$2,$F$3:$T$3,0))</f>
        <v>0</v>
      </c>
      <c r="W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4" t="e">
        <f t="shared" si="0"/>
        <v>#N/A</v>
      </c>
      <c r="AA54" t="e">
        <f t="shared" si="1"/>
        <v>#N/A</v>
      </c>
      <c r="AB54" t="e">
        <f t="shared" si="2"/>
        <v>#N/A</v>
      </c>
      <c r="AC54" t="e">
        <f t="shared" si="3"/>
        <v>#N/A</v>
      </c>
      <c r="AD54" t="e">
        <f t="shared" si="4"/>
        <v>#N/A</v>
      </c>
      <c r="AE54" t="e">
        <f t="shared" si="5"/>
        <v>#N/A</v>
      </c>
      <c r="AF54" t="e">
        <f t="shared" si="6"/>
        <v>#N/A</v>
      </c>
      <c r="AG54" t="e">
        <f t="shared" si="7"/>
        <v>#N/A</v>
      </c>
      <c r="AH54" t="e">
        <f t="shared" si="14"/>
        <v>#N/A</v>
      </c>
      <c r="AI54" t="e">
        <f t="shared" si="8"/>
        <v>#N/A</v>
      </c>
      <c r="AJ54">
        <f t="shared" si="9"/>
        <v>0</v>
      </c>
      <c r="AK54" t="e">
        <f t="shared" si="10"/>
        <v>#N/A</v>
      </c>
      <c r="AL54" t="e">
        <f t="shared" si="11"/>
        <v>#N/A</v>
      </c>
      <c r="AM54" t="e">
        <f t="shared" si="12"/>
        <v>#N/A</v>
      </c>
      <c r="AN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4" t="e">
        <f t="shared" si="13"/>
        <v>#N/A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0</v>
      </c>
      <c r="V55" cm="1">
        <f t="array" ref="V55">INDEX($F$4:$T$263,ROW(A52),MATCH($W$2,$F$3:$T$3,0))</f>
        <v>0</v>
      </c>
      <c r="W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5" t="e">
        <f t="shared" si="0"/>
        <v>#N/A</v>
      </c>
      <c r="AA55" t="e">
        <f t="shared" si="1"/>
        <v>#N/A</v>
      </c>
      <c r="AB55" t="e">
        <f t="shared" si="2"/>
        <v>#N/A</v>
      </c>
      <c r="AC55" t="e">
        <f t="shared" si="3"/>
        <v>#N/A</v>
      </c>
      <c r="AD55" t="e">
        <f t="shared" si="4"/>
        <v>#N/A</v>
      </c>
      <c r="AE55" t="e">
        <f t="shared" si="5"/>
        <v>#N/A</v>
      </c>
      <c r="AF55" t="e">
        <f t="shared" si="6"/>
        <v>#N/A</v>
      </c>
      <c r="AG55" t="e">
        <f t="shared" si="7"/>
        <v>#N/A</v>
      </c>
      <c r="AH55" t="e">
        <f t="shared" si="14"/>
        <v>#N/A</v>
      </c>
      <c r="AI55" t="e">
        <f t="shared" si="8"/>
        <v>#N/A</v>
      </c>
      <c r="AJ55">
        <f t="shared" si="9"/>
        <v>0</v>
      </c>
      <c r="AK55" t="e">
        <f t="shared" si="10"/>
        <v>#N/A</v>
      </c>
      <c r="AL55" t="e">
        <f t="shared" si="11"/>
        <v>#N/A</v>
      </c>
      <c r="AM55" t="e">
        <f t="shared" si="12"/>
        <v>#N/A</v>
      </c>
      <c r="AN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5" t="e">
        <f t="shared" si="13"/>
        <v>#N/A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0</v>
      </c>
      <c r="V56" cm="1">
        <f t="array" ref="V56">INDEX($F$4:$T$263,ROW(A53),MATCH($W$2,$F$3:$T$3,0))</f>
        <v>0</v>
      </c>
      <c r="W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6" t="e">
        <f t="shared" si="0"/>
        <v>#N/A</v>
      </c>
      <c r="AA56" t="e">
        <f t="shared" si="1"/>
        <v>#N/A</v>
      </c>
      <c r="AB56" t="e">
        <f t="shared" si="2"/>
        <v>#N/A</v>
      </c>
      <c r="AC56" t="e">
        <f t="shared" si="3"/>
        <v>#N/A</v>
      </c>
      <c r="AD56" t="e">
        <f t="shared" si="4"/>
        <v>#N/A</v>
      </c>
      <c r="AE56" t="e">
        <f t="shared" si="5"/>
        <v>#N/A</v>
      </c>
      <c r="AF56" t="e">
        <f t="shared" si="6"/>
        <v>#N/A</v>
      </c>
      <c r="AG56" t="e">
        <f t="shared" si="7"/>
        <v>#N/A</v>
      </c>
      <c r="AH56" t="e">
        <f t="shared" si="14"/>
        <v>#N/A</v>
      </c>
      <c r="AI56" t="e">
        <f t="shared" si="8"/>
        <v>#N/A</v>
      </c>
      <c r="AJ56">
        <f t="shared" si="9"/>
        <v>0</v>
      </c>
      <c r="AK56" t="e">
        <f t="shared" si="10"/>
        <v>#N/A</v>
      </c>
      <c r="AL56" t="e">
        <f t="shared" si="11"/>
        <v>#N/A</v>
      </c>
      <c r="AM56" t="e">
        <f t="shared" si="12"/>
        <v>#N/A</v>
      </c>
      <c r="AN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6" t="e">
        <f t="shared" si="13"/>
        <v>#N/A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0</v>
      </c>
      <c r="V57" cm="1">
        <f t="array" ref="V57">INDEX($F$4:$T$263,ROW(A54),MATCH($W$2,$F$3:$T$3,0))</f>
        <v>0</v>
      </c>
      <c r="W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7" t="e">
        <f t="shared" si="0"/>
        <v>#N/A</v>
      </c>
      <c r="AA57" t="e">
        <f t="shared" si="1"/>
        <v>#N/A</v>
      </c>
      <c r="AB57" t="e">
        <f t="shared" si="2"/>
        <v>#N/A</v>
      </c>
      <c r="AC57" t="e">
        <f t="shared" si="3"/>
        <v>#N/A</v>
      </c>
      <c r="AD57" t="e">
        <f t="shared" si="4"/>
        <v>#N/A</v>
      </c>
      <c r="AE57" t="e">
        <f t="shared" si="5"/>
        <v>#N/A</v>
      </c>
      <c r="AF57" t="e">
        <f t="shared" si="6"/>
        <v>#N/A</v>
      </c>
      <c r="AG57" t="e">
        <f t="shared" si="7"/>
        <v>#N/A</v>
      </c>
      <c r="AH57" t="e">
        <f t="shared" si="14"/>
        <v>#N/A</v>
      </c>
      <c r="AI57" t="e">
        <f t="shared" si="8"/>
        <v>#N/A</v>
      </c>
      <c r="AJ57">
        <f t="shared" si="9"/>
        <v>0</v>
      </c>
      <c r="AK57" t="e">
        <f t="shared" si="10"/>
        <v>#N/A</v>
      </c>
      <c r="AL57" t="e">
        <f t="shared" si="11"/>
        <v>#N/A</v>
      </c>
      <c r="AM57" t="e">
        <f t="shared" si="12"/>
        <v>#N/A</v>
      </c>
      <c r="AN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7" t="e">
        <f t="shared" si="13"/>
        <v>#N/A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0</v>
      </c>
      <c r="V58" cm="1">
        <f t="array" ref="V58">INDEX($F$4:$T$263,ROW(A55),MATCH($W$2,$F$3:$T$3,0))</f>
        <v>0</v>
      </c>
      <c r="W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8" t="e">
        <f t="shared" si="0"/>
        <v>#N/A</v>
      </c>
      <c r="AA58" t="e">
        <f t="shared" si="1"/>
        <v>#N/A</v>
      </c>
      <c r="AB58" t="e">
        <f t="shared" si="2"/>
        <v>#N/A</v>
      </c>
      <c r="AC58" t="e">
        <f t="shared" si="3"/>
        <v>#N/A</v>
      </c>
      <c r="AD58" t="e">
        <f t="shared" si="4"/>
        <v>#N/A</v>
      </c>
      <c r="AE58" t="e">
        <f t="shared" si="5"/>
        <v>#N/A</v>
      </c>
      <c r="AF58" t="e">
        <f t="shared" si="6"/>
        <v>#N/A</v>
      </c>
      <c r="AG58" t="e">
        <f t="shared" si="7"/>
        <v>#N/A</v>
      </c>
      <c r="AH58" t="e">
        <f t="shared" si="14"/>
        <v>#N/A</v>
      </c>
      <c r="AI58" t="e">
        <f t="shared" si="8"/>
        <v>#N/A</v>
      </c>
      <c r="AJ58">
        <f t="shared" si="9"/>
        <v>0</v>
      </c>
      <c r="AK58" t="e">
        <f t="shared" si="10"/>
        <v>#N/A</v>
      </c>
      <c r="AL58" t="e">
        <f t="shared" si="11"/>
        <v>#N/A</v>
      </c>
      <c r="AM58" t="e">
        <f t="shared" si="12"/>
        <v>#N/A</v>
      </c>
      <c r="AN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8" t="e">
        <f t="shared" si="13"/>
        <v>#N/A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0</v>
      </c>
      <c r="V59" cm="1">
        <f t="array" ref="V59">INDEX($F$4:$T$263,ROW(A56),MATCH($W$2,$F$3:$T$3,0))</f>
        <v>0</v>
      </c>
      <c r="W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59" t="e">
        <f t="shared" si="0"/>
        <v>#N/A</v>
      </c>
      <c r="AA59" t="e">
        <f t="shared" si="1"/>
        <v>#N/A</v>
      </c>
      <c r="AB59" t="e">
        <f t="shared" si="2"/>
        <v>#N/A</v>
      </c>
      <c r="AC59" t="e">
        <f t="shared" si="3"/>
        <v>#N/A</v>
      </c>
      <c r="AD59" t="e">
        <f t="shared" si="4"/>
        <v>#N/A</v>
      </c>
      <c r="AE59" t="e">
        <f t="shared" si="5"/>
        <v>#N/A</v>
      </c>
      <c r="AF59" t="e">
        <f t="shared" si="6"/>
        <v>#N/A</v>
      </c>
      <c r="AG59" t="e">
        <f t="shared" si="7"/>
        <v>#N/A</v>
      </c>
      <c r="AH59" t="e">
        <f t="shared" si="14"/>
        <v>#N/A</v>
      </c>
      <c r="AI59" t="e">
        <f t="shared" si="8"/>
        <v>#N/A</v>
      </c>
      <c r="AJ59">
        <f t="shared" si="9"/>
        <v>0</v>
      </c>
      <c r="AK59" t="e">
        <f t="shared" si="10"/>
        <v>#N/A</v>
      </c>
      <c r="AL59" t="e">
        <f t="shared" si="11"/>
        <v>#N/A</v>
      </c>
      <c r="AM59" t="e">
        <f t="shared" si="12"/>
        <v>#N/A</v>
      </c>
      <c r="AN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59" t="e">
        <f t="shared" si="13"/>
        <v>#N/A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0</v>
      </c>
      <c r="V60" cm="1">
        <f t="array" ref="V60">INDEX($F$4:$T$263,ROW(A57),MATCH($W$2,$F$3:$T$3,0))</f>
        <v>0</v>
      </c>
      <c r="W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0" t="e">
        <f t="shared" si="0"/>
        <v>#N/A</v>
      </c>
      <c r="AA60" t="e">
        <f t="shared" si="1"/>
        <v>#N/A</v>
      </c>
      <c r="AB60" t="e">
        <f t="shared" si="2"/>
        <v>#N/A</v>
      </c>
      <c r="AC60" t="e">
        <f t="shared" si="3"/>
        <v>#N/A</v>
      </c>
      <c r="AD60" t="e">
        <f t="shared" si="4"/>
        <v>#N/A</v>
      </c>
      <c r="AE60" t="e">
        <f t="shared" si="5"/>
        <v>#N/A</v>
      </c>
      <c r="AF60" t="e">
        <f t="shared" si="6"/>
        <v>#N/A</v>
      </c>
      <c r="AG60" t="e">
        <f t="shared" si="7"/>
        <v>#N/A</v>
      </c>
      <c r="AH60" t="e">
        <f t="shared" si="14"/>
        <v>#N/A</v>
      </c>
      <c r="AI60" t="e">
        <f t="shared" si="8"/>
        <v>#N/A</v>
      </c>
      <c r="AJ60">
        <f t="shared" si="9"/>
        <v>0</v>
      </c>
      <c r="AK60" t="e">
        <f t="shared" si="10"/>
        <v>#N/A</v>
      </c>
      <c r="AL60" t="e">
        <f t="shared" si="11"/>
        <v>#N/A</v>
      </c>
      <c r="AM60" t="e">
        <f t="shared" si="12"/>
        <v>#N/A</v>
      </c>
      <c r="AN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0" t="e">
        <f t="shared" si="13"/>
        <v>#N/A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0</v>
      </c>
      <c r="V61" cm="1">
        <f t="array" ref="V61">INDEX($F$4:$T$263,ROW(A58),MATCH($W$2,$F$3:$T$3,0))</f>
        <v>0</v>
      </c>
      <c r="W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1" t="e">
        <f t="shared" si="0"/>
        <v>#N/A</v>
      </c>
      <c r="AA61" t="e">
        <f t="shared" si="1"/>
        <v>#N/A</v>
      </c>
      <c r="AB61" t="e">
        <f t="shared" si="2"/>
        <v>#N/A</v>
      </c>
      <c r="AC61" t="e">
        <f t="shared" si="3"/>
        <v>#N/A</v>
      </c>
      <c r="AD61" t="e">
        <f t="shared" si="4"/>
        <v>#N/A</v>
      </c>
      <c r="AE61" t="e">
        <f t="shared" si="5"/>
        <v>#N/A</v>
      </c>
      <c r="AF61" t="e">
        <f t="shared" si="6"/>
        <v>#N/A</v>
      </c>
      <c r="AG61" t="e">
        <f t="shared" si="7"/>
        <v>#N/A</v>
      </c>
      <c r="AH61" t="e">
        <f t="shared" si="14"/>
        <v>#N/A</v>
      </c>
      <c r="AI61" t="e">
        <f t="shared" si="8"/>
        <v>#N/A</v>
      </c>
      <c r="AJ61">
        <f t="shared" si="9"/>
        <v>0</v>
      </c>
      <c r="AK61" t="e">
        <f t="shared" si="10"/>
        <v>#N/A</v>
      </c>
      <c r="AL61" t="e">
        <f t="shared" si="11"/>
        <v>#N/A</v>
      </c>
      <c r="AM61" t="e">
        <f t="shared" si="12"/>
        <v>#N/A</v>
      </c>
      <c r="AN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1" t="e">
        <f t="shared" si="13"/>
        <v>#N/A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0</v>
      </c>
      <c r="V62" cm="1">
        <f t="array" ref="V62">INDEX($F$4:$T$263,ROW(A59),MATCH($W$2,$F$3:$T$3,0))</f>
        <v>0</v>
      </c>
      <c r="W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2" t="e">
        <f t="shared" si="0"/>
        <v>#N/A</v>
      </c>
      <c r="AA62" t="e">
        <f t="shared" si="1"/>
        <v>#N/A</v>
      </c>
      <c r="AB62" t="e">
        <f t="shared" si="2"/>
        <v>#N/A</v>
      </c>
      <c r="AC62" t="e">
        <f t="shared" si="3"/>
        <v>#N/A</v>
      </c>
      <c r="AD62" t="e">
        <f t="shared" si="4"/>
        <v>#N/A</v>
      </c>
      <c r="AE62" t="e">
        <f t="shared" si="5"/>
        <v>#N/A</v>
      </c>
      <c r="AF62" t="e">
        <f t="shared" si="6"/>
        <v>#N/A</v>
      </c>
      <c r="AG62" t="e">
        <f t="shared" si="7"/>
        <v>#N/A</v>
      </c>
      <c r="AH62" t="e">
        <f t="shared" si="14"/>
        <v>#N/A</v>
      </c>
      <c r="AI62" t="e">
        <f t="shared" si="8"/>
        <v>#N/A</v>
      </c>
      <c r="AJ62">
        <f t="shared" si="9"/>
        <v>0</v>
      </c>
      <c r="AK62" t="e">
        <f t="shared" si="10"/>
        <v>#N/A</v>
      </c>
      <c r="AL62" t="e">
        <f t="shared" si="11"/>
        <v>#N/A</v>
      </c>
      <c r="AM62" t="e">
        <f t="shared" si="12"/>
        <v>#N/A</v>
      </c>
      <c r="AN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2" t="e">
        <f t="shared" si="13"/>
        <v>#N/A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0</v>
      </c>
      <c r="V63" cm="1">
        <f t="array" ref="V63">INDEX($F$4:$T$263,ROW(A60),MATCH($W$2,$F$3:$T$3,0))</f>
        <v>0</v>
      </c>
      <c r="W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3" t="e">
        <f t="shared" si="0"/>
        <v>#N/A</v>
      </c>
      <c r="AA63" t="e">
        <f t="shared" si="1"/>
        <v>#N/A</v>
      </c>
      <c r="AB63" t="e">
        <f t="shared" si="2"/>
        <v>#N/A</v>
      </c>
      <c r="AC63" t="e">
        <f t="shared" si="3"/>
        <v>#N/A</v>
      </c>
      <c r="AD63" t="e">
        <f t="shared" si="4"/>
        <v>#N/A</v>
      </c>
      <c r="AE63" t="e">
        <f t="shared" si="5"/>
        <v>#N/A</v>
      </c>
      <c r="AF63" t="e">
        <f t="shared" si="6"/>
        <v>#N/A</v>
      </c>
      <c r="AG63" t="e">
        <f t="shared" si="7"/>
        <v>#N/A</v>
      </c>
      <c r="AH63" t="e">
        <f t="shared" si="14"/>
        <v>#N/A</v>
      </c>
      <c r="AI63" t="e">
        <f t="shared" si="8"/>
        <v>#N/A</v>
      </c>
      <c r="AJ63">
        <f t="shared" si="9"/>
        <v>0</v>
      </c>
      <c r="AK63" t="e">
        <f t="shared" si="10"/>
        <v>#N/A</v>
      </c>
      <c r="AL63" t="e">
        <f t="shared" si="11"/>
        <v>#N/A</v>
      </c>
      <c r="AM63" t="e">
        <f t="shared" si="12"/>
        <v>#N/A</v>
      </c>
      <c r="AN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3" t="e">
        <f t="shared" si="13"/>
        <v>#N/A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0</v>
      </c>
      <c r="V64" cm="1">
        <f t="array" ref="V64">INDEX($F$4:$T$263,ROW(A61),MATCH($W$2,$F$3:$T$3,0))</f>
        <v>0</v>
      </c>
      <c r="W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4" t="e">
        <f t="shared" si="0"/>
        <v>#N/A</v>
      </c>
      <c r="AA64" t="e">
        <f t="shared" si="1"/>
        <v>#N/A</v>
      </c>
      <c r="AB64" t="e">
        <f t="shared" si="2"/>
        <v>#N/A</v>
      </c>
      <c r="AC64" t="e">
        <f t="shared" si="3"/>
        <v>#N/A</v>
      </c>
      <c r="AD64" t="e">
        <f t="shared" si="4"/>
        <v>#N/A</v>
      </c>
      <c r="AE64" t="e">
        <f t="shared" si="5"/>
        <v>#N/A</v>
      </c>
      <c r="AF64" t="e">
        <f t="shared" si="6"/>
        <v>#N/A</v>
      </c>
      <c r="AG64" t="e">
        <f t="shared" si="7"/>
        <v>#N/A</v>
      </c>
      <c r="AH64" t="e">
        <f t="shared" si="14"/>
        <v>#N/A</v>
      </c>
      <c r="AI64" t="e">
        <f t="shared" si="8"/>
        <v>#N/A</v>
      </c>
      <c r="AJ64">
        <f t="shared" si="9"/>
        <v>0</v>
      </c>
      <c r="AK64" t="e">
        <f t="shared" si="10"/>
        <v>#N/A</v>
      </c>
      <c r="AL64" t="e">
        <f t="shared" si="11"/>
        <v>#N/A</v>
      </c>
      <c r="AM64" t="e">
        <f t="shared" si="12"/>
        <v>#N/A</v>
      </c>
      <c r="AN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4" t="e">
        <f t="shared" si="13"/>
        <v>#N/A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0</v>
      </c>
      <c r="V65" cm="1">
        <f t="array" ref="V65">INDEX($F$4:$T$263,ROW(A62),MATCH($W$2,$F$3:$T$3,0))</f>
        <v>0</v>
      </c>
      <c r="W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5" t="e">
        <f t="shared" si="0"/>
        <v>#N/A</v>
      </c>
      <c r="AA65" t="e">
        <f t="shared" si="1"/>
        <v>#N/A</v>
      </c>
      <c r="AB65" t="e">
        <f t="shared" si="2"/>
        <v>#N/A</v>
      </c>
      <c r="AC65" t="e">
        <f t="shared" si="3"/>
        <v>#N/A</v>
      </c>
      <c r="AD65" t="e">
        <f t="shared" si="4"/>
        <v>#N/A</v>
      </c>
      <c r="AE65" t="e">
        <f t="shared" si="5"/>
        <v>#N/A</v>
      </c>
      <c r="AF65" t="e">
        <f t="shared" si="6"/>
        <v>#N/A</v>
      </c>
      <c r="AG65" t="e">
        <f t="shared" si="7"/>
        <v>#N/A</v>
      </c>
      <c r="AH65" t="e">
        <f t="shared" si="14"/>
        <v>#N/A</v>
      </c>
      <c r="AI65" t="e">
        <f t="shared" si="8"/>
        <v>#N/A</v>
      </c>
      <c r="AJ65">
        <f t="shared" si="9"/>
        <v>0</v>
      </c>
      <c r="AK65" t="e">
        <f t="shared" si="10"/>
        <v>#N/A</v>
      </c>
      <c r="AL65" t="e">
        <f t="shared" si="11"/>
        <v>#N/A</v>
      </c>
      <c r="AM65" t="e">
        <f t="shared" si="12"/>
        <v>#N/A</v>
      </c>
      <c r="AN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5" t="e">
        <f t="shared" si="13"/>
        <v>#N/A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0</v>
      </c>
      <c r="V66" cm="1">
        <f t="array" ref="V66">INDEX($F$4:$T$263,ROW(A63),MATCH($W$2,$F$3:$T$3,0))</f>
        <v>0</v>
      </c>
      <c r="W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6" t="e">
        <f t="shared" si="0"/>
        <v>#N/A</v>
      </c>
      <c r="AA66" t="e">
        <f t="shared" si="1"/>
        <v>#N/A</v>
      </c>
      <c r="AB66" t="e">
        <f t="shared" si="2"/>
        <v>#N/A</v>
      </c>
      <c r="AC66" t="e">
        <f t="shared" si="3"/>
        <v>#N/A</v>
      </c>
      <c r="AD66" t="e">
        <f t="shared" si="4"/>
        <v>#N/A</v>
      </c>
      <c r="AE66" t="e">
        <f t="shared" si="5"/>
        <v>#N/A</v>
      </c>
      <c r="AF66" t="e">
        <f t="shared" si="6"/>
        <v>#N/A</v>
      </c>
      <c r="AG66" t="e">
        <f t="shared" si="7"/>
        <v>#N/A</v>
      </c>
      <c r="AH66" t="e">
        <f t="shared" si="14"/>
        <v>#N/A</v>
      </c>
      <c r="AI66" t="e">
        <f t="shared" si="8"/>
        <v>#N/A</v>
      </c>
      <c r="AJ66">
        <f t="shared" si="9"/>
        <v>0</v>
      </c>
      <c r="AK66" t="e">
        <f t="shared" si="10"/>
        <v>#N/A</v>
      </c>
      <c r="AL66" t="e">
        <f t="shared" si="11"/>
        <v>#N/A</v>
      </c>
      <c r="AM66" t="e">
        <f t="shared" si="12"/>
        <v>#N/A</v>
      </c>
      <c r="AN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6" t="e">
        <f t="shared" si="13"/>
        <v>#N/A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0</v>
      </c>
      <c r="V67" cm="1">
        <f t="array" ref="V67">INDEX($F$4:$T$263,ROW(A64),MATCH($W$2,$F$3:$T$3,0))</f>
        <v>0</v>
      </c>
      <c r="W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7" t="e">
        <f t="shared" si="0"/>
        <v>#N/A</v>
      </c>
      <c r="AA67" t="e">
        <f t="shared" si="1"/>
        <v>#N/A</v>
      </c>
      <c r="AB67" t="e">
        <f t="shared" si="2"/>
        <v>#N/A</v>
      </c>
      <c r="AC67" t="e">
        <f t="shared" si="3"/>
        <v>#N/A</v>
      </c>
      <c r="AD67" t="e">
        <f t="shared" si="4"/>
        <v>#N/A</v>
      </c>
      <c r="AE67" t="e">
        <f t="shared" si="5"/>
        <v>#N/A</v>
      </c>
      <c r="AF67" t="e">
        <f t="shared" si="6"/>
        <v>#N/A</v>
      </c>
      <c r="AG67" t="e">
        <f t="shared" si="7"/>
        <v>#N/A</v>
      </c>
      <c r="AH67" t="e">
        <f t="shared" si="14"/>
        <v>#N/A</v>
      </c>
      <c r="AI67" t="e">
        <f t="shared" si="8"/>
        <v>#N/A</v>
      </c>
      <c r="AJ67">
        <f t="shared" si="9"/>
        <v>0</v>
      </c>
      <c r="AK67" t="e">
        <f t="shared" si="10"/>
        <v>#N/A</v>
      </c>
      <c r="AL67" t="e">
        <f t="shared" si="11"/>
        <v>#N/A</v>
      </c>
      <c r="AM67" t="e">
        <f t="shared" si="12"/>
        <v>#N/A</v>
      </c>
      <c r="AN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7" t="e">
        <f t="shared" si="13"/>
        <v>#N/A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0</v>
      </c>
      <c r="V68" cm="1">
        <f t="array" ref="V68">INDEX($F$4:$T$263,ROW(A65),MATCH($W$2,$F$3:$T$3,0))</f>
        <v>0</v>
      </c>
      <c r="W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8" t="e">
        <f t="shared" si="0"/>
        <v>#N/A</v>
      </c>
      <c r="AA68" t="e">
        <f t="shared" si="1"/>
        <v>#N/A</v>
      </c>
      <c r="AB68" t="e">
        <f t="shared" si="2"/>
        <v>#N/A</v>
      </c>
      <c r="AC68" t="e">
        <f t="shared" si="3"/>
        <v>#N/A</v>
      </c>
      <c r="AD68" t="e">
        <f t="shared" si="4"/>
        <v>#N/A</v>
      </c>
      <c r="AE68" t="e">
        <f t="shared" si="5"/>
        <v>#N/A</v>
      </c>
      <c r="AF68" t="e">
        <f t="shared" si="6"/>
        <v>#N/A</v>
      </c>
      <c r="AG68" t="e">
        <f t="shared" si="7"/>
        <v>#N/A</v>
      </c>
      <c r="AH68" t="e">
        <f t="shared" si="14"/>
        <v>#N/A</v>
      </c>
      <c r="AI68" t="e">
        <f t="shared" si="8"/>
        <v>#N/A</v>
      </c>
      <c r="AJ68">
        <f t="shared" si="9"/>
        <v>0</v>
      </c>
      <c r="AK68" t="e">
        <f t="shared" si="10"/>
        <v>#N/A</v>
      </c>
      <c r="AL68" t="e">
        <f t="shared" si="11"/>
        <v>#N/A</v>
      </c>
      <c r="AM68" t="e">
        <f t="shared" si="12"/>
        <v>#N/A</v>
      </c>
      <c r="AN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8" t="e">
        <f t="shared" si="13"/>
        <v>#N/A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0</v>
      </c>
      <c r="V69" cm="1">
        <f t="array" ref="V69">INDEX($F$4:$T$263,ROW(A66),MATCH($W$2,$F$3:$T$3,0))</f>
        <v>0</v>
      </c>
      <c r="W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69" t="e">
        <f t="shared" ref="Z69:Z132" si="15">Y69/1.128</f>
        <v>#N/A</v>
      </c>
      <c r="AA69" t="e">
        <f t="shared" ref="AA69:AA132" si="16">MAX(0,W69-(3*Z69))</f>
        <v>#N/A</v>
      </c>
      <c r="AB69" t="e">
        <f t="shared" ref="AB69:AB132" si="17">MAX(0,W69-(2*Z69))</f>
        <v>#N/A</v>
      </c>
      <c r="AC69" t="e">
        <f t="shared" ref="AC69:AC132" si="18">MAX(0,W69-Z69)</f>
        <v>#N/A</v>
      </c>
      <c r="AD69" t="e">
        <f t="shared" ref="AD69:AD132" si="19">W69+Z69</f>
        <v>#N/A</v>
      </c>
      <c r="AE69" t="e">
        <f t="shared" ref="AE69:AE132" si="20">W69+(2*Z69)</f>
        <v>#N/A</v>
      </c>
      <c r="AF69" t="e">
        <f t="shared" ref="AF69:AF132" si="21">W69+(3*Z69)</f>
        <v>#N/A</v>
      </c>
      <c r="AG69" t="e">
        <f t="shared" ref="AG69:AG132" si="22">IF(OR(V69&gt;AF69,V69&lt;AA69),V69,NA())</f>
        <v>#N/A</v>
      </c>
      <c r="AH69" t="e">
        <f t="shared" si="14"/>
        <v>#N/A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 t="e">
        <f t="shared" ref="AL69:AL132" si="26">IF(V69&lt;W69,-1,IF(V69&gt;W69,1,0))</f>
        <v>#N/A</v>
      </c>
      <c r="AM69" t="e">
        <f t="shared" ref="AM69:AM132" si="27">IF(ABS(SUM(AL69:AL77))=9,V69,NA())</f>
        <v>#N/A</v>
      </c>
      <c r="AN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69" t="e">
        <f t="shared" ref="AP69:AP132" si="28">AO69-AN69</f>
        <v>#N/A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0</v>
      </c>
      <c r="V70" cm="1">
        <f t="array" ref="V70">INDEX($F$4:$T$263,ROW(A67),MATCH($W$2,$F$3:$T$3,0))</f>
        <v>0</v>
      </c>
      <c r="W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0" t="e">
        <f t="shared" si="15"/>
        <v>#N/A</v>
      </c>
      <c r="AA70" t="e">
        <f t="shared" si="16"/>
        <v>#N/A</v>
      </c>
      <c r="AB70" t="e">
        <f t="shared" si="17"/>
        <v>#N/A</v>
      </c>
      <c r="AC70" t="e">
        <f t="shared" si="18"/>
        <v>#N/A</v>
      </c>
      <c r="AD70" t="e">
        <f t="shared" si="19"/>
        <v>#N/A</v>
      </c>
      <c r="AE70" t="e">
        <f t="shared" si="20"/>
        <v>#N/A</v>
      </c>
      <c r="AF70" t="e">
        <f t="shared" si="21"/>
        <v>#N/A</v>
      </c>
      <c r="AG70" t="e">
        <f t="shared" si="22"/>
        <v>#N/A</v>
      </c>
      <c r="AH70" t="e">
        <f t="shared" ref="AH70:AH133" si="29">IF(V70&gt;AE70,2,IF(V70&lt;AB70,-2,IF(V70&gt;W70,1,IF(V70&lt;W70,-1,0))))</f>
        <v>#N/A</v>
      </c>
      <c r="AI70" t="e">
        <f t="shared" si="23"/>
        <v>#N/A</v>
      </c>
      <c r="AJ70">
        <f t="shared" si="24"/>
        <v>0</v>
      </c>
      <c r="AK70" t="e">
        <f t="shared" si="25"/>
        <v>#N/A</v>
      </c>
      <c r="AL70" t="e">
        <f t="shared" si="26"/>
        <v>#N/A</v>
      </c>
      <c r="AM70" t="e">
        <f t="shared" si="27"/>
        <v>#N/A</v>
      </c>
      <c r="AN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0" t="e">
        <f t="shared" si="28"/>
        <v>#N/A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0</v>
      </c>
      <c r="V71" cm="1">
        <f t="array" ref="V71">INDEX($F$4:$T$263,ROW(A68),MATCH($W$2,$F$3:$T$3,0))</f>
        <v>0</v>
      </c>
      <c r="W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1" t="e">
        <f t="shared" si="15"/>
        <v>#N/A</v>
      </c>
      <c r="AA71" t="e">
        <f t="shared" si="16"/>
        <v>#N/A</v>
      </c>
      <c r="AB71" t="e">
        <f t="shared" si="17"/>
        <v>#N/A</v>
      </c>
      <c r="AC71" t="e">
        <f t="shared" si="18"/>
        <v>#N/A</v>
      </c>
      <c r="AD71" t="e">
        <f t="shared" si="19"/>
        <v>#N/A</v>
      </c>
      <c r="AE71" t="e">
        <f t="shared" si="20"/>
        <v>#N/A</v>
      </c>
      <c r="AF71" t="e">
        <f t="shared" si="21"/>
        <v>#N/A</v>
      </c>
      <c r="AG71" t="e">
        <f t="shared" si="22"/>
        <v>#N/A</v>
      </c>
      <c r="AH71" t="e">
        <f t="shared" si="29"/>
        <v>#N/A</v>
      </c>
      <c r="AI71" t="e">
        <f t="shared" si="23"/>
        <v>#N/A</v>
      </c>
      <c r="AJ71">
        <f t="shared" si="24"/>
        <v>0</v>
      </c>
      <c r="AK71" t="e">
        <f t="shared" si="25"/>
        <v>#N/A</v>
      </c>
      <c r="AL71" t="e">
        <f t="shared" si="26"/>
        <v>#N/A</v>
      </c>
      <c r="AM71" t="e">
        <f t="shared" si="27"/>
        <v>#N/A</v>
      </c>
      <c r="AN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1" t="e">
        <f t="shared" si="28"/>
        <v>#N/A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0</v>
      </c>
      <c r="V72" cm="1">
        <f t="array" ref="V72">INDEX($F$4:$T$263,ROW(A69),MATCH($W$2,$F$3:$T$3,0))</f>
        <v>0</v>
      </c>
      <c r="W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2" t="e">
        <f t="shared" si="15"/>
        <v>#N/A</v>
      </c>
      <c r="AA72" t="e">
        <f t="shared" si="16"/>
        <v>#N/A</v>
      </c>
      <c r="AB72" t="e">
        <f t="shared" si="17"/>
        <v>#N/A</v>
      </c>
      <c r="AC72" t="e">
        <f t="shared" si="18"/>
        <v>#N/A</v>
      </c>
      <c r="AD72" t="e">
        <f t="shared" si="19"/>
        <v>#N/A</v>
      </c>
      <c r="AE72" t="e">
        <f t="shared" si="20"/>
        <v>#N/A</v>
      </c>
      <c r="AF72" t="e">
        <f t="shared" si="21"/>
        <v>#N/A</v>
      </c>
      <c r="AG72" t="e">
        <f t="shared" si="22"/>
        <v>#N/A</v>
      </c>
      <c r="AH72" t="e">
        <f t="shared" si="29"/>
        <v>#N/A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 t="e">
        <f t="shared" si="26"/>
        <v>#N/A</v>
      </c>
      <c r="AM72" t="e">
        <f t="shared" si="27"/>
        <v>#N/A</v>
      </c>
      <c r="AN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2" t="e">
        <f t="shared" si="28"/>
        <v>#N/A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0</v>
      </c>
      <c r="V73" cm="1">
        <f t="array" ref="V73">INDEX($F$4:$T$263,ROW(A70),MATCH($W$2,$F$3:$T$3,0))</f>
        <v>0</v>
      </c>
      <c r="W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3" t="e">
        <f t="shared" si="15"/>
        <v>#N/A</v>
      </c>
      <c r="AA73" t="e">
        <f t="shared" si="16"/>
        <v>#N/A</v>
      </c>
      <c r="AB73" t="e">
        <f t="shared" si="17"/>
        <v>#N/A</v>
      </c>
      <c r="AC73" t="e">
        <f t="shared" si="18"/>
        <v>#N/A</v>
      </c>
      <c r="AD73" t="e">
        <f t="shared" si="19"/>
        <v>#N/A</v>
      </c>
      <c r="AE73" t="e">
        <f t="shared" si="20"/>
        <v>#N/A</v>
      </c>
      <c r="AF73" t="e">
        <f t="shared" si="21"/>
        <v>#N/A</v>
      </c>
      <c r="AG73" t="e">
        <f t="shared" si="22"/>
        <v>#N/A</v>
      </c>
      <c r="AH73" t="e">
        <f t="shared" si="29"/>
        <v>#N/A</v>
      </c>
      <c r="AI73" t="e">
        <f t="shared" si="23"/>
        <v>#N/A</v>
      </c>
      <c r="AJ73">
        <f t="shared" si="24"/>
        <v>0</v>
      </c>
      <c r="AK73" t="e">
        <f t="shared" si="25"/>
        <v>#N/A</v>
      </c>
      <c r="AL73" t="e">
        <f t="shared" si="26"/>
        <v>#N/A</v>
      </c>
      <c r="AM73" t="e">
        <f t="shared" si="27"/>
        <v>#N/A</v>
      </c>
      <c r="AN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3" t="e">
        <f t="shared" si="28"/>
        <v>#N/A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0</v>
      </c>
      <c r="V74" cm="1">
        <f t="array" ref="V74">INDEX($F$4:$T$263,ROW(A71),MATCH($W$2,$F$3:$T$3,0))</f>
        <v>0</v>
      </c>
      <c r="W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4" t="e">
        <f t="shared" si="15"/>
        <v>#N/A</v>
      </c>
      <c r="AA74" t="e">
        <f t="shared" si="16"/>
        <v>#N/A</v>
      </c>
      <c r="AB74" t="e">
        <f t="shared" si="17"/>
        <v>#N/A</v>
      </c>
      <c r="AC74" t="e">
        <f t="shared" si="18"/>
        <v>#N/A</v>
      </c>
      <c r="AD74" t="e">
        <f t="shared" si="19"/>
        <v>#N/A</v>
      </c>
      <c r="AE74" t="e">
        <f t="shared" si="20"/>
        <v>#N/A</v>
      </c>
      <c r="AF74" t="e">
        <f t="shared" si="21"/>
        <v>#N/A</v>
      </c>
      <c r="AG74" t="e">
        <f t="shared" si="22"/>
        <v>#N/A</v>
      </c>
      <c r="AH74" t="e">
        <f t="shared" si="29"/>
        <v>#N/A</v>
      </c>
      <c r="AI74" t="e">
        <f t="shared" si="23"/>
        <v>#N/A</v>
      </c>
      <c r="AJ74">
        <f t="shared" si="24"/>
        <v>0</v>
      </c>
      <c r="AK74" t="e">
        <f t="shared" si="25"/>
        <v>#N/A</v>
      </c>
      <c r="AL74" t="e">
        <f t="shared" si="26"/>
        <v>#N/A</v>
      </c>
      <c r="AM74" t="e">
        <f t="shared" si="27"/>
        <v>#N/A</v>
      </c>
      <c r="AN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4" t="e">
        <f t="shared" si="28"/>
        <v>#N/A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0</v>
      </c>
      <c r="V75" cm="1">
        <f t="array" ref="V75">INDEX($F$4:$T$263,ROW(A72),MATCH($W$2,$F$3:$T$3,0))</f>
        <v>0</v>
      </c>
      <c r="W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5" t="e">
        <f t="shared" si="15"/>
        <v>#N/A</v>
      </c>
      <c r="AA75" t="e">
        <f t="shared" si="16"/>
        <v>#N/A</v>
      </c>
      <c r="AB75" t="e">
        <f t="shared" si="17"/>
        <v>#N/A</v>
      </c>
      <c r="AC75" t="e">
        <f t="shared" si="18"/>
        <v>#N/A</v>
      </c>
      <c r="AD75" t="e">
        <f t="shared" si="19"/>
        <v>#N/A</v>
      </c>
      <c r="AE75" t="e">
        <f t="shared" si="20"/>
        <v>#N/A</v>
      </c>
      <c r="AF75" t="e">
        <f t="shared" si="21"/>
        <v>#N/A</v>
      </c>
      <c r="AG75" t="e">
        <f t="shared" si="22"/>
        <v>#N/A</v>
      </c>
      <c r="AH75" t="e">
        <f t="shared" si="29"/>
        <v>#N/A</v>
      </c>
      <c r="AI75" t="e">
        <f t="shared" si="23"/>
        <v>#N/A</v>
      </c>
      <c r="AJ75">
        <f t="shared" si="24"/>
        <v>0</v>
      </c>
      <c r="AK75" t="e">
        <f t="shared" si="25"/>
        <v>#N/A</v>
      </c>
      <c r="AL75" t="e">
        <f t="shared" si="26"/>
        <v>#N/A</v>
      </c>
      <c r="AM75" t="e">
        <f t="shared" si="27"/>
        <v>#N/A</v>
      </c>
      <c r="AN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5" t="e">
        <f t="shared" si="28"/>
        <v>#N/A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0</v>
      </c>
      <c r="V76" cm="1">
        <f t="array" ref="V76">INDEX($F$4:$T$263,ROW(A73),MATCH($W$2,$F$3:$T$3,0))</f>
        <v>0</v>
      </c>
      <c r="W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6" t="e">
        <f t="shared" si="15"/>
        <v>#N/A</v>
      </c>
      <c r="AA76" t="e">
        <f t="shared" si="16"/>
        <v>#N/A</v>
      </c>
      <c r="AB76" t="e">
        <f t="shared" si="17"/>
        <v>#N/A</v>
      </c>
      <c r="AC76" t="e">
        <f t="shared" si="18"/>
        <v>#N/A</v>
      </c>
      <c r="AD76" t="e">
        <f t="shared" si="19"/>
        <v>#N/A</v>
      </c>
      <c r="AE76" t="e">
        <f t="shared" si="20"/>
        <v>#N/A</v>
      </c>
      <c r="AF76" t="e">
        <f t="shared" si="21"/>
        <v>#N/A</v>
      </c>
      <c r="AG76" t="e">
        <f t="shared" si="22"/>
        <v>#N/A</v>
      </c>
      <c r="AH76" t="e">
        <f t="shared" si="29"/>
        <v>#N/A</v>
      </c>
      <c r="AI76" t="e">
        <f t="shared" si="23"/>
        <v>#N/A</v>
      </c>
      <c r="AJ76">
        <f t="shared" si="24"/>
        <v>0</v>
      </c>
      <c r="AK76" t="e">
        <f t="shared" si="25"/>
        <v>#N/A</v>
      </c>
      <c r="AL76" t="e">
        <f t="shared" si="26"/>
        <v>#N/A</v>
      </c>
      <c r="AM76" t="e">
        <f t="shared" si="27"/>
        <v>#N/A</v>
      </c>
      <c r="AN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6" t="e">
        <f t="shared" si="28"/>
        <v>#N/A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0</v>
      </c>
      <c r="V77" cm="1">
        <f t="array" ref="V77">INDEX($F$4:$T$263,ROW(A74),MATCH($W$2,$F$3:$T$3,0))</f>
        <v>0</v>
      </c>
      <c r="W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7" t="e">
        <f t="shared" si="15"/>
        <v>#N/A</v>
      </c>
      <c r="AA77" t="e">
        <f t="shared" si="16"/>
        <v>#N/A</v>
      </c>
      <c r="AB77" t="e">
        <f t="shared" si="17"/>
        <v>#N/A</v>
      </c>
      <c r="AC77" t="e">
        <f t="shared" si="18"/>
        <v>#N/A</v>
      </c>
      <c r="AD77" t="e">
        <f t="shared" si="19"/>
        <v>#N/A</v>
      </c>
      <c r="AE77" t="e">
        <f t="shared" si="20"/>
        <v>#N/A</v>
      </c>
      <c r="AF77" t="e">
        <f t="shared" si="21"/>
        <v>#N/A</v>
      </c>
      <c r="AG77" t="e">
        <f t="shared" si="22"/>
        <v>#N/A</v>
      </c>
      <c r="AH77" t="e">
        <f t="shared" si="29"/>
        <v>#N/A</v>
      </c>
      <c r="AI77" t="e">
        <f t="shared" si="23"/>
        <v>#N/A</v>
      </c>
      <c r="AJ77">
        <f t="shared" si="24"/>
        <v>0</v>
      </c>
      <c r="AK77" t="e">
        <f t="shared" si="25"/>
        <v>#N/A</v>
      </c>
      <c r="AL77" t="e">
        <f t="shared" si="26"/>
        <v>#N/A</v>
      </c>
      <c r="AM77" t="e">
        <f t="shared" si="27"/>
        <v>#N/A</v>
      </c>
      <c r="AN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7" t="e">
        <f t="shared" si="28"/>
        <v>#N/A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0</v>
      </c>
      <c r="V78" cm="1">
        <f t="array" ref="V78">INDEX($F$4:$T$263,ROW(A75),MATCH($W$2,$F$3:$T$3,0))</f>
        <v>0</v>
      </c>
      <c r="W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8" t="e">
        <f t="shared" si="15"/>
        <v>#N/A</v>
      </c>
      <c r="AA78" t="e">
        <f t="shared" si="16"/>
        <v>#N/A</v>
      </c>
      <c r="AB78" t="e">
        <f t="shared" si="17"/>
        <v>#N/A</v>
      </c>
      <c r="AC78" t="e">
        <f t="shared" si="18"/>
        <v>#N/A</v>
      </c>
      <c r="AD78" t="e">
        <f t="shared" si="19"/>
        <v>#N/A</v>
      </c>
      <c r="AE78" t="e">
        <f t="shared" si="20"/>
        <v>#N/A</v>
      </c>
      <c r="AF78" t="e">
        <f t="shared" si="21"/>
        <v>#N/A</v>
      </c>
      <c r="AG78" t="e">
        <f t="shared" si="22"/>
        <v>#N/A</v>
      </c>
      <c r="AH78" t="e">
        <f t="shared" si="29"/>
        <v>#N/A</v>
      </c>
      <c r="AI78" t="e">
        <f t="shared" si="23"/>
        <v>#N/A</v>
      </c>
      <c r="AJ78">
        <f t="shared" si="24"/>
        <v>0</v>
      </c>
      <c r="AK78" t="e">
        <f t="shared" si="25"/>
        <v>#N/A</v>
      </c>
      <c r="AL78" t="e">
        <f t="shared" si="26"/>
        <v>#N/A</v>
      </c>
      <c r="AM78" t="e">
        <f t="shared" si="27"/>
        <v>#N/A</v>
      </c>
      <c r="AN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8" t="e">
        <f t="shared" si="28"/>
        <v>#N/A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0</v>
      </c>
      <c r="V79" cm="1">
        <f t="array" ref="V79">INDEX($F$4:$T$263,ROW(A76),MATCH($W$2,$F$3:$T$3,0))</f>
        <v>0</v>
      </c>
      <c r="W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79" t="e">
        <f t="shared" si="15"/>
        <v>#N/A</v>
      </c>
      <c r="AA79" t="e">
        <f t="shared" si="16"/>
        <v>#N/A</v>
      </c>
      <c r="AB79" t="e">
        <f t="shared" si="17"/>
        <v>#N/A</v>
      </c>
      <c r="AC79" t="e">
        <f t="shared" si="18"/>
        <v>#N/A</v>
      </c>
      <c r="AD79" t="e">
        <f t="shared" si="19"/>
        <v>#N/A</v>
      </c>
      <c r="AE79" t="e">
        <f t="shared" si="20"/>
        <v>#N/A</v>
      </c>
      <c r="AF79" t="e">
        <f t="shared" si="21"/>
        <v>#N/A</v>
      </c>
      <c r="AG79" t="e">
        <f t="shared" si="22"/>
        <v>#N/A</v>
      </c>
      <c r="AH79" t="e">
        <f t="shared" si="29"/>
        <v>#N/A</v>
      </c>
      <c r="AI79" t="e">
        <f t="shared" si="23"/>
        <v>#N/A</v>
      </c>
      <c r="AJ79">
        <f t="shared" si="24"/>
        <v>0</v>
      </c>
      <c r="AK79" t="e">
        <f t="shared" si="25"/>
        <v>#N/A</v>
      </c>
      <c r="AL79" t="e">
        <f t="shared" si="26"/>
        <v>#N/A</v>
      </c>
      <c r="AM79" t="e">
        <f t="shared" si="27"/>
        <v>#N/A</v>
      </c>
      <c r="AN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79" t="e">
        <f t="shared" si="28"/>
        <v>#N/A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0</v>
      </c>
      <c r="V80" cm="1">
        <f t="array" ref="V80">INDEX($F$4:$T$263,ROW(A77),MATCH($W$2,$F$3:$T$3,0))</f>
        <v>0</v>
      </c>
      <c r="W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0" t="e">
        <f t="shared" si="15"/>
        <v>#N/A</v>
      </c>
      <c r="AA80" t="e">
        <f t="shared" si="16"/>
        <v>#N/A</v>
      </c>
      <c r="AB80" t="e">
        <f t="shared" si="17"/>
        <v>#N/A</v>
      </c>
      <c r="AC80" t="e">
        <f t="shared" si="18"/>
        <v>#N/A</v>
      </c>
      <c r="AD80" t="e">
        <f t="shared" si="19"/>
        <v>#N/A</v>
      </c>
      <c r="AE80" t="e">
        <f t="shared" si="20"/>
        <v>#N/A</v>
      </c>
      <c r="AF80" t="e">
        <f t="shared" si="21"/>
        <v>#N/A</v>
      </c>
      <c r="AG80" t="e">
        <f t="shared" si="22"/>
        <v>#N/A</v>
      </c>
      <c r="AH80" t="e">
        <f t="shared" si="29"/>
        <v>#N/A</v>
      </c>
      <c r="AI80" t="e">
        <f t="shared" si="23"/>
        <v>#N/A</v>
      </c>
      <c r="AJ80">
        <f t="shared" si="24"/>
        <v>0</v>
      </c>
      <c r="AK80" t="e">
        <f t="shared" si="25"/>
        <v>#N/A</v>
      </c>
      <c r="AL80" t="e">
        <f t="shared" si="26"/>
        <v>#N/A</v>
      </c>
      <c r="AM80" t="e">
        <f t="shared" si="27"/>
        <v>#N/A</v>
      </c>
      <c r="AN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0" t="e">
        <f t="shared" si="28"/>
        <v>#N/A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0</v>
      </c>
      <c r="V81" cm="1">
        <f t="array" ref="V81">INDEX($F$4:$T$263,ROW(A78),MATCH($W$2,$F$3:$T$3,0))</f>
        <v>0</v>
      </c>
      <c r="W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1" t="e">
        <f t="shared" si="15"/>
        <v>#N/A</v>
      </c>
      <c r="AA81" t="e">
        <f t="shared" si="16"/>
        <v>#N/A</v>
      </c>
      <c r="AB81" t="e">
        <f t="shared" si="17"/>
        <v>#N/A</v>
      </c>
      <c r="AC81" t="e">
        <f t="shared" si="18"/>
        <v>#N/A</v>
      </c>
      <c r="AD81" t="e">
        <f t="shared" si="19"/>
        <v>#N/A</v>
      </c>
      <c r="AE81" t="e">
        <f t="shared" si="20"/>
        <v>#N/A</v>
      </c>
      <c r="AF81" t="e">
        <f t="shared" si="21"/>
        <v>#N/A</v>
      </c>
      <c r="AG81" t="e">
        <f t="shared" si="22"/>
        <v>#N/A</v>
      </c>
      <c r="AH81" t="e">
        <f t="shared" si="29"/>
        <v>#N/A</v>
      </c>
      <c r="AI81" t="e">
        <f t="shared" si="23"/>
        <v>#N/A</v>
      </c>
      <c r="AJ81">
        <f t="shared" si="24"/>
        <v>0</v>
      </c>
      <c r="AK81" t="e">
        <f t="shared" si="25"/>
        <v>#N/A</v>
      </c>
      <c r="AL81" t="e">
        <f t="shared" si="26"/>
        <v>#N/A</v>
      </c>
      <c r="AM81" t="e">
        <f t="shared" si="27"/>
        <v>#N/A</v>
      </c>
      <c r="AN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1" t="e">
        <f t="shared" si="28"/>
        <v>#N/A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0</v>
      </c>
      <c r="V82" cm="1">
        <f t="array" ref="V82">INDEX($F$4:$T$263,ROW(A79),MATCH($W$2,$F$3:$T$3,0))</f>
        <v>0</v>
      </c>
      <c r="W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2" t="e">
        <f t="shared" si="15"/>
        <v>#N/A</v>
      </c>
      <c r="AA82" t="e">
        <f t="shared" si="16"/>
        <v>#N/A</v>
      </c>
      <c r="AB82" t="e">
        <f t="shared" si="17"/>
        <v>#N/A</v>
      </c>
      <c r="AC82" t="e">
        <f t="shared" si="18"/>
        <v>#N/A</v>
      </c>
      <c r="AD82" t="e">
        <f t="shared" si="19"/>
        <v>#N/A</v>
      </c>
      <c r="AE82" t="e">
        <f t="shared" si="20"/>
        <v>#N/A</v>
      </c>
      <c r="AF82" t="e">
        <f t="shared" si="21"/>
        <v>#N/A</v>
      </c>
      <c r="AG82" t="e">
        <f t="shared" si="22"/>
        <v>#N/A</v>
      </c>
      <c r="AH82" t="e">
        <f t="shared" si="29"/>
        <v>#N/A</v>
      </c>
      <c r="AI82" t="e">
        <f t="shared" si="23"/>
        <v>#N/A</v>
      </c>
      <c r="AJ82">
        <f t="shared" si="24"/>
        <v>0</v>
      </c>
      <c r="AK82" t="e">
        <f t="shared" si="25"/>
        <v>#N/A</v>
      </c>
      <c r="AL82" t="e">
        <f t="shared" si="26"/>
        <v>#N/A</v>
      </c>
      <c r="AM82" t="e">
        <f t="shared" si="27"/>
        <v>#N/A</v>
      </c>
      <c r="AN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2" t="e">
        <f t="shared" si="28"/>
        <v>#N/A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0</v>
      </c>
      <c r="V83" cm="1">
        <f t="array" ref="V83">INDEX($F$4:$T$263,ROW(A80),MATCH($W$2,$F$3:$T$3,0))</f>
        <v>0</v>
      </c>
      <c r="W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3" t="e">
        <f t="shared" si="15"/>
        <v>#N/A</v>
      </c>
      <c r="AA83" t="e">
        <f t="shared" si="16"/>
        <v>#N/A</v>
      </c>
      <c r="AB83" t="e">
        <f t="shared" si="17"/>
        <v>#N/A</v>
      </c>
      <c r="AC83" t="e">
        <f t="shared" si="18"/>
        <v>#N/A</v>
      </c>
      <c r="AD83" t="e">
        <f t="shared" si="19"/>
        <v>#N/A</v>
      </c>
      <c r="AE83" t="e">
        <f t="shared" si="20"/>
        <v>#N/A</v>
      </c>
      <c r="AF83" t="e">
        <f t="shared" si="21"/>
        <v>#N/A</v>
      </c>
      <c r="AG83" t="e">
        <f t="shared" si="22"/>
        <v>#N/A</v>
      </c>
      <c r="AH83" t="e">
        <f t="shared" si="29"/>
        <v>#N/A</v>
      </c>
      <c r="AI83" t="e">
        <f t="shared" si="23"/>
        <v>#N/A</v>
      </c>
      <c r="AJ83">
        <f t="shared" si="24"/>
        <v>0</v>
      </c>
      <c r="AK83" t="e">
        <f t="shared" si="25"/>
        <v>#N/A</v>
      </c>
      <c r="AL83" t="e">
        <f t="shared" si="26"/>
        <v>#N/A</v>
      </c>
      <c r="AM83" t="e">
        <f t="shared" si="27"/>
        <v>#N/A</v>
      </c>
      <c r="AN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3" t="e">
        <f t="shared" si="28"/>
        <v>#N/A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0</v>
      </c>
      <c r="V84" cm="1">
        <f t="array" ref="V84">INDEX($F$4:$T$263,ROW(A81),MATCH($W$2,$F$3:$T$3,0))</f>
        <v>0</v>
      </c>
      <c r="W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4" t="e">
        <f t="shared" si="15"/>
        <v>#N/A</v>
      </c>
      <c r="AA84" t="e">
        <f t="shared" si="16"/>
        <v>#N/A</v>
      </c>
      <c r="AB84" t="e">
        <f t="shared" si="17"/>
        <v>#N/A</v>
      </c>
      <c r="AC84" t="e">
        <f t="shared" si="18"/>
        <v>#N/A</v>
      </c>
      <c r="AD84" t="e">
        <f t="shared" si="19"/>
        <v>#N/A</v>
      </c>
      <c r="AE84" t="e">
        <f t="shared" si="20"/>
        <v>#N/A</v>
      </c>
      <c r="AF84" t="e">
        <f t="shared" si="21"/>
        <v>#N/A</v>
      </c>
      <c r="AG84" t="e">
        <f t="shared" si="22"/>
        <v>#N/A</v>
      </c>
      <c r="AH84" t="e">
        <f t="shared" si="29"/>
        <v>#N/A</v>
      </c>
      <c r="AI84" t="e">
        <f t="shared" si="23"/>
        <v>#N/A</v>
      </c>
      <c r="AJ84">
        <f t="shared" si="24"/>
        <v>0</v>
      </c>
      <c r="AK84" t="e">
        <f t="shared" si="25"/>
        <v>#N/A</v>
      </c>
      <c r="AL84" t="e">
        <f t="shared" si="26"/>
        <v>#N/A</v>
      </c>
      <c r="AM84" t="e">
        <f t="shared" si="27"/>
        <v>#N/A</v>
      </c>
      <c r="AN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4" t="e">
        <f t="shared" si="28"/>
        <v>#N/A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0</v>
      </c>
      <c r="V85" cm="1">
        <f t="array" ref="V85">INDEX($F$4:$T$263,ROW(A82),MATCH($W$2,$F$3:$T$3,0))</f>
        <v>0</v>
      </c>
      <c r="W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5" t="e">
        <f t="shared" si="15"/>
        <v>#N/A</v>
      </c>
      <c r="AA85" t="e">
        <f t="shared" si="16"/>
        <v>#N/A</v>
      </c>
      <c r="AB85" t="e">
        <f t="shared" si="17"/>
        <v>#N/A</v>
      </c>
      <c r="AC85" t="e">
        <f t="shared" si="18"/>
        <v>#N/A</v>
      </c>
      <c r="AD85" t="e">
        <f t="shared" si="19"/>
        <v>#N/A</v>
      </c>
      <c r="AE85" t="e">
        <f t="shared" si="20"/>
        <v>#N/A</v>
      </c>
      <c r="AF85" t="e">
        <f t="shared" si="21"/>
        <v>#N/A</v>
      </c>
      <c r="AG85" t="e">
        <f t="shared" si="22"/>
        <v>#N/A</v>
      </c>
      <c r="AH85" t="e">
        <f t="shared" si="29"/>
        <v>#N/A</v>
      </c>
      <c r="AI85" t="e">
        <f t="shared" si="23"/>
        <v>#N/A</v>
      </c>
      <c r="AJ85">
        <f t="shared" si="24"/>
        <v>0</v>
      </c>
      <c r="AK85" t="e">
        <f t="shared" si="25"/>
        <v>#N/A</v>
      </c>
      <c r="AL85" t="e">
        <f t="shared" si="26"/>
        <v>#N/A</v>
      </c>
      <c r="AM85" t="e">
        <f t="shared" si="27"/>
        <v>#N/A</v>
      </c>
      <c r="AN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5" t="e">
        <f t="shared" si="28"/>
        <v>#N/A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0</v>
      </c>
      <c r="V86" cm="1">
        <f t="array" ref="V86">INDEX($F$4:$T$263,ROW(A83),MATCH($W$2,$F$3:$T$3,0))</f>
        <v>0</v>
      </c>
      <c r="W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6" t="e">
        <f t="shared" si="15"/>
        <v>#N/A</v>
      </c>
      <c r="AA86" t="e">
        <f t="shared" si="16"/>
        <v>#N/A</v>
      </c>
      <c r="AB86" t="e">
        <f t="shared" si="17"/>
        <v>#N/A</v>
      </c>
      <c r="AC86" t="e">
        <f t="shared" si="18"/>
        <v>#N/A</v>
      </c>
      <c r="AD86" t="e">
        <f t="shared" si="19"/>
        <v>#N/A</v>
      </c>
      <c r="AE86" t="e">
        <f t="shared" si="20"/>
        <v>#N/A</v>
      </c>
      <c r="AF86" t="e">
        <f t="shared" si="21"/>
        <v>#N/A</v>
      </c>
      <c r="AG86" t="e">
        <f t="shared" si="22"/>
        <v>#N/A</v>
      </c>
      <c r="AH86" t="e">
        <f t="shared" si="29"/>
        <v>#N/A</v>
      </c>
      <c r="AI86" t="e">
        <f t="shared" si="23"/>
        <v>#N/A</v>
      </c>
      <c r="AJ86">
        <f t="shared" si="24"/>
        <v>0</v>
      </c>
      <c r="AK86" t="e">
        <f t="shared" si="25"/>
        <v>#N/A</v>
      </c>
      <c r="AL86" t="e">
        <f t="shared" si="26"/>
        <v>#N/A</v>
      </c>
      <c r="AM86" t="e">
        <f t="shared" si="27"/>
        <v>#N/A</v>
      </c>
      <c r="AN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6" t="e">
        <f t="shared" si="28"/>
        <v>#N/A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0</v>
      </c>
      <c r="V87" cm="1">
        <f t="array" ref="V87">INDEX($F$4:$T$263,ROW(A84),MATCH($W$2,$F$3:$T$3,0))</f>
        <v>0</v>
      </c>
      <c r="W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7" t="e">
        <f t="shared" si="15"/>
        <v>#N/A</v>
      </c>
      <c r="AA87" t="e">
        <f t="shared" si="16"/>
        <v>#N/A</v>
      </c>
      <c r="AB87" t="e">
        <f t="shared" si="17"/>
        <v>#N/A</v>
      </c>
      <c r="AC87" t="e">
        <f t="shared" si="18"/>
        <v>#N/A</v>
      </c>
      <c r="AD87" t="e">
        <f t="shared" si="19"/>
        <v>#N/A</v>
      </c>
      <c r="AE87" t="e">
        <f t="shared" si="20"/>
        <v>#N/A</v>
      </c>
      <c r="AF87" t="e">
        <f t="shared" si="21"/>
        <v>#N/A</v>
      </c>
      <c r="AG87" t="e">
        <f t="shared" si="22"/>
        <v>#N/A</v>
      </c>
      <c r="AH87" t="e">
        <f t="shared" si="29"/>
        <v>#N/A</v>
      </c>
      <c r="AI87" t="e">
        <f t="shared" si="23"/>
        <v>#N/A</v>
      </c>
      <c r="AJ87">
        <f t="shared" si="24"/>
        <v>0</v>
      </c>
      <c r="AK87" t="e">
        <f t="shared" si="25"/>
        <v>#N/A</v>
      </c>
      <c r="AL87" t="e">
        <f t="shared" si="26"/>
        <v>#N/A</v>
      </c>
      <c r="AM87" t="e">
        <f t="shared" si="27"/>
        <v>#N/A</v>
      </c>
      <c r="AN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7" t="e">
        <f t="shared" si="28"/>
        <v>#N/A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0</v>
      </c>
      <c r="V88" cm="1">
        <f t="array" ref="V88">INDEX($F$4:$T$263,ROW(A85),MATCH($W$2,$F$3:$T$3,0))</f>
        <v>0</v>
      </c>
      <c r="W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8" t="e">
        <f t="shared" si="15"/>
        <v>#N/A</v>
      </c>
      <c r="AA88" t="e">
        <f t="shared" si="16"/>
        <v>#N/A</v>
      </c>
      <c r="AB88" t="e">
        <f t="shared" si="17"/>
        <v>#N/A</v>
      </c>
      <c r="AC88" t="e">
        <f t="shared" si="18"/>
        <v>#N/A</v>
      </c>
      <c r="AD88" t="e">
        <f t="shared" si="19"/>
        <v>#N/A</v>
      </c>
      <c r="AE88" t="e">
        <f t="shared" si="20"/>
        <v>#N/A</v>
      </c>
      <c r="AF88" t="e">
        <f t="shared" si="21"/>
        <v>#N/A</v>
      </c>
      <c r="AG88" t="e">
        <f t="shared" si="22"/>
        <v>#N/A</v>
      </c>
      <c r="AH88" t="e">
        <f t="shared" si="29"/>
        <v>#N/A</v>
      </c>
      <c r="AI88" t="e">
        <f t="shared" si="23"/>
        <v>#N/A</v>
      </c>
      <c r="AJ88">
        <f t="shared" si="24"/>
        <v>0</v>
      </c>
      <c r="AK88" t="e">
        <f t="shared" si="25"/>
        <v>#N/A</v>
      </c>
      <c r="AL88" t="e">
        <f t="shared" si="26"/>
        <v>#N/A</v>
      </c>
      <c r="AM88" t="e">
        <f t="shared" si="27"/>
        <v>#N/A</v>
      </c>
      <c r="AN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8" t="e">
        <f t="shared" si="28"/>
        <v>#N/A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0</v>
      </c>
      <c r="V89" cm="1">
        <f t="array" ref="V89">INDEX($F$4:$T$263,ROW(A86),MATCH($W$2,$F$3:$T$3,0))</f>
        <v>0</v>
      </c>
      <c r="W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89" t="e">
        <f t="shared" si="15"/>
        <v>#N/A</v>
      </c>
      <c r="AA89" t="e">
        <f t="shared" si="16"/>
        <v>#N/A</v>
      </c>
      <c r="AB89" t="e">
        <f t="shared" si="17"/>
        <v>#N/A</v>
      </c>
      <c r="AC89" t="e">
        <f t="shared" si="18"/>
        <v>#N/A</v>
      </c>
      <c r="AD89" t="e">
        <f t="shared" si="19"/>
        <v>#N/A</v>
      </c>
      <c r="AE89" t="e">
        <f t="shared" si="20"/>
        <v>#N/A</v>
      </c>
      <c r="AF89" t="e">
        <f t="shared" si="21"/>
        <v>#N/A</v>
      </c>
      <c r="AG89" t="e">
        <f t="shared" si="22"/>
        <v>#N/A</v>
      </c>
      <c r="AH89" t="e">
        <f t="shared" si="29"/>
        <v>#N/A</v>
      </c>
      <c r="AI89" t="e">
        <f t="shared" si="23"/>
        <v>#N/A</v>
      </c>
      <c r="AJ89">
        <f t="shared" si="24"/>
        <v>0</v>
      </c>
      <c r="AK89" t="e">
        <f t="shared" si="25"/>
        <v>#N/A</v>
      </c>
      <c r="AL89" t="e">
        <f t="shared" si="26"/>
        <v>#N/A</v>
      </c>
      <c r="AM89" t="e">
        <f t="shared" si="27"/>
        <v>#N/A</v>
      </c>
      <c r="AN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89" t="e">
        <f t="shared" si="28"/>
        <v>#N/A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0</v>
      </c>
      <c r="V90" cm="1">
        <f t="array" ref="V90">INDEX($F$4:$T$263,ROW(A87),MATCH($W$2,$F$3:$T$3,0))</f>
        <v>0</v>
      </c>
      <c r="W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0" t="e">
        <f t="shared" si="15"/>
        <v>#N/A</v>
      </c>
      <c r="AA90" t="e">
        <f t="shared" si="16"/>
        <v>#N/A</v>
      </c>
      <c r="AB90" t="e">
        <f t="shared" si="17"/>
        <v>#N/A</v>
      </c>
      <c r="AC90" t="e">
        <f t="shared" si="18"/>
        <v>#N/A</v>
      </c>
      <c r="AD90" t="e">
        <f t="shared" si="19"/>
        <v>#N/A</v>
      </c>
      <c r="AE90" t="e">
        <f t="shared" si="20"/>
        <v>#N/A</v>
      </c>
      <c r="AF90" t="e">
        <f t="shared" si="21"/>
        <v>#N/A</v>
      </c>
      <c r="AG90" t="e">
        <f t="shared" si="22"/>
        <v>#N/A</v>
      </c>
      <c r="AH90" t="e">
        <f t="shared" si="29"/>
        <v>#N/A</v>
      </c>
      <c r="AI90" t="e">
        <f t="shared" si="23"/>
        <v>#N/A</v>
      </c>
      <c r="AJ90">
        <f t="shared" si="24"/>
        <v>0</v>
      </c>
      <c r="AK90" t="e">
        <f t="shared" si="25"/>
        <v>#N/A</v>
      </c>
      <c r="AL90" t="e">
        <f t="shared" si="26"/>
        <v>#N/A</v>
      </c>
      <c r="AM90" t="e">
        <f t="shared" si="27"/>
        <v>#N/A</v>
      </c>
      <c r="AN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0" t="e">
        <f t="shared" si="28"/>
        <v>#N/A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0</v>
      </c>
      <c r="V91" cm="1">
        <f t="array" ref="V91">INDEX($F$4:$T$263,ROW(A88),MATCH($W$2,$F$3:$T$3,0))</f>
        <v>0</v>
      </c>
      <c r="W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1" t="e">
        <f t="shared" si="15"/>
        <v>#N/A</v>
      </c>
      <c r="AA91" t="e">
        <f t="shared" si="16"/>
        <v>#N/A</v>
      </c>
      <c r="AB91" t="e">
        <f t="shared" si="17"/>
        <v>#N/A</v>
      </c>
      <c r="AC91" t="e">
        <f t="shared" si="18"/>
        <v>#N/A</v>
      </c>
      <c r="AD91" t="e">
        <f t="shared" si="19"/>
        <v>#N/A</v>
      </c>
      <c r="AE91" t="e">
        <f t="shared" si="20"/>
        <v>#N/A</v>
      </c>
      <c r="AF91" t="e">
        <f t="shared" si="21"/>
        <v>#N/A</v>
      </c>
      <c r="AG91" t="e">
        <f t="shared" si="22"/>
        <v>#N/A</v>
      </c>
      <c r="AH91" t="e">
        <f t="shared" si="29"/>
        <v>#N/A</v>
      </c>
      <c r="AI91" t="e">
        <f t="shared" si="23"/>
        <v>#N/A</v>
      </c>
      <c r="AJ91">
        <f t="shared" si="24"/>
        <v>0</v>
      </c>
      <c r="AK91" t="e">
        <f t="shared" si="25"/>
        <v>#N/A</v>
      </c>
      <c r="AL91" t="e">
        <f t="shared" si="26"/>
        <v>#N/A</v>
      </c>
      <c r="AM91" t="e">
        <f t="shared" si="27"/>
        <v>#N/A</v>
      </c>
      <c r="AN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1" t="e">
        <f t="shared" si="28"/>
        <v>#N/A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0</v>
      </c>
      <c r="V92" cm="1">
        <f t="array" ref="V92">INDEX($F$4:$T$263,ROW(A89),MATCH($W$2,$F$3:$T$3,0))</f>
        <v>0</v>
      </c>
      <c r="W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2" t="e">
        <f t="shared" si="15"/>
        <v>#N/A</v>
      </c>
      <c r="AA92" t="e">
        <f t="shared" si="16"/>
        <v>#N/A</v>
      </c>
      <c r="AB92" t="e">
        <f t="shared" si="17"/>
        <v>#N/A</v>
      </c>
      <c r="AC92" t="e">
        <f t="shared" si="18"/>
        <v>#N/A</v>
      </c>
      <c r="AD92" t="e">
        <f t="shared" si="19"/>
        <v>#N/A</v>
      </c>
      <c r="AE92" t="e">
        <f t="shared" si="20"/>
        <v>#N/A</v>
      </c>
      <c r="AF92" t="e">
        <f t="shared" si="21"/>
        <v>#N/A</v>
      </c>
      <c r="AG92" t="e">
        <f t="shared" si="22"/>
        <v>#N/A</v>
      </c>
      <c r="AH92" t="e">
        <f t="shared" si="29"/>
        <v>#N/A</v>
      </c>
      <c r="AI92" t="e">
        <f t="shared" si="23"/>
        <v>#N/A</v>
      </c>
      <c r="AJ92">
        <f t="shared" si="24"/>
        <v>0</v>
      </c>
      <c r="AK92" t="e">
        <f t="shared" si="25"/>
        <v>#N/A</v>
      </c>
      <c r="AL92" t="e">
        <f t="shared" si="26"/>
        <v>#N/A</v>
      </c>
      <c r="AM92" t="e">
        <f t="shared" si="27"/>
        <v>#N/A</v>
      </c>
      <c r="AN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2" t="e">
        <f t="shared" si="28"/>
        <v>#N/A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0</v>
      </c>
      <c r="V93" cm="1">
        <f t="array" ref="V93">INDEX($F$4:$T$263,ROW(A90),MATCH($W$2,$F$3:$T$3,0))</f>
        <v>0</v>
      </c>
      <c r="W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3" t="e">
        <f t="shared" si="15"/>
        <v>#N/A</v>
      </c>
      <c r="AA93" t="e">
        <f t="shared" si="16"/>
        <v>#N/A</v>
      </c>
      <c r="AB93" t="e">
        <f t="shared" si="17"/>
        <v>#N/A</v>
      </c>
      <c r="AC93" t="e">
        <f t="shared" si="18"/>
        <v>#N/A</v>
      </c>
      <c r="AD93" t="e">
        <f t="shared" si="19"/>
        <v>#N/A</v>
      </c>
      <c r="AE93" t="e">
        <f t="shared" si="20"/>
        <v>#N/A</v>
      </c>
      <c r="AF93" t="e">
        <f t="shared" si="21"/>
        <v>#N/A</v>
      </c>
      <c r="AG93" t="e">
        <f t="shared" si="22"/>
        <v>#N/A</v>
      </c>
      <c r="AH93" t="e">
        <f t="shared" si="29"/>
        <v>#N/A</v>
      </c>
      <c r="AI93" t="e">
        <f t="shared" si="23"/>
        <v>#N/A</v>
      </c>
      <c r="AJ93">
        <f t="shared" si="24"/>
        <v>0</v>
      </c>
      <c r="AK93" t="e">
        <f t="shared" si="25"/>
        <v>#N/A</v>
      </c>
      <c r="AL93" t="e">
        <f t="shared" si="26"/>
        <v>#N/A</v>
      </c>
      <c r="AM93" t="e">
        <f t="shared" si="27"/>
        <v>#N/A</v>
      </c>
      <c r="AN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3" t="e">
        <f t="shared" si="28"/>
        <v>#N/A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0</v>
      </c>
      <c r="V94" cm="1">
        <f t="array" ref="V94">INDEX($F$4:$T$263,ROW(A91),MATCH($W$2,$F$3:$T$3,0))</f>
        <v>0</v>
      </c>
      <c r="W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4" t="e">
        <f t="shared" si="15"/>
        <v>#N/A</v>
      </c>
      <c r="AA94" t="e">
        <f t="shared" si="16"/>
        <v>#N/A</v>
      </c>
      <c r="AB94" t="e">
        <f t="shared" si="17"/>
        <v>#N/A</v>
      </c>
      <c r="AC94" t="e">
        <f t="shared" si="18"/>
        <v>#N/A</v>
      </c>
      <c r="AD94" t="e">
        <f t="shared" si="19"/>
        <v>#N/A</v>
      </c>
      <c r="AE94" t="e">
        <f t="shared" si="20"/>
        <v>#N/A</v>
      </c>
      <c r="AF94" t="e">
        <f t="shared" si="21"/>
        <v>#N/A</v>
      </c>
      <c r="AG94" t="e">
        <f t="shared" si="22"/>
        <v>#N/A</v>
      </c>
      <c r="AH94" t="e">
        <f t="shared" si="29"/>
        <v>#N/A</v>
      </c>
      <c r="AI94" t="e">
        <f t="shared" si="23"/>
        <v>#N/A</v>
      </c>
      <c r="AJ94">
        <f t="shared" si="24"/>
        <v>0</v>
      </c>
      <c r="AK94" t="e">
        <f t="shared" si="25"/>
        <v>#N/A</v>
      </c>
      <c r="AL94" t="e">
        <f t="shared" si="26"/>
        <v>#N/A</v>
      </c>
      <c r="AM94" t="e">
        <f t="shared" si="27"/>
        <v>#N/A</v>
      </c>
      <c r="AN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4" t="e">
        <f t="shared" si="28"/>
        <v>#N/A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0</v>
      </c>
      <c r="V95" cm="1">
        <f t="array" ref="V95">INDEX($F$4:$T$263,ROW(A92),MATCH($W$2,$F$3:$T$3,0))</f>
        <v>0</v>
      </c>
      <c r="W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5" t="e">
        <f t="shared" si="15"/>
        <v>#N/A</v>
      </c>
      <c r="AA95" t="e">
        <f t="shared" si="16"/>
        <v>#N/A</v>
      </c>
      <c r="AB95" t="e">
        <f t="shared" si="17"/>
        <v>#N/A</v>
      </c>
      <c r="AC95" t="e">
        <f t="shared" si="18"/>
        <v>#N/A</v>
      </c>
      <c r="AD95" t="e">
        <f t="shared" si="19"/>
        <v>#N/A</v>
      </c>
      <c r="AE95" t="e">
        <f t="shared" si="20"/>
        <v>#N/A</v>
      </c>
      <c r="AF95" t="e">
        <f t="shared" si="21"/>
        <v>#N/A</v>
      </c>
      <c r="AG95" t="e">
        <f t="shared" si="22"/>
        <v>#N/A</v>
      </c>
      <c r="AH95" t="e">
        <f t="shared" si="29"/>
        <v>#N/A</v>
      </c>
      <c r="AI95" t="e">
        <f t="shared" si="23"/>
        <v>#N/A</v>
      </c>
      <c r="AJ95">
        <f t="shared" si="24"/>
        <v>0</v>
      </c>
      <c r="AK95" t="e">
        <f t="shared" si="25"/>
        <v>#N/A</v>
      </c>
      <c r="AL95" t="e">
        <f t="shared" si="26"/>
        <v>#N/A</v>
      </c>
      <c r="AM95" t="e">
        <f t="shared" si="27"/>
        <v>#N/A</v>
      </c>
      <c r="AN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5" t="e">
        <f t="shared" si="28"/>
        <v>#N/A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0</v>
      </c>
      <c r="V96" cm="1">
        <f t="array" ref="V96">INDEX($F$4:$T$263,ROW(A93),MATCH($W$2,$F$3:$T$3,0))</f>
        <v>0</v>
      </c>
      <c r="W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6" t="e">
        <f t="shared" si="15"/>
        <v>#N/A</v>
      </c>
      <c r="AA96" t="e">
        <f t="shared" si="16"/>
        <v>#N/A</v>
      </c>
      <c r="AB96" t="e">
        <f t="shared" si="17"/>
        <v>#N/A</v>
      </c>
      <c r="AC96" t="e">
        <f t="shared" si="18"/>
        <v>#N/A</v>
      </c>
      <c r="AD96" t="e">
        <f t="shared" si="19"/>
        <v>#N/A</v>
      </c>
      <c r="AE96" t="e">
        <f t="shared" si="20"/>
        <v>#N/A</v>
      </c>
      <c r="AF96" t="e">
        <f t="shared" si="21"/>
        <v>#N/A</v>
      </c>
      <c r="AG96" t="e">
        <f t="shared" si="22"/>
        <v>#N/A</v>
      </c>
      <c r="AH96" t="e">
        <f t="shared" si="29"/>
        <v>#N/A</v>
      </c>
      <c r="AI96" t="e">
        <f t="shared" si="23"/>
        <v>#N/A</v>
      </c>
      <c r="AJ96">
        <f t="shared" si="24"/>
        <v>0</v>
      </c>
      <c r="AK96" t="e">
        <f t="shared" si="25"/>
        <v>#N/A</v>
      </c>
      <c r="AL96" t="e">
        <f t="shared" si="26"/>
        <v>#N/A</v>
      </c>
      <c r="AM96" t="e">
        <f t="shared" si="27"/>
        <v>#N/A</v>
      </c>
      <c r="AN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6" t="e">
        <f t="shared" si="28"/>
        <v>#N/A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0</v>
      </c>
      <c r="V97" cm="1">
        <f t="array" ref="V97">INDEX($F$4:$T$263,ROW(A94),MATCH($W$2,$F$3:$T$3,0))</f>
        <v>0</v>
      </c>
      <c r="W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7" t="e">
        <f t="shared" si="15"/>
        <v>#N/A</v>
      </c>
      <c r="AA97" t="e">
        <f t="shared" si="16"/>
        <v>#N/A</v>
      </c>
      <c r="AB97" t="e">
        <f t="shared" si="17"/>
        <v>#N/A</v>
      </c>
      <c r="AC97" t="e">
        <f t="shared" si="18"/>
        <v>#N/A</v>
      </c>
      <c r="AD97" t="e">
        <f t="shared" si="19"/>
        <v>#N/A</v>
      </c>
      <c r="AE97" t="e">
        <f t="shared" si="20"/>
        <v>#N/A</v>
      </c>
      <c r="AF97" t="e">
        <f t="shared" si="21"/>
        <v>#N/A</v>
      </c>
      <c r="AG97" t="e">
        <f t="shared" si="22"/>
        <v>#N/A</v>
      </c>
      <c r="AH97" t="e">
        <f t="shared" si="29"/>
        <v>#N/A</v>
      </c>
      <c r="AI97" t="e">
        <f t="shared" si="23"/>
        <v>#N/A</v>
      </c>
      <c r="AJ97">
        <f t="shared" si="24"/>
        <v>0</v>
      </c>
      <c r="AK97" t="e">
        <f t="shared" si="25"/>
        <v>#N/A</v>
      </c>
      <c r="AL97" t="e">
        <f t="shared" si="26"/>
        <v>#N/A</v>
      </c>
      <c r="AM97" t="e">
        <f t="shared" si="27"/>
        <v>#N/A</v>
      </c>
      <c r="AN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7" t="e">
        <f t="shared" si="28"/>
        <v>#N/A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0</v>
      </c>
      <c r="V98" cm="1">
        <f t="array" ref="V98">INDEX($F$4:$T$263,ROW(A95),MATCH($W$2,$F$3:$T$3,0))</f>
        <v>0</v>
      </c>
      <c r="W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8" t="e">
        <f t="shared" si="15"/>
        <v>#N/A</v>
      </c>
      <c r="AA98" t="e">
        <f t="shared" si="16"/>
        <v>#N/A</v>
      </c>
      <c r="AB98" t="e">
        <f t="shared" si="17"/>
        <v>#N/A</v>
      </c>
      <c r="AC98" t="e">
        <f t="shared" si="18"/>
        <v>#N/A</v>
      </c>
      <c r="AD98" t="e">
        <f t="shared" si="19"/>
        <v>#N/A</v>
      </c>
      <c r="AE98" t="e">
        <f t="shared" si="20"/>
        <v>#N/A</v>
      </c>
      <c r="AF98" t="e">
        <f t="shared" si="21"/>
        <v>#N/A</v>
      </c>
      <c r="AG98" t="e">
        <f t="shared" si="22"/>
        <v>#N/A</v>
      </c>
      <c r="AH98" t="e">
        <f t="shared" si="29"/>
        <v>#N/A</v>
      </c>
      <c r="AI98" t="e">
        <f t="shared" si="23"/>
        <v>#N/A</v>
      </c>
      <c r="AJ98">
        <f t="shared" si="24"/>
        <v>0</v>
      </c>
      <c r="AK98" t="e">
        <f t="shared" si="25"/>
        <v>#N/A</v>
      </c>
      <c r="AL98" t="e">
        <f t="shared" si="26"/>
        <v>#N/A</v>
      </c>
      <c r="AM98" t="e">
        <f t="shared" si="27"/>
        <v>#N/A</v>
      </c>
      <c r="AN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8" t="e">
        <f t="shared" si="28"/>
        <v>#N/A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0</v>
      </c>
      <c r="V99" cm="1">
        <f t="array" ref="V99">INDEX($F$4:$T$263,ROW(A96),MATCH($W$2,$F$3:$T$3,0))</f>
        <v>0</v>
      </c>
      <c r="W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99" t="e">
        <f t="shared" si="15"/>
        <v>#N/A</v>
      </c>
      <c r="AA99" t="e">
        <f t="shared" si="16"/>
        <v>#N/A</v>
      </c>
      <c r="AB99" t="e">
        <f t="shared" si="17"/>
        <v>#N/A</v>
      </c>
      <c r="AC99" t="e">
        <f t="shared" si="18"/>
        <v>#N/A</v>
      </c>
      <c r="AD99" t="e">
        <f t="shared" si="19"/>
        <v>#N/A</v>
      </c>
      <c r="AE99" t="e">
        <f t="shared" si="20"/>
        <v>#N/A</v>
      </c>
      <c r="AF99" t="e">
        <f t="shared" si="21"/>
        <v>#N/A</v>
      </c>
      <c r="AG99" t="e">
        <f t="shared" si="22"/>
        <v>#N/A</v>
      </c>
      <c r="AH99" t="e">
        <f t="shared" si="29"/>
        <v>#N/A</v>
      </c>
      <c r="AI99" t="e">
        <f t="shared" si="23"/>
        <v>#N/A</v>
      </c>
      <c r="AJ99">
        <f t="shared" si="24"/>
        <v>0</v>
      </c>
      <c r="AK99" t="e">
        <f t="shared" si="25"/>
        <v>#N/A</v>
      </c>
      <c r="AL99" t="e">
        <f t="shared" si="26"/>
        <v>#N/A</v>
      </c>
      <c r="AM99" t="e">
        <f t="shared" si="27"/>
        <v>#N/A</v>
      </c>
      <c r="AN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99" t="e">
        <f t="shared" si="28"/>
        <v>#N/A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0</v>
      </c>
      <c r="V100" cm="1">
        <f t="array" ref="V100">INDEX($F$4:$T$263,ROW(A97),MATCH($W$2,$F$3:$T$3,0))</f>
        <v>0</v>
      </c>
      <c r="W1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0" t="e">
        <f t="shared" si="15"/>
        <v>#N/A</v>
      </c>
      <c r="AA100" t="e">
        <f t="shared" si="16"/>
        <v>#N/A</v>
      </c>
      <c r="AB100" t="e">
        <f t="shared" si="17"/>
        <v>#N/A</v>
      </c>
      <c r="AC100" t="e">
        <f t="shared" si="18"/>
        <v>#N/A</v>
      </c>
      <c r="AD100" t="e">
        <f t="shared" si="19"/>
        <v>#N/A</v>
      </c>
      <c r="AE100" t="e">
        <f t="shared" si="20"/>
        <v>#N/A</v>
      </c>
      <c r="AF100" t="e">
        <f t="shared" si="21"/>
        <v>#N/A</v>
      </c>
      <c r="AG100" t="e">
        <f t="shared" si="22"/>
        <v>#N/A</v>
      </c>
      <c r="AH100" t="e">
        <f t="shared" si="29"/>
        <v>#N/A</v>
      </c>
      <c r="AI100" t="e">
        <f t="shared" si="23"/>
        <v>#N/A</v>
      </c>
      <c r="AJ100">
        <f t="shared" si="24"/>
        <v>0</v>
      </c>
      <c r="AK100" t="e">
        <f t="shared" si="25"/>
        <v>#N/A</v>
      </c>
      <c r="AL100" t="e">
        <f t="shared" si="26"/>
        <v>#N/A</v>
      </c>
      <c r="AM100" t="e">
        <f t="shared" si="27"/>
        <v>#N/A</v>
      </c>
      <c r="AN1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0" t="e">
        <f t="shared" si="28"/>
        <v>#N/A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0</v>
      </c>
      <c r="V101" cm="1">
        <f t="array" ref="V101">INDEX($F$4:$T$263,ROW(A98),MATCH($W$2,$F$3:$T$3,0))</f>
        <v>0</v>
      </c>
      <c r="W1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1" t="e">
        <f t="shared" si="15"/>
        <v>#N/A</v>
      </c>
      <c r="AA101" t="e">
        <f t="shared" si="16"/>
        <v>#N/A</v>
      </c>
      <c r="AB101" t="e">
        <f t="shared" si="17"/>
        <v>#N/A</v>
      </c>
      <c r="AC101" t="e">
        <f t="shared" si="18"/>
        <v>#N/A</v>
      </c>
      <c r="AD101" t="e">
        <f t="shared" si="19"/>
        <v>#N/A</v>
      </c>
      <c r="AE101" t="e">
        <f t="shared" si="20"/>
        <v>#N/A</v>
      </c>
      <c r="AF101" t="e">
        <f t="shared" si="21"/>
        <v>#N/A</v>
      </c>
      <c r="AG101" t="e">
        <f t="shared" si="22"/>
        <v>#N/A</v>
      </c>
      <c r="AH101" t="e">
        <f t="shared" si="29"/>
        <v>#N/A</v>
      </c>
      <c r="AI101" t="e">
        <f t="shared" si="23"/>
        <v>#N/A</v>
      </c>
      <c r="AJ101">
        <f t="shared" si="24"/>
        <v>0</v>
      </c>
      <c r="AK101" t="e">
        <f t="shared" si="25"/>
        <v>#N/A</v>
      </c>
      <c r="AL101" t="e">
        <f t="shared" si="26"/>
        <v>#N/A</v>
      </c>
      <c r="AM101" t="e">
        <f t="shared" si="27"/>
        <v>#N/A</v>
      </c>
      <c r="AN1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1" t="e">
        <f t="shared" si="28"/>
        <v>#N/A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0</v>
      </c>
      <c r="V102" cm="1">
        <f t="array" ref="V102">INDEX($F$4:$T$263,ROW(A99),MATCH($W$2,$F$3:$T$3,0))</f>
        <v>0</v>
      </c>
      <c r="W1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2" t="e">
        <f t="shared" si="15"/>
        <v>#N/A</v>
      </c>
      <c r="AA102" t="e">
        <f t="shared" si="16"/>
        <v>#N/A</v>
      </c>
      <c r="AB102" t="e">
        <f t="shared" si="17"/>
        <v>#N/A</v>
      </c>
      <c r="AC102" t="e">
        <f t="shared" si="18"/>
        <v>#N/A</v>
      </c>
      <c r="AD102" t="e">
        <f t="shared" si="19"/>
        <v>#N/A</v>
      </c>
      <c r="AE102" t="e">
        <f t="shared" si="20"/>
        <v>#N/A</v>
      </c>
      <c r="AF102" t="e">
        <f t="shared" si="21"/>
        <v>#N/A</v>
      </c>
      <c r="AG102" t="e">
        <f t="shared" si="22"/>
        <v>#N/A</v>
      </c>
      <c r="AH102" t="e">
        <f t="shared" si="29"/>
        <v>#N/A</v>
      </c>
      <c r="AI102" t="e">
        <f t="shared" si="23"/>
        <v>#N/A</v>
      </c>
      <c r="AJ102">
        <f t="shared" si="24"/>
        <v>0</v>
      </c>
      <c r="AK102" t="e">
        <f t="shared" si="25"/>
        <v>#N/A</v>
      </c>
      <c r="AL102" t="e">
        <f t="shared" si="26"/>
        <v>#N/A</v>
      </c>
      <c r="AM102" t="e">
        <f t="shared" si="27"/>
        <v>#N/A</v>
      </c>
      <c r="AN1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2" t="e">
        <f t="shared" si="28"/>
        <v>#N/A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0</v>
      </c>
      <c r="V103" cm="1">
        <f t="array" ref="V103">INDEX($F$4:$T$263,ROW(A100),MATCH($W$2,$F$3:$T$3,0))</f>
        <v>0</v>
      </c>
      <c r="W1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3" t="e">
        <f t="shared" si="15"/>
        <v>#N/A</v>
      </c>
      <c r="AA103" t="e">
        <f t="shared" si="16"/>
        <v>#N/A</v>
      </c>
      <c r="AB103" t="e">
        <f t="shared" si="17"/>
        <v>#N/A</v>
      </c>
      <c r="AC103" t="e">
        <f t="shared" si="18"/>
        <v>#N/A</v>
      </c>
      <c r="AD103" t="e">
        <f t="shared" si="19"/>
        <v>#N/A</v>
      </c>
      <c r="AE103" t="e">
        <f t="shared" si="20"/>
        <v>#N/A</v>
      </c>
      <c r="AF103" t="e">
        <f t="shared" si="21"/>
        <v>#N/A</v>
      </c>
      <c r="AG103" t="e">
        <f t="shared" si="22"/>
        <v>#N/A</v>
      </c>
      <c r="AH103" t="e">
        <f t="shared" si="29"/>
        <v>#N/A</v>
      </c>
      <c r="AI103" t="e">
        <f t="shared" si="23"/>
        <v>#N/A</v>
      </c>
      <c r="AJ103">
        <f t="shared" si="24"/>
        <v>0</v>
      </c>
      <c r="AK103" t="e">
        <f t="shared" si="25"/>
        <v>#N/A</v>
      </c>
      <c r="AL103" t="e">
        <f t="shared" si="26"/>
        <v>#N/A</v>
      </c>
      <c r="AM103" t="e">
        <f t="shared" si="27"/>
        <v>#N/A</v>
      </c>
      <c r="AN1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3" t="e">
        <f t="shared" si="28"/>
        <v>#N/A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0</v>
      </c>
      <c r="V104" cm="1">
        <f t="array" ref="V104">INDEX($F$4:$T$263,ROW(A101),MATCH($W$2,$F$3:$T$3,0))</f>
        <v>0</v>
      </c>
      <c r="W1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4" t="e">
        <f t="shared" si="15"/>
        <v>#N/A</v>
      </c>
      <c r="AA104" t="e">
        <f t="shared" si="16"/>
        <v>#N/A</v>
      </c>
      <c r="AB104" t="e">
        <f t="shared" si="17"/>
        <v>#N/A</v>
      </c>
      <c r="AC104" t="e">
        <f t="shared" si="18"/>
        <v>#N/A</v>
      </c>
      <c r="AD104" t="e">
        <f t="shared" si="19"/>
        <v>#N/A</v>
      </c>
      <c r="AE104" t="e">
        <f t="shared" si="20"/>
        <v>#N/A</v>
      </c>
      <c r="AF104" t="e">
        <f t="shared" si="21"/>
        <v>#N/A</v>
      </c>
      <c r="AG104" t="e">
        <f t="shared" si="22"/>
        <v>#N/A</v>
      </c>
      <c r="AH104" t="e">
        <f t="shared" si="29"/>
        <v>#N/A</v>
      </c>
      <c r="AI104" t="e">
        <f t="shared" si="23"/>
        <v>#N/A</v>
      </c>
      <c r="AJ104">
        <f t="shared" si="24"/>
        <v>0</v>
      </c>
      <c r="AK104" t="e">
        <f t="shared" si="25"/>
        <v>#N/A</v>
      </c>
      <c r="AL104" t="e">
        <f t="shared" si="26"/>
        <v>#N/A</v>
      </c>
      <c r="AM104" t="e">
        <f t="shared" si="27"/>
        <v>#N/A</v>
      </c>
      <c r="AN1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4" t="e">
        <f t="shared" si="28"/>
        <v>#N/A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0</v>
      </c>
      <c r="V105" cm="1">
        <f t="array" ref="V105">INDEX($F$4:$T$263,ROW(A102),MATCH($W$2,$F$3:$T$3,0))</f>
        <v>0</v>
      </c>
      <c r="W1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5" t="e">
        <f t="shared" si="15"/>
        <v>#N/A</v>
      </c>
      <c r="AA105" t="e">
        <f t="shared" si="16"/>
        <v>#N/A</v>
      </c>
      <c r="AB105" t="e">
        <f t="shared" si="17"/>
        <v>#N/A</v>
      </c>
      <c r="AC105" t="e">
        <f t="shared" si="18"/>
        <v>#N/A</v>
      </c>
      <c r="AD105" t="e">
        <f t="shared" si="19"/>
        <v>#N/A</v>
      </c>
      <c r="AE105" t="e">
        <f t="shared" si="20"/>
        <v>#N/A</v>
      </c>
      <c r="AF105" t="e">
        <f t="shared" si="21"/>
        <v>#N/A</v>
      </c>
      <c r="AG105" t="e">
        <f t="shared" si="22"/>
        <v>#N/A</v>
      </c>
      <c r="AH105" t="e">
        <f t="shared" si="29"/>
        <v>#N/A</v>
      </c>
      <c r="AI105" t="e">
        <f t="shared" si="23"/>
        <v>#N/A</v>
      </c>
      <c r="AJ105">
        <f t="shared" si="24"/>
        <v>0</v>
      </c>
      <c r="AK105" t="e">
        <f t="shared" si="25"/>
        <v>#N/A</v>
      </c>
      <c r="AL105" t="e">
        <f t="shared" si="26"/>
        <v>#N/A</v>
      </c>
      <c r="AM105" t="e">
        <f t="shared" si="27"/>
        <v>#N/A</v>
      </c>
      <c r="AN1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5" t="e">
        <f t="shared" si="28"/>
        <v>#N/A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0</v>
      </c>
      <c r="V106" cm="1">
        <f t="array" ref="V106">INDEX($F$4:$T$263,ROW(A103),MATCH($W$2,$F$3:$T$3,0))</f>
        <v>0</v>
      </c>
      <c r="W1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6" t="e">
        <f t="shared" si="15"/>
        <v>#N/A</v>
      </c>
      <c r="AA106" t="e">
        <f t="shared" si="16"/>
        <v>#N/A</v>
      </c>
      <c r="AB106" t="e">
        <f t="shared" si="17"/>
        <v>#N/A</v>
      </c>
      <c r="AC106" t="e">
        <f t="shared" si="18"/>
        <v>#N/A</v>
      </c>
      <c r="AD106" t="e">
        <f t="shared" si="19"/>
        <v>#N/A</v>
      </c>
      <c r="AE106" t="e">
        <f t="shared" si="20"/>
        <v>#N/A</v>
      </c>
      <c r="AF106" t="e">
        <f t="shared" si="21"/>
        <v>#N/A</v>
      </c>
      <c r="AG106" t="e">
        <f t="shared" si="22"/>
        <v>#N/A</v>
      </c>
      <c r="AH106" t="e">
        <f t="shared" si="29"/>
        <v>#N/A</v>
      </c>
      <c r="AI106" t="e">
        <f t="shared" si="23"/>
        <v>#N/A</v>
      </c>
      <c r="AJ106">
        <f t="shared" si="24"/>
        <v>0</v>
      </c>
      <c r="AK106" t="e">
        <f t="shared" si="25"/>
        <v>#N/A</v>
      </c>
      <c r="AL106" t="e">
        <f t="shared" si="26"/>
        <v>#N/A</v>
      </c>
      <c r="AM106" t="e">
        <f t="shared" si="27"/>
        <v>#N/A</v>
      </c>
      <c r="AN1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6" t="e">
        <f t="shared" si="28"/>
        <v>#N/A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0</v>
      </c>
      <c r="V107" cm="1">
        <f t="array" ref="V107">INDEX($F$4:$T$263,ROW(A104),MATCH($W$2,$F$3:$T$3,0))</f>
        <v>0</v>
      </c>
      <c r="W1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7" t="e">
        <f t="shared" si="15"/>
        <v>#N/A</v>
      </c>
      <c r="AA107" t="e">
        <f t="shared" si="16"/>
        <v>#N/A</v>
      </c>
      <c r="AB107" t="e">
        <f t="shared" si="17"/>
        <v>#N/A</v>
      </c>
      <c r="AC107" t="e">
        <f t="shared" si="18"/>
        <v>#N/A</v>
      </c>
      <c r="AD107" t="e">
        <f t="shared" si="19"/>
        <v>#N/A</v>
      </c>
      <c r="AE107" t="e">
        <f t="shared" si="20"/>
        <v>#N/A</v>
      </c>
      <c r="AF107" t="e">
        <f t="shared" si="21"/>
        <v>#N/A</v>
      </c>
      <c r="AG107" t="e">
        <f t="shared" si="22"/>
        <v>#N/A</v>
      </c>
      <c r="AH107" t="e">
        <f t="shared" si="29"/>
        <v>#N/A</v>
      </c>
      <c r="AI107" t="e">
        <f t="shared" si="23"/>
        <v>#N/A</v>
      </c>
      <c r="AJ107">
        <f t="shared" si="24"/>
        <v>0</v>
      </c>
      <c r="AK107" t="e">
        <f t="shared" si="25"/>
        <v>#N/A</v>
      </c>
      <c r="AL107" t="e">
        <f t="shared" si="26"/>
        <v>#N/A</v>
      </c>
      <c r="AM107" t="e">
        <f t="shared" si="27"/>
        <v>#N/A</v>
      </c>
      <c r="AN1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7" t="e">
        <f t="shared" si="28"/>
        <v>#N/A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0</v>
      </c>
      <c r="V108" cm="1">
        <f t="array" ref="V108">INDEX($F$4:$T$263,ROW(A105),MATCH($W$2,$F$3:$T$3,0))</f>
        <v>0</v>
      </c>
      <c r="W1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8" t="e">
        <f t="shared" si="15"/>
        <v>#N/A</v>
      </c>
      <c r="AA108" t="e">
        <f t="shared" si="16"/>
        <v>#N/A</v>
      </c>
      <c r="AB108" t="e">
        <f t="shared" si="17"/>
        <v>#N/A</v>
      </c>
      <c r="AC108" t="e">
        <f t="shared" si="18"/>
        <v>#N/A</v>
      </c>
      <c r="AD108" t="e">
        <f t="shared" si="19"/>
        <v>#N/A</v>
      </c>
      <c r="AE108" t="e">
        <f t="shared" si="20"/>
        <v>#N/A</v>
      </c>
      <c r="AF108" t="e">
        <f t="shared" si="21"/>
        <v>#N/A</v>
      </c>
      <c r="AG108" t="e">
        <f t="shared" si="22"/>
        <v>#N/A</v>
      </c>
      <c r="AH108" t="e">
        <f t="shared" si="29"/>
        <v>#N/A</v>
      </c>
      <c r="AI108" t="e">
        <f t="shared" si="23"/>
        <v>#N/A</v>
      </c>
      <c r="AJ108">
        <f t="shared" si="24"/>
        <v>0</v>
      </c>
      <c r="AK108" t="e">
        <f t="shared" si="25"/>
        <v>#N/A</v>
      </c>
      <c r="AL108" t="e">
        <f t="shared" si="26"/>
        <v>#N/A</v>
      </c>
      <c r="AM108" t="e">
        <f t="shared" si="27"/>
        <v>#N/A</v>
      </c>
      <c r="AN1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8" t="e">
        <f t="shared" si="28"/>
        <v>#N/A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0</v>
      </c>
      <c r="V109" cm="1">
        <f t="array" ref="V109">INDEX($F$4:$T$263,ROW(A106),MATCH($W$2,$F$3:$T$3,0))</f>
        <v>0</v>
      </c>
      <c r="W1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09" t="e">
        <f t="shared" si="15"/>
        <v>#N/A</v>
      </c>
      <c r="AA109" t="e">
        <f t="shared" si="16"/>
        <v>#N/A</v>
      </c>
      <c r="AB109" t="e">
        <f t="shared" si="17"/>
        <v>#N/A</v>
      </c>
      <c r="AC109" t="e">
        <f t="shared" si="18"/>
        <v>#N/A</v>
      </c>
      <c r="AD109" t="e">
        <f t="shared" si="19"/>
        <v>#N/A</v>
      </c>
      <c r="AE109" t="e">
        <f t="shared" si="20"/>
        <v>#N/A</v>
      </c>
      <c r="AF109" t="e">
        <f t="shared" si="21"/>
        <v>#N/A</v>
      </c>
      <c r="AG109" t="e">
        <f t="shared" si="22"/>
        <v>#N/A</v>
      </c>
      <c r="AH109" t="e">
        <f t="shared" si="29"/>
        <v>#N/A</v>
      </c>
      <c r="AI109" t="e">
        <f t="shared" si="23"/>
        <v>#N/A</v>
      </c>
      <c r="AJ109">
        <f t="shared" si="24"/>
        <v>0</v>
      </c>
      <c r="AK109" t="e">
        <f t="shared" si="25"/>
        <v>#N/A</v>
      </c>
      <c r="AL109" t="e">
        <f t="shared" si="26"/>
        <v>#N/A</v>
      </c>
      <c r="AM109" t="e">
        <f t="shared" si="27"/>
        <v>#N/A</v>
      </c>
      <c r="AN1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09" t="e">
        <f t="shared" si="28"/>
        <v>#N/A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0</v>
      </c>
      <c r="V110" cm="1">
        <f t="array" ref="V110">INDEX($F$4:$T$263,ROW(A107),MATCH($W$2,$F$3:$T$3,0))</f>
        <v>0</v>
      </c>
      <c r="W1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0" t="e">
        <f t="shared" si="15"/>
        <v>#N/A</v>
      </c>
      <c r="AA110" t="e">
        <f t="shared" si="16"/>
        <v>#N/A</v>
      </c>
      <c r="AB110" t="e">
        <f t="shared" si="17"/>
        <v>#N/A</v>
      </c>
      <c r="AC110" t="e">
        <f t="shared" si="18"/>
        <v>#N/A</v>
      </c>
      <c r="AD110" t="e">
        <f t="shared" si="19"/>
        <v>#N/A</v>
      </c>
      <c r="AE110" t="e">
        <f t="shared" si="20"/>
        <v>#N/A</v>
      </c>
      <c r="AF110" t="e">
        <f t="shared" si="21"/>
        <v>#N/A</v>
      </c>
      <c r="AG110" t="e">
        <f t="shared" si="22"/>
        <v>#N/A</v>
      </c>
      <c r="AH110" t="e">
        <f t="shared" si="29"/>
        <v>#N/A</v>
      </c>
      <c r="AI110" t="e">
        <f t="shared" si="23"/>
        <v>#N/A</v>
      </c>
      <c r="AJ110">
        <f t="shared" si="24"/>
        <v>0</v>
      </c>
      <c r="AK110" t="e">
        <f t="shared" si="25"/>
        <v>#N/A</v>
      </c>
      <c r="AL110" t="e">
        <f t="shared" si="26"/>
        <v>#N/A</v>
      </c>
      <c r="AM110" t="e">
        <f t="shared" si="27"/>
        <v>#N/A</v>
      </c>
      <c r="AN1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0" t="e">
        <f t="shared" si="28"/>
        <v>#N/A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0</v>
      </c>
      <c r="V111" cm="1">
        <f t="array" ref="V111">INDEX($F$4:$T$263,ROW(A108),MATCH($W$2,$F$3:$T$3,0))</f>
        <v>0</v>
      </c>
      <c r="W1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1" t="e">
        <f t="shared" si="15"/>
        <v>#N/A</v>
      </c>
      <c r="AA111" t="e">
        <f t="shared" si="16"/>
        <v>#N/A</v>
      </c>
      <c r="AB111" t="e">
        <f t="shared" si="17"/>
        <v>#N/A</v>
      </c>
      <c r="AC111" t="e">
        <f t="shared" si="18"/>
        <v>#N/A</v>
      </c>
      <c r="AD111" t="e">
        <f t="shared" si="19"/>
        <v>#N/A</v>
      </c>
      <c r="AE111" t="e">
        <f t="shared" si="20"/>
        <v>#N/A</v>
      </c>
      <c r="AF111" t="e">
        <f t="shared" si="21"/>
        <v>#N/A</v>
      </c>
      <c r="AG111" t="e">
        <f t="shared" si="22"/>
        <v>#N/A</v>
      </c>
      <c r="AH111" t="e">
        <f t="shared" si="29"/>
        <v>#N/A</v>
      </c>
      <c r="AI111" t="e">
        <f t="shared" si="23"/>
        <v>#N/A</v>
      </c>
      <c r="AJ111">
        <f t="shared" si="24"/>
        <v>0</v>
      </c>
      <c r="AK111" t="e">
        <f t="shared" si="25"/>
        <v>#N/A</v>
      </c>
      <c r="AL111" t="e">
        <f t="shared" si="26"/>
        <v>#N/A</v>
      </c>
      <c r="AM111" t="e">
        <f t="shared" si="27"/>
        <v>#N/A</v>
      </c>
      <c r="AN1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1" t="e">
        <f t="shared" si="28"/>
        <v>#N/A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0</v>
      </c>
      <c r="V112" cm="1">
        <f t="array" ref="V112">INDEX($F$4:$T$263,ROW(A109),MATCH($W$2,$F$3:$T$3,0))</f>
        <v>0</v>
      </c>
      <c r="W1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2" t="e">
        <f t="shared" si="15"/>
        <v>#N/A</v>
      </c>
      <c r="AA112" t="e">
        <f t="shared" si="16"/>
        <v>#N/A</v>
      </c>
      <c r="AB112" t="e">
        <f t="shared" si="17"/>
        <v>#N/A</v>
      </c>
      <c r="AC112" t="e">
        <f t="shared" si="18"/>
        <v>#N/A</v>
      </c>
      <c r="AD112" t="e">
        <f t="shared" si="19"/>
        <v>#N/A</v>
      </c>
      <c r="AE112" t="e">
        <f t="shared" si="20"/>
        <v>#N/A</v>
      </c>
      <c r="AF112" t="e">
        <f t="shared" si="21"/>
        <v>#N/A</v>
      </c>
      <c r="AG112" t="e">
        <f t="shared" si="22"/>
        <v>#N/A</v>
      </c>
      <c r="AH112" t="e">
        <f t="shared" si="29"/>
        <v>#N/A</v>
      </c>
      <c r="AI112" t="e">
        <f t="shared" si="23"/>
        <v>#N/A</v>
      </c>
      <c r="AJ112">
        <f t="shared" si="24"/>
        <v>0</v>
      </c>
      <c r="AK112" t="e">
        <f t="shared" si="25"/>
        <v>#N/A</v>
      </c>
      <c r="AL112" t="e">
        <f t="shared" si="26"/>
        <v>#N/A</v>
      </c>
      <c r="AM112" t="e">
        <f t="shared" si="27"/>
        <v>#N/A</v>
      </c>
      <c r="AN1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2" t="e">
        <f t="shared" si="28"/>
        <v>#N/A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0</v>
      </c>
      <c r="V113" cm="1">
        <f t="array" ref="V113">INDEX($F$4:$T$263,ROW(A110),MATCH($W$2,$F$3:$T$3,0))</f>
        <v>0</v>
      </c>
      <c r="W1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3" t="e">
        <f t="shared" si="15"/>
        <v>#N/A</v>
      </c>
      <c r="AA113" t="e">
        <f t="shared" si="16"/>
        <v>#N/A</v>
      </c>
      <c r="AB113" t="e">
        <f t="shared" si="17"/>
        <v>#N/A</v>
      </c>
      <c r="AC113" t="e">
        <f t="shared" si="18"/>
        <v>#N/A</v>
      </c>
      <c r="AD113" t="e">
        <f t="shared" si="19"/>
        <v>#N/A</v>
      </c>
      <c r="AE113" t="e">
        <f t="shared" si="20"/>
        <v>#N/A</v>
      </c>
      <c r="AF113" t="e">
        <f t="shared" si="21"/>
        <v>#N/A</v>
      </c>
      <c r="AG113" t="e">
        <f t="shared" si="22"/>
        <v>#N/A</v>
      </c>
      <c r="AH113" t="e">
        <f t="shared" si="29"/>
        <v>#N/A</v>
      </c>
      <c r="AI113" t="e">
        <f t="shared" si="23"/>
        <v>#N/A</v>
      </c>
      <c r="AJ113">
        <f t="shared" si="24"/>
        <v>0</v>
      </c>
      <c r="AK113" t="e">
        <f t="shared" si="25"/>
        <v>#N/A</v>
      </c>
      <c r="AL113" t="e">
        <f t="shared" si="26"/>
        <v>#N/A</v>
      </c>
      <c r="AM113" t="e">
        <f t="shared" si="27"/>
        <v>#N/A</v>
      </c>
      <c r="AN1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3" t="e">
        <f t="shared" si="28"/>
        <v>#N/A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0</v>
      </c>
      <c r="V114" cm="1">
        <f t="array" ref="V114">INDEX($F$4:$T$263,ROW(A111),MATCH($W$2,$F$3:$T$3,0))</f>
        <v>0</v>
      </c>
      <c r="W1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4" t="e">
        <f t="shared" si="15"/>
        <v>#N/A</v>
      </c>
      <c r="AA114" t="e">
        <f t="shared" si="16"/>
        <v>#N/A</v>
      </c>
      <c r="AB114" t="e">
        <f t="shared" si="17"/>
        <v>#N/A</v>
      </c>
      <c r="AC114" t="e">
        <f t="shared" si="18"/>
        <v>#N/A</v>
      </c>
      <c r="AD114" t="e">
        <f t="shared" si="19"/>
        <v>#N/A</v>
      </c>
      <c r="AE114" t="e">
        <f t="shared" si="20"/>
        <v>#N/A</v>
      </c>
      <c r="AF114" t="e">
        <f t="shared" si="21"/>
        <v>#N/A</v>
      </c>
      <c r="AG114" t="e">
        <f t="shared" si="22"/>
        <v>#N/A</v>
      </c>
      <c r="AH114" t="e">
        <f t="shared" si="29"/>
        <v>#N/A</v>
      </c>
      <c r="AI114" t="e">
        <f t="shared" si="23"/>
        <v>#N/A</v>
      </c>
      <c r="AJ114">
        <f t="shared" si="24"/>
        <v>0</v>
      </c>
      <c r="AK114" t="e">
        <f t="shared" si="25"/>
        <v>#N/A</v>
      </c>
      <c r="AL114" t="e">
        <f t="shared" si="26"/>
        <v>#N/A</v>
      </c>
      <c r="AM114" t="e">
        <f t="shared" si="27"/>
        <v>#N/A</v>
      </c>
      <c r="AN1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4" t="e">
        <f t="shared" si="28"/>
        <v>#N/A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0</v>
      </c>
      <c r="V115" cm="1">
        <f t="array" ref="V115">INDEX($F$4:$T$263,ROW(A112),MATCH($W$2,$F$3:$T$3,0))</f>
        <v>0</v>
      </c>
      <c r="W1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5" t="e">
        <f t="shared" si="15"/>
        <v>#N/A</v>
      </c>
      <c r="AA115" t="e">
        <f t="shared" si="16"/>
        <v>#N/A</v>
      </c>
      <c r="AB115" t="e">
        <f t="shared" si="17"/>
        <v>#N/A</v>
      </c>
      <c r="AC115" t="e">
        <f t="shared" si="18"/>
        <v>#N/A</v>
      </c>
      <c r="AD115" t="e">
        <f t="shared" si="19"/>
        <v>#N/A</v>
      </c>
      <c r="AE115" t="e">
        <f t="shared" si="20"/>
        <v>#N/A</v>
      </c>
      <c r="AF115" t="e">
        <f t="shared" si="21"/>
        <v>#N/A</v>
      </c>
      <c r="AG115" t="e">
        <f t="shared" si="22"/>
        <v>#N/A</v>
      </c>
      <c r="AH115" t="e">
        <f t="shared" si="29"/>
        <v>#N/A</v>
      </c>
      <c r="AI115" t="e">
        <f t="shared" si="23"/>
        <v>#N/A</v>
      </c>
      <c r="AJ115">
        <f t="shared" si="24"/>
        <v>0</v>
      </c>
      <c r="AK115" t="e">
        <f t="shared" si="25"/>
        <v>#N/A</v>
      </c>
      <c r="AL115" t="e">
        <f t="shared" si="26"/>
        <v>#N/A</v>
      </c>
      <c r="AM115" t="e">
        <f t="shared" si="27"/>
        <v>#N/A</v>
      </c>
      <c r="AN1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5" t="e">
        <f t="shared" si="28"/>
        <v>#N/A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0</v>
      </c>
      <c r="V116" cm="1">
        <f t="array" ref="V116">INDEX($F$4:$T$263,ROW(A113),MATCH($W$2,$F$3:$T$3,0))</f>
        <v>0</v>
      </c>
      <c r="W1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6" t="e">
        <f t="shared" si="15"/>
        <v>#N/A</v>
      </c>
      <c r="AA116" t="e">
        <f t="shared" si="16"/>
        <v>#N/A</v>
      </c>
      <c r="AB116" t="e">
        <f t="shared" si="17"/>
        <v>#N/A</v>
      </c>
      <c r="AC116" t="e">
        <f t="shared" si="18"/>
        <v>#N/A</v>
      </c>
      <c r="AD116" t="e">
        <f t="shared" si="19"/>
        <v>#N/A</v>
      </c>
      <c r="AE116" t="e">
        <f t="shared" si="20"/>
        <v>#N/A</v>
      </c>
      <c r="AF116" t="e">
        <f t="shared" si="21"/>
        <v>#N/A</v>
      </c>
      <c r="AG116" t="e">
        <f t="shared" si="22"/>
        <v>#N/A</v>
      </c>
      <c r="AH116" t="e">
        <f t="shared" si="29"/>
        <v>#N/A</v>
      </c>
      <c r="AI116" t="e">
        <f t="shared" si="23"/>
        <v>#N/A</v>
      </c>
      <c r="AJ116">
        <f t="shared" si="24"/>
        <v>0</v>
      </c>
      <c r="AK116" t="e">
        <f t="shared" si="25"/>
        <v>#N/A</v>
      </c>
      <c r="AL116" t="e">
        <f t="shared" si="26"/>
        <v>#N/A</v>
      </c>
      <c r="AM116" t="e">
        <f t="shared" si="27"/>
        <v>#N/A</v>
      </c>
      <c r="AN1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6" t="e">
        <f t="shared" si="28"/>
        <v>#N/A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0</v>
      </c>
      <c r="V117" cm="1">
        <f t="array" ref="V117">INDEX($F$4:$T$263,ROW(A114),MATCH($W$2,$F$3:$T$3,0))</f>
        <v>0</v>
      </c>
      <c r="W1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7" t="e">
        <f t="shared" si="15"/>
        <v>#N/A</v>
      </c>
      <c r="AA117" t="e">
        <f t="shared" si="16"/>
        <v>#N/A</v>
      </c>
      <c r="AB117" t="e">
        <f t="shared" si="17"/>
        <v>#N/A</v>
      </c>
      <c r="AC117" t="e">
        <f t="shared" si="18"/>
        <v>#N/A</v>
      </c>
      <c r="AD117" t="e">
        <f t="shared" si="19"/>
        <v>#N/A</v>
      </c>
      <c r="AE117" t="e">
        <f t="shared" si="20"/>
        <v>#N/A</v>
      </c>
      <c r="AF117" t="e">
        <f t="shared" si="21"/>
        <v>#N/A</v>
      </c>
      <c r="AG117" t="e">
        <f t="shared" si="22"/>
        <v>#N/A</v>
      </c>
      <c r="AH117" t="e">
        <f t="shared" si="29"/>
        <v>#N/A</v>
      </c>
      <c r="AI117" t="e">
        <f t="shared" si="23"/>
        <v>#N/A</v>
      </c>
      <c r="AJ117">
        <f t="shared" si="24"/>
        <v>0</v>
      </c>
      <c r="AK117" t="e">
        <f t="shared" si="25"/>
        <v>#N/A</v>
      </c>
      <c r="AL117" t="e">
        <f t="shared" si="26"/>
        <v>#N/A</v>
      </c>
      <c r="AM117" t="e">
        <f t="shared" si="27"/>
        <v>#N/A</v>
      </c>
      <c r="AN1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7" t="e">
        <f t="shared" si="28"/>
        <v>#N/A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0</v>
      </c>
      <c r="V118" cm="1">
        <f t="array" ref="V118">INDEX($F$4:$T$263,ROW(A115),MATCH($W$2,$F$3:$T$3,0))</f>
        <v>0</v>
      </c>
      <c r="W1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8" t="e">
        <f t="shared" si="15"/>
        <v>#N/A</v>
      </c>
      <c r="AA118" t="e">
        <f t="shared" si="16"/>
        <v>#N/A</v>
      </c>
      <c r="AB118" t="e">
        <f t="shared" si="17"/>
        <v>#N/A</v>
      </c>
      <c r="AC118" t="e">
        <f t="shared" si="18"/>
        <v>#N/A</v>
      </c>
      <c r="AD118" t="e">
        <f t="shared" si="19"/>
        <v>#N/A</v>
      </c>
      <c r="AE118" t="e">
        <f t="shared" si="20"/>
        <v>#N/A</v>
      </c>
      <c r="AF118" t="e">
        <f t="shared" si="21"/>
        <v>#N/A</v>
      </c>
      <c r="AG118" t="e">
        <f t="shared" si="22"/>
        <v>#N/A</v>
      </c>
      <c r="AH118" t="e">
        <f t="shared" si="29"/>
        <v>#N/A</v>
      </c>
      <c r="AI118" t="e">
        <f t="shared" si="23"/>
        <v>#N/A</v>
      </c>
      <c r="AJ118">
        <f t="shared" si="24"/>
        <v>0</v>
      </c>
      <c r="AK118" t="e">
        <f t="shared" si="25"/>
        <v>#N/A</v>
      </c>
      <c r="AL118" t="e">
        <f t="shared" si="26"/>
        <v>#N/A</v>
      </c>
      <c r="AM118" t="e">
        <f t="shared" si="27"/>
        <v>#N/A</v>
      </c>
      <c r="AN1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8" t="e">
        <f t="shared" si="28"/>
        <v>#N/A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0</v>
      </c>
      <c r="V119" cm="1">
        <f t="array" ref="V119">INDEX($F$4:$T$263,ROW(A116),MATCH($W$2,$F$3:$T$3,0))</f>
        <v>0</v>
      </c>
      <c r="W1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19" t="e">
        <f t="shared" si="15"/>
        <v>#N/A</v>
      </c>
      <c r="AA119" t="e">
        <f t="shared" si="16"/>
        <v>#N/A</v>
      </c>
      <c r="AB119" t="e">
        <f t="shared" si="17"/>
        <v>#N/A</v>
      </c>
      <c r="AC119" t="e">
        <f t="shared" si="18"/>
        <v>#N/A</v>
      </c>
      <c r="AD119" t="e">
        <f t="shared" si="19"/>
        <v>#N/A</v>
      </c>
      <c r="AE119" t="e">
        <f t="shared" si="20"/>
        <v>#N/A</v>
      </c>
      <c r="AF119" t="e">
        <f t="shared" si="21"/>
        <v>#N/A</v>
      </c>
      <c r="AG119" t="e">
        <f t="shared" si="22"/>
        <v>#N/A</v>
      </c>
      <c r="AH119" t="e">
        <f t="shared" si="29"/>
        <v>#N/A</v>
      </c>
      <c r="AI119" t="e">
        <f t="shared" si="23"/>
        <v>#N/A</v>
      </c>
      <c r="AJ119">
        <f t="shared" si="24"/>
        <v>0</v>
      </c>
      <c r="AK119" t="e">
        <f t="shared" si="25"/>
        <v>#N/A</v>
      </c>
      <c r="AL119" t="e">
        <f t="shared" si="26"/>
        <v>#N/A</v>
      </c>
      <c r="AM119" t="e">
        <f t="shared" si="27"/>
        <v>#N/A</v>
      </c>
      <c r="AN1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19" t="e">
        <f t="shared" si="28"/>
        <v>#N/A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0</v>
      </c>
      <c r="V120" cm="1">
        <f t="array" ref="V120">INDEX($F$4:$T$263,ROW(A117),MATCH($W$2,$F$3:$T$3,0))</f>
        <v>0</v>
      </c>
      <c r="W1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0" t="e">
        <f t="shared" si="15"/>
        <v>#N/A</v>
      </c>
      <c r="AA120" t="e">
        <f t="shared" si="16"/>
        <v>#N/A</v>
      </c>
      <c r="AB120" t="e">
        <f t="shared" si="17"/>
        <v>#N/A</v>
      </c>
      <c r="AC120" t="e">
        <f t="shared" si="18"/>
        <v>#N/A</v>
      </c>
      <c r="AD120" t="e">
        <f t="shared" si="19"/>
        <v>#N/A</v>
      </c>
      <c r="AE120" t="e">
        <f t="shared" si="20"/>
        <v>#N/A</v>
      </c>
      <c r="AF120" t="e">
        <f t="shared" si="21"/>
        <v>#N/A</v>
      </c>
      <c r="AG120" t="e">
        <f t="shared" si="22"/>
        <v>#N/A</v>
      </c>
      <c r="AH120" t="e">
        <f t="shared" si="29"/>
        <v>#N/A</v>
      </c>
      <c r="AI120" t="e">
        <f t="shared" si="23"/>
        <v>#N/A</v>
      </c>
      <c r="AJ120">
        <f t="shared" si="24"/>
        <v>0</v>
      </c>
      <c r="AK120" t="e">
        <f t="shared" si="25"/>
        <v>#N/A</v>
      </c>
      <c r="AL120" t="e">
        <f t="shared" si="26"/>
        <v>#N/A</v>
      </c>
      <c r="AM120" t="e">
        <f t="shared" si="27"/>
        <v>#N/A</v>
      </c>
      <c r="AN1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0" t="e">
        <f t="shared" si="28"/>
        <v>#N/A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0</v>
      </c>
      <c r="V121" cm="1">
        <f t="array" ref="V121">INDEX($F$4:$T$263,ROW(A118),MATCH($W$2,$F$3:$T$3,0))</f>
        <v>0</v>
      </c>
      <c r="W1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1" t="e">
        <f t="shared" si="15"/>
        <v>#N/A</v>
      </c>
      <c r="AA121" t="e">
        <f t="shared" si="16"/>
        <v>#N/A</v>
      </c>
      <c r="AB121" t="e">
        <f t="shared" si="17"/>
        <v>#N/A</v>
      </c>
      <c r="AC121" t="e">
        <f t="shared" si="18"/>
        <v>#N/A</v>
      </c>
      <c r="AD121" t="e">
        <f t="shared" si="19"/>
        <v>#N/A</v>
      </c>
      <c r="AE121" t="e">
        <f t="shared" si="20"/>
        <v>#N/A</v>
      </c>
      <c r="AF121" t="e">
        <f t="shared" si="21"/>
        <v>#N/A</v>
      </c>
      <c r="AG121" t="e">
        <f t="shared" si="22"/>
        <v>#N/A</v>
      </c>
      <c r="AH121" t="e">
        <f t="shared" si="29"/>
        <v>#N/A</v>
      </c>
      <c r="AI121" t="e">
        <f t="shared" si="23"/>
        <v>#N/A</v>
      </c>
      <c r="AJ121">
        <f t="shared" si="24"/>
        <v>0</v>
      </c>
      <c r="AK121" t="e">
        <f t="shared" si="25"/>
        <v>#N/A</v>
      </c>
      <c r="AL121" t="e">
        <f t="shared" si="26"/>
        <v>#N/A</v>
      </c>
      <c r="AM121" t="e">
        <f t="shared" si="27"/>
        <v>#N/A</v>
      </c>
      <c r="AN1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1" t="e">
        <f t="shared" si="28"/>
        <v>#N/A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0</v>
      </c>
      <c r="V122" cm="1">
        <f t="array" ref="V122">INDEX($F$4:$T$263,ROW(A119),MATCH($W$2,$F$3:$T$3,0))</f>
        <v>0</v>
      </c>
      <c r="W1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2" t="e">
        <f t="shared" si="15"/>
        <v>#N/A</v>
      </c>
      <c r="AA122" t="e">
        <f t="shared" si="16"/>
        <v>#N/A</v>
      </c>
      <c r="AB122" t="e">
        <f t="shared" si="17"/>
        <v>#N/A</v>
      </c>
      <c r="AC122" t="e">
        <f t="shared" si="18"/>
        <v>#N/A</v>
      </c>
      <c r="AD122" t="e">
        <f t="shared" si="19"/>
        <v>#N/A</v>
      </c>
      <c r="AE122" t="e">
        <f t="shared" si="20"/>
        <v>#N/A</v>
      </c>
      <c r="AF122" t="e">
        <f t="shared" si="21"/>
        <v>#N/A</v>
      </c>
      <c r="AG122" t="e">
        <f t="shared" si="22"/>
        <v>#N/A</v>
      </c>
      <c r="AH122" t="e">
        <f t="shared" si="29"/>
        <v>#N/A</v>
      </c>
      <c r="AI122" t="e">
        <f t="shared" si="23"/>
        <v>#N/A</v>
      </c>
      <c r="AJ122">
        <f t="shared" si="24"/>
        <v>0</v>
      </c>
      <c r="AK122" t="e">
        <f t="shared" si="25"/>
        <v>#N/A</v>
      </c>
      <c r="AL122" t="e">
        <f t="shared" si="26"/>
        <v>#N/A</v>
      </c>
      <c r="AM122" t="e">
        <f t="shared" si="27"/>
        <v>#N/A</v>
      </c>
      <c r="AN1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2" t="e">
        <f t="shared" si="28"/>
        <v>#N/A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0</v>
      </c>
      <c r="V123" cm="1">
        <f t="array" ref="V123">INDEX($F$4:$T$263,ROW(A120),MATCH($W$2,$F$3:$T$3,0))</f>
        <v>0</v>
      </c>
      <c r="W1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3" t="e">
        <f t="shared" si="15"/>
        <v>#N/A</v>
      </c>
      <c r="AA123" t="e">
        <f t="shared" si="16"/>
        <v>#N/A</v>
      </c>
      <c r="AB123" t="e">
        <f t="shared" si="17"/>
        <v>#N/A</v>
      </c>
      <c r="AC123" t="e">
        <f t="shared" si="18"/>
        <v>#N/A</v>
      </c>
      <c r="AD123" t="e">
        <f t="shared" si="19"/>
        <v>#N/A</v>
      </c>
      <c r="AE123" t="e">
        <f t="shared" si="20"/>
        <v>#N/A</v>
      </c>
      <c r="AF123" t="e">
        <f t="shared" si="21"/>
        <v>#N/A</v>
      </c>
      <c r="AG123" t="e">
        <f t="shared" si="22"/>
        <v>#N/A</v>
      </c>
      <c r="AH123" t="e">
        <f t="shared" si="29"/>
        <v>#N/A</v>
      </c>
      <c r="AI123" t="e">
        <f t="shared" si="23"/>
        <v>#N/A</v>
      </c>
      <c r="AJ123">
        <f t="shared" si="24"/>
        <v>0</v>
      </c>
      <c r="AK123" t="e">
        <f t="shared" si="25"/>
        <v>#N/A</v>
      </c>
      <c r="AL123" t="e">
        <f t="shared" si="26"/>
        <v>#N/A</v>
      </c>
      <c r="AM123" t="e">
        <f t="shared" si="27"/>
        <v>#N/A</v>
      </c>
      <c r="AN1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3" t="e">
        <f t="shared" si="28"/>
        <v>#N/A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0</v>
      </c>
      <c r="V124" cm="1">
        <f t="array" ref="V124">INDEX($F$4:$T$263,ROW(A121),MATCH($W$2,$F$3:$T$3,0))</f>
        <v>0</v>
      </c>
      <c r="W1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4" t="e">
        <f t="shared" si="15"/>
        <v>#N/A</v>
      </c>
      <c r="AA124" t="e">
        <f t="shared" si="16"/>
        <v>#N/A</v>
      </c>
      <c r="AB124" t="e">
        <f t="shared" si="17"/>
        <v>#N/A</v>
      </c>
      <c r="AC124" t="e">
        <f t="shared" si="18"/>
        <v>#N/A</v>
      </c>
      <c r="AD124" t="e">
        <f t="shared" si="19"/>
        <v>#N/A</v>
      </c>
      <c r="AE124" t="e">
        <f t="shared" si="20"/>
        <v>#N/A</v>
      </c>
      <c r="AF124" t="e">
        <f t="shared" si="21"/>
        <v>#N/A</v>
      </c>
      <c r="AG124" t="e">
        <f t="shared" si="22"/>
        <v>#N/A</v>
      </c>
      <c r="AH124" t="e">
        <f t="shared" si="29"/>
        <v>#N/A</v>
      </c>
      <c r="AI124" t="e">
        <f t="shared" si="23"/>
        <v>#N/A</v>
      </c>
      <c r="AJ124">
        <f t="shared" si="24"/>
        <v>0</v>
      </c>
      <c r="AK124" t="e">
        <f t="shared" si="25"/>
        <v>#N/A</v>
      </c>
      <c r="AL124" t="e">
        <f t="shared" si="26"/>
        <v>#N/A</v>
      </c>
      <c r="AM124" t="e">
        <f t="shared" si="27"/>
        <v>#N/A</v>
      </c>
      <c r="AN1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4" t="e">
        <f t="shared" si="28"/>
        <v>#N/A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0</v>
      </c>
      <c r="V125" cm="1">
        <f t="array" ref="V125">INDEX($F$4:$T$263,ROW(A122),MATCH($W$2,$F$3:$T$3,0))</f>
        <v>0</v>
      </c>
      <c r="W1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5" t="e">
        <f t="shared" si="15"/>
        <v>#N/A</v>
      </c>
      <c r="AA125" t="e">
        <f t="shared" si="16"/>
        <v>#N/A</v>
      </c>
      <c r="AB125" t="e">
        <f t="shared" si="17"/>
        <v>#N/A</v>
      </c>
      <c r="AC125" t="e">
        <f t="shared" si="18"/>
        <v>#N/A</v>
      </c>
      <c r="AD125" t="e">
        <f t="shared" si="19"/>
        <v>#N/A</v>
      </c>
      <c r="AE125" t="e">
        <f t="shared" si="20"/>
        <v>#N/A</v>
      </c>
      <c r="AF125" t="e">
        <f t="shared" si="21"/>
        <v>#N/A</v>
      </c>
      <c r="AG125" t="e">
        <f t="shared" si="22"/>
        <v>#N/A</v>
      </c>
      <c r="AH125" t="e">
        <f t="shared" si="29"/>
        <v>#N/A</v>
      </c>
      <c r="AI125" t="e">
        <f t="shared" si="23"/>
        <v>#N/A</v>
      </c>
      <c r="AJ125">
        <f t="shared" si="24"/>
        <v>0</v>
      </c>
      <c r="AK125" t="e">
        <f t="shared" si="25"/>
        <v>#N/A</v>
      </c>
      <c r="AL125" t="e">
        <f t="shared" si="26"/>
        <v>#N/A</v>
      </c>
      <c r="AM125" t="e">
        <f t="shared" si="27"/>
        <v>#N/A</v>
      </c>
      <c r="AN1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5" t="e">
        <f t="shared" si="28"/>
        <v>#N/A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0</v>
      </c>
      <c r="V126" cm="1">
        <f t="array" ref="V126">INDEX($F$4:$T$263,ROW(A123),MATCH($W$2,$F$3:$T$3,0))</f>
        <v>0</v>
      </c>
      <c r="W1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6" t="e">
        <f t="shared" si="15"/>
        <v>#N/A</v>
      </c>
      <c r="AA126" t="e">
        <f t="shared" si="16"/>
        <v>#N/A</v>
      </c>
      <c r="AB126" t="e">
        <f t="shared" si="17"/>
        <v>#N/A</v>
      </c>
      <c r="AC126" t="e">
        <f t="shared" si="18"/>
        <v>#N/A</v>
      </c>
      <c r="AD126" t="e">
        <f t="shared" si="19"/>
        <v>#N/A</v>
      </c>
      <c r="AE126" t="e">
        <f t="shared" si="20"/>
        <v>#N/A</v>
      </c>
      <c r="AF126" t="e">
        <f t="shared" si="21"/>
        <v>#N/A</v>
      </c>
      <c r="AG126" t="e">
        <f t="shared" si="22"/>
        <v>#N/A</v>
      </c>
      <c r="AH126" t="e">
        <f t="shared" si="29"/>
        <v>#N/A</v>
      </c>
      <c r="AI126" t="e">
        <f t="shared" si="23"/>
        <v>#N/A</v>
      </c>
      <c r="AJ126">
        <f t="shared" si="24"/>
        <v>0</v>
      </c>
      <c r="AK126" t="e">
        <f t="shared" si="25"/>
        <v>#N/A</v>
      </c>
      <c r="AL126" t="e">
        <f t="shared" si="26"/>
        <v>#N/A</v>
      </c>
      <c r="AM126" t="e">
        <f t="shared" si="27"/>
        <v>#N/A</v>
      </c>
      <c r="AN1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6" t="e">
        <f t="shared" si="28"/>
        <v>#N/A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0</v>
      </c>
      <c r="V127" cm="1">
        <f t="array" ref="V127">INDEX($F$4:$T$263,ROW(A124),MATCH($W$2,$F$3:$T$3,0))</f>
        <v>0</v>
      </c>
      <c r="W1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7" t="e">
        <f t="shared" si="15"/>
        <v>#N/A</v>
      </c>
      <c r="AA127" t="e">
        <f t="shared" si="16"/>
        <v>#N/A</v>
      </c>
      <c r="AB127" t="e">
        <f t="shared" si="17"/>
        <v>#N/A</v>
      </c>
      <c r="AC127" t="e">
        <f t="shared" si="18"/>
        <v>#N/A</v>
      </c>
      <c r="AD127" t="e">
        <f t="shared" si="19"/>
        <v>#N/A</v>
      </c>
      <c r="AE127" t="e">
        <f t="shared" si="20"/>
        <v>#N/A</v>
      </c>
      <c r="AF127" t="e">
        <f t="shared" si="21"/>
        <v>#N/A</v>
      </c>
      <c r="AG127" t="e">
        <f t="shared" si="22"/>
        <v>#N/A</v>
      </c>
      <c r="AH127" t="e">
        <f t="shared" si="29"/>
        <v>#N/A</v>
      </c>
      <c r="AI127" t="e">
        <f t="shared" si="23"/>
        <v>#N/A</v>
      </c>
      <c r="AJ127">
        <f t="shared" si="24"/>
        <v>0</v>
      </c>
      <c r="AK127" t="e">
        <f t="shared" si="25"/>
        <v>#N/A</v>
      </c>
      <c r="AL127" t="e">
        <f t="shared" si="26"/>
        <v>#N/A</v>
      </c>
      <c r="AM127" t="e">
        <f t="shared" si="27"/>
        <v>#N/A</v>
      </c>
      <c r="AN1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7" t="e">
        <f t="shared" si="28"/>
        <v>#N/A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0</v>
      </c>
      <c r="V128" cm="1">
        <f t="array" ref="V128">INDEX($F$4:$T$263,ROW(A125),MATCH($W$2,$F$3:$T$3,0))</f>
        <v>0</v>
      </c>
      <c r="W1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8" t="e">
        <f t="shared" si="15"/>
        <v>#N/A</v>
      </c>
      <c r="AA128" t="e">
        <f t="shared" si="16"/>
        <v>#N/A</v>
      </c>
      <c r="AB128" t="e">
        <f t="shared" si="17"/>
        <v>#N/A</v>
      </c>
      <c r="AC128" t="e">
        <f t="shared" si="18"/>
        <v>#N/A</v>
      </c>
      <c r="AD128" t="e">
        <f t="shared" si="19"/>
        <v>#N/A</v>
      </c>
      <c r="AE128" t="e">
        <f t="shared" si="20"/>
        <v>#N/A</v>
      </c>
      <c r="AF128" t="e">
        <f t="shared" si="21"/>
        <v>#N/A</v>
      </c>
      <c r="AG128" t="e">
        <f t="shared" si="22"/>
        <v>#N/A</v>
      </c>
      <c r="AH128" t="e">
        <f t="shared" si="29"/>
        <v>#N/A</v>
      </c>
      <c r="AI128" t="e">
        <f t="shared" si="23"/>
        <v>#N/A</v>
      </c>
      <c r="AJ128">
        <f t="shared" si="24"/>
        <v>0</v>
      </c>
      <c r="AK128" t="e">
        <f t="shared" si="25"/>
        <v>#N/A</v>
      </c>
      <c r="AL128" t="e">
        <f t="shared" si="26"/>
        <v>#N/A</v>
      </c>
      <c r="AM128" t="e">
        <f t="shared" si="27"/>
        <v>#N/A</v>
      </c>
      <c r="AN1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8" t="e">
        <f t="shared" si="28"/>
        <v>#N/A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0</v>
      </c>
      <c r="V129" cm="1">
        <f t="array" ref="V129">INDEX($F$4:$T$263,ROW(A126),MATCH($W$2,$F$3:$T$3,0))</f>
        <v>0</v>
      </c>
      <c r="W1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29" t="e">
        <f t="shared" si="15"/>
        <v>#N/A</v>
      </c>
      <c r="AA129" t="e">
        <f t="shared" si="16"/>
        <v>#N/A</v>
      </c>
      <c r="AB129" t="e">
        <f t="shared" si="17"/>
        <v>#N/A</v>
      </c>
      <c r="AC129" t="e">
        <f t="shared" si="18"/>
        <v>#N/A</v>
      </c>
      <c r="AD129" t="e">
        <f t="shared" si="19"/>
        <v>#N/A</v>
      </c>
      <c r="AE129" t="e">
        <f t="shared" si="20"/>
        <v>#N/A</v>
      </c>
      <c r="AF129" t="e">
        <f t="shared" si="21"/>
        <v>#N/A</v>
      </c>
      <c r="AG129" t="e">
        <f t="shared" si="22"/>
        <v>#N/A</v>
      </c>
      <c r="AH129" t="e">
        <f t="shared" si="29"/>
        <v>#N/A</v>
      </c>
      <c r="AI129" t="e">
        <f t="shared" si="23"/>
        <v>#N/A</v>
      </c>
      <c r="AJ129">
        <f t="shared" si="24"/>
        <v>0</v>
      </c>
      <c r="AK129" t="e">
        <f t="shared" si="25"/>
        <v>#N/A</v>
      </c>
      <c r="AL129" t="e">
        <f t="shared" si="26"/>
        <v>#N/A</v>
      </c>
      <c r="AM129" t="e">
        <f t="shared" si="27"/>
        <v>#N/A</v>
      </c>
      <c r="AN1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29" t="e">
        <f t="shared" si="28"/>
        <v>#N/A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0</v>
      </c>
      <c r="V130" cm="1">
        <f t="array" ref="V130">INDEX($F$4:$T$263,ROW(A127),MATCH($W$2,$F$3:$T$3,0))</f>
        <v>0</v>
      </c>
      <c r="W1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0" t="e">
        <f t="shared" si="15"/>
        <v>#N/A</v>
      </c>
      <c r="AA130" t="e">
        <f t="shared" si="16"/>
        <v>#N/A</v>
      </c>
      <c r="AB130" t="e">
        <f t="shared" si="17"/>
        <v>#N/A</v>
      </c>
      <c r="AC130" t="e">
        <f t="shared" si="18"/>
        <v>#N/A</v>
      </c>
      <c r="AD130" t="e">
        <f t="shared" si="19"/>
        <v>#N/A</v>
      </c>
      <c r="AE130" t="e">
        <f t="shared" si="20"/>
        <v>#N/A</v>
      </c>
      <c r="AF130" t="e">
        <f t="shared" si="21"/>
        <v>#N/A</v>
      </c>
      <c r="AG130" t="e">
        <f t="shared" si="22"/>
        <v>#N/A</v>
      </c>
      <c r="AH130" t="e">
        <f t="shared" si="29"/>
        <v>#N/A</v>
      </c>
      <c r="AI130" t="e">
        <f t="shared" si="23"/>
        <v>#N/A</v>
      </c>
      <c r="AJ130">
        <f t="shared" si="24"/>
        <v>0</v>
      </c>
      <c r="AK130" t="e">
        <f t="shared" si="25"/>
        <v>#N/A</v>
      </c>
      <c r="AL130" t="e">
        <f t="shared" si="26"/>
        <v>#N/A</v>
      </c>
      <c r="AM130" t="e">
        <f t="shared" si="27"/>
        <v>#N/A</v>
      </c>
      <c r="AN1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0" t="e">
        <f t="shared" si="28"/>
        <v>#N/A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0</v>
      </c>
      <c r="V131" cm="1">
        <f t="array" ref="V131">INDEX($F$4:$T$263,ROW(A128),MATCH($W$2,$F$3:$T$3,0))</f>
        <v>0</v>
      </c>
      <c r="W1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1" t="e">
        <f t="shared" si="15"/>
        <v>#N/A</v>
      </c>
      <c r="AA131" t="e">
        <f t="shared" si="16"/>
        <v>#N/A</v>
      </c>
      <c r="AB131" t="e">
        <f t="shared" si="17"/>
        <v>#N/A</v>
      </c>
      <c r="AC131" t="e">
        <f t="shared" si="18"/>
        <v>#N/A</v>
      </c>
      <c r="AD131" t="e">
        <f t="shared" si="19"/>
        <v>#N/A</v>
      </c>
      <c r="AE131" t="e">
        <f t="shared" si="20"/>
        <v>#N/A</v>
      </c>
      <c r="AF131" t="e">
        <f t="shared" si="21"/>
        <v>#N/A</v>
      </c>
      <c r="AG131" t="e">
        <f t="shared" si="22"/>
        <v>#N/A</v>
      </c>
      <c r="AH131" t="e">
        <f t="shared" si="29"/>
        <v>#N/A</v>
      </c>
      <c r="AI131" t="e">
        <f t="shared" si="23"/>
        <v>#N/A</v>
      </c>
      <c r="AJ131">
        <f t="shared" si="24"/>
        <v>0</v>
      </c>
      <c r="AK131" t="e">
        <f t="shared" si="25"/>
        <v>#N/A</v>
      </c>
      <c r="AL131" t="e">
        <f t="shared" si="26"/>
        <v>#N/A</v>
      </c>
      <c r="AM131" t="e">
        <f t="shared" si="27"/>
        <v>#N/A</v>
      </c>
      <c r="AN1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1" t="e">
        <f t="shared" si="28"/>
        <v>#N/A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0</v>
      </c>
      <c r="V132" cm="1">
        <f t="array" ref="V132">INDEX($F$4:$T$263,ROW(A129),MATCH($W$2,$F$3:$T$3,0))</f>
        <v>0</v>
      </c>
      <c r="W1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2" t="e">
        <f t="shared" si="15"/>
        <v>#N/A</v>
      </c>
      <c r="AA132" t="e">
        <f t="shared" si="16"/>
        <v>#N/A</v>
      </c>
      <c r="AB132" t="e">
        <f t="shared" si="17"/>
        <v>#N/A</v>
      </c>
      <c r="AC132" t="e">
        <f t="shared" si="18"/>
        <v>#N/A</v>
      </c>
      <c r="AD132" t="e">
        <f t="shared" si="19"/>
        <v>#N/A</v>
      </c>
      <c r="AE132" t="e">
        <f t="shared" si="20"/>
        <v>#N/A</v>
      </c>
      <c r="AF132" t="e">
        <f t="shared" si="21"/>
        <v>#N/A</v>
      </c>
      <c r="AG132" t="e">
        <f t="shared" si="22"/>
        <v>#N/A</v>
      </c>
      <c r="AH132" t="e">
        <f t="shared" si="29"/>
        <v>#N/A</v>
      </c>
      <c r="AI132" t="e">
        <f t="shared" si="23"/>
        <v>#N/A</v>
      </c>
      <c r="AJ132">
        <f t="shared" si="24"/>
        <v>0</v>
      </c>
      <c r="AK132" t="e">
        <f t="shared" si="25"/>
        <v>#N/A</v>
      </c>
      <c r="AL132" t="e">
        <f t="shared" si="26"/>
        <v>#N/A</v>
      </c>
      <c r="AM132" t="e">
        <f t="shared" si="27"/>
        <v>#N/A</v>
      </c>
      <c r="AN1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2" t="e">
        <f t="shared" si="28"/>
        <v>#N/A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0</v>
      </c>
      <c r="V133" cm="1">
        <f t="array" ref="V133">INDEX($F$4:$T$263,ROW(A130),MATCH($W$2,$F$3:$T$3,0))</f>
        <v>0</v>
      </c>
      <c r="W1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3" t="e">
        <f t="shared" ref="Z133:Z196" si="30">Y133/1.128</f>
        <v>#N/A</v>
      </c>
      <c r="AA133" t="e">
        <f t="shared" ref="AA133:AA196" si="31">MAX(0,W133-(3*Z133))</f>
        <v>#N/A</v>
      </c>
      <c r="AB133" t="e">
        <f t="shared" ref="AB133:AB196" si="32">MAX(0,W133-(2*Z133))</f>
        <v>#N/A</v>
      </c>
      <c r="AC133" t="e">
        <f t="shared" ref="AC133:AC196" si="33">MAX(0,W133-Z133)</f>
        <v>#N/A</v>
      </c>
      <c r="AD133" t="e">
        <f t="shared" ref="AD133:AD196" si="34">W133+Z133</f>
        <v>#N/A</v>
      </c>
      <c r="AE133" t="e">
        <f t="shared" ref="AE133:AE196" si="35">W133+(2*Z133)</f>
        <v>#N/A</v>
      </c>
      <c r="AF133" t="e">
        <f t="shared" ref="AF133:AF196" si="36">W133+(3*Z133)</f>
        <v>#N/A</v>
      </c>
      <c r="AG133" t="e">
        <f t="shared" ref="AG133:AG196" si="37">IF(OR(V133&gt;AF133,V133&lt;AA133),V133,NA())</f>
        <v>#N/A</v>
      </c>
      <c r="AH133" t="e">
        <f t="shared" si="29"/>
        <v>#N/A</v>
      </c>
      <c r="AI133" t="e">
        <f t="shared" ref="AI133:AI196" si="38">IF(ABS(SUM(AH133:AH135))&gt;=5,V133,NA())</f>
        <v>#N/A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 t="e">
        <f t="shared" ref="AL133:AL196" si="41">IF(V133&lt;W133,-1,IF(V133&gt;W133,1,0))</f>
        <v>#N/A</v>
      </c>
      <c r="AM133" t="e">
        <f t="shared" ref="AM133:AM196" si="42">IF(ABS(SUM(AL133:AL141))=9,V133,NA())</f>
        <v>#N/A</v>
      </c>
      <c r="AN1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3" t="e">
        <f t="shared" ref="AP133:AP196" si="43">AO133-AN133</f>
        <v>#N/A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0</v>
      </c>
      <c r="V134" cm="1">
        <f t="array" ref="V134">INDEX($F$4:$T$263,ROW(A131),MATCH($W$2,$F$3:$T$3,0))</f>
        <v>0</v>
      </c>
      <c r="W1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4" t="e">
        <f t="shared" si="30"/>
        <v>#N/A</v>
      </c>
      <c r="AA134" t="e">
        <f t="shared" si="31"/>
        <v>#N/A</v>
      </c>
      <c r="AB134" t="e">
        <f t="shared" si="32"/>
        <v>#N/A</v>
      </c>
      <c r="AC134" t="e">
        <f t="shared" si="33"/>
        <v>#N/A</v>
      </c>
      <c r="AD134" t="e">
        <f t="shared" si="34"/>
        <v>#N/A</v>
      </c>
      <c r="AE134" t="e">
        <f t="shared" si="35"/>
        <v>#N/A</v>
      </c>
      <c r="AF134" t="e">
        <f t="shared" si="36"/>
        <v>#N/A</v>
      </c>
      <c r="AG134" t="e">
        <f t="shared" si="37"/>
        <v>#N/A</v>
      </c>
      <c r="AH134" t="e">
        <f t="shared" ref="AH134:AH197" si="44">IF(V134&gt;AE134,2,IF(V134&lt;AB134,-2,IF(V134&gt;W134,1,IF(V134&lt;W134,-1,0))))</f>
        <v>#N/A</v>
      </c>
      <c r="AI134" t="e">
        <f t="shared" si="38"/>
        <v>#N/A</v>
      </c>
      <c r="AJ134">
        <f t="shared" si="39"/>
        <v>0</v>
      </c>
      <c r="AK134" t="e">
        <f t="shared" si="40"/>
        <v>#N/A</v>
      </c>
      <c r="AL134" t="e">
        <f t="shared" si="41"/>
        <v>#N/A</v>
      </c>
      <c r="AM134" t="e">
        <f t="shared" si="42"/>
        <v>#N/A</v>
      </c>
      <c r="AN1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4" t="e">
        <f t="shared" si="43"/>
        <v>#N/A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0</v>
      </c>
      <c r="V135" cm="1">
        <f t="array" ref="V135">INDEX($F$4:$T$263,ROW(A132),MATCH($W$2,$F$3:$T$3,0))</f>
        <v>0</v>
      </c>
      <c r="W1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5" t="e">
        <f t="shared" si="30"/>
        <v>#N/A</v>
      </c>
      <c r="AA135" t="e">
        <f t="shared" si="31"/>
        <v>#N/A</v>
      </c>
      <c r="AB135" t="e">
        <f t="shared" si="32"/>
        <v>#N/A</v>
      </c>
      <c r="AC135" t="e">
        <f t="shared" si="33"/>
        <v>#N/A</v>
      </c>
      <c r="AD135" t="e">
        <f t="shared" si="34"/>
        <v>#N/A</v>
      </c>
      <c r="AE135" t="e">
        <f t="shared" si="35"/>
        <v>#N/A</v>
      </c>
      <c r="AF135" t="e">
        <f t="shared" si="36"/>
        <v>#N/A</v>
      </c>
      <c r="AG135" t="e">
        <f t="shared" si="37"/>
        <v>#N/A</v>
      </c>
      <c r="AH135" t="e">
        <f t="shared" si="44"/>
        <v>#N/A</v>
      </c>
      <c r="AI135" t="e">
        <f t="shared" si="38"/>
        <v>#N/A</v>
      </c>
      <c r="AJ135">
        <f t="shared" si="39"/>
        <v>0</v>
      </c>
      <c r="AK135" t="e">
        <f t="shared" si="40"/>
        <v>#N/A</v>
      </c>
      <c r="AL135" t="e">
        <f t="shared" si="41"/>
        <v>#N/A</v>
      </c>
      <c r="AM135" t="e">
        <f t="shared" si="42"/>
        <v>#N/A</v>
      </c>
      <c r="AN1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5" t="e">
        <f t="shared" si="43"/>
        <v>#N/A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0</v>
      </c>
      <c r="V136" cm="1">
        <f t="array" ref="V136">INDEX($F$4:$T$263,ROW(A133),MATCH($W$2,$F$3:$T$3,0))</f>
        <v>0</v>
      </c>
      <c r="W1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6" t="e">
        <f t="shared" si="30"/>
        <v>#N/A</v>
      </c>
      <c r="AA136" t="e">
        <f t="shared" si="31"/>
        <v>#N/A</v>
      </c>
      <c r="AB136" t="e">
        <f t="shared" si="32"/>
        <v>#N/A</v>
      </c>
      <c r="AC136" t="e">
        <f t="shared" si="33"/>
        <v>#N/A</v>
      </c>
      <c r="AD136" t="e">
        <f t="shared" si="34"/>
        <v>#N/A</v>
      </c>
      <c r="AE136" t="e">
        <f t="shared" si="35"/>
        <v>#N/A</v>
      </c>
      <c r="AF136" t="e">
        <f t="shared" si="36"/>
        <v>#N/A</v>
      </c>
      <c r="AG136" t="e">
        <f t="shared" si="37"/>
        <v>#N/A</v>
      </c>
      <c r="AH136" t="e">
        <f t="shared" si="44"/>
        <v>#N/A</v>
      </c>
      <c r="AI136" t="e">
        <f t="shared" si="38"/>
        <v>#N/A</v>
      </c>
      <c r="AJ136">
        <f t="shared" si="39"/>
        <v>0</v>
      </c>
      <c r="AK136" t="e">
        <f t="shared" si="40"/>
        <v>#N/A</v>
      </c>
      <c r="AL136" t="e">
        <f t="shared" si="41"/>
        <v>#N/A</v>
      </c>
      <c r="AM136" t="e">
        <f t="shared" si="42"/>
        <v>#N/A</v>
      </c>
      <c r="AN1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6" t="e">
        <f t="shared" si="43"/>
        <v>#N/A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0</v>
      </c>
      <c r="V137" cm="1">
        <f t="array" ref="V137">INDEX($F$4:$T$263,ROW(A134),MATCH($W$2,$F$3:$T$3,0))</f>
        <v>0</v>
      </c>
      <c r="W1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7" t="e">
        <f t="shared" si="30"/>
        <v>#N/A</v>
      </c>
      <c r="AA137" t="e">
        <f t="shared" si="31"/>
        <v>#N/A</v>
      </c>
      <c r="AB137" t="e">
        <f t="shared" si="32"/>
        <v>#N/A</v>
      </c>
      <c r="AC137" t="e">
        <f t="shared" si="33"/>
        <v>#N/A</v>
      </c>
      <c r="AD137" t="e">
        <f t="shared" si="34"/>
        <v>#N/A</v>
      </c>
      <c r="AE137" t="e">
        <f t="shared" si="35"/>
        <v>#N/A</v>
      </c>
      <c r="AF137" t="e">
        <f t="shared" si="36"/>
        <v>#N/A</v>
      </c>
      <c r="AG137" t="e">
        <f t="shared" si="37"/>
        <v>#N/A</v>
      </c>
      <c r="AH137" t="e">
        <f t="shared" si="44"/>
        <v>#N/A</v>
      </c>
      <c r="AI137" t="e">
        <f t="shared" si="38"/>
        <v>#N/A</v>
      </c>
      <c r="AJ137">
        <f t="shared" si="39"/>
        <v>0</v>
      </c>
      <c r="AK137" t="e">
        <f t="shared" si="40"/>
        <v>#N/A</v>
      </c>
      <c r="AL137" t="e">
        <f t="shared" si="41"/>
        <v>#N/A</v>
      </c>
      <c r="AM137" t="e">
        <f t="shared" si="42"/>
        <v>#N/A</v>
      </c>
      <c r="AN1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7" t="e">
        <f t="shared" si="43"/>
        <v>#N/A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0</v>
      </c>
      <c r="V138" cm="1">
        <f t="array" ref="V138">INDEX($F$4:$T$263,ROW(A135),MATCH($W$2,$F$3:$T$3,0))</f>
        <v>0</v>
      </c>
      <c r="W1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8" t="e">
        <f t="shared" si="30"/>
        <v>#N/A</v>
      </c>
      <c r="AA138" t="e">
        <f t="shared" si="31"/>
        <v>#N/A</v>
      </c>
      <c r="AB138" t="e">
        <f t="shared" si="32"/>
        <v>#N/A</v>
      </c>
      <c r="AC138" t="e">
        <f t="shared" si="33"/>
        <v>#N/A</v>
      </c>
      <c r="AD138" t="e">
        <f t="shared" si="34"/>
        <v>#N/A</v>
      </c>
      <c r="AE138" t="e">
        <f t="shared" si="35"/>
        <v>#N/A</v>
      </c>
      <c r="AF138" t="e">
        <f t="shared" si="36"/>
        <v>#N/A</v>
      </c>
      <c r="AG138" t="e">
        <f t="shared" si="37"/>
        <v>#N/A</v>
      </c>
      <c r="AH138" t="e">
        <f t="shared" si="44"/>
        <v>#N/A</v>
      </c>
      <c r="AI138" t="e">
        <f t="shared" si="38"/>
        <v>#N/A</v>
      </c>
      <c r="AJ138">
        <f t="shared" si="39"/>
        <v>0</v>
      </c>
      <c r="AK138" t="e">
        <f t="shared" si="40"/>
        <v>#N/A</v>
      </c>
      <c r="AL138" t="e">
        <f t="shared" si="41"/>
        <v>#N/A</v>
      </c>
      <c r="AM138" t="e">
        <f t="shared" si="42"/>
        <v>#N/A</v>
      </c>
      <c r="AN1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8" t="e">
        <f t="shared" si="43"/>
        <v>#N/A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0</v>
      </c>
      <c r="V139" cm="1">
        <f t="array" ref="V139">INDEX($F$4:$T$263,ROW(A136),MATCH($W$2,$F$3:$T$3,0))</f>
        <v>0</v>
      </c>
      <c r="W1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39" t="e">
        <f t="shared" si="30"/>
        <v>#N/A</v>
      </c>
      <c r="AA139" t="e">
        <f t="shared" si="31"/>
        <v>#N/A</v>
      </c>
      <c r="AB139" t="e">
        <f t="shared" si="32"/>
        <v>#N/A</v>
      </c>
      <c r="AC139" t="e">
        <f t="shared" si="33"/>
        <v>#N/A</v>
      </c>
      <c r="AD139" t="e">
        <f t="shared" si="34"/>
        <v>#N/A</v>
      </c>
      <c r="AE139" t="e">
        <f t="shared" si="35"/>
        <v>#N/A</v>
      </c>
      <c r="AF139" t="e">
        <f t="shared" si="36"/>
        <v>#N/A</v>
      </c>
      <c r="AG139" t="e">
        <f t="shared" si="37"/>
        <v>#N/A</v>
      </c>
      <c r="AH139" t="e">
        <f t="shared" si="44"/>
        <v>#N/A</v>
      </c>
      <c r="AI139" t="e">
        <f t="shared" si="38"/>
        <v>#N/A</v>
      </c>
      <c r="AJ139">
        <f t="shared" si="39"/>
        <v>0</v>
      </c>
      <c r="AK139" t="e">
        <f t="shared" si="40"/>
        <v>#N/A</v>
      </c>
      <c r="AL139" t="e">
        <f t="shared" si="41"/>
        <v>#N/A</v>
      </c>
      <c r="AM139" t="e">
        <f t="shared" si="42"/>
        <v>#N/A</v>
      </c>
      <c r="AN1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39" t="e">
        <f t="shared" si="43"/>
        <v>#N/A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0</v>
      </c>
      <c r="V140" cm="1">
        <f t="array" ref="V140">INDEX($F$4:$T$263,ROW(A137),MATCH($W$2,$F$3:$T$3,0))</f>
        <v>0</v>
      </c>
      <c r="W1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0" t="e">
        <f t="shared" si="30"/>
        <v>#N/A</v>
      </c>
      <c r="AA140" t="e">
        <f t="shared" si="31"/>
        <v>#N/A</v>
      </c>
      <c r="AB140" t="e">
        <f t="shared" si="32"/>
        <v>#N/A</v>
      </c>
      <c r="AC140" t="e">
        <f t="shared" si="33"/>
        <v>#N/A</v>
      </c>
      <c r="AD140" t="e">
        <f t="shared" si="34"/>
        <v>#N/A</v>
      </c>
      <c r="AE140" t="e">
        <f t="shared" si="35"/>
        <v>#N/A</v>
      </c>
      <c r="AF140" t="e">
        <f t="shared" si="36"/>
        <v>#N/A</v>
      </c>
      <c r="AG140" t="e">
        <f t="shared" si="37"/>
        <v>#N/A</v>
      </c>
      <c r="AH140" t="e">
        <f t="shared" si="44"/>
        <v>#N/A</v>
      </c>
      <c r="AI140" t="e">
        <f t="shared" si="38"/>
        <v>#N/A</v>
      </c>
      <c r="AJ140">
        <f t="shared" si="39"/>
        <v>0</v>
      </c>
      <c r="AK140" t="e">
        <f t="shared" si="40"/>
        <v>#N/A</v>
      </c>
      <c r="AL140" t="e">
        <f t="shared" si="41"/>
        <v>#N/A</v>
      </c>
      <c r="AM140" t="e">
        <f t="shared" si="42"/>
        <v>#N/A</v>
      </c>
      <c r="AN1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0" t="e">
        <f t="shared" si="43"/>
        <v>#N/A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0</v>
      </c>
      <c r="V141" cm="1">
        <f t="array" ref="V141">INDEX($F$4:$T$263,ROW(A138),MATCH($W$2,$F$3:$T$3,0))</f>
        <v>0</v>
      </c>
      <c r="W1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1" t="e">
        <f t="shared" si="30"/>
        <v>#N/A</v>
      </c>
      <c r="AA141" t="e">
        <f t="shared" si="31"/>
        <v>#N/A</v>
      </c>
      <c r="AB141" t="e">
        <f t="shared" si="32"/>
        <v>#N/A</v>
      </c>
      <c r="AC141" t="e">
        <f t="shared" si="33"/>
        <v>#N/A</v>
      </c>
      <c r="AD141" t="e">
        <f t="shared" si="34"/>
        <v>#N/A</v>
      </c>
      <c r="AE141" t="e">
        <f t="shared" si="35"/>
        <v>#N/A</v>
      </c>
      <c r="AF141" t="e">
        <f t="shared" si="36"/>
        <v>#N/A</v>
      </c>
      <c r="AG141" t="e">
        <f t="shared" si="37"/>
        <v>#N/A</v>
      </c>
      <c r="AH141" t="e">
        <f t="shared" si="44"/>
        <v>#N/A</v>
      </c>
      <c r="AI141" t="e">
        <f t="shared" si="38"/>
        <v>#N/A</v>
      </c>
      <c r="AJ141">
        <f t="shared" si="39"/>
        <v>0</v>
      </c>
      <c r="AK141" t="e">
        <f t="shared" si="40"/>
        <v>#N/A</v>
      </c>
      <c r="AL141" t="e">
        <f t="shared" si="41"/>
        <v>#N/A</v>
      </c>
      <c r="AM141" t="e">
        <f t="shared" si="42"/>
        <v>#N/A</v>
      </c>
      <c r="AN1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1" t="e">
        <f t="shared" si="43"/>
        <v>#N/A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0</v>
      </c>
      <c r="V142" cm="1">
        <f t="array" ref="V142">INDEX($F$4:$T$263,ROW(A139),MATCH($W$2,$F$3:$T$3,0))</f>
        <v>0</v>
      </c>
      <c r="W1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2" t="e">
        <f t="shared" si="30"/>
        <v>#N/A</v>
      </c>
      <c r="AA142" t="e">
        <f t="shared" si="31"/>
        <v>#N/A</v>
      </c>
      <c r="AB142" t="e">
        <f t="shared" si="32"/>
        <v>#N/A</v>
      </c>
      <c r="AC142" t="e">
        <f t="shared" si="33"/>
        <v>#N/A</v>
      </c>
      <c r="AD142" t="e">
        <f t="shared" si="34"/>
        <v>#N/A</v>
      </c>
      <c r="AE142" t="e">
        <f t="shared" si="35"/>
        <v>#N/A</v>
      </c>
      <c r="AF142" t="e">
        <f t="shared" si="36"/>
        <v>#N/A</v>
      </c>
      <c r="AG142" t="e">
        <f t="shared" si="37"/>
        <v>#N/A</v>
      </c>
      <c r="AH142" t="e">
        <f t="shared" si="44"/>
        <v>#N/A</v>
      </c>
      <c r="AI142" t="e">
        <f t="shared" si="38"/>
        <v>#N/A</v>
      </c>
      <c r="AJ142">
        <f t="shared" si="39"/>
        <v>0</v>
      </c>
      <c r="AK142" t="e">
        <f t="shared" si="40"/>
        <v>#N/A</v>
      </c>
      <c r="AL142" t="e">
        <f t="shared" si="41"/>
        <v>#N/A</v>
      </c>
      <c r="AM142" t="e">
        <f t="shared" si="42"/>
        <v>#N/A</v>
      </c>
      <c r="AN1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2" t="e">
        <f t="shared" si="43"/>
        <v>#N/A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0</v>
      </c>
      <c r="V143" cm="1">
        <f t="array" ref="V143">INDEX($F$4:$T$263,ROW(A140),MATCH($W$2,$F$3:$T$3,0))</f>
        <v>0</v>
      </c>
      <c r="W1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3" t="e">
        <f t="shared" si="30"/>
        <v>#N/A</v>
      </c>
      <c r="AA143" t="e">
        <f t="shared" si="31"/>
        <v>#N/A</v>
      </c>
      <c r="AB143" t="e">
        <f t="shared" si="32"/>
        <v>#N/A</v>
      </c>
      <c r="AC143" t="e">
        <f t="shared" si="33"/>
        <v>#N/A</v>
      </c>
      <c r="AD143" t="e">
        <f t="shared" si="34"/>
        <v>#N/A</v>
      </c>
      <c r="AE143" t="e">
        <f t="shared" si="35"/>
        <v>#N/A</v>
      </c>
      <c r="AF143" t="e">
        <f t="shared" si="36"/>
        <v>#N/A</v>
      </c>
      <c r="AG143" t="e">
        <f t="shared" si="37"/>
        <v>#N/A</v>
      </c>
      <c r="AH143" t="e">
        <f t="shared" si="44"/>
        <v>#N/A</v>
      </c>
      <c r="AI143" t="e">
        <f t="shared" si="38"/>
        <v>#N/A</v>
      </c>
      <c r="AJ143">
        <f t="shared" si="39"/>
        <v>0</v>
      </c>
      <c r="AK143" t="e">
        <f t="shared" si="40"/>
        <v>#N/A</v>
      </c>
      <c r="AL143" t="e">
        <f t="shared" si="41"/>
        <v>#N/A</v>
      </c>
      <c r="AM143" t="e">
        <f t="shared" si="42"/>
        <v>#N/A</v>
      </c>
      <c r="AN1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3" t="e">
        <f t="shared" si="43"/>
        <v>#N/A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0</v>
      </c>
      <c r="V144" cm="1">
        <f t="array" ref="V144">INDEX($F$4:$T$263,ROW(A141),MATCH($W$2,$F$3:$T$3,0))</f>
        <v>0</v>
      </c>
      <c r="W1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4" t="e">
        <f t="shared" si="30"/>
        <v>#N/A</v>
      </c>
      <c r="AA144" t="e">
        <f t="shared" si="31"/>
        <v>#N/A</v>
      </c>
      <c r="AB144" t="e">
        <f t="shared" si="32"/>
        <v>#N/A</v>
      </c>
      <c r="AC144" t="e">
        <f t="shared" si="33"/>
        <v>#N/A</v>
      </c>
      <c r="AD144" t="e">
        <f t="shared" si="34"/>
        <v>#N/A</v>
      </c>
      <c r="AE144" t="e">
        <f t="shared" si="35"/>
        <v>#N/A</v>
      </c>
      <c r="AF144" t="e">
        <f t="shared" si="36"/>
        <v>#N/A</v>
      </c>
      <c r="AG144" t="e">
        <f t="shared" si="37"/>
        <v>#N/A</v>
      </c>
      <c r="AH144" t="e">
        <f t="shared" si="44"/>
        <v>#N/A</v>
      </c>
      <c r="AI144" t="e">
        <f t="shared" si="38"/>
        <v>#N/A</v>
      </c>
      <c r="AJ144">
        <f t="shared" si="39"/>
        <v>0</v>
      </c>
      <c r="AK144" t="e">
        <f t="shared" si="40"/>
        <v>#N/A</v>
      </c>
      <c r="AL144" t="e">
        <f t="shared" si="41"/>
        <v>#N/A</v>
      </c>
      <c r="AM144" t="e">
        <f t="shared" si="42"/>
        <v>#N/A</v>
      </c>
      <c r="AN1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4" t="e">
        <f t="shared" si="43"/>
        <v>#N/A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0</v>
      </c>
      <c r="V145" cm="1">
        <f t="array" ref="V145">INDEX($F$4:$T$263,ROW(A142),MATCH($W$2,$F$3:$T$3,0))</f>
        <v>0</v>
      </c>
      <c r="W1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5" t="e">
        <f t="shared" si="30"/>
        <v>#N/A</v>
      </c>
      <c r="AA145" t="e">
        <f t="shared" si="31"/>
        <v>#N/A</v>
      </c>
      <c r="AB145" t="e">
        <f t="shared" si="32"/>
        <v>#N/A</v>
      </c>
      <c r="AC145" t="e">
        <f t="shared" si="33"/>
        <v>#N/A</v>
      </c>
      <c r="AD145" t="e">
        <f t="shared" si="34"/>
        <v>#N/A</v>
      </c>
      <c r="AE145" t="e">
        <f t="shared" si="35"/>
        <v>#N/A</v>
      </c>
      <c r="AF145" t="e">
        <f t="shared" si="36"/>
        <v>#N/A</v>
      </c>
      <c r="AG145" t="e">
        <f t="shared" si="37"/>
        <v>#N/A</v>
      </c>
      <c r="AH145" t="e">
        <f t="shared" si="44"/>
        <v>#N/A</v>
      </c>
      <c r="AI145" t="e">
        <f t="shared" si="38"/>
        <v>#N/A</v>
      </c>
      <c r="AJ145">
        <f t="shared" si="39"/>
        <v>0</v>
      </c>
      <c r="AK145" t="e">
        <f t="shared" si="40"/>
        <v>#N/A</v>
      </c>
      <c r="AL145" t="e">
        <f t="shared" si="41"/>
        <v>#N/A</v>
      </c>
      <c r="AM145" t="e">
        <f t="shared" si="42"/>
        <v>#N/A</v>
      </c>
      <c r="AN1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5" t="e">
        <f t="shared" si="43"/>
        <v>#N/A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0</v>
      </c>
      <c r="V146" cm="1">
        <f t="array" ref="V146">INDEX($F$4:$T$263,ROW(A143),MATCH($W$2,$F$3:$T$3,0))</f>
        <v>0</v>
      </c>
      <c r="W1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6" t="e">
        <f t="shared" si="30"/>
        <v>#N/A</v>
      </c>
      <c r="AA146" t="e">
        <f t="shared" si="31"/>
        <v>#N/A</v>
      </c>
      <c r="AB146" t="e">
        <f t="shared" si="32"/>
        <v>#N/A</v>
      </c>
      <c r="AC146" t="e">
        <f t="shared" si="33"/>
        <v>#N/A</v>
      </c>
      <c r="AD146" t="e">
        <f t="shared" si="34"/>
        <v>#N/A</v>
      </c>
      <c r="AE146" t="e">
        <f t="shared" si="35"/>
        <v>#N/A</v>
      </c>
      <c r="AF146" t="e">
        <f t="shared" si="36"/>
        <v>#N/A</v>
      </c>
      <c r="AG146" t="e">
        <f t="shared" si="37"/>
        <v>#N/A</v>
      </c>
      <c r="AH146" t="e">
        <f t="shared" si="44"/>
        <v>#N/A</v>
      </c>
      <c r="AI146" t="e">
        <f t="shared" si="38"/>
        <v>#N/A</v>
      </c>
      <c r="AJ146">
        <f t="shared" si="39"/>
        <v>0</v>
      </c>
      <c r="AK146" t="e">
        <f t="shared" si="40"/>
        <v>#N/A</v>
      </c>
      <c r="AL146" t="e">
        <f t="shared" si="41"/>
        <v>#N/A</v>
      </c>
      <c r="AM146" t="e">
        <f t="shared" si="42"/>
        <v>#N/A</v>
      </c>
      <c r="AN1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6" t="e">
        <f t="shared" si="43"/>
        <v>#N/A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0</v>
      </c>
      <c r="V147" cm="1">
        <f t="array" ref="V147">INDEX($F$4:$T$263,ROW(A144),MATCH($W$2,$F$3:$T$3,0))</f>
        <v>0</v>
      </c>
      <c r="W1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7" t="e">
        <f t="shared" si="30"/>
        <v>#N/A</v>
      </c>
      <c r="AA147" t="e">
        <f t="shared" si="31"/>
        <v>#N/A</v>
      </c>
      <c r="AB147" t="e">
        <f t="shared" si="32"/>
        <v>#N/A</v>
      </c>
      <c r="AC147" t="e">
        <f t="shared" si="33"/>
        <v>#N/A</v>
      </c>
      <c r="AD147" t="e">
        <f t="shared" si="34"/>
        <v>#N/A</v>
      </c>
      <c r="AE147" t="e">
        <f t="shared" si="35"/>
        <v>#N/A</v>
      </c>
      <c r="AF147" t="e">
        <f t="shared" si="36"/>
        <v>#N/A</v>
      </c>
      <c r="AG147" t="e">
        <f t="shared" si="37"/>
        <v>#N/A</v>
      </c>
      <c r="AH147" t="e">
        <f t="shared" si="44"/>
        <v>#N/A</v>
      </c>
      <c r="AI147" t="e">
        <f t="shared" si="38"/>
        <v>#N/A</v>
      </c>
      <c r="AJ147">
        <f t="shared" si="39"/>
        <v>0</v>
      </c>
      <c r="AK147" t="e">
        <f t="shared" si="40"/>
        <v>#N/A</v>
      </c>
      <c r="AL147" t="e">
        <f t="shared" si="41"/>
        <v>#N/A</v>
      </c>
      <c r="AM147" t="e">
        <f t="shared" si="42"/>
        <v>#N/A</v>
      </c>
      <c r="AN1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7" t="e">
        <f t="shared" si="43"/>
        <v>#N/A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0</v>
      </c>
      <c r="V148" cm="1">
        <f t="array" ref="V148">INDEX($F$4:$T$263,ROW(A145),MATCH($W$2,$F$3:$T$3,0))</f>
        <v>0</v>
      </c>
      <c r="W1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8" t="e">
        <f t="shared" si="30"/>
        <v>#N/A</v>
      </c>
      <c r="AA148" t="e">
        <f t="shared" si="31"/>
        <v>#N/A</v>
      </c>
      <c r="AB148" t="e">
        <f t="shared" si="32"/>
        <v>#N/A</v>
      </c>
      <c r="AC148" t="e">
        <f t="shared" si="33"/>
        <v>#N/A</v>
      </c>
      <c r="AD148" t="e">
        <f t="shared" si="34"/>
        <v>#N/A</v>
      </c>
      <c r="AE148" t="e">
        <f t="shared" si="35"/>
        <v>#N/A</v>
      </c>
      <c r="AF148" t="e">
        <f t="shared" si="36"/>
        <v>#N/A</v>
      </c>
      <c r="AG148" t="e">
        <f t="shared" si="37"/>
        <v>#N/A</v>
      </c>
      <c r="AH148" t="e">
        <f t="shared" si="44"/>
        <v>#N/A</v>
      </c>
      <c r="AI148" t="e">
        <f t="shared" si="38"/>
        <v>#N/A</v>
      </c>
      <c r="AJ148">
        <f t="shared" si="39"/>
        <v>0</v>
      </c>
      <c r="AK148" t="e">
        <f t="shared" si="40"/>
        <v>#N/A</v>
      </c>
      <c r="AL148" t="e">
        <f t="shared" si="41"/>
        <v>#N/A</v>
      </c>
      <c r="AM148" t="e">
        <f t="shared" si="42"/>
        <v>#N/A</v>
      </c>
      <c r="AN1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8" t="e">
        <f t="shared" si="43"/>
        <v>#N/A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0</v>
      </c>
      <c r="V149" cm="1">
        <f t="array" ref="V149">INDEX($F$4:$T$263,ROW(A146),MATCH($W$2,$F$3:$T$3,0))</f>
        <v>0</v>
      </c>
      <c r="W1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49" t="e">
        <f t="shared" si="30"/>
        <v>#N/A</v>
      </c>
      <c r="AA149" t="e">
        <f t="shared" si="31"/>
        <v>#N/A</v>
      </c>
      <c r="AB149" t="e">
        <f t="shared" si="32"/>
        <v>#N/A</v>
      </c>
      <c r="AC149" t="e">
        <f t="shared" si="33"/>
        <v>#N/A</v>
      </c>
      <c r="AD149" t="e">
        <f t="shared" si="34"/>
        <v>#N/A</v>
      </c>
      <c r="AE149" t="e">
        <f t="shared" si="35"/>
        <v>#N/A</v>
      </c>
      <c r="AF149" t="e">
        <f t="shared" si="36"/>
        <v>#N/A</v>
      </c>
      <c r="AG149" t="e">
        <f t="shared" si="37"/>
        <v>#N/A</v>
      </c>
      <c r="AH149" t="e">
        <f t="shared" si="44"/>
        <v>#N/A</v>
      </c>
      <c r="AI149" t="e">
        <f t="shared" si="38"/>
        <v>#N/A</v>
      </c>
      <c r="AJ149">
        <f t="shared" si="39"/>
        <v>0</v>
      </c>
      <c r="AK149" t="e">
        <f t="shared" si="40"/>
        <v>#N/A</v>
      </c>
      <c r="AL149" t="e">
        <f t="shared" si="41"/>
        <v>#N/A</v>
      </c>
      <c r="AM149" t="e">
        <f t="shared" si="42"/>
        <v>#N/A</v>
      </c>
      <c r="AN1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49" t="e">
        <f t="shared" si="43"/>
        <v>#N/A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0</v>
      </c>
      <c r="V150" cm="1">
        <f t="array" ref="V150">INDEX($F$4:$T$263,ROW(A147),MATCH($W$2,$F$3:$T$3,0))</f>
        <v>0</v>
      </c>
      <c r="W1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0" t="e">
        <f t="shared" si="30"/>
        <v>#N/A</v>
      </c>
      <c r="AA150" t="e">
        <f t="shared" si="31"/>
        <v>#N/A</v>
      </c>
      <c r="AB150" t="e">
        <f t="shared" si="32"/>
        <v>#N/A</v>
      </c>
      <c r="AC150" t="e">
        <f t="shared" si="33"/>
        <v>#N/A</v>
      </c>
      <c r="AD150" t="e">
        <f t="shared" si="34"/>
        <v>#N/A</v>
      </c>
      <c r="AE150" t="e">
        <f t="shared" si="35"/>
        <v>#N/A</v>
      </c>
      <c r="AF150" t="e">
        <f t="shared" si="36"/>
        <v>#N/A</v>
      </c>
      <c r="AG150" t="e">
        <f t="shared" si="37"/>
        <v>#N/A</v>
      </c>
      <c r="AH150" t="e">
        <f t="shared" si="44"/>
        <v>#N/A</v>
      </c>
      <c r="AI150" t="e">
        <f t="shared" si="38"/>
        <v>#N/A</v>
      </c>
      <c r="AJ150">
        <f t="shared" si="39"/>
        <v>0</v>
      </c>
      <c r="AK150" t="e">
        <f t="shared" si="40"/>
        <v>#N/A</v>
      </c>
      <c r="AL150" t="e">
        <f t="shared" si="41"/>
        <v>#N/A</v>
      </c>
      <c r="AM150" t="e">
        <f t="shared" si="42"/>
        <v>#N/A</v>
      </c>
      <c r="AN1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0" t="e">
        <f t="shared" si="43"/>
        <v>#N/A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0</v>
      </c>
      <c r="V151" cm="1">
        <f t="array" ref="V151">INDEX($F$4:$T$263,ROW(A148),MATCH($W$2,$F$3:$T$3,0))</f>
        <v>0</v>
      </c>
      <c r="W1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1" t="e">
        <f t="shared" si="30"/>
        <v>#N/A</v>
      </c>
      <c r="AA151" t="e">
        <f t="shared" si="31"/>
        <v>#N/A</v>
      </c>
      <c r="AB151" t="e">
        <f t="shared" si="32"/>
        <v>#N/A</v>
      </c>
      <c r="AC151" t="e">
        <f t="shared" si="33"/>
        <v>#N/A</v>
      </c>
      <c r="AD151" t="e">
        <f t="shared" si="34"/>
        <v>#N/A</v>
      </c>
      <c r="AE151" t="e">
        <f t="shared" si="35"/>
        <v>#N/A</v>
      </c>
      <c r="AF151" t="e">
        <f t="shared" si="36"/>
        <v>#N/A</v>
      </c>
      <c r="AG151" t="e">
        <f t="shared" si="37"/>
        <v>#N/A</v>
      </c>
      <c r="AH151" t="e">
        <f t="shared" si="44"/>
        <v>#N/A</v>
      </c>
      <c r="AI151" t="e">
        <f t="shared" si="38"/>
        <v>#N/A</v>
      </c>
      <c r="AJ151">
        <f t="shared" si="39"/>
        <v>0</v>
      </c>
      <c r="AK151" t="e">
        <f t="shared" si="40"/>
        <v>#N/A</v>
      </c>
      <c r="AL151" t="e">
        <f t="shared" si="41"/>
        <v>#N/A</v>
      </c>
      <c r="AM151" t="e">
        <f t="shared" si="42"/>
        <v>#N/A</v>
      </c>
      <c r="AN1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1" t="e">
        <f t="shared" si="43"/>
        <v>#N/A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0</v>
      </c>
      <c r="V152" cm="1">
        <f t="array" ref="V152">INDEX($F$4:$T$263,ROW(A149),MATCH($W$2,$F$3:$T$3,0))</f>
        <v>0</v>
      </c>
      <c r="W1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2" t="e">
        <f t="shared" si="30"/>
        <v>#N/A</v>
      </c>
      <c r="AA152" t="e">
        <f t="shared" si="31"/>
        <v>#N/A</v>
      </c>
      <c r="AB152" t="e">
        <f t="shared" si="32"/>
        <v>#N/A</v>
      </c>
      <c r="AC152" t="e">
        <f t="shared" si="33"/>
        <v>#N/A</v>
      </c>
      <c r="AD152" t="e">
        <f t="shared" si="34"/>
        <v>#N/A</v>
      </c>
      <c r="AE152" t="e">
        <f t="shared" si="35"/>
        <v>#N/A</v>
      </c>
      <c r="AF152" t="e">
        <f t="shared" si="36"/>
        <v>#N/A</v>
      </c>
      <c r="AG152" t="e">
        <f t="shared" si="37"/>
        <v>#N/A</v>
      </c>
      <c r="AH152" t="e">
        <f t="shared" si="44"/>
        <v>#N/A</v>
      </c>
      <c r="AI152" t="e">
        <f t="shared" si="38"/>
        <v>#N/A</v>
      </c>
      <c r="AJ152">
        <f t="shared" si="39"/>
        <v>0</v>
      </c>
      <c r="AK152" t="e">
        <f t="shared" si="40"/>
        <v>#N/A</v>
      </c>
      <c r="AL152" t="e">
        <f t="shared" si="41"/>
        <v>#N/A</v>
      </c>
      <c r="AM152" t="e">
        <f t="shared" si="42"/>
        <v>#N/A</v>
      </c>
      <c r="AN1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2" t="e">
        <f t="shared" si="43"/>
        <v>#N/A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0</v>
      </c>
      <c r="V153" cm="1">
        <f t="array" ref="V153">INDEX($F$4:$T$263,ROW(A150),MATCH($W$2,$F$3:$T$3,0))</f>
        <v>0</v>
      </c>
      <c r="W1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3" t="e">
        <f t="shared" si="30"/>
        <v>#N/A</v>
      </c>
      <c r="AA153" t="e">
        <f t="shared" si="31"/>
        <v>#N/A</v>
      </c>
      <c r="AB153" t="e">
        <f t="shared" si="32"/>
        <v>#N/A</v>
      </c>
      <c r="AC153" t="e">
        <f t="shared" si="33"/>
        <v>#N/A</v>
      </c>
      <c r="AD153" t="e">
        <f t="shared" si="34"/>
        <v>#N/A</v>
      </c>
      <c r="AE153" t="e">
        <f t="shared" si="35"/>
        <v>#N/A</v>
      </c>
      <c r="AF153" t="e">
        <f t="shared" si="36"/>
        <v>#N/A</v>
      </c>
      <c r="AG153" t="e">
        <f t="shared" si="37"/>
        <v>#N/A</v>
      </c>
      <c r="AH153" t="e">
        <f t="shared" si="44"/>
        <v>#N/A</v>
      </c>
      <c r="AI153" t="e">
        <f t="shared" si="38"/>
        <v>#N/A</v>
      </c>
      <c r="AJ153">
        <f t="shared" si="39"/>
        <v>0</v>
      </c>
      <c r="AK153" t="e">
        <f t="shared" si="40"/>
        <v>#N/A</v>
      </c>
      <c r="AL153" t="e">
        <f t="shared" si="41"/>
        <v>#N/A</v>
      </c>
      <c r="AM153" t="e">
        <f t="shared" si="42"/>
        <v>#N/A</v>
      </c>
      <c r="AN1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3" t="e">
        <f t="shared" si="43"/>
        <v>#N/A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0</v>
      </c>
      <c r="V154" cm="1">
        <f t="array" ref="V154">INDEX($F$4:$T$263,ROW(A151),MATCH($W$2,$F$3:$T$3,0))</f>
        <v>0</v>
      </c>
      <c r="W1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4" t="e">
        <f t="shared" si="30"/>
        <v>#N/A</v>
      </c>
      <c r="AA154" t="e">
        <f t="shared" si="31"/>
        <v>#N/A</v>
      </c>
      <c r="AB154" t="e">
        <f t="shared" si="32"/>
        <v>#N/A</v>
      </c>
      <c r="AC154" t="e">
        <f t="shared" si="33"/>
        <v>#N/A</v>
      </c>
      <c r="AD154" t="e">
        <f t="shared" si="34"/>
        <v>#N/A</v>
      </c>
      <c r="AE154" t="e">
        <f t="shared" si="35"/>
        <v>#N/A</v>
      </c>
      <c r="AF154" t="e">
        <f t="shared" si="36"/>
        <v>#N/A</v>
      </c>
      <c r="AG154" t="e">
        <f t="shared" si="37"/>
        <v>#N/A</v>
      </c>
      <c r="AH154" t="e">
        <f t="shared" si="44"/>
        <v>#N/A</v>
      </c>
      <c r="AI154" t="e">
        <f t="shared" si="38"/>
        <v>#N/A</v>
      </c>
      <c r="AJ154">
        <f t="shared" si="39"/>
        <v>0</v>
      </c>
      <c r="AK154" t="e">
        <f t="shared" si="40"/>
        <v>#N/A</v>
      </c>
      <c r="AL154" t="e">
        <f t="shared" si="41"/>
        <v>#N/A</v>
      </c>
      <c r="AM154" t="e">
        <f t="shared" si="42"/>
        <v>#N/A</v>
      </c>
      <c r="AN1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4" t="e">
        <f t="shared" si="43"/>
        <v>#N/A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0</v>
      </c>
      <c r="V155" cm="1">
        <f t="array" ref="V155">INDEX($F$4:$T$263,ROW(A152),MATCH($W$2,$F$3:$T$3,0))</f>
        <v>0</v>
      </c>
      <c r="W1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5" t="e">
        <f t="shared" si="30"/>
        <v>#N/A</v>
      </c>
      <c r="AA155" t="e">
        <f t="shared" si="31"/>
        <v>#N/A</v>
      </c>
      <c r="AB155" t="e">
        <f t="shared" si="32"/>
        <v>#N/A</v>
      </c>
      <c r="AC155" t="e">
        <f t="shared" si="33"/>
        <v>#N/A</v>
      </c>
      <c r="AD155" t="e">
        <f t="shared" si="34"/>
        <v>#N/A</v>
      </c>
      <c r="AE155" t="e">
        <f t="shared" si="35"/>
        <v>#N/A</v>
      </c>
      <c r="AF155" t="e">
        <f t="shared" si="36"/>
        <v>#N/A</v>
      </c>
      <c r="AG155" t="e">
        <f t="shared" si="37"/>
        <v>#N/A</v>
      </c>
      <c r="AH155" t="e">
        <f t="shared" si="44"/>
        <v>#N/A</v>
      </c>
      <c r="AI155" t="e">
        <f t="shared" si="38"/>
        <v>#N/A</v>
      </c>
      <c r="AJ155">
        <f t="shared" si="39"/>
        <v>0</v>
      </c>
      <c r="AK155" t="e">
        <f t="shared" si="40"/>
        <v>#N/A</v>
      </c>
      <c r="AL155" t="e">
        <f t="shared" si="41"/>
        <v>#N/A</v>
      </c>
      <c r="AM155" t="e">
        <f t="shared" si="42"/>
        <v>#N/A</v>
      </c>
      <c r="AN1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5" t="e">
        <f t="shared" si="43"/>
        <v>#N/A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0</v>
      </c>
      <c r="V156" cm="1">
        <f t="array" ref="V156">INDEX($F$4:$T$263,ROW(A153),MATCH($W$2,$F$3:$T$3,0))</f>
        <v>0</v>
      </c>
      <c r="W1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6" t="e">
        <f t="shared" si="30"/>
        <v>#N/A</v>
      </c>
      <c r="AA156" t="e">
        <f t="shared" si="31"/>
        <v>#N/A</v>
      </c>
      <c r="AB156" t="e">
        <f t="shared" si="32"/>
        <v>#N/A</v>
      </c>
      <c r="AC156" t="e">
        <f t="shared" si="33"/>
        <v>#N/A</v>
      </c>
      <c r="AD156" t="e">
        <f t="shared" si="34"/>
        <v>#N/A</v>
      </c>
      <c r="AE156" t="e">
        <f t="shared" si="35"/>
        <v>#N/A</v>
      </c>
      <c r="AF156" t="e">
        <f t="shared" si="36"/>
        <v>#N/A</v>
      </c>
      <c r="AG156" t="e">
        <f t="shared" si="37"/>
        <v>#N/A</v>
      </c>
      <c r="AH156" t="e">
        <f t="shared" si="44"/>
        <v>#N/A</v>
      </c>
      <c r="AI156" t="e">
        <f t="shared" si="38"/>
        <v>#N/A</v>
      </c>
      <c r="AJ156">
        <f t="shared" si="39"/>
        <v>0</v>
      </c>
      <c r="AK156" t="e">
        <f t="shared" si="40"/>
        <v>#N/A</v>
      </c>
      <c r="AL156" t="e">
        <f t="shared" si="41"/>
        <v>#N/A</v>
      </c>
      <c r="AM156" t="e">
        <f t="shared" si="42"/>
        <v>#N/A</v>
      </c>
      <c r="AN1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6" t="e">
        <f t="shared" si="43"/>
        <v>#N/A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0</v>
      </c>
      <c r="V157" cm="1">
        <f t="array" ref="V157">INDEX($F$4:$T$263,ROW(A154),MATCH($W$2,$F$3:$T$3,0))</f>
        <v>0</v>
      </c>
      <c r="W1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7" t="e">
        <f t="shared" si="30"/>
        <v>#N/A</v>
      </c>
      <c r="AA157" t="e">
        <f t="shared" si="31"/>
        <v>#N/A</v>
      </c>
      <c r="AB157" t="e">
        <f t="shared" si="32"/>
        <v>#N/A</v>
      </c>
      <c r="AC157" t="e">
        <f t="shared" si="33"/>
        <v>#N/A</v>
      </c>
      <c r="AD157" t="e">
        <f t="shared" si="34"/>
        <v>#N/A</v>
      </c>
      <c r="AE157" t="e">
        <f t="shared" si="35"/>
        <v>#N/A</v>
      </c>
      <c r="AF157" t="e">
        <f t="shared" si="36"/>
        <v>#N/A</v>
      </c>
      <c r="AG157" t="e">
        <f t="shared" si="37"/>
        <v>#N/A</v>
      </c>
      <c r="AH157" t="e">
        <f t="shared" si="44"/>
        <v>#N/A</v>
      </c>
      <c r="AI157" t="e">
        <f t="shared" si="38"/>
        <v>#N/A</v>
      </c>
      <c r="AJ157">
        <f t="shared" si="39"/>
        <v>0</v>
      </c>
      <c r="AK157" t="e">
        <f t="shared" si="40"/>
        <v>#N/A</v>
      </c>
      <c r="AL157" t="e">
        <f t="shared" si="41"/>
        <v>#N/A</v>
      </c>
      <c r="AM157" t="e">
        <f t="shared" si="42"/>
        <v>#N/A</v>
      </c>
      <c r="AN1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7" t="e">
        <f t="shared" si="43"/>
        <v>#N/A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0</v>
      </c>
      <c r="V158" cm="1">
        <f t="array" ref="V158">INDEX($F$4:$T$263,ROW(A155),MATCH($W$2,$F$3:$T$3,0))</f>
        <v>0</v>
      </c>
      <c r="W1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8" t="e">
        <f t="shared" si="30"/>
        <v>#N/A</v>
      </c>
      <c r="AA158" t="e">
        <f t="shared" si="31"/>
        <v>#N/A</v>
      </c>
      <c r="AB158" t="e">
        <f t="shared" si="32"/>
        <v>#N/A</v>
      </c>
      <c r="AC158" t="e">
        <f t="shared" si="33"/>
        <v>#N/A</v>
      </c>
      <c r="AD158" t="e">
        <f t="shared" si="34"/>
        <v>#N/A</v>
      </c>
      <c r="AE158" t="e">
        <f t="shared" si="35"/>
        <v>#N/A</v>
      </c>
      <c r="AF158" t="e">
        <f t="shared" si="36"/>
        <v>#N/A</v>
      </c>
      <c r="AG158" t="e">
        <f t="shared" si="37"/>
        <v>#N/A</v>
      </c>
      <c r="AH158" t="e">
        <f t="shared" si="44"/>
        <v>#N/A</v>
      </c>
      <c r="AI158" t="e">
        <f t="shared" si="38"/>
        <v>#N/A</v>
      </c>
      <c r="AJ158">
        <f t="shared" si="39"/>
        <v>0</v>
      </c>
      <c r="AK158" t="e">
        <f t="shared" si="40"/>
        <v>#N/A</v>
      </c>
      <c r="AL158" t="e">
        <f t="shared" si="41"/>
        <v>#N/A</v>
      </c>
      <c r="AM158" t="e">
        <f t="shared" si="42"/>
        <v>#N/A</v>
      </c>
      <c r="AN1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8" t="e">
        <f t="shared" si="43"/>
        <v>#N/A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0</v>
      </c>
      <c r="V159" cm="1">
        <f t="array" ref="V159">INDEX($F$4:$T$263,ROW(A156),MATCH($W$2,$F$3:$T$3,0))</f>
        <v>0</v>
      </c>
      <c r="W1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59" t="e">
        <f t="shared" si="30"/>
        <v>#N/A</v>
      </c>
      <c r="AA159" t="e">
        <f t="shared" si="31"/>
        <v>#N/A</v>
      </c>
      <c r="AB159" t="e">
        <f t="shared" si="32"/>
        <v>#N/A</v>
      </c>
      <c r="AC159" t="e">
        <f t="shared" si="33"/>
        <v>#N/A</v>
      </c>
      <c r="AD159" t="e">
        <f t="shared" si="34"/>
        <v>#N/A</v>
      </c>
      <c r="AE159" t="e">
        <f t="shared" si="35"/>
        <v>#N/A</v>
      </c>
      <c r="AF159" t="e">
        <f t="shared" si="36"/>
        <v>#N/A</v>
      </c>
      <c r="AG159" t="e">
        <f t="shared" si="37"/>
        <v>#N/A</v>
      </c>
      <c r="AH159" t="e">
        <f t="shared" si="44"/>
        <v>#N/A</v>
      </c>
      <c r="AI159" t="e">
        <f t="shared" si="38"/>
        <v>#N/A</v>
      </c>
      <c r="AJ159">
        <f t="shared" si="39"/>
        <v>0</v>
      </c>
      <c r="AK159" t="e">
        <f t="shared" si="40"/>
        <v>#N/A</v>
      </c>
      <c r="AL159" t="e">
        <f t="shared" si="41"/>
        <v>#N/A</v>
      </c>
      <c r="AM159" t="e">
        <f t="shared" si="42"/>
        <v>#N/A</v>
      </c>
      <c r="AN1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59" t="e">
        <f t="shared" si="43"/>
        <v>#N/A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0</v>
      </c>
      <c r="V160" cm="1">
        <f t="array" ref="V160">INDEX($F$4:$T$263,ROW(A157),MATCH($W$2,$F$3:$T$3,0))</f>
        <v>0</v>
      </c>
      <c r="W1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0" t="e">
        <f t="shared" si="30"/>
        <v>#N/A</v>
      </c>
      <c r="AA160" t="e">
        <f t="shared" si="31"/>
        <v>#N/A</v>
      </c>
      <c r="AB160" t="e">
        <f t="shared" si="32"/>
        <v>#N/A</v>
      </c>
      <c r="AC160" t="e">
        <f t="shared" si="33"/>
        <v>#N/A</v>
      </c>
      <c r="AD160" t="e">
        <f t="shared" si="34"/>
        <v>#N/A</v>
      </c>
      <c r="AE160" t="e">
        <f t="shared" si="35"/>
        <v>#N/A</v>
      </c>
      <c r="AF160" t="e">
        <f t="shared" si="36"/>
        <v>#N/A</v>
      </c>
      <c r="AG160" t="e">
        <f t="shared" si="37"/>
        <v>#N/A</v>
      </c>
      <c r="AH160" t="e">
        <f t="shared" si="44"/>
        <v>#N/A</v>
      </c>
      <c r="AI160" t="e">
        <f t="shared" si="38"/>
        <v>#N/A</v>
      </c>
      <c r="AJ160">
        <f t="shared" si="39"/>
        <v>0</v>
      </c>
      <c r="AK160" t="e">
        <f t="shared" si="40"/>
        <v>#N/A</v>
      </c>
      <c r="AL160" t="e">
        <f t="shared" si="41"/>
        <v>#N/A</v>
      </c>
      <c r="AM160" t="e">
        <f t="shared" si="42"/>
        <v>#N/A</v>
      </c>
      <c r="AN1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0" t="e">
        <f t="shared" si="43"/>
        <v>#N/A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0</v>
      </c>
      <c r="V161" cm="1">
        <f t="array" ref="V161">INDEX($F$4:$T$263,ROW(A158),MATCH($W$2,$F$3:$T$3,0))</f>
        <v>0</v>
      </c>
      <c r="W1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1" t="e">
        <f t="shared" si="30"/>
        <v>#N/A</v>
      </c>
      <c r="AA161" t="e">
        <f t="shared" si="31"/>
        <v>#N/A</v>
      </c>
      <c r="AB161" t="e">
        <f t="shared" si="32"/>
        <v>#N/A</v>
      </c>
      <c r="AC161" t="e">
        <f t="shared" si="33"/>
        <v>#N/A</v>
      </c>
      <c r="AD161" t="e">
        <f t="shared" si="34"/>
        <v>#N/A</v>
      </c>
      <c r="AE161" t="e">
        <f t="shared" si="35"/>
        <v>#N/A</v>
      </c>
      <c r="AF161" t="e">
        <f t="shared" si="36"/>
        <v>#N/A</v>
      </c>
      <c r="AG161" t="e">
        <f t="shared" si="37"/>
        <v>#N/A</v>
      </c>
      <c r="AH161" t="e">
        <f t="shared" si="44"/>
        <v>#N/A</v>
      </c>
      <c r="AI161" t="e">
        <f t="shared" si="38"/>
        <v>#N/A</v>
      </c>
      <c r="AJ161">
        <f t="shared" si="39"/>
        <v>0</v>
      </c>
      <c r="AK161" t="e">
        <f t="shared" si="40"/>
        <v>#N/A</v>
      </c>
      <c r="AL161" t="e">
        <f t="shared" si="41"/>
        <v>#N/A</v>
      </c>
      <c r="AM161" t="e">
        <f t="shared" si="42"/>
        <v>#N/A</v>
      </c>
      <c r="AN1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1" t="e">
        <f t="shared" si="43"/>
        <v>#N/A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0</v>
      </c>
      <c r="V162" cm="1">
        <f t="array" ref="V162">INDEX($F$4:$T$263,ROW(A159),MATCH($W$2,$F$3:$T$3,0))</f>
        <v>0</v>
      </c>
      <c r="W1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2" t="e">
        <f t="shared" si="30"/>
        <v>#N/A</v>
      </c>
      <c r="AA162" t="e">
        <f t="shared" si="31"/>
        <v>#N/A</v>
      </c>
      <c r="AB162" t="e">
        <f t="shared" si="32"/>
        <v>#N/A</v>
      </c>
      <c r="AC162" t="e">
        <f t="shared" si="33"/>
        <v>#N/A</v>
      </c>
      <c r="AD162" t="e">
        <f t="shared" si="34"/>
        <v>#N/A</v>
      </c>
      <c r="AE162" t="e">
        <f t="shared" si="35"/>
        <v>#N/A</v>
      </c>
      <c r="AF162" t="e">
        <f t="shared" si="36"/>
        <v>#N/A</v>
      </c>
      <c r="AG162" t="e">
        <f t="shared" si="37"/>
        <v>#N/A</v>
      </c>
      <c r="AH162" t="e">
        <f t="shared" si="44"/>
        <v>#N/A</v>
      </c>
      <c r="AI162" t="e">
        <f t="shared" si="38"/>
        <v>#N/A</v>
      </c>
      <c r="AJ162">
        <f t="shared" si="39"/>
        <v>0</v>
      </c>
      <c r="AK162" t="e">
        <f t="shared" si="40"/>
        <v>#N/A</v>
      </c>
      <c r="AL162" t="e">
        <f t="shared" si="41"/>
        <v>#N/A</v>
      </c>
      <c r="AM162" t="e">
        <f t="shared" si="42"/>
        <v>#N/A</v>
      </c>
      <c r="AN1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2" t="e">
        <f t="shared" si="43"/>
        <v>#N/A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0</v>
      </c>
      <c r="V163" cm="1">
        <f t="array" ref="V163">INDEX($F$4:$T$263,ROW(A160),MATCH($W$2,$F$3:$T$3,0))</f>
        <v>0</v>
      </c>
      <c r="W1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3" t="e">
        <f t="shared" si="30"/>
        <v>#N/A</v>
      </c>
      <c r="AA163" t="e">
        <f t="shared" si="31"/>
        <v>#N/A</v>
      </c>
      <c r="AB163" t="e">
        <f t="shared" si="32"/>
        <v>#N/A</v>
      </c>
      <c r="AC163" t="e">
        <f t="shared" si="33"/>
        <v>#N/A</v>
      </c>
      <c r="AD163" t="e">
        <f t="shared" si="34"/>
        <v>#N/A</v>
      </c>
      <c r="AE163" t="e">
        <f t="shared" si="35"/>
        <v>#N/A</v>
      </c>
      <c r="AF163" t="e">
        <f t="shared" si="36"/>
        <v>#N/A</v>
      </c>
      <c r="AG163" t="e">
        <f t="shared" si="37"/>
        <v>#N/A</v>
      </c>
      <c r="AH163" t="e">
        <f t="shared" si="44"/>
        <v>#N/A</v>
      </c>
      <c r="AI163" t="e">
        <f t="shared" si="38"/>
        <v>#N/A</v>
      </c>
      <c r="AJ163">
        <f t="shared" si="39"/>
        <v>0</v>
      </c>
      <c r="AK163" t="e">
        <f t="shared" si="40"/>
        <v>#N/A</v>
      </c>
      <c r="AL163" t="e">
        <f t="shared" si="41"/>
        <v>#N/A</v>
      </c>
      <c r="AM163" t="e">
        <f t="shared" si="42"/>
        <v>#N/A</v>
      </c>
      <c r="AN1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3" t="e">
        <f t="shared" si="43"/>
        <v>#N/A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0</v>
      </c>
      <c r="V164" cm="1">
        <f t="array" ref="V164">INDEX($F$4:$T$263,ROW(A161),MATCH($W$2,$F$3:$T$3,0))</f>
        <v>0</v>
      </c>
      <c r="W16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4" t="e">
        <f t="shared" si="30"/>
        <v>#N/A</v>
      </c>
      <c r="AA164" t="e">
        <f t="shared" si="31"/>
        <v>#N/A</v>
      </c>
      <c r="AB164" t="e">
        <f t="shared" si="32"/>
        <v>#N/A</v>
      </c>
      <c r="AC164" t="e">
        <f t="shared" si="33"/>
        <v>#N/A</v>
      </c>
      <c r="AD164" t="e">
        <f t="shared" si="34"/>
        <v>#N/A</v>
      </c>
      <c r="AE164" t="e">
        <f t="shared" si="35"/>
        <v>#N/A</v>
      </c>
      <c r="AF164" t="e">
        <f t="shared" si="36"/>
        <v>#N/A</v>
      </c>
      <c r="AG164" t="e">
        <f t="shared" si="37"/>
        <v>#N/A</v>
      </c>
      <c r="AH164" t="e">
        <f t="shared" si="44"/>
        <v>#N/A</v>
      </c>
      <c r="AI164" t="e">
        <f t="shared" si="38"/>
        <v>#N/A</v>
      </c>
      <c r="AJ164">
        <f t="shared" si="39"/>
        <v>0</v>
      </c>
      <c r="AK164" t="e">
        <f t="shared" si="40"/>
        <v>#N/A</v>
      </c>
      <c r="AL164" t="e">
        <f t="shared" si="41"/>
        <v>#N/A</v>
      </c>
      <c r="AM164" t="e">
        <f t="shared" si="42"/>
        <v>#N/A</v>
      </c>
      <c r="AN16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4" t="e">
        <f t="shared" si="43"/>
        <v>#N/A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0</v>
      </c>
      <c r="V165" cm="1">
        <f t="array" ref="V165">INDEX($F$4:$T$263,ROW(A162),MATCH($W$2,$F$3:$T$3,0))</f>
        <v>0</v>
      </c>
      <c r="W16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5" t="e">
        <f t="shared" si="30"/>
        <v>#N/A</v>
      </c>
      <c r="AA165" t="e">
        <f t="shared" si="31"/>
        <v>#N/A</v>
      </c>
      <c r="AB165" t="e">
        <f t="shared" si="32"/>
        <v>#N/A</v>
      </c>
      <c r="AC165" t="e">
        <f t="shared" si="33"/>
        <v>#N/A</v>
      </c>
      <c r="AD165" t="e">
        <f t="shared" si="34"/>
        <v>#N/A</v>
      </c>
      <c r="AE165" t="e">
        <f t="shared" si="35"/>
        <v>#N/A</v>
      </c>
      <c r="AF165" t="e">
        <f t="shared" si="36"/>
        <v>#N/A</v>
      </c>
      <c r="AG165" t="e">
        <f t="shared" si="37"/>
        <v>#N/A</v>
      </c>
      <c r="AH165" t="e">
        <f t="shared" si="44"/>
        <v>#N/A</v>
      </c>
      <c r="AI165" t="e">
        <f t="shared" si="38"/>
        <v>#N/A</v>
      </c>
      <c r="AJ165">
        <f t="shared" si="39"/>
        <v>0</v>
      </c>
      <c r="AK165" t="e">
        <f t="shared" si="40"/>
        <v>#N/A</v>
      </c>
      <c r="AL165" t="e">
        <f t="shared" si="41"/>
        <v>#N/A</v>
      </c>
      <c r="AM165" t="e">
        <f t="shared" si="42"/>
        <v>#N/A</v>
      </c>
      <c r="AN16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5" t="e">
        <f t="shared" si="43"/>
        <v>#N/A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0</v>
      </c>
      <c r="V166" cm="1">
        <f t="array" ref="V166">INDEX($F$4:$T$263,ROW(A163),MATCH($W$2,$F$3:$T$3,0))</f>
        <v>0</v>
      </c>
      <c r="W16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6" t="e">
        <f t="shared" si="30"/>
        <v>#N/A</v>
      </c>
      <c r="AA166" t="e">
        <f t="shared" si="31"/>
        <v>#N/A</v>
      </c>
      <c r="AB166" t="e">
        <f t="shared" si="32"/>
        <v>#N/A</v>
      </c>
      <c r="AC166" t="e">
        <f t="shared" si="33"/>
        <v>#N/A</v>
      </c>
      <c r="AD166" t="e">
        <f t="shared" si="34"/>
        <v>#N/A</v>
      </c>
      <c r="AE166" t="e">
        <f t="shared" si="35"/>
        <v>#N/A</v>
      </c>
      <c r="AF166" t="e">
        <f t="shared" si="36"/>
        <v>#N/A</v>
      </c>
      <c r="AG166" t="e">
        <f t="shared" si="37"/>
        <v>#N/A</v>
      </c>
      <c r="AH166" t="e">
        <f t="shared" si="44"/>
        <v>#N/A</v>
      </c>
      <c r="AI166" t="e">
        <f t="shared" si="38"/>
        <v>#N/A</v>
      </c>
      <c r="AJ166">
        <f t="shared" si="39"/>
        <v>0</v>
      </c>
      <c r="AK166" t="e">
        <f t="shared" si="40"/>
        <v>#N/A</v>
      </c>
      <c r="AL166" t="e">
        <f t="shared" si="41"/>
        <v>#N/A</v>
      </c>
      <c r="AM166" t="e">
        <f t="shared" si="42"/>
        <v>#N/A</v>
      </c>
      <c r="AN16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6" t="e">
        <f t="shared" si="43"/>
        <v>#N/A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0</v>
      </c>
      <c r="V167" cm="1">
        <f t="array" ref="V167">INDEX($F$4:$T$263,ROW(A164),MATCH($W$2,$F$3:$T$3,0))</f>
        <v>0</v>
      </c>
      <c r="W16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7" t="e">
        <f t="shared" si="30"/>
        <v>#N/A</v>
      </c>
      <c r="AA167" t="e">
        <f t="shared" si="31"/>
        <v>#N/A</v>
      </c>
      <c r="AB167" t="e">
        <f t="shared" si="32"/>
        <v>#N/A</v>
      </c>
      <c r="AC167" t="e">
        <f t="shared" si="33"/>
        <v>#N/A</v>
      </c>
      <c r="AD167" t="e">
        <f t="shared" si="34"/>
        <v>#N/A</v>
      </c>
      <c r="AE167" t="e">
        <f t="shared" si="35"/>
        <v>#N/A</v>
      </c>
      <c r="AF167" t="e">
        <f t="shared" si="36"/>
        <v>#N/A</v>
      </c>
      <c r="AG167" t="e">
        <f t="shared" si="37"/>
        <v>#N/A</v>
      </c>
      <c r="AH167" t="e">
        <f t="shared" si="44"/>
        <v>#N/A</v>
      </c>
      <c r="AI167" t="e">
        <f t="shared" si="38"/>
        <v>#N/A</v>
      </c>
      <c r="AJ167">
        <f t="shared" si="39"/>
        <v>0</v>
      </c>
      <c r="AK167" t="e">
        <f t="shared" si="40"/>
        <v>#N/A</v>
      </c>
      <c r="AL167" t="e">
        <f t="shared" si="41"/>
        <v>#N/A</v>
      </c>
      <c r="AM167" t="e">
        <f t="shared" si="42"/>
        <v>#N/A</v>
      </c>
      <c r="AN16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7" t="e">
        <f t="shared" si="43"/>
        <v>#N/A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0</v>
      </c>
      <c r="V168" cm="1">
        <f t="array" ref="V168">INDEX($F$4:$T$263,ROW(A165),MATCH($W$2,$F$3:$T$3,0))</f>
        <v>0</v>
      </c>
      <c r="W16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8" t="e">
        <f t="shared" si="30"/>
        <v>#N/A</v>
      </c>
      <c r="AA168" t="e">
        <f t="shared" si="31"/>
        <v>#N/A</v>
      </c>
      <c r="AB168" t="e">
        <f t="shared" si="32"/>
        <v>#N/A</v>
      </c>
      <c r="AC168" t="e">
        <f t="shared" si="33"/>
        <v>#N/A</v>
      </c>
      <c r="AD168" t="e">
        <f t="shared" si="34"/>
        <v>#N/A</v>
      </c>
      <c r="AE168" t="e">
        <f t="shared" si="35"/>
        <v>#N/A</v>
      </c>
      <c r="AF168" t="e">
        <f t="shared" si="36"/>
        <v>#N/A</v>
      </c>
      <c r="AG168" t="e">
        <f t="shared" si="37"/>
        <v>#N/A</v>
      </c>
      <c r="AH168" t="e">
        <f t="shared" si="44"/>
        <v>#N/A</v>
      </c>
      <c r="AI168" t="e">
        <f t="shared" si="38"/>
        <v>#N/A</v>
      </c>
      <c r="AJ168">
        <f t="shared" si="39"/>
        <v>0</v>
      </c>
      <c r="AK168" t="e">
        <f t="shared" si="40"/>
        <v>#N/A</v>
      </c>
      <c r="AL168" t="e">
        <f t="shared" si="41"/>
        <v>#N/A</v>
      </c>
      <c r="AM168" t="e">
        <f t="shared" si="42"/>
        <v>#N/A</v>
      </c>
      <c r="AN16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8" t="e">
        <f t="shared" si="43"/>
        <v>#N/A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0</v>
      </c>
      <c r="V169" cm="1">
        <f t="array" ref="V169">INDEX($F$4:$T$263,ROW(A166),MATCH($W$2,$F$3:$T$3,0))</f>
        <v>0</v>
      </c>
      <c r="W16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69" t="e">
        <f t="shared" si="30"/>
        <v>#N/A</v>
      </c>
      <c r="AA169" t="e">
        <f t="shared" si="31"/>
        <v>#N/A</v>
      </c>
      <c r="AB169" t="e">
        <f t="shared" si="32"/>
        <v>#N/A</v>
      </c>
      <c r="AC169" t="e">
        <f t="shared" si="33"/>
        <v>#N/A</v>
      </c>
      <c r="AD169" t="e">
        <f t="shared" si="34"/>
        <v>#N/A</v>
      </c>
      <c r="AE169" t="e">
        <f t="shared" si="35"/>
        <v>#N/A</v>
      </c>
      <c r="AF169" t="e">
        <f t="shared" si="36"/>
        <v>#N/A</v>
      </c>
      <c r="AG169" t="e">
        <f t="shared" si="37"/>
        <v>#N/A</v>
      </c>
      <c r="AH169" t="e">
        <f t="shared" si="44"/>
        <v>#N/A</v>
      </c>
      <c r="AI169" t="e">
        <f t="shared" si="38"/>
        <v>#N/A</v>
      </c>
      <c r="AJ169">
        <f t="shared" si="39"/>
        <v>0</v>
      </c>
      <c r="AK169" t="e">
        <f t="shared" si="40"/>
        <v>#N/A</v>
      </c>
      <c r="AL169" t="e">
        <f t="shared" si="41"/>
        <v>#N/A</v>
      </c>
      <c r="AM169" t="e">
        <f t="shared" si="42"/>
        <v>#N/A</v>
      </c>
      <c r="AN16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6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69" t="e">
        <f t="shared" si="43"/>
        <v>#N/A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0</v>
      </c>
      <c r="V170" cm="1">
        <f t="array" ref="V170">INDEX($F$4:$T$263,ROW(A167),MATCH($W$2,$F$3:$T$3,0))</f>
        <v>0</v>
      </c>
      <c r="W17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0" t="e">
        <f t="shared" si="30"/>
        <v>#N/A</v>
      </c>
      <c r="AA170" t="e">
        <f t="shared" si="31"/>
        <v>#N/A</v>
      </c>
      <c r="AB170" t="e">
        <f t="shared" si="32"/>
        <v>#N/A</v>
      </c>
      <c r="AC170" t="e">
        <f t="shared" si="33"/>
        <v>#N/A</v>
      </c>
      <c r="AD170" t="e">
        <f t="shared" si="34"/>
        <v>#N/A</v>
      </c>
      <c r="AE170" t="e">
        <f t="shared" si="35"/>
        <v>#N/A</v>
      </c>
      <c r="AF170" t="e">
        <f t="shared" si="36"/>
        <v>#N/A</v>
      </c>
      <c r="AG170" t="e">
        <f t="shared" si="37"/>
        <v>#N/A</v>
      </c>
      <c r="AH170" t="e">
        <f t="shared" si="44"/>
        <v>#N/A</v>
      </c>
      <c r="AI170" t="e">
        <f t="shared" si="38"/>
        <v>#N/A</v>
      </c>
      <c r="AJ170">
        <f t="shared" si="39"/>
        <v>0</v>
      </c>
      <c r="AK170" t="e">
        <f t="shared" si="40"/>
        <v>#N/A</v>
      </c>
      <c r="AL170" t="e">
        <f t="shared" si="41"/>
        <v>#N/A</v>
      </c>
      <c r="AM170" t="e">
        <f t="shared" si="42"/>
        <v>#N/A</v>
      </c>
      <c r="AN17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0" t="e">
        <f t="shared" si="43"/>
        <v>#N/A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0</v>
      </c>
      <c r="V171" cm="1">
        <f t="array" ref="V171">INDEX($F$4:$T$263,ROW(A168),MATCH($W$2,$F$3:$T$3,0))</f>
        <v>0</v>
      </c>
      <c r="W17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1" t="e">
        <f t="shared" si="30"/>
        <v>#N/A</v>
      </c>
      <c r="AA171" t="e">
        <f t="shared" si="31"/>
        <v>#N/A</v>
      </c>
      <c r="AB171" t="e">
        <f t="shared" si="32"/>
        <v>#N/A</v>
      </c>
      <c r="AC171" t="e">
        <f t="shared" si="33"/>
        <v>#N/A</v>
      </c>
      <c r="AD171" t="e">
        <f t="shared" si="34"/>
        <v>#N/A</v>
      </c>
      <c r="AE171" t="e">
        <f t="shared" si="35"/>
        <v>#N/A</v>
      </c>
      <c r="AF171" t="e">
        <f t="shared" si="36"/>
        <v>#N/A</v>
      </c>
      <c r="AG171" t="e">
        <f t="shared" si="37"/>
        <v>#N/A</v>
      </c>
      <c r="AH171" t="e">
        <f t="shared" si="44"/>
        <v>#N/A</v>
      </c>
      <c r="AI171" t="e">
        <f t="shared" si="38"/>
        <v>#N/A</v>
      </c>
      <c r="AJ171">
        <f t="shared" si="39"/>
        <v>0</v>
      </c>
      <c r="AK171" t="e">
        <f t="shared" si="40"/>
        <v>#N/A</v>
      </c>
      <c r="AL171" t="e">
        <f t="shared" si="41"/>
        <v>#N/A</v>
      </c>
      <c r="AM171" t="e">
        <f t="shared" si="42"/>
        <v>#N/A</v>
      </c>
      <c r="AN17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1" t="e">
        <f t="shared" si="43"/>
        <v>#N/A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0</v>
      </c>
      <c r="V172" cm="1">
        <f t="array" ref="V172">INDEX($F$4:$T$263,ROW(A169),MATCH($W$2,$F$3:$T$3,0))</f>
        <v>0</v>
      </c>
      <c r="W17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2" t="e">
        <f t="shared" si="30"/>
        <v>#N/A</v>
      </c>
      <c r="AA172" t="e">
        <f t="shared" si="31"/>
        <v>#N/A</v>
      </c>
      <c r="AB172" t="e">
        <f t="shared" si="32"/>
        <v>#N/A</v>
      </c>
      <c r="AC172" t="e">
        <f t="shared" si="33"/>
        <v>#N/A</v>
      </c>
      <c r="AD172" t="e">
        <f t="shared" si="34"/>
        <v>#N/A</v>
      </c>
      <c r="AE172" t="e">
        <f t="shared" si="35"/>
        <v>#N/A</v>
      </c>
      <c r="AF172" t="e">
        <f t="shared" si="36"/>
        <v>#N/A</v>
      </c>
      <c r="AG172" t="e">
        <f t="shared" si="37"/>
        <v>#N/A</v>
      </c>
      <c r="AH172" t="e">
        <f t="shared" si="44"/>
        <v>#N/A</v>
      </c>
      <c r="AI172" t="e">
        <f t="shared" si="38"/>
        <v>#N/A</v>
      </c>
      <c r="AJ172">
        <f t="shared" si="39"/>
        <v>0</v>
      </c>
      <c r="AK172" t="e">
        <f t="shared" si="40"/>
        <v>#N/A</v>
      </c>
      <c r="AL172" t="e">
        <f t="shared" si="41"/>
        <v>#N/A</v>
      </c>
      <c r="AM172" t="e">
        <f t="shared" si="42"/>
        <v>#N/A</v>
      </c>
      <c r="AN17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2" t="e">
        <f t="shared" si="43"/>
        <v>#N/A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0</v>
      </c>
      <c r="V173" cm="1">
        <f t="array" ref="V173">INDEX($F$4:$T$263,ROW(A170),MATCH($W$2,$F$3:$T$3,0))</f>
        <v>0</v>
      </c>
      <c r="W17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3" t="e">
        <f t="shared" si="30"/>
        <v>#N/A</v>
      </c>
      <c r="AA173" t="e">
        <f t="shared" si="31"/>
        <v>#N/A</v>
      </c>
      <c r="AB173" t="e">
        <f t="shared" si="32"/>
        <v>#N/A</v>
      </c>
      <c r="AC173" t="e">
        <f t="shared" si="33"/>
        <v>#N/A</v>
      </c>
      <c r="AD173" t="e">
        <f t="shared" si="34"/>
        <v>#N/A</v>
      </c>
      <c r="AE173" t="e">
        <f t="shared" si="35"/>
        <v>#N/A</v>
      </c>
      <c r="AF173" t="e">
        <f t="shared" si="36"/>
        <v>#N/A</v>
      </c>
      <c r="AG173" t="e">
        <f t="shared" si="37"/>
        <v>#N/A</v>
      </c>
      <c r="AH173" t="e">
        <f t="shared" si="44"/>
        <v>#N/A</v>
      </c>
      <c r="AI173" t="e">
        <f t="shared" si="38"/>
        <v>#N/A</v>
      </c>
      <c r="AJ173">
        <f t="shared" si="39"/>
        <v>0</v>
      </c>
      <c r="AK173" t="e">
        <f t="shared" si="40"/>
        <v>#N/A</v>
      </c>
      <c r="AL173" t="e">
        <f t="shared" si="41"/>
        <v>#N/A</v>
      </c>
      <c r="AM173" t="e">
        <f t="shared" si="42"/>
        <v>#N/A</v>
      </c>
      <c r="AN17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3" t="e">
        <f t="shared" si="43"/>
        <v>#N/A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0</v>
      </c>
      <c r="V174" cm="1">
        <f t="array" ref="V174">INDEX($F$4:$T$263,ROW(A171),MATCH($W$2,$F$3:$T$3,0))</f>
        <v>0</v>
      </c>
      <c r="W17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4" t="e">
        <f t="shared" si="30"/>
        <v>#N/A</v>
      </c>
      <c r="AA174" t="e">
        <f t="shared" si="31"/>
        <v>#N/A</v>
      </c>
      <c r="AB174" t="e">
        <f t="shared" si="32"/>
        <v>#N/A</v>
      </c>
      <c r="AC174" t="e">
        <f t="shared" si="33"/>
        <v>#N/A</v>
      </c>
      <c r="AD174" t="e">
        <f t="shared" si="34"/>
        <v>#N/A</v>
      </c>
      <c r="AE174" t="e">
        <f t="shared" si="35"/>
        <v>#N/A</v>
      </c>
      <c r="AF174" t="e">
        <f t="shared" si="36"/>
        <v>#N/A</v>
      </c>
      <c r="AG174" t="e">
        <f t="shared" si="37"/>
        <v>#N/A</v>
      </c>
      <c r="AH174" t="e">
        <f t="shared" si="44"/>
        <v>#N/A</v>
      </c>
      <c r="AI174" t="e">
        <f t="shared" si="38"/>
        <v>#N/A</v>
      </c>
      <c r="AJ174">
        <f t="shared" si="39"/>
        <v>0</v>
      </c>
      <c r="AK174" t="e">
        <f t="shared" si="40"/>
        <v>#N/A</v>
      </c>
      <c r="AL174" t="e">
        <f t="shared" si="41"/>
        <v>#N/A</v>
      </c>
      <c r="AM174" t="e">
        <f t="shared" si="42"/>
        <v>#N/A</v>
      </c>
      <c r="AN17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4" t="e">
        <f t="shared" si="43"/>
        <v>#N/A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0</v>
      </c>
      <c r="V175" cm="1">
        <f t="array" ref="V175">INDEX($F$4:$T$263,ROW(A172),MATCH($W$2,$F$3:$T$3,0))</f>
        <v>0</v>
      </c>
      <c r="W17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5" t="e">
        <f t="shared" si="30"/>
        <v>#N/A</v>
      </c>
      <c r="AA175" t="e">
        <f t="shared" si="31"/>
        <v>#N/A</v>
      </c>
      <c r="AB175" t="e">
        <f t="shared" si="32"/>
        <v>#N/A</v>
      </c>
      <c r="AC175" t="e">
        <f t="shared" si="33"/>
        <v>#N/A</v>
      </c>
      <c r="AD175" t="e">
        <f t="shared" si="34"/>
        <v>#N/A</v>
      </c>
      <c r="AE175" t="e">
        <f t="shared" si="35"/>
        <v>#N/A</v>
      </c>
      <c r="AF175" t="e">
        <f t="shared" si="36"/>
        <v>#N/A</v>
      </c>
      <c r="AG175" t="e">
        <f t="shared" si="37"/>
        <v>#N/A</v>
      </c>
      <c r="AH175" t="e">
        <f t="shared" si="44"/>
        <v>#N/A</v>
      </c>
      <c r="AI175" t="e">
        <f t="shared" si="38"/>
        <v>#N/A</v>
      </c>
      <c r="AJ175">
        <f t="shared" si="39"/>
        <v>0</v>
      </c>
      <c r="AK175" t="e">
        <f t="shared" si="40"/>
        <v>#N/A</v>
      </c>
      <c r="AL175" t="e">
        <f t="shared" si="41"/>
        <v>#N/A</v>
      </c>
      <c r="AM175" t="e">
        <f t="shared" si="42"/>
        <v>#N/A</v>
      </c>
      <c r="AN17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5" t="e">
        <f t="shared" si="43"/>
        <v>#N/A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0</v>
      </c>
      <c r="V176" cm="1">
        <f t="array" ref="V176">INDEX($F$4:$T$263,ROW(A173),MATCH($W$2,$F$3:$T$3,0))</f>
        <v>0</v>
      </c>
      <c r="W17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6" t="e">
        <f t="shared" si="30"/>
        <v>#N/A</v>
      </c>
      <c r="AA176" t="e">
        <f t="shared" si="31"/>
        <v>#N/A</v>
      </c>
      <c r="AB176" t="e">
        <f t="shared" si="32"/>
        <v>#N/A</v>
      </c>
      <c r="AC176" t="e">
        <f t="shared" si="33"/>
        <v>#N/A</v>
      </c>
      <c r="AD176" t="e">
        <f t="shared" si="34"/>
        <v>#N/A</v>
      </c>
      <c r="AE176" t="e">
        <f t="shared" si="35"/>
        <v>#N/A</v>
      </c>
      <c r="AF176" t="e">
        <f t="shared" si="36"/>
        <v>#N/A</v>
      </c>
      <c r="AG176" t="e">
        <f t="shared" si="37"/>
        <v>#N/A</v>
      </c>
      <c r="AH176" t="e">
        <f t="shared" si="44"/>
        <v>#N/A</v>
      </c>
      <c r="AI176" t="e">
        <f t="shared" si="38"/>
        <v>#N/A</v>
      </c>
      <c r="AJ176">
        <f t="shared" si="39"/>
        <v>0</v>
      </c>
      <c r="AK176" t="e">
        <f t="shared" si="40"/>
        <v>#N/A</v>
      </c>
      <c r="AL176" t="e">
        <f t="shared" si="41"/>
        <v>#N/A</v>
      </c>
      <c r="AM176" t="e">
        <f t="shared" si="42"/>
        <v>#N/A</v>
      </c>
      <c r="AN17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6" t="e">
        <f t="shared" si="43"/>
        <v>#N/A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0</v>
      </c>
      <c r="V177" cm="1">
        <f t="array" ref="V177">INDEX($F$4:$T$263,ROW(A174),MATCH($W$2,$F$3:$T$3,0))</f>
        <v>0</v>
      </c>
      <c r="W17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7" t="e">
        <f t="shared" si="30"/>
        <v>#N/A</v>
      </c>
      <c r="AA177" t="e">
        <f t="shared" si="31"/>
        <v>#N/A</v>
      </c>
      <c r="AB177" t="e">
        <f t="shared" si="32"/>
        <v>#N/A</v>
      </c>
      <c r="AC177" t="e">
        <f t="shared" si="33"/>
        <v>#N/A</v>
      </c>
      <c r="AD177" t="e">
        <f t="shared" si="34"/>
        <v>#N/A</v>
      </c>
      <c r="AE177" t="e">
        <f t="shared" si="35"/>
        <v>#N/A</v>
      </c>
      <c r="AF177" t="e">
        <f t="shared" si="36"/>
        <v>#N/A</v>
      </c>
      <c r="AG177" t="e">
        <f t="shared" si="37"/>
        <v>#N/A</v>
      </c>
      <c r="AH177" t="e">
        <f t="shared" si="44"/>
        <v>#N/A</v>
      </c>
      <c r="AI177" t="e">
        <f t="shared" si="38"/>
        <v>#N/A</v>
      </c>
      <c r="AJ177">
        <f t="shared" si="39"/>
        <v>0</v>
      </c>
      <c r="AK177" t="e">
        <f t="shared" si="40"/>
        <v>#N/A</v>
      </c>
      <c r="AL177" t="e">
        <f t="shared" si="41"/>
        <v>#N/A</v>
      </c>
      <c r="AM177" t="e">
        <f t="shared" si="42"/>
        <v>#N/A</v>
      </c>
      <c r="AN17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7" t="e">
        <f t="shared" si="43"/>
        <v>#N/A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0</v>
      </c>
      <c r="V178" cm="1">
        <f t="array" ref="V178">INDEX($F$4:$T$263,ROW(A175),MATCH($W$2,$F$3:$T$3,0))</f>
        <v>0</v>
      </c>
      <c r="W17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8" t="e">
        <f t="shared" si="30"/>
        <v>#N/A</v>
      </c>
      <c r="AA178" t="e">
        <f t="shared" si="31"/>
        <v>#N/A</v>
      </c>
      <c r="AB178" t="e">
        <f t="shared" si="32"/>
        <v>#N/A</v>
      </c>
      <c r="AC178" t="e">
        <f t="shared" si="33"/>
        <v>#N/A</v>
      </c>
      <c r="AD178" t="e">
        <f t="shared" si="34"/>
        <v>#N/A</v>
      </c>
      <c r="AE178" t="e">
        <f t="shared" si="35"/>
        <v>#N/A</v>
      </c>
      <c r="AF178" t="e">
        <f t="shared" si="36"/>
        <v>#N/A</v>
      </c>
      <c r="AG178" t="e">
        <f t="shared" si="37"/>
        <v>#N/A</v>
      </c>
      <c r="AH178" t="e">
        <f t="shared" si="44"/>
        <v>#N/A</v>
      </c>
      <c r="AI178" t="e">
        <f t="shared" si="38"/>
        <v>#N/A</v>
      </c>
      <c r="AJ178">
        <f t="shared" si="39"/>
        <v>0</v>
      </c>
      <c r="AK178" t="e">
        <f t="shared" si="40"/>
        <v>#N/A</v>
      </c>
      <c r="AL178" t="e">
        <f t="shared" si="41"/>
        <v>#N/A</v>
      </c>
      <c r="AM178" t="e">
        <f t="shared" si="42"/>
        <v>#N/A</v>
      </c>
      <c r="AN17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8" t="e">
        <f t="shared" si="43"/>
        <v>#N/A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0</v>
      </c>
      <c r="V179" cm="1">
        <f t="array" ref="V179">INDEX($F$4:$T$263,ROW(A176),MATCH($W$2,$F$3:$T$3,0))</f>
        <v>0</v>
      </c>
      <c r="W17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79" t="e">
        <f t="shared" si="30"/>
        <v>#N/A</v>
      </c>
      <c r="AA179" t="e">
        <f t="shared" si="31"/>
        <v>#N/A</v>
      </c>
      <c r="AB179" t="e">
        <f t="shared" si="32"/>
        <v>#N/A</v>
      </c>
      <c r="AC179" t="e">
        <f t="shared" si="33"/>
        <v>#N/A</v>
      </c>
      <c r="AD179" t="e">
        <f t="shared" si="34"/>
        <v>#N/A</v>
      </c>
      <c r="AE179" t="e">
        <f t="shared" si="35"/>
        <v>#N/A</v>
      </c>
      <c r="AF179" t="e">
        <f t="shared" si="36"/>
        <v>#N/A</v>
      </c>
      <c r="AG179" t="e">
        <f t="shared" si="37"/>
        <v>#N/A</v>
      </c>
      <c r="AH179" t="e">
        <f t="shared" si="44"/>
        <v>#N/A</v>
      </c>
      <c r="AI179" t="e">
        <f t="shared" si="38"/>
        <v>#N/A</v>
      </c>
      <c r="AJ179">
        <f t="shared" si="39"/>
        <v>0</v>
      </c>
      <c r="AK179" t="e">
        <f t="shared" si="40"/>
        <v>#N/A</v>
      </c>
      <c r="AL179" t="e">
        <f t="shared" si="41"/>
        <v>#N/A</v>
      </c>
      <c r="AM179" t="e">
        <f t="shared" si="42"/>
        <v>#N/A</v>
      </c>
      <c r="AN17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7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79" t="e">
        <f t="shared" si="43"/>
        <v>#N/A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0</v>
      </c>
      <c r="V180" cm="1">
        <f t="array" ref="V180">INDEX($F$4:$T$263,ROW(A177),MATCH($W$2,$F$3:$T$3,0))</f>
        <v>0</v>
      </c>
      <c r="W18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0" t="e">
        <f t="shared" si="30"/>
        <v>#N/A</v>
      </c>
      <c r="AA180" t="e">
        <f t="shared" si="31"/>
        <v>#N/A</v>
      </c>
      <c r="AB180" t="e">
        <f t="shared" si="32"/>
        <v>#N/A</v>
      </c>
      <c r="AC180" t="e">
        <f t="shared" si="33"/>
        <v>#N/A</v>
      </c>
      <c r="AD180" t="e">
        <f t="shared" si="34"/>
        <v>#N/A</v>
      </c>
      <c r="AE180" t="e">
        <f t="shared" si="35"/>
        <v>#N/A</v>
      </c>
      <c r="AF180" t="e">
        <f t="shared" si="36"/>
        <v>#N/A</v>
      </c>
      <c r="AG180" t="e">
        <f t="shared" si="37"/>
        <v>#N/A</v>
      </c>
      <c r="AH180" t="e">
        <f t="shared" si="44"/>
        <v>#N/A</v>
      </c>
      <c r="AI180" t="e">
        <f t="shared" si="38"/>
        <v>#N/A</v>
      </c>
      <c r="AJ180">
        <f t="shared" si="39"/>
        <v>0</v>
      </c>
      <c r="AK180" t="e">
        <f t="shared" si="40"/>
        <v>#N/A</v>
      </c>
      <c r="AL180" t="e">
        <f t="shared" si="41"/>
        <v>#N/A</v>
      </c>
      <c r="AM180" t="e">
        <f t="shared" si="42"/>
        <v>#N/A</v>
      </c>
      <c r="AN18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0" t="e">
        <f t="shared" si="43"/>
        <v>#N/A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0</v>
      </c>
      <c r="V181" cm="1">
        <f t="array" ref="V181">INDEX($F$4:$T$263,ROW(A178),MATCH($W$2,$F$3:$T$3,0))</f>
        <v>0</v>
      </c>
      <c r="W18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1" t="e">
        <f t="shared" si="30"/>
        <v>#N/A</v>
      </c>
      <c r="AA181" t="e">
        <f t="shared" si="31"/>
        <v>#N/A</v>
      </c>
      <c r="AB181" t="e">
        <f t="shared" si="32"/>
        <v>#N/A</v>
      </c>
      <c r="AC181" t="e">
        <f t="shared" si="33"/>
        <v>#N/A</v>
      </c>
      <c r="AD181" t="e">
        <f t="shared" si="34"/>
        <v>#N/A</v>
      </c>
      <c r="AE181" t="e">
        <f t="shared" si="35"/>
        <v>#N/A</v>
      </c>
      <c r="AF181" t="e">
        <f t="shared" si="36"/>
        <v>#N/A</v>
      </c>
      <c r="AG181" t="e">
        <f t="shared" si="37"/>
        <v>#N/A</v>
      </c>
      <c r="AH181" t="e">
        <f t="shared" si="44"/>
        <v>#N/A</v>
      </c>
      <c r="AI181" t="e">
        <f t="shared" si="38"/>
        <v>#N/A</v>
      </c>
      <c r="AJ181">
        <f t="shared" si="39"/>
        <v>0</v>
      </c>
      <c r="AK181" t="e">
        <f t="shared" si="40"/>
        <v>#N/A</v>
      </c>
      <c r="AL181" t="e">
        <f t="shared" si="41"/>
        <v>#N/A</v>
      </c>
      <c r="AM181" t="e">
        <f t="shared" si="42"/>
        <v>#N/A</v>
      </c>
      <c r="AN18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1" t="e">
        <f t="shared" si="43"/>
        <v>#N/A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0</v>
      </c>
      <c r="V182" cm="1">
        <f t="array" ref="V182">INDEX($F$4:$T$263,ROW(A179),MATCH($W$2,$F$3:$T$3,0))</f>
        <v>0</v>
      </c>
      <c r="W18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2" t="e">
        <f t="shared" si="30"/>
        <v>#N/A</v>
      </c>
      <c r="AA182" t="e">
        <f t="shared" si="31"/>
        <v>#N/A</v>
      </c>
      <c r="AB182" t="e">
        <f t="shared" si="32"/>
        <v>#N/A</v>
      </c>
      <c r="AC182" t="e">
        <f t="shared" si="33"/>
        <v>#N/A</v>
      </c>
      <c r="AD182" t="e">
        <f t="shared" si="34"/>
        <v>#N/A</v>
      </c>
      <c r="AE182" t="e">
        <f t="shared" si="35"/>
        <v>#N/A</v>
      </c>
      <c r="AF182" t="e">
        <f t="shared" si="36"/>
        <v>#N/A</v>
      </c>
      <c r="AG182" t="e">
        <f t="shared" si="37"/>
        <v>#N/A</v>
      </c>
      <c r="AH182" t="e">
        <f t="shared" si="44"/>
        <v>#N/A</v>
      </c>
      <c r="AI182" t="e">
        <f t="shared" si="38"/>
        <v>#N/A</v>
      </c>
      <c r="AJ182">
        <f t="shared" si="39"/>
        <v>0</v>
      </c>
      <c r="AK182" t="e">
        <f t="shared" si="40"/>
        <v>#N/A</v>
      </c>
      <c r="AL182" t="e">
        <f t="shared" si="41"/>
        <v>#N/A</v>
      </c>
      <c r="AM182" t="e">
        <f t="shared" si="42"/>
        <v>#N/A</v>
      </c>
      <c r="AN18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2" t="e">
        <f t="shared" si="43"/>
        <v>#N/A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0</v>
      </c>
      <c r="V183" cm="1">
        <f t="array" ref="V183">INDEX($F$4:$T$263,ROW(A180),MATCH($W$2,$F$3:$T$3,0))</f>
        <v>0</v>
      </c>
      <c r="W18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3" t="e">
        <f t="shared" si="30"/>
        <v>#N/A</v>
      </c>
      <c r="AA183" t="e">
        <f t="shared" si="31"/>
        <v>#N/A</v>
      </c>
      <c r="AB183" t="e">
        <f t="shared" si="32"/>
        <v>#N/A</v>
      </c>
      <c r="AC183" t="e">
        <f t="shared" si="33"/>
        <v>#N/A</v>
      </c>
      <c r="AD183" t="e">
        <f t="shared" si="34"/>
        <v>#N/A</v>
      </c>
      <c r="AE183" t="e">
        <f t="shared" si="35"/>
        <v>#N/A</v>
      </c>
      <c r="AF183" t="e">
        <f t="shared" si="36"/>
        <v>#N/A</v>
      </c>
      <c r="AG183" t="e">
        <f t="shared" si="37"/>
        <v>#N/A</v>
      </c>
      <c r="AH183" t="e">
        <f t="shared" si="44"/>
        <v>#N/A</v>
      </c>
      <c r="AI183" t="e">
        <f t="shared" si="38"/>
        <v>#N/A</v>
      </c>
      <c r="AJ183">
        <f t="shared" si="39"/>
        <v>0</v>
      </c>
      <c r="AK183" t="e">
        <f t="shared" si="40"/>
        <v>#N/A</v>
      </c>
      <c r="AL183" t="e">
        <f t="shared" si="41"/>
        <v>#N/A</v>
      </c>
      <c r="AM183" t="e">
        <f t="shared" si="42"/>
        <v>#N/A</v>
      </c>
      <c r="AN18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3" t="e">
        <f t="shared" si="43"/>
        <v>#N/A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0</v>
      </c>
      <c r="V184" cm="1">
        <f t="array" ref="V184">INDEX($F$4:$T$263,ROW(A181),MATCH($W$2,$F$3:$T$3,0))</f>
        <v>0</v>
      </c>
      <c r="W18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4" t="e">
        <f t="shared" si="30"/>
        <v>#N/A</v>
      </c>
      <c r="AA184" t="e">
        <f t="shared" si="31"/>
        <v>#N/A</v>
      </c>
      <c r="AB184" t="e">
        <f t="shared" si="32"/>
        <v>#N/A</v>
      </c>
      <c r="AC184" t="e">
        <f t="shared" si="33"/>
        <v>#N/A</v>
      </c>
      <c r="AD184" t="e">
        <f t="shared" si="34"/>
        <v>#N/A</v>
      </c>
      <c r="AE184" t="e">
        <f t="shared" si="35"/>
        <v>#N/A</v>
      </c>
      <c r="AF184" t="e">
        <f t="shared" si="36"/>
        <v>#N/A</v>
      </c>
      <c r="AG184" t="e">
        <f t="shared" si="37"/>
        <v>#N/A</v>
      </c>
      <c r="AH184" t="e">
        <f t="shared" si="44"/>
        <v>#N/A</v>
      </c>
      <c r="AI184" t="e">
        <f t="shared" si="38"/>
        <v>#N/A</v>
      </c>
      <c r="AJ184">
        <f t="shared" si="39"/>
        <v>0</v>
      </c>
      <c r="AK184" t="e">
        <f t="shared" si="40"/>
        <v>#N/A</v>
      </c>
      <c r="AL184" t="e">
        <f t="shared" si="41"/>
        <v>#N/A</v>
      </c>
      <c r="AM184" t="e">
        <f t="shared" si="42"/>
        <v>#N/A</v>
      </c>
      <c r="AN18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4" t="e">
        <f t="shared" si="43"/>
        <v>#N/A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0</v>
      </c>
      <c r="V185" cm="1">
        <f t="array" ref="V185">INDEX($F$4:$T$263,ROW(A182),MATCH($W$2,$F$3:$T$3,0))</f>
        <v>0</v>
      </c>
      <c r="W18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5" t="e">
        <f t="shared" si="30"/>
        <v>#N/A</v>
      </c>
      <c r="AA185" t="e">
        <f t="shared" si="31"/>
        <v>#N/A</v>
      </c>
      <c r="AB185" t="e">
        <f t="shared" si="32"/>
        <v>#N/A</v>
      </c>
      <c r="AC185" t="e">
        <f t="shared" si="33"/>
        <v>#N/A</v>
      </c>
      <c r="AD185" t="e">
        <f t="shared" si="34"/>
        <v>#N/A</v>
      </c>
      <c r="AE185" t="e">
        <f t="shared" si="35"/>
        <v>#N/A</v>
      </c>
      <c r="AF185" t="e">
        <f t="shared" si="36"/>
        <v>#N/A</v>
      </c>
      <c r="AG185" t="e">
        <f t="shared" si="37"/>
        <v>#N/A</v>
      </c>
      <c r="AH185" t="e">
        <f t="shared" si="44"/>
        <v>#N/A</v>
      </c>
      <c r="AI185" t="e">
        <f t="shared" si="38"/>
        <v>#N/A</v>
      </c>
      <c r="AJ185">
        <f t="shared" si="39"/>
        <v>0</v>
      </c>
      <c r="AK185" t="e">
        <f t="shared" si="40"/>
        <v>#N/A</v>
      </c>
      <c r="AL185" t="e">
        <f t="shared" si="41"/>
        <v>#N/A</v>
      </c>
      <c r="AM185" t="e">
        <f t="shared" si="42"/>
        <v>#N/A</v>
      </c>
      <c r="AN18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5" t="e">
        <f t="shared" si="43"/>
        <v>#N/A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0</v>
      </c>
      <c r="V186" cm="1">
        <f t="array" ref="V186">INDEX($F$4:$T$263,ROW(A183),MATCH($W$2,$F$3:$T$3,0))</f>
        <v>0</v>
      </c>
      <c r="W18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6" t="e">
        <f t="shared" si="30"/>
        <v>#N/A</v>
      </c>
      <c r="AA186" t="e">
        <f t="shared" si="31"/>
        <v>#N/A</v>
      </c>
      <c r="AB186" t="e">
        <f t="shared" si="32"/>
        <v>#N/A</v>
      </c>
      <c r="AC186" t="e">
        <f t="shared" si="33"/>
        <v>#N/A</v>
      </c>
      <c r="AD186" t="e">
        <f t="shared" si="34"/>
        <v>#N/A</v>
      </c>
      <c r="AE186" t="e">
        <f t="shared" si="35"/>
        <v>#N/A</v>
      </c>
      <c r="AF186" t="e">
        <f t="shared" si="36"/>
        <v>#N/A</v>
      </c>
      <c r="AG186" t="e">
        <f t="shared" si="37"/>
        <v>#N/A</v>
      </c>
      <c r="AH186" t="e">
        <f t="shared" si="44"/>
        <v>#N/A</v>
      </c>
      <c r="AI186" t="e">
        <f t="shared" si="38"/>
        <v>#N/A</v>
      </c>
      <c r="AJ186">
        <f t="shared" si="39"/>
        <v>0</v>
      </c>
      <c r="AK186" t="e">
        <f t="shared" si="40"/>
        <v>#N/A</v>
      </c>
      <c r="AL186" t="e">
        <f t="shared" si="41"/>
        <v>#N/A</v>
      </c>
      <c r="AM186" t="e">
        <f t="shared" si="42"/>
        <v>#N/A</v>
      </c>
      <c r="AN18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6" t="e">
        <f t="shared" si="43"/>
        <v>#N/A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0</v>
      </c>
      <c r="V187" cm="1">
        <f t="array" ref="V187">INDEX($F$4:$T$263,ROW(A184),MATCH($W$2,$F$3:$T$3,0))</f>
        <v>0</v>
      </c>
      <c r="W18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7" t="e">
        <f t="shared" si="30"/>
        <v>#N/A</v>
      </c>
      <c r="AA187" t="e">
        <f t="shared" si="31"/>
        <v>#N/A</v>
      </c>
      <c r="AB187" t="e">
        <f t="shared" si="32"/>
        <v>#N/A</v>
      </c>
      <c r="AC187" t="e">
        <f t="shared" si="33"/>
        <v>#N/A</v>
      </c>
      <c r="AD187" t="e">
        <f t="shared" si="34"/>
        <v>#N/A</v>
      </c>
      <c r="AE187" t="e">
        <f t="shared" si="35"/>
        <v>#N/A</v>
      </c>
      <c r="AF187" t="e">
        <f t="shared" si="36"/>
        <v>#N/A</v>
      </c>
      <c r="AG187" t="e">
        <f t="shared" si="37"/>
        <v>#N/A</v>
      </c>
      <c r="AH187" t="e">
        <f t="shared" si="44"/>
        <v>#N/A</v>
      </c>
      <c r="AI187" t="e">
        <f t="shared" si="38"/>
        <v>#N/A</v>
      </c>
      <c r="AJ187">
        <f t="shared" si="39"/>
        <v>0</v>
      </c>
      <c r="AK187" t="e">
        <f t="shared" si="40"/>
        <v>#N/A</v>
      </c>
      <c r="AL187" t="e">
        <f t="shared" si="41"/>
        <v>#N/A</v>
      </c>
      <c r="AM187" t="e">
        <f t="shared" si="42"/>
        <v>#N/A</v>
      </c>
      <c r="AN18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7" t="e">
        <f t="shared" si="43"/>
        <v>#N/A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0</v>
      </c>
      <c r="V188" cm="1">
        <f t="array" ref="V188">INDEX($F$4:$T$263,ROW(A185),MATCH($W$2,$F$3:$T$3,0))</f>
        <v>0</v>
      </c>
      <c r="W18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8" t="e">
        <f t="shared" si="30"/>
        <v>#N/A</v>
      </c>
      <c r="AA188" t="e">
        <f t="shared" si="31"/>
        <v>#N/A</v>
      </c>
      <c r="AB188" t="e">
        <f t="shared" si="32"/>
        <v>#N/A</v>
      </c>
      <c r="AC188" t="e">
        <f t="shared" si="33"/>
        <v>#N/A</v>
      </c>
      <c r="AD188" t="e">
        <f t="shared" si="34"/>
        <v>#N/A</v>
      </c>
      <c r="AE188" t="e">
        <f t="shared" si="35"/>
        <v>#N/A</v>
      </c>
      <c r="AF188" t="e">
        <f t="shared" si="36"/>
        <v>#N/A</v>
      </c>
      <c r="AG188" t="e">
        <f t="shared" si="37"/>
        <v>#N/A</v>
      </c>
      <c r="AH188" t="e">
        <f t="shared" si="44"/>
        <v>#N/A</v>
      </c>
      <c r="AI188" t="e">
        <f t="shared" si="38"/>
        <v>#N/A</v>
      </c>
      <c r="AJ188">
        <f t="shared" si="39"/>
        <v>0</v>
      </c>
      <c r="AK188" t="e">
        <f t="shared" si="40"/>
        <v>#N/A</v>
      </c>
      <c r="AL188" t="e">
        <f t="shared" si="41"/>
        <v>#N/A</v>
      </c>
      <c r="AM188" t="e">
        <f t="shared" si="42"/>
        <v>#N/A</v>
      </c>
      <c r="AN18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8" t="e">
        <f t="shared" si="43"/>
        <v>#N/A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0</v>
      </c>
      <c r="V189" cm="1">
        <f t="array" ref="V189">INDEX($F$4:$T$263,ROW(A186),MATCH($W$2,$F$3:$T$3,0))</f>
        <v>0</v>
      </c>
      <c r="W18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89" t="e">
        <f t="shared" si="30"/>
        <v>#N/A</v>
      </c>
      <c r="AA189" t="e">
        <f t="shared" si="31"/>
        <v>#N/A</v>
      </c>
      <c r="AB189" t="e">
        <f t="shared" si="32"/>
        <v>#N/A</v>
      </c>
      <c r="AC189" t="e">
        <f t="shared" si="33"/>
        <v>#N/A</v>
      </c>
      <c r="AD189" t="e">
        <f t="shared" si="34"/>
        <v>#N/A</v>
      </c>
      <c r="AE189" t="e">
        <f t="shared" si="35"/>
        <v>#N/A</v>
      </c>
      <c r="AF189" t="e">
        <f t="shared" si="36"/>
        <v>#N/A</v>
      </c>
      <c r="AG189" t="e">
        <f t="shared" si="37"/>
        <v>#N/A</v>
      </c>
      <c r="AH189" t="e">
        <f t="shared" si="44"/>
        <v>#N/A</v>
      </c>
      <c r="AI189" t="e">
        <f t="shared" si="38"/>
        <v>#N/A</v>
      </c>
      <c r="AJ189">
        <f t="shared" si="39"/>
        <v>0</v>
      </c>
      <c r="AK189" t="e">
        <f t="shared" si="40"/>
        <v>#N/A</v>
      </c>
      <c r="AL189" t="e">
        <f t="shared" si="41"/>
        <v>#N/A</v>
      </c>
      <c r="AM189" t="e">
        <f t="shared" si="42"/>
        <v>#N/A</v>
      </c>
      <c r="AN18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8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89" t="e">
        <f t="shared" si="43"/>
        <v>#N/A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0</v>
      </c>
      <c r="V190" cm="1">
        <f t="array" ref="V190">INDEX($F$4:$T$263,ROW(A187),MATCH($W$2,$F$3:$T$3,0))</f>
        <v>0</v>
      </c>
      <c r="W19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0" t="e">
        <f t="shared" si="30"/>
        <v>#N/A</v>
      </c>
      <c r="AA190" t="e">
        <f t="shared" si="31"/>
        <v>#N/A</v>
      </c>
      <c r="AB190" t="e">
        <f t="shared" si="32"/>
        <v>#N/A</v>
      </c>
      <c r="AC190" t="e">
        <f t="shared" si="33"/>
        <v>#N/A</v>
      </c>
      <c r="AD190" t="e">
        <f t="shared" si="34"/>
        <v>#N/A</v>
      </c>
      <c r="AE190" t="e">
        <f t="shared" si="35"/>
        <v>#N/A</v>
      </c>
      <c r="AF190" t="e">
        <f t="shared" si="36"/>
        <v>#N/A</v>
      </c>
      <c r="AG190" t="e">
        <f t="shared" si="37"/>
        <v>#N/A</v>
      </c>
      <c r="AH190" t="e">
        <f t="shared" si="44"/>
        <v>#N/A</v>
      </c>
      <c r="AI190" t="e">
        <f t="shared" si="38"/>
        <v>#N/A</v>
      </c>
      <c r="AJ190">
        <f t="shared" si="39"/>
        <v>0</v>
      </c>
      <c r="AK190" t="e">
        <f t="shared" si="40"/>
        <v>#N/A</v>
      </c>
      <c r="AL190" t="e">
        <f t="shared" si="41"/>
        <v>#N/A</v>
      </c>
      <c r="AM190" t="e">
        <f t="shared" si="42"/>
        <v>#N/A</v>
      </c>
      <c r="AN19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0" t="e">
        <f t="shared" si="43"/>
        <v>#N/A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0</v>
      </c>
      <c r="V191" cm="1">
        <f t="array" ref="V191">INDEX($F$4:$T$263,ROW(A188),MATCH($W$2,$F$3:$T$3,0))</f>
        <v>0</v>
      </c>
      <c r="W19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1" t="e">
        <f t="shared" si="30"/>
        <v>#N/A</v>
      </c>
      <c r="AA191" t="e">
        <f t="shared" si="31"/>
        <v>#N/A</v>
      </c>
      <c r="AB191" t="e">
        <f t="shared" si="32"/>
        <v>#N/A</v>
      </c>
      <c r="AC191" t="e">
        <f t="shared" si="33"/>
        <v>#N/A</v>
      </c>
      <c r="AD191" t="e">
        <f t="shared" si="34"/>
        <v>#N/A</v>
      </c>
      <c r="AE191" t="e">
        <f t="shared" si="35"/>
        <v>#N/A</v>
      </c>
      <c r="AF191" t="e">
        <f t="shared" si="36"/>
        <v>#N/A</v>
      </c>
      <c r="AG191" t="e">
        <f t="shared" si="37"/>
        <v>#N/A</v>
      </c>
      <c r="AH191" t="e">
        <f t="shared" si="44"/>
        <v>#N/A</v>
      </c>
      <c r="AI191" t="e">
        <f t="shared" si="38"/>
        <v>#N/A</v>
      </c>
      <c r="AJ191">
        <f t="shared" si="39"/>
        <v>0</v>
      </c>
      <c r="AK191" t="e">
        <f t="shared" si="40"/>
        <v>#N/A</v>
      </c>
      <c r="AL191" t="e">
        <f t="shared" si="41"/>
        <v>#N/A</v>
      </c>
      <c r="AM191" t="e">
        <f t="shared" si="42"/>
        <v>#N/A</v>
      </c>
      <c r="AN19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1" t="e">
        <f t="shared" si="43"/>
        <v>#N/A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0</v>
      </c>
      <c r="V192" cm="1">
        <f t="array" ref="V192">INDEX($F$4:$T$263,ROW(A189),MATCH($W$2,$F$3:$T$3,0))</f>
        <v>0</v>
      </c>
      <c r="W19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2" t="e">
        <f t="shared" si="30"/>
        <v>#N/A</v>
      </c>
      <c r="AA192" t="e">
        <f t="shared" si="31"/>
        <v>#N/A</v>
      </c>
      <c r="AB192" t="e">
        <f t="shared" si="32"/>
        <v>#N/A</v>
      </c>
      <c r="AC192" t="e">
        <f t="shared" si="33"/>
        <v>#N/A</v>
      </c>
      <c r="AD192" t="e">
        <f t="shared" si="34"/>
        <v>#N/A</v>
      </c>
      <c r="AE192" t="e">
        <f t="shared" si="35"/>
        <v>#N/A</v>
      </c>
      <c r="AF192" t="e">
        <f t="shared" si="36"/>
        <v>#N/A</v>
      </c>
      <c r="AG192" t="e">
        <f t="shared" si="37"/>
        <v>#N/A</v>
      </c>
      <c r="AH192" t="e">
        <f t="shared" si="44"/>
        <v>#N/A</v>
      </c>
      <c r="AI192" t="e">
        <f t="shared" si="38"/>
        <v>#N/A</v>
      </c>
      <c r="AJ192">
        <f t="shared" si="39"/>
        <v>0</v>
      </c>
      <c r="AK192" t="e">
        <f t="shared" si="40"/>
        <v>#N/A</v>
      </c>
      <c r="AL192" t="e">
        <f t="shared" si="41"/>
        <v>#N/A</v>
      </c>
      <c r="AM192" t="e">
        <f t="shared" si="42"/>
        <v>#N/A</v>
      </c>
      <c r="AN19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2" t="e">
        <f t="shared" si="43"/>
        <v>#N/A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0</v>
      </c>
      <c r="V193" cm="1">
        <f t="array" ref="V193">INDEX($F$4:$T$263,ROW(A190),MATCH($W$2,$F$3:$T$3,0))</f>
        <v>0</v>
      </c>
      <c r="W19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3" t="e">
        <f t="shared" si="30"/>
        <v>#N/A</v>
      </c>
      <c r="AA193" t="e">
        <f t="shared" si="31"/>
        <v>#N/A</v>
      </c>
      <c r="AB193" t="e">
        <f t="shared" si="32"/>
        <v>#N/A</v>
      </c>
      <c r="AC193" t="e">
        <f t="shared" si="33"/>
        <v>#N/A</v>
      </c>
      <c r="AD193" t="e">
        <f t="shared" si="34"/>
        <v>#N/A</v>
      </c>
      <c r="AE193" t="e">
        <f t="shared" si="35"/>
        <v>#N/A</v>
      </c>
      <c r="AF193" t="e">
        <f t="shared" si="36"/>
        <v>#N/A</v>
      </c>
      <c r="AG193" t="e">
        <f t="shared" si="37"/>
        <v>#N/A</v>
      </c>
      <c r="AH193" t="e">
        <f t="shared" si="44"/>
        <v>#N/A</v>
      </c>
      <c r="AI193" t="e">
        <f t="shared" si="38"/>
        <v>#N/A</v>
      </c>
      <c r="AJ193">
        <f t="shared" si="39"/>
        <v>0</v>
      </c>
      <c r="AK193" t="e">
        <f t="shared" si="40"/>
        <v>#N/A</v>
      </c>
      <c r="AL193" t="e">
        <f t="shared" si="41"/>
        <v>#N/A</v>
      </c>
      <c r="AM193" t="e">
        <f t="shared" si="42"/>
        <v>#N/A</v>
      </c>
      <c r="AN19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3" t="e">
        <f t="shared" si="43"/>
        <v>#N/A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0</v>
      </c>
      <c r="V194" cm="1">
        <f t="array" ref="V194">INDEX($F$4:$T$263,ROW(A191),MATCH($W$2,$F$3:$T$3,0))</f>
        <v>0</v>
      </c>
      <c r="W19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4" t="e">
        <f t="shared" si="30"/>
        <v>#N/A</v>
      </c>
      <c r="AA194" t="e">
        <f t="shared" si="31"/>
        <v>#N/A</v>
      </c>
      <c r="AB194" t="e">
        <f t="shared" si="32"/>
        <v>#N/A</v>
      </c>
      <c r="AC194" t="e">
        <f t="shared" si="33"/>
        <v>#N/A</v>
      </c>
      <c r="AD194" t="e">
        <f t="shared" si="34"/>
        <v>#N/A</v>
      </c>
      <c r="AE194" t="e">
        <f t="shared" si="35"/>
        <v>#N/A</v>
      </c>
      <c r="AF194" t="e">
        <f t="shared" si="36"/>
        <v>#N/A</v>
      </c>
      <c r="AG194" t="e">
        <f t="shared" si="37"/>
        <v>#N/A</v>
      </c>
      <c r="AH194" t="e">
        <f t="shared" si="44"/>
        <v>#N/A</v>
      </c>
      <c r="AI194" t="e">
        <f t="shared" si="38"/>
        <v>#N/A</v>
      </c>
      <c r="AJ194">
        <f t="shared" si="39"/>
        <v>0</v>
      </c>
      <c r="AK194" t="e">
        <f t="shared" si="40"/>
        <v>#N/A</v>
      </c>
      <c r="AL194" t="e">
        <f t="shared" si="41"/>
        <v>#N/A</v>
      </c>
      <c r="AM194" t="e">
        <f t="shared" si="42"/>
        <v>#N/A</v>
      </c>
      <c r="AN19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4" t="e">
        <f t="shared" si="43"/>
        <v>#N/A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0</v>
      </c>
      <c r="V195" cm="1">
        <f t="array" ref="V195">INDEX($F$4:$T$263,ROW(A192),MATCH($W$2,$F$3:$T$3,0))</f>
        <v>0</v>
      </c>
      <c r="W19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5" t="e">
        <f t="shared" si="30"/>
        <v>#N/A</v>
      </c>
      <c r="AA195" t="e">
        <f t="shared" si="31"/>
        <v>#N/A</v>
      </c>
      <c r="AB195" t="e">
        <f t="shared" si="32"/>
        <v>#N/A</v>
      </c>
      <c r="AC195" t="e">
        <f t="shared" si="33"/>
        <v>#N/A</v>
      </c>
      <c r="AD195" t="e">
        <f t="shared" si="34"/>
        <v>#N/A</v>
      </c>
      <c r="AE195" t="e">
        <f t="shared" si="35"/>
        <v>#N/A</v>
      </c>
      <c r="AF195" t="e">
        <f t="shared" si="36"/>
        <v>#N/A</v>
      </c>
      <c r="AG195" t="e">
        <f t="shared" si="37"/>
        <v>#N/A</v>
      </c>
      <c r="AH195" t="e">
        <f t="shared" si="44"/>
        <v>#N/A</v>
      </c>
      <c r="AI195" t="e">
        <f t="shared" si="38"/>
        <v>#N/A</v>
      </c>
      <c r="AJ195">
        <f t="shared" si="39"/>
        <v>0</v>
      </c>
      <c r="AK195" t="e">
        <f t="shared" si="40"/>
        <v>#N/A</v>
      </c>
      <c r="AL195" t="e">
        <f t="shared" si="41"/>
        <v>#N/A</v>
      </c>
      <c r="AM195" t="e">
        <f t="shared" si="42"/>
        <v>#N/A</v>
      </c>
      <c r="AN19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5" t="e">
        <f t="shared" si="43"/>
        <v>#N/A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0</v>
      </c>
      <c r="V196" cm="1">
        <f t="array" ref="V196">INDEX($F$4:$T$263,ROW(A193),MATCH($W$2,$F$3:$T$3,0))</f>
        <v>0</v>
      </c>
      <c r="W19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6" t="e">
        <f t="shared" si="30"/>
        <v>#N/A</v>
      </c>
      <c r="AA196" t="e">
        <f t="shared" si="31"/>
        <v>#N/A</v>
      </c>
      <c r="AB196" t="e">
        <f t="shared" si="32"/>
        <v>#N/A</v>
      </c>
      <c r="AC196" t="e">
        <f t="shared" si="33"/>
        <v>#N/A</v>
      </c>
      <c r="AD196" t="e">
        <f t="shared" si="34"/>
        <v>#N/A</v>
      </c>
      <c r="AE196" t="e">
        <f t="shared" si="35"/>
        <v>#N/A</v>
      </c>
      <c r="AF196" t="e">
        <f t="shared" si="36"/>
        <v>#N/A</v>
      </c>
      <c r="AG196" t="e">
        <f t="shared" si="37"/>
        <v>#N/A</v>
      </c>
      <c r="AH196" t="e">
        <f t="shared" si="44"/>
        <v>#N/A</v>
      </c>
      <c r="AI196" t="e">
        <f t="shared" si="38"/>
        <v>#N/A</v>
      </c>
      <c r="AJ196">
        <f t="shared" si="39"/>
        <v>0</v>
      </c>
      <c r="AK196" t="e">
        <f t="shared" si="40"/>
        <v>#N/A</v>
      </c>
      <c r="AL196" t="e">
        <f t="shared" si="41"/>
        <v>#N/A</v>
      </c>
      <c r="AM196" t="e">
        <f t="shared" si="42"/>
        <v>#N/A</v>
      </c>
      <c r="AN19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6" t="e">
        <f t="shared" si="43"/>
        <v>#N/A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0</v>
      </c>
      <c r="V197" cm="1">
        <f t="array" ref="V197">INDEX($F$4:$T$263,ROW(A194),MATCH($W$2,$F$3:$T$3,0))</f>
        <v>0</v>
      </c>
      <c r="W19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7" t="e">
        <f t="shared" ref="Z197:Z260" si="45">Y197/1.128</f>
        <v>#N/A</v>
      </c>
      <c r="AA197" t="e">
        <f t="shared" ref="AA197:AA260" si="46">MAX(0,W197-(3*Z197))</f>
        <v>#N/A</v>
      </c>
      <c r="AB197" t="e">
        <f t="shared" ref="AB197:AB260" si="47">MAX(0,W197-(2*Z197))</f>
        <v>#N/A</v>
      </c>
      <c r="AC197" t="e">
        <f t="shared" ref="AC197:AC260" si="48">MAX(0,W197-Z197)</f>
        <v>#N/A</v>
      </c>
      <c r="AD197" t="e">
        <f t="shared" ref="AD197:AD260" si="49">W197+Z197</f>
        <v>#N/A</v>
      </c>
      <c r="AE197" t="e">
        <f t="shared" ref="AE197:AE260" si="50">W197+(2*Z197)</f>
        <v>#N/A</v>
      </c>
      <c r="AF197" t="e">
        <f t="shared" ref="AF197:AF260" si="51">W197+(3*Z197)</f>
        <v>#N/A</v>
      </c>
      <c r="AG197" t="e">
        <f t="shared" ref="AG197:AG260" si="52">IF(OR(V197&gt;AF197,V197&lt;AA197),V197,NA())</f>
        <v>#N/A</v>
      </c>
      <c r="AH197" t="e">
        <f t="shared" si="44"/>
        <v>#N/A</v>
      </c>
      <c r="AI197" t="e">
        <f t="shared" ref="AI197:AI260" si="53">IF(ABS(SUM(AH197:AH199))&gt;=5,V197,NA())</f>
        <v>#N/A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 t="e">
        <f t="shared" ref="AL197:AL260" si="56">IF(V197&lt;W197,-1,IF(V197&gt;W197,1,0))</f>
        <v>#N/A</v>
      </c>
      <c r="AM197" t="e">
        <f t="shared" ref="AM197:AM260" si="57">IF(ABS(SUM(AL197:AL205))=9,V197,NA())</f>
        <v>#N/A</v>
      </c>
      <c r="AN19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7" t="e">
        <f t="shared" ref="AP197:AP260" si="58">AO197-AN197</f>
        <v>#N/A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0</v>
      </c>
      <c r="V198" cm="1">
        <f t="array" ref="V198">INDEX($F$4:$T$263,ROW(A195),MATCH($W$2,$F$3:$T$3,0))</f>
        <v>0</v>
      </c>
      <c r="W19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8" t="e">
        <f t="shared" si="45"/>
        <v>#N/A</v>
      </c>
      <c r="AA198" t="e">
        <f t="shared" si="46"/>
        <v>#N/A</v>
      </c>
      <c r="AB198" t="e">
        <f t="shared" si="47"/>
        <v>#N/A</v>
      </c>
      <c r="AC198" t="e">
        <f t="shared" si="48"/>
        <v>#N/A</v>
      </c>
      <c r="AD198" t="e">
        <f t="shared" si="49"/>
        <v>#N/A</v>
      </c>
      <c r="AE198" t="e">
        <f t="shared" si="50"/>
        <v>#N/A</v>
      </c>
      <c r="AF198" t="e">
        <f t="shared" si="51"/>
        <v>#N/A</v>
      </c>
      <c r="AG198" t="e">
        <f t="shared" si="52"/>
        <v>#N/A</v>
      </c>
      <c r="AH198" t="e">
        <f t="shared" ref="AH198:AH261" si="59">IF(V198&gt;AE198,2,IF(V198&lt;AB198,-2,IF(V198&gt;W198,1,IF(V198&lt;W198,-1,0))))</f>
        <v>#N/A</v>
      </c>
      <c r="AI198" t="e">
        <f t="shared" si="53"/>
        <v>#N/A</v>
      </c>
      <c r="AJ198">
        <f t="shared" si="54"/>
        <v>0</v>
      </c>
      <c r="AK198" t="e">
        <f t="shared" si="55"/>
        <v>#N/A</v>
      </c>
      <c r="AL198" t="e">
        <f t="shared" si="56"/>
        <v>#N/A</v>
      </c>
      <c r="AM198" t="e">
        <f t="shared" si="57"/>
        <v>#N/A</v>
      </c>
      <c r="AN19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8" t="e">
        <f t="shared" si="58"/>
        <v>#N/A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0</v>
      </c>
      <c r="V199" cm="1">
        <f t="array" ref="V199">INDEX($F$4:$T$263,ROW(A196),MATCH($W$2,$F$3:$T$3,0))</f>
        <v>0</v>
      </c>
      <c r="W19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199" t="e">
        <f t="shared" si="45"/>
        <v>#N/A</v>
      </c>
      <c r="AA199" t="e">
        <f t="shared" si="46"/>
        <v>#N/A</v>
      </c>
      <c r="AB199" t="e">
        <f t="shared" si="47"/>
        <v>#N/A</v>
      </c>
      <c r="AC199" t="e">
        <f t="shared" si="48"/>
        <v>#N/A</v>
      </c>
      <c r="AD199" t="e">
        <f t="shared" si="49"/>
        <v>#N/A</v>
      </c>
      <c r="AE199" t="e">
        <f t="shared" si="50"/>
        <v>#N/A</v>
      </c>
      <c r="AF199" t="e">
        <f t="shared" si="51"/>
        <v>#N/A</v>
      </c>
      <c r="AG199" t="e">
        <f t="shared" si="52"/>
        <v>#N/A</v>
      </c>
      <c r="AH199" t="e">
        <f t="shared" si="59"/>
        <v>#N/A</v>
      </c>
      <c r="AI199" t="e">
        <f t="shared" si="53"/>
        <v>#N/A</v>
      </c>
      <c r="AJ199">
        <f t="shared" si="54"/>
        <v>0</v>
      </c>
      <c r="AK199" t="e">
        <f t="shared" si="55"/>
        <v>#N/A</v>
      </c>
      <c r="AL199" t="e">
        <f t="shared" si="56"/>
        <v>#N/A</v>
      </c>
      <c r="AM199" t="e">
        <f t="shared" si="57"/>
        <v>#N/A</v>
      </c>
      <c r="AN19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19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199" t="e">
        <f t="shared" si="58"/>
        <v>#N/A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0</v>
      </c>
      <c r="V200" cm="1">
        <f t="array" ref="V200">INDEX($F$4:$T$263,ROW(A197),MATCH($W$2,$F$3:$T$3,0))</f>
        <v>0</v>
      </c>
      <c r="W20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0" t="e">
        <f t="shared" si="45"/>
        <v>#N/A</v>
      </c>
      <c r="AA200" t="e">
        <f t="shared" si="46"/>
        <v>#N/A</v>
      </c>
      <c r="AB200" t="e">
        <f t="shared" si="47"/>
        <v>#N/A</v>
      </c>
      <c r="AC200" t="e">
        <f t="shared" si="48"/>
        <v>#N/A</v>
      </c>
      <c r="AD200" t="e">
        <f t="shared" si="49"/>
        <v>#N/A</v>
      </c>
      <c r="AE200" t="e">
        <f t="shared" si="50"/>
        <v>#N/A</v>
      </c>
      <c r="AF200" t="e">
        <f t="shared" si="51"/>
        <v>#N/A</v>
      </c>
      <c r="AG200" t="e">
        <f t="shared" si="52"/>
        <v>#N/A</v>
      </c>
      <c r="AH200" t="e">
        <f t="shared" si="59"/>
        <v>#N/A</v>
      </c>
      <c r="AI200" t="e">
        <f t="shared" si="53"/>
        <v>#N/A</v>
      </c>
      <c r="AJ200">
        <f t="shared" si="54"/>
        <v>0</v>
      </c>
      <c r="AK200" t="e">
        <f t="shared" si="55"/>
        <v>#N/A</v>
      </c>
      <c r="AL200" t="e">
        <f t="shared" si="56"/>
        <v>#N/A</v>
      </c>
      <c r="AM200" t="e">
        <f t="shared" si="57"/>
        <v>#N/A</v>
      </c>
      <c r="AN20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0" t="e">
        <f t="shared" si="58"/>
        <v>#N/A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0</v>
      </c>
      <c r="V201" cm="1">
        <f t="array" ref="V201">INDEX($F$4:$T$263,ROW(A198),MATCH($W$2,$F$3:$T$3,0))</f>
        <v>0</v>
      </c>
      <c r="W20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1" t="e">
        <f t="shared" si="45"/>
        <v>#N/A</v>
      </c>
      <c r="AA201" t="e">
        <f t="shared" si="46"/>
        <v>#N/A</v>
      </c>
      <c r="AB201" t="e">
        <f t="shared" si="47"/>
        <v>#N/A</v>
      </c>
      <c r="AC201" t="e">
        <f t="shared" si="48"/>
        <v>#N/A</v>
      </c>
      <c r="AD201" t="e">
        <f t="shared" si="49"/>
        <v>#N/A</v>
      </c>
      <c r="AE201" t="e">
        <f t="shared" si="50"/>
        <v>#N/A</v>
      </c>
      <c r="AF201" t="e">
        <f t="shared" si="51"/>
        <v>#N/A</v>
      </c>
      <c r="AG201" t="e">
        <f t="shared" si="52"/>
        <v>#N/A</v>
      </c>
      <c r="AH201" t="e">
        <f t="shared" si="59"/>
        <v>#N/A</v>
      </c>
      <c r="AI201" t="e">
        <f t="shared" si="53"/>
        <v>#N/A</v>
      </c>
      <c r="AJ201">
        <f t="shared" si="54"/>
        <v>0</v>
      </c>
      <c r="AK201" t="e">
        <f t="shared" si="55"/>
        <v>#N/A</v>
      </c>
      <c r="AL201" t="e">
        <f t="shared" si="56"/>
        <v>#N/A</v>
      </c>
      <c r="AM201" t="e">
        <f t="shared" si="57"/>
        <v>#N/A</v>
      </c>
      <c r="AN20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1" t="e">
        <f t="shared" si="58"/>
        <v>#N/A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0</v>
      </c>
      <c r="V202" cm="1">
        <f t="array" ref="V202">INDEX($F$4:$T$263,ROW(A199),MATCH($W$2,$F$3:$T$3,0))</f>
        <v>0</v>
      </c>
      <c r="W20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2" t="e">
        <f t="shared" si="45"/>
        <v>#N/A</v>
      </c>
      <c r="AA202" t="e">
        <f t="shared" si="46"/>
        <v>#N/A</v>
      </c>
      <c r="AB202" t="e">
        <f t="shared" si="47"/>
        <v>#N/A</v>
      </c>
      <c r="AC202" t="e">
        <f t="shared" si="48"/>
        <v>#N/A</v>
      </c>
      <c r="AD202" t="e">
        <f t="shared" si="49"/>
        <v>#N/A</v>
      </c>
      <c r="AE202" t="e">
        <f t="shared" si="50"/>
        <v>#N/A</v>
      </c>
      <c r="AF202" t="e">
        <f t="shared" si="51"/>
        <v>#N/A</v>
      </c>
      <c r="AG202" t="e">
        <f t="shared" si="52"/>
        <v>#N/A</v>
      </c>
      <c r="AH202" t="e">
        <f t="shared" si="59"/>
        <v>#N/A</v>
      </c>
      <c r="AI202" t="e">
        <f t="shared" si="53"/>
        <v>#N/A</v>
      </c>
      <c r="AJ202">
        <f t="shared" si="54"/>
        <v>0</v>
      </c>
      <c r="AK202" t="e">
        <f t="shared" si="55"/>
        <v>#N/A</v>
      </c>
      <c r="AL202" t="e">
        <f t="shared" si="56"/>
        <v>#N/A</v>
      </c>
      <c r="AM202" t="e">
        <f t="shared" si="57"/>
        <v>#N/A</v>
      </c>
      <c r="AN20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2" t="e">
        <f t="shared" si="58"/>
        <v>#N/A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0</v>
      </c>
      <c r="V203" cm="1">
        <f t="array" ref="V203">INDEX($F$4:$T$263,ROW(A200),MATCH($W$2,$F$3:$T$3,0))</f>
        <v>0</v>
      </c>
      <c r="W20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3" t="e">
        <f t="shared" si="45"/>
        <v>#N/A</v>
      </c>
      <c r="AA203" t="e">
        <f t="shared" si="46"/>
        <v>#N/A</v>
      </c>
      <c r="AB203" t="e">
        <f t="shared" si="47"/>
        <v>#N/A</v>
      </c>
      <c r="AC203" t="e">
        <f t="shared" si="48"/>
        <v>#N/A</v>
      </c>
      <c r="AD203" t="e">
        <f t="shared" si="49"/>
        <v>#N/A</v>
      </c>
      <c r="AE203" t="e">
        <f t="shared" si="50"/>
        <v>#N/A</v>
      </c>
      <c r="AF203" t="e">
        <f t="shared" si="51"/>
        <v>#N/A</v>
      </c>
      <c r="AG203" t="e">
        <f t="shared" si="52"/>
        <v>#N/A</v>
      </c>
      <c r="AH203" t="e">
        <f t="shared" si="59"/>
        <v>#N/A</v>
      </c>
      <c r="AI203" t="e">
        <f t="shared" si="53"/>
        <v>#N/A</v>
      </c>
      <c r="AJ203">
        <f t="shared" si="54"/>
        <v>0</v>
      </c>
      <c r="AK203" t="e">
        <f t="shared" si="55"/>
        <v>#N/A</v>
      </c>
      <c r="AL203" t="e">
        <f t="shared" si="56"/>
        <v>#N/A</v>
      </c>
      <c r="AM203" t="e">
        <f t="shared" si="57"/>
        <v>#N/A</v>
      </c>
      <c r="AN20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3" t="e">
        <f t="shared" si="58"/>
        <v>#N/A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0</v>
      </c>
      <c r="V204" cm="1">
        <f t="array" ref="V204">INDEX($F$4:$T$263,ROW(A201),MATCH($W$2,$F$3:$T$3,0))</f>
        <v>0</v>
      </c>
      <c r="W20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4" t="e">
        <f t="shared" si="45"/>
        <v>#N/A</v>
      </c>
      <c r="AA204" t="e">
        <f t="shared" si="46"/>
        <v>#N/A</v>
      </c>
      <c r="AB204" t="e">
        <f t="shared" si="47"/>
        <v>#N/A</v>
      </c>
      <c r="AC204" t="e">
        <f t="shared" si="48"/>
        <v>#N/A</v>
      </c>
      <c r="AD204" t="e">
        <f t="shared" si="49"/>
        <v>#N/A</v>
      </c>
      <c r="AE204" t="e">
        <f t="shared" si="50"/>
        <v>#N/A</v>
      </c>
      <c r="AF204" t="e">
        <f t="shared" si="51"/>
        <v>#N/A</v>
      </c>
      <c r="AG204" t="e">
        <f t="shared" si="52"/>
        <v>#N/A</v>
      </c>
      <c r="AH204" t="e">
        <f t="shared" si="59"/>
        <v>#N/A</v>
      </c>
      <c r="AI204" t="e">
        <f t="shared" si="53"/>
        <v>#N/A</v>
      </c>
      <c r="AJ204">
        <f t="shared" si="54"/>
        <v>0</v>
      </c>
      <c r="AK204" t="e">
        <f t="shared" si="55"/>
        <v>#N/A</v>
      </c>
      <c r="AL204" t="e">
        <f t="shared" si="56"/>
        <v>#N/A</v>
      </c>
      <c r="AM204" t="e">
        <f t="shared" si="57"/>
        <v>#N/A</v>
      </c>
      <c r="AN20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4" t="e">
        <f t="shared" si="58"/>
        <v>#N/A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0</v>
      </c>
      <c r="V205" cm="1">
        <f t="array" ref="V205">INDEX($F$4:$T$263,ROW(A202),MATCH($W$2,$F$3:$T$3,0))</f>
        <v>0</v>
      </c>
      <c r="W20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5" t="e">
        <f t="shared" si="45"/>
        <v>#N/A</v>
      </c>
      <c r="AA205" t="e">
        <f t="shared" si="46"/>
        <v>#N/A</v>
      </c>
      <c r="AB205" t="e">
        <f t="shared" si="47"/>
        <v>#N/A</v>
      </c>
      <c r="AC205" t="e">
        <f t="shared" si="48"/>
        <v>#N/A</v>
      </c>
      <c r="AD205" t="e">
        <f t="shared" si="49"/>
        <v>#N/A</v>
      </c>
      <c r="AE205" t="e">
        <f t="shared" si="50"/>
        <v>#N/A</v>
      </c>
      <c r="AF205" t="e">
        <f t="shared" si="51"/>
        <v>#N/A</v>
      </c>
      <c r="AG205" t="e">
        <f t="shared" si="52"/>
        <v>#N/A</v>
      </c>
      <c r="AH205" t="e">
        <f t="shared" si="59"/>
        <v>#N/A</v>
      </c>
      <c r="AI205" t="e">
        <f t="shared" si="53"/>
        <v>#N/A</v>
      </c>
      <c r="AJ205">
        <f t="shared" si="54"/>
        <v>0</v>
      </c>
      <c r="AK205" t="e">
        <f t="shared" si="55"/>
        <v>#N/A</v>
      </c>
      <c r="AL205" t="e">
        <f t="shared" si="56"/>
        <v>#N/A</v>
      </c>
      <c r="AM205" t="e">
        <f t="shared" si="57"/>
        <v>#N/A</v>
      </c>
      <c r="AN20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5" t="e">
        <f t="shared" si="58"/>
        <v>#N/A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0</v>
      </c>
      <c r="V206" cm="1">
        <f t="array" ref="V206">INDEX($F$4:$T$263,ROW(A203),MATCH($W$2,$F$3:$T$3,0))</f>
        <v>0</v>
      </c>
      <c r="W20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6" t="e">
        <f t="shared" si="45"/>
        <v>#N/A</v>
      </c>
      <c r="AA206" t="e">
        <f t="shared" si="46"/>
        <v>#N/A</v>
      </c>
      <c r="AB206" t="e">
        <f t="shared" si="47"/>
        <v>#N/A</v>
      </c>
      <c r="AC206" t="e">
        <f t="shared" si="48"/>
        <v>#N/A</v>
      </c>
      <c r="AD206" t="e">
        <f t="shared" si="49"/>
        <v>#N/A</v>
      </c>
      <c r="AE206" t="e">
        <f t="shared" si="50"/>
        <v>#N/A</v>
      </c>
      <c r="AF206" t="e">
        <f t="shared" si="51"/>
        <v>#N/A</v>
      </c>
      <c r="AG206" t="e">
        <f t="shared" si="52"/>
        <v>#N/A</v>
      </c>
      <c r="AH206" t="e">
        <f t="shared" si="59"/>
        <v>#N/A</v>
      </c>
      <c r="AI206" t="e">
        <f t="shared" si="53"/>
        <v>#N/A</v>
      </c>
      <c r="AJ206">
        <f t="shared" si="54"/>
        <v>0</v>
      </c>
      <c r="AK206" t="e">
        <f t="shared" si="55"/>
        <v>#N/A</v>
      </c>
      <c r="AL206" t="e">
        <f t="shared" si="56"/>
        <v>#N/A</v>
      </c>
      <c r="AM206" t="e">
        <f t="shared" si="57"/>
        <v>#N/A</v>
      </c>
      <c r="AN20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6" t="e">
        <f t="shared" si="58"/>
        <v>#N/A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0</v>
      </c>
      <c r="V207" cm="1">
        <f t="array" ref="V207">INDEX($F$4:$T$263,ROW(A204),MATCH($W$2,$F$3:$T$3,0))</f>
        <v>0</v>
      </c>
      <c r="W20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7" t="e">
        <f t="shared" si="45"/>
        <v>#N/A</v>
      </c>
      <c r="AA207" t="e">
        <f t="shared" si="46"/>
        <v>#N/A</v>
      </c>
      <c r="AB207" t="e">
        <f t="shared" si="47"/>
        <v>#N/A</v>
      </c>
      <c r="AC207" t="e">
        <f t="shared" si="48"/>
        <v>#N/A</v>
      </c>
      <c r="AD207" t="e">
        <f t="shared" si="49"/>
        <v>#N/A</v>
      </c>
      <c r="AE207" t="e">
        <f t="shared" si="50"/>
        <v>#N/A</v>
      </c>
      <c r="AF207" t="e">
        <f t="shared" si="51"/>
        <v>#N/A</v>
      </c>
      <c r="AG207" t="e">
        <f t="shared" si="52"/>
        <v>#N/A</v>
      </c>
      <c r="AH207" t="e">
        <f t="shared" si="59"/>
        <v>#N/A</v>
      </c>
      <c r="AI207" t="e">
        <f t="shared" si="53"/>
        <v>#N/A</v>
      </c>
      <c r="AJ207">
        <f t="shared" si="54"/>
        <v>0</v>
      </c>
      <c r="AK207" t="e">
        <f t="shared" si="55"/>
        <v>#N/A</v>
      </c>
      <c r="AL207" t="e">
        <f t="shared" si="56"/>
        <v>#N/A</v>
      </c>
      <c r="AM207" t="e">
        <f t="shared" si="57"/>
        <v>#N/A</v>
      </c>
      <c r="AN20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7" t="e">
        <f t="shared" si="58"/>
        <v>#N/A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0</v>
      </c>
      <c r="V208" cm="1">
        <f t="array" ref="V208">INDEX($F$4:$T$263,ROW(A205),MATCH($W$2,$F$3:$T$3,0))</f>
        <v>0</v>
      </c>
      <c r="W20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8" t="e">
        <f t="shared" si="45"/>
        <v>#N/A</v>
      </c>
      <c r="AA208" t="e">
        <f t="shared" si="46"/>
        <v>#N/A</v>
      </c>
      <c r="AB208" t="e">
        <f t="shared" si="47"/>
        <v>#N/A</v>
      </c>
      <c r="AC208" t="e">
        <f t="shared" si="48"/>
        <v>#N/A</v>
      </c>
      <c r="AD208" t="e">
        <f t="shared" si="49"/>
        <v>#N/A</v>
      </c>
      <c r="AE208" t="e">
        <f t="shared" si="50"/>
        <v>#N/A</v>
      </c>
      <c r="AF208" t="e">
        <f t="shared" si="51"/>
        <v>#N/A</v>
      </c>
      <c r="AG208" t="e">
        <f t="shared" si="52"/>
        <v>#N/A</v>
      </c>
      <c r="AH208" t="e">
        <f t="shared" si="59"/>
        <v>#N/A</v>
      </c>
      <c r="AI208" t="e">
        <f t="shared" si="53"/>
        <v>#N/A</v>
      </c>
      <c r="AJ208">
        <f t="shared" si="54"/>
        <v>0</v>
      </c>
      <c r="AK208" t="e">
        <f t="shared" si="55"/>
        <v>#N/A</v>
      </c>
      <c r="AL208" t="e">
        <f t="shared" si="56"/>
        <v>#N/A</v>
      </c>
      <c r="AM208" t="e">
        <f t="shared" si="57"/>
        <v>#N/A</v>
      </c>
      <c r="AN20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8" t="e">
        <f t="shared" si="58"/>
        <v>#N/A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0</v>
      </c>
      <c r="V209" cm="1">
        <f t="array" ref="V209">INDEX($F$4:$T$263,ROW(A206),MATCH($W$2,$F$3:$T$3,0))</f>
        <v>0</v>
      </c>
      <c r="W20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09" t="e">
        <f t="shared" si="45"/>
        <v>#N/A</v>
      </c>
      <c r="AA209" t="e">
        <f t="shared" si="46"/>
        <v>#N/A</v>
      </c>
      <c r="AB209" t="e">
        <f t="shared" si="47"/>
        <v>#N/A</v>
      </c>
      <c r="AC209" t="e">
        <f t="shared" si="48"/>
        <v>#N/A</v>
      </c>
      <c r="AD209" t="e">
        <f t="shared" si="49"/>
        <v>#N/A</v>
      </c>
      <c r="AE209" t="e">
        <f t="shared" si="50"/>
        <v>#N/A</v>
      </c>
      <c r="AF209" t="e">
        <f t="shared" si="51"/>
        <v>#N/A</v>
      </c>
      <c r="AG209" t="e">
        <f t="shared" si="52"/>
        <v>#N/A</v>
      </c>
      <c r="AH209" t="e">
        <f t="shared" si="59"/>
        <v>#N/A</v>
      </c>
      <c r="AI209" t="e">
        <f t="shared" si="53"/>
        <v>#N/A</v>
      </c>
      <c r="AJ209">
        <f t="shared" si="54"/>
        <v>0</v>
      </c>
      <c r="AK209" t="e">
        <f t="shared" si="55"/>
        <v>#N/A</v>
      </c>
      <c r="AL209" t="e">
        <f t="shared" si="56"/>
        <v>#N/A</v>
      </c>
      <c r="AM209" t="e">
        <f t="shared" si="57"/>
        <v>#N/A</v>
      </c>
      <c r="AN20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0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09" t="e">
        <f t="shared" si="58"/>
        <v>#N/A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0</v>
      </c>
      <c r="V210" cm="1">
        <f t="array" ref="V210">INDEX($F$4:$T$263,ROW(A207),MATCH($W$2,$F$3:$T$3,0))</f>
        <v>0</v>
      </c>
      <c r="W21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0" t="e">
        <f t="shared" si="45"/>
        <v>#N/A</v>
      </c>
      <c r="AA210" t="e">
        <f t="shared" si="46"/>
        <v>#N/A</v>
      </c>
      <c r="AB210" t="e">
        <f t="shared" si="47"/>
        <v>#N/A</v>
      </c>
      <c r="AC210" t="e">
        <f t="shared" si="48"/>
        <v>#N/A</v>
      </c>
      <c r="AD210" t="e">
        <f t="shared" si="49"/>
        <v>#N/A</v>
      </c>
      <c r="AE210" t="e">
        <f t="shared" si="50"/>
        <v>#N/A</v>
      </c>
      <c r="AF210" t="e">
        <f t="shared" si="51"/>
        <v>#N/A</v>
      </c>
      <c r="AG210" t="e">
        <f t="shared" si="52"/>
        <v>#N/A</v>
      </c>
      <c r="AH210" t="e">
        <f t="shared" si="59"/>
        <v>#N/A</v>
      </c>
      <c r="AI210" t="e">
        <f t="shared" si="53"/>
        <v>#N/A</v>
      </c>
      <c r="AJ210">
        <f t="shared" si="54"/>
        <v>0</v>
      </c>
      <c r="AK210" t="e">
        <f t="shared" si="55"/>
        <v>#N/A</v>
      </c>
      <c r="AL210" t="e">
        <f t="shared" si="56"/>
        <v>#N/A</v>
      </c>
      <c r="AM210" t="e">
        <f t="shared" si="57"/>
        <v>#N/A</v>
      </c>
      <c r="AN21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0" t="e">
        <f t="shared" si="58"/>
        <v>#N/A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0</v>
      </c>
      <c r="V211" cm="1">
        <f t="array" ref="V211">INDEX($F$4:$T$263,ROW(A208),MATCH($W$2,$F$3:$T$3,0))</f>
        <v>0</v>
      </c>
      <c r="W21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1" t="e">
        <f t="shared" si="45"/>
        <v>#N/A</v>
      </c>
      <c r="AA211" t="e">
        <f t="shared" si="46"/>
        <v>#N/A</v>
      </c>
      <c r="AB211" t="e">
        <f t="shared" si="47"/>
        <v>#N/A</v>
      </c>
      <c r="AC211" t="e">
        <f t="shared" si="48"/>
        <v>#N/A</v>
      </c>
      <c r="AD211" t="e">
        <f t="shared" si="49"/>
        <v>#N/A</v>
      </c>
      <c r="AE211" t="e">
        <f t="shared" si="50"/>
        <v>#N/A</v>
      </c>
      <c r="AF211" t="e">
        <f t="shared" si="51"/>
        <v>#N/A</v>
      </c>
      <c r="AG211" t="e">
        <f t="shared" si="52"/>
        <v>#N/A</v>
      </c>
      <c r="AH211" t="e">
        <f t="shared" si="59"/>
        <v>#N/A</v>
      </c>
      <c r="AI211" t="e">
        <f t="shared" si="53"/>
        <v>#N/A</v>
      </c>
      <c r="AJ211">
        <f t="shared" si="54"/>
        <v>0</v>
      </c>
      <c r="AK211" t="e">
        <f t="shared" si="55"/>
        <v>#N/A</v>
      </c>
      <c r="AL211" t="e">
        <f t="shared" si="56"/>
        <v>#N/A</v>
      </c>
      <c r="AM211" t="e">
        <f t="shared" si="57"/>
        <v>#N/A</v>
      </c>
      <c r="AN21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1" t="e">
        <f t="shared" si="58"/>
        <v>#N/A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0</v>
      </c>
      <c r="V212" cm="1">
        <f t="array" ref="V212">INDEX($F$4:$T$263,ROW(A209),MATCH($W$2,$F$3:$T$3,0))</f>
        <v>0</v>
      </c>
      <c r="W21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2" t="e">
        <f t="shared" si="45"/>
        <v>#N/A</v>
      </c>
      <c r="AA212" t="e">
        <f t="shared" si="46"/>
        <v>#N/A</v>
      </c>
      <c r="AB212" t="e">
        <f t="shared" si="47"/>
        <v>#N/A</v>
      </c>
      <c r="AC212" t="e">
        <f t="shared" si="48"/>
        <v>#N/A</v>
      </c>
      <c r="AD212" t="e">
        <f t="shared" si="49"/>
        <v>#N/A</v>
      </c>
      <c r="AE212" t="e">
        <f t="shared" si="50"/>
        <v>#N/A</v>
      </c>
      <c r="AF212" t="e">
        <f t="shared" si="51"/>
        <v>#N/A</v>
      </c>
      <c r="AG212" t="e">
        <f t="shared" si="52"/>
        <v>#N/A</v>
      </c>
      <c r="AH212" t="e">
        <f t="shared" si="59"/>
        <v>#N/A</v>
      </c>
      <c r="AI212" t="e">
        <f t="shared" si="53"/>
        <v>#N/A</v>
      </c>
      <c r="AJ212">
        <f t="shared" si="54"/>
        <v>0</v>
      </c>
      <c r="AK212" t="e">
        <f t="shared" si="55"/>
        <v>#N/A</v>
      </c>
      <c r="AL212" t="e">
        <f t="shared" si="56"/>
        <v>#N/A</v>
      </c>
      <c r="AM212" t="e">
        <f t="shared" si="57"/>
        <v>#N/A</v>
      </c>
      <c r="AN21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2" t="e">
        <f t="shared" si="58"/>
        <v>#N/A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0</v>
      </c>
      <c r="V213" cm="1">
        <f t="array" ref="V213">INDEX($F$4:$T$263,ROW(A210),MATCH($W$2,$F$3:$T$3,0))</f>
        <v>0</v>
      </c>
      <c r="W21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3" t="e">
        <f t="shared" si="45"/>
        <v>#N/A</v>
      </c>
      <c r="AA213" t="e">
        <f t="shared" si="46"/>
        <v>#N/A</v>
      </c>
      <c r="AB213" t="e">
        <f t="shared" si="47"/>
        <v>#N/A</v>
      </c>
      <c r="AC213" t="e">
        <f t="shared" si="48"/>
        <v>#N/A</v>
      </c>
      <c r="AD213" t="e">
        <f t="shared" si="49"/>
        <v>#N/A</v>
      </c>
      <c r="AE213" t="e">
        <f t="shared" si="50"/>
        <v>#N/A</v>
      </c>
      <c r="AF213" t="e">
        <f t="shared" si="51"/>
        <v>#N/A</v>
      </c>
      <c r="AG213" t="e">
        <f t="shared" si="52"/>
        <v>#N/A</v>
      </c>
      <c r="AH213" t="e">
        <f t="shared" si="59"/>
        <v>#N/A</v>
      </c>
      <c r="AI213" t="e">
        <f t="shared" si="53"/>
        <v>#N/A</v>
      </c>
      <c r="AJ213">
        <f t="shared" si="54"/>
        <v>0</v>
      </c>
      <c r="AK213" t="e">
        <f t="shared" si="55"/>
        <v>#N/A</v>
      </c>
      <c r="AL213" t="e">
        <f t="shared" si="56"/>
        <v>#N/A</v>
      </c>
      <c r="AM213" t="e">
        <f t="shared" si="57"/>
        <v>#N/A</v>
      </c>
      <c r="AN21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3" t="e">
        <f t="shared" si="58"/>
        <v>#N/A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0</v>
      </c>
      <c r="V214" cm="1">
        <f t="array" ref="V214">INDEX($F$4:$T$263,ROW(A211),MATCH($W$2,$F$3:$T$3,0))</f>
        <v>0</v>
      </c>
      <c r="W21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4" t="e">
        <f t="shared" si="45"/>
        <v>#N/A</v>
      </c>
      <c r="AA214" t="e">
        <f t="shared" si="46"/>
        <v>#N/A</v>
      </c>
      <c r="AB214" t="e">
        <f t="shared" si="47"/>
        <v>#N/A</v>
      </c>
      <c r="AC214" t="e">
        <f t="shared" si="48"/>
        <v>#N/A</v>
      </c>
      <c r="AD214" t="e">
        <f t="shared" si="49"/>
        <v>#N/A</v>
      </c>
      <c r="AE214" t="e">
        <f t="shared" si="50"/>
        <v>#N/A</v>
      </c>
      <c r="AF214" t="e">
        <f t="shared" si="51"/>
        <v>#N/A</v>
      </c>
      <c r="AG214" t="e">
        <f t="shared" si="52"/>
        <v>#N/A</v>
      </c>
      <c r="AH214" t="e">
        <f t="shared" si="59"/>
        <v>#N/A</v>
      </c>
      <c r="AI214" t="e">
        <f t="shared" si="53"/>
        <v>#N/A</v>
      </c>
      <c r="AJ214">
        <f t="shared" si="54"/>
        <v>0</v>
      </c>
      <c r="AK214" t="e">
        <f t="shared" si="55"/>
        <v>#N/A</v>
      </c>
      <c r="AL214" t="e">
        <f t="shared" si="56"/>
        <v>#N/A</v>
      </c>
      <c r="AM214" t="e">
        <f t="shared" si="57"/>
        <v>#N/A</v>
      </c>
      <c r="AN21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4" t="e">
        <f t="shared" si="58"/>
        <v>#N/A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0</v>
      </c>
      <c r="V215" cm="1">
        <f t="array" ref="V215">INDEX($F$4:$T$263,ROW(A212),MATCH($W$2,$F$3:$T$3,0))</f>
        <v>0</v>
      </c>
      <c r="W21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5" t="e">
        <f t="shared" si="45"/>
        <v>#N/A</v>
      </c>
      <c r="AA215" t="e">
        <f t="shared" si="46"/>
        <v>#N/A</v>
      </c>
      <c r="AB215" t="e">
        <f t="shared" si="47"/>
        <v>#N/A</v>
      </c>
      <c r="AC215" t="e">
        <f t="shared" si="48"/>
        <v>#N/A</v>
      </c>
      <c r="AD215" t="e">
        <f t="shared" si="49"/>
        <v>#N/A</v>
      </c>
      <c r="AE215" t="e">
        <f t="shared" si="50"/>
        <v>#N/A</v>
      </c>
      <c r="AF215" t="e">
        <f t="shared" si="51"/>
        <v>#N/A</v>
      </c>
      <c r="AG215" t="e">
        <f t="shared" si="52"/>
        <v>#N/A</v>
      </c>
      <c r="AH215" t="e">
        <f t="shared" si="59"/>
        <v>#N/A</v>
      </c>
      <c r="AI215" t="e">
        <f t="shared" si="53"/>
        <v>#N/A</v>
      </c>
      <c r="AJ215">
        <f t="shared" si="54"/>
        <v>0</v>
      </c>
      <c r="AK215" t="e">
        <f t="shared" si="55"/>
        <v>#N/A</v>
      </c>
      <c r="AL215" t="e">
        <f t="shared" si="56"/>
        <v>#N/A</v>
      </c>
      <c r="AM215" t="e">
        <f t="shared" si="57"/>
        <v>#N/A</v>
      </c>
      <c r="AN21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5" t="e">
        <f t="shared" si="58"/>
        <v>#N/A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0</v>
      </c>
      <c r="V216" cm="1">
        <f t="array" ref="V216">INDEX($F$4:$T$263,ROW(A213),MATCH($W$2,$F$3:$T$3,0))</f>
        <v>0</v>
      </c>
      <c r="W21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6" t="e">
        <f t="shared" si="45"/>
        <v>#N/A</v>
      </c>
      <c r="AA216" t="e">
        <f t="shared" si="46"/>
        <v>#N/A</v>
      </c>
      <c r="AB216" t="e">
        <f t="shared" si="47"/>
        <v>#N/A</v>
      </c>
      <c r="AC216" t="e">
        <f t="shared" si="48"/>
        <v>#N/A</v>
      </c>
      <c r="AD216" t="e">
        <f t="shared" si="49"/>
        <v>#N/A</v>
      </c>
      <c r="AE216" t="e">
        <f t="shared" si="50"/>
        <v>#N/A</v>
      </c>
      <c r="AF216" t="e">
        <f t="shared" si="51"/>
        <v>#N/A</v>
      </c>
      <c r="AG216" t="e">
        <f t="shared" si="52"/>
        <v>#N/A</v>
      </c>
      <c r="AH216" t="e">
        <f t="shared" si="59"/>
        <v>#N/A</v>
      </c>
      <c r="AI216" t="e">
        <f t="shared" si="53"/>
        <v>#N/A</v>
      </c>
      <c r="AJ216">
        <f t="shared" si="54"/>
        <v>0</v>
      </c>
      <c r="AK216" t="e">
        <f t="shared" si="55"/>
        <v>#N/A</v>
      </c>
      <c r="AL216" t="e">
        <f t="shared" si="56"/>
        <v>#N/A</v>
      </c>
      <c r="AM216" t="e">
        <f t="shared" si="57"/>
        <v>#N/A</v>
      </c>
      <c r="AN21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6" t="e">
        <f t="shared" si="58"/>
        <v>#N/A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0</v>
      </c>
      <c r="V217" cm="1">
        <f t="array" ref="V217">INDEX($F$4:$T$263,ROW(A214),MATCH($W$2,$F$3:$T$3,0))</f>
        <v>0</v>
      </c>
      <c r="W21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7" t="e">
        <f t="shared" si="45"/>
        <v>#N/A</v>
      </c>
      <c r="AA217" t="e">
        <f t="shared" si="46"/>
        <v>#N/A</v>
      </c>
      <c r="AB217" t="e">
        <f t="shared" si="47"/>
        <v>#N/A</v>
      </c>
      <c r="AC217" t="e">
        <f t="shared" si="48"/>
        <v>#N/A</v>
      </c>
      <c r="AD217" t="e">
        <f t="shared" si="49"/>
        <v>#N/A</v>
      </c>
      <c r="AE217" t="e">
        <f t="shared" si="50"/>
        <v>#N/A</v>
      </c>
      <c r="AF217" t="e">
        <f t="shared" si="51"/>
        <v>#N/A</v>
      </c>
      <c r="AG217" t="e">
        <f t="shared" si="52"/>
        <v>#N/A</v>
      </c>
      <c r="AH217" t="e">
        <f t="shared" si="59"/>
        <v>#N/A</v>
      </c>
      <c r="AI217" t="e">
        <f t="shared" si="53"/>
        <v>#N/A</v>
      </c>
      <c r="AJ217">
        <f t="shared" si="54"/>
        <v>0</v>
      </c>
      <c r="AK217" t="e">
        <f t="shared" si="55"/>
        <v>#N/A</v>
      </c>
      <c r="AL217" t="e">
        <f t="shared" si="56"/>
        <v>#N/A</v>
      </c>
      <c r="AM217" t="e">
        <f t="shared" si="57"/>
        <v>#N/A</v>
      </c>
      <c r="AN21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7" t="e">
        <f t="shared" si="58"/>
        <v>#N/A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0</v>
      </c>
      <c r="V218" cm="1">
        <f t="array" ref="V218">INDEX($F$4:$T$263,ROW(A215),MATCH($W$2,$F$3:$T$3,0))</f>
        <v>0</v>
      </c>
      <c r="W21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8" t="e">
        <f t="shared" si="45"/>
        <v>#N/A</v>
      </c>
      <c r="AA218" t="e">
        <f t="shared" si="46"/>
        <v>#N/A</v>
      </c>
      <c r="AB218" t="e">
        <f t="shared" si="47"/>
        <v>#N/A</v>
      </c>
      <c r="AC218" t="e">
        <f t="shared" si="48"/>
        <v>#N/A</v>
      </c>
      <c r="AD218" t="e">
        <f t="shared" si="49"/>
        <v>#N/A</v>
      </c>
      <c r="AE218" t="e">
        <f t="shared" si="50"/>
        <v>#N/A</v>
      </c>
      <c r="AF218" t="e">
        <f t="shared" si="51"/>
        <v>#N/A</v>
      </c>
      <c r="AG218" t="e">
        <f t="shared" si="52"/>
        <v>#N/A</v>
      </c>
      <c r="AH218" t="e">
        <f t="shared" si="59"/>
        <v>#N/A</v>
      </c>
      <c r="AI218" t="e">
        <f t="shared" si="53"/>
        <v>#N/A</v>
      </c>
      <c r="AJ218">
        <f t="shared" si="54"/>
        <v>0</v>
      </c>
      <c r="AK218" t="e">
        <f t="shared" si="55"/>
        <v>#N/A</v>
      </c>
      <c r="AL218" t="e">
        <f t="shared" si="56"/>
        <v>#N/A</v>
      </c>
      <c r="AM218" t="e">
        <f t="shared" si="57"/>
        <v>#N/A</v>
      </c>
      <c r="AN21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8" t="e">
        <f t="shared" si="58"/>
        <v>#N/A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0</v>
      </c>
      <c r="V219" cm="1">
        <f t="array" ref="V219">INDEX($F$4:$T$263,ROW(A216),MATCH($W$2,$F$3:$T$3,0))</f>
        <v>0</v>
      </c>
      <c r="W21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19" t="e">
        <f t="shared" si="45"/>
        <v>#N/A</v>
      </c>
      <c r="AA219" t="e">
        <f t="shared" si="46"/>
        <v>#N/A</v>
      </c>
      <c r="AB219" t="e">
        <f t="shared" si="47"/>
        <v>#N/A</v>
      </c>
      <c r="AC219" t="e">
        <f t="shared" si="48"/>
        <v>#N/A</v>
      </c>
      <c r="AD219" t="e">
        <f t="shared" si="49"/>
        <v>#N/A</v>
      </c>
      <c r="AE219" t="e">
        <f t="shared" si="50"/>
        <v>#N/A</v>
      </c>
      <c r="AF219" t="e">
        <f t="shared" si="51"/>
        <v>#N/A</v>
      </c>
      <c r="AG219" t="e">
        <f t="shared" si="52"/>
        <v>#N/A</v>
      </c>
      <c r="AH219" t="e">
        <f t="shared" si="59"/>
        <v>#N/A</v>
      </c>
      <c r="AI219" t="e">
        <f t="shared" si="53"/>
        <v>#N/A</v>
      </c>
      <c r="AJ219">
        <f t="shared" si="54"/>
        <v>0</v>
      </c>
      <c r="AK219" t="e">
        <f t="shared" si="55"/>
        <v>#N/A</v>
      </c>
      <c r="AL219" t="e">
        <f t="shared" si="56"/>
        <v>#N/A</v>
      </c>
      <c r="AM219" t="e">
        <f t="shared" si="57"/>
        <v>#N/A</v>
      </c>
      <c r="AN21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1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19" t="e">
        <f t="shared" si="58"/>
        <v>#N/A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0</v>
      </c>
      <c r="V220" cm="1">
        <f t="array" ref="V220">INDEX($F$4:$T$263,ROW(A217),MATCH($W$2,$F$3:$T$3,0))</f>
        <v>0</v>
      </c>
      <c r="W22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0" t="e">
        <f t="shared" si="45"/>
        <v>#N/A</v>
      </c>
      <c r="AA220" t="e">
        <f t="shared" si="46"/>
        <v>#N/A</v>
      </c>
      <c r="AB220" t="e">
        <f t="shared" si="47"/>
        <v>#N/A</v>
      </c>
      <c r="AC220" t="e">
        <f t="shared" si="48"/>
        <v>#N/A</v>
      </c>
      <c r="AD220" t="e">
        <f t="shared" si="49"/>
        <v>#N/A</v>
      </c>
      <c r="AE220" t="e">
        <f t="shared" si="50"/>
        <v>#N/A</v>
      </c>
      <c r="AF220" t="e">
        <f t="shared" si="51"/>
        <v>#N/A</v>
      </c>
      <c r="AG220" t="e">
        <f t="shared" si="52"/>
        <v>#N/A</v>
      </c>
      <c r="AH220" t="e">
        <f t="shared" si="59"/>
        <v>#N/A</v>
      </c>
      <c r="AI220" t="e">
        <f t="shared" si="53"/>
        <v>#N/A</v>
      </c>
      <c r="AJ220">
        <f t="shared" si="54"/>
        <v>0</v>
      </c>
      <c r="AK220" t="e">
        <f t="shared" si="55"/>
        <v>#N/A</v>
      </c>
      <c r="AL220" t="e">
        <f t="shared" si="56"/>
        <v>#N/A</v>
      </c>
      <c r="AM220" t="e">
        <f t="shared" si="57"/>
        <v>#N/A</v>
      </c>
      <c r="AN22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0" t="e">
        <f t="shared" si="58"/>
        <v>#N/A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0</v>
      </c>
      <c r="V221" cm="1">
        <f t="array" ref="V221">INDEX($F$4:$T$263,ROW(A218),MATCH($W$2,$F$3:$T$3,0))</f>
        <v>0</v>
      </c>
      <c r="W22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1" t="e">
        <f t="shared" si="45"/>
        <v>#N/A</v>
      </c>
      <c r="AA221" t="e">
        <f t="shared" si="46"/>
        <v>#N/A</v>
      </c>
      <c r="AB221" t="e">
        <f t="shared" si="47"/>
        <v>#N/A</v>
      </c>
      <c r="AC221" t="e">
        <f t="shared" si="48"/>
        <v>#N/A</v>
      </c>
      <c r="AD221" t="e">
        <f t="shared" si="49"/>
        <v>#N/A</v>
      </c>
      <c r="AE221" t="e">
        <f t="shared" si="50"/>
        <v>#N/A</v>
      </c>
      <c r="AF221" t="e">
        <f t="shared" si="51"/>
        <v>#N/A</v>
      </c>
      <c r="AG221" t="e">
        <f t="shared" si="52"/>
        <v>#N/A</v>
      </c>
      <c r="AH221" t="e">
        <f t="shared" si="59"/>
        <v>#N/A</v>
      </c>
      <c r="AI221" t="e">
        <f t="shared" si="53"/>
        <v>#N/A</v>
      </c>
      <c r="AJ221">
        <f t="shared" si="54"/>
        <v>0</v>
      </c>
      <c r="AK221" t="e">
        <f t="shared" si="55"/>
        <v>#N/A</v>
      </c>
      <c r="AL221" t="e">
        <f t="shared" si="56"/>
        <v>#N/A</v>
      </c>
      <c r="AM221" t="e">
        <f t="shared" si="57"/>
        <v>#N/A</v>
      </c>
      <c r="AN22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1" t="e">
        <f t="shared" si="58"/>
        <v>#N/A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0</v>
      </c>
      <c r="V222" cm="1">
        <f t="array" ref="V222">INDEX($F$4:$T$263,ROW(A219),MATCH($W$2,$F$3:$T$3,0))</f>
        <v>0</v>
      </c>
      <c r="W22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2" t="e">
        <f t="shared" si="45"/>
        <v>#N/A</v>
      </c>
      <c r="AA222" t="e">
        <f t="shared" si="46"/>
        <v>#N/A</v>
      </c>
      <c r="AB222" t="e">
        <f t="shared" si="47"/>
        <v>#N/A</v>
      </c>
      <c r="AC222" t="e">
        <f t="shared" si="48"/>
        <v>#N/A</v>
      </c>
      <c r="AD222" t="e">
        <f t="shared" si="49"/>
        <v>#N/A</v>
      </c>
      <c r="AE222" t="e">
        <f t="shared" si="50"/>
        <v>#N/A</v>
      </c>
      <c r="AF222" t="e">
        <f t="shared" si="51"/>
        <v>#N/A</v>
      </c>
      <c r="AG222" t="e">
        <f t="shared" si="52"/>
        <v>#N/A</v>
      </c>
      <c r="AH222" t="e">
        <f t="shared" si="59"/>
        <v>#N/A</v>
      </c>
      <c r="AI222" t="e">
        <f t="shared" si="53"/>
        <v>#N/A</v>
      </c>
      <c r="AJ222">
        <f t="shared" si="54"/>
        <v>0</v>
      </c>
      <c r="AK222" t="e">
        <f t="shared" si="55"/>
        <v>#N/A</v>
      </c>
      <c r="AL222" t="e">
        <f t="shared" si="56"/>
        <v>#N/A</v>
      </c>
      <c r="AM222" t="e">
        <f t="shared" si="57"/>
        <v>#N/A</v>
      </c>
      <c r="AN22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2" t="e">
        <f t="shared" si="58"/>
        <v>#N/A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0</v>
      </c>
      <c r="V223" cm="1">
        <f t="array" ref="V223">INDEX($F$4:$T$263,ROW(A220),MATCH($W$2,$F$3:$T$3,0))</f>
        <v>0</v>
      </c>
      <c r="W22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3" t="e">
        <f t="shared" si="45"/>
        <v>#N/A</v>
      </c>
      <c r="AA223" t="e">
        <f t="shared" si="46"/>
        <v>#N/A</v>
      </c>
      <c r="AB223" t="e">
        <f t="shared" si="47"/>
        <v>#N/A</v>
      </c>
      <c r="AC223" t="e">
        <f t="shared" si="48"/>
        <v>#N/A</v>
      </c>
      <c r="AD223" t="e">
        <f t="shared" si="49"/>
        <v>#N/A</v>
      </c>
      <c r="AE223" t="e">
        <f t="shared" si="50"/>
        <v>#N/A</v>
      </c>
      <c r="AF223" t="e">
        <f t="shared" si="51"/>
        <v>#N/A</v>
      </c>
      <c r="AG223" t="e">
        <f t="shared" si="52"/>
        <v>#N/A</v>
      </c>
      <c r="AH223" t="e">
        <f t="shared" si="59"/>
        <v>#N/A</v>
      </c>
      <c r="AI223" t="e">
        <f t="shared" si="53"/>
        <v>#N/A</v>
      </c>
      <c r="AJ223">
        <f t="shared" si="54"/>
        <v>0</v>
      </c>
      <c r="AK223" t="e">
        <f t="shared" si="55"/>
        <v>#N/A</v>
      </c>
      <c r="AL223" t="e">
        <f t="shared" si="56"/>
        <v>#N/A</v>
      </c>
      <c r="AM223" t="e">
        <f t="shared" si="57"/>
        <v>#N/A</v>
      </c>
      <c r="AN22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3" t="e">
        <f t="shared" si="58"/>
        <v>#N/A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0</v>
      </c>
      <c r="V224" cm="1">
        <f t="array" ref="V224">INDEX($F$4:$T$263,ROW(A221),MATCH($W$2,$F$3:$T$3,0))</f>
        <v>0</v>
      </c>
      <c r="W22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4" t="e">
        <f t="shared" si="45"/>
        <v>#N/A</v>
      </c>
      <c r="AA224" t="e">
        <f t="shared" si="46"/>
        <v>#N/A</v>
      </c>
      <c r="AB224" t="e">
        <f t="shared" si="47"/>
        <v>#N/A</v>
      </c>
      <c r="AC224" t="e">
        <f t="shared" si="48"/>
        <v>#N/A</v>
      </c>
      <c r="AD224" t="e">
        <f t="shared" si="49"/>
        <v>#N/A</v>
      </c>
      <c r="AE224" t="e">
        <f t="shared" si="50"/>
        <v>#N/A</v>
      </c>
      <c r="AF224" t="e">
        <f t="shared" si="51"/>
        <v>#N/A</v>
      </c>
      <c r="AG224" t="e">
        <f t="shared" si="52"/>
        <v>#N/A</v>
      </c>
      <c r="AH224" t="e">
        <f t="shared" si="59"/>
        <v>#N/A</v>
      </c>
      <c r="AI224" t="e">
        <f t="shared" si="53"/>
        <v>#N/A</v>
      </c>
      <c r="AJ224">
        <f t="shared" si="54"/>
        <v>0</v>
      </c>
      <c r="AK224" t="e">
        <f t="shared" si="55"/>
        <v>#N/A</v>
      </c>
      <c r="AL224" t="e">
        <f t="shared" si="56"/>
        <v>#N/A</v>
      </c>
      <c r="AM224" t="e">
        <f t="shared" si="57"/>
        <v>#N/A</v>
      </c>
      <c r="AN22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4" t="e">
        <f t="shared" si="58"/>
        <v>#N/A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0</v>
      </c>
      <c r="V225" cm="1">
        <f t="array" ref="V225">INDEX($F$4:$T$263,ROW(A222),MATCH($W$2,$F$3:$T$3,0))</f>
        <v>0</v>
      </c>
      <c r="W22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5" t="e">
        <f t="shared" si="45"/>
        <v>#N/A</v>
      </c>
      <c r="AA225" t="e">
        <f t="shared" si="46"/>
        <v>#N/A</v>
      </c>
      <c r="AB225" t="e">
        <f t="shared" si="47"/>
        <v>#N/A</v>
      </c>
      <c r="AC225" t="e">
        <f t="shared" si="48"/>
        <v>#N/A</v>
      </c>
      <c r="AD225" t="e">
        <f t="shared" si="49"/>
        <v>#N/A</v>
      </c>
      <c r="AE225" t="e">
        <f t="shared" si="50"/>
        <v>#N/A</v>
      </c>
      <c r="AF225" t="e">
        <f t="shared" si="51"/>
        <v>#N/A</v>
      </c>
      <c r="AG225" t="e">
        <f t="shared" si="52"/>
        <v>#N/A</v>
      </c>
      <c r="AH225" t="e">
        <f t="shared" si="59"/>
        <v>#N/A</v>
      </c>
      <c r="AI225" t="e">
        <f t="shared" si="53"/>
        <v>#N/A</v>
      </c>
      <c r="AJ225">
        <f t="shared" si="54"/>
        <v>0</v>
      </c>
      <c r="AK225" t="e">
        <f t="shared" si="55"/>
        <v>#N/A</v>
      </c>
      <c r="AL225" t="e">
        <f t="shared" si="56"/>
        <v>#N/A</v>
      </c>
      <c r="AM225" t="e">
        <f t="shared" si="57"/>
        <v>#N/A</v>
      </c>
      <c r="AN22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5" t="e">
        <f t="shared" si="58"/>
        <v>#N/A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0</v>
      </c>
      <c r="V226" cm="1">
        <f t="array" ref="V226">INDEX($F$4:$T$263,ROW(A223),MATCH($W$2,$F$3:$T$3,0))</f>
        <v>0</v>
      </c>
      <c r="W22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6" t="e">
        <f t="shared" si="45"/>
        <v>#N/A</v>
      </c>
      <c r="AA226" t="e">
        <f t="shared" si="46"/>
        <v>#N/A</v>
      </c>
      <c r="AB226" t="e">
        <f t="shared" si="47"/>
        <v>#N/A</v>
      </c>
      <c r="AC226" t="e">
        <f t="shared" si="48"/>
        <v>#N/A</v>
      </c>
      <c r="AD226" t="e">
        <f t="shared" si="49"/>
        <v>#N/A</v>
      </c>
      <c r="AE226" t="e">
        <f t="shared" si="50"/>
        <v>#N/A</v>
      </c>
      <c r="AF226" t="e">
        <f t="shared" si="51"/>
        <v>#N/A</v>
      </c>
      <c r="AG226" t="e">
        <f t="shared" si="52"/>
        <v>#N/A</v>
      </c>
      <c r="AH226" t="e">
        <f t="shared" si="59"/>
        <v>#N/A</v>
      </c>
      <c r="AI226" t="e">
        <f t="shared" si="53"/>
        <v>#N/A</v>
      </c>
      <c r="AJ226">
        <f t="shared" si="54"/>
        <v>0</v>
      </c>
      <c r="AK226" t="e">
        <f t="shared" si="55"/>
        <v>#N/A</v>
      </c>
      <c r="AL226" t="e">
        <f t="shared" si="56"/>
        <v>#N/A</v>
      </c>
      <c r="AM226" t="e">
        <f t="shared" si="57"/>
        <v>#N/A</v>
      </c>
      <c r="AN22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6" t="e">
        <f t="shared" si="58"/>
        <v>#N/A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0</v>
      </c>
      <c r="V227" cm="1">
        <f t="array" ref="V227">INDEX($F$4:$T$263,ROW(A224),MATCH($W$2,$F$3:$T$3,0))</f>
        <v>0</v>
      </c>
      <c r="W22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7" t="e">
        <f t="shared" si="45"/>
        <v>#N/A</v>
      </c>
      <c r="AA227" t="e">
        <f t="shared" si="46"/>
        <v>#N/A</v>
      </c>
      <c r="AB227" t="e">
        <f t="shared" si="47"/>
        <v>#N/A</v>
      </c>
      <c r="AC227" t="e">
        <f t="shared" si="48"/>
        <v>#N/A</v>
      </c>
      <c r="AD227" t="e">
        <f t="shared" si="49"/>
        <v>#N/A</v>
      </c>
      <c r="AE227" t="e">
        <f t="shared" si="50"/>
        <v>#N/A</v>
      </c>
      <c r="AF227" t="e">
        <f t="shared" si="51"/>
        <v>#N/A</v>
      </c>
      <c r="AG227" t="e">
        <f t="shared" si="52"/>
        <v>#N/A</v>
      </c>
      <c r="AH227" t="e">
        <f t="shared" si="59"/>
        <v>#N/A</v>
      </c>
      <c r="AI227" t="e">
        <f t="shared" si="53"/>
        <v>#N/A</v>
      </c>
      <c r="AJ227">
        <f t="shared" si="54"/>
        <v>0</v>
      </c>
      <c r="AK227" t="e">
        <f t="shared" si="55"/>
        <v>#N/A</v>
      </c>
      <c r="AL227" t="e">
        <f t="shared" si="56"/>
        <v>#N/A</v>
      </c>
      <c r="AM227" t="e">
        <f t="shared" si="57"/>
        <v>#N/A</v>
      </c>
      <c r="AN22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7" t="e">
        <f t="shared" si="58"/>
        <v>#N/A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0</v>
      </c>
      <c r="V228" cm="1">
        <f t="array" ref="V228">INDEX($F$4:$T$263,ROW(A225),MATCH($W$2,$F$3:$T$3,0))</f>
        <v>0</v>
      </c>
      <c r="W22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8" t="e">
        <f t="shared" si="45"/>
        <v>#N/A</v>
      </c>
      <c r="AA228" t="e">
        <f t="shared" si="46"/>
        <v>#N/A</v>
      </c>
      <c r="AB228" t="e">
        <f t="shared" si="47"/>
        <v>#N/A</v>
      </c>
      <c r="AC228" t="e">
        <f t="shared" si="48"/>
        <v>#N/A</v>
      </c>
      <c r="AD228" t="e">
        <f t="shared" si="49"/>
        <v>#N/A</v>
      </c>
      <c r="AE228" t="e">
        <f t="shared" si="50"/>
        <v>#N/A</v>
      </c>
      <c r="AF228" t="e">
        <f t="shared" si="51"/>
        <v>#N/A</v>
      </c>
      <c r="AG228" t="e">
        <f t="shared" si="52"/>
        <v>#N/A</v>
      </c>
      <c r="AH228" t="e">
        <f t="shared" si="59"/>
        <v>#N/A</v>
      </c>
      <c r="AI228" t="e">
        <f t="shared" si="53"/>
        <v>#N/A</v>
      </c>
      <c r="AJ228">
        <f t="shared" si="54"/>
        <v>0</v>
      </c>
      <c r="AK228" t="e">
        <f t="shared" si="55"/>
        <v>#N/A</v>
      </c>
      <c r="AL228" t="e">
        <f t="shared" si="56"/>
        <v>#N/A</v>
      </c>
      <c r="AM228" t="e">
        <f t="shared" si="57"/>
        <v>#N/A</v>
      </c>
      <c r="AN22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8" t="e">
        <f t="shared" si="58"/>
        <v>#N/A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0</v>
      </c>
      <c r="V229" cm="1">
        <f t="array" ref="V229">INDEX($F$4:$T$263,ROW(A226),MATCH($W$2,$F$3:$T$3,0))</f>
        <v>0</v>
      </c>
      <c r="W22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29" t="e">
        <f t="shared" si="45"/>
        <v>#N/A</v>
      </c>
      <c r="AA229" t="e">
        <f t="shared" si="46"/>
        <v>#N/A</v>
      </c>
      <c r="AB229" t="e">
        <f t="shared" si="47"/>
        <v>#N/A</v>
      </c>
      <c r="AC229" t="e">
        <f t="shared" si="48"/>
        <v>#N/A</v>
      </c>
      <c r="AD229" t="e">
        <f t="shared" si="49"/>
        <v>#N/A</v>
      </c>
      <c r="AE229" t="e">
        <f t="shared" si="50"/>
        <v>#N/A</v>
      </c>
      <c r="AF229" t="e">
        <f t="shared" si="51"/>
        <v>#N/A</v>
      </c>
      <c r="AG229" t="e">
        <f t="shared" si="52"/>
        <v>#N/A</v>
      </c>
      <c r="AH229" t="e">
        <f t="shared" si="59"/>
        <v>#N/A</v>
      </c>
      <c r="AI229" t="e">
        <f t="shared" si="53"/>
        <v>#N/A</v>
      </c>
      <c r="AJ229">
        <f t="shared" si="54"/>
        <v>0</v>
      </c>
      <c r="AK229" t="e">
        <f t="shared" si="55"/>
        <v>#N/A</v>
      </c>
      <c r="AL229" t="e">
        <f t="shared" si="56"/>
        <v>#N/A</v>
      </c>
      <c r="AM229" t="e">
        <f t="shared" si="57"/>
        <v>#N/A</v>
      </c>
      <c r="AN22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2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29" t="e">
        <f t="shared" si="58"/>
        <v>#N/A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0</v>
      </c>
      <c r="V230" cm="1">
        <f t="array" ref="V230">INDEX($F$4:$T$263,ROW(A227),MATCH($W$2,$F$3:$T$3,0))</f>
        <v>0</v>
      </c>
      <c r="W23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0" t="e">
        <f t="shared" si="45"/>
        <v>#N/A</v>
      </c>
      <c r="AA230" t="e">
        <f t="shared" si="46"/>
        <v>#N/A</v>
      </c>
      <c r="AB230" t="e">
        <f t="shared" si="47"/>
        <v>#N/A</v>
      </c>
      <c r="AC230" t="e">
        <f t="shared" si="48"/>
        <v>#N/A</v>
      </c>
      <c r="AD230" t="e">
        <f t="shared" si="49"/>
        <v>#N/A</v>
      </c>
      <c r="AE230" t="e">
        <f t="shared" si="50"/>
        <v>#N/A</v>
      </c>
      <c r="AF230" t="e">
        <f t="shared" si="51"/>
        <v>#N/A</v>
      </c>
      <c r="AG230" t="e">
        <f t="shared" si="52"/>
        <v>#N/A</v>
      </c>
      <c r="AH230" t="e">
        <f t="shared" si="59"/>
        <v>#N/A</v>
      </c>
      <c r="AI230" t="e">
        <f t="shared" si="53"/>
        <v>#N/A</v>
      </c>
      <c r="AJ230">
        <f t="shared" si="54"/>
        <v>0</v>
      </c>
      <c r="AK230" t="e">
        <f t="shared" si="55"/>
        <v>#N/A</v>
      </c>
      <c r="AL230" t="e">
        <f t="shared" si="56"/>
        <v>#N/A</v>
      </c>
      <c r="AM230" t="e">
        <f t="shared" si="57"/>
        <v>#N/A</v>
      </c>
      <c r="AN23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0" t="e">
        <f t="shared" si="58"/>
        <v>#N/A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0</v>
      </c>
      <c r="V231" cm="1">
        <f t="array" ref="V231">INDEX($F$4:$T$263,ROW(A228),MATCH($W$2,$F$3:$T$3,0))</f>
        <v>0</v>
      </c>
      <c r="W23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1" t="e">
        <f t="shared" si="45"/>
        <v>#N/A</v>
      </c>
      <c r="AA231" t="e">
        <f t="shared" si="46"/>
        <v>#N/A</v>
      </c>
      <c r="AB231" t="e">
        <f t="shared" si="47"/>
        <v>#N/A</v>
      </c>
      <c r="AC231" t="e">
        <f t="shared" si="48"/>
        <v>#N/A</v>
      </c>
      <c r="AD231" t="e">
        <f t="shared" si="49"/>
        <v>#N/A</v>
      </c>
      <c r="AE231" t="e">
        <f t="shared" si="50"/>
        <v>#N/A</v>
      </c>
      <c r="AF231" t="e">
        <f t="shared" si="51"/>
        <v>#N/A</v>
      </c>
      <c r="AG231" t="e">
        <f t="shared" si="52"/>
        <v>#N/A</v>
      </c>
      <c r="AH231" t="e">
        <f t="shared" si="59"/>
        <v>#N/A</v>
      </c>
      <c r="AI231" t="e">
        <f t="shared" si="53"/>
        <v>#N/A</v>
      </c>
      <c r="AJ231">
        <f t="shared" si="54"/>
        <v>0</v>
      </c>
      <c r="AK231" t="e">
        <f t="shared" si="55"/>
        <v>#N/A</v>
      </c>
      <c r="AL231" t="e">
        <f t="shared" si="56"/>
        <v>#N/A</v>
      </c>
      <c r="AM231" t="e">
        <f t="shared" si="57"/>
        <v>#N/A</v>
      </c>
      <c r="AN23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1" t="e">
        <f t="shared" si="58"/>
        <v>#N/A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0</v>
      </c>
      <c r="V232" cm="1">
        <f t="array" ref="V232">INDEX($F$4:$T$263,ROW(A229),MATCH($W$2,$F$3:$T$3,0))</f>
        <v>0</v>
      </c>
      <c r="W23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2" t="e">
        <f t="shared" si="45"/>
        <v>#N/A</v>
      </c>
      <c r="AA232" t="e">
        <f t="shared" si="46"/>
        <v>#N/A</v>
      </c>
      <c r="AB232" t="e">
        <f t="shared" si="47"/>
        <v>#N/A</v>
      </c>
      <c r="AC232" t="e">
        <f t="shared" si="48"/>
        <v>#N/A</v>
      </c>
      <c r="AD232" t="e">
        <f t="shared" si="49"/>
        <v>#N/A</v>
      </c>
      <c r="AE232" t="e">
        <f t="shared" si="50"/>
        <v>#N/A</v>
      </c>
      <c r="AF232" t="e">
        <f t="shared" si="51"/>
        <v>#N/A</v>
      </c>
      <c r="AG232" t="e">
        <f t="shared" si="52"/>
        <v>#N/A</v>
      </c>
      <c r="AH232" t="e">
        <f t="shared" si="59"/>
        <v>#N/A</v>
      </c>
      <c r="AI232" t="e">
        <f t="shared" si="53"/>
        <v>#N/A</v>
      </c>
      <c r="AJ232">
        <f t="shared" si="54"/>
        <v>0</v>
      </c>
      <c r="AK232" t="e">
        <f t="shared" si="55"/>
        <v>#N/A</v>
      </c>
      <c r="AL232" t="e">
        <f t="shared" si="56"/>
        <v>#N/A</v>
      </c>
      <c r="AM232" t="e">
        <f t="shared" si="57"/>
        <v>#N/A</v>
      </c>
      <c r="AN23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2" t="e">
        <f t="shared" si="58"/>
        <v>#N/A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0</v>
      </c>
      <c r="V233" cm="1">
        <f t="array" ref="V233">INDEX($F$4:$T$263,ROW(A230),MATCH($W$2,$F$3:$T$3,0))</f>
        <v>0</v>
      </c>
      <c r="W23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3" t="e">
        <f t="shared" si="45"/>
        <v>#N/A</v>
      </c>
      <c r="AA233" t="e">
        <f t="shared" si="46"/>
        <v>#N/A</v>
      </c>
      <c r="AB233" t="e">
        <f t="shared" si="47"/>
        <v>#N/A</v>
      </c>
      <c r="AC233" t="e">
        <f t="shared" si="48"/>
        <v>#N/A</v>
      </c>
      <c r="AD233" t="e">
        <f t="shared" si="49"/>
        <v>#N/A</v>
      </c>
      <c r="AE233" t="e">
        <f t="shared" si="50"/>
        <v>#N/A</v>
      </c>
      <c r="AF233" t="e">
        <f t="shared" si="51"/>
        <v>#N/A</v>
      </c>
      <c r="AG233" t="e">
        <f t="shared" si="52"/>
        <v>#N/A</v>
      </c>
      <c r="AH233" t="e">
        <f t="shared" si="59"/>
        <v>#N/A</v>
      </c>
      <c r="AI233" t="e">
        <f t="shared" si="53"/>
        <v>#N/A</v>
      </c>
      <c r="AJ233">
        <f t="shared" si="54"/>
        <v>0</v>
      </c>
      <c r="AK233" t="e">
        <f t="shared" si="55"/>
        <v>#N/A</v>
      </c>
      <c r="AL233" t="e">
        <f t="shared" si="56"/>
        <v>#N/A</v>
      </c>
      <c r="AM233" t="e">
        <f t="shared" si="57"/>
        <v>#N/A</v>
      </c>
      <c r="AN23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3" t="e">
        <f t="shared" si="58"/>
        <v>#N/A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0</v>
      </c>
      <c r="V234" cm="1">
        <f t="array" ref="V234">INDEX($F$4:$T$263,ROW(A231),MATCH($W$2,$F$3:$T$3,0))</f>
        <v>0</v>
      </c>
      <c r="W23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4" t="e">
        <f t="shared" si="45"/>
        <v>#N/A</v>
      </c>
      <c r="AA234" t="e">
        <f t="shared" si="46"/>
        <v>#N/A</v>
      </c>
      <c r="AB234" t="e">
        <f t="shared" si="47"/>
        <v>#N/A</v>
      </c>
      <c r="AC234" t="e">
        <f t="shared" si="48"/>
        <v>#N/A</v>
      </c>
      <c r="AD234" t="e">
        <f t="shared" si="49"/>
        <v>#N/A</v>
      </c>
      <c r="AE234" t="e">
        <f t="shared" si="50"/>
        <v>#N/A</v>
      </c>
      <c r="AF234" t="e">
        <f t="shared" si="51"/>
        <v>#N/A</v>
      </c>
      <c r="AG234" t="e">
        <f t="shared" si="52"/>
        <v>#N/A</v>
      </c>
      <c r="AH234" t="e">
        <f t="shared" si="59"/>
        <v>#N/A</v>
      </c>
      <c r="AI234" t="e">
        <f t="shared" si="53"/>
        <v>#N/A</v>
      </c>
      <c r="AJ234">
        <f t="shared" si="54"/>
        <v>0</v>
      </c>
      <c r="AK234" t="e">
        <f t="shared" si="55"/>
        <v>#N/A</v>
      </c>
      <c r="AL234" t="e">
        <f t="shared" si="56"/>
        <v>#N/A</v>
      </c>
      <c r="AM234" t="e">
        <f t="shared" si="57"/>
        <v>#N/A</v>
      </c>
      <c r="AN23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4" t="e">
        <f t="shared" si="58"/>
        <v>#N/A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0</v>
      </c>
      <c r="V235" cm="1">
        <f t="array" ref="V235">INDEX($F$4:$T$263,ROW(A232),MATCH($W$2,$F$3:$T$3,0))</f>
        <v>0</v>
      </c>
      <c r="W23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5" t="e">
        <f t="shared" si="45"/>
        <v>#N/A</v>
      </c>
      <c r="AA235" t="e">
        <f t="shared" si="46"/>
        <v>#N/A</v>
      </c>
      <c r="AB235" t="e">
        <f t="shared" si="47"/>
        <v>#N/A</v>
      </c>
      <c r="AC235" t="e">
        <f t="shared" si="48"/>
        <v>#N/A</v>
      </c>
      <c r="AD235" t="e">
        <f t="shared" si="49"/>
        <v>#N/A</v>
      </c>
      <c r="AE235" t="e">
        <f t="shared" si="50"/>
        <v>#N/A</v>
      </c>
      <c r="AF235" t="e">
        <f t="shared" si="51"/>
        <v>#N/A</v>
      </c>
      <c r="AG235" t="e">
        <f t="shared" si="52"/>
        <v>#N/A</v>
      </c>
      <c r="AH235" t="e">
        <f t="shared" si="59"/>
        <v>#N/A</v>
      </c>
      <c r="AI235" t="e">
        <f t="shared" si="53"/>
        <v>#N/A</v>
      </c>
      <c r="AJ235">
        <f t="shared" si="54"/>
        <v>0</v>
      </c>
      <c r="AK235" t="e">
        <f t="shared" si="55"/>
        <v>#N/A</v>
      </c>
      <c r="AL235" t="e">
        <f t="shared" si="56"/>
        <v>#N/A</v>
      </c>
      <c r="AM235" t="e">
        <f t="shared" si="57"/>
        <v>#N/A</v>
      </c>
      <c r="AN23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5" t="e">
        <f t="shared" si="58"/>
        <v>#N/A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0</v>
      </c>
      <c r="V236" cm="1">
        <f t="array" ref="V236">INDEX($F$4:$T$263,ROW(A233),MATCH($W$2,$F$3:$T$3,0))</f>
        <v>0</v>
      </c>
      <c r="W23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6" t="e">
        <f t="shared" si="45"/>
        <v>#N/A</v>
      </c>
      <c r="AA236" t="e">
        <f t="shared" si="46"/>
        <v>#N/A</v>
      </c>
      <c r="AB236" t="e">
        <f t="shared" si="47"/>
        <v>#N/A</v>
      </c>
      <c r="AC236" t="e">
        <f t="shared" si="48"/>
        <v>#N/A</v>
      </c>
      <c r="AD236" t="e">
        <f t="shared" si="49"/>
        <v>#N/A</v>
      </c>
      <c r="AE236" t="e">
        <f t="shared" si="50"/>
        <v>#N/A</v>
      </c>
      <c r="AF236" t="e">
        <f t="shared" si="51"/>
        <v>#N/A</v>
      </c>
      <c r="AG236" t="e">
        <f t="shared" si="52"/>
        <v>#N/A</v>
      </c>
      <c r="AH236" t="e">
        <f t="shared" si="59"/>
        <v>#N/A</v>
      </c>
      <c r="AI236" t="e">
        <f t="shared" si="53"/>
        <v>#N/A</v>
      </c>
      <c r="AJ236">
        <f t="shared" si="54"/>
        <v>0</v>
      </c>
      <c r="AK236" t="e">
        <f t="shared" si="55"/>
        <v>#N/A</v>
      </c>
      <c r="AL236" t="e">
        <f t="shared" si="56"/>
        <v>#N/A</v>
      </c>
      <c r="AM236" t="e">
        <f t="shared" si="57"/>
        <v>#N/A</v>
      </c>
      <c r="AN23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6" t="e">
        <f t="shared" si="58"/>
        <v>#N/A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0</v>
      </c>
      <c r="V237" cm="1">
        <f t="array" ref="V237">INDEX($F$4:$T$263,ROW(A234),MATCH($W$2,$F$3:$T$3,0))</f>
        <v>0</v>
      </c>
      <c r="W23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7" t="e">
        <f t="shared" si="45"/>
        <v>#N/A</v>
      </c>
      <c r="AA237" t="e">
        <f t="shared" si="46"/>
        <v>#N/A</v>
      </c>
      <c r="AB237" t="e">
        <f t="shared" si="47"/>
        <v>#N/A</v>
      </c>
      <c r="AC237" t="e">
        <f t="shared" si="48"/>
        <v>#N/A</v>
      </c>
      <c r="AD237" t="e">
        <f t="shared" si="49"/>
        <v>#N/A</v>
      </c>
      <c r="AE237" t="e">
        <f t="shared" si="50"/>
        <v>#N/A</v>
      </c>
      <c r="AF237" t="e">
        <f t="shared" si="51"/>
        <v>#N/A</v>
      </c>
      <c r="AG237" t="e">
        <f t="shared" si="52"/>
        <v>#N/A</v>
      </c>
      <c r="AH237" t="e">
        <f t="shared" si="59"/>
        <v>#N/A</v>
      </c>
      <c r="AI237" t="e">
        <f t="shared" si="53"/>
        <v>#N/A</v>
      </c>
      <c r="AJ237">
        <f t="shared" si="54"/>
        <v>0</v>
      </c>
      <c r="AK237" t="e">
        <f t="shared" si="55"/>
        <v>#N/A</v>
      </c>
      <c r="AL237" t="e">
        <f t="shared" si="56"/>
        <v>#N/A</v>
      </c>
      <c r="AM237" t="e">
        <f t="shared" si="57"/>
        <v>#N/A</v>
      </c>
      <c r="AN23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7" t="e">
        <f t="shared" si="58"/>
        <v>#N/A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0</v>
      </c>
      <c r="V238" cm="1">
        <f t="array" ref="V238">INDEX($F$4:$T$263,ROW(A235),MATCH($W$2,$F$3:$T$3,0))</f>
        <v>0</v>
      </c>
      <c r="W23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8" t="e">
        <f t="shared" si="45"/>
        <v>#N/A</v>
      </c>
      <c r="AA238" t="e">
        <f t="shared" si="46"/>
        <v>#N/A</v>
      </c>
      <c r="AB238" t="e">
        <f t="shared" si="47"/>
        <v>#N/A</v>
      </c>
      <c r="AC238" t="e">
        <f t="shared" si="48"/>
        <v>#N/A</v>
      </c>
      <c r="AD238" t="e">
        <f t="shared" si="49"/>
        <v>#N/A</v>
      </c>
      <c r="AE238" t="e">
        <f t="shared" si="50"/>
        <v>#N/A</v>
      </c>
      <c r="AF238" t="e">
        <f t="shared" si="51"/>
        <v>#N/A</v>
      </c>
      <c r="AG238" t="e">
        <f t="shared" si="52"/>
        <v>#N/A</v>
      </c>
      <c r="AH238" t="e">
        <f t="shared" si="59"/>
        <v>#N/A</v>
      </c>
      <c r="AI238" t="e">
        <f t="shared" si="53"/>
        <v>#N/A</v>
      </c>
      <c r="AJ238">
        <f t="shared" si="54"/>
        <v>0</v>
      </c>
      <c r="AK238" t="e">
        <f t="shared" si="55"/>
        <v>#N/A</v>
      </c>
      <c r="AL238" t="e">
        <f t="shared" si="56"/>
        <v>#N/A</v>
      </c>
      <c r="AM238" t="e">
        <f t="shared" si="57"/>
        <v>#N/A</v>
      </c>
      <c r="AN23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8" t="e">
        <f t="shared" si="58"/>
        <v>#N/A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0</v>
      </c>
      <c r="V239" cm="1">
        <f t="array" ref="V239">INDEX($F$4:$T$263,ROW(A236),MATCH($W$2,$F$3:$T$3,0))</f>
        <v>0</v>
      </c>
      <c r="W23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39" t="e">
        <f t="shared" si="45"/>
        <v>#N/A</v>
      </c>
      <c r="AA239" t="e">
        <f t="shared" si="46"/>
        <v>#N/A</v>
      </c>
      <c r="AB239" t="e">
        <f t="shared" si="47"/>
        <v>#N/A</v>
      </c>
      <c r="AC239" t="e">
        <f t="shared" si="48"/>
        <v>#N/A</v>
      </c>
      <c r="AD239" t="e">
        <f t="shared" si="49"/>
        <v>#N/A</v>
      </c>
      <c r="AE239" t="e">
        <f t="shared" si="50"/>
        <v>#N/A</v>
      </c>
      <c r="AF239" t="e">
        <f t="shared" si="51"/>
        <v>#N/A</v>
      </c>
      <c r="AG239" t="e">
        <f t="shared" si="52"/>
        <v>#N/A</v>
      </c>
      <c r="AH239" t="e">
        <f t="shared" si="59"/>
        <v>#N/A</v>
      </c>
      <c r="AI239" t="e">
        <f t="shared" si="53"/>
        <v>#N/A</v>
      </c>
      <c r="AJ239">
        <f t="shared" si="54"/>
        <v>0</v>
      </c>
      <c r="AK239" t="e">
        <f t="shared" si="55"/>
        <v>#N/A</v>
      </c>
      <c r="AL239" t="e">
        <f t="shared" si="56"/>
        <v>#N/A</v>
      </c>
      <c r="AM239" t="e">
        <f t="shared" si="57"/>
        <v>#N/A</v>
      </c>
      <c r="AN23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3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39" t="e">
        <f t="shared" si="58"/>
        <v>#N/A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0</v>
      </c>
      <c r="V240" cm="1">
        <f t="array" ref="V240">INDEX($F$4:$T$263,ROW(A237),MATCH($W$2,$F$3:$T$3,0))</f>
        <v>0</v>
      </c>
      <c r="W24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0" t="e">
        <f t="shared" si="45"/>
        <v>#N/A</v>
      </c>
      <c r="AA240" t="e">
        <f t="shared" si="46"/>
        <v>#N/A</v>
      </c>
      <c r="AB240" t="e">
        <f t="shared" si="47"/>
        <v>#N/A</v>
      </c>
      <c r="AC240" t="e">
        <f t="shared" si="48"/>
        <v>#N/A</v>
      </c>
      <c r="AD240" t="e">
        <f t="shared" si="49"/>
        <v>#N/A</v>
      </c>
      <c r="AE240" t="e">
        <f t="shared" si="50"/>
        <v>#N/A</v>
      </c>
      <c r="AF240" t="e">
        <f t="shared" si="51"/>
        <v>#N/A</v>
      </c>
      <c r="AG240" t="e">
        <f t="shared" si="52"/>
        <v>#N/A</v>
      </c>
      <c r="AH240" t="e">
        <f t="shared" si="59"/>
        <v>#N/A</v>
      </c>
      <c r="AI240" t="e">
        <f t="shared" si="53"/>
        <v>#N/A</v>
      </c>
      <c r="AJ240">
        <f t="shared" si="54"/>
        <v>0</v>
      </c>
      <c r="AK240" t="e">
        <f t="shared" si="55"/>
        <v>#N/A</v>
      </c>
      <c r="AL240" t="e">
        <f t="shared" si="56"/>
        <v>#N/A</v>
      </c>
      <c r="AM240" t="e">
        <f t="shared" si="57"/>
        <v>#N/A</v>
      </c>
      <c r="AN24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0" t="e">
        <f t="shared" si="58"/>
        <v>#N/A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0</v>
      </c>
      <c r="V241" cm="1">
        <f t="array" ref="V241">INDEX($F$4:$T$263,ROW(A238),MATCH($W$2,$F$3:$T$3,0))</f>
        <v>0</v>
      </c>
      <c r="W24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1" t="e">
        <f t="shared" si="45"/>
        <v>#N/A</v>
      </c>
      <c r="AA241" t="e">
        <f t="shared" si="46"/>
        <v>#N/A</v>
      </c>
      <c r="AB241" t="e">
        <f t="shared" si="47"/>
        <v>#N/A</v>
      </c>
      <c r="AC241" t="e">
        <f t="shared" si="48"/>
        <v>#N/A</v>
      </c>
      <c r="AD241" t="e">
        <f t="shared" si="49"/>
        <v>#N/A</v>
      </c>
      <c r="AE241" t="e">
        <f t="shared" si="50"/>
        <v>#N/A</v>
      </c>
      <c r="AF241" t="e">
        <f t="shared" si="51"/>
        <v>#N/A</v>
      </c>
      <c r="AG241" t="e">
        <f t="shared" si="52"/>
        <v>#N/A</v>
      </c>
      <c r="AH241" t="e">
        <f t="shared" si="59"/>
        <v>#N/A</v>
      </c>
      <c r="AI241" t="e">
        <f t="shared" si="53"/>
        <v>#N/A</v>
      </c>
      <c r="AJ241">
        <f t="shared" si="54"/>
        <v>0</v>
      </c>
      <c r="AK241" t="e">
        <f t="shared" si="55"/>
        <v>#N/A</v>
      </c>
      <c r="AL241" t="e">
        <f t="shared" si="56"/>
        <v>#N/A</v>
      </c>
      <c r="AM241" t="e">
        <f t="shared" si="57"/>
        <v>#N/A</v>
      </c>
      <c r="AN24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1" t="e">
        <f t="shared" si="58"/>
        <v>#N/A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0</v>
      </c>
      <c r="V242" cm="1">
        <f t="array" ref="V242">INDEX($F$4:$T$263,ROW(A239),MATCH($W$2,$F$3:$T$3,0))</f>
        <v>0</v>
      </c>
      <c r="W24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2" t="e">
        <f t="shared" si="45"/>
        <v>#N/A</v>
      </c>
      <c r="AA242" t="e">
        <f t="shared" si="46"/>
        <v>#N/A</v>
      </c>
      <c r="AB242" t="e">
        <f t="shared" si="47"/>
        <v>#N/A</v>
      </c>
      <c r="AC242" t="e">
        <f t="shared" si="48"/>
        <v>#N/A</v>
      </c>
      <c r="AD242" t="e">
        <f t="shared" si="49"/>
        <v>#N/A</v>
      </c>
      <c r="AE242" t="e">
        <f t="shared" si="50"/>
        <v>#N/A</v>
      </c>
      <c r="AF242" t="e">
        <f t="shared" si="51"/>
        <v>#N/A</v>
      </c>
      <c r="AG242" t="e">
        <f t="shared" si="52"/>
        <v>#N/A</v>
      </c>
      <c r="AH242" t="e">
        <f t="shared" si="59"/>
        <v>#N/A</v>
      </c>
      <c r="AI242" t="e">
        <f t="shared" si="53"/>
        <v>#N/A</v>
      </c>
      <c r="AJ242">
        <f t="shared" si="54"/>
        <v>0</v>
      </c>
      <c r="AK242" t="e">
        <f t="shared" si="55"/>
        <v>#N/A</v>
      </c>
      <c r="AL242" t="e">
        <f t="shared" si="56"/>
        <v>#N/A</v>
      </c>
      <c r="AM242" t="e">
        <f t="shared" si="57"/>
        <v>#N/A</v>
      </c>
      <c r="AN24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2" t="e">
        <f t="shared" si="58"/>
        <v>#N/A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0</v>
      </c>
      <c r="V243" cm="1">
        <f t="array" ref="V243">INDEX($F$4:$T$263,ROW(A240),MATCH($W$2,$F$3:$T$3,0))</f>
        <v>0</v>
      </c>
      <c r="W24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3" t="e">
        <f t="shared" si="45"/>
        <v>#N/A</v>
      </c>
      <c r="AA243" t="e">
        <f t="shared" si="46"/>
        <v>#N/A</v>
      </c>
      <c r="AB243" t="e">
        <f t="shared" si="47"/>
        <v>#N/A</v>
      </c>
      <c r="AC243" t="e">
        <f t="shared" si="48"/>
        <v>#N/A</v>
      </c>
      <c r="AD243" t="e">
        <f t="shared" si="49"/>
        <v>#N/A</v>
      </c>
      <c r="AE243" t="e">
        <f t="shared" si="50"/>
        <v>#N/A</v>
      </c>
      <c r="AF243" t="e">
        <f t="shared" si="51"/>
        <v>#N/A</v>
      </c>
      <c r="AG243" t="e">
        <f t="shared" si="52"/>
        <v>#N/A</v>
      </c>
      <c r="AH243" t="e">
        <f t="shared" si="59"/>
        <v>#N/A</v>
      </c>
      <c r="AI243" t="e">
        <f t="shared" si="53"/>
        <v>#N/A</v>
      </c>
      <c r="AJ243">
        <f t="shared" si="54"/>
        <v>0</v>
      </c>
      <c r="AK243" t="e">
        <f t="shared" si="55"/>
        <v>#N/A</v>
      </c>
      <c r="AL243" t="e">
        <f t="shared" si="56"/>
        <v>#N/A</v>
      </c>
      <c r="AM243" t="e">
        <f t="shared" si="57"/>
        <v>#N/A</v>
      </c>
      <c r="AN24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3" t="e">
        <f t="shared" si="58"/>
        <v>#N/A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0</v>
      </c>
      <c r="V244" cm="1">
        <f t="array" ref="V244">INDEX($F$4:$T$263,ROW(A241),MATCH($W$2,$F$3:$T$3,0))</f>
        <v>0</v>
      </c>
      <c r="W24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4" t="e">
        <f t="shared" si="45"/>
        <v>#N/A</v>
      </c>
      <c r="AA244" t="e">
        <f t="shared" si="46"/>
        <v>#N/A</v>
      </c>
      <c r="AB244" t="e">
        <f t="shared" si="47"/>
        <v>#N/A</v>
      </c>
      <c r="AC244" t="e">
        <f t="shared" si="48"/>
        <v>#N/A</v>
      </c>
      <c r="AD244" t="e">
        <f t="shared" si="49"/>
        <v>#N/A</v>
      </c>
      <c r="AE244" t="e">
        <f t="shared" si="50"/>
        <v>#N/A</v>
      </c>
      <c r="AF244" t="e">
        <f t="shared" si="51"/>
        <v>#N/A</v>
      </c>
      <c r="AG244" t="e">
        <f t="shared" si="52"/>
        <v>#N/A</v>
      </c>
      <c r="AH244" t="e">
        <f t="shared" si="59"/>
        <v>#N/A</v>
      </c>
      <c r="AI244" t="e">
        <f t="shared" si="53"/>
        <v>#N/A</v>
      </c>
      <c r="AJ244">
        <f t="shared" si="54"/>
        <v>0</v>
      </c>
      <c r="AK244" t="e">
        <f t="shared" si="55"/>
        <v>#N/A</v>
      </c>
      <c r="AL244" t="e">
        <f t="shared" si="56"/>
        <v>#N/A</v>
      </c>
      <c r="AM244" t="e">
        <f t="shared" si="57"/>
        <v>#N/A</v>
      </c>
      <c r="AN24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4" t="e">
        <f t="shared" si="58"/>
        <v>#N/A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0</v>
      </c>
      <c r="V245" cm="1">
        <f t="array" ref="V245">INDEX($F$4:$T$263,ROW(A242),MATCH($W$2,$F$3:$T$3,0))</f>
        <v>0</v>
      </c>
      <c r="W24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5" t="e">
        <f t="shared" si="45"/>
        <v>#N/A</v>
      </c>
      <c r="AA245" t="e">
        <f t="shared" si="46"/>
        <v>#N/A</v>
      </c>
      <c r="AB245" t="e">
        <f t="shared" si="47"/>
        <v>#N/A</v>
      </c>
      <c r="AC245" t="e">
        <f t="shared" si="48"/>
        <v>#N/A</v>
      </c>
      <c r="AD245" t="e">
        <f t="shared" si="49"/>
        <v>#N/A</v>
      </c>
      <c r="AE245" t="e">
        <f t="shared" si="50"/>
        <v>#N/A</v>
      </c>
      <c r="AF245" t="e">
        <f t="shared" si="51"/>
        <v>#N/A</v>
      </c>
      <c r="AG245" t="e">
        <f t="shared" si="52"/>
        <v>#N/A</v>
      </c>
      <c r="AH245" t="e">
        <f t="shared" si="59"/>
        <v>#N/A</v>
      </c>
      <c r="AI245" t="e">
        <f t="shared" si="53"/>
        <v>#N/A</v>
      </c>
      <c r="AJ245">
        <f t="shared" si="54"/>
        <v>0</v>
      </c>
      <c r="AK245" t="e">
        <f t="shared" si="55"/>
        <v>#N/A</v>
      </c>
      <c r="AL245" t="e">
        <f t="shared" si="56"/>
        <v>#N/A</v>
      </c>
      <c r="AM245" t="e">
        <f t="shared" si="57"/>
        <v>#N/A</v>
      </c>
      <c r="AN24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5" t="e">
        <f t="shared" si="58"/>
        <v>#N/A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0</v>
      </c>
      <c r="V246" cm="1">
        <f t="array" ref="V246">INDEX($F$4:$T$263,ROW(A243),MATCH($W$2,$F$3:$T$3,0))</f>
        <v>0</v>
      </c>
      <c r="W24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6" t="e">
        <f t="shared" si="45"/>
        <v>#N/A</v>
      </c>
      <c r="AA246" t="e">
        <f t="shared" si="46"/>
        <v>#N/A</v>
      </c>
      <c r="AB246" t="e">
        <f t="shared" si="47"/>
        <v>#N/A</v>
      </c>
      <c r="AC246" t="e">
        <f t="shared" si="48"/>
        <v>#N/A</v>
      </c>
      <c r="AD246" t="e">
        <f t="shared" si="49"/>
        <v>#N/A</v>
      </c>
      <c r="AE246" t="e">
        <f t="shared" si="50"/>
        <v>#N/A</v>
      </c>
      <c r="AF246" t="e">
        <f t="shared" si="51"/>
        <v>#N/A</v>
      </c>
      <c r="AG246" t="e">
        <f t="shared" si="52"/>
        <v>#N/A</v>
      </c>
      <c r="AH246" t="e">
        <f t="shared" si="59"/>
        <v>#N/A</v>
      </c>
      <c r="AI246" t="e">
        <f t="shared" si="53"/>
        <v>#N/A</v>
      </c>
      <c r="AJ246">
        <f t="shared" si="54"/>
        <v>0</v>
      </c>
      <c r="AK246" t="e">
        <f t="shared" si="55"/>
        <v>#N/A</v>
      </c>
      <c r="AL246" t="e">
        <f t="shared" si="56"/>
        <v>#N/A</v>
      </c>
      <c r="AM246" t="e">
        <f t="shared" si="57"/>
        <v>#N/A</v>
      </c>
      <c r="AN24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6" t="e">
        <f t="shared" si="58"/>
        <v>#N/A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0</v>
      </c>
      <c r="V247" cm="1">
        <f t="array" ref="V247">INDEX($F$4:$T$263,ROW(A244),MATCH($W$2,$F$3:$T$3,0))</f>
        <v>0</v>
      </c>
      <c r="W24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7" t="e">
        <f t="shared" si="45"/>
        <v>#N/A</v>
      </c>
      <c r="AA247" t="e">
        <f t="shared" si="46"/>
        <v>#N/A</v>
      </c>
      <c r="AB247" t="e">
        <f t="shared" si="47"/>
        <v>#N/A</v>
      </c>
      <c r="AC247" t="e">
        <f t="shared" si="48"/>
        <v>#N/A</v>
      </c>
      <c r="AD247" t="e">
        <f t="shared" si="49"/>
        <v>#N/A</v>
      </c>
      <c r="AE247" t="e">
        <f t="shared" si="50"/>
        <v>#N/A</v>
      </c>
      <c r="AF247" t="e">
        <f t="shared" si="51"/>
        <v>#N/A</v>
      </c>
      <c r="AG247" t="e">
        <f t="shared" si="52"/>
        <v>#N/A</v>
      </c>
      <c r="AH247" t="e">
        <f t="shared" si="59"/>
        <v>#N/A</v>
      </c>
      <c r="AI247" t="e">
        <f t="shared" si="53"/>
        <v>#N/A</v>
      </c>
      <c r="AJ247">
        <f t="shared" si="54"/>
        <v>0</v>
      </c>
      <c r="AK247" t="e">
        <f t="shared" si="55"/>
        <v>#N/A</v>
      </c>
      <c r="AL247" t="e">
        <f t="shared" si="56"/>
        <v>#N/A</v>
      </c>
      <c r="AM247" t="e">
        <f t="shared" si="57"/>
        <v>#N/A</v>
      </c>
      <c r="AN24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7" t="e">
        <f t="shared" si="58"/>
        <v>#N/A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0</v>
      </c>
      <c r="V248" cm="1">
        <f t="array" ref="V248">INDEX($F$4:$T$263,ROW(A245),MATCH($W$2,$F$3:$T$3,0))</f>
        <v>0</v>
      </c>
      <c r="W24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8" t="e">
        <f t="shared" si="45"/>
        <v>#N/A</v>
      </c>
      <c r="AA248" t="e">
        <f t="shared" si="46"/>
        <v>#N/A</v>
      </c>
      <c r="AB248" t="e">
        <f t="shared" si="47"/>
        <v>#N/A</v>
      </c>
      <c r="AC248" t="e">
        <f t="shared" si="48"/>
        <v>#N/A</v>
      </c>
      <c r="AD248" t="e">
        <f t="shared" si="49"/>
        <v>#N/A</v>
      </c>
      <c r="AE248" t="e">
        <f t="shared" si="50"/>
        <v>#N/A</v>
      </c>
      <c r="AF248" t="e">
        <f t="shared" si="51"/>
        <v>#N/A</v>
      </c>
      <c r="AG248" t="e">
        <f t="shared" si="52"/>
        <v>#N/A</v>
      </c>
      <c r="AH248" t="e">
        <f t="shared" si="59"/>
        <v>#N/A</v>
      </c>
      <c r="AI248" t="e">
        <f t="shared" si="53"/>
        <v>#N/A</v>
      </c>
      <c r="AJ248">
        <f t="shared" si="54"/>
        <v>0</v>
      </c>
      <c r="AK248" t="e">
        <f t="shared" si="55"/>
        <v>#N/A</v>
      </c>
      <c r="AL248" t="e">
        <f t="shared" si="56"/>
        <v>#N/A</v>
      </c>
      <c r="AM248" t="e">
        <f t="shared" si="57"/>
        <v>#N/A</v>
      </c>
      <c r="AN24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8" t="e">
        <f t="shared" si="58"/>
        <v>#N/A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0</v>
      </c>
      <c r="V249" cm="1">
        <f t="array" ref="V249">INDEX($F$4:$T$263,ROW(A246),MATCH($W$2,$F$3:$T$3,0))</f>
        <v>0</v>
      </c>
      <c r="W24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49" t="e">
        <f t="shared" si="45"/>
        <v>#N/A</v>
      </c>
      <c r="AA249" t="e">
        <f t="shared" si="46"/>
        <v>#N/A</v>
      </c>
      <c r="AB249" t="e">
        <f t="shared" si="47"/>
        <v>#N/A</v>
      </c>
      <c r="AC249" t="e">
        <f t="shared" si="48"/>
        <v>#N/A</v>
      </c>
      <c r="AD249" t="e">
        <f t="shared" si="49"/>
        <v>#N/A</v>
      </c>
      <c r="AE249" t="e">
        <f t="shared" si="50"/>
        <v>#N/A</v>
      </c>
      <c r="AF249" t="e">
        <f t="shared" si="51"/>
        <v>#N/A</v>
      </c>
      <c r="AG249" t="e">
        <f t="shared" si="52"/>
        <v>#N/A</v>
      </c>
      <c r="AH249" t="e">
        <f t="shared" si="59"/>
        <v>#N/A</v>
      </c>
      <c r="AI249" t="e">
        <f t="shared" si="53"/>
        <v>#N/A</v>
      </c>
      <c r="AJ249">
        <f t="shared" si="54"/>
        <v>0</v>
      </c>
      <c r="AK249" t="e">
        <f t="shared" si="55"/>
        <v>#N/A</v>
      </c>
      <c r="AL249" t="e">
        <f t="shared" si="56"/>
        <v>#N/A</v>
      </c>
      <c r="AM249" t="e">
        <f t="shared" si="57"/>
        <v>#N/A</v>
      </c>
      <c r="AN24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4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49" t="e">
        <f t="shared" si="58"/>
        <v>#N/A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0</v>
      </c>
      <c r="V250" cm="1">
        <f t="array" ref="V250">INDEX($F$4:$T$263,ROW(A247),MATCH($W$2,$F$3:$T$3,0))</f>
        <v>0</v>
      </c>
      <c r="W25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0" t="e">
        <f t="shared" si="45"/>
        <v>#N/A</v>
      </c>
      <c r="AA250" t="e">
        <f t="shared" si="46"/>
        <v>#N/A</v>
      </c>
      <c r="AB250" t="e">
        <f t="shared" si="47"/>
        <v>#N/A</v>
      </c>
      <c r="AC250" t="e">
        <f t="shared" si="48"/>
        <v>#N/A</v>
      </c>
      <c r="AD250" t="e">
        <f t="shared" si="49"/>
        <v>#N/A</v>
      </c>
      <c r="AE250" t="e">
        <f t="shared" si="50"/>
        <v>#N/A</v>
      </c>
      <c r="AF250" t="e">
        <f t="shared" si="51"/>
        <v>#N/A</v>
      </c>
      <c r="AG250" t="e">
        <f t="shared" si="52"/>
        <v>#N/A</v>
      </c>
      <c r="AH250" t="e">
        <f t="shared" si="59"/>
        <v>#N/A</v>
      </c>
      <c r="AI250" t="e">
        <f t="shared" si="53"/>
        <v>#N/A</v>
      </c>
      <c r="AJ250">
        <f t="shared" si="54"/>
        <v>0</v>
      </c>
      <c r="AK250" t="e">
        <f t="shared" si="55"/>
        <v>#N/A</v>
      </c>
      <c r="AL250" t="e">
        <f t="shared" si="56"/>
        <v>#N/A</v>
      </c>
      <c r="AM250" t="e">
        <f t="shared" si="57"/>
        <v>#N/A</v>
      </c>
      <c r="AN25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0" t="e">
        <f t="shared" si="58"/>
        <v>#N/A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0</v>
      </c>
      <c r="V251" cm="1">
        <f t="array" ref="V251">INDEX($F$4:$T$263,ROW(A248),MATCH($W$2,$F$3:$T$3,0))</f>
        <v>0</v>
      </c>
      <c r="W25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1" t="e">
        <f t="shared" si="45"/>
        <v>#N/A</v>
      </c>
      <c r="AA251" t="e">
        <f t="shared" si="46"/>
        <v>#N/A</v>
      </c>
      <c r="AB251" t="e">
        <f t="shared" si="47"/>
        <v>#N/A</v>
      </c>
      <c r="AC251" t="e">
        <f t="shared" si="48"/>
        <v>#N/A</v>
      </c>
      <c r="AD251" t="e">
        <f t="shared" si="49"/>
        <v>#N/A</v>
      </c>
      <c r="AE251" t="e">
        <f t="shared" si="50"/>
        <v>#N/A</v>
      </c>
      <c r="AF251" t="e">
        <f t="shared" si="51"/>
        <v>#N/A</v>
      </c>
      <c r="AG251" t="e">
        <f t="shared" si="52"/>
        <v>#N/A</v>
      </c>
      <c r="AH251" t="e">
        <f t="shared" si="59"/>
        <v>#N/A</v>
      </c>
      <c r="AI251" t="e">
        <f t="shared" si="53"/>
        <v>#N/A</v>
      </c>
      <c r="AJ251">
        <f t="shared" si="54"/>
        <v>0</v>
      </c>
      <c r="AK251" t="e">
        <f t="shared" si="55"/>
        <v>#N/A</v>
      </c>
      <c r="AL251" t="e">
        <f t="shared" si="56"/>
        <v>#N/A</v>
      </c>
      <c r="AM251" t="e">
        <f t="shared" si="57"/>
        <v>#N/A</v>
      </c>
      <c r="AN25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1" t="e">
        <f t="shared" si="58"/>
        <v>#N/A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0</v>
      </c>
      <c r="V252" cm="1">
        <f t="array" ref="V252">INDEX($F$4:$T$263,ROW(A249),MATCH($W$2,$F$3:$T$3,0))</f>
        <v>0</v>
      </c>
      <c r="W25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2" t="e">
        <f t="shared" si="45"/>
        <v>#N/A</v>
      </c>
      <c r="AA252" t="e">
        <f t="shared" si="46"/>
        <v>#N/A</v>
      </c>
      <c r="AB252" t="e">
        <f t="shared" si="47"/>
        <v>#N/A</v>
      </c>
      <c r="AC252" t="e">
        <f t="shared" si="48"/>
        <v>#N/A</v>
      </c>
      <c r="AD252" t="e">
        <f t="shared" si="49"/>
        <v>#N/A</v>
      </c>
      <c r="AE252" t="e">
        <f t="shared" si="50"/>
        <v>#N/A</v>
      </c>
      <c r="AF252" t="e">
        <f t="shared" si="51"/>
        <v>#N/A</v>
      </c>
      <c r="AG252" t="e">
        <f t="shared" si="52"/>
        <v>#N/A</v>
      </c>
      <c r="AH252" t="e">
        <f t="shared" si="59"/>
        <v>#N/A</v>
      </c>
      <c r="AI252" t="e">
        <f t="shared" si="53"/>
        <v>#N/A</v>
      </c>
      <c r="AJ252">
        <f t="shared" si="54"/>
        <v>0</v>
      </c>
      <c r="AK252" t="e">
        <f t="shared" si="55"/>
        <v>#N/A</v>
      </c>
      <c r="AL252" t="e">
        <f t="shared" si="56"/>
        <v>#N/A</v>
      </c>
      <c r="AM252" t="e">
        <f t="shared" si="57"/>
        <v>#N/A</v>
      </c>
      <c r="AN25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2" t="e">
        <f t="shared" si="58"/>
        <v>#N/A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0</v>
      </c>
      <c r="V253" cm="1">
        <f t="array" ref="V253">INDEX($F$4:$T$263,ROW(A250),MATCH($W$2,$F$3:$T$3,0))</f>
        <v>0</v>
      </c>
      <c r="W25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3" t="e">
        <f t="shared" si="45"/>
        <v>#N/A</v>
      </c>
      <c r="AA253" t="e">
        <f t="shared" si="46"/>
        <v>#N/A</v>
      </c>
      <c r="AB253" t="e">
        <f t="shared" si="47"/>
        <v>#N/A</v>
      </c>
      <c r="AC253" t="e">
        <f t="shared" si="48"/>
        <v>#N/A</v>
      </c>
      <c r="AD253" t="e">
        <f t="shared" si="49"/>
        <v>#N/A</v>
      </c>
      <c r="AE253" t="e">
        <f t="shared" si="50"/>
        <v>#N/A</v>
      </c>
      <c r="AF253" t="e">
        <f t="shared" si="51"/>
        <v>#N/A</v>
      </c>
      <c r="AG253" t="e">
        <f t="shared" si="52"/>
        <v>#N/A</v>
      </c>
      <c r="AH253" t="e">
        <f t="shared" si="59"/>
        <v>#N/A</v>
      </c>
      <c r="AI253" t="e">
        <f t="shared" si="53"/>
        <v>#N/A</v>
      </c>
      <c r="AJ253">
        <f t="shared" si="54"/>
        <v>0</v>
      </c>
      <c r="AK253" t="e">
        <f t="shared" si="55"/>
        <v>#N/A</v>
      </c>
      <c r="AL253" t="e">
        <f t="shared" si="56"/>
        <v>#N/A</v>
      </c>
      <c r="AM253" t="e">
        <f t="shared" si="57"/>
        <v>#N/A</v>
      </c>
      <c r="AN25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3" t="e">
        <f t="shared" si="58"/>
        <v>#N/A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0</v>
      </c>
      <c r="V254" cm="1">
        <f t="array" ref="V254">INDEX($F$4:$T$263,ROW(A251),MATCH($W$2,$F$3:$T$3,0))</f>
        <v>0</v>
      </c>
      <c r="W254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4" t="e">
        <f t="shared" si="45"/>
        <v>#N/A</v>
      </c>
      <c r="AA254" t="e">
        <f t="shared" si="46"/>
        <v>#N/A</v>
      </c>
      <c r="AB254" t="e">
        <f t="shared" si="47"/>
        <v>#N/A</v>
      </c>
      <c r="AC254" t="e">
        <f t="shared" si="48"/>
        <v>#N/A</v>
      </c>
      <c r="AD254" t="e">
        <f t="shared" si="49"/>
        <v>#N/A</v>
      </c>
      <c r="AE254" t="e">
        <f t="shared" si="50"/>
        <v>#N/A</v>
      </c>
      <c r="AF254" t="e">
        <f t="shared" si="51"/>
        <v>#N/A</v>
      </c>
      <c r="AG254" t="e">
        <f t="shared" si="52"/>
        <v>#N/A</v>
      </c>
      <c r="AH254" t="e">
        <f t="shared" si="59"/>
        <v>#N/A</v>
      </c>
      <c r="AI254" t="e">
        <f t="shared" si="53"/>
        <v>#N/A</v>
      </c>
      <c r="AJ254">
        <f t="shared" si="54"/>
        <v>0</v>
      </c>
      <c r="AK254" t="e">
        <f t="shared" si="55"/>
        <v>#N/A</v>
      </c>
      <c r="AL254" t="e">
        <f t="shared" si="56"/>
        <v>#N/A</v>
      </c>
      <c r="AM254" t="e">
        <f t="shared" si="57"/>
        <v>#N/A</v>
      </c>
      <c r="AN254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4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4" t="e">
        <f t="shared" si="58"/>
        <v>#N/A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0</v>
      </c>
      <c r="V255" cm="1">
        <f t="array" ref="V255">INDEX($F$4:$T$263,ROW(A252),MATCH($W$2,$F$3:$T$3,0))</f>
        <v>0</v>
      </c>
      <c r="W255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5" t="e">
        <f t="shared" si="45"/>
        <v>#N/A</v>
      </c>
      <c r="AA255" t="e">
        <f t="shared" si="46"/>
        <v>#N/A</v>
      </c>
      <c r="AB255" t="e">
        <f t="shared" si="47"/>
        <v>#N/A</v>
      </c>
      <c r="AC255" t="e">
        <f t="shared" si="48"/>
        <v>#N/A</v>
      </c>
      <c r="AD255" t="e">
        <f t="shared" si="49"/>
        <v>#N/A</v>
      </c>
      <c r="AE255" t="e">
        <f t="shared" si="50"/>
        <v>#N/A</v>
      </c>
      <c r="AF255" t="e">
        <f t="shared" si="51"/>
        <v>#N/A</v>
      </c>
      <c r="AG255" t="e">
        <f t="shared" si="52"/>
        <v>#N/A</v>
      </c>
      <c r="AH255" t="e">
        <f t="shared" si="59"/>
        <v>#N/A</v>
      </c>
      <c r="AI255" t="e">
        <f t="shared" si="53"/>
        <v>#N/A</v>
      </c>
      <c r="AJ255">
        <f t="shared" si="54"/>
        <v>0</v>
      </c>
      <c r="AK255" t="e">
        <f t="shared" si="55"/>
        <v>#N/A</v>
      </c>
      <c r="AL255" t="e">
        <f t="shared" si="56"/>
        <v>#N/A</v>
      </c>
      <c r="AM255" t="e">
        <f t="shared" si="57"/>
        <v>#N/A</v>
      </c>
      <c r="AN255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5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5" t="e">
        <f t="shared" si="58"/>
        <v>#N/A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0</v>
      </c>
      <c r="V256" cm="1">
        <f t="array" ref="V256">INDEX($F$4:$T$263,ROW(A253),MATCH($W$2,$F$3:$T$3,0))</f>
        <v>0</v>
      </c>
      <c r="W256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6" t="e">
        <f t="shared" si="45"/>
        <v>#N/A</v>
      </c>
      <c r="AA256" t="e">
        <f t="shared" si="46"/>
        <v>#N/A</v>
      </c>
      <c r="AB256" t="e">
        <f t="shared" si="47"/>
        <v>#N/A</v>
      </c>
      <c r="AC256" t="e">
        <f t="shared" si="48"/>
        <v>#N/A</v>
      </c>
      <c r="AD256" t="e">
        <f t="shared" si="49"/>
        <v>#N/A</v>
      </c>
      <c r="AE256" t="e">
        <f t="shared" si="50"/>
        <v>#N/A</v>
      </c>
      <c r="AF256" t="e">
        <f t="shared" si="51"/>
        <v>#N/A</v>
      </c>
      <c r="AG256" t="e">
        <f t="shared" si="52"/>
        <v>#N/A</v>
      </c>
      <c r="AH256" t="e">
        <f t="shared" si="59"/>
        <v>#N/A</v>
      </c>
      <c r="AI256" t="e">
        <f t="shared" si="53"/>
        <v>#N/A</v>
      </c>
      <c r="AJ256">
        <f t="shared" si="54"/>
        <v>0</v>
      </c>
      <c r="AK256" t="e">
        <f t="shared" si="55"/>
        <v>#N/A</v>
      </c>
      <c r="AL256" t="e">
        <f t="shared" si="56"/>
        <v>#N/A</v>
      </c>
      <c r="AM256" t="e">
        <f t="shared" si="57"/>
        <v>#N/A</v>
      </c>
      <c r="AN256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6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6" t="e">
        <f t="shared" si="58"/>
        <v>#N/A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0</v>
      </c>
      <c r="V257" cm="1">
        <f t="array" ref="V257">INDEX($F$4:$T$263,ROW(A254),MATCH($W$2,$F$3:$T$3,0))</f>
        <v>0</v>
      </c>
      <c r="W257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7" t="e">
        <f t="shared" si="45"/>
        <v>#N/A</v>
      </c>
      <c r="AA257" t="e">
        <f t="shared" si="46"/>
        <v>#N/A</v>
      </c>
      <c r="AB257" t="e">
        <f t="shared" si="47"/>
        <v>#N/A</v>
      </c>
      <c r="AC257" t="e">
        <f t="shared" si="48"/>
        <v>#N/A</v>
      </c>
      <c r="AD257" t="e">
        <f t="shared" si="49"/>
        <v>#N/A</v>
      </c>
      <c r="AE257" t="e">
        <f t="shared" si="50"/>
        <v>#N/A</v>
      </c>
      <c r="AF257" t="e">
        <f t="shared" si="51"/>
        <v>#N/A</v>
      </c>
      <c r="AG257" t="e">
        <f t="shared" si="52"/>
        <v>#N/A</v>
      </c>
      <c r="AH257" t="e">
        <f t="shared" si="59"/>
        <v>#N/A</v>
      </c>
      <c r="AI257" t="e">
        <f t="shared" si="53"/>
        <v>#N/A</v>
      </c>
      <c r="AJ257">
        <f t="shared" si="54"/>
        <v>0</v>
      </c>
      <c r="AK257" t="e">
        <f t="shared" si="55"/>
        <v>#N/A</v>
      </c>
      <c r="AL257" t="e">
        <f t="shared" si="56"/>
        <v>#N/A</v>
      </c>
      <c r="AM257" t="e">
        <f t="shared" si="57"/>
        <v>#N/A</v>
      </c>
      <c r="AN257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7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7" t="e">
        <f t="shared" si="58"/>
        <v>#N/A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0</v>
      </c>
      <c r="V258" cm="1">
        <f t="array" ref="V258">INDEX($F$4:$T$263,ROW(A255),MATCH($W$2,$F$3:$T$3,0))</f>
        <v>0</v>
      </c>
      <c r="W258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8" t="e">
        <f t="shared" si="45"/>
        <v>#N/A</v>
      </c>
      <c r="AA258" t="e">
        <f t="shared" si="46"/>
        <v>#N/A</v>
      </c>
      <c r="AB258" t="e">
        <f t="shared" si="47"/>
        <v>#N/A</v>
      </c>
      <c r="AC258" t="e">
        <f t="shared" si="48"/>
        <v>#N/A</v>
      </c>
      <c r="AD258" t="e">
        <f t="shared" si="49"/>
        <v>#N/A</v>
      </c>
      <c r="AE258" t="e">
        <f t="shared" si="50"/>
        <v>#N/A</v>
      </c>
      <c r="AF258" t="e">
        <f t="shared" si="51"/>
        <v>#N/A</v>
      </c>
      <c r="AG258" t="e">
        <f t="shared" si="52"/>
        <v>#N/A</v>
      </c>
      <c r="AH258" t="e">
        <f t="shared" si="59"/>
        <v>#N/A</v>
      </c>
      <c r="AI258" t="e">
        <f t="shared" si="53"/>
        <v>#N/A</v>
      </c>
      <c r="AJ258">
        <f t="shared" si="54"/>
        <v>0</v>
      </c>
      <c r="AK258" t="e">
        <f t="shared" si="55"/>
        <v>#N/A</v>
      </c>
      <c r="AL258" t="e">
        <f t="shared" si="56"/>
        <v>#N/A</v>
      </c>
      <c r="AM258" t="e">
        <f t="shared" si="57"/>
        <v>#N/A</v>
      </c>
      <c r="AN258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8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8" t="e">
        <f t="shared" si="58"/>
        <v>#N/A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0</v>
      </c>
      <c r="V259" cm="1">
        <f t="array" ref="V259">INDEX($F$4:$T$263,ROW(A256),MATCH($W$2,$F$3:$T$3,0))</f>
        <v>0</v>
      </c>
      <c r="W259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59" t="e">
        <f t="shared" si="45"/>
        <v>#N/A</v>
      </c>
      <c r="AA259" t="e">
        <f t="shared" si="46"/>
        <v>#N/A</v>
      </c>
      <c r="AB259" t="e">
        <f t="shared" si="47"/>
        <v>#N/A</v>
      </c>
      <c r="AC259" t="e">
        <f t="shared" si="48"/>
        <v>#N/A</v>
      </c>
      <c r="AD259" t="e">
        <f t="shared" si="49"/>
        <v>#N/A</v>
      </c>
      <c r="AE259" t="e">
        <f t="shared" si="50"/>
        <v>#N/A</v>
      </c>
      <c r="AF259" t="e">
        <f t="shared" si="51"/>
        <v>#N/A</v>
      </c>
      <c r="AG259" t="e">
        <f t="shared" si="52"/>
        <v>#N/A</v>
      </c>
      <c r="AH259" t="e">
        <f t="shared" si="59"/>
        <v>#N/A</v>
      </c>
      <c r="AI259" t="e">
        <f t="shared" si="53"/>
        <v>#N/A</v>
      </c>
      <c r="AJ259">
        <f t="shared" si="54"/>
        <v>0</v>
      </c>
      <c r="AK259" t="e">
        <f t="shared" si="55"/>
        <v>#N/A</v>
      </c>
      <c r="AL259" t="e">
        <f t="shared" si="56"/>
        <v>#N/A</v>
      </c>
      <c r="AM259" t="e">
        <f t="shared" si="57"/>
        <v>#N/A</v>
      </c>
      <c r="AN259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59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59" t="e">
        <f t="shared" si="58"/>
        <v>#N/A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0</v>
      </c>
      <c r="V260" cm="1">
        <f t="array" ref="V260">INDEX($F$4:$T$263,ROW(A257),MATCH($W$2,$F$3:$T$3,0))</f>
        <v>0</v>
      </c>
      <c r="W260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0" t="e">
        <f t="shared" si="45"/>
        <v>#N/A</v>
      </c>
      <c r="AA260" t="e">
        <f t="shared" si="46"/>
        <v>#N/A</v>
      </c>
      <c r="AB260" t="e">
        <f t="shared" si="47"/>
        <v>#N/A</v>
      </c>
      <c r="AC260" t="e">
        <f t="shared" si="48"/>
        <v>#N/A</v>
      </c>
      <c r="AD260" t="e">
        <f t="shared" si="49"/>
        <v>#N/A</v>
      </c>
      <c r="AE260" t="e">
        <f t="shared" si="50"/>
        <v>#N/A</v>
      </c>
      <c r="AF260" t="e">
        <f t="shared" si="51"/>
        <v>#N/A</v>
      </c>
      <c r="AG260" t="e">
        <f t="shared" si="52"/>
        <v>#N/A</v>
      </c>
      <c r="AH260" t="e">
        <f t="shared" si="59"/>
        <v>#N/A</v>
      </c>
      <c r="AI260" t="e">
        <f t="shared" si="53"/>
        <v>#N/A</v>
      </c>
      <c r="AJ260">
        <f t="shared" si="54"/>
        <v>0</v>
      </c>
      <c r="AK260" t="e">
        <f t="shared" si="55"/>
        <v>#N/A</v>
      </c>
      <c r="AL260" t="e">
        <f t="shared" si="56"/>
        <v>#N/A</v>
      </c>
      <c r="AM260" t="e">
        <f t="shared" si="57"/>
        <v>#N/A</v>
      </c>
      <c r="AN260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0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0" t="e">
        <f t="shared" si="58"/>
        <v>#N/A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0</v>
      </c>
      <c r="V261" cm="1">
        <f t="array" ref="V261">INDEX($F$4:$T$263,ROW(A258),MATCH($W$2,$F$3:$T$3,0))</f>
        <v>0</v>
      </c>
      <c r="W261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1" t="e">
        <f>Y261/1.128</f>
        <v>#N/A</v>
      </c>
      <c r="AA261" t="e">
        <f>MAX(0,W261-(3*Z261))</f>
        <v>#N/A</v>
      </c>
      <c r="AB261" t="e">
        <f>MAX(0,W261-(2*Z261))</f>
        <v>#N/A</v>
      </c>
      <c r="AC261" t="e">
        <f>MAX(0,W261-Z261)</f>
        <v>#N/A</v>
      </c>
      <c r="AD261" t="e">
        <f>W261+Z261</f>
        <v>#N/A</v>
      </c>
      <c r="AE261" t="e">
        <f>W261+(2*Z261)</f>
        <v>#N/A</v>
      </c>
      <c r="AF261" t="e">
        <f>W261+(3*Z261)</f>
        <v>#N/A</v>
      </c>
      <c r="AG261" t="e">
        <f>IF(OR(V261&gt;AF261,V261&lt;AA261),V261,NA())</f>
        <v>#N/A</v>
      </c>
      <c r="AH261" t="e">
        <f t="shared" si="59"/>
        <v>#N/A</v>
      </c>
      <c r="AI261" t="e">
        <f>IF(ABS(SUM(AH261:AH263))&gt;=5,V261,NA())</f>
        <v>#N/A</v>
      </c>
      <c r="AJ261">
        <f>IF(V262&gt;V261,1,IF(V262&lt;V261,-1,0))</f>
        <v>0</v>
      </c>
      <c r="AK261" t="e">
        <f>IF(ABS(SUM(AJ261:AJ266))=6,V261,NA())</f>
        <v>#N/A</v>
      </c>
      <c r="AL261" t="e">
        <f>IF(V261&lt;W261,-1,IF(V261&gt;W261,1,0))</f>
        <v>#N/A</v>
      </c>
      <c r="AM261" t="e">
        <f>IF(ABS(SUM(AL261:AL269))=9,V261,NA())</f>
        <v>#N/A</v>
      </c>
      <c r="AN261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1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1" t="e">
        <f>AO261-AN261</f>
        <v>#N/A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0</v>
      </c>
      <c r="V262" cm="1">
        <f t="array" ref="V262">INDEX($F$4:$T$263,ROW(A259),MATCH($W$2,$F$3:$T$3,0))</f>
        <v>0</v>
      </c>
      <c r="W262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2" t="e">
        <f>Y262/1.128</f>
        <v>#N/A</v>
      </c>
      <c r="AA262" t="e">
        <f>MAX(0,W262-(3*Z262))</f>
        <v>#N/A</v>
      </c>
      <c r="AB262" t="e">
        <f>MAX(0,W262-(2*Z262))</f>
        <v>#N/A</v>
      </c>
      <c r="AC262" t="e">
        <f>MAX(0,W262-Z262)</f>
        <v>#N/A</v>
      </c>
      <c r="AD262" t="e">
        <f>W262+Z262</f>
        <v>#N/A</v>
      </c>
      <c r="AE262" t="e">
        <f>W262+(2*Z262)</f>
        <v>#N/A</v>
      </c>
      <c r="AF262" t="e">
        <f>W262+(3*Z262)</f>
        <v>#N/A</v>
      </c>
      <c r="AG262" t="e">
        <f>IF(OR(V262&gt;AF262,V262&lt;AA262),V262,NA())</f>
        <v>#N/A</v>
      </c>
      <c r="AH262" t="e">
        <f>IF(V262&gt;AE262,2,IF(V262&lt;AB262,-2,IF(V262&gt;W262,1,IF(V262&lt;W262,-1,0))))</f>
        <v>#N/A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 t="e">
        <f>IF(V262&lt;W262,-1,IF(V262&gt;W262,1,0))</f>
        <v>#N/A</v>
      </c>
      <c r="AM262" t="e">
        <f>IF(ABS(SUM(AL262:AL270))=9,V262,NA())</f>
        <v>#N/A</v>
      </c>
      <c r="AN262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2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2" t="e">
        <f>AO262-AN262</f>
        <v>#N/A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0</v>
      </c>
      <c r="V263" cm="1">
        <f t="array" ref="V263">INDEX($F$4:$T$263,ROW(A260),MATCH($W$2,$F$3:$T$3,0))</f>
        <v>0</v>
      </c>
      <c r="W263" t="e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#N/A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#N/A</v>
      </c>
      <c r="Z263" t="e">
        <f>Y263/1.128</f>
        <v>#N/A</v>
      </c>
      <c r="AA263" t="e">
        <f>MAX(0,W263-(3*Z263))</f>
        <v>#N/A</v>
      </c>
      <c r="AB263" t="e">
        <f>MAX(0,W263-(2*Z263))</f>
        <v>#N/A</v>
      </c>
      <c r="AC263" t="e">
        <f>MAX(0,W263-Z263)</f>
        <v>#N/A</v>
      </c>
      <c r="AD263" t="e">
        <f>W263+Z263</f>
        <v>#N/A</v>
      </c>
      <c r="AE263" t="e">
        <f>W263+(2*Z263)</f>
        <v>#N/A</v>
      </c>
      <c r="AF263" t="e">
        <f>W263+(3*Z263)</f>
        <v>#N/A</v>
      </c>
      <c r="AG263" t="e">
        <f>IF(OR(V263&gt;AF263,V263&lt;AA263),V263,NA())</f>
        <v>#N/A</v>
      </c>
      <c r="AH263" t="e">
        <f>IF(V263&gt;AE263,2,IF(V263&lt;AB263,-2,IF(V263&gt;W263,1,IF(V263&lt;W263,-1,0))))</f>
        <v>#N/A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 t="e">
        <f>IF(V263&lt;W263,-1,IF(V263&gt;W263,1,0))</f>
        <v>#N/A</v>
      </c>
      <c r="AM263" t="e">
        <f>IF(ABS(SUM(AL263:AL271))=9,V263,NA())</f>
        <v>#N/A</v>
      </c>
      <c r="AN263" t="e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#N/A</v>
      </c>
      <c r="AO263" t="e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#N/A</v>
      </c>
      <c r="AP263" t="e">
        <f>AO263-AN263</f>
        <v>#N/A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showRowColHeaders="0" workbookViewId="0">
      <selection activeCell="C5" sqref="C5:G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5" t="s">
        <v>166</v>
      </c>
    </row>
    <row r="3" spans="1:24" ht="15" thickBot="1" x14ac:dyDescent="0.4"/>
    <row r="4" spans="1:24" ht="29.5" thickBot="1" x14ac:dyDescent="0.4">
      <c r="B4" s="90" t="str">
        <f>Setup!B15</f>
        <v>Caseloads</v>
      </c>
      <c r="C4" s="91" t="s">
        <v>187</v>
      </c>
      <c r="D4" s="91" t="s">
        <v>180</v>
      </c>
      <c r="E4" s="90" t="s">
        <v>161</v>
      </c>
      <c r="F4" s="90" t="s">
        <v>162</v>
      </c>
      <c r="G4" s="90" t="s">
        <v>88</v>
      </c>
      <c r="H4" s="90" t="s">
        <v>167</v>
      </c>
      <c r="I4" s="90" t="s">
        <v>178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x14ac:dyDescent="0.35">
      <c r="B5" s="37" t="str">
        <f>Setup!A20</f>
        <v>Caseload 1</v>
      </c>
      <c r="C5" s="146"/>
      <c r="D5" s="146"/>
      <c r="E5" s="147"/>
      <c r="F5" s="147"/>
      <c r="G5" s="139"/>
      <c r="H5" s="101">
        <f t="shared" ref="H5:H20" si="0">IF(G5="Weeks",C5*((E5*7)+(F5*7-E5*7)/2),C5*(E5+(F5-E5)/2))</f>
        <v>0</v>
      </c>
      <c r="I5" s="74" t="str">
        <f>IF(H5&lt;&gt;0,TEXT(H5-(H5/100*5),"#")&amp;" - "&amp;TEXT(H5+(H5/100*5),"#"),"")</f>
        <v/>
      </c>
      <c r="J5" s="24">
        <f>H5-(H5/100*5)</f>
        <v>0</v>
      </c>
      <c r="K5" s="24">
        <f>H5+(H5/100*5)</f>
        <v>0</v>
      </c>
      <c r="L5" s="24">
        <f>K5-J5</f>
        <v>0</v>
      </c>
      <c r="M5" s="105">
        <f>MAX(0,D5-J5)</f>
        <v>0</v>
      </c>
      <c r="N5" s="105">
        <f>MAX(0,D5-K5)</f>
        <v>0</v>
      </c>
      <c r="O5" s="24" t="str">
        <f>IF(TEXT(N5,"#")="",0,TEXT(N5,"#"))&amp;" - "&amp;IF(TEXT(M5,"#")="",0,TEXT(M5,"#"))</f>
        <v>0 - 0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0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0</v>
      </c>
      <c r="T5" s="24" t="str">
        <f>IF(TEXT(P5,"#")="",0,TEXT(P5,"#"))&amp;" - "&amp;IF(TEXT(Q5,"#")="",0,TEXT(Q5,"#"))</f>
        <v>0 - 0</v>
      </c>
      <c r="U5" s="24" t="str">
        <f>IF(TEXT(R5,"#")="",0,TEXT(R5,"#"))&amp;" - "&amp;IF(TEXT(S5,"#")="",0,TEXT(S5,"#"))</f>
        <v>0 - 0</v>
      </c>
      <c r="V5" s="24">
        <f>P5+R5</f>
        <v>0</v>
      </c>
      <c r="W5" s="24">
        <f>Q5+S5</f>
        <v>0</v>
      </c>
      <c r="X5" s="24" t="str">
        <f>IF(TEXT(P5+R5,"#")="",0,TEXT(P5+R5,"#"))&amp;" - "&amp;IF(TEXT(Q5+S5,"#")="",0,TEXT(Q5+S5,"#"))</f>
        <v>0 - 0</v>
      </c>
    </row>
    <row r="6" spans="1:24" x14ac:dyDescent="0.35">
      <c r="B6" s="47" t="str">
        <f>Setup!A21</f>
        <v>Caseload 2</v>
      </c>
      <c r="C6" s="148"/>
      <c r="D6" s="148"/>
      <c r="E6" s="149"/>
      <c r="F6" s="149"/>
      <c r="G6" s="140"/>
      <c r="H6" s="102">
        <f t="shared" si="0"/>
        <v>0</v>
      </c>
      <c r="I6" s="75" t="str">
        <f t="shared" ref="I6:I20" si="1">IF(H6&lt;&gt;0,TEXT(H6-(H6/100*5),"#")&amp;" - "&amp;TEXT(H6+(H6/100*5),"#"),"")</f>
        <v/>
      </c>
      <c r="J6" s="24">
        <f t="shared" ref="J6:J19" si="2">H6-(H6/100*5)</f>
        <v>0</v>
      </c>
      <c r="K6" s="24">
        <f t="shared" ref="K6:K19" si="3">H6+(H6/100*5)</f>
        <v>0</v>
      </c>
      <c r="L6" s="24">
        <f t="shared" ref="L6:L19" si="4">K6-J6</f>
        <v>0</v>
      </c>
      <c r="M6" s="105">
        <f t="shared" ref="M6:M20" si="5">MAX(0,D6-J6)</f>
        <v>0</v>
      </c>
      <c r="N6" s="105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x14ac:dyDescent="0.35">
      <c r="B7" s="47" t="str">
        <f>Setup!A22</f>
        <v>Caseload 3</v>
      </c>
      <c r="C7" s="148"/>
      <c r="D7" s="148"/>
      <c r="E7" s="149"/>
      <c r="F7" s="149"/>
      <c r="G7" s="140"/>
      <c r="H7" s="102">
        <f t="shared" si="0"/>
        <v>0</v>
      </c>
      <c r="I7" s="75" t="str">
        <f t="shared" si="1"/>
        <v/>
      </c>
      <c r="J7" s="24">
        <f t="shared" si="2"/>
        <v>0</v>
      </c>
      <c r="K7" s="24">
        <f t="shared" si="3"/>
        <v>0</v>
      </c>
      <c r="L7" s="24">
        <f t="shared" si="4"/>
        <v>0</v>
      </c>
      <c r="M7" s="105">
        <f t="shared" si="5"/>
        <v>0</v>
      </c>
      <c r="N7" s="105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x14ac:dyDescent="0.35">
      <c r="B8" s="47" t="str">
        <f>Setup!A23</f>
        <v>Caseload 4</v>
      </c>
      <c r="C8" s="148"/>
      <c r="D8" s="148"/>
      <c r="E8" s="149"/>
      <c r="F8" s="149"/>
      <c r="G8" s="140"/>
      <c r="H8" s="102">
        <f t="shared" si="0"/>
        <v>0</v>
      </c>
      <c r="I8" s="75" t="str">
        <f t="shared" si="1"/>
        <v/>
      </c>
      <c r="J8" s="24">
        <f t="shared" si="2"/>
        <v>0</v>
      </c>
      <c r="K8" s="24">
        <f t="shared" si="3"/>
        <v>0</v>
      </c>
      <c r="L8" s="24">
        <f t="shared" si="4"/>
        <v>0</v>
      </c>
      <c r="M8" s="105">
        <f t="shared" si="5"/>
        <v>0</v>
      </c>
      <c r="N8" s="105">
        <f t="shared" si="6"/>
        <v>0</v>
      </c>
      <c r="O8" s="24" t="str">
        <f t="shared" si="7"/>
        <v>0 - 0</v>
      </c>
      <c r="P8" s="24">
        <f>(N8*INDEX(Service!$B$6:$J$80,MATCH(B8,Service!$B$6:$B$80,0),8))/IF(Summary!$B$7="hours",60,1)</f>
        <v>0</v>
      </c>
      <c r="Q8" s="24">
        <f>(M8*INDEX(Service!$B$6:$J$80,MATCH(B8,Service!$B$6:$B$80,0),8))/IF(Summary!$B$7="hours",60,1)</f>
        <v>0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0 - 0</v>
      </c>
      <c r="U8" s="24" t="str">
        <f t="shared" si="9"/>
        <v>0 - 0</v>
      </c>
      <c r="V8" s="24">
        <f t="shared" si="10"/>
        <v>0</v>
      </c>
      <c r="W8" s="24">
        <f t="shared" si="11"/>
        <v>0</v>
      </c>
      <c r="X8" s="24" t="str">
        <f t="shared" si="12"/>
        <v>0 - 0</v>
      </c>
    </row>
    <row r="9" spans="1:24" x14ac:dyDescent="0.35">
      <c r="B9" s="47" t="str">
        <f>Setup!A24</f>
        <v>Caseload 5</v>
      </c>
      <c r="C9" s="148"/>
      <c r="D9" s="148"/>
      <c r="E9" s="149"/>
      <c r="F9" s="149"/>
      <c r="G9" s="140"/>
      <c r="H9" s="102">
        <f t="shared" si="0"/>
        <v>0</v>
      </c>
      <c r="I9" s="75" t="str">
        <f t="shared" si="1"/>
        <v/>
      </c>
      <c r="J9" s="24">
        <f t="shared" si="2"/>
        <v>0</v>
      </c>
      <c r="K9" s="24">
        <f t="shared" si="3"/>
        <v>0</v>
      </c>
      <c r="L9" s="24">
        <f t="shared" si="4"/>
        <v>0</v>
      </c>
      <c r="M9" s="105">
        <f t="shared" si="5"/>
        <v>0</v>
      </c>
      <c r="N9" s="105">
        <f t="shared" si="6"/>
        <v>0</v>
      </c>
      <c r="O9" s="24" t="str">
        <f t="shared" si="7"/>
        <v>0 - 0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0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0 - 0</v>
      </c>
      <c r="U9" s="24" t="str">
        <f t="shared" si="9"/>
        <v>0 - 0</v>
      </c>
      <c r="V9" s="24">
        <f t="shared" si="10"/>
        <v>0</v>
      </c>
      <c r="W9" s="24">
        <f t="shared" si="11"/>
        <v>0</v>
      </c>
      <c r="X9" s="24" t="str">
        <f t="shared" si="12"/>
        <v>0 - 0</v>
      </c>
    </row>
    <row r="10" spans="1:24" x14ac:dyDescent="0.35">
      <c r="B10" s="47" t="str">
        <f>Setup!A25</f>
        <v>Caseload 6</v>
      </c>
      <c r="C10" s="150"/>
      <c r="D10" s="148"/>
      <c r="E10" s="149"/>
      <c r="F10" s="149"/>
      <c r="G10" s="140"/>
      <c r="H10" s="102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05">
        <f t="shared" si="5"/>
        <v>0</v>
      </c>
      <c r="N10" s="105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x14ac:dyDescent="0.35">
      <c r="B11" s="47" t="str">
        <f>Setup!A26</f>
        <v>Caseload 7</v>
      </c>
      <c r="C11" s="150"/>
      <c r="D11" s="148"/>
      <c r="E11" s="149"/>
      <c r="F11" s="149"/>
      <c r="G11" s="140"/>
      <c r="H11" s="102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05">
        <f t="shared" si="5"/>
        <v>0</v>
      </c>
      <c r="N11" s="105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x14ac:dyDescent="0.35">
      <c r="B12" s="47" t="str">
        <f>Setup!A27</f>
        <v>Caseload 8</v>
      </c>
      <c r="C12" s="150"/>
      <c r="D12" s="148"/>
      <c r="E12" s="149"/>
      <c r="F12" s="149"/>
      <c r="G12" s="140"/>
      <c r="H12" s="102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05">
        <f t="shared" si="5"/>
        <v>0</v>
      </c>
      <c r="N12" s="105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x14ac:dyDescent="0.35">
      <c r="B13" s="47" t="str">
        <f>Setup!A28</f>
        <v>Caseload 9</v>
      </c>
      <c r="C13" s="150"/>
      <c r="D13" s="148"/>
      <c r="E13" s="149"/>
      <c r="F13" s="149"/>
      <c r="G13" s="140"/>
      <c r="H13" s="102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05">
        <f t="shared" si="5"/>
        <v>0</v>
      </c>
      <c r="N13" s="105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x14ac:dyDescent="0.35">
      <c r="B14" s="47" t="str">
        <f>Setup!A29</f>
        <v>Caseload 10</v>
      </c>
      <c r="C14" s="150"/>
      <c r="D14" s="148"/>
      <c r="E14" s="149"/>
      <c r="F14" s="149"/>
      <c r="G14" s="140"/>
      <c r="H14" s="102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05">
        <f t="shared" si="5"/>
        <v>0</v>
      </c>
      <c r="N14" s="105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x14ac:dyDescent="0.35">
      <c r="B15" s="47" t="str">
        <f>Setup!A30</f>
        <v>Caseload 11</v>
      </c>
      <c r="C15" s="150"/>
      <c r="D15" s="148"/>
      <c r="E15" s="149"/>
      <c r="F15" s="149"/>
      <c r="G15" s="140"/>
      <c r="H15" s="102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05">
        <f t="shared" si="5"/>
        <v>0</v>
      </c>
      <c r="N15" s="105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x14ac:dyDescent="0.35">
      <c r="B16" s="47" t="str">
        <f>Setup!A31</f>
        <v>Caseload 12</v>
      </c>
      <c r="C16" s="150"/>
      <c r="D16" s="148"/>
      <c r="E16" s="149"/>
      <c r="F16" s="149"/>
      <c r="G16" s="140"/>
      <c r="H16" s="102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05">
        <f t="shared" si="5"/>
        <v>0</v>
      </c>
      <c r="N16" s="105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2:24" x14ac:dyDescent="0.35">
      <c r="B17" s="47" t="str">
        <f>Setup!A32</f>
        <v>Caseload 13</v>
      </c>
      <c r="C17" s="150"/>
      <c r="D17" s="148"/>
      <c r="E17" s="149"/>
      <c r="F17" s="149"/>
      <c r="G17" s="140"/>
      <c r="H17" s="102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05">
        <f t="shared" si="5"/>
        <v>0</v>
      </c>
      <c r="N17" s="105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2:24" x14ac:dyDescent="0.35">
      <c r="B18" s="47" t="str">
        <f>Setup!A33</f>
        <v>Caseload 14</v>
      </c>
      <c r="C18" s="150"/>
      <c r="D18" s="148"/>
      <c r="E18" s="149"/>
      <c r="F18" s="149"/>
      <c r="G18" s="140"/>
      <c r="H18" s="102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05">
        <f t="shared" si="5"/>
        <v>0</v>
      </c>
      <c r="N18" s="105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2:24" ht="15" thickBot="1" x14ac:dyDescent="0.4">
      <c r="B19" s="48" t="str">
        <f>Setup!A34</f>
        <v>Caseload 15</v>
      </c>
      <c r="C19" s="151"/>
      <c r="D19" s="148"/>
      <c r="E19" s="152"/>
      <c r="F19" s="152"/>
      <c r="G19" s="145"/>
      <c r="H19" s="103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05">
        <f t="shared" si="5"/>
        <v>0</v>
      </c>
      <c r="N19" s="105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2:24" ht="15" thickBot="1" x14ac:dyDescent="0.4">
      <c r="B20" s="93" t="s">
        <v>181</v>
      </c>
      <c r="C20" s="138"/>
      <c r="D20" s="138"/>
      <c r="E20" s="138"/>
      <c r="F20" s="138"/>
      <c r="G20" s="144"/>
      <c r="H20" s="104">
        <f t="shared" si="0"/>
        <v>0</v>
      </c>
      <c r="I20" s="92" t="str">
        <f t="shared" si="1"/>
        <v/>
      </c>
      <c r="J20" s="24">
        <f t="shared" ref="J20" si="13">H20-(H20/100*5)</f>
        <v>0</v>
      </c>
      <c r="K20" s="24">
        <f t="shared" ref="K20" si="14">H20+(H20/100*5)</f>
        <v>0</v>
      </c>
      <c r="L20" s="24">
        <f t="shared" ref="L20" si="15">K20-J20</f>
        <v>0</v>
      </c>
      <c r="M20" s="105">
        <f t="shared" si="5"/>
        <v>0</v>
      </c>
      <c r="N20" s="105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</sheetData>
  <sheetProtection algorithmName="SHA-512" hashValue="FDlrvLPHSwwJZpP7QoqbXvasIDVMkyQqfxBbbb4Ga1qWbyxdbMpqqmlLW8gnoLk59L2j/TZLsKqzTbcJIZxB6g==" saltValue="65FBMTAW5cZfJ4Bo+xYBHQ==" spinCount="100000" sheet="1" objects="1" scenarios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showRowColHeaders="0" zoomScaleNormal="100" workbookViewId="0">
      <selection activeCell="C6" sqref="C6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197</v>
      </c>
      <c r="C3" s="153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160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6" t="str" cm="1">
        <f t="array" ref="B6">INDEX('Data Validation (Hide)'!$B$2:$B$16,ROUNDUP(ROW(A1)/5,0),1)</f>
        <v>Caseload 1</v>
      </c>
      <c r="C6" s="154"/>
      <c r="D6" s="155"/>
      <c r="E6" s="155"/>
      <c r="F6" s="156"/>
      <c r="G6" s="4" t="e">
        <f>INDEX('Data Validation (Hide)'!$K$2:$L$9,MATCH(Service!F6,'Data Validation (Hide)'!$K$2:$K$8,0),2)</f>
        <v>#N/A</v>
      </c>
      <c r="H6" s="71" t="str">
        <f>IFERROR((G6*D6)/E6,"")</f>
        <v/>
      </c>
      <c r="I6" s="130">
        <f>SUMIF($E$6:$E$10,1,$H$6:$H$10)</f>
        <v>0</v>
      </c>
      <c r="J6" s="127">
        <f>SUMIF($E$6:$E$10,"&gt;"&amp;1,$H$6:$H$10)</f>
        <v>0</v>
      </c>
    </row>
    <row r="7" spans="1:10" x14ac:dyDescent="0.35">
      <c r="B7" s="97" t="str" cm="1">
        <f t="array" ref="B7">INDEX('Data Validation (Hide)'!$B$2:$B$16,ROUNDUP(ROW(A2)/5,0),1)</f>
        <v>Caseload 1</v>
      </c>
      <c r="C7" s="157"/>
      <c r="D7" s="158"/>
      <c r="E7" s="158"/>
      <c r="F7" s="159"/>
      <c r="G7" s="18" t="e">
        <f>INDEX('Data Validation (Hide)'!$K$2:$L$9,MATCH(Service!F7,'Data Validation (Hide)'!$K$2:$K$8,0),2)</f>
        <v>#N/A</v>
      </c>
      <c r="H7" s="72" t="str">
        <f t="shared" ref="H7:H37" si="0">IFERROR((G7*D7)/E7,"")</f>
        <v/>
      </c>
      <c r="I7" s="131"/>
      <c r="J7" s="128"/>
    </row>
    <row r="8" spans="1:10" x14ac:dyDescent="0.35">
      <c r="B8" s="95" t="str" cm="1">
        <f t="array" ref="B8">INDEX('Data Validation (Hide)'!$B$2:$B$16,ROUNDUP(ROW(A3)/5,0),1)</f>
        <v>Caseload 1</v>
      </c>
      <c r="C8" s="157"/>
      <c r="D8" s="158"/>
      <c r="E8" s="158"/>
      <c r="F8" s="159"/>
      <c r="G8" s="5" t="e">
        <f>INDEX('Data Validation (Hide)'!$K$2:$L$9,MATCH(Service!F8,'Data Validation (Hide)'!$K$2:$K$8,0),2)</f>
        <v>#N/A</v>
      </c>
      <c r="H8" s="72" t="str">
        <f t="shared" si="0"/>
        <v/>
      </c>
      <c r="I8" s="131"/>
      <c r="J8" s="128"/>
    </row>
    <row r="9" spans="1:10" x14ac:dyDescent="0.35">
      <c r="B9" s="110" t="str" cm="1">
        <f t="array" ref="B9">INDEX('Data Validation (Hide)'!$B$2:$B$16,ROUNDUP(ROW(A4)/5,0),1)</f>
        <v>Caseload 1</v>
      </c>
      <c r="C9" s="157"/>
      <c r="D9" s="158"/>
      <c r="E9" s="158"/>
      <c r="F9" s="159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31"/>
      <c r="J9" s="128"/>
    </row>
    <row r="10" spans="1:10" ht="15" thickBot="1" x14ac:dyDescent="0.4">
      <c r="B10" s="98" t="str" cm="1">
        <f t="array" ref="B10">INDEX('Data Validation (Hide)'!$B$2:$B$16,ROUNDUP(ROW(A5)/5,0),1)</f>
        <v>Caseload 1</v>
      </c>
      <c r="C10" s="160"/>
      <c r="D10" s="161"/>
      <c r="E10" s="161"/>
      <c r="F10" s="162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32"/>
      <c r="J10" s="129"/>
    </row>
    <row r="11" spans="1:10" x14ac:dyDescent="0.35">
      <c r="B11" s="96" t="str" cm="1">
        <f t="array" ref="B11">INDEX('Data Validation (Hide)'!$B$2:$B$16,ROUNDUP(ROW(A6)/5,0),1)</f>
        <v>Caseload 2</v>
      </c>
      <c r="C11" s="154"/>
      <c r="D11" s="155"/>
      <c r="E11" s="155"/>
      <c r="F11" s="156"/>
      <c r="G11" s="4" t="e">
        <f>INDEX('Data Validation (Hide)'!$K$2:$L$9,MATCH(Service!F11,'Data Validation (Hide)'!$K$2:$K$8,0),2)</f>
        <v>#N/A</v>
      </c>
      <c r="H11" s="71" t="str">
        <f t="shared" si="0"/>
        <v/>
      </c>
      <c r="I11" s="130">
        <f>SUMIF($E$11:$E$15,1,$H$11:$H$15)</f>
        <v>0</v>
      </c>
      <c r="J11" s="130">
        <f>SUMIF($E$11:$E$15,"&gt;"&amp;1,$H$11:$H$15)</f>
        <v>0</v>
      </c>
    </row>
    <row r="12" spans="1:10" x14ac:dyDescent="0.35">
      <c r="B12" s="97" t="str" cm="1">
        <f t="array" ref="B12">INDEX('Data Validation (Hide)'!$B$2:$B$16,ROUNDUP(ROW(A7)/5,0),1)</f>
        <v>Caseload 2</v>
      </c>
      <c r="C12" s="157"/>
      <c r="D12" s="158"/>
      <c r="E12" s="158"/>
      <c r="F12" s="159"/>
      <c r="G12" s="5" t="e">
        <f>INDEX('Data Validation (Hide)'!$K$2:$L$9,MATCH(Service!F12,'Data Validation (Hide)'!$K$2:$K$8,0),2)</f>
        <v>#N/A</v>
      </c>
      <c r="H12" s="72" t="str">
        <f t="shared" si="0"/>
        <v/>
      </c>
      <c r="I12" s="131"/>
      <c r="J12" s="131"/>
    </row>
    <row r="13" spans="1:10" x14ac:dyDescent="0.35">
      <c r="B13" s="95" t="str" cm="1">
        <f t="array" ref="B13">INDEX('Data Validation (Hide)'!$B$2:$B$16,ROUNDUP(ROW(A8)/5,0),1)</f>
        <v>Caseload 2</v>
      </c>
      <c r="C13" s="157"/>
      <c r="D13" s="158"/>
      <c r="E13" s="158"/>
      <c r="F13" s="159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31"/>
      <c r="J13" s="131"/>
    </row>
    <row r="14" spans="1:10" x14ac:dyDescent="0.35">
      <c r="B14" s="97" t="str" cm="1">
        <f t="array" ref="B14">INDEX('Data Validation (Hide)'!$B$2:$B$16,ROUNDUP(ROW(A9)/5,0),1)</f>
        <v>Caseload 2</v>
      </c>
      <c r="C14" s="157"/>
      <c r="D14" s="158"/>
      <c r="E14" s="158"/>
      <c r="F14" s="159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31"/>
      <c r="J14" s="131"/>
    </row>
    <row r="15" spans="1:10" ht="15" thickBot="1" x14ac:dyDescent="0.4">
      <c r="B15" s="98" t="str" cm="1">
        <f t="array" ref="B15">INDEX('Data Validation (Hide)'!$B$2:$B$16,ROUNDUP(ROW(A10)/5,0),1)</f>
        <v>Caseload 2</v>
      </c>
      <c r="C15" s="160"/>
      <c r="D15" s="161"/>
      <c r="E15" s="161"/>
      <c r="F15" s="162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32"/>
      <c r="J15" s="132"/>
    </row>
    <row r="16" spans="1:10" x14ac:dyDescent="0.35">
      <c r="B16" s="96" t="str" cm="1">
        <f t="array" ref="B16">INDEX('Data Validation (Hide)'!$B$2:$B$16,ROUNDUP(ROW(A11)/5,0),1)</f>
        <v>Caseload 3</v>
      </c>
      <c r="C16" s="154"/>
      <c r="D16" s="155"/>
      <c r="E16" s="155"/>
      <c r="F16" s="156"/>
      <c r="G16" s="4" t="e">
        <f>INDEX('Data Validation (Hide)'!$K$2:$L$9,MATCH(Service!F16,'Data Validation (Hide)'!$K$2:$K$8,0),2)</f>
        <v>#N/A</v>
      </c>
      <c r="H16" s="71" t="str">
        <f t="shared" si="0"/>
        <v/>
      </c>
      <c r="I16" s="130">
        <f>SUMIF($E$16:$E$20,1,$H$16:$H$20)</f>
        <v>0</v>
      </c>
      <c r="J16" s="130">
        <f>SUMIF($E$16:$E$20,"&gt;"&amp;1,$H$16:$H$20)</f>
        <v>0</v>
      </c>
    </row>
    <row r="17" spans="2:10" x14ac:dyDescent="0.35">
      <c r="B17" s="97" t="str" cm="1">
        <f t="array" ref="B17">INDEX('Data Validation (Hide)'!$B$2:$B$16,ROUNDUP(ROW(A12)/5,0),1)</f>
        <v>Caseload 3</v>
      </c>
      <c r="C17" s="157"/>
      <c r="D17" s="158"/>
      <c r="E17" s="158"/>
      <c r="F17" s="159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31"/>
      <c r="J17" s="131"/>
    </row>
    <row r="18" spans="2:10" x14ac:dyDescent="0.35">
      <c r="B18" s="95" t="str" cm="1">
        <f t="array" ref="B18">INDEX('Data Validation (Hide)'!$B$2:$B$16,ROUNDUP(ROW(A13)/5,0),1)</f>
        <v>Caseload 3</v>
      </c>
      <c r="C18" s="157"/>
      <c r="D18" s="158"/>
      <c r="E18" s="158"/>
      <c r="F18" s="159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31"/>
      <c r="J18" s="131"/>
    </row>
    <row r="19" spans="2:10" x14ac:dyDescent="0.35">
      <c r="B19" s="97" t="str" cm="1">
        <f t="array" ref="B19">INDEX('Data Validation (Hide)'!$B$2:$B$16,ROUNDUP(ROW(A14)/5,0),1)</f>
        <v>Caseload 3</v>
      </c>
      <c r="C19" s="157"/>
      <c r="D19" s="158"/>
      <c r="E19" s="158"/>
      <c r="F19" s="159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31"/>
      <c r="J19" s="131"/>
    </row>
    <row r="20" spans="2:10" ht="15" thickBot="1" x14ac:dyDescent="0.4">
      <c r="B20" s="98" t="str" cm="1">
        <f t="array" ref="B20">INDEX('Data Validation (Hide)'!$B$2:$B$16,ROUNDUP(ROW(A15)/5,0),1)</f>
        <v>Caseload 3</v>
      </c>
      <c r="C20" s="160"/>
      <c r="D20" s="161"/>
      <c r="E20" s="161"/>
      <c r="F20" s="162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32"/>
      <c r="J20" s="132"/>
    </row>
    <row r="21" spans="2:10" x14ac:dyDescent="0.35">
      <c r="B21" s="96" t="str" cm="1">
        <f t="array" ref="B21">INDEX('Data Validation (Hide)'!$B$2:$B$16,ROUNDUP(ROW(A16)/5,0),1)</f>
        <v>Caseload 4</v>
      </c>
      <c r="C21" s="154"/>
      <c r="D21" s="155"/>
      <c r="E21" s="155"/>
      <c r="F21" s="156"/>
      <c r="G21" s="4" t="e">
        <f>INDEX('Data Validation (Hide)'!$K$2:$L$9,MATCH(Service!F21,'Data Validation (Hide)'!$K$2:$K$8,0),2)</f>
        <v>#N/A</v>
      </c>
      <c r="H21" s="71" t="str">
        <f t="shared" si="0"/>
        <v/>
      </c>
      <c r="I21" s="130">
        <f>SUMIF($E$21:$E$25,1,$H$21:$H$25)</f>
        <v>0</v>
      </c>
      <c r="J21" s="130">
        <f>SUMIF($E$21:$E$25,"&gt;"&amp;1,$H$21:$H$25)</f>
        <v>0</v>
      </c>
    </row>
    <row r="22" spans="2:10" x14ac:dyDescent="0.35">
      <c r="B22" s="97" t="str" cm="1">
        <f t="array" ref="B22">INDEX('Data Validation (Hide)'!$B$2:$B$16,ROUNDUP(ROW(A17)/5,0),1)</f>
        <v>Caseload 4</v>
      </c>
      <c r="C22" s="157"/>
      <c r="D22" s="158"/>
      <c r="E22" s="158"/>
      <c r="F22" s="159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31"/>
      <c r="J22" s="131"/>
    </row>
    <row r="23" spans="2:10" x14ac:dyDescent="0.35">
      <c r="B23" s="95" t="str" cm="1">
        <f t="array" ref="B23">INDEX('Data Validation (Hide)'!$B$2:$B$16,ROUNDUP(ROW(A18)/5,0),1)</f>
        <v>Caseload 4</v>
      </c>
      <c r="C23" s="157"/>
      <c r="D23" s="158"/>
      <c r="E23" s="158"/>
      <c r="F23" s="159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31"/>
      <c r="J23" s="131"/>
    </row>
    <row r="24" spans="2:10" x14ac:dyDescent="0.35">
      <c r="B24" s="97" t="str" cm="1">
        <f t="array" ref="B24">INDEX('Data Validation (Hide)'!$B$2:$B$16,ROUNDUP(ROW(A19)/5,0),1)</f>
        <v>Caseload 4</v>
      </c>
      <c r="C24" s="157"/>
      <c r="D24" s="158"/>
      <c r="E24" s="158"/>
      <c r="F24" s="159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31"/>
      <c r="J24" s="131"/>
    </row>
    <row r="25" spans="2:10" ht="15" thickBot="1" x14ac:dyDescent="0.4">
      <c r="B25" s="98" t="str" cm="1">
        <f t="array" ref="B25">INDEX('Data Validation (Hide)'!$B$2:$B$16,ROUNDUP(ROW(A20)/5,0),1)</f>
        <v>Caseload 4</v>
      </c>
      <c r="C25" s="160"/>
      <c r="D25" s="161"/>
      <c r="E25" s="161"/>
      <c r="F25" s="162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32"/>
      <c r="J25" s="132"/>
    </row>
    <row r="26" spans="2:10" x14ac:dyDescent="0.35">
      <c r="B26" s="96" t="str" cm="1">
        <f t="array" ref="B26">INDEX('Data Validation (Hide)'!$B$2:$B$16,ROUNDUP(ROW(A21)/5,0),1)</f>
        <v>Caseload 5</v>
      </c>
      <c r="C26" s="154"/>
      <c r="D26" s="155"/>
      <c r="E26" s="155"/>
      <c r="F26" s="156"/>
      <c r="G26" s="4" t="e">
        <f>INDEX('Data Validation (Hide)'!$K$2:$L$9,MATCH(Service!F26,'Data Validation (Hide)'!$K$2:$K$8,0),2)</f>
        <v>#N/A</v>
      </c>
      <c r="H26" s="71" t="str">
        <f t="shared" si="0"/>
        <v/>
      </c>
      <c r="I26" s="130">
        <f>SUMIF($E$26:$E$30,1,$H$26:$H$30)</f>
        <v>0</v>
      </c>
      <c r="J26" s="130">
        <f>SUMIF($E$26:$E$30,"&gt;"&amp;1,$H$26:$H$30)</f>
        <v>0</v>
      </c>
    </row>
    <row r="27" spans="2:10" x14ac:dyDescent="0.35">
      <c r="B27" s="97" t="str" cm="1">
        <f t="array" ref="B27">INDEX('Data Validation (Hide)'!$B$2:$B$16,ROUNDUP(ROW(A22)/5,0),1)</f>
        <v>Caseload 5</v>
      </c>
      <c r="C27" s="157"/>
      <c r="D27" s="158"/>
      <c r="E27" s="158"/>
      <c r="F27" s="159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31"/>
      <c r="J27" s="131"/>
    </row>
    <row r="28" spans="2:10" x14ac:dyDescent="0.35">
      <c r="B28" s="95" t="str" cm="1">
        <f t="array" ref="B28">INDEX('Data Validation (Hide)'!$B$2:$B$16,ROUNDUP(ROW(A23)/5,0),1)</f>
        <v>Caseload 5</v>
      </c>
      <c r="C28" s="157"/>
      <c r="D28" s="158"/>
      <c r="E28" s="158"/>
      <c r="F28" s="159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31"/>
      <c r="J28" s="131"/>
    </row>
    <row r="29" spans="2:10" x14ac:dyDescent="0.35">
      <c r="B29" s="97" t="str" cm="1">
        <f t="array" ref="B29">INDEX('Data Validation (Hide)'!$B$2:$B$16,ROUNDUP(ROW(A24)/5,0),1)</f>
        <v>Caseload 5</v>
      </c>
      <c r="C29" s="157"/>
      <c r="D29" s="158"/>
      <c r="E29" s="158"/>
      <c r="F29" s="159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31"/>
      <c r="J29" s="131"/>
    </row>
    <row r="30" spans="2:10" ht="15" thickBot="1" x14ac:dyDescent="0.4">
      <c r="B30" s="98" t="str" cm="1">
        <f t="array" ref="B30">INDEX('Data Validation (Hide)'!$B$2:$B$16,ROUNDUP(ROW(A25)/5,0),1)</f>
        <v>Caseload 5</v>
      </c>
      <c r="C30" s="160"/>
      <c r="D30" s="161"/>
      <c r="E30" s="161"/>
      <c r="F30" s="162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32"/>
      <c r="J30" s="132"/>
    </row>
    <row r="31" spans="2:10" x14ac:dyDescent="0.35">
      <c r="B31" s="96" t="str" cm="1">
        <f t="array" ref="B31">INDEX('Data Validation (Hide)'!$B$2:$B$16,ROUNDUP(ROW(A26)/5,0),1)</f>
        <v>Caseload 6</v>
      </c>
      <c r="C31" s="154"/>
      <c r="D31" s="155"/>
      <c r="E31" s="155"/>
      <c r="F31" s="156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24">
        <f>SUMIF($E$31:$E$35,1,$H$31:$H$35)</f>
        <v>0</v>
      </c>
      <c r="J31" s="124">
        <f>SUMIF($E$31:$E$35,"&gt;"&amp;1,$H$31:$H$35)</f>
        <v>0</v>
      </c>
    </row>
    <row r="32" spans="2:10" x14ac:dyDescent="0.35">
      <c r="B32" s="97" t="str" cm="1">
        <f t="array" ref="B32">INDEX('Data Validation (Hide)'!$B$2:$B$16,ROUNDUP(ROW(A27)/5,0),1)</f>
        <v>Caseload 6</v>
      </c>
      <c r="C32" s="157"/>
      <c r="D32" s="158"/>
      <c r="E32" s="158"/>
      <c r="F32" s="159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25"/>
      <c r="J32" s="125"/>
    </row>
    <row r="33" spans="2:10" x14ac:dyDescent="0.35">
      <c r="B33" s="95" t="str" cm="1">
        <f t="array" ref="B33">INDEX('Data Validation (Hide)'!$B$2:$B$16,ROUNDUP(ROW(A28)/5,0),1)</f>
        <v>Caseload 6</v>
      </c>
      <c r="C33" s="157"/>
      <c r="D33" s="158"/>
      <c r="E33" s="158"/>
      <c r="F33" s="159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25"/>
      <c r="J33" s="125"/>
    </row>
    <row r="34" spans="2:10" x14ac:dyDescent="0.35">
      <c r="B34" s="97" t="str" cm="1">
        <f t="array" ref="B34">INDEX('Data Validation (Hide)'!$B$2:$B$16,ROUNDUP(ROW(A29)/5,0),1)</f>
        <v>Caseload 6</v>
      </c>
      <c r="C34" s="157"/>
      <c r="D34" s="158"/>
      <c r="E34" s="158"/>
      <c r="F34" s="159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25"/>
      <c r="J34" s="125"/>
    </row>
    <row r="35" spans="2:10" ht="15" thickBot="1" x14ac:dyDescent="0.4">
      <c r="B35" s="98" t="str" cm="1">
        <f t="array" ref="B35">INDEX('Data Validation (Hide)'!$B$2:$B$16,ROUNDUP(ROW(A30)/5,0),1)</f>
        <v>Caseload 6</v>
      </c>
      <c r="C35" s="160"/>
      <c r="D35" s="161"/>
      <c r="E35" s="161"/>
      <c r="F35" s="162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26"/>
      <c r="J35" s="126"/>
    </row>
    <row r="36" spans="2:10" x14ac:dyDescent="0.35">
      <c r="B36" s="96" t="str" cm="1">
        <f t="array" ref="B36">INDEX('Data Validation (Hide)'!$B$2:$B$16,ROUNDUP(ROW(A31)/5,0),1)</f>
        <v>Caseload 7</v>
      </c>
      <c r="C36" s="154"/>
      <c r="D36" s="155"/>
      <c r="E36" s="155"/>
      <c r="F36" s="156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24">
        <f>SUMIF($E$36:$E$40,1,$H$36:$H$40)</f>
        <v>0</v>
      </c>
      <c r="J36" s="124">
        <f>SUMIF($E$36:$E$40,"&gt;"&amp;1,$H$36:$H$40)</f>
        <v>0</v>
      </c>
    </row>
    <row r="37" spans="2:10" x14ac:dyDescent="0.35">
      <c r="B37" s="97" t="str" cm="1">
        <f t="array" ref="B37">INDEX('Data Validation (Hide)'!$B$2:$B$16,ROUNDUP(ROW(A32)/5,0),1)</f>
        <v>Caseload 7</v>
      </c>
      <c r="C37" s="157"/>
      <c r="D37" s="158"/>
      <c r="E37" s="158"/>
      <c r="F37" s="159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25"/>
      <c r="J37" s="125"/>
    </row>
    <row r="38" spans="2:10" x14ac:dyDescent="0.35">
      <c r="B38" s="95" t="str" cm="1">
        <f t="array" ref="B38">INDEX('Data Validation (Hide)'!$B$2:$B$16,ROUNDUP(ROW(A33)/5,0),1)</f>
        <v>Caseload 7</v>
      </c>
      <c r="C38" s="157"/>
      <c r="D38" s="158"/>
      <c r="E38" s="158"/>
      <c r="F38" s="159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25"/>
      <c r="J38" s="125"/>
    </row>
    <row r="39" spans="2:10" x14ac:dyDescent="0.35">
      <c r="B39" s="97" t="str" cm="1">
        <f t="array" ref="B39">INDEX('Data Validation (Hide)'!$B$2:$B$16,ROUNDUP(ROW(A34)/5,0),1)</f>
        <v>Caseload 7</v>
      </c>
      <c r="C39" s="157"/>
      <c r="D39" s="158"/>
      <c r="E39" s="158"/>
      <c r="F39" s="159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25"/>
      <c r="J39" s="125"/>
    </row>
    <row r="40" spans="2:10" ht="15" thickBot="1" x14ac:dyDescent="0.4">
      <c r="B40" s="98" t="str" cm="1">
        <f t="array" ref="B40">INDEX('Data Validation (Hide)'!$B$2:$B$16,ROUNDUP(ROW(A35)/5,0),1)</f>
        <v>Caseload 7</v>
      </c>
      <c r="C40" s="160"/>
      <c r="D40" s="161"/>
      <c r="E40" s="161"/>
      <c r="F40" s="162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26"/>
      <c r="J40" s="126"/>
    </row>
    <row r="41" spans="2:10" x14ac:dyDescent="0.35">
      <c r="B41" s="96" t="str" cm="1">
        <f t="array" ref="B41">INDEX('Data Validation (Hide)'!$B$2:$B$16,ROUNDUP(ROW(A36)/5,0),1)</f>
        <v>Caseload 8</v>
      </c>
      <c r="C41" s="154"/>
      <c r="D41" s="155"/>
      <c r="E41" s="155"/>
      <c r="F41" s="156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24">
        <f>SUMIF($E$41:$E$45,1,$H$41:$H$45)</f>
        <v>0</v>
      </c>
      <c r="J41" s="124">
        <f>SUMIF($E$41:$E$45,"&gt;"&amp;1,$H$41:$H$45)</f>
        <v>0</v>
      </c>
    </row>
    <row r="42" spans="2:10" x14ac:dyDescent="0.35">
      <c r="B42" s="97" t="str" cm="1">
        <f t="array" ref="B42">INDEX('Data Validation (Hide)'!$B$2:$B$16,ROUNDUP(ROW(A37)/5,0),1)</f>
        <v>Caseload 8</v>
      </c>
      <c r="C42" s="157"/>
      <c r="D42" s="158"/>
      <c r="E42" s="158"/>
      <c r="F42" s="159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25"/>
      <c r="J42" s="125"/>
    </row>
    <row r="43" spans="2:10" x14ac:dyDescent="0.35">
      <c r="B43" s="95" t="str" cm="1">
        <f t="array" ref="B43">INDEX('Data Validation (Hide)'!$B$2:$B$16,ROUNDUP(ROW(A38)/5,0),1)</f>
        <v>Caseload 8</v>
      </c>
      <c r="C43" s="157"/>
      <c r="D43" s="158"/>
      <c r="E43" s="158"/>
      <c r="F43" s="159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25"/>
      <c r="J43" s="125"/>
    </row>
    <row r="44" spans="2:10" x14ac:dyDescent="0.35">
      <c r="B44" s="97" t="str" cm="1">
        <f t="array" ref="B44">INDEX('Data Validation (Hide)'!$B$2:$B$16,ROUNDUP(ROW(A39)/5,0),1)</f>
        <v>Caseload 8</v>
      </c>
      <c r="C44" s="157"/>
      <c r="D44" s="158"/>
      <c r="E44" s="158"/>
      <c r="F44" s="159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25"/>
      <c r="J44" s="125"/>
    </row>
    <row r="45" spans="2:10" ht="15" thickBot="1" x14ac:dyDescent="0.4">
      <c r="B45" s="98" t="str" cm="1">
        <f t="array" ref="B45">INDEX('Data Validation (Hide)'!$B$2:$B$16,ROUNDUP(ROW(A40)/5,0),1)</f>
        <v>Caseload 8</v>
      </c>
      <c r="C45" s="160"/>
      <c r="D45" s="161"/>
      <c r="E45" s="161"/>
      <c r="F45" s="162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26"/>
      <c r="J45" s="126"/>
    </row>
    <row r="46" spans="2:10" x14ac:dyDescent="0.35">
      <c r="B46" s="96" t="str" cm="1">
        <f t="array" ref="B46">INDEX('Data Validation (Hide)'!$B$2:$B$16,ROUNDUP(ROW(A41)/5,0),1)</f>
        <v>Caseload 9</v>
      </c>
      <c r="C46" s="154"/>
      <c r="D46" s="155"/>
      <c r="E46" s="155"/>
      <c r="F46" s="156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24">
        <f>SUMIF($E$46:$E$50,1,$H$46:$H$50)</f>
        <v>0</v>
      </c>
      <c r="J46" s="124">
        <f>SUMIF($E$46:$E$50,"&gt;"&amp;1,$H$46:$H$50)</f>
        <v>0</v>
      </c>
    </row>
    <row r="47" spans="2:10" x14ac:dyDescent="0.35">
      <c r="B47" s="97" t="str" cm="1">
        <f t="array" ref="B47">INDEX('Data Validation (Hide)'!$B$2:$B$16,ROUNDUP(ROW(A42)/5,0),1)</f>
        <v>Caseload 9</v>
      </c>
      <c r="C47" s="157"/>
      <c r="D47" s="158"/>
      <c r="E47" s="158"/>
      <c r="F47" s="159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25"/>
      <c r="J47" s="125"/>
    </row>
    <row r="48" spans="2:10" x14ac:dyDescent="0.35">
      <c r="B48" s="95" t="str" cm="1">
        <f t="array" ref="B48">INDEX('Data Validation (Hide)'!$B$2:$B$16,ROUNDUP(ROW(A43)/5,0),1)</f>
        <v>Caseload 9</v>
      </c>
      <c r="C48" s="157"/>
      <c r="D48" s="158"/>
      <c r="E48" s="158"/>
      <c r="F48" s="159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25"/>
      <c r="J48" s="125"/>
    </row>
    <row r="49" spans="2:10" x14ac:dyDescent="0.35">
      <c r="B49" s="97" t="str" cm="1">
        <f t="array" ref="B49">INDEX('Data Validation (Hide)'!$B$2:$B$16,ROUNDUP(ROW(A44)/5,0),1)</f>
        <v>Caseload 9</v>
      </c>
      <c r="C49" s="157"/>
      <c r="D49" s="158"/>
      <c r="E49" s="158"/>
      <c r="F49" s="159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25"/>
      <c r="J49" s="125"/>
    </row>
    <row r="50" spans="2:10" ht="15" thickBot="1" x14ac:dyDescent="0.4">
      <c r="B50" s="98" t="str" cm="1">
        <f t="array" ref="B50">INDEX('Data Validation (Hide)'!$B$2:$B$16,ROUNDUP(ROW(A45)/5,0),1)</f>
        <v>Caseload 9</v>
      </c>
      <c r="C50" s="160"/>
      <c r="D50" s="161"/>
      <c r="E50" s="161"/>
      <c r="F50" s="162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26"/>
      <c r="J50" s="126"/>
    </row>
    <row r="51" spans="2:10" x14ac:dyDescent="0.35">
      <c r="B51" s="96" t="str" cm="1">
        <f t="array" ref="B51">INDEX('Data Validation (Hide)'!$B$2:$B$16,ROUNDUP(ROW(A46)/5,0),1)</f>
        <v>Caseload 10</v>
      </c>
      <c r="C51" s="154"/>
      <c r="D51" s="155"/>
      <c r="E51" s="155"/>
      <c r="F51" s="156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24">
        <f>SUMIF($E$51:$E$55,1,$H$51:$H$55)</f>
        <v>0</v>
      </c>
      <c r="J51" s="124">
        <f>SUMIF($E$51:$E$55,"&gt;"&amp;1,$H$51:$H$55)</f>
        <v>0</v>
      </c>
    </row>
    <row r="52" spans="2:10" x14ac:dyDescent="0.35">
      <c r="B52" s="97" t="str" cm="1">
        <f t="array" ref="B52">INDEX('Data Validation (Hide)'!$B$2:$B$16,ROUNDUP(ROW(A47)/5,0),1)</f>
        <v>Caseload 10</v>
      </c>
      <c r="C52" s="157"/>
      <c r="D52" s="158"/>
      <c r="E52" s="158"/>
      <c r="F52" s="159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25"/>
      <c r="J52" s="125"/>
    </row>
    <row r="53" spans="2:10" x14ac:dyDescent="0.35">
      <c r="B53" s="95" t="str" cm="1">
        <f t="array" ref="B53">INDEX('Data Validation (Hide)'!$B$2:$B$16,ROUNDUP(ROW(A48)/5,0),1)</f>
        <v>Caseload 10</v>
      </c>
      <c r="C53" s="157"/>
      <c r="D53" s="158"/>
      <c r="E53" s="158"/>
      <c r="F53" s="159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25"/>
      <c r="J53" s="125"/>
    </row>
    <row r="54" spans="2:10" x14ac:dyDescent="0.35">
      <c r="B54" s="97" t="str" cm="1">
        <f t="array" ref="B54">INDEX('Data Validation (Hide)'!$B$2:$B$16,ROUNDUP(ROW(A49)/5,0),1)</f>
        <v>Caseload 10</v>
      </c>
      <c r="C54" s="157"/>
      <c r="D54" s="158"/>
      <c r="E54" s="158"/>
      <c r="F54" s="159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25"/>
      <c r="J54" s="125"/>
    </row>
    <row r="55" spans="2:10" ht="15" thickBot="1" x14ac:dyDescent="0.4">
      <c r="B55" s="98" t="str" cm="1">
        <f t="array" ref="B55">INDEX('Data Validation (Hide)'!$B$2:$B$16,ROUNDUP(ROW(A50)/5,0),1)</f>
        <v>Caseload 10</v>
      </c>
      <c r="C55" s="160"/>
      <c r="D55" s="161"/>
      <c r="E55" s="161"/>
      <c r="F55" s="162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26"/>
      <c r="J55" s="126"/>
    </row>
    <row r="56" spans="2:10" x14ac:dyDescent="0.35">
      <c r="B56" s="96" t="str" cm="1">
        <f t="array" ref="B56">INDEX('Data Validation (Hide)'!$B$2:$B$16,ROUNDUP(ROW(A51)/5,0),1)</f>
        <v>Caseload 11</v>
      </c>
      <c r="C56" s="154"/>
      <c r="D56" s="155"/>
      <c r="E56" s="155"/>
      <c r="F56" s="156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24">
        <f>SUMIF($E$56:$E$60,1,$H$56:$H$60)</f>
        <v>0</v>
      </c>
      <c r="J56" s="124">
        <f>SUMIF($E$56:$E$60,"&gt;"&amp;1,$H$56:$H$60)</f>
        <v>0</v>
      </c>
    </row>
    <row r="57" spans="2:10" x14ac:dyDescent="0.35">
      <c r="B57" s="97" t="str" cm="1">
        <f t="array" ref="B57">INDEX('Data Validation (Hide)'!$B$2:$B$16,ROUNDUP(ROW(A52)/5,0),1)</f>
        <v>Caseload 11</v>
      </c>
      <c r="C57" s="157"/>
      <c r="D57" s="158"/>
      <c r="E57" s="158"/>
      <c r="F57" s="159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25"/>
      <c r="J57" s="125"/>
    </row>
    <row r="58" spans="2:10" x14ac:dyDescent="0.35">
      <c r="B58" s="95" t="str" cm="1">
        <f t="array" ref="B58">INDEX('Data Validation (Hide)'!$B$2:$B$16,ROUNDUP(ROW(A53)/5,0),1)</f>
        <v>Caseload 11</v>
      </c>
      <c r="C58" s="157"/>
      <c r="D58" s="158"/>
      <c r="E58" s="158"/>
      <c r="F58" s="159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25"/>
      <c r="J58" s="125"/>
    </row>
    <row r="59" spans="2:10" x14ac:dyDescent="0.35">
      <c r="B59" s="97" t="str" cm="1">
        <f t="array" ref="B59">INDEX('Data Validation (Hide)'!$B$2:$B$16,ROUNDUP(ROW(A54)/5,0),1)</f>
        <v>Caseload 11</v>
      </c>
      <c r="C59" s="157"/>
      <c r="D59" s="158"/>
      <c r="E59" s="158"/>
      <c r="F59" s="159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25"/>
      <c r="J59" s="125"/>
    </row>
    <row r="60" spans="2:10" ht="15" thickBot="1" x14ac:dyDescent="0.4">
      <c r="B60" s="98" t="str" cm="1">
        <f t="array" ref="B60">INDEX('Data Validation (Hide)'!$B$2:$B$16,ROUNDUP(ROW(A55)/5,0),1)</f>
        <v>Caseload 11</v>
      </c>
      <c r="C60" s="160"/>
      <c r="D60" s="161"/>
      <c r="E60" s="161"/>
      <c r="F60" s="162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26"/>
      <c r="J60" s="126"/>
    </row>
    <row r="61" spans="2:10" x14ac:dyDescent="0.35">
      <c r="B61" s="96" t="str" cm="1">
        <f t="array" ref="B61">INDEX('Data Validation (Hide)'!$B$2:$B$16,ROUNDUP(ROW(A56)/5,0),1)</f>
        <v>Caseload 12</v>
      </c>
      <c r="C61" s="154"/>
      <c r="D61" s="155"/>
      <c r="E61" s="155"/>
      <c r="F61" s="156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24">
        <f>SUMIF($E$61:$E$65,1,$H$61:$H$65)</f>
        <v>0</v>
      </c>
      <c r="J61" s="124">
        <f>SUMIF($E$61:$E$65,"&gt;"&amp;1,$H$61:$H$65)</f>
        <v>0</v>
      </c>
    </row>
    <row r="62" spans="2:10" x14ac:dyDescent="0.35">
      <c r="B62" s="97" t="str" cm="1">
        <f t="array" ref="B62">INDEX('Data Validation (Hide)'!$B$2:$B$16,ROUNDUP(ROW(A57)/5,0),1)</f>
        <v>Caseload 12</v>
      </c>
      <c r="C62" s="157"/>
      <c r="D62" s="158"/>
      <c r="E62" s="158"/>
      <c r="F62" s="159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25"/>
      <c r="J62" s="125"/>
    </row>
    <row r="63" spans="2:10" x14ac:dyDescent="0.35">
      <c r="B63" s="95" t="str" cm="1">
        <f t="array" ref="B63">INDEX('Data Validation (Hide)'!$B$2:$B$16,ROUNDUP(ROW(A58)/5,0),1)</f>
        <v>Caseload 12</v>
      </c>
      <c r="C63" s="157"/>
      <c r="D63" s="158"/>
      <c r="E63" s="158"/>
      <c r="F63" s="159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25"/>
      <c r="J63" s="125"/>
    </row>
    <row r="64" spans="2:10" x14ac:dyDescent="0.35">
      <c r="B64" s="97" t="str" cm="1">
        <f t="array" ref="B64">INDEX('Data Validation (Hide)'!$B$2:$B$16,ROUNDUP(ROW(A59)/5,0),1)</f>
        <v>Caseload 12</v>
      </c>
      <c r="C64" s="157"/>
      <c r="D64" s="158"/>
      <c r="E64" s="158"/>
      <c r="F64" s="159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25"/>
      <c r="J64" s="125"/>
    </row>
    <row r="65" spans="2:10" ht="15" thickBot="1" x14ac:dyDescent="0.4">
      <c r="B65" s="98" t="str" cm="1">
        <f t="array" ref="B65">INDEX('Data Validation (Hide)'!$B$2:$B$16,ROUNDUP(ROW(A60)/5,0),1)</f>
        <v>Caseload 12</v>
      </c>
      <c r="C65" s="160"/>
      <c r="D65" s="161"/>
      <c r="E65" s="161"/>
      <c r="F65" s="162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26"/>
      <c r="J65" s="126"/>
    </row>
    <row r="66" spans="2:10" x14ac:dyDescent="0.35">
      <c r="B66" s="96" t="str" cm="1">
        <f t="array" ref="B66">INDEX('Data Validation (Hide)'!$B$2:$B$16,ROUNDUP(ROW(A61)/5,0),1)</f>
        <v>Caseload 13</v>
      </c>
      <c r="C66" s="154"/>
      <c r="D66" s="155"/>
      <c r="E66" s="155"/>
      <c r="F66" s="156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24">
        <f>SUMIF($E$66:$E$70,1,$H$66:$H$70)</f>
        <v>0</v>
      </c>
      <c r="J66" s="124">
        <f>SUMIF($E$66:$E$70,"&gt;"&amp;1,$H$66:$H$70)</f>
        <v>0</v>
      </c>
    </row>
    <row r="67" spans="2:10" x14ac:dyDescent="0.35">
      <c r="B67" s="97" t="str" cm="1">
        <f t="array" ref="B67">INDEX('Data Validation (Hide)'!$B$2:$B$16,ROUNDUP(ROW(A62)/5,0),1)</f>
        <v>Caseload 13</v>
      </c>
      <c r="C67" s="157"/>
      <c r="D67" s="158"/>
      <c r="E67" s="158"/>
      <c r="F67" s="159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25"/>
      <c r="J67" s="125"/>
    </row>
    <row r="68" spans="2:10" x14ac:dyDescent="0.35">
      <c r="B68" s="95" t="str" cm="1">
        <f t="array" ref="B68">INDEX('Data Validation (Hide)'!$B$2:$B$16,ROUNDUP(ROW(A63)/5,0),1)</f>
        <v>Caseload 13</v>
      </c>
      <c r="C68" s="157"/>
      <c r="D68" s="158"/>
      <c r="E68" s="158"/>
      <c r="F68" s="159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25"/>
      <c r="J68" s="125"/>
    </row>
    <row r="69" spans="2:10" x14ac:dyDescent="0.35">
      <c r="B69" s="97" t="str" cm="1">
        <f t="array" ref="B69">INDEX('Data Validation (Hide)'!$B$2:$B$16,ROUNDUP(ROW(A64)/5,0),1)</f>
        <v>Caseload 13</v>
      </c>
      <c r="C69" s="157"/>
      <c r="D69" s="158"/>
      <c r="E69" s="158"/>
      <c r="F69" s="159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25"/>
      <c r="J69" s="125"/>
    </row>
    <row r="70" spans="2:10" ht="15" thickBot="1" x14ac:dyDescent="0.4">
      <c r="B70" s="98" t="str" cm="1">
        <f t="array" ref="B70">INDEX('Data Validation (Hide)'!$B$2:$B$16,ROUNDUP(ROW(A65)/5,0),1)</f>
        <v>Caseload 13</v>
      </c>
      <c r="C70" s="160"/>
      <c r="D70" s="161"/>
      <c r="E70" s="161"/>
      <c r="F70" s="162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26"/>
      <c r="J70" s="126"/>
    </row>
    <row r="71" spans="2:10" x14ac:dyDescent="0.35">
      <c r="B71" s="96" t="str" cm="1">
        <f t="array" ref="B71">INDEX('Data Validation (Hide)'!$B$2:$B$16,ROUNDUP(ROW(A66)/5,0),1)</f>
        <v>Caseload 14</v>
      </c>
      <c r="C71" s="154"/>
      <c r="D71" s="155"/>
      <c r="E71" s="155"/>
      <c r="F71" s="156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24">
        <f>SUMIF($E$71:$E$75,1,$H$71:$H$75)</f>
        <v>0</v>
      </c>
      <c r="J71" s="124">
        <f>SUMIF($E$71:$E$75,"&gt;"&amp;1,$H$71:$H$75)</f>
        <v>0</v>
      </c>
    </row>
    <row r="72" spans="2:10" x14ac:dyDescent="0.35">
      <c r="B72" s="97" t="str" cm="1">
        <f t="array" ref="B72">INDEX('Data Validation (Hide)'!$B$2:$B$16,ROUNDUP(ROW(A67)/5,0),1)</f>
        <v>Caseload 14</v>
      </c>
      <c r="C72" s="157"/>
      <c r="D72" s="158"/>
      <c r="E72" s="158"/>
      <c r="F72" s="159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25"/>
      <c r="J72" s="125"/>
    </row>
    <row r="73" spans="2:10" x14ac:dyDescent="0.35">
      <c r="B73" s="95" t="str" cm="1">
        <f t="array" ref="B73">INDEX('Data Validation (Hide)'!$B$2:$B$16,ROUNDUP(ROW(A68)/5,0),1)</f>
        <v>Caseload 14</v>
      </c>
      <c r="C73" s="157"/>
      <c r="D73" s="158"/>
      <c r="E73" s="158"/>
      <c r="F73" s="159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25"/>
      <c r="J73" s="125"/>
    </row>
    <row r="74" spans="2:10" x14ac:dyDescent="0.35">
      <c r="B74" s="97" t="str" cm="1">
        <f t="array" ref="B74">INDEX('Data Validation (Hide)'!$B$2:$B$16,ROUNDUP(ROW(A69)/5,0),1)</f>
        <v>Caseload 14</v>
      </c>
      <c r="C74" s="157"/>
      <c r="D74" s="158"/>
      <c r="E74" s="158"/>
      <c r="F74" s="159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25"/>
      <c r="J74" s="125"/>
    </row>
    <row r="75" spans="2:10" ht="15" thickBot="1" x14ac:dyDescent="0.4">
      <c r="B75" s="98" t="str" cm="1">
        <f t="array" ref="B75">INDEX('Data Validation (Hide)'!$B$2:$B$16,ROUNDUP(ROW(A70)/5,0),1)</f>
        <v>Caseload 14</v>
      </c>
      <c r="C75" s="160"/>
      <c r="D75" s="161"/>
      <c r="E75" s="161"/>
      <c r="F75" s="162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26"/>
      <c r="J75" s="126"/>
    </row>
    <row r="76" spans="2:10" x14ac:dyDescent="0.35">
      <c r="B76" s="96" t="str" cm="1">
        <f t="array" ref="B76">INDEX('Data Validation (Hide)'!$B$2:$B$16,ROUNDUP(ROW(A71)/5,0),1)</f>
        <v>Caseload 15</v>
      </c>
      <c r="C76" s="154"/>
      <c r="D76" s="155"/>
      <c r="E76" s="155"/>
      <c r="F76" s="156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24">
        <f>SUMIF($E$76:$E$80,1,$H$76:$H$80)</f>
        <v>0</v>
      </c>
      <c r="J76" s="124">
        <f>SUMIF($E$76:$E$80,"&gt;"&amp;1,$H$76:$H$80)</f>
        <v>0</v>
      </c>
    </row>
    <row r="77" spans="2:10" x14ac:dyDescent="0.35">
      <c r="B77" s="97" t="str" cm="1">
        <f t="array" ref="B77">INDEX('Data Validation (Hide)'!$B$2:$B$16,ROUNDUP(ROW(A72)/5,0),1)</f>
        <v>Caseload 15</v>
      </c>
      <c r="C77" s="157"/>
      <c r="D77" s="158"/>
      <c r="E77" s="158"/>
      <c r="F77" s="159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25"/>
      <c r="J77" s="125"/>
    </row>
    <row r="78" spans="2:10" x14ac:dyDescent="0.35">
      <c r="B78" s="95" t="str" cm="1">
        <f t="array" ref="B78">INDEX('Data Validation (Hide)'!$B$2:$B$16,ROUNDUP(ROW(A73)/5,0),1)</f>
        <v>Caseload 15</v>
      </c>
      <c r="C78" s="157"/>
      <c r="D78" s="158"/>
      <c r="E78" s="158"/>
      <c r="F78" s="159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25"/>
      <c r="J78" s="125"/>
    </row>
    <row r="79" spans="2:10" x14ac:dyDescent="0.35">
      <c r="B79" s="97" t="str" cm="1">
        <f t="array" ref="B79">INDEX('Data Validation (Hide)'!$B$2:$B$16,ROUNDUP(ROW(A74)/5,0),1)</f>
        <v>Caseload 15</v>
      </c>
      <c r="C79" s="157"/>
      <c r="D79" s="158"/>
      <c r="E79" s="158"/>
      <c r="F79" s="159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25"/>
      <c r="J79" s="125"/>
    </row>
    <row r="80" spans="2:10" ht="15" thickBot="1" x14ac:dyDescent="0.4">
      <c r="B80" s="98" t="str" cm="1">
        <f t="array" ref="B80">INDEX('Data Validation (Hide)'!$B$2:$B$16,ROUNDUP(ROW(A75)/5,0),1)</f>
        <v>Caseload 15</v>
      </c>
      <c r="C80" s="160"/>
      <c r="D80" s="161"/>
      <c r="E80" s="161"/>
      <c r="F80" s="162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26"/>
      <c r="J80" s="126"/>
    </row>
    <row r="81" spans="5:10" x14ac:dyDescent="0.35">
      <c r="E81" s="29"/>
      <c r="H81" s="29"/>
      <c r="I81" s="29"/>
      <c r="J81" s="29"/>
    </row>
  </sheetData>
  <sheetProtection algorithmName="SHA-512" hashValue="ge+vL1mDvCrknkwqLliPkZYWTjn9NzU8QJSO9t1n71JEmn5AtuGaHNMBtY6ehqee8CaoN7uDc2nvNKxZjA4hew==" saltValue="0Q2yMKJuPYc6mAiOla+cYA==" spinCount="100000" sheet="1" objects="1" scenarios="1" formatColumns="0" formatRows="0"/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196</v>
      </c>
      <c r="G1" t="s">
        <v>198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194</v>
      </c>
      <c r="F2" t="s">
        <v>195</v>
      </c>
      <c r="G2" t="s">
        <v>194</v>
      </c>
      <c r="H2" t="s">
        <v>195</v>
      </c>
    </row>
    <row r="3" spans="2:8" x14ac:dyDescent="0.35">
      <c r="B3" t="str">
        <f>Service!B6</f>
        <v>Caseload 1</v>
      </c>
      <c r="C3">
        <f>Service!D6</f>
        <v>0</v>
      </c>
      <c r="D3">
        <f>Service!E6</f>
        <v>0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0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0</v>
      </c>
      <c r="G3">
        <f>SUMIF(INDEX($D$3:$D$77,ROW(A1),0):INDEX($D$3:$D$77,ROUNDUP(ROW(A1)/5,0)*5,1),"&gt;"&amp;1,INDEX($E$3:$E$77,ROW(A1),0):INDEX($E$3:$E$77,ROUNDUP(ROW(A1)/5,0)*5,1))</f>
        <v>0</v>
      </c>
      <c r="H3">
        <f>SUMIF(INDEX($D$3:$D$77,ROW(A1),0):INDEX($D$3:$D$77,ROUNDUP(ROW(A1)/5,0)*5,1),"&gt;"&amp;1,INDEX($F$3:$F$77,ROW(A1),0):INDEX($F$3:$F$77,ROUNDUP(ROW(A1)/5,0)*5,1))</f>
        <v>0</v>
      </c>
    </row>
    <row r="4" spans="2:8" x14ac:dyDescent="0.35">
      <c r="B4" t="str">
        <f>Service!B7</f>
        <v>Caseload 1</v>
      </c>
      <c r="C4">
        <f>Service!D7</f>
        <v>0</v>
      </c>
      <c r="D4">
        <f>Service!E7</f>
        <v>0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0</v>
      </c>
      <c r="H4">
        <f>SUMIF(INDEX($D$3:$D$77,ROW(A2),0):INDEX($D$3:$D$77,ROUNDUP(ROW(A2)/5,0)*5,1),"&gt;"&amp;1,INDEX($F$3:$F$77,ROW(A2),0):INDEX($F$3:$F$77,ROUNDUP(ROW(A2)/5,0)*5,1))</f>
        <v>0</v>
      </c>
    </row>
    <row r="5" spans="2:8" x14ac:dyDescent="0.35">
      <c r="B5" t="str">
        <f>Service!B8</f>
        <v>Caseload 1</v>
      </c>
      <c r="C5">
        <f>Service!D8</f>
        <v>0</v>
      </c>
      <c r="D5">
        <f>Service!E8</f>
        <v>0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0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0</v>
      </c>
      <c r="G5">
        <f>SUMIF(INDEX($D$3:$D$77,ROW(A3),0):INDEX($D$3:$D$77,ROUNDUP(ROW(A3)/5,0)*5,1),"&gt;"&amp;1,INDEX($E$3:$E$77,ROW(A3),0):INDEX($E$3:$E$77,ROUNDUP(ROW(A3)/5,0)*5,1))</f>
        <v>0</v>
      </c>
      <c r="H5">
        <f>SUMIF(INDEX($D$3:$D$77,ROW(A3),0):INDEX($D$3:$D$77,ROUNDUP(ROW(A3)/5,0)*5,1),"&gt;"&amp;1,INDEX($F$3:$F$77,ROW(A3),0):INDEX($F$3:$F$77,ROUNDUP(ROW(A3)/5,0)*5,1))</f>
        <v>0</v>
      </c>
    </row>
    <row r="6" spans="2:8" x14ac:dyDescent="0.35">
      <c r="B6" t="str">
        <f>Service!B9</f>
        <v>Caseload 1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Caseload 1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Caseload 2</v>
      </c>
      <c r="C8">
        <f>Service!D11</f>
        <v>0</v>
      </c>
      <c r="D8">
        <f>Service!E11</f>
        <v>0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0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0</v>
      </c>
      <c r="G8">
        <f>SUMIF(INDEX($D$3:$D$77,ROW(A6),0):INDEX($D$3:$D$77,ROUNDUP(ROW(A6)/5,0)*5,1),"&gt;"&amp;1,INDEX($E$3:$E$77,ROW(A6),0):INDEX($E$3:$E$77,ROUNDUP(ROW(A6)/5,0)*5,1))</f>
        <v>0</v>
      </c>
      <c r="H8">
        <f>SUMIF(INDEX($D$3:$D$77,ROW(A6),0):INDEX($D$3:$D$77,ROUNDUP(ROW(A6)/5,0)*5,1),"&gt;"&amp;1,INDEX($F$3:$F$77,ROW(A6),0):INDEX($F$3:$F$77,ROUNDUP(ROW(A6)/5,0)*5,1))</f>
        <v>0</v>
      </c>
    </row>
    <row r="9" spans="2:8" x14ac:dyDescent="0.35">
      <c r="B9" t="str">
        <f>Service!B12</f>
        <v>Caseload 2</v>
      </c>
      <c r="C9">
        <f>Service!D12</f>
        <v>0</v>
      </c>
      <c r="D9">
        <f>Service!E12</f>
        <v>0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Caseload 2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Caseload 2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Caseload 2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Caseload 3</v>
      </c>
      <c r="C13">
        <f>Service!D16</f>
        <v>0</v>
      </c>
      <c r="D13">
        <f>Service!E16</f>
        <v>0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0</v>
      </c>
      <c r="G13">
        <f>SUMIF(INDEX($D$3:$D$77,ROW(A11),0):INDEX($D$3:$D$77,ROUNDUP(ROW(A11)/5,0)*5,1),"&gt;"&amp;1,INDEX($E$3:$E$77,ROW(A11),0):INDEX($E$3:$E$77,ROUNDUP(ROW(A11)/5,0)*5,1))</f>
        <v>0</v>
      </c>
      <c r="H13">
        <f>SUMIF(INDEX($D$3:$D$77,ROW(A11),0):INDEX($D$3:$D$77,ROUNDUP(ROW(A11)/5,0)*5,1),"&gt;"&amp;1,INDEX($F$3:$F$77,ROW(A11),0):INDEX($F$3:$F$77,ROUNDUP(ROW(A11)/5,0)*5,1))</f>
        <v>0</v>
      </c>
    </row>
    <row r="14" spans="2:8" x14ac:dyDescent="0.35">
      <c r="B14" t="str">
        <f>Service!B17</f>
        <v>Caseload 3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Caseload 3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Caseload 3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Caseload 3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Caseload 4</v>
      </c>
      <c r="C18">
        <f>Service!D21</f>
        <v>0</v>
      </c>
      <c r="D18">
        <f>Service!E21</f>
        <v>0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Caseload 4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Caseload 4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Caseload 4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Caseload 4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Caseload 5</v>
      </c>
      <c r="C23">
        <f>Service!D26</f>
        <v>0</v>
      </c>
      <c r="D23">
        <f>Service!E26</f>
        <v>0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Caseload 5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Caseload 5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Caseload 5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Caseload 5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F1" workbookViewId="0">
      <selection activeCell="CU11" sqref="CU11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Caseload 2</v>
      </c>
      <c r="M1" s="15" t="str" cm="1">
        <f t="array" ref="M1">INDEX($A$5:$A$19,ROUNDUP(COLUMN(H1)/6,0),1)</f>
        <v>Caseload 2</v>
      </c>
      <c r="N1" s="3" t="str" cm="1">
        <f t="array" ref="N1">INDEX($A$5:$A$19,ROUNDUP(COLUMN(I1)/6,0),1)</f>
        <v>Caseload 2</v>
      </c>
      <c r="O1" s="15" t="str" cm="1">
        <f t="array" ref="O1">INDEX($A$5:$A$19,ROUNDUP(COLUMN(J1)/6,0),1)</f>
        <v>Caseload 2</v>
      </c>
      <c r="P1" s="4" t="str" cm="1">
        <f t="array" ref="P1">INDEX($A$5:$A$19,ROUNDUP(COLUMN(K1)/6,0),1)</f>
        <v>Caseload 2</v>
      </c>
      <c r="Q1" s="15" t="str" cm="1">
        <f t="array" ref="Q1">INDEX($A$5:$A$19,ROUNDUP(COLUMN(L1)/6,0),1)</f>
        <v>Caseload 2</v>
      </c>
      <c r="R1" s="3" t="str" cm="1">
        <f t="array" ref="R1">INDEX($A$5:$A$19,ROUNDUP(COLUMN(M1)/6,0),1)</f>
        <v>Caseload 3</v>
      </c>
      <c r="S1" s="15" t="str" cm="1">
        <f t="array" ref="S1">INDEX($A$5:$A$19,ROUNDUP(COLUMN(N1)/6,0),1)</f>
        <v>Caseload 3</v>
      </c>
      <c r="T1" s="3" t="str" cm="1">
        <f t="array" ref="T1">INDEX($A$5:$A$19,ROUNDUP(COLUMN(O1)/6,0),1)</f>
        <v>Caseload 3</v>
      </c>
      <c r="U1" s="15" t="str" cm="1">
        <f t="array" ref="U1">INDEX($A$5:$A$19,ROUNDUP(COLUMN(P1)/6,0),1)</f>
        <v>Caseload 3</v>
      </c>
      <c r="V1" s="4" t="str" cm="1">
        <f t="array" ref="V1">INDEX($A$5:$A$19,ROUNDUP(COLUMN(Q1)/6,0),1)</f>
        <v>Caseload 3</v>
      </c>
      <c r="W1" s="15" t="str" cm="1">
        <f t="array" ref="W1">INDEX($A$5:$A$19,ROUNDUP(COLUMN(R1)/6,0),1)</f>
        <v>Caseload 3</v>
      </c>
      <c r="X1" s="3" t="str" cm="1">
        <f t="array" ref="X1">INDEX($A$5:$A$19,ROUNDUP(COLUMN(S1)/6,0),1)</f>
        <v>Caseload 4</v>
      </c>
      <c r="Y1" s="15" t="str" cm="1">
        <f t="array" ref="Y1">INDEX($A$5:$A$19,ROUNDUP(COLUMN(T1)/6,0),1)</f>
        <v>Caseload 4</v>
      </c>
      <c r="Z1" s="3" t="str" cm="1">
        <f t="array" ref="Z1">INDEX($A$5:$A$19,ROUNDUP(COLUMN(U1)/6,0),1)</f>
        <v>Caseload 4</v>
      </c>
      <c r="AA1" s="15" t="str" cm="1">
        <f t="array" ref="AA1">INDEX($A$5:$A$19,ROUNDUP(COLUMN(V1)/6,0),1)</f>
        <v>Caseload 4</v>
      </c>
      <c r="AB1" s="4" t="str" cm="1">
        <f t="array" ref="AB1">INDEX($A$5:$A$19,ROUNDUP(COLUMN(W1)/6,0),1)</f>
        <v>Caseload 4</v>
      </c>
      <c r="AC1" s="15" t="str" cm="1">
        <f t="array" ref="AC1">INDEX($A$5:$A$19,ROUNDUP(COLUMN(X1)/6,0),1)</f>
        <v>Caseload 4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0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</v>
      </c>
      <c r="J3" s="27"/>
      <c r="K3" s="28"/>
      <c r="L3" s="26">
        <f>INDEX(Service!$I$6:$J$80,MATCH('Required Capacity (Hide)'!L$1,Service!$B$6:$B$80,0),1)/IF(Summary!$B$7="Minutes",1,60)</f>
        <v>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</v>
      </c>
      <c r="V3" s="27"/>
      <c r="W3" s="28"/>
      <c r="X3" s="26">
        <f>INDEX(Service!$I$6:$J$80,MATCH('Required Capacity (Hide)'!X$1,Service!$B$6:$B$80,0),1)/IF(Summary!$B$7="Minutes",1,60)</f>
        <v>0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Caseload 1</v>
      </c>
      <c r="B5" s="19" t="e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#N/A</v>
      </c>
      <c r="C5" s="30" t="e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#N/A</v>
      </c>
      <c r="E5" s="12" t="e" cm="1" vm="1">
        <f t="array" aca="1" ref="E5" ca="1">IF(Setup!B11="Weekly",INDEX(Demand!$C$9:$C$268,Demand!$A$8,1)+7,EOMONTH(_xlfn.NUMBERVALUE(INDEX('SPC Backing (Hide)'!$E$4:$E$263,Demand!A8)),0)+1)</f>
        <v>#VALUE!</v>
      </c>
      <c r="F5" s="7" t="e">
        <f>INDEX($B$5:$C$19,MATCH(F$1,$A$5:$A$19,0),1)*F$3</f>
        <v>#N/A</v>
      </c>
      <c r="G5" s="6" t="e">
        <f>INDEX($B$5:$C$19,MATCH(F$1,$A$5:$A$19,0),2)*F$3</f>
        <v>#N/A</v>
      </c>
      <c r="H5" s="3" t="e">
        <f>INDEX($B$5:$C$19,MATCH(F$1,$A$5:$A$19,0),1)*H$3</f>
        <v>#N/A</v>
      </c>
      <c r="I5" s="15" t="e">
        <f>INDEX($B$5:$C$19,MATCH(F$1,$A$5:$A$19,0),2)*I$3</f>
        <v>#N/A</v>
      </c>
      <c r="J5" s="5" t="e">
        <f>SUMIF(F$4:I$4,J$4,F5:I5)</f>
        <v>#N/A</v>
      </c>
      <c r="K5" s="6" t="e">
        <f>SUMIF(F$4:I$4,K$4,F5:I5)</f>
        <v>#N/A</v>
      </c>
      <c r="L5" s="7" t="e">
        <f>INDEX($B$5:$C$19,MATCH(L$1,$A$5:$A$19,0),1)*L$3</f>
        <v>#N/A</v>
      </c>
      <c r="M5" s="6" t="e">
        <f>INDEX($B$5:$C$19,MATCH(L$1,$A$5:$A$19,0),2)*L$3</f>
        <v>#N/A</v>
      </c>
      <c r="N5" s="3" t="e">
        <f>INDEX($B$5:$C$19,MATCH(L$1,$A$5:$A$19,0),1)*N$3</f>
        <v>#N/A</v>
      </c>
      <c r="O5" s="15" t="e">
        <f>INDEX($B$5:$C$19,MATCH(L$1,$A$5:$A$19,0),2)*O$3</f>
        <v>#N/A</v>
      </c>
      <c r="P5" s="5" t="e">
        <f>SUMIF(L$4:O$4,P$4,L5:O5)</f>
        <v>#N/A</v>
      </c>
      <c r="Q5" s="6" t="e">
        <f>SUMIF(L$4:O$4,Q$4,L5:O5)</f>
        <v>#N/A</v>
      </c>
      <c r="R5" s="7" t="e">
        <f>INDEX($B$5:$C$19,MATCH(R$1,$A$5:$A$19,0),1)*R$3</f>
        <v>#N/A</v>
      </c>
      <c r="S5" s="6" t="e">
        <f>INDEX($B$5:$C$19,MATCH(R$1,$A$5:$A$19,0),2)*R$3</f>
        <v>#N/A</v>
      </c>
      <c r="T5" s="3" t="e">
        <f>INDEX($B$5:$C$19,MATCH(R$1,$A$5:$A$19,0),1)*T$3</f>
        <v>#N/A</v>
      </c>
      <c r="U5" s="15" t="e">
        <f>INDEX($B$5:$C$19,MATCH(R$1,$A$5:$A$19,0),2)*U$3</f>
        <v>#N/A</v>
      </c>
      <c r="V5" s="5" t="e">
        <f>SUMIF(R$4:U$4,V$4,R5:U5)</f>
        <v>#N/A</v>
      </c>
      <c r="W5" s="6" t="e">
        <f>SUMIF(R$4:U$4,W$4,R5:U5)</f>
        <v>#N/A</v>
      </c>
      <c r="X5" s="7" t="e">
        <f>INDEX($B$5:$C$19,MATCH(X$1,$A$5:$A$19,0),1)*X$3</f>
        <v>#N/A</v>
      </c>
      <c r="Y5" s="6" t="e">
        <f>INDEX($B$5:$C$19,MATCH(X$1,$A$5:$A$19,0),2)*X$3</f>
        <v>#N/A</v>
      </c>
      <c r="Z5" s="3" t="e">
        <f>INDEX($B$5:$C$19,MATCH(X$1,$A$5:$A$19,0),1)*Z$3</f>
        <v>#N/A</v>
      </c>
      <c r="AA5" s="15" t="e">
        <f>INDEX($B$5:$C$19,MATCH(X$1,$A$5:$A$19,0),2)*AA$3</f>
        <v>#N/A</v>
      </c>
      <c r="AB5" s="5" t="e">
        <f>SUMIF(X$4:AA$4,AB$4,X5:AA5)</f>
        <v>#N/A</v>
      </c>
      <c r="AC5" s="6" t="e">
        <f>SUMIF(X$4:AA$4,AC$4,X5:AA5)</f>
        <v>#N/A</v>
      </c>
      <c r="AD5" s="7" t="e">
        <f>INDEX($B$5:$C$19,MATCH(AD$1,$A$5:$A$19,0),1)*AD$3</f>
        <v>#N/A</v>
      </c>
      <c r="AE5" s="6" t="e">
        <f>INDEX($B$5:$C$19,MATCH(AD$1,$A$5:$A$19,0),2)*AD$3</f>
        <v>#N/A</v>
      </c>
      <c r="AF5" s="3" t="e">
        <f>INDEX($B$5:$C$19,MATCH(AD$1,$A$5:$A$19,0),1)*AF$3</f>
        <v>#N/A</v>
      </c>
      <c r="AG5" s="15" t="e">
        <f>INDEX($B$5:$C$19,MATCH(AD$1,$A$5:$A$19,0),2)*AG$3</f>
        <v>#N/A</v>
      </c>
      <c r="AH5" s="5" t="e">
        <f>SUMIF(AD$4:AG$4,AH$4,AD5:AG5)</f>
        <v>#N/A</v>
      </c>
      <c r="AI5" s="6" t="e">
        <f>SUMIF(AD$4:AG$4,AI$4,AD5:AG5)</f>
        <v>#N/A</v>
      </c>
      <c r="AJ5" s="7" t="e">
        <f>INDEX($B$5:$C$19,MATCH(AJ$1,$A$5:$A$19,0),1)*AJ$3</f>
        <v>#N/A</v>
      </c>
      <c r="AK5" s="6" t="e">
        <f>INDEX($B$5:$C$19,MATCH(AJ$1,$A$5:$A$19,0),2)*AJ$3</f>
        <v>#N/A</v>
      </c>
      <c r="AL5" s="3" t="e">
        <f>INDEX($B$5:$C$19,MATCH(AJ$1,$A$5:$A$19,0),1)*AL$3</f>
        <v>#N/A</v>
      </c>
      <c r="AM5" s="15" t="e">
        <f>INDEX($B$5:$C$19,MATCH(AJ$1,$A$5:$A$19,0),2)*AM$3</f>
        <v>#N/A</v>
      </c>
      <c r="AN5" s="5" t="e">
        <f>SUMIF(AJ$4:AM$4,AN$4,AJ5:AM5)</f>
        <v>#N/A</v>
      </c>
      <c r="AO5" s="6" t="e">
        <f>SUMIF(AJ$4:AM$4,AO$4,AJ5:AM5)</f>
        <v>#N/A</v>
      </c>
      <c r="AP5" s="7" t="e">
        <f>INDEX($B$5:$C$19,MATCH(AP$1,$A$5:$A$19,0),1)*AP$3</f>
        <v>#N/A</v>
      </c>
      <c r="AQ5" s="6" t="e">
        <f>INDEX($B$5:$C$19,MATCH(AP$1,$A$5:$A$19,0),2)*AP$3</f>
        <v>#N/A</v>
      </c>
      <c r="AR5" s="3" t="e">
        <f>INDEX($B$5:$C$19,MATCH(AP$1,$A$5:$A$19,0),1)*AR$3</f>
        <v>#N/A</v>
      </c>
      <c r="AS5" s="15" t="e">
        <f>INDEX($B$5:$C$19,MATCH(AP$1,$A$5:$A$19,0),2)*AS$3</f>
        <v>#N/A</v>
      </c>
      <c r="AT5" s="5" t="e">
        <f>SUMIF(AP$4:AS$4,AT$4,AP5:AS5)</f>
        <v>#N/A</v>
      </c>
      <c r="AU5" s="6" t="e">
        <f>SUMIF(AP$4:AS$4,AU$4,AP5:AS5)</f>
        <v>#N/A</v>
      </c>
      <c r="AV5" s="7" t="e">
        <f>INDEX($B$5:$C$19,MATCH(AV$1,$A$5:$A$19,0),1)*AV$3</f>
        <v>#N/A</v>
      </c>
      <c r="AW5" s="6" t="e">
        <f>INDEX($B$5:$C$19,MATCH(AV$1,$A$5:$A$19,0),2)*AV$3</f>
        <v>#N/A</v>
      </c>
      <c r="AX5" s="3" t="e">
        <f>INDEX($B$5:$C$19,MATCH(AV$1,$A$5:$A$19,0),1)*AX$3</f>
        <v>#N/A</v>
      </c>
      <c r="AY5" s="15" t="e">
        <f>INDEX($B$5:$C$19,MATCH(AV$1,$A$5:$A$19,0),2)*AY$3</f>
        <v>#N/A</v>
      </c>
      <c r="AZ5" s="5" t="e">
        <f>SUMIF(AV$4:AY$4,AZ$4,AV5:AY5)</f>
        <v>#N/A</v>
      </c>
      <c r="BA5" s="6" t="e">
        <f>SUMIF(AV$4:AY$4,BA$4,AV5:AY5)</f>
        <v>#N/A</v>
      </c>
      <c r="BB5" s="7" t="e">
        <f>INDEX($B$5:$C$19,MATCH(BB$1,$A$5:$A$19,0),1)*BB$3</f>
        <v>#N/A</v>
      </c>
      <c r="BC5" s="6" t="e">
        <f>INDEX($B$5:$C$19,MATCH(BB$1,$A$5:$A$19,0),2)*BB$3</f>
        <v>#N/A</v>
      </c>
      <c r="BD5" s="3" t="e">
        <f>INDEX($B$5:$C$19,MATCH(BB$1,$A$5:$A$19,0),1)*BD$3</f>
        <v>#N/A</v>
      </c>
      <c r="BE5" s="15" t="e">
        <f>INDEX($B$5:$C$19,MATCH(BB$1,$A$5:$A$19,0),2)*BE$3</f>
        <v>#N/A</v>
      </c>
      <c r="BF5" s="5" t="e">
        <f>SUMIF(BB$4:BE$4,BF$4,BB5:BE5)</f>
        <v>#N/A</v>
      </c>
      <c r="BG5" s="6" t="e">
        <f>SUMIF(BB$4:BE$4,BG$4,BB5:BE5)</f>
        <v>#N/A</v>
      </c>
      <c r="BH5" s="7" t="e">
        <f>INDEX($B$5:$C$19,MATCH(BH$1,$A$5:$A$19,0),1)*BH$3</f>
        <v>#N/A</v>
      </c>
      <c r="BI5" s="6" t="e">
        <f>INDEX($B$5:$C$19,MATCH(BH$1,$A$5:$A$19,0),2)*BH$3</f>
        <v>#N/A</v>
      </c>
      <c r="BJ5" s="3" t="e">
        <f>INDEX($B$5:$C$19,MATCH(BH$1,$A$5:$A$19,0),1)*BJ$3</f>
        <v>#N/A</v>
      </c>
      <c r="BK5" s="15" t="e">
        <f>INDEX($B$5:$C$19,MATCH(BH$1,$A$5:$A$19,0),2)*BK$3</f>
        <v>#N/A</v>
      </c>
      <c r="BL5" s="5" t="e">
        <f>SUMIF(BH$4:BK$4,BL$4,BH5:BK5)</f>
        <v>#N/A</v>
      </c>
      <c r="BM5" s="6" t="e">
        <f>SUMIF(BH$4:BK$4,BM$4,BH5:BK5)</f>
        <v>#N/A</v>
      </c>
      <c r="BN5" s="7" t="e">
        <f>INDEX($B$5:$C$19,MATCH(BN$1,$A$5:$A$19,0),1)*BN$3</f>
        <v>#N/A</v>
      </c>
      <c r="BO5" s="6" t="e">
        <f>INDEX($B$5:$C$19,MATCH(BN$1,$A$5:$A$19,0),2)*BN$3</f>
        <v>#N/A</v>
      </c>
      <c r="BP5" s="3" t="e">
        <f>INDEX($B$5:$C$19,MATCH(BN$1,$A$5:$A$19,0),1)*BP$3</f>
        <v>#N/A</v>
      </c>
      <c r="BQ5" s="15" t="e">
        <f>INDEX($B$5:$C$19,MATCH(BN$1,$A$5:$A$19,0),2)*BQ$3</f>
        <v>#N/A</v>
      </c>
      <c r="BR5" s="5" t="e">
        <f>SUMIF(BN$4:BQ$4,BR$4,BN5:BQ5)</f>
        <v>#N/A</v>
      </c>
      <c r="BS5" s="6" t="e">
        <f>SUMIF(BN$4:BQ$4,BS$4,BN5:BQ5)</f>
        <v>#N/A</v>
      </c>
      <c r="BT5" s="7" t="e">
        <f>INDEX($B$5:$C$19,MATCH(BT$1,$A$5:$A$19,0),1)*BT$3</f>
        <v>#N/A</v>
      </c>
      <c r="BU5" s="6" t="e">
        <f>INDEX($B$5:$C$19,MATCH(BT$1,$A$5:$A$19,0),2)*BT$3</f>
        <v>#N/A</v>
      </c>
      <c r="BV5" s="3" t="e">
        <f>INDEX($B$5:$C$19,MATCH(BT$1,$A$5:$A$19,0),1)*BV$3</f>
        <v>#N/A</v>
      </c>
      <c r="BW5" s="15" t="e">
        <f>INDEX($B$5:$C$19,MATCH(BT$1,$A$5:$A$19,0),2)*BW$3</f>
        <v>#N/A</v>
      </c>
      <c r="BX5" s="5" t="e">
        <f>SUMIF(BT$4:BW$4,BX$4,BT5:BW5)</f>
        <v>#N/A</v>
      </c>
      <c r="BY5" s="6" t="e">
        <f>SUMIF(BT$4:BW$4,BY$4,BT5:BW5)</f>
        <v>#N/A</v>
      </c>
      <c r="BZ5" s="7" t="e">
        <f>INDEX($B$5:$C$19,MATCH(BZ$1,$A$5:$A$19,0),1)*BZ$3</f>
        <v>#N/A</v>
      </c>
      <c r="CA5" s="6" t="e">
        <f>INDEX($B$5:$C$19,MATCH(BZ$1,$A$5:$A$19,0),2)*BZ$3</f>
        <v>#N/A</v>
      </c>
      <c r="CB5" s="3" t="e">
        <f>INDEX($B$5:$C$19,MATCH(BZ$1,$A$5:$A$19,0),1)*CB$3</f>
        <v>#N/A</v>
      </c>
      <c r="CC5" s="15" t="e">
        <f>INDEX($B$5:$C$19,MATCH(BZ$1,$A$5:$A$19,0),2)*CC$3</f>
        <v>#N/A</v>
      </c>
      <c r="CD5" s="5" t="e">
        <f>SUMIF(BZ$4:CC$4,CD$4,BZ5:CC5)</f>
        <v>#N/A</v>
      </c>
      <c r="CE5" s="6" t="e">
        <f>SUMIF(BZ$4:CC$4,CE$4,BZ5:CC5)</f>
        <v>#N/A</v>
      </c>
      <c r="CF5" s="7" t="e">
        <f>INDEX($B$5:$C$19,MATCH(CF$1,$A$5:$A$19,0),1)*CF$3</f>
        <v>#N/A</v>
      </c>
      <c r="CG5" s="6" t="e">
        <f>INDEX($B$5:$C$19,MATCH(CF$1,$A$5:$A$19,0),2)*CF$3</f>
        <v>#N/A</v>
      </c>
      <c r="CH5" s="3" t="e">
        <f>INDEX($B$5:$C$19,MATCH(CF$1,$A$5:$A$19,0),1)*CH$3</f>
        <v>#N/A</v>
      </c>
      <c r="CI5" s="15" t="e">
        <f>INDEX($B$5:$C$19,MATCH(CF$1,$A$5:$A$19,0),2)*CI$3</f>
        <v>#N/A</v>
      </c>
      <c r="CJ5" s="5" t="e">
        <f>SUMIF(CF$4:CI$4,CJ$4,CF5:CI5)</f>
        <v>#N/A</v>
      </c>
      <c r="CK5" s="6" t="e">
        <f>SUMIF(CF$4:CI$4,CK$4,CF5:CI5)</f>
        <v>#N/A</v>
      </c>
      <c r="CL5" s="7" t="e">
        <f>INDEX($B$5:$C$19,MATCH(CL$1,$A$5:$A$19,0),1)*CL$3</f>
        <v>#N/A</v>
      </c>
      <c r="CM5" s="6" t="e">
        <f>INDEX($B$5:$C$19,MATCH(CL$1,$A$5:$A$19,0),2)*CL$3</f>
        <v>#N/A</v>
      </c>
      <c r="CN5" s="3" t="e">
        <f>INDEX($B$5:$C$19,MATCH(CL$1,$A$5:$A$19,0),1)*CN$3</f>
        <v>#N/A</v>
      </c>
      <c r="CO5" s="15" t="e">
        <f>INDEX($B$5:$C$19,MATCH(CL$1,$A$5:$A$19,0),2)*CO$3</f>
        <v>#N/A</v>
      </c>
      <c r="CP5" s="5" t="e">
        <f>SUMIF(CL$4:CO$4,CP$4,CL5:CO5)</f>
        <v>#N/A</v>
      </c>
      <c r="CQ5" s="6" t="e">
        <f>SUMIF(CL$4:CO$4,CQ$4,CL5:CO5)</f>
        <v>#N/A</v>
      </c>
      <c r="CR5" s="7" t="e">
        <f>SUMIFS($F5:$CQ5,$F$2:$CQ$2,CR$2,$F$4:$CQ$4,CR$4)</f>
        <v>#N/A</v>
      </c>
      <c r="CS5" s="7" t="e">
        <f>SUMIFS($F5:$CQ5,$F$2:$CQ$2,CS$2,$F$4:$CQ$4,CS$4)</f>
        <v>#N/A</v>
      </c>
      <c r="CT5" s="7" t="e">
        <f>SUMIFS($F5:$CQ5,$F$2:$CQ$2,CT$2,$F$4:$CQ$4,CT$4)</f>
        <v>#N/A</v>
      </c>
      <c r="CU5" s="7" t="e">
        <f>SUMIFS($F5:$CQ5,$F$2:$CQ$2,CU$2,$F$4:$CQ$4,CU$4)</f>
        <v>#N/A</v>
      </c>
      <c r="CV5" s="5" t="e">
        <f>SUM(CR5,CT5)</f>
        <v>#N/A</v>
      </c>
      <c r="CW5" s="6" t="e">
        <f>SUM(CS5,CU5)</f>
        <v>#N/A</v>
      </c>
      <c r="CY5" s="7" t="e">
        <f t="array" ref="CY5:CY56">Summary_LowerBound</f>
        <v>#N/A</v>
      </c>
      <c r="CZ5" s="5" t="e">
        <f t="array" ref="CZ5">Summary_UpperBound</f>
        <v>#N/A</v>
      </c>
      <c r="DA5" s="6" t="e">
        <f>CZ5-CY5</f>
        <v>#N/A</v>
      </c>
    </row>
    <row r="6" spans="1:105" x14ac:dyDescent="0.35">
      <c r="A6" s="7" t="str">
        <f>'Data Validation (Hide)'!B3</f>
        <v>Caseload 2</v>
      </c>
      <c r="B6" s="19" t="e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#N/A</v>
      </c>
      <c r="C6" s="30" t="e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#N/A</v>
      </c>
      <c r="E6" s="12" t="e" vm="2">
        <f ca="1">E5+7</f>
        <v>#VALUE!</v>
      </c>
      <c r="F6" s="7" t="e">
        <f t="shared" ref="F6:F56" si="0">INDEX($B$5:$C$19,MATCH(F$1,$A$5:$A$19,0),1)*F$3</f>
        <v>#N/A</v>
      </c>
      <c r="G6" s="6" t="e">
        <f t="shared" ref="G6:G56" si="1">INDEX($B$5:$C$19,MATCH(F$1,$A$5:$A$19,0),2)*F$3</f>
        <v>#N/A</v>
      </c>
      <c r="H6" s="7" t="e">
        <f t="shared" ref="H6:H56" si="2">INDEX($B$5:$C$19,MATCH(F$1,$A$5:$A$19,0),1)*H$3</f>
        <v>#N/A</v>
      </c>
      <c r="I6" s="6" t="e">
        <f t="shared" ref="I6:I56" si="3">INDEX($B$5:$C$19,MATCH(F$1,$A$5:$A$19,0),2)*I$3</f>
        <v>#N/A</v>
      </c>
      <c r="J6" s="5" t="e">
        <f t="shared" ref="J6:J56" si="4">SUMIF(F$4:I$4,J$4,F6:I6)</f>
        <v>#N/A</v>
      </c>
      <c r="K6" s="6" t="e">
        <f t="shared" ref="K6:K56" si="5">SUMIF(F$4:I$4,K$4,F6:I6)</f>
        <v>#N/A</v>
      </c>
      <c r="L6" s="7" t="e">
        <f t="shared" ref="L6:L56" si="6">INDEX($B$5:$C$19,MATCH(L$1,$A$5:$A$19,0),1)*L$3</f>
        <v>#N/A</v>
      </c>
      <c r="M6" s="6" t="e">
        <f t="shared" ref="M6:M56" si="7">INDEX($B$5:$C$19,MATCH(L$1,$A$5:$A$19,0),2)*L$3</f>
        <v>#N/A</v>
      </c>
      <c r="N6" s="7" t="e">
        <f t="shared" ref="N6:N56" si="8">INDEX($B$5:$C$19,MATCH(L$1,$A$5:$A$19,0),1)*N$3</f>
        <v>#N/A</v>
      </c>
      <c r="O6" s="6" t="e">
        <f t="shared" ref="O6:O56" si="9">INDEX($B$5:$C$19,MATCH(L$1,$A$5:$A$19,0),2)*O$3</f>
        <v>#N/A</v>
      </c>
      <c r="P6" s="5" t="e">
        <f t="shared" ref="P6:P56" si="10">SUMIF(L$4:O$4,P$4,L6:O6)</f>
        <v>#N/A</v>
      </c>
      <c r="Q6" s="6" t="e">
        <f t="shared" ref="Q6:Q56" si="11">SUMIF(L$4:O$4,Q$4,L6:O6)</f>
        <v>#N/A</v>
      </c>
      <c r="R6" s="7" t="e">
        <f t="shared" ref="R6:R56" si="12">INDEX($B$5:$C$19,MATCH(R$1,$A$5:$A$19,0),1)*R$3</f>
        <v>#N/A</v>
      </c>
      <c r="S6" s="6" t="e">
        <f t="shared" ref="S6:S56" si="13">INDEX($B$5:$C$19,MATCH(R$1,$A$5:$A$19,0),2)*R$3</f>
        <v>#N/A</v>
      </c>
      <c r="T6" s="7" t="e">
        <f t="shared" ref="T6:T56" si="14">INDEX($B$5:$C$19,MATCH(R$1,$A$5:$A$19,0),1)*T$3</f>
        <v>#N/A</v>
      </c>
      <c r="U6" s="6" t="e">
        <f t="shared" ref="U6:U56" si="15">INDEX($B$5:$C$19,MATCH(R$1,$A$5:$A$19,0),2)*U$3</f>
        <v>#N/A</v>
      </c>
      <c r="V6" s="5" t="e">
        <f t="shared" ref="V6:V56" si="16">SUMIF(R$4:U$4,V$4,R6:U6)</f>
        <v>#N/A</v>
      </c>
      <c r="W6" s="6" t="e">
        <f t="shared" ref="W6:W56" si="17">SUMIF(R$4:U$4,W$4,R6:U6)</f>
        <v>#N/A</v>
      </c>
      <c r="X6" s="7" t="e">
        <f t="shared" ref="X6:X56" si="18">INDEX($B$5:$C$19,MATCH(X$1,$A$5:$A$19,0),1)*X$3</f>
        <v>#N/A</v>
      </c>
      <c r="Y6" s="6" t="e">
        <f t="shared" ref="Y6:Y56" si="19">INDEX($B$5:$C$19,MATCH(X$1,$A$5:$A$19,0),2)*X$3</f>
        <v>#N/A</v>
      </c>
      <c r="Z6" s="7" t="e">
        <f t="shared" ref="Z6:Z56" si="20">INDEX($B$5:$C$19,MATCH(X$1,$A$5:$A$19,0),1)*Z$3</f>
        <v>#N/A</v>
      </c>
      <c r="AA6" s="6" t="e">
        <f t="shared" ref="AA6:AA56" si="21">INDEX($B$5:$C$19,MATCH(X$1,$A$5:$A$19,0),2)*AA$3</f>
        <v>#N/A</v>
      </c>
      <c r="AB6" s="5" t="e">
        <f t="shared" ref="AB6:AB56" si="22">SUMIF(X$4:AA$4,AB$4,X6:AA6)</f>
        <v>#N/A</v>
      </c>
      <c r="AC6" s="6" t="e">
        <f t="shared" ref="AC6:AC56" si="23">SUMIF(X$4:AA$4,AC$4,X6:AA6)</f>
        <v>#N/A</v>
      </c>
      <c r="AD6" s="7" t="e">
        <f t="shared" ref="AD6:AD56" si="24">INDEX($B$5:$C$19,MATCH(AD$1,$A$5:$A$19,0),1)*AD$3</f>
        <v>#N/A</v>
      </c>
      <c r="AE6" s="6" t="e">
        <f t="shared" ref="AE6:AE56" si="25">INDEX($B$5:$C$19,MATCH(AD$1,$A$5:$A$19,0),2)*AD$3</f>
        <v>#N/A</v>
      </c>
      <c r="AF6" s="7" t="e">
        <f t="shared" ref="AF6:AF56" si="26">INDEX($B$5:$C$19,MATCH(AD$1,$A$5:$A$19,0),1)*AF$3</f>
        <v>#N/A</v>
      </c>
      <c r="AG6" s="6" t="e">
        <f t="shared" ref="AG6:AG56" si="27">INDEX($B$5:$C$19,MATCH(AD$1,$A$5:$A$19,0),2)*AG$3</f>
        <v>#N/A</v>
      </c>
      <c r="AH6" s="5" t="e">
        <f t="shared" ref="AH6:AH56" si="28">SUMIF(AD$4:AG$4,AH$4,AD6:AG6)</f>
        <v>#N/A</v>
      </c>
      <c r="AI6" s="6" t="e">
        <f t="shared" ref="AI6:AI56" si="29">SUMIF(AD$4:AG$4,AI$4,AD6:AG6)</f>
        <v>#N/A</v>
      </c>
      <c r="AJ6" s="7" t="e">
        <f t="shared" ref="AJ6:AJ56" si="30">INDEX($B$5:$C$19,MATCH(AJ$1,$A$5:$A$19,0),1)*AJ$3</f>
        <v>#N/A</v>
      </c>
      <c r="AK6" s="6" t="e">
        <f t="shared" ref="AK6:AK56" si="31">INDEX($B$5:$C$19,MATCH(AJ$1,$A$5:$A$19,0),2)*AJ$3</f>
        <v>#N/A</v>
      </c>
      <c r="AL6" s="7" t="e">
        <f t="shared" ref="AL6:AL56" si="32">INDEX($B$5:$C$19,MATCH(AJ$1,$A$5:$A$19,0),1)*AL$3</f>
        <v>#N/A</v>
      </c>
      <c r="AM6" s="6" t="e">
        <f t="shared" ref="AM6:AM56" si="33">INDEX($B$5:$C$19,MATCH(AJ$1,$A$5:$A$19,0),2)*AM$3</f>
        <v>#N/A</v>
      </c>
      <c r="AN6" s="5" t="e">
        <f t="shared" ref="AN6:AN56" si="34">SUMIF(AJ$4:AM$4,AN$4,AJ6:AM6)</f>
        <v>#N/A</v>
      </c>
      <c r="AO6" s="6" t="e">
        <f t="shared" ref="AO6:AO56" si="35">SUMIF(AJ$4:AM$4,AO$4,AJ6:AM6)</f>
        <v>#N/A</v>
      </c>
      <c r="AP6" s="7" t="e">
        <f t="shared" ref="AP6:AP56" si="36">INDEX($B$5:$C$19,MATCH(AP$1,$A$5:$A$19,0),1)*AP$3</f>
        <v>#N/A</v>
      </c>
      <c r="AQ6" s="6" t="e">
        <f t="shared" ref="AQ6:AQ56" si="37">INDEX($B$5:$C$19,MATCH(AP$1,$A$5:$A$19,0),2)*AP$3</f>
        <v>#N/A</v>
      </c>
      <c r="AR6" s="7" t="e">
        <f t="shared" ref="AR6:AR56" si="38">INDEX($B$5:$C$19,MATCH(AP$1,$A$5:$A$19,0),1)*AR$3</f>
        <v>#N/A</v>
      </c>
      <c r="AS6" s="6" t="e">
        <f t="shared" ref="AS6:AS56" si="39">INDEX($B$5:$C$19,MATCH(AP$1,$A$5:$A$19,0),2)*AS$3</f>
        <v>#N/A</v>
      </c>
      <c r="AT6" s="5" t="e">
        <f t="shared" ref="AT6:AT56" si="40">SUMIF(AP$4:AS$4,AT$4,AP6:AS6)</f>
        <v>#N/A</v>
      </c>
      <c r="AU6" s="6" t="e">
        <f t="shared" ref="AU6:AU56" si="41">SUMIF(AP$4:AS$4,AU$4,AP6:AS6)</f>
        <v>#N/A</v>
      </c>
      <c r="AV6" s="7" t="e">
        <f t="shared" ref="AV6:AV56" si="42">INDEX($B$5:$C$19,MATCH(AV$1,$A$5:$A$19,0),1)*AV$3</f>
        <v>#N/A</v>
      </c>
      <c r="AW6" s="6" t="e">
        <f t="shared" ref="AW6:AW56" si="43">INDEX($B$5:$C$19,MATCH(AV$1,$A$5:$A$19,0),2)*AV$3</f>
        <v>#N/A</v>
      </c>
      <c r="AX6" s="7" t="e">
        <f t="shared" ref="AX6:AX56" si="44">INDEX($B$5:$C$19,MATCH(AV$1,$A$5:$A$19,0),1)*AX$3</f>
        <v>#N/A</v>
      </c>
      <c r="AY6" s="6" t="e">
        <f t="shared" ref="AY6:AY56" si="45">INDEX($B$5:$C$19,MATCH(AV$1,$A$5:$A$19,0),2)*AY$3</f>
        <v>#N/A</v>
      </c>
      <c r="AZ6" s="5" t="e">
        <f t="shared" ref="AZ6:AZ56" si="46">SUMIF(AV$4:AY$4,AZ$4,AV6:AY6)</f>
        <v>#N/A</v>
      </c>
      <c r="BA6" s="6" t="e">
        <f t="shared" ref="BA6:BA56" si="47">SUMIF(AV$4:AY$4,BA$4,AV6:AY6)</f>
        <v>#N/A</v>
      </c>
      <c r="BB6" s="7" t="e">
        <f t="shared" ref="BB6:BB56" si="48">INDEX($B$5:$C$19,MATCH(BB$1,$A$5:$A$19,0),1)*BB$3</f>
        <v>#N/A</v>
      </c>
      <c r="BC6" s="6" t="e">
        <f t="shared" ref="BC6:BC56" si="49">INDEX($B$5:$C$19,MATCH(BB$1,$A$5:$A$19,0),2)*BB$3</f>
        <v>#N/A</v>
      </c>
      <c r="BD6" s="7" t="e">
        <f t="shared" ref="BD6:BD56" si="50">INDEX($B$5:$C$19,MATCH(BB$1,$A$5:$A$19,0),1)*BD$3</f>
        <v>#N/A</v>
      </c>
      <c r="BE6" s="6" t="e">
        <f t="shared" ref="BE6:BE56" si="51">INDEX($B$5:$C$19,MATCH(BB$1,$A$5:$A$19,0),2)*BE$3</f>
        <v>#N/A</v>
      </c>
      <c r="BF6" s="5" t="e">
        <f t="shared" ref="BF6:BF56" si="52">SUMIF(BB$4:BE$4,BF$4,BB6:BE6)</f>
        <v>#N/A</v>
      </c>
      <c r="BG6" s="6" t="e">
        <f t="shared" ref="BG6:BG56" si="53">SUMIF(BB$4:BE$4,BG$4,BB6:BE6)</f>
        <v>#N/A</v>
      </c>
      <c r="BH6" s="7" t="e">
        <f t="shared" ref="BH6:BH56" si="54">INDEX($B$5:$C$19,MATCH(BH$1,$A$5:$A$19,0),1)*BH$3</f>
        <v>#N/A</v>
      </c>
      <c r="BI6" s="6" t="e">
        <f t="shared" ref="BI6:BI56" si="55">INDEX($B$5:$C$19,MATCH(BH$1,$A$5:$A$19,0),2)*BH$3</f>
        <v>#N/A</v>
      </c>
      <c r="BJ6" s="7" t="e">
        <f t="shared" ref="BJ6:BJ56" si="56">INDEX($B$5:$C$19,MATCH(BH$1,$A$5:$A$19,0),1)*BJ$3</f>
        <v>#N/A</v>
      </c>
      <c r="BK6" s="6" t="e">
        <f t="shared" ref="BK6:BK56" si="57">INDEX($B$5:$C$19,MATCH(BH$1,$A$5:$A$19,0),2)*BK$3</f>
        <v>#N/A</v>
      </c>
      <c r="BL6" s="5" t="e">
        <f t="shared" ref="BL6:BL56" si="58">SUMIF(BH$4:BK$4,BL$4,BH6:BK6)</f>
        <v>#N/A</v>
      </c>
      <c r="BM6" s="6" t="e">
        <f t="shared" ref="BM6:BM56" si="59">SUMIF(BH$4:BK$4,BM$4,BH6:BK6)</f>
        <v>#N/A</v>
      </c>
      <c r="BN6" s="7" t="e">
        <f t="shared" ref="BN6:BN56" si="60">INDEX($B$5:$C$19,MATCH(BN$1,$A$5:$A$19,0),1)*BN$3</f>
        <v>#N/A</v>
      </c>
      <c r="BO6" s="6" t="e">
        <f t="shared" ref="BO6:BO56" si="61">INDEX($B$5:$C$19,MATCH(BN$1,$A$5:$A$19,0),2)*BN$3</f>
        <v>#N/A</v>
      </c>
      <c r="BP6" s="7" t="e">
        <f t="shared" ref="BP6:BP56" si="62">INDEX($B$5:$C$19,MATCH(BN$1,$A$5:$A$19,0),1)*BP$3</f>
        <v>#N/A</v>
      </c>
      <c r="BQ6" s="6" t="e">
        <f t="shared" ref="BQ6:BQ56" si="63">INDEX($B$5:$C$19,MATCH(BN$1,$A$5:$A$19,0),2)*BQ$3</f>
        <v>#N/A</v>
      </c>
      <c r="BR6" s="5" t="e">
        <f t="shared" ref="BR6:BR56" si="64">SUMIF(BN$4:BQ$4,BR$4,BN6:BQ6)</f>
        <v>#N/A</v>
      </c>
      <c r="BS6" s="6" t="e">
        <f t="shared" ref="BS6:BS56" si="65">SUMIF(BN$4:BQ$4,BS$4,BN6:BQ6)</f>
        <v>#N/A</v>
      </c>
      <c r="BT6" s="7" t="e">
        <f t="shared" ref="BT6:BT56" si="66">INDEX($B$5:$C$19,MATCH(BT$1,$A$5:$A$19,0),1)*BT$3</f>
        <v>#N/A</v>
      </c>
      <c r="BU6" s="6" t="e">
        <f t="shared" ref="BU6:BU56" si="67">INDEX($B$5:$C$19,MATCH(BT$1,$A$5:$A$19,0),2)*BT$3</f>
        <v>#N/A</v>
      </c>
      <c r="BV6" s="7" t="e">
        <f t="shared" ref="BV6:BV56" si="68">INDEX($B$5:$C$19,MATCH(BT$1,$A$5:$A$19,0),1)*BV$3</f>
        <v>#N/A</v>
      </c>
      <c r="BW6" s="6" t="e">
        <f t="shared" ref="BW6:BW56" si="69">INDEX($B$5:$C$19,MATCH(BT$1,$A$5:$A$19,0),2)*BW$3</f>
        <v>#N/A</v>
      </c>
      <c r="BX6" s="5" t="e">
        <f t="shared" ref="BX6:BX56" si="70">SUMIF(BT$4:BW$4,BX$4,BT6:BW6)</f>
        <v>#N/A</v>
      </c>
      <c r="BY6" s="6" t="e">
        <f t="shared" ref="BY6:BY56" si="71">SUMIF(BT$4:BW$4,BY$4,BT6:BW6)</f>
        <v>#N/A</v>
      </c>
      <c r="BZ6" s="7" t="e">
        <f t="shared" ref="BZ6:BZ56" si="72">INDEX($B$5:$C$19,MATCH(BZ$1,$A$5:$A$19,0),1)*BZ$3</f>
        <v>#N/A</v>
      </c>
      <c r="CA6" s="6" t="e">
        <f t="shared" ref="CA6:CA56" si="73">INDEX($B$5:$C$19,MATCH(BZ$1,$A$5:$A$19,0),2)*BZ$3</f>
        <v>#N/A</v>
      </c>
      <c r="CB6" s="7" t="e">
        <f t="shared" ref="CB6:CB56" si="74">INDEX($B$5:$C$19,MATCH(BZ$1,$A$5:$A$19,0),1)*CB$3</f>
        <v>#N/A</v>
      </c>
      <c r="CC6" s="6" t="e">
        <f t="shared" ref="CC6:CC56" si="75">INDEX($B$5:$C$19,MATCH(BZ$1,$A$5:$A$19,0),2)*CC$3</f>
        <v>#N/A</v>
      </c>
      <c r="CD6" s="5" t="e">
        <f t="shared" ref="CD6:CD56" si="76">SUMIF(BZ$4:CC$4,CD$4,BZ6:CC6)</f>
        <v>#N/A</v>
      </c>
      <c r="CE6" s="6" t="e">
        <f t="shared" ref="CE6:CE56" si="77">SUMIF(BZ$4:CC$4,CE$4,BZ6:CC6)</f>
        <v>#N/A</v>
      </c>
      <c r="CF6" s="7" t="e">
        <f t="shared" ref="CF6:CF56" si="78">INDEX($B$5:$C$19,MATCH(CF$1,$A$5:$A$19,0),1)*CF$3</f>
        <v>#N/A</v>
      </c>
      <c r="CG6" s="6" t="e">
        <f t="shared" ref="CG6:CG56" si="79">INDEX($B$5:$C$19,MATCH(CF$1,$A$5:$A$19,0),2)*CF$3</f>
        <v>#N/A</v>
      </c>
      <c r="CH6" s="7" t="e">
        <f t="shared" ref="CH6:CH56" si="80">INDEX($B$5:$C$19,MATCH(CF$1,$A$5:$A$19,0),1)*CH$3</f>
        <v>#N/A</v>
      </c>
      <c r="CI6" s="6" t="e">
        <f t="shared" ref="CI6:CI56" si="81">INDEX($B$5:$C$19,MATCH(CF$1,$A$5:$A$19,0),2)*CI$3</f>
        <v>#N/A</v>
      </c>
      <c r="CJ6" s="5" t="e">
        <f t="shared" ref="CJ6:CJ56" si="82">SUMIF(CF$4:CI$4,CJ$4,CF6:CI6)</f>
        <v>#N/A</v>
      </c>
      <c r="CK6" s="6" t="e">
        <f t="shared" ref="CK6:CK56" si="83">SUMIF(CF$4:CI$4,CK$4,CF6:CI6)</f>
        <v>#N/A</v>
      </c>
      <c r="CL6" s="7" t="e">
        <f t="shared" ref="CL6:CL56" si="84">INDEX($B$5:$C$19,MATCH(CL$1,$A$5:$A$19,0),1)*CL$3</f>
        <v>#N/A</v>
      </c>
      <c r="CM6" s="6" t="e">
        <f t="shared" ref="CM6:CM56" si="85">INDEX($B$5:$C$19,MATCH(CL$1,$A$5:$A$19,0),2)*CL$3</f>
        <v>#N/A</v>
      </c>
      <c r="CN6" s="7" t="e">
        <f t="shared" ref="CN6:CN56" si="86">INDEX($B$5:$C$19,MATCH(CL$1,$A$5:$A$19,0),1)*CN$3</f>
        <v>#N/A</v>
      </c>
      <c r="CO6" s="6" t="e">
        <f t="shared" ref="CO6:CO56" si="87">INDEX($B$5:$C$19,MATCH(CL$1,$A$5:$A$19,0),2)*CO$3</f>
        <v>#N/A</v>
      </c>
      <c r="CP6" s="5" t="e">
        <f t="shared" ref="CP6:CP56" si="88">SUMIF(CL$4:CO$4,CP$4,CL6:CO6)</f>
        <v>#N/A</v>
      </c>
      <c r="CQ6" s="6" t="e">
        <f t="shared" ref="CQ6:CQ56" si="89">SUMIF(CL$4:CO$4,CQ$4,CL6:CO6)</f>
        <v>#N/A</v>
      </c>
      <c r="CR6" s="7" t="e">
        <f t="shared" ref="CR6:CU56" si="90">SUMIFS($F6:$CQ6,$F$2:$CQ$2,CR$2,$F$4:$CQ$4,CR$4)</f>
        <v>#N/A</v>
      </c>
      <c r="CS6" s="7" t="e">
        <f t="shared" si="90"/>
        <v>#N/A</v>
      </c>
      <c r="CT6" s="7" t="e">
        <f t="shared" si="90"/>
        <v>#N/A</v>
      </c>
      <c r="CU6" s="7" t="e">
        <f t="shared" si="90"/>
        <v>#N/A</v>
      </c>
      <c r="CV6" s="5" t="e">
        <f t="shared" ref="CV6:CV56" si="91">SUM(CR6,CT6)</f>
        <v>#N/A</v>
      </c>
      <c r="CW6" s="6" t="e">
        <f t="shared" ref="CW6:CW56" si="92">SUM(CS6,CU6)</f>
        <v>#N/A</v>
      </c>
      <c r="CY6" s="7" t="e">
        <v>#N/A</v>
      </c>
      <c r="CZ6" s="5" t="e">
        <f t="array" ref="CZ6">Summary_UpperBound</f>
        <v>#N/A</v>
      </c>
      <c r="DA6" s="6" t="e">
        <f t="shared" ref="DA6:DA56" si="93">CZ6-CY6</f>
        <v>#N/A</v>
      </c>
    </row>
    <row r="7" spans="1:105" x14ac:dyDescent="0.35">
      <c r="A7" s="7" t="str">
        <f>'Data Validation (Hide)'!B4</f>
        <v>Caseload 3</v>
      </c>
      <c r="B7" s="19" t="e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#N/A</v>
      </c>
      <c r="C7" s="30" t="e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#N/A</v>
      </c>
      <c r="E7" s="12" t="e" vm="2">
        <f t="shared" ref="E7:E56" ca="1" si="94">E6+7</f>
        <v>#VALUE!</v>
      </c>
      <c r="F7" s="7" t="e">
        <f t="shared" si="0"/>
        <v>#N/A</v>
      </c>
      <c r="G7" s="6" t="e">
        <f t="shared" si="1"/>
        <v>#N/A</v>
      </c>
      <c r="H7" s="7" t="e">
        <f t="shared" si="2"/>
        <v>#N/A</v>
      </c>
      <c r="I7" s="6" t="e">
        <f t="shared" si="3"/>
        <v>#N/A</v>
      </c>
      <c r="J7" s="5" t="e">
        <f t="shared" si="4"/>
        <v>#N/A</v>
      </c>
      <c r="K7" s="6" t="e">
        <f t="shared" si="5"/>
        <v>#N/A</v>
      </c>
      <c r="L7" s="7" t="e">
        <f t="shared" si="6"/>
        <v>#N/A</v>
      </c>
      <c r="M7" s="6" t="e">
        <f t="shared" si="7"/>
        <v>#N/A</v>
      </c>
      <c r="N7" s="7" t="e">
        <f t="shared" si="8"/>
        <v>#N/A</v>
      </c>
      <c r="O7" s="6" t="e">
        <f t="shared" si="9"/>
        <v>#N/A</v>
      </c>
      <c r="P7" s="5" t="e">
        <f t="shared" si="10"/>
        <v>#N/A</v>
      </c>
      <c r="Q7" s="6" t="e">
        <f t="shared" si="11"/>
        <v>#N/A</v>
      </c>
      <c r="R7" s="7" t="e">
        <f t="shared" si="12"/>
        <v>#N/A</v>
      </c>
      <c r="S7" s="6" t="e">
        <f t="shared" si="13"/>
        <v>#N/A</v>
      </c>
      <c r="T7" s="7" t="e">
        <f t="shared" si="14"/>
        <v>#N/A</v>
      </c>
      <c r="U7" s="6" t="e">
        <f t="shared" si="15"/>
        <v>#N/A</v>
      </c>
      <c r="V7" s="5" t="e">
        <f t="shared" si="16"/>
        <v>#N/A</v>
      </c>
      <c r="W7" s="6" t="e">
        <f t="shared" si="17"/>
        <v>#N/A</v>
      </c>
      <c r="X7" s="7" t="e">
        <f t="shared" si="18"/>
        <v>#N/A</v>
      </c>
      <c r="Y7" s="6" t="e">
        <f t="shared" si="19"/>
        <v>#N/A</v>
      </c>
      <c r="Z7" s="7" t="e">
        <f t="shared" si="20"/>
        <v>#N/A</v>
      </c>
      <c r="AA7" s="6" t="e">
        <f t="shared" si="21"/>
        <v>#N/A</v>
      </c>
      <c r="AB7" s="5" t="e">
        <f t="shared" si="22"/>
        <v>#N/A</v>
      </c>
      <c r="AC7" s="6" t="e">
        <f t="shared" si="23"/>
        <v>#N/A</v>
      </c>
      <c r="AD7" s="7" t="e">
        <f t="shared" si="24"/>
        <v>#N/A</v>
      </c>
      <c r="AE7" s="6" t="e">
        <f t="shared" si="25"/>
        <v>#N/A</v>
      </c>
      <c r="AF7" s="7" t="e">
        <f t="shared" si="26"/>
        <v>#N/A</v>
      </c>
      <c r="AG7" s="6" t="e">
        <f t="shared" si="27"/>
        <v>#N/A</v>
      </c>
      <c r="AH7" s="5" t="e">
        <f t="shared" si="28"/>
        <v>#N/A</v>
      </c>
      <c r="AI7" s="6" t="e">
        <f t="shared" si="29"/>
        <v>#N/A</v>
      </c>
      <c r="AJ7" s="7" t="e">
        <f t="shared" si="30"/>
        <v>#N/A</v>
      </c>
      <c r="AK7" s="6" t="e">
        <f t="shared" si="31"/>
        <v>#N/A</v>
      </c>
      <c r="AL7" s="7" t="e">
        <f t="shared" si="32"/>
        <v>#N/A</v>
      </c>
      <c r="AM7" s="6" t="e">
        <f t="shared" si="33"/>
        <v>#N/A</v>
      </c>
      <c r="AN7" s="5" t="e">
        <f t="shared" si="34"/>
        <v>#N/A</v>
      </c>
      <c r="AO7" s="6" t="e">
        <f t="shared" si="35"/>
        <v>#N/A</v>
      </c>
      <c r="AP7" s="7" t="e">
        <f t="shared" si="36"/>
        <v>#N/A</v>
      </c>
      <c r="AQ7" s="6" t="e">
        <f t="shared" si="37"/>
        <v>#N/A</v>
      </c>
      <c r="AR7" s="7" t="e">
        <f t="shared" si="38"/>
        <v>#N/A</v>
      </c>
      <c r="AS7" s="6" t="e">
        <f t="shared" si="39"/>
        <v>#N/A</v>
      </c>
      <c r="AT7" s="5" t="e">
        <f t="shared" si="40"/>
        <v>#N/A</v>
      </c>
      <c r="AU7" s="6" t="e">
        <f t="shared" si="41"/>
        <v>#N/A</v>
      </c>
      <c r="AV7" s="7" t="e">
        <f t="shared" si="42"/>
        <v>#N/A</v>
      </c>
      <c r="AW7" s="6" t="e">
        <f t="shared" si="43"/>
        <v>#N/A</v>
      </c>
      <c r="AX7" s="7" t="e">
        <f t="shared" si="44"/>
        <v>#N/A</v>
      </c>
      <c r="AY7" s="6" t="e">
        <f t="shared" si="45"/>
        <v>#N/A</v>
      </c>
      <c r="AZ7" s="5" t="e">
        <f t="shared" si="46"/>
        <v>#N/A</v>
      </c>
      <c r="BA7" s="6" t="e">
        <f t="shared" si="47"/>
        <v>#N/A</v>
      </c>
      <c r="BB7" s="7" t="e">
        <f t="shared" si="48"/>
        <v>#N/A</v>
      </c>
      <c r="BC7" s="6" t="e">
        <f t="shared" si="49"/>
        <v>#N/A</v>
      </c>
      <c r="BD7" s="7" t="e">
        <f t="shared" si="50"/>
        <v>#N/A</v>
      </c>
      <c r="BE7" s="6" t="e">
        <f t="shared" si="51"/>
        <v>#N/A</v>
      </c>
      <c r="BF7" s="5" t="e">
        <f t="shared" si="52"/>
        <v>#N/A</v>
      </c>
      <c r="BG7" s="6" t="e">
        <f t="shared" si="53"/>
        <v>#N/A</v>
      </c>
      <c r="BH7" s="7" t="e">
        <f t="shared" si="54"/>
        <v>#N/A</v>
      </c>
      <c r="BI7" s="6" t="e">
        <f t="shared" si="55"/>
        <v>#N/A</v>
      </c>
      <c r="BJ7" s="7" t="e">
        <f t="shared" si="56"/>
        <v>#N/A</v>
      </c>
      <c r="BK7" s="6" t="e">
        <f t="shared" si="57"/>
        <v>#N/A</v>
      </c>
      <c r="BL7" s="5" t="e">
        <f t="shared" si="58"/>
        <v>#N/A</v>
      </c>
      <c r="BM7" s="6" t="e">
        <f t="shared" si="59"/>
        <v>#N/A</v>
      </c>
      <c r="BN7" s="7" t="e">
        <f t="shared" si="60"/>
        <v>#N/A</v>
      </c>
      <c r="BO7" s="6" t="e">
        <f t="shared" si="61"/>
        <v>#N/A</v>
      </c>
      <c r="BP7" s="7" t="e">
        <f t="shared" si="62"/>
        <v>#N/A</v>
      </c>
      <c r="BQ7" s="6" t="e">
        <f t="shared" si="63"/>
        <v>#N/A</v>
      </c>
      <c r="BR7" s="5" t="e">
        <f t="shared" si="64"/>
        <v>#N/A</v>
      </c>
      <c r="BS7" s="6" t="e">
        <f t="shared" si="65"/>
        <v>#N/A</v>
      </c>
      <c r="BT7" s="7" t="e">
        <f t="shared" si="66"/>
        <v>#N/A</v>
      </c>
      <c r="BU7" s="6" t="e">
        <f t="shared" si="67"/>
        <v>#N/A</v>
      </c>
      <c r="BV7" s="7" t="e">
        <f t="shared" si="68"/>
        <v>#N/A</v>
      </c>
      <c r="BW7" s="6" t="e">
        <f t="shared" si="69"/>
        <v>#N/A</v>
      </c>
      <c r="BX7" s="5" t="e">
        <f t="shared" si="70"/>
        <v>#N/A</v>
      </c>
      <c r="BY7" s="6" t="e">
        <f t="shared" si="71"/>
        <v>#N/A</v>
      </c>
      <c r="BZ7" s="7" t="e">
        <f t="shared" si="72"/>
        <v>#N/A</v>
      </c>
      <c r="CA7" s="6" t="e">
        <f t="shared" si="73"/>
        <v>#N/A</v>
      </c>
      <c r="CB7" s="7" t="e">
        <f t="shared" si="74"/>
        <v>#N/A</v>
      </c>
      <c r="CC7" s="6" t="e">
        <f t="shared" si="75"/>
        <v>#N/A</v>
      </c>
      <c r="CD7" s="5" t="e">
        <f t="shared" si="76"/>
        <v>#N/A</v>
      </c>
      <c r="CE7" s="6" t="e">
        <f t="shared" si="77"/>
        <v>#N/A</v>
      </c>
      <c r="CF7" s="7" t="e">
        <f t="shared" si="78"/>
        <v>#N/A</v>
      </c>
      <c r="CG7" s="6" t="e">
        <f t="shared" si="79"/>
        <v>#N/A</v>
      </c>
      <c r="CH7" s="7" t="e">
        <f t="shared" si="80"/>
        <v>#N/A</v>
      </c>
      <c r="CI7" s="6" t="e">
        <f t="shared" si="81"/>
        <v>#N/A</v>
      </c>
      <c r="CJ7" s="5" t="e">
        <f t="shared" si="82"/>
        <v>#N/A</v>
      </c>
      <c r="CK7" s="6" t="e">
        <f t="shared" si="83"/>
        <v>#N/A</v>
      </c>
      <c r="CL7" s="7" t="e">
        <f t="shared" si="84"/>
        <v>#N/A</v>
      </c>
      <c r="CM7" s="6" t="e">
        <f t="shared" si="85"/>
        <v>#N/A</v>
      </c>
      <c r="CN7" s="7" t="e">
        <f t="shared" si="86"/>
        <v>#N/A</v>
      </c>
      <c r="CO7" s="6" t="e">
        <f t="shared" si="87"/>
        <v>#N/A</v>
      </c>
      <c r="CP7" s="5" t="e">
        <f t="shared" si="88"/>
        <v>#N/A</v>
      </c>
      <c r="CQ7" s="6" t="e">
        <f t="shared" si="89"/>
        <v>#N/A</v>
      </c>
      <c r="CR7" s="7" t="e">
        <f t="shared" si="90"/>
        <v>#N/A</v>
      </c>
      <c r="CS7" s="7" t="e">
        <f t="shared" si="90"/>
        <v>#N/A</v>
      </c>
      <c r="CT7" s="7" t="e">
        <f t="shared" si="90"/>
        <v>#N/A</v>
      </c>
      <c r="CU7" s="7" t="e">
        <f t="shared" si="90"/>
        <v>#N/A</v>
      </c>
      <c r="CV7" s="5" t="e">
        <f t="shared" si="91"/>
        <v>#N/A</v>
      </c>
      <c r="CW7" s="6" t="e">
        <f t="shared" si="92"/>
        <v>#N/A</v>
      </c>
      <c r="CY7" s="7" t="e">
        <v>#N/A</v>
      </c>
      <c r="CZ7" s="5" t="e">
        <f t="array" ref="CZ7">Summary_UpperBound</f>
        <v>#N/A</v>
      </c>
      <c r="DA7" s="6" t="e">
        <f t="shared" si="93"/>
        <v>#N/A</v>
      </c>
    </row>
    <row r="8" spans="1:105" x14ac:dyDescent="0.35">
      <c r="A8" s="7" t="str">
        <f>'Data Validation (Hide)'!B5</f>
        <v>Caseload 4</v>
      </c>
      <c r="B8" s="19" t="e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#N/A</v>
      </c>
      <c r="C8" s="30" t="e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#N/A</v>
      </c>
      <c r="E8" s="12" t="e" vm="2">
        <f t="shared" ca="1" si="94"/>
        <v>#VALUE!</v>
      </c>
      <c r="F8" s="7" t="e">
        <f t="shared" si="0"/>
        <v>#N/A</v>
      </c>
      <c r="G8" s="6" t="e">
        <f t="shared" si="1"/>
        <v>#N/A</v>
      </c>
      <c r="H8" s="7" t="e">
        <f t="shared" si="2"/>
        <v>#N/A</v>
      </c>
      <c r="I8" s="6" t="e">
        <f t="shared" si="3"/>
        <v>#N/A</v>
      </c>
      <c r="J8" s="5" t="e">
        <f t="shared" si="4"/>
        <v>#N/A</v>
      </c>
      <c r="K8" s="6" t="e">
        <f t="shared" si="5"/>
        <v>#N/A</v>
      </c>
      <c r="L8" s="7" t="e">
        <f t="shared" si="6"/>
        <v>#N/A</v>
      </c>
      <c r="M8" s="6" t="e">
        <f t="shared" si="7"/>
        <v>#N/A</v>
      </c>
      <c r="N8" s="7" t="e">
        <f t="shared" si="8"/>
        <v>#N/A</v>
      </c>
      <c r="O8" s="6" t="e">
        <f t="shared" si="9"/>
        <v>#N/A</v>
      </c>
      <c r="P8" s="5" t="e">
        <f t="shared" si="10"/>
        <v>#N/A</v>
      </c>
      <c r="Q8" s="6" t="e">
        <f t="shared" si="11"/>
        <v>#N/A</v>
      </c>
      <c r="R8" s="7" t="e">
        <f t="shared" si="12"/>
        <v>#N/A</v>
      </c>
      <c r="S8" s="6" t="e">
        <f t="shared" si="13"/>
        <v>#N/A</v>
      </c>
      <c r="T8" s="7" t="e">
        <f t="shared" si="14"/>
        <v>#N/A</v>
      </c>
      <c r="U8" s="6" t="e">
        <f t="shared" si="15"/>
        <v>#N/A</v>
      </c>
      <c r="V8" s="5" t="e">
        <f t="shared" si="16"/>
        <v>#N/A</v>
      </c>
      <c r="W8" s="6" t="e">
        <f t="shared" si="17"/>
        <v>#N/A</v>
      </c>
      <c r="X8" s="7" t="e">
        <f t="shared" si="18"/>
        <v>#N/A</v>
      </c>
      <c r="Y8" s="6" t="e">
        <f t="shared" si="19"/>
        <v>#N/A</v>
      </c>
      <c r="Z8" s="7" t="e">
        <f t="shared" si="20"/>
        <v>#N/A</v>
      </c>
      <c r="AA8" s="6" t="e">
        <f t="shared" si="21"/>
        <v>#N/A</v>
      </c>
      <c r="AB8" s="5" t="e">
        <f t="shared" si="22"/>
        <v>#N/A</v>
      </c>
      <c r="AC8" s="6" t="e">
        <f t="shared" si="23"/>
        <v>#N/A</v>
      </c>
      <c r="AD8" s="7" t="e">
        <f t="shared" si="24"/>
        <v>#N/A</v>
      </c>
      <c r="AE8" s="6" t="e">
        <f t="shared" si="25"/>
        <v>#N/A</v>
      </c>
      <c r="AF8" s="7" t="e">
        <f t="shared" si="26"/>
        <v>#N/A</v>
      </c>
      <c r="AG8" s="6" t="e">
        <f t="shared" si="27"/>
        <v>#N/A</v>
      </c>
      <c r="AH8" s="5" t="e">
        <f t="shared" si="28"/>
        <v>#N/A</v>
      </c>
      <c r="AI8" s="6" t="e">
        <f t="shared" si="29"/>
        <v>#N/A</v>
      </c>
      <c r="AJ8" s="7" t="e">
        <f t="shared" si="30"/>
        <v>#N/A</v>
      </c>
      <c r="AK8" s="6" t="e">
        <f t="shared" si="31"/>
        <v>#N/A</v>
      </c>
      <c r="AL8" s="7" t="e">
        <f t="shared" si="32"/>
        <v>#N/A</v>
      </c>
      <c r="AM8" s="6" t="e">
        <f t="shared" si="33"/>
        <v>#N/A</v>
      </c>
      <c r="AN8" s="5" t="e">
        <f t="shared" si="34"/>
        <v>#N/A</v>
      </c>
      <c r="AO8" s="6" t="e">
        <f t="shared" si="35"/>
        <v>#N/A</v>
      </c>
      <c r="AP8" s="7" t="e">
        <f t="shared" si="36"/>
        <v>#N/A</v>
      </c>
      <c r="AQ8" s="6" t="e">
        <f t="shared" si="37"/>
        <v>#N/A</v>
      </c>
      <c r="AR8" s="7" t="e">
        <f t="shared" si="38"/>
        <v>#N/A</v>
      </c>
      <c r="AS8" s="6" t="e">
        <f t="shared" si="39"/>
        <v>#N/A</v>
      </c>
      <c r="AT8" s="5" t="e">
        <f t="shared" si="40"/>
        <v>#N/A</v>
      </c>
      <c r="AU8" s="6" t="e">
        <f t="shared" si="41"/>
        <v>#N/A</v>
      </c>
      <c r="AV8" s="7" t="e">
        <f t="shared" si="42"/>
        <v>#N/A</v>
      </c>
      <c r="AW8" s="6" t="e">
        <f t="shared" si="43"/>
        <v>#N/A</v>
      </c>
      <c r="AX8" s="7" t="e">
        <f t="shared" si="44"/>
        <v>#N/A</v>
      </c>
      <c r="AY8" s="6" t="e">
        <f t="shared" si="45"/>
        <v>#N/A</v>
      </c>
      <c r="AZ8" s="5" t="e">
        <f t="shared" si="46"/>
        <v>#N/A</v>
      </c>
      <c r="BA8" s="6" t="e">
        <f t="shared" si="47"/>
        <v>#N/A</v>
      </c>
      <c r="BB8" s="7" t="e">
        <f t="shared" si="48"/>
        <v>#N/A</v>
      </c>
      <c r="BC8" s="6" t="e">
        <f t="shared" si="49"/>
        <v>#N/A</v>
      </c>
      <c r="BD8" s="7" t="e">
        <f t="shared" si="50"/>
        <v>#N/A</v>
      </c>
      <c r="BE8" s="6" t="e">
        <f t="shared" si="51"/>
        <v>#N/A</v>
      </c>
      <c r="BF8" s="5" t="e">
        <f t="shared" si="52"/>
        <v>#N/A</v>
      </c>
      <c r="BG8" s="6" t="e">
        <f t="shared" si="53"/>
        <v>#N/A</v>
      </c>
      <c r="BH8" s="7" t="e">
        <f t="shared" si="54"/>
        <v>#N/A</v>
      </c>
      <c r="BI8" s="6" t="e">
        <f t="shared" si="55"/>
        <v>#N/A</v>
      </c>
      <c r="BJ8" s="7" t="e">
        <f t="shared" si="56"/>
        <v>#N/A</v>
      </c>
      <c r="BK8" s="6" t="e">
        <f t="shared" si="57"/>
        <v>#N/A</v>
      </c>
      <c r="BL8" s="5" t="e">
        <f t="shared" si="58"/>
        <v>#N/A</v>
      </c>
      <c r="BM8" s="6" t="e">
        <f t="shared" si="59"/>
        <v>#N/A</v>
      </c>
      <c r="BN8" s="7" t="e">
        <f t="shared" si="60"/>
        <v>#N/A</v>
      </c>
      <c r="BO8" s="6" t="e">
        <f t="shared" si="61"/>
        <v>#N/A</v>
      </c>
      <c r="BP8" s="7" t="e">
        <f t="shared" si="62"/>
        <v>#N/A</v>
      </c>
      <c r="BQ8" s="6" t="e">
        <f t="shared" si="63"/>
        <v>#N/A</v>
      </c>
      <c r="BR8" s="5" t="e">
        <f t="shared" si="64"/>
        <v>#N/A</v>
      </c>
      <c r="BS8" s="6" t="e">
        <f t="shared" si="65"/>
        <v>#N/A</v>
      </c>
      <c r="BT8" s="7" t="e">
        <f t="shared" si="66"/>
        <v>#N/A</v>
      </c>
      <c r="BU8" s="6" t="e">
        <f t="shared" si="67"/>
        <v>#N/A</v>
      </c>
      <c r="BV8" s="7" t="e">
        <f t="shared" si="68"/>
        <v>#N/A</v>
      </c>
      <c r="BW8" s="6" t="e">
        <f t="shared" si="69"/>
        <v>#N/A</v>
      </c>
      <c r="BX8" s="5" t="e">
        <f t="shared" si="70"/>
        <v>#N/A</v>
      </c>
      <c r="BY8" s="6" t="e">
        <f t="shared" si="71"/>
        <v>#N/A</v>
      </c>
      <c r="BZ8" s="7" t="e">
        <f t="shared" si="72"/>
        <v>#N/A</v>
      </c>
      <c r="CA8" s="6" t="e">
        <f t="shared" si="73"/>
        <v>#N/A</v>
      </c>
      <c r="CB8" s="7" t="e">
        <f t="shared" si="74"/>
        <v>#N/A</v>
      </c>
      <c r="CC8" s="6" t="e">
        <f t="shared" si="75"/>
        <v>#N/A</v>
      </c>
      <c r="CD8" s="5" t="e">
        <f t="shared" si="76"/>
        <v>#N/A</v>
      </c>
      <c r="CE8" s="6" t="e">
        <f t="shared" si="77"/>
        <v>#N/A</v>
      </c>
      <c r="CF8" s="7" t="e">
        <f t="shared" si="78"/>
        <v>#N/A</v>
      </c>
      <c r="CG8" s="6" t="e">
        <f t="shared" si="79"/>
        <v>#N/A</v>
      </c>
      <c r="CH8" s="7" t="e">
        <f t="shared" si="80"/>
        <v>#N/A</v>
      </c>
      <c r="CI8" s="6" t="e">
        <f t="shared" si="81"/>
        <v>#N/A</v>
      </c>
      <c r="CJ8" s="5" t="e">
        <f t="shared" si="82"/>
        <v>#N/A</v>
      </c>
      <c r="CK8" s="6" t="e">
        <f t="shared" si="83"/>
        <v>#N/A</v>
      </c>
      <c r="CL8" s="7" t="e">
        <f t="shared" si="84"/>
        <v>#N/A</v>
      </c>
      <c r="CM8" s="6" t="e">
        <f t="shared" si="85"/>
        <v>#N/A</v>
      </c>
      <c r="CN8" s="7" t="e">
        <f t="shared" si="86"/>
        <v>#N/A</v>
      </c>
      <c r="CO8" s="6" t="e">
        <f t="shared" si="87"/>
        <v>#N/A</v>
      </c>
      <c r="CP8" s="5" t="e">
        <f t="shared" si="88"/>
        <v>#N/A</v>
      </c>
      <c r="CQ8" s="6" t="e">
        <f t="shared" si="89"/>
        <v>#N/A</v>
      </c>
      <c r="CR8" s="7" t="e">
        <f t="shared" si="90"/>
        <v>#N/A</v>
      </c>
      <c r="CS8" s="7" t="e">
        <f t="shared" si="90"/>
        <v>#N/A</v>
      </c>
      <c r="CT8" s="7" t="e">
        <f t="shared" si="90"/>
        <v>#N/A</v>
      </c>
      <c r="CU8" s="7" t="e">
        <f t="shared" si="90"/>
        <v>#N/A</v>
      </c>
      <c r="CV8" s="5" t="e">
        <f t="shared" si="91"/>
        <v>#N/A</v>
      </c>
      <c r="CW8" s="6" t="e">
        <f t="shared" si="92"/>
        <v>#N/A</v>
      </c>
      <c r="CY8" s="7" t="e">
        <v>#N/A</v>
      </c>
      <c r="CZ8" s="5" t="e">
        <f t="array" ref="CZ8">Summary_UpperBound</f>
        <v>#N/A</v>
      </c>
      <c r="DA8" s="6" t="e">
        <f t="shared" si="93"/>
        <v>#N/A</v>
      </c>
    </row>
    <row r="9" spans="1:105" x14ac:dyDescent="0.35">
      <c r="A9" s="7" t="str">
        <f>'Data Validation (Hide)'!B6</f>
        <v>Caseload 5</v>
      </c>
      <c r="B9" s="19" t="e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#N/A</v>
      </c>
      <c r="C9" s="30" t="e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#N/A</v>
      </c>
      <c r="E9" s="12" t="e" vm="2">
        <f t="shared" ca="1" si="94"/>
        <v>#VALUE!</v>
      </c>
      <c r="F9" s="7" t="e">
        <f t="shared" si="0"/>
        <v>#N/A</v>
      </c>
      <c r="G9" s="6" t="e">
        <f t="shared" si="1"/>
        <v>#N/A</v>
      </c>
      <c r="H9" s="7" t="e">
        <f t="shared" si="2"/>
        <v>#N/A</v>
      </c>
      <c r="I9" s="6" t="e">
        <f t="shared" si="3"/>
        <v>#N/A</v>
      </c>
      <c r="J9" s="5" t="e">
        <f t="shared" si="4"/>
        <v>#N/A</v>
      </c>
      <c r="K9" s="6" t="e">
        <f t="shared" si="5"/>
        <v>#N/A</v>
      </c>
      <c r="L9" s="7" t="e">
        <f t="shared" si="6"/>
        <v>#N/A</v>
      </c>
      <c r="M9" s="6" t="e">
        <f t="shared" si="7"/>
        <v>#N/A</v>
      </c>
      <c r="N9" s="7" t="e">
        <f t="shared" si="8"/>
        <v>#N/A</v>
      </c>
      <c r="O9" s="6" t="e">
        <f t="shared" si="9"/>
        <v>#N/A</v>
      </c>
      <c r="P9" s="5" t="e">
        <f t="shared" si="10"/>
        <v>#N/A</v>
      </c>
      <c r="Q9" s="6" t="e">
        <f t="shared" si="11"/>
        <v>#N/A</v>
      </c>
      <c r="R9" s="7" t="e">
        <f t="shared" si="12"/>
        <v>#N/A</v>
      </c>
      <c r="S9" s="6" t="e">
        <f t="shared" si="13"/>
        <v>#N/A</v>
      </c>
      <c r="T9" s="7" t="e">
        <f t="shared" si="14"/>
        <v>#N/A</v>
      </c>
      <c r="U9" s="6" t="e">
        <f t="shared" si="15"/>
        <v>#N/A</v>
      </c>
      <c r="V9" s="5" t="e">
        <f t="shared" si="16"/>
        <v>#N/A</v>
      </c>
      <c r="W9" s="6" t="e">
        <f t="shared" si="17"/>
        <v>#N/A</v>
      </c>
      <c r="X9" s="7" t="e">
        <f t="shared" si="18"/>
        <v>#N/A</v>
      </c>
      <c r="Y9" s="6" t="e">
        <f t="shared" si="19"/>
        <v>#N/A</v>
      </c>
      <c r="Z9" s="7" t="e">
        <f t="shared" si="20"/>
        <v>#N/A</v>
      </c>
      <c r="AA9" s="6" t="e">
        <f t="shared" si="21"/>
        <v>#N/A</v>
      </c>
      <c r="AB9" s="5" t="e">
        <f t="shared" si="22"/>
        <v>#N/A</v>
      </c>
      <c r="AC9" s="6" t="e">
        <f t="shared" si="23"/>
        <v>#N/A</v>
      </c>
      <c r="AD9" s="7" t="e">
        <f t="shared" si="24"/>
        <v>#N/A</v>
      </c>
      <c r="AE9" s="6" t="e">
        <f t="shared" si="25"/>
        <v>#N/A</v>
      </c>
      <c r="AF9" s="7" t="e">
        <f t="shared" si="26"/>
        <v>#N/A</v>
      </c>
      <c r="AG9" s="6" t="e">
        <f t="shared" si="27"/>
        <v>#N/A</v>
      </c>
      <c r="AH9" s="5" t="e">
        <f t="shared" si="28"/>
        <v>#N/A</v>
      </c>
      <c r="AI9" s="6" t="e">
        <f t="shared" si="29"/>
        <v>#N/A</v>
      </c>
      <c r="AJ9" s="7" t="e">
        <f t="shared" si="30"/>
        <v>#N/A</v>
      </c>
      <c r="AK9" s="6" t="e">
        <f t="shared" si="31"/>
        <v>#N/A</v>
      </c>
      <c r="AL9" s="7" t="e">
        <f t="shared" si="32"/>
        <v>#N/A</v>
      </c>
      <c r="AM9" s="6" t="e">
        <f t="shared" si="33"/>
        <v>#N/A</v>
      </c>
      <c r="AN9" s="5" t="e">
        <f t="shared" si="34"/>
        <v>#N/A</v>
      </c>
      <c r="AO9" s="6" t="e">
        <f t="shared" si="35"/>
        <v>#N/A</v>
      </c>
      <c r="AP9" s="7" t="e">
        <f t="shared" si="36"/>
        <v>#N/A</v>
      </c>
      <c r="AQ9" s="6" t="e">
        <f t="shared" si="37"/>
        <v>#N/A</v>
      </c>
      <c r="AR9" s="7" t="e">
        <f t="shared" si="38"/>
        <v>#N/A</v>
      </c>
      <c r="AS9" s="6" t="e">
        <f t="shared" si="39"/>
        <v>#N/A</v>
      </c>
      <c r="AT9" s="5" t="e">
        <f t="shared" si="40"/>
        <v>#N/A</v>
      </c>
      <c r="AU9" s="6" t="e">
        <f t="shared" si="41"/>
        <v>#N/A</v>
      </c>
      <c r="AV9" s="7" t="e">
        <f t="shared" si="42"/>
        <v>#N/A</v>
      </c>
      <c r="AW9" s="6" t="e">
        <f t="shared" si="43"/>
        <v>#N/A</v>
      </c>
      <c r="AX9" s="7" t="e">
        <f t="shared" si="44"/>
        <v>#N/A</v>
      </c>
      <c r="AY9" s="6" t="e">
        <f t="shared" si="45"/>
        <v>#N/A</v>
      </c>
      <c r="AZ9" s="5" t="e">
        <f t="shared" si="46"/>
        <v>#N/A</v>
      </c>
      <c r="BA9" s="6" t="e">
        <f t="shared" si="47"/>
        <v>#N/A</v>
      </c>
      <c r="BB9" s="7" t="e">
        <f t="shared" si="48"/>
        <v>#N/A</v>
      </c>
      <c r="BC9" s="6" t="e">
        <f t="shared" si="49"/>
        <v>#N/A</v>
      </c>
      <c r="BD9" s="7" t="e">
        <f t="shared" si="50"/>
        <v>#N/A</v>
      </c>
      <c r="BE9" s="6" t="e">
        <f t="shared" si="51"/>
        <v>#N/A</v>
      </c>
      <c r="BF9" s="5" t="e">
        <f t="shared" si="52"/>
        <v>#N/A</v>
      </c>
      <c r="BG9" s="6" t="e">
        <f t="shared" si="53"/>
        <v>#N/A</v>
      </c>
      <c r="BH9" s="7" t="e">
        <f t="shared" si="54"/>
        <v>#N/A</v>
      </c>
      <c r="BI9" s="6" t="e">
        <f t="shared" si="55"/>
        <v>#N/A</v>
      </c>
      <c r="BJ9" s="7" t="e">
        <f t="shared" si="56"/>
        <v>#N/A</v>
      </c>
      <c r="BK9" s="6" t="e">
        <f t="shared" si="57"/>
        <v>#N/A</v>
      </c>
      <c r="BL9" s="5" t="e">
        <f t="shared" si="58"/>
        <v>#N/A</v>
      </c>
      <c r="BM9" s="6" t="e">
        <f t="shared" si="59"/>
        <v>#N/A</v>
      </c>
      <c r="BN9" s="7" t="e">
        <f t="shared" si="60"/>
        <v>#N/A</v>
      </c>
      <c r="BO9" s="6" t="e">
        <f t="shared" si="61"/>
        <v>#N/A</v>
      </c>
      <c r="BP9" s="7" t="e">
        <f t="shared" si="62"/>
        <v>#N/A</v>
      </c>
      <c r="BQ9" s="6" t="e">
        <f t="shared" si="63"/>
        <v>#N/A</v>
      </c>
      <c r="BR9" s="5" t="e">
        <f t="shared" si="64"/>
        <v>#N/A</v>
      </c>
      <c r="BS9" s="6" t="e">
        <f t="shared" si="65"/>
        <v>#N/A</v>
      </c>
      <c r="BT9" s="7" t="e">
        <f t="shared" si="66"/>
        <v>#N/A</v>
      </c>
      <c r="BU9" s="6" t="e">
        <f t="shared" si="67"/>
        <v>#N/A</v>
      </c>
      <c r="BV9" s="7" t="e">
        <f t="shared" si="68"/>
        <v>#N/A</v>
      </c>
      <c r="BW9" s="6" t="e">
        <f t="shared" si="69"/>
        <v>#N/A</v>
      </c>
      <c r="BX9" s="5" t="e">
        <f t="shared" si="70"/>
        <v>#N/A</v>
      </c>
      <c r="BY9" s="6" t="e">
        <f t="shared" si="71"/>
        <v>#N/A</v>
      </c>
      <c r="BZ9" s="7" t="e">
        <f t="shared" si="72"/>
        <v>#N/A</v>
      </c>
      <c r="CA9" s="6" t="e">
        <f t="shared" si="73"/>
        <v>#N/A</v>
      </c>
      <c r="CB9" s="7" t="e">
        <f t="shared" si="74"/>
        <v>#N/A</v>
      </c>
      <c r="CC9" s="6" t="e">
        <f t="shared" si="75"/>
        <v>#N/A</v>
      </c>
      <c r="CD9" s="5" t="e">
        <f t="shared" si="76"/>
        <v>#N/A</v>
      </c>
      <c r="CE9" s="6" t="e">
        <f t="shared" si="77"/>
        <v>#N/A</v>
      </c>
      <c r="CF9" s="7" t="e">
        <f t="shared" si="78"/>
        <v>#N/A</v>
      </c>
      <c r="CG9" s="6" t="e">
        <f t="shared" si="79"/>
        <v>#N/A</v>
      </c>
      <c r="CH9" s="7" t="e">
        <f t="shared" si="80"/>
        <v>#N/A</v>
      </c>
      <c r="CI9" s="6" t="e">
        <f t="shared" si="81"/>
        <v>#N/A</v>
      </c>
      <c r="CJ9" s="5" t="e">
        <f t="shared" si="82"/>
        <v>#N/A</v>
      </c>
      <c r="CK9" s="6" t="e">
        <f t="shared" si="83"/>
        <v>#N/A</v>
      </c>
      <c r="CL9" s="7" t="e">
        <f t="shared" si="84"/>
        <v>#N/A</v>
      </c>
      <c r="CM9" s="6" t="e">
        <f t="shared" si="85"/>
        <v>#N/A</v>
      </c>
      <c r="CN9" s="7" t="e">
        <f t="shared" si="86"/>
        <v>#N/A</v>
      </c>
      <c r="CO9" s="6" t="e">
        <f t="shared" si="87"/>
        <v>#N/A</v>
      </c>
      <c r="CP9" s="5" t="e">
        <f t="shared" si="88"/>
        <v>#N/A</v>
      </c>
      <c r="CQ9" s="6" t="e">
        <f t="shared" si="89"/>
        <v>#N/A</v>
      </c>
      <c r="CR9" s="7" t="e">
        <f t="shared" si="90"/>
        <v>#N/A</v>
      </c>
      <c r="CS9" s="7" t="e">
        <f t="shared" si="90"/>
        <v>#N/A</v>
      </c>
      <c r="CT9" s="7" t="e">
        <f t="shared" si="90"/>
        <v>#N/A</v>
      </c>
      <c r="CU9" s="7" t="e">
        <f t="shared" si="90"/>
        <v>#N/A</v>
      </c>
      <c r="CV9" s="5" t="e">
        <f t="shared" si="91"/>
        <v>#N/A</v>
      </c>
      <c r="CW9" s="6" t="e">
        <f t="shared" si="92"/>
        <v>#N/A</v>
      </c>
      <c r="CY9" s="7" t="e">
        <v>#N/A</v>
      </c>
      <c r="CZ9" s="5" t="e">
        <f t="array" ref="CZ9">Summary_UpperBound</f>
        <v>#N/A</v>
      </c>
      <c r="DA9" s="6" t="e">
        <f t="shared" si="93"/>
        <v>#N/A</v>
      </c>
    </row>
    <row r="10" spans="1:105" x14ac:dyDescent="0.35">
      <c r="A10" s="7" t="str">
        <f>'Data Validation (Hide)'!B7</f>
        <v>Caseload 6</v>
      </c>
      <c r="B10" s="19" t="e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#N/A</v>
      </c>
      <c r="C10" s="30" t="e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#N/A</v>
      </c>
      <c r="E10" s="12" t="e" vm="2">
        <f t="shared" ca="1" si="94"/>
        <v>#VALUE!</v>
      </c>
      <c r="F10" s="7" t="e">
        <f t="shared" si="0"/>
        <v>#N/A</v>
      </c>
      <c r="G10" s="6" t="e">
        <f t="shared" si="1"/>
        <v>#N/A</v>
      </c>
      <c r="H10" s="7" t="e">
        <f t="shared" si="2"/>
        <v>#N/A</v>
      </c>
      <c r="I10" s="6" t="e">
        <f t="shared" si="3"/>
        <v>#N/A</v>
      </c>
      <c r="J10" s="5" t="e">
        <f t="shared" si="4"/>
        <v>#N/A</v>
      </c>
      <c r="K10" s="6" t="e">
        <f t="shared" si="5"/>
        <v>#N/A</v>
      </c>
      <c r="L10" s="7" t="e">
        <f t="shared" si="6"/>
        <v>#N/A</v>
      </c>
      <c r="M10" s="6" t="e">
        <f t="shared" si="7"/>
        <v>#N/A</v>
      </c>
      <c r="N10" s="7" t="e">
        <f t="shared" si="8"/>
        <v>#N/A</v>
      </c>
      <c r="O10" s="6" t="e">
        <f t="shared" si="9"/>
        <v>#N/A</v>
      </c>
      <c r="P10" s="5" t="e">
        <f t="shared" si="10"/>
        <v>#N/A</v>
      </c>
      <c r="Q10" s="6" t="e">
        <f t="shared" si="11"/>
        <v>#N/A</v>
      </c>
      <c r="R10" s="7" t="e">
        <f t="shared" si="12"/>
        <v>#N/A</v>
      </c>
      <c r="S10" s="6" t="e">
        <f t="shared" si="13"/>
        <v>#N/A</v>
      </c>
      <c r="T10" s="7" t="e">
        <f t="shared" si="14"/>
        <v>#N/A</v>
      </c>
      <c r="U10" s="6" t="e">
        <f t="shared" si="15"/>
        <v>#N/A</v>
      </c>
      <c r="V10" s="5" t="e">
        <f t="shared" si="16"/>
        <v>#N/A</v>
      </c>
      <c r="W10" s="6" t="e">
        <f t="shared" si="17"/>
        <v>#N/A</v>
      </c>
      <c r="X10" s="7" t="e">
        <f t="shared" si="18"/>
        <v>#N/A</v>
      </c>
      <c r="Y10" s="6" t="e">
        <f t="shared" si="19"/>
        <v>#N/A</v>
      </c>
      <c r="Z10" s="7" t="e">
        <f t="shared" si="20"/>
        <v>#N/A</v>
      </c>
      <c r="AA10" s="6" t="e">
        <f t="shared" si="21"/>
        <v>#N/A</v>
      </c>
      <c r="AB10" s="5" t="e">
        <f t="shared" si="22"/>
        <v>#N/A</v>
      </c>
      <c r="AC10" s="6" t="e">
        <f t="shared" si="23"/>
        <v>#N/A</v>
      </c>
      <c r="AD10" s="7" t="e">
        <f t="shared" si="24"/>
        <v>#N/A</v>
      </c>
      <c r="AE10" s="6" t="e">
        <f t="shared" si="25"/>
        <v>#N/A</v>
      </c>
      <c r="AF10" s="7" t="e">
        <f t="shared" si="26"/>
        <v>#N/A</v>
      </c>
      <c r="AG10" s="6" t="e">
        <f t="shared" si="27"/>
        <v>#N/A</v>
      </c>
      <c r="AH10" s="5" t="e">
        <f t="shared" si="28"/>
        <v>#N/A</v>
      </c>
      <c r="AI10" s="6" t="e">
        <f t="shared" si="29"/>
        <v>#N/A</v>
      </c>
      <c r="AJ10" s="7" t="e">
        <f t="shared" si="30"/>
        <v>#N/A</v>
      </c>
      <c r="AK10" s="6" t="e">
        <f t="shared" si="31"/>
        <v>#N/A</v>
      </c>
      <c r="AL10" s="7" t="e">
        <f t="shared" si="32"/>
        <v>#N/A</v>
      </c>
      <c r="AM10" s="6" t="e">
        <f t="shared" si="33"/>
        <v>#N/A</v>
      </c>
      <c r="AN10" s="5" t="e">
        <f t="shared" si="34"/>
        <v>#N/A</v>
      </c>
      <c r="AO10" s="6" t="e">
        <f t="shared" si="35"/>
        <v>#N/A</v>
      </c>
      <c r="AP10" s="7" t="e">
        <f t="shared" si="36"/>
        <v>#N/A</v>
      </c>
      <c r="AQ10" s="6" t="e">
        <f t="shared" si="37"/>
        <v>#N/A</v>
      </c>
      <c r="AR10" s="7" t="e">
        <f t="shared" si="38"/>
        <v>#N/A</v>
      </c>
      <c r="AS10" s="6" t="e">
        <f t="shared" si="39"/>
        <v>#N/A</v>
      </c>
      <c r="AT10" s="5" t="e">
        <f t="shared" si="40"/>
        <v>#N/A</v>
      </c>
      <c r="AU10" s="6" t="e">
        <f t="shared" si="41"/>
        <v>#N/A</v>
      </c>
      <c r="AV10" s="7" t="e">
        <f t="shared" si="42"/>
        <v>#N/A</v>
      </c>
      <c r="AW10" s="6" t="e">
        <f t="shared" si="43"/>
        <v>#N/A</v>
      </c>
      <c r="AX10" s="7" t="e">
        <f t="shared" si="44"/>
        <v>#N/A</v>
      </c>
      <c r="AY10" s="6" t="e">
        <f t="shared" si="45"/>
        <v>#N/A</v>
      </c>
      <c r="AZ10" s="5" t="e">
        <f t="shared" si="46"/>
        <v>#N/A</v>
      </c>
      <c r="BA10" s="6" t="e">
        <f t="shared" si="47"/>
        <v>#N/A</v>
      </c>
      <c r="BB10" s="7" t="e">
        <f t="shared" si="48"/>
        <v>#N/A</v>
      </c>
      <c r="BC10" s="6" t="e">
        <f t="shared" si="49"/>
        <v>#N/A</v>
      </c>
      <c r="BD10" s="7" t="e">
        <f t="shared" si="50"/>
        <v>#N/A</v>
      </c>
      <c r="BE10" s="6" t="e">
        <f t="shared" si="51"/>
        <v>#N/A</v>
      </c>
      <c r="BF10" s="5" t="e">
        <f t="shared" si="52"/>
        <v>#N/A</v>
      </c>
      <c r="BG10" s="6" t="e">
        <f t="shared" si="53"/>
        <v>#N/A</v>
      </c>
      <c r="BH10" s="7" t="e">
        <f t="shared" si="54"/>
        <v>#N/A</v>
      </c>
      <c r="BI10" s="6" t="e">
        <f t="shared" si="55"/>
        <v>#N/A</v>
      </c>
      <c r="BJ10" s="7" t="e">
        <f t="shared" si="56"/>
        <v>#N/A</v>
      </c>
      <c r="BK10" s="6" t="e">
        <f t="shared" si="57"/>
        <v>#N/A</v>
      </c>
      <c r="BL10" s="5" t="e">
        <f t="shared" si="58"/>
        <v>#N/A</v>
      </c>
      <c r="BM10" s="6" t="e">
        <f t="shared" si="59"/>
        <v>#N/A</v>
      </c>
      <c r="BN10" s="7" t="e">
        <f t="shared" si="60"/>
        <v>#N/A</v>
      </c>
      <c r="BO10" s="6" t="e">
        <f t="shared" si="61"/>
        <v>#N/A</v>
      </c>
      <c r="BP10" s="7" t="e">
        <f t="shared" si="62"/>
        <v>#N/A</v>
      </c>
      <c r="BQ10" s="6" t="e">
        <f t="shared" si="63"/>
        <v>#N/A</v>
      </c>
      <c r="BR10" s="5" t="e">
        <f t="shared" si="64"/>
        <v>#N/A</v>
      </c>
      <c r="BS10" s="6" t="e">
        <f t="shared" si="65"/>
        <v>#N/A</v>
      </c>
      <c r="BT10" s="7" t="e">
        <f t="shared" si="66"/>
        <v>#N/A</v>
      </c>
      <c r="BU10" s="6" t="e">
        <f t="shared" si="67"/>
        <v>#N/A</v>
      </c>
      <c r="BV10" s="7" t="e">
        <f t="shared" si="68"/>
        <v>#N/A</v>
      </c>
      <c r="BW10" s="6" t="e">
        <f t="shared" si="69"/>
        <v>#N/A</v>
      </c>
      <c r="BX10" s="5" t="e">
        <f t="shared" si="70"/>
        <v>#N/A</v>
      </c>
      <c r="BY10" s="6" t="e">
        <f t="shared" si="71"/>
        <v>#N/A</v>
      </c>
      <c r="BZ10" s="7" t="e">
        <f t="shared" si="72"/>
        <v>#N/A</v>
      </c>
      <c r="CA10" s="6" t="e">
        <f t="shared" si="73"/>
        <v>#N/A</v>
      </c>
      <c r="CB10" s="7" t="e">
        <f t="shared" si="74"/>
        <v>#N/A</v>
      </c>
      <c r="CC10" s="6" t="e">
        <f t="shared" si="75"/>
        <v>#N/A</v>
      </c>
      <c r="CD10" s="5" t="e">
        <f t="shared" si="76"/>
        <v>#N/A</v>
      </c>
      <c r="CE10" s="6" t="e">
        <f t="shared" si="77"/>
        <v>#N/A</v>
      </c>
      <c r="CF10" s="7" t="e">
        <f t="shared" si="78"/>
        <v>#N/A</v>
      </c>
      <c r="CG10" s="6" t="e">
        <f t="shared" si="79"/>
        <v>#N/A</v>
      </c>
      <c r="CH10" s="7" t="e">
        <f t="shared" si="80"/>
        <v>#N/A</v>
      </c>
      <c r="CI10" s="6" t="e">
        <f t="shared" si="81"/>
        <v>#N/A</v>
      </c>
      <c r="CJ10" s="5" t="e">
        <f t="shared" si="82"/>
        <v>#N/A</v>
      </c>
      <c r="CK10" s="6" t="e">
        <f t="shared" si="83"/>
        <v>#N/A</v>
      </c>
      <c r="CL10" s="7" t="e">
        <f t="shared" si="84"/>
        <v>#N/A</v>
      </c>
      <c r="CM10" s="6" t="e">
        <f t="shared" si="85"/>
        <v>#N/A</v>
      </c>
      <c r="CN10" s="7" t="e">
        <f t="shared" si="86"/>
        <v>#N/A</v>
      </c>
      <c r="CO10" s="6" t="e">
        <f t="shared" si="87"/>
        <v>#N/A</v>
      </c>
      <c r="CP10" s="5" t="e">
        <f t="shared" si="88"/>
        <v>#N/A</v>
      </c>
      <c r="CQ10" s="6" t="e">
        <f t="shared" si="89"/>
        <v>#N/A</v>
      </c>
      <c r="CR10" s="7" t="e">
        <f t="shared" si="90"/>
        <v>#N/A</v>
      </c>
      <c r="CS10" s="7" t="e">
        <f t="shared" si="90"/>
        <v>#N/A</v>
      </c>
      <c r="CT10" s="7" t="e">
        <f t="shared" si="90"/>
        <v>#N/A</v>
      </c>
      <c r="CU10" s="7" t="e">
        <f t="shared" si="90"/>
        <v>#N/A</v>
      </c>
      <c r="CV10" s="5" t="e">
        <f t="shared" si="91"/>
        <v>#N/A</v>
      </c>
      <c r="CW10" s="6" t="e">
        <f t="shared" si="92"/>
        <v>#N/A</v>
      </c>
      <c r="CY10" s="7" t="e">
        <v>#N/A</v>
      </c>
      <c r="CZ10" s="5" t="e">
        <f t="array" ref="CZ10">Summary_UpperBound</f>
        <v>#N/A</v>
      </c>
      <c r="DA10" s="6" t="e">
        <f t="shared" si="93"/>
        <v>#N/A</v>
      </c>
    </row>
    <row r="11" spans="1:105" x14ac:dyDescent="0.35">
      <c r="A11" s="7" t="str">
        <f>'Data Validation (Hide)'!B8</f>
        <v>Caseload 7</v>
      </c>
      <c r="B11" s="19" t="e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#N/A</v>
      </c>
      <c r="C11" s="30" t="e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#N/A</v>
      </c>
      <c r="E11" s="12" t="e" vm="2">
        <f t="shared" ca="1" si="94"/>
        <v>#VALUE!</v>
      </c>
      <c r="F11" s="7" t="e">
        <f t="shared" si="0"/>
        <v>#N/A</v>
      </c>
      <c r="G11" s="6" t="e">
        <f t="shared" si="1"/>
        <v>#N/A</v>
      </c>
      <c r="H11" s="7" t="e">
        <f t="shared" si="2"/>
        <v>#N/A</v>
      </c>
      <c r="I11" s="6" t="e">
        <f t="shared" si="3"/>
        <v>#N/A</v>
      </c>
      <c r="J11" s="5" t="e">
        <f t="shared" si="4"/>
        <v>#N/A</v>
      </c>
      <c r="K11" s="6" t="e">
        <f t="shared" si="5"/>
        <v>#N/A</v>
      </c>
      <c r="L11" s="7" t="e">
        <f t="shared" si="6"/>
        <v>#N/A</v>
      </c>
      <c r="M11" s="6" t="e">
        <f t="shared" si="7"/>
        <v>#N/A</v>
      </c>
      <c r="N11" s="7" t="e">
        <f t="shared" si="8"/>
        <v>#N/A</v>
      </c>
      <c r="O11" s="6" t="e">
        <f t="shared" si="9"/>
        <v>#N/A</v>
      </c>
      <c r="P11" s="5" t="e">
        <f t="shared" si="10"/>
        <v>#N/A</v>
      </c>
      <c r="Q11" s="6" t="e">
        <f t="shared" si="11"/>
        <v>#N/A</v>
      </c>
      <c r="R11" s="7" t="e">
        <f t="shared" si="12"/>
        <v>#N/A</v>
      </c>
      <c r="S11" s="6" t="e">
        <f t="shared" si="13"/>
        <v>#N/A</v>
      </c>
      <c r="T11" s="7" t="e">
        <f t="shared" si="14"/>
        <v>#N/A</v>
      </c>
      <c r="U11" s="6" t="e">
        <f t="shared" si="15"/>
        <v>#N/A</v>
      </c>
      <c r="V11" s="5" t="e">
        <f t="shared" si="16"/>
        <v>#N/A</v>
      </c>
      <c r="W11" s="6" t="e">
        <f t="shared" si="17"/>
        <v>#N/A</v>
      </c>
      <c r="X11" s="7" t="e">
        <f t="shared" si="18"/>
        <v>#N/A</v>
      </c>
      <c r="Y11" s="6" t="e">
        <f t="shared" si="19"/>
        <v>#N/A</v>
      </c>
      <c r="Z11" s="7" t="e">
        <f t="shared" si="20"/>
        <v>#N/A</v>
      </c>
      <c r="AA11" s="6" t="e">
        <f t="shared" si="21"/>
        <v>#N/A</v>
      </c>
      <c r="AB11" s="5" t="e">
        <f t="shared" si="22"/>
        <v>#N/A</v>
      </c>
      <c r="AC11" s="6" t="e">
        <f t="shared" si="23"/>
        <v>#N/A</v>
      </c>
      <c r="AD11" s="7" t="e">
        <f t="shared" si="24"/>
        <v>#N/A</v>
      </c>
      <c r="AE11" s="6" t="e">
        <f t="shared" si="25"/>
        <v>#N/A</v>
      </c>
      <c r="AF11" s="7" t="e">
        <f t="shared" si="26"/>
        <v>#N/A</v>
      </c>
      <c r="AG11" s="6" t="e">
        <f t="shared" si="27"/>
        <v>#N/A</v>
      </c>
      <c r="AH11" s="5" t="e">
        <f t="shared" si="28"/>
        <v>#N/A</v>
      </c>
      <c r="AI11" s="6" t="e">
        <f t="shared" si="29"/>
        <v>#N/A</v>
      </c>
      <c r="AJ11" s="7" t="e">
        <f t="shared" si="30"/>
        <v>#N/A</v>
      </c>
      <c r="AK11" s="6" t="e">
        <f t="shared" si="31"/>
        <v>#N/A</v>
      </c>
      <c r="AL11" s="7" t="e">
        <f t="shared" si="32"/>
        <v>#N/A</v>
      </c>
      <c r="AM11" s="6" t="e">
        <f t="shared" si="33"/>
        <v>#N/A</v>
      </c>
      <c r="AN11" s="5" t="e">
        <f t="shared" si="34"/>
        <v>#N/A</v>
      </c>
      <c r="AO11" s="6" t="e">
        <f t="shared" si="35"/>
        <v>#N/A</v>
      </c>
      <c r="AP11" s="7" t="e">
        <f t="shared" si="36"/>
        <v>#N/A</v>
      </c>
      <c r="AQ11" s="6" t="e">
        <f t="shared" si="37"/>
        <v>#N/A</v>
      </c>
      <c r="AR11" s="7" t="e">
        <f t="shared" si="38"/>
        <v>#N/A</v>
      </c>
      <c r="AS11" s="6" t="e">
        <f t="shared" si="39"/>
        <v>#N/A</v>
      </c>
      <c r="AT11" s="5" t="e">
        <f t="shared" si="40"/>
        <v>#N/A</v>
      </c>
      <c r="AU11" s="6" t="e">
        <f t="shared" si="41"/>
        <v>#N/A</v>
      </c>
      <c r="AV11" s="7" t="e">
        <f t="shared" si="42"/>
        <v>#N/A</v>
      </c>
      <c r="AW11" s="6" t="e">
        <f t="shared" si="43"/>
        <v>#N/A</v>
      </c>
      <c r="AX11" s="7" t="e">
        <f t="shared" si="44"/>
        <v>#N/A</v>
      </c>
      <c r="AY11" s="6" t="e">
        <f t="shared" si="45"/>
        <v>#N/A</v>
      </c>
      <c r="AZ11" s="5" t="e">
        <f t="shared" si="46"/>
        <v>#N/A</v>
      </c>
      <c r="BA11" s="6" t="e">
        <f t="shared" si="47"/>
        <v>#N/A</v>
      </c>
      <c r="BB11" s="7" t="e">
        <f t="shared" si="48"/>
        <v>#N/A</v>
      </c>
      <c r="BC11" s="6" t="e">
        <f t="shared" si="49"/>
        <v>#N/A</v>
      </c>
      <c r="BD11" s="7" t="e">
        <f t="shared" si="50"/>
        <v>#N/A</v>
      </c>
      <c r="BE11" s="6" t="e">
        <f t="shared" si="51"/>
        <v>#N/A</v>
      </c>
      <c r="BF11" s="5" t="e">
        <f t="shared" si="52"/>
        <v>#N/A</v>
      </c>
      <c r="BG11" s="6" t="e">
        <f t="shared" si="53"/>
        <v>#N/A</v>
      </c>
      <c r="BH11" s="7" t="e">
        <f t="shared" si="54"/>
        <v>#N/A</v>
      </c>
      <c r="BI11" s="6" t="e">
        <f t="shared" si="55"/>
        <v>#N/A</v>
      </c>
      <c r="BJ11" s="7" t="e">
        <f t="shared" si="56"/>
        <v>#N/A</v>
      </c>
      <c r="BK11" s="6" t="e">
        <f t="shared" si="57"/>
        <v>#N/A</v>
      </c>
      <c r="BL11" s="5" t="e">
        <f t="shared" si="58"/>
        <v>#N/A</v>
      </c>
      <c r="BM11" s="6" t="e">
        <f t="shared" si="59"/>
        <v>#N/A</v>
      </c>
      <c r="BN11" s="7" t="e">
        <f t="shared" si="60"/>
        <v>#N/A</v>
      </c>
      <c r="BO11" s="6" t="e">
        <f t="shared" si="61"/>
        <v>#N/A</v>
      </c>
      <c r="BP11" s="7" t="e">
        <f t="shared" si="62"/>
        <v>#N/A</v>
      </c>
      <c r="BQ11" s="6" t="e">
        <f t="shared" si="63"/>
        <v>#N/A</v>
      </c>
      <c r="BR11" s="5" t="e">
        <f t="shared" si="64"/>
        <v>#N/A</v>
      </c>
      <c r="BS11" s="6" t="e">
        <f t="shared" si="65"/>
        <v>#N/A</v>
      </c>
      <c r="BT11" s="7" t="e">
        <f t="shared" si="66"/>
        <v>#N/A</v>
      </c>
      <c r="BU11" s="6" t="e">
        <f t="shared" si="67"/>
        <v>#N/A</v>
      </c>
      <c r="BV11" s="7" t="e">
        <f t="shared" si="68"/>
        <v>#N/A</v>
      </c>
      <c r="BW11" s="6" t="e">
        <f t="shared" si="69"/>
        <v>#N/A</v>
      </c>
      <c r="BX11" s="5" t="e">
        <f t="shared" si="70"/>
        <v>#N/A</v>
      </c>
      <c r="BY11" s="6" t="e">
        <f t="shared" si="71"/>
        <v>#N/A</v>
      </c>
      <c r="BZ11" s="7" t="e">
        <f t="shared" si="72"/>
        <v>#N/A</v>
      </c>
      <c r="CA11" s="6" t="e">
        <f t="shared" si="73"/>
        <v>#N/A</v>
      </c>
      <c r="CB11" s="7" t="e">
        <f t="shared" si="74"/>
        <v>#N/A</v>
      </c>
      <c r="CC11" s="6" t="e">
        <f t="shared" si="75"/>
        <v>#N/A</v>
      </c>
      <c r="CD11" s="5" t="e">
        <f t="shared" si="76"/>
        <v>#N/A</v>
      </c>
      <c r="CE11" s="6" t="e">
        <f t="shared" si="77"/>
        <v>#N/A</v>
      </c>
      <c r="CF11" s="7" t="e">
        <f t="shared" si="78"/>
        <v>#N/A</v>
      </c>
      <c r="CG11" s="6" t="e">
        <f t="shared" si="79"/>
        <v>#N/A</v>
      </c>
      <c r="CH11" s="7" t="e">
        <f t="shared" si="80"/>
        <v>#N/A</v>
      </c>
      <c r="CI11" s="6" t="e">
        <f t="shared" si="81"/>
        <v>#N/A</v>
      </c>
      <c r="CJ11" s="5" t="e">
        <f t="shared" si="82"/>
        <v>#N/A</v>
      </c>
      <c r="CK11" s="6" t="e">
        <f t="shared" si="83"/>
        <v>#N/A</v>
      </c>
      <c r="CL11" s="7" t="e">
        <f t="shared" si="84"/>
        <v>#N/A</v>
      </c>
      <c r="CM11" s="6" t="e">
        <f t="shared" si="85"/>
        <v>#N/A</v>
      </c>
      <c r="CN11" s="7" t="e">
        <f t="shared" si="86"/>
        <v>#N/A</v>
      </c>
      <c r="CO11" s="6" t="e">
        <f t="shared" si="87"/>
        <v>#N/A</v>
      </c>
      <c r="CP11" s="5" t="e">
        <f t="shared" si="88"/>
        <v>#N/A</v>
      </c>
      <c r="CQ11" s="6" t="e">
        <f t="shared" si="89"/>
        <v>#N/A</v>
      </c>
      <c r="CR11" s="7" t="e">
        <f t="shared" si="90"/>
        <v>#N/A</v>
      </c>
      <c r="CS11" s="7" t="e">
        <f t="shared" si="90"/>
        <v>#N/A</v>
      </c>
      <c r="CT11" s="7" t="e">
        <f t="shared" si="90"/>
        <v>#N/A</v>
      </c>
      <c r="CU11" s="7" t="e">
        <f t="shared" si="90"/>
        <v>#N/A</v>
      </c>
      <c r="CV11" s="5" t="e">
        <f t="shared" si="91"/>
        <v>#N/A</v>
      </c>
      <c r="CW11" s="6" t="e">
        <f t="shared" si="92"/>
        <v>#N/A</v>
      </c>
      <c r="CY11" s="7" t="e">
        <v>#N/A</v>
      </c>
      <c r="CZ11" s="5" t="e">
        <f t="array" ref="CZ11">Summary_UpperBound</f>
        <v>#N/A</v>
      </c>
      <c r="DA11" s="6" t="e">
        <f t="shared" si="93"/>
        <v>#N/A</v>
      </c>
    </row>
    <row r="12" spans="1:105" x14ac:dyDescent="0.35">
      <c r="A12" s="7" t="str">
        <f>'Data Validation (Hide)'!B9</f>
        <v>Caseload 8</v>
      </c>
      <c r="B12" s="19" t="e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#N/A</v>
      </c>
      <c r="C12" s="30" t="e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#N/A</v>
      </c>
      <c r="E12" s="12" t="e" vm="2">
        <f t="shared" ca="1" si="94"/>
        <v>#VALUE!</v>
      </c>
      <c r="F12" s="7" t="e">
        <f t="shared" si="0"/>
        <v>#N/A</v>
      </c>
      <c r="G12" s="6" t="e">
        <f t="shared" si="1"/>
        <v>#N/A</v>
      </c>
      <c r="H12" s="7" t="e">
        <f t="shared" si="2"/>
        <v>#N/A</v>
      </c>
      <c r="I12" s="6" t="e">
        <f t="shared" si="3"/>
        <v>#N/A</v>
      </c>
      <c r="J12" s="5" t="e">
        <f t="shared" si="4"/>
        <v>#N/A</v>
      </c>
      <c r="K12" s="6" t="e">
        <f t="shared" si="5"/>
        <v>#N/A</v>
      </c>
      <c r="L12" s="7" t="e">
        <f t="shared" si="6"/>
        <v>#N/A</v>
      </c>
      <c r="M12" s="6" t="e">
        <f t="shared" si="7"/>
        <v>#N/A</v>
      </c>
      <c r="N12" s="7" t="e">
        <f t="shared" si="8"/>
        <v>#N/A</v>
      </c>
      <c r="O12" s="6" t="e">
        <f t="shared" si="9"/>
        <v>#N/A</v>
      </c>
      <c r="P12" s="5" t="e">
        <f t="shared" si="10"/>
        <v>#N/A</v>
      </c>
      <c r="Q12" s="6" t="e">
        <f t="shared" si="11"/>
        <v>#N/A</v>
      </c>
      <c r="R12" s="7" t="e">
        <f t="shared" si="12"/>
        <v>#N/A</v>
      </c>
      <c r="S12" s="6" t="e">
        <f t="shared" si="13"/>
        <v>#N/A</v>
      </c>
      <c r="T12" s="7" t="e">
        <f t="shared" si="14"/>
        <v>#N/A</v>
      </c>
      <c r="U12" s="6" t="e">
        <f t="shared" si="15"/>
        <v>#N/A</v>
      </c>
      <c r="V12" s="5" t="e">
        <f t="shared" si="16"/>
        <v>#N/A</v>
      </c>
      <c r="W12" s="6" t="e">
        <f t="shared" si="17"/>
        <v>#N/A</v>
      </c>
      <c r="X12" s="7" t="e">
        <f t="shared" si="18"/>
        <v>#N/A</v>
      </c>
      <c r="Y12" s="6" t="e">
        <f t="shared" si="19"/>
        <v>#N/A</v>
      </c>
      <c r="Z12" s="7" t="e">
        <f t="shared" si="20"/>
        <v>#N/A</v>
      </c>
      <c r="AA12" s="6" t="e">
        <f t="shared" si="21"/>
        <v>#N/A</v>
      </c>
      <c r="AB12" s="5" t="e">
        <f t="shared" si="22"/>
        <v>#N/A</v>
      </c>
      <c r="AC12" s="6" t="e">
        <f t="shared" si="23"/>
        <v>#N/A</v>
      </c>
      <c r="AD12" s="7" t="e">
        <f t="shared" si="24"/>
        <v>#N/A</v>
      </c>
      <c r="AE12" s="6" t="e">
        <f t="shared" si="25"/>
        <v>#N/A</v>
      </c>
      <c r="AF12" s="7" t="e">
        <f t="shared" si="26"/>
        <v>#N/A</v>
      </c>
      <c r="AG12" s="6" t="e">
        <f t="shared" si="27"/>
        <v>#N/A</v>
      </c>
      <c r="AH12" s="5" t="e">
        <f t="shared" si="28"/>
        <v>#N/A</v>
      </c>
      <c r="AI12" s="6" t="e">
        <f t="shared" si="29"/>
        <v>#N/A</v>
      </c>
      <c r="AJ12" s="7" t="e">
        <f t="shared" si="30"/>
        <v>#N/A</v>
      </c>
      <c r="AK12" s="6" t="e">
        <f t="shared" si="31"/>
        <v>#N/A</v>
      </c>
      <c r="AL12" s="7" t="e">
        <f t="shared" si="32"/>
        <v>#N/A</v>
      </c>
      <c r="AM12" s="6" t="e">
        <f t="shared" si="33"/>
        <v>#N/A</v>
      </c>
      <c r="AN12" s="5" t="e">
        <f t="shared" si="34"/>
        <v>#N/A</v>
      </c>
      <c r="AO12" s="6" t="e">
        <f t="shared" si="35"/>
        <v>#N/A</v>
      </c>
      <c r="AP12" s="7" t="e">
        <f t="shared" si="36"/>
        <v>#N/A</v>
      </c>
      <c r="AQ12" s="6" t="e">
        <f t="shared" si="37"/>
        <v>#N/A</v>
      </c>
      <c r="AR12" s="7" t="e">
        <f t="shared" si="38"/>
        <v>#N/A</v>
      </c>
      <c r="AS12" s="6" t="e">
        <f t="shared" si="39"/>
        <v>#N/A</v>
      </c>
      <c r="AT12" s="5" t="e">
        <f t="shared" si="40"/>
        <v>#N/A</v>
      </c>
      <c r="AU12" s="6" t="e">
        <f t="shared" si="41"/>
        <v>#N/A</v>
      </c>
      <c r="AV12" s="7" t="e">
        <f t="shared" si="42"/>
        <v>#N/A</v>
      </c>
      <c r="AW12" s="6" t="e">
        <f t="shared" si="43"/>
        <v>#N/A</v>
      </c>
      <c r="AX12" s="7" t="e">
        <f t="shared" si="44"/>
        <v>#N/A</v>
      </c>
      <c r="AY12" s="6" t="e">
        <f t="shared" si="45"/>
        <v>#N/A</v>
      </c>
      <c r="AZ12" s="5" t="e">
        <f t="shared" si="46"/>
        <v>#N/A</v>
      </c>
      <c r="BA12" s="6" t="e">
        <f t="shared" si="47"/>
        <v>#N/A</v>
      </c>
      <c r="BB12" s="7" t="e">
        <f t="shared" si="48"/>
        <v>#N/A</v>
      </c>
      <c r="BC12" s="6" t="e">
        <f t="shared" si="49"/>
        <v>#N/A</v>
      </c>
      <c r="BD12" s="7" t="e">
        <f t="shared" si="50"/>
        <v>#N/A</v>
      </c>
      <c r="BE12" s="6" t="e">
        <f t="shared" si="51"/>
        <v>#N/A</v>
      </c>
      <c r="BF12" s="5" t="e">
        <f t="shared" si="52"/>
        <v>#N/A</v>
      </c>
      <c r="BG12" s="6" t="e">
        <f t="shared" si="53"/>
        <v>#N/A</v>
      </c>
      <c r="BH12" s="7" t="e">
        <f t="shared" si="54"/>
        <v>#N/A</v>
      </c>
      <c r="BI12" s="6" t="e">
        <f t="shared" si="55"/>
        <v>#N/A</v>
      </c>
      <c r="BJ12" s="7" t="e">
        <f t="shared" si="56"/>
        <v>#N/A</v>
      </c>
      <c r="BK12" s="6" t="e">
        <f t="shared" si="57"/>
        <v>#N/A</v>
      </c>
      <c r="BL12" s="5" t="e">
        <f t="shared" si="58"/>
        <v>#N/A</v>
      </c>
      <c r="BM12" s="6" t="e">
        <f t="shared" si="59"/>
        <v>#N/A</v>
      </c>
      <c r="BN12" s="7" t="e">
        <f t="shared" si="60"/>
        <v>#N/A</v>
      </c>
      <c r="BO12" s="6" t="e">
        <f t="shared" si="61"/>
        <v>#N/A</v>
      </c>
      <c r="BP12" s="7" t="e">
        <f t="shared" si="62"/>
        <v>#N/A</v>
      </c>
      <c r="BQ12" s="6" t="e">
        <f t="shared" si="63"/>
        <v>#N/A</v>
      </c>
      <c r="BR12" s="5" t="e">
        <f t="shared" si="64"/>
        <v>#N/A</v>
      </c>
      <c r="BS12" s="6" t="e">
        <f t="shared" si="65"/>
        <v>#N/A</v>
      </c>
      <c r="BT12" s="7" t="e">
        <f t="shared" si="66"/>
        <v>#N/A</v>
      </c>
      <c r="BU12" s="6" t="e">
        <f t="shared" si="67"/>
        <v>#N/A</v>
      </c>
      <c r="BV12" s="7" t="e">
        <f t="shared" si="68"/>
        <v>#N/A</v>
      </c>
      <c r="BW12" s="6" t="e">
        <f t="shared" si="69"/>
        <v>#N/A</v>
      </c>
      <c r="BX12" s="5" t="e">
        <f t="shared" si="70"/>
        <v>#N/A</v>
      </c>
      <c r="BY12" s="6" t="e">
        <f t="shared" si="71"/>
        <v>#N/A</v>
      </c>
      <c r="BZ12" s="7" t="e">
        <f t="shared" si="72"/>
        <v>#N/A</v>
      </c>
      <c r="CA12" s="6" t="e">
        <f t="shared" si="73"/>
        <v>#N/A</v>
      </c>
      <c r="CB12" s="7" t="e">
        <f t="shared" si="74"/>
        <v>#N/A</v>
      </c>
      <c r="CC12" s="6" t="e">
        <f t="shared" si="75"/>
        <v>#N/A</v>
      </c>
      <c r="CD12" s="5" t="e">
        <f t="shared" si="76"/>
        <v>#N/A</v>
      </c>
      <c r="CE12" s="6" t="e">
        <f t="shared" si="77"/>
        <v>#N/A</v>
      </c>
      <c r="CF12" s="7" t="e">
        <f t="shared" si="78"/>
        <v>#N/A</v>
      </c>
      <c r="CG12" s="6" t="e">
        <f t="shared" si="79"/>
        <v>#N/A</v>
      </c>
      <c r="CH12" s="7" t="e">
        <f t="shared" si="80"/>
        <v>#N/A</v>
      </c>
      <c r="CI12" s="6" t="e">
        <f t="shared" si="81"/>
        <v>#N/A</v>
      </c>
      <c r="CJ12" s="5" t="e">
        <f t="shared" si="82"/>
        <v>#N/A</v>
      </c>
      <c r="CK12" s="6" t="e">
        <f t="shared" si="83"/>
        <v>#N/A</v>
      </c>
      <c r="CL12" s="7" t="e">
        <f t="shared" si="84"/>
        <v>#N/A</v>
      </c>
      <c r="CM12" s="6" t="e">
        <f t="shared" si="85"/>
        <v>#N/A</v>
      </c>
      <c r="CN12" s="7" t="e">
        <f t="shared" si="86"/>
        <v>#N/A</v>
      </c>
      <c r="CO12" s="6" t="e">
        <f t="shared" si="87"/>
        <v>#N/A</v>
      </c>
      <c r="CP12" s="5" t="e">
        <f t="shared" si="88"/>
        <v>#N/A</v>
      </c>
      <c r="CQ12" s="6" t="e">
        <f t="shared" si="89"/>
        <v>#N/A</v>
      </c>
      <c r="CR12" s="7" t="e">
        <f t="shared" si="90"/>
        <v>#N/A</v>
      </c>
      <c r="CS12" s="7" t="e">
        <f t="shared" si="90"/>
        <v>#N/A</v>
      </c>
      <c r="CT12" s="7" t="e">
        <f t="shared" si="90"/>
        <v>#N/A</v>
      </c>
      <c r="CU12" s="7" t="e">
        <f t="shared" si="90"/>
        <v>#N/A</v>
      </c>
      <c r="CV12" s="5" t="e">
        <f t="shared" si="91"/>
        <v>#N/A</v>
      </c>
      <c r="CW12" s="6" t="e">
        <f t="shared" si="92"/>
        <v>#N/A</v>
      </c>
      <c r="CY12" s="7" t="e">
        <v>#N/A</v>
      </c>
      <c r="CZ12" s="5" t="e">
        <f t="array" ref="CZ12">Summary_UpperBound</f>
        <v>#N/A</v>
      </c>
      <c r="DA12" s="6" t="e">
        <f t="shared" si="93"/>
        <v>#N/A</v>
      </c>
    </row>
    <row r="13" spans="1:105" x14ac:dyDescent="0.35">
      <c r="A13" s="7" t="str">
        <f>'Data Validation (Hide)'!B10</f>
        <v>Caseload 9</v>
      </c>
      <c r="B13" s="19" t="e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#N/A</v>
      </c>
      <c r="C13" s="30" t="e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#N/A</v>
      </c>
      <c r="E13" s="12" t="e" vm="2">
        <f t="shared" ca="1" si="94"/>
        <v>#VALUE!</v>
      </c>
      <c r="F13" s="7" t="e">
        <f t="shared" si="0"/>
        <v>#N/A</v>
      </c>
      <c r="G13" s="6" t="e">
        <f t="shared" si="1"/>
        <v>#N/A</v>
      </c>
      <c r="H13" s="7" t="e">
        <f t="shared" si="2"/>
        <v>#N/A</v>
      </c>
      <c r="I13" s="6" t="e">
        <f t="shared" si="3"/>
        <v>#N/A</v>
      </c>
      <c r="J13" s="5" t="e">
        <f t="shared" si="4"/>
        <v>#N/A</v>
      </c>
      <c r="K13" s="6" t="e">
        <f t="shared" si="5"/>
        <v>#N/A</v>
      </c>
      <c r="L13" s="7" t="e">
        <f t="shared" si="6"/>
        <v>#N/A</v>
      </c>
      <c r="M13" s="6" t="e">
        <f t="shared" si="7"/>
        <v>#N/A</v>
      </c>
      <c r="N13" s="7" t="e">
        <f t="shared" si="8"/>
        <v>#N/A</v>
      </c>
      <c r="O13" s="6" t="e">
        <f t="shared" si="9"/>
        <v>#N/A</v>
      </c>
      <c r="P13" s="5" t="e">
        <f t="shared" si="10"/>
        <v>#N/A</v>
      </c>
      <c r="Q13" s="6" t="e">
        <f t="shared" si="11"/>
        <v>#N/A</v>
      </c>
      <c r="R13" s="7" t="e">
        <f t="shared" si="12"/>
        <v>#N/A</v>
      </c>
      <c r="S13" s="6" t="e">
        <f t="shared" si="13"/>
        <v>#N/A</v>
      </c>
      <c r="T13" s="7" t="e">
        <f t="shared" si="14"/>
        <v>#N/A</v>
      </c>
      <c r="U13" s="6" t="e">
        <f t="shared" si="15"/>
        <v>#N/A</v>
      </c>
      <c r="V13" s="5" t="e">
        <f t="shared" si="16"/>
        <v>#N/A</v>
      </c>
      <c r="W13" s="6" t="e">
        <f t="shared" si="17"/>
        <v>#N/A</v>
      </c>
      <c r="X13" s="7" t="e">
        <f t="shared" si="18"/>
        <v>#N/A</v>
      </c>
      <c r="Y13" s="6" t="e">
        <f t="shared" si="19"/>
        <v>#N/A</v>
      </c>
      <c r="Z13" s="7" t="e">
        <f t="shared" si="20"/>
        <v>#N/A</v>
      </c>
      <c r="AA13" s="6" t="e">
        <f t="shared" si="21"/>
        <v>#N/A</v>
      </c>
      <c r="AB13" s="5" t="e">
        <f t="shared" si="22"/>
        <v>#N/A</v>
      </c>
      <c r="AC13" s="6" t="e">
        <f t="shared" si="23"/>
        <v>#N/A</v>
      </c>
      <c r="AD13" s="7" t="e">
        <f t="shared" si="24"/>
        <v>#N/A</v>
      </c>
      <c r="AE13" s="6" t="e">
        <f t="shared" si="25"/>
        <v>#N/A</v>
      </c>
      <c r="AF13" s="7" t="e">
        <f t="shared" si="26"/>
        <v>#N/A</v>
      </c>
      <c r="AG13" s="6" t="e">
        <f t="shared" si="27"/>
        <v>#N/A</v>
      </c>
      <c r="AH13" s="5" t="e">
        <f t="shared" si="28"/>
        <v>#N/A</v>
      </c>
      <c r="AI13" s="6" t="e">
        <f t="shared" si="29"/>
        <v>#N/A</v>
      </c>
      <c r="AJ13" s="7" t="e">
        <f t="shared" si="30"/>
        <v>#N/A</v>
      </c>
      <c r="AK13" s="6" t="e">
        <f t="shared" si="31"/>
        <v>#N/A</v>
      </c>
      <c r="AL13" s="7" t="e">
        <f t="shared" si="32"/>
        <v>#N/A</v>
      </c>
      <c r="AM13" s="6" t="e">
        <f t="shared" si="33"/>
        <v>#N/A</v>
      </c>
      <c r="AN13" s="5" t="e">
        <f t="shared" si="34"/>
        <v>#N/A</v>
      </c>
      <c r="AO13" s="6" t="e">
        <f t="shared" si="35"/>
        <v>#N/A</v>
      </c>
      <c r="AP13" s="7" t="e">
        <f t="shared" si="36"/>
        <v>#N/A</v>
      </c>
      <c r="AQ13" s="6" t="e">
        <f t="shared" si="37"/>
        <v>#N/A</v>
      </c>
      <c r="AR13" s="7" t="e">
        <f t="shared" si="38"/>
        <v>#N/A</v>
      </c>
      <c r="AS13" s="6" t="e">
        <f t="shared" si="39"/>
        <v>#N/A</v>
      </c>
      <c r="AT13" s="5" t="e">
        <f t="shared" si="40"/>
        <v>#N/A</v>
      </c>
      <c r="AU13" s="6" t="e">
        <f t="shared" si="41"/>
        <v>#N/A</v>
      </c>
      <c r="AV13" s="7" t="e">
        <f t="shared" si="42"/>
        <v>#N/A</v>
      </c>
      <c r="AW13" s="6" t="e">
        <f t="shared" si="43"/>
        <v>#N/A</v>
      </c>
      <c r="AX13" s="7" t="e">
        <f t="shared" si="44"/>
        <v>#N/A</v>
      </c>
      <c r="AY13" s="6" t="e">
        <f t="shared" si="45"/>
        <v>#N/A</v>
      </c>
      <c r="AZ13" s="5" t="e">
        <f t="shared" si="46"/>
        <v>#N/A</v>
      </c>
      <c r="BA13" s="6" t="e">
        <f t="shared" si="47"/>
        <v>#N/A</v>
      </c>
      <c r="BB13" s="7" t="e">
        <f t="shared" si="48"/>
        <v>#N/A</v>
      </c>
      <c r="BC13" s="6" t="e">
        <f t="shared" si="49"/>
        <v>#N/A</v>
      </c>
      <c r="BD13" s="7" t="e">
        <f t="shared" si="50"/>
        <v>#N/A</v>
      </c>
      <c r="BE13" s="6" t="e">
        <f t="shared" si="51"/>
        <v>#N/A</v>
      </c>
      <c r="BF13" s="5" t="e">
        <f t="shared" si="52"/>
        <v>#N/A</v>
      </c>
      <c r="BG13" s="6" t="e">
        <f t="shared" si="53"/>
        <v>#N/A</v>
      </c>
      <c r="BH13" s="7" t="e">
        <f t="shared" si="54"/>
        <v>#N/A</v>
      </c>
      <c r="BI13" s="6" t="e">
        <f t="shared" si="55"/>
        <v>#N/A</v>
      </c>
      <c r="BJ13" s="7" t="e">
        <f t="shared" si="56"/>
        <v>#N/A</v>
      </c>
      <c r="BK13" s="6" t="e">
        <f t="shared" si="57"/>
        <v>#N/A</v>
      </c>
      <c r="BL13" s="5" t="e">
        <f t="shared" si="58"/>
        <v>#N/A</v>
      </c>
      <c r="BM13" s="6" t="e">
        <f t="shared" si="59"/>
        <v>#N/A</v>
      </c>
      <c r="BN13" s="7" t="e">
        <f t="shared" si="60"/>
        <v>#N/A</v>
      </c>
      <c r="BO13" s="6" t="e">
        <f t="shared" si="61"/>
        <v>#N/A</v>
      </c>
      <c r="BP13" s="7" t="e">
        <f t="shared" si="62"/>
        <v>#N/A</v>
      </c>
      <c r="BQ13" s="6" t="e">
        <f t="shared" si="63"/>
        <v>#N/A</v>
      </c>
      <c r="BR13" s="5" t="e">
        <f t="shared" si="64"/>
        <v>#N/A</v>
      </c>
      <c r="BS13" s="6" t="e">
        <f t="shared" si="65"/>
        <v>#N/A</v>
      </c>
      <c r="BT13" s="7" t="e">
        <f t="shared" si="66"/>
        <v>#N/A</v>
      </c>
      <c r="BU13" s="6" t="e">
        <f t="shared" si="67"/>
        <v>#N/A</v>
      </c>
      <c r="BV13" s="7" t="e">
        <f t="shared" si="68"/>
        <v>#N/A</v>
      </c>
      <c r="BW13" s="6" t="e">
        <f t="shared" si="69"/>
        <v>#N/A</v>
      </c>
      <c r="BX13" s="5" t="e">
        <f t="shared" si="70"/>
        <v>#N/A</v>
      </c>
      <c r="BY13" s="6" t="e">
        <f t="shared" si="71"/>
        <v>#N/A</v>
      </c>
      <c r="BZ13" s="7" t="e">
        <f t="shared" si="72"/>
        <v>#N/A</v>
      </c>
      <c r="CA13" s="6" t="e">
        <f t="shared" si="73"/>
        <v>#N/A</v>
      </c>
      <c r="CB13" s="7" t="e">
        <f t="shared" si="74"/>
        <v>#N/A</v>
      </c>
      <c r="CC13" s="6" t="e">
        <f t="shared" si="75"/>
        <v>#N/A</v>
      </c>
      <c r="CD13" s="5" t="e">
        <f t="shared" si="76"/>
        <v>#N/A</v>
      </c>
      <c r="CE13" s="6" t="e">
        <f t="shared" si="77"/>
        <v>#N/A</v>
      </c>
      <c r="CF13" s="7" t="e">
        <f t="shared" si="78"/>
        <v>#N/A</v>
      </c>
      <c r="CG13" s="6" t="e">
        <f t="shared" si="79"/>
        <v>#N/A</v>
      </c>
      <c r="CH13" s="7" t="e">
        <f t="shared" si="80"/>
        <v>#N/A</v>
      </c>
      <c r="CI13" s="6" t="e">
        <f t="shared" si="81"/>
        <v>#N/A</v>
      </c>
      <c r="CJ13" s="5" t="e">
        <f t="shared" si="82"/>
        <v>#N/A</v>
      </c>
      <c r="CK13" s="6" t="e">
        <f t="shared" si="83"/>
        <v>#N/A</v>
      </c>
      <c r="CL13" s="7" t="e">
        <f t="shared" si="84"/>
        <v>#N/A</v>
      </c>
      <c r="CM13" s="6" t="e">
        <f t="shared" si="85"/>
        <v>#N/A</v>
      </c>
      <c r="CN13" s="7" t="e">
        <f t="shared" si="86"/>
        <v>#N/A</v>
      </c>
      <c r="CO13" s="6" t="e">
        <f t="shared" si="87"/>
        <v>#N/A</v>
      </c>
      <c r="CP13" s="5" t="e">
        <f t="shared" si="88"/>
        <v>#N/A</v>
      </c>
      <c r="CQ13" s="6" t="e">
        <f t="shared" si="89"/>
        <v>#N/A</v>
      </c>
      <c r="CR13" s="7" t="e">
        <f t="shared" si="90"/>
        <v>#N/A</v>
      </c>
      <c r="CS13" s="7" t="e">
        <f t="shared" si="90"/>
        <v>#N/A</v>
      </c>
      <c r="CT13" s="7" t="e">
        <f t="shared" si="90"/>
        <v>#N/A</v>
      </c>
      <c r="CU13" s="7" t="e">
        <f t="shared" si="90"/>
        <v>#N/A</v>
      </c>
      <c r="CV13" s="5" t="e">
        <f t="shared" si="91"/>
        <v>#N/A</v>
      </c>
      <c r="CW13" s="6" t="e">
        <f t="shared" si="92"/>
        <v>#N/A</v>
      </c>
      <c r="CY13" s="7" t="e">
        <v>#N/A</v>
      </c>
      <c r="CZ13" s="5" t="e">
        <f t="array" ref="CZ13">Summary_UpperBound</f>
        <v>#N/A</v>
      </c>
      <c r="DA13" s="6" t="e">
        <f t="shared" si="93"/>
        <v>#N/A</v>
      </c>
    </row>
    <row r="14" spans="1:105" x14ac:dyDescent="0.35">
      <c r="A14" s="7" t="str">
        <f>'Data Validation (Hide)'!B11</f>
        <v>Caseload 10</v>
      </c>
      <c r="B14" s="19" t="e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#N/A</v>
      </c>
      <c r="C14" s="30" t="e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#N/A</v>
      </c>
      <c r="E14" s="12" t="e" vm="2">
        <f t="shared" ca="1" si="94"/>
        <v>#VALUE!</v>
      </c>
      <c r="F14" s="7" t="e">
        <f t="shared" si="0"/>
        <v>#N/A</v>
      </c>
      <c r="G14" s="6" t="e">
        <f t="shared" si="1"/>
        <v>#N/A</v>
      </c>
      <c r="H14" s="7" t="e">
        <f t="shared" si="2"/>
        <v>#N/A</v>
      </c>
      <c r="I14" s="6" t="e">
        <f t="shared" si="3"/>
        <v>#N/A</v>
      </c>
      <c r="J14" s="5" t="e">
        <f t="shared" si="4"/>
        <v>#N/A</v>
      </c>
      <c r="K14" s="6" t="e">
        <f t="shared" si="5"/>
        <v>#N/A</v>
      </c>
      <c r="L14" s="7" t="e">
        <f t="shared" si="6"/>
        <v>#N/A</v>
      </c>
      <c r="M14" s="6" t="e">
        <f t="shared" si="7"/>
        <v>#N/A</v>
      </c>
      <c r="N14" s="7" t="e">
        <f t="shared" si="8"/>
        <v>#N/A</v>
      </c>
      <c r="O14" s="6" t="e">
        <f t="shared" si="9"/>
        <v>#N/A</v>
      </c>
      <c r="P14" s="5" t="e">
        <f t="shared" si="10"/>
        <v>#N/A</v>
      </c>
      <c r="Q14" s="6" t="e">
        <f t="shared" si="11"/>
        <v>#N/A</v>
      </c>
      <c r="R14" s="7" t="e">
        <f t="shared" si="12"/>
        <v>#N/A</v>
      </c>
      <c r="S14" s="6" t="e">
        <f t="shared" si="13"/>
        <v>#N/A</v>
      </c>
      <c r="T14" s="7" t="e">
        <f t="shared" si="14"/>
        <v>#N/A</v>
      </c>
      <c r="U14" s="6" t="e">
        <f t="shared" si="15"/>
        <v>#N/A</v>
      </c>
      <c r="V14" s="5" t="e">
        <f t="shared" si="16"/>
        <v>#N/A</v>
      </c>
      <c r="W14" s="6" t="e">
        <f t="shared" si="17"/>
        <v>#N/A</v>
      </c>
      <c r="X14" s="7" t="e">
        <f t="shared" si="18"/>
        <v>#N/A</v>
      </c>
      <c r="Y14" s="6" t="e">
        <f t="shared" si="19"/>
        <v>#N/A</v>
      </c>
      <c r="Z14" s="7" t="e">
        <f t="shared" si="20"/>
        <v>#N/A</v>
      </c>
      <c r="AA14" s="6" t="e">
        <f t="shared" si="21"/>
        <v>#N/A</v>
      </c>
      <c r="AB14" s="5" t="e">
        <f t="shared" si="22"/>
        <v>#N/A</v>
      </c>
      <c r="AC14" s="6" t="e">
        <f t="shared" si="23"/>
        <v>#N/A</v>
      </c>
      <c r="AD14" s="7" t="e">
        <f t="shared" si="24"/>
        <v>#N/A</v>
      </c>
      <c r="AE14" s="6" t="e">
        <f t="shared" si="25"/>
        <v>#N/A</v>
      </c>
      <c r="AF14" s="7" t="e">
        <f t="shared" si="26"/>
        <v>#N/A</v>
      </c>
      <c r="AG14" s="6" t="e">
        <f t="shared" si="27"/>
        <v>#N/A</v>
      </c>
      <c r="AH14" s="5" t="e">
        <f t="shared" si="28"/>
        <v>#N/A</v>
      </c>
      <c r="AI14" s="6" t="e">
        <f t="shared" si="29"/>
        <v>#N/A</v>
      </c>
      <c r="AJ14" s="7" t="e">
        <f t="shared" si="30"/>
        <v>#N/A</v>
      </c>
      <c r="AK14" s="6" t="e">
        <f t="shared" si="31"/>
        <v>#N/A</v>
      </c>
      <c r="AL14" s="7" t="e">
        <f t="shared" si="32"/>
        <v>#N/A</v>
      </c>
      <c r="AM14" s="6" t="e">
        <f t="shared" si="33"/>
        <v>#N/A</v>
      </c>
      <c r="AN14" s="5" t="e">
        <f t="shared" si="34"/>
        <v>#N/A</v>
      </c>
      <c r="AO14" s="6" t="e">
        <f t="shared" si="35"/>
        <v>#N/A</v>
      </c>
      <c r="AP14" s="7" t="e">
        <f t="shared" si="36"/>
        <v>#N/A</v>
      </c>
      <c r="AQ14" s="6" t="e">
        <f t="shared" si="37"/>
        <v>#N/A</v>
      </c>
      <c r="AR14" s="7" t="e">
        <f t="shared" si="38"/>
        <v>#N/A</v>
      </c>
      <c r="AS14" s="6" t="e">
        <f t="shared" si="39"/>
        <v>#N/A</v>
      </c>
      <c r="AT14" s="5" t="e">
        <f t="shared" si="40"/>
        <v>#N/A</v>
      </c>
      <c r="AU14" s="6" t="e">
        <f t="shared" si="41"/>
        <v>#N/A</v>
      </c>
      <c r="AV14" s="7" t="e">
        <f t="shared" si="42"/>
        <v>#N/A</v>
      </c>
      <c r="AW14" s="6" t="e">
        <f t="shared" si="43"/>
        <v>#N/A</v>
      </c>
      <c r="AX14" s="7" t="e">
        <f t="shared" si="44"/>
        <v>#N/A</v>
      </c>
      <c r="AY14" s="6" t="e">
        <f t="shared" si="45"/>
        <v>#N/A</v>
      </c>
      <c r="AZ14" s="5" t="e">
        <f t="shared" si="46"/>
        <v>#N/A</v>
      </c>
      <c r="BA14" s="6" t="e">
        <f t="shared" si="47"/>
        <v>#N/A</v>
      </c>
      <c r="BB14" s="7" t="e">
        <f t="shared" si="48"/>
        <v>#N/A</v>
      </c>
      <c r="BC14" s="6" t="e">
        <f t="shared" si="49"/>
        <v>#N/A</v>
      </c>
      <c r="BD14" s="7" t="e">
        <f t="shared" si="50"/>
        <v>#N/A</v>
      </c>
      <c r="BE14" s="6" t="e">
        <f t="shared" si="51"/>
        <v>#N/A</v>
      </c>
      <c r="BF14" s="5" t="e">
        <f t="shared" si="52"/>
        <v>#N/A</v>
      </c>
      <c r="BG14" s="6" t="e">
        <f t="shared" si="53"/>
        <v>#N/A</v>
      </c>
      <c r="BH14" s="7" t="e">
        <f t="shared" si="54"/>
        <v>#N/A</v>
      </c>
      <c r="BI14" s="6" t="e">
        <f t="shared" si="55"/>
        <v>#N/A</v>
      </c>
      <c r="BJ14" s="7" t="e">
        <f t="shared" si="56"/>
        <v>#N/A</v>
      </c>
      <c r="BK14" s="6" t="e">
        <f t="shared" si="57"/>
        <v>#N/A</v>
      </c>
      <c r="BL14" s="5" t="e">
        <f t="shared" si="58"/>
        <v>#N/A</v>
      </c>
      <c r="BM14" s="6" t="e">
        <f t="shared" si="59"/>
        <v>#N/A</v>
      </c>
      <c r="BN14" s="7" t="e">
        <f t="shared" si="60"/>
        <v>#N/A</v>
      </c>
      <c r="BO14" s="6" t="e">
        <f t="shared" si="61"/>
        <v>#N/A</v>
      </c>
      <c r="BP14" s="7" t="e">
        <f t="shared" si="62"/>
        <v>#N/A</v>
      </c>
      <c r="BQ14" s="6" t="e">
        <f t="shared" si="63"/>
        <v>#N/A</v>
      </c>
      <c r="BR14" s="5" t="e">
        <f t="shared" si="64"/>
        <v>#N/A</v>
      </c>
      <c r="BS14" s="6" t="e">
        <f t="shared" si="65"/>
        <v>#N/A</v>
      </c>
      <c r="BT14" s="7" t="e">
        <f t="shared" si="66"/>
        <v>#N/A</v>
      </c>
      <c r="BU14" s="6" t="e">
        <f t="shared" si="67"/>
        <v>#N/A</v>
      </c>
      <c r="BV14" s="7" t="e">
        <f t="shared" si="68"/>
        <v>#N/A</v>
      </c>
      <c r="BW14" s="6" t="e">
        <f t="shared" si="69"/>
        <v>#N/A</v>
      </c>
      <c r="BX14" s="5" t="e">
        <f t="shared" si="70"/>
        <v>#N/A</v>
      </c>
      <c r="BY14" s="6" t="e">
        <f t="shared" si="71"/>
        <v>#N/A</v>
      </c>
      <c r="BZ14" s="7" t="e">
        <f t="shared" si="72"/>
        <v>#N/A</v>
      </c>
      <c r="CA14" s="6" t="e">
        <f t="shared" si="73"/>
        <v>#N/A</v>
      </c>
      <c r="CB14" s="7" t="e">
        <f t="shared" si="74"/>
        <v>#N/A</v>
      </c>
      <c r="CC14" s="6" t="e">
        <f t="shared" si="75"/>
        <v>#N/A</v>
      </c>
      <c r="CD14" s="5" t="e">
        <f t="shared" si="76"/>
        <v>#N/A</v>
      </c>
      <c r="CE14" s="6" t="e">
        <f t="shared" si="77"/>
        <v>#N/A</v>
      </c>
      <c r="CF14" s="7" t="e">
        <f t="shared" si="78"/>
        <v>#N/A</v>
      </c>
      <c r="CG14" s="6" t="e">
        <f t="shared" si="79"/>
        <v>#N/A</v>
      </c>
      <c r="CH14" s="7" t="e">
        <f t="shared" si="80"/>
        <v>#N/A</v>
      </c>
      <c r="CI14" s="6" t="e">
        <f t="shared" si="81"/>
        <v>#N/A</v>
      </c>
      <c r="CJ14" s="5" t="e">
        <f t="shared" si="82"/>
        <v>#N/A</v>
      </c>
      <c r="CK14" s="6" t="e">
        <f t="shared" si="83"/>
        <v>#N/A</v>
      </c>
      <c r="CL14" s="7" t="e">
        <f t="shared" si="84"/>
        <v>#N/A</v>
      </c>
      <c r="CM14" s="6" t="e">
        <f t="shared" si="85"/>
        <v>#N/A</v>
      </c>
      <c r="CN14" s="7" t="e">
        <f t="shared" si="86"/>
        <v>#N/A</v>
      </c>
      <c r="CO14" s="6" t="e">
        <f t="shared" si="87"/>
        <v>#N/A</v>
      </c>
      <c r="CP14" s="5" t="e">
        <f t="shared" si="88"/>
        <v>#N/A</v>
      </c>
      <c r="CQ14" s="6" t="e">
        <f t="shared" si="89"/>
        <v>#N/A</v>
      </c>
      <c r="CR14" s="7" t="e">
        <f t="shared" si="90"/>
        <v>#N/A</v>
      </c>
      <c r="CS14" s="7" t="e">
        <f t="shared" si="90"/>
        <v>#N/A</v>
      </c>
      <c r="CT14" s="7" t="e">
        <f t="shared" si="90"/>
        <v>#N/A</v>
      </c>
      <c r="CU14" s="7" t="e">
        <f t="shared" si="90"/>
        <v>#N/A</v>
      </c>
      <c r="CV14" s="5" t="e">
        <f t="shared" si="91"/>
        <v>#N/A</v>
      </c>
      <c r="CW14" s="6" t="e">
        <f t="shared" si="92"/>
        <v>#N/A</v>
      </c>
      <c r="CY14" s="7" t="e">
        <v>#N/A</v>
      </c>
      <c r="CZ14" s="5" t="e">
        <f t="array" ref="CZ14">Summary_UpperBound</f>
        <v>#N/A</v>
      </c>
      <c r="DA14" s="6" t="e">
        <f t="shared" si="93"/>
        <v>#N/A</v>
      </c>
    </row>
    <row r="15" spans="1:105" x14ac:dyDescent="0.35">
      <c r="A15" s="7" t="str">
        <f>'Data Validation (Hide)'!B12</f>
        <v>Caseload 11</v>
      </c>
      <c r="B15" s="19" t="e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#N/A</v>
      </c>
      <c r="C15" s="30" t="e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#N/A</v>
      </c>
      <c r="E15" s="12" t="e" vm="2">
        <f t="shared" ca="1" si="94"/>
        <v>#VALUE!</v>
      </c>
      <c r="F15" s="7" t="e">
        <f t="shared" si="0"/>
        <v>#N/A</v>
      </c>
      <c r="G15" s="6" t="e">
        <f t="shared" si="1"/>
        <v>#N/A</v>
      </c>
      <c r="H15" s="7" t="e">
        <f t="shared" si="2"/>
        <v>#N/A</v>
      </c>
      <c r="I15" s="6" t="e">
        <f t="shared" si="3"/>
        <v>#N/A</v>
      </c>
      <c r="J15" s="5" t="e">
        <f t="shared" si="4"/>
        <v>#N/A</v>
      </c>
      <c r="K15" s="6" t="e">
        <f t="shared" si="5"/>
        <v>#N/A</v>
      </c>
      <c r="L15" s="7" t="e">
        <f t="shared" si="6"/>
        <v>#N/A</v>
      </c>
      <c r="M15" s="6" t="e">
        <f t="shared" si="7"/>
        <v>#N/A</v>
      </c>
      <c r="N15" s="7" t="e">
        <f t="shared" si="8"/>
        <v>#N/A</v>
      </c>
      <c r="O15" s="6" t="e">
        <f t="shared" si="9"/>
        <v>#N/A</v>
      </c>
      <c r="P15" s="5" t="e">
        <f t="shared" si="10"/>
        <v>#N/A</v>
      </c>
      <c r="Q15" s="6" t="e">
        <f t="shared" si="11"/>
        <v>#N/A</v>
      </c>
      <c r="R15" s="7" t="e">
        <f t="shared" si="12"/>
        <v>#N/A</v>
      </c>
      <c r="S15" s="6" t="e">
        <f t="shared" si="13"/>
        <v>#N/A</v>
      </c>
      <c r="T15" s="7" t="e">
        <f t="shared" si="14"/>
        <v>#N/A</v>
      </c>
      <c r="U15" s="6" t="e">
        <f t="shared" si="15"/>
        <v>#N/A</v>
      </c>
      <c r="V15" s="5" t="e">
        <f t="shared" si="16"/>
        <v>#N/A</v>
      </c>
      <c r="W15" s="6" t="e">
        <f t="shared" si="17"/>
        <v>#N/A</v>
      </c>
      <c r="X15" s="7" t="e">
        <f t="shared" si="18"/>
        <v>#N/A</v>
      </c>
      <c r="Y15" s="6" t="e">
        <f t="shared" si="19"/>
        <v>#N/A</v>
      </c>
      <c r="Z15" s="7" t="e">
        <f t="shared" si="20"/>
        <v>#N/A</v>
      </c>
      <c r="AA15" s="6" t="e">
        <f t="shared" si="21"/>
        <v>#N/A</v>
      </c>
      <c r="AB15" s="5" t="e">
        <f t="shared" si="22"/>
        <v>#N/A</v>
      </c>
      <c r="AC15" s="6" t="e">
        <f t="shared" si="23"/>
        <v>#N/A</v>
      </c>
      <c r="AD15" s="7" t="e">
        <f t="shared" si="24"/>
        <v>#N/A</v>
      </c>
      <c r="AE15" s="6" t="e">
        <f t="shared" si="25"/>
        <v>#N/A</v>
      </c>
      <c r="AF15" s="7" t="e">
        <f t="shared" si="26"/>
        <v>#N/A</v>
      </c>
      <c r="AG15" s="6" t="e">
        <f t="shared" si="27"/>
        <v>#N/A</v>
      </c>
      <c r="AH15" s="5" t="e">
        <f t="shared" si="28"/>
        <v>#N/A</v>
      </c>
      <c r="AI15" s="6" t="e">
        <f t="shared" si="29"/>
        <v>#N/A</v>
      </c>
      <c r="AJ15" s="7" t="e">
        <f t="shared" si="30"/>
        <v>#N/A</v>
      </c>
      <c r="AK15" s="6" t="e">
        <f t="shared" si="31"/>
        <v>#N/A</v>
      </c>
      <c r="AL15" s="7" t="e">
        <f t="shared" si="32"/>
        <v>#N/A</v>
      </c>
      <c r="AM15" s="6" t="e">
        <f t="shared" si="33"/>
        <v>#N/A</v>
      </c>
      <c r="AN15" s="5" t="e">
        <f t="shared" si="34"/>
        <v>#N/A</v>
      </c>
      <c r="AO15" s="6" t="e">
        <f t="shared" si="35"/>
        <v>#N/A</v>
      </c>
      <c r="AP15" s="7" t="e">
        <f t="shared" si="36"/>
        <v>#N/A</v>
      </c>
      <c r="AQ15" s="6" t="e">
        <f t="shared" si="37"/>
        <v>#N/A</v>
      </c>
      <c r="AR15" s="7" t="e">
        <f t="shared" si="38"/>
        <v>#N/A</v>
      </c>
      <c r="AS15" s="6" t="e">
        <f t="shared" si="39"/>
        <v>#N/A</v>
      </c>
      <c r="AT15" s="5" t="e">
        <f t="shared" si="40"/>
        <v>#N/A</v>
      </c>
      <c r="AU15" s="6" t="e">
        <f t="shared" si="41"/>
        <v>#N/A</v>
      </c>
      <c r="AV15" s="7" t="e">
        <f t="shared" si="42"/>
        <v>#N/A</v>
      </c>
      <c r="AW15" s="6" t="e">
        <f t="shared" si="43"/>
        <v>#N/A</v>
      </c>
      <c r="AX15" s="7" t="e">
        <f t="shared" si="44"/>
        <v>#N/A</v>
      </c>
      <c r="AY15" s="6" t="e">
        <f t="shared" si="45"/>
        <v>#N/A</v>
      </c>
      <c r="AZ15" s="5" t="e">
        <f t="shared" si="46"/>
        <v>#N/A</v>
      </c>
      <c r="BA15" s="6" t="e">
        <f t="shared" si="47"/>
        <v>#N/A</v>
      </c>
      <c r="BB15" s="7" t="e">
        <f t="shared" si="48"/>
        <v>#N/A</v>
      </c>
      <c r="BC15" s="6" t="e">
        <f t="shared" si="49"/>
        <v>#N/A</v>
      </c>
      <c r="BD15" s="7" t="e">
        <f t="shared" si="50"/>
        <v>#N/A</v>
      </c>
      <c r="BE15" s="6" t="e">
        <f t="shared" si="51"/>
        <v>#N/A</v>
      </c>
      <c r="BF15" s="5" t="e">
        <f t="shared" si="52"/>
        <v>#N/A</v>
      </c>
      <c r="BG15" s="6" t="e">
        <f t="shared" si="53"/>
        <v>#N/A</v>
      </c>
      <c r="BH15" s="7" t="e">
        <f t="shared" si="54"/>
        <v>#N/A</v>
      </c>
      <c r="BI15" s="6" t="e">
        <f t="shared" si="55"/>
        <v>#N/A</v>
      </c>
      <c r="BJ15" s="7" t="e">
        <f t="shared" si="56"/>
        <v>#N/A</v>
      </c>
      <c r="BK15" s="6" t="e">
        <f t="shared" si="57"/>
        <v>#N/A</v>
      </c>
      <c r="BL15" s="5" t="e">
        <f t="shared" si="58"/>
        <v>#N/A</v>
      </c>
      <c r="BM15" s="6" t="e">
        <f t="shared" si="59"/>
        <v>#N/A</v>
      </c>
      <c r="BN15" s="7" t="e">
        <f t="shared" si="60"/>
        <v>#N/A</v>
      </c>
      <c r="BO15" s="6" t="e">
        <f t="shared" si="61"/>
        <v>#N/A</v>
      </c>
      <c r="BP15" s="7" t="e">
        <f t="shared" si="62"/>
        <v>#N/A</v>
      </c>
      <c r="BQ15" s="6" t="e">
        <f t="shared" si="63"/>
        <v>#N/A</v>
      </c>
      <c r="BR15" s="5" t="e">
        <f t="shared" si="64"/>
        <v>#N/A</v>
      </c>
      <c r="BS15" s="6" t="e">
        <f t="shared" si="65"/>
        <v>#N/A</v>
      </c>
      <c r="BT15" s="7" t="e">
        <f t="shared" si="66"/>
        <v>#N/A</v>
      </c>
      <c r="BU15" s="6" t="e">
        <f t="shared" si="67"/>
        <v>#N/A</v>
      </c>
      <c r="BV15" s="7" t="e">
        <f t="shared" si="68"/>
        <v>#N/A</v>
      </c>
      <c r="BW15" s="6" t="e">
        <f t="shared" si="69"/>
        <v>#N/A</v>
      </c>
      <c r="BX15" s="5" t="e">
        <f t="shared" si="70"/>
        <v>#N/A</v>
      </c>
      <c r="BY15" s="6" t="e">
        <f t="shared" si="71"/>
        <v>#N/A</v>
      </c>
      <c r="BZ15" s="7" t="e">
        <f t="shared" si="72"/>
        <v>#N/A</v>
      </c>
      <c r="CA15" s="6" t="e">
        <f t="shared" si="73"/>
        <v>#N/A</v>
      </c>
      <c r="CB15" s="7" t="e">
        <f t="shared" si="74"/>
        <v>#N/A</v>
      </c>
      <c r="CC15" s="6" t="e">
        <f t="shared" si="75"/>
        <v>#N/A</v>
      </c>
      <c r="CD15" s="5" t="e">
        <f t="shared" si="76"/>
        <v>#N/A</v>
      </c>
      <c r="CE15" s="6" t="e">
        <f t="shared" si="77"/>
        <v>#N/A</v>
      </c>
      <c r="CF15" s="7" t="e">
        <f t="shared" si="78"/>
        <v>#N/A</v>
      </c>
      <c r="CG15" s="6" t="e">
        <f t="shared" si="79"/>
        <v>#N/A</v>
      </c>
      <c r="CH15" s="7" t="e">
        <f t="shared" si="80"/>
        <v>#N/A</v>
      </c>
      <c r="CI15" s="6" t="e">
        <f t="shared" si="81"/>
        <v>#N/A</v>
      </c>
      <c r="CJ15" s="5" t="e">
        <f t="shared" si="82"/>
        <v>#N/A</v>
      </c>
      <c r="CK15" s="6" t="e">
        <f t="shared" si="83"/>
        <v>#N/A</v>
      </c>
      <c r="CL15" s="7" t="e">
        <f t="shared" si="84"/>
        <v>#N/A</v>
      </c>
      <c r="CM15" s="6" t="e">
        <f t="shared" si="85"/>
        <v>#N/A</v>
      </c>
      <c r="CN15" s="7" t="e">
        <f t="shared" si="86"/>
        <v>#N/A</v>
      </c>
      <c r="CO15" s="6" t="e">
        <f t="shared" si="87"/>
        <v>#N/A</v>
      </c>
      <c r="CP15" s="5" t="e">
        <f t="shared" si="88"/>
        <v>#N/A</v>
      </c>
      <c r="CQ15" s="6" t="e">
        <f t="shared" si="89"/>
        <v>#N/A</v>
      </c>
      <c r="CR15" s="7" t="e">
        <f t="shared" si="90"/>
        <v>#N/A</v>
      </c>
      <c r="CS15" s="7" t="e">
        <f t="shared" si="90"/>
        <v>#N/A</v>
      </c>
      <c r="CT15" s="7" t="e">
        <f t="shared" si="90"/>
        <v>#N/A</v>
      </c>
      <c r="CU15" s="7" t="e">
        <f t="shared" si="90"/>
        <v>#N/A</v>
      </c>
      <c r="CV15" s="5" t="e">
        <f t="shared" si="91"/>
        <v>#N/A</v>
      </c>
      <c r="CW15" s="6" t="e">
        <f t="shared" si="92"/>
        <v>#N/A</v>
      </c>
      <c r="CY15" s="7" t="e">
        <v>#N/A</v>
      </c>
      <c r="CZ15" s="5" t="e">
        <f t="array" ref="CZ15">Summary_UpperBound</f>
        <v>#N/A</v>
      </c>
      <c r="DA15" s="6" t="e">
        <f t="shared" si="93"/>
        <v>#N/A</v>
      </c>
    </row>
    <row r="16" spans="1:105" x14ac:dyDescent="0.35">
      <c r="A16" s="7" t="str">
        <f>'Data Validation (Hide)'!B13</f>
        <v>Caseload 12</v>
      </c>
      <c r="B16" s="19" t="e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#N/A</v>
      </c>
      <c r="C16" s="30" t="e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#N/A</v>
      </c>
      <c r="E16" s="12" t="e" vm="2">
        <f t="shared" ca="1" si="94"/>
        <v>#VALUE!</v>
      </c>
      <c r="F16" s="7" t="e">
        <f t="shared" si="0"/>
        <v>#N/A</v>
      </c>
      <c r="G16" s="6" t="e">
        <f t="shared" si="1"/>
        <v>#N/A</v>
      </c>
      <c r="H16" s="7" t="e">
        <f t="shared" si="2"/>
        <v>#N/A</v>
      </c>
      <c r="I16" s="6" t="e">
        <f t="shared" si="3"/>
        <v>#N/A</v>
      </c>
      <c r="J16" s="5" t="e">
        <f t="shared" si="4"/>
        <v>#N/A</v>
      </c>
      <c r="K16" s="6" t="e">
        <f t="shared" si="5"/>
        <v>#N/A</v>
      </c>
      <c r="L16" s="7" t="e">
        <f t="shared" si="6"/>
        <v>#N/A</v>
      </c>
      <c r="M16" s="6" t="e">
        <f t="shared" si="7"/>
        <v>#N/A</v>
      </c>
      <c r="N16" s="7" t="e">
        <f t="shared" si="8"/>
        <v>#N/A</v>
      </c>
      <c r="O16" s="6" t="e">
        <f t="shared" si="9"/>
        <v>#N/A</v>
      </c>
      <c r="P16" s="5" t="e">
        <f t="shared" si="10"/>
        <v>#N/A</v>
      </c>
      <c r="Q16" s="6" t="e">
        <f t="shared" si="11"/>
        <v>#N/A</v>
      </c>
      <c r="R16" s="7" t="e">
        <f t="shared" si="12"/>
        <v>#N/A</v>
      </c>
      <c r="S16" s="6" t="e">
        <f t="shared" si="13"/>
        <v>#N/A</v>
      </c>
      <c r="T16" s="7" t="e">
        <f t="shared" si="14"/>
        <v>#N/A</v>
      </c>
      <c r="U16" s="6" t="e">
        <f t="shared" si="15"/>
        <v>#N/A</v>
      </c>
      <c r="V16" s="5" t="e">
        <f t="shared" si="16"/>
        <v>#N/A</v>
      </c>
      <c r="W16" s="6" t="e">
        <f t="shared" si="17"/>
        <v>#N/A</v>
      </c>
      <c r="X16" s="7" t="e">
        <f t="shared" si="18"/>
        <v>#N/A</v>
      </c>
      <c r="Y16" s="6" t="e">
        <f t="shared" si="19"/>
        <v>#N/A</v>
      </c>
      <c r="Z16" s="7" t="e">
        <f t="shared" si="20"/>
        <v>#N/A</v>
      </c>
      <c r="AA16" s="6" t="e">
        <f t="shared" si="21"/>
        <v>#N/A</v>
      </c>
      <c r="AB16" s="5" t="e">
        <f t="shared" si="22"/>
        <v>#N/A</v>
      </c>
      <c r="AC16" s="6" t="e">
        <f t="shared" si="23"/>
        <v>#N/A</v>
      </c>
      <c r="AD16" s="7" t="e">
        <f t="shared" si="24"/>
        <v>#N/A</v>
      </c>
      <c r="AE16" s="6" t="e">
        <f t="shared" si="25"/>
        <v>#N/A</v>
      </c>
      <c r="AF16" s="7" t="e">
        <f t="shared" si="26"/>
        <v>#N/A</v>
      </c>
      <c r="AG16" s="6" t="e">
        <f t="shared" si="27"/>
        <v>#N/A</v>
      </c>
      <c r="AH16" s="5" t="e">
        <f t="shared" si="28"/>
        <v>#N/A</v>
      </c>
      <c r="AI16" s="6" t="e">
        <f t="shared" si="29"/>
        <v>#N/A</v>
      </c>
      <c r="AJ16" s="7" t="e">
        <f t="shared" si="30"/>
        <v>#N/A</v>
      </c>
      <c r="AK16" s="6" t="e">
        <f t="shared" si="31"/>
        <v>#N/A</v>
      </c>
      <c r="AL16" s="7" t="e">
        <f t="shared" si="32"/>
        <v>#N/A</v>
      </c>
      <c r="AM16" s="6" t="e">
        <f t="shared" si="33"/>
        <v>#N/A</v>
      </c>
      <c r="AN16" s="5" t="e">
        <f t="shared" si="34"/>
        <v>#N/A</v>
      </c>
      <c r="AO16" s="6" t="e">
        <f t="shared" si="35"/>
        <v>#N/A</v>
      </c>
      <c r="AP16" s="7" t="e">
        <f t="shared" si="36"/>
        <v>#N/A</v>
      </c>
      <c r="AQ16" s="6" t="e">
        <f t="shared" si="37"/>
        <v>#N/A</v>
      </c>
      <c r="AR16" s="7" t="e">
        <f t="shared" si="38"/>
        <v>#N/A</v>
      </c>
      <c r="AS16" s="6" t="e">
        <f t="shared" si="39"/>
        <v>#N/A</v>
      </c>
      <c r="AT16" s="5" t="e">
        <f t="shared" si="40"/>
        <v>#N/A</v>
      </c>
      <c r="AU16" s="6" t="e">
        <f t="shared" si="41"/>
        <v>#N/A</v>
      </c>
      <c r="AV16" s="7" t="e">
        <f t="shared" si="42"/>
        <v>#N/A</v>
      </c>
      <c r="AW16" s="6" t="e">
        <f t="shared" si="43"/>
        <v>#N/A</v>
      </c>
      <c r="AX16" s="7" t="e">
        <f t="shared" si="44"/>
        <v>#N/A</v>
      </c>
      <c r="AY16" s="6" t="e">
        <f t="shared" si="45"/>
        <v>#N/A</v>
      </c>
      <c r="AZ16" s="5" t="e">
        <f t="shared" si="46"/>
        <v>#N/A</v>
      </c>
      <c r="BA16" s="6" t="e">
        <f t="shared" si="47"/>
        <v>#N/A</v>
      </c>
      <c r="BB16" s="7" t="e">
        <f t="shared" si="48"/>
        <v>#N/A</v>
      </c>
      <c r="BC16" s="6" t="e">
        <f t="shared" si="49"/>
        <v>#N/A</v>
      </c>
      <c r="BD16" s="7" t="e">
        <f t="shared" si="50"/>
        <v>#N/A</v>
      </c>
      <c r="BE16" s="6" t="e">
        <f t="shared" si="51"/>
        <v>#N/A</v>
      </c>
      <c r="BF16" s="5" t="e">
        <f t="shared" si="52"/>
        <v>#N/A</v>
      </c>
      <c r="BG16" s="6" t="e">
        <f t="shared" si="53"/>
        <v>#N/A</v>
      </c>
      <c r="BH16" s="7" t="e">
        <f t="shared" si="54"/>
        <v>#N/A</v>
      </c>
      <c r="BI16" s="6" t="e">
        <f t="shared" si="55"/>
        <v>#N/A</v>
      </c>
      <c r="BJ16" s="7" t="e">
        <f t="shared" si="56"/>
        <v>#N/A</v>
      </c>
      <c r="BK16" s="6" t="e">
        <f t="shared" si="57"/>
        <v>#N/A</v>
      </c>
      <c r="BL16" s="5" t="e">
        <f t="shared" si="58"/>
        <v>#N/A</v>
      </c>
      <c r="BM16" s="6" t="e">
        <f t="shared" si="59"/>
        <v>#N/A</v>
      </c>
      <c r="BN16" s="7" t="e">
        <f t="shared" si="60"/>
        <v>#N/A</v>
      </c>
      <c r="BO16" s="6" t="e">
        <f t="shared" si="61"/>
        <v>#N/A</v>
      </c>
      <c r="BP16" s="7" t="e">
        <f t="shared" si="62"/>
        <v>#N/A</v>
      </c>
      <c r="BQ16" s="6" t="e">
        <f t="shared" si="63"/>
        <v>#N/A</v>
      </c>
      <c r="BR16" s="5" t="e">
        <f t="shared" si="64"/>
        <v>#N/A</v>
      </c>
      <c r="BS16" s="6" t="e">
        <f t="shared" si="65"/>
        <v>#N/A</v>
      </c>
      <c r="BT16" s="7" t="e">
        <f t="shared" si="66"/>
        <v>#N/A</v>
      </c>
      <c r="BU16" s="6" t="e">
        <f t="shared" si="67"/>
        <v>#N/A</v>
      </c>
      <c r="BV16" s="7" t="e">
        <f t="shared" si="68"/>
        <v>#N/A</v>
      </c>
      <c r="BW16" s="6" t="e">
        <f t="shared" si="69"/>
        <v>#N/A</v>
      </c>
      <c r="BX16" s="5" t="e">
        <f t="shared" si="70"/>
        <v>#N/A</v>
      </c>
      <c r="BY16" s="6" t="e">
        <f t="shared" si="71"/>
        <v>#N/A</v>
      </c>
      <c r="BZ16" s="7" t="e">
        <f t="shared" si="72"/>
        <v>#N/A</v>
      </c>
      <c r="CA16" s="6" t="e">
        <f t="shared" si="73"/>
        <v>#N/A</v>
      </c>
      <c r="CB16" s="7" t="e">
        <f t="shared" si="74"/>
        <v>#N/A</v>
      </c>
      <c r="CC16" s="6" t="e">
        <f t="shared" si="75"/>
        <v>#N/A</v>
      </c>
      <c r="CD16" s="5" t="e">
        <f t="shared" si="76"/>
        <v>#N/A</v>
      </c>
      <c r="CE16" s="6" t="e">
        <f t="shared" si="77"/>
        <v>#N/A</v>
      </c>
      <c r="CF16" s="7" t="e">
        <f t="shared" si="78"/>
        <v>#N/A</v>
      </c>
      <c r="CG16" s="6" t="e">
        <f t="shared" si="79"/>
        <v>#N/A</v>
      </c>
      <c r="CH16" s="7" t="e">
        <f t="shared" si="80"/>
        <v>#N/A</v>
      </c>
      <c r="CI16" s="6" t="e">
        <f t="shared" si="81"/>
        <v>#N/A</v>
      </c>
      <c r="CJ16" s="5" t="e">
        <f t="shared" si="82"/>
        <v>#N/A</v>
      </c>
      <c r="CK16" s="6" t="e">
        <f t="shared" si="83"/>
        <v>#N/A</v>
      </c>
      <c r="CL16" s="7" t="e">
        <f t="shared" si="84"/>
        <v>#N/A</v>
      </c>
      <c r="CM16" s="6" t="e">
        <f t="shared" si="85"/>
        <v>#N/A</v>
      </c>
      <c r="CN16" s="7" t="e">
        <f t="shared" si="86"/>
        <v>#N/A</v>
      </c>
      <c r="CO16" s="6" t="e">
        <f t="shared" si="87"/>
        <v>#N/A</v>
      </c>
      <c r="CP16" s="5" t="e">
        <f t="shared" si="88"/>
        <v>#N/A</v>
      </c>
      <c r="CQ16" s="6" t="e">
        <f t="shared" si="89"/>
        <v>#N/A</v>
      </c>
      <c r="CR16" s="7" t="e">
        <f t="shared" si="90"/>
        <v>#N/A</v>
      </c>
      <c r="CS16" s="7" t="e">
        <f t="shared" si="90"/>
        <v>#N/A</v>
      </c>
      <c r="CT16" s="7" t="e">
        <f t="shared" si="90"/>
        <v>#N/A</v>
      </c>
      <c r="CU16" s="7" t="e">
        <f t="shared" si="90"/>
        <v>#N/A</v>
      </c>
      <c r="CV16" s="5" t="e">
        <f t="shared" si="91"/>
        <v>#N/A</v>
      </c>
      <c r="CW16" s="6" t="e">
        <f t="shared" si="92"/>
        <v>#N/A</v>
      </c>
      <c r="CY16" s="7" t="e">
        <v>#N/A</v>
      </c>
      <c r="CZ16" s="5" t="e">
        <f t="array" ref="CZ16">Summary_UpperBound</f>
        <v>#N/A</v>
      </c>
      <c r="DA16" s="6" t="e">
        <f t="shared" si="93"/>
        <v>#N/A</v>
      </c>
    </row>
    <row r="17" spans="1:105" x14ac:dyDescent="0.35">
      <c r="A17" s="7" t="str">
        <f>'Data Validation (Hide)'!B14</f>
        <v>Caseload 13</v>
      </c>
      <c r="B17" s="19" t="e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#N/A</v>
      </c>
      <c r="C17" s="30" t="e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#N/A</v>
      </c>
      <c r="E17" s="12" t="e" vm="2">
        <f t="shared" ca="1" si="94"/>
        <v>#VALUE!</v>
      </c>
      <c r="F17" s="7" t="e">
        <f t="shared" si="0"/>
        <v>#N/A</v>
      </c>
      <c r="G17" s="6" t="e">
        <f t="shared" si="1"/>
        <v>#N/A</v>
      </c>
      <c r="H17" s="7" t="e">
        <f t="shared" si="2"/>
        <v>#N/A</v>
      </c>
      <c r="I17" s="6" t="e">
        <f t="shared" si="3"/>
        <v>#N/A</v>
      </c>
      <c r="J17" s="5" t="e">
        <f t="shared" si="4"/>
        <v>#N/A</v>
      </c>
      <c r="K17" s="6" t="e">
        <f t="shared" si="5"/>
        <v>#N/A</v>
      </c>
      <c r="L17" s="7" t="e">
        <f t="shared" si="6"/>
        <v>#N/A</v>
      </c>
      <c r="M17" s="6" t="e">
        <f t="shared" si="7"/>
        <v>#N/A</v>
      </c>
      <c r="N17" s="7" t="e">
        <f t="shared" si="8"/>
        <v>#N/A</v>
      </c>
      <c r="O17" s="6" t="e">
        <f t="shared" si="9"/>
        <v>#N/A</v>
      </c>
      <c r="P17" s="5" t="e">
        <f t="shared" si="10"/>
        <v>#N/A</v>
      </c>
      <c r="Q17" s="6" t="e">
        <f t="shared" si="11"/>
        <v>#N/A</v>
      </c>
      <c r="R17" s="7" t="e">
        <f t="shared" si="12"/>
        <v>#N/A</v>
      </c>
      <c r="S17" s="6" t="e">
        <f t="shared" si="13"/>
        <v>#N/A</v>
      </c>
      <c r="T17" s="7" t="e">
        <f t="shared" si="14"/>
        <v>#N/A</v>
      </c>
      <c r="U17" s="6" t="e">
        <f t="shared" si="15"/>
        <v>#N/A</v>
      </c>
      <c r="V17" s="5" t="e">
        <f t="shared" si="16"/>
        <v>#N/A</v>
      </c>
      <c r="W17" s="6" t="e">
        <f t="shared" si="17"/>
        <v>#N/A</v>
      </c>
      <c r="X17" s="7" t="e">
        <f t="shared" si="18"/>
        <v>#N/A</v>
      </c>
      <c r="Y17" s="6" t="e">
        <f t="shared" si="19"/>
        <v>#N/A</v>
      </c>
      <c r="Z17" s="7" t="e">
        <f t="shared" si="20"/>
        <v>#N/A</v>
      </c>
      <c r="AA17" s="6" t="e">
        <f t="shared" si="21"/>
        <v>#N/A</v>
      </c>
      <c r="AB17" s="5" t="e">
        <f t="shared" si="22"/>
        <v>#N/A</v>
      </c>
      <c r="AC17" s="6" t="e">
        <f t="shared" si="23"/>
        <v>#N/A</v>
      </c>
      <c r="AD17" s="7" t="e">
        <f t="shared" si="24"/>
        <v>#N/A</v>
      </c>
      <c r="AE17" s="6" t="e">
        <f t="shared" si="25"/>
        <v>#N/A</v>
      </c>
      <c r="AF17" s="7" t="e">
        <f t="shared" si="26"/>
        <v>#N/A</v>
      </c>
      <c r="AG17" s="6" t="e">
        <f t="shared" si="27"/>
        <v>#N/A</v>
      </c>
      <c r="AH17" s="5" t="e">
        <f t="shared" si="28"/>
        <v>#N/A</v>
      </c>
      <c r="AI17" s="6" t="e">
        <f t="shared" si="29"/>
        <v>#N/A</v>
      </c>
      <c r="AJ17" s="7" t="e">
        <f t="shared" si="30"/>
        <v>#N/A</v>
      </c>
      <c r="AK17" s="6" t="e">
        <f t="shared" si="31"/>
        <v>#N/A</v>
      </c>
      <c r="AL17" s="7" t="e">
        <f t="shared" si="32"/>
        <v>#N/A</v>
      </c>
      <c r="AM17" s="6" t="e">
        <f t="shared" si="33"/>
        <v>#N/A</v>
      </c>
      <c r="AN17" s="5" t="e">
        <f t="shared" si="34"/>
        <v>#N/A</v>
      </c>
      <c r="AO17" s="6" t="e">
        <f t="shared" si="35"/>
        <v>#N/A</v>
      </c>
      <c r="AP17" s="7" t="e">
        <f t="shared" si="36"/>
        <v>#N/A</v>
      </c>
      <c r="AQ17" s="6" t="e">
        <f t="shared" si="37"/>
        <v>#N/A</v>
      </c>
      <c r="AR17" s="7" t="e">
        <f t="shared" si="38"/>
        <v>#N/A</v>
      </c>
      <c r="AS17" s="6" t="e">
        <f t="shared" si="39"/>
        <v>#N/A</v>
      </c>
      <c r="AT17" s="5" t="e">
        <f t="shared" si="40"/>
        <v>#N/A</v>
      </c>
      <c r="AU17" s="6" t="e">
        <f t="shared" si="41"/>
        <v>#N/A</v>
      </c>
      <c r="AV17" s="7" t="e">
        <f t="shared" si="42"/>
        <v>#N/A</v>
      </c>
      <c r="AW17" s="6" t="e">
        <f t="shared" si="43"/>
        <v>#N/A</v>
      </c>
      <c r="AX17" s="7" t="e">
        <f t="shared" si="44"/>
        <v>#N/A</v>
      </c>
      <c r="AY17" s="6" t="e">
        <f t="shared" si="45"/>
        <v>#N/A</v>
      </c>
      <c r="AZ17" s="5" t="e">
        <f t="shared" si="46"/>
        <v>#N/A</v>
      </c>
      <c r="BA17" s="6" t="e">
        <f t="shared" si="47"/>
        <v>#N/A</v>
      </c>
      <c r="BB17" s="7" t="e">
        <f t="shared" si="48"/>
        <v>#N/A</v>
      </c>
      <c r="BC17" s="6" t="e">
        <f t="shared" si="49"/>
        <v>#N/A</v>
      </c>
      <c r="BD17" s="7" t="e">
        <f t="shared" si="50"/>
        <v>#N/A</v>
      </c>
      <c r="BE17" s="6" t="e">
        <f t="shared" si="51"/>
        <v>#N/A</v>
      </c>
      <c r="BF17" s="5" t="e">
        <f t="shared" si="52"/>
        <v>#N/A</v>
      </c>
      <c r="BG17" s="6" t="e">
        <f t="shared" si="53"/>
        <v>#N/A</v>
      </c>
      <c r="BH17" s="7" t="e">
        <f t="shared" si="54"/>
        <v>#N/A</v>
      </c>
      <c r="BI17" s="6" t="e">
        <f t="shared" si="55"/>
        <v>#N/A</v>
      </c>
      <c r="BJ17" s="7" t="e">
        <f t="shared" si="56"/>
        <v>#N/A</v>
      </c>
      <c r="BK17" s="6" t="e">
        <f t="shared" si="57"/>
        <v>#N/A</v>
      </c>
      <c r="BL17" s="5" t="e">
        <f t="shared" si="58"/>
        <v>#N/A</v>
      </c>
      <c r="BM17" s="6" t="e">
        <f t="shared" si="59"/>
        <v>#N/A</v>
      </c>
      <c r="BN17" s="7" t="e">
        <f t="shared" si="60"/>
        <v>#N/A</v>
      </c>
      <c r="BO17" s="6" t="e">
        <f t="shared" si="61"/>
        <v>#N/A</v>
      </c>
      <c r="BP17" s="7" t="e">
        <f t="shared" si="62"/>
        <v>#N/A</v>
      </c>
      <c r="BQ17" s="6" t="e">
        <f t="shared" si="63"/>
        <v>#N/A</v>
      </c>
      <c r="BR17" s="5" t="e">
        <f t="shared" si="64"/>
        <v>#N/A</v>
      </c>
      <c r="BS17" s="6" t="e">
        <f t="shared" si="65"/>
        <v>#N/A</v>
      </c>
      <c r="BT17" s="7" t="e">
        <f t="shared" si="66"/>
        <v>#N/A</v>
      </c>
      <c r="BU17" s="6" t="e">
        <f t="shared" si="67"/>
        <v>#N/A</v>
      </c>
      <c r="BV17" s="7" t="e">
        <f t="shared" si="68"/>
        <v>#N/A</v>
      </c>
      <c r="BW17" s="6" t="e">
        <f t="shared" si="69"/>
        <v>#N/A</v>
      </c>
      <c r="BX17" s="5" t="e">
        <f t="shared" si="70"/>
        <v>#N/A</v>
      </c>
      <c r="BY17" s="6" t="e">
        <f t="shared" si="71"/>
        <v>#N/A</v>
      </c>
      <c r="BZ17" s="7" t="e">
        <f t="shared" si="72"/>
        <v>#N/A</v>
      </c>
      <c r="CA17" s="6" t="e">
        <f t="shared" si="73"/>
        <v>#N/A</v>
      </c>
      <c r="CB17" s="7" t="e">
        <f t="shared" si="74"/>
        <v>#N/A</v>
      </c>
      <c r="CC17" s="6" t="e">
        <f t="shared" si="75"/>
        <v>#N/A</v>
      </c>
      <c r="CD17" s="5" t="e">
        <f t="shared" si="76"/>
        <v>#N/A</v>
      </c>
      <c r="CE17" s="6" t="e">
        <f t="shared" si="77"/>
        <v>#N/A</v>
      </c>
      <c r="CF17" s="7" t="e">
        <f t="shared" si="78"/>
        <v>#N/A</v>
      </c>
      <c r="CG17" s="6" t="e">
        <f t="shared" si="79"/>
        <v>#N/A</v>
      </c>
      <c r="CH17" s="7" t="e">
        <f t="shared" si="80"/>
        <v>#N/A</v>
      </c>
      <c r="CI17" s="6" t="e">
        <f t="shared" si="81"/>
        <v>#N/A</v>
      </c>
      <c r="CJ17" s="5" t="e">
        <f t="shared" si="82"/>
        <v>#N/A</v>
      </c>
      <c r="CK17" s="6" t="e">
        <f t="shared" si="83"/>
        <v>#N/A</v>
      </c>
      <c r="CL17" s="7" t="e">
        <f t="shared" si="84"/>
        <v>#N/A</v>
      </c>
      <c r="CM17" s="6" t="e">
        <f t="shared" si="85"/>
        <v>#N/A</v>
      </c>
      <c r="CN17" s="7" t="e">
        <f t="shared" si="86"/>
        <v>#N/A</v>
      </c>
      <c r="CO17" s="6" t="e">
        <f t="shared" si="87"/>
        <v>#N/A</v>
      </c>
      <c r="CP17" s="5" t="e">
        <f t="shared" si="88"/>
        <v>#N/A</v>
      </c>
      <c r="CQ17" s="6" t="e">
        <f t="shared" si="89"/>
        <v>#N/A</v>
      </c>
      <c r="CR17" s="7" t="e">
        <f t="shared" si="90"/>
        <v>#N/A</v>
      </c>
      <c r="CS17" s="7" t="e">
        <f t="shared" si="90"/>
        <v>#N/A</v>
      </c>
      <c r="CT17" s="7" t="e">
        <f t="shared" si="90"/>
        <v>#N/A</v>
      </c>
      <c r="CU17" s="7" t="e">
        <f t="shared" si="90"/>
        <v>#N/A</v>
      </c>
      <c r="CV17" s="5" t="e">
        <f t="shared" si="91"/>
        <v>#N/A</v>
      </c>
      <c r="CW17" s="6" t="e">
        <f t="shared" si="92"/>
        <v>#N/A</v>
      </c>
      <c r="CY17" s="7" t="e">
        <v>#N/A</v>
      </c>
      <c r="CZ17" s="5" t="e">
        <f t="array" ref="CZ17">Summary_UpperBound</f>
        <v>#N/A</v>
      </c>
      <c r="DA17" s="6" t="e">
        <f t="shared" si="93"/>
        <v>#N/A</v>
      </c>
    </row>
    <row r="18" spans="1:105" x14ac:dyDescent="0.35">
      <c r="A18" s="7" t="str">
        <f>'Data Validation (Hide)'!B15</f>
        <v>Caseload 14</v>
      </c>
      <c r="B18" s="19" t="e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#N/A</v>
      </c>
      <c r="C18" s="30" t="e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#N/A</v>
      </c>
      <c r="E18" s="12" t="e" vm="2">
        <f t="shared" ca="1" si="94"/>
        <v>#VALUE!</v>
      </c>
      <c r="F18" s="7" t="e">
        <f t="shared" si="0"/>
        <v>#N/A</v>
      </c>
      <c r="G18" s="6" t="e">
        <f t="shared" si="1"/>
        <v>#N/A</v>
      </c>
      <c r="H18" s="7" t="e">
        <f t="shared" si="2"/>
        <v>#N/A</v>
      </c>
      <c r="I18" s="6" t="e">
        <f t="shared" si="3"/>
        <v>#N/A</v>
      </c>
      <c r="J18" s="5" t="e">
        <f t="shared" si="4"/>
        <v>#N/A</v>
      </c>
      <c r="K18" s="6" t="e">
        <f t="shared" si="5"/>
        <v>#N/A</v>
      </c>
      <c r="L18" s="7" t="e">
        <f t="shared" si="6"/>
        <v>#N/A</v>
      </c>
      <c r="M18" s="6" t="e">
        <f t="shared" si="7"/>
        <v>#N/A</v>
      </c>
      <c r="N18" s="7" t="e">
        <f t="shared" si="8"/>
        <v>#N/A</v>
      </c>
      <c r="O18" s="6" t="e">
        <f t="shared" si="9"/>
        <v>#N/A</v>
      </c>
      <c r="P18" s="5" t="e">
        <f t="shared" si="10"/>
        <v>#N/A</v>
      </c>
      <c r="Q18" s="6" t="e">
        <f t="shared" si="11"/>
        <v>#N/A</v>
      </c>
      <c r="R18" s="7" t="e">
        <f t="shared" si="12"/>
        <v>#N/A</v>
      </c>
      <c r="S18" s="6" t="e">
        <f t="shared" si="13"/>
        <v>#N/A</v>
      </c>
      <c r="T18" s="7" t="e">
        <f t="shared" si="14"/>
        <v>#N/A</v>
      </c>
      <c r="U18" s="6" t="e">
        <f t="shared" si="15"/>
        <v>#N/A</v>
      </c>
      <c r="V18" s="5" t="e">
        <f t="shared" si="16"/>
        <v>#N/A</v>
      </c>
      <c r="W18" s="6" t="e">
        <f t="shared" si="17"/>
        <v>#N/A</v>
      </c>
      <c r="X18" s="7" t="e">
        <f t="shared" si="18"/>
        <v>#N/A</v>
      </c>
      <c r="Y18" s="6" t="e">
        <f t="shared" si="19"/>
        <v>#N/A</v>
      </c>
      <c r="Z18" s="7" t="e">
        <f t="shared" si="20"/>
        <v>#N/A</v>
      </c>
      <c r="AA18" s="6" t="e">
        <f t="shared" si="21"/>
        <v>#N/A</v>
      </c>
      <c r="AB18" s="5" t="e">
        <f t="shared" si="22"/>
        <v>#N/A</v>
      </c>
      <c r="AC18" s="6" t="e">
        <f t="shared" si="23"/>
        <v>#N/A</v>
      </c>
      <c r="AD18" s="7" t="e">
        <f t="shared" si="24"/>
        <v>#N/A</v>
      </c>
      <c r="AE18" s="6" t="e">
        <f t="shared" si="25"/>
        <v>#N/A</v>
      </c>
      <c r="AF18" s="7" t="e">
        <f t="shared" si="26"/>
        <v>#N/A</v>
      </c>
      <c r="AG18" s="6" t="e">
        <f t="shared" si="27"/>
        <v>#N/A</v>
      </c>
      <c r="AH18" s="5" t="e">
        <f t="shared" si="28"/>
        <v>#N/A</v>
      </c>
      <c r="AI18" s="6" t="e">
        <f t="shared" si="29"/>
        <v>#N/A</v>
      </c>
      <c r="AJ18" s="7" t="e">
        <f t="shared" si="30"/>
        <v>#N/A</v>
      </c>
      <c r="AK18" s="6" t="e">
        <f t="shared" si="31"/>
        <v>#N/A</v>
      </c>
      <c r="AL18" s="7" t="e">
        <f t="shared" si="32"/>
        <v>#N/A</v>
      </c>
      <c r="AM18" s="6" t="e">
        <f t="shared" si="33"/>
        <v>#N/A</v>
      </c>
      <c r="AN18" s="5" t="e">
        <f t="shared" si="34"/>
        <v>#N/A</v>
      </c>
      <c r="AO18" s="6" t="e">
        <f t="shared" si="35"/>
        <v>#N/A</v>
      </c>
      <c r="AP18" s="7" t="e">
        <f t="shared" si="36"/>
        <v>#N/A</v>
      </c>
      <c r="AQ18" s="6" t="e">
        <f t="shared" si="37"/>
        <v>#N/A</v>
      </c>
      <c r="AR18" s="7" t="e">
        <f t="shared" si="38"/>
        <v>#N/A</v>
      </c>
      <c r="AS18" s="6" t="e">
        <f t="shared" si="39"/>
        <v>#N/A</v>
      </c>
      <c r="AT18" s="5" t="e">
        <f t="shared" si="40"/>
        <v>#N/A</v>
      </c>
      <c r="AU18" s="6" t="e">
        <f t="shared" si="41"/>
        <v>#N/A</v>
      </c>
      <c r="AV18" s="7" t="e">
        <f t="shared" si="42"/>
        <v>#N/A</v>
      </c>
      <c r="AW18" s="6" t="e">
        <f t="shared" si="43"/>
        <v>#N/A</v>
      </c>
      <c r="AX18" s="7" t="e">
        <f t="shared" si="44"/>
        <v>#N/A</v>
      </c>
      <c r="AY18" s="6" t="e">
        <f t="shared" si="45"/>
        <v>#N/A</v>
      </c>
      <c r="AZ18" s="5" t="e">
        <f t="shared" si="46"/>
        <v>#N/A</v>
      </c>
      <c r="BA18" s="6" t="e">
        <f t="shared" si="47"/>
        <v>#N/A</v>
      </c>
      <c r="BB18" s="7" t="e">
        <f t="shared" si="48"/>
        <v>#N/A</v>
      </c>
      <c r="BC18" s="6" t="e">
        <f t="shared" si="49"/>
        <v>#N/A</v>
      </c>
      <c r="BD18" s="7" t="e">
        <f t="shared" si="50"/>
        <v>#N/A</v>
      </c>
      <c r="BE18" s="6" t="e">
        <f t="shared" si="51"/>
        <v>#N/A</v>
      </c>
      <c r="BF18" s="5" t="e">
        <f t="shared" si="52"/>
        <v>#N/A</v>
      </c>
      <c r="BG18" s="6" t="e">
        <f t="shared" si="53"/>
        <v>#N/A</v>
      </c>
      <c r="BH18" s="7" t="e">
        <f t="shared" si="54"/>
        <v>#N/A</v>
      </c>
      <c r="BI18" s="6" t="e">
        <f t="shared" si="55"/>
        <v>#N/A</v>
      </c>
      <c r="BJ18" s="7" t="e">
        <f t="shared" si="56"/>
        <v>#N/A</v>
      </c>
      <c r="BK18" s="6" t="e">
        <f t="shared" si="57"/>
        <v>#N/A</v>
      </c>
      <c r="BL18" s="5" t="e">
        <f t="shared" si="58"/>
        <v>#N/A</v>
      </c>
      <c r="BM18" s="6" t="e">
        <f t="shared" si="59"/>
        <v>#N/A</v>
      </c>
      <c r="BN18" s="7" t="e">
        <f t="shared" si="60"/>
        <v>#N/A</v>
      </c>
      <c r="BO18" s="6" t="e">
        <f t="shared" si="61"/>
        <v>#N/A</v>
      </c>
      <c r="BP18" s="7" t="e">
        <f t="shared" si="62"/>
        <v>#N/A</v>
      </c>
      <c r="BQ18" s="6" t="e">
        <f t="shared" si="63"/>
        <v>#N/A</v>
      </c>
      <c r="BR18" s="5" t="e">
        <f t="shared" si="64"/>
        <v>#N/A</v>
      </c>
      <c r="BS18" s="6" t="e">
        <f t="shared" si="65"/>
        <v>#N/A</v>
      </c>
      <c r="BT18" s="7" t="e">
        <f t="shared" si="66"/>
        <v>#N/A</v>
      </c>
      <c r="BU18" s="6" t="e">
        <f t="shared" si="67"/>
        <v>#N/A</v>
      </c>
      <c r="BV18" s="7" t="e">
        <f t="shared" si="68"/>
        <v>#N/A</v>
      </c>
      <c r="BW18" s="6" t="e">
        <f t="shared" si="69"/>
        <v>#N/A</v>
      </c>
      <c r="BX18" s="5" t="e">
        <f t="shared" si="70"/>
        <v>#N/A</v>
      </c>
      <c r="BY18" s="6" t="e">
        <f t="shared" si="71"/>
        <v>#N/A</v>
      </c>
      <c r="BZ18" s="7" t="e">
        <f t="shared" si="72"/>
        <v>#N/A</v>
      </c>
      <c r="CA18" s="6" t="e">
        <f t="shared" si="73"/>
        <v>#N/A</v>
      </c>
      <c r="CB18" s="7" t="e">
        <f t="shared" si="74"/>
        <v>#N/A</v>
      </c>
      <c r="CC18" s="6" t="e">
        <f t="shared" si="75"/>
        <v>#N/A</v>
      </c>
      <c r="CD18" s="5" t="e">
        <f t="shared" si="76"/>
        <v>#N/A</v>
      </c>
      <c r="CE18" s="6" t="e">
        <f t="shared" si="77"/>
        <v>#N/A</v>
      </c>
      <c r="CF18" s="7" t="e">
        <f t="shared" si="78"/>
        <v>#N/A</v>
      </c>
      <c r="CG18" s="6" t="e">
        <f t="shared" si="79"/>
        <v>#N/A</v>
      </c>
      <c r="CH18" s="7" t="e">
        <f t="shared" si="80"/>
        <v>#N/A</v>
      </c>
      <c r="CI18" s="6" t="e">
        <f t="shared" si="81"/>
        <v>#N/A</v>
      </c>
      <c r="CJ18" s="5" t="e">
        <f t="shared" si="82"/>
        <v>#N/A</v>
      </c>
      <c r="CK18" s="6" t="e">
        <f t="shared" si="83"/>
        <v>#N/A</v>
      </c>
      <c r="CL18" s="7" t="e">
        <f t="shared" si="84"/>
        <v>#N/A</v>
      </c>
      <c r="CM18" s="6" t="e">
        <f t="shared" si="85"/>
        <v>#N/A</v>
      </c>
      <c r="CN18" s="7" t="e">
        <f t="shared" si="86"/>
        <v>#N/A</v>
      </c>
      <c r="CO18" s="6" t="e">
        <f t="shared" si="87"/>
        <v>#N/A</v>
      </c>
      <c r="CP18" s="5" t="e">
        <f t="shared" si="88"/>
        <v>#N/A</v>
      </c>
      <c r="CQ18" s="6" t="e">
        <f t="shared" si="89"/>
        <v>#N/A</v>
      </c>
      <c r="CR18" s="7" t="e">
        <f t="shared" si="90"/>
        <v>#N/A</v>
      </c>
      <c r="CS18" s="7" t="e">
        <f t="shared" si="90"/>
        <v>#N/A</v>
      </c>
      <c r="CT18" s="7" t="e">
        <f t="shared" si="90"/>
        <v>#N/A</v>
      </c>
      <c r="CU18" s="7" t="e">
        <f t="shared" si="90"/>
        <v>#N/A</v>
      </c>
      <c r="CV18" s="5" t="e">
        <f t="shared" si="91"/>
        <v>#N/A</v>
      </c>
      <c r="CW18" s="6" t="e">
        <f t="shared" si="92"/>
        <v>#N/A</v>
      </c>
      <c r="CY18" s="7" t="e">
        <v>#N/A</v>
      </c>
      <c r="CZ18" s="5" t="e">
        <f t="array" ref="CZ18">Summary_UpperBound</f>
        <v>#N/A</v>
      </c>
      <c r="DA18" s="6" t="e">
        <f t="shared" si="93"/>
        <v>#N/A</v>
      </c>
    </row>
    <row r="19" spans="1:105" ht="15" thickBot="1" x14ac:dyDescent="0.4">
      <c r="A19" s="8" t="str">
        <f>'Data Validation (Hide)'!B16</f>
        <v>Caseload 15</v>
      </c>
      <c r="B19" s="31" t="e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#N/A</v>
      </c>
      <c r="C19" s="32" t="e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#N/A</v>
      </c>
      <c r="E19" s="12" t="e" vm="2">
        <f t="shared" ca="1" si="94"/>
        <v>#VALUE!</v>
      </c>
      <c r="F19" s="7" t="e">
        <f t="shared" si="0"/>
        <v>#N/A</v>
      </c>
      <c r="G19" s="6" t="e">
        <f t="shared" si="1"/>
        <v>#N/A</v>
      </c>
      <c r="H19" s="7" t="e">
        <f t="shared" si="2"/>
        <v>#N/A</v>
      </c>
      <c r="I19" s="6" t="e">
        <f t="shared" si="3"/>
        <v>#N/A</v>
      </c>
      <c r="J19" s="5" t="e">
        <f t="shared" si="4"/>
        <v>#N/A</v>
      </c>
      <c r="K19" s="6" t="e">
        <f t="shared" si="5"/>
        <v>#N/A</v>
      </c>
      <c r="L19" s="7" t="e">
        <f t="shared" si="6"/>
        <v>#N/A</v>
      </c>
      <c r="M19" s="6" t="e">
        <f t="shared" si="7"/>
        <v>#N/A</v>
      </c>
      <c r="N19" s="7" t="e">
        <f t="shared" si="8"/>
        <v>#N/A</v>
      </c>
      <c r="O19" s="6" t="e">
        <f t="shared" si="9"/>
        <v>#N/A</v>
      </c>
      <c r="P19" s="5" t="e">
        <f t="shared" si="10"/>
        <v>#N/A</v>
      </c>
      <c r="Q19" s="6" t="e">
        <f t="shared" si="11"/>
        <v>#N/A</v>
      </c>
      <c r="R19" s="7" t="e">
        <f t="shared" si="12"/>
        <v>#N/A</v>
      </c>
      <c r="S19" s="6" t="e">
        <f t="shared" si="13"/>
        <v>#N/A</v>
      </c>
      <c r="T19" s="7" t="e">
        <f t="shared" si="14"/>
        <v>#N/A</v>
      </c>
      <c r="U19" s="6" t="e">
        <f t="shared" si="15"/>
        <v>#N/A</v>
      </c>
      <c r="V19" s="5" t="e">
        <f t="shared" si="16"/>
        <v>#N/A</v>
      </c>
      <c r="W19" s="6" t="e">
        <f t="shared" si="17"/>
        <v>#N/A</v>
      </c>
      <c r="X19" s="7" t="e">
        <f t="shared" si="18"/>
        <v>#N/A</v>
      </c>
      <c r="Y19" s="6" t="e">
        <f t="shared" si="19"/>
        <v>#N/A</v>
      </c>
      <c r="Z19" s="7" t="e">
        <f t="shared" si="20"/>
        <v>#N/A</v>
      </c>
      <c r="AA19" s="6" t="e">
        <f t="shared" si="21"/>
        <v>#N/A</v>
      </c>
      <c r="AB19" s="5" t="e">
        <f t="shared" si="22"/>
        <v>#N/A</v>
      </c>
      <c r="AC19" s="6" t="e">
        <f t="shared" si="23"/>
        <v>#N/A</v>
      </c>
      <c r="AD19" s="7" t="e">
        <f t="shared" si="24"/>
        <v>#N/A</v>
      </c>
      <c r="AE19" s="6" t="e">
        <f t="shared" si="25"/>
        <v>#N/A</v>
      </c>
      <c r="AF19" s="7" t="e">
        <f t="shared" si="26"/>
        <v>#N/A</v>
      </c>
      <c r="AG19" s="6" t="e">
        <f t="shared" si="27"/>
        <v>#N/A</v>
      </c>
      <c r="AH19" s="5" t="e">
        <f t="shared" si="28"/>
        <v>#N/A</v>
      </c>
      <c r="AI19" s="6" t="e">
        <f t="shared" si="29"/>
        <v>#N/A</v>
      </c>
      <c r="AJ19" s="7" t="e">
        <f t="shared" si="30"/>
        <v>#N/A</v>
      </c>
      <c r="AK19" s="6" t="e">
        <f t="shared" si="31"/>
        <v>#N/A</v>
      </c>
      <c r="AL19" s="7" t="e">
        <f t="shared" si="32"/>
        <v>#N/A</v>
      </c>
      <c r="AM19" s="6" t="e">
        <f t="shared" si="33"/>
        <v>#N/A</v>
      </c>
      <c r="AN19" s="5" t="e">
        <f t="shared" si="34"/>
        <v>#N/A</v>
      </c>
      <c r="AO19" s="6" t="e">
        <f t="shared" si="35"/>
        <v>#N/A</v>
      </c>
      <c r="AP19" s="7" t="e">
        <f t="shared" si="36"/>
        <v>#N/A</v>
      </c>
      <c r="AQ19" s="6" t="e">
        <f t="shared" si="37"/>
        <v>#N/A</v>
      </c>
      <c r="AR19" s="7" t="e">
        <f t="shared" si="38"/>
        <v>#N/A</v>
      </c>
      <c r="AS19" s="6" t="e">
        <f t="shared" si="39"/>
        <v>#N/A</v>
      </c>
      <c r="AT19" s="5" t="e">
        <f t="shared" si="40"/>
        <v>#N/A</v>
      </c>
      <c r="AU19" s="6" t="e">
        <f t="shared" si="41"/>
        <v>#N/A</v>
      </c>
      <c r="AV19" s="7" t="e">
        <f t="shared" si="42"/>
        <v>#N/A</v>
      </c>
      <c r="AW19" s="6" t="e">
        <f t="shared" si="43"/>
        <v>#N/A</v>
      </c>
      <c r="AX19" s="7" t="e">
        <f t="shared" si="44"/>
        <v>#N/A</v>
      </c>
      <c r="AY19" s="6" t="e">
        <f t="shared" si="45"/>
        <v>#N/A</v>
      </c>
      <c r="AZ19" s="5" t="e">
        <f t="shared" si="46"/>
        <v>#N/A</v>
      </c>
      <c r="BA19" s="6" t="e">
        <f t="shared" si="47"/>
        <v>#N/A</v>
      </c>
      <c r="BB19" s="7" t="e">
        <f t="shared" si="48"/>
        <v>#N/A</v>
      </c>
      <c r="BC19" s="6" t="e">
        <f t="shared" si="49"/>
        <v>#N/A</v>
      </c>
      <c r="BD19" s="7" t="e">
        <f t="shared" si="50"/>
        <v>#N/A</v>
      </c>
      <c r="BE19" s="6" t="e">
        <f t="shared" si="51"/>
        <v>#N/A</v>
      </c>
      <c r="BF19" s="5" t="e">
        <f t="shared" si="52"/>
        <v>#N/A</v>
      </c>
      <c r="BG19" s="6" t="e">
        <f t="shared" si="53"/>
        <v>#N/A</v>
      </c>
      <c r="BH19" s="7" t="e">
        <f t="shared" si="54"/>
        <v>#N/A</v>
      </c>
      <c r="BI19" s="6" t="e">
        <f t="shared" si="55"/>
        <v>#N/A</v>
      </c>
      <c r="BJ19" s="7" t="e">
        <f t="shared" si="56"/>
        <v>#N/A</v>
      </c>
      <c r="BK19" s="6" t="e">
        <f t="shared" si="57"/>
        <v>#N/A</v>
      </c>
      <c r="BL19" s="5" t="e">
        <f t="shared" si="58"/>
        <v>#N/A</v>
      </c>
      <c r="BM19" s="6" t="e">
        <f t="shared" si="59"/>
        <v>#N/A</v>
      </c>
      <c r="BN19" s="7" t="e">
        <f t="shared" si="60"/>
        <v>#N/A</v>
      </c>
      <c r="BO19" s="6" t="e">
        <f t="shared" si="61"/>
        <v>#N/A</v>
      </c>
      <c r="BP19" s="7" t="e">
        <f t="shared" si="62"/>
        <v>#N/A</v>
      </c>
      <c r="BQ19" s="6" t="e">
        <f t="shared" si="63"/>
        <v>#N/A</v>
      </c>
      <c r="BR19" s="5" t="e">
        <f t="shared" si="64"/>
        <v>#N/A</v>
      </c>
      <c r="BS19" s="6" t="e">
        <f t="shared" si="65"/>
        <v>#N/A</v>
      </c>
      <c r="BT19" s="7" t="e">
        <f t="shared" si="66"/>
        <v>#N/A</v>
      </c>
      <c r="BU19" s="6" t="e">
        <f t="shared" si="67"/>
        <v>#N/A</v>
      </c>
      <c r="BV19" s="7" t="e">
        <f t="shared" si="68"/>
        <v>#N/A</v>
      </c>
      <c r="BW19" s="6" t="e">
        <f t="shared" si="69"/>
        <v>#N/A</v>
      </c>
      <c r="BX19" s="5" t="e">
        <f t="shared" si="70"/>
        <v>#N/A</v>
      </c>
      <c r="BY19" s="6" t="e">
        <f t="shared" si="71"/>
        <v>#N/A</v>
      </c>
      <c r="BZ19" s="7" t="e">
        <f t="shared" si="72"/>
        <v>#N/A</v>
      </c>
      <c r="CA19" s="6" t="e">
        <f t="shared" si="73"/>
        <v>#N/A</v>
      </c>
      <c r="CB19" s="7" t="e">
        <f t="shared" si="74"/>
        <v>#N/A</v>
      </c>
      <c r="CC19" s="6" t="e">
        <f t="shared" si="75"/>
        <v>#N/A</v>
      </c>
      <c r="CD19" s="5" t="e">
        <f t="shared" si="76"/>
        <v>#N/A</v>
      </c>
      <c r="CE19" s="6" t="e">
        <f t="shared" si="77"/>
        <v>#N/A</v>
      </c>
      <c r="CF19" s="7" t="e">
        <f t="shared" si="78"/>
        <v>#N/A</v>
      </c>
      <c r="CG19" s="6" t="e">
        <f t="shared" si="79"/>
        <v>#N/A</v>
      </c>
      <c r="CH19" s="7" t="e">
        <f t="shared" si="80"/>
        <v>#N/A</v>
      </c>
      <c r="CI19" s="6" t="e">
        <f t="shared" si="81"/>
        <v>#N/A</v>
      </c>
      <c r="CJ19" s="5" t="e">
        <f t="shared" si="82"/>
        <v>#N/A</v>
      </c>
      <c r="CK19" s="6" t="e">
        <f t="shared" si="83"/>
        <v>#N/A</v>
      </c>
      <c r="CL19" s="7" t="e">
        <f t="shared" si="84"/>
        <v>#N/A</v>
      </c>
      <c r="CM19" s="6" t="e">
        <f t="shared" si="85"/>
        <v>#N/A</v>
      </c>
      <c r="CN19" s="7" t="e">
        <f t="shared" si="86"/>
        <v>#N/A</v>
      </c>
      <c r="CO19" s="6" t="e">
        <f t="shared" si="87"/>
        <v>#N/A</v>
      </c>
      <c r="CP19" s="5" t="e">
        <f t="shared" si="88"/>
        <v>#N/A</v>
      </c>
      <c r="CQ19" s="6" t="e">
        <f t="shared" si="89"/>
        <v>#N/A</v>
      </c>
      <c r="CR19" s="7" t="e">
        <f t="shared" si="90"/>
        <v>#N/A</v>
      </c>
      <c r="CS19" s="7" t="e">
        <f t="shared" si="90"/>
        <v>#N/A</v>
      </c>
      <c r="CT19" s="7" t="e">
        <f t="shared" si="90"/>
        <v>#N/A</v>
      </c>
      <c r="CU19" s="7" t="e">
        <f t="shared" si="90"/>
        <v>#N/A</v>
      </c>
      <c r="CV19" s="5" t="e">
        <f t="shared" si="91"/>
        <v>#N/A</v>
      </c>
      <c r="CW19" s="6" t="e">
        <f t="shared" si="92"/>
        <v>#N/A</v>
      </c>
      <c r="CY19" s="7" t="e">
        <v>#N/A</v>
      </c>
      <c r="CZ19" s="5" t="e">
        <f t="array" ref="CZ19">Summary_UpperBound</f>
        <v>#N/A</v>
      </c>
      <c r="DA19" s="6" t="e">
        <f t="shared" si="93"/>
        <v>#N/A</v>
      </c>
    </row>
    <row r="20" spans="1:105" x14ac:dyDescent="0.35">
      <c r="B20" s="14"/>
      <c r="E20" s="12" t="e" vm="2">
        <f t="shared" ca="1" si="94"/>
        <v>#VALUE!</v>
      </c>
      <c r="F20" s="7" t="e">
        <f t="shared" si="0"/>
        <v>#N/A</v>
      </c>
      <c r="G20" s="6" t="e">
        <f t="shared" si="1"/>
        <v>#N/A</v>
      </c>
      <c r="H20" s="7" t="e">
        <f t="shared" si="2"/>
        <v>#N/A</v>
      </c>
      <c r="I20" s="6" t="e">
        <f t="shared" si="3"/>
        <v>#N/A</v>
      </c>
      <c r="J20" s="5" t="e">
        <f t="shared" si="4"/>
        <v>#N/A</v>
      </c>
      <c r="K20" s="6" t="e">
        <f t="shared" si="5"/>
        <v>#N/A</v>
      </c>
      <c r="L20" s="7" t="e">
        <f t="shared" si="6"/>
        <v>#N/A</v>
      </c>
      <c r="M20" s="6" t="e">
        <f t="shared" si="7"/>
        <v>#N/A</v>
      </c>
      <c r="N20" s="7" t="e">
        <f t="shared" si="8"/>
        <v>#N/A</v>
      </c>
      <c r="O20" s="6" t="e">
        <f t="shared" si="9"/>
        <v>#N/A</v>
      </c>
      <c r="P20" s="5" t="e">
        <f t="shared" si="10"/>
        <v>#N/A</v>
      </c>
      <c r="Q20" s="6" t="e">
        <f t="shared" si="11"/>
        <v>#N/A</v>
      </c>
      <c r="R20" s="7" t="e">
        <f t="shared" si="12"/>
        <v>#N/A</v>
      </c>
      <c r="S20" s="6" t="e">
        <f t="shared" si="13"/>
        <v>#N/A</v>
      </c>
      <c r="T20" s="7" t="e">
        <f t="shared" si="14"/>
        <v>#N/A</v>
      </c>
      <c r="U20" s="6" t="e">
        <f t="shared" si="15"/>
        <v>#N/A</v>
      </c>
      <c r="V20" s="5" t="e">
        <f t="shared" si="16"/>
        <v>#N/A</v>
      </c>
      <c r="W20" s="6" t="e">
        <f t="shared" si="17"/>
        <v>#N/A</v>
      </c>
      <c r="X20" s="7" t="e">
        <f t="shared" si="18"/>
        <v>#N/A</v>
      </c>
      <c r="Y20" s="6" t="e">
        <f t="shared" si="19"/>
        <v>#N/A</v>
      </c>
      <c r="Z20" s="7" t="e">
        <f t="shared" si="20"/>
        <v>#N/A</v>
      </c>
      <c r="AA20" s="6" t="e">
        <f t="shared" si="21"/>
        <v>#N/A</v>
      </c>
      <c r="AB20" s="5" t="e">
        <f t="shared" si="22"/>
        <v>#N/A</v>
      </c>
      <c r="AC20" s="6" t="e">
        <f t="shared" si="23"/>
        <v>#N/A</v>
      </c>
      <c r="AD20" s="7" t="e">
        <f t="shared" si="24"/>
        <v>#N/A</v>
      </c>
      <c r="AE20" s="6" t="e">
        <f t="shared" si="25"/>
        <v>#N/A</v>
      </c>
      <c r="AF20" s="7" t="e">
        <f t="shared" si="26"/>
        <v>#N/A</v>
      </c>
      <c r="AG20" s="6" t="e">
        <f t="shared" si="27"/>
        <v>#N/A</v>
      </c>
      <c r="AH20" s="5" t="e">
        <f t="shared" si="28"/>
        <v>#N/A</v>
      </c>
      <c r="AI20" s="6" t="e">
        <f t="shared" si="29"/>
        <v>#N/A</v>
      </c>
      <c r="AJ20" s="7" t="e">
        <f t="shared" si="30"/>
        <v>#N/A</v>
      </c>
      <c r="AK20" s="6" t="e">
        <f t="shared" si="31"/>
        <v>#N/A</v>
      </c>
      <c r="AL20" s="7" t="e">
        <f t="shared" si="32"/>
        <v>#N/A</v>
      </c>
      <c r="AM20" s="6" t="e">
        <f t="shared" si="33"/>
        <v>#N/A</v>
      </c>
      <c r="AN20" s="5" t="e">
        <f t="shared" si="34"/>
        <v>#N/A</v>
      </c>
      <c r="AO20" s="6" t="e">
        <f t="shared" si="35"/>
        <v>#N/A</v>
      </c>
      <c r="AP20" s="7" t="e">
        <f t="shared" si="36"/>
        <v>#N/A</v>
      </c>
      <c r="AQ20" s="6" t="e">
        <f t="shared" si="37"/>
        <v>#N/A</v>
      </c>
      <c r="AR20" s="7" t="e">
        <f t="shared" si="38"/>
        <v>#N/A</v>
      </c>
      <c r="AS20" s="6" t="e">
        <f t="shared" si="39"/>
        <v>#N/A</v>
      </c>
      <c r="AT20" s="5" t="e">
        <f t="shared" si="40"/>
        <v>#N/A</v>
      </c>
      <c r="AU20" s="6" t="e">
        <f t="shared" si="41"/>
        <v>#N/A</v>
      </c>
      <c r="AV20" s="7" t="e">
        <f t="shared" si="42"/>
        <v>#N/A</v>
      </c>
      <c r="AW20" s="6" t="e">
        <f t="shared" si="43"/>
        <v>#N/A</v>
      </c>
      <c r="AX20" s="7" t="e">
        <f t="shared" si="44"/>
        <v>#N/A</v>
      </c>
      <c r="AY20" s="6" t="e">
        <f t="shared" si="45"/>
        <v>#N/A</v>
      </c>
      <c r="AZ20" s="5" t="e">
        <f t="shared" si="46"/>
        <v>#N/A</v>
      </c>
      <c r="BA20" s="6" t="e">
        <f t="shared" si="47"/>
        <v>#N/A</v>
      </c>
      <c r="BB20" s="7" t="e">
        <f t="shared" si="48"/>
        <v>#N/A</v>
      </c>
      <c r="BC20" s="6" t="e">
        <f t="shared" si="49"/>
        <v>#N/A</v>
      </c>
      <c r="BD20" s="7" t="e">
        <f t="shared" si="50"/>
        <v>#N/A</v>
      </c>
      <c r="BE20" s="6" t="e">
        <f t="shared" si="51"/>
        <v>#N/A</v>
      </c>
      <c r="BF20" s="5" t="e">
        <f t="shared" si="52"/>
        <v>#N/A</v>
      </c>
      <c r="BG20" s="6" t="e">
        <f t="shared" si="53"/>
        <v>#N/A</v>
      </c>
      <c r="BH20" s="7" t="e">
        <f t="shared" si="54"/>
        <v>#N/A</v>
      </c>
      <c r="BI20" s="6" t="e">
        <f t="shared" si="55"/>
        <v>#N/A</v>
      </c>
      <c r="BJ20" s="7" t="e">
        <f t="shared" si="56"/>
        <v>#N/A</v>
      </c>
      <c r="BK20" s="6" t="e">
        <f t="shared" si="57"/>
        <v>#N/A</v>
      </c>
      <c r="BL20" s="5" t="e">
        <f t="shared" si="58"/>
        <v>#N/A</v>
      </c>
      <c r="BM20" s="6" t="e">
        <f t="shared" si="59"/>
        <v>#N/A</v>
      </c>
      <c r="BN20" s="7" t="e">
        <f t="shared" si="60"/>
        <v>#N/A</v>
      </c>
      <c r="BO20" s="6" t="e">
        <f t="shared" si="61"/>
        <v>#N/A</v>
      </c>
      <c r="BP20" s="7" t="e">
        <f t="shared" si="62"/>
        <v>#N/A</v>
      </c>
      <c r="BQ20" s="6" t="e">
        <f t="shared" si="63"/>
        <v>#N/A</v>
      </c>
      <c r="BR20" s="5" t="e">
        <f t="shared" si="64"/>
        <v>#N/A</v>
      </c>
      <c r="BS20" s="6" t="e">
        <f t="shared" si="65"/>
        <v>#N/A</v>
      </c>
      <c r="BT20" s="7" t="e">
        <f t="shared" si="66"/>
        <v>#N/A</v>
      </c>
      <c r="BU20" s="6" t="e">
        <f t="shared" si="67"/>
        <v>#N/A</v>
      </c>
      <c r="BV20" s="7" t="e">
        <f t="shared" si="68"/>
        <v>#N/A</v>
      </c>
      <c r="BW20" s="6" t="e">
        <f t="shared" si="69"/>
        <v>#N/A</v>
      </c>
      <c r="BX20" s="5" t="e">
        <f t="shared" si="70"/>
        <v>#N/A</v>
      </c>
      <c r="BY20" s="6" t="e">
        <f t="shared" si="71"/>
        <v>#N/A</v>
      </c>
      <c r="BZ20" s="7" t="e">
        <f t="shared" si="72"/>
        <v>#N/A</v>
      </c>
      <c r="CA20" s="6" t="e">
        <f t="shared" si="73"/>
        <v>#N/A</v>
      </c>
      <c r="CB20" s="7" t="e">
        <f t="shared" si="74"/>
        <v>#N/A</v>
      </c>
      <c r="CC20" s="6" t="e">
        <f t="shared" si="75"/>
        <v>#N/A</v>
      </c>
      <c r="CD20" s="5" t="e">
        <f t="shared" si="76"/>
        <v>#N/A</v>
      </c>
      <c r="CE20" s="6" t="e">
        <f t="shared" si="77"/>
        <v>#N/A</v>
      </c>
      <c r="CF20" s="7" t="e">
        <f t="shared" si="78"/>
        <v>#N/A</v>
      </c>
      <c r="CG20" s="6" t="e">
        <f t="shared" si="79"/>
        <v>#N/A</v>
      </c>
      <c r="CH20" s="7" t="e">
        <f t="shared" si="80"/>
        <v>#N/A</v>
      </c>
      <c r="CI20" s="6" t="e">
        <f t="shared" si="81"/>
        <v>#N/A</v>
      </c>
      <c r="CJ20" s="5" t="e">
        <f t="shared" si="82"/>
        <v>#N/A</v>
      </c>
      <c r="CK20" s="6" t="e">
        <f t="shared" si="83"/>
        <v>#N/A</v>
      </c>
      <c r="CL20" s="7" t="e">
        <f t="shared" si="84"/>
        <v>#N/A</v>
      </c>
      <c r="CM20" s="6" t="e">
        <f t="shared" si="85"/>
        <v>#N/A</v>
      </c>
      <c r="CN20" s="7" t="e">
        <f t="shared" si="86"/>
        <v>#N/A</v>
      </c>
      <c r="CO20" s="6" t="e">
        <f t="shared" si="87"/>
        <v>#N/A</v>
      </c>
      <c r="CP20" s="5" t="e">
        <f t="shared" si="88"/>
        <v>#N/A</v>
      </c>
      <c r="CQ20" s="6" t="e">
        <f t="shared" si="89"/>
        <v>#N/A</v>
      </c>
      <c r="CR20" s="7" t="e">
        <f t="shared" si="90"/>
        <v>#N/A</v>
      </c>
      <c r="CS20" s="7" t="e">
        <f t="shared" si="90"/>
        <v>#N/A</v>
      </c>
      <c r="CT20" s="7" t="e">
        <f t="shared" si="90"/>
        <v>#N/A</v>
      </c>
      <c r="CU20" s="7" t="e">
        <f t="shared" si="90"/>
        <v>#N/A</v>
      </c>
      <c r="CV20" s="5" t="e">
        <f t="shared" si="91"/>
        <v>#N/A</v>
      </c>
      <c r="CW20" s="6" t="e">
        <f t="shared" si="92"/>
        <v>#N/A</v>
      </c>
      <c r="CY20" s="7" t="e">
        <v>#N/A</v>
      </c>
      <c r="CZ20" s="5" t="e">
        <f t="array" ref="CZ20">Summary_UpperBound</f>
        <v>#N/A</v>
      </c>
      <c r="DA20" s="6" t="e">
        <f t="shared" si="93"/>
        <v>#N/A</v>
      </c>
    </row>
    <row r="21" spans="1:105" x14ac:dyDescent="0.35">
      <c r="B21" s="14"/>
      <c r="E21" s="12" t="e" vm="2">
        <f t="shared" ca="1" si="94"/>
        <v>#VALUE!</v>
      </c>
      <c r="F21" s="7" t="e">
        <f t="shared" si="0"/>
        <v>#N/A</v>
      </c>
      <c r="G21" s="6" t="e">
        <f t="shared" si="1"/>
        <v>#N/A</v>
      </c>
      <c r="H21" s="7" t="e">
        <f t="shared" si="2"/>
        <v>#N/A</v>
      </c>
      <c r="I21" s="6" t="e">
        <f t="shared" si="3"/>
        <v>#N/A</v>
      </c>
      <c r="J21" s="5" t="e">
        <f t="shared" si="4"/>
        <v>#N/A</v>
      </c>
      <c r="K21" s="6" t="e">
        <f t="shared" si="5"/>
        <v>#N/A</v>
      </c>
      <c r="L21" s="7" t="e">
        <f t="shared" si="6"/>
        <v>#N/A</v>
      </c>
      <c r="M21" s="6" t="e">
        <f t="shared" si="7"/>
        <v>#N/A</v>
      </c>
      <c r="N21" s="7" t="e">
        <f t="shared" si="8"/>
        <v>#N/A</v>
      </c>
      <c r="O21" s="6" t="e">
        <f t="shared" si="9"/>
        <v>#N/A</v>
      </c>
      <c r="P21" s="5" t="e">
        <f t="shared" si="10"/>
        <v>#N/A</v>
      </c>
      <c r="Q21" s="6" t="e">
        <f t="shared" si="11"/>
        <v>#N/A</v>
      </c>
      <c r="R21" s="7" t="e">
        <f t="shared" si="12"/>
        <v>#N/A</v>
      </c>
      <c r="S21" s="6" t="e">
        <f t="shared" si="13"/>
        <v>#N/A</v>
      </c>
      <c r="T21" s="7" t="e">
        <f t="shared" si="14"/>
        <v>#N/A</v>
      </c>
      <c r="U21" s="6" t="e">
        <f t="shared" si="15"/>
        <v>#N/A</v>
      </c>
      <c r="V21" s="5" t="e">
        <f t="shared" si="16"/>
        <v>#N/A</v>
      </c>
      <c r="W21" s="6" t="e">
        <f t="shared" si="17"/>
        <v>#N/A</v>
      </c>
      <c r="X21" s="7" t="e">
        <f t="shared" si="18"/>
        <v>#N/A</v>
      </c>
      <c r="Y21" s="6" t="e">
        <f t="shared" si="19"/>
        <v>#N/A</v>
      </c>
      <c r="Z21" s="7" t="e">
        <f t="shared" si="20"/>
        <v>#N/A</v>
      </c>
      <c r="AA21" s="6" t="e">
        <f t="shared" si="21"/>
        <v>#N/A</v>
      </c>
      <c r="AB21" s="5" t="e">
        <f t="shared" si="22"/>
        <v>#N/A</v>
      </c>
      <c r="AC21" s="6" t="e">
        <f t="shared" si="23"/>
        <v>#N/A</v>
      </c>
      <c r="AD21" s="7" t="e">
        <f t="shared" si="24"/>
        <v>#N/A</v>
      </c>
      <c r="AE21" s="6" t="e">
        <f t="shared" si="25"/>
        <v>#N/A</v>
      </c>
      <c r="AF21" s="7" t="e">
        <f t="shared" si="26"/>
        <v>#N/A</v>
      </c>
      <c r="AG21" s="6" t="e">
        <f t="shared" si="27"/>
        <v>#N/A</v>
      </c>
      <c r="AH21" s="5" t="e">
        <f t="shared" si="28"/>
        <v>#N/A</v>
      </c>
      <c r="AI21" s="6" t="e">
        <f t="shared" si="29"/>
        <v>#N/A</v>
      </c>
      <c r="AJ21" s="7" t="e">
        <f t="shared" si="30"/>
        <v>#N/A</v>
      </c>
      <c r="AK21" s="6" t="e">
        <f t="shared" si="31"/>
        <v>#N/A</v>
      </c>
      <c r="AL21" s="7" t="e">
        <f t="shared" si="32"/>
        <v>#N/A</v>
      </c>
      <c r="AM21" s="6" t="e">
        <f t="shared" si="33"/>
        <v>#N/A</v>
      </c>
      <c r="AN21" s="5" t="e">
        <f t="shared" si="34"/>
        <v>#N/A</v>
      </c>
      <c r="AO21" s="6" t="e">
        <f t="shared" si="35"/>
        <v>#N/A</v>
      </c>
      <c r="AP21" s="7" t="e">
        <f t="shared" si="36"/>
        <v>#N/A</v>
      </c>
      <c r="AQ21" s="6" t="e">
        <f t="shared" si="37"/>
        <v>#N/A</v>
      </c>
      <c r="AR21" s="7" t="e">
        <f t="shared" si="38"/>
        <v>#N/A</v>
      </c>
      <c r="AS21" s="6" t="e">
        <f t="shared" si="39"/>
        <v>#N/A</v>
      </c>
      <c r="AT21" s="5" t="e">
        <f t="shared" si="40"/>
        <v>#N/A</v>
      </c>
      <c r="AU21" s="6" t="e">
        <f t="shared" si="41"/>
        <v>#N/A</v>
      </c>
      <c r="AV21" s="7" t="e">
        <f t="shared" si="42"/>
        <v>#N/A</v>
      </c>
      <c r="AW21" s="6" t="e">
        <f t="shared" si="43"/>
        <v>#N/A</v>
      </c>
      <c r="AX21" s="7" t="e">
        <f t="shared" si="44"/>
        <v>#N/A</v>
      </c>
      <c r="AY21" s="6" t="e">
        <f t="shared" si="45"/>
        <v>#N/A</v>
      </c>
      <c r="AZ21" s="5" t="e">
        <f t="shared" si="46"/>
        <v>#N/A</v>
      </c>
      <c r="BA21" s="6" t="e">
        <f t="shared" si="47"/>
        <v>#N/A</v>
      </c>
      <c r="BB21" s="7" t="e">
        <f t="shared" si="48"/>
        <v>#N/A</v>
      </c>
      <c r="BC21" s="6" t="e">
        <f t="shared" si="49"/>
        <v>#N/A</v>
      </c>
      <c r="BD21" s="7" t="e">
        <f t="shared" si="50"/>
        <v>#N/A</v>
      </c>
      <c r="BE21" s="6" t="e">
        <f t="shared" si="51"/>
        <v>#N/A</v>
      </c>
      <c r="BF21" s="5" t="e">
        <f t="shared" si="52"/>
        <v>#N/A</v>
      </c>
      <c r="BG21" s="6" t="e">
        <f t="shared" si="53"/>
        <v>#N/A</v>
      </c>
      <c r="BH21" s="7" t="e">
        <f t="shared" si="54"/>
        <v>#N/A</v>
      </c>
      <c r="BI21" s="6" t="e">
        <f t="shared" si="55"/>
        <v>#N/A</v>
      </c>
      <c r="BJ21" s="7" t="e">
        <f t="shared" si="56"/>
        <v>#N/A</v>
      </c>
      <c r="BK21" s="6" t="e">
        <f t="shared" si="57"/>
        <v>#N/A</v>
      </c>
      <c r="BL21" s="5" t="e">
        <f t="shared" si="58"/>
        <v>#N/A</v>
      </c>
      <c r="BM21" s="6" t="e">
        <f t="shared" si="59"/>
        <v>#N/A</v>
      </c>
      <c r="BN21" s="7" t="e">
        <f t="shared" si="60"/>
        <v>#N/A</v>
      </c>
      <c r="BO21" s="6" t="e">
        <f t="shared" si="61"/>
        <v>#N/A</v>
      </c>
      <c r="BP21" s="7" t="e">
        <f t="shared" si="62"/>
        <v>#N/A</v>
      </c>
      <c r="BQ21" s="6" t="e">
        <f t="shared" si="63"/>
        <v>#N/A</v>
      </c>
      <c r="BR21" s="5" t="e">
        <f t="shared" si="64"/>
        <v>#N/A</v>
      </c>
      <c r="BS21" s="6" t="e">
        <f t="shared" si="65"/>
        <v>#N/A</v>
      </c>
      <c r="BT21" s="7" t="e">
        <f t="shared" si="66"/>
        <v>#N/A</v>
      </c>
      <c r="BU21" s="6" t="e">
        <f t="shared" si="67"/>
        <v>#N/A</v>
      </c>
      <c r="BV21" s="7" t="e">
        <f t="shared" si="68"/>
        <v>#N/A</v>
      </c>
      <c r="BW21" s="6" t="e">
        <f t="shared" si="69"/>
        <v>#N/A</v>
      </c>
      <c r="BX21" s="5" t="e">
        <f t="shared" si="70"/>
        <v>#N/A</v>
      </c>
      <c r="BY21" s="6" t="e">
        <f t="shared" si="71"/>
        <v>#N/A</v>
      </c>
      <c r="BZ21" s="7" t="e">
        <f t="shared" si="72"/>
        <v>#N/A</v>
      </c>
      <c r="CA21" s="6" t="e">
        <f t="shared" si="73"/>
        <v>#N/A</v>
      </c>
      <c r="CB21" s="7" t="e">
        <f t="shared" si="74"/>
        <v>#N/A</v>
      </c>
      <c r="CC21" s="6" t="e">
        <f t="shared" si="75"/>
        <v>#N/A</v>
      </c>
      <c r="CD21" s="5" t="e">
        <f t="shared" si="76"/>
        <v>#N/A</v>
      </c>
      <c r="CE21" s="6" t="e">
        <f t="shared" si="77"/>
        <v>#N/A</v>
      </c>
      <c r="CF21" s="7" t="e">
        <f t="shared" si="78"/>
        <v>#N/A</v>
      </c>
      <c r="CG21" s="6" t="e">
        <f t="shared" si="79"/>
        <v>#N/A</v>
      </c>
      <c r="CH21" s="7" t="e">
        <f t="shared" si="80"/>
        <v>#N/A</v>
      </c>
      <c r="CI21" s="6" t="e">
        <f t="shared" si="81"/>
        <v>#N/A</v>
      </c>
      <c r="CJ21" s="5" t="e">
        <f t="shared" si="82"/>
        <v>#N/A</v>
      </c>
      <c r="CK21" s="6" t="e">
        <f t="shared" si="83"/>
        <v>#N/A</v>
      </c>
      <c r="CL21" s="7" t="e">
        <f t="shared" si="84"/>
        <v>#N/A</v>
      </c>
      <c r="CM21" s="6" t="e">
        <f t="shared" si="85"/>
        <v>#N/A</v>
      </c>
      <c r="CN21" s="7" t="e">
        <f t="shared" si="86"/>
        <v>#N/A</v>
      </c>
      <c r="CO21" s="6" t="e">
        <f t="shared" si="87"/>
        <v>#N/A</v>
      </c>
      <c r="CP21" s="5" t="e">
        <f t="shared" si="88"/>
        <v>#N/A</v>
      </c>
      <c r="CQ21" s="6" t="e">
        <f t="shared" si="89"/>
        <v>#N/A</v>
      </c>
      <c r="CR21" s="7" t="e">
        <f t="shared" si="90"/>
        <v>#N/A</v>
      </c>
      <c r="CS21" s="7" t="e">
        <f t="shared" si="90"/>
        <v>#N/A</v>
      </c>
      <c r="CT21" s="7" t="e">
        <f t="shared" si="90"/>
        <v>#N/A</v>
      </c>
      <c r="CU21" s="7" t="e">
        <f t="shared" si="90"/>
        <v>#N/A</v>
      </c>
      <c r="CV21" s="5" t="e">
        <f t="shared" si="91"/>
        <v>#N/A</v>
      </c>
      <c r="CW21" s="6" t="e">
        <f t="shared" si="92"/>
        <v>#N/A</v>
      </c>
      <c r="CY21" s="7" t="e">
        <v>#N/A</v>
      </c>
      <c r="CZ21" s="5" t="e">
        <f t="array" ref="CZ21">Summary_UpperBound</f>
        <v>#N/A</v>
      </c>
      <c r="DA21" s="6" t="e">
        <f t="shared" si="93"/>
        <v>#N/A</v>
      </c>
    </row>
    <row r="22" spans="1:105" x14ac:dyDescent="0.35">
      <c r="B22" s="14"/>
      <c r="E22" s="12" t="e" vm="2">
        <f t="shared" ca="1" si="94"/>
        <v>#VALUE!</v>
      </c>
      <c r="F22" s="7" t="e">
        <f t="shared" si="0"/>
        <v>#N/A</v>
      </c>
      <c r="G22" s="6" t="e">
        <f t="shared" si="1"/>
        <v>#N/A</v>
      </c>
      <c r="H22" s="7" t="e">
        <f t="shared" si="2"/>
        <v>#N/A</v>
      </c>
      <c r="I22" s="6" t="e">
        <f t="shared" si="3"/>
        <v>#N/A</v>
      </c>
      <c r="J22" s="5" t="e">
        <f t="shared" si="4"/>
        <v>#N/A</v>
      </c>
      <c r="K22" s="6" t="e">
        <f t="shared" si="5"/>
        <v>#N/A</v>
      </c>
      <c r="L22" s="7" t="e">
        <f t="shared" si="6"/>
        <v>#N/A</v>
      </c>
      <c r="M22" s="6" t="e">
        <f t="shared" si="7"/>
        <v>#N/A</v>
      </c>
      <c r="N22" s="7" t="e">
        <f t="shared" si="8"/>
        <v>#N/A</v>
      </c>
      <c r="O22" s="6" t="e">
        <f t="shared" si="9"/>
        <v>#N/A</v>
      </c>
      <c r="P22" s="5" t="e">
        <f t="shared" si="10"/>
        <v>#N/A</v>
      </c>
      <c r="Q22" s="6" t="e">
        <f t="shared" si="11"/>
        <v>#N/A</v>
      </c>
      <c r="R22" s="7" t="e">
        <f t="shared" si="12"/>
        <v>#N/A</v>
      </c>
      <c r="S22" s="6" t="e">
        <f t="shared" si="13"/>
        <v>#N/A</v>
      </c>
      <c r="T22" s="7" t="e">
        <f t="shared" si="14"/>
        <v>#N/A</v>
      </c>
      <c r="U22" s="6" t="e">
        <f t="shared" si="15"/>
        <v>#N/A</v>
      </c>
      <c r="V22" s="5" t="e">
        <f t="shared" si="16"/>
        <v>#N/A</v>
      </c>
      <c r="W22" s="6" t="e">
        <f t="shared" si="17"/>
        <v>#N/A</v>
      </c>
      <c r="X22" s="7" t="e">
        <f t="shared" si="18"/>
        <v>#N/A</v>
      </c>
      <c r="Y22" s="6" t="e">
        <f t="shared" si="19"/>
        <v>#N/A</v>
      </c>
      <c r="Z22" s="7" t="e">
        <f t="shared" si="20"/>
        <v>#N/A</v>
      </c>
      <c r="AA22" s="6" t="e">
        <f t="shared" si="21"/>
        <v>#N/A</v>
      </c>
      <c r="AB22" s="5" t="e">
        <f t="shared" si="22"/>
        <v>#N/A</v>
      </c>
      <c r="AC22" s="6" t="e">
        <f t="shared" si="23"/>
        <v>#N/A</v>
      </c>
      <c r="AD22" s="7" t="e">
        <f t="shared" si="24"/>
        <v>#N/A</v>
      </c>
      <c r="AE22" s="6" t="e">
        <f t="shared" si="25"/>
        <v>#N/A</v>
      </c>
      <c r="AF22" s="7" t="e">
        <f t="shared" si="26"/>
        <v>#N/A</v>
      </c>
      <c r="AG22" s="6" t="e">
        <f t="shared" si="27"/>
        <v>#N/A</v>
      </c>
      <c r="AH22" s="5" t="e">
        <f t="shared" si="28"/>
        <v>#N/A</v>
      </c>
      <c r="AI22" s="6" t="e">
        <f t="shared" si="29"/>
        <v>#N/A</v>
      </c>
      <c r="AJ22" s="7" t="e">
        <f t="shared" si="30"/>
        <v>#N/A</v>
      </c>
      <c r="AK22" s="6" t="e">
        <f t="shared" si="31"/>
        <v>#N/A</v>
      </c>
      <c r="AL22" s="7" t="e">
        <f t="shared" si="32"/>
        <v>#N/A</v>
      </c>
      <c r="AM22" s="6" t="e">
        <f t="shared" si="33"/>
        <v>#N/A</v>
      </c>
      <c r="AN22" s="5" t="e">
        <f t="shared" si="34"/>
        <v>#N/A</v>
      </c>
      <c r="AO22" s="6" t="e">
        <f t="shared" si="35"/>
        <v>#N/A</v>
      </c>
      <c r="AP22" s="7" t="e">
        <f t="shared" si="36"/>
        <v>#N/A</v>
      </c>
      <c r="AQ22" s="6" t="e">
        <f t="shared" si="37"/>
        <v>#N/A</v>
      </c>
      <c r="AR22" s="7" t="e">
        <f t="shared" si="38"/>
        <v>#N/A</v>
      </c>
      <c r="AS22" s="6" t="e">
        <f t="shared" si="39"/>
        <v>#N/A</v>
      </c>
      <c r="AT22" s="5" t="e">
        <f t="shared" si="40"/>
        <v>#N/A</v>
      </c>
      <c r="AU22" s="6" t="e">
        <f t="shared" si="41"/>
        <v>#N/A</v>
      </c>
      <c r="AV22" s="7" t="e">
        <f t="shared" si="42"/>
        <v>#N/A</v>
      </c>
      <c r="AW22" s="6" t="e">
        <f t="shared" si="43"/>
        <v>#N/A</v>
      </c>
      <c r="AX22" s="7" t="e">
        <f t="shared" si="44"/>
        <v>#N/A</v>
      </c>
      <c r="AY22" s="6" t="e">
        <f t="shared" si="45"/>
        <v>#N/A</v>
      </c>
      <c r="AZ22" s="5" t="e">
        <f t="shared" si="46"/>
        <v>#N/A</v>
      </c>
      <c r="BA22" s="6" t="e">
        <f t="shared" si="47"/>
        <v>#N/A</v>
      </c>
      <c r="BB22" s="7" t="e">
        <f t="shared" si="48"/>
        <v>#N/A</v>
      </c>
      <c r="BC22" s="6" t="e">
        <f t="shared" si="49"/>
        <v>#N/A</v>
      </c>
      <c r="BD22" s="7" t="e">
        <f t="shared" si="50"/>
        <v>#N/A</v>
      </c>
      <c r="BE22" s="6" t="e">
        <f t="shared" si="51"/>
        <v>#N/A</v>
      </c>
      <c r="BF22" s="5" t="e">
        <f t="shared" si="52"/>
        <v>#N/A</v>
      </c>
      <c r="BG22" s="6" t="e">
        <f t="shared" si="53"/>
        <v>#N/A</v>
      </c>
      <c r="BH22" s="7" t="e">
        <f t="shared" si="54"/>
        <v>#N/A</v>
      </c>
      <c r="BI22" s="6" t="e">
        <f t="shared" si="55"/>
        <v>#N/A</v>
      </c>
      <c r="BJ22" s="7" t="e">
        <f t="shared" si="56"/>
        <v>#N/A</v>
      </c>
      <c r="BK22" s="6" t="e">
        <f t="shared" si="57"/>
        <v>#N/A</v>
      </c>
      <c r="BL22" s="5" t="e">
        <f t="shared" si="58"/>
        <v>#N/A</v>
      </c>
      <c r="BM22" s="6" t="e">
        <f t="shared" si="59"/>
        <v>#N/A</v>
      </c>
      <c r="BN22" s="7" t="e">
        <f t="shared" si="60"/>
        <v>#N/A</v>
      </c>
      <c r="BO22" s="6" t="e">
        <f t="shared" si="61"/>
        <v>#N/A</v>
      </c>
      <c r="BP22" s="7" t="e">
        <f t="shared" si="62"/>
        <v>#N/A</v>
      </c>
      <c r="BQ22" s="6" t="e">
        <f t="shared" si="63"/>
        <v>#N/A</v>
      </c>
      <c r="BR22" s="5" t="e">
        <f t="shared" si="64"/>
        <v>#N/A</v>
      </c>
      <c r="BS22" s="6" t="e">
        <f t="shared" si="65"/>
        <v>#N/A</v>
      </c>
      <c r="BT22" s="7" t="e">
        <f t="shared" si="66"/>
        <v>#N/A</v>
      </c>
      <c r="BU22" s="6" t="e">
        <f t="shared" si="67"/>
        <v>#N/A</v>
      </c>
      <c r="BV22" s="7" t="e">
        <f t="shared" si="68"/>
        <v>#N/A</v>
      </c>
      <c r="BW22" s="6" t="e">
        <f t="shared" si="69"/>
        <v>#N/A</v>
      </c>
      <c r="BX22" s="5" t="e">
        <f t="shared" si="70"/>
        <v>#N/A</v>
      </c>
      <c r="BY22" s="6" t="e">
        <f t="shared" si="71"/>
        <v>#N/A</v>
      </c>
      <c r="BZ22" s="7" t="e">
        <f t="shared" si="72"/>
        <v>#N/A</v>
      </c>
      <c r="CA22" s="6" t="e">
        <f t="shared" si="73"/>
        <v>#N/A</v>
      </c>
      <c r="CB22" s="7" t="e">
        <f t="shared" si="74"/>
        <v>#N/A</v>
      </c>
      <c r="CC22" s="6" t="e">
        <f t="shared" si="75"/>
        <v>#N/A</v>
      </c>
      <c r="CD22" s="5" t="e">
        <f t="shared" si="76"/>
        <v>#N/A</v>
      </c>
      <c r="CE22" s="6" t="e">
        <f t="shared" si="77"/>
        <v>#N/A</v>
      </c>
      <c r="CF22" s="7" t="e">
        <f t="shared" si="78"/>
        <v>#N/A</v>
      </c>
      <c r="CG22" s="6" t="e">
        <f t="shared" si="79"/>
        <v>#N/A</v>
      </c>
      <c r="CH22" s="7" t="e">
        <f t="shared" si="80"/>
        <v>#N/A</v>
      </c>
      <c r="CI22" s="6" t="e">
        <f t="shared" si="81"/>
        <v>#N/A</v>
      </c>
      <c r="CJ22" s="5" t="e">
        <f t="shared" si="82"/>
        <v>#N/A</v>
      </c>
      <c r="CK22" s="6" t="e">
        <f t="shared" si="83"/>
        <v>#N/A</v>
      </c>
      <c r="CL22" s="7" t="e">
        <f t="shared" si="84"/>
        <v>#N/A</v>
      </c>
      <c r="CM22" s="6" t="e">
        <f t="shared" si="85"/>
        <v>#N/A</v>
      </c>
      <c r="CN22" s="7" t="e">
        <f t="shared" si="86"/>
        <v>#N/A</v>
      </c>
      <c r="CO22" s="6" t="e">
        <f t="shared" si="87"/>
        <v>#N/A</v>
      </c>
      <c r="CP22" s="5" t="e">
        <f t="shared" si="88"/>
        <v>#N/A</v>
      </c>
      <c r="CQ22" s="6" t="e">
        <f t="shared" si="89"/>
        <v>#N/A</v>
      </c>
      <c r="CR22" s="7" t="e">
        <f t="shared" si="90"/>
        <v>#N/A</v>
      </c>
      <c r="CS22" s="7" t="e">
        <f t="shared" si="90"/>
        <v>#N/A</v>
      </c>
      <c r="CT22" s="7" t="e">
        <f t="shared" si="90"/>
        <v>#N/A</v>
      </c>
      <c r="CU22" s="7" t="e">
        <f t="shared" si="90"/>
        <v>#N/A</v>
      </c>
      <c r="CV22" s="5" t="e">
        <f t="shared" si="91"/>
        <v>#N/A</v>
      </c>
      <c r="CW22" s="6" t="e">
        <f t="shared" si="92"/>
        <v>#N/A</v>
      </c>
      <c r="CY22" s="7" t="e">
        <v>#N/A</v>
      </c>
      <c r="CZ22" s="5" t="e">
        <f t="array" ref="CZ22">Summary_UpperBound</f>
        <v>#N/A</v>
      </c>
      <c r="DA22" s="6" t="e">
        <f t="shared" si="93"/>
        <v>#N/A</v>
      </c>
    </row>
    <row r="23" spans="1:105" x14ac:dyDescent="0.35">
      <c r="B23" s="14"/>
      <c r="E23" s="12" t="e" vm="2">
        <f t="shared" ca="1" si="94"/>
        <v>#VALUE!</v>
      </c>
      <c r="F23" s="7" t="e">
        <f t="shared" si="0"/>
        <v>#N/A</v>
      </c>
      <c r="G23" s="6" t="e">
        <f t="shared" si="1"/>
        <v>#N/A</v>
      </c>
      <c r="H23" s="7" t="e">
        <f t="shared" si="2"/>
        <v>#N/A</v>
      </c>
      <c r="I23" s="6" t="e">
        <f t="shared" si="3"/>
        <v>#N/A</v>
      </c>
      <c r="J23" s="5" t="e">
        <f t="shared" si="4"/>
        <v>#N/A</v>
      </c>
      <c r="K23" s="6" t="e">
        <f t="shared" si="5"/>
        <v>#N/A</v>
      </c>
      <c r="L23" s="7" t="e">
        <f t="shared" si="6"/>
        <v>#N/A</v>
      </c>
      <c r="M23" s="6" t="e">
        <f t="shared" si="7"/>
        <v>#N/A</v>
      </c>
      <c r="N23" s="7" t="e">
        <f t="shared" si="8"/>
        <v>#N/A</v>
      </c>
      <c r="O23" s="6" t="e">
        <f t="shared" si="9"/>
        <v>#N/A</v>
      </c>
      <c r="P23" s="5" t="e">
        <f t="shared" si="10"/>
        <v>#N/A</v>
      </c>
      <c r="Q23" s="6" t="e">
        <f t="shared" si="11"/>
        <v>#N/A</v>
      </c>
      <c r="R23" s="7" t="e">
        <f t="shared" si="12"/>
        <v>#N/A</v>
      </c>
      <c r="S23" s="6" t="e">
        <f t="shared" si="13"/>
        <v>#N/A</v>
      </c>
      <c r="T23" s="7" t="e">
        <f t="shared" si="14"/>
        <v>#N/A</v>
      </c>
      <c r="U23" s="6" t="e">
        <f t="shared" si="15"/>
        <v>#N/A</v>
      </c>
      <c r="V23" s="5" t="e">
        <f t="shared" si="16"/>
        <v>#N/A</v>
      </c>
      <c r="W23" s="6" t="e">
        <f t="shared" si="17"/>
        <v>#N/A</v>
      </c>
      <c r="X23" s="7" t="e">
        <f t="shared" si="18"/>
        <v>#N/A</v>
      </c>
      <c r="Y23" s="6" t="e">
        <f t="shared" si="19"/>
        <v>#N/A</v>
      </c>
      <c r="Z23" s="7" t="e">
        <f t="shared" si="20"/>
        <v>#N/A</v>
      </c>
      <c r="AA23" s="6" t="e">
        <f t="shared" si="21"/>
        <v>#N/A</v>
      </c>
      <c r="AB23" s="5" t="e">
        <f t="shared" si="22"/>
        <v>#N/A</v>
      </c>
      <c r="AC23" s="6" t="e">
        <f t="shared" si="23"/>
        <v>#N/A</v>
      </c>
      <c r="AD23" s="7" t="e">
        <f t="shared" si="24"/>
        <v>#N/A</v>
      </c>
      <c r="AE23" s="6" t="e">
        <f t="shared" si="25"/>
        <v>#N/A</v>
      </c>
      <c r="AF23" s="7" t="e">
        <f t="shared" si="26"/>
        <v>#N/A</v>
      </c>
      <c r="AG23" s="6" t="e">
        <f t="shared" si="27"/>
        <v>#N/A</v>
      </c>
      <c r="AH23" s="5" t="e">
        <f t="shared" si="28"/>
        <v>#N/A</v>
      </c>
      <c r="AI23" s="6" t="e">
        <f t="shared" si="29"/>
        <v>#N/A</v>
      </c>
      <c r="AJ23" s="7" t="e">
        <f t="shared" si="30"/>
        <v>#N/A</v>
      </c>
      <c r="AK23" s="6" t="e">
        <f t="shared" si="31"/>
        <v>#N/A</v>
      </c>
      <c r="AL23" s="7" t="e">
        <f t="shared" si="32"/>
        <v>#N/A</v>
      </c>
      <c r="AM23" s="6" t="e">
        <f t="shared" si="33"/>
        <v>#N/A</v>
      </c>
      <c r="AN23" s="5" t="e">
        <f t="shared" si="34"/>
        <v>#N/A</v>
      </c>
      <c r="AO23" s="6" t="e">
        <f t="shared" si="35"/>
        <v>#N/A</v>
      </c>
      <c r="AP23" s="7" t="e">
        <f t="shared" si="36"/>
        <v>#N/A</v>
      </c>
      <c r="AQ23" s="6" t="e">
        <f t="shared" si="37"/>
        <v>#N/A</v>
      </c>
      <c r="AR23" s="7" t="e">
        <f t="shared" si="38"/>
        <v>#N/A</v>
      </c>
      <c r="AS23" s="6" t="e">
        <f t="shared" si="39"/>
        <v>#N/A</v>
      </c>
      <c r="AT23" s="5" t="e">
        <f t="shared" si="40"/>
        <v>#N/A</v>
      </c>
      <c r="AU23" s="6" t="e">
        <f t="shared" si="41"/>
        <v>#N/A</v>
      </c>
      <c r="AV23" s="7" t="e">
        <f t="shared" si="42"/>
        <v>#N/A</v>
      </c>
      <c r="AW23" s="6" t="e">
        <f t="shared" si="43"/>
        <v>#N/A</v>
      </c>
      <c r="AX23" s="7" t="e">
        <f t="shared" si="44"/>
        <v>#N/A</v>
      </c>
      <c r="AY23" s="6" t="e">
        <f t="shared" si="45"/>
        <v>#N/A</v>
      </c>
      <c r="AZ23" s="5" t="e">
        <f t="shared" si="46"/>
        <v>#N/A</v>
      </c>
      <c r="BA23" s="6" t="e">
        <f t="shared" si="47"/>
        <v>#N/A</v>
      </c>
      <c r="BB23" s="7" t="e">
        <f t="shared" si="48"/>
        <v>#N/A</v>
      </c>
      <c r="BC23" s="6" t="e">
        <f t="shared" si="49"/>
        <v>#N/A</v>
      </c>
      <c r="BD23" s="7" t="e">
        <f t="shared" si="50"/>
        <v>#N/A</v>
      </c>
      <c r="BE23" s="6" t="e">
        <f t="shared" si="51"/>
        <v>#N/A</v>
      </c>
      <c r="BF23" s="5" t="e">
        <f t="shared" si="52"/>
        <v>#N/A</v>
      </c>
      <c r="BG23" s="6" t="e">
        <f t="shared" si="53"/>
        <v>#N/A</v>
      </c>
      <c r="BH23" s="7" t="e">
        <f t="shared" si="54"/>
        <v>#N/A</v>
      </c>
      <c r="BI23" s="6" t="e">
        <f t="shared" si="55"/>
        <v>#N/A</v>
      </c>
      <c r="BJ23" s="7" t="e">
        <f t="shared" si="56"/>
        <v>#N/A</v>
      </c>
      <c r="BK23" s="6" t="e">
        <f t="shared" si="57"/>
        <v>#N/A</v>
      </c>
      <c r="BL23" s="5" t="e">
        <f t="shared" si="58"/>
        <v>#N/A</v>
      </c>
      <c r="BM23" s="6" t="e">
        <f t="shared" si="59"/>
        <v>#N/A</v>
      </c>
      <c r="BN23" s="7" t="e">
        <f t="shared" si="60"/>
        <v>#N/A</v>
      </c>
      <c r="BO23" s="6" t="e">
        <f t="shared" si="61"/>
        <v>#N/A</v>
      </c>
      <c r="BP23" s="7" t="e">
        <f t="shared" si="62"/>
        <v>#N/A</v>
      </c>
      <c r="BQ23" s="6" t="e">
        <f t="shared" si="63"/>
        <v>#N/A</v>
      </c>
      <c r="BR23" s="5" t="e">
        <f t="shared" si="64"/>
        <v>#N/A</v>
      </c>
      <c r="BS23" s="6" t="e">
        <f t="shared" si="65"/>
        <v>#N/A</v>
      </c>
      <c r="BT23" s="7" t="e">
        <f t="shared" si="66"/>
        <v>#N/A</v>
      </c>
      <c r="BU23" s="6" t="e">
        <f t="shared" si="67"/>
        <v>#N/A</v>
      </c>
      <c r="BV23" s="7" t="e">
        <f t="shared" si="68"/>
        <v>#N/A</v>
      </c>
      <c r="BW23" s="6" t="e">
        <f t="shared" si="69"/>
        <v>#N/A</v>
      </c>
      <c r="BX23" s="5" t="e">
        <f t="shared" si="70"/>
        <v>#N/A</v>
      </c>
      <c r="BY23" s="6" t="e">
        <f t="shared" si="71"/>
        <v>#N/A</v>
      </c>
      <c r="BZ23" s="7" t="e">
        <f t="shared" si="72"/>
        <v>#N/A</v>
      </c>
      <c r="CA23" s="6" t="e">
        <f t="shared" si="73"/>
        <v>#N/A</v>
      </c>
      <c r="CB23" s="7" t="e">
        <f t="shared" si="74"/>
        <v>#N/A</v>
      </c>
      <c r="CC23" s="6" t="e">
        <f t="shared" si="75"/>
        <v>#N/A</v>
      </c>
      <c r="CD23" s="5" t="e">
        <f t="shared" si="76"/>
        <v>#N/A</v>
      </c>
      <c r="CE23" s="6" t="e">
        <f t="shared" si="77"/>
        <v>#N/A</v>
      </c>
      <c r="CF23" s="7" t="e">
        <f t="shared" si="78"/>
        <v>#N/A</v>
      </c>
      <c r="CG23" s="6" t="e">
        <f t="shared" si="79"/>
        <v>#N/A</v>
      </c>
      <c r="CH23" s="7" t="e">
        <f t="shared" si="80"/>
        <v>#N/A</v>
      </c>
      <c r="CI23" s="6" t="e">
        <f t="shared" si="81"/>
        <v>#N/A</v>
      </c>
      <c r="CJ23" s="5" t="e">
        <f t="shared" si="82"/>
        <v>#N/A</v>
      </c>
      <c r="CK23" s="6" t="e">
        <f t="shared" si="83"/>
        <v>#N/A</v>
      </c>
      <c r="CL23" s="7" t="e">
        <f t="shared" si="84"/>
        <v>#N/A</v>
      </c>
      <c r="CM23" s="6" t="e">
        <f t="shared" si="85"/>
        <v>#N/A</v>
      </c>
      <c r="CN23" s="7" t="e">
        <f t="shared" si="86"/>
        <v>#N/A</v>
      </c>
      <c r="CO23" s="6" t="e">
        <f t="shared" si="87"/>
        <v>#N/A</v>
      </c>
      <c r="CP23" s="5" t="e">
        <f t="shared" si="88"/>
        <v>#N/A</v>
      </c>
      <c r="CQ23" s="6" t="e">
        <f t="shared" si="89"/>
        <v>#N/A</v>
      </c>
      <c r="CR23" s="7" t="e">
        <f t="shared" si="90"/>
        <v>#N/A</v>
      </c>
      <c r="CS23" s="7" t="e">
        <f t="shared" si="90"/>
        <v>#N/A</v>
      </c>
      <c r="CT23" s="7" t="e">
        <f t="shared" si="90"/>
        <v>#N/A</v>
      </c>
      <c r="CU23" s="7" t="e">
        <f t="shared" si="90"/>
        <v>#N/A</v>
      </c>
      <c r="CV23" s="5" t="e">
        <f t="shared" si="91"/>
        <v>#N/A</v>
      </c>
      <c r="CW23" s="6" t="e">
        <f t="shared" si="92"/>
        <v>#N/A</v>
      </c>
      <c r="CY23" s="7" t="e">
        <v>#N/A</v>
      </c>
      <c r="CZ23" s="5" t="e">
        <f t="array" ref="CZ23">Summary_UpperBound</f>
        <v>#N/A</v>
      </c>
      <c r="DA23" s="6" t="e">
        <f t="shared" si="93"/>
        <v>#N/A</v>
      </c>
    </row>
    <row r="24" spans="1:105" x14ac:dyDescent="0.35">
      <c r="B24" s="14"/>
      <c r="E24" s="12" t="e" vm="2">
        <f t="shared" ca="1" si="94"/>
        <v>#VALUE!</v>
      </c>
      <c r="F24" s="7" t="e">
        <f t="shared" si="0"/>
        <v>#N/A</v>
      </c>
      <c r="G24" s="6" t="e">
        <f t="shared" si="1"/>
        <v>#N/A</v>
      </c>
      <c r="H24" s="7" t="e">
        <f t="shared" si="2"/>
        <v>#N/A</v>
      </c>
      <c r="I24" s="6" t="e">
        <f t="shared" si="3"/>
        <v>#N/A</v>
      </c>
      <c r="J24" s="5" t="e">
        <f t="shared" si="4"/>
        <v>#N/A</v>
      </c>
      <c r="K24" s="6" t="e">
        <f t="shared" si="5"/>
        <v>#N/A</v>
      </c>
      <c r="L24" s="7" t="e">
        <f t="shared" si="6"/>
        <v>#N/A</v>
      </c>
      <c r="M24" s="6" t="e">
        <f t="shared" si="7"/>
        <v>#N/A</v>
      </c>
      <c r="N24" s="7" t="e">
        <f t="shared" si="8"/>
        <v>#N/A</v>
      </c>
      <c r="O24" s="6" t="e">
        <f t="shared" si="9"/>
        <v>#N/A</v>
      </c>
      <c r="P24" s="5" t="e">
        <f t="shared" si="10"/>
        <v>#N/A</v>
      </c>
      <c r="Q24" s="6" t="e">
        <f t="shared" si="11"/>
        <v>#N/A</v>
      </c>
      <c r="R24" s="7" t="e">
        <f t="shared" si="12"/>
        <v>#N/A</v>
      </c>
      <c r="S24" s="6" t="e">
        <f t="shared" si="13"/>
        <v>#N/A</v>
      </c>
      <c r="T24" s="7" t="e">
        <f t="shared" si="14"/>
        <v>#N/A</v>
      </c>
      <c r="U24" s="6" t="e">
        <f t="shared" si="15"/>
        <v>#N/A</v>
      </c>
      <c r="V24" s="5" t="e">
        <f t="shared" si="16"/>
        <v>#N/A</v>
      </c>
      <c r="W24" s="6" t="e">
        <f t="shared" si="17"/>
        <v>#N/A</v>
      </c>
      <c r="X24" s="7" t="e">
        <f t="shared" si="18"/>
        <v>#N/A</v>
      </c>
      <c r="Y24" s="6" t="e">
        <f t="shared" si="19"/>
        <v>#N/A</v>
      </c>
      <c r="Z24" s="7" t="e">
        <f t="shared" si="20"/>
        <v>#N/A</v>
      </c>
      <c r="AA24" s="6" t="e">
        <f t="shared" si="21"/>
        <v>#N/A</v>
      </c>
      <c r="AB24" s="5" t="e">
        <f t="shared" si="22"/>
        <v>#N/A</v>
      </c>
      <c r="AC24" s="6" t="e">
        <f t="shared" si="23"/>
        <v>#N/A</v>
      </c>
      <c r="AD24" s="7" t="e">
        <f t="shared" si="24"/>
        <v>#N/A</v>
      </c>
      <c r="AE24" s="6" t="e">
        <f t="shared" si="25"/>
        <v>#N/A</v>
      </c>
      <c r="AF24" s="7" t="e">
        <f t="shared" si="26"/>
        <v>#N/A</v>
      </c>
      <c r="AG24" s="6" t="e">
        <f t="shared" si="27"/>
        <v>#N/A</v>
      </c>
      <c r="AH24" s="5" t="e">
        <f t="shared" si="28"/>
        <v>#N/A</v>
      </c>
      <c r="AI24" s="6" t="e">
        <f t="shared" si="29"/>
        <v>#N/A</v>
      </c>
      <c r="AJ24" s="7" t="e">
        <f t="shared" si="30"/>
        <v>#N/A</v>
      </c>
      <c r="AK24" s="6" t="e">
        <f t="shared" si="31"/>
        <v>#N/A</v>
      </c>
      <c r="AL24" s="7" t="e">
        <f t="shared" si="32"/>
        <v>#N/A</v>
      </c>
      <c r="AM24" s="6" t="e">
        <f t="shared" si="33"/>
        <v>#N/A</v>
      </c>
      <c r="AN24" s="5" t="e">
        <f t="shared" si="34"/>
        <v>#N/A</v>
      </c>
      <c r="AO24" s="6" t="e">
        <f t="shared" si="35"/>
        <v>#N/A</v>
      </c>
      <c r="AP24" s="7" t="e">
        <f t="shared" si="36"/>
        <v>#N/A</v>
      </c>
      <c r="AQ24" s="6" t="e">
        <f t="shared" si="37"/>
        <v>#N/A</v>
      </c>
      <c r="AR24" s="7" t="e">
        <f t="shared" si="38"/>
        <v>#N/A</v>
      </c>
      <c r="AS24" s="6" t="e">
        <f t="shared" si="39"/>
        <v>#N/A</v>
      </c>
      <c r="AT24" s="5" t="e">
        <f t="shared" si="40"/>
        <v>#N/A</v>
      </c>
      <c r="AU24" s="6" t="e">
        <f t="shared" si="41"/>
        <v>#N/A</v>
      </c>
      <c r="AV24" s="7" t="e">
        <f t="shared" si="42"/>
        <v>#N/A</v>
      </c>
      <c r="AW24" s="6" t="e">
        <f t="shared" si="43"/>
        <v>#N/A</v>
      </c>
      <c r="AX24" s="7" t="e">
        <f t="shared" si="44"/>
        <v>#N/A</v>
      </c>
      <c r="AY24" s="6" t="e">
        <f t="shared" si="45"/>
        <v>#N/A</v>
      </c>
      <c r="AZ24" s="5" t="e">
        <f t="shared" si="46"/>
        <v>#N/A</v>
      </c>
      <c r="BA24" s="6" t="e">
        <f t="shared" si="47"/>
        <v>#N/A</v>
      </c>
      <c r="BB24" s="7" t="e">
        <f t="shared" si="48"/>
        <v>#N/A</v>
      </c>
      <c r="BC24" s="6" t="e">
        <f t="shared" si="49"/>
        <v>#N/A</v>
      </c>
      <c r="BD24" s="7" t="e">
        <f t="shared" si="50"/>
        <v>#N/A</v>
      </c>
      <c r="BE24" s="6" t="e">
        <f t="shared" si="51"/>
        <v>#N/A</v>
      </c>
      <c r="BF24" s="5" t="e">
        <f t="shared" si="52"/>
        <v>#N/A</v>
      </c>
      <c r="BG24" s="6" t="e">
        <f t="shared" si="53"/>
        <v>#N/A</v>
      </c>
      <c r="BH24" s="7" t="e">
        <f t="shared" si="54"/>
        <v>#N/A</v>
      </c>
      <c r="BI24" s="6" t="e">
        <f t="shared" si="55"/>
        <v>#N/A</v>
      </c>
      <c r="BJ24" s="7" t="e">
        <f t="shared" si="56"/>
        <v>#N/A</v>
      </c>
      <c r="BK24" s="6" t="e">
        <f t="shared" si="57"/>
        <v>#N/A</v>
      </c>
      <c r="BL24" s="5" t="e">
        <f t="shared" si="58"/>
        <v>#N/A</v>
      </c>
      <c r="BM24" s="6" t="e">
        <f t="shared" si="59"/>
        <v>#N/A</v>
      </c>
      <c r="BN24" s="7" t="e">
        <f t="shared" si="60"/>
        <v>#N/A</v>
      </c>
      <c r="BO24" s="6" t="e">
        <f t="shared" si="61"/>
        <v>#N/A</v>
      </c>
      <c r="BP24" s="7" t="e">
        <f t="shared" si="62"/>
        <v>#N/A</v>
      </c>
      <c r="BQ24" s="6" t="e">
        <f t="shared" si="63"/>
        <v>#N/A</v>
      </c>
      <c r="BR24" s="5" t="e">
        <f t="shared" si="64"/>
        <v>#N/A</v>
      </c>
      <c r="BS24" s="6" t="e">
        <f t="shared" si="65"/>
        <v>#N/A</v>
      </c>
      <c r="BT24" s="7" t="e">
        <f t="shared" si="66"/>
        <v>#N/A</v>
      </c>
      <c r="BU24" s="6" t="e">
        <f t="shared" si="67"/>
        <v>#N/A</v>
      </c>
      <c r="BV24" s="7" t="e">
        <f t="shared" si="68"/>
        <v>#N/A</v>
      </c>
      <c r="BW24" s="6" t="e">
        <f t="shared" si="69"/>
        <v>#N/A</v>
      </c>
      <c r="BX24" s="5" t="e">
        <f t="shared" si="70"/>
        <v>#N/A</v>
      </c>
      <c r="BY24" s="6" t="e">
        <f t="shared" si="71"/>
        <v>#N/A</v>
      </c>
      <c r="BZ24" s="7" t="e">
        <f t="shared" si="72"/>
        <v>#N/A</v>
      </c>
      <c r="CA24" s="6" t="e">
        <f t="shared" si="73"/>
        <v>#N/A</v>
      </c>
      <c r="CB24" s="7" t="e">
        <f t="shared" si="74"/>
        <v>#N/A</v>
      </c>
      <c r="CC24" s="6" t="e">
        <f t="shared" si="75"/>
        <v>#N/A</v>
      </c>
      <c r="CD24" s="5" t="e">
        <f t="shared" si="76"/>
        <v>#N/A</v>
      </c>
      <c r="CE24" s="6" t="e">
        <f t="shared" si="77"/>
        <v>#N/A</v>
      </c>
      <c r="CF24" s="7" t="e">
        <f t="shared" si="78"/>
        <v>#N/A</v>
      </c>
      <c r="CG24" s="6" t="e">
        <f t="shared" si="79"/>
        <v>#N/A</v>
      </c>
      <c r="CH24" s="7" t="e">
        <f t="shared" si="80"/>
        <v>#N/A</v>
      </c>
      <c r="CI24" s="6" t="e">
        <f t="shared" si="81"/>
        <v>#N/A</v>
      </c>
      <c r="CJ24" s="5" t="e">
        <f t="shared" si="82"/>
        <v>#N/A</v>
      </c>
      <c r="CK24" s="6" t="e">
        <f t="shared" si="83"/>
        <v>#N/A</v>
      </c>
      <c r="CL24" s="7" t="e">
        <f t="shared" si="84"/>
        <v>#N/A</v>
      </c>
      <c r="CM24" s="6" t="e">
        <f t="shared" si="85"/>
        <v>#N/A</v>
      </c>
      <c r="CN24" s="7" t="e">
        <f t="shared" si="86"/>
        <v>#N/A</v>
      </c>
      <c r="CO24" s="6" t="e">
        <f t="shared" si="87"/>
        <v>#N/A</v>
      </c>
      <c r="CP24" s="5" t="e">
        <f t="shared" si="88"/>
        <v>#N/A</v>
      </c>
      <c r="CQ24" s="6" t="e">
        <f t="shared" si="89"/>
        <v>#N/A</v>
      </c>
      <c r="CR24" s="7" t="e">
        <f t="shared" si="90"/>
        <v>#N/A</v>
      </c>
      <c r="CS24" s="7" t="e">
        <f t="shared" si="90"/>
        <v>#N/A</v>
      </c>
      <c r="CT24" s="7" t="e">
        <f t="shared" si="90"/>
        <v>#N/A</v>
      </c>
      <c r="CU24" s="7" t="e">
        <f t="shared" si="90"/>
        <v>#N/A</v>
      </c>
      <c r="CV24" s="5" t="e">
        <f t="shared" si="91"/>
        <v>#N/A</v>
      </c>
      <c r="CW24" s="6" t="e">
        <f t="shared" si="92"/>
        <v>#N/A</v>
      </c>
      <c r="CY24" s="7" t="e">
        <v>#N/A</v>
      </c>
      <c r="CZ24" s="5" t="e">
        <f t="array" ref="CZ24">Summary_UpperBound</f>
        <v>#N/A</v>
      </c>
      <c r="DA24" s="6" t="e">
        <f t="shared" si="93"/>
        <v>#N/A</v>
      </c>
    </row>
    <row r="25" spans="1:105" x14ac:dyDescent="0.35">
      <c r="B25" s="14"/>
      <c r="E25" s="12" t="e" vm="2">
        <f t="shared" ca="1" si="94"/>
        <v>#VALUE!</v>
      </c>
      <c r="F25" s="7" t="e">
        <f t="shared" si="0"/>
        <v>#N/A</v>
      </c>
      <c r="G25" s="6" t="e">
        <f t="shared" si="1"/>
        <v>#N/A</v>
      </c>
      <c r="H25" s="7" t="e">
        <f t="shared" si="2"/>
        <v>#N/A</v>
      </c>
      <c r="I25" s="6" t="e">
        <f t="shared" si="3"/>
        <v>#N/A</v>
      </c>
      <c r="J25" s="5" t="e">
        <f t="shared" si="4"/>
        <v>#N/A</v>
      </c>
      <c r="K25" s="6" t="e">
        <f t="shared" si="5"/>
        <v>#N/A</v>
      </c>
      <c r="L25" s="7" t="e">
        <f t="shared" si="6"/>
        <v>#N/A</v>
      </c>
      <c r="M25" s="6" t="e">
        <f t="shared" si="7"/>
        <v>#N/A</v>
      </c>
      <c r="N25" s="7" t="e">
        <f t="shared" si="8"/>
        <v>#N/A</v>
      </c>
      <c r="O25" s="6" t="e">
        <f t="shared" si="9"/>
        <v>#N/A</v>
      </c>
      <c r="P25" s="5" t="e">
        <f t="shared" si="10"/>
        <v>#N/A</v>
      </c>
      <c r="Q25" s="6" t="e">
        <f t="shared" si="11"/>
        <v>#N/A</v>
      </c>
      <c r="R25" s="7" t="e">
        <f t="shared" si="12"/>
        <v>#N/A</v>
      </c>
      <c r="S25" s="6" t="e">
        <f t="shared" si="13"/>
        <v>#N/A</v>
      </c>
      <c r="T25" s="7" t="e">
        <f t="shared" si="14"/>
        <v>#N/A</v>
      </c>
      <c r="U25" s="6" t="e">
        <f t="shared" si="15"/>
        <v>#N/A</v>
      </c>
      <c r="V25" s="5" t="e">
        <f t="shared" si="16"/>
        <v>#N/A</v>
      </c>
      <c r="W25" s="6" t="e">
        <f t="shared" si="17"/>
        <v>#N/A</v>
      </c>
      <c r="X25" s="7" t="e">
        <f t="shared" si="18"/>
        <v>#N/A</v>
      </c>
      <c r="Y25" s="6" t="e">
        <f t="shared" si="19"/>
        <v>#N/A</v>
      </c>
      <c r="Z25" s="7" t="e">
        <f t="shared" si="20"/>
        <v>#N/A</v>
      </c>
      <c r="AA25" s="6" t="e">
        <f t="shared" si="21"/>
        <v>#N/A</v>
      </c>
      <c r="AB25" s="5" t="e">
        <f t="shared" si="22"/>
        <v>#N/A</v>
      </c>
      <c r="AC25" s="6" t="e">
        <f t="shared" si="23"/>
        <v>#N/A</v>
      </c>
      <c r="AD25" s="7" t="e">
        <f t="shared" si="24"/>
        <v>#N/A</v>
      </c>
      <c r="AE25" s="6" t="e">
        <f t="shared" si="25"/>
        <v>#N/A</v>
      </c>
      <c r="AF25" s="7" t="e">
        <f t="shared" si="26"/>
        <v>#N/A</v>
      </c>
      <c r="AG25" s="6" t="e">
        <f t="shared" si="27"/>
        <v>#N/A</v>
      </c>
      <c r="AH25" s="5" t="e">
        <f t="shared" si="28"/>
        <v>#N/A</v>
      </c>
      <c r="AI25" s="6" t="e">
        <f t="shared" si="29"/>
        <v>#N/A</v>
      </c>
      <c r="AJ25" s="7" t="e">
        <f t="shared" si="30"/>
        <v>#N/A</v>
      </c>
      <c r="AK25" s="6" t="e">
        <f t="shared" si="31"/>
        <v>#N/A</v>
      </c>
      <c r="AL25" s="7" t="e">
        <f t="shared" si="32"/>
        <v>#N/A</v>
      </c>
      <c r="AM25" s="6" t="e">
        <f t="shared" si="33"/>
        <v>#N/A</v>
      </c>
      <c r="AN25" s="5" t="e">
        <f t="shared" si="34"/>
        <v>#N/A</v>
      </c>
      <c r="AO25" s="6" t="e">
        <f t="shared" si="35"/>
        <v>#N/A</v>
      </c>
      <c r="AP25" s="7" t="e">
        <f t="shared" si="36"/>
        <v>#N/A</v>
      </c>
      <c r="AQ25" s="6" t="e">
        <f t="shared" si="37"/>
        <v>#N/A</v>
      </c>
      <c r="AR25" s="7" t="e">
        <f t="shared" si="38"/>
        <v>#N/A</v>
      </c>
      <c r="AS25" s="6" t="e">
        <f t="shared" si="39"/>
        <v>#N/A</v>
      </c>
      <c r="AT25" s="5" t="e">
        <f t="shared" si="40"/>
        <v>#N/A</v>
      </c>
      <c r="AU25" s="6" t="e">
        <f t="shared" si="41"/>
        <v>#N/A</v>
      </c>
      <c r="AV25" s="7" t="e">
        <f t="shared" si="42"/>
        <v>#N/A</v>
      </c>
      <c r="AW25" s="6" t="e">
        <f t="shared" si="43"/>
        <v>#N/A</v>
      </c>
      <c r="AX25" s="7" t="e">
        <f t="shared" si="44"/>
        <v>#N/A</v>
      </c>
      <c r="AY25" s="6" t="e">
        <f t="shared" si="45"/>
        <v>#N/A</v>
      </c>
      <c r="AZ25" s="5" t="e">
        <f t="shared" si="46"/>
        <v>#N/A</v>
      </c>
      <c r="BA25" s="6" t="e">
        <f t="shared" si="47"/>
        <v>#N/A</v>
      </c>
      <c r="BB25" s="7" t="e">
        <f t="shared" si="48"/>
        <v>#N/A</v>
      </c>
      <c r="BC25" s="6" t="e">
        <f t="shared" si="49"/>
        <v>#N/A</v>
      </c>
      <c r="BD25" s="7" t="e">
        <f t="shared" si="50"/>
        <v>#N/A</v>
      </c>
      <c r="BE25" s="6" t="e">
        <f t="shared" si="51"/>
        <v>#N/A</v>
      </c>
      <c r="BF25" s="5" t="e">
        <f t="shared" si="52"/>
        <v>#N/A</v>
      </c>
      <c r="BG25" s="6" t="e">
        <f t="shared" si="53"/>
        <v>#N/A</v>
      </c>
      <c r="BH25" s="7" t="e">
        <f t="shared" si="54"/>
        <v>#N/A</v>
      </c>
      <c r="BI25" s="6" t="e">
        <f t="shared" si="55"/>
        <v>#N/A</v>
      </c>
      <c r="BJ25" s="7" t="e">
        <f t="shared" si="56"/>
        <v>#N/A</v>
      </c>
      <c r="BK25" s="6" t="e">
        <f t="shared" si="57"/>
        <v>#N/A</v>
      </c>
      <c r="BL25" s="5" t="e">
        <f t="shared" si="58"/>
        <v>#N/A</v>
      </c>
      <c r="BM25" s="6" t="e">
        <f t="shared" si="59"/>
        <v>#N/A</v>
      </c>
      <c r="BN25" s="7" t="e">
        <f t="shared" si="60"/>
        <v>#N/A</v>
      </c>
      <c r="BO25" s="6" t="e">
        <f t="shared" si="61"/>
        <v>#N/A</v>
      </c>
      <c r="BP25" s="7" t="e">
        <f t="shared" si="62"/>
        <v>#N/A</v>
      </c>
      <c r="BQ25" s="6" t="e">
        <f t="shared" si="63"/>
        <v>#N/A</v>
      </c>
      <c r="BR25" s="5" t="e">
        <f t="shared" si="64"/>
        <v>#N/A</v>
      </c>
      <c r="BS25" s="6" t="e">
        <f t="shared" si="65"/>
        <v>#N/A</v>
      </c>
      <c r="BT25" s="7" t="e">
        <f t="shared" si="66"/>
        <v>#N/A</v>
      </c>
      <c r="BU25" s="6" t="e">
        <f t="shared" si="67"/>
        <v>#N/A</v>
      </c>
      <c r="BV25" s="7" t="e">
        <f t="shared" si="68"/>
        <v>#N/A</v>
      </c>
      <c r="BW25" s="6" t="e">
        <f t="shared" si="69"/>
        <v>#N/A</v>
      </c>
      <c r="BX25" s="5" t="e">
        <f t="shared" si="70"/>
        <v>#N/A</v>
      </c>
      <c r="BY25" s="6" t="e">
        <f t="shared" si="71"/>
        <v>#N/A</v>
      </c>
      <c r="BZ25" s="7" t="e">
        <f t="shared" si="72"/>
        <v>#N/A</v>
      </c>
      <c r="CA25" s="6" t="e">
        <f t="shared" si="73"/>
        <v>#N/A</v>
      </c>
      <c r="CB25" s="7" t="e">
        <f t="shared" si="74"/>
        <v>#N/A</v>
      </c>
      <c r="CC25" s="6" t="e">
        <f t="shared" si="75"/>
        <v>#N/A</v>
      </c>
      <c r="CD25" s="5" t="e">
        <f t="shared" si="76"/>
        <v>#N/A</v>
      </c>
      <c r="CE25" s="6" t="e">
        <f t="shared" si="77"/>
        <v>#N/A</v>
      </c>
      <c r="CF25" s="7" t="e">
        <f t="shared" si="78"/>
        <v>#N/A</v>
      </c>
      <c r="CG25" s="6" t="e">
        <f t="shared" si="79"/>
        <v>#N/A</v>
      </c>
      <c r="CH25" s="7" t="e">
        <f t="shared" si="80"/>
        <v>#N/A</v>
      </c>
      <c r="CI25" s="6" t="e">
        <f t="shared" si="81"/>
        <v>#N/A</v>
      </c>
      <c r="CJ25" s="5" t="e">
        <f t="shared" si="82"/>
        <v>#N/A</v>
      </c>
      <c r="CK25" s="6" t="e">
        <f t="shared" si="83"/>
        <v>#N/A</v>
      </c>
      <c r="CL25" s="7" t="e">
        <f t="shared" si="84"/>
        <v>#N/A</v>
      </c>
      <c r="CM25" s="6" t="e">
        <f t="shared" si="85"/>
        <v>#N/A</v>
      </c>
      <c r="CN25" s="7" t="e">
        <f t="shared" si="86"/>
        <v>#N/A</v>
      </c>
      <c r="CO25" s="6" t="e">
        <f t="shared" si="87"/>
        <v>#N/A</v>
      </c>
      <c r="CP25" s="5" t="e">
        <f t="shared" si="88"/>
        <v>#N/A</v>
      </c>
      <c r="CQ25" s="6" t="e">
        <f t="shared" si="89"/>
        <v>#N/A</v>
      </c>
      <c r="CR25" s="7" t="e">
        <f t="shared" si="90"/>
        <v>#N/A</v>
      </c>
      <c r="CS25" s="7" t="e">
        <f t="shared" si="90"/>
        <v>#N/A</v>
      </c>
      <c r="CT25" s="7" t="e">
        <f t="shared" si="90"/>
        <v>#N/A</v>
      </c>
      <c r="CU25" s="7" t="e">
        <f t="shared" si="90"/>
        <v>#N/A</v>
      </c>
      <c r="CV25" s="5" t="e">
        <f t="shared" si="91"/>
        <v>#N/A</v>
      </c>
      <c r="CW25" s="6" t="e">
        <f t="shared" si="92"/>
        <v>#N/A</v>
      </c>
      <c r="CY25" s="7" t="e">
        <v>#N/A</v>
      </c>
      <c r="CZ25" s="5" t="e">
        <f t="array" ref="CZ25">Summary_UpperBound</f>
        <v>#N/A</v>
      </c>
      <c r="DA25" s="6" t="e">
        <f t="shared" si="93"/>
        <v>#N/A</v>
      </c>
    </row>
    <row r="26" spans="1:105" x14ac:dyDescent="0.35">
      <c r="B26" s="14"/>
      <c r="E26" s="12" t="e" vm="2">
        <f t="shared" ca="1" si="94"/>
        <v>#VALUE!</v>
      </c>
      <c r="F26" s="7" t="e">
        <f t="shared" si="0"/>
        <v>#N/A</v>
      </c>
      <c r="G26" s="6" t="e">
        <f t="shared" si="1"/>
        <v>#N/A</v>
      </c>
      <c r="H26" s="7" t="e">
        <f t="shared" si="2"/>
        <v>#N/A</v>
      </c>
      <c r="I26" s="6" t="e">
        <f t="shared" si="3"/>
        <v>#N/A</v>
      </c>
      <c r="J26" s="5" t="e">
        <f t="shared" si="4"/>
        <v>#N/A</v>
      </c>
      <c r="K26" s="6" t="e">
        <f t="shared" si="5"/>
        <v>#N/A</v>
      </c>
      <c r="L26" s="7" t="e">
        <f t="shared" si="6"/>
        <v>#N/A</v>
      </c>
      <c r="M26" s="6" t="e">
        <f t="shared" si="7"/>
        <v>#N/A</v>
      </c>
      <c r="N26" s="7" t="e">
        <f t="shared" si="8"/>
        <v>#N/A</v>
      </c>
      <c r="O26" s="6" t="e">
        <f t="shared" si="9"/>
        <v>#N/A</v>
      </c>
      <c r="P26" s="5" t="e">
        <f t="shared" si="10"/>
        <v>#N/A</v>
      </c>
      <c r="Q26" s="6" t="e">
        <f t="shared" si="11"/>
        <v>#N/A</v>
      </c>
      <c r="R26" s="7" t="e">
        <f t="shared" si="12"/>
        <v>#N/A</v>
      </c>
      <c r="S26" s="6" t="e">
        <f t="shared" si="13"/>
        <v>#N/A</v>
      </c>
      <c r="T26" s="7" t="e">
        <f t="shared" si="14"/>
        <v>#N/A</v>
      </c>
      <c r="U26" s="6" t="e">
        <f t="shared" si="15"/>
        <v>#N/A</v>
      </c>
      <c r="V26" s="5" t="e">
        <f t="shared" si="16"/>
        <v>#N/A</v>
      </c>
      <c r="W26" s="6" t="e">
        <f t="shared" si="17"/>
        <v>#N/A</v>
      </c>
      <c r="X26" s="7" t="e">
        <f t="shared" si="18"/>
        <v>#N/A</v>
      </c>
      <c r="Y26" s="6" t="e">
        <f t="shared" si="19"/>
        <v>#N/A</v>
      </c>
      <c r="Z26" s="7" t="e">
        <f t="shared" si="20"/>
        <v>#N/A</v>
      </c>
      <c r="AA26" s="6" t="e">
        <f t="shared" si="21"/>
        <v>#N/A</v>
      </c>
      <c r="AB26" s="5" t="e">
        <f t="shared" si="22"/>
        <v>#N/A</v>
      </c>
      <c r="AC26" s="6" t="e">
        <f t="shared" si="23"/>
        <v>#N/A</v>
      </c>
      <c r="AD26" s="7" t="e">
        <f t="shared" si="24"/>
        <v>#N/A</v>
      </c>
      <c r="AE26" s="6" t="e">
        <f t="shared" si="25"/>
        <v>#N/A</v>
      </c>
      <c r="AF26" s="7" t="e">
        <f t="shared" si="26"/>
        <v>#N/A</v>
      </c>
      <c r="AG26" s="6" t="e">
        <f t="shared" si="27"/>
        <v>#N/A</v>
      </c>
      <c r="AH26" s="5" t="e">
        <f t="shared" si="28"/>
        <v>#N/A</v>
      </c>
      <c r="AI26" s="6" t="e">
        <f t="shared" si="29"/>
        <v>#N/A</v>
      </c>
      <c r="AJ26" s="7" t="e">
        <f t="shared" si="30"/>
        <v>#N/A</v>
      </c>
      <c r="AK26" s="6" t="e">
        <f t="shared" si="31"/>
        <v>#N/A</v>
      </c>
      <c r="AL26" s="7" t="e">
        <f t="shared" si="32"/>
        <v>#N/A</v>
      </c>
      <c r="AM26" s="6" t="e">
        <f t="shared" si="33"/>
        <v>#N/A</v>
      </c>
      <c r="AN26" s="5" t="e">
        <f t="shared" si="34"/>
        <v>#N/A</v>
      </c>
      <c r="AO26" s="6" t="e">
        <f t="shared" si="35"/>
        <v>#N/A</v>
      </c>
      <c r="AP26" s="7" t="e">
        <f t="shared" si="36"/>
        <v>#N/A</v>
      </c>
      <c r="AQ26" s="6" t="e">
        <f t="shared" si="37"/>
        <v>#N/A</v>
      </c>
      <c r="AR26" s="7" t="e">
        <f t="shared" si="38"/>
        <v>#N/A</v>
      </c>
      <c r="AS26" s="6" t="e">
        <f t="shared" si="39"/>
        <v>#N/A</v>
      </c>
      <c r="AT26" s="5" t="e">
        <f t="shared" si="40"/>
        <v>#N/A</v>
      </c>
      <c r="AU26" s="6" t="e">
        <f t="shared" si="41"/>
        <v>#N/A</v>
      </c>
      <c r="AV26" s="7" t="e">
        <f t="shared" si="42"/>
        <v>#N/A</v>
      </c>
      <c r="AW26" s="6" t="e">
        <f t="shared" si="43"/>
        <v>#N/A</v>
      </c>
      <c r="AX26" s="7" t="e">
        <f t="shared" si="44"/>
        <v>#N/A</v>
      </c>
      <c r="AY26" s="6" t="e">
        <f t="shared" si="45"/>
        <v>#N/A</v>
      </c>
      <c r="AZ26" s="5" t="e">
        <f t="shared" si="46"/>
        <v>#N/A</v>
      </c>
      <c r="BA26" s="6" t="e">
        <f t="shared" si="47"/>
        <v>#N/A</v>
      </c>
      <c r="BB26" s="7" t="e">
        <f t="shared" si="48"/>
        <v>#N/A</v>
      </c>
      <c r="BC26" s="6" t="e">
        <f t="shared" si="49"/>
        <v>#N/A</v>
      </c>
      <c r="BD26" s="7" t="e">
        <f t="shared" si="50"/>
        <v>#N/A</v>
      </c>
      <c r="BE26" s="6" t="e">
        <f t="shared" si="51"/>
        <v>#N/A</v>
      </c>
      <c r="BF26" s="5" t="e">
        <f t="shared" si="52"/>
        <v>#N/A</v>
      </c>
      <c r="BG26" s="6" t="e">
        <f t="shared" si="53"/>
        <v>#N/A</v>
      </c>
      <c r="BH26" s="7" t="e">
        <f t="shared" si="54"/>
        <v>#N/A</v>
      </c>
      <c r="BI26" s="6" t="e">
        <f t="shared" si="55"/>
        <v>#N/A</v>
      </c>
      <c r="BJ26" s="7" t="e">
        <f t="shared" si="56"/>
        <v>#N/A</v>
      </c>
      <c r="BK26" s="6" t="e">
        <f t="shared" si="57"/>
        <v>#N/A</v>
      </c>
      <c r="BL26" s="5" t="e">
        <f t="shared" si="58"/>
        <v>#N/A</v>
      </c>
      <c r="BM26" s="6" t="e">
        <f t="shared" si="59"/>
        <v>#N/A</v>
      </c>
      <c r="BN26" s="7" t="e">
        <f t="shared" si="60"/>
        <v>#N/A</v>
      </c>
      <c r="BO26" s="6" t="e">
        <f t="shared" si="61"/>
        <v>#N/A</v>
      </c>
      <c r="BP26" s="7" t="e">
        <f t="shared" si="62"/>
        <v>#N/A</v>
      </c>
      <c r="BQ26" s="6" t="e">
        <f t="shared" si="63"/>
        <v>#N/A</v>
      </c>
      <c r="BR26" s="5" t="e">
        <f t="shared" si="64"/>
        <v>#N/A</v>
      </c>
      <c r="BS26" s="6" t="e">
        <f t="shared" si="65"/>
        <v>#N/A</v>
      </c>
      <c r="BT26" s="7" t="e">
        <f t="shared" si="66"/>
        <v>#N/A</v>
      </c>
      <c r="BU26" s="6" t="e">
        <f t="shared" si="67"/>
        <v>#N/A</v>
      </c>
      <c r="BV26" s="7" t="e">
        <f t="shared" si="68"/>
        <v>#N/A</v>
      </c>
      <c r="BW26" s="6" t="e">
        <f t="shared" si="69"/>
        <v>#N/A</v>
      </c>
      <c r="BX26" s="5" t="e">
        <f t="shared" si="70"/>
        <v>#N/A</v>
      </c>
      <c r="BY26" s="6" t="e">
        <f t="shared" si="71"/>
        <v>#N/A</v>
      </c>
      <c r="BZ26" s="7" t="e">
        <f t="shared" si="72"/>
        <v>#N/A</v>
      </c>
      <c r="CA26" s="6" t="e">
        <f t="shared" si="73"/>
        <v>#N/A</v>
      </c>
      <c r="CB26" s="7" t="e">
        <f t="shared" si="74"/>
        <v>#N/A</v>
      </c>
      <c r="CC26" s="6" t="e">
        <f t="shared" si="75"/>
        <v>#N/A</v>
      </c>
      <c r="CD26" s="5" t="e">
        <f t="shared" si="76"/>
        <v>#N/A</v>
      </c>
      <c r="CE26" s="6" t="e">
        <f t="shared" si="77"/>
        <v>#N/A</v>
      </c>
      <c r="CF26" s="7" t="e">
        <f t="shared" si="78"/>
        <v>#N/A</v>
      </c>
      <c r="CG26" s="6" t="e">
        <f t="shared" si="79"/>
        <v>#N/A</v>
      </c>
      <c r="CH26" s="7" t="e">
        <f t="shared" si="80"/>
        <v>#N/A</v>
      </c>
      <c r="CI26" s="6" t="e">
        <f t="shared" si="81"/>
        <v>#N/A</v>
      </c>
      <c r="CJ26" s="5" t="e">
        <f t="shared" si="82"/>
        <v>#N/A</v>
      </c>
      <c r="CK26" s="6" t="e">
        <f t="shared" si="83"/>
        <v>#N/A</v>
      </c>
      <c r="CL26" s="7" t="e">
        <f t="shared" si="84"/>
        <v>#N/A</v>
      </c>
      <c r="CM26" s="6" t="e">
        <f t="shared" si="85"/>
        <v>#N/A</v>
      </c>
      <c r="CN26" s="7" t="e">
        <f t="shared" si="86"/>
        <v>#N/A</v>
      </c>
      <c r="CO26" s="6" t="e">
        <f t="shared" si="87"/>
        <v>#N/A</v>
      </c>
      <c r="CP26" s="5" t="e">
        <f t="shared" si="88"/>
        <v>#N/A</v>
      </c>
      <c r="CQ26" s="6" t="e">
        <f t="shared" si="89"/>
        <v>#N/A</v>
      </c>
      <c r="CR26" s="7" t="e">
        <f t="shared" si="90"/>
        <v>#N/A</v>
      </c>
      <c r="CS26" s="7" t="e">
        <f t="shared" si="90"/>
        <v>#N/A</v>
      </c>
      <c r="CT26" s="7" t="e">
        <f t="shared" si="90"/>
        <v>#N/A</v>
      </c>
      <c r="CU26" s="7" t="e">
        <f t="shared" si="90"/>
        <v>#N/A</v>
      </c>
      <c r="CV26" s="5" t="e">
        <f t="shared" si="91"/>
        <v>#N/A</v>
      </c>
      <c r="CW26" s="6" t="e">
        <f t="shared" si="92"/>
        <v>#N/A</v>
      </c>
      <c r="CY26" s="7" t="e">
        <v>#N/A</v>
      </c>
      <c r="CZ26" s="5" t="e">
        <f t="array" ref="CZ26">Summary_UpperBound</f>
        <v>#N/A</v>
      </c>
      <c r="DA26" s="6" t="e">
        <f t="shared" si="93"/>
        <v>#N/A</v>
      </c>
    </row>
    <row r="27" spans="1:105" x14ac:dyDescent="0.35">
      <c r="B27" s="14"/>
      <c r="E27" s="12" t="e" vm="2">
        <f t="shared" ca="1" si="94"/>
        <v>#VALUE!</v>
      </c>
      <c r="F27" s="7" t="e">
        <f t="shared" si="0"/>
        <v>#N/A</v>
      </c>
      <c r="G27" s="6" t="e">
        <f t="shared" si="1"/>
        <v>#N/A</v>
      </c>
      <c r="H27" s="7" t="e">
        <f t="shared" si="2"/>
        <v>#N/A</v>
      </c>
      <c r="I27" s="6" t="e">
        <f t="shared" si="3"/>
        <v>#N/A</v>
      </c>
      <c r="J27" s="5" t="e">
        <f t="shared" si="4"/>
        <v>#N/A</v>
      </c>
      <c r="K27" s="6" t="e">
        <f t="shared" si="5"/>
        <v>#N/A</v>
      </c>
      <c r="L27" s="7" t="e">
        <f t="shared" si="6"/>
        <v>#N/A</v>
      </c>
      <c r="M27" s="6" t="e">
        <f t="shared" si="7"/>
        <v>#N/A</v>
      </c>
      <c r="N27" s="7" t="e">
        <f t="shared" si="8"/>
        <v>#N/A</v>
      </c>
      <c r="O27" s="6" t="e">
        <f t="shared" si="9"/>
        <v>#N/A</v>
      </c>
      <c r="P27" s="5" t="e">
        <f t="shared" si="10"/>
        <v>#N/A</v>
      </c>
      <c r="Q27" s="6" t="e">
        <f t="shared" si="11"/>
        <v>#N/A</v>
      </c>
      <c r="R27" s="7" t="e">
        <f t="shared" si="12"/>
        <v>#N/A</v>
      </c>
      <c r="S27" s="6" t="e">
        <f t="shared" si="13"/>
        <v>#N/A</v>
      </c>
      <c r="T27" s="7" t="e">
        <f t="shared" si="14"/>
        <v>#N/A</v>
      </c>
      <c r="U27" s="6" t="e">
        <f t="shared" si="15"/>
        <v>#N/A</v>
      </c>
      <c r="V27" s="5" t="e">
        <f t="shared" si="16"/>
        <v>#N/A</v>
      </c>
      <c r="W27" s="6" t="e">
        <f t="shared" si="17"/>
        <v>#N/A</v>
      </c>
      <c r="X27" s="7" t="e">
        <f t="shared" si="18"/>
        <v>#N/A</v>
      </c>
      <c r="Y27" s="6" t="e">
        <f t="shared" si="19"/>
        <v>#N/A</v>
      </c>
      <c r="Z27" s="7" t="e">
        <f t="shared" si="20"/>
        <v>#N/A</v>
      </c>
      <c r="AA27" s="6" t="e">
        <f t="shared" si="21"/>
        <v>#N/A</v>
      </c>
      <c r="AB27" s="5" t="e">
        <f t="shared" si="22"/>
        <v>#N/A</v>
      </c>
      <c r="AC27" s="6" t="e">
        <f t="shared" si="23"/>
        <v>#N/A</v>
      </c>
      <c r="AD27" s="7" t="e">
        <f t="shared" si="24"/>
        <v>#N/A</v>
      </c>
      <c r="AE27" s="6" t="e">
        <f t="shared" si="25"/>
        <v>#N/A</v>
      </c>
      <c r="AF27" s="7" t="e">
        <f t="shared" si="26"/>
        <v>#N/A</v>
      </c>
      <c r="AG27" s="6" t="e">
        <f t="shared" si="27"/>
        <v>#N/A</v>
      </c>
      <c r="AH27" s="5" t="e">
        <f t="shared" si="28"/>
        <v>#N/A</v>
      </c>
      <c r="AI27" s="6" t="e">
        <f t="shared" si="29"/>
        <v>#N/A</v>
      </c>
      <c r="AJ27" s="7" t="e">
        <f t="shared" si="30"/>
        <v>#N/A</v>
      </c>
      <c r="AK27" s="6" t="e">
        <f t="shared" si="31"/>
        <v>#N/A</v>
      </c>
      <c r="AL27" s="7" t="e">
        <f t="shared" si="32"/>
        <v>#N/A</v>
      </c>
      <c r="AM27" s="6" t="e">
        <f t="shared" si="33"/>
        <v>#N/A</v>
      </c>
      <c r="AN27" s="5" t="e">
        <f t="shared" si="34"/>
        <v>#N/A</v>
      </c>
      <c r="AO27" s="6" t="e">
        <f t="shared" si="35"/>
        <v>#N/A</v>
      </c>
      <c r="AP27" s="7" t="e">
        <f t="shared" si="36"/>
        <v>#N/A</v>
      </c>
      <c r="AQ27" s="6" t="e">
        <f t="shared" si="37"/>
        <v>#N/A</v>
      </c>
      <c r="AR27" s="7" t="e">
        <f t="shared" si="38"/>
        <v>#N/A</v>
      </c>
      <c r="AS27" s="6" t="e">
        <f t="shared" si="39"/>
        <v>#N/A</v>
      </c>
      <c r="AT27" s="5" t="e">
        <f t="shared" si="40"/>
        <v>#N/A</v>
      </c>
      <c r="AU27" s="6" t="e">
        <f t="shared" si="41"/>
        <v>#N/A</v>
      </c>
      <c r="AV27" s="7" t="e">
        <f t="shared" si="42"/>
        <v>#N/A</v>
      </c>
      <c r="AW27" s="6" t="e">
        <f t="shared" si="43"/>
        <v>#N/A</v>
      </c>
      <c r="AX27" s="7" t="e">
        <f t="shared" si="44"/>
        <v>#N/A</v>
      </c>
      <c r="AY27" s="6" t="e">
        <f t="shared" si="45"/>
        <v>#N/A</v>
      </c>
      <c r="AZ27" s="5" t="e">
        <f t="shared" si="46"/>
        <v>#N/A</v>
      </c>
      <c r="BA27" s="6" t="e">
        <f t="shared" si="47"/>
        <v>#N/A</v>
      </c>
      <c r="BB27" s="7" t="e">
        <f t="shared" si="48"/>
        <v>#N/A</v>
      </c>
      <c r="BC27" s="6" t="e">
        <f t="shared" si="49"/>
        <v>#N/A</v>
      </c>
      <c r="BD27" s="7" t="e">
        <f t="shared" si="50"/>
        <v>#N/A</v>
      </c>
      <c r="BE27" s="6" t="e">
        <f t="shared" si="51"/>
        <v>#N/A</v>
      </c>
      <c r="BF27" s="5" t="e">
        <f t="shared" si="52"/>
        <v>#N/A</v>
      </c>
      <c r="BG27" s="6" t="e">
        <f t="shared" si="53"/>
        <v>#N/A</v>
      </c>
      <c r="BH27" s="7" t="e">
        <f t="shared" si="54"/>
        <v>#N/A</v>
      </c>
      <c r="BI27" s="6" t="e">
        <f t="shared" si="55"/>
        <v>#N/A</v>
      </c>
      <c r="BJ27" s="7" t="e">
        <f t="shared" si="56"/>
        <v>#N/A</v>
      </c>
      <c r="BK27" s="6" t="e">
        <f t="shared" si="57"/>
        <v>#N/A</v>
      </c>
      <c r="BL27" s="5" t="e">
        <f t="shared" si="58"/>
        <v>#N/A</v>
      </c>
      <c r="BM27" s="6" t="e">
        <f t="shared" si="59"/>
        <v>#N/A</v>
      </c>
      <c r="BN27" s="7" t="e">
        <f t="shared" si="60"/>
        <v>#N/A</v>
      </c>
      <c r="BO27" s="6" t="e">
        <f t="shared" si="61"/>
        <v>#N/A</v>
      </c>
      <c r="BP27" s="7" t="e">
        <f t="shared" si="62"/>
        <v>#N/A</v>
      </c>
      <c r="BQ27" s="6" t="e">
        <f t="shared" si="63"/>
        <v>#N/A</v>
      </c>
      <c r="BR27" s="5" t="e">
        <f t="shared" si="64"/>
        <v>#N/A</v>
      </c>
      <c r="BS27" s="6" t="e">
        <f t="shared" si="65"/>
        <v>#N/A</v>
      </c>
      <c r="BT27" s="7" t="e">
        <f t="shared" si="66"/>
        <v>#N/A</v>
      </c>
      <c r="BU27" s="6" t="e">
        <f t="shared" si="67"/>
        <v>#N/A</v>
      </c>
      <c r="BV27" s="7" t="e">
        <f t="shared" si="68"/>
        <v>#N/A</v>
      </c>
      <c r="BW27" s="6" t="e">
        <f t="shared" si="69"/>
        <v>#N/A</v>
      </c>
      <c r="BX27" s="5" t="e">
        <f t="shared" si="70"/>
        <v>#N/A</v>
      </c>
      <c r="BY27" s="6" t="e">
        <f t="shared" si="71"/>
        <v>#N/A</v>
      </c>
      <c r="BZ27" s="7" t="e">
        <f t="shared" si="72"/>
        <v>#N/A</v>
      </c>
      <c r="CA27" s="6" t="e">
        <f t="shared" si="73"/>
        <v>#N/A</v>
      </c>
      <c r="CB27" s="7" t="e">
        <f t="shared" si="74"/>
        <v>#N/A</v>
      </c>
      <c r="CC27" s="6" t="e">
        <f t="shared" si="75"/>
        <v>#N/A</v>
      </c>
      <c r="CD27" s="5" t="e">
        <f t="shared" si="76"/>
        <v>#N/A</v>
      </c>
      <c r="CE27" s="6" t="e">
        <f t="shared" si="77"/>
        <v>#N/A</v>
      </c>
      <c r="CF27" s="7" t="e">
        <f t="shared" si="78"/>
        <v>#N/A</v>
      </c>
      <c r="CG27" s="6" t="e">
        <f t="shared" si="79"/>
        <v>#N/A</v>
      </c>
      <c r="CH27" s="7" t="e">
        <f t="shared" si="80"/>
        <v>#N/A</v>
      </c>
      <c r="CI27" s="6" t="e">
        <f t="shared" si="81"/>
        <v>#N/A</v>
      </c>
      <c r="CJ27" s="5" t="e">
        <f t="shared" si="82"/>
        <v>#N/A</v>
      </c>
      <c r="CK27" s="6" t="e">
        <f t="shared" si="83"/>
        <v>#N/A</v>
      </c>
      <c r="CL27" s="7" t="e">
        <f t="shared" si="84"/>
        <v>#N/A</v>
      </c>
      <c r="CM27" s="6" t="e">
        <f t="shared" si="85"/>
        <v>#N/A</v>
      </c>
      <c r="CN27" s="7" t="e">
        <f t="shared" si="86"/>
        <v>#N/A</v>
      </c>
      <c r="CO27" s="6" t="e">
        <f t="shared" si="87"/>
        <v>#N/A</v>
      </c>
      <c r="CP27" s="5" t="e">
        <f t="shared" si="88"/>
        <v>#N/A</v>
      </c>
      <c r="CQ27" s="6" t="e">
        <f t="shared" si="89"/>
        <v>#N/A</v>
      </c>
      <c r="CR27" s="7" t="e">
        <f t="shared" si="90"/>
        <v>#N/A</v>
      </c>
      <c r="CS27" s="7" t="e">
        <f t="shared" si="90"/>
        <v>#N/A</v>
      </c>
      <c r="CT27" s="7" t="e">
        <f t="shared" si="90"/>
        <v>#N/A</v>
      </c>
      <c r="CU27" s="7" t="e">
        <f t="shared" si="90"/>
        <v>#N/A</v>
      </c>
      <c r="CV27" s="5" t="e">
        <f t="shared" si="91"/>
        <v>#N/A</v>
      </c>
      <c r="CW27" s="6" t="e">
        <f t="shared" si="92"/>
        <v>#N/A</v>
      </c>
      <c r="CY27" s="7" t="e">
        <v>#N/A</v>
      </c>
      <c r="CZ27" s="5" t="e">
        <f t="array" ref="CZ27">Summary_UpperBound</f>
        <v>#N/A</v>
      </c>
      <c r="DA27" s="6" t="e">
        <f t="shared" si="93"/>
        <v>#N/A</v>
      </c>
    </row>
    <row r="28" spans="1:105" x14ac:dyDescent="0.35">
      <c r="B28" s="14"/>
      <c r="E28" s="12" t="e" vm="2">
        <f t="shared" ca="1" si="94"/>
        <v>#VALUE!</v>
      </c>
      <c r="F28" s="7" t="e">
        <f t="shared" si="0"/>
        <v>#N/A</v>
      </c>
      <c r="G28" s="6" t="e">
        <f t="shared" si="1"/>
        <v>#N/A</v>
      </c>
      <c r="H28" s="7" t="e">
        <f t="shared" si="2"/>
        <v>#N/A</v>
      </c>
      <c r="I28" s="6" t="e">
        <f t="shared" si="3"/>
        <v>#N/A</v>
      </c>
      <c r="J28" s="5" t="e">
        <f t="shared" si="4"/>
        <v>#N/A</v>
      </c>
      <c r="K28" s="6" t="e">
        <f t="shared" si="5"/>
        <v>#N/A</v>
      </c>
      <c r="L28" s="7" t="e">
        <f t="shared" si="6"/>
        <v>#N/A</v>
      </c>
      <c r="M28" s="6" t="e">
        <f t="shared" si="7"/>
        <v>#N/A</v>
      </c>
      <c r="N28" s="7" t="e">
        <f t="shared" si="8"/>
        <v>#N/A</v>
      </c>
      <c r="O28" s="6" t="e">
        <f t="shared" si="9"/>
        <v>#N/A</v>
      </c>
      <c r="P28" s="5" t="e">
        <f t="shared" si="10"/>
        <v>#N/A</v>
      </c>
      <c r="Q28" s="6" t="e">
        <f t="shared" si="11"/>
        <v>#N/A</v>
      </c>
      <c r="R28" s="7" t="e">
        <f t="shared" si="12"/>
        <v>#N/A</v>
      </c>
      <c r="S28" s="6" t="e">
        <f t="shared" si="13"/>
        <v>#N/A</v>
      </c>
      <c r="T28" s="7" t="e">
        <f t="shared" si="14"/>
        <v>#N/A</v>
      </c>
      <c r="U28" s="6" t="e">
        <f t="shared" si="15"/>
        <v>#N/A</v>
      </c>
      <c r="V28" s="5" t="e">
        <f t="shared" si="16"/>
        <v>#N/A</v>
      </c>
      <c r="W28" s="6" t="e">
        <f t="shared" si="17"/>
        <v>#N/A</v>
      </c>
      <c r="X28" s="7" t="e">
        <f t="shared" si="18"/>
        <v>#N/A</v>
      </c>
      <c r="Y28" s="6" t="e">
        <f t="shared" si="19"/>
        <v>#N/A</v>
      </c>
      <c r="Z28" s="7" t="e">
        <f t="shared" si="20"/>
        <v>#N/A</v>
      </c>
      <c r="AA28" s="6" t="e">
        <f t="shared" si="21"/>
        <v>#N/A</v>
      </c>
      <c r="AB28" s="5" t="e">
        <f t="shared" si="22"/>
        <v>#N/A</v>
      </c>
      <c r="AC28" s="6" t="e">
        <f t="shared" si="23"/>
        <v>#N/A</v>
      </c>
      <c r="AD28" s="7" t="e">
        <f t="shared" si="24"/>
        <v>#N/A</v>
      </c>
      <c r="AE28" s="6" t="e">
        <f t="shared" si="25"/>
        <v>#N/A</v>
      </c>
      <c r="AF28" s="7" t="e">
        <f t="shared" si="26"/>
        <v>#N/A</v>
      </c>
      <c r="AG28" s="6" t="e">
        <f t="shared" si="27"/>
        <v>#N/A</v>
      </c>
      <c r="AH28" s="5" t="e">
        <f t="shared" si="28"/>
        <v>#N/A</v>
      </c>
      <c r="AI28" s="6" t="e">
        <f t="shared" si="29"/>
        <v>#N/A</v>
      </c>
      <c r="AJ28" s="7" t="e">
        <f t="shared" si="30"/>
        <v>#N/A</v>
      </c>
      <c r="AK28" s="6" t="e">
        <f t="shared" si="31"/>
        <v>#N/A</v>
      </c>
      <c r="AL28" s="7" t="e">
        <f t="shared" si="32"/>
        <v>#N/A</v>
      </c>
      <c r="AM28" s="6" t="e">
        <f t="shared" si="33"/>
        <v>#N/A</v>
      </c>
      <c r="AN28" s="5" t="e">
        <f t="shared" si="34"/>
        <v>#N/A</v>
      </c>
      <c r="AO28" s="6" t="e">
        <f t="shared" si="35"/>
        <v>#N/A</v>
      </c>
      <c r="AP28" s="7" t="e">
        <f t="shared" si="36"/>
        <v>#N/A</v>
      </c>
      <c r="AQ28" s="6" t="e">
        <f t="shared" si="37"/>
        <v>#N/A</v>
      </c>
      <c r="AR28" s="7" t="e">
        <f t="shared" si="38"/>
        <v>#N/A</v>
      </c>
      <c r="AS28" s="6" t="e">
        <f t="shared" si="39"/>
        <v>#N/A</v>
      </c>
      <c r="AT28" s="5" t="e">
        <f t="shared" si="40"/>
        <v>#N/A</v>
      </c>
      <c r="AU28" s="6" t="e">
        <f t="shared" si="41"/>
        <v>#N/A</v>
      </c>
      <c r="AV28" s="7" t="e">
        <f t="shared" si="42"/>
        <v>#N/A</v>
      </c>
      <c r="AW28" s="6" t="e">
        <f t="shared" si="43"/>
        <v>#N/A</v>
      </c>
      <c r="AX28" s="7" t="e">
        <f t="shared" si="44"/>
        <v>#N/A</v>
      </c>
      <c r="AY28" s="6" t="e">
        <f t="shared" si="45"/>
        <v>#N/A</v>
      </c>
      <c r="AZ28" s="5" t="e">
        <f t="shared" si="46"/>
        <v>#N/A</v>
      </c>
      <c r="BA28" s="6" t="e">
        <f t="shared" si="47"/>
        <v>#N/A</v>
      </c>
      <c r="BB28" s="7" t="e">
        <f t="shared" si="48"/>
        <v>#N/A</v>
      </c>
      <c r="BC28" s="6" t="e">
        <f t="shared" si="49"/>
        <v>#N/A</v>
      </c>
      <c r="BD28" s="7" t="e">
        <f t="shared" si="50"/>
        <v>#N/A</v>
      </c>
      <c r="BE28" s="6" t="e">
        <f t="shared" si="51"/>
        <v>#N/A</v>
      </c>
      <c r="BF28" s="5" t="e">
        <f t="shared" si="52"/>
        <v>#N/A</v>
      </c>
      <c r="BG28" s="6" t="e">
        <f t="shared" si="53"/>
        <v>#N/A</v>
      </c>
      <c r="BH28" s="7" t="e">
        <f t="shared" si="54"/>
        <v>#N/A</v>
      </c>
      <c r="BI28" s="6" t="e">
        <f t="shared" si="55"/>
        <v>#N/A</v>
      </c>
      <c r="BJ28" s="7" t="e">
        <f t="shared" si="56"/>
        <v>#N/A</v>
      </c>
      <c r="BK28" s="6" t="e">
        <f t="shared" si="57"/>
        <v>#N/A</v>
      </c>
      <c r="BL28" s="5" t="e">
        <f t="shared" si="58"/>
        <v>#N/A</v>
      </c>
      <c r="BM28" s="6" t="e">
        <f t="shared" si="59"/>
        <v>#N/A</v>
      </c>
      <c r="BN28" s="7" t="e">
        <f t="shared" si="60"/>
        <v>#N/A</v>
      </c>
      <c r="BO28" s="6" t="e">
        <f t="shared" si="61"/>
        <v>#N/A</v>
      </c>
      <c r="BP28" s="7" t="e">
        <f t="shared" si="62"/>
        <v>#N/A</v>
      </c>
      <c r="BQ28" s="6" t="e">
        <f t="shared" si="63"/>
        <v>#N/A</v>
      </c>
      <c r="BR28" s="5" t="e">
        <f t="shared" si="64"/>
        <v>#N/A</v>
      </c>
      <c r="BS28" s="6" t="e">
        <f t="shared" si="65"/>
        <v>#N/A</v>
      </c>
      <c r="BT28" s="7" t="e">
        <f t="shared" si="66"/>
        <v>#N/A</v>
      </c>
      <c r="BU28" s="6" t="e">
        <f t="shared" si="67"/>
        <v>#N/A</v>
      </c>
      <c r="BV28" s="7" t="e">
        <f t="shared" si="68"/>
        <v>#N/A</v>
      </c>
      <c r="BW28" s="6" t="e">
        <f t="shared" si="69"/>
        <v>#N/A</v>
      </c>
      <c r="BX28" s="5" t="e">
        <f t="shared" si="70"/>
        <v>#N/A</v>
      </c>
      <c r="BY28" s="6" t="e">
        <f t="shared" si="71"/>
        <v>#N/A</v>
      </c>
      <c r="BZ28" s="7" t="e">
        <f t="shared" si="72"/>
        <v>#N/A</v>
      </c>
      <c r="CA28" s="6" t="e">
        <f t="shared" si="73"/>
        <v>#N/A</v>
      </c>
      <c r="CB28" s="7" t="e">
        <f t="shared" si="74"/>
        <v>#N/A</v>
      </c>
      <c r="CC28" s="6" t="e">
        <f t="shared" si="75"/>
        <v>#N/A</v>
      </c>
      <c r="CD28" s="5" t="e">
        <f t="shared" si="76"/>
        <v>#N/A</v>
      </c>
      <c r="CE28" s="6" t="e">
        <f t="shared" si="77"/>
        <v>#N/A</v>
      </c>
      <c r="CF28" s="7" t="e">
        <f t="shared" si="78"/>
        <v>#N/A</v>
      </c>
      <c r="CG28" s="6" t="e">
        <f t="shared" si="79"/>
        <v>#N/A</v>
      </c>
      <c r="CH28" s="7" t="e">
        <f t="shared" si="80"/>
        <v>#N/A</v>
      </c>
      <c r="CI28" s="6" t="e">
        <f t="shared" si="81"/>
        <v>#N/A</v>
      </c>
      <c r="CJ28" s="5" t="e">
        <f t="shared" si="82"/>
        <v>#N/A</v>
      </c>
      <c r="CK28" s="6" t="e">
        <f t="shared" si="83"/>
        <v>#N/A</v>
      </c>
      <c r="CL28" s="7" t="e">
        <f t="shared" si="84"/>
        <v>#N/A</v>
      </c>
      <c r="CM28" s="6" t="e">
        <f t="shared" si="85"/>
        <v>#N/A</v>
      </c>
      <c r="CN28" s="7" t="e">
        <f t="shared" si="86"/>
        <v>#N/A</v>
      </c>
      <c r="CO28" s="6" t="e">
        <f t="shared" si="87"/>
        <v>#N/A</v>
      </c>
      <c r="CP28" s="5" t="e">
        <f t="shared" si="88"/>
        <v>#N/A</v>
      </c>
      <c r="CQ28" s="6" t="e">
        <f t="shared" si="89"/>
        <v>#N/A</v>
      </c>
      <c r="CR28" s="7" t="e">
        <f t="shared" si="90"/>
        <v>#N/A</v>
      </c>
      <c r="CS28" s="7" t="e">
        <f t="shared" si="90"/>
        <v>#N/A</v>
      </c>
      <c r="CT28" s="7" t="e">
        <f t="shared" si="90"/>
        <v>#N/A</v>
      </c>
      <c r="CU28" s="7" t="e">
        <f t="shared" si="90"/>
        <v>#N/A</v>
      </c>
      <c r="CV28" s="5" t="e">
        <f t="shared" si="91"/>
        <v>#N/A</v>
      </c>
      <c r="CW28" s="6" t="e">
        <f t="shared" si="92"/>
        <v>#N/A</v>
      </c>
      <c r="CY28" s="7" t="e">
        <v>#N/A</v>
      </c>
      <c r="CZ28" s="5" t="e">
        <f t="array" ref="CZ28">Summary_UpperBound</f>
        <v>#N/A</v>
      </c>
      <c r="DA28" s="6" t="e">
        <f t="shared" si="93"/>
        <v>#N/A</v>
      </c>
    </row>
    <row r="29" spans="1:105" x14ac:dyDescent="0.35">
      <c r="B29" s="14"/>
      <c r="E29" s="12" t="e" vm="2">
        <f t="shared" ca="1" si="94"/>
        <v>#VALUE!</v>
      </c>
      <c r="F29" s="7" t="e">
        <f t="shared" si="0"/>
        <v>#N/A</v>
      </c>
      <c r="G29" s="6" t="e">
        <f t="shared" si="1"/>
        <v>#N/A</v>
      </c>
      <c r="H29" s="7" t="e">
        <f t="shared" si="2"/>
        <v>#N/A</v>
      </c>
      <c r="I29" s="6" t="e">
        <f t="shared" si="3"/>
        <v>#N/A</v>
      </c>
      <c r="J29" s="5" t="e">
        <f t="shared" si="4"/>
        <v>#N/A</v>
      </c>
      <c r="K29" s="6" t="e">
        <f t="shared" si="5"/>
        <v>#N/A</v>
      </c>
      <c r="L29" s="7" t="e">
        <f t="shared" si="6"/>
        <v>#N/A</v>
      </c>
      <c r="M29" s="6" t="e">
        <f t="shared" si="7"/>
        <v>#N/A</v>
      </c>
      <c r="N29" s="7" t="e">
        <f t="shared" si="8"/>
        <v>#N/A</v>
      </c>
      <c r="O29" s="6" t="e">
        <f t="shared" si="9"/>
        <v>#N/A</v>
      </c>
      <c r="P29" s="5" t="e">
        <f t="shared" si="10"/>
        <v>#N/A</v>
      </c>
      <c r="Q29" s="6" t="e">
        <f t="shared" si="11"/>
        <v>#N/A</v>
      </c>
      <c r="R29" s="7" t="e">
        <f t="shared" si="12"/>
        <v>#N/A</v>
      </c>
      <c r="S29" s="6" t="e">
        <f t="shared" si="13"/>
        <v>#N/A</v>
      </c>
      <c r="T29" s="7" t="e">
        <f t="shared" si="14"/>
        <v>#N/A</v>
      </c>
      <c r="U29" s="6" t="e">
        <f t="shared" si="15"/>
        <v>#N/A</v>
      </c>
      <c r="V29" s="5" t="e">
        <f t="shared" si="16"/>
        <v>#N/A</v>
      </c>
      <c r="W29" s="6" t="e">
        <f t="shared" si="17"/>
        <v>#N/A</v>
      </c>
      <c r="X29" s="7" t="e">
        <f t="shared" si="18"/>
        <v>#N/A</v>
      </c>
      <c r="Y29" s="6" t="e">
        <f t="shared" si="19"/>
        <v>#N/A</v>
      </c>
      <c r="Z29" s="7" t="e">
        <f t="shared" si="20"/>
        <v>#N/A</v>
      </c>
      <c r="AA29" s="6" t="e">
        <f t="shared" si="21"/>
        <v>#N/A</v>
      </c>
      <c r="AB29" s="5" t="e">
        <f t="shared" si="22"/>
        <v>#N/A</v>
      </c>
      <c r="AC29" s="6" t="e">
        <f t="shared" si="23"/>
        <v>#N/A</v>
      </c>
      <c r="AD29" s="7" t="e">
        <f t="shared" si="24"/>
        <v>#N/A</v>
      </c>
      <c r="AE29" s="6" t="e">
        <f t="shared" si="25"/>
        <v>#N/A</v>
      </c>
      <c r="AF29" s="7" t="e">
        <f t="shared" si="26"/>
        <v>#N/A</v>
      </c>
      <c r="AG29" s="6" t="e">
        <f t="shared" si="27"/>
        <v>#N/A</v>
      </c>
      <c r="AH29" s="5" t="e">
        <f t="shared" si="28"/>
        <v>#N/A</v>
      </c>
      <c r="AI29" s="6" t="e">
        <f t="shared" si="29"/>
        <v>#N/A</v>
      </c>
      <c r="AJ29" s="7" t="e">
        <f t="shared" si="30"/>
        <v>#N/A</v>
      </c>
      <c r="AK29" s="6" t="e">
        <f t="shared" si="31"/>
        <v>#N/A</v>
      </c>
      <c r="AL29" s="7" t="e">
        <f t="shared" si="32"/>
        <v>#N/A</v>
      </c>
      <c r="AM29" s="6" t="e">
        <f t="shared" si="33"/>
        <v>#N/A</v>
      </c>
      <c r="AN29" s="5" t="e">
        <f t="shared" si="34"/>
        <v>#N/A</v>
      </c>
      <c r="AO29" s="6" t="e">
        <f t="shared" si="35"/>
        <v>#N/A</v>
      </c>
      <c r="AP29" s="7" t="e">
        <f t="shared" si="36"/>
        <v>#N/A</v>
      </c>
      <c r="AQ29" s="6" t="e">
        <f t="shared" si="37"/>
        <v>#N/A</v>
      </c>
      <c r="AR29" s="7" t="e">
        <f t="shared" si="38"/>
        <v>#N/A</v>
      </c>
      <c r="AS29" s="6" t="e">
        <f t="shared" si="39"/>
        <v>#N/A</v>
      </c>
      <c r="AT29" s="5" t="e">
        <f t="shared" si="40"/>
        <v>#N/A</v>
      </c>
      <c r="AU29" s="6" t="e">
        <f t="shared" si="41"/>
        <v>#N/A</v>
      </c>
      <c r="AV29" s="7" t="e">
        <f t="shared" si="42"/>
        <v>#N/A</v>
      </c>
      <c r="AW29" s="6" t="e">
        <f t="shared" si="43"/>
        <v>#N/A</v>
      </c>
      <c r="AX29" s="7" t="e">
        <f t="shared" si="44"/>
        <v>#N/A</v>
      </c>
      <c r="AY29" s="6" t="e">
        <f t="shared" si="45"/>
        <v>#N/A</v>
      </c>
      <c r="AZ29" s="5" t="e">
        <f t="shared" si="46"/>
        <v>#N/A</v>
      </c>
      <c r="BA29" s="6" t="e">
        <f t="shared" si="47"/>
        <v>#N/A</v>
      </c>
      <c r="BB29" s="7" t="e">
        <f t="shared" si="48"/>
        <v>#N/A</v>
      </c>
      <c r="BC29" s="6" t="e">
        <f t="shared" si="49"/>
        <v>#N/A</v>
      </c>
      <c r="BD29" s="7" t="e">
        <f t="shared" si="50"/>
        <v>#N/A</v>
      </c>
      <c r="BE29" s="6" t="e">
        <f t="shared" si="51"/>
        <v>#N/A</v>
      </c>
      <c r="BF29" s="5" t="e">
        <f t="shared" si="52"/>
        <v>#N/A</v>
      </c>
      <c r="BG29" s="6" t="e">
        <f t="shared" si="53"/>
        <v>#N/A</v>
      </c>
      <c r="BH29" s="7" t="e">
        <f t="shared" si="54"/>
        <v>#N/A</v>
      </c>
      <c r="BI29" s="6" t="e">
        <f t="shared" si="55"/>
        <v>#N/A</v>
      </c>
      <c r="BJ29" s="7" t="e">
        <f t="shared" si="56"/>
        <v>#N/A</v>
      </c>
      <c r="BK29" s="6" t="e">
        <f t="shared" si="57"/>
        <v>#N/A</v>
      </c>
      <c r="BL29" s="5" t="e">
        <f t="shared" si="58"/>
        <v>#N/A</v>
      </c>
      <c r="BM29" s="6" t="e">
        <f t="shared" si="59"/>
        <v>#N/A</v>
      </c>
      <c r="BN29" s="7" t="e">
        <f t="shared" si="60"/>
        <v>#N/A</v>
      </c>
      <c r="BO29" s="6" t="e">
        <f t="shared" si="61"/>
        <v>#N/A</v>
      </c>
      <c r="BP29" s="7" t="e">
        <f t="shared" si="62"/>
        <v>#N/A</v>
      </c>
      <c r="BQ29" s="6" t="e">
        <f t="shared" si="63"/>
        <v>#N/A</v>
      </c>
      <c r="BR29" s="5" t="e">
        <f t="shared" si="64"/>
        <v>#N/A</v>
      </c>
      <c r="BS29" s="6" t="e">
        <f t="shared" si="65"/>
        <v>#N/A</v>
      </c>
      <c r="BT29" s="7" t="e">
        <f t="shared" si="66"/>
        <v>#N/A</v>
      </c>
      <c r="BU29" s="6" t="e">
        <f t="shared" si="67"/>
        <v>#N/A</v>
      </c>
      <c r="BV29" s="7" t="e">
        <f t="shared" si="68"/>
        <v>#N/A</v>
      </c>
      <c r="BW29" s="6" t="e">
        <f t="shared" si="69"/>
        <v>#N/A</v>
      </c>
      <c r="BX29" s="5" t="e">
        <f t="shared" si="70"/>
        <v>#N/A</v>
      </c>
      <c r="BY29" s="6" t="e">
        <f t="shared" si="71"/>
        <v>#N/A</v>
      </c>
      <c r="BZ29" s="7" t="e">
        <f t="shared" si="72"/>
        <v>#N/A</v>
      </c>
      <c r="CA29" s="6" t="e">
        <f t="shared" si="73"/>
        <v>#N/A</v>
      </c>
      <c r="CB29" s="7" t="e">
        <f t="shared" si="74"/>
        <v>#N/A</v>
      </c>
      <c r="CC29" s="6" t="e">
        <f t="shared" si="75"/>
        <v>#N/A</v>
      </c>
      <c r="CD29" s="5" t="e">
        <f t="shared" si="76"/>
        <v>#N/A</v>
      </c>
      <c r="CE29" s="6" t="e">
        <f t="shared" si="77"/>
        <v>#N/A</v>
      </c>
      <c r="CF29" s="7" t="e">
        <f t="shared" si="78"/>
        <v>#N/A</v>
      </c>
      <c r="CG29" s="6" t="e">
        <f t="shared" si="79"/>
        <v>#N/A</v>
      </c>
      <c r="CH29" s="7" t="e">
        <f t="shared" si="80"/>
        <v>#N/A</v>
      </c>
      <c r="CI29" s="6" t="e">
        <f t="shared" si="81"/>
        <v>#N/A</v>
      </c>
      <c r="CJ29" s="5" t="e">
        <f t="shared" si="82"/>
        <v>#N/A</v>
      </c>
      <c r="CK29" s="6" t="e">
        <f t="shared" si="83"/>
        <v>#N/A</v>
      </c>
      <c r="CL29" s="7" t="e">
        <f t="shared" si="84"/>
        <v>#N/A</v>
      </c>
      <c r="CM29" s="6" t="e">
        <f t="shared" si="85"/>
        <v>#N/A</v>
      </c>
      <c r="CN29" s="7" t="e">
        <f t="shared" si="86"/>
        <v>#N/A</v>
      </c>
      <c r="CO29" s="6" t="e">
        <f t="shared" si="87"/>
        <v>#N/A</v>
      </c>
      <c r="CP29" s="5" t="e">
        <f t="shared" si="88"/>
        <v>#N/A</v>
      </c>
      <c r="CQ29" s="6" t="e">
        <f t="shared" si="89"/>
        <v>#N/A</v>
      </c>
      <c r="CR29" s="7" t="e">
        <f t="shared" si="90"/>
        <v>#N/A</v>
      </c>
      <c r="CS29" s="7" t="e">
        <f t="shared" si="90"/>
        <v>#N/A</v>
      </c>
      <c r="CT29" s="7" t="e">
        <f t="shared" si="90"/>
        <v>#N/A</v>
      </c>
      <c r="CU29" s="7" t="e">
        <f t="shared" si="90"/>
        <v>#N/A</v>
      </c>
      <c r="CV29" s="5" t="e">
        <f t="shared" si="91"/>
        <v>#N/A</v>
      </c>
      <c r="CW29" s="6" t="e">
        <f t="shared" si="92"/>
        <v>#N/A</v>
      </c>
      <c r="CY29" s="7" t="e">
        <v>#N/A</v>
      </c>
      <c r="CZ29" s="5" t="e">
        <f t="array" ref="CZ29">Summary_UpperBound</f>
        <v>#N/A</v>
      </c>
      <c r="DA29" s="6" t="e">
        <f t="shared" si="93"/>
        <v>#N/A</v>
      </c>
    </row>
    <row r="30" spans="1:105" x14ac:dyDescent="0.35">
      <c r="B30" s="14"/>
      <c r="E30" s="12" t="e" vm="2">
        <f t="shared" ca="1" si="94"/>
        <v>#VALUE!</v>
      </c>
      <c r="F30" s="7" t="e">
        <f t="shared" si="0"/>
        <v>#N/A</v>
      </c>
      <c r="G30" s="6" t="e">
        <f t="shared" si="1"/>
        <v>#N/A</v>
      </c>
      <c r="H30" s="7" t="e">
        <f t="shared" si="2"/>
        <v>#N/A</v>
      </c>
      <c r="I30" s="6" t="e">
        <f t="shared" si="3"/>
        <v>#N/A</v>
      </c>
      <c r="J30" s="5" t="e">
        <f t="shared" si="4"/>
        <v>#N/A</v>
      </c>
      <c r="K30" s="6" t="e">
        <f t="shared" si="5"/>
        <v>#N/A</v>
      </c>
      <c r="L30" s="7" t="e">
        <f t="shared" si="6"/>
        <v>#N/A</v>
      </c>
      <c r="M30" s="6" t="e">
        <f t="shared" si="7"/>
        <v>#N/A</v>
      </c>
      <c r="N30" s="7" t="e">
        <f t="shared" si="8"/>
        <v>#N/A</v>
      </c>
      <c r="O30" s="6" t="e">
        <f t="shared" si="9"/>
        <v>#N/A</v>
      </c>
      <c r="P30" s="5" t="e">
        <f t="shared" si="10"/>
        <v>#N/A</v>
      </c>
      <c r="Q30" s="6" t="e">
        <f t="shared" si="11"/>
        <v>#N/A</v>
      </c>
      <c r="R30" s="7" t="e">
        <f t="shared" si="12"/>
        <v>#N/A</v>
      </c>
      <c r="S30" s="6" t="e">
        <f t="shared" si="13"/>
        <v>#N/A</v>
      </c>
      <c r="T30" s="7" t="e">
        <f t="shared" si="14"/>
        <v>#N/A</v>
      </c>
      <c r="U30" s="6" t="e">
        <f t="shared" si="15"/>
        <v>#N/A</v>
      </c>
      <c r="V30" s="5" t="e">
        <f t="shared" si="16"/>
        <v>#N/A</v>
      </c>
      <c r="W30" s="6" t="e">
        <f t="shared" si="17"/>
        <v>#N/A</v>
      </c>
      <c r="X30" s="7" t="e">
        <f t="shared" si="18"/>
        <v>#N/A</v>
      </c>
      <c r="Y30" s="6" t="e">
        <f t="shared" si="19"/>
        <v>#N/A</v>
      </c>
      <c r="Z30" s="7" t="e">
        <f t="shared" si="20"/>
        <v>#N/A</v>
      </c>
      <c r="AA30" s="6" t="e">
        <f t="shared" si="21"/>
        <v>#N/A</v>
      </c>
      <c r="AB30" s="5" t="e">
        <f t="shared" si="22"/>
        <v>#N/A</v>
      </c>
      <c r="AC30" s="6" t="e">
        <f t="shared" si="23"/>
        <v>#N/A</v>
      </c>
      <c r="AD30" s="7" t="e">
        <f t="shared" si="24"/>
        <v>#N/A</v>
      </c>
      <c r="AE30" s="6" t="e">
        <f t="shared" si="25"/>
        <v>#N/A</v>
      </c>
      <c r="AF30" s="7" t="e">
        <f t="shared" si="26"/>
        <v>#N/A</v>
      </c>
      <c r="AG30" s="6" t="e">
        <f t="shared" si="27"/>
        <v>#N/A</v>
      </c>
      <c r="AH30" s="5" t="e">
        <f t="shared" si="28"/>
        <v>#N/A</v>
      </c>
      <c r="AI30" s="6" t="e">
        <f t="shared" si="29"/>
        <v>#N/A</v>
      </c>
      <c r="AJ30" s="7" t="e">
        <f t="shared" si="30"/>
        <v>#N/A</v>
      </c>
      <c r="AK30" s="6" t="e">
        <f t="shared" si="31"/>
        <v>#N/A</v>
      </c>
      <c r="AL30" s="7" t="e">
        <f t="shared" si="32"/>
        <v>#N/A</v>
      </c>
      <c r="AM30" s="6" t="e">
        <f t="shared" si="33"/>
        <v>#N/A</v>
      </c>
      <c r="AN30" s="5" t="e">
        <f t="shared" si="34"/>
        <v>#N/A</v>
      </c>
      <c r="AO30" s="6" t="e">
        <f t="shared" si="35"/>
        <v>#N/A</v>
      </c>
      <c r="AP30" s="7" t="e">
        <f t="shared" si="36"/>
        <v>#N/A</v>
      </c>
      <c r="AQ30" s="6" t="e">
        <f t="shared" si="37"/>
        <v>#N/A</v>
      </c>
      <c r="AR30" s="7" t="e">
        <f t="shared" si="38"/>
        <v>#N/A</v>
      </c>
      <c r="AS30" s="6" t="e">
        <f t="shared" si="39"/>
        <v>#N/A</v>
      </c>
      <c r="AT30" s="5" t="e">
        <f t="shared" si="40"/>
        <v>#N/A</v>
      </c>
      <c r="AU30" s="6" t="e">
        <f t="shared" si="41"/>
        <v>#N/A</v>
      </c>
      <c r="AV30" s="7" t="e">
        <f t="shared" si="42"/>
        <v>#N/A</v>
      </c>
      <c r="AW30" s="6" t="e">
        <f t="shared" si="43"/>
        <v>#N/A</v>
      </c>
      <c r="AX30" s="7" t="e">
        <f t="shared" si="44"/>
        <v>#N/A</v>
      </c>
      <c r="AY30" s="6" t="e">
        <f t="shared" si="45"/>
        <v>#N/A</v>
      </c>
      <c r="AZ30" s="5" t="e">
        <f t="shared" si="46"/>
        <v>#N/A</v>
      </c>
      <c r="BA30" s="6" t="e">
        <f t="shared" si="47"/>
        <v>#N/A</v>
      </c>
      <c r="BB30" s="7" t="e">
        <f t="shared" si="48"/>
        <v>#N/A</v>
      </c>
      <c r="BC30" s="6" t="e">
        <f t="shared" si="49"/>
        <v>#N/A</v>
      </c>
      <c r="BD30" s="7" t="e">
        <f t="shared" si="50"/>
        <v>#N/A</v>
      </c>
      <c r="BE30" s="6" t="e">
        <f t="shared" si="51"/>
        <v>#N/A</v>
      </c>
      <c r="BF30" s="5" t="e">
        <f t="shared" si="52"/>
        <v>#N/A</v>
      </c>
      <c r="BG30" s="6" t="e">
        <f t="shared" si="53"/>
        <v>#N/A</v>
      </c>
      <c r="BH30" s="7" t="e">
        <f t="shared" si="54"/>
        <v>#N/A</v>
      </c>
      <c r="BI30" s="6" t="e">
        <f t="shared" si="55"/>
        <v>#N/A</v>
      </c>
      <c r="BJ30" s="7" t="e">
        <f t="shared" si="56"/>
        <v>#N/A</v>
      </c>
      <c r="BK30" s="6" t="e">
        <f t="shared" si="57"/>
        <v>#N/A</v>
      </c>
      <c r="BL30" s="5" t="e">
        <f t="shared" si="58"/>
        <v>#N/A</v>
      </c>
      <c r="BM30" s="6" t="e">
        <f t="shared" si="59"/>
        <v>#N/A</v>
      </c>
      <c r="BN30" s="7" t="e">
        <f t="shared" si="60"/>
        <v>#N/A</v>
      </c>
      <c r="BO30" s="6" t="e">
        <f t="shared" si="61"/>
        <v>#N/A</v>
      </c>
      <c r="BP30" s="7" t="e">
        <f t="shared" si="62"/>
        <v>#N/A</v>
      </c>
      <c r="BQ30" s="6" t="e">
        <f t="shared" si="63"/>
        <v>#N/A</v>
      </c>
      <c r="BR30" s="5" t="e">
        <f t="shared" si="64"/>
        <v>#N/A</v>
      </c>
      <c r="BS30" s="6" t="e">
        <f t="shared" si="65"/>
        <v>#N/A</v>
      </c>
      <c r="BT30" s="7" t="e">
        <f t="shared" si="66"/>
        <v>#N/A</v>
      </c>
      <c r="BU30" s="6" t="e">
        <f t="shared" si="67"/>
        <v>#N/A</v>
      </c>
      <c r="BV30" s="7" t="e">
        <f t="shared" si="68"/>
        <v>#N/A</v>
      </c>
      <c r="BW30" s="6" t="e">
        <f t="shared" si="69"/>
        <v>#N/A</v>
      </c>
      <c r="BX30" s="5" t="e">
        <f t="shared" si="70"/>
        <v>#N/A</v>
      </c>
      <c r="BY30" s="6" t="e">
        <f t="shared" si="71"/>
        <v>#N/A</v>
      </c>
      <c r="BZ30" s="7" t="e">
        <f t="shared" si="72"/>
        <v>#N/A</v>
      </c>
      <c r="CA30" s="6" t="e">
        <f t="shared" si="73"/>
        <v>#N/A</v>
      </c>
      <c r="CB30" s="7" t="e">
        <f t="shared" si="74"/>
        <v>#N/A</v>
      </c>
      <c r="CC30" s="6" t="e">
        <f t="shared" si="75"/>
        <v>#N/A</v>
      </c>
      <c r="CD30" s="5" t="e">
        <f t="shared" si="76"/>
        <v>#N/A</v>
      </c>
      <c r="CE30" s="6" t="e">
        <f t="shared" si="77"/>
        <v>#N/A</v>
      </c>
      <c r="CF30" s="7" t="e">
        <f t="shared" si="78"/>
        <v>#N/A</v>
      </c>
      <c r="CG30" s="6" t="e">
        <f t="shared" si="79"/>
        <v>#N/A</v>
      </c>
      <c r="CH30" s="7" t="e">
        <f t="shared" si="80"/>
        <v>#N/A</v>
      </c>
      <c r="CI30" s="6" t="e">
        <f t="shared" si="81"/>
        <v>#N/A</v>
      </c>
      <c r="CJ30" s="5" t="e">
        <f t="shared" si="82"/>
        <v>#N/A</v>
      </c>
      <c r="CK30" s="6" t="e">
        <f t="shared" si="83"/>
        <v>#N/A</v>
      </c>
      <c r="CL30" s="7" t="e">
        <f t="shared" si="84"/>
        <v>#N/A</v>
      </c>
      <c r="CM30" s="6" t="e">
        <f t="shared" si="85"/>
        <v>#N/A</v>
      </c>
      <c r="CN30" s="7" t="e">
        <f t="shared" si="86"/>
        <v>#N/A</v>
      </c>
      <c r="CO30" s="6" t="e">
        <f t="shared" si="87"/>
        <v>#N/A</v>
      </c>
      <c r="CP30" s="5" t="e">
        <f t="shared" si="88"/>
        <v>#N/A</v>
      </c>
      <c r="CQ30" s="6" t="e">
        <f t="shared" si="89"/>
        <v>#N/A</v>
      </c>
      <c r="CR30" s="7" t="e">
        <f t="shared" si="90"/>
        <v>#N/A</v>
      </c>
      <c r="CS30" s="7" t="e">
        <f t="shared" si="90"/>
        <v>#N/A</v>
      </c>
      <c r="CT30" s="7" t="e">
        <f t="shared" si="90"/>
        <v>#N/A</v>
      </c>
      <c r="CU30" s="7" t="e">
        <f t="shared" si="90"/>
        <v>#N/A</v>
      </c>
      <c r="CV30" s="5" t="e">
        <f t="shared" si="91"/>
        <v>#N/A</v>
      </c>
      <c r="CW30" s="6" t="e">
        <f t="shared" si="92"/>
        <v>#N/A</v>
      </c>
      <c r="CY30" s="7" t="e">
        <v>#N/A</v>
      </c>
      <c r="CZ30" s="5" t="e">
        <f t="array" ref="CZ30">Summary_UpperBound</f>
        <v>#N/A</v>
      </c>
      <c r="DA30" s="6" t="e">
        <f t="shared" si="93"/>
        <v>#N/A</v>
      </c>
    </row>
    <row r="31" spans="1:105" x14ac:dyDescent="0.35">
      <c r="B31" s="14"/>
      <c r="E31" s="12" t="e" vm="2">
        <f t="shared" ca="1" si="94"/>
        <v>#VALUE!</v>
      </c>
      <c r="F31" s="7" t="e">
        <f t="shared" si="0"/>
        <v>#N/A</v>
      </c>
      <c r="G31" s="6" t="e">
        <f t="shared" si="1"/>
        <v>#N/A</v>
      </c>
      <c r="H31" s="7" t="e">
        <f t="shared" si="2"/>
        <v>#N/A</v>
      </c>
      <c r="I31" s="6" t="e">
        <f t="shared" si="3"/>
        <v>#N/A</v>
      </c>
      <c r="J31" s="5" t="e">
        <f t="shared" si="4"/>
        <v>#N/A</v>
      </c>
      <c r="K31" s="6" t="e">
        <f t="shared" si="5"/>
        <v>#N/A</v>
      </c>
      <c r="L31" s="7" t="e">
        <f t="shared" si="6"/>
        <v>#N/A</v>
      </c>
      <c r="M31" s="6" t="e">
        <f t="shared" si="7"/>
        <v>#N/A</v>
      </c>
      <c r="N31" s="7" t="e">
        <f t="shared" si="8"/>
        <v>#N/A</v>
      </c>
      <c r="O31" s="6" t="e">
        <f t="shared" si="9"/>
        <v>#N/A</v>
      </c>
      <c r="P31" s="5" t="e">
        <f t="shared" si="10"/>
        <v>#N/A</v>
      </c>
      <c r="Q31" s="6" t="e">
        <f t="shared" si="11"/>
        <v>#N/A</v>
      </c>
      <c r="R31" s="7" t="e">
        <f t="shared" si="12"/>
        <v>#N/A</v>
      </c>
      <c r="S31" s="6" t="e">
        <f t="shared" si="13"/>
        <v>#N/A</v>
      </c>
      <c r="T31" s="7" t="e">
        <f t="shared" si="14"/>
        <v>#N/A</v>
      </c>
      <c r="U31" s="6" t="e">
        <f t="shared" si="15"/>
        <v>#N/A</v>
      </c>
      <c r="V31" s="5" t="e">
        <f t="shared" si="16"/>
        <v>#N/A</v>
      </c>
      <c r="W31" s="6" t="e">
        <f t="shared" si="17"/>
        <v>#N/A</v>
      </c>
      <c r="X31" s="7" t="e">
        <f t="shared" si="18"/>
        <v>#N/A</v>
      </c>
      <c r="Y31" s="6" t="e">
        <f t="shared" si="19"/>
        <v>#N/A</v>
      </c>
      <c r="Z31" s="7" t="e">
        <f t="shared" si="20"/>
        <v>#N/A</v>
      </c>
      <c r="AA31" s="6" t="e">
        <f t="shared" si="21"/>
        <v>#N/A</v>
      </c>
      <c r="AB31" s="5" t="e">
        <f t="shared" si="22"/>
        <v>#N/A</v>
      </c>
      <c r="AC31" s="6" t="e">
        <f t="shared" si="23"/>
        <v>#N/A</v>
      </c>
      <c r="AD31" s="7" t="e">
        <f t="shared" si="24"/>
        <v>#N/A</v>
      </c>
      <c r="AE31" s="6" t="e">
        <f t="shared" si="25"/>
        <v>#N/A</v>
      </c>
      <c r="AF31" s="7" t="e">
        <f t="shared" si="26"/>
        <v>#N/A</v>
      </c>
      <c r="AG31" s="6" t="e">
        <f t="shared" si="27"/>
        <v>#N/A</v>
      </c>
      <c r="AH31" s="5" t="e">
        <f t="shared" si="28"/>
        <v>#N/A</v>
      </c>
      <c r="AI31" s="6" t="e">
        <f t="shared" si="29"/>
        <v>#N/A</v>
      </c>
      <c r="AJ31" s="7" t="e">
        <f t="shared" si="30"/>
        <v>#N/A</v>
      </c>
      <c r="AK31" s="6" t="e">
        <f t="shared" si="31"/>
        <v>#N/A</v>
      </c>
      <c r="AL31" s="7" t="e">
        <f t="shared" si="32"/>
        <v>#N/A</v>
      </c>
      <c r="AM31" s="6" t="e">
        <f t="shared" si="33"/>
        <v>#N/A</v>
      </c>
      <c r="AN31" s="5" t="e">
        <f t="shared" si="34"/>
        <v>#N/A</v>
      </c>
      <c r="AO31" s="6" t="e">
        <f t="shared" si="35"/>
        <v>#N/A</v>
      </c>
      <c r="AP31" s="7" t="e">
        <f t="shared" si="36"/>
        <v>#N/A</v>
      </c>
      <c r="AQ31" s="6" t="e">
        <f t="shared" si="37"/>
        <v>#N/A</v>
      </c>
      <c r="AR31" s="7" t="e">
        <f t="shared" si="38"/>
        <v>#N/A</v>
      </c>
      <c r="AS31" s="6" t="e">
        <f t="shared" si="39"/>
        <v>#N/A</v>
      </c>
      <c r="AT31" s="5" t="e">
        <f t="shared" si="40"/>
        <v>#N/A</v>
      </c>
      <c r="AU31" s="6" t="e">
        <f t="shared" si="41"/>
        <v>#N/A</v>
      </c>
      <c r="AV31" s="7" t="e">
        <f t="shared" si="42"/>
        <v>#N/A</v>
      </c>
      <c r="AW31" s="6" t="e">
        <f t="shared" si="43"/>
        <v>#N/A</v>
      </c>
      <c r="AX31" s="7" t="e">
        <f t="shared" si="44"/>
        <v>#N/A</v>
      </c>
      <c r="AY31" s="6" t="e">
        <f t="shared" si="45"/>
        <v>#N/A</v>
      </c>
      <c r="AZ31" s="5" t="e">
        <f t="shared" si="46"/>
        <v>#N/A</v>
      </c>
      <c r="BA31" s="6" t="e">
        <f t="shared" si="47"/>
        <v>#N/A</v>
      </c>
      <c r="BB31" s="7" t="e">
        <f t="shared" si="48"/>
        <v>#N/A</v>
      </c>
      <c r="BC31" s="6" t="e">
        <f t="shared" si="49"/>
        <v>#N/A</v>
      </c>
      <c r="BD31" s="7" t="e">
        <f t="shared" si="50"/>
        <v>#N/A</v>
      </c>
      <c r="BE31" s="6" t="e">
        <f t="shared" si="51"/>
        <v>#N/A</v>
      </c>
      <c r="BF31" s="5" t="e">
        <f t="shared" si="52"/>
        <v>#N/A</v>
      </c>
      <c r="BG31" s="6" t="e">
        <f t="shared" si="53"/>
        <v>#N/A</v>
      </c>
      <c r="BH31" s="7" t="e">
        <f t="shared" si="54"/>
        <v>#N/A</v>
      </c>
      <c r="BI31" s="6" t="e">
        <f t="shared" si="55"/>
        <v>#N/A</v>
      </c>
      <c r="BJ31" s="7" t="e">
        <f t="shared" si="56"/>
        <v>#N/A</v>
      </c>
      <c r="BK31" s="6" t="e">
        <f t="shared" si="57"/>
        <v>#N/A</v>
      </c>
      <c r="BL31" s="5" t="e">
        <f t="shared" si="58"/>
        <v>#N/A</v>
      </c>
      <c r="BM31" s="6" t="e">
        <f t="shared" si="59"/>
        <v>#N/A</v>
      </c>
      <c r="BN31" s="7" t="e">
        <f t="shared" si="60"/>
        <v>#N/A</v>
      </c>
      <c r="BO31" s="6" t="e">
        <f t="shared" si="61"/>
        <v>#N/A</v>
      </c>
      <c r="BP31" s="7" t="e">
        <f t="shared" si="62"/>
        <v>#N/A</v>
      </c>
      <c r="BQ31" s="6" t="e">
        <f t="shared" si="63"/>
        <v>#N/A</v>
      </c>
      <c r="BR31" s="5" t="e">
        <f t="shared" si="64"/>
        <v>#N/A</v>
      </c>
      <c r="BS31" s="6" t="e">
        <f t="shared" si="65"/>
        <v>#N/A</v>
      </c>
      <c r="BT31" s="7" t="e">
        <f t="shared" si="66"/>
        <v>#N/A</v>
      </c>
      <c r="BU31" s="6" t="e">
        <f t="shared" si="67"/>
        <v>#N/A</v>
      </c>
      <c r="BV31" s="7" t="e">
        <f t="shared" si="68"/>
        <v>#N/A</v>
      </c>
      <c r="BW31" s="6" t="e">
        <f t="shared" si="69"/>
        <v>#N/A</v>
      </c>
      <c r="BX31" s="5" t="e">
        <f t="shared" si="70"/>
        <v>#N/A</v>
      </c>
      <c r="BY31" s="6" t="e">
        <f t="shared" si="71"/>
        <v>#N/A</v>
      </c>
      <c r="BZ31" s="7" t="e">
        <f t="shared" si="72"/>
        <v>#N/A</v>
      </c>
      <c r="CA31" s="6" t="e">
        <f t="shared" si="73"/>
        <v>#N/A</v>
      </c>
      <c r="CB31" s="7" t="e">
        <f t="shared" si="74"/>
        <v>#N/A</v>
      </c>
      <c r="CC31" s="6" t="e">
        <f t="shared" si="75"/>
        <v>#N/A</v>
      </c>
      <c r="CD31" s="5" t="e">
        <f t="shared" si="76"/>
        <v>#N/A</v>
      </c>
      <c r="CE31" s="6" t="e">
        <f t="shared" si="77"/>
        <v>#N/A</v>
      </c>
      <c r="CF31" s="7" t="e">
        <f t="shared" si="78"/>
        <v>#N/A</v>
      </c>
      <c r="CG31" s="6" t="e">
        <f t="shared" si="79"/>
        <v>#N/A</v>
      </c>
      <c r="CH31" s="7" t="e">
        <f t="shared" si="80"/>
        <v>#N/A</v>
      </c>
      <c r="CI31" s="6" t="e">
        <f t="shared" si="81"/>
        <v>#N/A</v>
      </c>
      <c r="CJ31" s="5" t="e">
        <f t="shared" si="82"/>
        <v>#N/A</v>
      </c>
      <c r="CK31" s="6" t="e">
        <f t="shared" si="83"/>
        <v>#N/A</v>
      </c>
      <c r="CL31" s="7" t="e">
        <f t="shared" si="84"/>
        <v>#N/A</v>
      </c>
      <c r="CM31" s="6" t="e">
        <f t="shared" si="85"/>
        <v>#N/A</v>
      </c>
      <c r="CN31" s="7" t="e">
        <f t="shared" si="86"/>
        <v>#N/A</v>
      </c>
      <c r="CO31" s="6" t="e">
        <f t="shared" si="87"/>
        <v>#N/A</v>
      </c>
      <c r="CP31" s="5" t="e">
        <f t="shared" si="88"/>
        <v>#N/A</v>
      </c>
      <c r="CQ31" s="6" t="e">
        <f t="shared" si="89"/>
        <v>#N/A</v>
      </c>
      <c r="CR31" s="7" t="e">
        <f t="shared" si="90"/>
        <v>#N/A</v>
      </c>
      <c r="CS31" s="7" t="e">
        <f t="shared" si="90"/>
        <v>#N/A</v>
      </c>
      <c r="CT31" s="7" t="e">
        <f t="shared" si="90"/>
        <v>#N/A</v>
      </c>
      <c r="CU31" s="7" t="e">
        <f t="shared" si="90"/>
        <v>#N/A</v>
      </c>
      <c r="CV31" s="5" t="e">
        <f t="shared" si="91"/>
        <v>#N/A</v>
      </c>
      <c r="CW31" s="6" t="e">
        <f t="shared" si="92"/>
        <v>#N/A</v>
      </c>
      <c r="CY31" s="7" t="e">
        <v>#N/A</v>
      </c>
      <c r="CZ31" s="5" t="e">
        <f t="array" ref="CZ31">Summary_UpperBound</f>
        <v>#N/A</v>
      </c>
      <c r="DA31" s="6" t="e">
        <f t="shared" si="93"/>
        <v>#N/A</v>
      </c>
    </row>
    <row r="32" spans="1:105" x14ac:dyDescent="0.35">
      <c r="B32" s="14"/>
      <c r="E32" s="12" t="e" vm="2">
        <f t="shared" ca="1" si="94"/>
        <v>#VALUE!</v>
      </c>
      <c r="F32" s="7" t="e">
        <f t="shared" si="0"/>
        <v>#N/A</v>
      </c>
      <c r="G32" s="6" t="e">
        <f t="shared" si="1"/>
        <v>#N/A</v>
      </c>
      <c r="H32" s="7" t="e">
        <f t="shared" si="2"/>
        <v>#N/A</v>
      </c>
      <c r="I32" s="6" t="e">
        <f t="shared" si="3"/>
        <v>#N/A</v>
      </c>
      <c r="J32" s="5" t="e">
        <f t="shared" si="4"/>
        <v>#N/A</v>
      </c>
      <c r="K32" s="6" t="e">
        <f t="shared" si="5"/>
        <v>#N/A</v>
      </c>
      <c r="L32" s="7" t="e">
        <f t="shared" si="6"/>
        <v>#N/A</v>
      </c>
      <c r="M32" s="6" t="e">
        <f t="shared" si="7"/>
        <v>#N/A</v>
      </c>
      <c r="N32" s="7" t="e">
        <f t="shared" si="8"/>
        <v>#N/A</v>
      </c>
      <c r="O32" s="6" t="e">
        <f t="shared" si="9"/>
        <v>#N/A</v>
      </c>
      <c r="P32" s="5" t="e">
        <f t="shared" si="10"/>
        <v>#N/A</v>
      </c>
      <c r="Q32" s="6" t="e">
        <f t="shared" si="11"/>
        <v>#N/A</v>
      </c>
      <c r="R32" s="7" t="e">
        <f t="shared" si="12"/>
        <v>#N/A</v>
      </c>
      <c r="S32" s="6" t="e">
        <f t="shared" si="13"/>
        <v>#N/A</v>
      </c>
      <c r="T32" s="7" t="e">
        <f t="shared" si="14"/>
        <v>#N/A</v>
      </c>
      <c r="U32" s="6" t="e">
        <f t="shared" si="15"/>
        <v>#N/A</v>
      </c>
      <c r="V32" s="5" t="e">
        <f t="shared" si="16"/>
        <v>#N/A</v>
      </c>
      <c r="W32" s="6" t="e">
        <f t="shared" si="17"/>
        <v>#N/A</v>
      </c>
      <c r="X32" s="7" t="e">
        <f t="shared" si="18"/>
        <v>#N/A</v>
      </c>
      <c r="Y32" s="6" t="e">
        <f t="shared" si="19"/>
        <v>#N/A</v>
      </c>
      <c r="Z32" s="7" t="e">
        <f t="shared" si="20"/>
        <v>#N/A</v>
      </c>
      <c r="AA32" s="6" t="e">
        <f t="shared" si="21"/>
        <v>#N/A</v>
      </c>
      <c r="AB32" s="5" t="e">
        <f t="shared" si="22"/>
        <v>#N/A</v>
      </c>
      <c r="AC32" s="6" t="e">
        <f t="shared" si="23"/>
        <v>#N/A</v>
      </c>
      <c r="AD32" s="7" t="e">
        <f t="shared" si="24"/>
        <v>#N/A</v>
      </c>
      <c r="AE32" s="6" t="e">
        <f t="shared" si="25"/>
        <v>#N/A</v>
      </c>
      <c r="AF32" s="7" t="e">
        <f t="shared" si="26"/>
        <v>#N/A</v>
      </c>
      <c r="AG32" s="6" t="e">
        <f t="shared" si="27"/>
        <v>#N/A</v>
      </c>
      <c r="AH32" s="5" t="e">
        <f t="shared" si="28"/>
        <v>#N/A</v>
      </c>
      <c r="AI32" s="6" t="e">
        <f t="shared" si="29"/>
        <v>#N/A</v>
      </c>
      <c r="AJ32" s="7" t="e">
        <f t="shared" si="30"/>
        <v>#N/A</v>
      </c>
      <c r="AK32" s="6" t="e">
        <f t="shared" si="31"/>
        <v>#N/A</v>
      </c>
      <c r="AL32" s="7" t="e">
        <f t="shared" si="32"/>
        <v>#N/A</v>
      </c>
      <c r="AM32" s="6" t="e">
        <f t="shared" si="33"/>
        <v>#N/A</v>
      </c>
      <c r="AN32" s="5" t="e">
        <f t="shared" si="34"/>
        <v>#N/A</v>
      </c>
      <c r="AO32" s="6" t="e">
        <f t="shared" si="35"/>
        <v>#N/A</v>
      </c>
      <c r="AP32" s="7" t="e">
        <f t="shared" si="36"/>
        <v>#N/A</v>
      </c>
      <c r="AQ32" s="6" t="e">
        <f t="shared" si="37"/>
        <v>#N/A</v>
      </c>
      <c r="AR32" s="7" t="e">
        <f t="shared" si="38"/>
        <v>#N/A</v>
      </c>
      <c r="AS32" s="6" t="e">
        <f t="shared" si="39"/>
        <v>#N/A</v>
      </c>
      <c r="AT32" s="5" t="e">
        <f t="shared" si="40"/>
        <v>#N/A</v>
      </c>
      <c r="AU32" s="6" t="e">
        <f t="shared" si="41"/>
        <v>#N/A</v>
      </c>
      <c r="AV32" s="7" t="e">
        <f t="shared" si="42"/>
        <v>#N/A</v>
      </c>
      <c r="AW32" s="6" t="e">
        <f t="shared" si="43"/>
        <v>#N/A</v>
      </c>
      <c r="AX32" s="7" t="e">
        <f t="shared" si="44"/>
        <v>#N/A</v>
      </c>
      <c r="AY32" s="6" t="e">
        <f t="shared" si="45"/>
        <v>#N/A</v>
      </c>
      <c r="AZ32" s="5" t="e">
        <f t="shared" si="46"/>
        <v>#N/A</v>
      </c>
      <c r="BA32" s="6" t="e">
        <f t="shared" si="47"/>
        <v>#N/A</v>
      </c>
      <c r="BB32" s="7" t="e">
        <f t="shared" si="48"/>
        <v>#N/A</v>
      </c>
      <c r="BC32" s="6" t="e">
        <f t="shared" si="49"/>
        <v>#N/A</v>
      </c>
      <c r="BD32" s="7" t="e">
        <f t="shared" si="50"/>
        <v>#N/A</v>
      </c>
      <c r="BE32" s="6" t="e">
        <f t="shared" si="51"/>
        <v>#N/A</v>
      </c>
      <c r="BF32" s="5" t="e">
        <f t="shared" si="52"/>
        <v>#N/A</v>
      </c>
      <c r="BG32" s="6" t="e">
        <f t="shared" si="53"/>
        <v>#N/A</v>
      </c>
      <c r="BH32" s="7" t="e">
        <f t="shared" si="54"/>
        <v>#N/A</v>
      </c>
      <c r="BI32" s="6" t="e">
        <f t="shared" si="55"/>
        <v>#N/A</v>
      </c>
      <c r="BJ32" s="7" t="e">
        <f t="shared" si="56"/>
        <v>#N/A</v>
      </c>
      <c r="BK32" s="6" t="e">
        <f t="shared" si="57"/>
        <v>#N/A</v>
      </c>
      <c r="BL32" s="5" t="e">
        <f t="shared" si="58"/>
        <v>#N/A</v>
      </c>
      <c r="BM32" s="6" t="e">
        <f t="shared" si="59"/>
        <v>#N/A</v>
      </c>
      <c r="BN32" s="7" t="e">
        <f t="shared" si="60"/>
        <v>#N/A</v>
      </c>
      <c r="BO32" s="6" t="e">
        <f t="shared" si="61"/>
        <v>#N/A</v>
      </c>
      <c r="BP32" s="7" t="e">
        <f t="shared" si="62"/>
        <v>#N/A</v>
      </c>
      <c r="BQ32" s="6" t="e">
        <f t="shared" si="63"/>
        <v>#N/A</v>
      </c>
      <c r="BR32" s="5" t="e">
        <f t="shared" si="64"/>
        <v>#N/A</v>
      </c>
      <c r="BS32" s="6" t="e">
        <f t="shared" si="65"/>
        <v>#N/A</v>
      </c>
      <c r="BT32" s="7" t="e">
        <f t="shared" si="66"/>
        <v>#N/A</v>
      </c>
      <c r="BU32" s="6" t="e">
        <f t="shared" si="67"/>
        <v>#N/A</v>
      </c>
      <c r="BV32" s="7" t="e">
        <f t="shared" si="68"/>
        <v>#N/A</v>
      </c>
      <c r="BW32" s="6" t="e">
        <f t="shared" si="69"/>
        <v>#N/A</v>
      </c>
      <c r="BX32" s="5" t="e">
        <f t="shared" si="70"/>
        <v>#N/A</v>
      </c>
      <c r="BY32" s="6" t="e">
        <f t="shared" si="71"/>
        <v>#N/A</v>
      </c>
      <c r="BZ32" s="7" t="e">
        <f t="shared" si="72"/>
        <v>#N/A</v>
      </c>
      <c r="CA32" s="6" t="e">
        <f t="shared" si="73"/>
        <v>#N/A</v>
      </c>
      <c r="CB32" s="7" t="e">
        <f t="shared" si="74"/>
        <v>#N/A</v>
      </c>
      <c r="CC32" s="6" t="e">
        <f t="shared" si="75"/>
        <v>#N/A</v>
      </c>
      <c r="CD32" s="5" t="e">
        <f t="shared" si="76"/>
        <v>#N/A</v>
      </c>
      <c r="CE32" s="6" t="e">
        <f t="shared" si="77"/>
        <v>#N/A</v>
      </c>
      <c r="CF32" s="7" t="e">
        <f t="shared" si="78"/>
        <v>#N/A</v>
      </c>
      <c r="CG32" s="6" t="e">
        <f t="shared" si="79"/>
        <v>#N/A</v>
      </c>
      <c r="CH32" s="7" t="e">
        <f t="shared" si="80"/>
        <v>#N/A</v>
      </c>
      <c r="CI32" s="6" t="e">
        <f t="shared" si="81"/>
        <v>#N/A</v>
      </c>
      <c r="CJ32" s="5" t="e">
        <f t="shared" si="82"/>
        <v>#N/A</v>
      </c>
      <c r="CK32" s="6" t="e">
        <f t="shared" si="83"/>
        <v>#N/A</v>
      </c>
      <c r="CL32" s="7" t="e">
        <f t="shared" si="84"/>
        <v>#N/A</v>
      </c>
      <c r="CM32" s="6" t="e">
        <f t="shared" si="85"/>
        <v>#N/A</v>
      </c>
      <c r="CN32" s="7" t="e">
        <f t="shared" si="86"/>
        <v>#N/A</v>
      </c>
      <c r="CO32" s="6" t="e">
        <f t="shared" si="87"/>
        <v>#N/A</v>
      </c>
      <c r="CP32" s="5" t="e">
        <f t="shared" si="88"/>
        <v>#N/A</v>
      </c>
      <c r="CQ32" s="6" t="e">
        <f t="shared" si="89"/>
        <v>#N/A</v>
      </c>
      <c r="CR32" s="7" t="e">
        <f t="shared" si="90"/>
        <v>#N/A</v>
      </c>
      <c r="CS32" s="7" t="e">
        <f t="shared" si="90"/>
        <v>#N/A</v>
      </c>
      <c r="CT32" s="7" t="e">
        <f t="shared" si="90"/>
        <v>#N/A</v>
      </c>
      <c r="CU32" s="7" t="e">
        <f t="shared" si="90"/>
        <v>#N/A</v>
      </c>
      <c r="CV32" s="5" t="e">
        <f t="shared" si="91"/>
        <v>#N/A</v>
      </c>
      <c r="CW32" s="6" t="e">
        <f t="shared" si="92"/>
        <v>#N/A</v>
      </c>
      <c r="CY32" s="7" t="e">
        <v>#N/A</v>
      </c>
      <c r="CZ32" s="5" t="e">
        <f t="array" ref="CZ32">Summary_UpperBound</f>
        <v>#N/A</v>
      </c>
      <c r="DA32" s="6" t="e">
        <f t="shared" si="93"/>
        <v>#N/A</v>
      </c>
    </row>
    <row r="33" spans="2:105" x14ac:dyDescent="0.35">
      <c r="B33" s="14"/>
      <c r="E33" s="12" t="e" vm="2">
        <f t="shared" ca="1" si="94"/>
        <v>#VALUE!</v>
      </c>
      <c r="F33" s="7" t="e">
        <f t="shared" si="0"/>
        <v>#N/A</v>
      </c>
      <c r="G33" s="6" t="e">
        <f t="shared" si="1"/>
        <v>#N/A</v>
      </c>
      <c r="H33" s="7" t="e">
        <f t="shared" si="2"/>
        <v>#N/A</v>
      </c>
      <c r="I33" s="6" t="e">
        <f t="shared" si="3"/>
        <v>#N/A</v>
      </c>
      <c r="J33" s="5" t="e">
        <f t="shared" si="4"/>
        <v>#N/A</v>
      </c>
      <c r="K33" s="6" t="e">
        <f t="shared" si="5"/>
        <v>#N/A</v>
      </c>
      <c r="L33" s="7" t="e">
        <f t="shared" si="6"/>
        <v>#N/A</v>
      </c>
      <c r="M33" s="6" t="e">
        <f t="shared" si="7"/>
        <v>#N/A</v>
      </c>
      <c r="N33" s="7" t="e">
        <f t="shared" si="8"/>
        <v>#N/A</v>
      </c>
      <c r="O33" s="6" t="e">
        <f t="shared" si="9"/>
        <v>#N/A</v>
      </c>
      <c r="P33" s="5" t="e">
        <f t="shared" si="10"/>
        <v>#N/A</v>
      </c>
      <c r="Q33" s="6" t="e">
        <f t="shared" si="11"/>
        <v>#N/A</v>
      </c>
      <c r="R33" s="7" t="e">
        <f t="shared" si="12"/>
        <v>#N/A</v>
      </c>
      <c r="S33" s="6" t="e">
        <f t="shared" si="13"/>
        <v>#N/A</v>
      </c>
      <c r="T33" s="7" t="e">
        <f t="shared" si="14"/>
        <v>#N/A</v>
      </c>
      <c r="U33" s="6" t="e">
        <f t="shared" si="15"/>
        <v>#N/A</v>
      </c>
      <c r="V33" s="5" t="e">
        <f t="shared" si="16"/>
        <v>#N/A</v>
      </c>
      <c r="W33" s="6" t="e">
        <f t="shared" si="17"/>
        <v>#N/A</v>
      </c>
      <c r="X33" s="7" t="e">
        <f t="shared" si="18"/>
        <v>#N/A</v>
      </c>
      <c r="Y33" s="6" t="e">
        <f t="shared" si="19"/>
        <v>#N/A</v>
      </c>
      <c r="Z33" s="7" t="e">
        <f t="shared" si="20"/>
        <v>#N/A</v>
      </c>
      <c r="AA33" s="6" t="e">
        <f t="shared" si="21"/>
        <v>#N/A</v>
      </c>
      <c r="AB33" s="5" t="e">
        <f t="shared" si="22"/>
        <v>#N/A</v>
      </c>
      <c r="AC33" s="6" t="e">
        <f t="shared" si="23"/>
        <v>#N/A</v>
      </c>
      <c r="AD33" s="7" t="e">
        <f t="shared" si="24"/>
        <v>#N/A</v>
      </c>
      <c r="AE33" s="6" t="e">
        <f t="shared" si="25"/>
        <v>#N/A</v>
      </c>
      <c r="AF33" s="7" t="e">
        <f t="shared" si="26"/>
        <v>#N/A</v>
      </c>
      <c r="AG33" s="6" t="e">
        <f t="shared" si="27"/>
        <v>#N/A</v>
      </c>
      <c r="AH33" s="5" t="e">
        <f t="shared" si="28"/>
        <v>#N/A</v>
      </c>
      <c r="AI33" s="6" t="e">
        <f t="shared" si="29"/>
        <v>#N/A</v>
      </c>
      <c r="AJ33" s="7" t="e">
        <f t="shared" si="30"/>
        <v>#N/A</v>
      </c>
      <c r="AK33" s="6" t="e">
        <f t="shared" si="31"/>
        <v>#N/A</v>
      </c>
      <c r="AL33" s="7" t="e">
        <f t="shared" si="32"/>
        <v>#N/A</v>
      </c>
      <c r="AM33" s="6" t="e">
        <f t="shared" si="33"/>
        <v>#N/A</v>
      </c>
      <c r="AN33" s="5" t="e">
        <f t="shared" si="34"/>
        <v>#N/A</v>
      </c>
      <c r="AO33" s="6" t="e">
        <f t="shared" si="35"/>
        <v>#N/A</v>
      </c>
      <c r="AP33" s="7" t="e">
        <f t="shared" si="36"/>
        <v>#N/A</v>
      </c>
      <c r="AQ33" s="6" t="e">
        <f t="shared" si="37"/>
        <v>#N/A</v>
      </c>
      <c r="AR33" s="7" t="e">
        <f t="shared" si="38"/>
        <v>#N/A</v>
      </c>
      <c r="AS33" s="6" t="e">
        <f t="shared" si="39"/>
        <v>#N/A</v>
      </c>
      <c r="AT33" s="5" t="e">
        <f t="shared" si="40"/>
        <v>#N/A</v>
      </c>
      <c r="AU33" s="6" t="e">
        <f t="shared" si="41"/>
        <v>#N/A</v>
      </c>
      <c r="AV33" s="7" t="e">
        <f t="shared" si="42"/>
        <v>#N/A</v>
      </c>
      <c r="AW33" s="6" t="e">
        <f t="shared" si="43"/>
        <v>#N/A</v>
      </c>
      <c r="AX33" s="7" t="e">
        <f t="shared" si="44"/>
        <v>#N/A</v>
      </c>
      <c r="AY33" s="6" t="e">
        <f t="shared" si="45"/>
        <v>#N/A</v>
      </c>
      <c r="AZ33" s="5" t="e">
        <f t="shared" si="46"/>
        <v>#N/A</v>
      </c>
      <c r="BA33" s="6" t="e">
        <f t="shared" si="47"/>
        <v>#N/A</v>
      </c>
      <c r="BB33" s="7" t="e">
        <f t="shared" si="48"/>
        <v>#N/A</v>
      </c>
      <c r="BC33" s="6" t="e">
        <f t="shared" si="49"/>
        <v>#N/A</v>
      </c>
      <c r="BD33" s="7" t="e">
        <f t="shared" si="50"/>
        <v>#N/A</v>
      </c>
      <c r="BE33" s="6" t="e">
        <f t="shared" si="51"/>
        <v>#N/A</v>
      </c>
      <c r="BF33" s="5" t="e">
        <f t="shared" si="52"/>
        <v>#N/A</v>
      </c>
      <c r="BG33" s="6" t="e">
        <f t="shared" si="53"/>
        <v>#N/A</v>
      </c>
      <c r="BH33" s="7" t="e">
        <f t="shared" si="54"/>
        <v>#N/A</v>
      </c>
      <c r="BI33" s="6" t="e">
        <f t="shared" si="55"/>
        <v>#N/A</v>
      </c>
      <c r="BJ33" s="7" t="e">
        <f t="shared" si="56"/>
        <v>#N/A</v>
      </c>
      <c r="BK33" s="6" t="e">
        <f t="shared" si="57"/>
        <v>#N/A</v>
      </c>
      <c r="BL33" s="5" t="e">
        <f t="shared" si="58"/>
        <v>#N/A</v>
      </c>
      <c r="BM33" s="6" t="e">
        <f t="shared" si="59"/>
        <v>#N/A</v>
      </c>
      <c r="BN33" s="7" t="e">
        <f t="shared" si="60"/>
        <v>#N/A</v>
      </c>
      <c r="BO33" s="6" t="e">
        <f t="shared" si="61"/>
        <v>#N/A</v>
      </c>
      <c r="BP33" s="7" t="e">
        <f t="shared" si="62"/>
        <v>#N/A</v>
      </c>
      <c r="BQ33" s="6" t="e">
        <f t="shared" si="63"/>
        <v>#N/A</v>
      </c>
      <c r="BR33" s="5" t="e">
        <f t="shared" si="64"/>
        <v>#N/A</v>
      </c>
      <c r="BS33" s="6" t="e">
        <f t="shared" si="65"/>
        <v>#N/A</v>
      </c>
      <c r="BT33" s="7" t="e">
        <f t="shared" si="66"/>
        <v>#N/A</v>
      </c>
      <c r="BU33" s="6" t="e">
        <f t="shared" si="67"/>
        <v>#N/A</v>
      </c>
      <c r="BV33" s="7" t="e">
        <f t="shared" si="68"/>
        <v>#N/A</v>
      </c>
      <c r="BW33" s="6" t="e">
        <f t="shared" si="69"/>
        <v>#N/A</v>
      </c>
      <c r="BX33" s="5" t="e">
        <f t="shared" si="70"/>
        <v>#N/A</v>
      </c>
      <c r="BY33" s="6" t="e">
        <f t="shared" si="71"/>
        <v>#N/A</v>
      </c>
      <c r="BZ33" s="7" t="e">
        <f t="shared" si="72"/>
        <v>#N/A</v>
      </c>
      <c r="CA33" s="6" t="e">
        <f t="shared" si="73"/>
        <v>#N/A</v>
      </c>
      <c r="CB33" s="7" t="e">
        <f t="shared" si="74"/>
        <v>#N/A</v>
      </c>
      <c r="CC33" s="6" t="e">
        <f t="shared" si="75"/>
        <v>#N/A</v>
      </c>
      <c r="CD33" s="5" t="e">
        <f t="shared" si="76"/>
        <v>#N/A</v>
      </c>
      <c r="CE33" s="6" t="e">
        <f t="shared" si="77"/>
        <v>#N/A</v>
      </c>
      <c r="CF33" s="7" t="e">
        <f t="shared" si="78"/>
        <v>#N/A</v>
      </c>
      <c r="CG33" s="6" t="e">
        <f t="shared" si="79"/>
        <v>#N/A</v>
      </c>
      <c r="CH33" s="7" t="e">
        <f t="shared" si="80"/>
        <v>#N/A</v>
      </c>
      <c r="CI33" s="6" t="e">
        <f t="shared" si="81"/>
        <v>#N/A</v>
      </c>
      <c r="CJ33" s="5" t="e">
        <f t="shared" si="82"/>
        <v>#N/A</v>
      </c>
      <c r="CK33" s="6" t="e">
        <f t="shared" si="83"/>
        <v>#N/A</v>
      </c>
      <c r="CL33" s="7" t="e">
        <f t="shared" si="84"/>
        <v>#N/A</v>
      </c>
      <c r="CM33" s="6" t="e">
        <f t="shared" si="85"/>
        <v>#N/A</v>
      </c>
      <c r="CN33" s="7" t="e">
        <f t="shared" si="86"/>
        <v>#N/A</v>
      </c>
      <c r="CO33" s="6" t="e">
        <f t="shared" si="87"/>
        <v>#N/A</v>
      </c>
      <c r="CP33" s="5" t="e">
        <f t="shared" si="88"/>
        <v>#N/A</v>
      </c>
      <c r="CQ33" s="6" t="e">
        <f t="shared" si="89"/>
        <v>#N/A</v>
      </c>
      <c r="CR33" s="7" t="e">
        <f t="shared" si="90"/>
        <v>#N/A</v>
      </c>
      <c r="CS33" s="7" t="e">
        <f t="shared" si="90"/>
        <v>#N/A</v>
      </c>
      <c r="CT33" s="7" t="e">
        <f t="shared" si="90"/>
        <v>#N/A</v>
      </c>
      <c r="CU33" s="7" t="e">
        <f t="shared" si="90"/>
        <v>#N/A</v>
      </c>
      <c r="CV33" s="5" t="e">
        <f t="shared" si="91"/>
        <v>#N/A</v>
      </c>
      <c r="CW33" s="6" t="e">
        <f t="shared" si="92"/>
        <v>#N/A</v>
      </c>
      <c r="CY33" s="7" t="e">
        <v>#N/A</v>
      </c>
      <c r="CZ33" s="5" t="e">
        <f t="array" ref="CZ33">Summary_UpperBound</f>
        <v>#N/A</v>
      </c>
      <c r="DA33" s="6" t="e">
        <f t="shared" si="93"/>
        <v>#N/A</v>
      </c>
    </row>
    <row r="34" spans="2:105" x14ac:dyDescent="0.35">
      <c r="B34" s="14"/>
      <c r="E34" s="12" t="e" vm="2">
        <f t="shared" ca="1" si="94"/>
        <v>#VALUE!</v>
      </c>
      <c r="F34" s="7" t="e">
        <f t="shared" si="0"/>
        <v>#N/A</v>
      </c>
      <c r="G34" s="6" t="e">
        <f t="shared" si="1"/>
        <v>#N/A</v>
      </c>
      <c r="H34" s="7" t="e">
        <f t="shared" si="2"/>
        <v>#N/A</v>
      </c>
      <c r="I34" s="6" t="e">
        <f t="shared" si="3"/>
        <v>#N/A</v>
      </c>
      <c r="J34" s="5" t="e">
        <f t="shared" si="4"/>
        <v>#N/A</v>
      </c>
      <c r="K34" s="6" t="e">
        <f t="shared" si="5"/>
        <v>#N/A</v>
      </c>
      <c r="L34" s="7" t="e">
        <f t="shared" si="6"/>
        <v>#N/A</v>
      </c>
      <c r="M34" s="6" t="e">
        <f t="shared" si="7"/>
        <v>#N/A</v>
      </c>
      <c r="N34" s="7" t="e">
        <f t="shared" si="8"/>
        <v>#N/A</v>
      </c>
      <c r="O34" s="6" t="e">
        <f t="shared" si="9"/>
        <v>#N/A</v>
      </c>
      <c r="P34" s="5" t="e">
        <f t="shared" si="10"/>
        <v>#N/A</v>
      </c>
      <c r="Q34" s="6" t="e">
        <f t="shared" si="11"/>
        <v>#N/A</v>
      </c>
      <c r="R34" s="7" t="e">
        <f t="shared" si="12"/>
        <v>#N/A</v>
      </c>
      <c r="S34" s="6" t="e">
        <f t="shared" si="13"/>
        <v>#N/A</v>
      </c>
      <c r="T34" s="7" t="e">
        <f t="shared" si="14"/>
        <v>#N/A</v>
      </c>
      <c r="U34" s="6" t="e">
        <f t="shared" si="15"/>
        <v>#N/A</v>
      </c>
      <c r="V34" s="5" t="e">
        <f t="shared" si="16"/>
        <v>#N/A</v>
      </c>
      <c r="W34" s="6" t="e">
        <f t="shared" si="17"/>
        <v>#N/A</v>
      </c>
      <c r="X34" s="7" t="e">
        <f t="shared" si="18"/>
        <v>#N/A</v>
      </c>
      <c r="Y34" s="6" t="e">
        <f t="shared" si="19"/>
        <v>#N/A</v>
      </c>
      <c r="Z34" s="7" t="e">
        <f t="shared" si="20"/>
        <v>#N/A</v>
      </c>
      <c r="AA34" s="6" t="e">
        <f t="shared" si="21"/>
        <v>#N/A</v>
      </c>
      <c r="AB34" s="5" t="e">
        <f t="shared" si="22"/>
        <v>#N/A</v>
      </c>
      <c r="AC34" s="6" t="e">
        <f t="shared" si="23"/>
        <v>#N/A</v>
      </c>
      <c r="AD34" s="7" t="e">
        <f t="shared" si="24"/>
        <v>#N/A</v>
      </c>
      <c r="AE34" s="6" t="e">
        <f t="shared" si="25"/>
        <v>#N/A</v>
      </c>
      <c r="AF34" s="7" t="e">
        <f t="shared" si="26"/>
        <v>#N/A</v>
      </c>
      <c r="AG34" s="6" t="e">
        <f t="shared" si="27"/>
        <v>#N/A</v>
      </c>
      <c r="AH34" s="5" t="e">
        <f t="shared" si="28"/>
        <v>#N/A</v>
      </c>
      <c r="AI34" s="6" t="e">
        <f t="shared" si="29"/>
        <v>#N/A</v>
      </c>
      <c r="AJ34" s="7" t="e">
        <f t="shared" si="30"/>
        <v>#N/A</v>
      </c>
      <c r="AK34" s="6" t="e">
        <f t="shared" si="31"/>
        <v>#N/A</v>
      </c>
      <c r="AL34" s="7" t="e">
        <f t="shared" si="32"/>
        <v>#N/A</v>
      </c>
      <c r="AM34" s="6" t="e">
        <f t="shared" si="33"/>
        <v>#N/A</v>
      </c>
      <c r="AN34" s="5" t="e">
        <f t="shared" si="34"/>
        <v>#N/A</v>
      </c>
      <c r="AO34" s="6" t="e">
        <f t="shared" si="35"/>
        <v>#N/A</v>
      </c>
      <c r="AP34" s="7" t="e">
        <f t="shared" si="36"/>
        <v>#N/A</v>
      </c>
      <c r="AQ34" s="6" t="e">
        <f t="shared" si="37"/>
        <v>#N/A</v>
      </c>
      <c r="AR34" s="7" t="e">
        <f t="shared" si="38"/>
        <v>#N/A</v>
      </c>
      <c r="AS34" s="6" t="e">
        <f t="shared" si="39"/>
        <v>#N/A</v>
      </c>
      <c r="AT34" s="5" t="e">
        <f t="shared" si="40"/>
        <v>#N/A</v>
      </c>
      <c r="AU34" s="6" t="e">
        <f t="shared" si="41"/>
        <v>#N/A</v>
      </c>
      <c r="AV34" s="7" t="e">
        <f t="shared" si="42"/>
        <v>#N/A</v>
      </c>
      <c r="AW34" s="6" t="e">
        <f t="shared" si="43"/>
        <v>#N/A</v>
      </c>
      <c r="AX34" s="7" t="e">
        <f t="shared" si="44"/>
        <v>#N/A</v>
      </c>
      <c r="AY34" s="6" t="e">
        <f t="shared" si="45"/>
        <v>#N/A</v>
      </c>
      <c r="AZ34" s="5" t="e">
        <f t="shared" si="46"/>
        <v>#N/A</v>
      </c>
      <c r="BA34" s="6" t="e">
        <f t="shared" si="47"/>
        <v>#N/A</v>
      </c>
      <c r="BB34" s="7" t="e">
        <f t="shared" si="48"/>
        <v>#N/A</v>
      </c>
      <c r="BC34" s="6" t="e">
        <f t="shared" si="49"/>
        <v>#N/A</v>
      </c>
      <c r="BD34" s="7" t="e">
        <f t="shared" si="50"/>
        <v>#N/A</v>
      </c>
      <c r="BE34" s="6" t="e">
        <f t="shared" si="51"/>
        <v>#N/A</v>
      </c>
      <c r="BF34" s="5" t="e">
        <f t="shared" si="52"/>
        <v>#N/A</v>
      </c>
      <c r="BG34" s="6" t="e">
        <f t="shared" si="53"/>
        <v>#N/A</v>
      </c>
      <c r="BH34" s="7" t="e">
        <f t="shared" si="54"/>
        <v>#N/A</v>
      </c>
      <c r="BI34" s="6" t="e">
        <f t="shared" si="55"/>
        <v>#N/A</v>
      </c>
      <c r="BJ34" s="7" t="e">
        <f t="shared" si="56"/>
        <v>#N/A</v>
      </c>
      <c r="BK34" s="6" t="e">
        <f t="shared" si="57"/>
        <v>#N/A</v>
      </c>
      <c r="BL34" s="5" t="e">
        <f t="shared" si="58"/>
        <v>#N/A</v>
      </c>
      <c r="BM34" s="6" t="e">
        <f t="shared" si="59"/>
        <v>#N/A</v>
      </c>
      <c r="BN34" s="7" t="e">
        <f t="shared" si="60"/>
        <v>#N/A</v>
      </c>
      <c r="BO34" s="6" t="e">
        <f t="shared" si="61"/>
        <v>#N/A</v>
      </c>
      <c r="BP34" s="7" t="e">
        <f t="shared" si="62"/>
        <v>#N/A</v>
      </c>
      <c r="BQ34" s="6" t="e">
        <f t="shared" si="63"/>
        <v>#N/A</v>
      </c>
      <c r="BR34" s="5" t="e">
        <f t="shared" si="64"/>
        <v>#N/A</v>
      </c>
      <c r="BS34" s="6" t="e">
        <f t="shared" si="65"/>
        <v>#N/A</v>
      </c>
      <c r="BT34" s="7" t="e">
        <f t="shared" si="66"/>
        <v>#N/A</v>
      </c>
      <c r="BU34" s="6" t="e">
        <f t="shared" si="67"/>
        <v>#N/A</v>
      </c>
      <c r="BV34" s="7" t="e">
        <f t="shared" si="68"/>
        <v>#N/A</v>
      </c>
      <c r="BW34" s="6" t="e">
        <f t="shared" si="69"/>
        <v>#N/A</v>
      </c>
      <c r="BX34" s="5" t="e">
        <f t="shared" si="70"/>
        <v>#N/A</v>
      </c>
      <c r="BY34" s="6" t="e">
        <f t="shared" si="71"/>
        <v>#N/A</v>
      </c>
      <c r="BZ34" s="7" t="e">
        <f t="shared" si="72"/>
        <v>#N/A</v>
      </c>
      <c r="CA34" s="6" t="e">
        <f t="shared" si="73"/>
        <v>#N/A</v>
      </c>
      <c r="CB34" s="7" t="e">
        <f t="shared" si="74"/>
        <v>#N/A</v>
      </c>
      <c r="CC34" s="6" t="e">
        <f t="shared" si="75"/>
        <v>#N/A</v>
      </c>
      <c r="CD34" s="5" t="e">
        <f t="shared" si="76"/>
        <v>#N/A</v>
      </c>
      <c r="CE34" s="6" t="e">
        <f t="shared" si="77"/>
        <v>#N/A</v>
      </c>
      <c r="CF34" s="7" t="e">
        <f t="shared" si="78"/>
        <v>#N/A</v>
      </c>
      <c r="CG34" s="6" t="e">
        <f t="shared" si="79"/>
        <v>#N/A</v>
      </c>
      <c r="CH34" s="7" t="e">
        <f t="shared" si="80"/>
        <v>#N/A</v>
      </c>
      <c r="CI34" s="6" t="e">
        <f t="shared" si="81"/>
        <v>#N/A</v>
      </c>
      <c r="CJ34" s="5" t="e">
        <f t="shared" si="82"/>
        <v>#N/A</v>
      </c>
      <c r="CK34" s="6" t="e">
        <f t="shared" si="83"/>
        <v>#N/A</v>
      </c>
      <c r="CL34" s="7" t="e">
        <f t="shared" si="84"/>
        <v>#N/A</v>
      </c>
      <c r="CM34" s="6" t="e">
        <f t="shared" si="85"/>
        <v>#N/A</v>
      </c>
      <c r="CN34" s="7" t="e">
        <f t="shared" si="86"/>
        <v>#N/A</v>
      </c>
      <c r="CO34" s="6" t="e">
        <f t="shared" si="87"/>
        <v>#N/A</v>
      </c>
      <c r="CP34" s="5" t="e">
        <f t="shared" si="88"/>
        <v>#N/A</v>
      </c>
      <c r="CQ34" s="6" t="e">
        <f t="shared" si="89"/>
        <v>#N/A</v>
      </c>
      <c r="CR34" s="7" t="e">
        <f t="shared" si="90"/>
        <v>#N/A</v>
      </c>
      <c r="CS34" s="7" t="e">
        <f t="shared" si="90"/>
        <v>#N/A</v>
      </c>
      <c r="CT34" s="7" t="e">
        <f t="shared" si="90"/>
        <v>#N/A</v>
      </c>
      <c r="CU34" s="7" t="e">
        <f t="shared" si="90"/>
        <v>#N/A</v>
      </c>
      <c r="CV34" s="5" t="e">
        <f t="shared" si="91"/>
        <v>#N/A</v>
      </c>
      <c r="CW34" s="6" t="e">
        <f t="shared" si="92"/>
        <v>#N/A</v>
      </c>
      <c r="CY34" s="7" t="e">
        <v>#N/A</v>
      </c>
      <c r="CZ34" s="5" t="e">
        <f t="array" ref="CZ34">Summary_UpperBound</f>
        <v>#N/A</v>
      </c>
      <c r="DA34" s="6" t="e">
        <f t="shared" si="93"/>
        <v>#N/A</v>
      </c>
    </row>
    <row r="35" spans="2:105" x14ac:dyDescent="0.35">
      <c r="B35" s="14"/>
      <c r="E35" s="12" t="e" vm="2">
        <f t="shared" ca="1" si="94"/>
        <v>#VALUE!</v>
      </c>
      <c r="F35" s="7" t="e">
        <f t="shared" si="0"/>
        <v>#N/A</v>
      </c>
      <c r="G35" s="6" t="e">
        <f t="shared" si="1"/>
        <v>#N/A</v>
      </c>
      <c r="H35" s="7" t="e">
        <f t="shared" si="2"/>
        <v>#N/A</v>
      </c>
      <c r="I35" s="6" t="e">
        <f t="shared" si="3"/>
        <v>#N/A</v>
      </c>
      <c r="J35" s="5" t="e">
        <f t="shared" si="4"/>
        <v>#N/A</v>
      </c>
      <c r="K35" s="6" t="e">
        <f t="shared" si="5"/>
        <v>#N/A</v>
      </c>
      <c r="L35" s="7" t="e">
        <f t="shared" si="6"/>
        <v>#N/A</v>
      </c>
      <c r="M35" s="6" t="e">
        <f t="shared" si="7"/>
        <v>#N/A</v>
      </c>
      <c r="N35" s="7" t="e">
        <f t="shared" si="8"/>
        <v>#N/A</v>
      </c>
      <c r="O35" s="6" t="e">
        <f t="shared" si="9"/>
        <v>#N/A</v>
      </c>
      <c r="P35" s="5" t="e">
        <f t="shared" si="10"/>
        <v>#N/A</v>
      </c>
      <c r="Q35" s="6" t="e">
        <f t="shared" si="11"/>
        <v>#N/A</v>
      </c>
      <c r="R35" s="7" t="e">
        <f t="shared" si="12"/>
        <v>#N/A</v>
      </c>
      <c r="S35" s="6" t="e">
        <f t="shared" si="13"/>
        <v>#N/A</v>
      </c>
      <c r="T35" s="7" t="e">
        <f t="shared" si="14"/>
        <v>#N/A</v>
      </c>
      <c r="U35" s="6" t="e">
        <f t="shared" si="15"/>
        <v>#N/A</v>
      </c>
      <c r="V35" s="5" t="e">
        <f t="shared" si="16"/>
        <v>#N/A</v>
      </c>
      <c r="W35" s="6" t="e">
        <f t="shared" si="17"/>
        <v>#N/A</v>
      </c>
      <c r="X35" s="7" t="e">
        <f t="shared" si="18"/>
        <v>#N/A</v>
      </c>
      <c r="Y35" s="6" t="e">
        <f t="shared" si="19"/>
        <v>#N/A</v>
      </c>
      <c r="Z35" s="7" t="e">
        <f t="shared" si="20"/>
        <v>#N/A</v>
      </c>
      <c r="AA35" s="6" t="e">
        <f t="shared" si="21"/>
        <v>#N/A</v>
      </c>
      <c r="AB35" s="5" t="e">
        <f t="shared" si="22"/>
        <v>#N/A</v>
      </c>
      <c r="AC35" s="6" t="e">
        <f t="shared" si="23"/>
        <v>#N/A</v>
      </c>
      <c r="AD35" s="7" t="e">
        <f t="shared" si="24"/>
        <v>#N/A</v>
      </c>
      <c r="AE35" s="6" t="e">
        <f t="shared" si="25"/>
        <v>#N/A</v>
      </c>
      <c r="AF35" s="7" t="e">
        <f t="shared" si="26"/>
        <v>#N/A</v>
      </c>
      <c r="AG35" s="6" t="e">
        <f t="shared" si="27"/>
        <v>#N/A</v>
      </c>
      <c r="AH35" s="5" t="e">
        <f t="shared" si="28"/>
        <v>#N/A</v>
      </c>
      <c r="AI35" s="6" t="e">
        <f t="shared" si="29"/>
        <v>#N/A</v>
      </c>
      <c r="AJ35" s="7" t="e">
        <f t="shared" si="30"/>
        <v>#N/A</v>
      </c>
      <c r="AK35" s="6" t="e">
        <f t="shared" si="31"/>
        <v>#N/A</v>
      </c>
      <c r="AL35" s="7" t="e">
        <f t="shared" si="32"/>
        <v>#N/A</v>
      </c>
      <c r="AM35" s="6" t="e">
        <f t="shared" si="33"/>
        <v>#N/A</v>
      </c>
      <c r="AN35" s="5" t="e">
        <f t="shared" si="34"/>
        <v>#N/A</v>
      </c>
      <c r="AO35" s="6" t="e">
        <f t="shared" si="35"/>
        <v>#N/A</v>
      </c>
      <c r="AP35" s="7" t="e">
        <f t="shared" si="36"/>
        <v>#N/A</v>
      </c>
      <c r="AQ35" s="6" t="e">
        <f t="shared" si="37"/>
        <v>#N/A</v>
      </c>
      <c r="AR35" s="7" t="e">
        <f t="shared" si="38"/>
        <v>#N/A</v>
      </c>
      <c r="AS35" s="6" t="e">
        <f t="shared" si="39"/>
        <v>#N/A</v>
      </c>
      <c r="AT35" s="5" t="e">
        <f t="shared" si="40"/>
        <v>#N/A</v>
      </c>
      <c r="AU35" s="6" t="e">
        <f t="shared" si="41"/>
        <v>#N/A</v>
      </c>
      <c r="AV35" s="7" t="e">
        <f t="shared" si="42"/>
        <v>#N/A</v>
      </c>
      <c r="AW35" s="6" t="e">
        <f t="shared" si="43"/>
        <v>#N/A</v>
      </c>
      <c r="AX35" s="7" t="e">
        <f t="shared" si="44"/>
        <v>#N/A</v>
      </c>
      <c r="AY35" s="6" t="e">
        <f t="shared" si="45"/>
        <v>#N/A</v>
      </c>
      <c r="AZ35" s="5" t="e">
        <f t="shared" si="46"/>
        <v>#N/A</v>
      </c>
      <c r="BA35" s="6" t="e">
        <f t="shared" si="47"/>
        <v>#N/A</v>
      </c>
      <c r="BB35" s="7" t="e">
        <f t="shared" si="48"/>
        <v>#N/A</v>
      </c>
      <c r="BC35" s="6" t="e">
        <f t="shared" si="49"/>
        <v>#N/A</v>
      </c>
      <c r="BD35" s="7" t="e">
        <f t="shared" si="50"/>
        <v>#N/A</v>
      </c>
      <c r="BE35" s="6" t="e">
        <f t="shared" si="51"/>
        <v>#N/A</v>
      </c>
      <c r="BF35" s="5" t="e">
        <f t="shared" si="52"/>
        <v>#N/A</v>
      </c>
      <c r="BG35" s="6" t="e">
        <f t="shared" si="53"/>
        <v>#N/A</v>
      </c>
      <c r="BH35" s="7" t="e">
        <f t="shared" si="54"/>
        <v>#N/A</v>
      </c>
      <c r="BI35" s="6" t="e">
        <f t="shared" si="55"/>
        <v>#N/A</v>
      </c>
      <c r="BJ35" s="7" t="e">
        <f t="shared" si="56"/>
        <v>#N/A</v>
      </c>
      <c r="BK35" s="6" t="e">
        <f t="shared" si="57"/>
        <v>#N/A</v>
      </c>
      <c r="BL35" s="5" t="e">
        <f t="shared" si="58"/>
        <v>#N/A</v>
      </c>
      <c r="BM35" s="6" t="e">
        <f t="shared" si="59"/>
        <v>#N/A</v>
      </c>
      <c r="BN35" s="7" t="e">
        <f t="shared" si="60"/>
        <v>#N/A</v>
      </c>
      <c r="BO35" s="6" t="e">
        <f t="shared" si="61"/>
        <v>#N/A</v>
      </c>
      <c r="BP35" s="7" t="e">
        <f t="shared" si="62"/>
        <v>#N/A</v>
      </c>
      <c r="BQ35" s="6" t="e">
        <f t="shared" si="63"/>
        <v>#N/A</v>
      </c>
      <c r="BR35" s="5" t="e">
        <f t="shared" si="64"/>
        <v>#N/A</v>
      </c>
      <c r="BS35" s="6" t="e">
        <f t="shared" si="65"/>
        <v>#N/A</v>
      </c>
      <c r="BT35" s="7" t="e">
        <f t="shared" si="66"/>
        <v>#N/A</v>
      </c>
      <c r="BU35" s="6" t="e">
        <f t="shared" si="67"/>
        <v>#N/A</v>
      </c>
      <c r="BV35" s="7" t="e">
        <f t="shared" si="68"/>
        <v>#N/A</v>
      </c>
      <c r="BW35" s="6" t="e">
        <f t="shared" si="69"/>
        <v>#N/A</v>
      </c>
      <c r="BX35" s="5" t="e">
        <f t="shared" si="70"/>
        <v>#N/A</v>
      </c>
      <c r="BY35" s="6" t="e">
        <f t="shared" si="71"/>
        <v>#N/A</v>
      </c>
      <c r="BZ35" s="7" t="e">
        <f t="shared" si="72"/>
        <v>#N/A</v>
      </c>
      <c r="CA35" s="6" t="e">
        <f t="shared" si="73"/>
        <v>#N/A</v>
      </c>
      <c r="CB35" s="7" t="e">
        <f t="shared" si="74"/>
        <v>#N/A</v>
      </c>
      <c r="CC35" s="6" t="e">
        <f t="shared" si="75"/>
        <v>#N/A</v>
      </c>
      <c r="CD35" s="5" t="e">
        <f t="shared" si="76"/>
        <v>#N/A</v>
      </c>
      <c r="CE35" s="6" t="e">
        <f t="shared" si="77"/>
        <v>#N/A</v>
      </c>
      <c r="CF35" s="7" t="e">
        <f t="shared" si="78"/>
        <v>#N/A</v>
      </c>
      <c r="CG35" s="6" t="e">
        <f t="shared" si="79"/>
        <v>#N/A</v>
      </c>
      <c r="CH35" s="7" t="e">
        <f t="shared" si="80"/>
        <v>#N/A</v>
      </c>
      <c r="CI35" s="6" t="e">
        <f t="shared" si="81"/>
        <v>#N/A</v>
      </c>
      <c r="CJ35" s="5" t="e">
        <f t="shared" si="82"/>
        <v>#N/A</v>
      </c>
      <c r="CK35" s="6" t="e">
        <f t="shared" si="83"/>
        <v>#N/A</v>
      </c>
      <c r="CL35" s="7" t="e">
        <f t="shared" si="84"/>
        <v>#N/A</v>
      </c>
      <c r="CM35" s="6" t="e">
        <f t="shared" si="85"/>
        <v>#N/A</v>
      </c>
      <c r="CN35" s="7" t="e">
        <f t="shared" si="86"/>
        <v>#N/A</v>
      </c>
      <c r="CO35" s="6" t="e">
        <f t="shared" si="87"/>
        <v>#N/A</v>
      </c>
      <c r="CP35" s="5" t="e">
        <f t="shared" si="88"/>
        <v>#N/A</v>
      </c>
      <c r="CQ35" s="6" t="e">
        <f t="shared" si="89"/>
        <v>#N/A</v>
      </c>
      <c r="CR35" s="7" t="e">
        <f t="shared" si="90"/>
        <v>#N/A</v>
      </c>
      <c r="CS35" s="7" t="e">
        <f t="shared" si="90"/>
        <v>#N/A</v>
      </c>
      <c r="CT35" s="7" t="e">
        <f t="shared" si="90"/>
        <v>#N/A</v>
      </c>
      <c r="CU35" s="7" t="e">
        <f t="shared" si="90"/>
        <v>#N/A</v>
      </c>
      <c r="CV35" s="5" t="e">
        <f t="shared" si="91"/>
        <v>#N/A</v>
      </c>
      <c r="CW35" s="6" t="e">
        <f t="shared" si="92"/>
        <v>#N/A</v>
      </c>
      <c r="CY35" s="7" t="e">
        <v>#N/A</v>
      </c>
      <c r="CZ35" s="5" t="e">
        <f t="array" ref="CZ35">Summary_UpperBound</f>
        <v>#N/A</v>
      </c>
      <c r="DA35" s="6" t="e">
        <f t="shared" si="93"/>
        <v>#N/A</v>
      </c>
    </row>
    <row r="36" spans="2:105" x14ac:dyDescent="0.35">
      <c r="B36" s="14"/>
      <c r="E36" s="12" t="e" vm="2">
        <f t="shared" ca="1" si="94"/>
        <v>#VALUE!</v>
      </c>
      <c r="F36" s="7" t="e">
        <f t="shared" si="0"/>
        <v>#N/A</v>
      </c>
      <c r="G36" s="6" t="e">
        <f t="shared" si="1"/>
        <v>#N/A</v>
      </c>
      <c r="H36" s="7" t="e">
        <f t="shared" si="2"/>
        <v>#N/A</v>
      </c>
      <c r="I36" s="6" t="e">
        <f t="shared" si="3"/>
        <v>#N/A</v>
      </c>
      <c r="J36" s="5" t="e">
        <f t="shared" si="4"/>
        <v>#N/A</v>
      </c>
      <c r="K36" s="6" t="e">
        <f t="shared" si="5"/>
        <v>#N/A</v>
      </c>
      <c r="L36" s="7" t="e">
        <f t="shared" si="6"/>
        <v>#N/A</v>
      </c>
      <c r="M36" s="6" t="e">
        <f t="shared" si="7"/>
        <v>#N/A</v>
      </c>
      <c r="N36" s="7" t="e">
        <f t="shared" si="8"/>
        <v>#N/A</v>
      </c>
      <c r="O36" s="6" t="e">
        <f t="shared" si="9"/>
        <v>#N/A</v>
      </c>
      <c r="P36" s="5" t="e">
        <f t="shared" si="10"/>
        <v>#N/A</v>
      </c>
      <c r="Q36" s="6" t="e">
        <f t="shared" si="11"/>
        <v>#N/A</v>
      </c>
      <c r="R36" s="7" t="e">
        <f t="shared" si="12"/>
        <v>#N/A</v>
      </c>
      <c r="S36" s="6" t="e">
        <f t="shared" si="13"/>
        <v>#N/A</v>
      </c>
      <c r="T36" s="7" t="e">
        <f t="shared" si="14"/>
        <v>#N/A</v>
      </c>
      <c r="U36" s="6" t="e">
        <f t="shared" si="15"/>
        <v>#N/A</v>
      </c>
      <c r="V36" s="5" t="e">
        <f t="shared" si="16"/>
        <v>#N/A</v>
      </c>
      <c r="W36" s="6" t="e">
        <f t="shared" si="17"/>
        <v>#N/A</v>
      </c>
      <c r="X36" s="7" t="e">
        <f t="shared" si="18"/>
        <v>#N/A</v>
      </c>
      <c r="Y36" s="6" t="e">
        <f t="shared" si="19"/>
        <v>#N/A</v>
      </c>
      <c r="Z36" s="7" t="e">
        <f t="shared" si="20"/>
        <v>#N/A</v>
      </c>
      <c r="AA36" s="6" t="e">
        <f t="shared" si="21"/>
        <v>#N/A</v>
      </c>
      <c r="AB36" s="5" t="e">
        <f t="shared" si="22"/>
        <v>#N/A</v>
      </c>
      <c r="AC36" s="6" t="e">
        <f t="shared" si="23"/>
        <v>#N/A</v>
      </c>
      <c r="AD36" s="7" t="e">
        <f t="shared" si="24"/>
        <v>#N/A</v>
      </c>
      <c r="AE36" s="6" t="e">
        <f t="shared" si="25"/>
        <v>#N/A</v>
      </c>
      <c r="AF36" s="7" t="e">
        <f t="shared" si="26"/>
        <v>#N/A</v>
      </c>
      <c r="AG36" s="6" t="e">
        <f t="shared" si="27"/>
        <v>#N/A</v>
      </c>
      <c r="AH36" s="5" t="e">
        <f t="shared" si="28"/>
        <v>#N/A</v>
      </c>
      <c r="AI36" s="6" t="e">
        <f t="shared" si="29"/>
        <v>#N/A</v>
      </c>
      <c r="AJ36" s="7" t="e">
        <f t="shared" si="30"/>
        <v>#N/A</v>
      </c>
      <c r="AK36" s="6" t="e">
        <f t="shared" si="31"/>
        <v>#N/A</v>
      </c>
      <c r="AL36" s="7" t="e">
        <f t="shared" si="32"/>
        <v>#N/A</v>
      </c>
      <c r="AM36" s="6" t="e">
        <f t="shared" si="33"/>
        <v>#N/A</v>
      </c>
      <c r="AN36" s="5" t="e">
        <f t="shared" si="34"/>
        <v>#N/A</v>
      </c>
      <c r="AO36" s="6" t="e">
        <f t="shared" si="35"/>
        <v>#N/A</v>
      </c>
      <c r="AP36" s="7" t="e">
        <f t="shared" si="36"/>
        <v>#N/A</v>
      </c>
      <c r="AQ36" s="6" t="e">
        <f t="shared" si="37"/>
        <v>#N/A</v>
      </c>
      <c r="AR36" s="7" t="e">
        <f t="shared" si="38"/>
        <v>#N/A</v>
      </c>
      <c r="AS36" s="6" t="e">
        <f t="shared" si="39"/>
        <v>#N/A</v>
      </c>
      <c r="AT36" s="5" t="e">
        <f t="shared" si="40"/>
        <v>#N/A</v>
      </c>
      <c r="AU36" s="6" t="e">
        <f t="shared" si="41"/>
        <v>#N/A</v>
      </c>
      <c r="AV36" s="7" t="e">
        <f t="shared" si="42"/>
        <v>#N/A</v>
      </c>
      <c r="AW36" s="6" t="e">
        <f t="shared" si="43"/>
        <v>#N/A</v>
      </c>
      <c r="AX36" s="7" t="e">
        <f t="shared" si="44"/>
        <v>#N/A</v>
      </c>
      <c r="AY36" s="6" t="e">
        <f t="shared" si="45"/>
        <v>#N/A</v>
      </c>
      <c r="AZ36" s="5" t="e">
        <f t="shared" si="46"/>
        <v>#N/A</v>
      </c>
      <c r="BA36" s="6" t="e">
        <f t="shared" si="47"/>
        <v>#N/A</v>
      </c>
      <c r="BB36" s="7" t="e">
        <f t="shared" si="48"/>
        <v>#N/A</v>
      </c>
      <c r="BC36" s="6" t="e">
        <f t="shared" si="49"/>
        <v>#N/A</v>
      </c>
      <c r="BD36" s="7" t="e">
        <f t="shared" si="50"/>
        <v>#N/A</v>
      </c>
      <c r="BE36" s="6" t="e">
        <f t="shared" si="51"/>
        <v>#N/A</v>
      </c>
      <c r="BF36" s="5" t="e">
        <f t="shared" si="52"/>
        <v>#N/A</v>
      </c>
      <c r="BG36" s="6" t="e">
        <f t="shared" si="53"/>
        <v>#N/A</v>
      </c>
      <c r="BH36" s="7" t="e">
        <f t="shared" si="54"/>
        <v>#N/A</v>
      </c>
      <c r="BI36" s="6" t="e">
        <f t="shared" si="55"/>
        <v>#N/A</v>
      </c>
      <c r="BJ36" s="7" t="e">
        <f t="shared" si="56"/>
        <v>#N/A</v>
      </c>
      <c r="BK36" s="6" t="e">
        <f t="shared" si="57"/>
        <v>#N/A</v>
      </c>
      <c r="BL36" s="5" t="e">
        <f t="shared" si="58"/>
        <v>#N/A</v>
      </c>
      <c r="BM36" s="6" t="e">
        <f t="shared" si="59"/>
        <v>#N/A</v>
      </c>
      <c r="BN36" s="7" t="e">
        <f t="shared" si="60"/>
        <v>#N/A</v>
      </c>
      <c r="BO36" s="6" t="e">
        <f t="shared" si="61"/>
        <v>#N/A</v>
      </c>
      <c r="BP36" s="7" t="e">
        <f t="shared" si="62"/>
        <v>#N/A</v>
      </c>
      <c r="BQ36" s="6" t="e">
        <f t="shared" si="63"/>
        <v>#N/A</v>
      </c>
      <c r="BR36" s="5" t="e">
        <f t="shared" si="64"/>
        <v>#N/A</v>
      </c>
      <c r="BS36" s="6" t="e">
        <f t="shared" si="65"/>
        <v>#N/A</v>
      </c>
      <c r="BT36" s="7" t="e">
        <f t="shared" si="66"/>
        <v>#N/A</v>
      </c>
      <c r="BU36" s="6" t="e">
        <f t="shared" si="67"/>
        <v>#N/A</v>
      </c>
      <c r="BV36" s="7" t="e">
        <f t="shared" si="68"/>
        <v>#N/A</v>
      </c>
      <c r="BW36" s="6" t="e">
        <f t="shared" si="69"/>
        <v>#N/A</v>
      </c>
      <c r="BX36" s="5" t="e">
        <f t="shared" si="70"/>
        <v>#N/A</v>
      </c>
      <c r="BY36" s="6" t="e">
        <f t="shared" si="71"/>
        <v>#N/A</v>
      </c>
      <c r="BZ36" s="7" t="e">
        <f t="shared" si="72"/>
        <v>#N/A</v>
      </c>
      <c r="CA36" s="6" t="e">
        <f t="shared" si="73"/>
        <v>#N/A</v>
      </c>
      <c r="CB36" s="7" t="e">
        <f t="shared" si="74"/>
        <v>#N/A</v>
      </c>
      <c r="CC36" s="6" t="e">
        <f t="shared" si="75"/>
        <v>#N/A</v>
      </c>
      <c r="CD36" s="5" t="e">
        <f t="shared" si="76"/>
        <v>#N/A</v>
      </c>
      <c r="CE36" s="6" t="e">
        <f t="shared" si="77"/>
        <v>#N/A</v>
      </c>
      <c r="CF36" s="7" t="e">
        <f t="shared" si="78"/>
        <v>#N/A</v>
      </c>
      <c r="CG36" s="6" t="e">
        <f t="shared" si="79"/>
        <v>#N/A</v>
      </c>
      <c r="CH36" s="7" t="e">
        <f t="shared" si="80"/>
        <v>#N/A</v>
      </c>
      <c r="CI36" s="6" t="e">
        <f t="shared" si="81"/>
        <v>#N/A</v>
      </c>
      <c r="CJ36" s="5" t="e">
        <f t="shared" si="82"/>
        <v>#N/A</v>
      </c>
      <c r="CK36" s="6" t="e">
        <f t="shared" si="83"/>
        <v>#N/A</v>
      </c>
      <c r="CL36" s="7" t="e">
        <f t="shared" si="84"/>
        <v>#N/A</v>
      </c>
      <c r="CM36" s="6" t="e">
        <f t="shared" si="85"/>
        <v>#N/A</v>
      </c>
      <c r="CN36" s="7" t="e">
        <f t="shared" si="86"/>
        <v>#N/A</v>
      </c>
      <c r="CO36" s="6" t="e">
        <f t="shared" si="87"/>
        <v>#N/A</v>
      </c>
      <c r="CP36" s="5" t="e">
        <f t="shared" si="88"/>
        <v>#N/A</v>
      </c>
      <c r="CQ36" s="6" t="e">
        <f t="shared" si="89"/>
        <v>#N/A</v>
      </c>
      <c r="CR36" s="7" t="e">
        <f t="shared" si="90"/>
        <v>#N/A</v>
      </c>
      <c r="CS36" s="7" t="e">
        <f t="shared" si="90"/>
        <v>#N/A</v>
      </c>
      <c r="CT36" s="7" t="e">
        <f t="shared" si="90"/>
        <v>#N/A</v>
      </c>
      <c r="CU36" s="7" t="e">
        <f t="shared" si="90"/>
        <v>#N/A</v>
      </c>
      <c r="CV36" s="5" t="e">
        <f t="shared" si="91"/>
        <v>#N/A</v>
      </c>
      <c r="CW36" s="6" t="e">
        <f t="shared" si="92"/>
        <v>#N/A</v>
      </c>
      <c r="CY36" s="7" t="e">
        <v>#N/A</v>
      </c>
      <c r="CZ36" s="5" t="e">
        <f t="array" ref="CZ36">Summary_UpperBound</f>
        <v>#N/A</v>
      </c>
      <c r="DA36" s="6" t="e">
        <f t="shared" si="93"/>
        <v>#N/A</v>
      </c>
    </row>
    <row r="37" spans="2:105" x14ac:dyDescent="0.35">
      <c r="B37" s="14"/>
      <c r="E37" s="12" t="e" vm="2">
        <f t="shared" ca="1" si="94"/>
        <v>#VALUE!</v>
      </c>
      <c r="F37" s="7" t="e">
        <f t="shared" si="0"/>
        <v>#N/A</v>
      </c>
      <c r="G37" s="6" t="e">
        <f t="shared" si="1"/>
        <v>#N/A</v>
      </c>
      <c r="H37" s="7" t="e">
        <f t="shared" si="2"/>
        <v>#N/A</v>
      </c>
      <c r="I37" s="6" t="e">
        <f t="shared" si="3"/>
        <v>#N/A</v>
      </c>
      <c r="J37" s="5" t="e">
        <f t="shared" si="4"/>
        <v>#N/A</v>
      </c>
      <c r="K37" s="6" t="e">
        <f t="shared" si="5"/>
        <v>#N/A</v>
      </c>
      <c r="L37" s="7" t="e">
        <f t="shared" si="6"/>
        <v>#N/A</v>
      </c>
      <c r="M37" s="6" t="e">
        <f t="shared" si="7"/>
        <v>#N/A</v>
      </c>
      <c r="N37" s="7" t="e">
        <f t="shared" si="8"/>
        <v>#N/A</v>
      </c>
      <c r="O37" s="6" t="e">
        <f t="shared" si="9"/>
        <v>#N/A</v>
      </c>
      <c r="P37" s="5" t="e">
        <f t="shared" si="10"/>
        <v>#N/A</v>
      </c>
      <c r="Q37" s="6" t="e">
        <f t="shared" si="11"/>
        <v>#N/A</v>
      </c>
      <c r="R37" s="7" t="e">
        <f t="shared" si="12"/>
        <v>#N/A</v>
      </c>
      <c r="S37" s="6" t="e">
        <f t="shared" si="13"/>
        <v>#N/A</v>
      </c>
      <c r="T37" s="7" t="e">
        <f t="shared" si="14"/>
        <v>#N/A</v>
      </c>
      <c r="U37" s="6" t="e">
        <f t="shared" si="15"/>
        <v>#N/A</v>
      </c>
      <c r="V37" s="5" t="e">
        <f t="shared" si="16"/>
        <v>#N/A</v>
      </c>
      <c r="W37" s="6" t="e">
        <f t="shared" si="17"/>
        <v>#N/A</v>
      </c>
      <c r="X37" s="7" t="e">
        <f t="shared" si="18"/>
        <v>#N/A</v>
      </c>
      <c r="Y37" s="6" t="e">
        <f t="shared" si="19"/>
        <v>#N/A</v>
      </c>
      <c r="Z37" s="7" t="e">
        <f t="shared" si="20"/>
        <v>#N/A</v>
      </c>
      <c r="AA37" s="6" t="e">
        <f t="shared" si="21"/>
        <v>#N/A</v>
      </c>
      <c r="AB37" s="5" t="e">
        <f t="shared" si="22"/>
        <v>#N/A</v>
      </c>
      <c r="AC37" s="6" t="e">
        <f t="shared" si="23"/>
        <v>#N/A</v>
      </c>
      <c r="AD37" s="7" t="e">
        <f t="shared" si="24"/>
        <v>#N/A</v>
      </c>
      <c r="AE37" s="6" t="e">
        <f t="shared" si="25"/>
        <v>#N/A</v>
      </c>
      <c r="AF37" s="7" t="e">
        <f t="shared" si="26"/>
        <v>#N/A</v>
      </c>
      <c r="AG37" s="6" t="e">
        <f t="shared" si="27"/>
        <v>#N/A</v>
      </c>
      <c r="AH37" s="5" t="e">
        <f t="shared" si="28"/>
        <v>#N/A</v>
      </c>
      <c r="AI37" s="6" t="e">
        <f t="shared" si="29"/>
        <v>#N/A</v>
      </c>
      <c r="AJ37" s="7" t="e">
        <f t="shared" si="30"/>
        <v>#N/A</v>
      </c>
      <c r="AK37" s="6" t="e">
        <f t="shared" si="31"/>
        <v>#N/A</v>
      </c>
      <c r="AL37" s="7" t="e">
        <f t="shared" si="32"/>
        <v>#N/A</v>
      </c>
      <c r="AM37" s="6" t="e">
        <f t="shared" si="33"/>
        <v>#N/A</v>
      </c>
      <c r="AN37" s="5" t="e">
        <f t="shared" si="34"/>
        <v>#N/A</v>
      </c>
      <c r="AO37" s="6" t="e">
        <f t="shared" si="35"/>
        <v>#N/A</v>
      </c>
      <c r="AP37" s="7" t="e">
        <f t="shared" si="36"/>
        <v>#N/A</v>
      </c>
      <c r="AQ37" s="6" t="e">
        <f t="shared" si="37"/>
        <v>#N/A</v>
      </c>
      <c r="AR37" s="7" t="e">
        <f t="shared" si="38"/>
        <v>#N/A</v>
      </c>
      <c r="AS37" s="6" t="e">
        <f t="shared" si="39"/>
        <v>#N/A</v>
      </c>
      <c r="AT37" s="5" t="e">
        <f t="shared" si="40"/>
        <v>#N/A</v>
      </c>
      <c r="AU37" s="6" t="e">
        <f t="shared" si="41"/>
        <v>#N/A</v>
      </c>
      <c r="AV37" s="7" t="e">
        <f t="shared" si="42"/>
        <v>#N/A</v>
      </c>
      <c r="AW37" s="6" t="e">
        <f t="shared" si="43"/>
        <v>#N/A</v>
      </c>
      <c r="AX37" s="7" t="e">
        <f t="shared" si="44"/>
        <v>#N/A</v>
      </c>
      <c r="AY37" s="6" t="e">
        <f t="shared" si="45"/>
        <v>#N/A</v>
      </c>
      <c r="AZ37" s="5" t="e">
        <f t="shared" si="46"/>
        <v>#N/A</v>
      </c>
      <c r="BA37" s="6" t="e">
        <f t="shared" si="47"/>
        <v>#N/A</v>
      </c>
      <c r="BB37" s="7" t="e">
        <f t="shared" si="48"/>
        <v>#N/A</v>
      </c>
      <c r="BC37" s="6" t="e">
        <f t="shared" si="49"/>
        <v>#N/A</v>
      </c>
      <c r="BD37" s="7" t="e">
        <f t="shared" si="50"/>
        <v>#N/A</v>
      </c>
      <c r="BE37" s="6" t="e">
        <f t="shared" si="51"/>
        <v>#N/A</v>
      </c>
      <c r="BF37" s="5" t="e">
        <f t="shared" si="52"/>
        <v>#N/A</v>
      </c>
      <c r="BG37" s="6" t="e">
        <f t="shared" si="53"/>
        <v>#N/A</v>
      </c>
      <c r="BH37" s="7" t="e">
        <f t="shared" si="54"/>
        <v>#N/A</v>
      </c>
      <c r="BI37" s="6" t="e">
        <f t="shared" si="55"/>
        <v>#N/A</v>
      </c>
      <c r="BJ37" s="7" t="e">
        <f t="shared" si="56"/>
        <v>#N/A</v>
      </c>
      <c r="BK37" s="6" t="e">
        <f t="shared" si="57"/>
        <v>#N/A</v>
      </c>
      <c r="BL37" s="5" t="e">
        <f t="shared" si="58"/>
        <v>#N/A</v>
      </c>
      <c r="BM37" s="6" t="e">
        <f t="shared" si="59"/>
        <v>#N/A</v>
      </c>
      <c r="BN37" s="7" t="e">
        <f t="shared" si="60"/>
        <v>#N/A</v>
      </c>
      <c r="BO37" s="6" t="e">
        <f t="shared" si="61"/>
        <v>#N/A</v>
      </c>
      <c r="BP37" s="7" t="e">
        <f t="shared" si="62"/>
        <v>#N/A</v>
      </c>
      <c r="BQ37" s="6" t="e">
        <f t="shared" si="63"/>
        <v>#N/A</v>
      </c>
      <c r="BR37" s="5" t="e">
        <f t="shared" si="64"/>
        <v>#N/A</v>
      </c>
      <c r="BS37" s="6" t="e">
        <f t="shared" si="65"/>
        <v>#N/A</v>
      </c>
      <c r="BT37" s="7" t="e">
        <f t="shared" si="66"/>
        <v>#N/A</v>
      </c>
      <c r="BU37" s="6" t="e">
        <f t="shared" si="67"/>
        <v>#N/A</v>
      </c>
      <c r="BV37" s="7" t="e">
        <f t="shared" si="68"/>
        <v>#N/A</v>
      </c>
      <c r="BW37" s="6" t="e">
        <f t="shared" si="69"/>
        <v>#N/A</v>
      </c>
      <c r="BX37" s="5" t="e">
        <f t="shared" si="70"/>
        <v>#N/A</v>
      </c>
      <c r="BY37" s="6" t="e">
        <f t="shared" si="71"/>
        <v>#N/A</v>
      </c>
      <c r="BZ37" s="7" t="e">
        <f t="shared" si="72"/>
        <v>#N/A</v>
      </c>
      <c r="CA37" s="6" t="e">
        <f t="shared" si="73"/>
        <v>#N/A</v>
      </c>
      <c r="CB37" s="7" t="e">
        <f t="shared" si="74"/>
        <v>#N/A</v>
      </c>
      <c r="CC37" s="6" t="e">
        <f t="shared" si="75"/>
        <v>#N/A</v>
      </c>
      <c r="CD37" s="5" t="e">
        <f t="shared" si="76"/>
        <v>#N/A</v>
      </c>
      <c r="CE37" s="6" t="e">
        <f t="shared" si="77"/>
        <v>#N/A</v>
      </c>
      <c r="CF37" s="7" t="e">
        <f t="shared" si="78"/>
        <v>#N/A</v>
      </c>
      <c r="CG37" s="6" t="e">
        <f t="shared" si="79"/>
        <v>#N/A</v>
      </c>
      <c r="CH37" s="7" t="e">
        <f t="shared" si="80"/>
        <v>#N/A</v>
      </c>
      <c r="CI37" s="6" t="e">
        <f t="shared" si="81"/>
        <v>#N/A</v>
      </c>
      <c r="CJ37" s="5" t="e">
        <f t="shared" si="82"/>
        <v>#N/A</v>
      </c>
      <c r="CK37" s="6" t="e">
        <f t="shared" si="83"/>
        <v>#N/A</v>
      </c>
      <c r="CL37" s="7" t="e">
        <f t="shared" si="84"/>
        <v>#N/A</v>
      </c>
      <c r="CM37" s="6" t="e">
        <f t="shared" si="85"/>
        <v>#N/A</v>
      </c>
      <c r="CN37" s="7" t="e">
        <f t="shared" si="86"/>
        <v>#N/A</v>
      </c>
      <c r="CO37" s="6" t="e">
        <f t="shared" si="87"/>
        <v>#N/A</v>
      </c>
      <c r="CP37" s="5" t="e">
        <f t="shared" si="88"/>
        <v>#N/A</v>
      </c>
      <c r="CQ37" s="6" t="e">
        <f t="shared" si="89"/>
        <v>#N/A</v>
      </c>
      <c r="CR37" s="7" t="e">
        <f t="shared" si="90"/>
        <v>#N/A</v>
      </c>
      <c r="CS37" s="7" t="e">
        <f t="shared" si="90"/>
        <v>#N/A</v>
      </c>
      <c r="CT37" s="7" t="e">
        <f t="shared" si="90"/>
        <v>#N/A</v>
      </c>
      <c r="CU37" s="7" t="e">
        <f t="shared" si="90"/>
        <v>#N/A</v>
      </c>
      <c r="CV37" s="5" t="e">
        <f t="shared" si="91"/>
        <v>#N/A</v>
      </c>
      <c r="CW37" s="6" t="e">
        <f t="shared" si="92"/>
        <v>#N/A</v>
      </c>
      <c r="CY37" s="7" t="e">
        <v>#N/A</v>
      </c>
      <c r="CZ37" s="5" t="e">
        <f t="array" ref="CZ37">Summary_UpperBound</f>
        <v>#N/A</v>
      </c>
      <c r="DA37" s="6" t="e">
        <f t="shared" si="93"/>
        <v>#N/A</v>
      </c>
    </row>
    <row r="38" spans="2:105" x14ac:dyDescent="0.35">
      <c r="B38" s="14"/>
      <c r="E38" s="12" t="e" vm="2">
        <f t="shared" ca="1" si="94"/>
        <v>#VALUE!</v>
      </c>
      <c r="F38" s="7" t="e">
        <f t="shared" si="0"/>
        <v>#N/A</v>
      </c>
      <c r="G38" s="6" t="e">
        <f t="shared" si="1"/>
        <v>#N/A</v>
      </c>
      <c r="H38" s="7" t="e">
        <f t="shared" si="2"/>
        <v>#N/A</v>
      </c>
      <c r="I38" s="6" t="e">
        <f t="shared" si="3"/>
        <v>#N/A</v>
      </c>
      <c r="J38" s="5" t="e">
        <f t="shared" si="4"/>
        <v>#N/A</v>
      </c>
      <c r="K38" s="6" t="e">
        <f t="shared" si="5"/>
        <v>#N/A</v>
      </c>
      <c r="L38" s="7" t="e">
        <f t="shared" si="6"/>
        <v>#N/A</v>
      </c>
      <c r="M38" s="6" t="e">
        <f t="shared" si="7"/>
        <v>#N/A</v>
      </c>
      <c r="N38" s="7" t="e">
        <f t="shared" si="8"/>
        <v>#N/A</v>
      </c>
      <c r="O38" s="6" t="e">
        <f t="shared" si="9"/>
        <v>#N/A</v>
      </c>
      <c r="P38" s="5" t="e">
        <f t="shared" si="10"/>
        <v>#N/A</v>
      </c>
      <c r="Q38" s="6" t="e">
        <f t="shared" si="11"/>
        <v>#N/A</v>
      </c>
      <c r="R38" s="7" t="e">
        <f t="shared" si="12"/>
        <v>#N/A</v>
      </c>
      <c r="S38" s="6" t="e">
        <f t="shared" si="13"/>
        <v>#N/A</v>
      </c>
      <c r="T38" s="7" t="e">
        <f t="shared" si="14"/>
        <v>#N/A</v>
      </c>
      <c r="U38" s="6" t="e">
        <f t="shared" si="15"/>
        <v>#N/A</v>
      </c>
      <c r="V38" s="5" t="e">
        <f t="shared" si="16"/>
        <v>#N/A</v>
      </c>
      <c r="W38" s="6" t="e">
        <f t="shared" si="17"/>
        <v>#N/A</v>
      </c>
      <c r="X38" s="7" t="e">
        <f t="shared" si="18"/>
        <v>#N/A</v>
      </c>
      <c r="Y38" s="6" t="e">
        <f t="shared" si="19"/>
        <v>#N/A</v>
      </c>
      <c r="Z38" s="7" t="e">
        <f t="shared" si="20"/>
        <v>#N/A</v>
      </c>
      <c r="AA38" s="6" t="e">
        <f t="shared" si="21"/>
        <v>#N/A</v>
      </c>
      <c r="AB38" s="5" t="e">
        <f t="shared" si="22"/>
        <v>#N/A</v>
      </c>
      <c r="AC38" s="6" t="e">
        <f t="shared" si="23"/>
        <v>#N/A</v>
      </c>
      <c r="AD38" s="7" t="e">
        <f t="shared" si="24"/>
        <v>#N/A</v>
      </c>
      <c r="AE38" s="6" t="e">
        <f t="shared" si="25"/>
        <v>#N/A</v>
      </c>
      <c r="AF38" s="7" t="e">
        <f t="shared" si="26"/>
        <v>#N/A</v>
      </c>
      <c r="AG38" s="6" t="e">
        <f t="shared" si="27"/>
        <v>#N/A</v>
      </c>
      <c r="AH38" s="5" t="e">
        <f t="shared" si="28"/>
        <v>#N/A</v>
      </c>
      <c r="AI38" s="6" t="e">
        <f t="shared" si="29"/>
        <v>#N/A</v>
      </c>
      <c r="AJ38" s="7" t="e">
        <f t="shared" si="30"/>
        <v>#N/A</v>
      </c>
      <c r="AK38" s="6" t="e">
        <f t="shared" si="31"/>
        <v>#N/A</v>
      </c>
      <c r="AL38" s="7" t="e">
        <f t="shared" si="32"/>
        <v>#N/A</v>
      </c>
      <c r="AM38" s="6" t="e">
        <f t="shared" si="33"/>
        <v>#N/A</v>
      </c>
      <c r="AN38" s="5" t="e">
        <f t="shared" si="34"/>
        <v>#N/A</v>
      </c>
      <c r="AO38" s="6" t="e">
        <f t="shared" si="35"/>
        <v>#N/A</v>
      </c>
      <c r="AP38" s="7" t="e">
        <f t="shared" si="36"/>
        <v>#N/A</v>
      </c>
      <c r="AQ38" s="6" t="e">
        <f t="shared" si="37"/>
        <v>#N/A</v>
      </c>
      <c r="AR38" s="7" t="e">
        <f t="shared" si="38"/>
        <v>#N/A</v>
      </c>
      <c r="AS38" s="6" t="e">
        <f t="shared" si="39"/>
        <v>#N/A</v>
      </c>
      <c r="AT38" s="5" t="e">
        <f t="shared" si="40"/>
        <v>#N/A</v>
      </c>
      <c r="AU38" s="6" t="e">
        <f t="shared" si="41"/>
        <v>#N/A</v>
      </c>
      <c r="AV38" s="7" t="e">
        <f t="shared" si="42"/>
        <v>#N/A</v>
      </c>
      <c r="AW38" s="6" t="e">
        <f t="shared" si="43"/>
        <v>#N/A</v>
      </c>
      <c r="AX38" s="7" t="e">
        <f t="shared" si="44"/>
        <v>#N/A</v>
      </c>
      <c r="AY38" s="6" t="e">
        <f t="shared" si="45"/>
        <v>#N/A</v>
      </c>
      <c r="AZ38" s="5" t="e">
        <f t="shared" si="46"/>
        <v>#N/A</v>
      </c>
      <c r="BA38" s="6" t="e">
        <f t="shared" si="47"/>
        <v>#N/A</v>
      </c>
      <c r="BB38" s="7" t="e">
        <f t="shared" si="48"/>
        <v>#N/A</v>
      </c>
      <c r="BC38" s="6" t="e">
        <f t="shared" si="49"/>
        <v>#N/A</v>
      </c>
      <c r="BD38" s="7" t="e">
        <f t="shared" si="50"/>
        <v>#N/A</v>
      </c>
      <c r="BE38" s="6" t="e">
        <f t="shared" si="51"/>
        <v>#N/A</v>
      </c>
      <c r="BF38" s="5" t="e">
        <f t="shared" si="52"/>
        <v>#N/A</v>
      </c>
      <c r="BG38" s="6" t="e">
        <f t="shared" si="53"/>
        <v>#N/A</v>
      </c>
      <c r="BH38" s="7" t="e">
        <f t="shared" si="54"/>
        <v>#N/A</v>
      </c>
      <c r="BI38" s="6" t="e">
        <f t="shared" si="55"/>
        <v>#N/A</v>
      </c>
      <c r="BJ38" s="7" t="e">
        <f t="shared" si="56"/>
        <v>#N/A</v>
      </c>
      <c r="BK38" s="6" t="e">
        <f t="shared" si="57"/>
        <v>#N/A</v>
      </c>
      <c r="BL38" s="5" t="e">
        <f t="shared" si="58"/>
        <v>#N/A</v>
      </c>
      <c r="BM38" s="6" t="e">
        <f t="shared" si="59"/>
        <v>#N/A</v>
      </c>
      <c r="BN38" s="7" t="e">
        <f t="shared" si="60"/>
        <v>#N/A</v>
      </c>
      <c r="BO38" s="6" t="e">
        <f t="shared" si="61"/>
        <v>#N/A</v>
      </c>
      <c r="BP38" s="7" t="e">
        <f t="shared" si="62"/>
        <v>#N/A</v>
      </c>
      <c r="BQ38" s="6" t="e">
        <f t="shared" si="63"/>
        <v>#N/A</v>
      </c>
      <c r="BR38" s="5" t="e">
        <f t="shared" si="64"/>
        <v>#N/A</v>
      </c>
      <c r="BS38" s="6" t="e">
        <f t="shared" si="65"/>
        <v>#N/A</v>
      </c>
      <c r="BT38" s="7" t="e">
        <f t="shared" si="66"/>
        <v>#N/A</v>
      </c>
      <c r="BU38" s="6" t="e">
        <f t="shared" si="67"/>
        <v>#N/A</v>
      </c>
      <c r="BV38" s="7" t="e">
        <f t="shared" si="68"/>
        <v>#N/A</v>
      </c>
      <c r="BW38" s="6" t="e">
        <f t="shared" si="69"/>
        <v>#N/A</v>
      </c>
      <c r="BX38" s="5" t="e">
        <f t="shared" si="70"/>
        <v>#N/A</v>
      </c>
      <c r="BY38" s="6" t="e">
        <f t="shared" si="71"/>
        <v>#N/A</v>
      </c>
      <c r="BZ38" s="7" t="e">
        <f t="shared" si="72"/>
        <v>#N/A</v>
      </c>
      <c r="CA38" s="6" t="e">
        <f t="shared" si="73"/>
        <v>#N/A</v>
      </c>
      <c r="CB38" s="7" t="e">
        <f t="shared" si="74"/>
        <v>#N/A</v>
      </c>
      <c r="CC38" s="6" t="e">
        <f t="shared" si="75"/>
        <v>#N/A</v>
      </c>
      <c r="CD38" s="5" t="e">
        <f t="shared" si="76"/>
        <v>#N/A</v>
      </c>
      <c r="CE38" s="6" t="e">
        <f t="shared" si="77"/>
        <v>#N/A</v>
      </c>
      <c r="CF38" s="7" t="e">
        <f t="shared" si="78"/>
        <v>#N/A</v>
      </c>
      <c r="CG38" s="6" t="e">
        <f t="shared" si="79"/>
        <v>#N/A</v>
      </c>
      <c r="CH38" s="7" t="e">
        <f t="shared" si="80"/>
        <v>#N/A</v>
      </c>
      <c r="CI38" s="6" t="e">
        <f t="shared" si="81"/>
        <v>#N/A</v>
      </c>
      <c r="CJ38" s="5" t="e">
        <f t="shared" si="82"/>
        <v>#N/A</v>
      </c>
      <c r="CK38" s="6" t="e">
        <f t="shared" si="83"/>
        <v>#N/A</v>
      </c>
      <c r="CL38" s="7" t="e">
        <f t="shared" si="84"/>
        <v>#N/A</v>
      </c>
      <c r="CM38" s="6" t="e">
        <f t="shared" si="85"/>
        <v>#N/A</v>
      </c>
      <c r="CN38" s="7" t="e">
        <f t="shared" si="86"/>
        <v>#N/A</v>
      </c>
      <c r="CO38" s="6" t="e">
        <f t="shared" si="87"/>
        <v>#N/A</v>
      </c>
      <c r="CP38" s="5" t="e">
        <f t="shared" si="88"/>
        <v>#N/A</v>
      </c>
      <c r="CQ38" s="6" t="e">
        <f t="shared" si="89"/>
        <v>#N/A</v>
      </c>
      <c r="CR38" s="7" t="e">
        <f t="shared" si="90"/>
        <v>#N/A</v>
      </c>
      <c r="CS38" s="7" t="e">
        <f t="shared" si="90"/>
        <v>#N/A</v>
      </c>
      <c r="CT38" s="7" t="e">
        <f t="shared" si="90"/>
        <v>#N/A</v>
      </c>
      <c r="CU38" s="7" t="e">
        <f t="shared" si="90"/>
        <v>#N/A</v>
      </c>
      <c r="CV38" s="5" t="e">
        <f t="shared" si="91"/>
        <v>#N/A</v>
      </c>
      <c r="CW38" s="6" t="e">
        <f t="shared" si="92"/>
        <v>#N/A</v>
      </c>
      <c r="CY38" s="7" t="e">
        <v>#N/A</v>
      </c>
      <c r="CZ38" s="5" t="e">
        <f t="array" ref="CZ38">Summary_UpperBound</f>
        <v>#N/A</v>
      </c>
      <c r="DA38" s="6" t="e">
        <f t="shared" si="93"/>
        <v>#N/A</v>
      </c>
    </row>
    <row r="39" spans="2:105" x14ac:dyDescent="0.35">
      <c r="B39" s="14"/>
      <c r="E39" s="12" t="e" vm="2">
        <f t="shared" ca="1" si="94"/>
        <v>#VALUE!</v>
      </c>
      <c r="F39" s="7" t="e">
        <f t="shared" si="0"/>
        <v>#N/A</v>
      </c>
      <c r="G39" s="6" t="e">
        <f t="shared" si="1"/>
        <v>#N/A</v>
      </c>
      <c r="H39" s="7" t="e">
        <f t="shared" si="2"/>
        <v>#N/A</v>
      </c>
      <c r="I39" s="6" t="e">
        <f t="shared" si="3"/>
        <v>#N/A</v>
      </c>
      <c r="J39" s="5" t="e">
        <f t="shared" si="4"/>
        <v>#N/A</v>
      </c>
      <c r="K39" s="6" t="e">
        <f t="shared" si="5"/>
        <v>#N/A</v>
      </c>
      <c r="L39" s="7" t="e">
        <f t="shared" si="6"/>
        <v>#N/A</v>
      </c>
      <c r="M39" s="6" t="e">
        <f t="shared" si="7"/>
        <v>#N/A</v>
      </c>
      <c r="N39" s="7" t="e">
        <f t="shared" si="8"/>
        <v>#N/A</v>
      </c>
      <c r="O39" s="6" t="e">
        <f t="shared" si="9"/>
        <v>#N/A</v>
      </c>
      <c r="P39" s="5" t="e">
        <f t="shared" si="10"/>
        <v>#N/A</v>
      </c>
      <c r="Q39" s="6" t="e">
        <f t="shared" si="11"/>
        <v>#N/A</v>
      </c>
      <c r="R39" s="7" t="e">
        <f t="shared" si="12"/>
        <v>#N/A</v>
      </c>
      <c r="S39" s="6" t="e">
        <f t="shared" si="13"/>
        <v>#N/A</v>
      </c>
      <c r="T39" s="7" t="e">
        <f t="shared" si="14"/>
        <v>#N/A</v>
      </c>
      <c r="U39" s="6" t="e">
        <f t="shared" si="15"/>
        <v>#N/A</v>
      </c>
      <c r="V39" s="5" t="e">
        <f t="shared" si="16"/>
        <v>#N/A</v>
      </c>
      <c r="W39" s="6" t="e">
        <f t="shared" si="17"/>
        <v>#N/A</v>
      </c>
      <c r="X39" s="7" t="e">
        <f t="shared" si="18"/>
        <v>#N/A</v>
      </c>
      <c r="Y39" s="6" t="e">
        <f t="shared" si="19"/>
        <v>#N/A</v>
      </c>
      <c r="Z39" s="7" t="e">
        <f t="shared" si="20"/>
        <v>#N/A</v>
      </c>
      <c r="AA39" s="6" t="e">
        <f t="shared" si="21"/>
        <v>#N/A</v>
      </c>
      <c r="AB39" s="5" t="e">
        <f t="shared" si="22"/>
        <v>#N/A</v>
      </c>
      <c r="AC39" s="6" t="e">
        <f t="shared" si="23"/>
        <v>#N/A</v>
      </c>
      <c r="AD39" s="7" t="e">
        <f t="shared" si="24"/>
        <v>#N/A</v>
      </c>
      <c r="AE39" s="6" t="e">
        <f t="shared" si="25"/>
        <v>#N/A</v>
      </c>
      <c r="AF39" s="7" t="e">
        <f t="shared" si="26"/>
        <v>#N/A</v>
      </c>
      <c r="AG39" s="6" t="e">
        <f t="shared" si="27"/>
        <v>#N/A</v>
      </c>
      <c r="AH39" s="5" t="e">
        <f t="shared" si="28"/>
        <v>#N/A</v>
      </c>
      <c r="AI39" s="6" t="e">
        <f t="shared" si="29"/>
        <v>#N/A</v>
      </c>
      <c r="AJ39" s="7" t="e">
        <f t="shared" si="30"/>
        <v>#N/A</v>
      </c>
      <c r="AK39" s="6" t="e">
        <f t="shared" si="31"/>
        <v>#N/A</v>
      </c>
      <c r="AL39" s="7" t="e">
        <f t="shared" si="32"/>
        <v>#N/A</v>
      </c>
      <c r="AM39" s="6" t="e">
        <f t="shared" si="33"/>
        <v>#N/A</v>
      </c>
      <c r="AN39" s="5" t="e">
        <f t="shared" si="34"/>
        <v>#N/A</v>
      </c>
      <c r="AO39" s="6" t="e">
        <f t="shared" si="35"/>
        <v>#N/A</v>
      </c>
      <c r="AP39" s="7" t="e">
        <f t="shared" si="36"/>
        <v>#N/A</v>
      </c>
      <c r="AQ39" s="6" t="e">
        <f t="shared" si="37"/>
        <v>#N/A</v>
      </c>
      <c r="AR39" s="7" t="e">
        <f t="shared" si="38"/>
        <v>#N/A</v>
      </c>
      <c r="AS39" s="6" t="e">
        <f t="shared" si="39"/>
        <v>#N/A</v>
      </c>
      <c r="AT39" s="5" t="e">
        <f t="shared" si="40"/>
        <v>#N/A</v>
      </c>
      <c r="AU39" s="6" t="e">
        <f t="shared" si="41"/>
        <v>#N/A</v>
      </c>
      <c r="AV39" s="7" t="e">
        <f t="shared" si="42"/>
        <v>#N/A</v>
      </c>
      <c r="AW39" s="6" t="e">
        <f t="shared" si="43"/>
        <v>#N/A</v>
      </c>
      <c r="AX39" s="7" t="e">
        <f t="shared" si="44"/>
        <v>#N/A</v>
      </c>
      <c r="AY39" s="6" t="e">
        <f t="shared" si="45"/>
        <v>#N/A</v>
      </c>
      <c r="AZ39" s="5" t="e">
        <f t="shared" si="46"/>
        <v>#N/A</v>
      </c>
      <c r="BA39" s="6" t="e">
        <f t="shared" si="47"/>
        <v>#N/A</v>
      </c>
      <c r="BB39" s="7" t="e">
        <f t="shared" si="48"/>
        <v>#N/A</v>
      </c>
      <c r="BC39" s="6" t="e">
        <f t="shared" si="49"/>
        <v>#N/A</v>
      </c>
      <c r="BD39" s="7" t="e">
        <f t="shared" si="50"/>
        <v>#N/A</v>
      </c>
      <c r="BE39" s="6" t="e">
        <f t="shared" si="51"/>
        <v>#N/A</v>
      </c>
      <c r="BF39" s="5" t="e">
        <f t="shared" si="52"/>
        <v>#N/A</v>
      </c>
      <c r="BG39" s="6" t="e">
        <f t="shared" si="53"/>
        <v>#N/A</v>
      </c>
      <c r="BH39" s="7" t="e">
        <f t="shared" si="54"/>
        <v>#N/A</v>
      </c>
      <c r="BI39" s="6" t="e">
        <f t="shared" si="55"/>
        <v>#N/A</v>
      </c>
      <c r="BJ39" s="7" t="e">
        <f t="shared" si="56"/>
        <v>#N/A</v>
      </c>
      <c r="BK39" s="6" t="e">
        <f t="shared" si="57"/>
        <v>#N/A</v>
      </c>
      <c r="BL39" s="5" t="e">
        <f t="shared" si="58"/>
        <v>#N/A</v>
      </c>
      <c r="BM39" s="6" t="e">
        <f t="shared" si="59"/>
        <v>#N/A</v>
      </c>
      <c r="BN39" s="7" t="e">
        <f t="shared" si="60"/>
        <v>#N/A</v>
      </c>
      <c r="BO39" s="6" t="e">
        <f t="shared" si="61"/>
        <v>#N/A</v>
      </c>
      <c r="BP39" s="7" t="e">
        <f t="shared" si="62"/>
        <v>#N/A</v>
      </c>
      <c r="BQ39" s="6" t="e">
        <f t="shared" si="63"/>
        <v>#N/A</v>
      </c>
      <c r="BR39" s="5" t="e">
        <f t="shared" si="64"/>
        <v>#N/A</v>
      </c>
      <c r="BS39" s="6" t="e">
        <f t="shared" si="65"/>
        <v>#N/A</v>
      </c>
      <c r="BT39" s="7" t="e">
        <f t="shared" si="66"/>
        <v>#N/A</v>
      </c>
      <c r="BU39" s="6" t="e">
        <f t="shared" si="67"/>
        <v>#N/A</v>
      </c>
      <c r="BV39" s="7" t="e">
        <f t="shared" si="68"/>
        <v>#N/A</v>
      </c>
      <c r="BW39" s="6" t="e">
        <f t="shared" si="69"/>
        <v>#N/A</v>
      </c>
      <c r="BX39" s="5" t="e">
        <f t="shared" si="70"/>
        <v>#N/A</v>
      </c>
      <c r="BY39" s="6" t="e">
        <f t="shared" si="71"/>
        <v>#N/A</v>
      </c>
      <c r="BZ39" s="7" t="e">
        <f t="shared" si="72"/>
        <v>#N/A</v>
      </c>
      <c r="CA39" s="6" t="e">
        <f t="shared" si="73"/>
        <v>#N/A</v>
      </c>
      <c r="CB39" s="7" t="e">
        <f t="shared" si="74"/>
        <v>#N/A</v>
      </c>
      <c r="CC39" s="6" t="e">
        <f t="shared" si="75"/>
        <v>#N/A</v>
      </c>
      <c r="CD39" s="5" t="e">
        <f t="shared" si="76"/>
        <v>#N/A</v>
      </c>
      <c r="CE39" s="6" t="e">
        <f t="shared" si="77"/>
        <v>#N/A</v>
      </c>
      <c r="CF39" s="7" t="e">
        <f t="shared" si="78"/>
        <v>#N/A</v>
      </c>
      <c r="CG39" s="6" t="e">
        <f t="shared" si="79"/>
        <v>#N/A</v>
      </c>
      <c r="CH39" s="7" t="e">
        <f t="shared" si="80"/>
        <v>#N/A</v>
      </c>
      <c r="CI39" s="6" t="e">
        <f t="shared" si="81"/>
        <v>#N/A</v>
      </c>
      <c r="CJ39" s="5" t="e">
        <f t="shared" si="82"/>
        <v>#N/A</v>
      </c>
      <c r="CK39" s="6" t="e">
        <f t="shared" si="83"/>
        <v>#N/A</v>
      </c>
      <c r="CL39" s="7" t="e">
        <f t="shared" si="84"/>
        <v>#N/A</v>
      </c>
      <c r="CM39" s="6" t="e">
        <f t="shared" si="85"/>
        <v>#N/A</v>
      </c>
      <c r="CN39" s="7" t="e">
        <f t="shared" si="86"/>
        <v>#N/A</v>
      </c>
      <c r="CO39" s="6" t="e">
        <f t="shared" si="87"/>
        <v>#N/A</v>
      </c>
      <c r="CP39" s="5" t="e">
        <f t="shared" si="88"/>
        <v>#N/A</v>
      </c>
      <c r="CQ39" s="6" t="e">
        <f t="shared" si="89"/>
        <v>#N/A</v>
      </c>
      <c r="CR39" s="7" t="e">
        <f t="shared" si="90"/>
        <v>#N/A</v>
      </c>
      <c r="CS39" s="7" t="e">
        <f t="shared" si="90"/>
        <v>#N/A</v>
      </c>
      <c r="CT39" s="7" t="e">
        <f t="shared" si="90"/>
        <v>#N/A</v>
      </c>
      <c r="CU39" s="7" t="e">
        <f t="shared" si="90"/>
        <v>#N/A</v>
      </c>
      <c r="CV39" s="5" t="e">
        <f t="shared" si="91"/>
        <v>#N/A</v>
      </c>
      <c r="CW39" s="6" t="e">
        <f t="shared" si="92"/>
        <v>#N/A</v>
      </c>
      <c r="CY39" s="7" t="e">
        <v>#N/A</v>
      </c>
      <c r="CZ39" s="5" t="e">
        <f t="array" ref="CZ39">Summary_UpperBound</f>
        <v>#N/A</v>
      </c>
      <c r="DA39" s="6" t="e">
        <f t="shared" si="93"/>
        <v>#N/A</v>
      </c>
    </row>
    <row r="40" spans="2:105" x14ac:dyDescent="0.35">
      <c r="B40" s="14"/>
      <c r="E40" s="12" t="e" vm="2">
        <f t="shared" ca="1" si="94"/>
        <v>#VALUE!</v>
      </c>
      <c r="F40" s="7" t="e">
        <f t="shared" si="0"/>
        <v>#N/A</v>
      </c>
      <c r="G40" s="6" t="e">
        <f t="shared" si="1"/>
        <v>#N/A</v>
      </c>
      <c r="H40" s="7" t="e">
        <f t="shared" si="2"/>
        <v>#N/A</v>
      </c>
      <c r="I40" s="6" t="e">
        <f t="shared" si="3"/>
        <v>#N/A</v>
      </c>
      <c r="J40" s="5" t="e">
        <f t="shared" si="4"/>
        <v>#N/A</v>
      </c>
      <c r="K40" s="6" t="e">
        <f t="shared" si="5"/>
        <v>#N/A</v>
      </c>
      <c r="L40" s="7" t="e">
        <f t="shared" si="6"/>
        <v>#N/A</v>
      </c>
      <c r="M40" s="6" t="e">
        <f t="shared" si="7"/>
        <v>#N/A</v>
      </c>
      <c r="N40" s="7" t="e">
        <f t="shared" si="8"/>
        <v>#N/A</v>
      </c>
      <c r="O40" s="6" t="e">
        <f t="shared" si="9"/>
        <v>#N/A</v>
      </c>
      <c r="P40" s="5" t="e">
        <f t="shared" si="10"/>
        <v>#N/A</v>
      </c>
      <c r="Q40" s="6" t="e">
        <f t="shared" si="11"/>
        <v>#N/A</v>
      </c>
      <c r="R40" s="7" t="e">
        <f t="shared" si="12"/>
        <v>#N/A</v>
      </c>
      <c r="S40" s="6" t="e">
        <f t="shared" si="13"/>
        <v>#N/A</v>
      </c>
      <c r="T40" s="7" t="e">
        <f t="shared" si="14"/>
        <v>#N/A</v>
      </c>
      <c r="U40" s="6" t="e">
        <f t="shared" si="15"/>
        <v>#N/A</v>
      </c>
      <c r="V40" s="5" t="e">
        <f t="shared" si="16"/>
        <v>#N/A</v>
      </c>
      <c r="W40" s="6" t="e">
        <f t="shared" si="17"/>
        <v>#N/A</v>
      </c>
      <c r="X40" s="7" t="e">
        <f t="shared" si="18"/>
        <v>#N/A</v>
      </c>
      <c r="Y40" s="6" t="e">
        <f t="shared" si="19"/>
        <v>#N/A</v>
      </c>
      <c r="Z40" s="7" t="e">
        <f t="shared" si="20"/>
        <v>#N/A</v>
      </c>
      <c r="AA40" s="6" t="e">
        <f t="shared" si="21"/>
        <v>#N/A</v>
      </c>
      <c r="AB40" s="5" t="e">
        <f t="shared" si="22"/>
        <v>#N/A</v>
      </c>
      <c r="AC40" s="6" t="e">
        <f t="shared" si="23"/>
        <v>#N/A</v>
      </c>
      <c r="AD40" s="7" t="e">
        <f t="shared" si="24"/>
        <v>#N/A</v>
      </c>
      <c r="AE40" s="6" t="e">
        <f t="shared" si="25"/>
        <v>#N/A</v>
      </c>
      <c r="AF40" s="7" t="e">
        <f t="shared" si="26"/>
        <v>#N/A</v>
      </c>
      <c r="AG40" s="6" t="e">
        <f t="shared" si="27"/>
        <v>#N/A</v>
      </c>
      <c r="AH40" s="5" t="e">
        <f t="shared" si="28"/>
        <v>#N/A</v>
      </c>
      <c r="AI40" s="6" t="e">
        <f t="shared" si="29"/>
        <v>#N/A</v>
      </c>
      <c r="AJ40" s="7" t="e">
        <f t="shared" si="30"/>
        <v>#N/A</v>
      </c>
      <c r="AK40" s="6" t="e">
        <f t="shared" si="31"/>
        <v>#N/A</v>
      </c>
      <c r="AL40" s="7" t="e">
        <f t="shared" si="32"/>
        <v>#N/A</v>
      </c>
      <c r="AM40" s="6" t="e">
        <f t="shared" si="33"/>
        <v>#N/A</v>
      </c>
      <c r="AN40" s="5" t="e">
        <f t="shared" si="34"/>
        <v>#N/A</v>
      </c>
      <c r="AO40" s="6" t="e">
        <f t="shared" si="35"/>
        <v>#N/A</v>
      </c>
      <c r="AP40" s="7" t="e">
        <f t="shared" si="36"/>
        <v>#N/A</v>
      </c>
      <c r="AQ40" s="6" t="e">
        <f t="shared" si="37"/>
        <v>#N/A</v>
      </c>
      <c r="AR40" s="7" t="e">
        <f t="shared" si="38"/>
        <v>#N/A</v>
      </c>
      <c r="AS40" s="6" t="e">
        <f t="shared" si="39"/>
        <v>#N/A</v>
      </c>
      <c r="AT40" s="5" t="e">
        <f t="shared" si="40"/>
        <v>#N/A</v>
      </c>
      <c r="AU40" s="6" t="e">
        <f t="shared" si="41"/>
        <v>#N/A</v>
      </c>
      <c r="AV40" s="7" t="e">
        <f t="shared" si="42"/>
        <v>#N/A</v>
      </c>
      <c r="AW40" s="6" t="e">
        <f t="shared" si="43"/>
        <v>#N/A</v>
      </c>
      <c r="AX40" s="7" t="e">
        <f t="shared" si="44"/>
        <v>#N/A</v>
      </c>
      <c r="AY40" s="6" t="e">
        <f t="shared" si="45"/>
        <v>#N/A</v>
      </c>
      <c r="AZ40" s="5" t="e">
        <f t="shared" si="46"/>
        <v>#N/A</v>
      </c>
      <c r="BA40" s="6" t="e">
        <f t="shared" si="47"/>
        <v>#N/A</v>
      </c>
      <c r="BB40" s="7" t="e">
        <f t="shared" si="48"/>
        <v>#N/A</v>
      </c>
      <c r="BC40" s="6" t="e">
        <f t="shared" si="49"/>
        <v>#N/A</v>
      </c>
      <c r="BD40" s="7" t="e">
        <f t="shared" si="50"/>
        <v>#N/A</v>
      </c>
      <c r="BE40" s="6" t="e">
        <f t="shared" si="51"/>
        <v>#N/A</v>
      </c>
      <c r="BF40" s="5" t="e">
        <f t="shared" si="52"/>
        <v>#N/A</v>
      </c>
      <c r="BG40" s="6" t="e">
        <f t="shared" si="53"/>
        <v>#N/A</v>
      </c>
      <c r="BH40" s="7" t="e">
        <f t="shared" si="54"/>
        <v>#N/A</v>
      </c>
      <c r="BI40" s="6" t="e">
        <f t="shared" si="55"/>
        <v>#N/A</v>
      </c>
      <c r="BJ40" s="7" t="e">
        <f t="shared" si="56"/>
        <v>#N/A</v>
      </c>
      <c r="BK40" s="6" t="e">
        <f t="shared" si="57"/>
        <v>#N/A</v>
      </c>
      <c r="BL40" s="5" t="e">
        <f t="shared" si="58"/>
        <v>#N/A</v>
      </c>
      <c r="BM40" s="6" t="e">
        <f t="shared" si="59"/>
        <v>#N/A</v>
      </c>
      <c r="BN40" s="7" t="e">
        <f t="shared" si="60"/>
        <v>#N/A</v>
      </c>
      <c r="BO40" s="6" t="e">
        <f t="shared" si="61"/>
        <v>#N/A</v>
      </c>
      <c r="BP40" s="7" t="e">
        <f t="shared" si="62"/>
        <v>#N/A</v>
      </c>
      <c r="BQ40" s="6" t="e">
        <f t="shared" si="63"/>
        <v>#N/A</v>
      </c>
      <c r="BR40" s="5" t="e">
        <f t="shared" si="64"/>
        <v>#N/A</v>
      </c>
      <c r="BS40" s="6" t="e">
        <f t="shared" si="65"/>
        <v>#N/A</v>
      </c>
      <c r="BT40" s="7" t="e">
        <f t="shared" si="66"/>
        <v>#N/A</v>
      </c>
      <c r="BU40" s="6" t="e">
        <f t="shared" si="67"/>
        <v>#N/A</v>
      </c>
      <c r="BV40" s="7" t="e">
        <f t="shared" si="68"/>
        <v>#N/A</v>
      </c>
      <c r="BW40" s="6" t="e">
        <f t="shared" si="69"/>
        <v>#N/A</v>
      </c>
      <c r="BX40" s="5" t="e">
        <f t="shared" si="70"/>
        <v>#N/A</v>
      </c>
      <c r="BY40" s="6" t="e">
        <f t="shared" si="71"/>
        <v>#N/A</v>
      </c>
      <c r="BZ40" s="7" t="e">
        <f t="shared" si="72"/>
        <v>#N/A</v>
      </c>
      <c r="CA40" s="6" t="e">
        <f t="shared" si="73"/>
        <v>#N/A</v>
      </c>
      <c r="CB40" s="7" t="e">
        <f t="shared" si="74"/>
        <v>#N/A</v>
      </c>
      <c r="CC40" s="6" t="e">
        <f t="shared" si="75"/>
        <v>#N/A</v>
      </c>
      <c r="CD40" s="5" t="e">
        <f t="shared" si="76"/>
        <v>#N/A</v>
      </c>
      <c r="CE40" s="6" t="e">
        <f t="shared" si="77"/>
        <v>#N/A</v>
      </c>
      <c r="CF40" s="7" t="e">
        <f t="shared" si="78"/>
        <v>#N/A</v>
      </c>
      <c r="CG40" s="6" t="e">
        <f t="shared" si="79"/>
        <v>#N/A</v>
      </c>
      <c r="CH40" s="7" t="e">
        <f t="shared" si="80"/>
        <v>#N/A</v>
      </c>
      <c r="CI40" s="6" t="e">
        <f t="shared" si="81"/>
        <v>#N/A</v>
      </c>
      <c r="CJ40" s="5" t="e">
        <f t="shared" si="82"/>
        <v>#N/A</v>
      </c>
      <c r="CK40" s="6" t="e">
        <f t="shared" si="83"/>
        <v>#N/A</v>
      </c>
      <c r="CL40" s="7" t="e">
        <f t="shared" si="84"/>
        <v>#N/A</v>
      </c>
      <c r="CM40" s="6" t="e">
        <f t="shared" si="85"/>
        <v>#N/A</v>
      </c>
      <c r="CN40" s="7" t="e">
        <f t="shared" si="86"/>
        <v>#N/A</v>
      </c>
      <c r="CO40" s="6" t="e">
        <f t="shared" si="87"/>
        <v>#N/A</v>
      </c>
      <c r="CP40" s="5" t="e">
        <f t="shared" si="88"/>
        <v>#N/A</v>
      </c>
      <c r="CQ40" s="6" t="e">
        <f t="shared" si="89"/>
        <v>#N/A</v>
      </c>
      <c r="CR40" s="7" t="e">
        <f t="shared" si="90"/>
        <v>#N/A</v>
      </c>
      <c r="CS40" s="7" t="e">
        <f t="shared" si="90"/>
        <v>#N/A</v>
      </c>
      <c r="CT40" s="7" t="e">
        <f t="shared" si="90"/>
        <v>#N/A</v>
      </c>
      <c r="CU40" s="7" t="e">
        <f t="shared" si="90"/>
        <v>#N/A</v>
      </c>
      <c r="CV40" s="5" t="e">
        <f t="shared" si="91"/>
        <v>#N/A</v>
      </c>
      <c r="CW40" s="6" t="e">
        <f t="shared" si="92"/>
        <v>#N/A</v>
      </c>
      <c r="CY40" s="7" t="e">
        <v>#N/A</v>
      </c>
      <c r="CZ40" s="5" t="e">
        <f t="array" ref="CZ40">Summary_UpperBound</f>
        <v>#N/A</v>
      </c>
      <c r="DA40" s="6" t="e">
        <f t="shared" si="93"/>
        <v>#N/A</v>
      </c>
    </row>
    <row r="41" spans="2:105" x14ac:dyDescent="0.35">
      <c r="B41" s="14"/>
      <c r="E41" s="12" t="e" vm="2">
        <f t="shared" ca="1" si="94"/>
        <v>#VALUE!</v>
      </c>
      <c r="F41" s="7" t="e">
        <f t="shared" si="0"/>
        <v>#N/A</v>
      </c>
      <c r="G41" s="6" t="e">
        <f t="shared" si="1"/>
        <v>#N/A</v>
      </c>
      <c r="H41" s="7" t="e">
        <f t="shared" si="2"/>
        <v>#N/A</v>
      </c>
      <c r="I41" s="6" t="e">
        <f t="shared" si="3"/>
        <v>#N/A</v>
      </c>
      <c r="J41" s="5" t="e">
        <f t="shared" si="4"/>
        <v>#N/A</v>
      </c>
      <c r="K41" s="6" t="e">
        <f t="shared" si="5"/>
        <v>#N/A</v>
      </c>
      <c r="L41" s="7" t="e">
        <f t="shared" si="6"/>
        <v>#N/A</v>
      </c>
      <c r="M41" s="6" t="e">
        <f t="shared" si="7"/>
        <v>#N/A</v>
      </c>
      <c r="N41" s="7" t="e">
        <f t="shared" si="8"/>
        <v>#N/A</v>
      </c>
      <c r="O41" s="6" t="e">
        <f t="shared" si="9"/>
        <v>#N/A</v>
      </c>
      <c r="P41" s="5" t="e">
        <f t="shared" si="10"/>
        <v>#N/A</v>
      </c>
      <c r="Q41" s="6" t="e">
        <f t="shared" si="11"/>
        <v>#N/A</v>
      </c>
      <c r="R41" s="7" t="e">
        <f t="shared" si="12"/>
        <v>#N/A</v>
      </c>
      <c r="S41" s="6" t="e">
        <f t="shared" si="13"/>
        <v>#N/A</v>
      </c>
      <c r="T41" s="7" t="e">
        <f t="shared" si="14"/>
        <v>#N/A</v>
      </c>
      <c r="U41" s="6" t="e">
        <f t="shared" si="15"/>
        <v>#N/A</v>
      </c>
      <c r="V41" s="5" t="e">
        <f t="shared" si="16"/>
        <v>#N/A</v>
      </c>
      <c r="W41" s="6" t="e">
        <f t="shared" si="17"/>
        <v>#N/A</v>
      </c>
      <c r="X41" s="7" t="e">
        <f t="shared" si="18"/>
        <v>#N/A</v>
      </c>
      <c r="Y41" s="6" t="e">
        <f t="shared" si="19"/>
        <v>#N/A</v>
      </c>
      <c r="Z41" s="7" t="e">
        <f t="shared" si="20"/>
        <v>#N/A</v>
      </c>
      <c r="AA41" s="6" t="e">
        <f t="shared" si="21"/>
        <v>#N/A</v>
      </c>
      <c r="AB41" s="5" t="e">
        <f t="shared" si="22"/>
        <v>#N/A</v>
      </c>
      <c r="AC41" s="6" t="e">
        <f t="shared" si="23"/>
        <v>#N/A</v>
      </c>
      <c r="AD41" s="7" t="e">
        <f t="shared" si="24"/>
        <v>#N/A</v>
      </c>
      <c r="AE41" s="6" t="e">
        <f t="shared" si="25"/>
        <v>#N/A</v>
      </c>
      <c r="AF41" s="7" t="e">
        <f t="shared" si="26"/>
        <v>#N/A</v>
      </c>
      <c r="AG41" s="6" t="e">
        <f t="shared" si="27"/>
        <v>#N/A</v>
      </c>
      <c r="AH41" s="5" t="e">
        <f t="shared" si="28"/>
        <v>#N/A</v>
      </c>
      <c r="AI41" s="6" t="e">
        <f t="shared" si="29"/>
        <v>#N/A</v>
      </c>
      <c r="AJ41" s="7" t="e">
        <f t="shared" si="30"/>
        <v>#N/A</v>
      </c>
      <c r="AK41" s="6" t="e">
        <f t="shared" si="31"/>
        <v>#N/A</v>
      </c>
      <c r="AL41" s="7" t="e">
        <f t="shared" si="32"/>
        <v>#N/A</v>
      </c>
      <c r="AM41" s="6" t="e">
        <f t="shared" si="33"/>
        <v>#N/A</v>
      </c>
      <c r="AN41" s="5" t="e">
        <f t="shared" si="34"/>
        <v>#N/A</v>
      </c>
      <c r="AO41" s="6" t="e">
        <f t="shared" si="35"/>
        <v>#N/A</v>
      </c>
      <c r="AP41" s="7" t="e">
        <f t="shared" si="36"/>
        <v>#N/A</v>
      </c>
      <c r="AQ41" s="6" t="e">
        <f t="shared" si="37"/>
        <v>#N/A</v>
      </c>
      <c r="AR41" s="7" t="e">
        <f t="shared" si="38"/>
        <v>#N/A</v>
      </c>
      <c r="AS41" s="6" t="e">
        <f t="shared" si="39"/>
        <v>#N/A</v>
      </c>
      <c r="AT41" s="5" t="e">
        <f t="shared" si="40"/>
        <v>#N/A</v>
      </c>
      <c r="AU41" s="6" t="e">
        <f t="shared" si="41"/>
        <v>#N/A</v>
      </c>
      <c r="AV41" s="7" t="e">
        <f t="shared" si="42"/>
        <v>#N/A</v>
      </c>
      <c r="AW41" s="6" t="e">
        <f t="shared" si="43"/>
        <v>#N/A</v>
      </c>
      <c r="AX41" s="7" t="e">
        <f t="shared" si="44"/>
        <v>#N/A</v>
      </c>
      <c r="AY41" s="6" t="e">
        <f t="shared" si="45"/>
        <v>#N/A</v>
      </c>
      <c r="AZ41" s="5" t="e">
        <f t="shared" si="46"/>
        <v>#N/A</v>
      </c>
      <c r="BA41" s="6" t="e">
        <f t="shared" si="47"/>
        <v>#N/A</v>
      </c>
      <c r="BB41" s="7" t="e">
        <f t="shared" si="48"/>
        <v>#N/A</v>
      </c>
      <c r="BC41" s="6" t="e">
        <f t="shared" si="49"/>
        <v>#N/A</v>
      </c>
      <c r="BD41" s="7" t="e">
        <f t="shared" si="50"/>
        <v>#N/A</v>
      </c>
      <c r="BE41" s="6" t="e">
        <f t="shared" si="51"/>
        <v>#N/A</v>
      </c>
      <c r="BF41" s="5" t="e">
        <f t="shared" si="52"/>
        <v>#N/A</v>
      </c>
      <c r="BG41" s="6" t="e">
        <f t="shared" si="53"/>
        <v>#N/A</v>
      </c>
      <c r="BH41" s="7" t="e">
        <f t="shared" si="54"/>
        <v>#N/A</v>
      </c>
      <c r="BI41" s="6" t="e">
        <f t="shared" si="55"/>
        <v>#N/A</v>
      </c>
      <c r="BJ41" s="7" t="e">
        <f t="shared" si="56"/>
        <v>#N/A</v>
      </c>
      <c r="BK41" s="6" t="e">
        <f t="shared" si="57"/>
        <v>#N/A</v>
      </c>
      <c r="BL41" s="5" t="e">
        <f t="shared" si="58"/>
        <v>#N/A</v>
      </c>
      <c r="BM41" s="6" t="e">
        <f t="shared" si="59"/>
        <v>#N/A</v>
      </c>
      <c r="BN41" s="7" t="e">
        <f t="shared" si="60"/>
        <v>#N/A</v>
      </c>
      <c r="BO41" s="6" t="e">
        <f t="shared" si="61"/>
        <v>#N/A</v>
      </c>
      <c r="BP41" s="7" t="e">
        <f t="shared" si="62"/>
        <v>#N/A</v>
      </c>
      <c r="BQ41" s="6" t="e">
        <f t="shared" si="63"/>
        <v>#N/A</v>
      </c>
      <c r="BR41" s="5" t="e">
        <f t="shared" si="64"/>
        <v>#N/A</v>
      </c>
      <c r="BS41" s="6" t="e">
        <f t="shared" si="65"/>
        <v>#N/A</v>
      </c>
      <c r="BT41" s="7" t="e">
        <f t="shared" si="66"/>
        <v>#N/A</v>
      </c>
      <c r="BU41" s="6" t="e">
        <f t="shared" si="67"/>
        <v>#N/A</v>
      </c>
      <c r="BV41" s="7" t="e">
        <f t="shared" si="68"/>
        <v>#N/A</v>
      </c>
      <c r="BW41" s="6" t="e">
        <f t="shared" si="69"/>
        <v>#N/A</v>
      </c>
      <c r="BX41" s="5" t="e">
        <f t="shared" si="70"/>
        <v>#N/A</v>
      </c>
      <c r="BY41" s="6" t="e">
        <f t="shared" si="71"/>
        <v>#N/A</v>
      </c>
      <c r="BZ41" s="7" t="e">
        <f t="shared" si="72"/>
        <v>#N/A</v>
      </c>
      <c r="CA41" s="6" t="e">
        <f t="shared" si="73"/>
        <v>#N/A</v>
      </c>
      <c r="CB41" s="7" t="e">
        <f t="shared" si="74"/>
        <v>#N/A</v>
      </c>
      <c r="CC41" s="6" t="e">
        <f t="shared" si="75"/>
        <v>#N/A</v>
      </c>
      <c r="CD41" s="5" t="e">
        <f t="shared" si="76"/>
        <v>#N/A</v>
      </c>
      <c r="CE41" s="6" t="e">
        <f t="shared" si="77"/>
        <v>#N/A</v>
      </c>
      <c r="CF41" s="7" t="e">
        <f t="shared" si="78"/>
        <v>#N/A</v>
      </c>
      <c r="CG41" s="6" t="e">
        <f t="shared" si="79"/>
        <v>#N/A</v>
      </c>
      <c r="CH41" s="7" t="e">
        <f t="shared" si="80"/>
        <v>#N/A</v>
      </c>
      <c r="CI41" s="6" t="e">
        <f t="shared" si="81"/>
        <v>#N/A</v>
      </c>
      <c r="CJ41" s="5" t="e">
        <f t="shared" si="82"/>
        <v>#N/A</v>
      </c>
      <c r="CK41" s="6" t="e">
        <f t="shared" si="83"/>
        <v>#N/A</v>
      </c>
      <c r="CL41" s="7" t="e">
        <f t="shared" si="84"/>
        <v>#N/A</v>
      </c>
      <c r="CM41" s="6" t="e">
        <f t="shared" si="85"/>
        <v>#N/A</v>
      </c>
      <c r="CN41" s="7" t="e">
        <f t="shared" si="86"/>
        <v>#N/A</v>
      </c>
      <c r="CO41" s="6" t="e">
        <f t="shared" si="87"/>
        <v>#N/A</v>
      </c>
      <c r="CP41" s="5" t="e">
        <f t="shared" si="88"/>
        <v>#N/A</v>
      </c>
      <c r="CQ41" s="6" t="e">
        <f t="shared" si="89"/>
        <v>#N/A</v>
      </c>
      <c r="CR41" s="7" t="e">
        <f t="shared" si="90"/>
        <v>#N/A</v>
      </c>
      <c r="CS41" s="7" t="e">
        <f t="shared" si="90"/>
        <v>#N/A</v>
      </c>
      <c r="CT41" s="7" t="e">
        <f t="shared" si="90"/>
        <v>#N/A</v>
      </c>
      <c r="CU41" s="7" t="e">
        <f t="shared" si="90"/>
        <v>#N/A</v>
      </c>
      <c r="CV41" s="5" t="e">
        <f t="shared" si="91"/>
        <v>#N/A</v>
      </c>
      <c r="CW41" s="6" t="e">
        <f t="shared" si="92"/>
        <v>#N/A</v>
      </c>
      <c r="CY41" s="7" t="e">
        <v>#N/A</v>
      </c>
      <c r="CZ41" s="5" t="e">
        <f t="array" ref="CZ41">Summary_UpperBound</f>
        <v>#N/A</v>
      </c>
      <c r="DA41" s="6" t="e">
        <f t="shared" si="93"/>
        <v>#N/A</v>
      </c>
    </row>
    <row r="42" spans="2:105" x14ac:dyDescent="0.35">
      <c r="B42" s="14"/>
      <c r="E42" s="12" t="e" vm="2">
        <f t="shared" ca="1" si="94"/>
        <v>#VALUE!</v>
      </c>
      <c r="F42" s="7" t="e">
        <f t="shared" si="0"/>
        <v>#N/A</v>
      </c>
      <c r="G42" s="6" t="e">
        <f t="shared" si="1"/>
        <v>#N/A</v>
      </c>
      <c r="H42" s="7" t="e">
        <f t="shared" si="2"/>
        <v>#N/A</v>
      </c>
      <c r="I42" s="6" t="e">
        <f t="shared" si="3"/>
        <v>#N/A</v>
      </c>
      <c r="J42" s="5" t="e">
        <f t="shared" si="4"/>
        <v>#N/A</v>
      </c>
      <c r="K42" s="6" t="e">
        <f t="shared" si="5"/>
        <v>#N/A</v>
      </c>
      <c r="L42" s="7" t="e">
        <f t="shared" si="6"/>
        <v>#N/A</v>
      </c>
      <c r="M42" s="6" t="e">
        <f t="shared" si="7"/>
        <v>#N/A</v>
      </c>
      <c r="N42" s="7" t="e">
        <f t="shared" si="8"/>
        <v>#N/A</v>
      </c>
      <c r="O42" s="6" t="e">
        <f t="shared" si="9"/>
        <v>#N/A</v>
      </c>
      <c r="P42" s="5" t="e">
        <f t="shared" si="10"/>
        <v>#N/A</v>
      </c>
      <c r="Q42" s="6" t="e">
        <f t="shared" si="11"/>
        <v>#N/A</v>
      </c>
      <c r="R42" s="7" t="e">
        <f t="shared" si="12"/>
        <v>#N/A</v>
      </c>
      <c r="S42" s="6" t="e">
        <f t="shared" si="13"/>
        <v>#N/A</v>
      </c>
      <c r="T42" s="7" t="e">
        <f t="shared" si="14"/>
        <v>#N/A</v>
      </c>
      <c r="U42" s="6" t="e">
        <f t="shared" si="15"/>
        <v>#N/A</v>
      </c>
      <c r="V42" s="5" t="e">
        <f t="shared" si="16"/>
        <v>#N/A</v>
      </c>
      <c r="W42" s="6" t="e">
        <f t="shared" si="17"/>
        <v>#N/A</v>
      </c>
      <c r="X42" s="7" t="e">
        <f t="shared" si="18"/>
        <v>#N/A</v>
      </c>
      <c r="Y42" s="6" t="e">
        <f t="shared" si="19"/>
        <v>#N/A</v>
      </c>
      <c r="Z42" s="7" t="e">
        <f t="shared" si="20"/>
        <v>#N/A</v>
      </c>
      <c r="AA42" s="6" t="e">
        <f t="shared" si="21"/>
        <v>#N/A</v>
      </c>
      <c r="AB42" s="5" t="e">
        <f t="shared" si="22"/>
        <v>#N/A</v>
      </c>
      <c r="AC42" s="6" t="e">
        <f t="shared" si="23"/>
        <v>#N/A</v>
      </c>
      <c r="AD42" s="7" t="e">
        <f t="shared" si="24"/>
        <v>#N/A</v>
      </c>
      <c r="AE42" s="6" t="e">
        <f t="shared" si="25"/>
        <v>#N/A</v>
      </c>
      <c r="AF42" s="7" t="e">
        <f t="shared" si="26"/>
        <v>#N/A</v>
      </c>
      <c r="AG42" s="6" t="e">
        <f t="shared" si="27"/>
        <v>#N/A</v>
      </c>
      <c r="AH42" s="5" t="e">
        <f t="shared" si="28"/>
        <v>#N/A</v>
      </c>
      <c r="AI42" s="6" t="e">
        <f t="shared" si="29"/>
        <v>#N/A</v>
      </c>
      <c r="AJ42" s="7" t="e">
        <f t="shared" si="30"/>
        <v>#N/A</v>
      </c>
      <c r="AK42" s="6" t="e">
        <f t="shared" si="31"/>
        <v>#N/A</v>
      </c>
      <c r="AL42" s="7" t="e">
        <f t="shared" si="32"/>
        <v>#N/A</v>
      </c>
      <c r="AM42" s="6" t="e">
        <f t="shared" si="33"/>
        <v>#N/A</v>
      </c>
      <c r="AN42" s="5" t="e">
        <f t="shared" si="34"/>
        <v>#N/A</v>
      </c>
      <c r="AO42" s="6" t="e">
        <f t="shared" si="35"/>
        <v>#N/A</v>
      </c>
      <c r="AP42" s="7" t="e">
        <f t="shared" si="36"/>
        <v>#N/A</v>
      </c>
      <c r="AQ42" s="6" t="e">
        <f t="shared" si="37"/>
        <v>#N/A</v>
      </c>
      <c r="AR42" s="7" t="e">
        <f t="shared" si="38"/>
        <v>#N/A</v>
      </c>
      <c r="AS42" s="6" t="e">
        <f t="shared" si="39"/>
        <v>#N/A</v>
      </c>
      <c r="AT42" s="5" t="e">
        <f t="shared" si="40"/>
        <v>#N/A</v>
      </c>
      <c r="AU42" s="6" t="e">
        <f t="shared" si="41"/>
        <v>#N/A</v>
      </c>
      <c r="AV42" s="7" t="e">
        <f t="shared" si="42"/>
        <v>#N/A</v>
      </c>
      <c r="AW42" s="6" t="e">
        <f t="shared" si="43"/>
        <v>#N/A</v>
      </c>
      <c r="AX42" s="7" t="e">
        <f t="shared" si="44"/>
        <v>#N/A</v>
      </c>
      <c r="AY42" s="6" t="e">
        <f t="shared" si="45"/>
        <v>#N/A</v>
      </c>
      <c r="AZ42" s="5" t="e">
        <f t="shared" si="46"/>
        <v>#N/A</v>
      </c>
      <c r="BA42" s="6" t="e">
        <f t="shared" si="47"/>
        <v>#N/A</v>
      </c>
      <c r="BB42" s="7" t="e">
        <f t="shared" si="48"/>
        <v>#N/A</v>
      </c>
      <c r="BC42" s="6" t="e">
        <f t="shared" si="49"/>
        <v>#N/A</v>
      </c>
      <c r="BD42" s="7" t="e">
        <f t="shared" si="50"/>
        <v>#N/A</v>
      </c>
      <c r="BE42" s="6" t="e">
        <f t="shared" si="51"/>
        <v>#N/A</v>
      </c>
      <c r="BF42" s="5" t="e">
        <f t="shared" si="52"/>
        <v>#N/A</v>
      </c>
      <c r="BG42" s="6" t="e">
        <f t="shared" si="53"/>
        <v>#N/A</v>
      </c>
      <c r="BH42" s="7" t="e">
        <f t="shared" si="54"/>
        <v>#N/A</v>
      </c>
      <c r="BI42" s="6" t="e">
        <f t="shared" si="55"/>
        <v>#N/A</v>
      </c>
      <c r="BJ42" s="7" t="e">
        <f t="shared" si="56"/>
        <v>#N/A</v>
      </c>
      <c r="BK42" s="6" t="e">
        <f t="shared" si="57"/>
        <v>#N/A</v>
      </c>
      <c r="BL42" s="5" t="e">
        <f t="shared" si="58"/>
        <v>#N/A</v>
      </c>
      <c r="BM42" s="6" t="e">
        <f t="shared" si="59"/>
        <v>#N/A</v>
      </c>
      <c r="BN42" s="7" t="e">
        <f t="shared" si="60"/>
        <v>#N/A</v>
      </c>
      <c r="BO42" s="6" t="e">
        <f t="shared" si="61"/>
        <v>#N/A</v>
      </c>
      <c r="BP42" s="7" t="e">
        <f t="shared" si="62"/>
        <v>#N/A</v>
      </c>
      <c r="BQ42" s="6" t="e">
        <f t="shared" si="63"/>
        <v>#N/A</v>
      </c>
      <c r="BR42" s="5" t="e">
        <f t="shared" si="64"/>
        <v>#N/A</v>
      </c>
      <c r="BS42" s="6" t="e">
        <f t="shared" si="65"/>
        <v>#N/A</v>
      </c>
      <c r="BT42" s="7" t="e">
        <f t="shared" si="66"/>
        <v>#N/A</v>
      </c>
      <c r="BU42" s="6" t="e">
        <f t="shared" si="67"/>
        <v>#N/A</v>
      </c>
      <c r="BV42" s="7" t="e">
        <f t="shared" si="68"/>
        <v>#N/A</v>
      </c>
      <c r="BW42" s="6" t="e">
        <f t="shared" si="69"/>
        <v>#N/A</v>
      </c>
      <c r="BX42" s="5" t="e">
        <f t="shared" si="70"/>
        <v>#N/A</v>
      </c>
      <c r="BY42" s="6" t="e">
        <f t="shared" si="71"/>
        <v>#N/A</v>
      </c>
      <c r="BZ42" s="7" t="e">
        <f t="shared" si="72"/>
        <v>#N/A</v>
      </c>
      <c r="CA42" s="6" t="e">
        <f t="shared" si="73"/>
        <v>#N/A</v>
      </c>
      <c r="CB42" s="7" t="e">
        <f t="shared" si="74"/>
        <v>#N/A</v>
      </c>
      <c r="CC42" s="6" t="e">
        <f t="shared" si="75"/>
        <v>#N/A</v>
      </c>
      <c r="CD42" s="5" t="e">
        <f t="shared" si="76"/>
        <v>#N/A</v>
      </c>
      <c r="CE42" s="6" t="e">
        <f t="shared" si="77"/>
        <v>#N/A</v>
      </c>
      <c r="CF42" s="7" t="e">
        <f t="shared" si="78"/>
        <v>#N/A</v>
      </c>
      <c r="CG42" s="6" t="e">
        <f t="shared" si="79"/>
        <v>#N/A</v>
      </c>
      <c r="CH42" s="7" t="e">
        <f t="shared" si="80"/>
        <v>#N/A</v>
      </c>
      <c r="CI42" s="6" t="e">
        <f t="shared" si="81"/>
        <v>#N/A</v>
      </c>
      <c r="CJ42" s="5" t="e">
        <f t="shared" si="82"/>
        <v>#N/A</v>
      </c>
      <c r="CK42" s="6" t="e">
        <f t="shared" si="83"/>
        <v>#N/A</v>
      </c>
      <c r="CL42" s="7" t="e">
        <f t="shared" si="84"/>
        <v>#N/A</v>
      </c>
      <c r="CM42" s="6" t="e">
        <f t="shared" si="85"/>
        <v>#N/A</v>
      </c>
      <c r="CN42" s="7" t="e">
        <f t="shared" si="86"/>
        <v>#N/A</v>
      </c>
      <c r="CO42" s="6" t="e">
        <f t="shared" si="87"/>
        <v>#N/A</v>
      </c>
      <c r="CP42" s="5" t="e">
        <f t="shared" si="88"/>
        <v>#N/A</v>
      </c>
      <c r="CQ42" s="6" t="e">
        <f t="shared" si="89"/>
        <v>#N/A</v>
      </c>
      <c r="CR42" s="7" t="e">
        <f t="shared" si="90"/>
        <v>#N/A</v>
      </c>
      <c r="CS42" s="7" t="e">
        <f t="shared" si="90"/>
        <v>#N/A</v>
      </c>
      <c r="CT42" s="7" t="e">
        <f t="shared" si="90"/>
        <v>#N/A</v>
      </c>
      <c r="CU42" s="7" t="e">
        <f t="shared" si="90"/>
        <v>#N/A</v>
      </c>
      <c r="CV42" s="5" t="e">
        <f t="shared" si="91"/>
        <v>#N/A</v>
      </c>
      <c r="CW42" s="6" t="e">
        <f t="shared" si="92"/>
        <v>#N/A</v>
      </c>
      <c r="CY42" s="7" t="e">
        <v>#N/A</v>
      </c>
      <c r="CZ42" s="5" t="e">
        <f t="array" ref="CZ42">Summary_UpperBound</f>
        <v>#N/A</v>
      </c>
      <c r="DA42" s="6" t="e">
        <f t="shared" si="93"/>
        <v>#N/A</v>
      </c>
    </row>
    <row r="43" spans="2:105" x14ac:dyDescent="0.35">
      <c r="B43" s="14"/>
      <c r="E43" s="12" t="e" vm="2">
        <f t="shared" ca="1" si="94"/>
        <v>#VALUE!</v>
      </c>
      <c r="F43" s="7" t="e">
        <f t="shared" si="0"/>
        <v>#N/A</v>
      </c>
      <c r="G43" s="6" t="e">
        <f t="shared" si="1"/>
        <v>#N/A</v>
      </c>
      <c r="H43" s="7" t="e">
        <f t="shared" si="2"/>
        <v>#N/A</v>
      </c>
      <c r="I43" s="6" t="e">
        <f t="shared" si="3"/>
        <v>#N/A</v>
      </c>
      <c r="J43" s="5" t="e">
        <f t="shared" si="4"/>
        <v>#N/A</v>
      </c>
      <c r="K43" s="6" t="e">
        <f t="shared" si="5"/>
        <v>#N/A</v>
      </c>
      <c r="L43" s="7" t="e">
        <f t="shared" si="6"/>
        <v>#N/A</v>
      </c>
      <c r="M43" s="6" t="e">
        <f t="shared" si="7"/>
        <v>#N/A</v>
      </c>
      <c r="N43" s="7" t="e">
        <f t="shared" si="8"/>
        <v>#N/A</v>
      </c>
      <c r="O43" s="6" t="e">
        <f t="shared" si="9"/>
        <v>#N/A</v>
      </c>
      <c r="P43" s="5" t="e">
        <f t="shared" si="10"/>
        <v>#N/A</v>
      </c>
      <c r="Q43" s="6" t="e">
        <f t="shared" si="11"/>
        <v>#N/A</v>
      </c>
      <c r="R43" s="7" t="e">
        <f t="shared" si="12"/>
        <v>#N/A</v>
      </c>
      <c r="S43" s="6" t="e">
        <f t="shared" si="13"/>
        <v>#N/A</v>
      </c>
      <c r="T43" s="7" t="e">
        <f t="shared" si="14"/>
        <v>#N/A</v>
      </c>
      <c r="U43" s="6" t="e">
        <f t="shared" si="15"/>
        <v>#N/A</v>
      </c>
      <c r="V43" s="5" t="e">
        <f t="shared" si="16"/>
        <v>#N/A</v>
      </c>
      <c r="W43" s="6" t="e">
        <f t="shared" si="17"/>
        <v>#N/A</v>
      </c>
      <c r="X43" s="7" t="e">
        <f t="shared" si="18"/>
        <v>#N/A</v>
      </c>
      <c r="Y43" s="6" t="e">
        <f t="shared" si="19"/>
        <v>#N/A</v>
      </c>
      <c r="Z43" s="7" t="e">
        <f t="shared" si="20"/>
        <v>#N/A</v>
      </c>
      <c r="AA43" s="6" t="e">
        <f t="shared" si="21"/>
        <v>#N/A</v>
      </c>
      <c r="AB43" s="5" t="e">
        <f t="shared" si="22"/>
        <v>#N/A</v>
      </c>
      <c r="AC43" s="6" t="e">
        <f t="shared" si="23"/>
        <v>#N/A</v>
      </c>
      <c r="AD43" s="7" t="e">
        <f t="shared" si="24"/>
        <v>#N/A</v>
      </c>
      <c r="AE43" s="6" t="e">
        <f t="shared" si="25"/>
        <v>#N/A</v>
      </c>
      <c r="AF43" s="7" t="e">
        <f t="shared" si="26"/>
        <v>#N/A</v>
      </c>
      <c r="AG43" s="6" t="e">
        <f t="shared" si="27"/>
        <v>#N/A</v>
      </c>
      <c r="AH43" s="5" t="e">
        <f t="shared" si="28"/>
        <v>#N/A</v>
      </c>
      <c r="AI43" s="6" t="e">
        <f t="shared" si="29"/>
        <v>#N/A</v>
      </c>
      <c r="AJ43" s="7" t="e">
        <f t="shared" si="30"/>
        <v>#N/A</v>
      </c>
      <c r="AK43" s="6" t="e">
        <f t="shared" si="31"/>
        <v>#N/A</v>
      </c>
      <c r="AL43" s="7" t="e">
        <f t="shared" si="32"/>
        <v>#N/A</v>
      </c>
      <c r="AM43" s="6" t="e">
        <f t="shared" si="33"/>
        <v>#N/A</v>
      </c>
      <c r="AN43" s="5" t="e">
        <f t="shared" si="34"/>
        <v>#N/A</v>
      </c>
      <c r="AO43" s="6" t="e">
        <f t="shared" si="35"/>
        <v>#N/A</v>
      </c>
      <c r="AP43" s="7" t="e">
        <f t="shared" si="36"/>
        <v>#N/A</v>
      </c>
      <c r="AQ43" s="6" t="e">
        <f t="shared" si="37"/>
        <v>#N/A</v>
      </c>
      <c r="AR43" s="7" t="e">
        <f t="shared" si="38"/>
        <v>#N/A</v>
      </c>
      <c r="AS43" s="6" t="e">
        <f t="shared" si="39"/>
        <v>#N/A</v>
      </c>
      <c r="AT43" s="5" t="e">
        <f t="shared" si="40"/>
        <v>#N/A</v>
      </c>
      <c r="AU43" s="6" t="e">
        <f t="shared" si="41"/>
        <v>#N/A</v>
      </c>
      <c r="AV43" s="7" t="e">
        <f t="shared" si="42"/>
        <v>#N/A</v>
      </c>
      <c r="AW43" s="6" t="e">
        <f t="shared" si="43"/>
        <v>#N/A</v>
      </c>
      <c r="AX43" s="7" t="e">
        <f t="shared" si="44"/>
        <v>#N/A</v>
      </c>
      <c r="AY43" s="6" t="e">
        <f t="shared" si="45"/>
        <v>#N/A</v>
      </c>
      <c r="AZ43" s="5" t="e">
        <f t="shared" si="46"/>
        <v>#N/A</v>
      </c>
      <c r="BA43" s="6" t="e">
        <f t="shared" si="47"/>
        <v>#N/A</v>
      </c>
      <c r="BB43" s="7" t="e">
        <f t="shared" si="48"/>
        <v>#N/A</v>
      </c>
      <c r="BC43" s="6" t="e">
        <f t="shared" si="49"/>
        <v>#N/A</v>
      </c>
      <c r="BD43" s="7" t="e">
        <f t="shared" si="50"/>
        <v>#N/A</v>
      </c>
      <c r="BE43" s="6" t="e">
        <f t="shared" si="51"/>
        <v>#N/A</v>
      </c>
      <c r="BF43" s="5" t="e">
        <f t="shared" si="52"/>
        <v>#N/A</v>
      </c>
      <c r="BG43" s="6" t="e">
        <f t="shared" si="53"/>
        <v>#N/A</v>
      </c>
      <c r="BH43" s="7" t="e">
        <f t="shared" si="54"/>
        <v>#N/A</v>
      </c>
      <c r="BI43" s="6" t="e">
        <f t="shared" si="55"/>
        <v>#N/A</v>
      </c>
      <c r="BJ43" s="7" t="e">
        <f t="shared" si="56"/>
        <v>#N/A</v>
      </c>
      <c r="BK43" s="6" t="e">
        <f t="shared" si="57"/>
        <v>#N/A</v>
      </c>
      <c r="BL43" s="5" t="e">
        <f t="shared" si="58"/>
        <v>#N/A</v>
      </c>
      <c r="BM43" s="6" t="e">
        <f t="shared" si="59"/>
        <v>#N/A</v>
      </c>
      <c r="BN43" s="7" t="e">
        <f t="shared" si="60"/>
        <v>#N/A</v>
      </c>
      <c r="BO43" s="6" t="e">
        <f t="shared" si="61"/>
        <v>#N/A</v>
      </c>
      <c r="BP43" s="7" t="e">
        <f t="shared" si="62"/>
        <v>#N/A</v>
      </c>
      <c r="BQ43" s="6" t="e">
        <f t="shared" si="63"/>
        <v>#N/A</v>
      </c>
      <c r="BR43" s="5" t="e">
        <f t="shared" si="64"/>
        <v>#N/A</v>
      </c>
      <c r="BS43" s="6" t="e">
        <f t="shared" si="65"/>
        <v>#N/A</v>
      </c>
      <c r="BT43" s="7" t="e">
        <f t="shared" si="66"/>
        <v>#N/A</v>
      </c>
      <c r="BU43" s="6" t="e">
        <f t="shared" si="67"/>
        <v>#N/A</v>
      </c>
      <c r="BV43" s="7" t="e">
        <f t="shared" si="68"/>
        <v>#N/A</v>
      </c>
      <c r="BW43" s="6" t="e">
        <f t="shared" si="69"/>
        <v>#N/A</v>
      </c>
      <c r="BX43" s="5" t="e">
        <f t="shared" si="70"/>
        <v>#N/A</v>
      </c>
      <c r="BY43" s="6" t="e">
        <f t="shared" si="71"/>
        <v>#N/A</v>
      </c>
      <c r="BZ43" s="7" t="e">
        <f t="shared" si="72"/>
        <v>#N/A</v>
      </c>
      <c r="CA43" s="6" t="e">
        <f t="shared" si="73"/>
        <v>#N/A</v>
      </c>
      <c r="CB43" s="7" t="e">
        <f t="shared" si="74"/>
        <v>#N/A</v>
      </c>
      <c r="CC43" s="6" t="e">
        <f t="shared" si="75"/>
        <v>#N/A</v>
      </c>
      <c r="CD43" s="5" t="e">
        <f t="shared" si="76"/>
        <v>#N/A</v>
      </c>
      <c r="CE43" s="6" t="e">
        <f t="shared" si="77"/>
        <v>#N/A</v>
      </c>
      <c r="CF43" s="7" t="e">
        <f t="shared" si="78"/>
        <v>#N/A</v>
      </c>
      <c r="CG43" s="6" t="e">
        <f t="shared" si="79"/>
        <v>#N/A</v>
      </c>
      <c r="CH43" s="7" t="e">
        <f t="shared" si="80"/>
        <v>#N/A</v>
      </c>
      <c r="CI43" s="6" t="e">
        <f t="shared" si="81"/>
        <v>#N/A</v>
      </c>
      <c r="CJ43" s="5" t="e">
        <f t="shared" si="82"/>
        <v>#N/A</v>
      </c>
      <c r="CK43" s="6" t="e">
        <f t="shared" si="83"/>
        <v>#N/A</v>
      </c>
      <c r="CL43" s="7" t="e">
        <f t="shared" si="84"/>
        <v>#N/A</v>
      </c>
      <c r="CM43" s="6" t="e">
        <f t="shared" si="85"/>
        <v>#N/A</v>
      </c>
      <c r="CN43" s="7" t="e">
        <f t="shared" si="86"/>
        <v>#N/A</v>
      </c>
      <c r="CO43" s="6" t="e">
        <f t="shared" si="87"/>
        <v>#N/A</v>
      </c>
      <c r="CP43" s="5" t="e">
        <f t="shared" si="88"/>
        <v>#N/A</v>
      </c>
      <c r="CQ43" s="6" t="e">
        <f t="shared" si="89"/>
        <v>#N/A</v>
      </c>
      <c r="CR43" s="7" t="e">
        <f t="shared" si="90"/>
        <v>#N/A</v>
      </c>
      <c r="CS43" s="7" t="e">
        <f t="shared" si="90"/>
        <v>#N/A</v>
      </c>
      <c r="CT43" s="7" t="e">
        <f t="shared" si="90"/>
        <v>#N/A</v>
      </c>
      <c r="CU43" s="7" t="e">
        <f t="shared" si="90"/>
        <v>#N/A</v>
      </c>
      <c r="CV43" s="5" t="e">
        <f t="shared" si="91"/>
        <v>#N/A</v>
      </c>
      <c r="CW43" s="6" t="e">
        <f t="shared" si="92"/>
        <v>#N/A</v>
      </c>
      <c r="CY43" s="7" t="e">
        <v>#N/A</v>
      </c>
      <c r="CZ43" s="5" t="e">
        <f t="array" ref="CZ43">Summary_UpperBound</f>
        <v>#N/A</v>
      </c>
      <c r="DA43" s="6" t="e">
        <f t="shared" si="93"/>
        <v>#N/A</v>
      </c>
    </row>
    <row r="44" spans="2:105" x14ac:dyDescent="0.35">
      <c r="B44" s="14"/>
      <c r="E44" s="12" t="e" vm="2">
        <f t="shared" ca="1" si="94"/>
        <v>#VALUE!</v>
      </c>
      <c r="F44" s="7" t="e">
        <f t="shared" si="0"/>
        <v>#N/A</v>
      </c>
      <c r="G44" s="6" t="e">
        <f t="shared" si="1"/>
        <v>#N/A</v>
      </c>
      <c r="H44" s="7" t="e">
        <f t="shared" si="2"/>
        <v>#N/A</v>
      </c>
      <c r="I44" s="6" t="e">
        <f t="shared" si="3"/>
        <v>#N/A</v>
      </c>
      <c r="J44" s="5" t="e">
        <f t="shared" si="4"/>
        <v>#N/A</v>
      </c>
      <c r="K44" s="6" t="e">
        <f t="shared" si="5"/>
        <v>#N/A</v>
      </c>
      <c r="L44" s="7" t="e">
        <f t="shared" si="6"/>
        <v>#N/A</v>
      </c>
      <c r="M44" s="6" t="e">
        <f t="shared" si="7"/>
        <v>#N/A</v>
      </c>
      <c r="N44" s="7" t="e">
        <f t="shared" si="8"/>
        <v>#N/A</v>
      </c>
      <c r="O44" s="6" t="e">
        <f t="shared" si="9"/>
        <v>#N/A</v>
      </c>
      <c r="P44" s="5" t="e">
        <f t="shared" si="10"/>
        <v>#N/A</v>
      </c>
      <c r="Q44" s="6" t="e">
        <f t="shared" si="11"/>
        <v>#N/A</v>
      </c>
      <c r="R44" s="7" t="e">
        <f t="shared" si="12"/>
        <v>#N/A</v>
      </c>
      <c r="S44" s="6" t="e">
        <f t="shared" si="13"/>
        <v>#N/A</v>
      </c>
      <c r="T44" s="7" t="e">
        <f t="shared" si="14"/>
        <v>#N/A</v>
      </c>
      <c r="U44" s="6" t="e">
        <f t="shared" si="15"/>
        <v>#N/A</v>
      </c>
      <c r="V44" s="5" t="e">
        <f t="shared" si="16"/>
        <v>#N/A</v>
      </c>
      <c r="W44" s="6" t="e">
        <f t="shared" si="17"/>
        <v>#N/A</v>
      </c>
      <c r="X44" s="7" t="e">
        <f t="shared" si="18"/>
        <v>#N/A</v>
      </c>
      <c r="Y44" s="6" t="e">
        <f t="shared" si="19"/>
        <v>#N/A</v>
      </c>
      <c r="Z44" s="7" t="e">
        <f t="shared" si="20"/>
        <v>#N/A</v>
      </c>
      <c r="AA44" s="6" t="e">
        <f t="shared" si="21"/>
        <v>#N/A</v>
      </c>
      <c r="AB44" s="5" t="e">
        <f t="shared" si="22"/>
        <v>#N/A</v>
      </c>
      <c r="AC44" s="6" t="e">
        <f t="shared" si="23"/>
        <v>#N/A</v>
      </c>
      <c r="AD44" s="7" t="e">
        <f t="shared" si="24"/>
        <v>#N/A</v>
      </c>
      <c r="AE44" s="6" t="e">
        <f t="shared" si="25"/>
        <v>#N/A</v>
      </c>
      <c r="AF44" s="7" t="e">
        <f t="shared" si="26"/>
        <v>#N/A</v>
      </c>
      <c r="AG44" s="6" t="e">
        <f t="shared" si="27"/>
        <v>#N/A</v>
      </c>
      <c r="AH44" s="5" t="e">
        <f t="shared" si="28"/>
        <v>#N/A</v>
      </c>
      <c r="AI44" s="6" t="e">
        <f t="shared" si="29"/>
        <v>#N/A</v>
      </c>
      <c r="AJ44" s="7" t="e">
        <f t="shared" si="30"/>
        <v>#N/A</v>
      </c>
      <c r="AK44" s="6" t="e">
        <f t="shared" si="31"/>
        <v>#N/A</v>
      </c>
      <c r="AL44" s="7" t="e">
        <f t="shared" si="32"/>
        <v>#N/A</v>
      </c>
      <c r="AM44" s="6" t="e">
        <f t="shared" si="33"/>
        <v>#N/A</v>
      </c>
      <c r="AN44" s="5" t="e">
        <f t="shared" si="34"/>
        <v>#N/A</v>
      </c>
      <c r="AO44" s="6" t="e">
        <f t="shared" si="35"/>
        <v>#N/A</v>
      </c>
      <c r="AP44" s="7" t="e">
        <f t="shared" si="36"/>
        <v>#N/A</v>
      </c>
      <c r="AQ44" s="6" t="e">
        <f t="shared" si="37"/>
        <v>#N/A</v>
      </c>
      <c r="AR44" s="7" t="e">
        <f t="shared" si="38"/>
        <v>#N/A</v>
      </c>
      <c r="AS44" s="6" t="e">
        <f t="shared" si="39"/>
        <v>#N/A</v>
      </c>
      <c r="AT44" s="5" t="e">
        <f t="shared" si="40"/>
        <v>#N/A</v>
      </c>
      <c r="AU44" s="6" t="e">
        <f t="shared" si="41"/>
        <v>#N/A</v>
      </c>
      <c r="AV44" s="7" t="e">
        <f t="shared" si="42"/>
        <v>#N/A</v>
      </c>
      <c r="AW44" s="6" t="e">
        <f t="shared" si="43"/>
        <v>#N/A</v>
      </c>
      <c r="AX44" s="7" t="e">
        <f t="shared" si="44"/>
        <v>#N/A</v>
      </c>
      <c r="AY44" s="6" t="e">
        <f t="shared" si="45"/>
        <v>#N/A</v>
      </c>
      <c r="AZ44" s="5" t="e">
        <f t="shared" si="46"/>
        <v>#N/A</v>
      </c>
      <c r="BA44" s="6" t="e">
        <f t="shared" si="47"/>
        <v>#N/A</v>
      </c>
      <c r="BB44" s="7" t="e">
        <f t="shared" si="48"/>
        <v>#N/A</v>
      </c>
      <c r="BC44" s="6" t="e">
        <f t="shared" si="49"/>
        <v>#N/A</v>
      </c>
      <c r="BD44" s="7" t="e">
        <f t="shared" si="50"/>
        <v>#N/A</v>
      </c>
      <c r="BE44" s="6" t="e">
        <f t="shared" si="51"/>
        <v>#N/A</v>
      </c>
      <c r="BF44" s="5" t="e">
        <f t="shared" si="52"/>
        <v>#N/A</v>
      </c>
      <c r="BG44" s="6" t="e">
        <f t="shared" si="53"/>
        <v>#N/A</v>
      </c>
      <c r="BH44" s="7" t="e">
        <f t="shared" si="54"/>
        <v>#N/A</v>
      </c>
      <c r="BI44" s="6" t="e">
        <f t="shared" si="55"/>
        <v>#N/A</v>
      </c>
      <c r="BJ44" s="7" t="e">
        <f t="shared" si="56"/>
        <v>#N/A</v>
      </c>
      <c r="BK44" s="6" t="e">
        <f t="shared" si="57"/>
        <v>#N/A</v>
      </c>
      <c r="BL44" s="5" t="e">
        <f t="shared" si="58"/>
        <v>#N/A</v>
      </c>
      <c r="BM44" s="6" t="e">
        <f t="shared" si="59"/>
        <v>#N/A</v>
      </c>
      <c r="BN44" s="7" t="e">
        <f t="shared" si="60"/>
        <v>#N/A</v>
      </c>
      <c r="BO44" s="6" t="e">
        <f t="shared" si="61"/>
        <v>#N/A</v>
      </c>
      <c r="BP44" s="7" t="e">
        <f t="shared" si="62"/>
        <v>#N/A</v>
      </c>
      <c r="BQ44" s="6" t="e">
        <f t="shared" si="63"/>
        <v>#N/A</v>
      </c>
      <c r="BR44" s="5" t="e">
        <f t="shared" si="64"/>
        <v>#N/A</v>
      </c>
      <c r="BS44" s="6" t="e">
        <f t="shared" si="65"/>
        <v>#N/A</v>
      </c>
      <c r="BT44" s="7" t="e">
        <f t="shared" si="66"/>
        <v>#N/A</v>
      </c>
      <c r="BU44" s="6" t="e">
        <f t="shared" si="67"/>
        <v>#N/A</v>
      </c>
      <c r="BV44" s="7" t="e">
        <f t="shared" si="68"/>
        <v>#N/A</v>
      </c>
      <c r="BW44" s="6" t="e">
        <f t="shared" si="69"/>
        <v>#N/A</v>
      </c>
      <c r="BX44" s="5" t="e">
        <f t="shared" si="70"/>
        <v>#N/A</v>
      </c>
      <c r="BY44" s="6" t="e">
        <f t="shared" si="71"/>
        <v>#N/A</v>
      </c>
      <c r="BZ44" s="7" t="e">
        <f t="shared" si="72"/>
        <v>#N/A</v>
      </c>
      <c r="CA44" s="6" t="e">
        <f t="shared" si="73"/>
        <v>#N/A</v>
      </c>
      <c r="CB44" s="7" t="e">
        <f t="shared" si="74"/>
        <v>#N/A</v>
      </c>
      <c r="CC44" s="6" t="e">
        <f t="shared" si="75"/>
        <v>#N/A</v>
      </c>
      <c r="CD44" s="5" t="e">
        <f t="shared" si="76"/>
        <v>#N/A</v>
      </c>
      <c r="CE44" s="6" t="e">
        <f t="shared" si="77"/>
        <v>#N/A</v>
      </c>
      <c r="CF44" s="7" t="e">
        <f t="shared" si="78"/>
        <v>#N/A</v>
      </c>
      <c r="CG44" s="6" t="e">
        <f t="shared" si="79"/>
        <v>#N/A</v>
      </c>
      <c r="CH44" s="7" t="e">
        <f t="shared" si="80"/>
        <v>#N/A</v>
      </c>
      <c r="CI44" s="6" t="e">
        <f t="shared" si="81"/>
        <v>#N/A</v>
      </c>
      <c r="CJ44" s="5" t="e">
        <f t="shared" si="82"/>
        <v>#N/A</v>
      </c>
      <c r="CK44" s="6" t="e">
        <f t="shared" si="83"/>
        <v>#N/A</v>
      </c>
      <c r="CL44" s="7" t="e">
        <f t="shared" si="84"/>
        <v>#N/A</v>
      </c>
      <c r="CM44" s="6" t="e">
        <f t="shared" si="85"/>
        <v>#N/A</v>
      </c>
      <c r="CN44" s="7" t="e">
        <f t="shared" si="86"/>
        <v>#N/A</v>
      </c>
      <c r="CO44" s="6" t="e">
        <f t="shared" si="87"/>
        <v>#N/A</v>
      </c>
      <c r="CP44" s="5" t="e">
        <f t="shared" si="88"/>
        <v>#N/A</v>
      </c>
      <c r="CQ44" s="6" t="e">
        <f t="shared" si="89"/>
        <v>#N/A</v>
      </c>
      <c r="CR44" s="7" t="e">
        <f t="shared" si="90"/>
        <v>#N/A</v>
      </c>
      <c r="CS44" s="7" t="e">
        <f t="shared" si="90"/>
        <v>#N/A</v>
      </c>
      <c r="CT44" s="7" t="e">
        <f t="shared" si="90"/>
        <v>#N/A</v>
      </c>
      <c r="CU44" s="7" t="e">
        <f t="shared" si="90"/>
        <v>#N/A</v>
      </c>
      <c r="CV44" s="5" t="e">
        <f t="shared" si="91"/>
        <v>#N/A</v>
      </c>
      <c r="CW44" s="6" t="e">
        <f t="shared" si="92"/>
        <v>#N/A</v>
      </c>
      <c r="CY44" s="7" t="e">
        <v>#N/A</v>
      </c>
      <c r="CZ44" s="5" t="e">
        <f t="array" ref="CZ44">Summary_UpperBound</f>
        <v>#N/A</v>
      </c>
      <c r="DA44" s="6" t="e">
        <f t="shared" si="93"/>
        <v>#N/A</v>
      </c>
    </row>
    <row r="45" spans="2:105" x14ac:dyDescent="0.35">
      <c r="B45" s="14"/>
      <c r="E45" s="12" t="e" vm="2">
        <f t="shared" ca="1" si="94"/>
        <v>#VALUE!</v>
      </c>
      <c r="F45" s="7" t="e">
        <f t="shared" si="0"/>
        <v>#N/A</v>
      </c>
      <c r="G45" s="6" t="e">
        <f t="shared" si="1"/>
        <v>#N/A</v>
      </c>
      <c r="H45" s="7" t="e">
        <f t="shared" si="2"/>
        <v>#N/A</v>
      </c>
      <c r="I45" s="6" t="e">
        <f t="shared" si="3"/>
        <v>#N/A</v>
      </c>
      <c r="J45" s="5" t="e">
        <f t="shared" si="4"/>
        <v>#N/A</v>
      </c>
      <c r="K45" s="6" t="e">
        <f t="shared" si="5"/>
        <v>#N/A</v>
      </c>
      <c r="L45" s="7" t="e">
        <f t="shared" si="6"/>
        <v>#N/A</v>
      </c>
      <c r="M45" s="6" t="e">
        <f t="shared" si="7"/>
        <v>#N/A</v>
      </c>
      <c r="N45" s="7" t="e">
        <f t="shared" si="8"/>
        <v>#N/A</v>
      </c>
      <c r="O45" s="6" t="e">
        <f t="shared" si="9"/>
        <v>#N/A</v>
      </c>
      <c r="P45" s="5" t="e">
        <f t="shared" si="10"/>
        <v>#N/A</v>
      </c>
      <c r="Q45" s="6" t="e">
        <f t="shared" si="11"/>
        <v>#N/A</v>
      </c>
      <c r="R45" s="7" t="e">
        <f t="shared" si="12"/>
        <v>#N/A</v>
      </c>
      <c r="S45" s="6" t="e">
        <f t="shared" si="13"/>
        <v>#N/A</v>
      </c>
      <c r="T45" s="7" t="e">
        <f t="shared" si="14"/>
        <v>#N/A</v>
      </c>
      <c r="U45" s="6" t="e">
        <f t="shared" si="15"/>
        <v>#N/A</v>
      </c>
      <c r="V45" s="5" t="e">
        <f t="shared" si="16"/>
        <v>#N/A</v>
      </c>
      <c r="W45" s="6" t="e">
        <f t="shared" si="17"/>
        <v>#N/A</v>
      </c>
      <c r="X45" s="7" t="e">
        <f t="shared" si="18"/>
        <v>#N/A</v>
      </c>
      <c r="Y45" s="6" t="e">
        <f t="shared" si="19"/>
        <v>#N/A</v>
      </c>
      <c r="Z45" s="7" t="e">
        <f t="shared" si="20"/>
        <v>#N/A</v>
      </c>
      <c r="AA45" s="6" t="e">
        <f t="shared" si="21"/>
        <v>#N/A</v>
      </c>
      <c r="AB45" s="5" t="e">
        <f t="shared" si="22"/>
        <v>#N/A</v>
      </c>
      <c r="AC45" s="6" t="e">
        <f t="shared" si="23"/>
        <v>#N/A</v>
      </c>
      <c r="AD45" s="7" t="e">
        <f t="shared" si="24"/>
        <v>#N/A</v>
      </c>
      <c r="AE45" s="6" t="e">
        <f t="shared" si="25"/>
        <v>#N/A</v>
      </c>
      <c r="AF45" s="7" t="e">
        <f t="shared" si="26"/>
        <v>#N/A</v>
      </c>
      <c r="AG45" s="6" t="e">
        <f t="shared" si="27"/>
        <v>#N/A</v>
      </c>
      <c r="AH45" s="5" t="e">
        <f t="shared" si="28"/>
        <v>#N/A</v>
      </c>
      <c r="AI45" s="6" t="e">
        <f t="shared" si="29"/>
        <v>#N/A</v>
      </c>
      <c r="AJ45" s="7" t="e">
        <f t="shared" si="30"/>
        <v>#N/A</v>
      </c>
      <c r="AK45" s="6" t="e">
        <f t="shared" si="31"/>
        <v>#N/A</v>
      </c>
      <c r="AL45" s="7" t="e">
        <f t="shared" si="32"/>
        <v>#N/A</v>
      </c>
      <c r="AM45" s="6" t="e">
        <f t="shared" si="33"/>
        <v>#N/A</v>
      </c>
      <c r="AN45" s="5" t="e">
        <f t="shared" si="34"/>
        <v>#N/A</v>
      </c>
      <c r="AO45" s="6" t="e">
        <f t="shared" si="35"/>
        <v>#N/A</v>
      </c>
      <c r="AP45" s="7" t="e">
        <f t="shared" si="36"/>
        <v>#N/A</v>
      </c>
      <c r="AQ45" s="6" t="e">
        <f t="shared" si="37"/>
        <v>#N/A</v>
      </c>
      <c r="AR45" s="7" t="e">
        <f t="shared" si="38"/>
        <v>#N/A</v>
      </c>
      <c r="AS45" s="6" t="e">
        <f t="shared" si="39"/>
        <v>#N/A</v>
      </c>
      <c r="AT45" s="5" t="e">
        <f t="shared" si="40"/>
        <v>#N/A</v>
      </c>
      <c r="AU45" s="6" t="e">
        <f t="shared" si="41"/>
        <v>#N/A</v>
      </c>
      <c r="AV45" s="7" t="e">
        <f t="shared" si="42"/>
        <v>#N/A</v>
      </c>
      <c r="AW45" s="6" t="e">
        <f t="shared" si="43"/>
        <v>#N/A</v>
      </c>
      <c r="AX45" s="7" t="e">
        <f t="shared" si="44"/>
        <v>#N/A</v>
      </c>
      <c r="AY45" s="6" t="e">
        <f t="shared" si="45"/>
        <v>#N/A</v>
      </c>
      <c r="AZ45" s="5" t="e">
        <f t="shared" si="46"/>
        <v>#N/A</v>
      </c>
      <c r="BA45" s="6" t="e">
        <f t="shared" si="47"/>
        <v>#N/A</v>
      </c>
      <c r="BB45" s="7" t="e">
        <f t="shared" si="48"/>
        <v>#N/A</v>
      </c>
      <c r="BC45" s="6" t="e">
        <f t="shared" si="49"/>
        <v>#N/A</v>
      </c>
      <c r="BD45" s="7" t="e">
        <f t="shared" si="50"/>
        <v>#N/A</v>
      </c>
      <c r="BE45" s="6" t="e">
        <f t="shared" si="51"/>
        <v>#N/A</v>
      </c>
      <c r="BF45" s="5" t="e">
        <f t="shared" si="52"/>
        <v>#N/A</v>
      </c>
      <c r="BG45" s="6" t="e">
        <f t="shared" si="53"/>
        <v>#N/A</v>
      </c>
      <c r="BH45" s="7" t="e">
        <f t="shared" si="54"/>
        <v>#N/A</v>
      </c>
      <c r="BI45" s="6" t="e">
        <f t="shared" si="55"/>
        <v>#N/A</v>
      </c>
      <c r="BJ45" s="7" t="e">
        <f t="shared" si="56"/>
        <v>#N/A</v>
      </c>
      <c r="BK45" s="6" t="e">
        <f t="shared" si="57"/>
        <v>#N/A</v>
      </c>
      <c r="BL45" s="5" t="e">
        <f t="shared" si="58"/>
        <v>#N/A</v>
      </c>
      <c r="BM45" s="6" t="e">
        <f t="shared" si="59"/>
        <v>#N/A</v>
      </c>
      <c r="BN45" s="7" t="e">
        <f t="shared" si="60"/>
        <v>#N/A</v>
      </c>
      <c r="BO45" s="6" t="e">
        <f t="shared" si="61"/>
        <v>#N/A</v>
      </c>
      <c r="BP45" s="7" t="e">
        <f t="shared" si="62"/>
        <v>#N/A</v>
      </c>
      <c r="BQ45" s="6" t="e">
        <f t="shared" si="63"/>
        <v>#N/A</v>
      </c>
      <c r="BR45" s="5" t="e">
        <f t="shared" si="64"/>
        <v>#N/A</v>
      </c>
      <c r="BS45" s="6" t="e">
        <f t="shared" si="65"/>
        <v>#N/A</v>
      </c>
      <c r="BT45" s="7" t="e">
        <f t="shared" si="66"/>
        <v>#N/A</v>
      </c>
      <c r="BU45" s="6" t="e">
        <f t="shared" si="67"/>
        <v>#N/A</v>
      </c>
      <c r="BV45" s="7" t="e">
        <f t="shared" si="68"/>
        <v>#N/A</v>
      </c>
      <c r="BW45" s="6" t="e">
        <f t="shared" si="69"/>
        <v>#N/A</v>
      </c>
      <c r="BX45" s="5" t="e">
        <f t="shared" si="70"/>
        <v>#N/A</v>
      </c>
      <c r="BY45" s="6" t="e">
        <f t="shared" si="71"/>
        <v>#N/A</v>
      </c>
      <c r="BZ45" s="7" t="e">
        <f t="shared" si="72"/>
        <v>#N/A</v>
      </c>
      <c r="CA45" s="6" t="e">
        <f t="shared" si="73"/>
        <v>#N/A</v>
      </c>
      <c r="CB45" s="7" t="e">
        <f t="shared" si="74"/>
        <v>#N/A</v>
      </c>
      <c r="CC45" s="6" t="e">
        <f t="shared" si="75"/>
        <v>#N/A</v>
      </c>
      <c r="CD45" s="5" t="e">
        <f t="shared" si="76"/>
        <v>#N/A</v>
      </c>
      <c r="CE45" s="6" t="e">
        <f t="shared" si="77"/>
        <v>#N/A</v>
      </c>
      <c r="CF45" s="7" t="e">
        <f t="shared" si="78"/>
        <v>#N/A</v>
      </c>
      <c r="CG45" s="6" t="e">
        <f t="shared" si="79"/>
        <v>#N/A</v>
      </c>
      <c r="CH45" s="7" t="e">
        <f t="shared" si="80"/>
        <v>#N/A</v>
      </c>
      <c r="CI45" s="6" t="e">
        <f t="shared" si="81"/>
        <v>#N/A</v>
      </c>
      <c r="CJ45" s="5" t="e">
        <f t="shared" si="82"/>
        <v>#N/A</v>
      </c>
      <c r="CK45" s="6" t="e">
        <f t="shared" si="83"/>
        <v>#N/A</v>
      </c>
      <c r="CL45" s="7" t="e">
        <f t="shared" si="84"/>
        <v>#N/A</v>
      </c>
      <c r="CM45" s="6" t="e">
        <f t="shared" si="85"/>
        <v>#N/A</v>
      </c>
      <c r="CN45" s="7" t="e">
        <f t="shared" si="86"/>
        <v>#N/A</v>
      </c>
      <c r="CO45" s="6" t="e">
        <f t="shared" si="87"/>
        <v>#N/A</v>
      </c>
      <c r="CP45" s="5" t="e">
        <f t="shared" si="88"/>
        <v>#N/A</v>
      </c>
      <c r="CQ45" s="6" t="e">
        <f t="shared" si="89"/>
        <v>#N/A</v>
      </c>
      <c r="CR45" s="7" t="e">
        <f t="shared" si="90"/>
        <v>#N/A</v>
      </c>
      <c r="CS45" s="7" t="e">
        <f t="shared" si="90"/>
        <v>#N/A</v>
      </c>
      <c r="CT45" s="7" t="e">
        <f t="shared" si="90"/>
        <v>#N/A</v>
      </c>
      <c r="CU45" s="7" t="e">
        <f t="shared" si="90"/>
        <v>#N/A</v>
      </c>
      <c r="CV45" s="5" t="e">
        <f t="shared" si="91"/>
        <v>#N/A</v>
      </c>
      <c r="CW45" s="6" t="e">
        <f t="shared" si="92"/>
        <v>#N/A</v>
      </c>
      <c r="CY45" s="7" t="e">
        <v>#N/A</v>
      </c>
      <c r="CZ45" s="5" t="e">
        <f t="array" ref="CZ45">Summary_UpperBound</f>
        <v>#N/A</v>
      </c>
      <c r="DA45" s="6" t="e">
        <f t="shared" si="93"/>
        <v>#N/A</v>
      </c>
    </row>
    <row r="46" spans="2:105" x14ac:dyDescent="0.35">
      <c r="B46" s="14"/>
      <c r="E46" s="12" t="e" vm="2">
        <f t="shared" ca="1" si="94"/>
        <v>#VALUE!</v>
      </c>
      <c r="F46" s="7" t="e">
        <f t="shared" si="0"/>
        <v>#N/A</v>
      </c>
      <c r="G46" s="6" t="e">
        <f t="shared" si="1"/>
        <v>#N/A</v>
      </c>
      <c r="H46" s="7" t="e">
        <f t="shared" si="2"/>
        <v>#N/A</v>
      </c>
      <c r="I46" s="6" t="e">
        <f t="shared" si="3"/>
        <v>#N/A</v>
      </c>
      <c r="J46" s="5" t="e">
        <f t="shared" si="4"/>
        <v>#N/A</v>
      </c>
      <c r="K46" s="6" t="e">
        <f t="shared" si="5"/>
        <v>#N/A</v>
      </c>
      <c r="L46" s="7" t="e">
        <f t="shared" si="6"/>
        <v>#N/A</v>
      </c>
      <c r="M46" s="6" t="e">
        <f t="shared" si="7"/>
        <v>#N/A</v>
      </c>
      <c r="N46" s="7" t="e">
        <f t="shared" si="8"/>
        <v>#N/A</v>
      </c>
      <c r="O46" s="6" t="e">
        <f t="shared" si="9"/>
        <v>#N/A</v>
      </c>
      <c r="P46" s="5" t="e">
        <f t="shared" si="10"/>
        <v>#N/A</v>
      </c>
      <c r="Q46" s="6" t="e">
        <f t="shared" si="11"/>
        <v>#N/A</v>
      </c>
      <c r="R46" s="7" t="e">
        <f t="shared" si="12"/>
        <v>#N/A</v>
      </c>
      <c r="S46" s="6" t="e">
        <f t="shared" si="13"/>
        <v>#N/A</v>
      </c>
      <c r="T46" s="7" t="e">
        <f t="shared" si="14"/>
        <v>#N/A</v>
      </c>
      <c r="U46" s="6" t="e">
        <f t="shared" si="15"/>
        <v>#N/A</v>
      </c>
      <c r="V46" s="5" t="e">
        <f t="shared" si="16"/>
        <v>#N/A</v>
      </c>
      <c r="W46" s="6" t="e">
        <f t="shared" si="17"/>
        <v>#N/A</v>
      </c>
      <c r="X46" s="7" t="e">
        <f t="shared" si="18"/>
        <v>#N/A</v>
      </c>
      <c r="Y46" s="6" t="e">
        <f t="shared" si="19"/>
        <v>#N/A</v>
      </c>
      <c r="Z46" s="7" t="e">
        <f t="shared" si="20"/>
        <v>#N/A</v>
      </c>
      <c r="AA46" s="6" t="e">
        <f t="shared" si="21"/>
        <v>#N/A</v>
      </c>
      <c r="AB46" s="5" t="e">
        <f t="shared" si="22"/>
        <v>#N/A</v>
      </c>
      <c r="AC46" s="6" t="e">
        <f t="shared" si="23"/>
        <v>#N/A</v>
      </c>
      <c r="AD46" s="7" t="e">
        <f t="shared" si="24"/>
        <v>#N/A</v>
      </c>
      <c r="AE46" s="6" t="e">
        <f t="shared" si="25"/>
        <v>#N/A</v>
      </c>
      <c r="AF46" s="7" t="e">
        <f t="shared" si="26"/>
        <v>#N/A</v>
      </c>
      <c r="AG46" s="6" t="e">
        <f t="shared" si="27"/>
        <v>#N/A</v>
      </c>
      <c r="AH46" s="5" t="e">
        <f t="shared" si="28"/>
        <v>#N/A</v>
      </c>
      <c r="AI46" s="6" t="e">
        <f t="shared" si="29"/>
        <v>#N/A</v>
      </c>
      <c r="AJ46" s="7" t="e">
        <f t="shared" si="30"/>
        <v>#N/A</v>
      </c>
      <c r="AK46" s="6" t="e">
        <f t="shared" si="31"/>
        <v>#N/A</v>
      </c>
      <c r="AL46" s="7" t="e">
        <f t="shared" si="32"/>
        <v>#N/A</v>
      </c>
      <c r="AM46" s="6" t="e">
        <f t="shared" si="33"/>
        <v>#N/A</v>
      </c>
      <c r="AN46" s="5" t="e">
        <f t="shared" si="34"/>
        <v>#N/A</v>
      </c>
      <c r="AO46" s="6" t="e">
        <f t="shared" si="35"/>
        <v>#N/A</v>
      </c>
      <c r="AP46" s="7" t="e">
        <f t="shared" si="36"/>
        <v>#N/A</v>
      </c>
      <c r="AQ46" s="6" t="e">
        <f t="shared" si="37"/>
        <v>#N/A</v>
      </c>
      <c r="AR46" s="7" t="e">
        <f t="shared" si="38"/>
        <v>#N/A</v>
      </c>
      <c r="AS46" s="6" t="e">
        <f t="shared" si="39"/>
        <v>#N/A</v>
      </c>
      <c r="AT46" s="5" t="e">
        <f t="shared" si="40"/>
        <v>#N/A</v>
      </c>
      <c r="AU46" s="6" t="e">
        <f t="shared" si="41"/>
        <v>#N/A</v>
      </c>
      <c r="AV46" s="7" t="e">
        <f t="shared" si="42"/>
        <v>#N/A</v>
      </c>
      <c r="AW46" s="6" t="e">
        <f t="shared" si="43"/>
        <v>#N/A</v>
      </c>
      <c r="AX46" s="7" t="e">
        <f t="shared" si="44"/>
        <v>#N/A</v>
      </c>
      <c r="AY46" s="6" t="e">
        <f t="shared" si="45"/>
        <v>#N/A</v>
      </c>
      <c r="AZ46" s="5" t="e">
        <f t="shared" si="46"/>
        <v>#N/A</v>
      </c>
      <c r="BA46" s="6" t="e">
        <f t="shared" si="47"/>
        <v>#N/A</v>
      </c>
      <c r="BB46" s="7" t="e">
        <f t="shared" si="48"/>
        <v>#N/A</v>
      </c>
      <c r="BC46" s="6" t="e">
        <f t="shared" si="49"/>
        <v>#N/A</v>
      </c>
      <c r="BD46" s="7" t="e">
        <f t="shared" si="50"/>
        <v>#N/A</v>
      </c>
      <c r="BE46" s="6" t="e">
        <f t="shared" si="51"/>
        <v>#N/A</v>
      </c>
      <c r="BF46" s="5" t="e">
        <f t="shared" si="52"/>
        <v>#N/A</v>
      </c>
      <c r="BG46" s="6" t="e">
        <f t="shared" si="53"/>
        <v>#N/A</v>
      </c>
      <c r="BH46" s="7" t="e">
        <f t="shared" si="54"/>
        <v>#N/A</v>
      </c>
      <c r="BI46" s="6" t="e">
        <f t="shared" si="55"/>
        <v>#N/A</v>
      </c>
      <c r="BJ46" s="7" t="e">
        <f t="shared" si="56"/>
        <v>#N/A</v>
      </c>
      <c r="BK46" s="6" t="e">
        <f t="shared" si="57"/>
        <v>#N/A</v>
      </c>
      <c r="BL46" s="5" t="e">
        <f t="shared" si="58"/>
        <v>#N/A</v>
      </c>
      <c r="BM46" s="6" t="e">
        <f t="shared" si="59"/>
        <v>#N/A</v>
      </c>
      <c r="BN46" s="7" t="e">
        <f t="shared" si="60"/>
        <v>#N/A</v>
      </c>
      <c r="BO46" s="6" t="e">
        <f t="shared" si="61"/>
        <v>#N/A</v>
      </c>
      <c r="BP46" s="7" t="e">
        <f t="shared" si="62"/>
        <v>#N/A</v>
      </c>
      <c r="BQ46" s="6" t="e">
        <f t="shared" si="63"/>
        <v>#N/A</v>
      </c>
      <c r="BR46" s="5" t="e">
        <f t="shared" si="64"/>
        <v>#N/A</v>
      </c>
      <c r="BS46" s="6" t="e">
        <f t="shared" si="65"/>
        <v>#N/A</v>
      </c>
      <c r="BT46" s="7" t="e">
        <f t="shared" si="66"/>
        <v>#N/A</v>
      </c>
      <c r="BU46" s="6" t="e">
        <f t="shared" si="67"/>
        <v>#N/A</v>
      </c>
      <c r="BV46" s="7" t="e">
        <f t="shared" si="68"/>
        <v>#N/A</v>
      </c>
      <c r="BW46" s="6" t="e">
        <f t="shared" si="69"/>
        <v>#N/A</v>
      </c>
      <c r="BX46" s="5" t="e">
        <f t="shared" si="70"/>
        <v>#N/A</v>
      </c>
      <c r="BY46" s="6" t="e">
        <f t="shared" si="71"/>
        <v>#N/A</v>
      </c>
      <c r="BZ46" s="7" t="e">
        <f t="shared" si="72"/>
        <v>#N/A</v>
      </c>
      <c r="CA46" s="6" t="e">
        <f t="shared" si="73"/>
        <v>#N/A</v>
      </c>
      <c r="CB46" s="7" t="e">
        <f t="shared" si="74"/>
        <v>#N/A</v>
      </c>
      <c r="CC46" s="6" t="e">
        <f t="shared" si="75"/>
        <v>#N/A</v>
      </c>
      <c r="CD46" s="5" t="e">
        <f t="shared" si="76"/>
        <v>#N/A</v>
      </c>
      <c r="CE46" s="6" t="e">
        <f t="shared" si="77"/>
        <v>#N/A</v>
      </c>
      <c r="CF46" s="7" t="e">
        <f t="shared" si="78"/>
        <v>#N/A</v>
      </c>
      <c r="CG46" s="6" t="e">
        <f t="shared" si="79"/>
        <v>#N/A</v>
      </c>
      <c r="CH46" s="7" t="e">
        <f t="shared" si="80"/>
        <v>#N/A</v>
      </c>
      <c r="CI46" s="6" t="e">
        <f t="shared" si="81"/>
        <v>#N/A</v>
      </c>
      <c r="CJ46" s="5" t="e">
        <f t="shared" si="82"/>
        <v>#N/A</v>
      </c>
      <c r="CK46" s="6" t="e">
        <f t="shared" si="83"/>
        <v>#N/A</v>
      </c>
      <c r="CL46" s="7" t="e">
        <f t="shared" si="84"/>
        <v>#N/A</v>
      </c>
      <c r="CM46" s="6" t="e">
        <f t="shared" si="85"/>
        <v>#N/A</v>
      </c>
      <c r="CN46" s="7" t="e">
        <f t="shared" si="86"/>
        <v>#N/A</v>
      </c>
      <c r="CO46" s="6" t="e">
        <f t="shared" si="87"/>
        <v>#N/A</v>
      </c>
      <c r="CP46" s="5" t="e">
        <f t="shared" si="88"/>
        <v>#N/A</v>
      </c>
      <c r="CQ46" s="6" t="e">
        <f t="shared" si="89"/>
        <v>#N/A</v>
      </c>
      <c r="CR46" s="7" t="e">
        <f t="shared" si="90"/>
        <v>#N/A</v>
      </c>
      <c r="CS46" s="7" t="e">
        <f t="shared" si="90"/>
        <v>#N/A</v>
      </c>
      <c r="CT46" s="7" t="e">
        <f t="shared" si="90"/>
        <v>#N/A</v>
      </c>
      <c r="CU46" s="7" t="e">
        <f t="shared" si="90"/>
        <v>#N/A</v>
      </c>
      <c r="CV46" s="5" t="e">
        <f t="shared" si="91"/>
        <v>#N/A</v>
      </c>
      <c r="CW46" s="6" t="e">
        <f t="shared" si="92"/>
        <v>#N/A</v>
      </c>
      <c r="CY46" s="7" t="e">
        <v>#N/A</v>
      </c>
      <c r="CZ46" s="5" t="e">
        <f t="array" ref="CZ46">Summary_UpperBound</f>
        <v>#N/A</v>
      </c>
      <c r="DA46" s="6" t="e">
        <f t="shared" si="93"/>
        <v>#N/A</v>
      </c>
    </row>
    <row r="47" spans="2:105" x14ac:dyDescent="0.35">
      <c r="B47" s="14"/>
      <c r="E47" s="12" t="e" vm="2">
        <f t="shared" ca="1" si="94"/>
        <v>#VALUE!</v>
      </c>
      <c r="F47" s="7" t="e">
        <f t="shared" si="0"/>
        <v>#N/A</v>
      </c>
      <c r="G47" s="6" t="e">
        <f t="shared" si="1"/>
        <v>#N/A</v>
      </c>
      <c r="H47" s="7" t="e">
        <f t="shared" si="2"/>
        <v>#N/A</v>
      </c>
      <c r="I47" s="6" t="e">
        <f t="shared" si="3"/>
        <v>#N/A</v>
      </c>
      <c r="J47" s="5" t="e">
        <f t="shared" si="4"/>
        <v>#N/A</v>
      </c>
      <c r="K47" s="6" t="e">
        <f t="shared" si="5"/>
        <v>#N/A</v>
      </c>
      <c r="L47" s="7" t="e">
        <f t="shared" si="6"/>
        <v>#N/A</v>
      </c>
      <c r="M47" s="6" t="e">
        <f t="shared" si="7"/>
        <v>#N/A</v>
      </c>
      <c r="N47" s="7" t="e">
        <f t="shared" si="8"/>
        <v>#N/A</v>
      </c>
      <c r="O47" s="6" t="e">
        <f t="shared" si="9"/>
        <v>#N/A</v>
      </c>
      <c r="P47" s="5" t="e">
        <f t="shared" si="10"/>
        <v>#N/A</v>
      </c>
      <c r="Q47" s="6" t="e">
        <f t="shared" si="11"/>
        <v>#N/A</v>
      </c>
      <c r="R47" s="7" t="e">
        <f t="shared" si="12"/>
        <v>#N/A</v>
      </c>
      <c r="S47" s="6" t="e">
        <f t="shared" si="13"/>
        <v>#N/A</v>
      </c>
      <c r="T47" s="7" t="e">
        <f t="shared" si="14"/>
        <v>#N/A</v>
      </c>
      <c r="U47" s="6" t="e">
        <f t="shared" si="15"/>
        <v>#N/A</v>
      </c>
      <c r="V47" s="5" t="e">
        <f t="shared" si="16"/>
        <v>#N/A</v>
      </c>
      <c r="W47" s="6" t="e">
        <f t="shared" si="17"/>
        <v>#N/A</v>
      </c>
      <c r="X47" s="7" t="e">
        <f t="shared" si="18"/>
        <v>#N/A</v>
      </c>
      <c r="Y47" s="6" t="e">
        <f t="shared" si="19"/>
        <v>#N/A</v>
      </c>
      <c r="Z47" s="7" t="e">
        <f t="shared" si="20"/>
        <v>#N/A</v>
      </c>
      <c r="AA47" s="6" t="e">
        <f t="shared" si="21"/>
        <v>#N/A</v>
      </c>
      <c r="AB47" s="5" t="e">
        <f t="shared" si="22"/>
        <v>#N/A</v>
      </c>
      <c r="AC47" s="6" t="e">
        <f t="shared" si="23"/>
        <v>#N/A</v>
      </c>
      <c r="AD47" s="7" t="e">
        <f t="shared" si="24"/>
        <v>#N/A</v>
      </c>
      <c r="AE47" s="6" t="e">
        <f t="shared" si="25"/>
        <v>#N/A</v>
      </c>
      <c r="AF47" s="7" t="e">
        <f t="shared" si="26"/>
        <v>#N/A</v>
      </c>
      <c r="AG47" s="6" t="e">
        <f t="shared" si="27"/>
        <v>#N/A</v>
      </c>
      <c r="AH47" s="5" t="e">
        <f t="shared" si="28"/>
        <v>#N/A</v>
      </c>
      <c r="AI47" s="6" t="e">
        <f t="shared" si="29"/>
        <v>#N/A</v>
      </c>
      <c r="AJ47" s="7" t="e">
        <f t="shared" si="30"/>
        <v>#N/A</v>
      </c>
      <c r="AK47" s="6" t="e">
        <f t="shared" si="31"/>
        <v>#N/A</v>
      </c>
      <c r="AL47" s="7" t="e">
        <f t="shared" si="32"/>
        <v>#N/A</v>
      </c>
      <c r="AM47" s="6" t="e">
        <f t="shared" si="33"/>
        <v>#N/A</v>
      </c>
      <c r="AN47" s="5" t="e">
        <f t="shared" si="34"/>
        <v>#N/A</v>
      </c>
      <c r="AO47" s="6" t="e">
        <f t="shared" si="35"/>
        <v>#N/A</v>
      </c>
      <c r="AP47" s="7" t="e">
        <f t="shared" si="36"/>
        <v>#N/A</v>
      </c>
      <c r="AQ47" s="6" t="e">
        <f t="shared" si="37"/>
        <v>#N/A</v>
      </c>
      <c r="AR47" s="7" t="e">
        <f t="shared" si="38"/>
        <v>#N/A</v>
      </c>
      <c r="AS47" s="6" t="e">
        <f t="shared" si="39"/>
        <v>#N/A</v>
      </c>
      <c r="AT47" s="5" t="e">
        <f t="shared" si="40"/>
        <v>#N/A</v>
      </c>
      <c r="AU47" s="6" t="e">
        <f t="shared" si="41"/>
        <v>#N/A</v>
      </c>
      <c r="AV47" s="7" t="e">
        <f t="shared" si="42"/>
        <v>#N/A</v>
      </c>
      <c r="AW47" s="6" t="e">
        <f t="shared" si="43"/>
        <v>#N/A</v>
      </c>
      <c r="AX47" s="7" t="e">
        <f t="shared" si="44"/>
        <v>#N/A</v>
      </c>
      <c r="AY47" s="6" t="e">
        <f t="shared" si="45"/>
        <v>#N/A</v>
      </c>
      <c r="AZ47" s="5" t="e">
        <f t="shared" si="46"/>
        <v>#N/A</v>
      </c>
      <c r="BA47" s="6" t="e">
        <f t="shared" si="47"/>
        <v>#N/A</v>
      </c>
      <c r="BB47" s="7" t="e">
        <f t="shared" si="48"/>
        <v>#N/A</v>
      </c>
      <c r="BC47" s="6" t="e">
        <f t="shared" si="49"/>
        <v>#N/A</v>
      </c>
      <c r="BD47" s="7" t="e">
        <f t="shared" si="50"/>
        <v>#N/A</v>
      </c>
      <c r="BE47" s="6" t="e">
        <f t="shared" si="51"/>
        <v>#N/A</v>
      </c>
      <c r="BF47" s="5" t="e">
        <f t="shared" si="52"/>
        <v>#N/A</v>
      </c>
      <c r="BG47" s="6" t="e">
        <f t="shared" si="53"/>
        <v>#N/A</v>
      </c>
      <c r="BH47" s="7" t="e">
        <f t="shared" si="54"/>
        <v>#N/A</v>
      </c>
      <c r="BI47" s="6" t="e">
        <f t="shared" si="55"/>
        <v>#N/A</v>
      </c>
      <c r="BJ47" s="7" t="e">
        <f t="shared" si="56"/>
        <v>#N/A</v>
      </c>
      <c r="BK47" s="6" t="e">
        <f t="shared" si="57"/>
        <v>#N/A</v>
      </c>
      <c r="BL47" s="5" t="e">
        <f t="shared" si="58"/>
        <v>#N/A</v>
      </c>
      <c r="BM47" s="6" t="e">
        <f t="shared" si="59"/>
        <v>#N/A</v>
      </c>
      <c r="BN47" s="7" t="e">
        <f t="shared" si="60"/>
        <v>#N/A</v>
      </c>
      <c r="BO47" s="6" t="e">
        <f t="shared" si="61"/>
        <v>#N/A</v>
      </c>
      <c r="BP47" s="7" t="e">
        <f t="shared" si="62"/>
        <v>#N/A</v>
      </c>
      <c r="BQ47" s="6" t="e">
        <f t="shared" si="63"/>
        <v>#N/A</v>
      </c>
      <c r="BR47" s="5" t="e">
        <f t="shared" si="64"/>
        <v>#N/A</v>
      </c>
      <c r="BS47" s="6" t="e">
        <f t="shared" si="65"/>
        <v>#N/A</v>
      </c>
      <c r="BT47" s="7" t="e">
        <f t="shared" si="66"/>
        <v>#N/A</v>
      </c>
      <c r="BU47" s="6" t="e">
        <f t="shared" si="67"/>
        <v>#N/A</v>
      </c>
      <c r="BV47" s="7" t="e">
        <f t="shared" si="68"/>
        <v>#N/A</v>
      </c>
      <c r="BW47" s="6" t="e">
        <f t="shared" si="69"/>
        <v>#N/A</v>
      </c>
      <c r="BX47" s="5" t="e">
        <f t="shared" si="70"/>
        <v>#N/A</v>
      </c>
      <c r="BY47" s="6" t="e">
        <f t="shared" si="71"/>
        <v>#N/A</v>
      </c>
      <c r="BZ47" s="7" t="e">
        <f t="shared" si="72"/>
        <v>#N/A</v>
      </c>
      <c r="CA47" s="6" t="e">
        <f t="shared" si="73"/>
        <v>#N/A</v>
      </c>
      <c r="CB47" s="7" t="e">
        <f t="shared" si="74"/>
        <v>#N/A</v>
      </c>
      <c r="CC47" s="6" t="e">
        <f t="shared" si="75"/>
        <v>#N/A</v>
      </c>
      <c r="CD47" s="5" t="e">
        <f t="shared" si="76"/>
        <v>#N/A</v>
      </c>
      <c r="CE47" s="6" t="e">
        <f t="shared" si="77"/>
        <v>#N/A</v>
      </c>
      <c r="CF47" s="7" t="e">
        <f t="shared" si="78"/>
        <v>#N/A</v>
      </c>
      <c r="CG47" s="6" t="e">
        <f t="shared" si="79"/>
        <v>#N/A</v>
      </c>
      <c r="CH47" s="7" t="e">
        <f t="shared" si="80"/>
        <v>#N/A</v>
      </c>
      <c r="CI47" s="6" t="e">
        <f t="shared" si="81"/>
        <v>#N/A</v>
      </c>
      <c r="CJ47" s="5" t="e">
        <f t="shared" si="82"/>
        <v>#N/A</v>
      </c>
      <c r="CK47" s="6" t="e">
        <f t="shared" si="83"/>
        <v>#N/A</v>
      </c>
      <c r="CL47" s="7" t="e">
        <f t="shared" si="84"/>
        <v>#N/A</v>
      </c>
      <c r="CM47" s="6" t="e">
        <f t="shared" si="85"/>
        <v>#N/A</v>
      </c>
      <c r="CN47" s="7" t="e">
        <f t="shared" si="86"/>
        <v>#N/A</v>
      </c>
      <c r="CO47" s="6" t="e">
        <f t="shared" si="87"/>
        <v>#N/A</v>
      </c>
      <c r="CP47" s="5" t="e">
        <f t="shared" si="88"/>
        <v>#N/A</v>
      </c>
      <c r="CQ47" s="6" t="e">
        <f t="shared" si="89"/>
        <v>#N/A</v>
      </c>
      <c r="CR47" s="7" t="e">
        <f t="shared" si="90"/>
        <v>#N/A</v>
      </c>
      <c r="CS47" s="7" t="e">
        <f t="shared" si="90"/>
        <v>#N/A</v>
      </c>
      <c r="CT47" s="7" t="e">
        <f t="shared" si="90"/>
        <v>#N/A</v>
      </c>
      <c r="CU47" s="7" t="e">
        <f t="shared" si="90"/>
        <v>#N/A</v>
      </c>
      <c r="CV47" s="5" t="e">
        <f t="shared" si="91"/>
        <v>#N/A</v>
      </c>
      <c r="CW47" s="6" t="e">
        <f t="shared" si="92"/>
        <v>#N/A</v>
      </c>
      <c r="CY47" s="7" t="e">
        <v>#N/A</v>
      </c>
      <c r="CZ47" s="5" t="e">
        <f t="array" ref="CZ47">Summary_UpperBound</f>
        <v>#N/A</v>
      </c>
      <c r="DA47" s="6" t="e">
        <f t="shared" si="93"/>
        <v>#N/A</v>
      </c>
    </row>
    <row r="48" spans="2:105" x14ac:dyDescent="0.35">
      <c r="B48" s="14"/>
      <c r="E48" s="12" t="e" vm="2">
        <f t="shared" ca="1" si="94"/>
        <v>#VALUE!</v>
      </c>
      <c r="F48" s="7" t="e">
        <f t="shared" si="0"/>
        <v>#N/A</v>
      </c>
      <c r="G48" s="6" t="e">
        <f t="shared" si="1"/>
        <v>#N/A</v>
      </c>
      <c r="H48" s="7" t="e">
        <f t="shared" si="2"/>
        <v>#N/A</v>
      </c>
      <c r="I48" s="6" t="e">
        <f t="shared" si="3"/>
        <v>#N/A</v>
      </c>
      <c r="J48" s="5" t="e">
        <f t="shared" si="4"/>
        <v>#N/A</v>
      </c>
      <c r="K48" s="6" t="e">
        <f t="shared" si="5"/>
        <v>#N/A</v>
      </c>
      <c r="L48" s="7" t="e">
        <f t="shared" si="6"/>
        <v>#N/A</v>
      </c>
      <c r="M48" s="6" t="e">
        <f t="shared" si="7"/>
        <v>#N/A</v>
      </c>
      <c r="N48" s="7" t="e">
        <f t="shared" si="8"/>
        <v>#N/A</v>
      </c>
      <c r="O48" s="6" t="e">
        <f t="shared" si="9"/>
        <v>#N/A</v>
      </c>
      <c r="P48" s="5" t="e">
        <f t="shared" si="10"/>
        <v>#N/A</v>
      </c>
      <c r="Q48" s="6" t="e">
        <f t="shared" si="11"/>
        <v>#N/A</v>
      </c>
      <c r="R48" s="7" t="e">
        <f t="shared" si="12"/>
        <v>#N/A</v>
      </c>
      <c r="S48" s="6" t="e">
        <f t="shared" si="13"/>
        <v>#N/A</v>
      </c>
      <c r="T48" s="7" t="e">
        <f t="shared" si="14"/>
        <v>#N/A</v>
      </c>
      <c r="U48" s="6" t="e">
        <f t="shared" si="15"/>
        <v>#N/A</v>
      </c>
      <c r="V48" s="5" t="e">
        <f t="shared" si="16"/>
        <v>#N/A</v>
      </c>
      <c r="W48" s="6" t="e">
        <f t="shared" si="17"/>
        <v>#N/A</v>
      </c>
      <c r="X48" s="7" t="e">
        <f t="shared" si="18"/>
        <v>#N/A</v>
      </c>
      <c r="Y48" s="6" t="e">
        <f t="shared" si="19"/>
        <v>#N/A</v>
      </c>
      <c r="Z48" s="7" t="e">
        <f t="shared" si="20"/>
        <v>#N/A</v>
      </c>
      <c r="AA48" s="6" t="e">
        <f t="shared" si="21"/>
        <v>#N/A</v>
      </c>
      <c r="AB48" s="5" t="e">
        <f t="shared" si="22"/>
        <v>#N/A</v>
      </c>
      <c r="AC48" s="6" t="e">
        <f t="shared" si="23"/>
        <v>#N/A</v>
      </c>
      <c r="AD48" s="7" t="e">
        <f t="shared" si="24"/>
        <v>#N/A</v>
      </c>
      <c r="AE48" s="6" t="e">
        <f t="shared" si="25"/>
        <v>#N/A</v>
      </c>
      <c r="AF48" s="7" t="e">
        <f t="shared" si="26"/>
        <v>#N/A</v>
      </c>
      <c r="AG48" s="6" t="e">
        <f t="shared" si="27"/>
        <v>#N/A</v>
      </c>
      <c r="AH48" s="5" t="e">
        <f t="shared" si="28"/>
        <v>#N/A</v>
      </c>
      <c r="AI48" s="6" t="e">
        <f t="shared" si="29"/>
        <v>#N/A</v>
      </c>
      <c r="AJ48" s="7" t="e">
        <f t="shared" si="30"/>
        <v>#N/A</v>
      </c>
      <c r="AK48" s="6" t="e">
        <f t="shared" si="31"/>
        <v>#N/A</v>
      </c>
      <c r="AL48" s="7" t="e">
        <f t="shared" si="32"/>
        <v>#N/A</v>
      </c>
      <c r="AM48" s="6" t="e">
        <f t="shared" si="33"/>
        <v>#N/A</v>
      </c>
      <c r="AN48" s="5" t="e">
        <f t="shared" si="34"/>
        <v>#N/A</v>
      </c>
      <c r="AO48" s="6" t="e">
        <f t="shared" si="35"/>
        <v>#N/A</v>
      </c>
      <c r="AP48" s="7" t="e">
        <f t="shared" si="36"/>
        <v>#N/A</v>
      </c>
      <c r="AQ48" s="6" t="e">
        <f t="shared" si="37"/>
        <v>#N/A</v>
      </c>
      <c r="AR48" s="7" t="e">
        <f t="shared" si="38"/>
        <v>#N/A</v>
      </c>
      <c r="AS48" s="6" t="e">
        <f t="shared" si="39"/>
        <v>#N/A</v>
      </c>
      <c r="AT48" s="5" t="e">
        <f t="shared" si="40"/>
        <v>#N/A</v>
      </c>
      <c r="AU48" s="6" t="e">
        <f t="shared" si="41"/>
        <v>#N/A</v>
      </c>
      <c r="AV48" s="7" t="e">
        <f t="shared" si="42"/>
        <v>#N/A</v>
      </c>
      <c r="AW48" s="6" t="e">
        <f t="shared" si="43"/>
        <v>#N/A</v>
      </c>
      <c r="AX48" s="7" t="e">
        <f t="shared" si="44"/>
        <v>#N/A</v>
      </c>
      <c r="AY48" s="6" t="e">
        <f t="shared" si="45"/>
        <v>#N/A</v>
      </c>
      <c r="AZ48" s="5" t="e">
        <f t="shared" si="46"/>
        <v>#N/A</v>
      </c>
      <c r="BA48" s="6" t="e">
        <f t="shared" si="47"/>
        <v>#N/A</v>
      </c>
      <c r="BB48" s="7" t="e">
        <f t="shared" si="48"/>
        <v>#N/A</v>
      </c>
      <c r="BC48" s="6" t="e">
        <f t="shared" si="49"/>
        <v>#N/A</v>
      </c>
      <c r="BD48" s="7" t="e">
        <f t="shared" si="50"/>
        <v>#N/A</v>
      </c>
      <c r="BE48" s="6" t="e">
        <f t="shared" si="51"/>
        <v>#N/A</v>
      </c>
      <c r="BF48" s="5" t="e">
        <f t="shared" si="52"/>
        <v>#N/A</v>
      </c>
      <c r="BG48" s="6" t="e">
        <f t="shared" si="53"/>
        <v>#N/A</v>
      </c>
      <c r="BH48" s="7" t="e">
        <f t="shared" si="54"/>
        <v>#N/A</v>
      </c>
      <c r="BI48" s="6" t="e">
        <f t="shared" si="55"/>
        <v>#N/A</v>
      </c>
      <c r="BJ48" s="7" t="e">
        <f t="shared" si="56"/>
        <v>#N/A</v>
      </c>
      <c r="BK48" s="6" t="e">
        <f t="shared" si="57"/>
        <v>#N/A</v>
      </c>
      <c r="BL48" s="5" t="e">
        <f t="shared" si="58"/>
        <v>#N/A</v>
      </c>
      <c r="BM48" s="6" t="e">
        <f t="shared" si="59"/>
        <v>#N/A</v>
      </c>
      <c r="BN48" s="7" t="e">
        <f t="shared" si="60"/>
        <v>#N/A</v>
      </c>
      <c r="BO48" s="6" t="e">
        <f t="shared" si="61"/>
        <v>#N/A</v>
      </c>
      <c r="BP48" s="7" t="e">
        <f t="shared" si="62"/>
        <v>#N/A</v>
      </c>
      <c r="BQ48" s="6" t="e">
        <f t="shared" si="63"/>
        <v>#N/A</v>
      </c>
      <c r="BR48" s="5" t="e">
        <f t="shared" si="64"/>
        <v>#N/A</v>
      </c>
      <c r="BS48" s="6" t="e">
        <f t="shared" si="65"/>
        <v>#N/A</v>
      </c>
      <c r="BT48" s="7" t="e">
        <f t="shared" si="66"/>
        <v>#N/A</v>
      </c>
      <c r="BU48" s="6" t="e">
        <f t="shared" si="67"/>
        <v>#N/A</v>
      </c>
      <c r="BV48" s="7" t="e">
        <f t="shared" si="68"/>
        <v>#N/A</v>
      </c>
      <c r="BW48" s="6" t="e">
        <f t="shared" si="69"/>
        <v>#N/A</v>
      </c>
      <c r="BX48" s="5" t="e">
        <f t="shared" si="70"/>
        <v>#N/A</v>
      </c>
      <c r="BY48" s="6" t="e">
        <f t="shared" si="71"/>
        <v>#N/A</v>
      </c>
      <c r="BZ48" s="7" t="e">
        <f t="shared" si="72"/>
        <v>#N/A</v>
      </c>
      <c r="CA48" s="6" t="e">
        <f t="shared" si="73"/>
        <v>#N/A</v>
      </c>
      <c r="CB48" s="7" t="e">
        <f t="shared" si="74"/>
        <v>#N/A</v>
      </c>
      <c r="CC48" s="6" t="e">
        <f t="shared" si="75"/>
        <v>#N/A</v>
      </c>
      <c r="CD48" s="5" t="e">
        <f t="shared" si="76"/>
        <v>#N/A</v>
      </c>
      <c r="CE48" s="6" t="e">
        <f t="shared" si="77"/>
        <v>#N/A</v>
      </c>
      <c r="CF48" s="7" t="e">
        <f t="shared" si="78"/>
        <v>#N/A</v>
      </c>
      <c r="CG48" s="6" t="e">
        <f t="shared" si="79"/>
        <v>#N/A</v>
      </c>
      <c r="CH48" s="7" t="e">
        <f t="shared" si="80"/>
        <v>#N/A</v>
      </c>
      <c r="CI48" s="6" t="e">
        <f t="shared" si="81"/>
        <v>#N/A</v>
      </c>
      <c r="CJ48" s="5" t="e">
        <f t="shared" si="82"/>
        <v>#N/A</v>
      </c>
      <c r="CK48" s="6" t="e">
        <f t="shared" si="83"/>
        <v>#N/A</v>
      </c>
      <c r="CL48" s="7" t="e">
        <f t="shared" si="84"/>
        <v>#N/A</v>
      </c>
      <c r="CM48" s="6" t="e">
        <f t="shared" si="85"/>
        <v>#N/A</v>
      </c>
      <c r="CN48" s="7" t="e">
        <f t="shared" si="86"/>
        <v>#N/A</v>
      </c>
      <c r="CO48" s="6" t="e">
        <f t="shared" si="87"/>
        <v>#N/A</v>
      </c>
      <c r="CP48" s="5" t="e">
        <f t="shared" si="88"/>
        <v>#N/A</v>
      </c>
      <c r="CQ48" s="6" t="e">
        <f t="shared" si="89"/>
        <v>#N/A</v>
      </c>
      <c r="CR48" s="7" t="e">
        <f t="shared" si="90"/>
        <v>#N/A</v>
      </c>
      <c r="CS48" s="7" t="e">
        <f t="shared" si="90"/>
        <v>#N/A</v>
      </c>
      <c r="CT48" s="7" t="e">
        <f t="shared" si="90"/>
        <v>#N/A</v>
      </c>
      <c r="CU48" s="7" t="e">
        <f t="shared" si="90"/>
        <v>#N/A</v>
      </c>
      <c r="CV48" s="5" t="e">
        <f t="shared" si="91"/>
        <v>#N/A</v>
      </c>
      <c r="CW48" s="6" t="e">
        <f t="shared" si="92"/>
        <v>#N/A</v>
      </c>
      <c r="CY48" s="7" t="e">
        <v>#N/A</v>
      </c>
      <c r="CZ48" s="5" t="e">
        <f t="array" ref="CZ48">Summary_UpperBound</f>
        <v>#N/A</v>
      </c>
      <c r="DA48" s="6" t="e">
        <f t="shared" si="93"/>
        <v>#N/A</v>
      </c>
    </row>
    <row r="49" spans="2:105" x14ac:dyDescent="0.35">
      <c r="B49" s="14"/>
      <c r="E49" s="12" t="e" vm="2">
        <f t="shared" ca="1" si="94"/>
        <v>#VALUE!</v>
      </c>
      <c r="F49" s="7" t="e">
        <f t="shared" si="0"/>
        <v>#N/A</v>
      </c>
      <c r="G49" s="6" t="e">
        <f t="shared" si="1"/>
        <v>#N/A</v>
      </c>
      <c r="H49" s="7" t="e">
        <f t="shared" si="2"/>
        <v>#N/A</v>
      </c>
      <c r="I49" s="6" t="e">
        <f t="shared" si="3"/>
        <v>#N/A</v>
      </c>
      <c r="J49" s="5" t="e">
        <f t="shared" si="4"/>
        <v>#N/A</v>
      </c>
      <c r="K49" s="6" t="e">
        <f t="shared" si="5"/>
        <v>#N/A</v>
      </c>
      <c r="L49" s="7" t="e">
        <f t="shared" si="6"/>
        <v>#N/A</v>
      </c>
      <c r="M49" s="6" t="e">
        <f t="shared" si="7"/>
        <v>#N/A</v>
      </c>
      <c r="N49" s="7" t="e">
        <f t="shared" si="8"/>
        <v>#N/A</v>
      </c>
      <c r="O49" s="6" t="e">
        <f t="shared" si="9"/>
        <v>#N/A</v>
      </c>
      <c r="P49" s="5" t="e">
        <f t="shared" si="10"/>
        <v>#N/A</v>
      </c>
      <c r="Q49" s="6" t="e">
        <f t="shared" si="11"/>
        <v>#N/A</v>
      </c>
      <c r="R49" s="7" t="e">
        <f t="shared" si="12"/>
        <v>#N/A</v>
      </c>
      <c r="S49" s="6" t="e">
        <f t="shared" si="13"/>
        <v>#N/A</v>
      </c>
      <c r="T49" s="7" t="e">
        <f t="shared" si="14"/>
        <v>#N/A</v>
      </c>
      <c r="U49" s="6" t="e">
        <f t="shared" si="15"/>
        <v>#N/A</v>
      </c>
      <c r="V49" s="5" t="e">
        <f t="shared" si="16"/>
        <v>#N/A</v>
      </c>
      <c r="W49" s="6" t="e">
        <f t="shared" si="17"/>
        <v>#N/A</v>
      </c>
      <c r="X49" s="7" t="e">
        <f t="shared" si="18"/>
        <v>#N/A</v>
      </c>
      <c r="Y49" s="6" t="e">
        <f t="shared" si="19"/>
        <v>#N/A</v>
      </c>
      <c r="Z49" s="7" t="e">
        <f t="shared" si="20"/>
        <v>#N/A</v>
      </c>
      <c r="AA49" s="6" t="e">
        <f t="shared" si="21"/>
        <v>#N/A</v>
      </c>
      <c r="AB49" s="5" t="e">
        <f t="shared" si="22"/>
        <v>#N/A</v>
      </c>
      <c r="AC49" s="6" t="e">
        <f t="shared" si="23"/>
        <v>#N/A</v>
      </c>
      <c r="AD49" s="7" t="e">
        <f t="shared" si="24"/>
        <v>#N/A</v>
      </c>
      <c r="AE49" s="6" t="e">
        <f t="shared" si="25"/>
        <v>#N/A</v>
      </c>
      <c r="AF49" s="7" t="e">
        <f t="shared" si="26"/>
        <v>#N/A</v>
      </c>
      <c r="AG49" s="6" t="e">
        <f t="shared" si="27"/>
        <v>#N/A</v>
      </c>
      <c r="AH49" s="5" t="e">
        <f t="shared" si="28"/>
        <v>#N/A</v>
      </c>
      <c r="AI49" s="6" t="e">
        <f t="shared" si="29"/>
        <v>#N/A</v>
      </c>
      <c r="AJ49" s="7" t="e">
        <f t="shared" si="30"/>
        <v>#N/A</v>
      </c>
      <c r="AK49" s="6" t="e">
        <f t="shared" si="31"/>
        <v>#N/A</v>
      </c>
      <c r="AL49" s="7" t="e">
        <f t="shared" si="32"/>
        <v>#N/A</v>
      </c>
      <c r="AM49" s="6" t="e">
        <f t="shared" si="33"/>
        <v>#N/A</v>
      </c>
      <c r="AN49" s="5" t="e">
        <f t="shared" si="34"/>
        <v>#N/A</v>
      </c>
      <c r="AO49" s="6" t="e">
        <f t="shared" si="35"/>
        <v>#N/A</v>
      </c>
      <c r="AP49" s="7" t="e">
        <f t="shared" si="36"/>
        <v>#N/A</v>
      </c>
      <c r="AQ49" s="6" t="e">
        <f t="shared" si="37"/>
        <v>#N/A</v>
      </c>
      <c r="AR49" s="7" t="e">
        <f t="shared" si="38"/>
        <v>#N/A</v>
      </c>
      <c r="AS49" s="6" t="e">
        <f t="shared" si="39"/>
        <v>#N/A</v>
      </c>
      <c r="AT49" s="5" t="e">
        <f t="shared" si="40"/>
        <v>#N/A</v>
      </c>
      <c r="AU49" s="6" t="e">
        <f t="shared" si="41"/>
        <v>#N/A</v>
      </c>
      <c r="AV49" s="7" t="e">
        <f t="shared" si="42"/>
        <v>#N/A</v>
      </c>
      <c r="AW49" s="6" t="e">
        <f t="shared" si="43"/>
        <v>#N/A</v>
      </c>
      <c r="AX49" s="7" t="e">
        <f t="shared" si="44"/>
        <v>#N/A</v>
      </c>
      <c r="AY49" s="6" t="e">
        <f t="shared" si="45"/>
        <v>#N/A</v>
      </c>
      <c r="AZ49" s="5" t="e">
        <f t="shared" si="46"/>
        <v>#N/A</v>
      </c>
      <c r="BA49" s="6" t="e">
        <f t="shared" si="47"/>
        <v>#N/A</v>
      </c>
      <c r="BB49" s="7" t="e">
        <f t="shared" si="48"/>
        <v>#N/A</v>
      </c>
      <c r="BC49" s="6" t="e">
        <f t="shared" si="49"/>
        <v>#N/A</v>
      </c>
      <c r="BD49" s="7" t="e">
        <f t="shared" si="50"/>
        <v>#N/A</v>
      </c>
      <c r="BE49" s="6" t="e">
        <f t="shared" si="51"/>
        <v>#N/A</v>
      </c>
      <c r="BF49" s="5" t="e">
        <f t="shared" si="52"/>
        <v>#N/A</v>
      </c>
      <c r="BG49" s="6" t="e">
        <f t="shared" si="53"/>
        <v>#N/A</v>
      </c>
      <c r="BH49" s="7" t="e">
        <f t="shared" si="54"/>
        <v>#N/A</v>
      </c>
      <c r="BI49" s="6" t="e">
        <f t="shared" si="55"/>
        <v>#N/A</v>
      </c>
      <c r="BJ49" s="7" t="e">
        <f t="shared" si="56"/>
        <v>#N/A</v>
      </c>
      <c r="BK49" s="6" t="e">
        <f t="shared" si="57"/>
        <v>#N/A</v>
      </c>
      <c r="BL49" s="5" t="e">
        <f t="shared" si="58"/>
        <v>#N/A</v>
      </c>
      <c r="BM49" s="6" t="e">
        <f t="shared" si="59"/>
        <v>#N/A</v>
      </c>
      <c r="BN49" s="7" t="e">
        <f t="shared" si="60"/>
        <v>#N/A</v>
      </c>
      <c r="BO49" s="6" t="e">
        <f t="shared" si="61"/>
        <v>#N/A</v>
      </c>
      <c r="BP49" s="7" t="e">
        <f t="shared" si="62"/>
        <v>#N/A</v>
      </c>
      <c r="BQ49" s="6" t="e">
        <f t="shared" si="63"/>
        <v>#N/A</v>
      </c>
      <c r="BR49" s="5" t="e">
        <f t="shared" si="64"/>
        <v>#N/A</v>
      </c>
      <c r="BS49" s="6" t="e">
        <f t="shared" si="65"/>
        <v>#N/A</v>
      </c>
      <c r="BT49" s="7" t="e">
        <f t="shared" si="66"/>
        <v>#N/A</v>
      </c>
      <c r="BU49" s="6" t="e">
        <f t="shared" si="67"/>
        <v>#N/A</v>
      </c>
      <c r="BV49" s="7" t="e">
        <f t="shared" si="68"/>
        <v>#N/A</v>
      </c>
      <c r="BW49" s="6" t="e">
        <f t="shared" si="69"/>
        <v>#N/A</v>
      </c>
      <c r="BX49" s="5" t="e">
        <f t="shared" si="70"/>
        <v>#N/A</v>
      </c>
      <c r="BY49" s="6" t="e">
        <f t="shared" si="71"/>
        <v>#N/A</v>
      </c>
      <c r="BZ49" s="7" t="e">
        <f t="shared" si="72"/>
        <v>#N/A</v>
      </c>
      <c r="CA49" s="6" t="e">
        <f t="shared" si="73"/>
        <v>#N/A</v>
      </c>
      <c r="CB49" s="7" t="e">
        <f t="shared" si="74"/>
        <v>#N/A</v>
      </c>
      <c r="CC49" s="6" t="e">
        <f t="shared" si="75"/>
        <v>#N/A</v>
      </c>
      <c r="CD49" s="5" t="e">
        <f t="shared" si="76"/>
        <v>#N/A</v>
      </c>
      <c r="CE49" s="6" t="e">
        <f t="shared" si="77"/>
        <v>#N/A</v>
      </c>
      <c r="CF49" s="7" t="e">
        <f t="shared" si="78"/>
        <v>#N/A</v>
      </c>
      <c r="CG49" s="6" t="e">
        <f t="shared" si="79"/>
        <v>#N/A</v>
      </c>
      <c r="CH49" s="7" t="e">
        <f t="shared" si="80"/>
        <v>#N/A</v>
      </c>
      <c r="CI49" s="6" t="e">
        <f t="shared" si="81"/>
        <v>#N/A</v>
      </c>
      <c r="CJ49" s="5" t="e">
        <f t="shared" si="82"/>
        <v>#N/A</v>
      </c>
      <c r="CK49" s="6" t="e">
        <f t="shared" si="83"/>
        <v>#N/A</v>
      </c>
      <c r="CL49" s="7" t="e">
        <f t="shared" si="84"/>
        <v>#N/A</v>
      </c>
      <c r="CM49" s="6" t="e">
        <f t="shared" si="85"/>
        <v>#N/A</v>
      </c>
      <c r="CN49" s="7" t="e">
        <f t="shared" si="86"/>
        <v>#N/A</v>
      </c>
      <c r="CO49" s="6" t="e">
        <f t="shared" si="87"/>
        <v>#N/A</v>
      </c>
      <c r="CP49" s="5" t="e">
        <f t="shared" si="88"/>
        <v>#N/A</v>
      </c>
      <c r="CQ49" s="6" t="e">
        <f t="shared" si="89"/>
        <v>#N/A</v>
      </c>
      <c r="CR49" s="7" t="e">
        <f t="shared" si="90"/>
        <v>#N/A</v>
      </c>
      <c r="CS49" s="7" t="e">
        <f t="shared" si="90"/>
        <v>#N/A</v>
      </c>
      <c r="CT49" s="7" t="e">
        <f t="shared" si="90"/>
        <v>#N/A</v>
      </c>
      <c r="CU49" s="7" t="e">
        <f t="shared" si="90"/>
        <v>#N/A</v>
      </c>
      <c r="CV49" s="5" t="e">
        <f t="shared" si="91"/>
        <v>#N/A</v>
      </c>
      <c r="CW49" s="6" t="e">
        <f t="shared" si="92"/>
        <v>#N/A</v>
      </c>
      <c r="CY49" s="7" t="e">
        <v>#N/A</v>
      </c>
      <c r="CZ49" s="5" t="e">
        <f t="array" ref="CZ49">Summary_UpperBound</f>
        <v>#N/A</v>
      </c>
      <c r="DA49" s="6" t="e">
        <f t="shared" si="93"/>
        <v>#N/A</v>
      </c>
    </row>
    <row r="50" spans="2:105" x14ac:dyDescent="0.35">
      <c r="B50" s="14"/>
      <c r="E50" s="12" t="e" vm="2">
        <f t="shared" ca="1" si="94"/>
        <v>#VALUE!</v>
      </c>
      <c r="F50" s="7" t="e">
        <f t="shared" si="0"/>
        <v>#N/A</v>
      </c>
      <c r="G50" s="6" t="e">
        <f t="shared" si="1"/>
        <v>#N/A</v>
      </c>
      <c r="H50" s="7" t="e">
        <f t="shared" si="2"/>
        <v>#N/A</v>
      </c>
      <c r="I50" s="6" t="e">
        <f t="shared" si="3"/>
        <v>#N/A</v>
      </c>
      <c r="J50" s="5" t="e">
        <f t="shared" si="4"/>
        <v>#N/A</v>
      </c>
      <c r="K50" s="6" t="e">
        <f t="shared" si="5"/>
        <v>#N/A</v>
      </c>
      <c r="L50" s="7" t="e">
        <f t="shared" si="6"/>
        <v>#N/A</v>
      </c>
      <c r="M50" s="6" t="e">
        <f t="shared" si="7"/>
        <v>#N/A</v>
      </c>
      <c r="N50" s="7" t="e">
        <f t="shared" si="8"/>
        <v>#N/A</v>
      </c>
      <c r="O50" s="6" t="e">
        <f t="shared" si="9"/>
        <v>#N/A</v>
      </c>
      <c r="P50" s="5" t="e">
        <f t="shared" si="10"/>
        <v>#N/A</v>
      </c>
      <c r="Q50" s="6" t="e">
        <f t="shared" si="11"/>
        <v>#N/A</v>
      </c>
      <c r="R50" s="7" t="e">
        <f t="shared" si="12"/>
        <v>#N/A</v>
      </c>
      <c r="S50" s="6" t="e">
        <f t="shared" si="13"/>
        <v>#N/A</v>
      </c>
      <c r="T50" s="7" t="e">
        <f t="shared" si="14"/>
        <v>#N/A</v>
      </c>
      <c r="U50" s="6" t="e">
        <f t="shared" si="15"/>
        <v>#N/A</v>
      </c>
      <c r="V50" s="5" t="e">
        <f t="shared" si="16"/>
        <v>#N/A</v>
      </c>
      <c r="W50" s="6" t="e">
        <f t="shared" si="17"/>
        <v>#N/A</v>
      </c>
      <c r="X50" s="7" t="e">
        <f t="shared" si="18"/>
        <v>#N/A</v>
      </c>
      <c r="Y50" s="6" t="e">
        <f t="shared" si="19"/>
        <v>#N/A</v>
      </c>
      <c r="Z50" s="7" t="e">
        <f t="shared" si="20"/>
        <v>#N/A</v>
      </c>
      <c r="AA50" s="6" t="e">
        <f t="shared" si="21"/>
        <v>#N/A</v>
      </c>
      <c r="AB50" s="5" t="e">
        <f t="shared" si="22"/>
        <v>#N/A</v>
      </c>
      <c r="AC50" s="6" t="e">
        <f t="shared" si="23"/>
        <v>#N/A</v>
      </c>
      <c r="AD50" s="7" t="e">
        <f t="shared" si="24"/>
        <v>#N/A</v>
      </c>
      <c r="AE50" s="6" t="e">
        <f t="shared" si="25"/>
        <v>#N/A</v>
      </c>
      <c r="AF50" s="7" t="e">
        <f t="shared" si="26"/>
        <v>#N/A</v>
      </c>
      <c r="AG50" s="6" t="e">
        <f t="shared" si="27"/>
        <v>#N/A</v>
      </c>
      <c r="AH50" s="5" t="e">
        <f t="shared" si="28"/>
        <v>#N/A</v>
      </c>
      <c r="AI50" s="6" t="e">
        <f t="shared" si="29"/>
        <v>#N/A</v>
      </c>
      <c r="AJ50" s="7" t="e">
        <f t="shared" si="30"/>
        <v>#N/A</v>
      </c>
      <c r="AK50" s="6" t="e">
        <f t="shared" si="31"/>
        <v>#N/A</v>
      </c>
      <c r="AL50" s="7" t="e">
        <f t="shared" si="32"/>
        <v>#N/A</v>
      </c>
      <c r="AM50" s="6" t="e">
        <f t="shared" si="33"/>
        <v>#N/A</v>
      </c>
      <c r="AN50" s="5" t="e">
        <f t="shared" si="34"/>
        <v>#N/A</v>
      </c>
      <c r="AO50" s="6" t="e">
        <f t="shared" si="35"/>
        <v>#N/A</v>
      </c>
      <c r="AP50" s="7" t="e">
        <f t="shared" si="36"/>
        <v>#N/A</v>
      </c>
      <c r="AQ50" s="6" t="e">
        <f t="shared" si="37"/>
        <v>#N/A</v>
      </c>
      <c r="AR50" s="7" t="e">
        <f t="shared" si="38"/>
        <v>#N/A</v>
      </c>
      <c r="AS50" s="6" t="e">
        <f t="shared" si="39"/>
        <v>#N/A</v>
      </c>
      <c r="AT50" s="5" t="e">
        <f t="shared" si="40"/>
        <v>#N/A</v>
      </c>
      <c r="AU50" s="6" t="e">
        <f t="shared" si="41"/>
        <v>#N/A</v>
      </c>
      <c r="AV50" s="7" t="e">
        <f t="shared" si="42"/>
        <v>#N/A</v>
      </c>
      <c r="AW50" s="6" t="e">
        <f t="shared" si="43"/>
        <v>#N/A</v>
      </c>
      <c r="AX50" s="7" t="e">
        <f t="shared" si="44"/>
        <v>#N/A</v>
      </c>
      <c r="AY50" s="6" t="e">
        <f t="shared" si="45"/>
        <v>#N/A</v>
      </c>
      <c r="AZ50" s="5" t="e">
        <f t="shared" si="46"/>
        <v>#N/A</v>
      </c>
      <c r="BA50" s="6" t="e">
        <f t="shared" si="47"/>
        <v>#N/A</v>
      </c>
      <c r="BB50" s="7" t="e">
        <f t="shared" si="48"/>
        <v>#N/A</v>
      </c>
      <c r="BC50" s="6" t="e">
        <f t="shared" si="49"/>
        <v>#N/A</v>
      </c>
      <c r="BD50" s="7" t="e">
        <f t="shared" si="50"/>
        <v>#N/A</v>
      </c>
      <c r="BE50" s="6" t="e">
        <f t="shared" si="51"/>
        <v>#N/A</v>
      </c>
      <c r="BF50" s="5" t="e">
        <f t="shared" si="52"/>
        <v>#N/A</v>
      </c>
      <c r="BG50" s="6" t="e">
        <f t="shared" si="53"/>
        <v>#N/A</v>
      </c>
      <c r="BH50" s="7" t="e">
        <f t="shared" si="54"/>
        <v>#N/A</v>
      </c>
      <c r="BI50" s="6" t="e">
        <f t="shared" si="55"/>
        <v>#N/A</v>
      </c>
      <c r="BJ50" s="7" t="e">
        <f t="shared" si="56"/>
        <v>#N/A</v>
      </c>
      <c r="BK50" s="6" t="e">
        <f t="shared" si="57"/>
        <v>#N/A</v>
      </c>
      <c r="BL50" s="5" t="e">
        <f t="shared" si="58"/>
        <v>#N/A</v>
      </c>
      <c r="BM50" s="6" t="e">
        <f t="shared" si="59"/>
        <v>#N/A</v>
      </c>
      <c r="BN50" s="7" t="e">
        <f t="shared" si="60"/>
        <v>#N/A</v>
      </c>
      <c r="BO50" s="6" t="e">
        <f t="shared" si="61"/>
        <v>#N/A</v>
      </c>
      <c r="BP50" s="7" t="e">
        <f t="shared" si="62"/>
        <v>#N/A</v>
      </c>
      <c r="BQ50" s="6" t="e">
        <f t="shared" si="63"/>
        <v>#N/A</v>
      </c>
      <c r="BR50" s="5" t="e">
        <f t="shared" si="64"/>
        <v>#N/A</v>
      </c>
      <c r="BS50" s="6" t="e">
        <f t="shared" si="65"/>
        <v>#N/A</v>
      </c>
      <c r="BT50" s="7" t="e">
        <f t="shared" si="66"/>
        <v>#N/A</v>
      </c>
      <c r="BU50" s="6" t="e">
        <f t="shared" si="67"/>
        <v>#N/A</v>
      </c>
      <c r="BV50" s="7" t="e">
        <f t="shared" si="68"/>
        <v>#N/A</v>
      </c>
      <c r="BW50" s="6" t="e">
        <f t="shared" si="69"/>
        <v>#N/A</v>
      </c>
      <c r="BX50" s="5" t="e">
        <f t="shared" si="70"/>
        <v>#N/A</v>
      </c>
      <c r="BY50" s="6" t="e">
        <f t="shared" si="71"/>
        <v>#N/A</v>
      </c>
      <c r="BZ50" s="7" t="e">
        <f t="shared" si="72"/>
        <v>#N/A</v>
      </c>
      <c r="CA50" s="6" t="e">
        <f t="shared" si="73"/>
        <v>#N/A</v>
      </c>
      <c r="CB50" s="7" t="e">
        <f t="shared" si="74"/>
        <v>#N/A</v>
      </c>
      <c r="CC50" s="6" t="e">
        <f t="shared" si="75"/>
        <v>#N/A</v>
      </c>
      <c r="CD50" s="5" t="e">
        <f t="shared" si="76"/>
        <v>#N/A</v>
      </c>
      <c r="CE50" s="6" t="e">
        <f t="shared" si="77"/>
        <v>#N/A</v>
      </c>
      <c r="CF50" s="7" t="e">
        <f t="shared" si="78"/>
        <v>#N/A</v>
      </c>
      <c r="CG50" s="6" t="e">
        <f t="shared" si="79"/>
        <v>#N/A</v>
      </c>
      <c r="CH50" s="7" t="e">
        <f t="shared" si="80"/>
        <v>#N/A</v>
      </c>
      <c r="CI50" s="6" t="e">
        <f t="shared" si="81"/>
        <v>#N/A</v>
      </c>
      <c r="CJ50" s="5" t="e">
        <f t="shared" si="82"/>
        <v>#N/A</v>
      </c>
      <c r="CK50" s="6" t="e">
        <f t="shared" si="83"/>
        <v>#N/A</v>
      </c>
      <c r="CL50" s="7" t="e">
        <f t="shared" si="84"/>
        <v>#N/A</v>
      </c>
      <c r="CM50" s="6" t="e">
        <f t="shared" si="85"/>
        <v>#N/A</v>
      </c>
      <c r="CN50" s="7" t="e">
        <f t="shared" si="86"/>
        <v>#N/A</v>
      </c>
      <c r="CO50" s="6" t="e">
        <f t="shared" si="87"/>
        <v>#N/A</v>
      </c>
      <c r="CP50" s="5" t="e">
        <f t="shared" si="88"/>
        <v>#N/A</v>
      </c>
      <c r="CQ50" s="6" t="e">
        <f t="shared" si="89"/>
        <v>#N/A</v>
      </c>
      <c r="CR50" s="7" t="e">
        <f t="shared" si="90"/>
        <v>#N/A</v>
      </c>
      <c r="CS50" s="7" t="e">
        <f t="shared" si="90"/>
        <v>#N/A</v>
      </c>
      <c r="CT50" s="7" t="e">
        <f t="shared" si="90"/>
        <v>#N/A</v>
      </c>
      <c r="CU50" s="7" t="e">
        <f t="shared" si="90"/>
        <v>#N/A</v>
      </c>
      <c r="CV50" s="5" t="e">
        <f t="shared" si="91"/>
        <v>#N/A</v>
      </c>
      <c r="CW50" s="6" t="e">
        <f t="shared" si="92"/>
        <v>#N/A</v>
      </c>
      <c r="CY50" s="7" t="e">
        <v>#N/A</v>
      </c>
      <c r="CZ50" s="5" t="e">
        <f t="array" ref="CZ50">Summary_UpperBound</f>
        <v>#N/A</v>
      </c>
      <c r="DA50" s="6" t="e">
        <f t="shared" si="93"/>
        <v>#N/A</v>
      </c>
    </row>
    <row r="51" spans="2:105" x14ac:dyDescent="0.35">
      <c r="B51" s="14"/>
      <c r="E51" s="12" t="e" vm="2">
        <f t="shared" ca="1" si="94"/>
        <v>#VALUE!</v>
      </c>
      <c r="F51" s="7" t="e">
        <f t="shared" si="0"/>
        <v>#N/A</v>
      </c>
      <c r="G51" s="6" t="e">
        <f t="shared" si="1"/>
        <v>#N/A</v>
      </c>
      <c r="H51" s="7" t="e">
        <f t="shared" si="2"/>
        <v>#N/A</v>
      </c>
      <c r="I51" s="6" t="e">
        <f t="shared" si="3"/>
        <v>#N/A</v>
      </c>
      <c r="J51" s="5" t="e">
        <f t="shared" si="4"/>
        <v>#N/A</v>
      </c>
      <c r="K51" s="6" t="e">
        <f t="shared" si="5"/>
        <v>#N/A</v>
      </c>
      <c r="L51" s="7" t="e">
        <f t="shared" si="6"/>
        <v>#N/A</v>
      </c>
      <c r="M51" s="6" t="e">
        <f t="shared" si="7"/>
        <v>#N/A</v>
      </c>
      <c r="N51" s="7" t="e">
        <f t="shared" si="8"/>
        <v>#N/A</v>
      </c>
      <c r="O51" s="6" t="e">
        <f t="shared" si="9"/>
        <v>#N/A</v>
      </c>
      <c r="P51" s="5" t="e">
        <f t="shared" si="10"/>
        <v>#N/A</v>
      </c>
      <c r="Q51" s="6" t="e">
        <f t="shared" si="11"/>
        <v>#N/A</v>
      </c>
      <c r="R51" s="7" t="e">
        <f t="shared" si="12"/>
        <v>#N/A</v>
      </c>
      <c r="S51" s="6" t="e">
        <f t="shared" si="13"/>
        <v>#N/A</v>
      </c>
      <c r="T51" s="7" t="e">
        <f t="shared" si="14"/>
        <v>#N/A</v>
      </c>
      <c r="U51" s="6" t="e">
        <f t="shared" si="15"/>
        <v>#N/A</v>
      </c>
      <c r="V51" s="5" t="e">
        <f t="shared" si="16"/>
        <v>#N/A</v>
      </c>
      <c r="W51" s="6" t="e">
        <f t="shared" si="17"/>
        <v>#N/A</v>
      </c>
      <c r="X51" s="7" t="e">
        <f t="shared" si="18"/>
        <v>#N/A</v>
      </c>
      <c r="Y51" s="6" t="e">
        <f t="shared" si="19"/>
        <v>#N/A</v>
      </c>
      <c r="Z51" s="7" t="e">
        <f t="shared" si="20"/>
        <v>#N/A</v>
      </c>
      <c r="AA51" s="6" t="e">
        <f t="shared" si="21"/>
        <v>#N/A</v>
      </c>
      <c r="AB51" s="5" t="e">
        <f t="shared" si="22"/>
        <v>#N/A</v>
      </c>
      <c r="AC51" s="6" t="e">
        <f t="shared" si="23"/>
        <v>#N/A</v>
      </c>
      <c r="AD51" s="7" t="e">
        <f t="shared" si="24"/>
        <v>#N/A</v>
      </c>
      <c r="AE51" s="6" t="e">
        <f t="shared" si="25"/>
        <v>#N/A</v>
      </c>
      <c r="AF51" s="7" t="e">
        <f t="shared" si="26"/>
        <v>#N/A</v>
      </c>
      <c r="AG51" s="6" t="e">
        <f t="shared" si="27"/>
        <v>#N/A</v>
      </c>
      <c r="AH51" s="5" t="e">
        <f t="shared" si="28"/>
        <v>#N/A</v>
      </c>
      <c r="AI51" s="6" t="e">
        <f t="shared" si="29"/>
        <v>#N/A</v>
      </c>
      <c r="AJ51" s="7" t="e">
        <f t="shared" si="30"/>
        <v>#N/A</v>
      </c>
      <c r="AK51" s="6" t="e">
        <f t="shared" si="31"/>
        <v>#N/A</v>
      </c>
      <c r="AL51" s="7" t="e">
        <f t="shared" si="32"/>
        <v>#N/A</v>
      </c>
      <c r="AM51" s="6" t="e">
        <f t="shared" si="33"/>
        <v>#N/A</v>
      </c>
      <c r="AN51" s="5" t="e">
        <f t="shared" si="34"/>
        <v>#N/A</v>
      </c>
      <c r="AO51" s="6" t="e">
        <f t="shared" si="35"/>
        <v>#N/A</v>
      </c>
      <c r="AP51" s="7" t="e">
        <f t="shared" si="36"/>
        <v>#N/A</v>
      </c>
      <c r="AQ51" s="6" t="e">
        <f t="shared" si="37"/>
        <v>#N/A</v>
      </c>
      <c r="AR51" s="7" t="e">
        <f t="shared" si="38"/>
        <v>#N/A</v>
      </c>
      <c r="AS51" s="6" t="e">
        <f t="shared" si="39"/>
        <v>#N/A</v>
      </c>
      <c r="AT51" s="5" t="e">
        <f t="shared" si="40"/>
        <v>#N/A</v>
      </c>
      <c r="AU51" s="6" t="e">
        <f t="shared" si="41"/>
        <v>#N/A</v>
      </c>
      <c r="AV51" s="7" t="e">
        <f t="shared" si="42"/>
        <v>#N/A</v>
      </c>
      <c r="AW51" s="6" t="e">
        <f t="shared" si="43"/>
        <v>#N/A</v>
      </c>
      <c r="AX51" s="7" t="e">
        <f t="shared" si="44"/>
        <v>#N/A</v>
      </c>
      <c r="AY51" s="6" t="e">
        <f t="shared" si="45"/>
        <v>#N/A</v>
      </c>
      <c r="AZ51" s="5" t="e">
        <f t="shared" si="46"/>
        <v>#N/A</v>
      </c>
      <c r="BA51" s="6" t="e">
        <f t="shared" si="47"/>
        <v>#N/A</v>
      </c>
      <c r="BB51" s="7" t="e">
        <f t="shared" si="48"/>
        <v>#N/A</v>
      </c>
      <c r="BC51" s="6" t="e">
        <f t="shared" si="49"/>
        <v>#N/A</v>
      </c>
      <c r="BD51" s="7" t="e">
        <f t="shared" si="50"/>
        <v>#N/A</v>
      </c>
      <c r="BE51" s="6" t="e">
        <f t="shared" si="51"/>
        <v>#N/A</v>
      </c>
      <c r="BF51" s="5" t="e">
        <f t="shared" si="52"/>
        <v>#N/A</v>
      </c>
      <c r="BG51" s="6" t="e">
        <f t="shared" si="53"/>
        <v>#N/A</v>
      </c>
      <c r="BH51" s="7" t="e">
        <f t="shared" si="54"/>
        <v>#N/A</v>
      </c>
      <c r="BI51" s="6" t="e">
        <f t="shared" si="55"/>
        <v>#N/A</v>
      </c>
      <c r="BJ51" s="7" t="e">
        <f t="shared" si="56"/>
        <v>#N/A</v>
      </c>
      <c r="BK51" s="6" t="e">
        <f t="shared" si="57"/>
        <v>#N/A</v>
      </c>
      <c r="BL51" s="5" t="e">
        <f t="shared" si="58"/>
        <v>#N/A</v>
      </c>
      <c r="BM51" s="6" t="e">
        <f t="shared" si="59"/>
        <v>#N/A</v>
      </c>
      <c r="BN51" s="7" t="e">
        <f t="shared" si="60"/>
        <v>#N/A</v>
      </c>
      <c r="BO51" s="6" t="e">
        <f t="shared" si="61"/>
        <v>#N/A</v>
      </c>
      <c r="BP51" s="7" t="e">
        <f t="shared" si="62"/>
        <v>#N/A</v>
      </c>
      <c r="BQ51" s="6" t="e">
        <f t="shared" si="63"/>
        <v>#N/A</v>
      </c>
      <c r="BR51" s="5" t="e">
        <f t="shared" si="64"/>
        <v>#N/A</v>
      </c>
      <c r="BS51" s="6" t="e">
        <f t="shared" si="65"/>
        <v>#N/A</v>
      </c>
      <c r="BT51" s="7" t="e">
        <f t="shared" si="66"/>
        <v>#N/A</v>
      </c>
      <c r="BU51" s="6" t="e">
        <f t="shared" si="67"/>
        <v>#N/A</v>
      </c>
      <c r="BV51" s="7" t="e">
        <f t="shared" si="68"/>
        <v>#N/A</v>
      </c>
      <c r="BW51" s="6" t="e">
        <f t="shared" si="69"/>
        <v>#N/A</v>
      </c>
      <c r="BX51" s="5" t="e">
        <f t="shared" si="70"/>
        <v>#N/A</v>
      </c>
      <c r="BY51" s="6" t="e">
        <f t="shared" si="71"/>
        <v>#N/A</v>
      </c>
      <c r="BZ51" s="7" t="e">
        <f t="shared" si="72"/>
        <v>#N/A</v>
      </c>
      <c r="CA51" s="6" t="e">
        <f t="shared" si="73"/>
        <v>#N/A</v>
      </c>
      <c r="CB51" s="7" t="e">
        <f t="shared" si="74"/>
        <v>#N/A</v>
      </c>
      <c r="CC51" s="6" t="e">
        <f t="shared" si="75"/>
        <v>#N/A</v>
      </c>
      <c r="CD51" s="5" t="e">
        <f t="shared" si="76"/>
        <v>#N/A</v>
      </c>
      <c r="CE51" s="6" t="e">
        <f t="shared" si="77"/>
        <v>#N/A</v>
      </c>
      <c r="CF51" s="7" t="e">
        <f t="shared" si="78"/>
        <v>#N/A</v>
      </c>
      <c r="CG51" s="6" t="e">
        <f t="shared" si="79"/>
        <v>#N/A</v>
      </c>
      <c r="CH51" s="7" t="e">
        <f t="shared" si="80"/>
        <v>#N/A</v>
      </c>
      <c r="CI51" s="6" t="e">
        <f t="shared" si="81"/>
        <v>#N/A</v>
      </c>
      <c r="CJ51" s="5" t="e">
        <f t="shared" si="82"/>
        <v>#N/A</v>
      </c>
      <c r="CK51" s="6" t="e">
        <f t="shared" si="83"/>
        <v>#N/A</v>
      </c>
      <c r="CL51" s="7" t="e">
        <f t="shared" si="84"/>
        <v>#N/A</v>
      </c>
      <c r="CM51" s="6" t="e">
        <f t="shared" si="85"/>
        <v>#N/A</v>
      </c>
      <c r="CN51" s="7" t="e">
        <f t="shared" si="86"/>
        <v>#N/A</v>
      </c>
      <c r="CO51" s="6" t="e">
        <f t="shared" si="87"/>
        <v>#N/A</v>
      </c>
      <c r="CP51" s="5" t="e">
        <f t="shared" si="88"/>
        <v>#N/A</v>
      </c>
      <c r="CQ51" s="6" t="e">
        <f t="shared" si="89"/>
        <v>#N/A</v>
      </c>
      <c r="CR51" s="7" t="e">
        <f t="shared" si="90"/>
        <v>#N/A</v>
      </c>
      <c r="CS51" s="7" t="e">
        <f t="shared" si="90"/>
        <v>#N/A</v>
      </c>
      <c r="CT51" s="7" t="e">
        <f t="shared" si="90"/>
        <v>#N/A</v>
      </c>
      <c r="CU51" s="7" t="e">
        <f t="shared" si="90"/>
        <v>#N/A</v>
      </c>
      <c r="CV51" s="5" t="e">
        <f t="shared" si="91"/>
        <v>#N/A</v>
      </c>
      <c r="CW51" s="6" t="e">
        <f t="shared" si="92"/>
        <v>#N/A</v>
      </c>
      <c r="CY51" s="7" t="e">
        <v>#N/A</v>
      </c>
      <c r="CZ51" s="5" t="e">
        <f t="array" ref="CZ51">Summary_UpperBound</f>
        <v>#N/A</v>
      </c>
      <c r="DA51" s="6" t="e">
        <f t="shared" si="93"/>
        <v>#N/A</v>
      </c>
    </row>
    <row r="52" spans="2:105" x14ac:dyDescent="0.35">
      <c r="B52" s="14"/>
      <c r="E52" s="12" t="e" vm="2">
        <f t="shared" ca="1" si="94"/>
        <v>#VALUE!</v>
      </c>
      <c r="F52" s="7" t="e">
        <f t="shared" si="0"/>
        <v>#N/A</v>
      </c>
      <c r="G52" s="6" t="e">
        <f t="shared" si="1"/>
        <v>#N/A</v>
      </c>
      <c r="H52" s="7" t="e">
        <f t="shared" si="2"/>
        <v>#N/A</v>
      </c>
      <c r="I52" s="6" t="e">
        <f t="shared" si="3"/>
        <v>#N/A</v>
      </c>
      <c r="J52" s="5" t="e">
        <f t="shared" si="4"/>
        <v>#N/A</v>
      </c>
      <c r="K52" s="6" t="e">
        <f t="shared" si="5"/>
        <v>#N/A</v>
      </c>
      <c r="L52" s="7" t="e">
        <f t="shared" si="6"/>
        <v>#N/A</v>
      </c>
      <c r="M52" s="6" t="e">
        <f t="shared" si="7"/>
        <v>#N/A</v>
      </c>
      <c r="N52" s="7" t="e">
        <f t="shared" si="8"/>
        <v>#N/A</v>
      </c>
      <c r="O52" s="6" t="e">
        <f t="shared" si="9"/>
        <v>#N/A</v>
      </c>
      <c r="P52" s="5" t="e">
        <f t="shared" si="10"/>
        <v>#N/A</v>
      </c>
      <c r="Q52" s="6" t="e">
        <f t="shared" si="11"/>
        <v>#N/A</v>
      </c>
      <c r="R52" s="7" t="e">
        <f t="shared" si="12"/>
        <v>#N/A</v>
      </c>
      <c r="S52" s="6" t="e">
        <f t="shared" si="13"/>
        <v>#N/A</v>
      </c>
      <c r="T52" s="7" t="e">
        <f t="shared" si="14"/>
        <v>#N/A</v>
      </c>
      <c r="U52" s="6" t="e">
        <f t="shared" si="15"/>
        <v>#N/A</v>
      </c>
      <c r="V52" s="5" t="e">
        <f t="shared" si="16"/>
        <v>#N/A</v>
      </c>
      <c r="W52" s="6" t="e">
        <f t="shared" si="17"/>
        <v>#N/A</v>
      </c>
      <c r="X52" s="7" t="e">
        <f t="shared" si="18"/>
        <v>#N/A</v>
      </c>
      <c r="Y52" s="6" t="e">
        <f t="shared" si="19"/>
        <v>#N/A</v>
      </c>
      <c r="Z52" s="7" t="e">
        <f t="shared" si="20"/>
        <v>#N/A</v>
      </c>
      <c r="AA52" s="6" t="e">
        <f t="shared" si="21"/>
        <v>#N/A</v>
      </c>
      <c r="AB52" s="5" t="e">
        <f t="shared" si="22"/>
        <v>#N/A</v>
      </c>
      <c r="AC52" s="6" t="e">
        <f t="shared" si="23"/>
        <v>#N/A</v>
      </c>
      <c r="AD52" s="7" t="e">
        <f t="shared" si="24"/>
        <v>#N/A</v>
      </c>
      <c r="AE52" s="6" t="e">
        <f t="shared" si="25"/>
        <v>#N/A</v>
      </c>
      <c r="AF52" s="7" t="e">
        <f t="shared" si="26"/>
        <v>#N/A</v>
      </c>
      <c r="AG52" s="6" t="e">
        <f t="shared" si="27"/>
        <v>#N/A</v>
      </c>
      <c r="AH52" s="5" t="e">
        <f t="shared" si="28"/>
        <v>#N/A</v>
      </c>
      <c r="AI52" s="6" t="e">
        <f t="shared" si="29"/>
        <v>#N/A</v>
      </c>
      <c r="AJ52" s="7" t="e">
        <f t="shared" si="30"/>
        <v>#N/A</v>
      </c>
      <c r="AK52" s="6" t="e">
        <f t="shared" si="31"/>
        <v>#N/A</v>
      </c>
      <c r="AL52" s="7" t="e">
        <f t="shared" si="32"/>
        <v>#N/A</v>
      </c>
      <c r="AM52" s="6" t="e">
        <f t="shared" si="33"/>
        <v>#N/A</v>
      </c>
      <c r="AN52" s="5" t="e">
        <f t="shared" si="34"/>
        <v>#N/A</v>
      </c>
      <c r="AO52" s="6" t="e">
        <f t="shared" si="35"/>
        <v>#N/A</v>
      </c>
      <c r="AP52" s="7" t="e">
        <f t="shared" si="36"/>
        <v>#N/A</v>
      </c>
      <c r="AQ52" s="6" t="e">
        <f t="shared" si="37"/>
        <v>#N/A</v>
      </c>
      <c r="AR52" s="7" t="e">
        <f t="shared" si="38"/>
        <v>#N/A</v>
      </c>
      <c r="AS52" s="6" t="e">
        <f t="shared" si="39"/>
        <v>#N/A</v>
      </c>
      <c r="AT52" s="5" t="e">
        <f t="shared" si="40"/>
        <v>#N/A</v>
      </c>
      <c r="AU52" s="6" t="e">
        <f t="shared" si="41"/>
        <v>#N/A</v>
      </c>
      <c r="AV52" s="7" t="e">
        <f t="shared" si="42"/>
        <v>#N/A</v>
      </c>
      <c r="AW52" s="6" t="e">
        <f t="shared" si="43"/>
        <v>#N/A</v>
      </c>
      <c r="AX52" s="7" t="e">
        <f t="shared" si="44"/>
        <v>#N/A</v>
      </c>
      <c r="AY52" s="6" t="e">
        <f t="shared" si="45"/>
        <v>#N/A</v>
      </c>
      <c r="AZ52" s="5" t="e">
        <f t="shared" si="46"/>
        <v>#N/A</v>
      </c>
      <c r="BA52" s="6" t="e">
        <f t="shared" si="47"/>
        <v>#N/A</v>
      </c>
      <c r="BB52" s="7" t="e">
        <f t="shared" si="48"/>
        <v>#N/A</v>
      </c>
      <c r="BC52" s="6" t="e">
        <f t="shared" si="49"/>
        <v>#N/A</v>
      </c>
      <c r="BD52" s="7" t="e">
        <f t="shared" si="50"/>
        <v>#N/A</v>
      </c>
      <c r="BE52" s="6" t="e">
        <f t="shared" si="51"/>
        <v>#N/A</v>
      </c>
      <c r="BF52" s="5" t="e">
        <f t="shared" si="52"/>
        <v>#N/A</v>
      </c>
      <c r="BG52" s="6" t="e">
        <f t="shared" si="53"/>
        <v>#N/A</v>
      </c>
      <c r="BH52" s="7" t="e">
        <f t="shared" si="54"/>
        <v>#N/A</v>
      </c>
      <c r="BI52" s="6" t="e">
        <f t="shared" si="55"/>
        <v>#N/A</v>
      </c>
      <c r="BJ52" s="7" t="e">
        <f t="shared" si="56"/>
        <v>#N/A</v>
      </c>
      <c r="BK52" s="6" t="e">
        <f t="shared" si="57"/>
        <v>#N/A</v>
      </c>
      <c r="BL52" s="5" t="e">
        <f t="shared" si="58"/>
        <v>#N/A</v>
      </c>
      <c r="BM52" s="6" t="e">
        <f t="shared" si="59"/>
        <v>#N/A</v>
      </c>
      <c r="BN52" s="7" t="e">
        <f t="shared" si="60"/>
        <v>#N/A</v>
      </c>
      <c r="BO52" s="6" t="e">
        <f t="shared" si="61"/>
        <v>#N/A</v>
      </c>
      <c r="BP52" s="7" t="e">
        <f t="shared" si="62"/>
        <v>#N/A</v>
      </c>
      <c r="BQ52" s="6" t="e">
        <f t="shared" si="63"/>
        <v>#N/A</v>
      </c>
      <c r="BR52" s="5" t="e">
        <f t="shared" si="64"/>
        <v>#N/A</v>
      </c>
      <c r="BS52" s="6" t="e">
        <f t="shared" si="65"/>
        <v>#N/A</v>
      </c>
      <c r="BT52" s="7" t="e">
        <f t="shared" si="66"/>
        <v>#N/A</v>
      </c>
      <c r="BU52" s="6" t="e">
        <f t="shared" si="67"/>
        <v>#N/A</v>
      </c>
      <c r="BV52" s="7" t="e">
        <f t="shared" si="68"/>
        <v>#N/A</v>
      </c>
      <c r="BW52" s="6" t="e">
        <f t="shared" si="69"/>
        <v>#N/A</v>
      </c>
      <c r="BX52" s="5" t="e">
        <f t="shared" si="70"/>
        <v>#N/A</v>
      </c>
      <c r="BY52" s="6" t="e">
        <f t="shared" si="71"/>
        <v>#N/A</v>
      </c>
      <c r="BZ52" s="7" t="e">
        <f t="shared" si="72"/>
        <v>#N/A</v>
      </c>
      <c r="CA52" s="6" t="e">
        <f t="shared" si="73"/>
        <v>#N/A</v>
      </c>
      <c r="CB52" s="7" t="e">
        <f t="shared" si="74"/>
        <v>#N/A</v>
      </c>
      <c r="CC52" s="6" t="e">
        <f t="shared" si="75"/>
        <v>#N/A</v>
      </c>
      <c r="CD52" s="5" t="e">
        <f t="shared" si="76"/>
        <v>#N/A</v>
      </c>
      <c r="CE52" s="6" t="e">
        <f t="shared" si="77"/>
        <v>#N/A</v>
      </c>
      <c r="CF52" s="7" t="e">
        <f t="shared" si="78"/>
        <v>#N/A</v>
      </c>
      <c r="CG52" s="6" t="e">
        <f t="shared" si="79"/>
        <v>#N/A</v>
      </c>
      <c r="CH52" s="7" t="e">
        <f t="shared" si="80"/>
        <v>#N/A</v>
      </c>
      <c r="CI52" s="6" t="e">
        <f t="shared" si="81"/>
        <v>#N/A</v>
      </c>
      <c r="CJ52" s="5" t="e">
        <f t="shared" si="82"/>
        <v>#N/A</v>
      </c>
      <c r="CK52" s="6" t="e">
        <f t="shared" si="83"/>
        <v>#N/A</v>
      </c>
      <c r="CL52" s="7" t="e">
        <f t="shared" si="84"/>
        <v>#N/A</v>
      </c>
      <c r="CM52" s="6" t="e">
        <f t="shared" si="85"/>
        <v>#N/A</v>
      </c>
      <c r="CN52" s="7" t="e">
        <f t="shared" si="86"/>
        <v>#N/A</v>
      </c>
      <c r="CO52" s="6" t="e">
        <f t="shared" si="87"/>
        <v>#N/A</v>
      </c>
      <c r="CP52" s="5" t="e">
        <f t="shared" si="88"/>
        <v>#N/A</v>
      </c>
      <c r="CQ52" s="6" t="e">
        <f t="shared" si="89"/>
        <v>#N/A</v>
      </c>
      <c r="CR52" s="7" t="e">
        <f t="shared" si="90"/>
        <v>#N/A</v>
      </c>
      <c r="CS52" s="7" t="e">
        <f t="shared" si="90"/>
        <v>#N/A</v>
      </c>
      <c r="CT52" s="7" t="e">
        <f t="shared" si="90"/>
        <v>#N/A</v>
      </c>
      <c r="CU52" s="7" t="e">
        <f t="shared" si="90"/>
        <v>#N/A</v>
      </c>
      <c r="CV52" s="5" t="e">
        <f t="shared" si="91"/>
        <v>#N/A</v>
      </c>
      <c r="CW52" s="6" t="e">
        <f t="shared" si="92"/>
        <v>#N/A</v>
      </c>
      <c r="CY52" s="7" t="e">
        <v>#N/A</v>
      </c>
      <c r="CZ52" s="5" t="e">
        <f t="array" ref="CZ52">Summary_UpperBound</f>
        <v>#N/A</v>
      </c>
      <c r="DA52" s="6" t="e">
        <f t="shared" si="93"/>
        <v>#N/A</v>
      </c>
    </row>
    <row r="53" spans="2:105" x14ac:dyDescent="0.35">
      <c r="B53" s="14"/>
      <c r="E53" s="12" t="e" vm="2">
        <f t="shared" ca="1" si="94"/>
        <v>#VALUE!</v>
      </c>
      <c r="F53" s="7" t="e">
        <f t="shared" si="0"/>
        <v>#N/A</v>
      </c>
      <c r="G53" s="6" t="e">
        <f t="shared" si="1"/>
        <v>#N/A</v>
      </c>
      <c r="H53" s="7" t="e">
        <f t="shared" si="2"/>
        <v>#N/A</v>
      </c>
      <c r="I53" s="6" t="e">
        <f t="shared" si="3"/>
        <v>#N/A</v>
      </c>
      <c r="J53" s="5" t="e">
        <f t="shared" si="4"/>
        <v>#N/A</v>
      </c>
      <c r="K53" s="6" t="e">
        <f t="shared" si="5"/>
        <v>#N/A</v>
      </c>
      <c r="L53" s="7" t="e">
        <f t="shared" si="6"/>
        <v>#N/A</v>
      </c>
      <c r="M53" s="6" t="e">
        <f t="shared" si="7"/>
        <v>#N/A</v>
      </c>
      <c r="N53" s="7" t="e">
        <f t="shared" si="8"/>
        <v>#N/A</v>
      </c>
      <c r="O53" s="6" t="e">
        <f t="shared" si="9"/>
        <v>#N/A</v>
      </c>
      <c r="P53" s="5" t="e">
        <f t="shared" si="10"/>
        <v>#N/A</v>
      </c>
      <c r="Q53" s="6" t="e">
        <f t="shared" si="11"/>
        <v>#N/A</v>
      </c>
      <c r="R53" s="7" t="e">
        <f t="shared" si="12"/>
        <v>#N/A</v>
      </c>
      <c r="S53" s="6" t="e">
        <f t="shared" si="13"/>
        <v>#N/A</v>
      </c>
      <c r="T53" s="7" t="e">
        <f t="shared" si="14"/>
        <v>#N/A</v>
      </c>
      <c r="U53" s="6" t="e">
        <f t="shared" si="15"/>
        <v>#N/A</v>
      </c>
      <c r="V53" s="5" t="e">
        <f t="shared" si="16"/>
        <v>#N/A</v>
      </c>
      <c r="W53" s="6" t="e">
        <f t="shared" si="17"/>
        <v>#N/A</v>
      </c>
      <c r="X53" s="7" t="e">
        <f t="shared" si="18"/>
        <v>#N/A</v>
      </c>
      <c r="Y53" s="6" t="e">
        <f t="shared" si="19"/>
        <v>#N/A</v>
      </c>
      <c r="Z53" s="7" t="e">
        <f t="shared" si="20"/>
        <v>#N/A</v>
      </c>
      <c r="AA53" s="6" t="e">
        <f t="shared" si="21"/>
        <v>#N/A</v>
      </c>
      <c r="AB53" s="5" t="e">
        <f t="shared" si="22"/>
        <v>#N/A</v>
      </c>
      <c r="AC53" s="6" t="e">
        <f t="shared" si="23"/>
        <v>#N/A</v>
      </c>
      <c r="AD53" s="7" t="e">
        <f t="shared" si="24"/>
        <v>#N/A</v>
      </c>
      <c r="AE53" s="6" t="e">
        <f t="shared" si="25"/>
        <v>#N/A</v>
      </c>
      <c r="AF53" s="7" t="e">
        <f t="shared" si="26"/>
        <v>#N/A</v>
      </c>
      <c r="AG53" s="6" t="e">
        <f t="shared" si="27"/>
        <v>#N/A</v>
      </c>
      <c r="AH53" s="5" t="e">
        <f t="shared" si="28"/>
        <v>#N/A</v>
      </c>
      <c r="AI53" s="6" t="e">
        <f t="shared" si="29"/>
        <v>#N/A</v>
      </c>
      <c r="AJ53" s="7" t="e">
        <f t="shared" si="30"/>
        <v>#N/A</v>
      </c>
      <c r="AK53" s="6" t="e">
        <f t="shared" si="31"/>
        <v>#N/A</v>
      </c>
      <c r="AL53" s="7" t="e">
        <f t="shared" si="32"/>
        <v>#N/A</v>
      </c>
      <c r="AM53" s="6" t="e">
        <f t="shared" si="33"/>
        <v>#N/A</v>
      </c>
      <c r="AN53" s="5" t="e">
        <f t="shared" si="34"/>
        <v>#N/A</v>
      </c>
      <c r="AO53" s="6" t="e">
        <f t="shared" si="35"/>
        <v>#N/A</v>
      </c>
      <c r="AP53" s="7" t="e">
        <f t="shared" si="36"/>
        <v>#N/A</v>
      </c>
      <c r="AQ53" s="6" t="e">
        <f t="shared" si="37"/>
        <v>#N/A</v>
      </c>
      <c r="AR53" s="7" t="e">
        <f t="shared" si="38"/>
        <v>#N/A</v>
      </c>
      <c r="AS53" s="6" t="e">
        <f t="shared" si="39"/>
        <v>#N/A</v>
      </c>
      <c r="AT53" s="5" t="e">
        <f t="shared" si="40"/>
        <v>#N/A</v>
      </c>
      <c r="AU53" s="6" t="e">
        <f t="shared" si="41"/>
        <v>#N/A</v>
      </c>
      <c r="AV53" s="7" t="e">
        <f t="shared" si="42"/>
        <v>#N/A</v>
      </c>
      <c r="AW53" s="6" t="e">
        <f t="shared" si="43"/>
        <v>#N/A</v>
      </c>
      <c r="AX53" s="7" t="e">
        <f t="shared" si="44"/>
        <v>#N/A</v>
      </c>
      <c r="AY53" s="6" t="e">
        <f t="shared" si="45"/>
        <v>#N/A</v>
      </c>
      <c r="AZ53" s="5" t="e">
        <f t="shared" si="46"/>
        <v>#N/A</v>
      </c>
      <c r="BA53" s="6" t="e">
        <f t="shared" si="47"/>
        <v>#N/A</v>
      </c>
      <c r="BB53" s="7" t="e">
        <f t="shared" si="48"/>
        <v>#N/A</v>
      </c>
      <c r="BC53" s="6" t="e">
        <f t="shared" si="49"/>
        <v>#N/A</v>
      </c>
      <c r="BD53" s="7" t="e">
        <f t="shared" si="50"/>
        <v>#N/A</v>
      </c>
      <c r="BE53" s="6" t="e">
        <f t="shared" si="51"/>
        <v>#N/A</v>
      </c>
      <c r="BF53" s="5" t="e">
        <f t="shared" si="52"/>
        <v>#N/A</v>
      </c>
      <c r="BG53" s="6" t="e">
        <f t="shared" si="53"/>
        <v>#N/A</v>
      </c>
      <c r="BH53" s="7" t="e">
        <f t="shared" si="54"/>
        <v>#N/A</v>
      </c>
      <c r="BI53" s="6" t="e">
        <f t="shared" si="55"/>
        <v>#N/A</v>
      </c>
      <c r="BJ53" s="7" t="e">
        <f t="shared" si="56"/>
        <v>#N/A</v>
      </c>
      <c r="BK53" s="6" t="e">
        <f t="shared" si="57"/>
        <v>#N/A</v>
      </c>
      <c r="BL53" s="5" t="e">
        <f t="shared" si="58"/>
        <v>#N/A</v>
      </c>
      <c r="BM53" s="6" t="e">
        <f t="shared" si="59"/>
        <v>#N/A</v>
      </c>
      <c r="BN53" s="7" t="e">
        <f t="shared" si="60"/>
        <v>#N/A</v>
      </c>
      <c r="BO53" s="6" t="e">
        <f t="shared" si="61"/>
        <v>#N/A</v>
      </c>
      <c r="BP53" s="7" t="e">
        <f t="shared" si="62"/>
        <v>#N/A</v>
      </c>
      <c r="BQ53" s="6" t="e">
        <f t="shared" si="63"/>
        <v>#N/A</v>
      </c>
      <c r="BR53" s="5" t="e">
        <f t="shared" si="64"/>
        <v>#N/A</v>
      </c>
      <c r="BS53" s="6" t="e">
        <f t="shared" si="65"/>
        <v>#N/A</v>
      </c>
      <c r="BT53" s="7" t="e">
        <f t="shared" si="66"/>
        <v>#N/A</v>
      </c>
      <c r="BU53" s="6" t="e">
        <f t="shared" si="67"/>
        <v>#N/A</v>
      </c>
      <c r="BV53" s="7" t="e">
        <f t="shared" si="68"/>
        <v>#N/A</v>
      </c>
      <c r="BW53" s="6" t="e">
        <f t="shared" si="69"/>
        <v>#N/A</v>
      </c>
      <c r="BX53" s="5" t="e">
        <f t="shared" si="70"/>
        <v>#N/A</v>
      </c>
      <c r="BY53" s="6" t="e">
        <f t="shared" si="71"/>
        <v>#N/A</v>
      </c>
      <c r="BZ53" s="7" t="e">
        <f t="shared" si="72"/>
        <v>#N/A</v>
      </c>
      <c r="CA53" s="6" t="e">
        <f t="shared" si="73"/>
        <v>#N/A</v>
      </c>
      <c r="CB53" s="7" t="e">
        <f t="shared" si="74"/>
        <v>#N/A</v>
      </c>
      <c r="CC53" s="6" t="e">
        <f t="shared" si="75"/>
        <v>#N/A</v>
      </c>
      <c r="CD53" s="5" t="e">
        <f t="shared" si="76"/>
        <v>#N/A</v>
      </c>
      <c r="CE53" s="6" t="e">
        <f t="shared" si="77"/>
        <v>#N/A</v>
      </c>
      <c r="CF53" s="7" t="e">
        <f t="shared" si="78"/>
        <v>#N/A</v>
      </c>
      <c r="CG53" s="6" t="e">
        <f t="shared" si="79"/>
        <v>#N/A</v>
      </c>
      <c r="CH53" s="7" t="e">
        <f t="shared" si="80"/>
        <v>#N/A</v>
      </c>
      <c r="CI53" s="6" t="e">
        <f t="shared" si="81"/>
        <v>#N/A</v>
      </c>
      <c r="CJ53" s="5" t="e">
        <f t="shared" si="82"/>
        <v>#N/A</v>
      </c>
      <c r="CK53" s="6" t="e">
        <f t="shared" si="83"/>
        <v>#N/A</v>
      </c>
      <c r="CL53" s="7" t="e">
        <f t="shared" si="84"/>
        <v>#N/A</v>
      </c>
      <c r="CM53" s="6" t="e">
        <f t="shared" si="85"/>
        <v>#N/A</v>
      </c>
      <c r="CN53" s="7" t="e">
        <f t="shared" si="86"/>
        <v>#N/A</v>
      </c>
      <c r="CO53" s="6" t="e">
        <f t="shared" si="87"/>
        <v>#N/A</v>
      </c>
      <c r="CP53" s="5" t="e">
        <f t="shared" si="88"/>
        <v>#N/A</v>
      </c>
      <c r="CQ53" s="6" t="e">
        <f t="shared" si="89"/>
        <v>#N/A</v>
      </c>
      <c r="CR53" s="7" t="e">
        <f t="shared" si="90"/>
        <v>#N/A</v>
      </c>
      <c r="CS53" s="7" t="e">
        <f t="shared" si="90"/>
        <v>#N/A</v>
      </c>
      <c r="CT53" s="7" t="e">
        <f t="shared" si="90"/>
        <v>#N/A</v>
      </c>
      <c r="CU53" s="7" t="e">
        <f t="shared" si="90"/>
        <v>#N/A</v>
      </c>
      <c r="CV53" s="5" t="e">
        <f t="shared" si="91"/>
        <v>#N/A</v>
      </c>
      <c r="CW53" s="6" t="e">
        <f t="shared" si="92"/>
        <v>#N/A</v>
      </c>
      <c r="CY53" s="7" t="e">
        <v>#N/A</v>
      </c>
      <c r="CZ53" s="5" t="e">
        <f t="array" ref="CZ53">Summary_UpperBound</f>
        <v>#N/A</v>
      </c>
      <c r="DA53" s="6" t="e">
        <f t="shared" si="93"/>
        <v>#N/A</v>
      </c>
    </row>
    <row r="54" spans="2:105" x14ac:dyDescent="0.35">
      <c r="B54" s="14"/>
      <c r="E54" s="12" t="e" vm="2">
        <f t="shared" ca="1" si="94"/>
        <v>#VALUE!</v>
      </c>
      <c r="F54" s="7" t="e">
        <f t="shared" si="0"/>
        <v>#N/A</v>
      </c>
      <c r="G54" s="6" t="e">
        <f t="shared" si="1"/>
        <v>#N/A</v>
      </c>
      <c r="H54" s="7" t="e">
        <f t="shared" si="2"/>
        <v>#N/A</v>
      </c>
      <c r="I54" s="6" t="e">
        <f t="shared" si="3"/>
        <v>#N/A</v>
      </c>
      <c r="J54" s="5" t="e">
        <f t="shared" si="4"/>
        <v>#N/A</v>
      </c>
      <c r="K54" s="6" t="e">
        <f t="shared" si="5"/>
        <v>#N/A</v>
      </c>
      <c r="L54" s="7" t="e">
        <f t="shared" si="6"/>
        <v>#N/A</v>
      </c>
      <c r="M54" s="6" t="e">
        <f t="shared" si="7"/>
        <v>#N/A</v>
      </c>
      <c r="N54" s="7" t="e">
        <f t="shared" si="8"/>
        <v>#N/A</v>
      </c>
      <c r="O54" s="6" t="e">
        <f t="shared" si="9"/>
        <v>#N/A</v>
      </c>
      <c r="P54" s="5" t="e">
        <f t="shared" si="10"/>
        <v>#N/A</v>
      </c>
      <c r="Q54" s="6" t="e">
        <f t="shared" si="11"/>
        <v>#N/A</v>
      </c>
      <c r="R54" s="7" t="e">
        <f t="shared" si="12"/>
        <v>#N/A</v>
      </c>
      <c r="S54" s="6" t="e">
        <f t="shared" si="13"/>
        <v>#N/A</v>
      </c>
      <c r="T54" s="7" t="e">
        <f t="shared" si="14"/>
        <v>#N/A</v>
      </c>
      <c r="U54" s="6" t="e">
        <f t="shared" si="15"/>
        <v>#N/A</v>
      </c>
      <c r="V54" s="5" t="e">
        <f t="shared" si="16"/>
        <v>#N/A</v>
      </c>
      <c r="W54" s="6" t="e">
        <f t="shared" si="17"/>
        <v>#N/A</v>
      </c>
      <c r="X54" s="7" t="e">
        <f t="shared" si="18"/>
        <v>#N/A</v>
      </c>
      <c r="Y54" s="6" t="e">
        <f t="shared" si="19"/>
        <v>#N/A</v>
      </c>
      <c r="Z54" s="7" t="e">
        <f t="shared" si="20"/>
        <v>#N/A</v>
      </c>
      <c r="AA54" s="6" t="e">
        <f t="shared" si="21"/>
        <v>#N/A</v>
      </c>
      <c r="AB54" s="5" t="e">
        <f t="shared" si="22"/>
        <v>#N/A</v>
      </c>
      <c r="AC54" s="6" t="e">
        <f t="shared" si="23"/>
        <v>#N/A</v>
      </c>
      <c r="AD54" s="7" t="e">
        <f t="shared" si="24"/>
        <v>#N/A</v>
      </c>
      <c r="AE54" s="6" t="e">
        <f t="shared" si="25"/>
        <v>#N/A</v>
      </c>
      <c r="AF54" s="7" t="e">
        <f t="shared" si="26"/>
        <v>#N/A</v>
      </c>
      <c r="AG54" s="6" t="e">
        <f t="shared" si="27"/>
        <v>#N/A</v>
      </c>
      <c r="AH54" s="5" t="e">
        <f t="shared" si="28"/>
        <v>#N/A</v>
      </c>
      <c r="AI54" s="6" t="e">
        <f t="shared" si="29"/>
        <v>#N/A</v>
      </c>
      <c r="AJ54" s="7" t="e">
        <f t="shared" si="30"/>
        <v>#N/A</v>
      </c>
      <c r="AK54" s="6" t="e">
        <f t="shared" si="31"/>
        <v>#N/A</v>
      </c>
      <c r="AL54" s="7" t="e">
        <f t="shared" si="32"/>
        <v>#N/A</v>
      </c>
      <c r="AM54" s="6" t="e">
        <f t="shared" si="33"/>
        <v>#N/A</v>
      </c>
      <c r="AN54" s="5" t="e">
        <f t="shared" si="34"/>
        <v>#N/A</v>
      </c>
      <c r="AO54" s="6" t="e">
        <f t="shared" si="35"/>
        <v>#N/A</v>
      </c>
      <c r="AP54" s="7" t="e">
        <f t="shared" si="36"/>
        <v>#N/A</v>
      </c>
      <c r="AQ54" s="6" t="e">
        <f t="shared" si="37"/>
        <v>#N/A</v>
      </c>
      <c r="AR54" s="7" t="e">
        <f t="shared" si="38"/>
        <v>#N/A</v>
      </c>
      <c r="AS54" s="6" t="e">
        <f t="shared" si="39"/>
        <v>#N/A</v>
      </c>
      <c r="AT54" s="5" t="e">
        <f t="shared" si="40"/>
        <v>#N/A</v>
      </c>
      <c r="AU54" s="6" t="e">
        <f t="shared" si="41"/>
        <v>#N/A</v>
      </c>
      <c r="AV54" s="7" t="e">
        <f t="shared" si="42"/>
        <v>#N/A</v>
      </c>
      <c r="AW54" s="6" t="e">
        <f t="shared" si="43"/>
        <v>#N/A</v>
      </c>
      <c r="AX54" s="7" t="e">
        <f t="shared" si="44"/>
        <v>#N/A</v>
      </c>
      <c r="AY54" s="6" t="e">
        <f t="shared" si="45"/>
        <v>#N/A</v>
      </c>
      <c r="AZ54" s="5" t="e">
        <f t="shared" si="46"/>
        <v>#N/A</v>
      </c>
      <c r="BA54" s="6" t="e">
        <f t="shared" si="47"/>
        <v>#N/A</v>
      </c>
      <c r="BB54" s="7" t="e">
        <f t="shared" si="48"/>
        <v>#N/A</v>
      </c>
      <c r="BC54" s="6" t="e">
        <f t="shared" si="49"/>
        <v>#N/A</v>
      </c>
      <c r="BD54" s="7" t="e">
        <f t="shared" si="50"/>
        <v>#N/A</v>
      </c>
      <c r="BE54" s="6" t="e">
        <f t="shared" si="51"/>
        <v>#N/A</v>
      </c>
      <c r="BF54" s="5" t="e">
        <f t="shared" si="52"/>
        <v>#N/A</v>
      </c>
      <c r="BG54" s="6" t="e">
        <f t="shared" si="53"/>
        <v>#N/A</v>
      </c>
      <c r="BH54" s="7" t="e">
        <f t="shared" si="54"/>
        <v>#N/A</v>
      </c>
      <c r="BI54" s="6" t="e">
        <f t="shared" si="55"/>
        <v>#N/A</v>
      </c>
      <c r="BJ54" s="7" t="e">
        <f t="shared" si="56"/>
        <v>#N/A</v>
      </c>
      <c r="BK54" s="6" t="e">
        <f t="shared" si="57"/>
        <v>#N/A</v>
      </c>
      <c r="BL54" s="5" t="e">
        <f t="shared" si="58"/>
        <v>#N/A</v>
      </c>
      <c r="BM54" s="6" t="e">
        <f t="shared" si="59"/>
        <v>#N/A</v>
      </c>
      <c r="BN54" s="7" t="e">
        <f t="shared" si="60"/>
        <v>#N/A</v>
      </c>
      <c r="BO54" s="6" t="e">
        <f t="shared" si="61"/>
        <v>#N/A</v>
      </c>
      <c r="BP54" s="7" t="e">
        <f t="shared" si="62"/>
        <v>#N/A</v>
      </c>
      <c r="BQ54" s="6" t="e">
        <f t="shared" si="63"/>
        <v>#N/A</v>
      </c>
      <c r="BR54" s="5" t="e">
        <f t="shared" si="64"/>
        <v>#N/A</v>
      </c>
      <c r="BS54" s="6" t="e">
        <f t="shared" si="65"/>
        <v>#N/A</v>
      </c>
      <c r="BT54" s="7" t="e">
        <f t="shared" si="66"/>
        <v>#N/A</v>
      </c>
      <c r="BU54" s="6" t="e">
        <f t="shared" si="67"/>
        <v>#N/A</v>
      </c>
      <c r="BV54" s="7" t="e">
        <f t="shared" si="68"/>
        <v>#N/A</v>
      </c>
      <c r="BW54" s="6" t="e">
        <f t="shared" si="69"/>
        <v>#N/A</v>
      </c>
      <c r="BX54" s="5" t="e">
        <f t="shared" si="70"/>
        <v>#N/A</v>
      </c>
      <c r="BY54" s="6" t="e">
        <f t="shared" si="71"/>
        <v>#N/A</v>
      </c>
      <c r="BZ54" s="7" t="e">
        <f t="shared" si="72"/>
        <v>#N/A</v>
      </c>
      <c r="CA54" s="6" t="e">
        <f t="shared" si="73"/>
        <v>#N/A</v>
      </c>
      <c r="CB54" s="7" t="e">
        <f t="shared" si="74"/>
        <v>#N/A</v>
      </c>
      <c r="CC54" s="6" t="e">
        <f t="shared" si="75"/>
        <v>#N/A</v>
      </c>
      <c r="CD54" s="5" t="e">
        <f t="shared" si="76"/>
        <v>#N/A</v>
      </c>
      <c r="CE54" s="6" t="e">
        <f t="shared" si="77"/>
        <v>#N/A</v>
      </c>
      <c r="CF54" s="7" t="e">
        <f t="shared" si="78"/>
        <v>#N/A</v>
      </c>
      <c r="CG54" s="6" t="e">
        <f t="shared" si="79"/>
        <v>#N/A</v>
      </c>
      <c r="CH54" s="7" t="e">
        <f t="shared" si="80"/>
        <v>#N/A</v>
      </c>
      <c r="CI54" s="6" t="e">
        <f t="shared" si="81"/>
        <v>#N/A</v>
      </c>
      <c r="CJ54" s="5" t="e">
        <f t="shared" si="82"/>
        <v>#N/A</v>
      </c>
      <c r="CK54" s="6" t="e">
        <f t="shared" si="83"/>
        <v>#N/A</v>
      </c>
      <c r="CL54" s="7" t="e">
        <f t="shared" si="84"/>
        <v>#N/A</v>
      </c>
      <c r="CM54" s="6" t="e">
        <f t="shared" si="85"/>
        <v>#N/A</v>
      </c>
      <c r="CN54" s="7" t="e">
        <f t="shared" si="86"/>
        <v>#N/A</v>
      </c>
      <c r="CO54" s="6" t="e">
        <f t="shared" si="87"/>
        <v>#N/A</v>
      </c>
      <c r="CP54" s="5" t="e">
        <f t="shared" si="88"/>
        <v>#N/A</v>
      </c>
      <c r="CQ54" s="6" t="e">
        <f t="shared" si="89"/>
        <v>#N/A</v>
      </c>
      <c r="CR54" s="7" t="e">
        <f t="shared" si="90"/>
        <v>#N/A</v>
      </c>
      <c r="CS54" s="7" t="e">
        <f t="shared" si="90"/>
        <v>#N/A</v>
      </c>
      <c r="CT54" s="7" t="e">
        <f t="shared" si="90"/>
        <v>#N/A</v>
      </c>
      <c r="CU54" s="7" t="e">
        <f t="shared" si="90"/>
        <v>#N/A</v>
      </c>
      <c r="CV54" s="5" t="e">
        <f t="shared" si="91"/>
        <v>#N/A</v>
      </c>
      <c r="CW54" s="6" t="e">
        <f t="shared" si="92"/>
        <v>#N/A</v>
      </c>
      <c r="CY54" s="7" t="e">
        <v>#N/A</v>
      </c>
      <c r="CZ54" s="5" t="e">
        <f t="array" ref="CZ54">Summary_UpperBound</f>
        <v>#N/A</v>
      </c>
      <c r="DA54" s="6" t="e">
        <f t="shared" si="93"/>
        <v>#N/A</v>
      </c>
    </row>
    <row r="55" spans="2:105" x14ac:dyDescent="0.35">
      <c r="B55" s="14"/>
      <c r="E55" s="12" t="e" vm="2">
        <f t="shared" ca="1" si="94"/>
        <v>#VALUE!</v>
      </c>
      <c r="F55" s="7" t="e">
        <f t="shared" si="0"/>
        <v>#N/A</v>
      </c>
      <c r="G55" s="6" t="e">
        <f t="shared" si="1"/>
        <v>#N/A</v>
      </c>
      <c r="H55" s="7" t="e">
        <f t="shared" si="2"/>
        <v>#N/A</v>
      </c>
      <c r="I55" s="6" t="e">
        <f t="shared" si="3"/>
        <v>#N/A</v>
      </c>
      <c r="J55" s="5" t="e">
        <f t="shared" si="4"/>
        <v>#N/A</v>
      </c>
      <c r="K55" s="6" t="e">
        <f t="shared" si="5"/>
        <v>#N/A</v>
      </c>
      <c r="L55" s="7" t="e">
        <f t="shared" si="6"/>
        <v>#N/A</v>
      </c>
      <c r="M55" s="6" t="e">
        <f t="shared" si="7"/>
        <v>#N/A</v>
      </c>
      <c r="N55" s="7" t="e">
        <f t="shared" si="8"/>
        <v>#N/A</v>
      </c>
      <c r="O55" s="6" t="e">
        <f t="shared" si="9"/>
        <v>#N/A</v>
      </c>
      <c r="P55" s="5" t="e">
        <f t="shared" si="10"/>
        <v>#N/A</v>
      </c>
      <c r="Q55" s="6" t="e">
        <f t="shared" si="11"/>
        <v>#N/A</v>
      </c>
      <c r="R55" s="7" t="e">
        <f t="shared" si="12"/>
        <v>#N/A</v>
      </c>
      <c r="S55" s="6" t="e">
        <f t="shared" si="13"/>
        <v>#N/A</v>
      </c>
      <c r="T55" s="7" t="e">
        <f t="shared" si="14"/>
        <v>#N/A</v>
      </c>
      <c r="U55" s="6" t="e">
        <f t="shared" si="15"/>
        <v>#N/A</v>
      </c>
      <c r="V55" s="5" t="e">
        <f t="shared" si="16"/>
        <v>#N/A</v>
      </c>
      <c r="W55" s="6" t="e">
        <f t="shared" si="17"/>
        <v>#N/A</v>
      </c>
      <c r="X55" s="7" t="e">
        <f t="shared" si="18"/>
        <v>#N/A</v>
      </c>
      <c r="Y55" s="6" t="e">
        <f t="shared" si="19"/>
        <v>#N/A</v>
      </c>
      <c r="Z55" s="7" t="e">
        <f t="shared" si="20"/>
        <v>#N/A</v>
      </c>
      <c r="AA55" s="6" t="e">
        <f t="shared" si="21"/>
        <v>#N/A</v>
      </c>
      <c r="AB55" s="5" t="e">
        <f t="shared" si="22"/>
        <v>#N/A</v>
      </c>
      <c r="AC55" s="6" t="e">
        <f t="shared" si="23"/>
        <v>#N/A</v>
      </c>
      <c r="AD55" s="7" t="e">
        <f t="shared" si="24"/>
        <v>#N/A</v>
      </c>
      <c r="AE55" s="6" t="e">
        <f t="shared" si="25"/>
        <v>#N/A</v>
      </c>
      <c r="AF55" s="7" t="e">
        <f t="shared" si="26"/>
        <v>#N/A</v>
      </c>
      <c r="AG55" s="6" t="e">
        <f t="shared" si="27"/>
        <v>#N/A</v>
      </c>
      <c r="AH55" s="5" t="e">
        <f t="shared" si="28"/>
        <v>#N/A</v>
      </c>
      <c r="AI55" s="6" t="e">
        <f t="shared" si="29"/>
        <v>#N/A</v>
      </c>
      <c r="AJ55" s="7" t="e">
        <f t="shared" si="30"/>
        <v>#N/A</v>
      </c>
      <c r="AK55" s="6" t="e">
        <f t="shared" si="31"/>
        <v>#N/A</v>
      </c>
      <c r="AL55" s="7" t="e">
        <f t="shared" si="32"/>
        <v>#N/A</v>
      </c>
      <c r="AM55" s="6" t="e">
        <f t="shared" si="33"/>
        <v>#N/A</v>
      </c>
      <c r="AN55" s="5" t="e">
        <f t="shared" si="34"/>
        <v>#N/A</v>
      </c>
      <c r="AO55" s="6" t="e">
        <f t="shared" si="35"/>
        <v>#N/A</v>
      </c>
      <c r="AP55" s="7" t="e">
        <f t="shared" si="36"/>
        <v>#N/A</v>
      </c>
      <c r="AQ55" s="6" t="e">
        <f t="shared" si="37"/>
        <v>#N/A</v>
      </c>
      <c r="AR55" s="7" t="e">
        <f t="shared" si="38"/>
        <v>#N/A</v>
      </c>
      <c r="AS55" s="6" t="e">
        <f t="shared" si="39"/>
        <v>#N/A</v>
      </c>
      <c r="AT55" s="5" t="e">
        <f t="shared" si="40"/>
        <v>#N/A</v>
      </c>
      <c r="AU55" s="6" t="e">
        <f t="shared" si="41"/>
        <v>#N/A</v>
      </c>
      <c r="AV55" s="7" t="e">
        <f t="shared" si="42"/>
        <v>#N/A</v>
      </c>
      <c r="AW55" s="6" t="e">
        <f t="shared" si="43"/>
        <v>#N/A</v>
      </c>
      <c r="AX55" s="7" t="e">
        <f t="shared" si="44"/>
        <v>#N/A</v>
      </c>
      <c r="AY55" s="6" t="e">
        <f t="shared" si="45"/>
        <v>#N/A</v>
      </c>
      <c r="AZ55" s="5" t="e">
        <f t="shared" si="46"/>
        <v>#N/A</v>
      </c>
      <c r="BA55" s="6" t="e">
        <f t="shared" si="47"/>
        <v>#N/A</v>
      </c>
      <c r="BB55" s="7" t="e">
        <f t="shared" si="48"/>
        <v>#N/A</v>
      </c>
      <c r="BC55" s="6" t="e">
        <f t="shared" si="49"/>
        <v>#N/A</v>
      </c>
      <c r="BD55" s="7" t="e">
        <f t="shared" si="50"/>
        <v>#N/A</v>
      </c>
      <c r="BE55" s="6" t="e">
        <f t="shared" si="51"/>
        <v>#N/A</v>
      </c>
      <c r="BF55" s="5" t="e">
        <f t="shared" si="52"/>
        <v>#N/A</v>
      </c>
      <c r="BG55" s="6" t="e">
        <f t="shared" si="53"/>
        <v>#N/A</v>
      </c>
      <c r="BH55" s="7" t="e">
        <f t="shared" si="54"/>
        <v>#N/A</v>
      </c>
      <c r="BI55" s="6" t="e">
        <f t="shared" si="55"/>
        <v>#N/A</v>
      </c>
      <c r="BJ55" s="7" t="e">
        <f t="shared" si="56"/>
        <v>#N/A</v>
      </c>
      <c r="BK55" s="6" t="e">
        <f t="shared" si="57"/>
        <v>#N/A</v>
      </c>
      <c r="BL55" s="5" t="e">
        <f t="shared" si="58"/>
        <v>#N/A</v>
      </c>
      <c r="BM55" s="6" t="e">
        <f t="shared" si="59"/>
        <v>#N/A</v>
      </c>
      <c r="BN55" s="7" t="e">
        <f t="shared" si="60"/>
        <v>#N/A</v>
      </c>
      <c r="BO55" s="6" t="e">
        <f t="shared" si="61"/>
        <v>#N/A</v>
      </c>
      <c r="BP55" s="7" t="e">
        <f t="shared" si="62"/>
        <v>#N/A</v>
      </c>
      <c r="BQ55" s="6" t="e">
        <f t="shared" si="63"/>
        <v>#N/A</v>
      </c>
      <c r="BR55" s="5" t="e">
        <f t="shared" si="64"/>
        <v>#N/A</v>
      </c>
      <c r="BS55" s="6" t="e">
        <f t="shared" si="65"/>
        <v>#N/A</v>
      </c>
      <c r="BT55" s="7" t="e">
        <f t="shared" si="66"/>
        <v>#N/A</v>
      </c>
      <c r="BU55" s="6" t="e">
        <f t="shared" si="67"/>
        <v>#N/A</v>
      </c>
      <c r="BV55" s="7" t="e">
        <f t="shared" si="68"/>
        <v>#N/A</v>
      </c>
      <c r="BW55" s="6" t="e">
        <f t="shared" si="69"/>
        <v>#N/A</v>
      </c>
      <c r="BX55" s="5" t="e">
        <f t="shared" si="70"/>
        <v>#N/A</v>
      </c>
      <c r="BY55" s="6" t="e">
        <f t="shared" si="71"/>
        <v>#N/A</v>
      </c>
      <c r="BZ55" s="7" t="e">
        <f t="shared" si="72"/>
        <v>#N/A</v>
      </c>
      <c r="CA55" s="6" t="e">
        <f t="shared" si="73"/>
        <v>#N/A</v>
      </c>
      <c r="CB55" s="7" t="e">
        <f t="shared" si="74"/>
        <v>#N/A</v>
      </c>
      <c r="CC55" s="6" t="e">
        <f t="shared" si="75"/>
        <v>#N/A</v>
      </c>
      <c r="CD55" s="5" t="e">
        <f t="shared" si="76"/>
        <v>#N/A</v>
      </c>
      <c r="CE55" s="6" t="e">
        <f t="shared" si="77"/>
        <v>#N/A</v>
      </c>
      <c r="CF55" s="7" t="e">
        <f t="shared" si="78"/>
        <v>#N/A</v>
      </c>
      <c r="CG55" s="6" t="e">
        <f t="shared" si="79"/>
        <v>#N/A</v>
      </c>
      <c r="CH55" s="7" t="e">
        <f t="shared" si="80"/>
        <v>#N/A</v>
      </c>
      <c r="CI55" s="6" t="e">
        <f t="shared" si="81"/>
        <v>#N/A</v>
      </c>
      <c r="CJ55" s="5" t="e">
        <f t="shared" si="82"/>
        <v>#N/A</v>
      </c>
      <c r="CK55" s="6" t="e">
        <f t="shared" si="83"/>
        <v>#N/A</v>
      </c>
      <c r="CL55" s="7" t="e">
        <f t="shared" si="84"/>
        <v>#N/A</v>
      </c>
      <c r="CM55" s="6" t="e">
        <f t="shared" si="85"/>
        <v>#N/A</v>
      </c>
      <c r="CN55" s="7" t="e">
        <f t="shared" si="86"/>
        <v>#N/A</v>
      </c>
      <c r="CO55" s="6" t="e">
        <f t="shared" si="87"/>
        <v>#N/A</v>
      </c>
      <c r="CP55" s="5" t="e">
        <f t="shared" si="88"/>
        <v>#N/A</v>
      </c>
      <c r="CQ55" s="6" t="e">
        <f t="shared" si="89"/>
        <v>#N/A</v>
      </c>
      <c r="CR55" s="7" t="e">
        <f t="shared" si="90"/>
        <v>#N/A</v>
      </c>
      <c r="CS55" s="7" t="e">
        <f t="shared" si="90"/>
        <v>#N/A</v>
      </c>
      <c r="CT55" s="7" t="e">
        <f t="shared" si="90"/>
        <v>#N/A</v>
      </c>
      <c r="CU55" s="7" t="e">
        <f t="shared" si="90"/>
        <v>#N/A</v>
      </c>
      <c r="CV55" s="5" t="e">
        <f t="shared" si="91"/>
        <v>#N/A</v>
      </c>
      <c r="CW55" s="6" t="e">
        <f t="shared" si="92"/>
        <v>#N/A</v>
      </c>
      <c r="CY55" s="7" t="e">
        <v>#N/A</v>
      </c>
      <c r="CZ55" s="5" t="e">
        <f t="array" ref="CZ55">Summary_UpperBound</f>
        <v>#N/A</v>
      </c>
      <c r="DA55" s="6" t="e">
        <f t="shared" si="93"/>
        <v>#N/A</v>
      </c>
    </row>
    <row r="56" spans="2:105" ht="15" thickBot="1" x14ac:dyDescent="0.4">
      <c r="B56" s="14"/>
      <c r="E56" s="13" t="e" vm="2">
        <f t="shared" ca="1" si="94"/>
        <v>#VALUE!</v>
      </c>
      <c r="F56" s="8" t="e">
        <f t="shared" si="0"/>
        <v>#N/A</v>
      </c>
      <c r="G56" s="10" t="e">
        <f t="shared" si="1"/>
        <v>#N/A</v>
      </c>
      <c r="H56" s="8" t="e">
        <f t="shared" si="2"/>
        <v>#N/A</v>
      </c>
      <c r="I56" s="10" t="e">
        <f t="shared" si="3"/>
        <v>#N/A</v>
      </c>
      <c r="J56" s="9" t="e">
        <f t="shared" si="4"/>
        <v>#N/A</v>
      </c>
      <c r="K56" s="10" t="e">
        <f t="shared" si="5"/>
        <v>#N/A</v>
      </c>
      <c r="L56" s="8" t="e">
        <f t="shared" si="6"/>
        <v>#N/A</v>
      </c>
      <c r="M56" s="10" t="e">
        <f t="shared" si="7"/>
        <v>#N/A</v>
      </c>
      <c r="N56" s="8" t="e">
        <f t="shared" si="8"/>
        <v>#N/A</v>
      </c>
      <c r="O56" s="10" t="e">
        <f t="shared" si="9"/>
        <v>#N/A</v>
      </c>
      <c r="P56" s="9" t="e">
        <f t="shared" si="10"/>
        <v>#N/A</v>
      </c>
      <c r="Q56" s="10" t="e">
        <f t="shared" si="11"/>
        <v>#N/A</v>
      </c>
      <c r="R56" s="8" t="e">
        <f t="shared" si="12"/>
        <v>#N/A</v>
      </c>
      <c r="S56" s="10" t="e">
        <f t="shared" si="13"/>
        <v>#N/A</v>
      </c>
      <c r="T56" s="8" t="e">
        <f t="shared" si="14"/>
        <v>#N/A</v>
      </c>
      <c r="U56" s="10" t="e">
        <f t="shared" si="15"/>
        <v>#N/A</v>
      </c>
      <c r="V56" s="9" t="e">
        <f t="shared" si="16"/>
        <v>#N/A</v>
      </c>
      <c r="W56" s="10" t="e">
        <f t="shared" si="17"/>
        <v>#N/A</v>
      </c>
      <c r="X56" s="8" t="e">
        <f t="shared" si="18"/>
        <v>#N/A</v>
      </c>
      <c r="Y56" s="10" t="e">
        <f t="shared" si="19"/>
        <v>#N/A</v>
      </c>
      <c r="Z56" s="8" t="e">
        <f t="shared" si="20"/>
        <v>#N/A</v>
      </c>
      <c r="AA56" s="10" t="e">
        <f t="shared" si="21"/>
        <v>#N/A</v>
      </c>
      <c r="AB56" s="9" t="e">
        <f t="shared" si="22"/>
        <v>#N/A</v>
      </c>
      <c r="AC56" s="10" t="e">
        <f t="shared" si="23"/>
        <v>#N/A</v>
      </c>
      <c r="AD56" s="8" t="e">
        <f t="shared" si="24"/>
        <v>#N/A</v>
      </c>
      <c r="AE56" s="10" t="e">
        <f t="shared" si="25"/>
        <v>#N/A</v>
      </c>
      <c r="AF56" s="8" t="e">
        <f t="shared" si="26"/>
        <v>#N/A</v>
      </c>
      <c r="AG56" s="10" t="e">
        <f t="shared" si="27"/>
        <v>#N/A</v>
      </c>
      <c r="AH56" s="9" t="e">
        <f t="shared" si="28"/>
        <v>#N/A</v>
      </c>
      <c r="AI56" s="10" t="e">
        <f t="shared" si="29"/>
        <v>#N/A</v>
      </c>
      <c r="AJ56" s="8" t="e">
        <f t="shared" si="30"/>
        <v>#N/A</v>
      </c>
      <c r="AK56" s="10" t="e">
        <f t="shared" si="31"/>
        <v>#N/A</v>
      </c>
      <c r="AL56" s="8" t="e">
        <f t="shared" si="32"/>
        <v>#N/A</v>
      </c>
      <c r="AM56" s="10" t="e">
        <f t="shared" si="33"/>
        <v>#N/A</v>
      </c>
      <c r="AN56" s="9" t="e">
        <f t="shared" si="34"/>
        <v>#N/A</v>
      </c>
      <c r="AO56" s="10" t="e">
        <f t="shared" si="35"/>
        <v>#N/A</v>
      </c>
      <c r="AP56" s="8" t="e">
        <f t="shared" si="36"/>
        <v>#N/A</v>
      </c>
      <c r="AQ56" s="10" t="e">
        <f t="shared" si="37"/>
        <v>#N/A</v>
      </c>
      <c r="AR56" s="8" t="e">
        <f t="shared" si="38"/>
        <v>#N/A</v>
      </c>
      <c r="AS56" s="10" t="e">
        <f t="shared" si="39"/>
        <v>#N/A</v>
      </c>
      <c r="AT56" s="9" t="e">
        <f t="shared" si="40"/>
        <v>#N/A</v>
      </c>
      <c r="AU56" s="10" t="e">
        <f t="shared" si="41"/>
        <v>#N/A</v>
      </c>
      <c r="AV56" s="8" t="e">
        <f t="shared" si="42"/>
        <v>#N/A</v>
      </c>
      <c r="AW56" s="10" t="e">
        <f t="shared" si="43"/>
        <v>#N/A</v>
      </c>
      <c r="AX56" s="8" t="e">
        <f t="shared" si="44"/>
        <v>#N/A</v>
      </c>
      <c r="AY56" s="10" t="e">
        <f t="shared" si="45"/>
        <v>#N/A</v>
      </c>
      <c r="AZ56" s="9" t="e">
        <f t="shared" si="46"/>
        <v>#N/A</v>
      </c>
      <c r="BA56" s="10" t="e">
        <f t="shared" si="47"/>
        <v>#N/A</v>
      </c>
      <c r="BB56" s="8" t="e">
        <f t="shared" si="48"/>
        <v>#N/A</v>
      </c>
      <c r="BC56" s="10" t="e">
        <f t="shared" si="49"/>
        <v>#N/A</v>
      </c>
      <c r="BD56" s="8" t="e">
        <f t="shared" si="50"/>
        <v>#N/A</v>
      </c>
      <c r="BE56" s="10" t="e">
        <f t="shared" si="51"/>
        <v>#N/A</v>
      </c>
      <c r="BF56" s="9" t="e">
        <f t="shared" si="52"/>
        <v>#N/A</v>
      </c>
      <c r="BG56" s="10" t="e">
        <f t="shared" si="53"/>
        <v>#N/A</v>
      </c>
      <c r="BH56" s="8" t="e">
        <f t="shared" si="54"/>
        <v>#N/A</v>
      </c>
      <c r="BI56" s="10" t="e">
        <f t="shared" si="55"/>
        <v>#N/A</v>
      </c>
      <c r="BJ56" s="8" t="e">
        <f t="shared" si="56"/>
        <v>#N/A</v>
      </c>
      <c r="BK56" s="10" t="e">
        <f t="shared" si="57"/>
        <v>#N/A</v>
      </c>
      <c r="BL56" s="9" t="e">
        <f t="shared" si="58"/>
        <v>#N/A</v>
      </c>
      <c r="BM56" s="10" t="e">
        <f t="shared" si="59"/>
        <v>#N/A</v>
      </c>
      <c r="BN56" s="8" t="e">
        <f t="shared" si="60"/>
        <v>#N/A</v>
      </c>
      <c r="BO56" s="10" t="e">
        <f t="shared" si="61"/>
        <v>#N/A</v>
      </c>
      <c r="BP56" s="8" t="e">
        <f t="shared" si="62"/>
        <v>#N/A</v>
      </c>
      <c r="BQ56" s="10" t="e">
        <f t="shared" si="63"/>
        <v>#N/A</v>
      </c>
      <c r="BR56" s="9" t="e">
        <f t="shared" si="64"/>
        <v>#N/A</v>
      </c>
      <c r="BS56" s="10" t="e">
        <f t="shared" si="65"/>
        <v>#N/A</v>
      </c>
      <c r="BT56" s="8" t="e">
        <f t="shared" si="66"/>
        <v>#N/A</v>
      </c>
      <c r="BU56" s="10" t="e">
        <f t="shared" si="67"/>
        <v>#N/A</v>
      </c>
      <c r="BV56" s="8" t="e">
        <f t="shared" si="68"/>
        <v>#N/A</v>
      </c>
      <c r="BW56" s="10" t="e">
        <f t="shared" si="69"/>
        <v>#N/A</v>
      </c>
      <c r="BX56" s="9" t="e">
        <f t="shared" si="70"/>
        <v>#N/A</v>
      </c>
      <c r="BY56" s="10" t="e">
        <f t="shared" si="71"/>
        <v>#N/A</v>
      </c>
      <c r="BZ56" s="8" t="e">
        <f t="shared" si="72"/>
        <v>#N/A</v>
      </c>
      <c r="CA56" s="10" t="e">
        <f t="shared" si="73"/>
        <v>#N/A</v>
      </c>
      <c r="CB56" s="8" t="e">
        <f t="shared" si="74"/>
        <v>#N/A</v>
      </c>
      <c r="CC56" s="10" t="e">
        <f t="shared" si="75"/>
        <v>#N/A</v>
      </c>
      <c r="CD56" s="9" t="e">
        <f t="shared" si="76"/>
        <v>#N/A</v>
      </c>
      <c r="CE56" s="10" t="e">
        <f t="shared" si="77"/>
        <v>#N/A</v>
      </c>
      <c r="CF56" s="8" t="e">
        <f t="shared" si="78"/>
        <v>#N/A</v>
      </c>
      <c r="CG56" s="10" t="e">
        <f t="shared" si="79"/>
        <v>#N/A</v>
      </c>
      <c r="CH56" s="8" t="e">
        <f t="shared" si="80"/>
        <v>#N/A</v>
      </c>
      <c r="CI56" s="10" t="e">
        <f t="shared" si="81"/>
        <v>#N/A</v>
      </c>
      <c r="CJ56" s="9" t="e">
        <f t="shared" si="82"/>
        <v>#N/A</v>
      </c>
      <c r="CK56" s="10" t="e">
        <f t="shared" si="83"/>
        <v>#N/A</v>
      </c>
      <c r="CL56" s="8" t="e">
        <f t="shared" si="84"/>
        <v>#N/A</v>
      </c>
      <c r="CM56" s="10" t="e">
        <f t="shared" si="85"/>
        <v>#N/A</v>
      </c>
      <c r="CN56" s="8" t="e">
        <f t="shared" si="86"/>
        <v>#N/A</v>
      </c>
      <c r="CO56" s="10" t="e">
        <f t="shared" si="87"/>
        <v>#N/A</v>
      </c>
      <c r="CP56" s="9" t="e">
        <f t="shared" si="88"/>
        <v>#N/A</v>
      </c>
      <c r="CQ56" s="10" t="e">
        <f t="shared" si="89"/>
        <v>#N/A</v>
      </c>
      <c r="CR56" s="7" t="e">
        <f t="shared" si="90"/>
        <v>#N/A</v>
      </c>
      <c r="CS56" s="7" t="e">
        <f t="shared" si="90"/>
        <v>#N/A</v>
      </c>
      <c r="CT56" s="7" t="e">
        <f t="shared" si="90"/>
        <v>#N/A</v>
      </c>
      <c r="CU56" s="7" t="e">
        <f t="shared" si="90"/>
        <v>#N/A</v>
      </c>
      <c r="CV56" s="9" t="e">
        <f t="shared" si="91"/>
        <v>#N/A</v>
      </c>
      <c r="CW56" s="10" t="e">
        <f t="shared" si="92"/>
        <v>#N/A</v>
      </c>
      <c r="CY56" s="8" t="e">
        <v>#N/A</v>
      </c>
      <c r="CZ56" s="9" t="e">
        <f t="array" ref="CZ56">Summary_UpperBound</f>
        <v>#N/A</v>
      </c>
      <c r="DA56" s="10" t="e">
        <f t="shared" si="93"/>
        <v>#N/A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 t="e">
        <f>AVERAGE(F5:F56)</f>
        <v>#N/A</v>
      </c>
      <c r="G59" s="5" t="e">
        <f>AVERAGE(G5:G56)-F59</f>
        <v>#N/A</v>
      </c>
      <c r="H59" s="5" t="e">
        <f t="shared" ref="H59:BR59" si="95">AVERAGE(H5:H56)</f>
        <v>#N/A</v>
      </c>
      <c r="I59" s="5" t="e">
        <f>AVERAGE(I5:I56)-H59</f>
        <v>#N/A</v>
      </c>
      <c r="J59" s="5" t="e">
        <f t="shared" si="95"/>
        <v>#N/A</v>
      </c>
      <c r="K59" s="5" t="e">
        <f>AVERAGE(K5:K56)-J59</f>
        <v>#N/A</v>
      </c>
      <c r="L59" s="5" t="e">
        <f t="shared" si="95"/>
        <v>#N/A</v>
      </c>
      <c r="M59" s="5" t="e">
        <f>AVERAGE(M5:M56)-L59</f>
        <v>#N/A</v>
      </c>
      <c r="N59" s="5" t="e">
        <f t="shared" si="95"/>
        <v>#N/A</v>
      </c>
      <c r="O59" s="5" t="e">
        <f>AVERAGE(O5:O56)-N59</f>
        <v>#N/A</v>
      </c>
      <c r="P59" s="5" t="e">
        <f t="shared" si="95"/>
        <v>#N/A</v>
      </c>
      <c r="Q59" s="5" t="e">
        <f>AVERAGE(Q5:Q56)-P59</f>
        <v>#N/A</v>
      </c>
      <c r="R59" s="5" t="e">
        <f t="shared" si="95"/>
        <v>#N/A</v>
      </c>
      <c r="S59" s="5" t="e">
        <f>AVERAGE(S5:S56)-R59</f>
        <v>#N/A</v>
      </c>
      <c r="T59" s="5" t="e">
        <f t="shared" si="95"/>
        <v>#N/A</v>
      </c>
      <c r="U59" s="5" t="e">
        <f>AVERAGE(U5:U56)-T59</f>
        <v>#N/A</v>
      </c>
      <c r="V59" s="5" t="e">
        <f t="shared" si="95"/>
        <v>#N/A</v>
      </c>
      <c r="W59" s="5" t="e">
        <f>AVERAGE(W5:W56)-V59</f>
        <v>#N/A</v>
      </c>
      <c r="X59" s="5" t="e">
        <f t="shared" si="95"/>
        <v>#N/A</v>
      </c>
      <c r="Y59" s="5" t="e">
        <f>AVERAGE(Y5:Y56)-X59</f>
        <v>#N/A</v>
      </c>
      <c r="Z59" s="5" t="e">
        <f t="shared" si="95"/>
        <v>#N/A</v>
      </c>
      <c r="AA59" s="5" t="e">
        <f>AVERAGE(AA5:AA56)-Z59</f>
        <v>#N/A</v>
      </c>
      <c r="AB59" s="5" t="e">
        <f t="shared" si="95"/>
        <v>#N/A</v>
      </c>
      <c r="AC59" s="5" t="e">
        <f>AVERAGE(AC5:AC56)-AB59</f>
        <v>#N/A</v>
      </c>
      <c r="AD59" s="5" t="e">
        <f t="shared" si="95"/>
        <v>#N/A</v>
      </c>
      <c r="AE59" s="5" t="e">
        <f>AVERAGE(AE5:AE56)-AD59</f>
        <v>#N/A</v>
      </c>
      <c r="AF59" s="5" t="e">
        <f t="shared" si="95"/>
        <v>#N/A</v>
      </c>
      <c r="AG59" s="5" t="e">
        <f>AVERAGE(AG5:AG56)-AF59</f>
        <v>#N/A</v>
      </c>
      <c r="AH59" s="5" t="e">
        <f t="shared" si="95"/>
        <v>#N/A</v>
      </c>
      <c r="AI59" s="5" t="e">
        <f>AVERAGE(AI5:AI56)-AH59</f>
        <v>#N/A</v>
      </c>
      <c r="AJ59" s="5" t="e">
        <f t="shared" si="95"/>
        <v>#N/A</v>
      </c>
      <c r="AK59" s="5" t="e">
        <f>AVERAGE(AK5:AK56)-AJ59</f>
        <v>#N/A</v>
      </c>
      <c r="AL59" s="5" t="e">
        <f t="shared" si="95"/>
        <v>#N/A</v>
      </c>
      <c r="AM59" s="5" t="e">
        <f>AVERAGE(AM5:AM56)-AL59</f>
        <v>#N/A</v>
      </c>
      <c r="AN59" s="5" t="e">
        <f t="shared" si="95"/>
        <v>#N/A</v>
      </c>
      <c r="AO59" s="5" t="e">
        <f>AVERAGE(AO5:AO56)-AN59</f>
        <v>#N/A</v>
      </c>
      <c r="AP59" s="5" t="e">
        <f t="shared" si="95"/>
        <v>#N/A</v>
      </c>
      <c r="AQ59" s="5" t="e">
        <f>AVERAGE(AQ5:AQ56)-AP59</f>
        <v>#N/A</v>
      </c>
      <c r="AR59" s="5" t="e">
        <f t="shared" si="95"/>
        <v>#N/A</v>
      </c>
      <c r="AS59" s="5" t="e">
        <f>AVERAGE(AS5:AS56)-AR59</f>
        <v>#N/A</v>
      </c>
      <c r="AT59" s="5" t="e">
        <f t="shared" si="95"/>
        <v>#N/A</v>
      </c>
      <c r="AU59" s="5" t="e">
        <f>AVERAGE(AU5:AU56)-AT59</f>
        <v>#N/A</v>
      </c>
      <c r="AV59" s="5" t="e">
        <f t="shared" si="95"/>
        <v>#N/A</v>
      </c>
      <c r="AW59" s="5" t="e">
        <f>AVERAGE(AW5:AW56)-AV59</f>
        <v>#N/A</v>
      </c>
      <c r="AX59" s="5" t="e">
        <f t="shared" si="95"/>
        <v>#N/A</v>
      </c>
      <c r="AY59" s="5" t="e">
        <f>AVERAGE(AY5:AY56)-AX59</f>
        <v>#N/A</v>
      </c>
      <c r="AZ59" s="5" t="e">
        <f t="shared" si="95"/>
        <v>#N/A</v>
      </c>
      <c r="BA59" s="5" t="e">
        <f>AVERAGE(BA5:BA56)-AZ59</f>
        <v>#N/A</v>
      </c>
      <c r="BB59" s="5" t="e">
        <f t="shared" si="95"/>
        <v>#N/A</v>
      </c>
      <c r="BC59" s="5" t="e">
        <f>AVERAGE(BC5:BC56)-BB59</f>
        <v>#N/A</v>
      </c>
      <c r="BD59" s="5" t="e">
        <f t="shared" si="95"/>
        <v>#N/A</v>
      </c>
      <c r="BE59" s="5" t="e">
        <f>AVERAGE(BE5:BE56)-BD59</f>
        <v>#N/A</v>
      </c>
      <c r="BF59" s="5" t="e">
        <f t="shared" si="95"/>
        <v>#N/A</v>
      </c>
      <c r="BG59" s="5" t="e">
        <f>AVERAGE(BG5:BG56)-BF59</f>
        <v>#N/A</v>
      </c>
      <c r="BH59" s="5" t="e">
        <f t="shared" si="95"/>
        <v>#N/A</v>
      </c>
      <c r="BI59" s="5" t="e">
        <f>AVERAGE(BI5:BI56)-BH59</f>
        <v>#N/A</v>
      </c>
      <c r="BJ59" s="5" t="e">
        <f t="shared" si="95"/>
        <v>#N/A</v>
      </c>
      <c r="BK59" s="5" t="e">
        <f>AVERAGE(BK5:BK56)-BJ59</f>
        <v>#N/A</v>
      </c>
      <c r="BL59" s="5" t="e">
        <f t="shared" si="95"/>
        <v>#N/A</v>
      </c>
      <c r="BM59" s="5" t="e">
        <f>AVERAGE(BM5:BM56)-BL59</f>
        <v>#N/A</v>
      </c>
      <c r="BN59" s="5" t="e">
        <f t="shared" si="95"/>
        <v>#N/A</v>
      </c>
      <c r="BO59" s="5" t="e">
        <f>AVERAGE(BO5:BO56)-BN59</f>
        <v>#N/A</v>
      </c>
      <c r="BP59" s="5" t="e">
        <f t="shared" si="95"/>
        <v>#N/A</v>
      </c>
      <c r="BQ59" s="5" t="e">
        <f>AVERAGE(BQ5:BQ56)-BP59</f>
        <v>#N/A</v>
      </c>
      <c r="BR59" s="5" t="e">
        <f t="shared" si="95"/>
        <v>#N/A</v>
      </c>
      <c r="BS59" s="5" t="e">
        <f>AVERAGE(BS5:BS56)-BR59</f>
        <v>#N/A</v>
      </c>
      <c r="BT59" s="5" t="e">
        <f t="shared" ref="BT59:CP59" si="96">AVERAGE(BT5:BT56)</f>
        <v>#N/A</v>
      </c>
      <c r="BU59" s="5" t="e">
        <f>AVERAGE(BU5:BU56)-BT59</f>
        <v>#N/A</v>
      </c>
      <c r="BV59" s="5" t="e">
        <f t="shared" si="96"/>
        <v>#N/A</v>
      </c>
      <c r="BW59" s="5" t="e">
        <f>AVERAGE(BW5:BW56)-BV59</f>
        <v>#N/A</v>
      </c>
      <c r="BX59" s="5" t="e">
        <f t="shared" si="96"/>
        <v>#N/A</v>
      </c>
      <c r="BY59" s="5" t="e">
        <f>AVERAGE(BY5:BY56)-BX59</f>
        <v>#N/A</v>
      </c>
      <c r="BZ59" s="5" t="e">
        <f t="shared" si="96"/>
        <v>#N/A</v>
      </c>
      <c r="CA59" s="5" t="e">
        <f>AVERAGE(CA5:CA56)-BZ59</f>
        <v>#N/A</v>
      </c>
      <c r="CB59" s="5" t="e">
        <f t="shared" si="96"/>
        <v>#N/A</v>
      </c>
      <c r="CC59" s="5" t="e">
        <f>AVERAGE(CC5:CC56)-CB59</f>
        <v>#N/A</v>
      </c>
      <c r="CD59" s="5" t="e">
        <f t="shared" si="96"/>
        <v>#N/A</v>
      </c>
      <c r="CE59" s="5" t="e">
        <f>AVERAGE(CE5:CE56)-CD59</f>
        <v>#N/A</v>
      </c>
      <c r="CF59" s="5" t="e">
        <f t="shared" si="96"/>
        <v>#N/A</v>
      </c>
      <c r="CG59" s="5" t="e">
        <f>AVERAGE(CG5:CG56)-CF59</f>
        <v>#N/A</v>
      </c>
      <c r="CH59" s="5" t="e">
        <f t="shared" si="96"/>
        <v>#N/A</v>
      </c>
      <c r="CI59" s="5" t="e">
        <f>AVERAGE(CI5:CI56)-CH59</f>
        <v>#N/A</v>
      </c>
      <c r="CJ59" s="5" t="e">
        <f t="shared" si="96"/>
        <v>#N/A</v>
      </c>
      <c r="CK59" s="5" t="e">
        <f>AVERAGE(CK5:CK56)-CJ59</f>
        <v>#N/A</v>
      </c>
      <c r="CL59" s="5" t="e">
        <f t="shared" si="96"/>
        <v>#N/A</v>
      </c>
      <c r="CM59" s="5" t="e">
        <f>AVERAGE(CM5:CM56)-CL59</f>
        <v>#N/A</v>
      </c>
      <c r="CN59" s="5" t="e">
        <f t="shared" si="96"/>
        <v>#N/A</v>
      </c>
      <c r="CO59" s="5" t="e">
        <f>AVERAGE(CO5:CO56)-CN59</f>
        <v>#N/A</v>
      </c>
      <c r="CP59" s="5" t="e">
        <f t="shared" si="96"/>
        <v>#N/A</v>
      </c>
      <c r="CQ59" s="5" t="e">
        <f>AVERAGE(CQ5:CQ56)-CP59</f>
        <v>#N/A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Caseload 1</v>
      </c>
      <c r="F63" s="5" t="e" cm="1">
        <f t="array" ref="F63">INDEX($F$59:$CW$60,1,MATCH(1,($E63=$F$1:$CQ$1)*($F$62=$F$4:$CQ$4)*(Summary!$B$5='Required Capacity (Hide)'!$F$2:$CQ$2),0))</f>
        <v>#N/A</v>
      </c>
      <c r="G63" s="5" t="e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Caseload 2</v>
      </c>
      <c r="F64" s="5" t="e">
        <f t="array" ref="F64">INDEX($F$59:$CW$60,1,MATCH(1,($E64=$F$1:$CQ$1)*($F$62=$F$4:$CQ$4)*(Summary!$B$5='Required Capacity (Hide)'!$F$2:$CQ$2),0))</f>
        <v>#N/A</v>
      </c>
      <c r="G64" s="5" t="e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Caseload 3</v>
      </c>
      <c r="F65" s="5" t="e">
        <f t="array" ref="F65">INDEX($F$59:$CW$60,1,MATCH(1,($E65=$F$1:$CQ$1)*($F$62=$F$4:$CQ$4)*(Summary!$B$5='Required Capacity (Hide)'!$F$2:$CQ$2),0))</f>
        <v>#N/A</v>
      </c>
      <c r="G65" s="5" t="e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Caseload 4</v>
      </c>
      <c r="F66" s="5" t="e">
        <f t="array" ref="F66">INDEX($F$59:$CW$60,1,MATCH(1,($E66=$F$1:$CQ$1)*($F$62=$F$4:$CQ$4)*(Summary!$B$5='Required Capacity (Hide)'!$F$2:$CQ$2),0))</f>
        <v>#N/A</v>
      </c>
      <c r="G66" s="5" t="e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Caseload 5</v>
      </c>
      <c r="F67" s="5" t="e">
        <f t="array" ref="F67">INDEX($F$59:$CW$60,1,MATCH(1,($E67=$F$1:$CQ$1)*($F$62=$F$4:$CQ$4)*(Summary!$B$5='Required Capacity (Hide)'!$F$2:$CQ$2),0))</f>
        <v>#N/A</v>
      </c>
      <c r="G67" s="5" t="e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 t="e">
        <f t="array" ref="F68">INDEX($F$59:$CW$60,1,MATCH(1,($E68=$F$1:$CQ$1)*($F$62=$F$4:$CQ$4)*(Summary!$B$5='Required Capacity (Hide)'!$F$2:$CQ$2),0))</f>
        <v>#N/A</v>
      </c>
      <c r="G68" s="5" t="e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 t="e">
        <f t="array" ref="F69">INDEX($F$59:$CW$60,1,MATCH(1,($E69=$F$1:$CQ$1)*($F$62=$F$4:$CQ$4)*(Summary!$B$5='Required Capacity (Hide)'!$F$2:$CQ$2),0))</f>
        <v>#N/A</v>
      </c>
      <c r="G69" s="5" t="e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 t="e">
        <f t="array" ref="F70">INDEX($F$59:$CW$60,1,MATCH(1,($E70=$F$1:$CQ$1)*($F$62=$F$4:$CQ$4)*(Summary!$B$5='Required Capacity (Hide)'!$F$2:$CQ$2),0))</f>
        <v>#N/A</v>
      </c>
      <c r="G70" s="5" t="e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 t="e">
        <f t="array" ref="F71">INDEX($F$59:$CW$60,1,MATCH(1,($E71=$F$1:$CQ$1)*($F$62=$F$4:$CQ$4)*(Summary!$B$5='Required Capacity (Hide)'!$F$2:$CQ$2),0))</f>
        <v>#N/A</v>
      </c>
      <c r="G71" s="5" t="e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 t="e">
        <f t="array" ref="F72">INDEX($F$59:$CW$60,1,MATCH(1,($E72=$F$1:$CQ$1)*($F$62=$F$4:$CQ$4)*(Summary!$B$5='Required Capacity (Hide)'!$F$2:$CQ$2),0))</f>
        <v>#N/A</v>
      </c>
      <c r="G72" s="5" t="e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 t="e">
        <f t="array" ref="F73">INDEX($F$59:$CW$60,1,MATCH(1,($E73=$F$1:$CQ$1)*($F$62=$F$4:$CQ$4)*(Summary!$B$5='Required Capacity (Hide)'!$F$2:$CQ$2),0))</f>
        <v>#N/A</v>
      </c>
      <c r="G73" s="5" t="e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 t="e">
        <f t="array" ref="F74">INDEX($F$59:$CW$60,1,MATCH(1,($E74=$F$1:$CQ$1)*($F$62=$F$4:$CQ$4)*(Summary!$B$5='Required Capacity (Hide)'!$F$2:$CQ$2),0))</f>
        <v>#N/A</v>
      </c>
      <c r="G74" s="5" t="e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 t="e">
        <f t="array" ref="F75">INDEX($F$59:$CW$60,1,MATCH(1,($E75=$F$1:$CQ$1)*($F$62=$F$4:$CQ$4)*(Summary!$B$5='Required Capacity (Hide)'!$F$2:$CQ$2),0))</f>
        <v>#N/A</v>
      </c>
      <c r="G75" s="5" t="e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 t="e">
        <f t="array" ref="F76">INDEX($F$59:$CW$60,1,MATCH(1,($E76=$F$1:$CQ$1)*($F$62=$F$4:$CQ$4)*(Summary!$B$5='Required Capacity (Hide)'!$F$2:$CQ$2),0))</f>
        <v>#N/A</v>
      </c>
      <c r="G76" s="5" t="e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 t="e">
        <f t="array" ref="F77">INDEX($F$59:$CW$60,1,MATCH(1,($E77=$F$1:$CQ$1)*($F$62=$F$4:$CQ$4)*(Summary!$B$5='Required Capacity (Hide)'!$F$2:$CQ$2),0))</f>
        <v>#N/A</v>
      </c>
      <c r="G77" s="5" t="e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showRowColHeaders="0" workbookViewId="0">
      <selection activeCell="U7" sqref="U7"/>
    </sheetView>
  </sheetViews>
  <sheetFormatPr defaultRowHeight="14.5" x14ac:dyDescent="0.35"/>
  <cols>
    <col min="2" max="2" width="16.08984375" customWidth="1"/>
    <col min="3" max="17" width="3.36328125" customWidth="1"/>
    <col min="18" max="18" width="13.7265625" bestFit="1" customWidth="1"/>
    <col min="23" max="23" width="12" customWidth="1"/>
    <col min="25" max="25" width="18.36328125" customWidth="1"/>
    <col min="26" max="40" width="3.36328125" customWidth="1"/>
    <col min="41" max="41" width="13.7265625" bestFit="1" customWidth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Caseload 1</v>
      </c>
      <c r="D6" s="80" t="str" cm="1">
        <f t="array" ref="D6">INDEX('Data Validation (Hide)'!$B$2:$B$16,COLUMN(B1),1)</f>
        <v>Caseload 2</v>
      </c>
      <c r="E6" s="80" t="str" cm="1">
        <f t="array" ref="E6">INDEX('Data Validation (Hide)'!$B$2:$B$16,COLUMN(C1),1)</f>
        <v>Caseload 3</v>
      </c>
      <c r="F6" s="80" t="str" cm="1">
        <f t="array" ref="F6">INDEX('Data Validation (Hide)'!$B$2:$B$16,COLUMN(D1),1)</f>
        <v>Caseload 4</v>
      </c>
      <c r="G6" s="80" t="str" cm="1">
        <f t="array" ref="G6">INDEX('Data Validation (Hide)'!$B$2:$B$16,COLUMN(E1),1)</f>
        <v>Caseload 5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Caseload 1</v>
      </c>
      <c r="AA6" s="83" t="str" cm="1">
        <f t="array" ref="AA6">INDEX('Data Validation (Hide)'!$B$2:$B$16,COLUMN(B1),1)</f>
        <v>Caseload 2</v>
      </c>
      <c r="AB6" s="83" t="str" cm="1">
        <f t="array" ref="AB6">INDEX('Data Validation (Hide)'!$B$2:$B$16,COLUMN(C1),1)</f>
        <v>Caseload 3</v>
      </c>
      <c r="AC6" s="83" t="str" cm="1">
        <f t="array" ref="AC6">INDEX('Data Validation (Hide)'!$B$2:$B$16,COLUMN(D1),1)</f>
        <v>Caseload 4</v>
      </c>
      <c r="AD6" s="83" t="str" cm="1">
        <f t="array" ref="AD6">INDEX('Data Validation (Hide)'!$B$2:$B$16,COLUMN(E1),1)</f>
        <v>Caseload 5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39"/>
      <c r="C7" s="154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56"/>
      <c r="R7" s="139"/>
      <c r="S7" s="139"/>
      <c r="T7" s="139"/>
      <c r="U7" s="37" t="str">
        <f>IF(T7*S7=0,"",T7*S7)</f>
        <v/>
      </c>
      <c r="V7" s="37" t="str">
        <f>IFERROR(U7/52,"")</f>
        <v/>
      </c>
      <c r="W7" s="37" t="str">
        <f>IFERROR(V7/COUNTIF(C7:Q7,"="&amp;"x"),"")</f>
        <v/>
      </c>
      <c r="X7" s="5"/>
      <c r="Y7" s="139"/>
      <c r="Z7" s="154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56"/>
      <c r="AO7" s="139"/>
      <c r="AP7" s="139"/>
      <c r="AQ7" s="139"/>
      <c r="AR7" s="37" t="str">
        <f>IF(AQ7*AP7=0,"",AQ7*AP7)</f>
        <v/>
      </c>
      <c r="AS7" s="37" t="str">
        <f t="shared" ref="AS7:AS70" si="0">IFERROR(AR7/52,"")</f>
        <v/>
      </c>
      <c r="AT7" s="37" t="str">
        <f>IFERROR(AS7/COUNTIF(Z7:AN7,"="&amp;"x"),"")</f>
        <v/>
      </c>
    </row>
    <row r="8" spans="1:46" x14ac:dyDescent="0.35">
      <c r="B8" s="140"/>
      <c r="C8" s="157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59"/>
      <c r="R8" s="140"/>
      <c r="S8" s="140"/>
      <c r="T8" s="140"/>
      <c r="U8" s="47" t="str">
        <f t="shared" ref="U8:U71" si="1">IF(T8*S8=0,"",T8*S8)</f>
        <v/>
      </c>
      <c r="V8" s="47" t="str">
        <f t="shared" ref="V8:V70" si="2">IFERROR(U8/52,"")</f>
        <v/>
      </c>
      <c r="W8" s="47" t="str">
        <f t="shared" ref="W8:W71" si="3">IFERROR(V8/COUNTIF(C8:Q8,"="&amp;"x"),"")</f>
        <v/>
      </c>
      <c r="X8" s="5"/>
      <c r="Y8" s="140"/>
      <c r="Z8" s="157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59"/>
      <c r="AO8" s="140"/>
      <c r="AP8" s="140"/>
      <c r="AQ8" s="140"/>
      <c r="AR8" s="47" t="str">
        <f t="shared" ref="AR8:AR71" si="4">IF(AQ8*AP8=0,"",AQ8*AP8)</f>
        <v/>
      </c>
      <c r="AS8" s="47" t="str">
        <f t="shared" si="0"/>
        <v/>
      </c>
      <c r="AT8" s="47" t="str">
        <f t="shared" ref="AT8:AT71" si="5">IFERROR(AS8/COUNTIF(Z8:AN8,"="&amp;"x"),"")</f>
        <v/>
      </c>
    </row>
    <row r="9" spans="1:46" x14ac:dyDescent="0.35">
      <c r="B9" s="140"/>
      <c r="C9" s="157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59"/>
      <c r="R9" s="140"/>
      <c r="S9" s="140"/>
      <c r="T9" s="140"/>
      <c r="U9" s="47" t="str">
        <f t="shared" si="1"/>
        <v/>
      </c>
      <c r="V9" s="47" t="str">
        <f t="shared" si="2"/>
        <v/>
      </c>
      <c r="W9" s="47" t="str">
        <f t="shared" si="3"/>
        <v/>
      </c>
      <c r="X9" s="5"/>
      <c r="Y9" s="140"/>
      <c r="Z9" s="157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59"/>
      <c r="AO9" s="140"/>
      <c r="AP9" s="140"/>
      <c r="AQ9" s="140"/>
      <c r="AR9" s="47" t="str">
        <f t="shared" si="4"/>
        <v/>
      </c>
      <c r="AS9" s="47" t="str">
        <f t="shared" si="0"/>
        <v/>
      </c>
      <c r="AT9" s="47" t="str">
        <f t="shared" si="5"/>
        <v/>
      </c>
    </row>
    <row r="10" spans="1:46" x14ac:dyDescent="0.35">
      <c r="B10" s="140"/>
      <c r="C10" s="157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59"/>
      <c r="R10" s="140"/>
      <c r="S10" s="140"/>
      <c r="T10" s="140"/>
      <c r="U10" s="47" t="str">
        <f t="shared" si="1"/>
        <v/>
      </c>
      <c r="V10" s="47" t="str">
        <f t="shared" si="2"/>
        <v/>
      </c>
      <c r="W10" s="47" t="str">
        <f t="shared" si="3"/>
        <v/>
      </c>
      <c r="X10" s="5"/>
      <c r="Y10" s="140"/>
      <c r="Z10" s="157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59"/>
      <c r="AO10" s="140"/>
      <c r="AP10" s="140"/>
      <c r="AQ10" s="140"/>
      <c r="AR10" s="47" t="str">
        <f t="shared" si="4"/>
        <v/>
      </c>
      <c r="AS10" s="47" t="str">
        <f t="shared" si="0"/>
        <v/>
      </c>
      <c r="AT10" s="47" t="str">
        <f t="shared" si="5"/>
        <v/>
      </c>
    </row>
    <row r="11" spans="1:46" x14ac:dyDescent="0.35">
      <c r="B11" s="140"/>
      <c r="C11" s="157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59"/>
      <c r="R11" s="140"/>
      <c r="S11" s="140"/>
      <c r="T11" s="140"/>
      <c r="U11" s="47" t="str">
        <f t="shared" si="1"/>
        <v/>
      </c>
      <c r="V11" s="47" t="str">
        <f t="shared" si="2"/>
        <v/>
      </c>
      <c r="W11" s="47" t="str">
        <f t="shared" si="3"/>
        <v/>
      </c>
      <c r="X11" s="5"/>
      <c r="Y11" s="140"/>
      <c r="Z11" s="157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59"/>
      <c r="AO11" s="140"/>
      <c r="AP11" s="140"/>
      <c r="AQ11" s="140"/>
      <c r="AR11" s="47" t="str">
        <f t="shared" si="4"/>
        <v/>
      </c>
      <c r="AS11" s="47" t="str">
        <f t="shared" si="0"/>
        <v/>
      </c>
      <c r="AT11" s="47" t="str">
        <f t="shared" si="5"/>
        <v/>
      </c>
    </row>
    <row r="12" spans="1:46" x14ac:dyDescent="0.35">
      <c r="B12" s="140"/>
      <c r="C12" s="157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59"/>
      <c r="R12" s="140"/>
      <c r="S12" s="140"/>
      <c r="T12" s="140"/>
      <c r="U12" s="47" t="str">
        <f t="shared" si="1"/>
        <v/>
      </c>
      <c r="V12" s="47" t="str">
        <f t="shared" si="2"/>
        <v/>
      </c>
      <c r="W12" s="47" t="str">
        <f t="shared" si="3"/>
        <v/>
      </c>
      <c r="X12" s="5"/>
      <c r="Y12" s="140"/>
      <c r="Z12" s="157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59"/>
      <c r="AO12" s="140"/>
      <c r="AP12" s="140"/>
      <c r="AQ12" s="140"/>
      <c r="AR12" s="47" t="str">
        <f t="shared" si="4"/>
        <v/>
      </c>
      <c r="AS12" s="47" t="str">
        <f t="shared" si="0"/>
        <v/>
      </c>
      <c r="AT12" s="47" t="str">
        <f t="shared" si="5"/>
        <v/>
      </c>
    </row>
    <row r="13" spans="1:46" x14ac:dyDescent="0.35">
      <c r="B13" s="140"/>
      <c r="C13" s="157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59"/>
      <c r="R13" s="140"/>
      <c r="S13" s="140"/>
      <c r="T13" s="140"/>
      <c r="U13" s="47" t="str">
        <f t="shared" si="1"/>
        <v/>
      </c>
      <c r="V13" s="47" t="str">
        <f t="shared" si="2"/>
        <v/>
      </c>
      <c r="W13" s="47" t="str">
        <f t="shared" si="3"/>
        <v/>
      </c>
      <c r="X13" s="5"/>
      <c r="Y13" s="140"/>
      <c r="Z13" s="157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59"/>
      <c r="AO13" s="140"/>
      <c r="AP13" s="140"/>
      <c r="AQ13" s="140"/>
      <c r="AR13" s="47" t="str">
        <f t="shared" si="4"/>
        <v/>
      </c>
      <c r="AS13" s="47" t="str">
        <f t="shared" si="0"/>
        <v/>
      </c>
      <c r="AT13" s="47" t="str">
        <f t="shared" si="5"/>
        <v/>
      </c>
    </row>
    <row r="14" spans="1:46" x14ac:dyDescent="0.35">
      <c r="B14" s="140"/>
      <c r="C14" s="157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59"/>
      <c r="R14" s="140"/>
      <c r="S14" s="140"/>
      <c r="T14" s="140"/>
      <c r="U14" s="47" t="str">
        <f t="shared" si="1"/>
        <v/>
      </c>
      <c r="V14" s="47" t="str">
        <f t="shared" si="2"/>
        <v/>
      </c>
      <c r="W14" s="47" t="str">
        <f t="shared" si="3"/>
        <v/>
      </c>
      <c r="X14" s="5"/>
      <c r="Y14" s="140"/>
      <c r="Z14" s="157"/>
      <c r="AA14" s="142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59"/>
      <c r="AO14" s="140"/>
      <c r="AP14" s="140"/>
      <c r="AQ14" s="140"/>
      <c r="AR14" s="47" t="str">
        <f t="shared" si="4"/>
        <v/>
      </c>
      <c r="AS14" s="47" t="str">
        <f t="shared" si="0"/>
        <v/>
      </c>
      <c r="AT14" s="47" t="str">
        <f t="shared" si="5"/>
        <v/>
      </c>
    </row>
    <row r="15" spans="1:46" x14ac:dyDescent="0.35">
      <c r="B15" s="140"/>
      <c r="C15" s="157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59"/>
      <c r="R15" s="140"/>
      <c r="S15" s="140"/>
      <c r="T15" s="140"/>
      <c r="U15" s="47" t="str">
        <f t="shared" si="1"/>
        <v/>
      </c>
      <c r="V15" s="47" t="str">
        <f t="shared" si="2"/>
        <v/>
      </c>
      <c r="W15" s="47" t="str">
        <f t="shared" si="3"/>
        <v/>
      </c>
      <c r="X15" s="5"/>
      <c r="Y15" s="140"/>
      <c r="Z15" s="157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59"/>
      <c r="AO15" s="140"/>
      <c r="AP15" s="140"/>
      <c r="AQ15" s="140"/>
      <c r="AR15" s="47" t="str">
        <f t="shared" si="4"/>
        <v/>
      </c>
      <c r="AS15" s="47" t="str">
        <f t="shared" si="0"/>
        <v/>
      </c>
      <c r="AT15" s="47" t="str">
        <f t="shared" si="5"/>
        <v/>
      </c>
    </row>
    <row r="16" spans="1:46" x14ac:dyDescent="0.35">
      <c r="B16" s="140"/>
      <c r="C16" s="157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59"/>
      <c r="R16" s="140"/>
      <c r="S16" s="140"/>
      <c r="T16" s="140"/>
      <c r="U16" s="47" t="str">
        <f t="shared" si="1"/>
        <v/>
      </c>
      <c r="V16" s="47" t="str">
        <f t="shared" si="2"/>
        <v/>
      </c>
      <c r="W16" s="47" t="str">
        <f t="shared" si="3"/>
        <v/>
      </c>
      <c r="Y16" s="140"/>
      <c r="Z16" s="157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59"/>
      <c r="AO16" s="140"/>
      <c r="AP16" s="140"/>
      <c r="AQ16" s="140"/>
      <c r="AR16" s="47" t="str">
        <f t="shared" si="4"/>
        <v/>
      </c>
      <c r="AS16" s="47" t="str">
        <f t="shared" si="0"/>
        <v/>
      </c>
      <c r="AT16" s="47" t="str">
        <f t="shared" si="5"/>
        <v/>
      </c>
    </row>
    <row r="17" spans="2:46" x14ac:dyDescent="0.35">
      <c r="B17" s="140"/>
      <c r="C17" s="157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59"/>
      <c r="R17" s="140"/>
      <c r="S17" s="140"/>
      <c r="T17" s="140"/>
      <c r="U17" s="47" t="str">
        <f t="shared" si="1"/>
        <v/>
      </c>
      <c r="V17" s="47" t="str">
        <f t="shared" si="2"/>
        <v/>
      </c>
      <c r="W17" s="47" t="str">
        <f t="shared" si="3"/>
        <v/>
      </c>
      <c r="Y17" s="140"/>
      <c r="Z17" s="157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59"/>
      <c r="AO17" s="140"/>
      <c r="AP17" s="140"/>
      <c r="AQ17" s="140"/>
      <c r="AR17" s="47" t="str">
        <f t="shared" si="4"/>
        <v/>
      </c>
      <c r="AS17" s="47" t="str">
        <f t="shared" si="0"/>
        <v/>
      </c>
      <c r="AT17" s="47" t="str">
        <f t="shared" si="5"/>
        <v/>
      </c>
    </row>
    <row r="18" spans="2:46" x14ac:dyDescent="0.35">
      <c r="B18" s="140"/>
      <c r="C18" s="157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59"/>
      <c r="R18" s="140"/>
      <c r="S18" s="140"/>
      <c r="T18" s="140"/>
      <c r="U18" s="47" t="str">
        <f t="shared" si="1"/>
        <v/>
      </c>
      <c r="V18" s="47" t="str">
        <f t="shared" si="2"/>
        <v/>
      </c>
      <c r="W18" s="47" t="str">
        <f t="shared" si="3"/>
        <v/>
      </c>
      <c r="Y18" s="140"/>
      <c r="Z18" s="157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59"/>
      <c r="AO18" s="140"/>
      <c r="AP18" s="140"/>
      <c r="AQ18" s="140"/>
      <c r="AR18" s="47" t="str">
        <f t="shared" si="4"/>
        <v/>
      </c>
      <c r="AS18" s="47" t="str">
        <f t="shared" si="0"/>
        <v/>
      </c>
      <c r="AT18" s="47" t="str">
        <f t="shared" si="5"/>
        <v/>
      </c>
    </row>
    <row r="19" spans="2:46" x14ac:dyDescent="0.35">
      <c r="B19" s="140"/>
      <c r="C19" s="157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59"/>
      <c r="R19" s="140"/>
      <c r="S19" s="140"/>
      <c r="T19" s="140"/>
      <c r="U19" s="47" t="str">
        <f t="shared" si="1"/>
        <v/>
      </c>
      <c r="V19" s="47" t="str">
        <f t="shared" si="2"/>
        <v/>
      </c>
      <c r="W19" s="47" t="str">
        <f t="shared" si="3"/>
        <v/>
      </c>
      <c r="Y19" s="140"/>
      <c r="Z19" s="157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59"/>
      <c r="AO19" s="140"/>
      <c r="AP19" s="140"/>
      <c r="AQ19" s="140"/>
      <c r="AR19" s="47" t="str">
        <f t="shared" si="4"/>
        <v/>
      </c>
      <c r="AS19" s="47" t="str">
        <f t="shared" si="0"/>
        <v/>
      </c>
      <c r="AT19" s="47" t="str">
        <f t="shared" si="5"/>
        <v/>
      </c>
    </row>
    <row r="20" spans="2:46" x14ac:dyDescent="0.35">
      <c r="B20" s="140"/>
      <c r="C20" s="157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59"/>
      <c r="R20" s="140"/>
      <c r="S20" s="140"/>
      <c r="T20" s="140"/>
      <c r="U20" s="47" t="str">
        <f t="shared" si="1"/>
        <v/>
      </c>
      <c r="V20" s="47" t="str">
        <f t="shared" si="2"/>
        <v/>
      </c>
      <c r="W20" s="47" t="str">
        <f t="shared" si="3"/>
        <v/>
      </c>
      <c r="Y20" s="140"/>
      <c r="Z20" s="157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59"/>
      <c r="AO20" s="140"/>
      <c r="AP20" s="140"/>
      <c r="AQ20" s="140"/>
      <c r="AR20" s="47" t="str">
        <f t="shared" si="4"/>
        <v/>
      </c>
      <c r="AS20" s="47" t="str">
        <f t="shared" si="0"/>
        <v/>
      </c>
      <c r="AT20" s="47" t="str">
        <f t="shared" si="5"/>
        <v/>
      </c>
    </row>
    <row r="21" spans="2:46" x14ac:dyDescent="0.35">
      <c r="B21" s="140"/>
      <c r="C21" s="157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59"/>
      <c r="R21" s="140"/>
      <c r="S21" s="140"/>
      <c r="T21" s="140"/>
      <c r="U21" s="47" t="str">
        <f t="shared" si="1"/>
        <v/>
      </c>
      <c r="V21" s="47" t="str">
        <f t="shared" si="2"/>
        <v/>
      </c>
      <c r="W21" s="47" t="str">
        <f t="shared" si="3"/>
        <v/>
      </c>
      <c r="Y21" s="140"/>
      <c r="Z21" s="157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59"/>
      <c r="AO21" s="140"/>
      <c r="AP21" s="140"/>
      <c r="AQ21" s="140"/>
      <c r="AR21" s="47" t="str">
        <f t="shared" si="4"/>
        <v/>
      </c>
      <c r="AS21" s="47" t="str">
        <f t="shared" si="0"/>
        <v/>
      </c>
      <c r="AT21" s="47" t="str">
        <f t="shared" si="5"/>
        <v/>
      </c>
    </row>
    <row r="22" spans="2:46" x14ac:dyDescent="0.35">
      <c r="B22" s="140"/>
      <c r="C22" s="157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59"/>
      <c r="R22" s="140"/>
      <c r="S22" s="140"/>
      <c r="T22" s="140"/>
      <c r="U22" s="47" t="str">
        <f t="shared" si="1"/>
        <v/>
      </c>
      <c r="V22" s="47" t="str">
        <f t="shared" si="2"/>
        <v/>
      </c>
      <c r="W22" s="47" t="str">
        <f t="shared" si="3"/>
        <v/>
      </c>
      <c r="Y22" s="140"/>
      <c r="Z22" s="157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59"/>
      <c r="AO22" s="140"/>
      <c r="AP22" s="140"/>
      <c r="AQ22" s="140"/>
      <c r="AR22" s="47" t="str">
        <f t="shared" si="4"/>
        <v/>
      </c>
      <c r="AS22" s="47" t="str">
        <f t="shared" si="0"/>
        <v/>
      </c>
      <c r="AT22" s="47" t="str">
        <f t="shared" si="5"/>
        <v/>
      </c>
    </row>
    <row r="23" spans="2:46" x14ac:dyDescent="0.35">
      <c r="B23" s="140"/>
      <c r="C23" s="157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59"/>
      <c r="R23" s="140"/>
      <c r="S23" s="140"/>
      <c r="T23" s="140"/>
      <c r="U23" s="47" t="str">
        <f t="shared" si="1"/>
        <v/>
      </c>
      <c r="V23" s="47" t="str">
        <f t="shared" si="2"/>
        <v/>
      </c>
      <c r="W23" s="47" t="str">
        <f t="shared" si="3"/>
        <v/>
      </c>
      <c r="Y23" s="140"/>
      <c r="Z23" s="157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59"/>
      <c r="AO23" s="140"/>
      <c r="AP23" s="140"/>
      <c r="AQ23" s="140"/>
      <c r="AR23" s="47" t="str">
        <f t="shared" si="4"/>
        <v/>
      </c>
      <c r="AS23" s="47" t="str">
        <f t="shared" si="0"/>
        <v/>
      </c>
      <c r="AT23" s="47" t="str">
        <f t="shared" si="5"/>
        <v/>
      </c>
    </row>
    <row r="24" spans="2:46" x14ac:dyDescent="0.35">
      <c r="B24" s="140"/>
      <c r="C24" s="157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59"/>
      <c r="R24" s="140"/>
      <c r="S24" s="140"/>
      <c r="T24" s="140"/>
      <c r="U24" s="47" t="str">
        <f t="shared" si="1"/>
        <v/>
      </c>
      <c r="V24" s="47" t="str">
        <f t="shared" si="2"/>
        <v/>
      </c>
      <c r="W24" s="47" t="str">
        <f t="shared" si="3"/>
        <v/>
      </c>
      <c r="Y24" s="140"/>
      <c r="Z24" s="157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59"/>
      <c r="AO24" s="140"/>
      <c r="AP24" s="140"/>
      <c r="AQ24" s="140"/>
      <c r="AR24" s="47" t="str">
        <f t="shared" si="4"/>
        <v/>
      </c>
      <c r="AS24" s="47" t="str">
        <f t="shared" si="0"/>
        <v/>
      </c>
      <c r="AT24" s="47" t="str">
        <f t="shared" si="5"/>
        <v/>
      </c>
    </row>
    <row r="25" spans="2:46" x14ac:dyDescent="0.35">
      <c r="B25" s="140"/>
      <c r="C25" s="157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59"/>
      <c r="R25" s="140"/>
      <c r="S25" s="140"/>
      <c r="T25" s="140"/>
      <c r="U25" s="47" t="str">
        <f t="shared" si="1"/>
        <v/>
      </c>
      <c r="V25" s="47" t="str">
        <f t="shared" si="2"/>
        <v/>
      </c>
      <c r="W25" s="47" t="str">
        <f t="shared" si="3"/>
        <v/>
      </c>
      <c r="Y25" s="140"/>
      <c r="Z25" s="157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59"/>
      <c r="AO25" s="140"/>
      <c r="AP25" s="140"/>
      <c r="AQ25" s="140"/>
      <c r="AR25" s="47" t="str">
        <f t="shared" si="4"/>
        <v/>
      </c>
      <c r="AS25" s="47" t="str">
        <f t="shared" si="0"/>
        <v/>
      </c>
      <c r="AT25" s="47" t="str">
        <f t="shared" si="5"/>
        <v/>
      </c>
    </row>
    <row r="26" spans="2:46" x14ac:dyDescent="0.35">
      <c r="B26" s="140"/>
      <c r="C26" s="157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59"/>
      <c r="R26" s="140"/>
      <c r="S26" s="140"/>
      <c r="T26" s="140"/>
      <c r="U26" s="47" t="str">
        <f t="shared" si="1"/>
        <v/>
      </c>
      <c r="V26" s="47" t="str">
        <f t="shared" si="2"/>
        <v/>
      </c>
      <c r="W26" s="47" t="str">
        <f t="shared" si="3"/>
        <v/>
      </c>
      <c r="Y26" s="140"/>
      <c r="Z26" s="157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59"/>
      <c r="AO26" s="140"/>
      <c r="AP26" s="140"/>
      <c r="AQ26" s="140"/>
      <c r="AR26" s="47" t="str">
        <f t="shared" si="4"/>
        <v/>
      </c>
      <c r="AS26" s="47" t="str">
        <f t="shared" si="0"/>
        <v/>
      </c>
      <c r="AT26" s="47" t="str">
        <f t="shared" si="5"/>
        <v/>
      </c>
    </row>
    <row r="27" spans="2:46" x14ac:dyDescent="0.35">
      <c r="B27" s="140"/>
      <c r="C27" s="157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59"/>
      <c r="R27" s="140"/>
      <c r="S27" s="140"/>
      <c r="T27" s="140"/>
      <c r="U27" s="47" t="str">
        <f t="shared" si="1"/>
        <v/>
      </c>
      <c r="V27" s="47" t="str">
        <f t="shared" si="2"/>
        <v/>
      </c>
      <c r="W27" s="47" t="str">
        <f t="shared" si="3"/>
        <v/>
      </c>
      <c r="Y27" s="140"/>
      <c r="Z27" s="157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59"/>
      <c r="AO27" s="140"/>
      <c r="AP27" s="140"/>
      <c r="AQ27" s="140"/>
      <c r="AR27" s="47" t="str">
        <f t="shared" si="4"/>
        <v/>
      </c>
      <c r="AS27" s="47" t="str">
        <f t="shared" si="0"/>
        <v/>
      </c>
      <c r="AT27" s="47" t="str">
        <f t="shared" si="5"/>
        <v/>
      </c>
    </row>
    <row r="28" spans="2:46" x14ac:dyDescent="0.35">
      <c r="B28" s="140"/>
      <c r="C28" s="157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59"/>
      <c r="R28" s="140"/>
      <c r="S28" s="140"/>
      <c r="T28" s="140"/>
      <c r="U28" s="47" t="str">
        <f t="shared" si="1"/>
        <v/>
      </c>
      <c r="V28" s="47" t="str">
        <f t="shared" si="2"/>
        <v/>
      </c>
      <c r="W28" s="47" t="str">
        <f t="shared" si="3"/>
        <v/>
      </c>
      <c r="Y28" s="140"/>
      <c r="Z28" s="157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59"/>
      <c r="AO28" s="140"/>
      <c r="AP28" s="140"/>
      <c r="AQ28" s="140"/>
      <c r="AR28" s="47" t="str">
        <f t="shared" si="4"/>
        <v/>
      </c>
      <c r="AS28" s="47" t="str">
        <f t="shared" si="0"/>
        <v/>
      </c>
      <c r="AT28" s="47" t="str">
        <f t="shared" si="5"/>
        <v/>
      </c>
    </row>
    <row r="29" spans="2:46" x14ac:dyDescent="0.35">
      <c r="B29" s="140"/>
      <c r="C29" s="157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59"/>
      <c r="R29" s="140"/>
      <c r="S29" s="140"/>
      <c r="T29" s="140"/>
      <c r="U29" s="47" t="str">
        <f t="shared" si="1"/>
        <v/>
      </c>
      <c r="V29" s="47" t="str">
        <f t="shared" si="2"/>
        <v/>
      </c>
      <c r="W29" s="47" t="str">
        <f t="shared" si="3"/>
        <v/>
      </c>
      <c r="Y29" s="140"/>
      <c r="Z29" s="157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59"/>
      <c r="AO29" s="140"/>
      <c r="AP29" s="140"/>
      <c r="AQ29" s="140"/>
      <c r="AR29" s="47" t="str">
        <f t="shared" si="4"/>
        <v/>
      </c>
      <c r="AS29" s="47" t="str">
        <f t="shared" si="0"/>
        <v/>
      </c>
      <c r="AT29" s="47" t="str">
        <f t="shared" si="5"/>
        <v/>
      </c>
    </row>
    <row r="30" spans="2:46" x14ac:dyDescent="0.35">
      <c r="B30" s="140"/>
      <c r="C30" s="157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59"/>
      <c r="R30" s="140"/>
      <c r="S30" s="140"/>
      <c r="T30" s="140"/>
      <c r="U30" s="47" t="str">
        <f t="shared" si="1"/>
        <v/>
      </c>
      <c r="V30" s="47" t="str">
        <f t="shared" si="2"/>
        <v/>
      </c>
      <c r="W30" s="47" t="str">
        <f t="shared" si="3"/>
        <v/>
      </c>
      <c r="Y30" s="140"/>
      <c r="Z30" s="157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59"/>
      <c r="AO30" s="140"/>
      <c r="AP30" s="140"/>
      <c r="AQ30" s="140"/>
      <c r="AR30" s="47" t="str">
        <f t="shared" si="4"/>
        <v/>
      </c>
      <c r="AS30" s="47" t="str">
        <f t="shared" si="0"/>
        <v/>
      </c>
      <c r="AT30" s="47" t="str">
        <f t="shared" si="5"/>
        <v/>
      </c>
    </row>
    <row r="31" spans="2:46" x14ac:dyDescent="0.35">
      <c r="B31" s="140"/>
      <c r="C31" s="157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59"/>
      <c r="R31" s="140"/>
      <c r="S31" s="140"/>
      <c r="T31" s="140"/>
      <c r="U31" s="47" t="str">
        <f t="shared" si="1"/>
        <v/>
      </c>
      <c r="V31" s="47" t="str">
        <f t="shared" si="2"/>
        <v/>
      </c>
      <c r="W31" s="47" t="str">
        <f t="shared" si="3"/>
        <v/>
      </c>
      <c r="Y31" s="140"/>
      <c r="Z31" s="157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59"/>
      <c r="AO31" s="140"/>
      <c r="AP31" s="140"/>
      <c r="AQ31" s="140"/>
      <c r="AR31" s="47" t="str">
        <f t="shared" si="4"/>
        <v/>
      </c>
      <c r="AS31" s="47" t="str">
        <f t="shared" si="0"/>
        <v/>
      </c>
      <c r="AT31" s="47" t="str">
        <f t="shared" si="5"/>
        <v/>
      </c>
    </row>
    <row r="32" spans="2:46" x14ac:dyDescent="0.35">
      <c r="B32" s="140"/>
      <c r="C32" s="157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59"/>
      <c r="R32" s="140"/>
      <c r="S32" s="140"/>
      <c r="T32" s="140"/>
      <c r="U32" s="47" t="str">
        <f t="shared" si="1"/>
        <v/>
      </c>
      <c r="V32" s="47" t="str">
        <f t="shared" si="2"/>
        <v/>
      </c>
      <c r="W32" s="47" t="str">
        <f t="shared" si="3"/>
        <v/>
      </c>
      <c r="Y32" s="140"/>
      <c r="Z32" s="157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59"/>
      <c r="AO32" s="140"/>
      <c r="AP32" s="140"/>
      <c r="AQ32" s="140"/>
      <c r="AR32" s="47" t="str">
        <f t="shared" si="4"/>
        <v/>
      </c>
      <c r="AS32" s="47" t="str">
        <f t="shared" si="0"/>
        <v/>
      </c>
      <c r="AT32" s="47" t="str">
        <f t="shared" si="5"/>
        <v/>
      </c>
    </row>
    <row r="33" spans="2:46" x14ac:dyDescent="0.35">
      <c r="B33" s="140"/>
      <c r="C33" s="157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59"/>
      <c r="R33" s="140"/>
      <c r="S33" s="140"/>
      <c r="T33" s="140"/>
      <c r="U33" s="47" t="str">
        <f t="shared" si="1"/>
        <v/>
      </c>
      <c r="V33" s="47" t="str">
        <f t="shared" si="2"/>
        <v/>
      </c>
      <c r="W33" s="47" t="str">
        <f t="shared" si="3"/>
        <v/>
      </c>
      <c r="Y33" s="140"/>
      <c r="Z33" s="157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59"/>
      <c r="AO33" s="140"/>
      <c r="AP33" s="140"/>
      <c r="AQ33" s="140"/>
      <c r="AR33" s="47" t="str">
        <f t="shared" si="4"/>
        <v/>
      </c>
      <c r="AS33" s="47" t="str">
        <f t="shared" si="0"/>
        <v/>
      </c>
      <c r="AT33" s="47" t="str">
        <f t="shared" si="5"/>
        <v/>
      </c>
    </row>
    <row r="34" spans="2:46" x14ac:dyDescent="0.35">
      <c r="B34" s="140"/>
      <c r="C34" s="157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59"/>
      <c r="R34" s="140"/>
      <c r="S34" s="140"/>
      <c r="T34" s="140"/>
      <c r="U34" s="47" t="str">
        <f t="shared" si="1"/>
        <v/>
      </c>
      <c r="V34" s="47" t="str">
        <f t="shared" si="2"/>
        <v/>
      </c>
      <c r="W34" s="47" t="str">
        <f t="shared" si="3"/>
        <v/>
      </c>
      <c r="Y34" s="140"/>
      <c r="Z34" s="157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59"/>
      <c r="AO34" s="140"/>
      <c r="AP34" s="140"/>
      <c r="AQ34" s="140"/>
      <c r="AR34" s="47" t="str">
        <f t="shared" si="4"/>
        <v/>
      </c>
      <c r="AS34" s="47" t="str">
        <f t="shared" si="0"/>
        <v/>
      </c>
      <c r="AT34" s="47" t="str">
        <f t="shared" si="5"/>
        <v/>
      </c>
    </row>
    <row r="35" spans="2:46" x14ac:dyDescent="0.35">
      <c r="B35" s="140"/>
      <c r="C35" s="157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59"/>
      <c r="R35" s="140"/>
      <c r="S35" s="140"/>
      <c r="T35" s="140"/>
      <c r="U35" s="47" t="str">
        <f t="shared" si="1"/>
        <v/>
      </c>
      <c r="V35" s="47" t="str">
        <f t="shared" si="2"/>
        <v/>
      </c>
      <c r="W35" s="47" t="str">
        <f t="shared" si="3"/>
        <v/>
      </c>
      <c r="Y35" s="140"/>
      <c r="Z35" s="157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59"/>
      <c r="AO35" s="140"/>
      <c r="AP35" s="140"/>
      <c r="AQ35" s="140"/>
      <c r="AR35" s="47" t="str">
        <f t="shared" si="4"/>
        <v/>
      </c>
      <c r="AS35" s="47" t="str">
        <f t="shared" si="0"/>
        <v/>
      </c>
      <c r="AT35" s="47" t="str">
        <f t="shared" si="5"/>
        <v/>
      </c>
    </row>
    <row r="36" spans="2:46" x14ac:dyDescent="0.35">
      <c r="B36" s="140"/>
      <c r="C36" s="157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59"/>
      <c r="R36" s="140"/>
      <c r="S36" s="140"/>
      <c r="T36" s="140"/>
      <c r="U36" s="47" t="str">
        <f t="shared" si="1"/>
        <v/>
      </c>
      <c r="V36" s="47" t="str">
        <f t="shared" si="2"/>
        <v/>
      </c>
      <c r="W36" s="47" t="str">
        <f t="shared" si="3"/>
        <v/>
      </c>
      <c r="Y36" s="140"/>
      <c r="Z36" s="157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59"/>
      <c r="AO36" s="140"/>
      <c r="AP36" s="140"/>
      <c r="AQ36" s="140"/>
      <c r="AR36" s="47" t="str">
        <f t="shared" si="4"/>
        <v/>
      </c>
      <c r="AS36" s="47" t="str">
        <f t="shared" si="0"/>
        <v/>
      </c>
      <c r="AT36" s="47" t="str">
        <f t="shared" si="5"/>
        <v/>
      </c>
    </row>
    <row r="37" spans="2:46" x14ac:dyDescent="0.35">
      <c r="B37" s="140"/>
      <c r="C37" s="157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59"/>
      <c r="R37" s="140"/>
      <c r="S37" s="140"/>
      <c r="T37" s="140"/>
      <c r="U37" s="47" t="str">
        <f t="shared" si="1"/>
        <v/>
      </c>
      <c r="V37" s="47" t="str">
        <f t="shared" si="2"/>
        <v/>
      </c>
      <c r="W37" s="47" t="str">
        <f t="shared" si="3"/>
        <v/>
      </c>
      <c r="Y37" s="140"/>
      <c r="Z37" s="157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59"/>
      <c r="AO37" s="140"/>
      <c r="AP37" s="140"/>
      <c r="AQ37" s="140"/>
      <c r="AR37" s="47" t="str">
        <f t="shared" si="4"/>
        <v/>
      </c>
      <c r="AS37" s="47" t="str">
        <f t="shared" si="0"/>
        <v/>
      </c>
      <c r="AT37" s="47" t="str">
        <f t="shared" si="5"/>
        <v/>
      </c>
    </row>
    <row r="38" spans="2:46" x14ac:dyDescent="0.35">
      <c r="B38" s="140"/>
      <c r="C38" s="157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59"/>
      <c r="R38" s="140"/>
      <c r="S38" s="140"/>
      <c r="T38" s="140"/>
      <c r="U38" s="47" t="str">
        <f t="shared" si="1"/>
        <v/>
      </c>
      <c r="V38" s="47" t="str">
        <f t="shared" si="2"/>
        <v/>
      </c>
      <c r="W38" s="47" t="str">
        <f t="shared" si="3"/>
        <v/>
      </c>
      <c r="Y38" s="140"/>
      <c r="Z38" s="157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59"/>
      <c r="AO38" s="140"/>
      <c r="AP38" s="140"/>
      <c r="AQ38" s="140"/>
      <c r="AR38" s="47" t="str">
        <f t="shared" si="4"/>
        <v/>
      </c>
      <c r="AS38" s="47" t="str">
        <f t="shared" si="0"/>
        <v/>
      </c>
      <c r="AT38" s="47" t="str">
        <f t="shared" si="5"/>
        <v/>
      </c>
    </row>
    <row r="39" spans="2:46" x14ac:dyDescent="0.35">
      <c r="B39" s="140"/>
      <c r="C39" s="157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59"/>
      <c r="R39" s="140"/>
      <c r="S39" s="140"/>
      <c r="T39" s="140"/>
      <c r="U39" s="47" t="str">
        <f t="shared" si="1"/>
        <v/>
      </c>
      <c r="V39" s="47" t="str">
        <f t="shared" si="2"/>
        <v/>
      </c>
      <c r="W39" s="47" t="str">
        <f t="shared" si="3"/>
        <v/>
      </c>
      <c r="Y39" s="140"/>
      <c r="Z39" s="157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59"/>
      <c r="AO39" s="140"/>
      <c r="AP39" s="140"/>
      <c r="AQ39" s="140"/>
      <c r="AR39" s="47" t="str">
        <f t="shared" si="4"/>
        <v/>
      </c>
      <c r="AS39" s="47" t="str">
        <f t="shared" si="0"/>
        <v/>
      </c>
      <c r="AT39" s="47" t="str">
        <f t="shared" si="5"/>
        <v/>
      </c>
    </row>
    <row r="40" spans="2:46" x14ac:dyDescent="0.35">
      <c r="B40" s="140"/>
      <c r="C40" s="157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59"/>
      <c r="R40" s="140"/>
      <c r="S40" s="140"/>
      <c r="T40" s="140"/>
      <c r="U40" s="47" t="str">
        <f t="shared" si="1"/>
        <v/>
      </c>
      <c r="V40" s="47" t="str">
        <f t="shared" si="2"/>
        <v/>
      </c>
      <c r="W40" s="47" t="str">
        <f t="shared" si="3"/>
        <v/>
      </c>
      <c r="Y40" s="140"/>
      <c r="Z40" s="157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59"/>
      <c r="AO40" s="140"/>
      <c r="AP40" s="140"/>
      <c r="AQ40" s="140"/>
      <c r="AR40" s="47" t="str">
        <f t="shared" si="4"/>
        <v/>
      </c>
      <c r="AS40" s="47" t="str">
        <f t="shared" si="0"/>
        <v/>
      </c>
      <c r="AT40" s="47" t="str">
        <f t="shared" si="5"/>
        <v/>
      </c>
    </row>
    <row r="41" spans="2:46" x14ac:dyDescent="0.35">
      <c r="B41" s="140"/>
      <c r="C41" s="157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59"/>
      <c r="R41" s="140"/>
      <c r="S41" s="140"/>
      <c r="T41" s="140"/>
      <c r="U41" s="47" t="str">
        <f t="shared" si="1"/>
        <v/>
      </c>
      <c r="V41" s="47" t="str">
        <f t="shared" si="2"/>
        <v/>
      </c>
      <c r="W41" s="47" t="str">
        <f t="shared" si="3"/>
        <v/>
      </c>
      <c r="Y41" s="140"/>
      <c r="Z41" s="157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59"/>
      <c r="AO41" s="140"/>
      <c r="AP41" s="140"/>
      <c r="AQ41" s="140"/>
      <c r="AR41" s="47" t="str">
        <f t="shared" si="4"/>
        <v/>
      </c>
      <c r="AS41" s="47" t="str">
        <f t="shared" si="0"/>
        <v/>
      </c>
      <c r="AT41" s="47" t="str">
        <f t="shared" si="5"/>
        <v/>
      </c>
    </row>
    <row r="42" spans="2:46" x14ac:dyDescent="0.35">
      <c r="B42" s="140"/>
      <c r="C42" s="157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59"/>
      <c r="R42" s="140"/>
      <c r="S42" s="140"/>
      <c r="T42" s="140"/>
      <c r="U42" s="47" t="str">
        <f t="shared" si="1"/>
        <v/>
      </c>
      <c r="V42" s="47" t="str">
        <f t="shared" si="2"/>
        <v/>
      </c>
      <c r="W42" s="47" t="str">
        <f t="shared" si="3"/>
        <v/>
      </c>
      <c r="Y42" s="140"/>
      <c r="Z42" s="157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59"/>
      <c r="AO42" s="140"/>
      <c r="AP42" s="140"/>
      <c r="AQ42" s="140"/>
      <c r="AR42" s="47" t="str">
        <f t="shared" si="4"/>
        <v/>
      </c>
      <c r="AS42" s="47" t="str">
        <f t="shared" si="0"/>
        <v/>
      </c>
      <c r="AT42" s="47" t="str">
        <f t="shared" si="5"/>
        <v/>
      </c>
    </row>
    <row r="43" spans="2:46" x14ac:dyDescent="0.35">
      <c r="B43" s="140"/>
      <c r="C43" s="157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59"/>
      <c r="R43" s="140"/>
      <c r="S43" s="140"/>
      <c r="T43" s="140"/>
      <c r="U43" s="47" t="str">
        <f t="shared" si="1"/>
        <v/>
      </c>
      <c r="V43" s="47" t="str">
        <f t="shared" si="2"/>
        <v/>
      </c>
      <c r="W43" s="47" t="str">
        <f t="shared" si="3"/>
        <v/>
      </c>
      <c r="Y43" s="140"/>
      <c r="Z43" s="157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59"/>
      <c r="AO43" s="140"/>
      <c r="AP43" s="140"/>
      <c r="AQ43" s="140"/>
      <c r="AR43" s="47" t="str">
        <f t="shared" si="4"/>
        <v/>
      </c>
      <c r="AS43" s="47" t="str">
        <f t="shared" si="0"/>
        <v/>
      </c>
      <c r="AT43" s="47" t="str">
        <f t="shared" si="5"/>
        <v/>
      </c>
    </row>
    <row r="44" spans="2:46" x14ac:dyDescent="0.35">
      <c r="B44" s="140"/>
      <c r="C44" s="157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59"/>
      <c r="R44" s="140"/>
      <c r="S44" s="140"/>
      <c r="T44" s="140"/>
      <c r="U44" s="47" t="str">
        <f t="shared" si="1"/>
        <v/>
      </c>
      <c r="V44" s="47" t="str">
        <f t="shared" si="2"/>
        <v/>
      </c>
      <c r="W44" s="47" t="str">
        <f t="shared" si="3"/>
        <v/>
      </c>
      <c r="Y44" s="140"/>
      <c r="Z44" s="157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59"/>
      <c r="AO44" s="140"/>
      <c r="AP44" s="140"/>
      <c r="AQ44" s="140"/>
      <c r="AR44" s="47" t="str">
        <f t="shared" si="4"/>
        <v/>
      </c>
      <c r="AS44" s="47" t="str">
        <f t="shared" si="0"/>
        <v/>
      </c>
      <c r="AT44" s="47" t="str">
        <f t="shared" si="5"/>
        <v/>
      </c>
    </row>
    <row r="45" spans="2:46" x14ac:dyDescent="0.35">
      <c r="B45" s="140"/>
      <c r="C45" s="157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59"/>
      <c r="R45" s="140"/>
      <c r="S45" s="140"/>
      <c r="T45" s="140"/>
      <c r="U45" s="47" t="str">
        <f t="shared" si="1"/>
        <v/>
      </c>
      <c r="V45" s="47" t="str">
        <f t="shared" si="2"/>
        <v/>
      </c>
      <c r="W45" s="47" t="str">
        <f t="shared" si="3"/>
        <v/>
      </c>
      <c r="Y45" s="140"/>
      <c r="Z45" s="157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59"/>
      <c r="AO45" s="140"/>
      <c r="AP45" s="140"/>
      <c r="AQ45" s="140"/>
      <c r="AR45" s="47" t="str">
        <f t="shared" si="4"/>
        <v/>
      </c>
      <c r="AS45" s="47" t="str">
        <f t="shared" si="0"/>
        <v/>
      </c>
      <c r="AT45" s="47" t="str">
        <f t="shared" si="5"/>
        <v/>
      </c>
    </row>
    <row r="46" spans="2:46" x14ac:dyDescent="0.35">
      <c r="B46" s="140"/>
      <c r="C46" s="157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59"/>
      <c r="R46" s="140"/>
      <c r="S46" s="140"/>
      <c r="T46" s="140"/>
      <c r="U46" s="47" t="str">
        <f t="shared" si="1"/>
        <v/>
      </c>
      <c r="V46" s="47" t="str">
        <f t="shared" si="2"/>
        <v/>
      </c>
      <c r="W46" s="47" t="str">
        <f t="shared" si="3"/>
        <v/>
      </c>
      <c r="Y46" s="140"/>
      <c r="Z46" s="157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59"/>
      <c r="AO46" s="140"/>
      <c r="AP46" s="140"/>
      <c r="AQ46" s="140"/>
      <c r="AR46" s="47" t="str">
        <f t="shared" si="4"/>
        <v/>
      </c>
      <c r="AS46" s="47" t="str">
        <f t="shared" si="0"/>
        <v/>
      </c>
      <c r="AT46" s="47" t="str">
        <f t="shared" si="5"/>
        <v/>
      </c>
    </row>
    <row r="47" spans="2:46" x14ac:dyDescent="0.35">
      <c r="B47" s="140"/>
      <c r="C47" s="157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59"/>
      <c r="R47" s="140"/>
      <c r="S47" s="140"/>
      <c r="T47" s="140"/>
      <c r="U47" s="47" t="str">
        <f t="shared" si="1"/>
        <v/>
      </c>
      <c r="V47" s="47" t="str">
        <f t="shared" si="2"/>
        <v/>
      </c>
      <c r="W47" s="47" t="str">
        <f t="shared" si="3"/>
        <v/>
      </c>
      <c r="Y47" s="140"/>
      <c r="Z47" s="157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59"/>
      <c r="AO47" s="140"/>
      <c r="AP47" s="140"/>
      <c r="AQ47" s="140"/>
      <c r="AR47" s="47" t="str">
        <f t="shared" si="4"/>
        <v/>
      </c>
      <c r="AS47" s="47" t="str">
        <f t="shared" si="0"/>
        <v/>
      </c>
      <c r="AT47" s="47" t="str">
        <f t="shared" si="5"/>
        <v/>
      </c>
    </row>
    <row r="48" spans="2:46" x14ac:dyDescent="0.35">
      <c r="B48" s="140"/>
      <c r="C48" s="157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59"/>
      <c r="R48" s="140"/>
      <c r="S48" s="140"/>
      <c r="T48" s="140"/>
      <c r="U48" s="47" t="str">
        <f t="shared" si="1"/>
        <v/>
      </c>
      <c r="V48" s="47" t="str">
        <f t="shared" si="2"/>
        <v/>
      </c>
      <c r="W48" s="47" t="str">
        <f t="shared" si="3"/>
        <v/>
      </c>
      <c r="Y48" s="140"/>
      <c r="Z48" s="157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59"/>
      <c r="AO48" s="140"/>
      <c r="AP48" s="140"/>
      <c r="AQ48" s="140"/>
      <c r="AR48" s="47" t="str">
        <f t="shared" si="4"/>
        <v/>
      </c>
      <c r="AS48" s="47" t="str">
        <f t="shared" si="0"/>
        <v/>
      </c>
      <c r="AT48" s="47" t="str">
        <f t="shared" si="5"/>
        <v/>
      </c>
    </row>
    <row r="49" spans="2:46" x14ac:dyDescent="0.35">
      <c r="B49" s="140"/>
      <c r="C49" s="157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59"/>
      <c r="R49" s="140"/>
      <c r="S49" s="140"/>
      <c r="T49" s="140"/>
      <c r="U49" s="47" t="str">
        <f t="shared" si="1"/>
        <v/>
      </c>
      <c r="V49" s="47" t="str">
        <f t="shared" si="2"/>
        <v/>
      </c>
      <c r="W49" s="47" t="str">
        <f t="shared" si="3"/>
        <v/>
      </c>
      <c r="Y49" s="140"/>
      <c r="Z49" s="157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59"/>
      <c r="AO49" s="140"/>
      <c r="AP49" s="140"/>
      <c r="AQ49" s="140"/>
      <c r="AR49" s="47" t="str">
        <f t="shared" si="4"/>
        <v/>
      </c>
      <c r="AS49" s="47" t="str">
        <f t="shared" si="0"/>
        <v/>
      </c>
      <c r="AT49" s="47" t="str">
        <f t="shared" si="5"/>
        <v/>
      </c>
    </row>
    <row r="50" spans="2:46" x14ac:dyDescent="0.35">
      <c r="B50" s="140"/>
      <c r="C50" s="157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59"/>
      <c r="R50" s="140"/>
      <c r="S50" s="140"/>
      <c r="T50" s="140"/>
      <c r="U50" s="47" t="str">
        <f t="shared" si="1"/>
        <v/>
      </c>
      <c r="V50" s="47" t="str">
        <f t="shared" si="2"/>
        <v/>
      </c>
      <c r="W50" s="47" t="str">
        <f t="shared" si="3"/>
        <v/>
      </c>
      <c r="Y50" s="140"/>
      <c r="Z50" s="157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59"/>
      <c r="AO50" s="140"/>
      <c r="AP50" s="140"/>
      <c r="AQ50" s="140"/>
      <c r="AR50" s="47" t="str">
        <f t="shared" si="4"/>
        <v/>
      </c>
      <c r="AS50" s="47" t="str">
        <f t="shared" si="0"/>
        <v/>
      </c>
      <c r="AT50" s="47" t="str">
        <f t="shared" si="5"/>
        <v/>
      </c>
    </row>
    <row r="51" spans="2:46" x14ac:dyDescent="0.35">
      <c r="B51" s="140"/>
      <c r="C51" s="157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59"/>
      <c r="R51" s="140"/>
      <c r="S51" s="140"/>
      <c r="T51" s="140"/>
      <c r="U51" s="47" t="str">
        <f t="shared" si="1"/>
        <v/>
      </c>
      <c r="V51" s="47" t="str">
        <f t="shared" si="2"/>
        <v/>
      </c>
      <c r="W51" s="47" t="str">
        <f t="shared" si="3"/>
        <v/>
      </c>
      <c r="Y51" s="140"/>
      <c r="Z51" s="157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59"/>
      <c r="AO51" s="140"/>
      <c r="AP51" s="140"/>
      <c r="AQ51" s="140"/>
      <c r="AR51" s="47" t="str">
        <f t="shared" si="4"/>
        <v/>
      </c>
      <c r="AS51" s="47" t="str">
        <f t="shared" si="0"/>
        <v/>
      </c>
      <c r="AT51" s="47" t="str">
        <f t="shared" si="5"/>
        <v/>
      </c>
    </row>
    <row r="52" spans="2:46" x14ac:dyDescent="0.35">
      <c r="B52" s="140"/>
      <c r="C52" s="157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59"/>
      <c r="R52" s="140"/>
      <c r="S52" s="140"/>
      <c r="T52" s="140"/>
      <c r="U52" s="47" t="str">
        <f t="shared" si="1"/>
        <v/>
      </c>
      <c r="V52" s="47" t="str">
        <f t="shared" si="2"/>
        <v/>
      </c>
      <c r="W52" s="47" t="str">
        <f t="shared" si="3"/>
        <v/>
      </c>
      <c r="Y52" s="140"/>
      <c r="Z52" s="157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59"/>
      <c r="AO52" s="140"/>
      <c r="AP52" s="140"/>
      <c r="AQ52" s="140"/>
      <c r="AR52" s="47" t="str">
        <f t="shared" si="4"/>
        <v/>
      </c>
      <c r="AS52" s="47" t="str">
        <f t="shared" si="0"/>
        <v/>
      </c>
      <c r="AT52" s="47" t="str">
        <f t="shared" si="5"/>
        <v/>
      </c>
    </row>
    <row r="53" spans="2:46" x14ac:dyDescent="0.35">
      <c r="B53" s="140"/>
      <c r="C53" s="157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59"/>
      <c r="R53" s="140"/>
      <c r="S53" s="140"/>
      <c r="T53" s="140"/>
      <c r="U53" s="47" t="str">
        <f t="shared" si="1"/>
        <v/>
      </c>
      <c r="V53" s="47" t="str">
        <f t="shared" si="2"/>
        <v/>
      </c>
      <c r="W53" s="47" t="str">
        <f t="shared" si="3"/>
        <v/>
      </c>
      <c r="Y53" s="140"/>
      <c r="Z53" s="157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59"/>
      <c r="AO53" s="140"/>
      <c r="AP53" s="140"/>
      <c r="AQ53" s="140"/>
      <c r="AR53" s="47" t="str">
        <f t="shared" si="4"/>
        <v/>
      </c>
      <c r="AS53" s="47" t="str">
        <f t="shared" si="0"/>
        <v/>
      </c>
      <c r="AT53" s="47" t="str">
        <f t="shared" si="5"/>
        <v/>
      </c>
    </row>
    <row r="54" spans="2:46" x14ac:dyDescent="0.35">
      <c r="B54" s="140"/>
      <c r="C54" s="157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59"/>
      <c r="R54" s="140"/>
      <c r="S54" s="140"/>
      <c r="T54" s="140"/>
      <c r="U54" s="47" t="str">
        <f t="shared" si="1"/>
        <v/>
      </c>
      <c r="V54" s="47" t="str">
        <f t="shared" si="2"/>
        <v/>
      </c>
      <c r="W54" s="47" t="str">
        <f t="shared" si="3"/>
        <v/>
      </c>
      <c r="Y54" s="140"/>
      <c r="Z54" s="157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59"/>
      <c r="AO54" s="140"/>
      <c r="AP54" s="140"/>
      <c r="AQ54" s="140"/>
      <c r="AR54" s="47" t="str">
        <f t="shared" si="4"/>
        <v/>
      </c>
      <c r="AS54" s="47" t="str">
        <f t="shared" si="0"/>
        <v/>
      </c>
      <c r="AT54" s="47" t="str">
        <f t="shared" si="5"/>
        <v/>
      </c>
    </row>
    <row r="55" spans="2:46" x14ac:dyDescent="0.35">
      <c r="B55" s="140"/>
      <c r="C55" s="157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59"/>
      <c r="R55" s="140"/>
      <c r="S55" s="140"/>
      <c r="T55" s="140"/>
      <c r="U55" s="47" t="str">
        <f t="shared" si="1"/>
        <v/>
      </c>
      <c r="V55" s="47" t="str">
        <f t="shared" si="2"/>
        <v/>
      </c>
      <c r="W55" s="47" t="str">
        <f t="shared" si="3"/>
        <v/>
      </c>
      <c r="Y55" s="140"/>
      <c r="Z55" s="157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59"/>
      <c r="AO55" s="140"/>
      <c r="AP55" s="140"/>
      <c r="AQ55" s="140"/>
      <c r="AR55" s="47" t="str">
        <f t="shared" si="4"/>
        <v/>
      </c>
      <c r="AS55" s="47" t="str">
        <f t="shared" si="0"/>
        <v/>
      </c>
      <c r="AT55" s="47" t="str">
        <f t="shared" si="5"/>
        <v/>
      </c>
    </row>
    <row r="56" spans="2:46" x14ac:dyDescent="0.35">
      <c r="B56" s="140"/>
      <c r="C56" s="157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59"/>
      <c r="R56" s="140"/>
      <c r="S56" s="140"/>
      <c r="T56" s="140"/>
      <c r="U56" s="47" t="str">
        <f t="shared" si="1"/>
        <v/>
      </c>
      <c r="V56" s="47" t="str">
        <f t="shared" si="2"/>
        <v/>
      </c>
      <c r="W56" s="47" t="str">
        <f t="shared" si="3"/>
        <v/>
      </c>
      <c r="Y56" s="140"/>
      <c r="Z56" s="157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59"/>
      <c r="AO56" s="140"/>
      <c r="AP56" s="140"/>
      <c r="AQ56" s="140"/>
      <c r="AR56" s="47" t="str">
        <f t="shared" si="4"/>
        <v/>
      </c>
      <c r="AS56" s="47" t="str">
        <f t="shared" si="0"/>
        <v/>
      </c>
      <c r="AT56" s="47" t="str">
        <f t="shared" si="5"/>
        <v/>
      </c>
    </row>
    <row r="57" spans="2:46" x14ac:dyDescent="0.35">
      <c r="B57" s="140"/>
      <c r="C57" s="157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59"/>
      <c r="R57" s="140"/>
      <c r="S57" s="140"/>
      <c r="T57" s="140"/>
      <c r="U57" s="47" t="str">
        <f t="shared" si="1"/>
        <v/>
      </c>
      <c r="V57" s="47" t="str">
        <f t="shared" si="2"/>
        <v/>
      </c>
      <c r="W57" s="47" t="str">
        <f t="shared" si="3"/>
        <v/>
      </c>
      <c r="Y57" s="140"/>
      <c r="Z57" s="157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59"/>
      <c r="AO57" s="140"/>
      <c r="AP57" s="140"/>
      <c r="AQ57" s="140"/>
      <c r="AR57" s="47" t="str">
        <f t="shared" si="4"/>
        <v/>
      </c>
      <c r="AS57" s="47" t="str">
        <f t="shared" si="0"/>
        <v/>
      </c>
      <c r="AT57" s="47" t="str">
        <f t="shared" si="5"/>
        <v/>
      </c>
    </row>
    <row r="58" spans="2:46" x14ac:dyDescent="0.35">
      <c r="B58" s="140"/>
      <c r="C58" s="157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59"/>
      <c r="R58" s="140"/>
      <c r="S58" s="140"/>
      <c r="T58" s="140"/>
      <c r="U58" s="47" t="str">
        <f t="shared" si="1"/>
        <v/>
      </c>
      <c r="V58" s="47" t="str">
        <f t="shared" si="2"/>
        <v/>
      </c>
      <c r="W58" s="47" t="str">
        <f t="shared" si="3"/>
        <v/>
      </c>
      <c r="Y58" s="140"/>
      <c r="Z58" s="157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59"/>
      <c r="AO58" s="140"/>
      <c r="AP58" s="140"/>
      <c r="AQ58" s="140"/>
      <c r="AR58" s="47" t="str">
        <f t="shared" si="4"/>
        <v/>
      </c>
      <c r="AS58" s="47" t="str">
        <f t="shared" si="0"/>
        <v/>
      </c>
      <c r="AT58" s="47" t="str">
        <f t="shared" si="5"/>
        <v/>
      </c>
    </row>
    <row r="59" spans="2:46" x14ac:dyDescent="0.35">
      <c r="B59" s="140"/>
      <c r="C59" s="157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59"/>
      <c r="R59" s="140"/>
      <c r="S59" s="140"/>
      <c r="T59" s="140"/>
      <c r="U59" s="47" t="str">
        <f t="shared" si="1"/>
        <v/>
      </c>
      <c r="V59" s="47" t="str">
        <f t="shared" si="2"/>
        <v/>
      </c>
      <c r="W59" s="47" t="str">
        <f t="shared" si="3"/>
        <v/>
      </c>
      <c r="Y59" s="140"/>
      <c r="Z59" s="157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59"/>
      <c r="AO59" s="140"/>
      <c r="AP59" s="140"/>
      <c r="AQ59" s="140"/>
      <c r="AR59" s="47" t="str">
        <f t="shared" si="4"/>
        <v/>
      </c>
      <c r="AS59" s="47" t="str">
        <f t="shared" si="0"/>
        <v/>
      </c>
      <c r="AT59" s="47" t="str">
        <f t="shared" si="5"/>
        <v/>
      </c>
    </row>
    <row r="60" spans="2:46" x14ac:dyDescent="0.35">
      <c r="B60" s="140"/>
      <c r="C60" s="157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59"/>
      <c r="R60" s="140"/>
      <c r="S60" s="140"/>
      <c r="T60" s="140"/>
      <c r="U60" s="47" t="str">
        <f t="shared" si="1"/>
        <v/>
      </c>
      <c r="V60" s="47" t="str">
        <f t="shared" si="2"/>
        <v/>
      </c>
      <c r="W60" s="47" t="str">
        <f t="shared" si="3"/>
        <v/>
      </c>
      <c r="Y60" s="140"/>
      <c r="Z60" s="157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59"/>
      <c r="AO60" s="140"/>
      <c r="AP60" s="140"/>
      <c r="AQ60" s="140"/>
      <c r="AR60" s="47" t="str">
        <f t="shared" si="4"/>
        <v/>
      </c>
      <c r="AS60" s="47" t="str">
        <f t="shared" si="0"/>
        <v/>
      </c>
      <c r="AT60" s="47" t="str">
        <f t="shared" si="5"/>
        <v/>
      </c>
    </row>
    <row r="61" spans="2:46" x14ac:dyDescent="0.35">
      <c r="B61" s="140"/>
      <c r="C61" s="157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59"/>
      <c r="R61" s="140"/>
      <c r="S61" s="140"/>
      <c r="T61" s="140"/>
      <c r="U61" s="47" t="str">
        <f t="shared" si="1"/>
        <v/>
      </c>
      <c r="V61" s="47" t="str">
        <f t="shared" si="2"/>
        <v/>
      </c>
      <c r="W61" s="47" t="str">
        <f t="shared" si="3"/>
        <v/>
      </c>
      <c r="Y61" s="140"/>
      <c r="Z61" s="157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59"/>
      <c r="AO61" s="140"/>
      <c r="AP61" s="140"/>
      <c r="AQ61" s="140"/>
      <c r="AR61" s="47" t="str">
        <f t="shared" si="4"/>
        <v/>
      </c>
      <c r="AS61" s="47" t="str">
        <f t="shared" si="0"/>
        <v/>
      </c>
      <c r="AT61" s="47" t="str">
        <f t="shared" si="5"/>
        <v/>
      </c>
    </row>
    <row r="62" spans="2:46" x14ac:dyDescent="0.35">
      <c r="B62" s="140"/>
      <c r="C62" s="157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59"/>
      <c r="R62" s="140"/>
      <c r="S62" s="140"/>
      <c r="T62" s="140"/>
      <c r="U62" s="47" t="str">
        <f t="shared" si="1"/>
        <v/>
      </c>
      <c r="V62" s="47" t="str">
        <f t="shared" si="2"/>
        <v/>
      </c>
      <c r="W62" s="47" t="str">
        <f t="shared" si="3"/>
        <v/>
      </c>
      <c r="Y62" s="140"/>
      <c r="Z62" s="157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59"/>
      <c r="AO62" s="140"/>
      <c r="AP62" s="140"/>
      <c r="AQ62" s="140"/>
      <c r="AR62" s="47" t="str">
        <f t="shared" si="4"/>
        <v/>
      </c>
      <c r="AS62" s="47" t="str">
        <f t="shared" si="0"/>
        <v/>
      </c>
      <c r="AT62" s="47" t="str">
        <f t="shared" si="5"/>
        <v/>
      </c>
    </row>
    <row r="63" spans="2:46" x14ac:dyDescent="0.35">
      <c r="B63" s="140"/>
      <c r="C63" s="157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59"/>
      <c r="R63" s="140"/>
      <c r="S63" s="140"/>
      <c r="T63" s="140"/>
      <c r="U63" s="47" t="str">
        <f t="shared" si="1"/>
        <v/>
      </c>
      <c r="V63" s="47" t="str">
        <f t="shared" si="2"/>
        <v/>
      </c>
      <c r="W63" s="47" t="str">
        <f t="shared" si="3"/>
        <v/>
      </c>
      <c r="Y63" s="140"/>
      <c r="Z63" s="157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59"/>
      <c r="AO63" s="140"/>
      <c r="AP63" s="140"/>
      <c r="AQ63" s="140"/>
      <c r="AR63" s="47" t="str">
        <f t="shared" si="4"/>
        <v/>
      </c>
      <c r="AS63" s="47" t="str">
        <f t="shared" si="0"/>
        <v/>
      </c>
      <c r="AT63" s="47" t="str">
        <f t="shared" si="5"/>
        <v/>
      </c>
    </row>
    <row r="64" spans="2:46" x14ac:dyDescent="0.35">
      <c r="B64" s="140"/>
      <c r="C64" s="157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59"/>
      <c r="R64" s="140"/>
      <c r="S64" s="140"/>
      <c r="T64" s="140"/>
      <c r="U64" s="47" t="str">
        <f t="shared" si="1"/>
        <v/>
      </c>
      <c r="V64" s="47" t="str">
        <f t="shared" si="2"/>
        <v/>
      </c>
      <c r="W64" s="47" t="str">
        <f t="shared" si="3"/>
        <v/>
      </c>
      <c r="Y64" s="140"/>
      <c r="Z64" s="157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59"/>
      <c r="AO64" s="140"/>
      <c r="AP64" s="140"/>
      <c r="AQ64" s="140"/>
      <c r="AR64" s="47" t="str">
        <f t="shared" si="4"/>
        <v/>
      </c>
      <c r="AS64" s="47" t="str">
        <f t="shared" si="0"/>
        <v/>
      </c>
      <c r="AT64" s="47" t="str">
        <f t="shared" si="5"/>
        <v/>
      </c>
    </row>
    <row r="65" spans="2:46" x14ac:dyDescent="0.35">
      <c r="B65" s="140"/>
      <c r="C65" s="157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59"/>
      <c r="R65" s="140"/>
      <c r="S65" s="140"/>
      <c r="T65" s="140"/>
      <c r="U65" s="47" t="str">
        <f t="shared" si="1"/>
        <v/>
      </c>
      <c r="V65" s="47" t="str">
        <f t="shared" si="2"/>
        <v/>
      </c>
      <c r="W65" s="47" t="str">
        <f t="shared" si="3"/>
        <v/>
      </c>
      <c r="Y65" s="140"/>
      <c r="Z65" s="157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59"/>
      <c r="AO65" s="140"/>
      <c r="AP65" s="140"/>
      <c r="AQ65" s="140"/>
      <c r="AR65" s="47" t="str">
        <f t="shared" si="4"/>
        <v/>
      </c>
      <c r="AS65" s="47" t="str">
        <f t="shared" si="0"/>
        <v/>
      </c>
      <c r="AT65" s="47" t="str">
        <f t="shared" si="5"/>
        <v/>
      </c>
    </row>
    <row r="66" spans="2:46" x14ac:dyDescent="0.35">
      <c r="B66" s="140"/>
      <c r="C66" s="157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59"/>
      <c r="R66" s="140"/>
      <c r="S66" s="140"/>
      <c r="T66" s="140"/>
      <c r="U66" s="47" t="str">
        <f t="shared" si="1"/>
        <v/>
      </c>
      <c r="V66" s="47" t="str">
        <f t="shared" si="2"/>
        <v/>
      </c>
      <c r="W66" s="47" t="str">
        <f t="shared" si="3"/>
        <v/>
      </c>
      <c r="Y66" s="140"/>
      <c r="Z66" s="157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59"/>
      <c r="AO66" s="140"/>
      <c r="AP66" s="140"/>
      <c r="AQ66" s="140"/>
      <c r="AR66" s="47" t="str">
        <f t="shared" si="4"/>
        <v/>
      </c>
      <c r="AS66" s="47" t="str">
        <f t="shared" si="0"/>
        <v/>
      </c>
      <c r="AT66" s="47" t="str">
        <f t="shared" si="5"/>
        <v/>
      </c>
    </row>
    <row r="67" spans="2:46" x14ac:dyDescent="0.35">
      <c r="B67" s="140"/>
      <c r="C67" s="157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59"/>
      <c r="R67" s="140"/>
      <c r="S67" s="140"/>
      <c r="T67" s="140"/>
      <c r="U67" s="47" t="str">
        <f t="shared" si="1"/>
        <v/>
      </c>
      <c r="V67" s="47" t="str">
        <f t="shared" si="2"/>
        <v/>
      </c>
      <c r="W67" s="47" t="str">
        <f t="shared" si="3"/>
        <v/>
      </c>
      <c r="Y67" s="140"/>
      <c r="Z67" s="157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59"/>
      <c r="AO67" s="140"/>
      <c r="AP67" s="140"/>
      <c r="AQ67" s="140"/>
      <c r="AR67" s="47" t="str">
        <f t="shared" si="4"/>
        <v/>
      </c>
      <c r="AS67" s="47" t="str">
        <f t="shared" si="0"/>
        <v/>
      </c>
      <c r="AT67" s="47" t="str">
        <f t="shared" si="5"/>
        <v/>
      </c>
    </row>
    <row r="68" spans="2:46" x14ac:dyDescent="0.35">
      <c r="B68" s="140"/>
      <c r="C68" s="157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59"/>
      <c r="R68" s="140"/>
      <c r="S68" s="140"/>
      <c r="T68" s="140"/>
      <c r="U68" s="47" t="str">
        <f t="shared" si="1"/>
        <v/>
      </c>
      <c r="V68" s="47" t="str">
        <f t="shared" si="2"/>
        <v/>
      </c>
      <c r="W68" s="47" t="str">
        <f t="shared" si="3"/>
        <v/>
      </c>
      <c r="Y68" s="140"/>
      <c r="Z68" s="157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59"/>
      <c r="AO68" s="140"/>
      <c r="AP68" s="140"/>
      <c r="AQ68" s="140"/>
      <c r="AR68" s="47" t="str">
        <f t="shared" si="4"/>
        <v/>
      </c>
      <c r="AS68" s="47" t="str">
        <f t="shared" si="0"/>
        <v/>
      </c>
      <c r="AT68" s="47" t="str">
        <f t="shared" si="5"/>
        <v/>
      </c>
    </row>
    <row r="69" spans="2:46" x14ac:dyDescent="0.35">
      <c r="B69" s="140"/>
      <c r="C69" s="157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59"/>
      <c r="R69" s="140"/>
      <c r="S69" s="140"/>
      <c r="T69" s="140"/>
      <c r="U69" s="47" t="str">
        <f t="shared" si="1"/>
        <v/>
      </c>
      <c r="V69" s="47" t="str">
        <f t="shared" si="2"/>
        <v/>
      </c>
      <c r="W69" s="47" t="str">
        <f t="shared" si="3"/>
        <v/>
      </c>
      <c r="Y69" s="140"/>
      <c r="Z69" s="157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59"/>
      <c r="AO69" s="140"/>
      <c r="AP69" s="140"/>
      <c r="AQ69" s="140"/>
      <c r="AR69" s="47" t="str">
        <f t="shared" si="4"/>
        <v/>
      </c>
      <c r="AS69" s="47" t="str">
        <f t="shared" si="0"/>
        <v/>
      </c>
      <c r="AT69" s="47" t="str">
        <f t="shared" si="5"/>
        <v/>
      </c>
    </row>
    <row r="70" spans="2:46" x14ac:dyDescent="0.35">
      <c r="B70" s="140"/>
      <c r="C70" s="157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59"/>
      <c r="R70" s="140"/>
      <c r="S70" s="140"/>
      <c r="T70" s="140"/>
      <c r="U70" s="47" t="str">
        <f t="shared" si="1"/>
        <v/>
      </c>
      <c r="V70" s="47" t="str">
        <f t="shared" si="2"/>
        <v/>
      </c>
      <c r="W70" s="47" t="str">
        <f t="shared" si="3"/>
        <v/>
      </c>
      <c r="Y70" s="140"/>
      <c r="Z70" s="157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59"/>
      <c r="AO70" s="140"/>
      <c r="AP70" s="140"/>
      <c r="AQ70" s="140"/>
      <c r="AR70" s="47" t="str">
        <f t="shared" si="4"/>
        <v/>
      </c>
      <c r="AS70" s="47" t="str">
        <f t="shared" si="0"/>
        <v/>
      </c>
      <c r="AT70" s="47" t="str">
        <f t="shared" si="5"/>
        <v/>
      </c>
    </row>
    <row r="71" spans="2:46" x14ac:dyDescent="0.35">
      <c r="B71" s="140"/>
      <c r="C71" s="157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59"/>
      <c r="R71" s="140"/>
      <c r="S71" s="140"/>
      <c r="T71" s="140"/>
      <c r="U71" s="47" t="str">
        <f t="shared" si="1"/>
        <v/>
      </c>
      <c r="V71" s="47" t="str">
        <f t="shared" ref="V71:V106" si="6">IFERROR(U71/52,"")</f>
        <v/>
      </c>
      <c r="W71" s="47" t="str">
        <f t="shared" si="3"/>
        <v/>
      </c>
      <c r="Y71" s="140"/>
      <c r="Z71" s="157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59"/>
      <c r="AO71" s="140"/>
      <c r="AP71" s="140"/>
      <c r="AQ71" s="140"/>
      <c r="AR71" s="47" t="str">
        <f t="shared" si="4"/>
        <v/>
      </c>
      <c r="AS71" s="47" t="str">
        <f t="shared" ref="AS71:AS106" si="7">IFERROR(AR71/52,"")</f>
        <v/>
      </c>
      <c r="AT71" s="47" t="str">
        <f t="shared" si="5"/>
        <v/>
      </c>
    </row>
    <row r="72" spans="2:46" x14ac:dyDescent="0.35">
      <c r="B72" s="140"/>
      <c r="C72" s="157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59"/>
      <c r="R72" s="140"/>
      <c r="S72" s="140"/>
      <c r="T72" s="140"/>
      <c r="U72" s="47" t="str">
        <f t="shared" ref="U72:U106" si="8">IF(T72*S72=0,"",T72*S72)</f>
        <v/>
      </c>
      <c r="V72" s="47" t="str">
        <f t="shared" si="6"/>
        <v/>
      </c>
      <c r="W72" s="47" t="str">
        <f t="shared" ref="W72:W106" si="9">IFERROR(V72/COUNTIF(C72:Q72,"="&amp;"x"),"")</f>
        <v/>
      </c>
      <c r="Y72" s="140"/>
      <c r="Z72" s="157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59"/>
      <c r="AO72" s="140"/>
      <c r="AP72" s="140"/>
      <c r="AQ72" s="140"/>
      <c r="AR72" s="47" t="str">
        <f t="shared" ref="AR72:AR106" si="10">IF(AQ72*AP72=0,"",AQ72*AP72)</f>
        <v/>
      </c>
      <c r="AS72" s="47" t="str">
        <f t="shared" si="7"/>
        <v/>
      </c>
      <c r="AT72" s="47" t="str">
        <f t="shared" ref="AT72:AT106" si="11">IFERROR(AS72/COUNTIF(Z72:AN72,"="&amp;"x"),"")</f>
        <v/>
      </c>
    </row>
    <row r="73" spans="2:46" x14ac:dyDescent="0.35">
      <c r="B73" s="140"/>
      <c r="C73" s="157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59"/>
      <c r="R73" s="140"/>
      <c r="S73" s="140"/>
      <c r="T73" s="140"/>
      <c r="U73" s="47" t="str">
        <f t="shared" si="8"/>
        <v/>
      </c>
      <c r="V73" s="47" t="str">
        <f t="shared" si="6"/>
        <v/>
      </c>
      <c r="W73" s="47" t="str">
        <f t="shared" si="9"/>
        <v/>
      </c>
      <c r="Y73" s="140"/>
      <c r="Z73" s="157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59"/>
      <c r="AO73" s="140"/>
      <c r="AP73" s="140"/>
      <c r="AQ73" s="140"/>
      <c r="AR73" s="47" t="str">
        <f t="shared" si="10"/>
        <v/>
      </c>
      <c r="AS73" s="47" t="str">
        <f t="shared" si="7"/>
        <v/>
      </c>
      <c r="AT73" s="47" t="str">
        <f t="shared" si="11"/>
        <v/>
      </c>
    </row>
    <row r="74" spans="2:46" x14ac:dyDescent="0.35">
      <c r="B74" s="140"/>
      <c r="C74" s="157"/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59"/>
      <c r="R74" s="140"/>
      <c r="S74" s="140"/>
      <c r="T74" s="140"/>
      <c r="U74" s="47" t="str">
        <f t="shared" si="8"/>
        <v/>
      </c>
      <c r="V74" s="47" t="str">
        <f t="shared" si="6"/>
        <v/>
      </c>
      <c r="W74" s="47" t="str">
        <f t="shared" si="9"/>
        <v/>
      </c>
      <c r="Y74" s="140"/>
      <c r="Z74" s="157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59"/>
      <c r="AO74" s="140"/>
      <c r="AP74" s="140"/>
      <c r="AQ74" s="140"/>
      <c r="AR74" s="47" t="str">
        <f t="shared" si="10"/>
        <v/>
      </c>
      <c r="AS74" s="47" t="str">
        <f t="shared" si="7"/>
        <v/>
      </c>
      <c r="AT74" s="47" t="str">
        <f t="shared" si="11"/>
        <v/>
      </c>
    </row>
    <row r="75" spans="2:46" x14ac:dyDescent="0.35">
      <c r="B75" s="140"/>
      <c r="C75" s="157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59"/>
      <c r="R75" s="140"/>
      <c r="S75" s="140"/>
      <c r="T75" s="140"/>
      <c r="U75" s="47" t="str">
        <f t="shared" si="8"/>
        <v/>
      </c>
      <c r="V75" s="47" t="str">
        <f t="shared" si="6"/>
        <v/>
      </c>
      <c r="W75" s="47" t="str">
        <f t="shared" si="9"/>
        <v/>
      </c>
      <c r="Y75" s="140"/>
      <c r="Z75" s="157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59"/>
      <c r="AO75" s="140"/>
      <c r="AP75" s="140"/>
      <c r="AQ75" s="140"/>
      <c r="AR75" s="47" t="str">
        <f t="shared" si="10"/>
        <v/>
      </c>
      <c r="AS75" s="47" t="str">
        <f t="shared" si="7"/>
        <v/>
      </c>
      <c r="AT75" s="47" t="str">
        <f t="shared" si="11"/>
        <v/>
      </c>
    </row>
    <row r="76" spans="2:46" x14ac:dyDescent="0.35">
      <c r="B76" s="140"/>
      <c r="C76" s="157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59"/>
      <c r="R76" s="140"/>
      <c r="S76" s="140"/>
      <c r="T76" s="140"/>
      <c r="U76" s="47" t="str">
        <f t="shared" si="8"/>
        <v/>
      </c>
      <c r="V76" s="47" t="str">
        <f t="shared" si="6"/>
        <v/>
      </c>
      <c r="W76" s="47" t="str">
        <f t="shared" si="9"/>
        <v/>
      </c>
      <c r="Y76" s="140"/>
      <c r="Z76" s="157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59"/>
      <c r="AO76" s="140"/>
      <c r="AP76" s="140"/>
      <c r="AQ76" s="140"/>
      <c r="AR76" s="47" t="str">
        <f t="shared" si="10"/>
        <v/>
      </c>
      <c r="AS76" s="47" t="str">
        <f t="shared" si="7"/>
        <v/>
      </c>
      <c r="AT76" s="47" t="str">
        <f t="shared" si="11"/>
        <v/>
      </c>
    </row>
    <row r="77" spans="2:46" x14ac:dyDescent="0.35">
      <c r="B77" s="140"/>
      <c r="C77" s="157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59"/>
      <c r="R77" s="140"/>
      <c r="S77" s="140"/>
      <c r="T77" s="140"/>
      <c r="U77" s="47" t="str">
        <f t="shared" si="8"/>
        <v/>
      </c>
      <c r="V77" s="47" t="str">
        <f t="shared" si="6"/>
        <v/>
      </c>
      <c r="W77" s="47" t="str">
        <f t="shared" si="9"/>
        <v/>
      </c>
      <c r="Y77" s="140"/>
      <c r="Z77" s="157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59"/>
      <c r="AO77" s="140"/>
      <c r="AP77" s="140"/>
      <c r="AQ77" s="140"/>
      <c r="AR77" s="47" t="str">
        <f t="shared" si="10"/>
        <v/>
      </c>
      <c r="AS77" s="47" t="str">
        <f t="shared" si="7"/>
        <v/>
      </c>
      <c r="AT77" s="47" t="str">
        <f t="shared" si="11"/>
        <v/>
      </c>
    </row>
    <row r="78" spans="2:46" x14ac:dyDescent="0.35">
      <c r="B78" s="140"/>
      <c r="C78" s="157"/>
      <c r="D78" s="142"/>
      <c r="E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59"/>
      <c r="R78" s="140"/>
      <c r="S78" s="140"/>
      <c r="T78" s="140"/>
      <c r="U78" s="47" t="str">
        <f t="shared" si="8"/>
        <v/>
      </c>
      <c r="V78" s="47" t="str">
        <f t="shared" si="6"/>
        <v/>
      </c>
      <c r="W78" s="47" t="str">
        <f t="shared" si="9"/>
        <v/>
      </c>
      <c r="Y78" s="140"/>
      <c r="Z78" s="157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59"/>
      <c r="AO78" s="140"/>
      <c r="AP78" s="140"/>
      <c r="AQ78" s="140"/>
      <c r="AR78" s="47" t="str">
        <f t="shared" si="10"/>
        <v/>
      </c>
      <c r="AS78" s="47" t="str">
        <f t="shared" si="7"/>
        <v/>
      </c>
      <c r="AT78" s="47" t="str">
        <f t="shared" si="11"/>
        <v/>
      </c>
    </row>
    <row r="79" spans="2:46" x14ac:dyDescent="0.35">
      <c r="B79" s="140"/>
      <c r="C79" s="157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59"/>
      <c r="R79" s="140"/>
      <c r="S79" s="140"/>
      <c r="T79" s="140"/>
      <c r="U79" s="47" t="str">
        <f t="shared" si="8"/>
        <v/>
      </c>
      <c r="V79" s="47" t="str">
        <f t="shared" si="6"/>
        <v/>
      </c>
      <c r="W79" s="47" t="str">
        <f t="shared" si="9"/>
        <v/>
      </c>
      <c r="Y79" s="140"/>
      <c r="Z79" s="157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59"/>
      <c r="AO79" s="140"/>
      <c r="AP79" s="140"/>
      <c r="AQ79" s="140"/>
      <c r="AR79" s="47" t="str">
        <f t="shared" si="10"/>
        <v/>
      </c>
      <c r="AS79" s="47" t="str">
        <f t="shared" si="7"/>
        <v/>
      </c>
      <c r="AT79" s="47" t="str">
        <f t="shared" si="11"/>
        <v/>
      </c>
    </row>
    <row r="80" spans="2:46" x14ac:dyDescent="0.35">
      <c r="B80" s="140"/>
      <c r="C80" s="157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59"/>
      <c r="R80" s="140"/>
      <c r="S80" s="140"/>
      <c r="T80" s="140"/>
      <c r="U80" s="47" t="str">
        <f t="shared" si="8"/>
        <v/>
      </c>
      <c r="V80" s="47" t="str">
        <f t="shared" si="6"/>
        <v/>
      </c>
      <c r="W80" s="47" t="str">
        <f t="shared" si="9"/>
        <v/>
      </c>
      <c r="Y80" s="140"/>
      <c r="Z80" s="157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59"/>
      <c r="AO80" s="140"/>
      <c r="AP80" s="140"/>
      <c r="AQ80" s="140"/>
      <c r="AR80" s="47" t="str">
        <f t="shared" si="10"/>
        <v/>
      </c>
      <c r="AS80" s="47" t="str">
        <f t="shared" si="7"/>
        <v/>
      </c>
      <c r="AT80" s="47" t="str">
        <f t="shared" si="11"/>
        <v/>
      </c>
    </row>
    <row r="81" spans="2:46" x14ac:dyDescent="0.35">
      <c r="B81" s="140"/>
      <c r="C81" s="157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59"/>
      <c r="R81" s="140"/>
      <c r="S81" s="140"/>
      <c r="T81" s="140"/>
      <c r="U81" s="47" t="str">
        <f t="shared" si="8"/>
        <v/>
      </c>
      <c r="V81" s="47" t="str">
        <f t="shared" si="6"/>
        <v/>
      </c>
      <c r="W81" s="47" t="str">
        <f t="shared" si="9"/>
        <v/>
      </c>
      <c r="Y81" s="140"/>
      <c r="Z81" s="157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59"/>
      <c r="AO81" s="140"/>
      <c r="AP81" s="140"/>
      <c r="AQ81" s="140"/>
      <c r="AR81" s="47" t="str">
        <f t="shared" si="10"/>
        <v/>
      </c>
      <c r="AS81" s="47" t="str">
        <f t="shared" si="7"/>
        <v/>
      </c>
      <c r="AT81" s="47" t="str">
        <f t="shared" si="11"/>
        <v/>
      </c>
    </row>
    <row r="82" spans="2:46" x14ac:dyDescent="0.35">
      <c r="B82" s="140"/>
      <c r="C82" s="157"/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59"/>
      <c r="R82" s="140"/>
      <c r="S82" s="140"/>
      <c r="T82" s="140"/>
      <c r="U82" s="47" t="str">
        <f t="shared" si="8"/>
        <v/>
      </c>
      <c r="V82" s="47" t="str">
        <f t="shared" si="6"/>
        <v/>
      </c>
      <c r="W82" s="47" t="str">
        <f t="shared" si="9"/>
        <v/>
      </c>
      <c r="Y82" s="140"/>
      <c r="Z82" s="157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59"/>
      <c r="AO82" s="140"/>
      <c r="AP82" s="140"/>
      <c r="AQ82" s="140"/>
      <c r="AR82" s="47" t="str">
        <f t="shared" si="10"/>
        <v/>
      </c>
      <c r="AS82" s="47" t="str">
        <f t="shared" si="7"/>
        <v/>
      </c>
      <c r="AT82" s="47" t="str">
        <f t="shared" si="11"/>
        <v/>
      </c>
    </row>
    <row r="83" spans="2:46" x14ac:dyDescent="0.35">
      <c r="B83" s="140"/>
      <c r="C83" s="157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59"/>
      <c r="R83" s="140"/>
      <c r="S83" s="140"/>
      <c r="T83" s="140"/>
      <c r="U83" s="47" t="str">
        <f t="shared" si="8"/>
        <v/>
      </c>
      <c r="V83" s="47" t="str">
        <f t="shared" si="6"/>
        <v/>
      </c>
      <c r="W83" s="47" t="str">
        <f t="shared" si="9"/>
        <v/>
      </c>
      <c r="Y83" s="140"/>
      <c r="Z83" s="157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59"/>
      <c r="AO83" s="140"/>
      <c r="AP83" s="140"/>
      <c r="AQ83" s="140"/>
      <c r="AR83" s="47" t="str">
        <f t="shared" si="10"/>
        <v/>
      </c>
      <c r="AS83" s="47" t="str">
        <f t="shared" si="7"/>
        <v/>
      </c>
      <c r="AT83" s="47" t="str">
        <f t="shared" si="11"/>
        <v/>
      </c>
    </row>
    <row r="84" spans="2:46" x14ac:dyDescent="0.35">
      <c r="B84" s="140"/>
      <c r="C84" s="157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59"/>
      <c r="R84" s="140"/>
      <c r="S84" s="140"/>
      <c r="T84" s="140"/>
      <c r="U84" s="47" t="str">
        <f t="shared" si="8"/>
        <v/>
      </c>
      <c r="V84" s="47" t="str">
        <f t="shared" si="6"/>
        <v/>
      </c>
      <c r="W84" s="47" t="str">
        <f t="shared" si="9"/>
        <v/>
      </c>
      <c r="Y84" s="140"/>
      <c r="Z84" s="157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59"/>
      <c r="AO84" s="140"/>
      <c r="AP84" s="140"/>
      <c r="AQ84" s="140"/>
      <c r="AR84" s="47" t="str">
        <f t="shared" si="10"/>
        <v/>
      </c>
      <c r="AS84" s="47" t="str">
        <f t="shared" si="7"/>
        <v/>
      </c>
      <c r="AT84" s="47" t="str">
        <f t="shared" si="11"/>
        <v/>
      </c>
    </row>
    <row r="85" spans="2:46" x14ac:dyDescent="0.35">
      <c r="B85" s="140"/>
      <c r="C85" s="157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59"/>
      <c r="R85" s="140"/>
      <c r="S85" s="140"/>
      <c r="T85" s="140"/>
      <c r="U85" s="47" t="str">
        <f t="shared" si="8"/>
        <v/>
      </c>
      <c r="V85" s="47" t="str">
        <f t="shared" si="6"/>
        <v/>
      </c>
      <c r="W85" s="47" t="str">
        <f t="shared" si="9"/>
        <v/>
      </c>
      <c r="Y85" s="140"/>
      <c r="Z85" s="157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59"/>
      <c r="AO85" s="140"/>
      <c r="AP85" s="140"/>
      <c r="AQ85" s="140"/>
      <c r="AR85" s="47" t="str">
        <f t="shared" si="10"/>
        <v/>
      </c>
      <c r="AS85" s="47" t="str">
        <f t="shared" si="7"/>
        <v/>
      </c>
      <c r="AT85" s="47" t="str">
        <f t="shared" si="11"/>
        <v/>
      </c>
    </row>
    <row r="86" spans="2:46" x14ac:dyDescent="0.35">
      <c r="B86" s="140"/>
      <c r="C86" s="157"/>
      <c r="D86" s="142"/>
      <c r="E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59"/>
      <c r="R86" s="140"/>
      <c r="S86" s="140"/>
      <c r="T86" s="140"/>
      <c r="U86" s="47" t="str">
        <f t="shared" si="8"/>
        <v/>
      </c>
      <c r="V86" s="47" t="str">
        <f t="shared" si="6"/>
        <v/>
      </c>
      <c r="W86" s="47" t="str">
        <f t="shared" si="9"/>
        <v/>
      </c>
      <c r="Y86" s="140"/>
      <c r="Z86" s="157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59"/>
      <c r="AO86" s="140"/>
      <c r="AP86" s="140"/>
      <c r="AQ86" s="140"/>
      <c r="AR86" s="47" t="str">
        <f t="shared" si="10"/>
        <v/>
      </c>
      <c r="AS86" s="47" t="str">
        <f t="shared" si="7"/>
        <v/>
      </c>
      <c r="AT86" s="47" t="str">
        <f t="shared" si="11"/>
        <v/>
      </c>
    </row>
    <row r="87" spans="2:46" x14ac:dyDescent="0.35">
      <c r="B87" s="140"/>
      <c r="C87" s="157"/>
      <c r="D87" s="142"/>
      <c r="E87" s="142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59"/>
      <c r="R87" s="140"/>
      <c r="S87" s="140"/>
      <c r="T87" s="140"/>
      <c r="U87" s="47" t="str">
        <f t="shared" si="8"/>
        <v/>
      </c>
      <c r="V87" s="47" t="str">
        <f t="shared" si="6"/>
        <v/>
      </c>
      <c r="W87" s="47" t="str">
        <f t="shared" si="9"/>
        <v/>
      </c>
      <c r="Y87" s="140"/>
      <c r="Z87" s="157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59"/>
      <c r="AO87" s="140"/>
      <c r="AP87" s="140"/>
      <c r="AQ87" s="140"/>
      <c r="AR87" s="47" t="str">
        <f t="shared" si="10"/>
        <v/>
      </c>
      <c r="AS87" s="47" t="str">
        <f t="shared" si="7"/>
        <v/>
      </c>
      <c r="AT87" s="47" t="str">
        <f t="shared" si="11"/>
        <v/>
      </c>
    </row>
    <row r="88" spans="2:46" x14ac:dyDescent="0.35">
      <c r="B88" s="140"/>
      <c r="C88" s="157"/>
      <c r="D88" s="142"/>
      <c r="E88" s="142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59"/>
      <c r="R88" s="140"/>
      <c r="S88" s="140"/>
      <c r="T88" s="140"/>
      <c r="U88" s="47" t="str">
        <f t="shared" si="8"/>
        <v/>
      </c>
      <c r="V88" s="47" t="str">
        <f t="shared" si="6"/>
        <v/>
      </c>
      <c r="W88" s="47" t="str">
        <f t="shared" si="9"/>
        <v/>
      </c>
      <c r="Y88" s="140"/>
      <c r="Z88" s="157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59"/>
      <c r="AO88" s="140"/>
      <c r="AP88" s="140"/>
      <c r="AQ88" s="140"/>
      <c r="AR88" s="47" t="str">
        <f t="shared" si="10"/>
        <v/>
      </c>
      <c r="AS88" s="47" t="str">
        <f t="shared" si="7"/>
        <v/>
      </c>
      <c r="AT88" s="47" t="str">
        <f t="shared" si="11"/>
        <v/>
      </c>
    </row>
    <row r="89" spans="2:46" x14ac:dyDescent="0.35">
      <c r="B89" s="140"/>
      <c r="C89" s="157"/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59"/>
      <c r="R89" s="140"/>
      <c r="S89" s="140"/>
      <c r="T89" s="140"/>
      <c r="U89" s="47" t="str">
        <f t="shared" si="8"/>
        <v/>
      </c>
      <c r="V89" s="47" t="str">
        <f t="shared" si="6"/>
        <v/>
      </c>
      <c r="W89" s="47" t="str">
        <f t="shared" si="9"/>
        <v/>
      </c>
      <c r="Y89" s="140"/>
      <c r="Z89" s="157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59"/>
      <c r="AO89" s="140"/>
      <c r="AP89" s="140"/>
      <c r="AQ89" s="140"/>
      <c r="AR89" s="47" t="str">
        <f t="shared" si="10"/>
        <v/>
      </c>
      <c r="AS89" s="47" t="str">
        <f t="shared" si="7"/>
        <v/>
      </c>
      <c r="AT89" s="47" t="str">
        <f t="shared" si="11"/>
        <v/>
      </c>
    </row>
    <row r="90" spans="2:46" x14ac:dyDescent="0.35">
      <c r="B90" s="140"/>
      <c r="C90" s="157"/>
      <c r="D90" s="142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59"/>
      <c r="R90" s="140"/>
      <c r="S90" s="140"/>
      <c r="T90" s="140"/>
      <c r="U90" s="47" t="str">
        <f t="shared" si="8"/>
        <v/>
      </c>
      <c r="V90" s="47" t="str">
        <f t="shared" si="6"/>
        <v/>
      </c>
      <c r="W90" s="47" t="str">
        <f t="shared" si="9"/>
        <v/>
      </c>
      <c r="Y90" s="140"/>
      <c r="Z90" s="157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59"/>
      <c r="AO90" s="140"/>
      <c r="AP90" s="140"/>
      <c r="AQ90" s="140"/>
      <c r="AR90" s="47" t="str">
        <f t="shared" si="10"/>
        <v/>
      </c>
      <c r="AS90" s="47" t="str">
        <f t="shared" si="7"/>
        <v/>
      </c>
      <c r="AT90" s="47" t="str">
        <f t="shared" si="11"/>
        <v/>
      </c>
    </row>
    <row r="91" spans="2:46" x14ac:dyDescent="0.35">
      <c r="B91" s="140"/>
      <c r="C91" s="157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59"/>
      <c r="R91" s="140"/>
      <c r="S91" s="140"/>
      <c r="T91" s="140"/>
      <c r="U91" s="47" t="str">
        <f t="shared" si="8"/>
        <v/>
      </c>
      <c r="V91" s="47" t="str">
        <f t="shared" si="6"/>
        <v/>
      </c>
      <c r="W91" s="47" t="str">
        <f t="shared" si="9"/>
        <v/>
      </c>
      <c r="Y91" s="140"/>
      <c r="Z91" s="157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59"/>
      <c r="AO91" s="140"/>
      <c r="AP91" s="140"/>
      <c r="AQ91" s="140"/>
      <c r="AR91" s="47" t="str">
        <f t="shared" si="10"/>
        <v/>
      </c>
      <c r="AS91" s="47" t="str">
        <f t="shared" si="7"/>
        <v/>
      </c>
      <c r="AT91" s="47" t="str">
        <f t="shared" si="11"/>
        <v/>
      </c>
    </row>
    <row r="92" spans="2:46" x14ac:dyDescent="0.35">
      <c r="B92" s="140"/>
      <c r="C92" s="157"/>
      <c r="D92" s="142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59"/>
      <c r="R92" s="140"/>
      <c r="S92" s="140"/>
      <c r="T92" s="140"/>
      <c r="U92" s="47" t="str">
        <f t="shared" si="8"/>
        <v/>
      </c>
      <c r="V92" s="47" t="str">
        <f t="shared" si="6"/>
        <v/>
      </c>
      <c r="W92" s="47" t="str">
        <f t="shared" si="9"/>
        <v/>
      </c>
      <c r="Y92" s="140"/>
      <c r="Z92" s="157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59"/>
      <c r="AO92" s="140"/>
      <c r="AP92" s="140"/>
      <c r="AQ92" s="140"/>
      <c r="AR92" s="47" t="str">
        <f t="shared" si="10"/>
        <v/>
      </c>
      <c r="AS92" s="47" t="str">
        <f t="shared" si="7"/>
        <v/>
      </c>
      <c r="AT92" s="47" t="str">
        <f t="shared" si="11"/>
        <v/>
      </c>
    </row>
    <row r="93" spans="2:46" x14ac:dyDescent="0.35">
      <c r="B93" s="140"/>
      <c r="C93" s="157"/>
      <c r="D93" s="142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59"/>
      <c r="R93" s="140"/>
      <c r="S93" s="140"/>
      <c r="T93" s="140"/>
      <c r="U93" s="47" t="str">
        <f t="shared" si="8"/>
        <v/>
      </c>
      <c r="V93" s="47" t="str">
        <f t="shared" si="6"/>
        <v/>
      </c>
      <c r="W93" s="47" t="str">
        <f t="shared" si="9"/>
        <v/>
      </c>
      <c r="Y93" s="140"/>
      <c r="Z93" s="157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59"/>
      <c r="AO93" s="140"/>
      <c r="AP93" s="140"/>
      <c r="AQ93" s="140"/>
      <c r="AR93" s="47" t="str">
        <f t="shared" si="10"/>
        <v/>
      </c>
      <c r="AS93" s="47" t="str">
        <f t="shared" si="7"/>
        <v/>
      </c>
      <c r="AT93" s="47" t="str">
        <f t="shared" si="11"/>
        <v/>
      </c>
    </row>
    <row r="94" spans="2:46" x14ac:dyDescent="0.35">
      <c r="B94" s="140"/>
      <c r="C94" s="157"/>
      <c r="D94" s="142"/>
      <c r="E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59"/>
      <c r="R94" s="140"/>
      <c r="S94" s="140"/>
      <c r="T94" s="140"/>
      <c r="U94" s="47" t="str">
        <f t="shared" si="8"/>
        <v/>
      </c>
      <c r="V94" s="47" t="str">
        <f t="shared" si="6"/>
        <v/>
      </c>
      <c r="W94" s="47" t="str">
        <f t="shared" si="9"/>
        <v/>
      </c>
      <c r="Y94" s="140"/>
      <c r="Z94" s="157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59"/>
      <c r="AO94" s="140"/>
      <c r="AP94" s="140"/>
      <c r="AQ94" s="140"/>
      <c r="AR94" s="47" t="str">
        <f t="shared" si="10"/>
        <v/>
      </c>
      <c r="AS94" s="47" t="str">
        <f t="shared" si="7"/>
        <v/>
      </c>
      <c r="AT94" s="47" t="str">
        <f t="shared" si="11"/>
        <v/>
      </c>
    </row>
    <row r="95" spans="2:46" x14ac:dyDescent="0.35">
      <c r="B95" s="140"/>
      <c r="C95" s="157"/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59"/>
      <c r="R95" s="140"/>
      <c r="S95" s="140"/>
      <c r="T95" s="140"/>
      <c r="U95" s="47" t="str">
        <f t="shared" si="8"/>
        <v/>
      </c>
      <c r="V95" s="47" t="str">
        <f t="shared" si="6"/>
        <v/>
      </c>
      <c r="W95" s="47" t="str">
        <f t="shared" si="9"/>
        <v/>
      </c>
      <c r="Y95" s="140"/>
      <c r="Z95" s="157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59"/>
      <c r="AO95" s="140"/>
      <c r="AP95" s="140"/>
      <c r="AQ95" s="140"/>
      <c r="AR95" s="47" t="str">
        <f t="shared" si="10"/>
        <v/>
      </c>
      <c r="AS95" s="47" t="str">
        <f t="shared" si="7"/>
        <v/>
      </c>
      <c r="AT95" s="47" t="str">
        <f t="shared" si="11"/>
        <v/>
      </c>
    </row>
    <row r="96" spans="2:46" x14ac:dyDescent="0.35">
      <c r="B96" s="140"/>
      <c r="C96" s="157"/>
      <c r="D96" s="142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59"/>
      <c r="R96" s="140"/>
      <c r="S96" s="140"/>
      <c r="T96" s="140"/>
      <c r="U96" s="47" t="str">
        <f t="shared" si="8"/>
        <v/>
      </c>
      <c r="V96" s="47" t="str">
        <f t="shared" si="6"/>
        <v/>
      </c>
      <c r="W96" s="47" t="str">
        <f t="shared" si="9"/>
        <v/>
      </c>
      <c r="Y96" s="140"/>
      <c r="Z96" s="157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59"/>
      <c r="AO96" s="140"/>
      <c r="AP96" s="140"/>
      <c r="AQ96" s="140"/>
      <c r="AR96" s="47" t="str">
        <f t="shared" si="10"/>
        <v/>
      </c>
      <c r="AS96" s="47" t="str">
        <f t="shared" si="7"/>
        <v/>
      </c>
      <c r="AT96" s="47" t="str">
        <f t="shared" si="11"/>
        <v/>
      </c>
    </row>
    <row r="97" spans="2:46" x14ac:dyDescent="0.35">
      <c r="B97" s="140"/>
      <c r="C97" s="157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59"/>
      <c r="R97" s="140"/>
      <c r="S97" s="140"/>
      <c r="T97" s="140"/>
      <c r="U97" s="47" t="str">
        <f t="shared" si="8"/>
        <v/>
      </c>
      <c r="V97" s="47" t="str">
        <f t="shared" si="6"/>
        <v/>
      </c>
      <c r="W97" s="47" t="str">
        <f t="shared" si="9"/>
        <v/>
      </c>
      <c r="Y97" s="140"/>
      <c r="Z97" s="157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59"/>
      <c r="AO97" s="140"/>
      <c r="AP97" s="140"/>
      <c r="AQ97" s="140"/>
      <c r="AR97" s="47" t="str">
        <f t="shared" si="10"/>
        <v/>
      </c>
      <c r="AS97" s="47" t="str">
        <f t="shared" si="7"/>
        <v/>
      </c>
      <c r="AT97" s="47" t="str">
        <f t="shared" si="11"/>
        <v/>
      </c>
    </row>
    <row r="98" spans="2:46" x14ac:dyDescent="0.35">
      <c r="B98" s="140"/>
      <c r="C98" s="157"/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59"/>
      <c r="R98" s="140"/>
      <c r="S98" s="140"/>
      <c r="T98" s="140"/>
      <c r="U98" s="47" t="str">
        <f t="shared" si="8"/>
        <v/>
      </c>
      <c r="V98" s="47" t="str">
        <f t="shared" si="6"/>
        <v/>
      </c>
      <c r="W98" s="47" t="str">
        <f t="shared" si="9"/>
        <v/>
      </c>
      <c r="Y98" s="140"/>
      <c r="Z98" s="157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59"/>
      <c r="AO98" s="140"/>
      <c r="AP98" s="140"/>
      <c r="AQ98" s="140"/>
      <c r="AR98" s="47" t="str">
        <f t="shared" si="10"/>
        <v/>
      </c>
      <c r="AS98" s="47" t="str">
        <f t="shared" si="7"/>
        <v/>
      </c>
      <c r="AT98" s="47" t="str">
        <f t="shared" si="11"/>
        <v/>
      </c>
    </row>
    <row r="99" spans="2:46" x14ac:dyDescent="0.35">
      <c r="B99" s="140"/>
      <c r="C99" s="157"/>
      <c r="D99" s="142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59"/>
      <c r="R99" s="140"/>
      <c r="S99" s="140"/>
      <c r="T99" s="140"/>
      <c r="U99" s="47" t="str">
        <f t="shared" si="8"/>
        <v/>
      </c>
      <c r="V99" s="47" t="str">
        <f t="shared" si="6"/>
        <v/>
      </c>
      <c r="W99" s="47" t="str">
        <f t="shared" si="9"/>
        <v/>
      </c>
      <c r="Y99" s="140"/>
      <c r="Z99" s="157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59"/>
      <c r="AO99" s="140"/>
      <c r="AP99" s="140"/>
      <c r="AQ99" s="140"/>
      <c r="AR99" s="47" t="str">
        <f t="shared" si="10"/>
        <v/>
      </c>
      <c r="AS99" s="47" t="str">
        <f t="shared" si="7"/>
        <v/>
      </c>
      <c r="AT99" s="47" t="str">
        <f t="shared" si="11"/>
        <v/>
      </c>
    </row>
    <row r="100" spans="2:46" x14ac:dyDescent="0.35">
      <c r="B100" s="140"/>
      <c r="C100" s="157"/>
      <c r="D100" s="142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59"/>
      <c r="R100" s="140"/>
      <c r="S100" s="140"/>
      <c r="T100" s="140"/>
      <c r="U100" s="47" t="str">
        <f t="shared" si="8"/>
        <v/>
      </c>
      <c r="V100" s="47" t="str">
        <f t="shared" si="6"/>
        <v/>
      </c>
      <c r="W100" s="47" t="str">
        <f t="shared" si="9"/>
        <v/>
      </c>
      <c r="Y100" s="140"/>
      <c r="Z100" s="157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59"/>
      <c r="AO100" s="140"/>
      <c r="AP100" s="140"/>
      <c r="AQ100" s="140"/>
      <c r="AR100" s="47" t="str">
        <f t="shared" si="10"/>
        <v/>
      </c>
      <c r="AS100" s="47" t="str">
        <f t="shared" si="7"/>
        <v/>
      </c>
      <c r="AT100" s="47" t="str">
        <f t="shared" si="11"/>
        <v/>
      </c>
    </row>
    <row r="101" spans="2:46" x14ac:dyDescent="0.35">
      <c r="B101" s="140"/>
      <c r="C101" s="157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59"/>
      <c r="R101" s="140"/>
      <c r="S101" s="140"/>
      <c r="T101" s="140"/>
      <c r="U101" s="47" t="str">
        <f t="shared" si="8"/>
        <v/>
      </c>
      <c r="V101" s="47" t="str">
        <f t="shared" si="6"/>
        <v/>
      </c>
      <c r="W101" s="47" t="str">
        <f t="shared" si="9"/>
        <v/>
      </c>
      <c r="Y101" s="140"/>
      <c r="Z101" s="157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59"/>
      <c r="AO101" s="140"/>
      <c r="AP101" s="140"/>
      <c r="AQ101" s="140"/>
      <c r="AR101" s="47" t="str">
        <f t="shared" si="10"/>
        <v/>
      </c>
      <c r="AS101" s="47" t="str">
        <f t="shared" si="7"/>
        <v/>
      </c>
      <c r="AT101" s="47" t="str">
        <f t="shared" si="11"/>
        <v/>
      </c>
    </row>
    <row r="102" spans="2:46" x14ac:dyDescent="0.35">
      <c r="B102" s="140"/>
      <c r="C102" s="157"/>
      <c r="D102" s="142"/>
      <c r="E102" s="142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59"/>
      <c r="R102" s="140"/>
      <c r="S102" s="140"/>
      <c r="T102" s="140"/>
      <c r="U102" s="47" t="str">
        <f t="shared" si="8"/>
        <v/>
      </c>
      <c r="V102" s="47" t="str">
        <f t="shared" si="6"/>
        <v/>
      </c>
      <c r="W102" s="47" t="str">
        <f t="shared" si="9"/>
        <v/>
      </c>
      <c r="Y102" s="140"/>
      <c r="Z102" s="157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59"/>
      <c r="AO102" s="140"/>
      <c r="AP102" s="140"/>
      <c r="AQ102" s="140"/>
      <c r="AR102" s="47" t="str">
        <f t="shared" si="10"/>
        <v/>
      </c>
      <c r="AS102" s="47" t="str">
        <f t="shared" si="7"/>
        <v/>
      </c>
      <c r="AT102" s="47" t="str">
        <f t="shared" si="11"/>
        <v/>
      </c>
    </row>
    <row r="103" spans="2:46" x14ac:dyDescent="0.35">
      <c r="B103" s="140"/>
      <c r="C103" s="157"/>
      <c r="D103" s="142"/>
      <c r="E103" s="142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59"/>
      <c r="R103" s="140"/>
      <c r="S103" s="140"/>
      <c r="T103" s="140"/>
      <c r="U103" s="47" t="str">
        <f t="shared" si="8"/>
        <v/>
      </c>
      <c r="V103" s="47" t="str">
        <f t="shared" si="6"/>
        <v/>
      </c>
      <c r="W103" s="47" t="str">
        <f t="shared" si="9"/>
        <v/>
      </c>
      <c r="Y103" s="140"/>
      <c r="Z103" s="157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59"/>
      <c r="AO103" s="140"/>
      <c r="AP103" s="140"/>
      <c r="AQ103" s="140"/>
      <c r="AR103" s="47" t="str">
        <f t="shared" si="10"/>
        <v/>
      </c>
      <c r="AS103" s="47" t="str">
        <f t="shared" si="7"/>
        <v/>
      </c>
      <c r="AT103" s="47" t="str">
        <f t="shared" si="11"/>
        <v/>
      </c>
    </row>
    <row r="104" spans="2:46" x14ac:dyDescent="0.35">
      <c r="B104" s="140"/>
      <c r="C104" s="157"/>
      <c r="D104" s="142"/>
      <c r="E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59"/>
      <c r="R104" s="140"/>
      <c r="S104" s="140"/>
      <c r="T104" s="140"/>
      <c r="U104" s="47" t="str">
        <f t="shared" si="8"/>
        <v/>
      </c>
      <c r="V104" s="47" t="str">
        <f t="shared" si="6"/>
        <v/>
      </c>
      <c r="W104" s="47" t="str">
        <f t="shared" si="9"/>
        <v/>
      </c>
      <c r="Y104" s="140"/>
      <c r="Z104" s="157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59"/>
      <c r="AO104" s="140"/>
      <c r="AP104" s="140"/>
      <c r="AQ104" s="140"/>
      <c r="AR104" s="47" t="str">
        <f t="shared" si="10"/>
        <v/>
      </c>
      <c r="AS104" s="47" t="str">
        <f t="shared" si="7"/>
        <v/>
      </c>
      <c r="AT104" s="47" t="str">
        <f t="shared" si="11"/>
        <v/>
      </c>
    </row>
    <row r="105" spans="2:46" x14ac:dyDescent="0.35">
      <c r="B105" s="140"/>
      <c r="C105" s="157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59"/>
      <c r="R105" s="140"/>
      <c r="S105" s="140"/>
      <c r="T105" s="140"/>
      <c r="U105" s="47" t="str">
        <f t="shared" si="8"/>
        <v/>
      </c>
      <c r="V105" s="47" t="str">
        <f t="shared" si="6"/>
        <v/>
      </c>
      <c r="W105" s="47" t="str">
        <f t="shared" si="9"/>
        <v/>
      </c>
      <c r="Y105" s="140"/>
      <c r="Z105" s="157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59"/>
      <c r="AO105" s="140"/>
      <c r="AP105" s="140"/>
      <c r="AQ105" s="140"/>
      <c r="AR105" s="47" t="str">
        <f t="shared" si="10"/>
        <v/>
      </c>
      <c r="AS105" s="47" t="str">
        <f t="shared" si="7"/>
        <v/>
      </c>
      <c r="AT105" s="47" t="str">
        <f t="shared" si="11"/>
        <v/>
      </c>
    </row>
    <row r="106" spans="2:46" ht="15" thickBot="1" x14ac:dyDescent="0.4">
      <c r="B106" s="145"/>
      <c r="C106" s="160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62"/>
      <c r="R106" s="145"/>
      <c r="S106" s="145"/>
      <c r="T106" s="145"/>
      <c r="U106" s="48" t="str">
        <f t="shared" si="8"/>
        <v/>
      </c>
      <c r="V106" s="48" t="str">
        <f t="shared" si="6"/>
        <v/>
      </c>
      <c r="W106" s="48" t="str">
        <f t="shared" si="9"/>
        <v/>
      </c>
      <c r="Y106" s="145"/>
      <c r="Z106" s="160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62"/>
      <c r="AO106" s="145"/>
      <c r="AP106" s="145"/>
      <c r="AQ106" s="145"/>
      <c r="AR106" s="48" t="str">
        <f t="shared" si="10"/>
        <v/>
      </c>
      <c r="AS106" s="48" t="str">
        <f t="shared" si="7"/>
        <v/>
      </c>
      <c r="AT106" s="48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mtwnloUnfR7C7W2Y6BFMRFEkTU+okQ3gWoECnZ3kxZOpPdViHqADKtdTnw420ICqJYIWyO4sjRIGFzFHVY8l2g==" saltValue="ehor92vlJm4q4MQWfBpPQ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3" workbookViewId="0">
      <selection activeCell="M264" sqref="M264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cm="1">
        <f t="array" ref="B2">INDEX(Capacity!$B$7:$B$106,COLUMN(A2),1)</f>
        <v>0</v>
      </c>
      <c r="C2" cm="1">
        <f t="array" ref="C2">INDEX(Capacity!$B$7:$B$106,COLUMN(B2),1)</f>
        <v>0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cm="1">
        <f t="array" ref="B3">INDEX(Capacity!$R$7:$R$106,COLUMN(A2),1)</f>
        <v>0</v>
      </c>
      <c r="C3" cm="1">
        <f t="array" ref="C3">INDEX(Capacity!$R$7:$R$106,COLUMN(B2),1)</f>
        <v>0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 t="e" vm="2">
        <f ca="1">'Required Capacity (Hide)'!E5</f>
        <v>#VALUE!</v>
      </c>
      <c r="B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 t="e" vm="2">
        <f ca="1">'Required Capacity (Hide)'!E6</f>
        <v>#VALUE!</v>
      </c>
      <c r="B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 t="e" vm="2">
        <f ca="1">'Required Capacity (Hide)'!E7</f>
        <v>#VALUE!</v>
      </c>
      <c r="B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 t="e" vm="2">
        <f ca="1">'Required Capacity (Hide)'!E8</f>
        <v>#VALUE!</v>
      </c>
      <c r="B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 t="e" vm="2">
        <f ca="1">'Required Capacity (Hide)'!E9</f>
        <v>#VALUE!</v>
      </c>
      <c r="B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 t="e" vm="2">
        <f ca="1">'Required Capacity (Hide)'!E10</f>
        <v>#VALUE!</v>
      </c>
      <c r="B1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 t="e" vm="2">
        <f ca="1">'Required Capacity (Hide)'!E11</f>
        <v>#VALUE!</v>
      </c>
      <c r="B1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 t="e" vm="2">
        <f ca="1">'Required Capacity (Hide)'!E12</f>
        <v>#VALUE!</v>
      </c>
      <c r="B1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 t="e" vm="2">
        <f ca="1">'Required Capacity (Hide)'!E13</f>
        <v>#VALUE!</v>
      </c>
      <c r="B1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 t="e" vm="2">
        <f ca="1">'Required Capacity (Hide)'!E14</f>
        <v>#VALUE!</v>
      </c>
      <c r="B1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 t="e" vm="2">
        <f ca="1">'Required Capacity (Hide)'!E15</f>
        <v>#VALUE!</v>
      </c>
      <c r="B1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 t="e" vm="2">
        <f ca="1">'Required Capacity (Hide)'!E16</f>
        <v>#VALUE!</v>
      </c>
      <c r="B1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 t="e" vm="2">
        <f ca="1">'Required Capacity (Hide)'!E17</f>
        <v>#VALUE!</v>
      </c>
      <c r="B1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 t="e" vm="2">
        <f ca="1">'Required Capacity (Hide)'!E18</f>
        <v>#VALUE!</v>
      </c>
      <c r="B1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 t="e" vm="2">
        <f ca="1">'Required Capacity (Hide)'!E19</f>
        <v>#VALUE!</v>
      </c>
      <c r="B1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1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1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 t="e" vm="2">
        <f ca="1">'Required Capacity (Hide)'!E20</f>
        <v>#VALUE!</v>
      </c>
      <c r="B2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 t="e" vm="2">
        <f ca="1">'Required Capacity (Hide)'!E21</f>
        <v>#VALUE!</v>
      </c>
      <c r="B2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 t="e" vm="2">
        <f ca="1">'Required Capacity (Hide)'!E22</f>
        <v>#VALUE!</v>
      </c>
      <c r="B2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 t="e" vm="2">
        <f ca="1">'Required Capacity (Hide)'!E23</f>
        <v>#VALUE!</v>
      </c>
      <c r="B2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 t="e" vm="2">
        <f ca="1">'Required Capacity (Hide)'!E24</f>
        <v>#VALUE!</v>
      </c>
      <c r="B2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 t="e" vm="2">
        <f ca="1">'Required Capacity (Hide)'!E25</f>
        <v>#VALUE!</v>
      </c>
      <c r="B2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 t="e" vm="2">
        <f ca="1">'Required Capacity (Hide)'!E26</f>
        <v>#VALUE!</v>
      </c>
      <c r="B2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 t="e" vm="2">
        <f ca="1">'Required Capacity (Hide)'!E27</f>
        <v>#VALUE!</v>
      </c>
      <c r="B2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 t="e" vm="2">
        <f ca="1">'Required Capacity (Hide)'!E28</f>
        <v>#VALUE!</v>
      </c>
      <c r="B2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 t="e" vm="2">
        <f ca="1">'Required Capacity (Hide)'!E29</f>
        <v>#VALUE!</v>
      </c>
      <c r="B2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2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2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 t="e" vm="2">
        <f ca="1">'Required Capacity (Hide)'!E30</f>
        <v>#VALUE!</v>
      </c>
      <c r="B3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 t="e" vm="2">
        <f ca="1">'Required Capacity (Hide)'!E31</f>
        <v>#VALUE!</v>
      </c>
      <c r="B3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 t="e" vm="2">
        <f ca="1">'Required Capacity (Hide)'!E32</f>
        <v>#VALUE!</v>
      </c>
      <c r="B3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 t="e" vm="2">
        <f ca="1">'Required Capacity (Hide)'!E33</f>
        <v>#VALUE!</v>
      </c>
      <c r="B3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 t="e" vm="2">
        <f ca="1">'Required Capacity (Hide)'!E34</f>
        <v>#VALUE!</v>
      </c>
      <c r="B3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 t="e" vm="2">
        <f ca="1">'Required Capacity (Hide)'!E35</f>
        <v>#VALUE!</v>
      </c>
      <c r="B3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 t="e" vm="2">
        <f ca="1">'Required Capacity (Hide)'!E36</f>
        <v>#VALUE!</v>
      </c>
      <c r="B3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 t="e" vm="2">
        <f ca="1">'Required Capacity (Hide)'!E37</f>
        <v>#VALUE!</v>
      </c>
      <c r="B3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 t="e" vm="2">
        <f ca="1">'Required Capacity (Hide)'!E38</f>
        <v>#VALUE!</v>
      </c>
      <c r="B3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 t="e" vm="2">
        <f ca="1">'Required Capacity (Hide)'!E39</f>
        <v>#VALUE!</v>
      </c>
      <c r="B3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3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3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 t="e" vm="2">
        <f ca="1">'Required Capacity (Hide)'!E40</f>
        <v>#VALUE!</v>
      </c>
      <c r="B4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 t="e" vm="2">
        <f ca="1">'Required Capacity (Hide)'!E41</f>
        <v>#VALUE!</v>
      </c>
      <c r="B4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 t="e" vm="2">
        <f ca="1">'Required Capacity (Hide)'!E42</f>
        <v>#VALUE!</v>
      </c>
      <c r="B4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 t="e" vm="2">
        <f ca="1">'Required Capacity (Hide)'!E43</f>
        <v>#VALUE!</v>
      </c>
      <c r="B4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 t="e" vm="2">
        <f ca="1">'Required Capacity (Hide)'!E44</f>
        <v>#VALUE!</v>
      </c>
      <c r="B4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 t="e" vm="2">
        <f ca="1">'Required Capacity (Hide)'!E45</f>
        <v>#VALUE!</v>
      </c>
      <c r="B4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 t="e" vm="2">
        <f ca="1">'Required Capacity (Hide)'!E46</f>
        <v>#VALUE!</v>
      </c>
      <c r="B4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 t="e" vm="2">
        <f ca="1">'Required Capacity (Hide)'!E47</f>
        <v>#VALUE!</v>
      </c>
      <c r="B47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7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7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 t="e" vm="2">
        <f ca="1">'Required Capacity (Hide)'!E48</f>
        <v>#VALUE!</v>
      </c>
      <c r="B48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8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8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 t="e" vm="2">
        <f ca="1">'Required Capacity (Hide)'!E49</f>
        <v>#VALUE!</v>
      </c>
      <c r="B49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49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49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 t="e" vm="2">
        <f ca="1">'Required Capacity (Hide)'!E50</f>
        <v>#VALUE!</v>
      </c>
      <c r="B50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0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0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 t="e" vm="2">
        <f ca="1">'Required Capacity (Hide)'!E51</f>
        <v>#VALUE!</v>
      </c>
      <c r="B51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1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1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 t="e" vm="2">
        <f ca="1">'Required Capacity (Hide)'!E52</f>
        <v>#VALUE!</v>
      </c>
      <c r="B52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2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2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 t="e" vm="2">
        <f ca="1">'Required Capacity (Hide)'!E53</f>
        <v>#VALUE!</v>
      </c>
      <c r="B53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3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3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 t="e" vm="2">
        <f ca="1">'Required Capacity (Hide)'!E54</f>
        <v>#VALUE!</v>
      </c>
      <c r="B54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4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4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 t="e" vm="2">
        <f ca="1">'Required Capacity (Hide)'!E55</f>
        <v>#VALUE!</v>
      </c>
      <c r="B55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5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5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 t="e" vm="2">
        <f ca="1">'Required Capacity (Hide)'!E56</f>
        <v>#VALUE!</v>
      </c>
      <c r="B56" t="e">
        <f ca="1"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#N/A</v>
      </c>
      <c r="C56" t="e">
        <f ca="1"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#N/A</v>
      </c>
      <c r="D56" t="e">
        <f ca="1"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 ca="1"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 ca="1"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 ca="1"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 ca="1"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 ca="1"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 ca="1"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 ca="1"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 ca="1"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 ca="1"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 ca="1"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 ca="1"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 ca="1"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 ca="1"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 ca="1"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 ca="1"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 ca="1"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 ca="1"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 ca="1"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 ca="1"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 ca="1"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 ca="1"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 ca="1"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 ca="1"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 ca="1"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 ca="1"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 ca="1"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 ca="1"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 ca="1"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 ca="1"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 ca="1"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 ca="1"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 ca="1"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 ca="1"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 ca="1"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 ca="1"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 ca="1"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 ca="1"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 ca="1"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 ca="1"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 ca="1"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 ca="1"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 ca="1"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 ca="1"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 ca="1"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 ca="1"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 ca="1"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 ca="1"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 ca="1"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 ca="1"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 ca="1"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 ca="1"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 ca="1"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 ca="1"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 ca="1"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 ca="1"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 ca="1"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 ca="1"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 ca="1"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 ca="1"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 ca="1"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 ca="1"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 ca="1"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 ca="1"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 ca="1"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 ca="1"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 ca="1"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 ca="1"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 ca="1"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 ca="1"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 ca="1"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 ca="1"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 ca="1"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 ca="1"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 ca="1"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 ca="1"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 ca="1"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 ca="1"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 ca="1"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 ca="1"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 ca="1"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 ca="1"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 ca="1"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 ca="1"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 ca="1"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 ca="1"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 ca="1"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 ca="1"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 ca="1"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 ca="1"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 ca="1"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 ca="1"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 ca="1"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 ca="1"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 ca="1"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 ca="1"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 ca="1"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 ca="1"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Caseload 1</v>
      </c>
      <c r="B59" cm="1">
        <f t="array" ref="B59">INDEX(Capacity!$C$7:$Q$106,COLUMN(A2),MATCH('Capacity Backing (Hide)'!$A59,Capacity!$C$6:$Q$6,0))</f>
        <v>0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Caseload 2</v>
      </c>
      <c r="B60" cm="1">
        <f t="array" ref="B60">INDEX(Capacity!$C$7:$Q$106,COLUMN(A3),MATCH('Capacity Backing (Hide)'!$A60,Capacity!$C$6:$Q$6,0))</f>
        <v>0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Caseload 3</v>
      </c>
      <c r="B61" cm="1">
        <f t="array" ref="B61">INDEX(Capacity!$C$7:$Q$106,COLUMN(A4),MATCH('Capacity Backing (Hide)'!$A61,Capacity!$C$6:$Q$6,0))</f>
        <v>0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Caseload 4</v>
      </c>
      <c r="B62" cm="1">
        <f t="array" ref="B62">INDEX(Capacity!$C$7:$Q$106,COLUMN(A5),MATCH('Capacity Backing (Hide)'!$A62,Capacity!$C$6:$Q$6,0))</f>
        <v>0</v>
      </c>
      <c r="C62" cm="1">
        <f t="array" ref="C62">INDEX(Capacity!$C$7:$Q$106,COLUMN(B5),MATCH('Capacity Backing (Hide)'!$A62,Capacity!$C$6:$Q$6,0))</f>
        <v>0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INDEX(Capacity!$C$7:$Q$106,COLUMN(A6),MATCH('Capacity Backing (Hide)'!$A63,Capacity!$C$6:$Q$6,0))</f>
        <v>0</v>
      </c>
      <c r="C63" cm="1">
        <f t="array" ref="C63">INDEX(Capacity!$C$7:$Q$106,COLUMN(B6),MATCH('Capacity Backing (Hide)'!$A63,Capacity!$C$6:$Q$6,0))</f>
        <v>0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t="e" cm="1" vm="2">
        <f t="array" aca="1" ref="B75" ca="1">INDEX($A$5:$A$56,COLUMN(A2),1)</f>
        <v>#VALUE!</v>
      </c>
      <c r="C75" s="2" t="e" cm="1" vm="2">
        <f t="array" aca="1" ref="C75" ca="1">INDEX($A$5:$A$56,COLUMN(B2),1)</f>
        <v>#VALUE!</v>
      </c>
      <c r="D75" s="2" t="e" cm="1" vm="2">
        <f t="array" aca="1" ref="D75" ca="1">INDEX($A$5:$A$56,COLUMN(C2),1)</f>
        <v>#VALUE!</v>
      </c>
      <c r="E75" s="2" t="e" cm="1" vm="2">
        <f t="array" aca="1" ref="E75" ca="1">INDEX($A$5:$A$56,COLUMN(D2),1)</f>
        <v>#VALUE!</v>
      </c>
      <c r="F75" s="2" t="e" cm="1" vm="2">
        <f t="array" aca="1" ref="F75" ca="1">INDEX($A$5:$A$56,COLUMN(E2),1)</f>
        <v>#VALUE!</v>
      </c>
      <c r="G75" s="2" t="e" cm="1" vm="2">
        <f t="array" aca="1" ref="G75" ca="1">INDEX($A$5:$A$56,COLUMN(F2),1)</f>
        <v>#VALUE!</v>
      </c>
      <c r="H75" s="2" t="e" cm="1" vm="2">
        <f t="array" aca="1" ref="H75" ca="1">INDEX($A$5:$A$56,COLUMN(G2),1)</f>
        <v>#VALUE!</v>
      </c>
      <c r="I75" s="2" t="e" cm="1" vm="2">
        <f t="array" aca="1" ref="I75" ca="1">INDEX($A$5:$A$56,COLUMN(H2),1)</f>
        <v>#VALUE!</v>
      </c>
      <c r="J75" s="2" t="e" cm="1" vm="2">
        <f t="array" aca="1" ref="J75" ca="1">INDEX($A$5:$A$56,COLUMN(I2),1)</f>
        <v>#VALUE!</v>
      </c>
      <c r="K75" s="2" t="e" cm="1" vm="2">
        <f t="array" aca="1" ref="K75" ca="1">INDEX($A$5:$A$56,COLUMN(J2),1)</f>
        <v>#VALUE!</v>
      </c>
      <c r="L75" s="2" t="e" cm="1" vm="2">
        <f t="array" aca="1" ref="L75" ca="1">INDEX($A$5:$A$56,COLUMN(K2),1)</f>
        <v>#VALUE!</v>
      </c>
      <c r="M75" s="2" t="e" cm="1" vm="2">
        <f t="array" aca="1" ref="M75" ca="1">INDEX($A$5:$A$56,COLUMN(L2),1)</f>
        <v>#VALUE!</v>
      </c>
      <c r="N75" s="2" t="e" cm="1" vm="2">
        <f t="array" aca="1" ref="N75" ca="1">INDEX($A$5:$A$56,COLUMN(M2),1)</f>
        <v>#VALUE!</v>
      </c>
      <c r="O75" s="2" t="e" cm="1" vm="2">
        <f t="array" aca="1" ref="O75" ca="1">INDEX($A$5:$A$56,COLUMN(N2),1)</f>
        <v>#VALUE!</v>
      </c>
      <c r="P75" s="2" t="e" cm="1" vm="2">
        <f t="array" aca="1" ref="P75" ca="1">INDEX($A$5:$A$56,COLUMN(O2),1)</f>
        <v>#VALUE!</v>
      </c>
      <c r="Q75" s="2" t="e" cm="1" vm="2">
        <f t="array" aca="1" ref="Q75" ca="1">INDEX($A$5:$A$56,COLUMN(P2),1)</f>
        <v>#VALUE!</v>
      </c>
      <c r="R75" s="2" t="e" cm="1" vm="2">
        <f t="array" aca="1" ref="R75" ca="1">INDEX($A$5:$A$56,COLUMN(Q2),1)</f>
        <v>#VALUE!</v>
      </c>
      <c r="S75" s="2" t="e" cm="1" vm="2">
        <f t="array" aca="1" ref="S75" ca="1">INDEX($A$5:$A$56,COLUMN(R2),1)</f>
        <v>#VALUE!</v>
      </c>
      <c r="T75" s="2" t="e" cm="1" vm="2">
        <f t="array" aca="1" ref="T75" ca="1">INDEX($A$5:$A$56,COLUMN(S2),1)</f>
        <v>#VALUE!</v>
      </c>
      <c r="U75" s="2" t="e" cm="1" vm="2">
        <f t="array" aca="1" ref="U75" ca="1">INDEX($A$5:$A$56,COLUMN(T2),1)</f>
        <v>#VALUE!</v>
      </c>
      <c r="V75" s="2" t="e" cm="1" vm="2">
        <f t="array" aca="1" ref="V75" ca="1">INDEX($A$5:$A$56,COLUMN(U2),1)</f>
        <v>#VALUE!</v>
      </c>
      <c r="W75" s="2" t="e" cm="1" vm="2">
        <f t="array" aca="1" ref="W75" ca="1">INDEX($A$5:$A$56,COLUMN(V2),1)</f>
        <v>#VALUE!</v>
      </c>
      <c r="X75" s="2" t="e" cm="1" vm="2">
        <f t="array" aca="1" ref="X75" ca="1">INDEX($A$5:$A$56,COLUMN(W2),1)</f>
        <v>#VALUE!</v>
      </c>
      <c r="Y75" s="2" t="e" cm="1" vm="2">
        <f t="array" aca="1" ref="Y75" ca="1">INDEX($A$5:$A$56,COLUMN(X2),1)</f>
        <v>#VALUE!</v>
      </c>
      <c r="Z75" s="2" t="e" cm="1" vm="2">
        <f t="array" aca="1" ref="Z75" ca="1">INDEX($A$5:$A$56,COLUMN(Y2),1)</f>
        <v>#VALUE!</v>
      </c>
      <c r="AA75" s="2" t="e" cm="1" vm="2">
        <f t="array" aca="1" ref="AA75" ca="1">INDEX($A$5:$A$56,COLUMN(Z2),1)</f>
        <v>#VALUE!</v>
      </c>
      <c r="AB75" s="2" t="e" cm="1" vm="2">
        <f t="array" aca="1" ref="AB75" ca="1">INDEX($A$5:$A$56,COLUMN(AA2),1)</f>
        <v>#VALUE!</v>
      </c>
      <c r="AC75" s="2" t="e" cm="1" vm="2">
        <f t="array" aca="1" ref="AC75" ca="1">INDEX($A$5:$A$56,COLUMN(AB2),1)</f>
        <v>#VALUE!</v>
      </c>
      <c r="AD75" s="2" t="e" cm="1" vm="2">
        <f t="array" aca="1" ref="AD75" ca="1">INDEX($A$5:$A$56,COLUMN(AC2),1)</f>
        <v>#VALUE!</v>
      </c>
      <c r="AE75" s="2" t="e" cm="1" vm="2">
        <f t="array" aca="1" ref="AE75" ca="1">INDEX($A$5:$A$56,COLUMN(AD2),1)</f>
        <v>#VALUE!</v>
      </c>
      <c r="AF75" s="2" t="e" cm="1" vm="2">
        <f t="array" aca="1" ref="AF75" ca="1">INDEX($A$5:$A$56,COLUMN(AE2),1)</f>
        <v>#VALUE!</v>
      </c>
      <c r="AG75" s="2" t="e" cm="1" vm="2">
        <f t="array" aca="1" ref="AG75" ca="1">INDEX($A$5:$A$56,COLUMN(AF2),1)</f>
        <v>#VALUE!</v>
      </c>
      <c r="AH75" s="2" t="e" cm="1" vm="2">
        <f t="array" aca="1" ref="AH75" ca="1">INDEX($A$5:$A$56,COLUMN(AG2),1)</f>
        <v>#VALUE!</v>
      </c>
      <c r="AI75" s="2" t="e" cm="1" vm="2">
        <f t="array" aca="1" ref="AI75" ca="1">INDEX($A$5:$A$56,COLUMN(AH2),1)</f>
        <v>#VALUE!</v>
      </c>
      <c r="AJ75" s="2" t="e" cm="1" vm="2">
        <f t="array" aca="1" ref="AJ75" ca="1">INDEX($A$5:$A$56,COLUMN(AI2),1)</f>
        <v>#VALUE!</v>
      </c>
      <c r="AK75" s="2" t="e" cm="1" vm="2">
        <f t="array" aca="1" ref="AK75" ca="1">INDEX($A$5:$A$56,COLUMN(AJ2),1)</f>
        <v>#VALUE!</v>
      </c>
      <c r="AL75" s="2" t="e" cm="1" vm="2">
        <f t="array" aca="1" ref="AL75" ca="1">INDEX($A$5:$A$56,COLUMN(AK2),1)</f>
        <v>#VALUE!</v>
      </c>
      <c r="AM75" s="2" t="e" cm="1" vm="2">
        <f t="array" aca="1" ref="AM75" ca="1">INDEX($A$5:$A$56,COLUMN(AL2),1)</f>
        <v>#VALUE!</v>
      </c>
      <c r="AN75" s="2" t="e" cm="1" vm="2">
        <f t="array" aca="1" ref="AN75" ca="1">INDEX($A$5:$A$56,COLUMN(AM2),1)</f>
        <v>#VALUE!</v>
      </c>
      <c r="AO75" s="2" t="e" cm="1" vm="2">
        <f t="array" aca="1" ref="AO75" ca="1">INDEX($A$5:$A$56,COLUMN(AN2),1)</f>
        <v>#VALUE!</v>
      </c>
      <c r="AP75" s="2" t="e" cm="1" vm="2">
        <f t="array" aca="1" ref="AP75" ca="1">INDEX($A$5:$A$56,COLUMN(AO2),1)</f>
        <v>#VALUE!</v>
      </c>
      <c r="AQ75" s="2" t="e" cm="1" vm="2">
        <f t="array" aca="1" ref="AQ75" ca="1">INDEX($A$5:$A$56,COLUMN(AP2),1)</f>
        <v>#VALUE!</v>
      </c>
      <c r="AR75" s="2" t="e" cm="1" vm="2">
        <f t="array" aca="1" ref="AR75" ca="1">INDEX($A$5:$A$56,COLUMN(AQ2),1)</f>
        <v>#VALUE!</v>
      </c>
      <c r="AS75" s="2" t="e" cm="1" vm="2">
        <f t="array" aca="1" ref="AS75" ca="1">INDEX($A$5:$A$56,COLUMN(AR2),1)</f>
        <v>#VALUE!</v>
      </c>
      <c r="AT75" s="2" t="e" cm="1" vm="2">
        <f t="array" aca="1" ref="AT75" ca="1">INDEX($A$5:$A$56,COLUMN(AS2),1)</f>
        <v>#VALUE!</v>
      </c>
      <c r="AU75" s="2" t="e" cm="1" vm="2">
        <f t="array" aca="1" ref="AU75" ca="1">INDEX($A$5:$A$56,COLUMN(AT2),1)</f>
        <v>#VALUE!</v>
      </c>
      <c r="AV75" s="2" t="e" cm="1" vm="2">
        <f t="array" aca="1" ref="AV75" ca="1">INDEX($A$5:$A$56,COLUMN(AU2),1)</f>
        <v>#VALUE!</v>
      </c>
      <c r="AW75" s="2" t="e" cm="1" vm="2">
        <f t="array" aca="1" ref="AW75" ca="1">INDEX($A$5:$A$56,COLUMN(AV2),1)</f>
        <v>#VALUE!</v>
      </c>
      <c r="AX75" s="2" t="e" cm="1" vm="2">
        <f t="array" aca="1" ref="AX75" ca="1">INDEX($A$5:$A$56,COLUMN(AW2),1)</f>
        <v>#VALUE!</v>
      </c>
      <c r="AY75" s="2" t="e" cm="1" vm="2">
        <f t="array" aca="1" ref="AY75" ca="1">INDEX($A$5:$A$56,COLUMN(AX2),1)</f>
        <v>#VALUE!</v>
      </c>
      <c r="AZ75" s="2" t="e" cm="1" vm="2">
        <f t="array" aca="1" ref="AZ75" ca="1">INDEX($A$5:$A$56,COLUMN(AY2),1)</f>
        <v>#VALUE!</v>
      </c>
      <c r="BA75" s="2" t="e" cm="1" vm="2">
        <f t="array" aca="1" ref="BA75" ca="1">INDEX($A$5:$A$56,COLUMN(AZ2),1)</f>
        <v>#VALUE!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 ca="1">IFERROR(SUMIFS(INDEX($B$5:$CW$56,MATCH(B$75,$A$5:$A$56,0),1):INDEX($B$5:$CW$56,MATCH(B$75,$A$5:$A$56,0),100),$B59:$CW59,"="&amp;"x",$B$3:$CW$3,"="&amp;"N"),0)</f>
        <v>0</v>
      </c>
      <c r="C76">
        <f ca="1">IFERROR(SUMIFS(INDEX($B$5:$CW$56,MATCH(C$75,$A$5:$A$56,0),1):INDEX($B$5:$CW$56,MATCH(C$75,$A$5:$A$56,0),100),$B59:$CW59,"="&amp;"x",$B$3:$CW$3,"="&amp;"N"),0)</f>
        <v>0</v>
      </c>
      <c r="D76">
        <f ca="1">IFERROR(SUMIFS(INDEX($B$5:$CW$56,MATCH(D$75,$A$5:$A$56,0),1):INDEX($B$5:$CW$56,MATCH(D$75,$A$5:$A$56,0),100),$B59:$CW59,"="&amp;"x",$B$3:$CW$3,"="&amp;"N"),0)</f>
        <v>0</v>
      </c>
      <c r="E76">
        <f ca="1">IFERROR(SUMIFS(INDEX($B$5:$CW$56,MATCH(E$75,$A$5:$A$56,0),1):INDEX($B$5:$CW$56,MATCH(E$75,$A$5:$A$56,0),100),$B59:$CW59,"="&amp;"x",$B$3:$CW$3,"="&amp;"N"),0)</f>
        <v>0</v>
      </c>
      <c r="F76">
        <f ca="1">IFERROR(SUMIFS(INDEX($B$5:$CW$56,MATCH(F$75,$A$5:$A$56,0),1):INDEX($B$5:$CW$56,MATCH(F$75,$A$5:$A$56,0),100),$B59:$CW59,"="&amp;"x",$B$3:$CW$3,"="&amp;"N"),0)</f>
        <v>0</v>
      </c>
      <c r="G76">
        <f ca="1">IFERROR(SUMIFS(INDEX($B$5:$CW$56,MATCH(G$75,$A$5:$A$56,0),1):INDEX($B$5:$CW$56,MATCH(G$75,$A$5:$A$56,0),100),$B59:$CW59,"="&amp;"x",$B$3:$CW$3,"="&amp;"N"),0)</f>
        <v>0</v>
      </c>
      <c r="H76">
        <f ca="1">IFERROR(SUMIFS(INDEX($B$5:$CW$56,MATCH(H$75,$A$5:$A$56,0),1):INDEX($B$5:$CW$56,MATCH(H$75,$A$5:$A$56,0),100),$B59:$CW59,"="&amp;"x",$B$3:$CW$3,"="&amp;"N"),0)</f>
        <v>0</v>
      </c>
      <c r="I76">
        <f ca="1">IFERROR(SUMIFS(INDEX($B$5:$CW$56,MATCH(I$75,$A$5:$A$56,0),1):INDEX($B$5:$CW$56,MATCH(I$75,$A$5:$A$56,0),100),$B59:$CW59,"="&amp;"x",$B$3:$CW$3,"="&amp;"N"),0)</f>
        <v>0</v>
      </c>
      <c r="J76">
        <f ca="1">IFERROR(SUMIFS(INDEX($B$5:$CW$56,MATCH(J$75,$A$5:$A$56,0),1):INDEX($B$5:$CW$56,MATCH(J$75,$A$5:$A$56,0),100),$B59:$CW59,"="&amp;"x",$B$3:$CW$3,"="&amp;"N"),0)</f>
        <v>0</v>
      </c>
      <c r="K76">
        <f ca="1">IFERROR(SUMIFS(INDEX($B$5:$CW$56,MATCH(K$75,$A$5:$A$56,0),1):INDEX($B$5:$CW$56,MATCH(K$75,$A$5:$A$56,0),100),$B59:$CW59,"="&amp;"x",$B$3:$CW$3,"="&amp;"N"),0)</f>
        <v>0</v>
      </c>
      <c r="L76">
        <f ca="1">IFERROR(SUMIFS(INDEX($B$5:$CW$56,MATCH(L$75,$A$5:$A$56,0),1):INDEX($B$5:$CW$56,MATCH(L$75,$A$5:$A$56,0),100),$B59:$CW59,"="&amp;"x",$B$3:$CW$3,"="&amp;"N"),0)</f>
        <v>0</v>
      </c>
      <c r="M76">
        <f ca="1">IFERROR(SUMIFS(INDEX($B$5:$CW$56,MATCH(M$75,$A$5:$A$56,0),1):INDEX($B$5:$CW$56,MATCH(M$75,$A$5:$A$56,0),100),$B59:$CW59,"="&amp;"x",$B$3:$CW$3,"="&amp;"N"),0)</f>
        <v>0</v>
      </c>
      <c r="N76">
        <f ca="1">IFERROR(SUMIFS(INDEX($B$5:$CW$56,MATCH(N$75,$A$5:$A$56,0),1):INDEX($B$5:$CW$56,MATCH(N$75,$A$5:$A$56,0),100),$B59:$CW59,"="&amp;"x",$B$3:$CW$3,"="&amp;"N"),0)</f>
        <v>0</v>
      </c>
      <c r="O76">
        <f ca="1">IFERROR(SUMIFS(INDEX($B$5:$CW$56,MATCH(O$75,$A$5:$A$56,0),1):INDEX($B$5:$CW$56,MATCH(O$75,$A$5:$A$56,0),100),$B59:$CW59,"="&amp;"x",$B$3:$CW$3,"="&amp;"N"),0)</f>
        <v>0</v>
      </c>
      <c r="P76">
        <f ca="1">IFERROR(SUMIFS(INDEX($B$5:$CW$56,MATCH(P$75,$A$5:$A$56,0),1):INDEX($B$5:$CW$56,MATCH(P$75,$A$5:$A$56,0),100),$B59:$CW59,"="&amp;"x",$B$3:$CW$3,"="&amp;"N"),0)</f>
        <v>0</v>
      </c>
      <c r="Q76">
        <f ca="1">IFERROR(SUMIFS(INDEX($B$5:$CW$56,MATCH(Q$75,$A$5:$A$56,0),1):INDEX($B$5:$CW$56,MATCH(Q$75,$A$5:$A$56,0),100),$B59:$CW59,"="&amp;"x",$B$3:$CW$3,"="&amp;"N"),0)</f>
        <v>0</v>
      </c>
      <c r="R76">
        <f ca="1">IFERROR(SUMIFS(INDEX($B$5:$CW$56,MATCH(R$75,$A$5:$A$56,0),1):INDEX($B$5:$CW$56,MATCH(R$75,$A$5:$A$56,0),100),$B59:$CW59,"="&amp;"x",$B$3:$CW$3,"="&amp;"N"),0)</f>
        <v>0</v>
      </c>
      <c r="S76">
        <f ca="1">IFERROR(SUMIFS(INDEX($B$5:$CW$56,MATCH(S$75,$A$5:$A$56,0),1):INDEX($B$5:$CW$56,MATCH(S$75,$A$5:$A$56,0),100),$B59:$CW59,"="&amp;"x",$B$3:$CW$3,"="&amp;"N"),0)</f>
        <v>0</v>
      </c>
      <c r="T76">
        <f ca="1">IFERROR(SUMIFS(INDEX($B$5:$CW$56,MATCH(T$75,$A$5:$A$56,0),1):INDEX($B$5:$CW$56,MATCH(T$75,$A$5:$A$56,0),100),$B59:$CW59,"="&amp;"x",$B$3:$CW$3,"="&amp;"N"),0)</f>
        <v>0</v>
      </c>
      <c r="U76">
        <f ca="1">IFERROR(SUMIFS(INDEX($B$5:$CW$56,MATCH(U$75,$A$5:$A$56,0),1):INDEX($B$5:$CW$56,MATCH(U$75,$A$5:$A$56,0),100),$B59:$CW59,"="&amp;"x",$B$3:$CW$3,"="&amp;"N"),0)</f>
        <v>0</v>
      </c>
      <c r="V76">
        <f ca="1">IFERROR(SUMIFS(INDEX($B$5:$CW$56,MATCH(V$75,$A$5:$A$56,0),1):INDEX($B$5:$CW$56,MATCH(V$75,$A$5:$A$56,0),100),$B59:$CW59,"="&amp;"x",$B$3:$CW$3,"="&amp;"N"),0)</f>
        <v>0</v>
      </c>
      <c r="W76">
        <f ca="1">IFERROR(SUMIFS(INDEX($B$5:$CW$56,MATCH(W$75,$A$5:$A$56,0),1):INDEX($B$5:$CW$56,MATCH(W$75,$A$5:$A$56,0),100),$B59:$CW59,"="&amp;"x",$B$3:$CW$3,"="&amp;"N"),0)</f>
        <v>0</v>
      </c>
      <c r="X76">
        <f ca="1">IFERROR(SUMIFS(INDEX($B$5:$CW$56,MATCH(X$75,$A$5:$A$56,0),1):INDEX($B$5:$CW$56,MATCH(X$75,$A$5:$A$56,0),100),$B59:$CW59,"="&amp;"x",$B$3:$CW$3,"="&amp;"N"),0)</f>
        <v>0</v>
      </c>
      <c r="Y76">
        <f ca="1">IFERROR(SUMIFS(INDEX($B$5:$CW$56,MATCH(Y$75,$A$5:$A$56,0),1):INDEX($B$5:$CW$56,MATCH(Y$75,$A$5:$A$56,0),100),$B59:$CW59,"="&amp;"x",$B$3:$CW$3,"="&amp;"N"),0)</f>
        <v>0</v>
      </c>
      <c r="Z76">
        <f ca="1">IFERROR(SUMIFS(INDEX($B$5:$CW$56,MATCH(Z$75,$A$5:$A$56,0),1):INDEX($B$5:$CW$56,MATCH(Z$75,$A$5:$A$56,0),100),$B59:$CW59,"="&amp;"x",$B$3:$CW$3,"="&amp;"N"),0)</f>
        <v>0</v>
      </c>
      <c r="AA76">
        <f ca="1">IFERROR(SUMIFS(INDEX($B$5:$CW$56,MATCH(AA$75,$A$5:$A$56,0),1):INDEX($B$5:$CW$56,MATCH(AA$75,$A$5:$A$56,0),100),$B59:$CW59,"="&amp;"x",$B$3:$CW$3,"="&amp;"N"),0)</f>
        <v>0</v>
      </c>
      <c r="AB76">
        <f ca="1">IFERROR(SUMIFS(INDEX($B$5:$CW$56,MATCH(AB$75,$A$5:$A$56,0),1):INDEX($B$5:$CW$56,MATCH(AB$75,$A$5:$A$56,0),100),$B59:$CW59,"="&amp;"x",$B$3:$CW$3,"="&amp;"N"),0)</f>
        <v>0</v>
      </c>
      <c r="AC76">
        <f ca="1">IFERROR(SUMIFS(INDEX($B$5:$CW$56,MATCH(AC$75,$A$5:$A$56,0),1):INDEX($B$5:$CW$56,MATCH(AC$75,$A$5:$A$56,0),100),$B59:$CW59,"="&amp;"x",$B$3:$CW$3,"="&amp;"N"),0)</f>
        <v>0</v>
      </c>
      <c r="AD76">
        <f ca="1">IFERROR(SUMIFS(INDEX($B$5:$CW$56,MATCH(AD$75,$A$5:$A$56,0),1):INDEX($B$5:$CW$56,MATCH(AD$75,$A$5:$A$56,0),100),$B59:$CW59,"="&amp;"x",$B$3:$CW$3,"="&amp;"N"),0)</f>
        <v>0</v>
      </c>
      <c r="AE76">
        <f ca="1">IFERROR(SUMIFS(INDEX($B$5:$CW$56,MATCH(AE$75,$A$5:$A$56,0),1):INDEX($B$5:$CW$56,MATCH(AE$75,$A$5:$A$56,0),100),$B59:$CW59,"="&amp;"x",$B$3:$CW$3,"="&amp;"N"),0)</f>
        <v>0</v>
      </c>
      <c r="AF76">
        <f ca="1">IFERROR(SUMIFS(INDEX($B$5:$CW$56,MATCH(AF$75,$A$5:$A$56,0),1):INDEX($B$5:$CW$56,MATCH(AF$75,$A$5:$A$56,0),100),$B59:$CW59,"="&amp;"x",$B$3:$CW$3,"="&amp;"N"),0)</f>
        <v>0</v>
      </c>
      <c r="AG76">
        <f ca="1">IFERROR(SUMIFS(INDEX($B$5:$CW$56,MATCH(AG$75,$A$5:$A$56,0),1):INDEX($B$5:$CW$56,MATCH(AG$75,$A$5:$A$56,0),100),$B59:$CW59,"="&amp;"x",$B$3:$CW$3,"="&amp;"N"),0)</f>
        <v>0</v>
      </c>
      <c r="AH76">
        <f ca="1">IFERROR(SUMIFS(INDEX($B$5:$CW$56,MATCH(AH$75,$A$5:$A$56,0),1):INDEX($B$5:$CW$56,MATCH(AH$75,$A$5:$A$56,0),100),$B59:$CW59,"="&amp;"x",$B$3:$CW$3,"="&amp;"N"),0)</f>
        <v>0</v>
      </c>
      <c r="AI76">
        <f ca="1">IFERROR(SUMIFS(INDEX($B$5:$CW$56,MATCH(AI$75,$A$5:$A$56,0),1):INDEX($B$5:$CW$56,MATCH(AI$75,$A$5:$A$56,0),100),$B59:$CW59,"="&amp;"x",$B$3:$CW$3,"="&amp;"N"),0)</f>
        <v>0</v>
      </c>
      <c r="AJ76">
        <f ca="1">IFERROR(SUMIFS(INDEX($B$5:$CW$56,MATCH(AJ$75,$A$5:$A$56,0),1):INDEX($B$5:$CW$56,MATCH(AJ$75,$A$5:$A$56,0),100),$B59:$CW59,"="&amp;"x",$B$3:$CW$3,"="&amp;"N"),0)</f>
        <v>0</v>
      </c>
      <c r="AK76">
        <f ca="1">IFERROR(SUMIFS(INDEX($B$5:$CW$56,MATCH(AK$75,$A$5:$A$56,0),1):INDEX($B$5:$CW$56,MATCH(AK$75,$A$5:$A$56,0),100),$B59:$CW59,"="&amp;"x",$B$3:$CW$3,"="&amp;"N"),0)</f>
        <v>0</v>
      </c>
      <c r="AL76">
        <f ca="1">IFERROR(SUMIFS(INDEX($B$5:$CW$56,MATCH(AL$75,$A$5:$A$56,0),1):INDEX($B$5:$CW$56,MATCH(AL$75,$A$5:$A$56,0),100),$B59:$CW59,"="&amp;"x",$B$3:$CW$3,"="&amp;"N"),0)</f>
        <v>0</v>
      </c>
      <c r="AM76">
        <f ca="1">IFERROR(SUMIFS(INDEX($B$5:$CW$56,MATCH(AM$75,$A$5:$A$56,0),1):INDEX($B$5:$CW$56,MATCH(AM$75,$A$5:$A$56,0),100),$B59:$CW59,"="&amp;"x",$B$3:$CW$3,"="&amp;"N"),0)</f>
        <v>0</v>
      </c>
      <c r="AN76">
        <f ca="1">IFERROR(SUMIFS(INDEX($B$5:$CW$56,MATCH(AN$75,$A$5:$A$56,0),1):INDEX($B$5:$CW$56,MATCH(AN$75,$A$5:$A$56,0),100),$B59:$CW59,"="&amp;"x",$B$3:$CW$3,"="&amp;"N"),0)</f>
        <v>0</v>
      </c>
      <c r="AO76">
        <f ca="1">IFERROR(SUMIFS(INDEX($B$5:$CW$56,MATCH(AO$75,$A$5:$A$56,0),1):INDEX($B$5:$CW$56,MATCH(AO$75,$A$5:$A$56,0),100),$B59:$CW59,"="&amp;"x",$B$3:$CW$3,"="&amp;"N"),0)</f>
        <v>0</v>
      </c>
      <c r="AP76">
        <f ca="1">IFERROR(SUMIFS(INDEX($B$5:$CW$56,MATCH(AP$75,$A$5:$A$56,0),1):INDEX($B$5:$CW$56,MATCH(AP$75,$A$5:$A$56,0),100),$B59:$CW59,"="&amp;"x",$B$3:$CW$3,"="&amp;"N"),0)</f>
        <v>0</v>
      </c>
      <c r="AQ76">
        <f ca="1">IFERROR(SUMIFS(INDEX($B$5:$CW$56,MATCH(AQ$75,$A$5:$A$56,0),1):INDEX($B$5:$CW$56,MATCH(AQ$75,$A$5:$A$56,0),100),$B59:$CW59,"="&amp;"x",$B$3:$CW$3,"="&amp;"N"),0)</f>
        <v>0</v>
      </c>
      <c r="AR76">
        <f ca="1">IFERROR(SUMIFS(INDEX($B$5:$CW$56,MATCH(AR$75,$A$5:$A$56,0),1):INDEX($B$5:$CW$56,MATCH(AR$75,$A$5:$A$56,0),100),$B59:$CW59,"="&amp;"x",$B$3:$CW$3,"="&amp;"N"),0)</f>
        <v>0</v>
      </c>
      <c r="AS76">
        <f ca="1">IFERROR(SUMIFS(INDEX($B$5:$CW$56,MATCH(AS$75,$A$5:$A$56,0),1):INDEX($B$5:$CW$56,MATCH(AS$75,$A$5:$A$56,0),100),$B59:$CW59,"="&amp;"x",$B$3:$CW$3,"="&amp;"N"),0)</f>
        <v>0</v>
      </c>
      <c r="AT76">
        <f ca="1">IFERROR(SUMIFS(INDEX($B$5:$CW$56,MATCH(AT$75,$A$5:$A$56,0),1):INDEX($B$5:$CW$56,MATCH(AT$75,$A$5:$A$56,0),100),$B59:$CW59,"="&amp;"x",$B$3:$CW$3,"="&amp;"N"),0)</f>
        <v>0</v>
      </c>
      <c r="AU76">
        <f ca="1">IFERROR(SUMIFS(INDEX($B$5:$CW$56,MATCH(AU$75,$A$5:$A$56,0),1):INDEX($B$5:$CW$56,MATCH(AU$75,$A$5:$A$56,0),100),$B59:$CW59,"="&amp;"x",$B$3:$CW$3,"="&amp;"N"),0)</f>
        <v>0</v>
      </c>
      <c r="AV76">
        <f ca="1">IFERROR(SUMIFS(INDEX($B$5:$CW$56,MATCH(AV$75,$A$5:$A$56,0),1):INDEX($B$5:$CW$56,MATCH(AV$75,$A$5:$A$56,0),100),$B59:$CW59,"="&amp;"x",$B$3:$CW$3,"="&amp;"N"),0)</f>
        <v>0</v>
      </c>
      <c r="AW76">
        <f ca="1">IFERROR(SUMIFS(INDEX($B$5:$CW$56,MATCH(AW$75,$A$5:$A$56,0),1):INDEX($B$5:$CW$56,MATCH(AW$75,$A$5:$A$56,0),100),$B59:$CW59,"="&amp;"x",$B$3:$CW$3,"="&amp;"N"),0)</f>
        <v>0</v>
      </c>
      <c r="AX76">
        <f ca="1">IFERROR(SUMIFS(INDEX($B$5:$CW$56,MATCH(AX$75,$A$5:$A$56,0),1):INDEX($B$5:$CW$56,MATCH(AX$75,$A$5:$A$56,0),100),$B59:$CW59,"="&amp;"x",$B$3:$CW$3,"="&amp;"N"),0)</f>
        <v>0</v>
      </c>
      <c r="AY76">
        <f ca="1">IFERROR(SUMIFS(INDEX($B$5:$CW$56,MATCH(AY$75,$A$5:$A$56,0),1):INDEX($B$5:$CW$56,MATCH(AY$75,$A$5:$A$56,0),100),$B59:$CW59,"="&amp;"x",$B$3:$CW$3,"="&amp;"N"),0)</f>
        <v>0</v>
      </c>
      <c r="AZ76">
        <f ca="1">IFERROR(SUMIFS(INDEX($B$5:$CW$56,MATCH(AZ$75,$A$5:$A$56,0),1):INDEX($B$5:$CW$56,MATCH(AZ$75,$A$5:$A$56,0),100),$B59:$CW59,"="&amp;"x",$B$3:$CW$3,"="&amp;"N"),0)</f>
        <v>0</v>
      </c>
      <c r="BA76">
        <f ca="1">IFERROR(SUMIFS(INDEX($B$5:$CW$56,MATCH(BA$75,$A$5:$A$56,0),1):INDEX($B$5:$CW$56,MATCH(BA$75,$A$5:$A$56,0),100),$B59:$CW59,"="&amp;"x",$B$3:$CW$3,"="&amp;"N"),0)</f>
        <v>0</v>
      </c>
      <c r="BC76">
        <f ca="1">AVERAGE(B76:BA76)</f>
        <v>0</v>
      </c>
    </row>
    <row r="77" spans="1:101" x14ac:dyDescent="0.35">
      <c r="A77" s="2" t="str" cm="1">
        <f t="array" ref="A77">INDEX('Data Validation (Hide)'!$B$2:$B$16,ROW(A2),1)</f>
        <v>Caseload 2</v>
      </c>
      <c r="B77">
        <f ca="1">IFERROR(SUMIFS(INDEX($B$5:$CW$56,MATCH(B$75,$A$5:$A$56,0),1):INDEX($B$5:$CW$56,MATCH(B$75,$A$5:$A$56,0),100),$B60:$CW60,"="&amp;"x",$B$3:$CW$3,"="&amp;"N"),0)</f>
        <v>0</v>
      </c>
      <c r="C77">
        <f ca="1">IFERROR(SUMIFS(INDEX($B$5:$CW$56,MATCH(C$75,$A$5:$A$56,0),1):INDEX($B$5:$CW$56,MATCH(C$75,$A$5:$A$56,0),100),$B60:$CW60,"="&amp;"x",$B$3:$CW$3,"="&amp;"N"),0)</f>
        <v>0</v>
      </c>
      <c r="D77">
        <f ca="1">IFERROR(SUMIFS(INDEX($B$5:$CW$56,MATCH(D$75,$A$5:$A$56,0),1):INDEX($B$5:$CW$56,MATCH(D$75,$A$5:$A$56,0),100),$B60:$CW60,"="&amp;"x",$B$3:$CW$3,"="&amp;"N"),0)</f>
        <v>0</v>
      </c>
      <c r="E77">
        <f ca="1">IFERROR(SUMIFS(INDEX($B$5:$CW$56,MATCH(E$75,$A$5:$A$56,0),1):INDEX($B$5:$CW$56,MATCH(E$75,$A$5:$A$56,0),100),$B60:$CW60,"="&amp;"x",$B$3:$CW$3,"="&amp;"N"),0)</f>
        <v>0</v>
      </c>
      <c r="F77">
        <f ca="1">IFERROR(SUMIFS(INDEX($B$5:$CW$56,MATCH(F$75,$A$5:$A$56,0),1):INDEX($B$5:$CW$56,MATCH(F$75,$A$5:$A$56,0),100),$B60:$CW60,"="&amp;"x",$B$3:$CW$3,"="&amp;"N"),0)</f>
        <v>0</v>
      </c>
      <c r="G77">
        <f ca="1">IFERROR(SUMIFS(INDEX($B$5:$CW$56,MATCH(G$75,$A$5:$A$56,0),1):INDEX($B$5:$CW$56,MATCH(G$75,$A$5:$A$56,0),100),$B60:$CW60,"="&amp;"x",$B$3:$CW$3,"="&amp;"N"),0)</f>
        <v>0</v>
      </c>
      <c r="H77">
        <f ca="1">IFERROR(SUMIFS(INDEX($B$5:$CW$56,MATCH(H$75,$A$5:$A$56,0),1):INDEX($B$5:$CW$56,MATCH(H$75,$A$5:$A$56,0),100),$B60:$CW60,"="&amp;"x",$B$3:$CW$3,"="&amp;"N"),0)</f>
        <v>0</v>
      </c>
      <c r="I77">
        <f ca="1">IFERROR(SUMIFS(INDEX($B$5:$CW$56,MATCH(I$75,$A$5:$A$56,0),1):INDEX($B$5:$CW$56,MATCH(I$75,$A$5:$A$56,0),100),$B60:$CW60,"="&amp;"x",$B$3:$CW$3,"="&amp;"N"),0)</f>
        <v>0</v>
      </c>
      <c r="J77">
        <f ca="1">IFERROR(SUMIFS(INDEX($B$5:$CW$56,MATCH(J$75,$A$5:$A$56,0),1):INDEX($B$5:$CW$56,MATCH(J$75,$A$5:$A$56,0),100),$B60:$CW60,"="&amp;"x",$B$3:$CW$3,"="&amp;"N"),0)</f>
        <v>0</v>
      </c>
      <c r="K77">
        <f ca="1">IFERROR(SUMIFS(INDEX($B$5:$CW$56,MATCH(K$75,$A$5:$A$56,0),1):INDEX($B$5:$CW$56,MATCH(K$75,$A$5:$A$56,0),100),$B60:$CW60,"="&amp;"x",$B$3:$CW$3,"="&amp;"N"),0)</f>
        <v>0</v>
      </c>
      <c r="L77">
        <f ca="1">IFERROR(SUMIFS(INDEX($B$5:$CW$56,MATCH(L$75,$A$5:$A$56,0),1):INDEX($B$5:$CW$56,MATCH(L$75,$A$5:$A$56,0),100),$B60:$CW60,"="&amp;"x",$B$3:$CW$3,"="&amp;"N"),0)</f>
        <v>0</v>
      </c>
      <c r="M77">
        <f ca="1">IFERROR(SUMIFS(INDEX($B$5:$CW$56,MATCH(M$75,$A$5:$A$56,0),1):INDEX($B$5:$CW$56,MATCH(M$75,$A$5:$A$56,0),100),$B60:$CW60,"="&amp;"x",$B$3:$CW$3,"="&amp;"N"),0)</f>
        <v>0</v>
      </c>
      <c r="N77">
        <f ca="1">IFERROR(SUMIFS(INDEX($B$5:$CW$56,MATCH(N$75,$A$5:$A$56,0),1):INDEX($B$5:$CW$56,MATCH(N$75,$A$5:$A$56,0),100),$B60:$CW60,"="&amp;"x",$B$3:$CW$3,"="&amp;"N"),0)</f>
        <v>0</v>
      </c>
      <c r="O77">
        <f ca="1">IFERROR(SUMIFS(INDEX($B$5:$CW$56,MATCH(O$75,$A$5:$A$56,0),1):INDEX($B$5:$CW$56,MATCH(O$75,$A$5:$A$56,0),100),$B60:$CW60,"="&amp;"x",$B$3:$CW$3,"="&amp;"N"),0)</f>
        <v>0</v>
      </c>
      <c r="P77">
        <f ca="1">IFERROR(SUMIFS(INDEX($B$5:$CW$56,MATCH(P$75,$A$5:$A$56,0),1):INDEX($B$5:$CW$56,MATCH(P$75,$A$5:$A$56,0),100),$B60:$CW60,"="&amp;"x",$B$3:$CW$3,"="&amp;"N"),0)</f>
        <v>0</v>
      </c>
      <c r="Q77">
        <f ca="1">IFERROR(SUMIFS(INDEX($B$5:$CW$56,MATCH(Q$75,$A$5:$A$56,0),1):INDEX($B$5:$CW$56,MATCH(Q$75,$A$5:$A$56,0),100),$B60:$CW60,"="&amp;"x",$B$3:$CW$3,"="&amp;"N"),0)</f>
        <v>0</v>
      </c>
      <c r="R77">
        <f ca="1">IFERROR(SUMIFS(INDEX($B$5:$CW$56,MATCH(R$75,$A$5:$A$56,0),1):INDEX($B$5:$CW$56,MATCH(R$75,$A$5:$A$56,0),100),$B60:$CW60,"="&amp;"x",$B$3:$CW$3,"="&amp;"N"),0)</f>
        <v>0</v>
      </c>
      <c r="S77">
        <f ca="1">IFERROR(SUMIFS(INDEX($B$5:$CW$56,MATCH(S$75,$A$5:$A$56,0),1):INDEX($B$5:$CW$56,MATCH(S$75,$A$5:$A$56,0),100),$B60:$CW60,"="&amp;"x",$B$3:$CW$3,"="&amp;"N"),0)</f>
        <v>0</v>
      </c>
      <c r="T77">
        <f ca="1">IFERROR(SUMIFS(INDEX($B$5:$CW$56,MATCH(T$75,$A$5:$A$56,0),1):INDEX($B$5:$CW$56,MATCH(T$75,$A$5:$A$56,0),100),$B60:$CW60,"="&amp;"x",$B$3:$CW$3,"="&amp;"N"),0)</f>
        <v>0</v>
      </c>
      <c r="U77">
        <f ca="1">IFERROR(SUMIFS(INDEX($B$5:$CW$56,MATCH(U$75,$A$5:$A$56,0),1):INDEX($B$5:$CW$56,MATCH(U$75,$A$5:$A$56,0),100),$B60:$CW60,"="&amp;"x",$B$3:$CW$3,"="&amp;"N"),0)</f>
        <v>0</v>
      </c>
      <c r="V77">
        <f ca="1">IFERROR(SUMIFS(INDEX($B$5:$CW$56,MATCH(V$75,$A$5:$A$56,0),1):INDEX($B$5:$CW$56,MATCH(V$75,$A$5:$A$56,0),100),$B60:$CW60,"="&amp;"x",$B$3:$CW$3,"="&amp;"N"),0)</f>
        <v>0</v>
      </c>
      <c r="W77">
        <f ca="1">IFERROR(SUMIFS(INDEX($B$5:$CW$56,MATCH(W$75,$A$5:$A$56,0),1):INDEX($B$5:$CW$56,MATCH(W$75,$A$5:$A$56,0),100),$B60:$CW60,"="&amp;"x",$B$3:$CW$3,"="&amp;"N"),0)</f>
        <v>0</v>
      </c>
      <c r="X77">
        <f ca="1">IFERROR(SUMIFS(INDEX($B$5:$CW$56,MATCH(X$75,$A$5:$A$56,0),1):INDEX($B$5:$CW$56,MATCH(X$75,$A$5:$A$56,0),100),$B60:$CW60,"="&amp;"x",$B$3:$CW$3,"="&amp;"N"),0)</f>
        <v>0</v>
      </c>
      <c r="Y77">
        <f ca="1">IFERROR(SUMIFS(INDEX($B$5:$CW$56,MATCH(Y$75,$A$5:$A$56,0),1):INDEX($B$5:$CW$56,MATCH(Y$75,$A$5:$A$56,0),100),$B60:$CW60,"="&amp;"x",$B$3:$CW$3,"="&amp;"N"),0)</f>
        <v>0</v>
      </c>
      <c r="Z77">
        <f ca="1">IFERROR(SUMIFS(INDEX($B$5:$CW$56,MATCH(Z$75,$A$5:$A$56,0),1):INDEX($B$5:$CW$56,MATCH(Z$75,$A$5:$A$56,0),100),$B60:$CW60,"="&amp;"x",$B$3:$CW$3,"="&amp;"N"),0)</f>
        <v>0</v>
      </c>
      <c r="AA77">
        <f ca="1">IFERROR(SUMIFS(INDEX($B$5:$CW$56,MATCH(AA$75,$A$5:$A$56,0),1):INDEX($B$5:$CW$56,MATCH(AA$75,$A$5:$A$56,0),100),$B60:$CW60,"="&amp;"x",$B$3:$CW$3,"="&amp;"N"),0)</f>
        <v>0</v>
      </c>
      <c r="AB77">
        <f ca="1">IFERROR(SUMIFS(INDEX($B$5:$CW$56,MATCH(AB$75,$A$5:$A$56,0),1):INDEX($B$5:$CW$56,MATCH(AB$75,$A$5:$A$56,0),100),$B60:$CW60,"="&amp;"x",$B$3:$CW$3,"="&amp;"N"),0)</f>
        <v>0</v>
      </c>
      <c r="AC77">
        <f ca="1">IFERROR(SUMIFS(INDEX($B$5:$CW$56,MATCH(AC$75,$A$5:$A$56,0),1):INDEX($B$5:$CW$56,MATCH(AC$75,$A$5:$A$56,0),100),$B60:$CW60,"="&amp;"x",$B$3:$CW$3,"="&amp;"N"),0)</f>
        <v>0</v>
      </c>
      <c r="AD77">
        <f ca="1">IFERROR(SUMIFS(INDEX($B$5:$CW$56,MATCH(AD$75,$A$5:$A$56,0),1):INDEX($B$5:$CW$56,MATCH(AD$75,$A$5:$A$56,0),100),$B60:$CW60,"="&amp;"x",$B$3:$CW$3,"="&amp;"N"),0)</f>
        <v>0</v>
      </c>
      <c r="AE77">
        <f ca="1">IFERROR(SUMIFS(INDEX($B$5:$CW$56,MATCH(AE$75,$A$5:$A$56,0),1):INDEX($B$5:$CW$56,MATCH(AE$75,$A$5:$A$56,0),100),$B60:$CW60,"="&amp;"x",$B$3:$CW$3,"="&amp;"N"),0)</f>
        <v>0</v>
      </c>
      <c r="AF77">
        <f ca="1">IFERROR(SUMIFS(INDEX($B$5:$CW$56,MATCH(AF$75,$A$5:$A$56,0),1):INDEX($B$5:$CW$56,MATCH(AF$75,$A$5:$A$56,0),100),$B60:$CW60,"="&amp;"x",$B$3:$CW$3,"="&amp;"N"),0)</f>
        <v>0</v>
      </c>
      <c r="AG77">
        <f ca="1">IFERROR(SUMIFS(INDEX($B$5:$CW$56,MATCH(AG$75,$A$5:$A$56,0),1):INDEX($B$5:$CW$56,MATCH(AG$75,$A$5:$A$56,0),100),$B60:$CW60,"="&amp;"x",$B$3:$CW$3,"="&amp;"N"),0)</f>
        <v>0</v>
      </c>
      <c r="AH77">
        <f ca="1">IFERROR(SUMIFS(INDEX($B$5:$CW$56,MATCH(AH$75,$A$5:$A$56,0),1):INDEX($B$5:$CW$56,MATCH(AH$75,$A$5:$A$56,0),100),$B60:$CW60,"="&amp;"x",$B$3:$CW$3,"="&amp;"N"),0)</f>
        <v>0</v>
      </c>
      <c r="AI77">
        <f ca="1">IFERROR(SUMIFS(INDEX($B$5:$CW$56,MATCH(AI$75,$A$5:$A$56,0),1):INDEX($B$5:$CW$56,MATCH(AI$75,$A$5:$A$56,0),100),$B60:$CW60,"="&amp;"x",$B$3:$CW$3,"="&amp;"N"),0)</f>
        <v>0</v>
      </c>
      <c r="AJ77">
        <f ca="1">IFERROR(SUMIFS(INDEX($B$5:$CW$56,MATCH(AJ$75,$A$5:$A$56,0),1):INDEX($B$5:$CW$56,MATCH(AJ$75,$A$5:$A$56,0),100),$B60:$CW60,"="&amp;"x",$B$3:$CW$3,"="&amp;"N"),0)</f>
        <v>0</v>
      </c>
      <c r="AK77">
        <f ca="1">IFERROR(SUMIFS(INDEX($B$5:$CW$56,MATCH(AK$75,$A$5:$A$56,0),1):INDEX($B$5:$CW$56,MATCH(AK$75,$A$5:$A$56,0),100),$B60:$CW60,"="&amp;"x",$B$3:$CW$3,"="&amp;"N"),0)</f>
        <v>0</v>
      </c>
      <c r="AL77">
        <f ca="1">IFERROR(SUMIFS(INDEX($B$5:$CW$56,MATCH(AL$75,$A$5:$A$56,0),1):INDEX($B$5:$CW$56,MATCH(AL$75,$A$5:$A$56,0),100),$B60:$CW60,"="&amp;"x",$B$3:$CW$3,"="&amp;"N"),0)</f>
        <v>0</v>
      </c>
      <c r="AM77">
        <f ca="1">IFERROR(SUMIFS(INDEX($B$5:$CW$56,MATCH(AM$75,$A$5:$A$56,0),1):INDEX($B$5:$CW$56,MATCH(AM$75,$A$5:$A$56,0),100),$B60:$CW60,"="&amp;"x",$B$3:$CW$3,"="&amp;"N"),0)</f>
        <v>0</v>
      </c>
      <c r="AN77">
        <f ca="1">IFERROR(SUMIFS(INDEX($B$5:$CW$56,MATCH(AN$75,$A$5:$A$56,0),1):INDEX($B$5:$CW$56,MATCH(AN$75,$A$5:$A$56,0),100),$B60:$CW60,"="&amp;"x",$B$3:$CW$3,"="&amp;"N"),0)</f>
        <v>0</v>
      </c>
      <c r="AO77">
        <f ca="1">IFERROR(SUMIFS(INDEX($B$5:$CW$56,MATCH(AO$75,$A$5:$A$56,0),1):INDEX($B$5:$CW$56,MATCH(AO$75,$A$5:$A$56,0),100),$B60:$CW60,"="&amp;"x",$B$3:$CW$3,"="&amp;"N"),0)</f>
        <v>0</v>
      </c>
      <c r="AP77">
        <f ca="1">IFERROR(SUMIFS(INDEX($B$5:$CW$56,MATCH(AP$75,$A$5:$A$56,0),1):INDEX($B$5:$CW$56,MATCH(AP$75,$A$5:$A$56,0),100),$B60:$CW60,"="&amp;"x",$B$3:$CW$3,"="&amp;"N"),0)</f>
        <v>0</v>
      </c>
      <c r="AQ77">
        <f ca="1">IFERROR(SUMIFS(INDEX($B$5:$CW$56,MATCH(AQ$75,$A$5:$A$56,0),1):INDEX($B$5:$CW$56,MATCH(AQ$75,$A$5:$A$56,0),100),$B60:$CW60,"="&amp;"x",$B$3:$CW$3,"="&amp;"N"),0)</f>
        <v>0</v>
      </c>
      <c r="AR77">
        <f ca="1">IFERROR(SUMIFS(INDEX($B$5:$CW$56,MATCH(AR$75,$A$5:$A$56,0),1):INDEX($B$5:$CW$56,MATCH(AR$75,$A$5:$A$56,0),100),$B60:$CW60,"="&amp;"x",$B$3:$CW$3,"="&amp;"N"),0)</f>
        <v>0</v>
      </c>
      <c r="AS77">
        <f ca="1">IFERROR(SUMIFS(INDEX($B$5:$CW$56,MATCH(AS$75,$A$5:$A$56,0),1):INDEX($B$5:$CW$56,MATCH(AS$75,$A$5:$A$56,0),100),$B60:$CW60,"="&amp;"x",$B$3:$CW$3,"="&amp;"N"),0)</f>
        <v>0</v>
      </c>
      <c r="AT77">
        <f ca="1">IFERROR(SUMIFS(INDEX($B$5:$CW$56,MATCH(AT$75,$A$5:$A$56,0),1):INDEX($B$5:$CW$56,MATCH(AT$75,$A$5:$A$56,0),100),$B60:$CW60,"="&amp;"x",$B$3:$CW$3,"="&amp;"N"),0)</f>
        <v>0</v>
      </c>
      <c r="AU77">
        <f ca="1">IFERROR(SUMIFS(INDEX($B$5:$CW$56,MATCH(AU$75,$A$5:$A$56,0),1):INDEX($B$5:$CW$56,MATCH(AU$75,$A$5:$A$56,0),100),$B60:$CW60,"="&amp;"x",$B$3:$CW$3,"="&amp;"N"),0)</f>
        <v>0</v>
      </c>
      <c r="AV77">
        <f ca="1">IFERROR(SUMIFS(INDEX($B$5:$CW$56,MATCH(AV$75,$A$5:$A$56,0),1):INDEX($B$5:$CW$56,MATCH(AV$75,$A$5:$A$56,0),100),$B60:$CW60,"="&amp;"x",$B$3:$CW$3,"="&amp;"N"),0)</f>
        <v>0</v>
      </c>
      <c r="AW77">
        <f ca="1">IFERROR(SUMIFS(INDEX($B$5:$CW$56,MATCH(AW$75,$A$5:$A$56,0),1):INDEX($B$5:$CW$56,MATCH(AW$75,$A$5:$A$56,0),100),$B60:$CW60,"="&amp;"x",$B$3:$CW$3,"="&amp;"N"),0)</f>
        <v>0</v>
      </c>
      <c r="AX77">
        <f ca="1">IFERROR(SUMIFS(INDEX($B$5:$CW$56,MATCH(AX$75,$A$5:$A$56,0),1):INDEX($B$5:$CW$56,MATCH(AX$75,$A$5:$A$56,0),100),$B60:$CW60,"="&amp;"x",$B$3:$CW$3,"="&amp;"N"),0)</f>
        <v>0</v>
      </c>
      <c r="AY77">
        <f ca="1">IFERROR(SUMIFS(INDEX($B$5:$CW$56,MATCH(AY$75,$A$5:$A$56,0),1):INDEX($B$5:$CW$56,MATCH(AY$75,$A$5:$A$56,0),100),$B60:$CW60,"="&amp;"x",$B$3:$CW$3,"="&amp;"N"),0)</f>
        <v>0</v>
      </c>
      <c r="AZ77">
        <f ca="1">IFERROR(SUMIFS(INDEX($B$5:$CW$56,MATCH(AZ$75,$A$5:$A$56,0),1):INDEX($B$5:$CW$56,MATCH(AZ$75,$A$5:$A$56,0),100),$B60:$CW60,"="&amp;"x",$B$3:$CW$3,"="&amp;"N"),0)</f>
        <v>0</v>
      </c>
      <c r="BA77">
        <f ca="1">IFERROR(SUMIFS(INDEX($B$5:$CW$56,MATCH(BA$75,$A$5:$A$56,0),1):INDEX($B$5:$CW$56,MATCH(BA$75,$A$5:$A$56,0),100),$B60:$CW60,"="&amp;"x",$B$3:$CW$3,"="&amp;"N"),0)</f>
        <v>0</v>
      </c>
      <c r="BC77">
        <f t="shared" ref="BC77:BC90" ca="1" si="0">AVERAGE(B77:BA77)</f>
        <v>0</v>
      </c>
    </row>
    <row r="78" spans="1:101" x14ac:dyDescent="0.35">
      <c r="A78" s="2" t="str" cm="1">
        <f t="array" ref="A78">INDEX('Data Validation (Hide)'!$B$2:$B$16,ROW(A3),1)</f>
        <v>Caseload 3</v>
      </c>
      <c r="B78">
        <f ca="1">IFERROR(SUMIFS(INDEX($B$5:$CW$56,MATCH(B$75,$A$5:$A$56,0),1):INDEX($B$5:$CW$56,MATCH(B$75,$A$5:$A$56,0),100),$B61:$CW61,"="&amp;"x",$B$3:$CW$3,"="&amp;"N"),0)</f>
        <v>0</v>
      </c>
      <c r="C78">
        <f ca="1">IFERROR(SUMIFS(INDEX($B$5:$CW$56,MATCH(C$75,$A$5:$A$56,0),1):INDEX($B$5:$CW$56,MATCH(C$75,$A$5:$A$56,0),100),$B61:$CW61,"="&amp;"x",$B$3:$CW$3,"="&amp;"N"),0)</f>
        <v>0</v>
      </c>
      <c r="D78">
        <f ca="1">IFERROR(SUMIFS(INDEX($B$5:$CW$56,MATCH(D$75,$A$5:$A$56,0),1):INDEX($B$5:$CW$56,MATCH(D$75,$A$5:$A$56,0),100),$B61:$CW61,"="&amp;"x",$B$3:$CW$3,"="&amp;"N"),0)</f>
        <v>0</v>
      </c>
      <c r="E78">
        <f ca="1">IFERROR(SUMIFS(INDEX($B$5:$CW$56,MATCH(E$75,$A$5:$A$56,0),1):INDEX($B$5:$CW$56,MATCH(E$75,$A$5:$A$56,0),100),$B61:$CW61,"="&amp;"x",$B$3:$CW$3,"="&amp;"N"),0)</f>
        <v>0</v>
      </c>
      <c r="F78">
        <f ca="1">IFERROR(SUMIFS(INDEX($B$5:$CW$56,MATCH(F$75,$A$5:$A$56,0),1):INDEX($B$5:$CW$56,MATCH(F$75,$A$5:$A$56,0),100),$B61:$CW61,"="&amp;"x",$B$3:$CW$3,"="&amp;"N"),0)</f>
        <v>0</v>
      </c>
      <c r="G78">
        <f ca="1">IFERROR(SUMIFS(INDEX($B$5:$CW$56,MATCH(G$75,$A$5:$A$56,0),1):INDEX($B$5:$CW$56,MATCH(G$75,$A$5:$A$56,0),100),$B61:$CW61,"="&amp;"x",$B$3:$CW$3,"="&amp;"N"),0)</f>
        <v>0</v>
      </c>
      <c r="H78">
        <f ca="1">IFERROR(SUMIFS(INDEX($B$5:$CW$56,MATCH(H$75,$A$5:$A$56,0),1):INDEX($B$5:$CW$56,MATCH(H$75,$A$5:$A$56,0),100),$B61:$CW61,"="&amp;"x",$B$3:$CW$3,"="&amp;"N"),0)</f>
        <v>0</v>
      </c>
      <c r="I78">
        <f ca="1">IFERROR(SUMIFS(INDEX($B$5:$CW$56,MATCH(I$75,$A$5:$A$56,0),1):INDEX($B$5:$CW$56,MATCH(I$75,$A$5:$A$56,0),100),$B61:$CW61,"="&amp;"x",$B$3:$CW$3,"="&amp;"N"),0)</f>
        <v>0</v>
      </c>
      <c r="J78">
        <f ca="1">IFERROR(SUMIFS(INDEX($B$5:$CW$56,MATCH(J$75,$A$5:$A$56,0),1):INDEX($B$5:$CW$56,MATCH(J$75,$A$5:$A$56,0),100),$B61:$CW61,"="&amp;"x",$B$3:$CW$3,"="&amp;"N"),0)</f>
        <v>0</v>
      </c>
      <c r="K78">
        <f ca="1">IFERROR(SUMIFS(INDEX($B$5:$CW$56,MATCH(K$75,$A$5:$A$56,0),1):INDEX($B$5:$CW$56,MATCH(K$75,$A$5:$A$56,0),100),$B61:$CW61,"="&amp;"x",$B$3:$CW$3,"="&amp;"N"),0)</f>
        <v>0</v>
      </c>
      <c r="L78">
        <f ca="1">IFERROR(SUMIFS(INDEX($B$5:$CW$56,MATCH(L$75,$A$5:$A$56,0),1):INDEX($B$5:$CW$56,MATCH(L$75,$A$5:$A$56,0),100),$B61:$CW61,"="&amp;"x",$B$3:$CW$3,"="&amp;"N"),0)</f>
        <v>0</v>
      </c>
      <c r="M78">
        <f ca="1">IFERROR(SUMIFS(INDEX($B$5:$CW$56,MATCH(M$75,$A$5:$A$56,0),1):INDEX($B$5:$CW$56,MATCH(M$75,$A$5:$A$56,0),100),$B61:$CW61,"="&amp;"x",$B$3:$CW$3,"="&amp;"N"),0)</f>
        <v>0</v>
      </c>
      <c r="N78">
        <f ca="1">IFERROR(SUMIFS(INDEX($B$5:$CW$56,MATCH(N$75,$A$5:$A$56,0),1):INDEX($B$5:$CW$56,MATCH(N$75,$A$5:$A$56,0),100),$B61:$CW61,"="&amp;"x",$B$3:$CW$3,"="&amp;"N"),0)</f>
        <v>0</v>
      </c>
      <c r="O78">
        <f ca="1">IFERROR(SUMIFS(INDEX($B$5:$CW$56,MATCH(O$75,$A$5:$A$56,0),1):INDEX($B$5:$CW$56,MATCH(O$75,$A$5:$A$56,0),100),$B61:$CW61,"="&amp;"x",$B$3:$CW$3,"="&amp;"N"),0)</f>
        <v>0</v>
      </c>
      <c r="P78">
        <f ca="1">IFERROR(SUMIFS(INDEX($B$5:$CW$56,MATCH(P$75,$A$5:$A$56,0),1):INDEX($B$5:$CW$56,MATCH(P$75,$A$5:$A$56,0),100),$B61:$CW61,"="&amp;"x",$B$3:$CW$3,"="&amp;"N"),0)</f>
        <v>0</v>
      </c>
      <c r="Q78">
        <f ca="1">IFERROR(SUMIFS(INDEX($B$5:$CW$56,MATCH(Q$75,$A$5:$A$56,0),1):INDEX($B$5:$CW$56,MATCH(Q$75,$A$5:$A$56,0),100),$B61:$CW61,"="&amp;"x",$B$3:$CW$3,"="&amp;"N"),0)</f>
        <v>0</v>
      </c>
      <c r="R78">
        <f ca="1">IFERROR(SUMIFS(INDEX($B$5:$CW$56,MATCH(R$75,$A$5:$A$56,0),1):INDEX($B$5:$CW$56,MATCH(R$75,$A$5:$A$56,0),100),$B61:$CW61,"="&amp;"x",$B$3:$CW$3,"="&amp;"N"),0)</f>
        <v>0</v>
      </c>
      <c r="S78">
        <f ca="1">IFERROR(SUMIFS(INDEX($B$5:$CW$56,MATCH(S$75,$A$5:$A$56,0),1):INDEX($B$5:$CW$56,MATCH(S$75,$A$5:$A$56,0),100),$B61:$CW61,"="&amp;"x",$B$3:$CW$3,"="&amp;"N"),0)</f>
        <v>0</v>
      </c>
      <c r="T78">
        <f ca="1">IFERROR(SUMIFS(INDEX($B$5:$CW$56,MATCH(T$75,$A$5:$A$56,0),1):INDEX($B$5:$CW$56,MATCH(T$75,$A$5:$A$56,0),100),$B61:$CW61,"="&amp;"x",$B$3:$CW$3,"="&amp;"N"),0)</f>
        <v>0</v>
      </c>
      <c r="U78">
        <f ca="1">IFERROR(SUMIFS(INDEX($B$5:$CW$56,MATCH(U$75,$A$5:$A$56,0),1):INDEX($B$5:$CW$56,MATCH(U$75,$A$5:$A$56,0),100),$B61:$CW61,"="&amp;"x",$B$3:$CW$3,"="&amp;"N"),0)</f>
        <v>0</v>
      </c>
      <c r="V78">
        <f ca="1">IFERROR(SUMIFS(INDEX($B$5:$CW$56,MATCH(V$75,$A$5:$A$56,0),1):INDEX($B$5:$CW$56,MATCH(V$75,$A$5:$A$56,0),100),$B61:$CW61,"="&amp;"x",$B$3:$CW$3,"="&amp;"N"),0)</f>
        <v>0</v>
      </c>
      <c r="W78">
        <f ca="1">IFERROR(SUMIFS(INDEX($B$5:$CW$56,MATCH(W$75,$A$5:$A$56,0),1):INDEX($B$5:$CW$56,MATCH(W$75,$A$5:$A$56,0),100),$B61:$CW61,"="&amp;"x",$B$3:$CW$3,"="&amp;"N"),0)</f>
        <v>0</v>
      </c>
      <c r="X78">
        <f ca="1">IFERROR(SUMIFS(INDEX($B$5:$CW$56,MATCH(X$75,$A$5:$A$56,0),1):INDEX($B$5:$CW$56,MATCH(X$75,$A$5:$A$56,0),100),$B61:$CW61,"="&amp;"x",$B$3:$CW$3,"="&amp;"N"),0)</f>
        <v>0</v>
      </c>
      <c r="Y78">
        <f ca="1">IFERROR(SUMIFS(INDEX($B$5:$CW$56,MATCH(Y$75,$A$5:$A$56,0),1):INDEX($B$5:$CW$56,MATCH(Y$75,$A$5:$A$56,0),100),$B61:$CW61,"="&amp;"x",$B$3:$CW$3,"="&amp;"N"),0)</f>
        <v>0</v>
      </c>
      <c r="Z78">
        <f ca="1">IFERROR(SUMIFS(INDEX($B$5:$CW$56,MATCH(Z$75,$A$5:$A$56,0),1):INDEX($B$5:$CW$56,MATCH(Z$75,$A$5:$A$56,0),100),$B61:$CW61,"="&amp;"x",$B$3:$CW$3,"="&amp;"N"),0)</f>
        <v>0</v>
      </c>
      <c r="AA78">
        <f ca="1">IFERROR(SUMIFS(INDEX($B$5:$CW$56,MATCH(AA$75,$A$5:$A$56,0),1):INDEX($B$5:$CW$56,MATCH(AA$75,$A$5:$A$56,0),100),$B61:$CW61,"="&amp;"x",$B$3:$CW$3,"="&amp;"N"),0)</f>
        <v>0</v>
      </c>
      <c r="AB78">
        <f ca="1">IFERROR(SUMIFS(INDEX($B$5:$CW$56,MATCH(AB$75,$A$5:$A$56,0),1):INDEX($B$5:$CW$56,MATCH(AB$75,$A$5:$A$56,0),100),$B61:$CW61,"="&amp;"x",$B$3:$CW$3,"="&amp;"N"),0)</f>
        <v>0</v>
      </c>
      <c r="AC78">
        <f ca="1">IFERROR(SUMIFS(INDEX($B$5:$CW$56,MATCH(AC$75,$A$5:$A$56,0),1):INDEX($B$5:$CW$56,MATCH(AC$75,$A$5:$A$56,0),100),$B61:$CW61,"="&amp;"x",$B$3:$CW$3,"="&amp;"N"),0)</f>
        <v>0</v>
      </c>
      <c r="AD78">
        <f ca="1">IFERROR(SUMIFS(INDEX($B$5:$CW$56,MATCH(AD$75,$A$5:$A$56,0),1):INDEX($B$5:$CW$56,MATCH(AD$75,$A$5:$A$56,0),100),$B61:$CW61,"="&amp;"x",$B$3:$CW$3,"="&amp;"N"),0)</f>
        <v>0</v>
      </c>
      <c r="AE78">
        <f ca="1">IFERROR(SUMIFS(INDEX($B$5:$CW$56,MATCH(AE$75,$A$5:$A$56,0),1):INDEX($B$5:$CW$56,MATCH(AE$75,$A$5:$A$56,0),100),$B61:$CW61,"="&amp;"x",$B$3:$CW$3,"="&amp;"N"),0)</f>
        <v>0</v>
      </c>
      <c r="AF78">
        <f ca="1">IFERROR(SUMIFS(INDEX($B$5:$CW$56,MATCH(AF$75,$A$5:$A$56,0),1):INDEX($B$5:$CW$56,MATCH(AF$75,$A$5:$A$56,0),100),$B61:$CW61,"="&amp;"x",$B$3:$CW$3,"="&amp;"N"),0)</f>
        <v>0</v>
      </c>
      <c r="AG78">
        <f ca="1">IFERROR(SUMIFS(INDEX($B$5:$CW$56,MATCH(AG$75,$A$5:$A$56,0),1):INDEX($B$5:$CW$56,MATCH(AG$75,$A$5:$A$56,0),100),$B61:$CW61,"="&amp;"x",$B$3:$CW$3,"="&amp;"N"),0)</f>
        <v>0</v>
      </c>
      <c r="AH78">
        <f ca="1">IFERROR(SUMIFS(INDEX($B$5:$CW$56,MATCH(AH$75,$A$5:$A$56,0),1):INDEX($B$5:$CW$56,MATCH(AH$75,$A$5:$A$56,0),100),$B61:$CW61,"="&amp;"x",$B$3:$CW$3,"="&amp;"N"),0)</f>
        <v>0</v>
      </c>
      <c r="AI78">
        <f ca="1">IFERROR(SUMIFS(INDEX($B$5:$CW$56,MATCH(AI$75,$A$5:$A$56,0),1):INDEX($B$5:$CW$56,MATCH(AI$75,$A$5:$A$56,0),100),$B61:$CW61,"="&amp;"x",$B$3:$CW$3,"="&amp;"N"),0)</f>
        <v>0</v>
      </c>
      <c r="AJ78">
        <f ca="1">IFERROR(SUMIFS(INDEX($B$5:$CW$56,MATCH(AJ$75,$A$5:$A$56,0),1):INDEX($B$5:$CW$56,MATCH(AJ$75,$A$5:$A$56,0),100),$B61:$CW61,"="&amp;"x",$B$3:$CW$3,"="&amp;"N"),0)</f>
        <v>0</v>
      </c>
      <c r="AK78">
        <f ca="1">IFERROR(SUMIFS(INDEX($B$5:$CW$56,MATCH(AK$75,$A$5:$A$56,0),1):INDEX($B$5:$CW$56,MATCH(AK$75,$A$5:$A$56,0),100),$B61:$CW61,"="&amp;"x",$B$3:$CW$3,"="&amp;"N"),0)</f>
        <v>0</v>
      </c>
      <c r="AL78">
        <f ca="1">IFERROR(SUMIFS(INDEX($B$5:$CW$56,MATCH(AL$75,$A$5:$A$56,0),1):INDEX($B$5:$CW$56,MATCH(AL$75,$A$5:$A$56,0),100),$B61:$CW61,"="&amp;"x",$B$3:$CW$3,"="&amp;"N"),0)</f>
        <v>0</v>
      </c>
      <c r="AM78">
        <f ca="1">IFERROR(SUMIFS(INDEX($B$5:$CW$56,MATCH(AM$75,$A$5:$A$56,0),1):INDEX($B$5:$CW$56,MATCH(AM$75,$A$5:$A$56,0),100),$B61:$CW61,"="&amp;"x",$B$3:$CW$3,"="&amp;"N"),0)</f>
        <v>0</v>
      </c>
      <c r="AN78">
        <f ca="1">IFERROR(SUMIFS(INDEX($B$5:$CW$56,MATCH(AN$75,$A$5:$A$56,0),1):INDEX($B$5:$CW$56,MATCH(AN$75,$A$5:$A$56,0),100),$B61:$CW61,"="&amp;"x",$B$3:$CW$3,"="&amp;"N"),0)</f>
        <v>0</v>
      </c>
      <c r="AO78">
        <f ca="1">IFERROR(SUMIFS(INDEX($B$5:$CW$56,MATCH(AO$75,$A$5:$A$56,0),1):INDEX($B$5:$CW$56,MATCH(AO$75,$A$5:$A$56,0),100),$B61:$CW61,"="&amp;"x",$B$3:$CW$3,"="&amp;"N"),0)</f>
        <v>0</v>
      </c>
      <c r="AP78">
        <f ca="1">IFERROR(SUMIFS(INDEX($B$5:$CW$56,MATCH(AP$75,$A$5:$A$56,0),1):INDEX($B$5:$CW$56,MATCH(AP$75,$A$5:$A$56,0),100),$B61:$CW61,"="&amp;"x",$B$3:$CW$3,"="&amp;"N"),0)</f>
        <v>0</v>
      </c>
      <c r="AQ78">
        <f ca="1">IFERROR(SUMIFS(INDEX($B$5:$CW$56,MATCH(AQ$75,$A$5:$A$56,0),1):INDEX($B$5:$CW$56,MATCH(AQ$75,$A$5:$A$56,0),100),$B61:$CW61,"="&amp;"x",$B$3:$CW$3,"="&amp;"N"),0)</f>
        <v>0</v>
      </c>
      <c r="AR78">
        <f ca="1">IFERROR(SUMIFS(INDEX($B$5:$CW$56,MATCH(AR$75,$A$5:$A$56,0),1):INDEX($B$5:$CW$56,MATCH(AR$75,$A$5:$A$56,0),100),$B61:$CW61,"="&amp;"x",$B$3:$CW$3,"="&amp;"N"),0)</f>
        <v>0</v>
      </c>
      <c r="AS78">
        <f ca="1">IFERROR(SUMIFS(INDEX($B$5:$CW$56,MATCH(AS$75,$A$5:$A$56,0),1):INDEX($B$5:$CW$56,MATCH(AS$75,$A$5:$A$56,0),100),$B61:$CW61,"="&amp;"x",$B$3:$CW$3,"="&amp;"N"),0)</f>
        <v>0</v>
      </c>
      <c r="AT78">
        <f ca="1">IFERROR(SUMIFS(INDEX($B$5:$CW$56,MATCH(AT$75,$A$5:$A$56,0),1):INDEX($B$5:$CW$56,MATCH(AT$75,$A$5:$A$56,0),100),$B61:$CW61,"="&amp;"x",$B$3:$CW$3,"="&amp;"N"),0)</f>
        <v>0</v>
      </c>
      <c r="AU78">
        <f ca="1">IFERROR(SUMIFS(INDEX($B$5:$CW$56,MATCH(AU$75,$A$5:$A$56,0),1):INDEX($B$5:$CW$56,MATCH(AU$75,$A$5:$A$56,0),100),$B61:$CW61,"="&amp;"x",$B$3:$CW$3,"="&amp;"N"),0)</f>
        <v>0</v>
      </c>
      <c r="AV78">
        <f ca="1">IFERROR(SUMIFS(INDEX($B$5:$CW$56,MATCH(AV$75,$A$5:$A$56,0),1):INDEX($B$5:$CW$56,MATCH(AV$75,$A$5:$A$56,0),100),$B61:$CW61,"="&amp;"x",$B$3:$CW$3,"="&amp;"N"),0)</f>
        <v>0</v>
      </c>
      <c r="AW78">
        <f ca="1">IFERROR(SUMIFS(INDEX($B$5:$CW$56,MATCH(AW$75,$A$5:$A$56,0),1):INDEX($B$5:$CW$56,MATCH(AW$75,$A$5:$A$56,0),100),$B61:$CW61,"="&amp;"x",$B$3:$CW$3,"="&amp;"N"),0)</f>
        <v>0</v>
      </c>
      <c r="AX78">
        <f ca="1">IFERROR(SUMIFS(INDEX($B$5:$CW$56,MATCH(AX$75,$A$5:$A$56,0),1):INDEX($B$5:$CW$56,MATCH(AX$75,$A$5:$A$56,0),100),$B61:$CW61,"="&amp;"x",$B$3:$CW$3,"="&amp;"N"),0)</f>
        <v>0</v>
      </c>
      <c r="AY78">
        <f ca="1">IFERROR(SUMIFS(INDEX($B$5:$CW$56,MATCH(AY$75,$A$5:$A$56,0),1):INDEX($B$5:$CW$56,MATCH(AY$75,$A$5:$A$56,0),100),$B61:$CW61,"="&amp;"x",$B$3:$CW$3,"="&amp;"N"),0)</f>
        <v>0</v>
      </c>
      <c r="AZ78">
        <f ca="1">IFERROR(SUMIFS(INDEX($B$5:$CW$56,MATCH(AZ$75,$A$5:$A$56,0),1):INDEX($B$5:$CW$56,MATCH(AZ$75,$A$5:$A$56,0),100),$B61:$CW61,"="&amp;"x",$B$3:$CW$3,"="&amp;"N"),0)</f>
        <v>0</v>
      </c>
      <c r="BA78">
        <f ca="1">IFERROR(SUMIFS(INDEX($B$5:$CW$56,MATCH(BA$75,$A$5:$A$56,0),1):INDEX($B$5:$CW$56,MATCH(BA$75,$A$5:$A$56,0),100),$B61:$CW61,"="&amp;"x",$B$3:$CW$3,"="&amp;"N"),0)</f>
        <v>0</v>
      </c>
      <c r="BC78">
        <f t="shared" ca="1" si="0"/>
        <v>0</v>
      </c>
    </row>
    <row r="79" spans="1:101" x14ac:dyDescent="0.35">
      <c r="A79" s="2" t="str" cm="1">
        <f t="array" ref="A79">INDEX('Data Validation (Hide)'!$B$2:$B$16,ROW(A4),1)</f>
        <v>Caseload 4</v>
      </c>
      <c r="B79">
        <f ca="1">IFERROR(SUMIFS(INDEX($B$5:$CW$56,MATCH(B$75,$A$5:$A$56,0),1):INDEX($B$5:$CW$56,MATCH(B$75,$A$5:$A$56,0),100),$B62:$CW62,"="&amp;"x",$B$3:$CW$3,"="&amp;"N"),0)</f>
        <v>0</v>
      </c>
      <c r="C79">
        <f ca="1">IFERROR(SUMIFS(INDEX($B$5:$CW$56,MATCH(C$75,$A$5:$A$56,0),1):INDEX($B$5:$CW$56,MATCH(C$75,$A$5:$A$56,0),100),$B62:$CW62,"="&amp;"x",$B$3:$CW$3,"="&amp;"N"),0)</f>
        <v>0</v>
      </c>
      <c r="D79">
        <f ca="1">IFERROR(SUMIFS(INDEX($B$5:$CW$56,MATCH(D$75,$A$5:$A$56,0),1):INDEX($B$5:$CW$56,MATCH(D$75,$A$5:$A$56,0),100),$B62:$CW62,"="&amp;"x",$B$3:$CW$3,"="&amp;"N"),0)</f>
        <v>0</v>
      </c>
      <c r="E79">
        <f ca="1">IFERROR(SUMIFS(INDEX($B$5:$CW$56,MATCH(E$75,$A$5:$A$56,0),1):INDEX($B$5:$CW$56,MATCH(E$75,$A$5:$A$56,0),100),$B62:$CW62,"="&amp;"x",$B$3:$CW$3,"="&amp;"N"),0)</f>
        <v>0</v>
      </c>
      <c r="F79">
        <f ca="1">IFERROR(SUMIFS(INDEX($B$5:$CW$56,MATCH(F$75,$A$5:$A$56,0),1):INDEX($B$5:$CW$56,MATCH(F$75,$A$5:$A$56,0),100),$B62:$CW62,"="&amp;"x",$B$3:$CW$3,"="&amp;"N"),0)</f>
        <v>0</v>
      </c>
      <c r="G79">
        <f ca="1">IFERROR(SUMIFS(INDEX($B$5:$CW$56,MATCH(G$75,$A$5:$A$56,0),1):INDEX($B$5:$CW$56,MATCH(G$75,$A$5:$A$56,0),100),$B62:$CW62,"="&amp;"x",$B$3:$CW$3,"="&amp;"N"),0)</f>
        <v>0</v>
      </c>
      <c r="H79">
        <f ca="1">IFERROR(SUMIFS(INDEX($B$5:$CW$56,MATCH(H$75,$A$5:$A$56,0),1):INDEX($B$5:$CW$56,MATCH(H$75,$A$5:$A$56,0),100),$B62:$CW62,"="&amp;"x",$B$3:$CW$3,"="&amp;"N"),0)</f>
        <v>0</v>
      </c>
      <c r="I79">
        <f ca="1">IFERROR(SUMIFS(INDEX($B$5:$CW$56,MATCH(I$75,$A$5:$A$56,0),1):INDEX($B$5:$CW$56,MATCH(I$75,$A$5:$A$56,0),100),$B62:$CW62,"="&amp;"x",$B$3:$CW$3,"="&amp;"N"),0)</f>
        <v>0</v>
      </c>
      <c r="J79">
        <f ca="1">IFERROR(SUMIFS(INDEX($B$5:$CW$56,MATCH(J$75,$A$5:$A$56,0),1):INDEX($B$5:$CW$56,MATCH(J$75,$A$5:$A$56,0),100),$B62:$CW62,"="&amp;"x",$B$3:$CW$3,"="&amp;"N"),0)</f>
        <v>0</v>
      </c>
      <c r="K79">
        <f ca="1">IFERROR(SUMIFS(INDEX($B$5:$CW$56,MATCH(K$75,$A$5:$A$56,0),1):INDEX($B$5:$CW$56,MATCH(K$75,$A$5:$A$56,0),100),$B62:$CW62,"="&amp;"x",$B$3:$CW$3,"="&amp;"N"),0)</f>
        <v>0</v>
      </c>
      <c r="L79">
        <f ca="1">IFERROR(SUMIFS(INDEX($B$5:$CW$56,MATCH(L$75,$A$5:$A$56,0),1):INDEX($B$5:$CW$56,MATCH(L$75,$A$5:$A$56,0),100),$B62:$CW62,"="&amp;"x",$B$3:$CW$3,"="&amp;"N"),0)</f>
        <v>0</v>
      </c>
      <c r="M79">
        <f ca="1">IFERROR(SUMIFS(INDEX($B$5:$CW$56,MATCH(M$75,$A$5:$A$56,0),1):INDEX($B$5:$CW$56,MATCH(M$75,$A$5:$A$56,0),100),$B62:$CW62,"="&amp;"x",$B$3:$CW$3,"="&amp;"N"),0)</f>
        <v>0</v>
      </c>
      <c r="N79">
        <f ca="1">IFERROR(SUMIFS(INDEX($B$5:$CW$56,MATCH(N$75,$A$5:$A$56,0),1):INDEX($B$5:$CW$56,MATCH(N$75,$A$5:$A$56,0),100),$B62:$CW62,"="&amp;"x",$B$3:$CW$3,"="&amp;"N"),0)</f>
        <v>0</v>
      </c>
      <c r="O79">
        <f ca="1">IFERROR(SUMIFS(INDEX($B$5:$CW$56,MATCH(O$75,$A$5:$A$56,0),1):INDEX($B$5:$CW$56,MATCH(O$75,$A$5:$A$56,0),100),$B62:$CW62,"="&amp;"x",$B$3:$CW$3,"="&amp;"N"),0)</f>
        <v>0</v>
      </c>
      <c r="P79">
        <f ca="1">IFERROR(SUMIFS(INDEX($B$5:$CW$56,MATCH(P$75,$A$5:$A$56,0),1):INDEX($B$5:$CW$56,MATCH(P$75,$A$5:$A$56,0),100),$B62:$CW62,"="&amp;"x",$B$3:$CW$3,"="&amp;"N"),0)</f>
        <v>0</v>
      </c>
      <c r="Q79">
        <f ca="1">IFERROR(SUMIFS(INDEX($B$5:$CW$56,MATCH(Q$75,$A$5:$A$56,0),1):INDEX($B$5:$CW$56,MATCH(Q$75,$A$5:$A$56,0),100),$B62:$CW62,"="&amp;"x",$B$3:$CW$3,"="&amp;"N"),0)</f>
        <v>0</v>
      </c>
      <c r="R79">
        <f ca="1">IFERROR(SUMIFS(INDEX($B$5:$CW$56,MATCH(R$75,$A$5:$A$56,0),1):INDEX($B$5:$CW$56,MATCH(R$75,$A$5:$A$56,0),100),$B62:$CW62,"="&amp;"x",$B$3:$CW$3,"="&amp;"N"),0)</f>
        <v>0</v>
      </c>
      <c r="S79">
        <f ca="1">IFERROR(SUMIFS(INDEX($B$5:$CW$56,MATCH(S$75,$A$5:$A$56,0),1):INDEX($B$5:$CW$56,MATCH(S$75,$A$5:$A$56,0),100),$B62:$CW62,"="&amp;"x",$B$3:$CW$3,"="&amp;"N"),0)</f>
        <v>0</v>
      </c>
      <c r="T79">
        <f ca="1">IFERROR(SUMIFS(INDEX($B$5:$CW$56,MATCH(T$75,$A$5:$A$56,0),1):INDEX($B$5:$CW$56,MATCH(T$75,$A$5:$A$56,0),100),$B62:$CW62,"="&amp;"x",$B$3:$CW$3,"="&amp;"N"),0)</f>
        <v>0</v>
      </c>
      <c r="U79">
        <f ca="1">IFERROR(SUMIFS(INDEX($B$5:$CW$56,MATCH(U$75,$A$5:$A$56,0),1):INDEX($B$5:$CW$56,MATCH(U$75,$A$5:$A$56,0),100),$B62:$CW62,"="&amp;"x",$B$3:$CW$3,"="&amp;"N"),0)</f>
        <v>0</v>
      </c>
      <c r="V79">
        <f ca="1">IFERROR(SUMIFS(INDEX($B$5:$CW$56,MATCH(V$75,$A$5:$A$56,0),1):INDEX($B$5:$CW$56,MATCH(V$75,$A$5:$A$56,0),100),$B62:$CW62,"="&amp;"x",$B$3:$CW$3,"="&amp;"N"),0)</f>
        <v>0</v>
      </c>
      <c r="W79">
        <f ca="1">IFERROR(SUMIFS(INDEX($B$5:$CW$56,MATCH(W$75,$A$5:$A$56,0),1):INDEX($B$5:$CW$56,MATCH(W$75,$A$5:$A$56,0),100),$B62:$CW62,"="&amp;"x",$B$3:$CW$3,"="&amp;"N"),0)</f>
        <v>0</v>
      </c>
      <c r="X79">
        <f ca="1">IFERROR(SUMIFS(INDEX($B$5:$CW$56,MATCH(X$75,$A$5:$A$56,0),1):INDEX($B$5:$CW$56,MATCH(X$75,$A$5:$A$56,0),100),$B62:$CW62,"="&amp;"x",$B$3:$CW$3,"="&amp;"N"),0)</f>
        <v>0</v>
      </c>
      <c r="Y79">
        <f ca="1">IFERROR(SUMIFS(INDEX($B$5:$CW$56,MATCH(Y$75,$A$5:$A$56,0),1):INDEX($B$5:$CW$56,MATCH(Y$75,$A$5:$A$56,0),100),$B62:$CW62,"="&amp;"x",$B$3:$CW$3,"="&amp;"N"),0)</f>
        <v>0</v>
      </c>
      <c r="Z79">
        <f ca="1">IFERROR(SUMIFS(INDEX($B$5:$CW$56,MATCH(Z$75,$A$5:$A$56,0),1):INDEX($B$5:$CW$56,MATCH(Z$75,$A$5:$A$56,0),100),$B62:$CW62,"="&amp;"x",$B$3:$CW$3,"="&amp;"N"),0)</f>
        <v>0</v>
      </c>
      <c r="AA79">
        <f ca="1">IFERROR(SUMIFS(INDEX($B$5:$CW$56,MATCH(AA$75,$A$5:$A$56,0),1):INDEX($B$5:$CW$56,MATCH(AA$75,$A$5:$A$56,0),100),$B62:$CW62,"="&amp;"x",$B$3:$CW$3,"="&amp;"N"),0)</f>
        <v>0</v>
      </c>
      <c r="AB79">
        <f ca="1">IFERROR(SUMIFS(INDEX($B$5:$CW$56,MATCH(AB$75,$A$5:$A$56,0),1):INDEX($B$5:$CW$56,MATCH(AB$75,$A$5:$A$56,0),100),$B62:$CW62,"="&amp;"x",$B$3:$CW$3,"="&amp;"N"),0)</f>
        <v>0</v>
      </c>
      <c r="AC79">
        <f ca="1">IFERROR(SUMIFS(INDEX($B$5:$CW$56,MATCH(AC$75,$A$5:$A$56,0),1):INDEX($B$5:$CW$56,MATCH(AC$75,$A$5:$A$56,0),100),$B62:$CW62,"="&amp;"x",$B$3:$CW$3,"="&amp;"N"),0)</f>
        <v>0</v>
      </c>
      <c r="AD79">
        <f ca="1">IFERROR(SUMIFS(INDEX($B$5:$CW$56,MATCH(AD$75,$A$5:$A$56,0),1):INDEX($B$5:$CW$56,MATCH(AD$75,$A$5:$A$56,0),100),$B62:$CW62,"="&amp;"x",$B$3:$CW$3,"="&amp;"N"),0)</f>
        <v>0</v>
      </c>
      <c r="AE79">
        <f ca="1">IFERROR(SUMIFS(INDEX($B$5:$CW$56,MATCH(AE$75,$A$5:$A$56,0),1):INDEX($B$5:$CW$56,MATCH(AE$75,$A$5:$A$56,0),100),$B62:$CW62,"="&amp;"x",$B$3:$CW$3,"="&amp;"N"),0)</f>
        <v>0</v>
      </c>
      <c r="AF79">
        <f ca="1">IFERROR(SUMIFS(INDEX($B$5:$CW$56,MATCH(AF$75,$A$5:$A$56,0),1):INDEX($B$5:$CW$56,MATCH(AF$75,$A$5:$A$56,0),100),$B62:$CW62,"="&amp;"x",$B$3:$CW$3,"="&amp;"N"),0)</f>
        <v>0</v>
      </c>
      <c r="AG79">
        <f ca="1">IFERROR(SUMIFS(INDEX($B$5:$CW$56,MATCH(AG$75,$A$5:$A$56,0),1):INDEX($B$5:$CW$56,MATCH(AG$75,$A$5:$A$56,0),100),$B62:$CW62,"="&amp;"x",$B$3:$CW$3,"="&amp;"N"),0)</f>
        <v>0</v>
      </c>
      <c r="AH79">
        <f ca="1">IFERROR(SUMIFS(INDEX($B$5:$CW$56,MATCH(AH$75,$A$5:$A$56,0),1):INDEX($B$5:$CW$56,MATCH(AH$75,$A$5:$A$56,0),100),$B62:$CW62,"="&amp;"x",$B$3:$CW$3,"="&amp;"N"),0)</f>
        <v>0</v>
      </c>
      <c r="AI79">
        <f ca="1">IFERROR(SUMIFS(INDEX($B$5:$CW$56,MATCH(AI$75,$A$5:$A$56,0),1):INDEX($B$5:$CW$56,MATCH(AI$75,$A$5:$A$56,0),100),$B62:$CW62,"="&amp;"x",$B$3:$CW$3,"="&amp;"N"),0)</f>
        <v>0</v>
      </c>
      <c r="AJ79">
        <f ca="1">IFERROR(SUMIFS(INDEX($B$5:$CW$56,MATCH(AJ$75,$A$5:$A$56,0),1):INDEX($B$5:$CW$56,MATCH(AJ$75,$A$5:$A$56,0),100),$B62:$CW62,"="&amp;"x",$B$3:$CW$3,"="&amp;"N"),0)</f>
        <v>0</v>
      </c>
      <c r="AK79">
        <f ca="1">IFERROR(SUMIFS(INDEX($B$5:$CW$56,MATCH(AK$75,$A$5:$A$56,0),1):INDEX($B$5:$CW$56,MATCH(AK$75,$A$5:$A$56,0),100),$B62:$CW62,"="&amp;"x",$B$3:$CW$3,"="&amp;"N"),0)</f>
        <v>0</v>
      </c>
      <c r="AL79">
        <f ca="1">IFERROR(SUMIFS(INDEX($B$5:$CW$56,MATCH(AL$75,$A$5:$A$56,0),1):INDEX($B$5:$CW$56,MATCH(AL$75,$A$5:$A$56,0),100),$B62:$CW62,"="&amp;"x",$B$3:$CW$3,"="&amp;"N"),0)</f>
        <v>0</v>
      </c>
      <c r="AM79">
        <f ca="1">IFERROR(SUMIFS(INDEX($B$5:$CW$56,MATCH(AM$75,$A$5:$A$56,0),1):INDEX($B$5:$CW$56,MATCH(AM$75,$A$5:$A$56,0),100),$B62:$CW62,"="&amp;"x",$B$3:$CW$3,"="&amp;"N"),0)</f>
        <v>0</v>
      </c>
      <c r="AN79">
        <f ca="1">IFERROR(SUMIFS(INDEX($B$5:$CW$56,MATCH(AN$75,$A$5:$A$56,0),1):INDEX($B$5:$CW$56,MATCH(AN$75,$A$5:$A$56,0),100),$B62:$CW62,"="&amp;"x",$B$3:$CW$3,"="&amp;"N"),0)</f>
        <v>0</v>
      </c>
      <c r="AO79">
        <f ca="1">IFERROR(SUMIFS(INDEX($B$5:$CW$56,MATCH(AO$75,$A$5:$A$56,0),1):INDEX($B$5:$CW$56,MATCH(AO$75,$A$5:$A$56,0),100),$B62:$CW62,"="&amp;"x",$B$3:$CW$3,"="&amp;"N"),0)</f>
        <v>0</v>
      </c>
      <c r="AP79">
        <f ca="1">IFERROR(SUMIFS(INDEX($B$5:$CW$56,MATCH(AP$75,$A$5:$A$56,0),1):INDEX($B$5:$CW$56,MATCH(AP$75,$A$5:$A$56,0),100),$B62:$CW62,"="&amp;"x",$B$3:$CW$3,"="&amp;"N"),0)</f>
        <v>0</v>
      </c>
      <c r="AQ79">
        <f ca="1">IFERROR(SUMIFS(INDEX($B$5:$CW$56,MATCH(AQ$75,$A$5:$A$56,0),1):INDEX($B$5:$CW$56,MATCH(AQ$75,$A$5:$A$56,0),100),$B62:$CW62,"="&amp;"x",$B$3:$CW$3,"="&amp;"N"),0)</f>
        <v>0</v>
      </c>
      <c r="AR79">
        <f ca="1">IFERROR(SUMIFS(INDEX($B$5:$CW$56,MATCH(AR$75,$A$5:$A$56,0),1):INDEX($B$5:$CW$56,MATCH(AR$75,$A$5:$A$56,0),100),$B62:$CW62,"="&amp;"x",$B$3:$CW$3,"="&amp;"N"),0)</f>
        <v>0</v>
      </c>
      <c r="AS79">
        <f ca="1">IFERROR(SUMIFS(INDEX($B$5:$CW$56,MATCH(AS$75,$A$5:$A$56,0),1):INDEX($B$5:$CW$56,MATCH(AS$75,$A$5:$A$56,0),100),$B62:$CW62,"="&amp;"x",$B$3:$CW$3,"="&amp;"N"),0)</f>
        <v>0</v>
      </c>
      <c r="AT79">
        <f ca="1">IFERROR(SUMIFS(INDEX($B$5:$CW$56,MATCH(AT$75,$A$5:$A$56,0),1):INDEX($B$5:$CW$56,MATCH(AT$75,$A$5:$A$56,0),100),$B62:$CW62,"="&amp;"x",$B$3:$CW$3,"="&amp;"N"),0)</f>
        <v>0</v>
      </c>
      <c r="AU79">
        <f ca="1">IFERROR(SUMIFS(INDEX($B$5:$CW$56,MATCH(AU$75,$A$5:$A$56,0),1):INDEX($B$5:$CW$56,MATCH(AU$75,$A$5:$A$56,0),100),$B62:$CW62,"="&amp;"x",$B$3:$CW$3,"="&amp;"N"),0)</f>
        <v>0</v>
      </c>
      <c r="AV79">
        <f ca="1">IFERROR(SUMIFS(INDEX($B$5:$CW$56,MATCH(AV$75,$A$5:$A$56,0),1):INDEX($B$5:$CW$56,MATCH(AV$75,$A$5:$A$56,0),100),$B62:$CW62,"="&amp;"x",$B$3:$CW$3,"="&amp;"N"),0)</f>
        <v>0</v>
      </c>
      <c r="AW79">
        <f ca="1">IFERROR(SUMIFS(INDEX($B$5:$CW$56,MATCH(AW$75,$A$5:$A$56,0),1):INDEX($B$5:$CW$56,MATCH(AW$75,$A$5:$A$56,0),100),$B62:$CW62,"="&amp;"x",$B$3:$CW$3,"="&amp;"N"),0)</f>
        <v>0</v>
      </c>
      <c r="AX79">
        <f ca="1">IFERROR(SUMIFS(INDEX($B$5:$CW$56,MATCH(AX$75,$A$5:$A$56,0),1):INDEX($B$5:$CW$56,MATCH(AX$75,$A$5:$A$56,0),100),$B62:$CW62,"="&amp;"x",$B$3:$CW$3,"="&amp;"N"),0)</f>
        <v>0</v>
      </c>
      <c r="AY79">
        <f ca="1">IFERROR(SUMIFS(INDEX($B$5:$CW$56,MATCH(AY$75,$A$5:$A$56,0),1):INDEX($B$5:$CW$56,MATCH(AY$75,$A$5:$A$56,0),100),$B62:$CW62,"="&amp;"x",$B$3:$CW$3,"="&amp;"N"),0)</f>
        <v>0</v>
      </c>
      <c r="AZ79">
        <f ca="1">IFERROR(SUMIFS(INDEX($B$5:$CW$56,MATCH(AZ$75,$A$5:$A$56,0),1):INDEX($B$5:$CW$56,MATCH(AZ$75,$A$5:$A$56,0),100),$B62:$CW62,"="&amp;"x",$B$3:$CW$3,"="&amp;"N"),0)</f>
        <v>0</v>
      </c>
      <c r="BA79">
        <f ca="1">IFERROR(SUMIFS(INDEX($B$5:$CW$56,MATCH(BA$75,$A$5:$A$56,0),1):INDEX($B$5:$CW$56,MATCH(BA$75,$A$5:$A$56,0),100),$B62:$CW62,"="&amp;"x",$B$3:$CW$3,"="&amp;"N"),0)</f>
        <v>0</v>
      </c>
      <c r="BC79">
        <f t="shared" ca="1" si="0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ca="1">IFERROR(SUMIFS(INDEX($B$5:$CW$56,MATCH(B$75,$A$5:$A$56,0),1):INDEX($B$5:$CW$56,MATCH(B$75,$A$5:$A$56,0),100),$B63:$CW63,"="&amp;"x",$B$3:$CW$3,"="&amp;"N"),0)</f>
        <v>0</v>
      </c>
      <c r="C80">
        <f ca="1">IFERROR(SUMIFS(INDEX($B$5:$CW$56,MATCH(C$75,$A$5:$A$56,0),1):INDEX($B$5:$CW$56,MATCH(C$75,$A$5:$A$56,0),100),$B63:$CW63,"="&amp;"x",$B$3:$CW$3,"="&amp;"N"),0)</f>
        <v>0</v>
      </c>
      <c r="D80">
        <f ca="1">IFERROR(SUMIFS(INDEX($B$5:$CW$56,MATCH(D$75,$A$5:$A$56,0),1):INDEX($B$5:$CW$56,MATCH(D$75,$A$5:$A$56,0),100),$B63:$CW63,"="&amp;"x",$B$3:$CW$3,"="&amp;"N"),0)</f>
        <v>0</v>
      </c>
      <c r="E80">
        <f ca="1">IFERROR(SUMIFS(INDEX($B$5:$CW$56,MATCH(E$75,$A$5:$A$56,0),1):INDEX($B$5:$CW$56,MATCH(E$75,$A$5:$A$56,0),100),$B63:$CW63,"="&amp;"x",$B$3:$CW$3,"="&amp;"N"),0)</f>
        <v>0</v>
      </c>
      <c r="F80">
        <f ca="1">IFERROR(SUMIFS(INDEX($B$5:$CW$56,MATCH(F$75,$A$5:$A$56,0),1):INDEX($B$5:$CW$56,MATCH(F$75,$A$5:$A$56,0),100),$B63:$CW63,"="&amp;"x",$B$3:$CW$3,"="&amp;"N"),0)</f>
        <v>0</v>
      </c>
      <c r="G80">
        <f ca="1">IFERROR(SUMIFS(INDEX($B$5:$CW$56,MATCH(G$75,$A$5:$A$56,0),1):INDEX($B$5:$CW$56,MATCH(G$75,$A$5:$A$56,0),100),$B63:$CW63,"="&amp;"x",$B$3:$CW$3,"="&amp;"N"),0)</f>
        <v>0</v>
      </c>
      <c r="H80">
        <f ca="1">IFERROR(SUMIFS(INDEX($B$5:$CW$56,MATCH(H$75,$A$5:$A$56,0),1):INDEX($B$5:$CW$56,MATCH(H$75,$A$5:$A$56,0),100),$B63:$CW63,"="&amp;"x",$B$3:$CW$3,"="&amp;"N"),0)</f>
        <v>0</v>
      </c>
      <c r="I80">
        <f ca="1">IFERROR(SUMIFS(INDEX($B$5:$CW$56,MATCH(I$75,$A$5:$A$56,0),1):INDEX($B$5:$CW$56,MATCH(I$75,$A$5:$A$56,0),100),$B63:$CW63,"="&amp;"x",$B$3:$CW$3,"="&amp;"N"),0)</f>
        <v>0</v>
      </c>
      <c r="J80">
        <f ca="1">IFERROR(SUMIFS(INDEX($B$5:$CW$56,MATCH(J$75,$A$5:$A$56,0),1):INDEX($B$5:$CW$56,MATCH(J$75,$A$5:$A$56,0),100),$B63:$CW63,"="&amp;"x",$B$3:$CW$3,"="&amp;"N"),0)</f>
        <v>0</v>
      </c>
      <c r="K80">
        <f ca="1">IFERROR(SUMIFS(INDEX($B$5:$CW$56,MATCH(K$75,$A$5:$A$56,0),1):INDEX($B$5:$CW$56,MATCH(K$75,$A$5:$A$56,0),100),$B63:$CW63,"="&amp;"x",$B$3:$CW$3,"="&amp;"N"),0)</f>
        <v>0</v>
      </c>
      <c r="L80">
        <f ca="1">IFERROR(SUMIFS(INDEX($B$5:$CW$56,MATCH(L$75,$A$5:$A$56,0),1):INDEX($B$5:$CW$56,MATCH(L$75,$A$5:$A$56,0),100),$B63:$CW63,"="&amp;"x",$B$3:$CW$3,"="&amp;"N"),0)</f>
        <v>0</v>
      </c>
      <c r="M80">
        <f ca="1">IFERROR(SUMIFS(INDEX($B$5:$CW$56,MATCH(M$75,$A$5:$A$56,0),1):INDEX($B$5:$CW$56,MATCH(M$75,$A$5:$A$56,0),100),$B63:$CW63,"="&amp;"x",$B$3:$CW$3,"="&amp;"N"),0)</f>
        <v>0</v>
      </c>
      <c r="N80">
        <f ca="1">IFERROR(SUMIFS(INDEX($B$5:$CW$56,MATCH(N$75,$A$5:$A$56,0),1):INDEX($B$5:$CW$56,MATCH(N$75,$A$5:$A$56,0),100),$B63:$CW63,"="&amp;"x",$B$3:$CW$3,"="&amp;"N"),0)</f>
        <v>0</v>
      </c>
      <c r="O80">
        <f ca="1">IFERROR(SUMIFS(INDEX($B$5:$CW$56,MATCH(O$75,$A$5:$A$56,0),1):INDEX($B$5:$CW$56,MATCH(O$75,$A$5:$A$56,0),100),$B63:$CW63,"="&amp;"x",$B$3:$CW$3,"="&amp;"N"),0)</f>
        <v>0</v>
      </c>
      <c r="P80">
        <f ca="1">IFERROR(SUMIFS(INDEX($B$5:$CW$56,MATCH(P$75,$A$5:$A$56,0),1):INDEX($B$5:$CW$56,MATCH(P$75,$A$5:$A$56,0),100),$B63:$CW63,"="&amp;"x",$B$3:$CW$3,"="&amp;"N"),0)</f>
        <v>0</v>
      </c>
      <c r="Q80">
        <f ca="1">IFERROR(SUMIFS(INDEX($B$5:$CW$56,MATCH(Q$75,$A$5:$A$56,0),1):INDEX($B$5:$CW$56,MATCH(Q$75,$A$5:$A$56,0),100),$B63:$CW63,"="&amp;"x",$B$3:$CW$3,"="&amp;"N"),0)</f>
        <v>0</v>
      </c>
      <c r="R80">
        <f ca="1">IFERROR(SUMIFS(INDEX($B$5:$CW$56,MATCH(R$75,$A$5:$A$56,0),1):INDEX($B$5:$CW$56,MATCH(R$75,$A$5:$A$56,0),100),$B63:$CW63,"="&amp;"x",$B$3:$CW$3,"="&amp;"N"),0)</f>
        <v>0</v>
      </c>
      <c r="S80">
        <f ca="1">IFERROR(SUMIFS(INDEX($B$5:$CW$56,MATCH(S$75,$A$5:$A$56,0),1):INDEX($B$5:$CW$56,MATCH(S$75,$A$5:$A$56,0),100),$B63:$CW63,"="&amp;"x",$B$3:$CW$3,"="&amp;"N"),0)</f>
        <v>0</v>
      </c>
      <c r="T80">
        <f ca="1">IFERROR(SUMIFS(INDEX($B$5:$CW$56,MATCH(T$75,$A$5:$A$56,0),1):INDEX($B$5:$CW$56,MATCH(T$75,$A$5:$A$56,0),100),$B63:$CW63,"="&amp;"x",$B$3:$CW$3,"="&amp;"N"),0)</f>
        <v>0</v>
      </c>
      <c r="U80">
        <f ca="1">IFERROR(SUMIFS(INDEX($B$5:$CW$56,MATCH(U$75,$A$5:$A$56,0),1):INDEX($B$5:$CW$56,MATCH(U$75,$A$5:$A$56,0),100),$B63:$CW63,"="&amp;"x",$B$3:$CW$3,"="&amp;"N"),0)</f>
        <v>0</v>
      </c>
      <c r="V80">
        <f ca="1">IFERROR(SUMIFS(INDEX($B$5:$CW$56,MATCH(V$75,$A$5:$A$56,0),1):INDEX($B$5:$CW$56,MATCH(V$75,$A$5:$A$56,0),100),$B63:$CW63,"="&amp;"x",$B$3:$CW$3,"="&amp;"N"),0)</f>
        <v>0</v>
      </c>
      <c r="W80">
        <f ca="1">IFERROR(SUMIFS(INDEX($B$5:$CW$56,MATCH(W$75,$A$5:$A$56,0),1):INDEX($B$5:$CW$56,MATCH(W$75,$A$5:$A$56,0),100),$B63:$CW63,"="&amp;"x",$B$3:$CW$3,"="&amp;"N"),0)</f>
        <v>0</v>
      </c>
      <c r="X80">
        <f ca="1">IFERROR(SUMIFS(INDEX($B$5:$CW$56,MATCH(X$75,$A$5:$A$56,0),1):INDEX($B$5:$CW$56,MATCH(X$75,$A$5:$A$56,0),100),$B63:$CW63,"="&amp;"x",$B$3:$CW$3,"="&amp;"N"),0)</f>
        <v>0</v>
      </c>
      <c r="Y80">
        <f ca="1">IFERROR(SUMIFS(INDEX($B$5:$CW$56,MATCH(Y$75,$A$5:$A$56,0),1):INDEX($B$5:$CW$56,MATCH(Y$75,$A$5:$A$56,0),100),$B63:$CW63,"="&amp;"x",$B$3:$CW$3,"="&amp;"N"),0)</f>
        <v>0</v>
      </c>
      <c r="Z80">
        <f ca="1">IFERROR(SUMIFS(INDEX($B$5:$CW$56,MATCH(Z$75,$A$5:$A$56,0),1):INDEX($B$5:$CW$56,MATCH(Z$75,$A$5:$A$56,0),100),$B63:$CW63,"="&amp;"x",$B$3:$CW$3,"="&amp;"N"),0)</f>
        <v>0</v>
      </c>
      <c r="AA80">
        <f ca="1">IFERROR(SUMIFS(INDEX($B$5:$CW$56,MATCH(AA$75,$A$5:$A$56,0),1):INDEX($B$5:$CW$56,MATCH(AA$75,$A$5:$A$56,0),100),$B63:$CW63,"="&amp;"x",$B$3:$CW$3,"="&amp;"N"),0)</f>
        <v>0</v>
      </c>
      <c r="AB80">
        <f ca="1">IFERROR(SUMIFS(INDEX($B$5:$CW$56,MATCH(AB$75,$A$5:$A$56,0),1):INDEX($B$5:$CW$56,MATCH(AB$75,$A$5:$A$56,0),100),$B63:$CW63,"="&amp;"x",$B$3:$CW$3,"="&amp;"N"),0)</f>
        <v>0</v>
      </c>
      <c r="AC80">
        <f ca="1">IFERROR(SUMIFS(INDEX($B$5:$CW$56,MATCH(AC$75,$A$5:$A$56,0),1):INDEX($B$5:$CW$56,MATCH(AC$75,$A$5:$A$56,0),100),$B63:$CW63,"="&amp;"x",$B$3:$CW$3,"="&amp;"N"),0)</f>
        <v>0</v>
      </c>
      <c r="AD80">
        <f ca="1">IFERROR(SUMIFS(INDEX($B$5:$CW$56,MATCH(AD$75,$A$5:$A$56,0),1):INDEX($B$5:$CW$56,MATCH(AD$75,$A$5:$A$56,0),100),$B63:$CW63,"="&amp;"x",$B$3:$CW$3,"="&amp;"N"),0)</f>
        <v>0</v>
      </c>
      <c r="AE80">
        <f ca="1">IFERROR(SUMIFS(INDEX($B$5:$CW$56,MATCH(AE$75,$A$5:$A$56,0),1):INDEX($B$5:$CW$56,MATCH(AE$75,$A$5:$A$56,0),100),$B63:$CW63,"="&amp;"x",$B$3:$CW$3,"="&amp;"N"),0)</f>
        <v>0</v>
      </c>
      <c r="AF80">
        <f ca="1">IFERROR(SUMIFS(INDEX($B$5:$CW$56,MATCH(AF$75,$A$5:$A$56,0),1):INDEX($B$5:$CW$56,MATCH(AF$75,$A$5:$A$56,0),100),$B63:$CW63,"="&amp;"x",$B$3:$CW$3,"="&amp;"N"),0)</f>
        <v>0</v>
      </c>
      <c r="AG80">
        <f ca="1">IFERROR(SUMIFS(INDEX($B$5:$CW$56,MATCH(AG$75,$A$5:$A$56,0),1):INDEX($B$5:$CW$56,MATCH(AG$75,$A$5:$A$56,0),100),$B63:$CW63,"="&amp;"x",$B$3:$CW$3,"="&amp;"N"),0)</f>
        <v>0</v>
      </c>
      <c r="AH80">
        <f ca="1">IFERROR(SUMIFS(INDEX($B$5:$CW$56,MATCH(AH$75,$A$5:$A$56,0),1):INDEX($B$5:$CW$56,MATCH(AH$75,$A$5:$A$56,0),100),$B63:$CW63,"="&amp;"x",$B$3:$CW$3,"="&amp;"N"),0)</f>
        <v>0</v>
      </c>
      <c r="AI80">
        <f ca="1">IFERROR(SUMIFS(INDEX($B$5:$CW$56,MATCH(AI$75,$A$5:$A$56,0),1):INDEX($B$5:$CW$56,MATCH(AI$75,$A$5:$A$56,0),100),$B63:$CW63,"="&amp;"x",$B$3:$CW$3,"="&amp;"N"),0)</f>
        <v>0</v>
      </c>
      <c r="AJ80">
        <f ca="1">IFERROR(SUMIFS(INDEX($B$5:$CW$56,MATCH(AJ$75,$A$5:$A$56,0),1):INDEX($B$5:$CW$56,MATCH(AJ$75,$A$5:$A$56,0),100),$B63:$CW63,"="&amp;"x",$B$3:$CW$3,"="&amp;"N"),0)</f>
        <v>0</v>
      </c>
      <c r="AK80">
        <f ca="1">IFERROR(SUMIFS(INDEX($B$5:$CW$56,MATCH(AK$75,$A$5:$A$56,0),1):INDEX($B$5:$CW$56,MATCH(AK$75,$A$5:$A$56,0),100),$B63:$CW63,"="&amp;"x",$B$3:$CW$3,"="&amp;"N"),0)</f>
        <v>0</v>
      </c>
      <c r="AL80">
        <f ca="1">IFERROR(SUMIFS(INDEX($B$5:$CW$56,MATCH(AL$75,$A$5:$A$56,0),1):INDEX($B$5:$CW$56,MATCH(AL$75,$A$5:$A$56,0),100),$B63:$CW63,"="&amp;"x",$B$3:$CW$3,"="&amp;"N"),0)</f>
        <v>0</v>
      </c>
      <c r="AM80">
        <f ca="1">IFERROR(SUMIFS(INDEX($B$5:$CW$56,MATCH(AM$75,$A$5:$A$56,0),1):INDEX($B$5:$CW$56,MATCH(AM$75,$A$5:$A$56,0),100),$B63:$CW63,"="&amp;"x",$B$3:$CW$3,"="&amp;"N"),0)</f>
        <v>0</v>
      </c>
      <c r="AN80">
        <f ca="1">IFERROR(SUMIFS(INDEX($B$5:$CW$56,MATCH(AN$75,$A$5:$A$56,0),1):INDEX($B$5:$CW$56,MATCH(AN$75,$A$5:$A$56,0),100),$B63:$CW63,"="&amp;"x",$B$3:$CW$3,"="&amp;"N"),0)</f>
        <v>0</v>
      </c>
      <c r="AO80">
        <f ca="1">IFERROR(SUMIFS(INDEX($B$5:$CW$56,MATCH(AO$75,$A$5:$A$56,0),1):INDEX($B$5:$CW$56,MATCH(AO$75,$A$5:$A$56,0),100),$B63:$CW63,"="&amp;"x",$B$3:$CW$3,"="&amp;"N"),0)</f>
        <v>0</v>
      </c>
      <c r="AP80">
        <f ca="1">IFERROR(SUMIFS(INDEX($B$5:$CW$56,MATCH(AP$75,$A$5:$A$56,0),1):INDEX($B$5:$CW$56,MATCH(AP$75,$A$5:$A$56,0),100),$B63:$CW63,"="&amp;"x",$B$3:$CW$3,"="&amp;"N"),0)</f>
        <v>0</v>
      </c>
      <c r="AQ80">
        <f ca="1">IFERROR(SUMIFS(INDEX($B$5:$CW$56,MATCH(AQ$75,$A$5:$A$56,0),1):INDEX($B$5:$CW$56,MATCH(AQ$75,$A$5:$A$56,0),100),$B63:$CW63,"="&amp;"x",$B$3:$CW$3,"="&amp;"N"),0)</f>
        <v>0</v>
      </c>
      <c r="AR80">
        <f ca="1">IFERROR(SUMIFS(INDEX($B$5:$CW$56,MATCH(AR$75,$A$5:$A$56,0),1):INDEX($B$5:$CW$56,MATCH(AR$75,$A$5:$A$56,0),100),$B63:$CW63,"="&amp;"x",$B$3:$CW$3,"="&amp;"N"),0)</f>
        <v>0</v>
      </c>
      <c r="AS80">
        <f ca="1">IFERROR(SUMIFS(INDEX($B$5:$CW$56,MATCH(AS$75,$A$5:$A$56,0),1):INDEX($B$5:$CW$56,MATCH(AS$75,$A$5:$A$56,0),100),$B63:$CW63,"="&amp;"x",$B$3:$CW$3,"="&amp;"N"),0)</f>
        <v>0</v>
      </c>
      <c r="AT80">
        <f ca="1">IFERROR(SUMIFS(INDEX($B$5:$CW$56,MATCH(AT$75,$A$5:$A$56,0),1):INDEX($B$5:$CW$56,MATCH(AT$75,$A$5:$A$56,0),100),$B63:$CW63,"="&amp;"x",$B$3:$CW$3,"="&amp;"N"),0)</f>
        <v>0</v>
      </c>
      <c r="AU80">
        <f ca="1">IFERROR(SUMIFS(INDEX($B$5:$CW$56,MATCH(AU$75,$A$5:$A$56,0),1):INDEX($B$5:$CW$56,MATCH(AU$75,$A$5:$A$56,0),100),$B63:$CW63,"="&amp;"x",$B$3:$CW$3,"="&amp;"N"),0)</f>
        <v>0</v>
      </c>
      <c r="AV80">
        <f ca="1">IFERROR(SUMIFS(INDEX($B$5:$CW$56,MATCH(AV$75,$A$5:$A$56,0),1):INDEX($B$5:$CW$56,MATCH(AV$75,$A$5:$A$56,0),100),$B63:$CW63,"="&amp;"x",$B$3:$CW$3,"="&amp;"N"),0)</f>
        <v>0</v>
      </c>
      <c r="AW80">
        <f ca="1">IFERROR(SUMIFS(INDEX($B$5:$CW$56,MATCH(AW$75,$A$5:$A$56,0),1):INDEX($B$5:$CW$56,MATCH(AW$75,$A$5:$A$56,0),100),$B63:$CW63,"="&amp;"x",$B$3:$CW$3,"="&amp;"N"),0)</f>
        <v>0</v>
      </c>
      <c r="AX80">
        <f ca="1">IFERROR(SUMIFS(INDEX($B$5:$CW$56,MATCH(AX$75,$A$5:$A$56,0),1):INDEX($B$5:$CW$56,MATCH(AX$75,$A$5:$A$56,0),100),$B63:$CW63,"="&amp;"x",$B$3:$CW$3,"="&amp;"N"),0)</f>
        <v>0</v>
      </c>
      <c r="AY80">
        <f ca="1">IFERROR(SUMIFS(INDEX($B$5:$CW$56,MATCH(AY$75,$A$5:$A$56,0),1):INDEX($B$5:$CW$56,MATCH(AY$75,$A$5:$A$56,0),100),$B63:$CW63,"="&amp;"x",$B$3:$CW$3,"="&amp;"N"),0)</f>
        <v>0</v>
      </c>
      <c r="AZ80">
        <f ca="1">IFERROR(SUMIFS(INDEX($B$5:$CW$56,MATCH(AZ$75,$A$5:$A$56,0),1):INDEX($B$5:$CW$56,MATCH(AZ$75,$A$5:$A$56,0),100),$B63:$CW63,"="&amp;"x",$B$3:$CW$3,"="&amp;"N"),0)</f>
        <v>0</v>
      </c>
      <c r="BA80">
        <f ca="1">IFERROR(SUMIFS(INDEX($B$5:$CW$56,MATCH(BA$75,$A$5:$A$56,0),1):INDEX($B$5:$CW$56,MATCH(BA$75,$A$5:$A$56,0),100),$B63:$CW63,"="&amp;"x",$B$3:$CW$3,"="&amp;"N"),0)</f>
        <v>0</v>
      </c>
      <c r="BC80">
        <f t="shared" ca="1" si="0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ca="1">IFERROR(SUMIFS(INDEX($B$5:$CW$56,MATCH(B$75,$A$5:$A$56,0),1):INDEX($B$5:$CW$56,MATCH(B$75,$A$5:$A$56,0),100),$B64:$CW64,"="&amp;"x",$B$3:$CW$3,"="&amp;"N"),0)</f>
        <v>0</v>
      </c>
      <c r="C81">
        <f ca="1">IFERROR(SUMIFS(INDEX($B$5:$CW$56,MATCH(C$75,$A$5:$A$56,0),1):INDEX($B$5:$CW$56,MATCH(C$75,$A$5:$A$56,0),100),$B64:$CW64,"="&amp;"x",$B$3:$CW$3,"="&amp;"N"),0)</f>
        <v>0</v>
      </c>
      <c r="D81">
        <f ca="1">IFERROR(SUMIFS(INDEX($B$5:$CW$56,MATCH(D$75,$A$5:$A$56,0),1):INDEX($B$5:$CW$56,MATCH(D$75,$A$5:$A$56,0),100),$B64:$CW64,"="&amp;"x",$B$3:$CW$3,"="&amp;"N"),0)</f>
        <v>0</v>
      </c>
      <c r="E81">
        <f ca="1">IFERROR(SUMIFS(INDEX($B$5:$CW$56,MATCH(E$75,$A$5:$A$56,0),1):INDEX($B$5:$CW$56,MATCH(E$75,$A$5:$A$56,0),100),$B64:$CW64,"="&amp;"x",$B$3:$CW$3,"="&amp;"N"),0)</f>
        <v>0</v>
      </c>
      <c r="F81">
        <f ca="1">IFERROR(SUMIFS(INDEX($B$5:$CW$56,MATCH(F$75,$A$5:$A$56,0),1):INDEX($B$5:$CW$56,MATCH(F$75,$A$5:$A$56,0),100),$B64:$CW64,"="&amp;"x",$B$3:$CW$3,"="&amp;"N"),0)</f>
        <v>0</v>
      </c>
      <c r="G81">
        <f ca="1">IFERROR(SUMIFS(INDEX($B$5:$CW$56,MATCH(G$75,$A$5:$A$56,0),1):INDEX($B$5:$CW$56,MATCH(G$75,$A$5:$A$56,0),100),$B64:$CW64,"="&amp;"x",$B$3:$CW$3,"="&amp;"N"),0)</f>
        <v>0</v>
      </c>
      <c r="H81">
        <f ca="1">IFERROR(SUMIFS(INDEX($B$5:$CW$56,MATCH(H$75,$A$5:$A$56,0),1):INDEX($B$5:$CW$56,MATCH(H$75,$A$5:$A$56,0),100),$B64:$CW64,"="&amp;"x",$B$3:$CW$3,"="&amp;"N"),0)</f>
        <v>0</v>
      </c>
      <c r="I81">
        <f ca="1">IFERROR(SUMIFS(INDEX($B$5:$CW$56,MATCH(I$75,$A$5:$A$56,0),1):INDEX($B$5:$CW$56,MATCH(I$75,$A$5:$A$56,0),100),$B64:$CW64,"="&amp;"x",$B$3:$CW$3,"="&amp;"N"),0)</f>
        <v>0</v>
      </c>
      <c r="J81">
        <f ca="1">IFERROR(SUMIFS(INDEX($B$5:$CW$56,MATCH(J$75,$A$5:$A$56,0),1):INDEX($B$5:$CW$56,MATCH(J$75,$A$5:$A$56,0),100),$B64:$CW64,"="&amp;"x",$B$3:$CW$3,"="&amp;"N"),0)</f>
        <v>0</v>
      </c>
      <c r="K81">
        <f ca="1">IFERROR(SUMIFS(INDEX($B$5:$CW$56,MATCH(K$75,$A$5:$A$56,0),1):INDEX($B$5:$CW$56,MATCH(K$75,$A$5:$A$56,0),100),$B64:$CW64,"="&amp;"x",$B$3:$CW$3,"="&amp;"N"),0)</f>
        <v>0</v>
      </c>
      <c r="L81">
        <f ca="1">IFERROR(SUMIFS(INDEX($B$5:$CW$56,MATCH(L$75,$A$5:$A$56,0),1):INDEX($B$5:$CW$56,MATCH(L$75,$A$5:$A$56,0),100),$B64:$CW64,"="&amp;"x",$B$3:$CW$3,"="&amp;"N"),0)</f>
        <v>0</v>
      </c>
      <c r="M81">
        <f ca="1">IFERROR(SUMIFS(INDEX($B$5:$CW$56,MATCH(M$75,$A$5:$A$56,0),1):INDEX($B$5:$CW$56,MATCH(M$75,$A$5:$A$56,0),100),$B64:$CW64,"="&amp;"x",$B$3:$CW$3,"="&amp;"N"),0)</f>
        <v>0</v>
      </c>
      <c r="N81">
        <f ca="1">IFERROR(SUMIFS(INDEX($B$5:$CW$56,MATCH(N$75,$A$5:$A$56,0),1):INDEX($B$5:$CW$56,MATCH(N$75,$A$5:$A$56,0),100),$B64:$CW64,"="&amp;"x",$B$3:$CW$3,"="&amp;"N"),0)</f>
        <v>0</v>
      </c>
      <c r="O81">
        <f ca="1">IFERROR(SUMIFS(INDEX($B$5:$CW$56,MATCH(O$75,$A$5:$A$56,0),1):INDEX($B$5:$CW$56,MATCH(O$75,$A$5:$A$56,0),100),$B64:$CW64,"="&amp;"x",$B$3:$CW$3,"="&amp;"N"),0)</f>
        <v>0</v>
      </c>
      <c r="P81">
        <f ca="1">IFERROR(SUMIFS(INDEX($B$5:$CW$56,MATCH(P$75,$A$5:$A$56,0),1):INDEX($B$5:$CW$56,MATCH(P$75,$A$5:$A$56,0),100),$B64:$CW64,"="&amp;"x",$B$3:$CW$3,"="&amp;"N"),0)</f>
        <v>0</v>
      </c>
      <c r="Q81">
        <f ca="1">IFERROR(SUMIFS(INDEX($B$5:$CW$56,MATCH(Q$75,$A$5:$A$56,0),1):INDEX($B$5:$CW$56,MATCH(Q$75,$A$5:$A$56,0),100),$B64:$CW64,"="&amp;"x",$B$3:$CW$3,"="&amp;"N"),0)</f>
        <v>0</v>
      </c>
      <c r="R81">
        <f ca="1">IFERROR(SUMIFS(INDEX($B$5:$CW$56,MATCH(R$75,$A$5:$A$56,0),1):INDEX($B$5:$CW$56,MATCH(R$75,$A$5:$A$56,0),100),$B64:$CW64,"="&amp;"x",$B$3:$CW$3,"="&amp;"N"),0)</f>
        <v>0</v>
      </c>
      <c r="S81">
        <f ca="1">IFERROR(SUMIFS(INDEX($B$5:$CW$56,MATCH(S$75,$A$5:$A$56,0),1):INDEX($B$5:$CW$56,MATCH(S$75,$A$5:$A$56,0),100),$B64:$CW64,"="&amp;"x",$B$3:$CW$3,"="&amp;"N"),0)</f>
        <v>0</v>
      </c>
      <c r="T81">
        <f ca="1">IFERROR(SUMIFS(INDEX($B$5:$CW$56,MATCH(T$75,$A$5:$A$56,0),1):INDEX($B$5:$CW$56,MATCH(T$75,$A$5:$A$56,0),100),$B64:$CW64,"="&amp;"x",$B$3:$CW$3,"="&amp;"N"),0)</f>
        <v>0</v>
      </c>
      <c r="U81">
        <f ca="1">IFERROR(SUMIFS(INDEX($B$5:$CW$56,MATCH(U$75,$A$5:$A$56,0),1):INDEX($B$5:$CW$56,MATCH(U$75,$A$5:$A$56,0),100),$B64:$CW64,"="&amp;"x",$B$3:$CW$3,"="&amp;"N"),0)</f>
        <v>0</v>
      </c>
      <c r="V81">
        <f ca="1">IFERROR(SUMIFS(INDEX($B$5:$CW$56,MATCH(V$75,$A$5:$A$56,0),1):INDEX($B$5:$CW$56,MATCH(V$75,$A$5:$A$56,0),100),$B64:$CW64,"="&amp;"x",$B$3:$CW$3,"="&amp;"N"),0)</f>
        <v>0</v>
      </c>
      <c r="W81">
        <f ca="1">IFERROR(SUMIFS(INDEX($B$5:$CW$56,MATCH(W$75,$A$5:$A$56,0),1):INDEX($B$5:$CW$56,MATCH(W$75,$A$5:$A$56,0),100),$B64:$CW64,"="&amp;"x",$B$3:$CW$3,"="&amp;"N"),0)</f>
        <v>0</v>
      </c>
      <c r="X81">
        <f ca="1">IFERROR(SUMIFS(INDEX($B$5:$CW$56,MATCH(X$75,$A$5:$A$56,0),1):INDEX($B$5:$CW$56,MATCH(X$75,$A$5:$A$56,0),100),$B64:$CW64,"="&amp;"x",$B$3:$CW$3,"="&amp;"N"),0)</f>
        <v>0</v>
      </c>
      <c r="Y81">
        <f ca="1">IFERROR(SUMIFS(INDEX($B$5:$CW$56,MATCH(Y$75,$A$5:$A$56,0),1):INDEX($B$5:$CW$56,MATCH(Y$75,$A$5:$A$56,0),100),$B64:$CW64,"="&amp;"x",$B$3:$CW$3,"="&amp;"N"),0)</f>
        <v>0</v>
      </c>
      <c r="Z81">
        <f ca="1">IFERROR(SUMIFS(INDEX($B$5:$CW$56,MATCH(Z$75,$A$5:$A$56,0),1):INDEX($B$5:$CW$56,MATCH(Z$75,$A$5:$A$56,0),100),$B64:$CW64,"="&amp;"x",$B$3:$CW$3,"="&amp;"N"),0)</f>
        <v>0</v>
      </c>
      <c r="AA81">
        <f ca="1">IFERROR(SUMIFS(INDEX($B$5:$CW$56,MATCH(AA$75,$A$5:$A$56,0),1):INDEX($B$5:$CW$56,MATCH(AA$75,$A$5:$A$56,0),100),$B64:$CW64,"="&amp;"x",$B$3:$CW$3,"="&amp;"N"),0)</f>
        <v>0</v>
      </c>
      <c r="AB81">
        <f ca="1">IFERROR(SUMIFS(INDEX($B$5:$CW$56,MATCH(AB$75,$A$5:$A$56,0),1):INDEX($B$5:$CW$56,MATCH(AB$75,$A$5:$A$56,0),100),$B64:$CW64,"="&amp;"x",$B$3:$CW$3,"="&amp;"N"),0)</f>
        <v>0</v>
      </c>
      <c r="AC81">
        <f ca="1">IFERROR(SUMIFS(INDEX($B$5:$CW$56,MATCH(AC$75,$A$5:$A$56,0),1):INDEX($B$5:$CW$56,MATCH(AC$75,$A$5:$A$56,0),100),$B64:$CW64,"="&amp;"x",$B$3:$CW$3,"="&amp;"N"),0)</f>
        <v>0</v>
      </c>
      <c r="AD81">
        <f ca="1">IFERROR(SUMIFS(INDEX($B$5:$CW$56,MATCH(AD$75,$A$5:$A$56,0),1):INDEX($B$5:$CW$56,MATCH(AD$75,$A$5:$A$56,0),100),$B64:$CW64,"="&amp;"x",$B$3:$CW$3,"="&amp;"N"),0)</f>
        <v>0</v>
      </c>
      <c r="AE81">
        <f ca="1">IFERROR(SUMIFS(INDEX($B$5:$CW$56,MATCH(AE$75,$A$5:$A$56,0),1):INDEX($B$5:$CW$56,MATCH(AE$75,$A$5:$A$56,0),100),$B64:$CW64,"="&amp;"x",$B$3:$CW$3,"="&amp;"N"),0)</f>
        <v>0</v>
      </c>
      <c r="AF81">
        <f ca="1">IFERROR(SUMIFS(INDEX($B$5:$CW$56,MATCH(AF$75,$A$5:$A$56,0),1):INDEX($B$5:$CW$56,MATCH(AF$75,$A$5:$A$56,0),100),$B64:$CW64,"="&amp;"x",$B$3:$CW$3,"="&amp;"N"),0)</f>
        <v>0</v>
      </c>
      <c r="AG81">
        <f ca="1">IFERROR(SUMIFS(INDEX($B$5:$CW$56,MATCH(AG$75,$A$5:$A$56,0),1):INDEX($B$5:$CW$56,MATCH(AG$75,$A$5:$A$56,0),100),$B64:$CW64,"="&amp;"x",$B$3:$CW$3,"="&amp;"N"),0)</f>
        <v>0</v>
      </c>
      <c r="AH81">
        <f ca="1">IFERROR(SUMIFS(INDEX($B$5:$CW$56,MATCH(AH$75,$A$5:$A$56,0),1):INDEX($B$5:$CW$56,MATCH(AH$75,$A$5:$A$56,0),100),$B64:$CW64,"="&amp;"x",$B$3:$CW$3,"="&amp;"N"),0)</f>
        <v>0</v>
      </c>
      <c r="AI81">
        <f ca="1">IFERROR(SUMIFS(INDEX($B$5:$CW$56,MATCH(AI$75,$A$5:$A$56,0),1):INDEX($B$5:$CW$56,MATCH(AI$75,$A$5:$A$56,0),100),$B64:$CW64,"="&amp;"x",$B$3:$CW$3,"="&amp;"N"),0)</f>
        <v>0</v>
      </c>
      <c r="AJ81">
        <f ca="1">IFERROR(SUMIFS(INDEX($B$5:$CW$56,MATCH(AJ$75,$A$5:$A$56,0),1):INDEX($B$5:$CW$56,MATCH(AJ$75,$A$5:$A$56,0),100),$B64:$CW64,"="&amp;"x",$B$3:$CW$3,"="&amp;"N"),0)</f>
        <v>0</v>
      </c>
      <c r="AK81">
        <f ca="1">IFERROR(SUMIFS(INDEX($B$5:$CW$56,MATCH(AK$75,$A$5:$A$56,0),1):INDEX($B$5:$CW$56,MATCH(AK$75,$A$5:$A$56,0),100),$B64:$CW64,"="&amp;"x",$B$3:$CW$3,"="&amp;"N"),0)</f>
        <v>0</v>
      </c>
      <c r="AL81">
        <f ca="1">IFERROR(SUMIFS(INDEX($B$5:$CW$56,MATCH(AL$75,$A$5:$A$56,0),1):INDEX($B$5:$CW$56,MATCH(AL$75,$A$5:$A$56,0),100),$B64:$CW64,"="&amp;"x",$B$3:$CW$3,"="&amp;"N"),0)</f>
        <v>0</v>
      </c>
      <c r="AM81">
        <f ca="1">IFERROR(SUMIFS(INDEX($B$5:$CW$56,MATCH(AM$75,$A$5:$A$56,0),1):INDEX($B$5:$CW$56,MATCH(AM$75,$A$5:$A$56,0),100),$B64:$CW64,"="&amp;"x",$B$3:$CW$3,"="&amp;"N"),0)</f>
        <v>0</v>
      </c>
      <c r="AN81">
        <f ca="1">IFERROR(SUMIFS(INDEX($B$5:$CW$56,MATCH(AN$75,$A$5:$A$56,0),1):INDEX($B$5:$CW$56,MATCH(AN$75,$A$5:$A$56,0),100),$B64:$CW64,"="&amp;"x",$B$3:$CW$3,"="&amp;"N"),0)</f>
        <v>0</v>
      </c>
      <c r="AO81">
        <f ca="1">IFERROR(SUMIFS(INDEX($B$5:$CW$56,MATCH(AO$75,$A$5:$A$56,0),1):INDEX($B$5:$CW$56,MATCH(AO$75,$A$5:$A$56,0),100),$B64:$CW64,"="&amp;"x",$B$3:$CW$3,"="&amp;"N"),0)</f>
        <v>0</v>
      </c>
      <c r="AP81">
        <f ca="1">IFERROR(SUMIFS(INDEX($B$5:$CW$56,MATCH(AP$75,$A$5:$A$56,0),1):INDEX($B$5:$CW$56,MATCH(AP$75,$A$5:$A$56,0),100),$B64:$CW64,"="&amp;"x",$B$3:$CW$3,"="&amp;"N"),0)</f>
        <v>0</v>
      </c>
      <c r="AQ81">
        <f ca="1">IFERROR(SUMIFS(INDEX($B$5:$CW$56,MATCH(AQ$75,$A$5:$A$56,0),1):INDEX($B$5:$CW$56,MATCH(AQ$75,$A$5:$A$56,0),100),$B64:$CW64,"="&amp;"x",$B$3:$CW$3,"="&amp;"N"),0)</f>
        <v>0</v>
      </c>
      <c r="AR81">
        <f ca="1">IFERROR(SUMIFS(INDEX($B$5:$CW$56,MATCH(AR$75,$A$5:$A$56,0),1):INDEX($B$5:$CW$56,MATCH(AR$75,$A$5:$A$56,0),100),$B64:$CW64,"="&amp;"x",$B$3:$CW$3,"="&amp;"N"),0)</f>
        <v>0</v>
      </c>
      <c r="AS81">
        <f ca="1">IFERROR(SUMIFS(INDEX($B$5:$CW$56,MATCH(AS$75,$A$5:$A$56,0),1):INDEX($B$5:$CW$56,MATCH(AS$75,$A$5:$A$56,0),100),$B64:$CW64,"="&amp;"x",$B$3:$CW$3,"="&amp;"N"),0)</f>
        <v>0</v>
      </c>
      <c r="AT81">
        <f ca="1">IFERROR(SUMIFS(INDEX($B$5:$CW$56,MATCH(AT$75,$A$5:$A$56,0),1):INDEX($B$5:$CW$56,MATCH(AT$75,$A$5:$A$56,0),100),$B64:$CW64,"="&amp;"x",$B$3:$CW$3,"="&amp;"N"),0)</f>
        <v>0</v>
      </c>
      <c r="AU81">
        <f ca="1">IFERROR(SUMIFS(INDEX($B$5:$CW$56,MATCH(AU$75,$A$5:$A$56,0),1):INDEX($B$5:$CW$56,MATCH(AU$75,$A$5:$A$56,0),100),$B64:$CW64,"="&amp;"x",$B$3:$CW$3,"="&amp;"N"),0)</f>
        <v>0</v>
      </c>
      <c r="AV81">
        <f ca="1">IFERROR(SUMIFS(INDEX($B$5:$CW$56,MATCH(AV$75,$A$5:$A$56,0),1):INDEX($B$5:$CW$56,MATCH(AV$75,$A$5:$A$56,0),100),$B64:$CW64,"="&amp;"x",$B$3:$CW$3,"="&amp;"N"),0)</f>
        <v>0</v>
      </c>
      <c r="AW81">
        <f ca="1">IFERROR(SUMIFS(INDEX($B$5:$CW$56,MATCH(AW$75,$A$5:$A$56,0),1):INDEX($B$5:$CW$56,MATCH(AW$75,$A$5:$A$56,0),100),$B64:$CW64,"="&amp;"x",$B$3:$CW$3,"="&amp;"N"),0)</f>
        <v>0</v>
      </c>
      <c r="AX81">
        <f ca="1">IFERROR(SUMIFS(INDEX($B$5:$CW$56,MATCH(AX$75,$A$5:$A$56,0),1):INDEX($B$5:$CW$56,MATCH(AX$75,$A$5:$A$56,0),100),$B64:$CW64,"="&amp;"x",$B$3:$CW$3,"="&amp;"N"),0)</f>
        <v>0</v>
      </c>
      <c r="AY81">
        <f ca="1">IFERROR(SUMIFS(INDEX($B$5:$CW$56,MATCH(AY$75,$A$5:$A$56,0),1):INDEX($B$5:$CW$56,MATCH(AY$75,$A$5:$A$56,0),100),$B64:$CW64,"="&amp;"x",$B$3:$CW$3,"="&amp;"N"),0)</f>
        <v>0</v>
      </c>
      <c r="AZ81">
        <f ca="1">IFERROR(SUMIFS(INDEX($B$5:$CW$56,MATCH(AZ$75,$A$5:$A$56,0),1):INDEX($B$5:$CW$56,MATCH(AZ$75,$A$5:$A$56,0),100),$B64:$CW64,"="&amp;"x",$B$3:$CW$3,"="&amp;"N"),0)</f>
        <v>0</v>
      </c>
      <c r="BA81">
        <f ca="1">IFERROR(SUMIFS(INDEX($B$5:$CW$56,MATCH(BA$75,$A$5:$A$56,0),1):INDEX($B$5:$CW$56,MATCH(BA$75,$A$5:$A$56,0),100),$B64:$CW64,"="&amp;"x",$B$3:$CW$3,"="&amp;"N"),0)</f>
        <v>0</v>
      </c>
      <c r="BC81">
        <f t="shared" ca="1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ca="1">IFERROR(SUMIFS(INDEX($B$5:$CW$56,MATCH(B$75,$A$5:$A$56,0),1):INDEX($B$5:$CW$56,MATCH(B$75,$A$5:$A$56,0),100),$B65:$CW65,"="&amp;"x",$B$3:$CW$3,"="&amp;"N"),0)</f>
        <v>0</v>
      </c>
      <c r="C82">
        <f ca="1">IFERROR(SUMIFS(INDEX($B$5:$CW$56,MATCH(C$75,$A$5:$A$56,0),1):INDEX($B$5:$CW$56,MATCH(C$75,$A$5:$A$56,0),100),$B65:$CW65,"="&amp;"x",$B$3:$CW$3,"="&amp;"N"),0)</f>
        <v>0</v>
      </c>
      <c r="D82">
        <f ca="1">IFERROR(SUMIFS(INDEX($B$5:$CW$56,MATCH(D$75,$A$5:$A$56,0),1):INDEX($B$5:$CW$56,MATCH(D$75,$A$5:$A$56,0),100),$B65:$CW65,"="&amp;"x",$B$3:$CW$3,"="&amp;"N"),0)</f>
        <v>0</v>
      </c>
      <c r="E82">
        <f ca="1">IFERROR(SUMIFS(INDEX($B$5:$CW$56,MATCH(E$75,$A$5:$A$56,0),1):INDEX($B$5:$CW$56,MATCH(E$75,$A$5:$A$56,0),100),$B65:$CW65,"="&amp;"x",$B$3:$CW$3,"="&amp;"N"),0)</f>
        <v>0</v>
      </c>
      <c r="F82">
        <f ca="1">IFERROR(SUMIFS(INDEX($B$5:$CW$56,MATCH(F$75,$A$5:$A$56,0),1):INDEX($B$5:$CW$56,MATCH(F$75,$A$5:$A$56,0),100),$B65:$CW65,"="&amp;"x",$B$3:$CW$3,"="&amp;"N"),0)</f>
        <v>0</v>
      </c>
      <c r="G82">
        <f ca="1">IFERROR(SUMIFS(INDEX($B$5:$CW$56,MATCH(G$75,$A$5:$A$56,0),1):INDEX($B$5:$CW$56,MATCH(G$75,$A$5:$A$56,0),100),$B65:$CW65,"="&amp;"x",$B$3:$CW$3,"="&amp;"N"),0)</f>
        <v>0</v>
      </c>
      <c r="H82">
        <f ca="1">IFERROR(SUMIFS(INDEX($B$5:$CW$56,MATCH(H$75,$A$5:$A$56,0),1):INDEX($B$5:$CW$56,MATCH(H$75,$A$5:$A$56,0),100),$B65:$CW65,"="&amp;"x",$B$3:$CW$3,"="&amp;"N"),0)</f>
        <v>0</v>
      </c>
      <c r="I82">
        <f ca="1">IFERROR(SUMIFS(INDEX($B$5:$CW$56,MATCH(I$75,$A$5:$A$56,0),1):INDEX($B$5:$CW$56,MATCH(I$75,$A$5:$A$56,0),100),$B65:$CW65,"="&amp;"x",$B$3:$CW$3,"="&amp;"N"),0)</f>
        <v>0</v>
      </c>
      <c r="J82">
        <f ca="1">IFERROR(SUMIFS(INDEX($B$5:$CW$56,MATCH(J$75,$A$5:$A$56,0),1):INDEX($B$5:$CW$56,MATCH(J$75,$A$5:$A$56,0),100),$B65:$CW65,"="&amp;"x",$B$3:$CW$3,"="&amp;"N"),0)</f>
        <v>0</v>
      </c>
      <c r="K82">
        <f ca="1">IFERROR(SUMIFS(INDEX($B$5:$CW$56,MATCH(K$75,$A$5:$A$56,0),1):INDEX($B$5:$CW$56,MATCH(K$75,$A$5:$A$56,0),100),$B65:$CW65,"="&amp;"x",$B$3:$CW$3,"="&amp;"N"),0)</f>
        <v>0</v>
      </c>
      <c r="L82">
        <f ca="1">IFERROR(SUMIFS(INDEX($B$5:$CW$56,MATCH(L$75,$A$5:$A$56,0),1):INDEX($B$5:$CW$56,MATCH(L$75,$A$5:$A$56,0),100),$B65:$CW65,"="&amp;"x",$B$3:$CW$3,"="&amp;"N"),0)</f>
        <v>0</v>
      </c>
      <c r="M82">
        <f ca="1">IFERROR(SUMIFS(INDEX($B$5:$CW$56,MATCH(M$75,$A$5:$A$56,0),1):INDEX($B$5:$CW$56,MATCH(M$75,$A$5:$A$56,0),100),$B65:$CW65,"="&amp;"x",$B$3:$CW$3,"="&amp;"N"),0)</f>
        <v>0</v>
      </c>
      <c r="N82">
        <f ca="1">IFERROR(SUMIFS(INDEX($B$5:$CW$56,MATCH(N$75,$A$5:$A$56,0),1):INDEX($B$5:$CW$56,MATCH(N$75,$A$5:$A$56,0),100),$B65:$CW65,"="&amp;"x",$B$3:$CW$3,"="&amp;"N"),0)</f>
        <v>0</v>
      </c>
      <c r="O82">
        <f ca="1">IFERROR(SUMIFS(INDEX($B$5:$CW$56,MATCH(O$75,$A$5:$A$56,0),1):INDEX($B$5:$CW$56,MATCH(O$75,$A$5:$A$56,0),100),$B65:$CW65,"="&amp;"x",$B$3:$CW$3,"="&amp;"N"),0)</f>
        <v>0</v>
      </c>
      <c r="P82">
        <f ca="1">IFERROR(SUMIFS(INDEX($B$5:$CW$56,MATCH(P$75,$A$5:$A$56,0),1):INDEX($B$5:$CW$56,MATCH(P$75,$A$5:$A$56,0),100),$B65:$CW65,"="&amp;"x",$B$3:$CW$3,"="&amp;"N"),0)</f>
        <v>0</v>
      </c>
      <c r="Q82">
        <f ca="1">IFERROR(SUMIFS(INDEX($B$5:$CW$56,MATCH(Q$75,$A$5:$A$56,0),1):INDEX($B$5:$CW$56,MATCH(Q$75,$A$5:$A$56,0),100),$B65:$CW65,"="&amp;"x",$B$3:$CW$3,"="&amp;"N"),0)</f>
        <v>0</v>
      </c>
      <c r="R82">
        <f ca="1">IFERROR(SUMIFS(INDEX($B$5:$CW$56,MATCH(R$75,$A$5:$A$56,0),1):INDEX($B$5:$CW$56,MATCH(R$75,$A$5:$A$56,0),100),$B65:$CW65,"="&amp;"x",$B$3:$CW$3,"="&amp;"N"),0)</f>
        <v>0</v>
      </c>
      <c r="S82">
        <f ca="1">IFERROR(SUMIFS(INDEX($B$5:$CW$56,MATCH(S$75,$A$5:$A$56,0),1):INDEX($B$5:$CW$56,MATCH(S$75,$A$5:$A$56,0),100),$B65:$CW65,"="&amp;"x",$B$3:$CW$3,"="&amp;"N"),0)</f>
        <v>0</v>
      </c>
      <c r="T82">
        <f ca="1">IFERROR(SUMIFS(INDEX($B$5:$CW$56,MATCH(T$75,$A$5:$A$56,0),1):INDEX($B$5:$CW$56,MATCH(T$75,$A$5:$A$56,0),100),$B65:$CW65,"="&amp;"x",$B$3:$CW$3,"="&amp;"N"),0)</f>
        <v>0</v>
      </c>
      <c r="U82">
        <f ca="1">IFERROR(SUMIFS(INDEX($B$5:$CW$56,MATCH(U$75,$A$5:$A$56,0),1):INDEX($B$5:$CW$56,MATCH(U$75,$A$5:$A$56,0),100),$B65:$CW65,"="&amp;"x",$B$3:$CW$3,"="&amp;"N"),0)</f>
        <v>0</v>
      </c>
      <c r="V82">
        <f ca="1">IFERROR(SUMIFS(INDEX($B$5:$CW$56,MATCH(V$75,$A$5:$A$56,0),1):INDEX($B$5:$CW$56,MATCH(V$75,$A$5:$A$56,0),100),$B65:$CW65,"="&amp;"x",$B$3:$CW$3,"="&amp;"N"),0)</f>
        <v>0</v>
      </c>
      <c r="W82">
        <f ca="1">IFERROR(SUMIFS(INDEX($B$5:$CW$56,MATCH(W$75,$A$5:$A$56,0),1):INDEX($B$5:$CW$56,MATCH(W$75,$A$5:$A$56,0),100),$B65:$CW65,"="&amp;"x",$B$3:$CW$3,"="&amp;"N"),0)</f>
        <v>0</v>
      </c>
      <c r="X82">
        <f ca="1">IFERROR(SUMIFS(INDEX($B$5:$CW$56,MATCH(X$75,$A$5:$A$56,0),1):INDEX($B$5:$CW$56,MATCH(X$75,$A$5:$A$56,0),100),$B65:$CW65,"="&amp;"x",$B$3:$CW$3,"="&amp;"N"),0)</f>
        <v>0</v>
      </c>
      <c r="Y82">
        <f ca="1">IFERROR(SUMIFS(INDEX($B$5:$CW$56,MATCH(Y$75,$A$5:$A$56,0),1):INDEX($B$5:$CW$56,MATCH(Y$75,$A$5:$A$56,0),100),$B65:$CW65,"="&amp;"x",$B$3:$CW$3,"="&amp;"N"),0)</f>
        <v>0</v>
      </c>
      <c r="Z82">
        <f ca="1">IFERROR(SUMIFS(INDEX($B$5:$CW$56,MATCH(Z$75,$A$5:$A$56,0),1):INDEX($B$5:$CW$56,MATCH(Z$75,$A$5:$A$56,0),100),$B65:$CW65,"="&amp;"x",$B$3:$CW$3,"="&amp;"N"),0)</f>
        <v>0</v>
      </c>
      <c r="AA82">
        <f ca="1">IFERROR(SUMIFS(INDEX($B$5:$CW$56,MATCH(AA$75,$A$5:$A$56,0),1):INDEX($B$5:$CW$56,MATCH(AA$75,$A$5:$A$56,0),100),$B65:$CW65,"="&amp;"x",$B$3:$CW$3,"="&amp;"N"),0)</f>
        <v>0</v>
      </c>
      <c r="AB82">
        <f ca="1">IFERROR(SUMIFS(INDEX($B$5:$CW$56,MATCH(AB$75,$A$5:$A$56,0),1):INDEX($B$5:$CW$56,MATCH(AB$75,$A$5:$A$56,0),100),$B65:$CW65,"="&amp;"x",$B$3:$CW$3,"="&amp;"N"),0)</f>
        <v>0</v>
      </c>
      <c r="AC82">
        <f ca="1">IFERROR(SUMIFS(INDEX($B$5:$CW$56,MATCH(AC$75,$A$5:$A$56,0),1):INDEX($B$5:$CW$56,MATCH(AC$75,$A$5:$A$56,0),100),$B65:$CW65,"="&amp;"x",$B$3:$CW$3,"="&amp;"N"),0)</f>
        <v>0</v>
      </c>
      <c r="AD82">
        <f ca="1">IFERROR(SUMIFS(INDEX($B$5:$CW$56,MATCH(AD$75,$A$5:$A$56,0),1):INDEX($B$5:$CW$56,MATCH(AD$75,$A$5:$A$56,0),100),$B65:$CW65,"="&amp;"x",$B$3:$CW$3,"="&amp;"N"),0)</f>
        <v>0</v>
      </c>
      <c r="AE82">
        <f ca="1">IFERROR(SUMIFS(INDEX($B$5:$CW$56,MATCH(AE$75,$A$5:$A$56,0),1):INDEX($B$5:$CW$56,MATCH(AE$75,$A$5:$A$56,0),100),$B65:$CW65,"="&amp;"x",$B$3:$CW$3,"="&amp;"N"),0)</f>
        <v>0</v>
      </c>
      <c r="AF82">
        <f ca="1">IFERROR(SUMIFS(INDEX($B$5:$CW$56,MATCH(AF$75,$A$5:$A$56,0),1):INDEX($B$5:$CW$56,MATCH(AF$75,$A$5:$A$56,0),100),$B65:$CW65,"="&amp;"x",$B$3:$CW$3,"="&amp;"N"),0)</f>
        <v>0</v>
      </c>
      <c r="AG82">
        <f ca="1">IFERROR(SUMIFS(INDEX($B$5:$CW$56,MATCH(AG$75,$A$5:$A$56,0),1):INDEX($B$5:$CW$56,MATCH(AG$75,$A$5:$A$56,0),100),$B65:$CW65,"="&amp;"x",$B$3:$CW$3,"="&amp;"N"),0)</f>
        <v>0</v>
      </c>
      <c r="AH82">
        <f ca="1">IFERROR(SUMIFS(INDEX($B$5:$CW$56,MATCH(AH$75,$A$5:$A$56,0),1):INDEX($B$5:$CW$56,MATCH(AH$75,$A$5:$A$56,0),100),$B65:$CW65,"="&amp;"x",$B$3:$CW$3,"="&amp;"N"),0)</f>
        <v>0</v>
      </c>
      <c r="AI82">
        <f ca="1">IFERROR(SUMIFS(INDEX($B$5:$CW$56,MATCH(AI$75,$A$5:$A$56,0),1):INDEX($B$5:$CW$56,MATCH(AI$75,$A$5:$A$56,0),100),$B65:$CW65,"="&amp;"x",$B$3:$CW$3,"="&amp;"N"),0)</f>
        <v>0</v>
      </c>
      <c r="AJ82">
        <f ca="1">IFERROR(SUMIFS(INDEX($B$5:$CW$56,MATCH(AJ$75,$A$5:$A$56,0),1):INDEX($B$5:$CW$56,MATCH(AJ$75,$A$5:$A$56,0),100),$B65:$CW65,"="&amp;"x",$B$3:$CW$3,"="&amp;"N"),0)</f>
        <v>0</v>
      </c>
      <c r="AK82">
        <f ca="1">IFERROR(SUMIFS(INDEX($B$5:$CW$56,MATCH(AK$75,$A$5:$A$56,0),1):INDEX($B$5:$CW$56,MATCH(AK$75,$A$5:$A$56,0),100),$B65:$CW65,"="&amp;"x",$B$3:$CW$3,"="&amp;"N"),0)</f>
        <v>0</v>
      </c>
      <c r="AL82">
        <f ca="1">IFERROR(SUMIFS(INDEX($B$5:$CW$56,MATCH(AL$75,$A$5:$A$56,0),1):INDEX($B$5:$CW$56,MATCH(AL$75,$A$5:$A$56,0),100),$B65:$CW65,"="&amp;"x",$B$3:$CW$3,"="&amp;"N"),0)</f>
        <v>0</v>
      </c>
      <c r="AM82">
        <f ca="1">IFERROR(SUMIFS(INDEX($B$5:$CW$56,MATCH(AM$75,$A$5:$A$56,0),1):INDEX($B$5:$CW$56,MATCH(AM$75,$A$5:$A$56,0),100),$B65:$CW65,"="&amp;"x",$B$3:$CW$3,"="&amp;"N"),0)</f>
        <v>0</v>
      </c>
      <c r="AN82">
        <f ca="1">IFERROR(SUMIFS(INDEX($B$5:$CW$56,MATCH(AN$75,$A$5:$A$56,0),1):INDEX($B$5:$CW$56,MATCH(AN$75,$A$5:$A$56,0),100),$B65:$CW65,"="&amp;"x",$B$3:$CW$3,"="&amp;"N"),0)</f>
        <v>0</v>
      </c>
      <c r="AO82">
        <f ca="1">IFERROR(SUMIFS(INDEX($B$5:$CW$56,MATCH(AO$75,$A$5:$A$56,0),1):INDEX($B$5:$CW$56,MATCH(AO$75,$A$5:$A$56,0),100),$B65:$CW65,"="&amp;"x",$B$3:$CW$3,"="&amp;"N"),0)</f>
        <v>0</v>
      </c>
      <c r="AP82">
        <f ca="1">IFERROR(SUMIFS(INDEX($B$5:$CW$56,MATCH(AP$75,$A$5:$A$56,0),1):INDEX($B$5:$CW$56,MATCH(AP$75,$A$5:$A$56,0),100),$B65:$CW65,"="&amp;"x",$B$3:$CW$3,"="&amp;"N"),0)</f>
        <v>0</v>
      </c>
      <c r="AQ82">
        <f ca="1">IFERROR(SUMIFS(INDEX($B$5:$CW$56,MATCH(AQ$75,$A$5:$A$56,0),1):INDEX($B$5:$CW$56,MATCH(AQ$75,$A$5:$A$56,0),100),$B65:$CW65,"="&amp;"x",$B$3:$CW$3,"="&amp;"N"),0)</f>
        <v>0</v>
      </c>
      <c r="AR82">
        <f ca="1">IFERROR(SUMIFS(INDEX($B$5:$CW$56,MATCH(AR$75,$A$5:$A$56,0),1):INDEX($B$5:$CW$56,MATCH(AR$75,$A$5:$A$56,0),100),$B65:$CW65,"="&amp;"x",$B$3:$CW$3,"="&amp;"N"),0)</f>
        <v>0</v>
      </c>
      <c r="AS82">
        <f ca="1">IFERROR(SUMIFS(INDEX($B$5:$CW$56,MATCH(AS$75,$A$5:$A$56,0),1):INDEX($B$5:$CW$56,MATCH(AS$75,$A$5:$A$56,0),100),$B65:$CW65,"="&amp;"x",$B$3:$CW$3,"="&amp;"N"),0)</f>
        <v>0</v>
      </c>
      <c r="AT82">
        <f ca="1">IFERROR(SUMIFS(INDEX($B$5:$CW$56,MATCH(AT$75,$A$5:$A$56,0),1):INDEX($B$5:$CW$56,MATCH(AT$75,$A$5:$A$56,0),100),$B65:$CW65,"="&amp;"x",$B$3:$CW$3,"="&amp;"N"),0)</f>
        <v>0</v>
      </c>
      <c r="AU82">
        <f ca="1">IFERROR(SUMIFS(INDEX($B$5:$CW$56,MATCH(AU$75,$A$5:$A$56,0),1):INDEX($B$5:$CW$56,MATCH(AU$75,$A$5:$A$56,0),100),$B65:$CW65,"="&amp;"x",$B$3:$CW$3,"="&amp;"N"),0)</f>
        <v>0</v>
      </c>
      <c r="AV82">
        <f ca="1">IFERROR(SUMIFS(INDEX($B$5:$CW$56,MATCH(AV$75,$A$5:$A$56,0),1):INDEX($B$5:$CW$56,MATCH(AV$75,$A$5:$A$56,0),100),$B65:$CW65,"="&amp;"x",$B$3:$CW$3,"="&amp;"N"),0)</f>
        <v>0</v>
      </c>
      <c r="AW82">
        <f ca="1">IFERROR(SUMIFS(INDEX($B$5:$CW$56,MATCH(AW$75,$A$5:$A$56,0),1):INDEX($B$5:$CW$56,MATCH(AW$75,$A$5:$A$56,0),100),$B65:$CW65,"="&amp;"x",$B$3:$CW$3,"="&amp;"N"),0)</f>
        <v>0</v>
      </c>
      <c r="AX82">
        <f ca="1">IFERROR(SUMIFS(INDEX($B$5:$CW$56,MATCH(AX$75,$A$5:$A$56,0),1):INDEX($B$5:$CW$56,MATCH(AX$75,$A$5:$A$56,0),100),$B65:$CW65,"="&amp;"x",$B$3:$CW$3,"="&amp;"N"),0)</f>
        <v>0</v>
      </c>
      <c r="AY82">
        <f ca="1">IFERROR(SUMIFS(INDEX($B$5:$CW$56,MATCH(AY$75,$A$5:$A$56,0),1):INDEX($B$5:$CW$56,MATCH(AY$75,$A$5:$A$56,0),100),$B65:$CW65,"="&amp;"x",$B$3:$CW$3,"="&amp;"N"),0)</f>
        <v>0</v>
      </c>
      <c r="AZ82">
        <f ca="1">IFERROR(SUMIFS(INDEX($B$5:$CW$56,MATCH(AZ$75,$A$5:$A$56,0),1):INDEX($B$5:$CW$56,MATCH(AZ$75,$A$5:$A$56,0),100),$B65:$CW65,"="&amp;"x",$B$3:$CW$3,"="&amp;"N"),0)</f>
        <v>0</v>
      </c>
      <c r="BA82">
        <f ca="1">IFERROR(SUMIFS(INDEX($B$5:$CW$56,MATCH(BA$75,$A$5:$A$56,0),1):INDEX($B$5:$CW$56,MATCH(BA$75,$A$5:$A$56,0),100),$B65:$CW65,"="&amp;"x",$B$3:$CW$3,"="&amp;"N"),0)</f>
        <v>0</v>
      </c>
      <c r="BC82">
        <f t="shared" ca="1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ca="1">IFERROR(SUMIFS(INDEX($B$5:$CW$56,MATCH(B$75,$A$5:$A$56,0),1):INDEX($B$5:$CW$56,MATCH(B$75,$A$5:$A$56,0),100),$B66:$CW66,"="&amp;"x",$B$3:$CW$3,"="&amp;"N"),0)</f>
        <v>0</v>
      </c>
      <c r="C83">
        <f ca="1">IFERROR(SUMIFS(INDEX($B$5:$CW$56,MATCH(C$75,$A$5:$A$56,0),1):INDEX($B$5:$CW$56,MATCH(C$75,$A$5:$A$56,0),100),$B66:$CW66,"="&amp;"x",$B$3:$CW$3,"="&amp;"N"),0)</f>
        <v>0</v>
      </c>
      <c r="D83">
        <f ca="1">IFERROR(SUMIFS(INDEX($B$5:$CW$56,MATCH(D$75,$A$5:$A$56,0),1):INDEX($B$5:$CW$56,MATCH(D$75,$A$5:$A$56,0),100),$B66:$CW66,"="&amp;"x",$B$3:$CW$3,"="&amp;"N"),0)</f>
        <v>0</v>
      </c>
      <c r="E83">
        <f ca="1">IFERROR(SUMIFS(INDEX($B$5:$CW$56,MATCH(E$75,$A$5:$A$56,0),1):INDEX($B$5:$CW$56,MATCH(E$75,$A$5:$A$56,0),100),$B66:$CW66,"="&amp;"x",$B$3:$CW$3,"="&amp;"N"),0)</f>
        <v>0</v>
      </c>
      <c r="F83">
        <f ca="1">IFERROR(SUMIFS(INDEX($B$5:$CW$56,MATCH(F$75,$A$5:$A$56,0),1):INDEX($B$5:$CW$56,MATCH(F$75,$A$5:$A$56,0),100),$B66:$CW66,"="&amp;"x",$B$3:$CW$3,"="&amp;"N"),0)</f>
        <v>0</v>
      </c>
      <c r="G83">
        <f ca="1">IFERROR(SUMIFS(INDEX($B$5:$CW$56,MATCH(G$75,$A$5:$A$56,0),1):INDEX($B$5:$CW$56,MATCH(G$75,$A$5:$A$56,0),100),$B66:$CW66,"="&amp;"x",$B$3:$CW$3,"="&amp;"N"),0)</f>
        <v>0</v>
      </c>
      <c r="H83">
        <f ca="1">IFERROR(SUMIFS(INDEX($B$5:$CW$56,MATCH(H$75,$A$5:$A$56,0),1):INDEX($B$5:$CW$56,MATCH(H$75,$A$5:$A$56,0),100),$B66:$CW66,"="&amp;"x",$B$3:$CW$3,"="&amp;"N"),0)</f>
        <v>0</v>
      </c>
      <c r="I83">
        <f ca="1">IFERROR(SUMIFS(INDEX($B$5:$CW$56,MATCH(I$75,$A$5:$A$56,0),1):INDEX($B$5:$CW$56,MATCH(I$75,$A$5:$A$56,0),100),$B66:$CW66,"="&amp;"x",$B$3:$CW$3,"="&amp;"N"),0)</f>
        <v>0</v>
      </c>
      <c r="J83">
        <f ca="1">IFERROR(SUMIFS(INDEX($B$5:$CW$56,MATCH(J$75,$A$5:$A$56,0),1):INDEX($B$5:$CW$56,MATCH(J$75,$A$5:$A$56,0),100),$B66:$CW66,"="&amp;"x",$B$3:$CW$3,"="&amp;"N"),0)</f>
        <v>0</v>
      </c>
      <c r="K83">
        <f ca="1">IFERROR(SUMIFS(INDEX($B$5:$CW$56,MATCH(K$75,$A$5:$A$56,0),1):INDEX($B$5:$CW$56,MATCH(K$75,$A$5:$A$56,0),100),$B66:$CW66,"="&amp;"x",$B$3:$CW$3,"="&amp;"N"),0)</f>
        <v>0</v>
      </c>
      <c r="L83">
        <f ca="1">IFERROR(SUMIFS(INDEX($B$5:$CW$56,MATCH(L$75,$A$5:$A$56,0),1):INDEX($B$5:$CW$56,MATCH(L$75,$A$5:$A$56,0),100),$B66:$CW66,"="&amp;"x",$B$3:$CW$3,"="&amp;"N"),0)</f>
        <v>0</v>
      </c>
      <c r="M83">
        <f ca="1">IFERROR(SUMIFS(INDEX($B$5:$CW$56,MATCH(M$75,$A$5:$A$56,0),1):INDEX($B$5:$CW$56,MATCH(M$75,$A$5:$A$56,0),100),$B66:$CW66,"="&amp;"x",$B$3:$CW$3,"="&amp;"N"),0)</f>
        <v>0</v>
      </c>
      <c r="N83">
        <f ca="1">IFERROR(SUMIFS(INDEX($B$5:$CW$56,MATCH(N$75,$A$5:$A$56,0),1):INDEX($B$5:$CW$56,MATCH(N$75,$A$5:$A$56,0),100),$B66:$CW66,"="&amp;"x",$B$3:$CW$3,"="&amp;"N"),0)</f>
        <v>0</v>
      </c>
      <c r="O83">
        <f ca="1">IFERROR(SUMIFS(INDEX($B$5:$CW$56,MATCH(O$75,$A$5:$A$56,0),1):INDEX($B$5:$CW$56,MATCH(O$75,$A$5:$A$56,0),100),$B66:$CW66,"="&amp;"x",$B$3:$CW$3,"="&amp;"N"),0)</f>
        <v>0</v>
      </c>
      <c r="P83">
        <f ca="1">IFERROR(SUMIFS(INDEX($B$5:$CW$56,MATCH(P$75,$A$5:$A$56,0),1):INDEX($B$5:$CW$56,MATCH(P$75,$A$5:$A$56,0),100),$B66:$CW66,"="&amp;"x",$B$3:$CW$3,"="&amp;"N"),0)</f>
        <v>0</v>
      </c>
      <c r="Q83">
        <f ca="1">IFERROR(SUMIFS(INDEX($B$5:$CW$56,MATCH(Q$75,$A$5:$A$56,0),1):INDEX($B$5:$CW$56,MATCH(Q$75,$A$5:$A$56,0),100),$B66:$CW66,"="&amp;"x",$B$3:$CW$3,"="&amp;"N"),0)</f>
        <v>0</v>
      </c>
      <c r="R83">
        <f ca="1">IFERROR(SUMIFS(INDEX($B$5:$CW$56,MATCH(R$75,$A$5:$A$56,0),1):INDEX($B$5:$CW$56,MATCH(R$75,$A$5:$A$56,0),100),$B66:$CW66,"="&amp;"x",$B$3:$CW$3,"="&amp;"N"),0)</f>
        <v>0</v>
      </c>
      <c r="S83">
        <f ca="1">IFERROR(SUMIFS(INDEX($B$5:$CW$56,MATCH(S$75,$A$5:$A$56,0),1):INDEX($B$5:$CW$56,MATCH(S$75,$A$5:$A$56,0),100),$B66:$CW66,"="&amp;"x",$B$3:$CW$3,"="&amp;"N"),0)</f>
        <v>0</v>
      </c>
      <c r="T83">
        <f ca="1">IFERROR(SUMIFS(INDEX($B$5:$CW$56,MATCH(T$75,$A$5:$A$56,0),1):INDEX($B$5:$CW$56,MATCH(T$75,$A$5:$A$56,0),100),$B66:$CW66,"="&amp;"x",$B$3:$CW$3,"="&amp;"N"),0)</f>
        <v>0</v>
      </c>
      <c r="U83">
        <f ca="1">IFERROR(SUMIFS(INDEX($B$5:$CW$56,MATCH(U$75,$A$5:$A$56,0),1):INDEX($B$5:$CW$56,MATCH(U$75,$A$5:$A$56,0),100),$B66:$CW66,"="&amp;"x",$B$3:$CW$3,"="&amp;"N"),0)</f>
        <v>0</v>
      </c>
      <c r="V83">
        <f ca="1">IFERROR(SUMIFS(INDEX($B$5:$CW$56,MATCH(V$75,$A$5:$A$56,0),1):INDEX($B$5:$CW$56,MATCH(V$75,$A$5:$A$56,0),100),$B66:$CW66,"="&amp;"x",$B$3:$CW$3,"="&amp;"N"),0)</f>
        <v>0</v>
      </c>
      <c r="W83">
        <f ca="1">IFERROR(SUMIFS(INDEX($B$5:$CW$56,MATCH(W$75,$A$5:$A$56,0),1):INDEX($B$5:$CW$56,MATCH(W$75,$A$5:$A$56,0),100),$B66:$CW66,"="&amp;"x",$B$3:$CW$3,"="&amp;"N"),0)</f>
        <v>0</v>
      </c>
      <c r="X83">
        <f ca="1">IFERROR(SUMIFS(INDEX($B$5:$CW$56,MATCH(X$75,$A$5:$A$56,0),1):INDEX($B$5:$CW$56,MATCH(X$75,$A$5:$A$56,0),100),$B66:$CW66,"="&amp;"x",$B$3:$CW$3,"="&amp;"N"),0)</f>
        <v>0</v>
      </c>
      <c r="Y83">
        <f ca="1">IFERROR(SUMIFS(INDEX($B$5:$CW$56,MATCH(Y$75,$A$5:$A$56,0),1):INDEX($B$5:$CW$56,MATCH(Y$75,$A$5:$A$56,0),100),$B66:$CW66,"="&amp;"x",$B$3:$CW$3,"="&amp;"N"),0)</f>
        <v>0</v>
      </c>
      <c r="Z83">
        <f ca="1">IFERROR(SUMIFS(INDEX($B$5:$CW$56,MATCH(Z$75,$A$5:$A$56,0),1):INDEX($B$5:$CW$56,MATCH(Z$75,$A$5:$A$56,0),100),$B66:$CW66,"="&amp;"x",$B$3:$CW$3,"="&amp;"N"),0)</f>
        <v>0</v>
      </c>
      <c r="AA83">
        <f ca="1">IFERROR(SUMIFS(INDEX($B$5:$CW$56,MATCH(AA$75,$A$5:$A$56,0),1):INDEX($B$5:$CW$56,MATCH(AA$75,$A$5:$A$56,0),100),$B66:$CW66,"="&amp;"x",$B$3:$CW$3,"="&amp;"N"),0)</f>
        <v>0</v>
      </c>
      <c r="AB83">
        <f ca="1">IFERROR(SUMIFS(INDEX($B$5:$CW$56,MATCH(AB$75,$A$5:$A$56,0),1):INDEX($B$5:$CW$56,MATCH(AB$75,$A$5:$A$56,0),100),$B66:$CW66,"="&amp;"x",$B$3:$CW$3,"="&amp;"N"),0)</f>
        <v>0</v>
      </c>
      <c r="AC83">
        <f ca="1">IFERROR(SUMIFS(INDEX($B$5:$CW$56,MATCH(AC$75,$A$5:$A$56,0),1):INDEX($B$5:$CW$56,MATCH(AC$75,$A$5:$A$56,0),100),$B66:$CW66,"="&amp;"x",$B$3:$CW$3,"="&amp;"N"),0)</f>
        <v>0</v>
      </c>
      <c r="AD83">
        <f ca="1">IFERROR(SUMIFS(INDEX($B$5:$CW$56,MATCH(AD$75,$A$5:$A$56,0),1):INDEX($B$5:$CW$56,MATCH(AD$75,$A$5:$A$56,0),100),$B66:$CW66,"="&amp;"x",$B$3:$CW$3,"="&amp;"N"),0)</f>
        <v>0</v>
      </c>
      <c r="AE83">
        <f ca="1">IFERROR(SUMIFS(INDEX($B$5:$CW$56,MATCH(AE$75,$A$5:$A$56,0),1):INDEX($B$5:$CW$56,MATCH(AE$75,$A$5:$A$56,0),100),$B66:$CW66,"="&amp;"x",$B$3:$CW$3,"="&amp;"N"),0)</f>
        <v>0</v>
      </c>
      <c r="AF83">
        <f ca="1">IFERROR(SUMIFS(INDEX($B$5:$CW$56,MATCH(AF$75,$A$5:$A$56,0),1):INDEX($B$5:$CW$56,MATCH(AF$75,$A$5:$A$56,0),100),$B66:$CW66,"="&amp;"x",$B$3:$CW$3,"="&amp;"N"),0)</f>
        <v>0</v>
      </c>
      <c r="AG83">
        <f ca="1">IFERROR(SUMIFS(INDEX($B$5:$CW$56,MATCH(AG$75,$A$5:$A$56,0),1):INDEX($B$5:$CW$56,MATCH(AG$75,$A$5:$A$56,0),100),$B66:$CW66,"="&amp;"x",$B$3:$CW$3,"="&amp;"N"),0)</f>
        <v>0</v>
      </c>
      <c r="AH83">
        <f ca="1">IFERROR(SUMIFS(INDEX($B$5:$CW$56,MATCH(AH$75,$A$5:$A$56,0),1):INDEX($B$5:$CW$56,MATCH(AH$75,$A$5:$A$56,0),100),$B66:$CW66,"="&amp;"x",$B$3:$CW$3,"="&amp;"N"),0)</f>
        <v>0</v>
      </c>
      <c r="AI83">
        <f ca="1">IFERROR(SUMIFS(INDEX($B$5:$CW$56,MATCH(AI$75,$A$5:$A$56,0),1):INDEX($B$5:$CW$56,MATCH(AI$75,$A$5:$A$56,0),100),$B66:$CW66,"="&amp;"x",$B$3:$CW$3,"="&amp;"N"),0)</f>
        <v>0</v>
      </c>
      <c r="AJ83">
        <f ca="1">IFERROR(SUMIFS(INDEX($B$5:$CW$56,MATCH(AJ$75,$A$5:$A$56,0),1):INDEX($B$5:$CW$56,MATCH(AJ$75,$A$5:$A$56,0),100),$B66:$CW66,"="&amp;"x",$B$3:$CW$3,"="&amp;"N"),0)</f>
        <v>0</v>
      </c>
      <c r="AK83">
        <f ca="1">IFERROR(SUMIFS(INDEX($B$5:$CW$56,MATCH(AK$75,$A$5:$A$56,0),1):INDEX($B$5:$CW$56,MATCH(AK$75,$A$5:$A$56,0),100),$B66:$CW66,"="&amp;"x",$B$3:$CW$3,"="&amp;"N"),0)</f>
        <v>0</v>
      </c>
      <c r="AL83">
        <f ca="1">IFERROR(SUMIFS(INDEX($B$5:$CW$56,MATCH(AL$75,$A$5:$A$56,0),1):INDEX($B$5:$CW$56,MATCH(AL$75,$A$5:$A$56,0),100),$B66:$CW66,"="&amp;"x",$B$3:$CW$3,"="&amp;"N"),0)</f>
        <v>0</v>
      </c>
      <c r="AM83">
        <f ca="1">IFERROR(SUMIFS(INDEX($B$5:$CW$56,MATCH(AM$75,$A$5:$A$56,0),1):INDEX($B$5:$CW$56,MATCH(AM$75,$A$5:$A$56,0),100),$B66:$CW66,"="&amp;"x",$B$3:$CW$3,"="&amp;"N"),0)</f>
        <v>0</v>
      </c>
      <c r="AN83">
        <f ca="1">IFERROR(SUMIFS(INDEX($B$5:$CW$56,MATCH(AN$75,$A$5:$A$56,0),1):INDEX($B$5:$CW$56,MATCH(AN$75,$A$5:$A$56,0),100),$B66:$CW66,"="&amp;"x",$B$3:$CW$3,"="&amp;"N"),0)</f>
        <v>0</v>
      </c>
      <c r="AO83">
        <f ca="1">IFERROR(SUMIFS(INDEX($B$5:$CW$56,MATCH(AO$75,$A$5:$A$56,0),1):INDEX($B$5:$CW$56,MATCH(AO$75,$A$5:$A$56,0),100),$B66:$CW66,"="&amp;"x",$B$3:$CW$3,"="&amp;"N"),0)</f>
        <v>0</v>
      </c>
      <c r="AP83">
        <f ca="1">IFERROR(SUMIFS(INDEX($B$5:$CW$56,MATCH(AP$75,$A$5:$A$56,0),1):INDEX($B$5:$CW$56,MATCH(AP$75,$A$5:$A$56,0),100),$B66:$CW66,"="&amp;"x",$B$3:$CW$3,"="&amp;"N"),0)</f>
        <v>0</v>
      </c>
      <c r="AQ83">
        <f ca="1">IFERROR(SUMIFS(INDEX($B$5:$CW$56,MATCH(AQ$75,$A$5:$A$56,0),1):INDEX($B$5:$CW$56,MATCH(AQ$75,$A$5:$A$56,0),100),$B66:$CW66,"="&amp;"x",$B$3:$CW$3,"="&amp;"N"),0)</f>
        <v>0</v>
      </c>
      <c r="AR83">
        <f ca="1">IFERROR(SUMIFS(INDEX($B$5:$CW$56,MATCH(AR$75,$A$5:$A$56,0),1):INDEX($B$5:$CW$56,MATCH(AR$75,$A$5:$A$56,0),100),$B66:$CW66,"="&amp;"x",$B$3:$CW$3,"="&amp;"N"),0)</f>
        <v>0</v>
      </c>
      <c r="AS83">
        <f ca="1">IFERROR(SUMIFS(INDEX($B$5:$CW$56,MATCH(AS$75,$A$5:$A$56,0),1):INDEX($B$5:$CW$56,MATCH(AS$75,$A$5:$A$56,0),100),$B66:$CW66,"="&amp;"x",$B$3:$CW$3,"="&amp;"N"),0)</f>
        <v>0</v>
      </c>
      <c r="AT83">
        <f ca="1">IFERROR(SUMIFS(INDEX($B$5:$CW$56,MATCH(AT$75,$A$5:$A$56,0),1):INDEX($B$5:$CW$56,MATCH(AT$75,$A$5:$A$56,0),100),$B66:$CW66,"="&amp;"x",$B$3:$CW$3,"="&amp;"N"),0)</f>
        <v>0</v>
      </c>
      <c r="AU83">
        <f ca="1">IFERROR(SUMIFS(INDEX($B$5:$CW$56,MATCH(AU$75,$A$5:$A$56,0),1):INDEX($B$5:$CW$56,MATCH(AU$75,$A$5:$A$56,0),100),$B66:$CW66,"="&amp;"x",$B$3:$CW$3,"="&amp;"N"),0)</f>
        <v>0</v>
      </c>
      <c r="AV83">
        <f ca="1">IFERROR(SUMIFS(INDEX($B$5:$CW$56,MATCH(AV$75,$A$5:$A$56,0),1):INDEX($B$5:$CW$56,MATCH(AV$75,$A$5:$A$56,0),100),$B66:$CW66,"="&amp;"x",$B$3:$CW$3,"="&amp;"N"),0)</f>
        <v>0</v>
      </c>
      <c r="AW83">
        <f ca="1">IFERROR(SUMIFS(INDEX($B$5:$CW$56,MATCH(AW$75,$A$5:$A$56,0),1):INDEX($B$5:$CW$56,MATCH(AW$75,$A$5:$A$56,0),100),$B66:$CW66,"="&amp;"x",$B$3:$CW$3,"="&amp;"N"),0)</f>
        <v>0</v>
      </c>
      <c r="AX83">
        <f ca="1">IFERROR(SUMIFS(INDEX($B$5:$CW$56,MATCH(AX$75,$A$5:$A$56,0),1):INDEX($B$5:$CW$56,MATCH(AX$75,$A$5:$A$56,0),100),$B66:$CW66,"="&amp;"x",$B$3:$CW$3,"="&amp;"N"),0)</f>
        <v>0</v>
      </c>
      <c r="AY83">
        <f ca="1">IFERROR(SUMIFS(INDEX($B$5:$CW$56,MATCH(AY$75,$A$5:$A$56,0),1):INDEX($B$5:$CW$56,MATCH(AY$75,$A$5:$A$56,0),100),$B66:$CW66,"="&amp;"x",$B$3:$CW$3,"="&amp;"N"),0)</f>
        <v>0</v>
      </c>
      <c r="AZ83">
        <f ca="1">IFERROR(SUMIFS(INDEX($B$5:$CW$56,MATCH(AZ$75,$A$5:$A$56,0),1):INDEX($B$5:$CW$56,MATCH(AZ$75,$A$5:$A$56,0),100),$B66:$CW66,"="&amp;"x",$B$3:$CW$3,"="&amp;"N"),0)</f>
        <v>0</v>
      </c>
      <c r="BA83">
        <f ca="1">IFERROR(SUMIFS(INDEX($B$5:$CW$56,MATCH(BA$75,$A$5:$A$56,0),1):INDEX($B$5:$CW$56,MATCH(BA$75,$A$5:$A$56,0),100),$B66:$CW66,"="&amp;"x",$B$3:$CW$3,"="&amp;"N"),0)</f>
        <v>0</v>
      </c>
      <c r="BC83">
        <f t="shared" ca="1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ca="1">IFERROR(SUMIFS(INDEX($B$5:$CW$56,MATCH(B$75,$A$5:$A$56,0),1):INDEX($B$5:$CW$56,MATCH(B$75,$A$5:$A$56,0),100),$B67:$CW67,"="&amp;"x",$B$3:$CW$3,"="&amp;"N"),0)</f>
        <v>0</v>
      </c>
      <c r="C84">
        <f ca="1">IFERROR(SUMIFS(INDEX($B$5:$CW$56,MATCH(C$75,$A$5:$A$56,0),1):INDEX($B$5:$CW$56,MATCH(C$75,$A$5:$A$56,0),100),$B67:$CW67,"="&amp;"x",$B$3:$CW$3,"="&amp;"N"),0)</f>
        <v>0</v>
      </c>
      <c r="D84">
        <f ca="1">IFERROR(SUMIFS(INDEX($B$5:$CW$56,MATCH(D$75,$A$5:$A$56,0),1):INDEX($B$5:$CW$56,MATCH(D$75,$A$5:$A$56,0),100),$B67:$CW67,"="&amp;"x",$B$3:$CW$3,"="&amp;"N"),0)</f>
        <v>0</v>
      </c>
      <c r="E84">
        <f ca="1">IFERROR(SUMIFS(INDEX($B$5:$CW$56,MATCH(E$75,$A$5:$A$56,0),1):INDEX($B$5:$CW$56,MATCH(E$75,$A$5:$A$56,0),100),$B67:$CW67,"="&amp;"x",$B$3:$CW$3,"="&amp;"N"),0)</f>
        <v>0</v>
      </c>
      <c r="F84">
        <f ca="1">IFERROR(SUMIFS(INDEX($B$5:$CW$56,MATCH(F$75,$A$5:$A$56,0),1):INDEX($B$5:$CW$56,MATCH(F$75,$A$5:$A$56,0),100),$B67:$CW67,"="&amp;"x",$B$3:$CW$3,"="&amp;"N"),0)</f>
        <v>0</v>
      </c>
      <c r="G84">
        <f ca="1">IFERROR(SUMIFS(INDEX($B$5:$CW$56,MATCH(G$75,$A$5:$A$56,0),1):INDEX($B$5:$CW$56,MATCH(G$75,$A$5:$A$56,0),100),$B67:$CW67,"="&amp;"x",$B$3:$CW$3,"="&amp;"N"),0)</f>
        <v>0</v>
      </c>
      <c r="H84">
        <f ca="1">IFERROR(SUMIFS(INDEX($B$5:$CW$56,MATCH(H$75,$A$5:$A$56,0),1):INDEX($B$5:$CW$56,MATCH(H$75,$A$5:$A$56,0),100),$B67:$CW67,"="&amp;"x",$B$3:$CW$3,"="&amp;"N"),0)</f>
        <v>0</v>
      </c>
      <c r="I84">
        <f ca="1">IFERROR(SUMIFS(INDEX($B$5:$CW$56,MATCH(I$75,$A$5:$A$56,0),1):INDEX($B$5:$CW$56,MATCH(I$75,$A$5:$A$56,0),100),$B67:$CW67,"="&amp;"x",$B$3:$CW$3,"="&amp;"N"),0)</f>
        <v>0</v>
      </c>
      <c r="J84">
        <f ca="1">IFERROR(SUMIFS(INDEX($B$5:$CW$56,MATCH(J$75,$A$5:$A$56,0),1):INDEX($B$5:$CW$56,MATCH(J$75,$A$5:$A$56,0),100),$B67:$CW67,"="&amp;"x",$B$3:$CW$3,"="&amp;"N"),0)</f>
        <v>0</v>
      </c>
      <c r="K84">
        <f ca="1">IFERROR(SUMIFS(INDEX($B$5:$CW$56,MATCH(K$75,$A$5:$A$56,0),1):INDEX($B$5:$CW$56,MATCH(K$75,$A$5:$A$56,0),100),$B67:$CW67,"="&amp;"x",$B$3:$CW$3,"="&amp;"N"),0)</f>
        <v>0</v>
      </c>
      <c r="L84">
        <f ca="1">IFERROR(SUMIFS(INDEX($B$5:$CW$56,MATCH(L$75,$A$5:$A$56,0),1):INDEX($B$5:$CW$56,MATCH(L$75,$A$5:$A$56,0),100),$B67:$CW67,"="&amp;"x",$B$3:$CW$3,"="&amp;"N"),0)</f>
        <v>0</v>
      </c>
      <c r="M84">
        <f ca="1">IFERROR(SUMIFS(INDEX($B$5:$CW$56,MATCH(M$75,$A$5:$A$56,0),1):INDEX($B$5:$CW$56,MATCH(M$75,$A$5:$A$56,0),100),$B67:$CW67,"="&amp;"x",$B$3:$CW$3,"="&amp;"N"),0)</f>
        <v>0</v>
      </c>
      <c r="N84">
        <f ca="1">IFERROR(SUMIFS(INDEX($B$5:$CW$56,MATCH(N$75,$A$5:$A$56,0),1):INDEX($B$5:$CW$56,MATCH(N$75,$A$5:$A$56,0),100),$B67:$CW67,"="&amp;"x",$B$3:$CW$3,"="&amp;"N"),0)</f>
        <v>0</v>
      </c>
      <c r="O84">
        <f ca="1">IFERROR(SUMIFS(INDEX($B$5:$CW$56,MATCH(O$75,$A$5:$A$56,0),1):INDEX($B$5:$CW$56,MATCH(O$75,$A$5:$A$56,0),100),$B67:$CW67,"="&amp;"x",$B$3:$CW$3,"="&amp;"N"),0)</f>
        <v>0</v>
      </c>
      <c r="P84">
        <f ca="1">IFERROR(SUMIFS(INDEX($B$5:$CW$56,MATCH(P$75,$A$5:$A$56,0),1):INDEX($B$5:$CW$56,MATCH(P$75,$A$5:$A$56,0),100),$B67:$CW67,"="&amp;"x",$B$3:$CW$3,"="&amp;"N"),0)</f>
        <v>0</v>
      </c>
      <c r="Q84">
        <f ca="1">IFERROR(SUMIFS(INDEX($B$5:$CW$56,MATCH(Q$75,$A$5:$A$56,0),1):INDEX($B$5:$CW$56,MATCH(Q$75,$A$5:$A$56,0),100),$B67:$CW67,"="&amp;"x",$B$3:$CW$3,"="&amp;"N"),0)</f>
        <v>0</v>
      </c>
      <c r="R84">
        <f ca="1">IFERROR(SUMIFS(INDEX($B$5:$CW$56,MATCH(R$75,$A$5:$A$56,0),1):INDEX($B$5:$CW$56,MATCH(R$75,$A$5:$A$56,0),100),$B67:$CW67,"="&amp;"x",$B$3:$CW$3,"="&amp;"N"),0)</f>
        <v>0</v>
      </c>
      <c r="S84">
        <f ca="1">IFERROR(SUMIFS(INDEX($B$5:$CW$56,MATCH(S$75,$A$5:$A$56,0),1):INDEX($B$5:$CW$56,MATCH(S$75,$A$5:$A$56,0),100),$B67:$CW67,"="&amp;"x",$B$3:$CW$3,"="&amp;"N"),0)</f>
        <v>0</v>
      </c>
      <c r="T84">
        <f ca="1">IFERROR(SUMIFS(INDEX($B$5:$CW$56,MATCH(T$75,$A$5:$A$56,0),1):INDEX($B$5:$CW$56,MATCH(T$75,$A$5:$A$56,0),100),$B67:$CW67,"="&amp;"x",$B$3:$CW$3,"="&amp;"N"),0)</f>
        <v>0</v>
      </c>
      <c r="U84">
        <f ca="1">IFERROR(SUMIFS(INDEX($B$5:$CW$56,MATCH(U$75,$A$5:$A$56,0),1):INDEX($B$5:$CW$56,MATCH(U$75,$A$5:$A$56,0),100),$B67:$CW67,"="&amp;"x",$B$3:$CW$3,"="&amp;"N"),0)</f>
        <v>0</v>
      </c>
      <c r="V84">
        <f ca="1">IFERROR(SUMIFS(INDEX($B$5:$CW$56,MATCH(V$75,$A$5:$A$56,0),1):INDEX($B$5:$CW$56,MATCH(V$75,$A$5:$A$56,0),100),$B67:$CW67,"="&amp;"x",$B$3:$CW$3,"="&amp;"N"),0)</f>
        <v>0</v>
      </c>
      <c r="W84">
        <f ca="1">IFERROR(SUMIFS(INDEX($B$5:$CW$56,MATCH(W$75,$A$5:$A$56,0),1):INDEX($B$5:$CW$56,MATCH(W$75,$A$5:$A$56,0),100),$B67:$CW67,"="&amp;"x",$B$3:$CW$3,"="&amp;"N"),0)</f>
        <v>0</v>
      </c>
      <c r="X84">
        <f ca="1">IFERROR(SUMIFS(INDEX($B$5:$CW$56,MATCH(X$75,$A$5:$A$56,0),1):INDEX($B$5:$CW$56,MATCH(X$75,$A$5:$A$56,0),100),$B67:$CW67,"="&amp;"x",$B$3:$CW$3,"="&amp;"N"),0)</f>
        <v>0</v>
      </c>
      <c r="Y84">
        <f ca="1">IFERROR(SUMIFS(INDEX($B$5:$CW$56,MATCH(Y$75,$A$5:$A$56,0),1):INDEX($B$5:$CW$56,MATCH(Y$75,$A$5:$A$56,0),100),$B67:$CW67,"="&amp;"x",$B$3:$CW$3,"="&amp;"N"),0)</f>
        <v>0</v>
      </c>
      <c r="Z84">
        <f ca="1">IFERROR(SUMIFS(INDEX($B$5:$CW$56,MATCH(Z$75,$A$5:$A$56,0),1):INDEX($B$5:$CW$56,MATCH(Z$75,$A$5:$A$56,0),100),$B67:$CW67,"="&amp;"x",$B$3:$CW$3,"="&amp;"N"),0)</f>
        <v>0</v>
      </c>
      <c r="AA84">
        <f ca="1">IFERROR(SUMIFS(INDEX($B$5:$CW$56,MATCH(AA$75,$A$5:$A$56,0),1):INDEX($B$5:$CW$56,MATCH(AA$75,$A$5:$A$56,0),100),$B67:$CW67,"="&amp;"x",$B$3:$CW$3,"="&amp;"N"),0)</f>
        <v>0</v>
      </c>
      <c r="AB84">
        <f ca="1">IFERROR(SUMIFS(INDEX($B$5:$CW$56,MATCH(AB$75,$A$5:$A$56,0),1):INDEX($B$5:$CW$56,MATCH(AB$75,$A$5:$A$56,0),100),$B67:$CW67,"="&amp;"x",$B$3:$CW$3,"="&amp;"N"),0)</f>
        <v>0</v>
      </c>
      <c r="AC84">
        <f ca="1">IFERROR(SUMIFS(INDEX($B$5:$CW$56,MATCH(AC$75,$A$5:$A$56,0),1):INDEX($B$5:$CW$56,MATCH(AC$75,$A$5:$A$56,0),100),$B67:$CW67,"="&amp;"x",$B$3:$CW$3,"="&amp;"N"),0)</f>
        <v>0</v>
      </c>
      <c r="AD84">
        <f ca="1">IFERROR(SUMIFS(INDEX($B$5:$CW$56,MATCH(AD$75,$A$5:$A$56,0),1):INDEX($B$5:$CW$56,MATCH(AD$75,$A$5:$A$56,0),100),$B67:$CW67,"="&amp;"x",$B$3:$CW$3,"="&amp;"N"),0)</f>
        <v>0</v>
      </c>
      <c r="AE84">
        <f ca="1">IFERROR(SUMIFS(INDEX($B$5:$CW$56,MATCH(AE$75,$A$5:$A$56,0),1):INDEX($B$5:$CW$56,MATCH(AE$75,$A$5:$A$56,0),100),$B67:$CW67,"="&amp;"x",$B$3:$CW$3,"="&amp;"N"),0)</f>
        <v>0</v>
      </c>
      <c r="AF84">
        <f ca="1">IFERROR(SUMIFS(INDEX($B$5:$CW$56,MATCH(AF$75,$A$5:$A$56,0),1):INDEX($B$5:$CW$56,MATCH(AF$75,$A$5:$A$56,0),100),$B67:$CW67,"="&amp;"x",$B$3:$CW$3,"="&amp;"N"),0)</f>
        <v>0</v>
      </c>
      <c r="AG84">
        <f ca="1">IFERROR(SUMIFS(INDEX($B$5:$CW$56,MATCH(AG$75,$A$5:$A$56,0),1):INDEX($B$5:$CW$56,MATCH(AG$75,$A$5:$A$56,0),100),$B67:$CW67,"="&amp;"x",$B$3:$CW$3,"="&amp;"N"),0)</f>
        <v>0</v>
      </c>
      <c r="AH84">
        <f ca="1">IFERROR(SUMIFS(INDEX($B$5:$CW$56,MATCH(AH$75,$A$5:$A$56,0),1):INDEX($B$5:$CW$56,MATCH(AH$75,$A$5:$A$56,0),100),$B67:$CW67,"="&amp;"x",$B$3:$CW$3,"="&amp;"N"),0)</f>
        <v>0</v>
      </c>
      <c r="AI84">
        <f ca="1">IFERROR(SUMIFS(INDEX($B$5:$CW$56,MATCH(AI$75,$A$5:$A$56,0),1):INDEX($B$5:$CW$56,MATCH(AI$75,$A$5:$A$56,0),100),$B67:$CW67,"="&amp;"x",$B$3:$CW$3,"="&amp;"N"),0)</f>
        <v>0</v>
      </c>
      <c r="AJ84">
        <f ca="1">IFERROR(SUMIFS(INDEX($B$5:$CW$56,MATCH(AJ$75,$A$5:$A$56,0),1):INDEX($B$5:$CW$56,MATCH(AJ$75,$A$5:$A$56,0),100),$B67:$CW67,"="&amp;"x",$B$3:$CW$3,"="&amp;"N"),0)</f>
        <v>0</v>
      </c>
      <c r="AK84">
        <f ca="1">IFERROR(SUMIFS(INDEX($B$5:$CW$56,MATCH(AK$75,$A$5:$A$56,0),1):INDEX($B$5:$CW$56,MATCH(AK$75,$A$5:$A$56,0),100),$B67:$CW67,"="&amp;"x",$B$3:$CW$3,"="&amp;"N"),0)</f>
        <v>0</v>
      </c>
      <c r="AL84">
        <f ca="1">IFERROR(SUMIFS(INDEX($B$5:$CW$56,MATCH(AL$75,$A$5:$A$56,0),1):INDEX($B$5:$CW$56,MATCH(AL$75,$A$5:$A$56,0),100),$B67:$CW67,"="&amp;"x",$B$3:$CW$3,"="&amp;"N"),0)</f>
        <v>0</v>
      </c>
      <c r="AM84">
        <f ca="1">IFERROR(SUMIFS(INDEX($B$5:$CW$56,MATCH(AM$75,$A$5:$A$56,0),1):INDEX($B$5:$CW$56,MATCH(AM$75,$A$5:$A$56,0),100),$B67:$CW67,"="&amp;"x",$B$3:$CW$3,"="&amp;"N"),0)</f>
        <v>0</v>
      </c>
      <c r="AN84">
        <f ca="1">IFERROR(SUMIFS(INDEX($B$5:$CW$56,MATCH(AN$75,$A$5:$A$56,0),1):INDEX($B$5:$CW$56,MATCH(AN$75,$A$5:$A$56,0),100),$B67:$CW67,"="&amp;"x",$B$3:$CW$3,"="&amp;"N"),0)</f>
        <v>0</v>
      </c>
      <c r="AO84">
        <f ca="1">IFERROR(SUMIFS(INDEX($B$5:$CW$56,MATCH(AO$75,$A$5:$A$56,0),1):INDEX($B$5:$CW$56,MATCH(AO$75,$A$5:$A$56,0),100),$B67:$CW67,"="&amp;"x",$B$3:$CW$3,"="&amp;"N"),0)</f>
        <v>0</v>
      </c>
      <c r="AP84">
        <f ca="1">IFERROR(SUMIFS(INDEX($B$5:$CW$56,MATCH(AP$75,$A$5:$A$56,0),1):INDEX($B$5:$CW$56,MATCH(AP$75,$A$5:$A$56,0),100),$B67:$CW67,"="&amp;"x",$B$3:$CW$3,"="&amp;"N"),0)</f>
        <v>0</v>
      </c>
      <c r="AQ84">
        <f ca="1">IFERROR(SUMIFS(INDEX($B$5:$CW$56,MATCH(AQ$75,$A$5:$A$56,0),1):INDEX($B$5:$CW$56,MATCH(AQ$75,$A$5:$A$56,0),100),$B67:$CW67,"="&amp;"x",$B$3:$CW$3,"="&amp;"N"),0)</f>
        <v>0</v>
      </c>
      <c r="AR84">
        <f ca="1">IFERROR(SUMIFS(INDEX($B$5:$CW$56,MATCH(AR$75,$A$5:$A$56,0),1):INDEX($B$5:$CW$56,MATCH(AR$75,$A$5:$A$56,0),100),$B67:$CW67,"="&amp;"x",$B$3:$CW$3,"="&amp;"N"),0)</f>
        <v>0</v>
      </c>
      <c r="AS84">
        <f ca="1">IFERROR(SUMIFS(INDEX($B$5:$CW$56,MATCH(AS$75,$A$5:$A$56,0),1):INDEX($B$5:$CW$56,MATCH(AS$75,$A$5:$A$56,0),100),$B67:$CW67,"="&amp;"x",$B$3:$CW$3,"="&amp;"N"),0)</f>
        <v>0</v>
      </c>
      <c r="AT84">
        <f ca="1">IFERROR(SUMIFS(INDEX($B$5:$CW$56,MATCH(AT$75,$A$5:$A$56,0),1):INDEX($B$5:$CW$56,MATCH(AT$75,$A$5:$A$56,0),100),$B67:$CW67,"="&amp;"x",$B$3:$CW$3,"="&amp;"N"),0)</f>
        <v>0</v>
      </c>
      <c r="AU84">
        <f ca="1">IFERROR(SUMIFS(INDEX($B$5:$CW$56,MATCH(AU$75,$A$5:$A$56,0),1):INDEX($B$5:$CW$56,MATCH(AU$75,$A$5:$A$56,0),100),$B67:$CW67,"="&amp;"x",$B$3:$CW$3,"="&amp;"N"),0)</f>
        <v>0</v>
      </c>
      <c r="AV84">
        <f ca="1">IFERROR(SUMIFS(INDEX($B$5:$CW$56,MATCH(AV$75,$A$5:$A$56,0),1):INDEX($B$5:$CW$56,MATCH(AV$75,$A$5:$A$56,0),100),$B67:$CW67,"="&amp;"x",$B$3:$CW$3,"="&amp;"N"),0)</f>
        <v>0</v>
      </c>
      <c r="AW84">
        <f ca="1">IFERROR(SUMIFS(INDEX($B$5:$CW$56,MATCH(AW$75,$A$5:$A$56,0),1):INDEX($B$5:$CW$56,MATCH(AW$75,$A$5:$A$56,0),100),$B67:$CW67,"="&amp;"x",$B$3:$CW$3,"="&amp;"N"),0)</f>
        <v>0</v>
      </c>
      <c r="AX84">
        <f ca="1">IFERROR(SUMIFS(INDEX($B$5:$CW$56,MATCH(AX$75,$A$5:$A$56,0),1):INDEX($B$5:$CW$56,MATCH(AX$75,$A$5:$A$56,0),100),$B67:$CW67,"="&amp;"x",$B$3:$CW$3,"="&amp;"N"),0)</f>
        <v>0</v>
      </c>
      <c r="AY84">
        <f ca="1">IFERROR(SUMIFS(INDEX($B$5:$CW$56,MATCH(AY$75,$A$5:$A$56,0),1):INDEX($B$5:$CW$56,MATCH(AY$75,$A$5:$A$56,0),100),$B67:$CW67,"="&amp;"x",$B$3:$CW$3,"="&amp;"N"),0)</f>
        <v>0</v>
      </c>
      <c r="AZ84">
        <f ca="1">IFERROR(SUMIFS(INDEX($B$5:$CW$56,MATCH(AZ$75,$A$5:$A$56,0),1):INDEX($B$5:$CW$56,MATCH(AZ$75,$A$5:$A$56,0),100),$B67:$CW67,"="&amp;"x",$B$3:$CW$3,"="&amp;"N"),0)</f>
        <v>0</v>
      </c>
      <c r="BA84">
        <f ca="1">IFERROR(SUMIFS(INDEX($B$5:$CW$56,MATCH(BA$75,$A$5:$A$56,0),1):INDEX($B$5:$CW$56,MATCH(BA$75,$A$5:$A$56,0),100),$B67:$CW67,"="&amp;"x",$B$3:$CW$3,"="&amp;"N"),0)</f>
        <v>0</v>
      </c>
      <c r="BC84">
        <f t="shared" ca="1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ca="1">IFERROR(SUMIFS(INDEX($B$5:$CW$56,MATCH(B$75,$A$5:$A$56,0),1):INDEX($B$5:$CW$56,MATCH(B$75,$A$5:$A$56,0),100),$B68:$CW68,"="&amp;"x",$B$3:$CW$3,"="&amp;"N"),0)</f>
        <v>0</v>
      </c>
      <c r="C85">
        <f ca="1">IFERROR(SUMIFS(INDEX($B$5:$CW$56,MATCH(C$75,$A$5:$A$56,0),1):INDEX($B$5:$CW$56,MATCH(C$75,$A$5:$A$56,0),100),$B68:$CW68,"="&amp;"x",$B$3:$CW$3,"="&amp;"N"),0)</f>
        <v>0</v>
      </c>
      <c r="D85">
        <f ca="1">IFERROR(SUMIFS(INDEX($B$5:$CW$56,MATCH(D$75,$A$5:$A$56,0),1):INDEX($B$5:$CW$56,MATCH(D$75,$A$5:$A$56,0),100),$B68:$CW68,"="&amp;"x",$B$3:$CW$3,"="&amp;"N"),0)</f>
        <v>0</v>
      </c>
      <c r="E85">
        <f ca="1">IFERROR(SUMIFS(INDEX($B$5:$CW$56,MATCH(E$75,$A$5:$A$56,0),1):INDEX($B$5:$CW$56,MATCH(E$75,$A$5:$A$56,0),100),$B68:$CW68,"="&amp;"x",$B$3:$CW$3,"="&amp;"N"),0)</f>
        <v>0</v>
      </c>
      <c r="F85">
        <f ca="1">IFERROR(SUMIFS(INDEX($B$5:$CW$56,MATCH(F$75,$A$5:$A$56,0),1):INDEX($B$5:$CW$56,MATCH(F$75,$A$5:$A$56,0),100),$B68:$CW68,"="&amp;"x",$B$3:$CW$3,"="&amp;"N"),0)</f>
        <v>0</v>
      </c>
      <c r="G85">
        <f ca="1">IFERROR(SUMIFS(INDEX($B$5:$CW$56,MATCH(G$75,$A$5:$A$56,0),1):INDEX($B$5:$CW$56,MATCH(G$75,$A$5:$A$56,0),100),$B68:$CW68,"="&amp;"x",$B$3:$CW$3,"="&amp;"N"),0)</f>
        <v>0</v>
      </c>
      <c r="H85">
        <f ca="1">IFERROR(SUMIFS(INDEX($B$5:$CW$56,MATCH(H$75,$A$5:$A$56,0),1):INDEX($B$5:$CW$56,MATCH(H$75,$A$5:$A$56,0),100),$B68:$CW68,"="&amp;"x",$B$3:$CW$3,"="&amp;"N"),0)</f>
        <v>0</v>
      </c>
      <c r="I85">
        <f ca="1">IFERROR(SUMIFS(INDEX($B$5:$CW$56,MATCH(I$75,$A$5:$A$56,0),1):INDEX($B$5:$CW$56,MATCH(I$75,$A$5:$A$56,0),100),$B68:$CW68,"="&amp;"x",$B$3:$CW$3,"="&amp;"N"),0)</f>
        <v>0</v>
      </c>
      <c r="J85">
        <f ca="1">IFERROR(SUMIFS(INDEX($B$5:$CW$56,MATCH(J$75,$A$5:$A$56,0),1):INDEX($B$5:$CW$56,MATCH(J$75,$A$5:$A$56,0),100),$B68:$CW68,"="&amp;"x",$B$3:$CW$3,"="&amp;"N"),0)</f>
        <v>0</v>
      </c>
      <c r="K85">
        <f ca="1">IFERROR(SUMIFS(INDEX($B$5:$CW$56,MATCH(K$75,$A$5:$A$56,0),1):INDEX($B$5:$CW$56,MATCH(K$75,$A$5:$A$56,0),100),$B68:$CW68,"="&amp;"x",$B$3:$CW$3,"="&amp;"N"),0)</f>
        <v>0</v>
      </c>
      <c r="L85">
        <f ca="1">IFERROR(SUMIFS(INDEX($B$5:$CW$56,MATCH(L$75,$A$5:$A$56,0),1):INDEX($B$5:$CW$56,MATCH(L$75,$A$5:$A$56,0),100),$B68:$CW68,"="&amp;"x",$B$3:$CW$3,"="&amp;"N"),0)</f>
        <v>0</v>
      </c>
      <c r="M85">
        <f ca="1">IFERROR(SUMIFS(INDEX($B$5:$CW$56,MATCH(M$75,$A$5:$A$56,0),1):INDEX($B$5:$CW$56,MATCH(M$75,$A$5:$A$56,0),100),$B68:$CW68,"="&amp;"x",$B$3:$CW$3,"="&amp;"N"),0)</f>
        <v>0</v>
      </c>
      <c r="N85">
        <f ca="1">IFERROR(SUMIFS(INDEX($B$5:$CW$56,MATCH(N$75,$A$5:$A$56,0),1):INDEX($B$5:$CW$56,MATCH(N$75,$A$5:$A$56,0),100),$B68:$CW68,"="&amp;"x",$B$3:$CW$3,"="&amp;"N"),0)</f>
        <v>0</v>
      </c>
      <c r="O85">
        <f ca="1">IFERROR(SUMIFS(INDEX($B$5:$CW$56,MATCH(O$75,$A$5:$A$56,0),1):INDEX($B$5:$CW$56,MATCH(O$75,$A$5:$A$56,0),100),$B68:$CW68,"="&amp;"x",$B$3:$CW$3,"="&amp;"N"),0)</f>
        <v>0</v>
      </c>
      <c r="P85">
        <f ca="1">IFERROR(SUMIFS(INDEX($B$5:$CW$56,MATCH(P$75,$A$5:$A$56,0),1):INDEX($B$5:$CW$56,MATCH(P$75,$A$5:$A$56,0),100),$B68:$CW68,"="&amp;"x",$B$3:$CW$3,"="&amp;"N"),0)</f>
        <v>0</v>
      </c>
      <c r="Q85">
        <f ca="1">IFERROR(SUMIFS(INDEX($B$5:$CW$56,MATCH(Q$75,$A$5:$A$56,0),1):INDEX($B$5:$CW$56,MATCH(Q$75,$A$5:$A$56,0),100),$B68:$CW68,"="&amp;"x",$B$3:$CW$3,"="&amp;"N"),0)</f>
        <v>0</v>
      </c>
      <c r="R85">
        <f ca="1">IFERROR(SUMIFS(INDEX($B$5:$CW$56,MATCH(R$75,$A$5:$A$56,0),1):INDEX($B$5:$CW$56,MATCH(R$75,$A$5:$A$56,0),100),$B68:$CW68,"="&amp;"x",$B$3:$CW$3,"="&amp;"N"),0)</f>
        <v>0</v>
      </c>
      <c r="S85">
        <f ca="1">IFERROR(SUMIFS(INDEX($B$5:$CW$56,MATCH(S$75,$A$5:$A$56,0),1):INDEX($B$5:$CW$56,MATCH(S$75,$A$5:$A$56,0),100),$B68:$CW68,"="&amp;"x",$B$3:$CW$3,"="&amp;"N"),0)</f>
        <v>0</v>
      </c>
      <c r="T85">
        <f ca="1">IFERROR(SUMIFS(INDEX($B$5:$CW$56,MATCH(T$75,$A$5:$A$56,0),1):INDEX($B$5:$CW$56,MATCH(T$75,$A$5:$A$56,0),100),$B68:$CW68,"="&amp;"x",$B$3:$CW$3,"="&amp;"N"),0)</f>
        <v>0</v>
      </c>
      <c r="U85">
        <f ca="1">IFERROR(SUMIFS(INDEX($B$5:$CW$56,MATCH(U$75,$A$5:$A$56,0),1):INDEX($B$5:$CW$56,MATCH(U$75,$A$5:$A$56,0),100),$B68:$CW68,"="&amp;"x",$B$3:$CW$3,"="&amp;"N"),0)</f>
        <v>0</v>
      </c>
      <c r="V85">
        <f ca="1">IFERROR(SUMIFS(INDEX($B$5:$CW$56,MATCH(V$75,$A$5:$A$56,0),1):INDEX($B$5:$CW$56,MATCH(V$75,$A$5:$A$56,0),100),$B68:$CW68,"="&amp;"x",$B$3:$CW$3,"="&amp;"N"),0)</f>
        <v>0</v>
      </c>
      <c r="W85">
        <f ca="1">IFERROR(SUMIFS(INDEX($B$5:$CW$56,MATCH(W$75,$A$5:$A$56,0),1):INDEX($B$5:$CW$56,MATCH(W$75,$A$5:$A$56,0),100),$B68:$CW68,"="&amp;"x",$B$3:$CW$3,"="&amp;"N"),0)</f>
        <v>0</v>
      </c>
      <c r="X85">
        <f ca="1">IFERROR(SUMIFS(INDEX($B$5:$CW$56,MATCH(X$75,$A$5:$A$56,0),1):INDEX($B$5:$CW$56,MATCH(X$75,$A$5:$A$56,0),100),$B68:$CW68,"="&amp;"x",$B$3:$CW$3,"="&amp;"N"),0)</f>
        <v>0</v>
      </c>
      <c r="Y85">
        <f ca="1">IFERROR(SUMIFS(INDEX($B$5:$CW$56,MATCH(Y$75,$A$5:$A$56,0),1):INDEX($B$5:$CW$56,MATCH(Y$75,$A$5:$A$56,0),100),$B68:$CW68,"="&amp;"x",$B$3:$CW$3,"="&amp;"N"),0)</f>
        <v>0</v>
      </c>
      <c r="Z85">
        <f ca="1">IFERROR(SUMIFS(INDEX($B$5:$CW$56,MATCH(Z$75,$A$5:$A$56,0),1):INDEX($B$5:$CW$56,MATCH(Z$75,$A$5:$A$56,0),100),$B68:$CW68,"="&amp;"x",$B$3:$CW$3,"="&amp;"N"),0)</f>
        <v>0</v>
      </c>
      <c r="AA85">
        <f ca="1">IFERROR(SUMIFS(INDEX($B$5:$CW$56,MATCH(AA$75,$A$5:$A$56,0),1):INDEX($B$5:$CW$56,MATCH(AA$75,$A$5:$A$56,0),100),$B68:$CW68,"="&amp;"x",$B$3:$CW$3,"="&amp;"N"),0)</f>
        <v>0</v>
      </c>
      <c r="AB85">
        <f ca="1">IFERROR(SUMIFS(INDEX($B$5:$CW$56,MATCH(AB$75,$A$5:$A$56,0),1):INDEX($B$5:$CW$56,MATCH(AB$75,$A$5:$A$56,0),100),$B68:$CW68,"="&amp;"x",$B$3:$CW$3,"="&amp;"N"),0)</f>
        <v>0</v>
      </c>
      <c r="AC85">
        <f ca="1">IFERROR(SUMIFS(INDEX($B$5:$CW$56,MATCH(AC$75,$A$5:$A$56,0),1):INDEX($B$5:$CW$56,MATCH(AC$75,$A$5:$A$56,0),100),$B68:$CW68,"="&amp;"x",$B$3:$CW$3,"="&amp;"N"),0)</f>
        <v>0</v>
      </c>
      <c r="AD85">
        <f ca="1">IFERROR(SUMIFS(INDEX($B$5:$CW$56,MATCH(AD$75,$A$5:$A$56,0),1):INDEX($B$5:$CW$56,MATCH(AD$75,$A$5:$A$56,0),100),$B68:$CW68,"="&amp;"x",$B$3:$CW$3,"="&amp;"N"),0)</f>
        <v>0</v>
      </c>
      <c r="AE85">
        <f ca="1">IFERROR(SUMIFS(INDEX($B$5:$CW$56,MATCH(AE$75,$A$5:$A$56,0),1):INDEX($B$5:$CW$56,MATCH(AE$75,$A$5:$A$56,0),100),$B68:$CW68,"="&amp;"x",$B$3:$CW$3,"="&amp;"N"),0)</f>
        <v>0</v>
      </c>
      <c r="AF85">
        <f ca="1">IFERROR(SUMIFS(INDEX($B$5:$CW$56,MATCH(AF$75,$A$5:$A$56,0),1):INDEX($B$5:$CW$56,MATCH(AF$75,$A$5:$A$56,0),100),$B68:$CW68,"="&amp;"x",$B$3:$CW$3,"="&amp;"N"),0)</f>
        <v>0</v>
      </c>
      <c r="AG85">
        <f ca="1">IFERROR(SUMIFS(INDEX($B$5:$CW$56,MATCH(AG$75,$A$5:$A$56,0),1):INDEX($B$5:$CW$56,MATCH(AG$75,$A$5:$A$56,0),100),$B68:$CW68,"="&amp;"x",$B$3:$CW$3,"="&amp;"N"),0)</f>
        <v>0</v>
      </c>
      <c r="AH85">
        <f ca="1">IFERROR(SUMIFS(INDEX($B$5:$CW$56,MATCH(AH$75,$A$5:$A$56,0),1):INDEX($B$5:$CW$56,MATCH(AH$75,$A$5:$A$56,0),100),$B68:$CW68,"="&amp;"x",$B$3:$CW$3,"="&amp;"N"),0)</f>
        <v>0</v>
      </c>
      <c r="AI85">
        <f ca="1">IFERROR(SUMIFS(INDEX($B$5:$CW$56,MATCH(AI$75,$A$5:$A$56,0),1):INDEX($B$5:$CW$56,MATCH(AI$75,$A$5:$A$56,0),100),$B68:$CW68,"="&amp;"x",$B$3:$CW$3,"="&amp;"N"),0)</f>
        <v>0</v>
      </c>
      <c r="AJ85">
        <f ca="1">IFERROR(SUMIFS(INDEX($B$5:$CW$56,MATCH(AJ$75,$A$5:$A$56,0),1):INDEX($B$5:$CW$56,MATCH(AJ$75,$A$5:$A$56,0),100),$B68:$CW68,"="&amp;"x",$B$3:$CW$3,"="&amp;"N"),0)</f>
        <v>0</v>
      </c>
      <c r="AK85">
        <f ca="1">IFERROR(SUMIFS(INDEX($B$5:$CW$56,MATCH(AK$75,$A$5:$A$56,0),1):INDEX($B$5:$CW$56,MATCH(AK$75,$A$5:$A$56,0),100),$B68:$CW68,"="&amp;"x",$B$3:$CW$3,"="&amp;"N"),0)</f>
        <v>0</v>
      </c>
      <c r="AL85">
        <f ca="1">IFERROR(SUMIFS(INDEX($B$5:$CW$56,MATCH(AL$75,$A$5:$A$56,0),1):INDEX($B$5:$CW$56,MATCH(AL$75,$A$5:$A$56,0),100),$B68:$CW68,"="&amp;"x",$B$3:$CW$3,"="&amp;"N"),0)</f>
        <v>0</v>
      </c>
      <c r="AM85">
        <f ca="1">IFERROR(SUMIFS(INDEX($B$5:$CW$56,MATCH(AM$75,$A$5:$A$56,0),1):INDEX($B$5:$CW$56,MATCH(AM$75,$A$5:$A$56,0),100),$B68:$CW68,"="&amp;"x",$B$3:$CW$3,"="&amp;"N"),0)</f>
        <v>0</v>
      </c>
      <c r="AN85">
        <f ca="1">IFERROR(SUMIFS(INDEX($B$5:$CW$56,MATCH(AN$75,$A$5:$A$56,0),1):INDEX($B$5:$CW$56,MATCH(AN$75,$A$5:$A$56,0),100),$B68:$CW68,"="&amp;"x",$B$3:$CW$3,"="&amp;"N"),0)</f>
        <v>0</v>
      </c>
      <c r="AO85">
        <f ca="1">IFERROR(SUMIFS(INDEX($B$5:$CW$56,MATCH(AO$75,$A$5:$A$56,0),1):INDEX($B$5:$CW$56,MATCH(AO$75,$A$5:$A$56,0),100),$B68:$CW68,"="&amp;"x",$B$3:$CW$3,"="&amp;"N"),0)</f>
        <v>0</v>
      </c>
      <c r="AP85">
        <f ca="1">IFERROR(SUMIFS(INDEX($B$5:$CW$56,MATCH(AP$75,$A$5:$A$56,0),1):INDEX($B$5:$CW$56,MATCH(AP$75,$A$5:$A$56,0),100),$B68:$CW68,"="&amp;"x",$B$3:$CW$3,"="&amp;"N"),0)</f>
        <v>0</v>
      </c>
      <c r="AQ85">
        <f ca="1">IFERROR(SUMIFS(INDEX($B$5:$CW$56,MATCH(AQ$75,$A$5:$A$56,0),1):INDEX($B$5:$CW$56,MATCH(AQ$75,$A$5:$A$56,0),100),$B68:$CW68,"="&amp;"x",$B$3:$CW$3,"="&amp;"N"),0)</f>
        <v>0</v>
      </c>
      <c r="AR85">
        <f ca="1">IFERROR(SUMIFS(INDEX($B$5:$CW$56,MATCH(AR$75,$A$5:$A$56,0),1):INDEX($B$5:$CW$56,MATCH(AR$75,$A$5:$A$56,0),100),$B68:$CW68,"="&amp;"x",$B$3:$CW$3,"="&amp;"N"),0)</f>
        <v>0</v>
      </c>
      <c r="AS85">
        <f ca="1">IFERROR(SUMIFS(INDEX($B$5:$CW$56,MATCH(AS$75,$A$5:$A$56,0),1):INDEX($B$5:$CW$56,MATCH(AS$75,$A$5:$A$56,0),100),$B68:$CW68,"="&amp;"x",$B$3:$CW$3,"="&amp;"N"),0)</f>
        <v>0</v>
      </c>
      <c r="AT85">
        <f ca="1">IFERROR(SUMIFS(INDEX($B$5:$CW$56,MATCH(AT$75,$A$5:$A$56,0),1):INDEX($B$5:$CW$56,MATCH(AT$75,$A$5:$A$56,0),100),$B68:$CW68,"="&amp;"x",$B$3:$CW$3,"="&amp;"N"),0)</f>
        <v>0</v>
      </c>
      <c r="AU85">
        <f ca="1">IFERROR(SUMIFS(INDEX($B$5:$CW$56,MATCH(AU$75,$A$5:$A$56,0),1):INDEX($B$5:$CW$56,MATCH(AU$75,$A$5:$A$56,0),100),$B68:$CW68,"="&amp;"x",$B$3:$CW$3,"="&amp;"N"),0)</f>
        <v>0</v>
      </c>
      <c r="AV85">
        <f ca="1">IFERROR(SUMIFS(INDEX($B$5:$CW$56,MATCH(AV$75,$A$5:$A$56,0),1):INDEX($B$5:$CW$56,MATCH(AV$75,$A$5:$A$56,0),100),$B68:$CW68,"="&amp;"x",$B$3:$CW$3,"="&amp;"N"),0)</f>
        <v>0</v>
      </c>
      <c r="AW85">
        <f ca="1">IFERROR(SUMIFS(INDEX($B$5:$CW$56,MATCH(AW$75,$A$5:$A$56,0),1):INDEX($B$5:$CW$56,MATCH(AW$75,$A$5:$A$56,0),100),$B68:$CW68,"="&amp;"x",$B$3:$CW$3,"="&amp;"N"),0)</f>
        <v>0</v>
      </c>
      <c r="AX85">
        <f ca="1">IFERROR(SUMIFS(INDEX($B$5:$CW$56,MATCH(AX$75,$A$5:$A$56,0),1):INDEX($B$5:$CW$56,MATCH(AX$75,$A$5:$A$56,0),100),$B68:$CW68,"="&amp;"x",$B$3:$CW$3,"="&amp;"N"),0)</f>
        <v>0</v>
      </c>
      <c r="AY85">
        <f ca="1">IFERROR(SUMIFS(INDEX($B$5:$CW$56,MATCH(AY$75,$A$5:$A$56,0),1):INDEX($B$5:$CW$56,MATCH(AY$75,$A$5:$A$56,0),100),$B68:$CW68,"="&amp;"x",$B$3:$CW$3,"="&amp;"N"),0)</f>
        <v>0</v>
      </c>
      <c r="AZ85">
        <f ca="1">IFERROR(SUMIFS(INDEX($B$5:$CW$56,MATCH(AZ$75,$A$5:$A$56,0),1):INDEX($B$5:$CW$56,MATCH(AZ$75,$A$5:$A$56,0),100),$B68:$CW68,"="&amp;"x",$B$3:$CW$3,"="&amp;"N"),0)</f>
        <v>0</v>
      </c>
      <c r="BA85">
        <f ca="1">IFERROR(SUMIFS(INDEX($B$5:$CW$56,MATCH(BA$75,$A$5:$A$56,0),1):INDEX($B$5:$CW$56,MATCH(BA$75,$A$5:$A$56,0),100),$B68:$CW68,"="&amp;"x",$B$3:$CW$3,"="&amp;"N"),0)</f>
        <v>0</v>
      </c>
      <c r="BC85">
        <f t="shared" ca="1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ca="1">IFERROR(SUMIFS(INDEX($B$5:$CW$56,MATCH(B$75,$A$5:$A$56,0),1):INDEX($B$5:$CW$56,MATCH(B$75,$A$5:$A$56,0),100),$B69:$CW69,"="&amp;"x",$B$3:$CW$3,"="&amp;"N"),0)</f>
        <v>0</v>
      </c>
      <c r="C86">
        <f ca="1">IFERROR(SUMIFS(INDEX($B$5:$CW$56,MATCH(C$75,$A$5:$A$56,0),1):INDEX($B$5:$CW$56,MATCH(C$75,$A$5:$A$56,0),100),$B69:$CW69,"="&amp;"x",$B$3:$CW$3,"="&amp;"N"),0)</f>
        <v>0</v>
      </c>
      <c r="D86">
        <f ca="1">IFERROR(SUMIFS(INDEX($B$5:$CW$56,MATCH(D$75,$A$5:$A$56,0),1):INDEX($B$5:$CW$56,MATCH(D$75,$A$5:$A$56,0),100),$B69:$CW69,"="&amp;"x",$B$3:$CW$3,"="&amp;"N"),0)</f>
        <v>0</v>
      </c>
      <c r="E86">
        <f ca="1">IFERROR(SUMIFS(INDEX($B$5:$CW$56,MATCH(E$75,$A$5:$A$56,0),1):INDEX($B$5:$CW$56,MATCH(E$75,$A$5:$A$56,0),100),$B69:$CW69,"="&amp;"x",$B$3:$CW$3,"="&amp;"N"),0)</f>
        <v>0</v>
      </c>
      <c r="F86">
        <f ca="1">IFERROR(SUMIFS(INDEX($B$5:$CW$56,MATCH(F$75,$A$5:$A$56,0),1):INDEX($B$5:$CW$56,MATCH(F$75,$A$5:$A$56,0),100),$B69:$CW69,"="&amp;"x",$B$3:$CW$3,"="&amp;"N"),0)</f>
        <v>0</v>
      </c>
      <c r="G86">
        <f ca="1">IFERROR(SUMIFS(INDEX($B$5:$CW$56,MATCH(G$75,$A$5:$A$56,0),1):INDEX($B$5:$CW$56,MATCH(G$75,$A$5:$A$56,0),100),$B69:$CW69,"="&amp;"x",$B$3:$CW$3,"="&amp;"N"),0)</f>
        <v>0</v>
      </c>
      <c r="H86">
        <f ca="1">IFERROR(SUMIFS(INDEX($B$5:$CW$56,MATCH(H$75,$A$5:$A$56,0),1):INDEX($B$5:$CW$56,MATCH(H$75,$A$5:$A$56,0),100),$B69:$CW69,"="&amp;"x",$B$3:$CW$3,"="&amp;"N"),0)</f>
        <v>0</v>
      </c>
      <c r="I86">
        <f ca="1">IFERROR(SUMIFS(INDEX($B$5:$CW$56,MATCH(I$75,$A$5:$A$56,0),1):INDEX($B$5:$CW$56,MATCH(I$75,$A$5:$A$56,0),100),$B69:$CW69,"="&amp;"x",$B$3:$CW$3,"="&amp;"N"),0)</f>
        <v>0</v>
      </c>
      <c r="J86">
        <f ca="1">IFERROR(SUMIFS(INDEX($B$5:$CW$56,MATCH(J$75,$A$5:$A$56,0),1):INDEX($B$5:$CW$56,MATCH(J$75,$A$5:$A$56,0),100),$B69:$CW69,"="&amp;"x",$B$3:$CW$3,"="&amp;"N"),0)</f>
        <v>0</v>
      </c>
      <c r="K86">
        <f ca="1">IFERROR(SUMIFS(INDEX($B$5:$CW$56,MATCH(K$75,$A$5:$A$56,0),1):INDEX($B$5:$CW$56,MATCH(K$75,$A$5:$A$56,0),100),$B69:$CW69,"="&amp;"x",$B$3:$CW$3,"="&amp;"N"),0)</f>
        <v>0</v>
      </c>
      <c r="L86">
        <f ca="1">IFERROR(SUMIFS(INDEX($B$5:$CW$56,MATCH(L$75,$A$5:$A$56,0),1):INDEX($B$5:$CW$56,MATCH(L$75,$A$5:$A$56,0),100),$B69:$CW69,"="&amp;"x",$B$3:$CW$3,"="&amp;"N"),0)</f>
        <v>0</v>
      </c>
      <c r="M86">
        <f ca="1">IFERROR(SUMIFS(INDEX($B$5:$CW$56,MATCH(M$75,$A$5:$A$56,0),1):INDEX($B$5:$CW$56,MATCH(M$75,$A$5:$A$56,0),100),$B69:$CW69,"="&amp;"x",$B$3:$CW$3,"="&amp;"N"),0)</f>
        <v>0</v>
      </c>
      <c r="N86">
        <f ca="1">IFERROR(SUMIFS(INDEX($B$5:$CW$56,MATCH(N$75,$A$5:$A$56,0),1):INDEX($B$5:$CW$56,MATCH(N$75,$A$5:$A$56,0),100),$B69:$CW69,"="&amp;"x",$B$3:$CW$3,"="&amp;"N"),0)</f>
        <v>0</v>
      </c>
      <c r="O86">
        <f ca="1">IFERROR(SUMIFS(INDEX($B$5:$CW$56,MATCH(O$75,$A$5:$A$56,0),1):INDEX($B$5:$CW$56,MATCH(O$75,$A$5:$A$56,0),100),$B69:$CW69,"="&amp;"x",$B$3:$CW$3,"="&amp;"N"),0)</f>
        <v>0</v>
      </c>
      <c r="P86">
        <f ca="1">IFERROR(SUMIFS(INDEX($B$5:$CW$56,MATCH(P$75,$A$5:$A$56,0),1):INDEX($B$5:$CW$56,MATCH(P$75,$A$5:$A$56,0),100),$B69:$CW69,"="&amp;"x",$B$3:$CW$3,"="&amp;"N"),0)</f>
        <v>0</v>
      </c>
      <c r="Q86">
        <f ca="1">IFERROR(SUMIFS(INDEX($B$5:$CW$56,MATCH(Q$75,$A$5:$A$56,0),1):INDEX($B$5:$CW$56,MATCH(Q$75,$A$5:$A$56,0),100),$B69:$CW69,"="&amp;"x",$B$3:$CW$3,"="&amp;"N"),0)</f>
        <v>0</v>
      </c>
      <c r="R86">
        <f ca="1">IFERROR(SUMIFS(INDEX($B$5:$CW$56,MATCH(R$75,$A$5:$A$56,0),1):INDEX($B$5:$CW$56,MATCH(R$75,$A$5:$A$56,0),100),$B69:$CW69,"="&amp;"x",$B$3:$CW$3,"="&amp;"N"),0)</f>
        <v>0</v>
      </c>
      <c r="S86">
        <f ca="1">IFERROR(SUMIFS(INDEX($B$5:$CW$56,MATCH(S$75,$A$5:$A$56,0),1):INDEX($B$5:$CW$56,MATCH(S$75,$A$5:$A$56,0),100),$B69:$CW69,"="&amp;"x",$B$3:$CW$3,"="&amp;"N"),0)</f>
        <v>0</v>
      </c>
      <c r="T86">
        <f ca="1">IFERROR(SUMIFS(INDEX($B$5:$CW$56,MATCH(T$75,$A$5:$A$56,0),1):INDEX($B$5:$CW$56,MATCH(T$75,$A$5:$A$56,0),100),$B69:$CW69,"="&amp;"x",$B$3:$CW$3,"="&amp;"N"),0)</f>
        <v>0</v>
      </c>
      <c r="U86">
        <f ca="1">IFERROR(SUMIFS(INDEX($B$5:$CW$56,MATCH(U$75,$A$5:$A$56,0),1):INDEX($B$5:$CW$56,MATCH(U$75,$A$5:$A$56,0),100),$B69:$CW69,"="&amp;"x",$B$3:$CW$3,"="&amp;"N"),0)</f>
        <v>0</v>
      </c>
      <c r="V86">
        <f ca="1">IFERROR(SUMIFS(INDEX($B$5:$CW$56,MATCH(V$75,$A$5:$A$56,0),1):INDEX($B$5:$CW$56,MATCH(V$75,$A$5:$A$56,0),100),$B69:$CW69,"="&amp;"x",$B$3:$CW$3,"="&amp;"N"),0)</f>
        <v>0</v>
      </c>
      <c r="W86">
        <f ca="1">IFERROR(SUMIFS(INDEX($B$5:$CW$56,MATCH(W$75,$A$5:$A$56,0),1):INDEX($B$5:$CW$56,MATCH(W$75,$A$5:$A$56,0),100),$B69:$CW69,"="&amp;"x",$B$3:$CW$3,"="&amp;"N"),0)</f>
        <v>0</v>
      </c>
      <c r="X86">
        <f ca="1">IFERROR(SUMIFS(INDEX($B$5:$CW$56,MATCH(X$75,$A$5:$A$56,0),1):INDEX($B$5:$CW$56,MATCH(X$75,$A$5:$A$56,0),100),$B69:$CW69,"="&amp;"x",$B$3:$CW$3,"="&amp;"N"),0)</f>
        <v>0</v>
      </c>
      <c r="Y86">
        <f ca="1">IFERROR(SUMIFS(INDEX($B$5:$CW$56,MATCH(Y$75,$A$5:$A$56,0),1):INDEX($B$5:$CW$56,MATCH(Y$75,$A$5:$A$56,0),100),$B69:$CW69,"="&amp;"x",$B$3:$CW$3,"="&amp;"N"),0)</f>
        <v>0</v>
      </c>
      <c r="Z86">
        <f ca="1">IFERROR(SUMIFS(INDEX($B$5:$CW$56,MATCH(Z$75,$A$5:$A$56,0),1):INDEX($B$5:$CW$56,MATCH(Z$75,$A$5:$A$56,0),100),$B69:$CW69,"="&amp;"x",$B$3:$CW$3,"="&amp;"N"),0)</f>
        <v>0</v>
      </c>
      <c r="AA86">
        <f ca="1">IFERROR(SUMIFS(INDEX($B$5:$CW$56,MATCH(AA$75,$A$5:$A$56,0),1):INDEX($B$5:$CW$56,MATCH(AA$75,$A$5:$A$56,0),100),$B69:$CW69,"="&amp;"x",$B$3:$CW$3,"="&amp;"N"),0)</f>
        <v>0</v>
      </c>
      <c r="AB86">
        <f ca="1">IFERROR(SUMIFS(INDEX($B$5:$CW$56,MATCH(AB$75,$A$5:$A$56,0),1):INDEX($B$5:$CW$56,MATCH(AB$75,$A$5:$A$56,0),100),$B69:$CW69,"="&amp;"x",$B$3:$CW$3,"="&amp;"N"),0)</f>
        <v>0</v>
      </c>
      <c r="AC86">
        <f ca="1">IFERROR(SUMIFS(INDEX($B$5:$CW$56,MATCH(AC$75,$A$5:$A$56,0),1):INDEX($B$5:$CW$56,MATCH(AC$75,$A$5:$A$56,0),100),$B69:$CW69,"="&amp;"x",$B$3:$CW$3,"="&amp;"N"),0)</f>
        <v>0</v>
      </c>
      <c r="AD86">
        <f ca="1">IFERROR(SUMIFS(INDEX($B$5:$CW$56,MATCH(AD$75,$A$5:$A$56,0),1):INDEX($B$5:$CW$56,MATCH(AD$75,$A$5:$A$56,0),100),$B69:$CW69,"="&amp;"x",$B$3:$CW$3,"="&amp;"N"),0)</f>
        <v>0</v>
      </c>
      <c r="AE86">
        <f ca="1">IFERROR(SUMIFS(INDEX($B$5:$CW$56,MATCH(AE$75,$A$5:$A$56,0),1):INDEX($B$5:$CW$56,MATCH(AE$75,$A$5:$A$56,0),100),$B69:$CW69,"="&amp;"x",$B$3:$CW$3,"="&amp;"N"),0)</f>
        <v>0</v>
      </c>
      <c r="AF86">
        <f ca="1">IFERROR(SUMIFS(INDEX($B$5:$CW$56,MATCH(AF$75,$A$5:$A$56,0),1):INDEX($B$5:$CW$56,MATCH(AF$75,$A$5:$A$56,0),100),$B69:$CW69,"="&amp;"x",$B$3:$CW$3,"="&amp;"N"),0)</f>
        <v>0</v>
      </c>
      <c r="AG86">
        <f ca="1">IFERROR(SUMIFS(INDEX($B$5:$CW$56,MATCH(AG$75,$A$5:$A$56,0),1):INDEX($B$5:$CW$56,MATCH(AG$75,$A$5:$A$56,0),100),$B69:$CW69,"="&amp;"x",$B$3:$CW$3,"="&amp;"N"),0)</f>
        <v>0</v>
      </c>
      <c r="AH86">
        <f ca="1">IFERROR(SUMIFS(INDEX($B$5:$CW$56,MATCH(AH$75,$A$5:$A$56,0),1):INDEX($B$5:$CW$56,MATCH(AH$75,$A$5:$A$56,0),100),$B69:$CW69,"="&amp;"x",$B$3:$CW$3,"="&amp;"N"),0)</f>
        <v>0</v>
      </c>
      <c r="AI86">
        <f ca="1">IFERROR(SUMIFS(INDEX($B$5:$CW$56,MATCH(AI$75,$A$5:$A$56,0),1):INDEX($B$5:$CW$56,MATCH(AI$75,$A$5:$A$56,0),100),$B69:$CW69,"="&amp;"x",$B$3:$CW$3,"="&amp;"N"),0)</f>
        <v>0</v>
      </c>
      <c r="AJ86">
        <f ca="1">IFERROR(SUMIFS(INDEX($B$5:$CW$56,MATCH(AJ$75,$A$5:$A$56,0),1):INDEX($B$5:$CW$56,MATCH(AJ$75,$A$5:$A$56,0),100),$B69:$CW69,"="&amp;"x",$B$3:$CW$3,"="&amp;"N"),0)</f>
        <v>0</v>
      </c>
      <c r="AK86">
        <f ca="1">IFERROR(SUMIFS(INDEX($B$5:$CW$56,MATCH(AK$75,$A$5:$A$56,0),1):INDEX($B$5:$CW$56,MATCH(AK$75,$A$5:$A$56,0),100),$B69:$CW69,"="&amp;"x",$B$3:$CW$3,"="&amp;"N"),0)</f>
        <v>0</v>
      </c>
      <c r="AL86">
        <f ca="1">IFERROR(SUMIFS(INDEX($B$5:$CW$56,MATCH(AL$75,$A$5:$A$56,0),1):INDEX($B$5:$CW$56,MATCH(AL$75,$A$5:$A$56,0),100),$B69:$CW69,"="&amp;"x",$B$3:$CW$3,"="&amp;"N"),0)</f>
        <v>0</v>
      </c>
      <c r="AM86">
        <f ca="1">IFERROR(SUMIFS(INDEX($B$5:$CW$56,MATCH(AM$75,$A$5:$A$56,0),1):INDEX($B$5:$CW$56,MATCH(AM$75,$A$5:$A$56,0),100),$B69:$CW69,"="&amp;"x",$B$3:$CW$3,"="&amp;"N"),0)</f>
        <v>0</v>
      </c>
      <c r="AN86">
        <f ca="1">IFERROR(SUMIFS(INDEX($B$5:$CW$56,MATCH(AN$75,$A$5:$A$56,0),1):INDEX($B$5:$CW$56,MATCH(AN$75,$A$5:$A$56,0),100),$B69:$CW69,"="&amp;"x",$B$3:$CW$3,"="&amp;"N"),0)</f>
        <v>0</v>
      </c>
      <c r="AO86">
        <f ca="1">IFERROR(SUMIFS(INDEX($B$5:$CW$56,MATCH(AO$75,$A$5:$A$56,0),1):INDEX($B$5:$CW$56,MATCH(AO$75,$A$5:$A$56,0),100),$B69:$CW69,"="&amp;"x",$B$3:$CW$3,"="&amp;"N"),0)</f>
        <v>0</v>
      </c>
      <c r="AP86">
        <f ca="1">IFERROR(SUMIFS(INDEX($B$5:$CW$56,MATCH(AP$75,$A$5:$A$56,0),1):INDEX($B$5:$CW$56,MATCH(AP$75,$A$5:$A$56,0),100),$B69:$CW69,"="&amp;"x",$B$3:$CW$3,"="&amp;"N"),0)</f>
        <v>0</v>
      </c>
      <c r="AQ86">
        <f ca="1">IFERROR(SUMIFS(INDEX($B$5:$CW$56,MATCH(AQ$75,$A$5:$A$56,0),1):INDEX($B$5:$CW$56,MATCH(AQ$75,$A$5:$A$56,0),100),$B69:$CW69,"="&amp;"x",$B$3:$CW$3,"="&amp;"N"),0)</f>
        <v>0</v>
      </c>
      <c r="AR86">
        <f ca="1">IFERROR(SUMIFS(INDEX($B$5:$CW$56,MATCH(AR$75,$A$5:$A$56,0),1):INDEX($B$5:$CW$56,MATCH(AR$75,$A$5:$A$56,0),100),$B69:$CW69,"="&amp;"x",$B$3:$CW$3,"="&amp;"N"),0)</f>
        <v>0</v>
      </c>
      <c r="AS86">
        <f ca="1">IFERROR(SUMIFS(INDEX($B$5:$CW$56,MATCH(AS$75,$A$5:$A$56,0),1):INDEX($B$5:$CW$56,MATCH(AS$75,$A$5:$A$56,0),100),$B69:$CW69,"="&amp;"x",$B$3:$CW$3,"="&amp;"N"),0)</f>
        <v>0</v>
      </c>
      <c r="AT86">
        <f ca="1">IFERROR(SUMIFS(INDEX($B$5:$CW$56,MATCH(AT$75,$A$5:$A$56,0),1):INDEX($B$5:$CW$56,MATCH(AT$75,$A$5:$A$56,0),100),$B69:$CW69,"="&amp;"x",$B$3:$CW$3,"="&amp;"N"),0)</f>
        <v>0</v>
      </c>
      <c r="AU86">
        <f ca="1">IFERROR(SUMIFS(INDEX($B$5:$CW$56,MATCH(AU$75,$A$5:$A$56,0),1):INDEX($B$5:$CW$56,MATCH(AU$75,$A$5:$A$56,0),100),$B69:$CW69,"="&amp;"x",$B$3:$CW$3,"="&amp;"N"),0)</f>
        <v>0</v>
      </c>
      <c r="AV86">
        <f ca="1">IFERROR(SUMIFS(INDEX($B$5:$CW$56,MATCH(AV$75,$A$5:$A$56,0),1):INDEX($B$5:$CW$56,MATCH(AV$75,$A$5:$A$56,0),100),$B69:$CW69,"="&amp;"x",$B$3:$CW$3,"="&amp;"N"),0)</f>
        <v>0</v>
      </c>
      <c r="AW86">
        <f ca="1">IFERROR(SUMIFS(INDEX($B$5:$CW$56,MATCH(AW$75,$A$5:$A$56,0),1):INDEX($B$5:$CW$56,MATCH(AW$75,$A$5:$A$56,0),100),$B69:$CW69,"="&amp;"x",$B$3:$CW$3,"="&amp;"N"),0)</f>
        <v>0</v>
      </c>
      <c r="AX86">
        <f ca="1">IFERROR(SUMIFS(INDEX($B$5:$CW$56,MATCH(AX$75,$A$5:$A$56,0),1):INDEX($B$5:$CW$56,MATCH(AX$75,$A$5:$A$56,0),100),$B69:$CW69,"="&amp;"x",$B$3:$CW$3,"="&amp;"N"),0)</f>
        <v>0</v>
      </c>
      <c r="AY86">
        <f ca="1">IFERROR(SUMIFS(INDEX($B$5:$CW$56,MATCH(AY$75,$A$5:$A$56,0),1):INDEX($B$5:$CW$56,MATCH(AY$75,$A$5:$A$56,0),100),$B69:$CW69,"="&amp;"x",$B$3:$CW$3,"="&amp;"N"),0)</f>
        <v>0</v>
      </c>
      <c r="AZ86">
        <f ca="1">IFERROR(SUMIFS(INDEX($B$5:$CW$56,MATCH(AZ$75,$A$5:$A$56,0),1):INDEX($B$5:$CW$56,MATCH(AZ$75,$A$5:$A$56,0),100),$B69:$CW69,"="&amp;"x",$B$3:$CW$3,"="&amp;"N"),0)</f>
        <v>0</v>
      </c>
      <c r="BA86">
        <f ca="1">IFERROR(SUMIFS(INDEX($B$5:$CW$56,MATCH(BA$75,$A$5:$A$56,0),1):INDEX($B$5:$CW$56,MATCH(BA$75,$A$5:$A$56,0),100),$B69:$CW69,"="&amp;"x",$B$3:$CW$3,"="&amp;"N"),0)</f>
        <v>0</v>
      </c>
      <c r="BC86">
        <f t="shared" ca="1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ca="1">IFERROR(SUMIFS(INDEX($B$5:$CW$56,MATCH(B$75,$A$5:$A$56,0),1):INDEX($B$5:$CW$56,MATCH(B$75,$A$5:$A$56,0),100),$B70:$CW70,"="&amp;"x",$B$3:$CW$3,"="&amp;"N"),0)</f>
        <v>0</v>
      </c>
      <c r="C87">
        <f ca="1">IFERROR(SUMIFS(INDEX($B$5:$CW$56,MATCH(C$75,$A$5:$A$56,0),1):INDEX($B$5:$CW$56,MATCH(C$75,$A$5:$A$56,0),100),$B70:$CW70,"="&amp;"x",$B$3:$CW$3,"="&amp;"N"),0)</f>
        <v>0</v>
      </c>
      <c r="D87">
        <f ca="1">IFERROR(SUMIFS(INDEX($B$5:$CW$56,MATCH(D$75,$A$5:$A$56,0),1):INDEX($B$5:$CW$56,MATCH(D$75,$A$5:$A$56,0),100),$B70:$CW70,"="&amp;"x",$B$3:$CW$3,"="&amp;"N"),0)</f>
        <v>0</v>
      </c>
      <c r="E87">
        <f ca="1">IFERROR(SUMIFS(INDEX($B$5:$CW$56,MATCH(E$75,$A$5:$A$56,0),1):INDEX($B$5:$CW$56,MATCH(E$75,$A$5:$A$56,0),100),$B70:$CW70,"="&amp;"x",$B$3:$CW$3,"="&amp;"N"),0)</f>
        <v>0</v>
      </c>
      <c r="F87">
        <f ca="1">IFERROR(SUMIFS(INDEX($B$5:$CW$56,MATCH(F$75,$A$5:$A$56,0),1):INDEX($B$5:$CW$56,MATCH(F$75,$A$5:$A$56,0),100),$B70:$CW70,"="&amp;"x",$B$3:$CW$3,"="&amp;"N"),0)</f>
        <v>0</v>
      </c>
      <c r="G87">
        <f ca="1">IFERROR(SUMIFS(INDEX($B$5:$CW$56,MATCH(G$75,$A$5:$A$56,0),1):INDEX($B$5:$CW$56,MATCH(G$75,$A$5:$A$56,0),100),$B70:$CW70,"="&amp;"x",$B$3:$CW$3,"="&amp;"N"),0)</f>
        <v>0</v>
      </c>
      <c r="H87">
        <f ca="1">IFERROR(SUMIFS(INDEX($B$5:$CW$56,MATCH(H$75,$A$5:$A$56,0),1):INDEX($B$5:$CW$56,MATCH(H$75,$A$5:$A$56,0),100),$B70:$CW70,"="&amp;"x",$B$3:$CW$3,"="&amp;"N"),0)</f>
        <v>0</v>
      </c>
      <c r="I87">
        <f ca="1">IFERROR(SUMIFS(INDEX($B$5:$CW$56,MATCH(I$75,$A$5:$A$56,0),1):INDEX($B$5:$CW$56,MATCH(I$75,$A$5:$A$56,0),100),$B70:$CW70,"="&amp;"x",$B$3:$CW$3,"="&amp;"N"),0)</f>
        <v>0</v>
      </c>
      <c r="J87">
        <f ca="1">IFERROR(SUMIFS(INDEX($B$5:$CW$56,MATCH(J$75,$A$5:$A$56,0),1):INDEX($B$5:$CW$56,MATCH(J$75,$A$5:$A$56,0),100),$B70:$CW70,"="&amp;"x",$B$3:$CW$3,"="&amp;"N"),0)</f>
        <v>0</v>
      </c>
      <c r="K87">
        <f ca="1">IFERROR(SUMIFS(INDEX($B$5:$CW$56,MATCH(K$75,$A$5:$A$56,0),1):INDEX($B$5:$CW$56,MATCH(K$75,$A$5:$A$56,0),100),$B70:$CW70,"="&amp;"x",$B$3:$CW$3,"="&amp;"N"),0)</f>
        <v>0</v>
      </c>
      <c r="L87">
        <f ca="1">IFERROR(SUMIFS(INDEX($B$5:$CW$56,MATCH(L$75,$A$5:$A$56,0),1):INDEX($B$5:$CW$56,MATCH(L$75,$A$5:$A$56,0),100),$B70:$CW70,"="&amp;"x",$B$3:$CW$3,"="&amp;"N"),0)</f>
        <v>0</v>
      </c>
      <c r="M87">
        <f ca="1">IFERROR(SUMIFS(INDEX($B$5:$CW$56,MATCH(M$75,$A$5:$A$56,0),1):INDEX($B$5:$CW$56,MATCH(M$75,$A$5:$A$56,0),100),$B70:$CW70,"="&amp;"x",$B$3:$CW$3,"="&amp;"N"),0)</f>
        <v>0</v>
      </c>
      <c r="N87">
        <f ca="1">IFERROR(SUMIFS(INDEX($B$5:$CW$56,MATCH(N$75,$A$5:$A$56,0),1):INDEX($B$5:$CW$56,MATCH(N$75,$A$5:$A$56,0),100),$B70:$CW70,"="&amp;"x",$B$3:$CW$3,"="&amp;"N"),0)</f>
        <v>0</v>
      </c>
      <c r="O87">
        <f ca="1">IFERROR(SUMIFS(INDEX($B$5:$CW$56,MATCH(O$75,$A$5:$A$56,0),1):INDEX($B$5:$CW$56,MATCH(O$75,$A$5:$A$56,0),100),$B70:$CW70,"="&amp;"x",$B$3:$CW$3,"="&amp;"N"),0)</f>
        <v>0</v>
      </c>
      <c r="P87">
        <f ca="1">IFERROR(SUMIFS(INDEX($B$5:$CW$56,MATCH(P$75,$A$5:$A$56,0),1):INDEX($B$5:$CW$56,MATCH(P$75,$A$5:$A$56,0),100),$B70:$CW70,"="&amp;"x",$B$3:$CW$3,"="&amp;"N"),0)</f>
        <v>0</v>
      </c>
      <c r="Q87">
        <f ca="1">IFERROR(SUMIFS(INDEX($B$5:$CW$56,MATCH(Q$75,$A$5:$A$56,0),1):INDEX($B$5:$CW$56,MATCH(Q$75,$A$5:$A$56,0),100),$B70:$CW70,"="&amp;"x",$B$3:$CW$3,"="&amp;"N"),0)</f>
        <v>0</v>
      </c>
      <c r="R87">
        <f ca="1">IFERROR(SUMIFS(INDEX($B$5:$CW$56,MATCH(R$75,$A$5:$A$56,0),1):INDEX($B$5:$CW$56,MATCH(R$75,$A$5:$A$56,0),100),$B70:$CW70,"="&amp;"x",$B$3:$CW$3,"="&amp;"N"),0)</f>
        <v>0</v>
      </c>
      <c r="S87">
        <f ca="1">IFERROR(SUMIFS(INDEX($B$5:$CW$56,MATCH(S$75,$A$5:$A$56,0),1):INDEX($B$5:$CW$56,MATCH(S$75,$A$5:$A$56,0),100),$B70:$CW70,"="&amp;"x",$B$3:$CW$3,"="&amp;"N"),0)</f>
        <v>0</v>
      </c>
      <c r="T87">
        <f ca="1">IFERROR(SUMIFS(INDEX($B$5:$CW$56,MATCH(T$75,$A$5:$A$56,0),1):INDEX($B$5:$CW$56,MATCH(T$75,$A$5:$A$56,0),100),$B70:$CW70,"="&amp;"x",$B$3:$CW$3,"="&amp;"N"),0)</f>
        <v>0</v>
      </c>
      <c r="U87">
        <f ca="1">IFERROR(SUMIFS(INDEX($B$5:$CW$56,MATCH(U$75,$A$5:$A$56,0),1):INDEX($B$5:$CW$56,MATCH(U$75,$A$5:$A$56,0),100),$B70:$CW70,"="&amp;"x",$B$3:$CW$3,"="&amp;"N"),0)</f>
        <v>0</v>
      </c>
      <c r="V87">
        <f ca="1">IFERROR(SUMIFS(INDEX($B$5:$CW$56,MATCH(V$75,$A$5:$A$56,0),1):INDEX($B$5:$CW$56,MATCH(V$75,$A$5:$A$56,0),100),$B70:$CW70,"="&amp;"x",$B$3:$CW$3,"="&amp;"N"),0)</f>
        <v>0</v>
      </c>
      <c r="W87">
        <f ca="1">IFERROR(SUMIFS(INDEX($B$5:$CW$56,MATCH(W$75,$A$5:$A$56,0),1):INDEX($B$5:$CW$56,MATCH(W$75,$A$5:$A$56,0),100),$B70:$CW70,"="&amp;"x",$B$3:$CW$3,"="&amp;"N"),0)</f>
        <v>0</v>
      </c>
      <c r="X87">
        <f ca="1">IFERROR(SUMIFS(INDEX($B$5:$CW$56,MATCH(X$75,$A$5:$A$56,0),1):INDEX($B$5:$CW$56,MATCH(X$75,$A$5:$A$56,0),100),$B70:$CW70,"="&amp;"x",$B$3:$CW$3,"="&amp;"N"),0)</f>
        <v>0</v>
      </c>
      <c r="Y87">
        <f ca="1">IFERROR(SUMIFS(INDEX($B$5:$CW$56,MATCH(Y$75,$A$5:$A$56,0),1):INDEX($B$5:$CW$56,MATCH(Y$75,$A$5:$A$56,0),100),$B70:$CW70,"="&amp;"x",$B$3:$CW$3,"="&amp;"N"),0)</f>
        <v>0</v>
      </c>
      <c r="Z87">
        <f ca="1">IFERROR(SUMIFS(INDEX($B$5:$CW$56,MATCH(Z$75,$A$5:$A$56,0),1):INDEX($B$5:$CW$56,MATCH(Z$75,$A$5:$A$56,0),100),$B70:$CW70,"="&amp;"x",$B$3:$CW$3,"="&amp;"N"),0)</f>
        <v>0</v>
      </c>
      <c r="AA87">
        <f ca="1">IFERROR(SUMIFS(INDEX($B$5:$CW$56,MATCH(AA$75,$A$5:$A$56,0),1):INDEX($B$5:$CW$56,MATCH(AA$75,$A$5:$A$56,0),100),$B70:$CW70,"="&amp;"x",$B$3:$CW$3,"="&amp;"N"),0)</f>
        <v>0</v>
      </c>
      <c r="AB87">
        <f ca="1">IFERROR(SUMIFS(INDEX($B$5:$CW$56,MATCH(AB$75,$A$5:$A$56,0),1):INDEX($B$5:$CW$56,MATCH(AB$75,$A$5:$A$56,0),100),$B70:$CW70,"="&amp;"x",$B$3:$CW$3,"="&amp;"N"),0)</f>
        <v>0</v>
      </c>
      <c r="AC87">
        <f ca="1">IFERROR(SUMIFS(INDEX($B$5:$CW$56,MATCH(AC$75,$A$5:$A$56,0),1):INDEX($B$5:$CW$56,MATCH(AC$75,$A$5:$A$56,0),100),$B70:$CW70,"="&amp;"x",$B$3:$CW$3,"="&amp;"N"),0)</f>
        <v>0</v>
      </c>
      <c r="AD87">
        <f ca="1">IFERROR(SUMIFS(INDEX($B$5:$CW$56,MATCH(AD$75,$A$5:$A$56,0),1):INDEX($B$5:$CW$56,MATCH(AD$75,$A$5:$A$56,0),100),$B70:$CW70,"="&amp;"x",$B$3:$CW$3,"="&amp;"N"),0)</f>
        <v>0</v>
      </c>
      <c r="AE87">
        <f ca="1">IFERROR(SUMIFS(INDEX($B$5:$CW$56,MATCH(AE$75,$A$5:$A$56,0),1):INDEX($B$5:$CW$56,MATCH(AE$75,$A$5:$A$56,0),100),$B70:$CW70,"="&amp;"x",$B$3:$CW$3,"="&amp;"N"),0)</f>
        <v>0</v>
      </c>
      <c r="AF87">
        <f ca="1">IFERROR(SUMIFS(INDEX($B$5:$CW$56,MATCH(AF$75,$A$5:$A$56,0),1):INDEX($B$5:$CW$56,MATCH(AF$75,$A$5:$A$56,0),100),$B70:$CW70,"="&amp;"x",$B$3:$CW$3,"="&amp;"N"),0)</f>
        <v>0</v>
      </c>
      <c r="AG87">
        <f ca="1">IFERROR(SUMIFS(INDEX($B$5:$CW$56,MATCH(AG$75,$A$5:$A$56,0),1):INDEX($B$5:$CW$56,MATCH(AG$75,$A$5:$A$56,0),100),$B70:$CW70,"="&amp;"x",$B$3:$CW$3,"="&amp;"N"),0)</f>
        <v>0</v>
      </c>
      <c r="AH87">
        <f ca="1">IFERROR(SUMIFS(INDEX($B$5:$CW$56,MATCH(AH$75,$A$5:$A$56,0),1):INDEX($B$5:$CW$56,MATCH(AH$75,$A$5:$A$56,0),100),$B70:$CW70,"="&amp;"x",$B$3:$CW$3,"="&amp;"N"),0)</f>
        <v>0</v>
      </c>
      <c r="AI87">
        <f ca="1">IFERROR(SUMIFS(INDEX($B$5:$CW$56,MATCH(AI$75,$A$5:$A$56,0),1):INDEX($B$5:$CW$56,MATCH(AI$75,$A$5:$A$56,0),100),$B70:$CW70,"="&amp;"x",$B$3:$CW$3,"="&amp;"N"),0)</f>
        <v>0</v>
      </c>
      <c r="AJ87">
        <f ca="1">IFERROR(SUMIFS(INDEX($B$5:$CW$56,MATCH(AJ$75,$A$5:$A$56,0),1):INDEX($B$5:$CW$56,MATCH(AJ$75,$A$5:$A$56,0),100),$B70:$CW70,"="&amp;"x",$B$3:$CW$3,"="&amp;"N"),0)</f>
        <v>0</v>
      </c>
      <c r="AK87">
        <f ca="1">IFERROR(SUMIFS(INDEX($B$5:$CW$56,MATCH(AK$75,$A$5:$A$56,0),1):INDEX($B$5:$CW$56,MATCH(AK$75,$A$5:$A$56,0),100),$B70:$CW70,"="&amp;"x",$B$3:$CW$3,"="&amp;"N"),0)</f>
        <v>0</v>
      </c>
      <c r="AL87">
        <f ca="1">IFERROR(SUMIFS(INDEX($B$5:$CW$56,MATCH(AL$75,$A$5:$A$56,0),1):INDEX($B$5:$CW$56,MATCH(AL$75,$A$5:$A$56,0),100),$B70:$CW70,"="&amp;"x",$B$3:$CW$3,"="&amp;"N"),0)</f>
        <v>0</v>
      </c>
      <c r="AM87">
        <f ca="1">IFERROR(SUMIFS(INDEX($B$5:$CW$56,MATCH(AM$75,$A$5:$A$56,0),1):INDEX($B$5:$CW$56,MATCH(AM$75,$A$5:$A$56,0),100),$B70:$CW70,"="&amp;"x",$B$3:$CW$3,"="&amp;"N"),0)</f>
        <v>0</v>
      </c>
      <c r="AN87">
        <f ca="1">IFERROR(SUMIFS(INDEX($B$5:$CW$56,MATCH(AN$75,$A$5:$A$56,0),1):INDEX($B$5:$CW$56,MATCH(AN$75,$A$5:$A$56,0),100),$B70:$CW70,"="&amp;"x",$B$3:$CW$3,"="&amp;"N"),0)</f>
        <v>0</v>
      </c>
      <c r="AO87">
        <f ca="1">IFERROR(SUMIFS(INDEX($B$5:$CW$56,MATCH(AO$75,$A$5:$A$56,0),1):INDEX($B$5:$CW$56,MATCH(AO$75,$A$5:$A$56,0),100),$B70:$CW70,"="&amp;"x",$B$3:$CW$3,"="&amp;"N"),0)</f>
        <v>0</v>
      </c>
      <c r="AP87">
        <f ca="1">IFERROR(SUMIFS(INDEX($B$5:$CW$56,MATCH(AP$75,$A$5:$A$56,0),1):INDEX($B$5:$CW$56,MATCH(AP$75,$A$5:$A$56,0),100),$B70:$CW70,"="&amp;"x",$B$3:$CW$3,"="&amp;"N"),0)</f>
        <v>0</v>
      </c>
      <c r="AQ87">
        <f ca="1">IFERROR(SUMIFS(INDEX($B$5:$CW$56,MATCH(AQ$75,$A$5:$A$56,0),1):INDEX($B$5:$CW$56,MATCH(AQ$75,$A$5:$A$56,0),100),$B70:$CW70,"="&amp;"x",$B$3:$CW$3,"="&amp;"N"),0)</f>
        <v>0</v>
      </c>
      <c r="AR87">
        <f ca="1">IFERROR(SUMIFS(INDEX($B$5:$CW$56,MATCH(AR$75,$A$5:$A$56,0),1):INDEX($B$5:$CW$56,MATCH(AR$75,$A$5:$A$56,0),100),$B70:$CW70,"="&amp;"x",$B$3:$CW$3,"="&amp;"N"),0)</f>
        <v>0</v>
      </c>
      <c r="AS87">
        <f ca="1">IFERROR(SUMIFS(INDEX($B$5:$CW$56,MATCH(AS$75,$A$5:$A$56,0),1):INDEX($B$5:$CW$56,MATCH(AS$75,$A$5:$A$56,0),100),$B70:$CW70,"="&amp;"x",$B$3:$CW$3,"="&amp;"N"),0)</f>
        <v>0</v>
      </c>
      <c r="AT87">
        <f ca="1">IFERROR(SUMIFS(INDEX($B$5:$CW$56,MATCH(AT$75,$A$5:$A$56,0),1):INDEX($B$5:$CW$56,MATCH(AT$75,$A$5:$A$56,0),100),$B70:$CW70,"="&amp;"x",$B$3:$CW$3,"="&amp;"N"),0)</f>
        <v>0</v>
      </c>
      <c r="AU87">
        <f ca="1">IFERROR(SUMIFS(INDEX($B$5:$CW$56,MATCH(AU$75,$A$5:$A$56,0),1):INDEX($B$5:$CW$56,MATCH(AU$75,$A$5:$A$56,0),100),$B70:$CW70,"="&amp;"x",$B$3:$CW$3,"="&amp;"N"),0)</f>
        <v>0</v>
      </c>
      <c r="AV87">
        <f ca="1">IFERROR(SUMIFS(INDEX($B$5:$CW$56,MATCH(AV$75,$A$5:$A$56,0),1):INDEX($B$5:$CW$56,MATCH(AV$75,$A$5:$A$56,0),100),$B70:$CW70,"="&amp;"x",$B$3:$CW$3,"="&amp;"N"),0)</f>
        <v>0</v>
      </c>
      <c r="AW87">
        <f ca="1">IFERROR(SUMIFS(INDEX($B$5:$CW$56,MATCH(AW$75,$A$5:$A$56,0),1):INDEX($B$5:$CW$56,MATCH(AW$75,$A$5:$A$56,0),100),$B70:$CW70,"="&amp;"x",$B$3:$CW$3,"="&amp;"N"),0)</f>
        <v>0</v>
      </c>
      <c r="AX87">
        <f ca="1">IFERROR(SUMIFS(INDEX($B$5:$CW$56,MATCH(AX$75,$A$5:$A$56,0),1):INDEX($B$5:$CW$56,MATCH(AX$75,$A$5:$A$56,0),100),$B70:$CW70,"="&amp;"x",$B$3:$CW$3,"="&amp;"N"),0)</f>
        <v>0</v>
      </c>
      <c r="AY87">
        <f ca="1">IFERROR(SUMIFS(INDEX($B$5:$CW$56,MATCH(AY$75,$A$5:$A$56,0),1):INDEX($B$5:$CW$56,MATCH(AY$75,$A$5:$A$56,0),100),$B70:$CW70,"="&amp;"x",$B$3:$CW$3,"="&amp;"N"),0)</f>
        <v>0</v>
      </c>
      <c r="AZ87">
        <f ca="1">IFERROR(SUMIFS(INDEX($B$5:$CW$56,MATCH(AZ$75,$A$5:$A$56,0),1):INDEX($B$5:$CW$56,MATCH(AZ$75,$A$5:$A$56,0),100),$B70:$CW70,"="&amp;"x",$B$3:$CW$3,"="&amp;"N"),0)</f>
        <v>0</v>
      </c>
      <c r="BA87">
        <f ca="1">IFERROR(SUMIFS(INDEX($B$5:$CW$56,MATCH(BA$75,$A$5:$A$56,0),1):INDEX($B$5:$CW$56,MATCH(BA$75,$A$5:$A$56,0),100),$B70:$CW70,"="&amp;"x",$B$3:$CW$3,"="&amp;"N"),0)</f>
        <v>0</v>
      </c>
      <c r="BC87">
        <f t="shared" ca="1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ca="1">IFERROR(SUMIFS(INDEX($B$5:$CW$56,MATCH(B$75,$A$5:$A$56,0),1):INDEX($B$5:$CW$56,MATCH(B$75,$A$5:$A$56,0),100),$B71:$CW71,"="&amp;"x",$B$3:$CW$3,"="&amp;"N"),0)</f>
        <v>0</v>
      </c>
      <c r="C88">
        <f ca="1">IFERROR(SUMIFS(INDEX($B$5:$CW$56,MATCH(C$75,$A$5:$A$56,0),1):INDEX($B$5:$CW$56,MATCH(C$75,$A$5:$A$56,0),100),$B71:$CW71,"="&amp;"x",$B$3:$CW$3,"="&amp;"N"),0)</f>
        <v>0</v>
      </c>
      <c r="D88">
        <f ca="1">IFERROR(SUMIFS(INDEX($B$5:$CW$56,MATCH(D$75,$A$5:$A$56,0),1):INDEX($B$5:$CW$56,MATCH(D$75,$A$5:$A$56,0),100),$B71:$CW71,"="&amp;"x",$B$3:$CW$3,"="&amp;"N"),0)</f>
        <v>0</v>
      </c>
      <c r="E88">
        <f ca="1">IFERROR(SUMIFS(INDEX($B$5:$CW$56,MATCH(E$75,$A$5:$A$56,0),1):INDEX($B$5:$CW$56,MATCH(E$75,$A$5:$A$56,0),100),$B71:$CW71,"="&amp;"x",$B$3:$CW$3,"="&amp;"N"),0)</f>
        <v>0</v>
      </c>
      <c r="F88">
        <f ca="1">IFERROR(SUMIFS(INDEX($B$5:$CW$56,MATCH(F$75,$A$5:$A$56,0),1):INDEX($B$5:$CW$56,MATCH(F$75,$A$5:$A$56,0),100),$B71:$CW71,"="&amp;"x",$B$3:$CW$3,"="&amp;"N"),0)</f>
        <v>0</v>
      </c>
      <c r="G88">
        <f ca="1">IFERROR(SUMIFS(INDEX($B$5:$CW$56,MATCH(G$75,$A$5:$A$56,0),1):INDEX($B$5:$CW$56,MATCH(G$75,$A$5:$A$56,0),100),$B71:$CW71,"="&amp;"x",$B$3:$CW$3,"="&amp;"N"),0)</f>
        <v>0</v>
      </c>
      <c r="H88">
        <f ca="1">IFERROR(SUMIFS(INDEX($B$5:$CW$56,MATCH(H$75,$A$5:$A$56,0),1):INDEX($B$5:$CW$56,MATCH(H$75,$A$5:$A$56,0),100),$B71:$CW71,"="&amp;"x",$B$3:$CW$3,"="&amp;"N"),0)</f>
        <v>0</v>
      </c>
      <c r="I88">
        <f ca="1">IFERROR(SUMIFS(INDEX($B$5:$CW$56,MATCH(I$75,$A$5:$A$56,0),1):INDEX($B$5:$CW$56,MATCH(I$75,$A$5:$A$56,0),100),$B71:$CW71,"="&amp;"x",$B$3:$CW$3,"="&amp;"N"),0)</f>
        <v>0</v>
      </c>
      <c r="J88">
        <f ca="1">IFERROR(SUMIFS(INDEX($B$5:$CW$56,MATCH(J$75,$A$5:$A$56,0),1):INDEX($B$5:$CW$56,MATCH(J$75,$A$5:$A$56,0),100),$B71:$CW71,"="&amp;"x",$B$3:$CW$3,"="&amp;"N"),0)</f>
        <v>0</v>
      </c>
      <c r="K88">
        <f ca="1">IFERROR(SUMIFS(INDEX($B$5:$CW$56,MATCH(K$75,$A$5:$A$56,0),1):INDEX($B$5:$CW$56,MATCH(K$75,$A$5:$A$56,0),100),$B71:$CW71,"="&amp;"x",$B$3:$CW$3,"="&amp;"N"),0)</f>
        <v>0</v>
      </c>
      <c r="L88">
        <f ca="1">IFERROR(SUMIFS(INDEX($B$5:$CW$56,MATCH(L$75,$A$5:$A$56,0),1):INDEX($B$5:$CW$56,MATCH(L$75,$A$5:$A$56,0),100),$B71:$CW71,"="&amp;"x",$B$3:$CW$3,"="&amp;"N"),0)</f>
        <v>0</v>
      </c>
      <c r="M88">
        <f ca="1">IFERROR(SUMIFS(INDEX($B$5:$CW$56,MATCH(M$75,$A$5:$A$56,0),1):INDEX($B$5:$CW$56,MATCH(M$75,$A$5:$A$56,0),100),$B71:$CW71,"="&amp;"x",$B$3:$CW$3,"="&amp;"N"),0)</f>
        <v>0</v>
      </c>
      <c r="N88">
        <f ca="1">IFERROR(SUMIFS(INDEX($B$5:$CW$56,MATCH(N$75,$A$5:$A$56,0),1):INDEX($B$5:$CW$56,MATCH(N$75,$A$5:$A$56,0),100),$B71:$CW71,"="&amp;"x",$B$3:$CW$3,"="&amp;"N"),0)</f>
        <v>0</v>
      </c>
      <c r="O88">
        <f ca="1">IFERROR(SUMIFS(INDEX($B$5:$CW$56,MATCH(O$75,$A$5:$A$56,0),1):INDEX($B$5:$CW$56,MATCH(O$75,$A$5:$A$56,0),100),$B71:$CW71,"="&amp;"x",$B$3:$CW$3,"="&amp;"N"),0)</f>
        <v>0</v>
      </c>
      <c r="P88">
        <f ca="1">IFERROR(SUMIFS(INDEX($B$5:$CW$56,MATCH(P$75,$A$5:$A$56,0),1):INDEX($B$5:$CW$56,MATCH(P$75,$A$5:$A$56,0),100),$B71:$CW71,"="&amp;"x",$B$3:$CW$3,"="&amp;"N"),0)</f>
        <v>0</v>
      </c>
      <c r="Q88">
        <f ca="1">IFERROR(SUMIFS(INDEX($B$5:$CW$56,MATCH(Q$75,$A$5:$A$56,0),1):INDEX($B$5:$CW$56,MATCH(Q$75,$A$5:$A$56,0),100),$B71:$CW71,"="&amp;"x",$B$3:$CW$3,"="&amp;"N"),0)</f>
        <v>0</v>
      </c>
      <c r="R88">
        <f ca="1">IFERROR(SUMIFS(INDEX($B$5:$CW$56,MATCH(R$75,$A$5:$A$56,0),1):INDEX($B$5:$CW$56,MATCH(R$75,$A$5:$A$56,0),100),$B71:$CW71,"="&amp;"x",$B$3:$CW$3,"="&amp;"N"),0)</f>
        <v>0</v>
      </c>
      <c r="S88">
        <f ca="1">IFERROR(SUMIFS(INDEX($B$5:$CW$56,MATCH(S$75,$A$5:$A$56,0),1):INDEX($B$5:$CW$56,MATCH(S$75,$A$5:$A$56,0),100),$B71:$CW71,"="&amp;"x",$B$3:$CW$3,"="&amp;"N"),0)</f>
        <v>0</v>
      </c>
      <c r="T88">
        <f ca="1">IFERROR(SUMIFS(INDEX($B$5:$CW$56,MATCH(T$75,$A$5:$A$56,0),1):INDEX($B$5:$CW$56,MATCH(T$75,$A$5:$A$56,0),100),$B71:$CW71,"="&amp;"x",$B$3:$CW$3,"="&amp;"N"),0)</f>
        <v>0</v>
      </c>
      <c r="U88">
        <f ca="1">IFERROR(SUMIFS(INDEX($B$5:$CW$56,MATCH(U$75,$A$5:$A$56,0),1):INDEX($B$5:$CW$56,MATCH(U$75,$A$5:$A$56,0),100),$B71:$CW71,"="&amp;"x",$B$3:$CW$3,"="&amp;"N"),0)</f>
        <v>0</v>
      </c>
      <c r="V88">
        <f ca="1">IFERROR(SUMIFS(INDEX($B$5:$CW$56,MATCH(V$75,$A$5:$A$56,0),1):INDEX($B$5:$CW$56,MATCH(V$75,$A$5:$A$56,0),100),$B71:$CW71,"="&amp;"x",$B$3:$CW$3,"="&amp;"N"),0)</f>
        <v>0</v>
      </c>
      <c r="W88">
        <f ca="1">IFERROR(SUMIFS(INDEX($B$5:$CW$56,MATCH(W$75,$A$5:$A$56,0),1):INDEX($B$5:$CW$56,MATCH(W$75,$A$5:$A$56,0),100),$B71:$CW71,"="&amp;"x",$B$3:$CW$3,"="&amp;"N"),0)</f>
        <v>0</v>
      </c>
      <c r="X88">
        <f ca="1">IFERROR(SUMIFS(INDEX($B$5:$CW$56,MATCH(X$75,$A$5:$A$56,0),1):INDEX($B$5:$CW$56,MATCH(X$75,$A$5:$A$56,0),100),$B71:$CW71,"="&amp;"x",$B$3:$CW$3,"="&amp;"N"),0)</f>
        <v>0</v>
      </c>
      <c r="Y88">
        <f ca="1">IFERROR(SUMIFS(INDEX($B$5:$CW$56,MATCH(Y$75,$A$5:$A$56,0),1):INDEX($B$5:$CW$56,MATCH(Y$75,$A$5:$A$56,0),100),$B71:$CW71,"="&amp;"x",$B$3:$CW$3,"="&amp;"N"),0)</f>
        <v>0</v>
      </c>
      <c r="Z88">
        <f ca="1">IFERROR(SUMIFS(INDEX($B$5:$CW$56,MATCH(Z$75,$A$5:$A$56,0),1):INDEX($B$5:$CW$56,MATCH(Z$75,$A$5:$A$56,0),100),$B71:$CW71,"="&amp;"x",$B$3:$CW$3,"="&amp;"N"),0)</f>
        <v>0</v>
      </c>
      <c r="AA88">
        <f ca="1">IFERROR(SUMIFS(INDEX($B$5:$CW$56,MATCH(AA$75,$A$5:$A$56,0),1):INDEX($B$5:$CW$56,MATCH(AA$75,$A$5:$A$56,0),100),$B71:$CW71,"="&amp;"x",$B$3:$CW$3,"="&amp;"N"),0)</f>
        <v>0</v>
      </c>
      <c r="AB88">
        <f ca="1">IFERROR(SUMIFS(INDEX($B$5:$CW$56,MATCH(AB$75,$A$5:$A$56,0),1):INDEX($B$5:$CW$56,MATCH(AB$75,$A$5:$A$56,0),100),$B71:$CW71,"="&amp;"x",$B$3:$CW$3,"="&amp;"N"),0)</f>
        <v>0</v>
      </c>
      <c r="AC88">
        <f ca="1">IFERROR(SUMIFS(INDEX($B$5:$CW$56,MATCH(AC$75,$A$5:$A$56,0),1):INDEX($B$5:$CW$56,MATCH(AC$75,$A$5:$A$56,0),100),$B71:$CW71,"="&amp;"x",$B$3:$CW$3,"="&amp;"N"),0)</f>
        <v>0</v>
      </c>
      <c r="AD88">
        <f ca="1">IFERROR(SUMIFS(INDEX($B$5:$CW$56,MATCH(AD$75,$A$5:$A$56,0),1):INDEX($B$5:$CW$56,MATCH(AD$75,$A$5:$A$56,0),100),$B71:$CW71,"="&amp;"x",$B$3:$CW$3,"="&amp;"N"),0)</f>
        <v>0</v>
      </c>
      <c r="AE88">
        <f ca="1">IFERROR(SUMIFS(INDEX($B$5:$CW$56,MATCH(AE$75,$A$5:$A$56,0),1):INDEX($B$5:$CW$56,MATCH(AE$75,$A$5:$A$56,0),100),$B71:$CW71,"="&amp;"x",$B$3:$CW$3,"="&amp;"N"),0)</f>
        <v>0</v>
      </c>
      <c r="AF88">
        <f ca="1">IFERROR(SUMIFS(INDEX($B$5:$CW$56,MATCH(AF$75,$A$5:$A$56,0),1):INDEX($B$5:$CW$56,MATCH(AF$75,$A$5:$A$56,0),100),$B71:$CW71,"="&amp;"x",$B$3:$CW$3,"="&amp;"N"),0)</f>
        <v>0</v>
      </c>
      <c r="AG88">
        <f ca="1">IFERROR(SUMIFS(INDEX($B$5:$CW$56,MATCH(AG$75,$A$5:$A$56,0),1):INDEX($B$5:$CW$56,MATCH(AG$75,$A$5:$A$56,0),100),$B71:$CW71,"="&amp;"x",$B$3:$CW$3,"="&amp;"N"),0)</f>
        <v>0</v>
      </c>
      <c r="AH88">
        <f ca="1">IFERROR(SUMIFS(INDEX($B$5:$CW$56,MATCH(AH$75,$A$5:$A$56,0),1):INDEX($B$5:$CW$56,MATCH(AH$75,$A$5:$A$56,0),100),$B71:$CW71,"="&amp;"x",$B$3:$CW$3,"="&amp;"N"),0)</f>
        <v>0</v>
      </c>
      <c r="AI88">
        <f ca="1">IFERROR(SUMIFS(INDEX($B$5:$CW$56,MATCH(AI$75,$A$5:$A$56,0),1):INDEX($B$5:$CW$56,MATCH(AI$75,$A$5:$A$56,0),100),$B71:$CW71,"="&amp;"x",$B$3:$CW$3,"="&amp;"N"),0)</f>
        <v>0</v>
      </c>
      <c r="AJ88">
        <f ca="1">IFERROR(SUMIFS(INDEX($B$5:$CW$56,MATCH(AJ$75,$A$5:$A$56,0),1):INDEX($B$5:$CW$56,MATCH(AJ$75,$A$5:$A$56,0),100),$B71:$CW71,"="&amp;"x",$B$3:$CW$3,"="&amp;"N"),0)</f>
        <v>0</v>
      </c>
      <c r="AK88">
        <f ca="1">IFERROR(SUMIFS(INDEX($B$5:$CW$56,MATCH(AK$75,$A$5:$A$56,0),1):INDEX($B$5:$CW$56,MATCH(AK$75,$A$5:$A$56,0),100),$B71:$CW71,"="&amp;"x",$B$3:$CW$3,"="&amp;"N"),0)</f>
        <v>0</v>
      </c>
      <c r="AL88">
        <f ca="1">IFERROR(SUMIFS(INDEX($B$5:$CW$56,MATCH(AL$75,$A$5:$A$56,0),1):INDEX($B$5:$CW$56,MATCH(AL$75,$A$5:$A$56,0),100),$B71:$CW71,"="&amp;"x",$B$3:$CW$3,"="&amp;"N"),0)</f>
        <v>0</v>
      </c>
      <c r="AM88">
        <f ca="1">IFERROR(SUMIFS(INDEX($B$5:$CW$56,MATCH(AM$75,$A$5:$A$56,0),1):INDEX($B$5:$CW$56,MATCH(AM$75,$A$5:$A$56,0),100),$B71:$CW71,"="&amp;"x",$B$3:$CW$3,"="&amp;"N"),0)</f>
        <v>0</v>
      </c>
      <c r="AN88">
        <f ca="1">IFERROR(SUMIFS(INDEX($B$5:$CW$56,MATCH(AN$75,$A$5:$A$56,0),1):INDEX($B$5:$CW$56,MATCH(AN$75,$A$5:$A$56,0),100),$B71:$CW71,"="&amp;"x",$B$3:$CW$3,"="&amp;"N"),0)</f>
        <v>0</v>
      </c>
      <c r="AO88">
        <f ca="1">IFERROR(SUMIFS(INDEX($B$5:$CW$56,MATCH(AO$75,$A$5:$A$56,0),1):INDEX($B$5:$CW$56,MATCH(AO$75,$A$5:$A$56,0),100),$B71:$CW71,"="&amp;"x",$B$3:$CW$3,"="&amp;"N"),0)</f>
        <v>0</v>
      </c>
      <c r="AP88">
        <f ca="1">IFERROR(SUMIFS(INDEX($B$5:$CW$56,MATCH(AP$75,$A$5:$A$56,0),1):INDEX($B$5:$CW$56,MATCH(AP$75,$A$5:$A$56,0),100),$B71:$CW71,"="&amp;"x",$B$3:$CW$3,"="&amp;"N"),0)</f>
        <v>0</v>
      </c>
      <c r="AQ88">
        <f ca="1">IFERROR(SUMIFS(INDEX($B$5:$CW$56,MATCH(AQ$75,$A$5:$A$56,0),1):INDEX($B$5:$CW$56,MATCH(AQ$75,$A$5:$A$56,0),100),$B71:$CW71,"="&amp;"x",$B$3:$CW$3,"="&amp;"N"),0)</f>
        <v>0</v>
      </c>
      <c r="AR88">
        <f ca="1">IFERROR(SUMIFS(INDEX($B$5:$CW$56,MATCH(AR$75,$A$5:$A$56,0),1):INDEX($B$5:$CW$56,MATCH(AR$75,$A$5:$A$56,0),100),$B71:$CW71,"="&amp;"x",$B$3:$CW$3,"="&amp;"N"),0)</f>
        <v>0</v>
      </c>
      <c r="AS88">
        <f ca="1">IFERROR(SUMIFS(INDEX($B$5:$CW$56,MATCH(AS$75,$A$5:$A$56,0),1):INDEX($B$5:$CW$56,MATCH(AS$75,$A$5:$A$56,0),100),$B71:$CW71,"="&amp;"x",$B$3:$CW$3,"="&amp;"N"),0)</f>
        <v>0</v>
      </c>
      <c r="AT88">
        <f ca="1">IFERROR(SUMIFS(INDEX($B$5:$CW$56,MATCH(AT$75,$A$5:$A$56,0),1):INDEX($B$5:$CW$56,MATCH(AT$75,$A$5:$A$56,0),100),$B71:$CW71,"="&amp;"x",$B$3:$CW$3,"="&amp;"N"),0)</f>
        <v>0</v>
      </c>
      <c r="AU88">
        <f ca="1">IFERROR(SUMIFS(INDEX($B$5:$CW$56,MATCH(AU$75,$A$5:$A$56,0),1):INDEX($B$5:$CW$56,MATCH(AU$75,$A$5:$A$56,0),100),$B71:$CW71,"="&amp;"x",$B$3:$CW$3,"="&amp;"N"),0)</f>
        <v>0</v>
      </c>
      <c r="AV88">
        <f ca="1">IFERROR(SUMIFS(INDEX($B$5:$CW$56,MATCH(AV$75,$A$5:$A$56,0),1):INDEX($B$5:$CW$56,MATCH(AV$75,$A$5:$A$56,0),100),$B71:$CW71,"="&amp;"x",$B$3:$CW$3,"="&amp;"N"),0)</f>
        <v>0</v>
      </c>
      <c r="AW88">
        <f ca="1">IFERROR(SUMIFS(INDEX($B$5:$CW$56,MATCH(AW$75,$A$5:$A$56,0),1):INDEX($B$5:$CW$56,MATCH(AW$75,$A$5:$A$56,0),100),$B71:$CW71,"="&amp;"x",$B$3:$CW$3,"="&amp;"N"),0)</f>
        <v>0</v>
      </c>
      <c r="AX88">
        <f ca="1">IFERROR(SUMIFS(INDEX($B$5:$CW$56,MATCH(AX$75,$A$5:$A$56,0),1):INDEX($B$5:$CW$56,MATCH(AX$75,$A$5:$A$56,0),100),$B71:$CW71,"="&amp;"x",$B$3:$CW$3,"="&amp;"N"),0)</f>
        <v>0</v>
      </c>
      <c r="AY88">
        <f ca="1">IFERROR(SUMIFS(INDEX($B$5:$CW$56,MATCH(AY$75,$A$5:$A$56,0),1):INDEX($B$5:$CW$56,MATCH(AY$75,$A$5:$A$56,0),100),$B71:$CW71,"="&amp;"x",$B$3:$CW$3,"="&amp;"N"),0)</f>
        <v>0</v>
      </c>
      <c r="AZ88">
        <f ca="1">IFERROR(SUMIFS(INDEX($B$5:$CW$56,MATCH(AZ$75,$A$5:$A$56,0),1):INDEX($B$5:$CW$56,MATCH(AZ$75,$A$5:$A$56,0),100),$B71:$CW71,"="&amp;"x",$B$3:$CW$3,"="&amp;"N"),0)</f>
        <v>0</v>
      </c>
      <c r="BA88">
        <f ca="1">IFERROR(SUMIFS(INDEX($B$5:$CW$56,MATCH(BA$75,$A$5:$A$56,0),1):INDEX($B$5:$CW$56,MATCH(BA$75,$A$5:$A$56,0),100),$B71:$CW71,"="&amp;"x",$B$3:$CW$3,"="&amp;"N"),0)</f>
        <v>0</v>
      </c>
      <c r="BC88">
        <f t="shared" ca="1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ca="1">IFERROR(SUMIFS(INDEX($B$5:$CW$56,MATCH(B$75,$A$5:$A$56,0),1):INDEX($B$5:$CW$56,MATCH(B$75,$A$5:$A$56,0),100),$B72:$CW72,"="&amp;"x",$B$3:$CW$3,"="&amp;"N"),0)</f>
        <v>0</v>
      </c>
      <c r="C89">
        <f ca="1">IFERROR(SUMIFS(INDEX($B$5:$CW$56,MATCH(C$75,$A$5:$A$56,0),1):INDEX($B$5:$CW$56,MATCH(C$75,$A$5:$A$56,0),100),$B72:$CW72,"="&amp;"x",$B$3:$CW$3,"="&amp;"N"),0)</f>
        <v>0</v>
      </c>
      <c r="D89">
        <f ca="1">IFERROR(SUMIFS(INDEX($B$5:$CW$56,MATCH(D$75,$A$5:$A$56,0),1):INDEX($B$5:$CW$56,MATCH(D$75,$A$5:$A$56,0),100),$B72:$CW72,"="&amp;"x",$B$3:$CW$3,"="&amp;"N"),0)</f>
        <v>0</v>
      </c>
      <c r="E89">
        <f ca="1">IFERROR(SUMIFS(INDEX($B$5:$CW$56,MATCH(E$75,$A$5:$A$56,0),1):INDEX($B$5:$CW$56,MATCH(E$75,$A$5:$A$56,0),100),$B72:$CW72,"="&amp;"x",$B$3:$CW$3,"="&amp;"N"),0)</f>
        <v>0</v>
      </c>
      <c r="F89">
        <f ca="1">IFERROR(SUMIFS(INDEX($B$5:$CW$56,MATCH(F$75,$A$5:$A$56,0),1):INDEX($B$5:$CW$56,MATCH(F$75,$A$5:$A$56,0),100),$B72:$CW72,"="&amp;"x",$B$3:$CW$3,"="&amp;"N"),0)</f>
        <v>0</v>
      </c>
      <c r="G89">
        <f ca="1">IFERROR(SUMIFS(INDEX($B$5:$CW$56,MATCH(G$75,$A$5:$A$56,0),1):INDEX($B$5:$CW$56,MATCH(G$75,$A$5:$A$56,0),100),$B72:$CW72,"="&amp;"x",$B$3:$CW$3,"="&amp;"N"),0)</f>
        <v>0</v>
      </c>
      <c r="H89">
        <f ca="1">IFERROR(SUMIFS(INDEX($B$5:$CW$56,MATCH(H$75,$A$5:$A$56,0),1):INDEX($B$5:$CW$56,MATCH(H$75,$A$5:$A$56,0),100),$B72:$CW72,"="&amp;"x",$B$3:$CW$3,"="&amp;"N"),0)</f>
        <v>0</v>
      </c>
      <c r="I89">
        <f ca="1">IFERROR(SUMIFS(INDEX($B$5:$CW$56,MATCH(I$75,$A$5:$A$56,0),1):INDEX($B$5:$CW$56,MATCH(I$75,$A$5:$A$56,0),100),$B72:$CW72,"="&amp;"x",$B$3:$CW$3,"="&amp;"N"),0)</f>
        <v>0</v>
      </c>
      <c r="J89">
        <f ca="1">IFERROR(SUMIFS(INDEX($B$5:$CW$56,MATCH(J$75,$A$5:$A$56,0),1):INDEX($B$5:$CW$56,MATCH(J$75,$A$5:$A$56,0),100),$B72:$CW72,"="&amp;"x",$B$3:$CW$3,"="&amp;"N"),0)</f>
        <v>0</v>
      </c>
      <c r="K89">
        <f ca="1">IFERROR(SUMIFS(INDEX($B$5:$CW$56,MATCH(K$75,$A$5:$A$56,0),1):INDEX($B$5:$CW$56,MATCH(K$75,$A$5:$A$56,0),100),$B72:$CW72,"="&amp;"x",$B$3:$CW$3,"="&amp;"N"),0)</f>
        <v>0</v>
      </c>
      <c r="L89">
        <f ca="1">IFERROR(SUMIFS(INDEX($B$5:$CW$56,MATCH(L$75,$A$5:$A$56,0),1):INDEX($B$5:$CW$56,MATCH(L$75,$A$5:$A$56,0),100),$B72:$CW72,"="&amp;"x",$B$3:$CW$3,"="&amp;"N"),0)</f>
        <v>0</v>
      </c>
      <c r="M89">
        <f ca="1">IFERROR(SUMIFS(INDEX($B$5:$CW$56,MATCH(M$75,$A$5:$A$56,0),1):INDEX($B$5:$CW$56,MATCH(M$75,$A$5:$A$56,0),100),$B72:$CW72,"="&amp;"x",$B$3:$CW$3,"="&amp;"N"),0)</f>
        <v>0</v>
      </c>
      <c r="N89">
        <f ca="1">IFERROR(SUMIFS(INDEX($B$5:$CW$56,MATCH(N$75,$A$5:$A$56,0),1):INDEX($B$5:$CW$56,MATCH(N$75,$A$5:$A$56,0),100),$B72:$CW72,"="&amp;"x",$B$3:$CW$3,"="&amp;"N"),0)</f>
        <v>0</v>
      </c>
      <c r="O89">
        <f ca="1">IFERROR(SUMIFS(INDEX($B$5:$CW$56,MATCH(O$75,$A$5:$A$56,0),1):INDEX($B$5:$CW$56,MATCH(O$75,$A$5:$A$56,0),100),$B72:$CW72,"="&amp;"x",$B$3:$CW$3,"="&amp;"N"),0)</f>
        <v>0</v>
      </c>
      <c r="P89">
        <f ca="1">IFERROR(SUMIFS(INDEX($B$5:$CW$56,MATCH(P$75,$A$5:$A$56,0),1):INDEX($B$5:$CW$56,MATCH(P$75,$A$5:$A$56,0),100),$B72:$CW72,"="&amp;"x",$B$3:$CW$3,"="&amp;"N"),0)</f>
        <v>0</v>
      </c>
      <c r="Q89">
        <f ca="1">IFERROR(SUMIFS(INDEX($B$5:$CW$56,MATCH(Q$75,$A$5:$A$56,0),1):INDEX($B$5:$CW$56,MATCH(Q$75,$A$5:$A$56,0),100),$B72:$CW72,"="&amp;"x",$B$3:$CW$3,"="&amp;"N"),0)</f>
        <v>0</v>
      </c>
      <c r="R89">
        <f ca="1">IFERROR(SUMIFS(INDEX($B$5:$CW$56,MATCH(R$75,$A$5:$A$56,0),1):INDEX($B$5:$CW$56,MATCH(R$75,$A$5:$A$56,0),100),$B72:$CW72,"="&amp;"x",$B$3:$CW$3,"="&amp;"N"),0)</f>
        <v>0</v>
      </c>
      <c r="S89">
        <f ca="1">IFERROR(SUMIFS(INDEX($B$5:$CW$56,MATCH(S$75,$A$5:$A$56,0),1):INDEX($B$5:$CW$56,MATCH(S$75,$A$5:$A$56,0),100),$B72:$CW72,"="&amp;"x",$B$3:$CW$3,"="&amp;"N"),0)</f>
        <v>0</v>
      </c>
      <c r="T89">
        <f ca="1">IFERROR(SUMIFS(INDEX($B$5:$CW$56,MATCH(T$75,$A$5:$A$56,0),1):INDEX($B$5:$CW$56,MATCH(T$75,$A$5:$A$56,0),100),$B72:$CW72,"="&amp;"x",$B$3:$CW$3,"="&amp;"N"),0)</f>
        <v>0</v>
      </c>
      <c r="U89">
        <f ca="1">IFERROR(SUMIFS(INDEX($B$5:$CW$56,MATCH(U$75,$A$5:$A$56,0),1):INDEX($B$5:$CW$56,MATCH(U$75,$A$5:$A$56,0),100),$B72:$CW72,"="&amp;"x",$B$3:$CW$3,"="&amp;"N"),0)</f>
        <v>0</v>
      </c>
      <c r="V89">
        <f ca="1">IFERROR(SUMIFS(INDEX($B$5:$CW$56,MATCH(V$75,$A$5:$A$56,0),1):INDEX($B$5:$CW$56,MATCH(V$75,$A$5:$A$56,0),100),$B72:$CW72,"="&amp;"x",$B$3:$CW$3,"="&amp;"N"),0)</f>
        <v>0</v>
      </c>
      <c r="W89">
        <f ca="1">IFERROR(SUMIFS(INDEX($B$5:$CW$56,MATCH(W$75,$A$5:$A$56,0),1):INDEX($B$5:$CW$56,MATCH(W$75,$A$5:$A$56,0),100),$B72:$CW72,"="&amp;"x",$B$3:$CW$3,"="&amp;"N"),0)</f>
        <v>0</v>
      </c>
      <c r="X89">
        <f ca="1">IFERROR(SUMIFS(INDEX($B$5:$CW$56,MATCH(X$75,$A$5:$A$56,0),1):INDEX($B$5:$CW$56,MATCH(X$75,$A$5:$A$56,0),100),$B72:$CW72,"="&amp;"x",$B$3:$CW$3,"="&amp;"N"),0)</f>
        <v>0</v>
      </c>
      <c r="Y89">
        <f ca="1">IFERROR(SUMIFS(INDEX($B$5:$CW$56,MATCH(Y$75,$A$5:$A$56,0),1):INDEX($B$5:$CW$56,MATCH(Y$75,$A$5:$A$56,0),100),$B72:$CW72,"="&amp;"x",$B$3:$CW$3,"="&amp;"N"),0)</f>
        <v>0</v>
      </c>
      <c r="Z89">
        <f ca="1">IFERROR(SUMIFS(INDEX($B$5:$CW$56,MATCH(Z$75,$A$5:$A$56,0),1):INDEX($B$5:$CW$56,MATCH(Z$75,$A$5:$A$56,0),100),$B72:$CW72,"="&amp;"x",$B$3:$CW$3,"="&amp;"N"),0)</f>
        <v>0</v>
      </c>
      <c r="AA89">
        <f ca="1">IFERROR(SUMIFS(INDEX($B$5:$CW$56,MATCH(AA$75,$A$5:$A$56,0),1):INDEX($B$5:$CW$56,MATCH(AA$75,$A$5:$A$56,0),100),$B72:$CW72,"="&amp;"x",$B$3:$CW$3,"="&amp;"N"),0)</f>
        <v>0</v>
      </c>
      <c r="AB89">
        <f ca="1">IFERROR(SUMIFS(INDEX($B$5:$CW$56,MATCH(AB$75,$A$5:$A$56,0),1):INDEX($B$5:$CW$56,MATCH(AB$75,$A$5:$A$56,0),100),$B72:$CW72,"="&amp;"x",$B$3:$CW$3,"="&amp;"N"),0)</f>
        <v>0</v>
      </c>
      <c r="AC89">
        <f ca="1">IFERROR(SUMIFS(INDEX($B$5:$CW$56,MATCH(AC$75,$A$5:$A$56,0),1):INDEX($B$5:$CW$56,MATCH(AC$75,$A$5:$A$56,0),100),$B72:$CW72,"="&amp;"x",$B$3:$CW$3,"="&amp;"N"),0)</f>
        <v>0</v>
      </c>
      <c r="AD89">
        <f ca="1">IFERROR(SUMIFS(INDEX($B$5:$CW$56,MATCH(AD$75,$A$5:$A$56,0),1):INDEX($B$5:$CW$56,MATCH(AD$75,$A$5:$A$56,0),100),$B72:$CW72,"="&amp;"x",$B$3:$CW$3,"="&amp;"N"),0)</f>
        <v>0</v>
      </c>
      <c r="AE89">
        <f ca="1">IFERROR(SUMIFS(INDEX($B$5:$CW$56,MATCH(AE$75,$A$5:$A$56,0),1):INDEX($B$5:$CW$56,MATCH(AE$75,$A$5:$A$56,0),100),$B72:$CW72,"="&amp;"x",$B$3:$CW$3,"="&amp;"N"),0)</f>
        <v>0</v>
      </c>
      <c r="AF89">
        <f ca="1">IFERROR(SUMIFS(INDEX($B$5:$CW$56,MATCH(AF$75,$A$5:$A$56,0),1):INDEX($B$5:$CW$56,MATCH(AF$75,$A$5:$A$56,0),100),$B72:$CW72,"="&amp;"x",$B$3:$CW$3,"="&amp;"N"),0)</f>
        <v>0</v>
      </c>
      <c r="AG89">
        <f ca="1">IFERROR(SUMIFS(INDEX($B$5:$CW$56,MATCH(AG$75,$A$5:$A$56,0),1):INDEX($B$5:$CW$56,MATCH(AG$75,$A$5:$A$56,0),100),$B72:$CW72,"="&amp;"x",$B$3:$CW$3,"="&amp;"N"),0)</f>
        <v>0</v>
      </c>
      <c r="AH89">
        <f ca="1">IFERROR(SUMIFS(INDEX($B$5:$CW$56,MATCH(AH$75,$A$5:$A$56,0),1):INDEX($B$5:$CW$56,MATCH(AH$75,$A$5:$A$56,0),100),$B72:$CW72,"="&amp;"x",$B$3:$CW$3,"="&amp;"N"),0)</f>
        <v>0</v>
      </c>
      <c r="AI89">
        <f ca="1">IFERROR(SUMIFS(INDEX($B$5:$CW$56,MATCH(AI$75,$A$5:$A$56,0),1):INDEX($B$5:$CW$56,MATCH(AI$75,$A$5:$A$56,0),100),$B72:$CW72,"="&amp;"x",$B$3:$CW$3,"="&amp;"N"),0)</f>
        <v>0</v>
      </c>
      <c r="AJ89">
        <f ca="1">IFERROR(SUMIFS(INDEX($B$5:$CW$56,MATCH(AJ$75,$A$5:$A$56,0),1):INDEX($B$5:$CW$56,MATCH(AJ$75,$A$5:$A$56,0),100),$B72:$CW72,"="&amp;"x",$B$3:$CW$3,"="&amp;"N"),0)</f>
        <v>0</v>
      </c>
      <c r="AK89">
        <f ca="1">IFERROR(SUMIFS(INDEX($B$5:$CW$56,MATCH(AK$75,$A$5:$A$56,0),1):INDEX($B$5:$CW$56,MATCH(AK$75,$A$5:$A$56,0),100),$B72:$CW72,"="&amp;"x",$B$3:$CW$3,"="&amp;"N"),0)</f>
        <v>0</v>
      </c>
      <c r="AL89">
        <f ca="1">IFERROR(SUMIFS(INDEX($B$5:$CW$56,MATCH(AL$75,$A$5:$A$56,0),1):INDEX($B$5:$CW$56,MATCH(AL$75,$A$5:$A$56,0),100),$B72:$CW72,"="&amp;"x",$B$3:$CW$3,"="&amp;"N"),0)</f>
        <v>0</v>
      </c>
      <c r="AM89">
        <f ca="1">IFERROR(SUMIFS(INDEX($B$5:$CW$56,MATCH(AM$75,$A$5:$A$56,0),1):INDEX($B$5:$CW$56,MATCH(AM$75,$A$5:$A$56,0),100),$B72:$CW72,"="&amp;"x",$B$3:$CW$3,"="&amp;"N"),0)</f>
        <v>0</v>
      </c>
      <c r="AN89">
        <f ca="1">IFERROR(SUMIFS(INDEX($B$5:$CW$56,MATCH(AN$75,$A$5:$A$56,0),1):INDEX($B$5:$CW$56,MATCH(AN$75,$A$5:$A$56,0),100),$B72:$CW72,"="&amp;"x",$B$3:$CW$3,"="&amp;"N"),0)</f>
        <v>0</v>
      </c>
      <c r="AO89">
        <f ca="1">IFERROR(SUMIFS(INDEX($B$5:$CW$56,MATCH(AO$75,$A$5:$A$56,0),1):INDEX($B$5:$CW$56,MATCH(AO$75,$A$5:$A$56,0),100),$B72:$CW72,"="&amp;"x",$B$3:$CW$3,"="&amp;"N"),0)</f>
        <v>0</v>
      </c>
      <c r="AP89">
        <f ca="1">IFERROR(SUMIFS(INDEX($B$5:$CW$56,MATCH(AP$75,$A$5:$A$56,0),1):INDEX($B$5:$CW$56,MATCH(AP$75,$A$5:$A$56,0),100),$B72:$CW72,"="&amp;"x",$B$3:$CW$3,"="&amp;"N"),0)</f>
        <v>0</v>
      </c>
      <c r="AQ89">
        <f ca="1">IFERROR(SUMIFS(INDEX($B$5:$CW$56,MATCH(AQ$75,$A$5:$A$56,0),1):INDEX($B$5:$CW$56,MATCH(AQ$75,$A$5:$A$56,0),100),$B72:$CW72,"="&amp;"x",$B$3:$CW$3,"="&amp;"N"),0)</f>
        <v>0</v>
      </c>
      <c r="AR89">
        <f ca="1">IFERROR(SUMIFS(INDEX($B$5:$CW$56,MATCH(AR$75,$A$5:$A$56,0),1):INDEX($B$5:$CW$56,MATCH(AR$75,$A$5:$A$56,0),100),$B72:$CW72,"="&amp;"x",$B$3:$CW$3,"="&amp;"N"),0)</f>
        <v>0</v>
      </c>
      <c r="AS89">
        <f ca="1">IFERROR(SUMIFS(INDEX($B$5:$CW$56,MATCH(AS$75,$A$5:$A$56,0),1):INDEX($B$5:$CW$56,MATCH(AS$75,$A$5:$A$56,0),100),$B72:$CW72,"="&amp;"x",$B$3:$CW$3,"="&amp;"N"),0)</f>
        <v>0</v>
      </c>
      <c r="AT89">
        <f ca="1">IFERROR(SUMIFS(INDEX($B$5:$CW$56,MATCH(AT$75,$A$5:$A$56,0),1):INDEX($B$5:$CW$56,MATCH(AT$75,$A$5:$A$56,0),100),$B72:$CW72,"="&amp;"x",$B$3:$CW$3,"="&amp;"N"),0)</f>
        <v>0</v>
      </c>
      <c r="AU89">
        <f ca="1">IFERROR(SUMIFS(INDEX($B$5:$CW$56,MATCH(AU$75,$A$5:$A$56,0),1):INDEX($B$5:$CW$56,MATCH(AU$75,$A$5:$A$56,0),100),$B72:$CW72,"="&amp;"x",$B$3:$CW$3,"="&amp;"N"),0)</f>
        <v>0</v>
      </c>
      <c r="AV89">
        <f ca="1">IFERROR(SUMIFS(INDEX($B$5:$CW$56,MATCH(AV$75,$A$5:$A$56,0),1):INDEX($B$5:$CW$56,MATCH(AV$75,$A$5:$A$56,0),100),$B72:$CW72,"="&amp;"x",$B$3:$CW$3,"="&amp;"N"),0)</f>
        <v>0</v>
      </c>
      <c r="AW89">
        <f ca="1">IFERROR(SUMIFS(INDEX($B$5:$CW$56,MATCH(AW$75,$A$5:$A$56,0),1):INDEX($B$5:$CW$56,MATCH(AW$75,$A$5:$A$56,0),100),$B72:$CW72,"="&amp;"x",$B$3:$CW$3,"="&amp;"N"),0)</f>
        <v>0</v>
      </c>
      <c r="AX89">
        <f ca="1">IFERROR(SUMIFS(INDEX($B$5:$CW$56,MATCH(AX$75,$A$5:$A$56,0),1):INDEX($B$5:$CW$56,MATCH(AX$75,$A$5:$A$56,0),100),$B72:$CW72,"="&amp;"x",$B$3:$CW$3,"="&amp;"N"),0)</f>
        <v>0</v>
      </c>
      <c r="AY89">
        <f ca="1">IFERROR(SUMIFS(INDEX($B$5:$CW$56,MATCH(AY$75,$A$5:$A$56,0),1):INDEX($B$5:$CW$56,MATCH(AY$75,$A$5:$A$56,0),100),$B72:$CW72,"="&amp;"x",$B$3:$CW$3,"="&amp;"N"),0)</f>
        <v>0</v>
      </c>
      <c r="AZ89">
        <f ca="1">IFERROR(SUMIFS(INDEX($B$5:$CW$56,MATCH(AZ$75,$A$5:$A$56,0),1):INDEX($B$5:$CW$56,MATCH(AZ$75,$A$5:$A$56,0),100),$B72:$CW72,"="&amp;"x",$B$3:$CW$3,"="&amp;"N"),0)</f>
        <v>0</v>
      </c>
      <c r="BA89">
        <f ca="1">IFERROR(SUMIFS(INDEX($B$5:$CW$56,MATCH(BA$75,$A$5:$A$56,0),1):INDEX($B$5:$CW$56,MATCH(BA$75,$A$5:$A$56,0),100),$B72:$CW72,"="&amp;"x",$B$3:$CW$3,"="&amp;"N"),0)</f>
        <v>0</v>
      </c>
      <c r="BC89">
        <f t="shared" ca="1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ca="1">IFERROR(SUMIFS(INDEX($B$5:$CW$56,MATCH(B$75,$A$5:$A$56,0),1):INDEX($B$5:$CW$56,MATCH(B$75,$A$5:$A$56,0),100),$B73:$CW73,"="&amp;"x",$B$3:$CW$3,"="&amp;"N"),0)</f>
        <v>0</v>
      </c>
      <c r="C90">
        <f ca="1">IFERROR(SUMIFS(INDEX($B$5:$CW$56,MATCH(C$75,$A$5:$A$56,0),1):INDEX($B$5:$CW$56,MATCH(C$75,$A$5:$A$56,0),100),$B73:$CW73,"="&amp;"x",$B$3:$CW$3,"="&amp;"N"),0)</f>
        <v>0</v>
      </c>
      <c r="D90">
        <f ca="1">IFERROR(SUMIFS(INDEX($B$5:$CW$56,MATCH(D$75,$A$5:$A$56,0),1):INDEX($B$5:$CW$56,MATCH(D$75,$A$5:$A$56,0),100),$B73:$CW73,"="&amp;"x",$B$3:$CW$3,"="&amp;"N"),0)</f>
        <v>0</v>
      </c>
      <c r="E90">
        <f ca="1">IFERROR(SUMIFS(INDEX($B$5:$CW$56,MATCH(E$75,$A$5:$A$56,0),1):INDEX($B$5:$CW$56,MATCH(E$75,$A$5:$A$56,0),100),$B73:$CW73,"="&amp;"x",$B$3:$CW$3,"="&amp;"N"),0)</f>
        <v>0</v>
      </c>
      <c r="F90">
        <f ca="1">IFERROR(SUMIFS(INDEX($B$5:$CW$56,MATCH(F$75,$A$5:$A$56,0),1):INDEX($B$5:$CW$56,MATCH(F$75,$A$5:$A$56,0),100),$B73:$CW73,"="&amp;"x",$B$3:$CW$3,"="&amp;"N"),0)</f>
        <v>0</v>
      </c>
      <c r="G90">
        <f ca="1">IFERROR(SUMIFS(INDEX($B$5:$CW$56,MATCH(G$75,$A$5:$A$56,0),1):INDEX($B$5:$CW$56,MATCH(G$75,$A$5:$A$56,0),100),$B73:$CW73,"="&amp;"x",$B$3:$CW$3,"="&amp;"N"),0)</f>
        <v>0</v>
      </c>
      <c r="H90">
        <f ca="1">IFERROR(SUMIFS(INDEX($B$5:$CW$56,MATCH(H$75,$A$5:$A$56,0),1):INDEX($B$5:$CW$56,MATCH(H$75,$A$5:$A$56,0),100),$B73:$CW73,"="&amp;"x",$B$3:$CW$3,"="&amp;"N"),0)</f>
        <v>0</v>
      </c>
      <c r="I90">
        <f ca="1">IFERROR(SUMIFS(INDEX($B$5:$CW$56,MATCH(I$75,$A$5:$A$56,0),1):INDEX($B$5:$CW$56,MATCH(I$75,$A$5:$A$56,0),100),$B73:$CW73,"="&amp;"x",$B$3:$CW$3,"="&amp;"N"),0)</f>
        <v>0</v>
      </c>
      <c r="J90">
        <f ca="1">IFERROR(SUMIFS(INDEX($B$5:$CW$56,MATCH(J$75,$A$5:$A$56,0),1):INDEX($B$5:$CW$56,MATCH(J$75,$A$5:$A$56,0),100),$B73:$CW73,"="&amp;"x",$B$3:$CW$3,"="&amp;"N"),0)</f>
        <v>0</v>
      </c>
      <c r="K90">
        <f ca="1">IFERROR(SUMIFS(INDEX($B$5:$CW$56,MATCH(K$75,$A$5:$A$56,0),1):INDEX($B$5:$CW$56,MATCH(K$75,$A$5:$A$56,0),100),$B73:$CW73,"="&amp;"x",$B$3:$CW$3,"="&amp;"N"),0)</f>
        <v>0</v>
      </c>
      <c r="L90">
        <f ca="1">IFERROR(SUMIFS(INDEX($B$5:$CW$56,MATCH(L$75,$A$5:$A$56,0),1):INDEX($B$5:$CW$56,MATCH(L$75,$A$5:$A$56,0),100),$B73:$CW73,"="&amp;"x",$B$3:$CW$3,"="&amp;"N"),0)</f>
        <v>0</v>
      </c>
      <c r="M90">
        <f ca="1">IFERROR(SUMIFS(INDEX($B$5:$CW$56,MATCH(M$75,$A$5:$A$56,0),1):INDEX($B$5:$CW$56,MATCH(M$75,$A$5:$A$56,0),100),$B73:$CW73,"="&amp;"x",$B$3:$CW$3,"="&amp;"N"),0)</f>
        <v>0</v>
      </c>
      <c r="N90">
        <f ca="1">IFERROR(SUMIFS(INDEX($B$5:$CW$56,MATCH(N$75,$A$5:$A$56,0),1):INDEX($B$5:$CW$56,MATCH(N$75,$A$5:$A$56,0),100),$B73:$CW73,"="&amp;"x",$B$3:$CW$3,"="&amp;"N"),0)</f>
        <v>0</v>
      </c>
      <c r="O90">
        <f ca="1">IFERROR(SUMIFS(INDEX($B$5:$CW$56,MATCH(O$75,$A$5:$A$56,0),1):INDEX($B$5:$CW$56,MATCH(O$75,$A$5:$A$56,0),100),$B73:$CW73,"="&amp;"x",$B$3:$CW$3,"="&amp;"N"),0)</f>
        <v>0</v>
      </c>
      <c r="P90">
        <f ca="1">IFERROR(SUMIFS(INDEX($B$5:$CW$56,MATCH(P$75,$A$5:$A$56,0),1):INDEX($B$5:$CW$56,MATCH(P$75,$A$5:$A$56,0),100),$B73:$CW73,"="&amp;"x",$B$3:$CW$3,"="&amp;"N"),0)</f>
        <v>0</v>
      </c>
      <c r="Q90">
        <f ca="1">IFERROR(SUMIFS(INDEX($B$5:$CW$56,MATCH(Q$75,$A$5:$A$56,0),1):INDEX($B$5:$CW$56,MATCH(Q$75,$A$5:$A$56,0),100),$B73:$CW73,"="&amp;"x",$B$3:$CW$3,"="&amp;"N"),0)</f>
        <v>0</v>
      </c>
      <c r="R90">
        <f ca="1">IFERROR(SUMIFS(INDEX($B$5:$CW$56,MATCH(R$75,$A$5:$A$56,0),1):INDEX($B$5:$CW$56,MATCH(R$75,$A$5:$A$56,0),100),$B73:$CW73,"="&amp;"x",$B$3:$CW$3,"="&amp;"N"),0)</f>
        <v>0</v>
      </c>
      <c r="S90">
        <f ca="1">IFERROR(SUMIFS(INDEX($B$5:$CW$56,MATCH(S$75,$A$5:$A$56,0),1):INDEX($B$5:$CW$56,MATCH(S$75,$A$5:$A$56,0),100),$B73:$CW73,"="&amp;"x",$B$3:$CW$3,"="&amp;"N"),0)</f>
        <v>0</v>
      </c>
      <c r="T90">
        <f ca="1">IFERROR(SUMIFS(INDEX($B$5:$CW$56,MATCH(T$75,$A$5:$A$56,0),1):INDEX($B$5:$CW$56,MATCH(T$75,$A$5:$A$56,0),100),$B73:$CW73,"="&amp;"x",$B$3:$CW$3,"="&amp;"N"),0)</f>
        <v>0</v>
      </c>
      <c r="U90">
        <f ca="1">IFERROR(SUMIFS(INDEX($B$5:$CW$56,MATCH(U$75,$A$5:$A$56,0),1):INDEX($B$5:$CW$56,MATCH(U$75,$A$5:$A$56,0),100),$B73:$CW73,"="&amp;"x",$B$3:$CW$3,"="&amp;"N"),0)</f>
        <v>0</v>
      </c>
      <c r="V90">
        <f ca="1">IFERROR(SUMIFS(INDEX($B$5:$CW$56,MATCH(V$75,$A$5:$A$56,0),1):INDEX($B$5:$CW$56,MATCH(V$75,$A$5:$A$56,0),100),$B73:$CW73,"="&amp;"x",$B$3:$CW$3,"="&amp;"N"),0)</f>
        <v>0</v>
      </c>
      <c r="W90">
        <f ca="1">IFERROR(SUMIFS(INDEX($B$5:$CW$56,MATCH(W$75,$A$5:$A$56,0),1):INDEX($B$5:$CW$56,MATCH(W$75,$A$5:$A$56,0),100),$B73:$CW73,"="&amp;"x",$B$3:$CW$3,"="&amp;"N"),0)</f>
        <v>0</v>
      </c>
      <c r="X90">
        <f ca="1">IFERROR(SUMIFS(INDEX($B$5:$CW$56,MATCH(X$75,$A$5:$A$56,0),1):INDEX($B$5:$CW$56,MATCH(X$75,$A$5:$A$56,0),100),$B73:$CW73,"="&amp;"x",$B$3:$CW$3,"="&amp;"N"),0)</f>
        <v>0</v>
      </c>
      <c r="Y90">
        <f ca="1">IFERROR(SUMIFS(INDEX($B$5:$CW$56,MATCH(Y$75,$A$5:$A$56,0),1):INDEX($B$5:$CW$56,MATCH(Y$75,$A$5:$A$56,0),100),$B73:$CW73,"="&amp;"x",$B$3:$CW$3,"="&amp;"N"),0)</f>
        <v>0</v>
      </c>
      <c r="Z90">
        <f ca="1">IFERROR(SUMIFS(INDEX($B$5:$CW$56,MATCH(Z$75,$A$5:$A$56,0),1):INDEX($B$5:$CW$56,MATCH(Z$75,$A$5:$A$56,0),100),$B73:$CW73,"="&amp;"x",$B$3:$CW$3,"="&amp;"N"),0)</f>
        <v>0</v>
      </c>
      <c r="AA90">
        <f ca="1">IFERROR(SUMIFS(INDEX($B$5:$CW$56,MATCH(AA$75,$A$5:$A$56,0),1):INDEX($B$5:$CW$56,MATCH(AA$75,$A$5:$A$56,0),100),$B73:$CW73,"="&amp;"x",$B$3:$CW$3,"="&amp;"N"),0)</f>
        <v>0</v>
      </c>
      <c r="AB90">
        <f ca="1">IFERROR(SUMIFS(INDEX($B$5:$CW$56,MATCH(AB$75,$A$5:$A$56,0),1):INDEX($B$5:$CW$56,MATCH(AB$75,$A$5:$A$56,0),100),$B73:$CW73,"="&amp;"x",$B$3:$CW$3,"="&amp;"N"),0)</f>
        <v>0</v>
      </c>
      <c r="AC90">
        <f ca="1">IFERROR(SUMIFS(INDEX($B$5:$CW$56,MATCH(AC$75,$A$5:$A$56,0),1):INDEX($B$5:$CW$56,MATCH(AC$75,$A$5:$A$56,0),100),$B73:$CW73,"="&amp;"x",$B$3:$CW$3,"="&amp;"N"),0)</f>
        <v>0</v>
      </c>
      <c r="AD90">
        <f ca="1">IFERROR(SUMIFS(INDEX($B$5:$CW$56,MATCH(AD$75,$A$5:$A$56,0),1):INDEX($B$5:$CW$56,MATCH(AD$75,$A$5:$A$56,0),100),$B73:$CW73,"="&amp;"x",$B$3:$CW$3,"="&amp;"N"),0)</f>
        <v>0</v>
      </c>
      <c r="AE90">
        <f ca="1">IFERROR(SUMIFS(INDEX($B$5:$CW$56,MATCH(AE$75,$A$5:$A$56,0),1):INDEX($B$5:$CW$56,MATCH(AE$75,$A$5:$A$56,0),100),$B73:$CW73,"="&amp;"x",$B$3:$CW$3,"="&amp;"N"),0)</f>
        <v>0</v>
      </c>
      <c r="AF90">
        <f ca="1">IFERROR(SUMIFS(INDEX($B$5:$CW$56,MATCH(AF$75,$A$5:$A$56,0),1):INDEX($B$5:$CW$56,MATCH(AF$75,$A$5:$A$56,0),100),$B73:$CW73,"="&amp;"x",$B$3:$CW$3,"="&amp;"N"),0)</f>
        <v>0</v>
      </c>
      <c r="AG90">
        <f ca="1">IFERROR(SUMIFS(INDEX($B$5:$CW$56,MATCH(AG$75,$A$5:$A$56,0),1):INDEX($B$5:$CW$56,MATCH(AG$75,$A$5:$A$56,0),100),$B73:$CW73,"="&amp;"x",$B$3:$CW$3,"="&amp;"N"),0)</f>
        <v>0</v>
      </c>
      <c r="AH90">
        <f ca="1">IFERROR(SUMIFS(INDEX($B$5:$CW$56,MATCH(AH$75,$A$5:$A$56,0),1):INDEX($B$5:$CW$56,MATCH(AH$75,$A$5:$A$56,0),100),$B73:$CW73,"="&amp;"x",$B$3:$CW$3,"="&amp;"N"),0)</f>
        <v>0</v>
      </c>
      <c r="AI90">
        <f ca="1">IFERROR(SUMIFS(INDEX($B$5:$CW$56,MATCH(AI$75,$A$5:$A$56,0),1):INDEX($B$5:$CW$56,MATCH(AI$75,$A$5:$A$56,0),100),$B73:$CW73,"="&amp;"x",$B$3:$CW$3,"="&amp;"N"),0)</f>
        <v>0</v>
      </c>
      <c r="AJ90">
        <f ca="1">IFERROR(SUMIFS(INDEX($B$5:$CW$56,MATCH(AJ$75,$A$5:$A$56,0),1):INDEX($B$5:$CW$56,MATCH(AJ$75,$A$5:$A$56,0),100),$B73:$CW73,"="&amp;"x",$B$3:$CW$3,"="&amp;"N"),0)</f>
        <v>0</v>
      </c>
      <c r="AK90">
        <f ca="1">IFERROR(SUMIFS(INDEX($B$5:$CW$56,MATCH(AK$75,$A$5:$A$56,0),1):INDEX($B$5:$CW$56,MATCH(AK$75,$A$5:$A$56,0),100),$B73:$CW73,"="&amp;"x",$B$3:$CW$3,"="&amp;"N"),0)</f>
        <v>0</v>
      </c>
      <c r="AL90">
        <f ca="1">IFERROR(SUMIFS(INDEX($B$5:$CW$56,MATCH(AL$75,$A$5:$A$56,0),1):INDEX($B$5:$CW$56,MATCH(AL$75,$A$5:$A$56,0),100),$B73:$CW73,"="&amp;"x",$B$3:$CW$3,"="&amp;"N"),0)</f>
        <v>0</v>
      </c>
      <c r="AM90">
        <f ca="1">IFERROR(SUMIFS(INDEX($B$5:$CW$56,MATCH(AM$75,$A$5:$A$56,0),1):INDEX($B$5:$CW$56,MATCH(AM$75,$A$5:$A$56,0),100),$B73:$CW73,"="&amp;"x",$B$3:$CW$3,"="&amp;"N"),0)</f>
        <v>0</v>
      </c>
      <c r="AN90">
        <f ca="1">IFERROR(SUMIFS(INDEX($B$5:$CW$56,MATCH(AN$75,$A$5:$A$56,0),1):INDEX($B$5:$CW$56,MATCH(AN$75,$A$5:$A$56,0),100),$B73:$CW73,"="&amp;"x",$B$3:$CW$3,"="&amp;"N"),0)</f>
        <v>0</v>
      </c>
      <c r="AO90">
        <f ca="1">IFERROR(SUMIFS(INDEX($B$5:$CW$56,MATCH(AO$75,$A$5:$A$56,0),1):INDEX($B$5:$CW$56,MATCH(AO$75,$A$5:$A$56,0),100),$B73:$CW73,"="&amp;"x",$B$3:$CW$3,"="&amp;"N"),0)</f>
        <v>0</v>
      </c>
      <c r="AP90">
        <f ca="1">IFERROR(SUMIFS(INDEX($B$5:$CW$56,MATCH(AP$75,$A$5:$A$56,0),1):INDEX($B$5:$CW$56,MATCH(AP$75,$A$5:$A$56,0),100),$B73:$CW73,"="&amp;"x",$B$3:$CW$3,"="&amp;"N"),0)</f>
        <v>0</v>
      </c>
      <c r="AQ90">
        <f ca="1">IFERROR(SUMIFS(INDEX($B$5:$CW$56,MATCH(AQ$75,$A$5:$A$56,0),1):INDEX($B$5:$CW$56,MATCH(AQ$75,$A$5:$A$56,0),100),$B73:$CW73,"="&amp;"x",$B$3:$CW$3,"="&amp;"N"),0)</f>
        <v>0</v>
      </c>
      <c r="AR90">
        <f ca="1">IFERROR(SUMIFS(INDEX($B$5:$CW$56,MATCH(AR$75,$A$5:$A$56,0),1):INDEX($B$5:$CW$56,MATCH(AR$75,$A$5:$A$56,0),100),$B73:$CW73,"="&amp;"x",$B$3:$CW$3,"="&amp;"N"),0)</f>
        <v>0</v>
      </c>
      <c r="AS90">
        <f ca="1">IFERROR(SUMIFS(INDEX($B$5:$CW$56,MATCH(AS$75,$A$5:$A$56,0),1):INDEX($B$5:$CW$56,MATCH(AS$75,$A$5:$A$56,0),100),$B73:$CW73,"="&amp;"x",$B$3:$CW$3,"="&amp;"N"),0)</f>
        <v>0</v>
      </c>
      <c r="AT90">
        <f ca="1">IFERROR(SUMIFS(INDEX($B$5:$CW$56,MATCH(AT$75,$A$5:$A$56,0),1):INDEX($B$5:$CW$56,MATCH(AT$75,$A$5:$A$56,0),100),$B73:$CW73,"="&amp;"x",$B$3:$CW$3,"="&amp;"N"),0)</f>
        <v>0</v>
      </c>
      <c r="AU90">
        <f ca="1">IFERROR(SUMIFS(INDEX($B$5:$CW$56,MATCH(AU$75,$A$5:$A$56,0),1):INDEX($B$5:$CW$56,MATCH(AU$75,$A$5:$A$56,0),100),$B73:$CW73,"="&amp;"x",$B$3:$CW$3,"="&amp;"N"),0)</f>
        <v>0</v>
      </c>
      <c r="AV90">
        <f ca="1">IFERROR(SUMIFS(INDEX($B$5:$CW$56,MATCH(AV$75,$A$5:$A$56,0),1):INDEX($B$5:$CW$56,MATCH(AV$75,$A$5:$A$56,0),100),$B73:$CW73,"="&amp;"x",$B$3:$CW$3,"="&amp;"N"),0)</f>
        <v>0</v>
      </c>
      <c r="AW90">
        <f ca="1">IFERROR(SUMIFS(INDEX($B$5:$CW$56,MATCH(AW$75,$A$5:$A$56,0),1):INDEX($B$5:$CW$56,MATCH(AW$75,$A$5:$A$56,0),100),$B73:$CW73,"="&amp;"x",$B$3:$CW$3,"="&amp;"N"),0)</f>
        <v>0</v>
      </c>
      <c r="AX90">
        <f ca="1">IFERROR(SUMIFS(INDEX($B$5:$CW$56,MATCH(AX$75,$A$5:$A$56,0),1):INDEX($B$5:$CW$56,MATCH(AX$75,$A$5:$A$56,0),100),$B73:$CW73,"="&amp;"x",$B$3:$CW$3,"="&amp;"N"),0)</f>
        <v>0</v>
      </c>
      <c r="AY90">
        <f ca="1">IFERROR(SUMIFS(INDEX($B$5:$CW$56,MATCH(AY$75,$A$5:$A$56,0),1):INDEX($B$5:$CW$56,MATCH(AY$75,$A$5:$A$56,0),100),$B73:$CW73,"="&amp;"x",$B$3:$CW$3,"="&amp;"N"),0)</f>
        <v>0</v>
      </c>
      <c r="AZ90">
        <f ca="1">IFERROR(SUMIFS(INDEX($B$5:$CW$56,MATCH(AZ$75,$A$5:$A$56,0),1):INDEX($B$5:$CW$56,MATCH(AZ$75,$A$5:$A$56,0),100),$B73:$CW73,"="&amp;"x",$B$3:$CW$3,"="&amp;"N"),0)</f>
        <v>0</v>
      </c>
      <c r="BA90">
        <f ca="1">IFERROR(SUMIFS(INDEX($B$5:$CW$56,MATCH(BA$75,$A$5:$A$56,0),1):INDEX($B$5:$CW$56,MATCH(BA$75,$A$5:$A$56,0),100),$B73:$CW73,"="&amp;"x",$B$3:$CW$3,"="&amp;"N"),0)</f>
        <v>0</v>
      </c>
      <c r="BC90">
        <f t="shared" ca="1" si="0"/>
        <v>0</v>
      </c>
    </row>
    <row r="91" spans="1:55" x14ac:dyDescent="0.35">
      <c r="A91" s="3" t="str">
        <f>"All "&amp;Setup!$B$15</f>
        <v>All Caseloads</v>
      </c>
      <c r="B91">
        <f ca="1">SUM(B76:B90)</f>
        <v>0</v>
      </c>
      <c r="C91">
        <f t="shared" ref="C91:BA91" ca="1" si="1">SUM(C76:C90)</f>
        <v>0</v>
      </c>
      <c r="D91">
        <f t="shared" ca="1" si="1"/>
        <v>0</v>
      </c>
      <c r="E91">
        <f t="shared" ca="1" si="1"/>
        <v>0</v>
      </c>
      <c r="F91">
        <f t="shared" ca="1" si="1"/>
        <v>0</v>
      </c>
      <c r="G91">
        <f t="shared" ca="1" si="1"/>
        <v>0</v>
      </c>
      <c r="H91">
        <f t="shared" ca="1" si="1"/>
        <v>0</v>
      </c>
      <c r="I91">
        <f t="shared" ca="1" si="1"/>
        <v>0</v>
      </c>
      <c r="J91">
        <f t="shared" ca="1" si="1"/>
        <v>0</v>
      </c>
      <c r="K91">
        <f t="shared" ca="1" si="1"/>
        <v>0</v>
      </c>
      <c r="L91">
        <f t="shared" ca="1" si="1"/>
        <v>0</v>
      </c>
      <c r="M91">
        <f t="shared" ca="1" si="1"/>
        <v>0</v>
      </c>
      <c r="N91">
        <f t="shared" ca="1" si="1"/>
        <v>0</v>
      </c>
      <c r="O91">
        <f t="shared" ca="1" si="1"/>
        <v>0</v>
      </c>
      <c r="P91">
        <f t="shared" ca="1" si="1"/>
        <v>0</v>
      </c>
      <c r="Q91">
        <f t="shared" ca="1" si="1"/>
        <v>0</v>
      </c>
      <c r="R91">
        <f t="shared" ca="1" si="1"/>
        <v>0</v>
      </c>
      <c r="S91">
        <f t="shared" ca="1" si="1"/>
        <v>0</v>
      </c>
      <c r="T91">
        <f t="shared" ca="1" si="1"/>
        <v>0</v>
      </c>
      <c r="U91">
        <f t="shared" ca="1" si="1"/>
        <v>0</v>
      </c>
      <c r="V91">
        <f t="shared" ca="1" si="1"/>
        <v>0</v>
      </c>
      <c r="W91">
        <f t="shared" ca="1" si="1"/>
        <v>0</v>
      </c>
      <c r="X91">
        <f t="shared" ca="1" si="1"/>
        <v>0</v>
      </c>
      <c r="Y91">
        <f t="shared" ca="1" si="1"/>
        <v>0</v>
      </c>
      <c r="Z91">
        <f t="shared" ca="1" si="1"/>
        <v>0</v>
      </c>
      <c r="AA91">
        <f t="shared" ca="1" si="1"/>
        <v>0</v>
      </c>
      <c r="AB91">
        <f t="shared" ca="1" si="1"/>
        <v>0</v>
      </c>
      <c r="AC91">
        <f t="shared" ca="1" si="1"/>
        <v>0</v>
      </c>
      <c r="AD91">
        <f t="shared" ca="1" si="1"/>
        <v>0</v>
      </c>
      <c r="AE91">
        <f t="shared" ca="1" si="1"/>
        <v>0</v>
      </c>
      <c r="AF91">
        <f t="shared" ca="1" si="1"/>
        <v>0</v>
      </c>
      <c r="AG91">
        <f t="shared" ca="1" si="1"/>
        <v>0</v>
      </c>
      <c r="AH91">
        <f t="shared" ca="1" si="1"/>
        <v>0</v>
      </c>
      <c r="AI91">
        <f t="shared" ca="1" si="1"/>
        <v>0</v>
      </c>
      <c r="AJ91">
        <f t="shared" ca="1" si="1"/>
        <v>0</v>
      </c>
      <c r="AK91">
        <f t="shared" ca="1" si="1"/>
        <v>0</v>
      </c>
      <c r="AL91">
        <f t="shared" ca="1" si="1"/>
        <v>0</v>
      </c>
      <c r="AM91">
        <f t="shared" ca="1" si="1"/>
        <v>0</v>
      </c>
      <c r="AN91">
        <f t="shared" ca="1" si="1"/>
        <v>0</v>
      </c>
      <c r="AO91">
        <f t="shared" ca="1" si="1"/>
        <v>0</v>
      </c>
      <c r="AP91">
        <f t="shared" ca="1" si="1"/>
        <v>0</v>
      </c>
      <c r="AQ91">
        <f t="shared" ca="1" si="1"/>
        <v>0</v>
      </c>
      <c r="AR91">
        <f t="shared" ca="1" si="1"/>
        <v>0</v>
      </c>
      <c r="AS91">
        <f t="shared" ca="1" si="1"/>
        <v>0</v>
      </c>
      <c r="AT91">
        <f t="shared" ca="1" si="1"/>
        <v>0</v>
      </c>
      <c r="AU91">
        <f t="shared" ca="1" si="1"/>
        <v>0</v>
      </c>
      <c r="AV91">
        <f t="shared" ca="1" si="1"/>
        <v>0</v>
      </c>
      <c r="AW91">
        <f t="shared" ca="1" si="1"/>
        <v>0</v>
      </c>
      <c r="AX91">
        <f t="shared" ca="1" si="1"/>
        <v>0</v>
      </c>
      <c r="AY91">
        <f t="shared" ca="1" si="1"/>
        <v>0</v>
      </c>
      <c r="AZ91">
        <f t="shared" ca="1" si="1"/>
        <v>0</v>
      </c>
      <c r="BA91">
        <f t="shared" ca="1" si="1"/>
        <v>0</v>
      </c>
    </row>
    <row r="92" spans="1:55" x14ac:dyDescent="0.35">
      <c r="A92" s="2"/>
    </row>
    <row r="93" spans="1:55" x14ac:dyDescent="0.35">
      <c r="A93" s="2" t="s">
        <v>49</v>
      </c>
      <c r="B93" s="2" t="e" cm="1" vm="2">
        <f t="array" aca="1" ref="B93" ca="1">INDEX($A$5:$A$56,COLUMN(A19),1)</f>
        <v>#VALUE!</v>
      </c>
      <c r="C93" s="2" t="e" cm="1" vm="2">
        <f t="array" aca="1" ref="C93" ca="1">INDEX($A$5:$A$56,COLUMN(B19),1)</f>
        <v>#VALUE!</v>
      </c>
      <c r="D93" s="2" t="e" cm="1" vm="2">
        <f t="array" aca="1" ref="D93" ca="1">INDEX($A$5:$A$56,COLUMN(C19),1)</f>
        <v>#VALUE!</v>
      </c>
      <c r="E93" s="2" t="e" cm="1" vm="2">
        <f t="array" aca="1" ref="E93" ca="1">INDEX($A$5:$A$56,COLUMN(D19),1)</f>
        <v>#VALUE!</v>
      </c>
      <c r="F93" s="2" t="e" cm="1" vm="2">
        <f t="array" aca="1" ref="F93" ca="1">INDEX($A$5:$A$56,COLUMN(E19),1)</f>
        <v>#VALUE!</v>
      </c>
      <c r="G93" s="2" t="e" cm="1" vm="2">
        <f t="array" aca="1" ref="G93" ca="1">INDEX($A$5:$A$56,COLUMN(F19),1)</f>
        <v>#VALUE!</v>
      </c>
      <c r="H93" s="2" t="e" cm="1" vm="2">
        <f t="array" aca="1" ref="H93" ca="1">INDEX($A$5:$A$56,COLUMN(G19),1)</f>
        <v>#VALUE!</v>
      </c>
      <c r="I93" s="2" t="e" cm="1" vm="2">
        <f t="array" aca="1" ref="I93" ca="1">INDEX($A$5:$A$56,COLUMN(H19),1)</f>
        <v>#VALUE!</v>
      </c>
      <c r="J93" s="2" t="e" cm="1" vm="2">
        <f t="array" aca="1" ref="J93" ca="1">INDEX($A$5:$A$56,COLUMN(I19),1)</f>
        <v>#VALUE!</v>
      </c>
      <c r="K93" s="2" t="e" cm="1" vm="2">
        <f t="array" aca="1" ref="K93" ca="1">INDEX($A$5:$A$56,COLUMN(J19),1)</f>
        <v>#VALUE!</v>
      </c>
      <c r="L93" s="2" t="e" cm="1" vm="2">
        <f t="array" aca="1" ref="L93" ca="1">INDEX($A$5:$A$56,COLUMN(K19),1)</f>
        <v>#VALUE!</v>
      </c>
      <c r="M93" s="2" t="e" cm="1" vm="2">
        <f t="array" aca="1" ref="M93" ca="1">INDEX($A$5:$A$56,COLUMN(L19),1)</f>
        <v>#VALUE!</v>
      </c>
      <c r="N93" s="2" t="e" cm="1" vm="2">
        <f t="array" aca="1" ref="N93" ca="1">INDEX($A$5:$A$56,COLUMN(M19),1)</f>
        <v>#VALUE!</v>
      </c>
      <c r="O93" s="2" t="e" cm="1" vm="2">
        <f t="array" aca="1" ref="O93" ca="1">INDEX($A$5:$A$56,COLUMN(N19),1)</f>
        <v>#VALUE!</v>
      </c>
      <c r="P93" s="2" t="e" cm="1" vm="2">
        <f t="array" aca="1" ref="P93" ca="1">INDEX($A$5:$A$56,COLUMN(O19),1)</f>
        <v>#VALUE!</v>
      </c>
      <c r="Q93" s="2" t="e" cm="1" vm="2">
        <f t="array" aca="1" ref="Q93" ca="1">INDEX($A$5:$A$56,COLUMN(P19),1)</f>
        <v>#VALUE!</v>
      </c>
      <c r="R93" s="2" t="e" cm="1" vm="2">
        <f t="array" aca="1" ref="R93" ca="1">INDEX($A$5:$A$56,COLUMN(Q19),1)</f>
        <v>#VALUE!</v>
      </c>
      <c r="S93" s="2" t="e" cm="1" vm="2">
        <f t="array" aca="1" ref="S93" ca="1">INDEX($A$5:$A$56,COLUMN(R19),1)</f>
        <v>#VALUE!</v>
      </c>
      <c r="T93" s="2" t="e" cm="1" vm="2">
        <f t="array" aca="1" ref="T93" ca="1">INDEX($A$5:$A$56,COLUMN(S19),1)</f>
        <v>#VALUE!</v>
      </c>
      <c r="U93" s="2" t="e" cm="1" vm="2">
        <f t="array" aca="1" ref="U93" ca="1">INDEX($A$5:$A$56,COLUMN(T19),1)</f>
        <v>#VALUE!</v>
      </c>
      <c r="V93" s="2" t="e" cm="1" vm="2">
        <f t="array" aca="1" ref="V93" ca="1">INDEX($A$5:$A$56,COLUMN(U19),1)</f>
        <v>#VALUE!</v>
      </c>
      <c r="W93" s="2" t="e" cm="1" vm="2">
        <f t="array" aca="1" ref="W93" ca="1">INDEX($A$5:$A$56,COLUMN(V19),1)</f>
        <v>#VALUE!</v>
      </c>
      <c r="X93" s="2" t="e" cm="1" vm="2">
        <f t="array" aca="1" ref="X93" ca="1">INDEX($A$5:$A$56,COLUMN(W19),1)</f>
        <v>#VALUE!</v>
      </c>
      <c r="Y93" s="2" t="e" cm="1" vm="2">
        <f t="array" aca="1" ref="Y93" ca="1">INDEX($A$5:$A$56,COLUMN(X19),1)</f>
        <v>#VALUE!</v>
      </c>
      <c r="Z93" s="2" t="e" cm="1" vm="2">
        <f t="array" aca="1" ref="Z93" ca="1">INDEX($A$5:$A$56,COLUMN(Y19),1)</f>
        <v>#VALUE!</v>
      </c>
      <c r="AA93" s="2" t="e" cm="1" vm="2">
        <f t="array" aca="1" ref="AA93" ca="1">INDEX($A$5:$A$56,COLUMN(Z19),1)</f>
        <v>#VALUE!</v>
      </c>
      <c r="AB93" s="2" t="e" cm="1" vm="2">
        <f t="array" aca="1" ref="AB93" ca="1">INDEX($A$5:$A$56,COLUMN(AA19),1)</f>
        <v>#VALUE!</v>
      </c>
      <c r="AC93" s="2" t="e" cm="1" vm="2">
        <f t="array" aca="1" ref="AC93" ca="1">INDEX($A$5:$A$56,COLUMN(AB19),1)</f>
        <v>#VALUE!</v>
      </c>
      <c r="AD93" s="2" t="e" cm="1" vm="2">
        <f t="array" aca="1" ref="AD93" ca="1">INDEX($A$5:$A$56,COLUMN(AC19),1)</f>
        <v>#VALUE!</v>
      </c>
      <c r="AE93" s="2" t="e" cm="1" vm="2">
        <f t="array" aca="1" ref="AE93" ca="1">INDEX($A$5:$A$56,COLUMN(AD19),1)</f>
        <v>#VALUE!</v>
      </c>
      <c r="AF93" s="2" t="e" cm="1" vm="2">
        <f t="array" aca="1" ref="AF93" ca="1">INDEX($A$5:$A$56,COLUMN(AE19),1)</f>
        <v>#VALUE!</v>
      </c>
      <c r="AG93" s="2" t="e" cm="1" vm="2">
        <f t="array" aca="1" ref="AG93" ca="1">INDEX($A$5:$A$56,COLUMN(AF19),1)</f>
        <v>#VALUE!</v>
      </c>
      <c r="AH93" s="2" t="e" cm="1" vm="2">
        <f t="array" aca="1" ref="AH93" ca="1">INDEX($A$5:$A$56,COLUMN(AG19),1)</f>
        <v>#VALUE!</v>
      </c>
      <c r="AI93" s="2" t="e" cm="1" vm="2">
        <f t="array" aca="1" ref="AI93" ca="1">INDEX($A$5:$A$56,COLUMN(AH19),1)</f>
        <v>#VALUE!</v>
      </c>
      <c r="AJ93" s="2" t="e" cm="1" vm="2">
        <f t="array" aca="1" ref="AJ93" ca="1">INDEX($A$5:$A$56,COLUMN(AI19),1)</f>
        <v>#VALUE!</v>
      </c>
      <c r="AK93" s="2" t="e" cm="1" vm="2">
        <f t="array" aca="1" ref="AK93" ca="1">INDEX($A$5:$A$56,COLUMN(AJ19),1)</f>
        <v>#VALUE!</v>
      </c>
      <c r="AL93" s="2" t="e" cm="1" vm="2">
        <f t="array" aca="1" ref="AL93" ca="1">INDEX($A$5:$A$56,COLUMN(AK19),1)</f>
        <v>#VALUE!</v>
      </c>
      <c r="AM93" s="2" t="e" cm="1" vm="2">
        <f t="array" aca="1" ref="AM93" ca="1">INDEX($A$5:$A$56,COLUMN(AL19),1)</f>
        <v>#VALUE!</v>
      </c>
      <c r="AN93" s="2" t="e" cm="1" vm="2">
        <f t="array" aca="1" ref="AN93" ca="1">INDEX($A$5:$A$56,COLUMN(AM19),1)</f>
        <v>#VALUE!</v>
      </c>
      <c r="AO93" s="2" t="e" cm="1" vm="2">
        <f t="array" aca="1" ref="AO93" ca="1">INDEX($A$5:$A$56,COLUMN(AN19),1)</f>
        <v>#VALUE!</v>
      </c>
      <c r="AP93" s="2" t="e" cm="1" vm="2">
        <f t="array" aca="1" ref="AP93" ca="1">INDEX($A$5:$A$56,COLUMN(AO19),1)</f>
        <v>#VALUE!</v>
      </c>
      <c r="AQ93" s="2" t="e" cm="1" vm="2">
        <f t="array" aca="1" ref="AQ93" ca="1">INDEX($A$5:$A$56,COLUMN(AP19),1)</f>
        <v>#VALUE!</v>
      </c>
      <c r="AR93" s="2" t="e" cm="1" vm="2">
        <f t="array" aca="1" ref="AR93" ca="1">INDEX($A$5:$A$56,COLUMN(AQ19),1)</f>
        <v>#VALUE!</v>
      </c>
      <c r="AS93" s="2" t="e" cm="1" vm="2">
        <f t="array" aca="1" ref="AS93" ca="1">INDEX($A$5:$A$56,COLUMN(AR19),1)</f>
        <v>#VALUE!</v>
      </c>
      <c r="AT93" s="2" t="e" cm="1" vm="2">
        <f t="array" aca="1" ref="AT93" ca="1">INDEX($A$5:$A$56,COLUMN(AS19),1)</f>
        <v>#VALUE!</v>
      </c>
      <c r="AU93" s="2" t="e" cm="1" vm="2">
        <f t="array" aca="1" ref="AU93" ca="1">INDEX($A$5:$A$56,COLUMN(AT19),1)</f>
        <v>#VALUE!</v>
      </c>
      <c r="AV93" s="2" t="e" cm="1" vm="2">
        <f t="array" aca="1" ref="AV93" ca="1">INDEX($A$5:$A$56,COLUMN(AU19),1)</f>
        <v>#VALUE!</v>
      </c>
      <c r="AW93" s="2" t="e" cm="1" vm="2">
        <f t="array" aca="1" ref="AW93" ca="1">INDEX($A$5:$A$56,COLUMN(AV19),1)</f>
        <v>#VALUE!</v>
      </c>
      <c r="AX93" s="2" t="e" cm="1" vm="2">
        <f t="array" aca="1" ref="AX93" ca="1">INDEX($A$5:$A$56,COLUMN(AW19),1)</f>
        <v>#VALUE!</v>
      </c>
      <c r="AY93" s="2" t="e" cm="1" vm="2">
        <f t="array" aca="1" ref="AY93" ca="1">INDEX($A$5:$A$56,COLUMN(AX19),1)</f>
        <v>#VALUE!</v>
      </c>
      <c r="AZ93" s="2" t="e" cm="1" vm="2">
        <f t="array" aca="1" ref="AZ93" ca="1">INDEX($A$5:$A$56,COLUMN(AY19),1)</f>
        <v>#VALUE!</v>
      </c>
      <c r="BA93" s="2" t="e" cm="1" vm="2">
        <f t="array" aca="1" ref="BA93" ca="1">INDEX($A$5:$A$56,COLUMN(AZ19),1)</f>
        <v>#VALUE!</v>
      </c>
      <c r="BC93" t="s">
        <v>125</v>
      </c>
    </row>
    <row r="94" spans="1:55" x14ac:dyDescent="0.35">
      <c r="A94" s="2" t="str" cm="1">
        <f t="array" ref="A94">INDEX('Data Validation (Hide)'!$B$2:$B$16,ROW(A1),1)</f>
        <v>Caseload 1</v>
      </c>
      <c r="B94">
        <f ca="1">IFERROR(SUMIFS(INDEX($B$5:$CW$56,MATCH(B$93,$A$5:$A$56,0),1):INDEX($B$5:$CW$56,MATCH(B$93,$A$5:$A$56,0),100),$B59:$CW59,"="&amp;"x",$B$3:$CW$3,"="&amp;"Y"),0)</f>
        <v>0</v>
      </c>
      <c r="C94">
        <f ca="1">IFERROR(SUMIFS(INDEX($B$5:$CW$56,MATCH(C$93,$A$5:$A$56,0),1):INDEX($B$5:$CW$56,MATCH(C$93,$A$5:$A$56,0),100),$B59:$CW59,"="&amp;"x",$B$3:$CW$3,"="&amp;"Y"),0)</f>
        <v>0</v>
      </c>
      <c r="D94">
        <f ca="1">IFERROR(SUMIFS(INDEX($B$5:$CW$56,MATCH(D$93,$A$5:$A$56,0),1):INDEX($B$5:$CW$56,MATCH(D$93,$A$5:$A$56,0),100),$B59:$CW59,"="&amp;"x",$B$3:$CW$3,"="&amp;"Y"),0)</f>
        <v>0</v>
      </c>
      <c r="E94">
        <f ca="1">IFERROR(SUMIFS(INDEX($B$5:$CW$56,MATCH(E$93,$A$5:$A$56,0),1):INDEX($B$5:$CW$56,MATCH(E$93,$A$5:$A$56,0),100),$B59:$CW59,"="&amp;"x",$B$3:$CW$3,"="&amp;"Y"),0)</f>
        <v>0</v>
      </c>
      <c r="F94">
        <f ca="1">IFERROR(SUMIFS(INDEX($B$5:$CW$56,MATCH(F$93,$A$5:$A$56,0),1):INDEX($B$5:$CW$56,MATCH(F$93,$A$5:$A$56,0),100),$B59:$CW59,"="&amp;"x",$B$3:$CW$3,"="&amp;"Y"),0)</f>
        <v>0</v>
      </c>
      <c r="G94">
        <f ca="1">IFERROR(SUMIFS(INDEX($B$5:$CW$56,MATCH(G$93,$A$5:$A$56,0),1):INDEX($B$5:$CW$56,MATCH(G$93,$A$5:$A$56,0),100),$B59:$CW59,"="&amp;"x",$B$3:$CW$3,"="&amp;"Y"),0)</f>
        <v>0</v>
      </c>
      <c r="H94">
        <f ca="1">IFERROR(SUMIFS(INDEX($B$5:$CW$56,MATCH(H$93,$A$5:$A$56,0),1):INDEX($B$5:$CW$56,MATCH(H$93,$A$5:$A$56,0),100),$B59:$CW59,"="&amp;"x",$B$3:$CW$3,"="&amp;"Y"),0)</f>
        <v>0</v>
      </c>
      <c r="I94">
        <f ca="1">IFERROR(SUMIFS(INDEX($B$5:$CW$56,MATCH(I$93,$A$5:$A$56,0),1):INDEX($B$5:$CW$56,MATCH(I$93,$A$5:$A$56,0),100),$B59:$CW59,"="&amp;"x",$B$3:$CW$3,"="&amp;"Y"),0)</f>
        <v>0</v>
      </c>
      <c r="J94">
        <f ca="1">IFERROR(SUMIFS(INDEX($B$5:$CW$56,MATCH(J$93,$A$5:$A$56,0),1):INDEX($B$5:$CW$56,MATCH(J$93,$A$5:$A$56,0),100),$B59:$CW59,"="&amp;"x",$B$3:$CW$3,"="&amp;"Y"),0)</f>
        <v>0</v>
      </c>
      <c r="K94">
        <f ca="1">IFERROR(SUMIFS(INDEX($B$5:$CW$56,MATCH(K$93,$A$5:$A$56,0),1):INDEX($B$5:$CW$56,MATCH(K$93,$A$5:$A$56,0),100),$B59:$CW59,"="&amp;"x",$B$3:$CW$3,"="&amp;"Y"),0)</f>
        <v>0</v>
      </c>
      <c r="L94">
        <f ca="1">IFERROR(SUMIFS(INDEX($B$5:$CW$56,MATCH(L$93,$A$5:$A$56,0),1):INDEX($B$5:$CW$56,MATCH(L$93,$A$5:$A$56,0),100),$B59:$CW59,"="&amp;"x",$B$3:$CW$3,"="&amp;"Y"),0)</f>
        <v>0</v>
      </c>
      <c r="M94">
        <f ca="1">IFERROR(SUMIFS(INDEX($B$5:$CW$56,MATCH(M$93,$A$5:$A$56,0),1):INDEX($B$5:$CW$56,MATCH(M$93,$A$5:$A$56,0),100),$B59:$CW59,"="&amp;"x",$B$3:$CW$3,"="&amp;"Y"),0)</f>
        <v>0</v>
      </c>
      <c r="N94">
        <f ca="1">IFERROR(SUMIFS(INDEX($B$5:$CW$56,MATCH(N$93,$A$5:$A$56,0),1):INDEX($B$5:$CW$56,MATCH(N$93,$A$5:$A$56,0),100),$B59:$CW59,"="&amp;"x",$B$3:$CW$3,"="&amp;"Y"),0)</f>
        <v>0</v>
      </c>
      <c r="O94">
        <f ca="1">IFERROR(SUMIFS(INDEX($B$5:$CW$56,MATCH(O$93,$A$5:$A$56,0),1):INDEX($B$5:$CW$56,MATCH(O$93,$A$5:$A$56,0),100),$B59:$CW59,"="&amp;"x",$B$3:$CW$3,"="&amp;"Y"),0)</f>
        <v>0</v>
      </c>
      <c r="P94">
        <f ca="1">IFERROR(SUMIFS(INDEX($B$5:$CW$56,MATCH(P$93,$A$5:$A$56,0),1):INDEX($B$5:$CW$56,MATCH(P$93,$A$5:$A$56,0),100),$B59:$CW59,"="&amp;"x",$B$3:$CW$3,"="&amp;"Y"),0)</f>
        <v>0</v>
      </c>
      <c r="Q94">
        <f ca="1">IFERROR(SUMIFS(INDEX($B$5:$CW$56,MATCH(Q$93,$A$5:$A$56,0),1):INDEX($B$5:$CW$56,MATCH(Q$93,$A$5:$A$56,0),100),$B59:$CW59,"="&amp;"x",$B$3:$CW$3,"="&amp;"Y"),0)</f>
        <v>0</v>
      </c>
      <c r="R94">
        <f ca="1">IFERROR(SUMIFS(INDEX($B$5:$CW$56,MATCH(R$93,$A$5:$A$56,0),1):INDEX($B$5:$CW$56,MATCH(R$93,$A$5:$A$56,0),100),$B59:$CW59,"="&amp;"x",$B$3:$CW$3,"="&amp;"Y"),0)</f>
        <v>0</v>
      </c>
      <c r="S94">
        <f ca="1">IFERROR(SUMIFS(INDEX($B$5:$CW$56,MATCH(S$93,$A$5:$A$56,0),1):INDEX($B$5:$CW$56,MATCH(S$93,$A$5:$A$56,0),100),$B59:$CW59,"="&amp;"x",$B$3:$CW$3,"="&amp;"Y"),0)</f>
        <v>0</v>
      </c>
      <c r="T94">
        <f ca="1">IFERROR(SUMIFS(INDEX($B$5:$CW$56,MATCH(T$93,$A$5:$A$56,0),1):INDEX($B$5:$CW$56,MATCH(T$93,$A$5:$A$56,0),100),$B59:$CW59,"="&amp;"x",$B$3:$CW$3,"="&amp;"Y"),0)</f>
        <v>0</v>
      </c>
      <c r="U94">
        <f ca="1">IFERROR(SUMIFS(INDEX($B$5:$CW$56,MATCH(U$93,$A$5:$A$56,0),1):INDEX($B$5:$CW$56,MATCH(U$93,$A$5:$A$56,0),100),$B59:$CW59,"="&amp;"x",$B$3:$CW$3,"="&amp;"Y"),0)</f>
        <v>0</v>
      </c>
      <c r="V94">
        <f ca="1">IFERROR(SUMIFS(INDEX($B$5:$CW$56,MATCH(V$93,$A$5:$A$56,0),1):INDEX($B$5:$CW$56,MATCH(V$93,$A$5:$A$56,0),100),$B59:$CW59,"="&amp;"x",$B$3:$CW$3,"="&amp;"Y"),0)</f>
        <v>0</v>
      </c>
      <c r="W94">
        <f ca="1">IFERROR(SUMIFS(INDEX($B$5:$CW$56,MATCH(W$93,$A$5:$A$56,0),1):INDEX($B$5:$CW$56,MATCH(W$93,$A$5:$A$56,0),100),$B59:$CW59,"="&amp;"x",$B$3:$CW$3,"="&amp;"Y"),0)</f>
        <v>0</v>
      </c>
      <c r="X94">
        <f ca="1">IFERROR(SUMIFS(INDEX($B$5:$CW$56,MATCH(X$93,$A$5:$A$56,0),1):INDEX($B$5:$CW$56,MATCH(X$93,$A$5:$A$56,0),100),$B59:$CW59,"="&amp;"x",$B$3:$CW$3,"="&amp;"Y"),0)</f>
        <v>0</v>
      </c>
      <c r="Y94">
        <f ca="1">IFERROR(SUMIFS(INDEX($B$5:$CW$56,MATCH(Y$93,$A$5:$A$56,0),1):INDEX($B$5:$CW$56,MATCH(Y$93,$A$5:$A$56,0),100),$B59:$CW59,"="&amp;"x",$B$3:$CW$3,"="&amp;"Y"),0)</f>
        <v>0</v>
      </c>
      <c r="Z94">
        <f ca="1">IFERROR(SUMIFS(INDEX($B$5:$CW$56,MATCH(Z$93,$A$5:$A$56,0),1):INDEX($B$5:$CW$56,MATCH(Z$93,$A$5:$A$56,0),100),$B59:$CW59,"="&amp;"x",$B$3:$CW$3,"="&amp;"Y"),0)</f>
        <v>0</v>
      </c>
      <c r="AA94">
        <f ca="1">IFERROR(SUMIFS(INDEX($B$5:$CW$56,MATCH(AA$93,$A$5:$A$56,0),1):INDEX($B$5:$CW$56,MATCH(AA$93,$A$5:$A$56,0),100),$B59:$CW59,"="&amp;"x",$B$3:$CW$3,"="&amp;"Y"),0)</f>
        <v>0</v>
      </c>
      <c r="AB94">
        <f ca="1">IFERROR(SUMIFS(INDEX($B$5:$CW$56,MATCH(AB$93,$A$5:$A$56,0),1):INDEX($B$5:$CW$56,MATCH(AB$93,$A$5:$A$56,0),100),$B59:$CW59,"="&amp;"x",$B$3:$CW$3,"="&amp;"Y"),0)</f>
        <v>0</v>
      </c>
      <c r="AC94">
        <f ca="1">IFERROR(SUMIFS(INDEX($B$5:$CW$56,MATCH(AC$93,$A$5:$A$56,0),1):INDEX($B$5:$CW$56,MATCH(AC$93,$A$5:$A$56,0),100),$B59:$CW59,"="&amp;"x",$B$3:$CW$3,"="&amp;"Y"),0)</f>
        <v>0</v>
      </c>
      <c r="AD94">
        <f ca="1">IFERROR(SUMIFS(INDEX($B$5:$CW$56,MATCH(AD$93,$A$5:$A$56,0),1):INDEX($B$5:$CW$56,MATCH(AD$93,$A$5:$A$56,0),100),$B59:$CW59,"="&amp;"x",$B$3:$CW$3,"="&amp;"Y"),0)</f>
        <v>0</v>
      </c>
      <c r="AE94">
        <f ca="1">IFERROR(SUMIFS(INDEX($B$5:$CW$56,MATCH(AE$93,$A$5:$A$56,0),1):INDEX($B$5:$CW$56,MATCH(AE$93,$A$5:$A$56,0),100),$B59:$CW59,"="&amp;"x",$B$3:$CW$3,"="&amp;"Y"),0)</f>
        <v>0</v>
      </c>
      <c r="AF94">
        <f ca="1">IFERROR(SUMIFS(INDEX($B$5:$CW$56,MATCH(AF$93,$A$5:$A$56,0),1):INDEX($B$5:$CW$56,MATCH(AF$93,$A$5:$A$56,0),100),$B59:$CW59,"="&amp;"x",$B$3:$CW$3,"="&amp;"Y"),0)</f>
        <v>0</v>
      </c>
      <c r="AG94">
        <f ca="1">IFERROR(SUMIFS(INDEX($B$5:$CW$56,MATCH(AG$93,$A$5:$A$56,0),1):INDEX($B$5:$CW$56,MATCH(AG$93,$A$5:$A$56,0),100),$B59:$CW59,"="&amp;"x",$B$3:$CW$3,"="&amp;"Y"),0)</f>
        <v>0</v>
      </c>
      <c r="AH94">
        <f ca="1">IFERROR(SUMIFS(INDEX($B$5:$CW$56,MATCH(AH$93,$A$5:$A$56,0),1):INDEX($B$5:$CW$56,MATCH(AH$93,$A$5:$A$56,0),100),$B59:$CW59,"="&amp;"x",$B$3:$CW$3,"="&amp;"Y"),0)</f>
        <v>0</v>
      </c>
      <c r="AI94">
        <f ca="1">IFERROR(SUMIFS(INDEX($B$5:$CW$56,MATCH(AI$93,$A$5:$A$56,0),1):INDEX($B$5:$CW$56,MATCH(AI$93,$A$5:$A$56,0),100),$B59:$CW59,"="&amp;"x",$B$3:$CW$3,"="&amp;"Y"),0)</f>
        <v>0</v>
      </c>
      <c r="AJ94">
        <f ca="1">IFERROR(SUMIFS(INDEX($B$5:$CW$56,MATCH(AJ$93,$A$5:$A$56,0),1):INDEX($B$5:$CW$56,MATCH(AJ$93,$A$5:$A$56,0),100),$B59:$CW59,"="&amp;"x",$B$3:$CW$3,"="&amp;"Y"),0)</f>
        <v>0</v>
      </c>
      <c r="AK94">
        <f ca="1">IFERROR(SUMIFS(INDEX($B$5:$CW$56,MATCH(AK$93,$A$5:$A$56,0),1):INDEX($B$5:$CW$56,MATCH(AK$93,$A$5:$A$56,0),100),$B59:$CW59,"="&amp;"x",$B$3:$CW$3,"="&amp;"Y"),0)</f>
        <v>0</v>
      </c>
      <c r="AL94">
        <f ca="1">IFERROR(SUMIFS(INDEX($B$5:$CW$56,MATCH(AL$93,$A$5:$A$56,0),1):INDEX($B$5:$CW$56,MATCH(AL$93,$A$5:$A$56,0),100),$B59:$CW59,"="&amp;"x",$B$3:$CW$3,"="&amp;"Y"),0)</f>
        <v>0</v>
      </c>
      <c r="AM94">
        <f ca="1">IFERROR(SUMIFS(INDEX($B$5:$CW$56,MATCH(AM$93,$A$5:$A$56,0),1):INDEX($B$5:$CW$56,MATCH(AM$93,$A$5:$A$56,0),100),$B59:$CW59,"="&amp;"x",$B$3:$CW$3,"="&amp;"Y"),0)</f>
        <v>0</v>
      </c>
      <c r="AN94">
        <f ca="1">IFERROR(SUMIFS(INDEX($B$5:$CW$56,MATCH(AN$93,$A$5:$A$56,0),1):INDEX($B$5:$CW$56,MATCH(AN$93,$A$5:$A$56,0),100),$B59:$CW59,"="&amp;"x",$B$3:$CW$3,"="&amp;"Y"),0)</f>
        <v>0</v>
      </c>
      <c r="AO94">
        <f ca="1">IFERROR(SUMIFS(INDEX($B$5:$CW$56,MATCH(AO$93,$A$5:$A$56,0),1):INDEX($B$5:$CW$56,MATCH(AO$93,$A$5:$A$56,0),100),$B59:$CW59,"="&amp;"x",$B$3:$CW$3,"="&amp;"Y"),0)</f>
        <v>0</v>
      </c>
      <c r="AP94">
        <f ca="1">IFERROR(SUMIFS(INDEX($B$5:$CW$56,MATCH(AP$93,$A$5:$A$56,0),1):INDEX($B$5:$CW$56,MATCH(AP$93,$A$5:$A$56,0),100),$B59:$CW59,"="&amp;"x",$B$3:$CW$3,"="&amp;"Y"),0)</f>
        <v>0</v>
      </c>
      <c r="AQ94">
        <f ca="1">IFERROR(SUMIFS(INDEX($B$5:$CW$56,MATCH(AQ$93,$A$5:$A$56,0),1):INDEX($B$5:$CW$56,MATCH(AQ$93,$A$5:$A$56,0),100),$B59:$CW59,"="&amp;"x",$B$3:$CW$3,"="&amp;"Y"),0)</f>
        <v>0</v>
      </c>
      <c r="AR94">
        <f ca="1">IFERROR(SUMIFS(INDEX($B$5:$CW$56,MATCH(AR$93,$A$5:$A$56,0),1):INDEX($B$5:$CW$56,MATCH(AR$93,$A$5:$A$56,0),100),$B59:$CW59,"="&amp;"x",$B$3:$CW$3,"="&amp;"Y"),0)</f>
        <v>0</v>
      </c>
      <c r="AS94">
        <f ca="1">IFERROR(SUMIFS(INDEX($B$5:$CW$56,MATCH(AS$93,$A$5:$A$56,0),1):INDEX($B$5:$CW$56,MATCH(AS$93,$A$5:$A$56,0),100),$B59:$CW59,"="&amp;"x",$B$3:$CW$3,"="&amp;"Y"),0)</f>
        <v>0</v>
      </c>
      <c r="AT94">
        <f ca="1">IFERROR(SUMIFS(INDEX($B$5:$CW$56,MATCH(AT$93,$A$5:$A$56,0),1):INDEX($B$5:$CW$56,MATCH(AT$93,$A$5:$A$56,0),100),$B59:$CW59,"="&amp;"x",$B$3:$CW$3,"="&amp;"Y"),0)</f>
        <v>0</v>
      </c>
      <c r="AU94">
        <f ca="1">IFERROR(SUMIFS(INDEX($B$5:$CW$56,MATCH(AU$93,$A$5:$A$56,0),1):INDEX($B$5:$CW$56,MATCH(AU$93,$A$5:$A$56,0),100),$B59:$CW59,"="&amp;"x",$B$3:$CW$3,"="&amp;"Y"),0)</f>
        <v>0</v>
      </c>
      <c r="AV94">
        <f ca="1">IFERROR(SUMIFS(INDEX($B$5:$CW$56,MATCH(AV$93,$A$5:$A$56,0),1):INDEX($B$5:$CW$56,MATCH(AV$93,$A$5:$A$56,0),100),$B59:$CW59,"="&amp;"x",$B$3:$CW$3,"="&amp;"Y"),0)</f>
        <v>0</v>
      </c>
      <c r="AW94">
        <f ca="1">IFERROR(SUMIFS(INDEX($B$5:$CW$56,MATCH(AW$93,$A$5:$A$56,0),1):INDEX($B$5:$CW$56,MATCH(AW$93,$A$5:$A$56,0),100),$B59:$CW59,"="&amp;"x",$B$3:$CW$3,"="&amp;"Y"),0)</f>
        <v>0</v>
      </c>
      <c r="AX94">
        <f ca="1">IFERROR(SUMIFS(INDEX($B$5:$CW$56,MATCH(AX$93,$A$5:$A$56,0),1):INDEX($B$5:$CW$56,MATCH(AX$93,$A$5:$A$56,0),100),$B59:$CW59,"="&amp;"x",$B$3:$CW$3,"="&amp;"Y"),0)</f>
        <v>0</v>
      </c>
      <c r="AY94">
        <f ca="1">IFERROR(SUMIFS(INDEX($B$5:$CW$56,MATCH(AY$93,$A$5:$A$56,0),1):INDEX($B$5:$CW$56,MATCH(AY$93,$A$5:$A$56,0),100),$B59:$CW59,"="&amp;"x",$B$3:$CW$3,"="&amp;"Y"),0)</f>
        <v>0</v>
      </c>
      <c r="AZ94">
        <f ca="1">IFERROR(SUMIFS(INDEX($B$5:$CW$56,MATCH(AZ$93,$A$5:$A$56,0),1):INDEX($B$5:$CW$56,MATCH(AZ$93,$A$5:$A$56,0),100),$B59:$CW59,"="&amp;"x",$B$3:$CW$3,"="&amp;"Y"),0)</f>
        <v>0</v>
      </c>
      <c r="BA94">
        <f ca="1">IFERROR(SUMIFS(INDEX($B$5:$CW$56,MATCH(BA$93,$A$5:$A$56,0),1):INDEX($B$5:$CW$56,MATCH(BA$93,$A$5:$A$56,0),100),$B59:$CW59,"="&amp;"x",$B$3:$CW$3,"="&amp;"Y"),0)</f>
        <v>0</v>
      </c>
      <c r="BC94">
        <f ca="1">AVERAGE(B94:BA94)</f>
        <v>0</v>
      </c>
    </row>
    <row r="95" spans="1:55" x14ac:dyDescent="0.35">
      <c r="A95" s="2" t="str" cm="1">
        <f t="array" ref="A95">INDEX('Data Validation (Hide)'!$B$2:$B$16,ROW(A2),1)</f>
        <v>Caseload 2</v>
      </c>
      <c r="B95">
        <f ca="1">IFERROR(SUMIFS(INDEX($B$5:$CW$56,MATCH(B$93,$A$5:$A$56,0),1):INDEX($B$5:$CW$56,MATCH(B$93,$A$5:$A$56,0),100),$B60:$CW60,"="&amp;"x",$B$3:$CW$3,"="&amp;"Y"),0)</f>
        <v>0</v>
      </c>
      <c r="C95">
        <f ca="1">IFERROR(SUMIFS(INDEX($B$5:$CW$56,MATCH(C$93,$A$5:$A$56,0),1):INDEX($B$5:$CW$56,MATCH(C$93,$A$5:$A$56,0),100),$B60:$CW60,"="&amp;"x",$B$3:$CW$3,"="&amp;"Y"),0)</f>
        <v>0</v>
      </c>
      <c r="D95">
        <f ca="1">IFERROR(SUMIFS(INDEX($B$5:$CW$56,MATCH(D$93,$A$5:$A$56,0),1):INDEX($B$5:$CW$56,MATCH(D$93,$A$5:$A$56,0),100),$B60:$CW60,"="&amp;"x",$B$3:$CW$3,"="&amp;"Y"),0)</f>
        <v>0</v>
      </c>
      <c r="E95">
        <f ca="1">IFERROR(SUMIFS(INDEX($B$5:$CW$56,MATCH(E$93,$A$5:$A$56,0),1):INDEX($B$5:$CW$56,MATCH(E$93,$A$5:$A$56,0),100),$B60:$CW60,"="&amp;"x",$B$3:$CW$3,"="&amp;"Y"),0)</f>
        <v>0</v>
      </c>
      <c r="F95">
        <f ca="1">IFERROR(SUMIFS(INDEX($B$5:$CW$56,MATCH(F$93,$A$5:$A$56,0),1):INDEX($B$5:$CW$56,MATCH(F$93,$A$5:$A$56,0),100),$B60:$CW60,"="&amp;"x",$B$3:$CW$3,"="&amp;"Y"),0)</f>
        <v>0</v>
      </c>
      <c r="G95">
        <f ca="1">IFERROR(SUMIFS(INDEX($B$5:$CW$56,MATCH(G$93,$A$5:$A$56,0),1):INDEX($B$5:$CW$56,MATCH(G$93,$A$5:$A$56,0),100),$B60:$CW60,"="&amp;"x",$B$3:$CW$3,"="&amp;"Y"),0)</f>
        <v>0</v>
      </c>
      <c r="H95">
        <f ca="1">IFERROR(SUMIFS(INDEX($B$5:$CW$56,MATCH(H$93,$A$5:$A$56,0),1):INDEX($B$5:$CW$56,MATCH(H$93,$A$5:$A$56,0),100),$B60:$CW60,"="&amp;"x",$B$3:$CW$3,"="&amp;"Y"),0)</f>
        <v>0</v>
      </c>
      <c r="I95">
        <f ca="1">IFERROR(SUMIFS(INDEX($B$5:$CW$56,MATCH(I$93,$A$5:$A$56,0),1):INDEX($B$5:$CW$56,MATCH(I$93,$A$5:$A$56,0),100),$B60:$CW60,"="&amp;"x",$B$3:$CW$3,"="&amp;"Y"),0)</f>
        <v>0</v>
      </c>
      <c r="J95">
        <f ca="1">IFERROR(SUMIFS(INDEX($B$5:$CW$56,MATCH(J$93,$A$5:$A$56,0),1):INDEX($B$5:$CW$56,MATCH(J$93,$A$5:$A$56,0),100),$B60:$CW60,"="&amp;"x",$B$3:$CW$3,"="&amp;"Y"),0)</f>
        <v>0</v>
      </c>
      <c r="K95">
        <f ca="1">IFERROR(SUMIFS(INDEX($B$5:$CW$56,MATCH(K$93,$A$5:$A$56,0),1):INDEX($B$5:$CW$56,MATCH(K$93,$A$5:$A$56,0),100),$B60:$CW60,"="&amp;"x",$B$3:$CW$3,"="&amp;"Y"),0)</f>
        <v>0</v>
      </c>
      <c r="L95">
        <f ca="1">IFERROR(SUMIFS(INDEX($B$5:$CW$56,MATCH(L$93,$A$5:$A$56,0),1):INDEX($B$5:$CW$56,MATCH(L$93,$A$5:$A$56,0),100),$B60:$CW60,"="&amp;"x",$B$3:$CW$3,"="&amp;"Y"),0)</f>
        <v>0</v>
      </c>
      <c r="M95">
        <f ca="1">IFERROR(SUMIFS(INDEX($B$5:$CW$56,MATCH(M$93,$A$5:$A$56,0),1):INDEX($B$5:$CW$56,MATCH(M$93,$A$5:$A$56,0),100),$B60:$CW60,"="&amp;"x",$B$3:$CW$3,"="&amp;"Y"),0)</f>
        <v>0</v>
      </c>
      <c r="N95">
        <f ca="1">IFERROR(SUMIFS(INDEX($B$5:$CW$56,MATCH(N$93,$A$5:$A$56,0),1):INDEX($B$5:$CW$56,MATCH(N$93,$A$5:$A$56,0),100),$B60:$CW60,"="&amp;"x",$B$3:$CW$3,"="&amp;"Y"),0)</f>
        <v>0</v>
      </c>
      <c r="O95">
        <f ca="1">IFERROR(SUMIFS(INDEX($B$5:$CW$56,MATCH(O$93,$A$5:$A$56,0),1):INDEX($B$5:$CW$56,MATCH(O$93,$A$5:$A$56,0),100),$B60:$CW60,"="&amp;"x",$B$3:$CW$3,"="&amp;"Y"),0)</f>
        <v>0</v>
      </c>
      <c r="P95">
        <f ca="1">IFERROR(SUMIFS(INDEX($B$5:$CW$56,MATCH(P$93,$A$5:$A$56,0),1):INDEX($B$5:$CW$56,MATCH(P$93,$A$5:$A$56,0),100),$B60:$CW60,"="&amp;"x",$B$3:$CW$3,"="&amp;"Y"),0)</f>
        <v>0</v>
      </c>
      <c r="Q95">
        <f ca="1">IFERROR(SUMIFS(INDEX($B$5:$CW$56,MATCH(Q$93,$A$5:$A$56,0),1):INDEX($B$5:$CW$56,MATCH(Q$93,$A$5:$A$56,0),100),$B60:$CW60,"="&amp;"x",$B$3:$CW$3,"="&amp;"Y"),0)</f>
        <v>0</v>
      </c>
      <c r="R95">
        <f ca="1">IFERROR(SUMIFS(INDEX($B$5:$CW$56,MATCH(R$93,$A$5:$A$56,0),1):INDEX($B$5:$CW$56,MATCH(R$93,$A$5:$A$56,0),100),$B60:$CW60,"="&amp;"x",$B$3:$CW$3,"="&amp;"Y"),0)</f>
        <v>0</v>
      </c>
      <c r="S95">
        <f ca="1">IFERROR(SUMIFS(INDEX($B$5:$CW$56,MATCH(S$93,$A$5:$A$56,0),1):INDEX($B$5:$CW$56,MATCH(S$93,$A$5:$A$56,0),100),$B60:$CW60,"="&amp;"x",$B$3:$CW$3,"="&amp;"Y"),0)</f>
        <v>0</v>
      </c>
      <c r="T95">
        <f ca="1">IFERROR(SUMIFS(INDEX($B$5:$CW$56,MATCH(T$93,$A$5:$A$56,0),1):INDEX($B$5:$CW$56,MATCH(T$93,$A$5:$A$56,0),100),$B60:$CW60,"="&amp;"x",$B$3:$CW$3,"="&amp;"Y"),0)</f>
        <v>0</v>
      </c>
      <c r="U95">
        <f ca="1">IFERROR(SUMIFS(INDEX($B$5:$CW$56,MATCH(U$93,$A$5:$A$56,0),1):INDEX($B$5:$CW$56,MATCH(U$93,$A$5:$A$56,0),100),$B60:$CW60,"="&amp;"x",$B$3:$CW$3,"="&amp;"Y"),0)</f>
        <v>0</v>
      </c>
      <c r="V95">
        <f ca="1">IFERROR(SUMIFS(INDEX($B$5:$CW$56,MATCH(V$93,$A$5:$A$56,0),1):INDEX($B$5:$CW$56,MATCH(V$93,$A$5:$A$56,0),100),$B60:$CW60,"="&amp;"x",$B$3:$CW$3,"="&amp;"Y"),0)</f>
        <v>0</v>
      </c>
      <c r="W95">
        <f ca="1">IFERROR(SUMIFS(INDEX($B$5:$CW$56,MATCH(W$93,$A$5:$A$56,0),1):INDEX($B$5:$CW$56,MATCH(W$93,$A$5:$A$56,0),100),$B60:$CW60,"="&amp;"x",$B$3:$CW$3,"="&amp;"Y"),0)</f>
        <v>0</v>
      </c>
      <c r="X95">
        <f ca="1">IFERROR(SUMIFS(INDEX($B$5:$CW$56,MATCH(X$93,$A$5:$A$56,0),1):INDEX($B$5:$CW$56,MATCH(X$93,$A$5:$A$56,0),100),$B60:$CW60,"="&amp;"x",$B$3:$CW$3,"="&amp;"Y"),0)</f>
        <v>0</v>
      </c>
      <c r="Y95">
        <f ca="1">IFERROR(SUMIFS(INDEX($B$5:$CW$56,MATCH(Y$93,$A$5:$A$56,0),1):INDEX($B$5:$CW$56,MATCH(Y$93,$A$5:$A$56,0),100),$B60:$CW60,"="&amp;"x",$B$3:$CW$3,"="&amp;"Y"),0)</f>
        <v>0</v>
      </c>
      <c r="Z95">
        <f ca="1">IFERROR(SUMIFS(INDEX($B$5:$CW$56,MATCH(Z$93,$A$5:$A$56,0),1):INDEX($B$5:$CW$56,MATCH(Z$93,$A$5:$A$56,0),100),$B60:$CW60,"="&amp;"x",$B$3:$CW$3,"="&amp;"Y"),0)</f>
        <v>0</v>
      </c>
      <c r="AA95">
        <f ca="1">IFERROR(SUMIFS(INDEX($B$5:$CW$56,MATCH(AA$93,$A$5:$A$56,0),1):INDEX($B$5:$CW$56,MATCH(AA$93,$A$5:$A$56,0),100),$B60:$CW60,"="&amp;"x",$B$3:$CW$3,"="&amp;"Y"),0)</f>
        <v>0</v>
      </c>
      <c r="AB95">
        <f ca="1">IFERROR(SUMIFS(INDEX($B$5:$CW$56,MATCH(AB$93,$A$5:$A$56,0),1):INDEX($B$5:$CW$56,MATCH(AB$93,$A$5:$A$56,0),100),$B60:$CW60,"="&amp;"x",$B$3:$CW$3,"="&amp;"Y"),0)</f>
        <v>0</v>
      </c>
      <c r="AC95">
        <f ca="1">IFERROR(SUMIFS(INDEX($B$5:$CW$56,MATCH(AC$93,$A$5:$A$56,0),1):INDEX($B$5:$CW$56,MATCH(AC$93,$A$5:$A$56,0),100),$B60:$CW60,"="&amp;"x",$B$3:$CW$3,"="&amp;"Y"),0)</f>
        <v>0</v>
      </c>
      <c r="AD95">
        <f ca="1">IFERROR(SUMIFS(INDEX($B$5:$CW$56,MATCH(AD$93,$A$5:$A$56,0),1):INDEX($B$5:$CW$56,MATCH(AD$93,$A$5:$A$56,0),100),$B60:$CW60,"="&amp;"x",$B$3:$CW$3,"="&amp;"Y"),0)</f>
        <v>0</v>
      </c>
      <c r="AE95">
        <f ca="1">IFERROR(SUMIFS(INDEX($B$5:$CW$56,MATCH(AE$93,$A$5:$A$56,0),1):INDEX($B$5:$CW$56,MATCH(AE$93,$A$5:$A$56,0),100),$B60:$CW60,"="&amp;"x",$B$3:$CW$3,"="&amp;"Y"),0)</f>
        <v>0</v>
      </c>
      <c r="AF95">
        <f ca="1">IFERROR(SUMIFS(INDEX($B$5:$CW$56,MATCH(AF$93,$A$5:$A$56,0),1):INDEX($B$5:$CW$56,MATCH(AF$93,$A$5:$A$56,0),100),$B60:$CW60,"="&amp;"x",$B$3:$CW$3,"="&amp;"Y"),0)</f>
        <v>0</v>
      </c>
      <c r="AG95">
        <f ca="1">IFERROR(SUMIFS(INDEX($B$5:$CW$56,MATCH(AG$93,$A$5:$A$56,0),1):INDEX($B$5:$CW$56,MATCH(AG$93,$A$5:$A$56,0),100),$B60:$CW60,"="&amp;"x",$B$3:$CW$3,"="&amp;"Y"),0)</f>
        <v>0</v>
      </c>
      <c r="AH95">
        <f ca="1">IFERROR(SUMIFS(INDEX($B$5:$CW$56,MATCH(AH$93,$A$5:$A$56,0),1):INDEX($B$5:$CW$56,MATCH(AH$93,$A$5:$A$56,0),100),$B60:$CW60,"="&amp;"x",$B$3:$CW$3,"="&amp;"Y"),0)</f>
        <v>0</v>
      </c>
      <c r="AI95">
        <f ca="1">IFERROR(SUMIFS(INDEX($B$5:$CW$56,MATCH(AI$93,$A$5:$A$56,0),1):INDEX($B$5:$CW$56,MATCH(AI$93,$A$5:$A$56,0),100),$B60:$CW60,"="&amp;"x",$B$3:$CW$3,"="&amp;"Y"),0)</f>
        <v>0</v>
      </c>
      <c r="AJ95">
        <f ca="1">IFERROR(SUMIFS(INDEX($B$5:$CW$56,MATCH(AJ$93,$A$5:$A$56,0),1):INDEX($B$5:$CW$56,MATCH(AJ$93,$A$5:$A$56,0),100),$B60:$CW60,"="&amp;"x",$B$3:$CW$3,"="&amp;"Y"),0)</f>
        <v>0</v>
      </c>
      <c r="AK95">
        <f ca="1">IFERROR(SUMIFS(INDEX($B$5:$CW$56,MATCH(AK$93,$A$5:$A$56,0),1):INDEX($B$5:$CW$56,MATCH(AK$93,$A$5:$A$56,0),100),$B60:$CW60,"="&amp;"x",$B$3:$CW$3,"="&amp;"Y"),0)</f>
        <v>0</v>
      </c>
      <c r="AL95">
        <f ca="1">IFERROR(SUMIFS(INDEX($B$5:$CW$56,MATCH(AL$93,$A$5:$A$56,0),1):INDEX($B$5:$CW$56,MATCH(AL$93,$A$5:$A$56,0),100),$B60:$CW60,"="&amp;"x",$B$3:$CW$3,"="&amp;"Y"),0)</f>
        <v>0</v>
      </c>
      <c r="AM95">
        <f ca="1">IFERROR(SUMIFS(INDEX($B$5:$CW$56,MATCH(AM$93,$A$5:$A$56,0),1):INDEX($B$5:$CW$56,MATCH(AM$93,$A$5:$A$56,0),100),$B60:$CW60,"="&amp;"x",$B$3:$CW$3,"="&amp;"Y"),0)</f>
        <v>0</v>
      </c>
      <c r="AN95">
        <f ca="1">IFERROR(SUMIFS(INDEX($B$5:$CW$56,MATCH(AN$93,$A$5:$A$56,0),1):INDEX($B$5:$CW$56,MATCH(AN$93,$A$5:$A$56,0),100),$B60:$CW60,"="&amp;"x",$B$3:$CW$3,"="&amp;"Y"),0)</f>
        <v>0</v>
      </c>
      <c r="AO95">
        <f ca="1">IFERROR(SUMIFS(INDEX($B$5:$CW$56,MATCH(AO$93,$A$5:$A$56,0),1):INDEX($B$5:$CW$56,MATCH(AO$93,$A$5:$A$56,0),100),$B60:$CW60,"="&amp;"x",$B$3:$CW$3,"="&amp;"Y"),0)</f>
        <v>0</v>
      </c>
      <c r="AP95">
        <f ca="1">IFERROR(SUMIFS(INDEX($B$5:$CW$56,MATCH(AP$93,$A$5:$A$56,0),1):INDEX($B$5:$CW$56,MATCH(AP$93,$A$5:$A$56,0),100),$B60:$CW60,"="&amp;"x",$B$3:$CW$3,"="&amp;"Y"),0)</f>
        <v>0</v>
      </c>
      <c r="AQ95">
        <f ca="1">IFERROR(SUMIFS(INDEX($B$5:$CW$56,MATCH(AQ$93,$A$5:$A$56,0),1):INDEX($B$5:$CW$56,MATCH(AQ$93,$A$5:$A$56,0),100),$B60:$CW60,"="&amp;"x",$B$3:$CW$3,"="&amp;"Y"),0)</f>
        <v>0</v>
      </c>
      <c r="AR95">
        <f ca="1">IFERROR(SUMIFS(INDEX($B$5:$CW$56,MATCH(AR$93,$A$5:$A$56,0),1):INDEX($B$5:$CW$56,MATCH(AR$93,$A$5:$A$56,0),100),$B60:$CW60,"="&amp;"x",$B$3:$CW$3,"="&amp;"Y"),0)</f>
        <v>0</v>
      </c>
      <c r="AS95">
        <f ca="1">IFERROR(SUMIFS(INDEX($B$5:$CW$56,MATCH(AS$93,$A$5:$A$56,0),1):INDEX($B$5:$CW$56,MATCH(AS$93,$A$5:$A$56,0),100),$B60:$CW60,"="&amp;"x",$B$3:$CW$3,"="&amp;"Y"),0)</f>
        <v>0</v>
      </c>
      <c r="AT95">
        <f ca="1">IFERROR(SUMIFS(INDEX($B$5:$CW$56,MATCH(AT$93,$A$5:$A$56,0),1):INDEX($B$5:$CW$56,MATCH(AT$93,$A$5:$A$56,0),100),$B60:$CW60,"="&amp;"x",$B$3:$CW$3,"="&amp;"Y"),0)</f>
        <v>0</v>
      </c>
      <c r="AU95">
        <f ca="1">IFERROR(SUMIFS(INDEX($B$5:$CW$56,MATCH(AU$93,$A$5:$A$56,0),1):INDEX($B$5:$CW$56,MATCH(AU$93,$A$5:$A$56,0),100),$B60:$CW60,"="&amp;"x",$B$3:$CW$3,"="&amp;"Y"),0)</f>
        <v>0</v>
      </c>
      <c r="AV95">
        <f ca="1">IFERROR(SUMIFS(INDEX($B$5:$CW$56,MATCH(AV$93,$A$5:$A$56,0),1):INDEX($B$5:$CW$56,MATCH(AV$93,$A$5:$A$56,0),100),$B60:$CW60,"="&amp;"x",$B$3:$CW$3,"="&amp;"Y"),0)</f>
        <v>0</v>
      </c>
      <c r="AW95">
        <f ca="1">IFERROR(SUMIFS(INDEX($B$5:$CW$56,MATCH(AW$93,$A$5:$A$56,0),1):INDEX($B$5:$CW$56,MATCH(AW$93,$A$5:$A$56,0),100),$B60:$CW60,"="&amp;"x",$B$3:$CW$3,"="&amp;"Y"),0)</f>
        <v>0</v>
      </c>
      <c r="AX95">
        <f ca="1">IFERROR(SUMIFS(INDEX($B$5:$CW$56,MATCH(AX$93,$A$5:$A$56,0),1):INDEX($B$5:$CW$56,MATCH(AX$93,$A$5:$A$56,0),100),$B60:$CW60,"="&amp;"x",$B$3:$CW$3,"="&amp;"Y"),0)</f>
        <v>0</v>
      </c>
      <c r="AY95">
        <f ca="1">IFERROR(SUMIFS(INDEX($B$5:$CW$56,MATCH(AY$93,$A$5:$A$56,0),1):INDEX($B$5:$CW$56,MATCH(AY$93,$A$5:$A$56,0),100),$B60:$CW60,"="&amp;"x",$B$3:$CW$3,"="&amp;"Y"),0)</f>
        <v>0</v>
      </c>
      <c r="AZ95">
        <f ca="1">IFERROR(SUMIFS(INDEX($B$5:$CW$56,MATCH(AZ$93,$A$5:$A$56,0),1):INDEX($B$5:$CW$56,MATCH(AZ$93,$A$5:$A$56,0),100),$B60:$CW60,"="&amp;"x",$B$3:$CW$3,"="&amp;"Y"),0)</f>
        <v>0</v>
      </c>
      <c r="BA95">
        <f ca="1">IFERROR(SUMIFS(INDEX($B$5:$CW$56,MATCH(BA$93,$A$5:$A$56,0),1):INDEX($B$5:$CW$56,MATCH(BA$93,$A$5:$A$56,0),100),$B60:$CW60,"="&amp;"x",$B$3:$CW$3,"="&amp;"Y"),0)</f>
        <v>0</v>
      </c>
      <c r="BC95">
        <f t="shared" ref="BC95:BC108" ca="1" si="2">AVERAGE(B95:BA95)</f>
        <v>0</v>
      </c>
    </row>
    <row r="96" spans="1:55" x14ac:dyDescent="0.35">
      <c r="A96" s="2" t="str" cm="1">
        <f t="array" ref="A96">INDEX('Data Validation (Hide)'!$B$2:$B$16,ROW(A3),1)</f>
        <v>Caseload 3</v>
      </c>
      <c r="B96">
        <f ca="1">IFERROR(SUMIFS(INDEX($B$5:$CW$56,MATCH(B$93,$A$5:$A$56,0),1):INDEX($B$5:$CW$56,MATCH(B$93,$A$5:$A$56,0),100),$B61:$CW61,"="&amp;"x",$B$3:$CW$3,"="&amp;"Y"),0)</f>
        <v>0</v>
      </c>
      <c r="C96">
        <f ca="1">IFERROR(SUMIFS(INDEX($B$5:$CW$56,MATCH(C$93,$A$5:$A$56,0),1):INDEX($B$5:$CW$56,MATCH(C$93,$A$5:$A$56,0),100),$B61:$CW61,"="&amp;"x",$B$3:$CW$3,"="&amp;"Y"),0)</f>
        <v>0</v>
      </c>
      <c r="D96">
        <f ca="1">IFERROR(SUMIFS(INDEX($B$5:$CW$56,MATCH(D$93,$A$5:$A$56,0),1):INDEX($B$5:$CW$56,MATCH(D$93,$A$5:$A$56,0),100),$B61:$CW61,"="&amp;"x",$B$3:$CW$3,"="&amp;"Y"),0)</f>
        <v>0</v>
      </c>
      <c r="E96">
        <f ca="1">IFERROR(SUMIFS(INDEX($B$5:$CW$56,MATCH(E$93,$A$5:$A$56,0),1):INDEX($B$5:$CW$56,MATCH(E$93,$A$5:$A$56,0),100),$B61:$CW61,"="&amp;"x",$B$3:$CW$3,"="&amp;"Y"),0)</f>
        <v>0</v>
      </c>
      <c r="F96">
        <f ca="1">IFERROR(SUMIFS(INDEX($B$5:$CW$56,MATCH(F$93,$A$5:$A$56,0),1):INDEX($B$5:$CW$56,MATCH(F$93,$A$5:$A$56,0),100),$B61:$CW61,"="&amp;"x",$B$3:$CW$3,"="&amp;"Y"),0)</f>
        <v>0</v>
      </c>
      <c r="G96">
        <f ca="1">IFERROR(SUMIFS(INDEX($B$5:$CW$56,MATCH(G$93,$A$5:$A$56,0),1):INDEX($B$5:$CW$56,MATCH(G$93,$A$5:$A$56,0),100),$B61:$CW61,"="&amp;"x",$B$3:$CW$3,"="&amp;"Y"),0)</f>
        <v>0</v>
      </c>
      <c r="H96">
        <f ca="1">IFERROR(SUMIFS(INDEX($B$5:$CW$56,MATCH(H$93,$A$5:$A$56,0),1):INDEX($B$5:$CW$56,MATCH(H$93,$A$5:$A$56,0),100),$B61:$CW61,"="&amp;"x",$B$3:$CW$3,"="&amp;"Y"),0)</f>
        <v>0</v>
      </c>
      <c r="I96">
        <f ca="1">IFERROR(SUMIFS(INDEX($B$5:$CW$56,MATCH(I$93,$A$5:$A$56,0),1):INDEX($B$5:$CW$56,MATCH(I$93,$A$5:$A$56,0),100),$B61:$CW61,"="&amp;"x",$B$3:$CW$3,"="&amp;"Y"),0)</f>
        <v>0</v>
      </c>
      <c r="J96">
        <f ca="1">IFERROR(SUMIFS(INDEX($B$5:$CW$56,MATCH(J$93,$A$5:$A$56,0),1):INDEX($B$5:$CW$56,MATCH(J$93,$A$5:$A$56,0),100),$B61:$CW61,"="&amp;"x",$B$3:$CW$3,"="&amp;"Y"),0)</f>
        <v>0</v>
      </c>
      <c r="K96">
        <f ca="1">IFERROR(SUMIFS(INDEX($B$5:$CW$56,MATCH(K$93,$A$5:$A$56,0),1):INDEX($B$5:$CW$56,MATCH(K$93,$A$5:$A$56,0),100),$B61:$CW61,"="&amp;"x",$B$3:$CW$3,"="&amp;"Y"),0)</f>
        <v>0</v>
      </c>
      <c r="L96">
        <f ca="1">IFERROR(SUMIFS(INDEX($B$5:$CW$56,MATCH(L$93,$A$5:$A$56,0),1):INDEX($B$5:$CW$56,MATCH(L$93,$A$5:$A$56,0),100),$B61:$CW61,"="&amp;"x",$B$3:$CW$3,"="&amp;"Y"),0)</f>
        <v>0</v>
      </c>
      <c r="M96">
        <f ca="1">IFERROR(SUMIFS(INDEX($B$5:$CW$56,MATCH(M$93,$A$5:$A$56,0),1):INDEX($B$5:$CW$56,MATCH(M$93,$A$5:$A$56,0),100),$B61:$CW61,"="&amp;"x",$B$3:$CW$3,"="&amp;"Y"),0)</f>
        <v>0</v>
      </c>
      <c r="N96">
        <f ca="1">IFERROR(SUMIFS(INDEX($B$5:$CW$56,MATCH(N$93,$A$5:$A$56,0),1):INDEX($B$5:$CW$56,MATCH(N$93,$A$5:$A$56,0),100),$B61:$CW61,"="&amp;"x",$B$3:$CW$3,"="&amp;"Y"),0)</f>
        <v>0</v>
      </c>
      <c r="O96">
        <f ca="1">IFERROR(SUMIFS(INDEX($B$5:$CW$56,MATCH(O$93,$A$5:$A$56,0),1):INDEX($B$5:$CW$56,MATCH(O$93,$A$5:$A$56,0),100),$B61:$CW61,"="&amp;"x",$B$3:$CW$3,"="&amp;"Y"),0)</f>
        <v>0</v>
      </c>
      <c r="P96">
        <f ca="1">IFERROR(SUMIFS(INDEX($B$5:$CW$56,MATCH(P$93,$A$5:$A$56,0),1):INDEX($B$5:$CW$56,MATCH(P$93,$A$5:$A$56,0),100),$B61:$CW61,"="&amp;"x",$B$3:$CW$3,"="&amp;"Y"),0)</f>
        <v>0</v>
      </c>
      <c r="Q96">
        <f ca="1">IFERROR(SUMIFS(INDEX($B$5:$CW$56,MATCH(Q$93,$A$5:$A$56,0),1):INDEX($B$5:$CW$56,MATCH(Q$93,$A$5:$A$56,0),100),$B61:$CW61,"="&amp;"x",$B$3:$CW$3,"="&amp;"Y"),0)</f>
        <v>0</v>
      </c>
      <c r="R96">
        <f ca="1">IFERROR(SUMIFS(INDEX($B$5:$CW$56,MATCH(R$93,$A$5:$A$56,0),1):INDEX($B$5:$CW$56,MATCH(R$93,$A$5:$A$56,0),100),$B61:$CW61,"="&amp;"x",$B$3:$CW$3,"="&amp;"Y"),0)</f>
        <v>0</v>
      </c>
      <c r="S96">
        <f ca="1">IFERROR(SUMIFS(INDEX($B$5:$CW$56,MATCH(S$93,$A$5:$A$56,0),1):INDEX($B$5:$CW$56,MATCH(S$93,$A$5:$A$56,0),100),$B61:$CW61,"="&amp;"x",$B$3:$CW$3,"="&amp;"Y"),0)</f>
        <v>0</v>
      </c>
      <c r="T96">
        <f ca="1">IFERROR(SUMIFS(INDEX($B$5:$CW$56,MATCH(T$93,$A$5:$A$56,0),1):INDEX($B$5:$CW$56,MATCH(T$93,$A$5:$A$56,0),100),$B61:$CW61,"="&amp;"x",$B$3:$CW$3,"="&amp;"Y"),0)</f>
        <v>0</v>
      </c>
      <c r="U96">
        <f ca="1">IFERROR(SUMIFS(INDEX($B$5:$CW$56,MATCH(U$93,$A$5:$A$56,0),1):INDEX($B$5:$CW$56,MATCH(U$93,$A$5:$A$56,0),100),$B61:$CW61,"="&amp;"x",$B$3:$CW$3,"="&amp;"Y"),0)</f>
        <v>0</v>
      </c>
      <c r="V96">
        <f ca="1">IFERROR(SUMIFS(INDEX($B$5:$CW$56,MATCH(V$93,$A$5:$A$56,0),1):INDEX($B$5:$CW$56,MATCH(V$93,$A$5:$A$56,0),100),$B61:$CW61,"="&amp;"x",$B$3:$CW$3,"="&amp;"Y"),0)</f>
        <v>0</v>
      </c>
      <c r="W96">
        <f ca="1">IFERROR(SUMIFS(INDEX($B$5:$CW$56,MATCH(W$93,$A$5:$A$56,0),1):INDEX($B$5:$CW$56,MATCH(W$93,$A$5:$A$56,0),100),$B61:$CW61,"="&amp;"x",$B$3:$CW$3,"="&amp;"Y"),0)</f>
        <v>0</v>
      </c>
      <c r="X96">
        <f ca="1">IFERROR(SUMIFS(INDEX($B$5:$CW$56,MATCH(X$93,$A$5:$A$56,0),1):INDEX($B$5:$CW$56,MATCH(X$93,$A$5:$A$56,0),100),$B61:$CW61,"="&amp;"x",$B$3:$CW$3,"="&amp;"Y"),0)</f>
        <v>0</v>
      </c>
      <c r="Y96">
        <f ca="1">IFERROR(SUMIFS(INDEX($B$5:$CW$56,MATCH(Y$93,$A$5:$A$56,0),1):INDEX($B$5:$CW$56,MATCH(Y$93,$A$5:$A$56,0),100),$B61:$CW61,"="&amp;"x",$B$3:$CW$3,"="&amp;"Y"),0)</f>
        <v>0</v>
      </c>
      <c r="Z96">
        <f ca="1">IFERROR(SUMIFS(INDEX($B$5:$CW$56,MATCH(Z$93,$A$5:$A$56,0),1):INDEX($B$5:$CW$56,MATCH(Z$93,$A$5:$A$56,0),100),$B61:$CW61,"="&amp;"x",$B$3:$CW$3,"="&amp;"Y"),0)</f>
        <v>0</v>
      </c>
      <c r="AA96">
        <f ca="1">IFERROR(SUMIFS(INDEX($B$5:$CW$56,MATCH(AA$93,$A$5:$A$56,0),1):INDEX($B$5:$CW$56,MATCH(AA$93,$A$5:$A$56,0),100),$B61:$CW61,"="&amp;"x",$B$3:$CW$3,"="&amp;"Y"),0)</f>
        <v>0</v>
      </c>
      <c r="AB96">
        <f ca="1">IFERROR(SUMIFS(INDEX($B$5:$CW$56,MATCH(AB$93,$A$5:$A$56,0),1):INDEX($B$5:$CW$56,MATCH(AB$93,$A$5:$A$56,0),100),$B61:$CW61,"="&amp;"x",$B$3:$CW$3,"="&amp;"Y"),0)</f>
        <v>0</v>
      </c>
      <c r="AC96">
        <f ca="1">IFERROR(SUMIFS(INDEX($B$5:$CW$56,MATCH(AC$93,$A$5:$A$56,0),1):INDEX($B$5:$CW$56,MATCH(AC$93,$A$5:$A$56,0),100),$B61:$CW61,"="&amp;"x",$B$3:$CW$3,"="&amp;"Y"),0)</f>
        <v>0</v>
      </c>
      <c r="AD96">
        <f ca="1">IFERROR(SUMIFS(INDEX($B$5:$CW$56,MATCH(AD$93,$A$5:$A$56,0),1):INDEX($B$5:$CW$56,MATCH(AD$93,$A$5:$A$56,0),100),$B61:$CW61,"="&amp;"x",$B$3:$CW$3,"="&amp;"Y"),0)</f>
        <v>0</v>
      </c>
      <c r="AE96">
        <f ca="1">IFERROR(SUMIFS(INDEX($B$5:$CW$56,MATCH(AE$93,$A$5:$A$56,0),1):INDEX($B$5:$CW$56,MATCH(AE$93,$A$5:$A$56,0),100),$B61:$CW61,"="&amp;"x",$B$3:$CW$3,"="&amp;"Y"),0)</f>
        <v>0</v>
      </c>
      <c r="AF96">
        <f ca="1">IFERROR(SUMIFS(INDEX($B$5:$CW$56,MATCH(AF$93,$A$5:$A$56,0),1):INDEX($B$5:$CW$56,MATCH(AF$93,$A$5:$A$56,0),100),$B61:$CW61,"="&amp;"x",$B$3:$CW$3,"="&amp;"Y"),0)</f>
        <v>0</v>
      </c>
      <c r="AG96">
        <f ca="1">IFERROR(SUMIFS(INDEX($B$5:$CW$56,MATCH(AG$93,$A$5:$A$56,0),1):INDEX($B$5:$CW$56,MATCH(AG$93,$A$5:$A$56,0),100),$B61:$CW61,"="&amp;"x",$B$3:$CW$3,"="&amp;"Y"),0)</f>
        <v>0</v>
      </c>
      <c r="AH96">
        <f ca="1">IFERROR(SUMIFS(INDEX($B$5:$CW$56,MATCH(AH$93,$A$5:$A$56,0),1):INDEX($B$5:$CW$56,MATCH(AH$93,$A$5:$A$56,0),100),$B61:$CW61,"="&amp;"x",$B$3:$CW$3,"="&amp;"Y"),0)</f>
        <v>0</v>
      </c>
      <c r="AI96">
        <f ca="1">IFERROR(SUMIFS(INDEX($B$5:$CW$56,MATCH(AI$93,$A$5:$A$56,0),1):INDEX($B$5:$CW$56,MATCH(AI$93,$A$5:$A$56,0),100),$B61:$CW61,"="&amp;"x",$B$3:$CW$3,"="&amp;"Y"),0)</f>
        <v>0</v>
      </c>
      <c r="AJ96">
        <f ca="1">IFERROR(SUMIFS(INDEX($B$5:$CW$56,MATCH(AJ$93,$A$5:$A$56,0),1):INDEX($B$5:$CW$56,MATCH(AJ$93,$A$5:$A$56,0),100),$B61:$CW61,"="&amp;"x",$B$3:$CW$3,"="&amp;"Y"),0)</f>
        <v>0</v>
      </c>
      <c r="AK96">
        <f ca="1">IFERROR(SUMIFS(INDEX($B$5:$CW$56,MATCH(AK$93,$A$5:$A$56,0),1):INDEX($B$5:$CW$56,MATCH(AK$93,$A$5:$A$56,0),100),$B61:$CW61,"="&amp;"x",$B$3:$CW$3,"="&amp;"Y"),0)</f>
        <v>0</v>
      </c>
      <c r="AL96">
        <f ca="1">IFERROR(SUMIFS(INDEX($B$5:$CW$56,MATCH(AL$93,$A$5:$A$56,0),1):INDEX($B$5:$CW$56,MATCH(AL$93,$A$5:$A$56,0),100),$B61:$CW61,"="&amp;"x",$B$3:$CW$3,"="&amp;"Y"),0)</f>
        <v>0</v>
      </c>
      <c r="AM96">
        <f ca="1">IFERROR(SUMIFS(INDEX($B$5:$CW$56,MATCH(AM$93,$A$5:$A$56,0),1):INDEX($B$5:$CW$56,MATCH(AM$93,$A$5:$A$56,0),100),$B61:$CW61,"="&amp;"x",$B$3:$CW$3,"="&amp;"Y"),0)</f>
        <v>0</v>
      </c>
      <c r="AN96">
        <f ca="1">IFERROR(SUMIFS(INDEX($B$5:$CW$56,MATCH(AN$93,$A$5:$A$56,0),1):INDEX($B$5:$CW$56,MATCH(AN$93,$A$5:$A$56,0),100),$B61:$CW61,"="&amp;"x",$B$3:$CW$3,"="&amp;"Y"),0)</f>
        <v>0</v>
      </c>
      <c r="AO96">
        <f ca="1">IFERROR(SUMIFS(INDEX($B$5:$CW$56,MATCH(AO$93,$A$5:$A$56,0),1):INDEX($B$5:$CW$56,MATCH(AO$93,$A$5:$A$56,0),100),$B61:$CW61,"="&amp;"x",$B$3:$CW$3,"="&amp;"Y"),0)</f>
        <v>0</v>
      </c>
      <c r="AP96">
        <f ca="1">IFERROR(SUMIFS(INDEX($B$5:$CW$56,MATCH(AP$93,$A$5:$A$56,0),1):INDEX($B$5:$CW$56,MATCH(AP$93,$A$5:$A$56,0),100),$B61:$CW61,"="&amp;"x",$B$3:$CW$3,"="&amp;"Y"),0)</f>
        <v>0</v>
      </c>
      <c r="AQ96">
        <f ca="1">IFERROR(SUMIFS(INDEX($B$5:$CW$56,MATCH(AQ$93,$A$5:$A$56,0),1):INDEX($B$5:$CW$56,MATCH(AQ$93,$A$5:$A$56,0),100),$B61:$CW61,"="&amp;"x",$B$3:$CW$3,"="&amp;"Y"),0)</f>
        <v>0</v>
      </c>
      <c r="AR96">
        <f ca="1">IFERROR(SUMIFS(INDEX($B$5:$CW$56,MATCH(AR$93,$A$5:$A$56,0),1):INDEX($B$5:$CW$56,MATCH(AR$93,$A$5:$A$56,0),100),$B61:$CW61,"="&amp;"x",$B$3:$CW$3,"="&amp;"Y"),0)</f>
        <v>0</v>
      </c>
      <c r="AS96">
        <f ca="1">IFERROR(SUMIFS(INDEX($B$5:$CW$56,MATCH(AS$93,$A$5:$A$56,0),1):INDEX($B$5:$CW$56,MATCH(AS$93,$A$5:$A$56,0),100),$B61:$CW61,"="&amp;"x",$B$3:$CW$3,"="&amp;"Y"),0)</f>
        <v>0</v>
      </c>
      <c r="AT96">
        <f ca="1">IFERROR(SUMIFS(INDEX($B$5:$CW$56,MATCH(AT$93,$A$5:$A$56,0),1):INDEX($B$5:$CW$56,MATCH(AT$93,$A$5:$A$56,0),100),$B61:$CW61,"="&amp;"x",$B$3:$CW$3,"="&amp;"Y"),0)</f>
        <v>0</v>
      </c>
      <c r="AU96">
        <f ca="1">IFERROR(SUMIFS(INDEX($B$5:$CW$56,MATCH(AU$93,$A$5:$A$56,0),1):INDEX($B$5:$CW$56,MATCH(AU$93,$A$5:$A$56,0),100),$B61:$CW61,"="&amp;"x",$B$3:$CW$3,"="&amp;"Y"),0)</f>
        <v>0</v>
      </c>
      <c r="AV96">
        <f ca="1">IFERROR(SUMIFS(INDEX($B$5:$CW$56,MATCH(AV$93,$A$5:$A$56,0),1):INDEX($B$5:$CW$56,MATCH(AV$93,$A$5:$A$56,0),100),$B61:$CW61,"="&amp;"x",$B$3:$CW$3,"="&amp;"Y"),0)</f>
        <v>0</v>
      </c>
      <c r="AW96">
        <f ca="1">IFERROR(SUMIFS(INDEX($B$5:$CW$56,MATCH(AW$93,$A$5:$A$56,0),1):INDEX($B$5:$CW$56,MATCH(AW$93,$A$5:$A$56,0),100),$B61:$CW61,"="&amp;"x",$B$3:$CW$3,"="&amp;"Y"),0)</f>
        <v>0</v>
      </c>
      <c r="AX96">
        <f ca="1">IFERROR(SUMIFS(INDEX($B$5:$CW$56,MATCH(AX$93,$A$5:$A$56,0),1):INDEX($B$5:$CW$56,MATCH(AX$93,$A$5:$A$56,0),100),$B61:$CW61,"="&amp;"x",$B$3:$CW$3,"="&amp;"Y"),0)</f>
        <v>0</v>
      </c>
      <c r="AY96">
        <f ca="1">IFERROR(SUMIFS(INDEX($B$5:$CW$56,MATCH(AY$93,$A$5:$A$56,0),1):INDEX($B$5:$CW$56,MATCH(AY$93,$A$5:$A$56,0),100),$B61:$CW61,"="&amp;"x",$B$3:$CW$3,"="&amp;"Y"),0)</f>
        <v>0</v>
      </c>
      <c r="AZ96">
        <f ca="1">IFERROR(SUMIFS(INDEX($B$5:$CW$56,MATCH(AZ$93,$A$5:$A$56,0),1):INDEX($B$5:$CW$56,MATCH(AZ$93,$A$5:$A$56,0),100),$B61:$CW61,"="&amp;"x",$B$3:$CW$3,"="&amp;"Y"),0)</f>
        <v>0</v>
      </c>
      <c r="BA96">
        <f ca="1">IFERROR(SUMIFS(INDEX($B$5:$CW$56,MATCH(BA$93,$A$5:$A$56,0),1):INDEX($B$5:$CW$56,MATCH(BA$93,$A$5:$A$56,0),100),$B61:$CW61,"="&amp;"x",$B$3:$CW$3,"="&amp;"Y"),0)</f>
        <v>0</v>
      </c>
      <c r="BC96">
        <f t="shared" ca="1" si="2"/>
        <v>0</v>
      </c>
    </row>
    <row r="97" spans="1:55" x14ac:dyDescent="0.35">
      <c r="A97" s="2" t="str" cm="1">
        <f t="array" ref="A97">INDEX('Data Validation (Hide)'!$B$2:$B$16,ROW(A4),1)</f>
        <v>Caseload 4</v>
      </c>
      <c r="B97">
        <f ca="1">IFERROR(SUMIFS(INDEX($B$5:$CW$56,MATCH(B$93,$A$5:$A$56,0),1):INDEX($B$5:$CW$56,MATCH(B$93,$A$5:$A$56,0),100),$B62:$CW62,"="&amp;"x",$B$3:$CW$3,"="&amp;"Y"),0)</f>
        <v>0</v>
      </c>
      <c r="C97">
        <f ca="1">IFERROR(SUMIFS(INDEX($B$5:$CW$56,MATCH(C$93,$A$5:$A$56,0),1):INDEX($B$5:$CW$56,MATCH(C$93,$A$5:$A$56,0),100),$B62:$CW62,"="&amp;"x",$B$3:$CW$3,"="&amp;"Y"),0)</f>
        <v>0</v>
      </c>
      <c r="D97">
        <f ca="1">IFERROR(SUMIFS(INDEX($B$5:$CW$56,MATCH(D$93,$A$5:$A$56,0),1):INDEX($B$5:$CW$56,MATCH(D$93,$A$5:$A$56,0),100),$B62:$CW62,"="&amp;"x",$B$3:$CW$3,"="&amp;"Y"),0)</f>
        <v>0</v>
      </c>
      <c r="E97">
        <f ca="1">IFERROR(SUMIFS(INDEX($B$5:$CW$56,MATCH(E$93,$A$5:$A$56,0),1):INDEX($B$5:$CW$56,MATCH(E$93,$A$5:$A$56,0),100),$B62:$CW62,"="&amp;"x",$B$3:$CW$3,"="&amp;"Y"),0)</f>
        <v>0</v>
      </c>
      <c r="F97">
        <f ca="1">IFERROR(SUMIFS(INDEX($B$5:$CW$56,MATCH(F$93,$A$5:$A$56,0),1):INDEX($B$5:$CW$56,MATCH(F$93,$A$5:$A$56,0),100),$B62:$CW62,"="&amp;"x",$B$3:$CW$3,"="&amp;"Y"),0)</f>
        <v>0</v>
      </c>
      <c r="G97">
        <f ca="1">IFERROR(SUMIFS(INDEX($B$5:$CW$56,MATCH(G$93,$A$5:$A$56,0),1):INDEX($B$5:$CW$56,MATCH(G$93,$A$5:$A$56,0),100),$B62:$CW62,"="&amp;"x",$B$3:$CW$3,"="&amp;"Y"),0)</f>
        <v>0</v>
      </c>
      <c r="H97">
        <f ca="1">IFERROR(SUMIFS(INDEX($B$5:$CW$56,MATCH(H$93,$A$5:$A$56,0),1):INDEX($B$5:$CW$56,MATCH(H$93,$A$5:$A$56,0),100),$B62:$CW62,"="&amp;"x",$B$3:$CW$3,"="&amp;"Y"),0)</f>
        <v>0</v>
      </c>
      <c r="I97">
        <f ca="1">IFERROR(SUMIFS(INDEX($B$5:$CW$56,MATCH(I$93,$A$5:$A$56,0),1):INDEX($B$5:$CW$56,MATCH(I$93,$A$5:$A$56,0),100),$B62:$CW62,"="&amp;"x",$B$3:$CW$3,"="&amp;"Y"),0)</f>
        <v>0</v>
      </c>
      <c r="J97">
        <f ca="1">IFERROR(SUMIFS(INDEX($B$5:$CW$56,MATCH(J$93,$A$5:$A$56,0),1):INDEX($B$5:$CW$56,MATCH(J$93,$A$5:$A$56,0),100),$B62:$CW62,"="&amp;"x",$B$3:$CW$3,"="&amp;"Y"),0)</f>
        <v>0</v>
      </c>
      <c r="K97">
        <f ca="1">IFERROR(SUMIFS(INDEX($B$5:$CW$56,MATCH(K$93,$A$5:$A$56,0),1):INDEX($B$5:$CW$56,MATCH(K$93,$A$5:$A$56,0),100),$B62:$CW62,"="&amp;"x",$B$3:$CW$3,"="&amp;"Y"),0)</f>
        <v>0</v>
      </c>
      <c r="L97">
        <f ca="1">IFERROR(SUMIFS(INDEX($B$5:$CW$56,MATCH(L$93,$A$5:$A$56,0),1):INDEX($B$5:$CW$56,MATCH(L$93,$A$5:$A$56,0),100),$B62:$CW62,"="&amp;"x",$B$3:$CW$3,"="&amp;"Y"),0)</f>
        <v>0</v>
      </c>
      <c r="M97">
        <f ca="1">IFERROR(SUMIFS(INDEX($B$5:$CW$56,MATCH(M$93,$A$5:$A$56,0),1):INDEX($B$5:$CW$56,MATCH(M$93,$A$5:$A$56,0),100),$B62:$CW62,"="&amp;"x",$B$3:$CW$3,"="&amp;"Y"),0)</f>
        <v>0</v>
      </c>
      <c r="N97">
        <f ca="1">IFERROR(SUMIFS(INDEX($B$5:$CW$56,MATCH(N$93,$A$5:$A$56,0),1):INDEX($B$5:$CW$56,MATCH(N$93,$A$5:$A$56,0),100),$B62:$CW62,"="&amp;"x",$B$3:$CW$3,"="&amp;"Y"),0)</f>
        <v>0</v>
      </c>
      <c r="O97">
        <f ca="1">IFERROR(SUMIFS(INDEX($B$5:$CW$56,MATCH(O$93,$A$5:$A$56,0),1):INDEX($B$5:$CW$56,MATCH(O$93,$A$5:$A$56,0),100),$B62:$CW62,"="&amp;"x",$B$3:$CW$3,"="&amp;"Y"),0)</f>
        <v>0</v>
      </c>
      <c r="P97">
        <f ca="1">IFERROR(SUMIFS(INDEX($B$5:$CW$56,MATCH(P$93,$A$5:$A$56,0),1):INDEX($B$5:$CW$56,MATCH(P$93,$A$5:$A$56,0),100),$B62:$CW62,"="&amp;"x",$B$3:$CW$3,"="&amp;"Y"),0)</f>
        <v>0</v>
      </c>
      <c r="Q97">
        <f ca="1">IFERROR(SUMIFS(INDEX($B$5:$CW$56,MATCH(Q$93,$A$5:$A$56,0),1):INDEX($B$5:$CW$56,MATCH(Q$93,$A$5:$A$56,0),100),$B62:$CW62,"="&amp;"x",$B$3:$CW$3,"="&amp;"Y"),0)</f>
        <v>0</v>
      </c>
      <c r="R97">
        <f ca="1">IFERROR(SUMIFS(INDEX($B$5:$CW$56,MATCH(R$93,$A$5:$A$56,0),1):INDEX($B$5:$CW$56,MATCH(R$93,$A$5:$A$56,0),100),$B62:$CW62,"="&amp;"x",$B$3:$CW$3,"="&amp;"Y"),0)</f>
        <v>0</v>
      </c>
      <c r="S97">
        <f ca="1">IFERROR(SUMIFS(INDEX($B$5:$CW$56,MATCH(S$93,$A$5:$A$56,0),1):INDEX($B$5:$CW$56,MATCH(S$93,$A$5:$A$56,0),100),$B62:$CW62,"="&amp;"x",$B$3:$CW$3,"="&amp;"Y"),0)</f>
        <v>0</v>
      </c>
      <c r="T97">
        <f ca="1">IFERROR(SUMIFS(INDEX($B$5:$CW$56,MATCH(T$93,$A$5:$A$56,0),1):INDEX($B$5:$CW$56,MATCH(T$93,$A$5:$A$56,0),100),$B62:$CW62,"="&amp;"x",$B$3:$CW$3,"="&amp;"Y"),0)</f>
        <v>0</v>
      </c>
      <c r="U97">
        <f ca="1">IFERROR(SUMIFS(INDEX($B$5:$CW$56,MATCH(U$93,$A$5:$A$56,0),1):INDEX($B$5:$CW$56,MATCH(U$93,$A$5:$A$56,0),100),$B62:$CW62,"="&amp;"x",$B$3:$CW$3,"="&amp;"Y"),0)</f>
        <v>0</v>
      </c>
      <c r="V97">
        <f ca="1">IFERROR(SUMIFS(INDEX($B$5:$CW$56,MATCH(V$93,$A$5:$A$56,0),1):INDEX($B$5:$CW$56,MATCH(V$93,$A$5:$A$56,0),100),$B62:$CW62,"="&amp;"x",$B$3:$CW$3,"="&amp;"Y"),0)</f>
        <v>0</v>
      </c>
      <c r="W97">
        <f ca="1">IFERROR(SUMIFS(INDEX($B$5:$CW$56,MATCH(W$93,$A$5:$A$56,0),1):INDEX($B$5:$CW$56,MATCH(W$93,$A$5:$A$56,0),100),$B62:$CW62,"="&amp;"x",$B$3:$CW$3,"="&amp;"Y"),0)</f>
        <v>0</v>
      </c>
      <c r="X97">
        <f ca="1">IFERROR(SUMIFS(INDEX($B$5:$CW$56,MATCH(X$93,$A$5:$A$56,0),1):INDEX($B$5:$CW$56,MATCH(X$93,$A$5:$A$56,0),100),$B62:$CW62,"="&amp;"x",$B$3:$CW$3,"="&amp;"Y"),0)</f>
        <v>0</v>
      </c>
      <c r="Y97">
        <f ca="1">IFERROR(SUMIFS(INDEX($B$5:$CW$56,MATCH(Y$93,$A$5:$A$56,0),1):INDEX($B$5:$CW$56,MATCH(Y$93,$A$5:$A$56,0),100),$B62:$CW62,"="&amp;"x",$B$3:$CW$3,"="&amp;"Y"),0)</f>
        <v>0</v>
      </c>
      <c r="Z97">
        <f ca="1">IFERROR(SUMIFS(INDEX($B$5:$CW$56,MATCH(Z$93,$A$5:$A$56,0),1):INDEX($B$5:$CW$56,MATCH(Z$93,$A$5:$A$56,0),100),$B62:$CW62,"="&amp;"x",$B$3:$CW$3,"="&amp;"Y"),0)</f>
        <v>0</v>
      </c>
      <c r="AA97">
        <f ca="1">IFERROR(SUMIFS(INDEX($B$5:$CW$56,MATCH(AA$93,$A$5:$A$56,0),1):INDEX($B$5:$CW$56,MATCH(AA$93,$A$5:$A$56,0),100),$B62:$CW62,"="&amp;"x",$B$3:$CW$3,"="&amp;"Y"),0)</f>
        <v>0</v>
      </c>
      <c r="AB97">
        <f ca="1">IFERROR(SUMIFS(INDEX($B$5:$CW$56,MATCH(AB$93,$A$5:$A$56,0),1):INDEX($B$5:$CW$56,MATCH(AB$93,$A$5:$A$56,0),100),$B62:$CW62,"="&amp;"x",$B$3:$CW$3,"="&amp;"Y"),0)</f>
        <v>0</v>
      </c>
      <c r="AC97">
        <f ca="1">IFERROR(SUMIFS(INDEX($B$5:$CW$56,MATCH(AC$93,$A$5:$A$56,0),1):INDEX($B$5:$CW$56,MATCH(AC$93,$A$5:$A$56,0),100),$B62:$CW62,"="&amp;"x",$B$3:$CW$3,"="&amp;"Y"),0)</f>
        <v>0</v>
      </c>
      <c r="AD97">
        <f ca="1">IFERROR(SUMIFS(INDEX($B$5:$CW$56,MATCH(AD$93,$A$5:$A$56,0),1):INDEX($B$5:$CW$56,MATCH(AD$93,$A$5:$A$56,0),100),$B62:$CW62,"="&amp;"x",$B$3:$CW$3,"="&amp;"Y"),0)</f>
        <v>0</v>
      </c>
      <c r="AE97">
        <f ca="1">IFERROR(SUMIFS(INDEX($B$5:$CW$56,MATCH(AE$93,$A$5:$A$56,0),1):INDEX($B$5:$CW$56,MATCH(AE$93,$A$5:$A$56,0),100),$B62:$CW62,"="&amp;"x",$B$3:$CW$3,"="&amp;"Y"),0)</f>
        <v>0</v>
      </c>
      <c r="AF97">
        <f ca="1">IFERROR(SUMIFS(INDEX($B$5:$CW$56,MATCH(AF$93,$A$5:$A$56,0),1):INDEX($B$5:$CW$56,MATCH(AF$93,$A$5:$A$56,0),100),$B62:$CW62,"="&amp;"x",$B$3:$CW$3,"="&amp;"Y"),0)</f>
        <v>0</v>
      </c>
      <c r="AG97">
        <f ca="1">IFERROR(SUMIFS(INDEX($B$5:$CW$56,MATCH(AG$93,$A$5:$A$56,0),1):INDEX($B$5:$CW$56,MATCH(AG$93,$A$5:$A$56,0),100),$B62:$CW62,"="&amp;"x",$B$3:$CW$3,"="&amp;"Y"),0)</f>
        <v>0</v>
      </c>
      <c r="AH97">
        <f ca="1">IFERROR(SUMIFS(INDEX($B$5:$CW$56,MATCH(AH$93,$A$5:$A$56,0),1):INDEX($B$5:$CW$56,MATCH(AH$93,$A$5:$A$56,0),100),$B62:$CW62,"="&amp;"x",$B$3:$CW$3,"="&amp;"Y"),0)</f>
        <v>0</v>
      </c>
      <c r="AI97">
        <f ca="1">IFERROR(SUMIFS(INDEX($B$5:$CW$56,MATCH(AI$93,$A$5:$A$56,0),1):INDEX($B$5:$CW$56,MATCH(AI$93,$A$5:$A$56,0),100),$B62:$CW62,"="&amp;"x",$B$3:$CW$3,"="&amp;"Y"),0)</f>
        <v>0</v>
      </c>
      <c r="AJ97">
        <f ca="1">IFERROR(SUMIFS(INDEX($B$5:$CW$56,MATCH(AJ$93,$A$5:$A$56,0),1):INDEX($B$5:$CW$56,MATCH(AJ$93,$A$5:$A$56,0),100),$B62:$CW62,"="&amp;"x",$B$3:$CW$3,"="&amp;"Y"),0)</f>
        <v>0</v>
      </c>
      <c r="AK97">
        <f ca="1">IFERROR(SUMIFS(INDEX($B$5:$CW$56,MATCH(AK$93,$A$5:$A$56,0),1):INDEX($B$5:$CW$56,MATCH(AK$93,$A$5:$A$56,0),100),$B62:$CW62,"="&amp;"x",$B$3:$CW$3,"="&amp;"Y"),0)</f>
        <v>0</v>
      </c>
      <c r="AL97">
        <f ca="1">IFERROR(SUMIFS(INDEX($B$5:$CW$56,MATCH(AL$93,$A$5:$A$56,0),1):INDEX($B$5:$CW$56,MATCH(AL$93,$A$5:$A$56,0),100),$B62:$CW62,"="&amp;"x",$B$3:$CW$3,"="&amp;"Y"),0)</f>
        <v>0</v>
      </c>
      <c r="AM97">
        <f ca="1">IFERROR(SUMIFS(INDEX($B$5:$CW$56,MATCH(AM$93,$A$5:$A$56,0),1):INDEX($B$5:$CW$56,MATCH(AM$93,$A$5:$A$56,0),100),$B62:$CW62,"="&amp;"x",$B$3:$CW$3,"="&amp;"Y"),0)</f>
        <v>0</v>
      </c>
      <c r="AN97">
        <f ca="1">IFERROR(SUMIFS(INDEX($B$5:$CW$56,MATCH(AN$93,$A$5:$A$56,0),1):INDEX($B$5:$CW$56,MATCH(AN$93,$A$5:$A$56,0),100),$B62:$CW62,"="&amp;"x",$B$3:$CW$3,"="&amp;"Y"),0)</f>
        <v>0</v>
      </c>
      <c r="AO97">
        <f ca="1">IFERROR(SUMIFS(INDEX($B$5:$CW$56,MATCH(AO$93,$A$5:$A$56,0),1):INDEX($B$5:$CW$56,MATCH(AO$93,$A$5:$A$56,0),100),$B62:$CW62,"="&amp;"x",$B$3:$CW$3,"="&amp;"Y"),0)</f>
        <v>0</v>
      </c>
      <c r="AP97">
        <f ca="1">IFERROR(SUMIFS(INDEX($B$5:$CW$56,MATCH(AP$93,$A$5:$A$56,0),1):INDEX($B$5:$CW$56,MATCH(AP$93,$A$5:$A$56,0),100),$B62:$CW62,"="&amp;"x",$B$3:$CW$3,"="&amp;"Y"),0)</f>
        <v>0</v>
      </c>
      <c r="AQ97">
        <f ca="1">IFERROR(SUMIFS(INDEX($B$5:$CW$56,MATCH(AQ$93,$A$5:$A$56,0),1):INDEX($B$5:$CW$56,MATCH(AQ$93,$A$5:$A$56,0),100),$B62:$CW62,"="&amp;"x",$B$3:$CW$3,"="&amp;"Y"),0)</f>
        <v>0</v>
      </c>
      <c r="AR97">
        <f ca="1">IFERROR(SUMIFS(INDEX($B$5:$CW$56,MATCH(AR$93,$A$5:$A$56,0),1):INDEX($B$5:$CW$56,MATCH(AR$93,$A$5:$A$56,0),100),$B62:$CW62,"="&amp;"x",$B$3:$CW$3,"="&amp;"Y"),0)</f>
        <v>0</v>
      </c>
      <c r="AS97">
        <f ca="1">IFERROR(SUMIFS(INDEX($B$5:$CW$56,MATCH(AS$93,$A$5:$A$56,0),1):INDEX($B$5:$CW$56,MATCH(AS$93,$A$5:$A$56,0),100),$B62:$CW62,"="&amp;"x",$B$3:$CW$3,"="&amp;"Y"),0)</f>
        <v>0</v>
      </c>
      <c r="AT97">
        <f ca="1">IFERROR(SUMIFS(INDEX($B$5:$CW$56,MATCH(AT$93,$A$5:$A$56,0),1):INDEX($B$5:$CW$56,MATCH(AT$93,$A$5:$A$56,0),100),$B62:$CW62,"="&amp;"x",$B$3:$CW$3,"="&amp;"Y"),0)</f>
        <v>0</v>
      </c>
      <c r="AU97">
        <f ca="1">IFERROR(SUMIFS(INDEX($B$5:$CW$56,MATCH(AU$93,$A$5:$A$56,0),1):INDEX($B$5:$CW$56,MATCH(AU$93,$A$5:$A$56,0),100),$B62:$CW62,"="&amp;"x",$B$3:$CW$3,"="&amp;"Y"),0)</f>
        <v>0</v>
      </c>
      <c r="AV97">
        <f ca="1">IFERROR(SUMIFS(INDEX($B$5:$CW$56,MATCH(AV$93,$A$5:$A$56,0),1):INDEX($B$5:$CW$56,MATCH(AV$93,$A$5:$A$56,0),100),$B62:$CW62,"="&amp;"x",$B$3:$CW$3,"="&amp;"Y"),0)</f>
        <v>0</v>
      </c>
      <c r="AW97">
        <f ca="1">IFERROR(SUMIFS(INDEX($B$5:$CW$56,MATCH(AW$93,$A$5:$A$56,0),1):INDEX($B$5:$CW$56,MATCH(AW$93,$A$5:$A$56,0),100),$B62:$CW62,"="&amp;"x",$B$3:$CW$3,"="&amp;"Y"),0)</f>
        <v>0</v>
      </c>
      <c r="AX97">
        <f ca="1">IFERROR(SUMIFS(INDEX($B$5:$CW$56,MATCH(AX$93,$A$5:$A$56,0),1):INDEX($B$5:$CW$56,MATCH(AX$93,$A$5:$A$56,0),100),$B62:$CW62,"="&amp;"x",$B$3:$CW$3,"="&amp;"Y"),0)</f>
        <v>0</v>
      </c>
      <c r="AY97">
        <f ca="1">IFERROR(SUMIFS(INDEX($B$5:$CW$56,MATCH(AY$93,$A$5:$A$56,0),1):INDEX($B$5:$CW$56,MATCH(AY$93,$A$5:$A$56,0),100),$B62:$CW62,"="&amp;"x",$B$3:$CW$3,"="&amp;"Y"),0)</f>
        <v>0</v>
      </c>
      <c r="AZ97">
        <f ca="1">IFERROR(SUMIFS(INDEX($B$5:$CW$56,MATCH(AZ$93,$A$5:$A$56,0),1):INDEX($B$5:$CW$56,MATCH(AZ$93,$A$5:$A$56,0),100),$B62:$CW62,"="&amp;"x",$B$3:$CW$3,"="&amp;"Y"),0)</f>
        <v>0</v>
      </c>
      <c r="BA97">
        <f ca="1">IFERROR(SUMIFS(INDEX($B$5:$CW$56,MATCH(BA$93,$A$5:$A$56,0),1):INDEX($B$5:$CW$56,MATCH(BA$93,$A$5:$A$56,0),100),$B62:$CW62,"="&amp;"x",$B$3:$CW$3,"="&amp;"Y"),0)</f>
        <v>0</v>
      </c>
      <c r="BC97">
        <f t="shared" ca="1" si="2"/>
        <v>0</v>
      </c>
    </row>
    <row r="98" spans="1:55" x14ac:dyDescent="0.35">
      <c r="A98" s="2" t="str" cm="1">
        <f t="array" ref="A98">INDEX('Data Validation (Hide)'!$B$2:$B$16,ROW(A5),1)</f>
        <v>Caseload 5</v>
      </c>
      <c r="B98">
        <f ca="1">IFERROR(SUMIFS(INDEX($B$5:$CW$56,MATCH(B$93,$A$5:$A$56,0),1):INDEX($B$5:$CW$56,MATCH(B$93,$A$5:$A$56,0),100),$B63:$CW63,"="&amp;"x",$B$3:$CW$3,"="&amp;"Y"),0)</f>
        <v>0</v>
      </c>
      <c r="C98">
        <f ca="1">IFERROR(SUMIFS(INDEX($B$5:$CW$56,MATCH(C$93,$A$5:$A$56,0),1):INDEX($B$5:$CW$56,MATCH(C$93,$A$5:$A$56,0),100),$B63:$CW63,"="&amp;"x",$B$3:$CW$3,"="&amp;"Y"),0)</f>
        <v>0</v>
      </c>
      <c r="D98">
        <f ca="1">IFERROR(SUMIFS(INDEX($B$5:$CW$56,MATCH(D$93,$A$5:$A$56,0),1):INDEX($B$5:$CW$56,MATCH(D$93,$A$5:$A$56,0),100),$B63:$CW63,"="&amp;"x",$B$3:$CW$3,"="&amp;"Y"),0)</f>
        <v>0</v>
      </c>
      <c r="E98">
        <f ca="1">IFERROR(SUMIFS(INDEX($B$5:$CW$56,MATCH(E$93,$A$5:$A$56,0),1):INDEX($B$5:$CW$56,MATCH(E$93,$A$5:$A$56,0),100),$B63:$CW63,"="&amp;"x",$B$3:$CW$3,"="&amp;"Y"),0)</f>
        <v>0</v>
      </c>
      <c r="F98">
        <f ca="1">IFERROR(SUMIFS(INDEX($B$5:$CW$56,MATCH(F$93,$A$5:$A$56,0),1):INDEX($B$5:$CW$56,MATCH(F$93,$A$5:$A$56,0),100),$B63:$CW63,"="&amp;"x",$B$3:$CW$3,"="&amp;"Y"),0)</f>
        <v>0</v>
      </c>
      <c r="G98">
        <f ca="1">IFERROR(SUMIFS(INDEX($B$5:$CW$56,MATCH(G$93,$A$5:$A$56,0),1):INDEX($B$5:$CW$56,MATCH(G$93,$A$5:$A$56,0),100),$B63:$CW63,"="&amp;"x",$B$3:$CW$3,"="&amp;"Y"),0)</f>
        <v>0</v>
      </c>
      <c r="H98">
        <f ca="1">IFERROR(SUMIFS(INDEX($B$5:$CW$56,MATCH(H$93,$A$5:$A$56,0),1):INDEX($B$5:$CW$56,MATCH(H$93,$A$5:$A$56,0),100),$B63:$CW63,"="&amp;"x",$B$3:$CW$3,"="&amp;"Y"),0)</f>
        <v>0</v>
      </c>
      <c r="I98">
        <f ca="1">IFERROR(SUMIFS(INDEX($B$5:$CW$56,MATCH(I$93,$A$5:$A$56,0),1):INDEX($B$5:$CW$56,MATCH(I$93,$A$5:$A$56,0),100),$B63:$CW63,"="&amp;"x",$B$3:$CW$3,"="&amp;"Y"),0)</f>
        <v>0</v>
      </c>
      <c r="J98">
        <f ca="1">IFERROR(SUMIFS(INDEX($B$5:$CW$56,MATCH(J$93,$A$5:$A$56,0),1):INDEX($B$5:$CW$56,MATCH(J$93,$A$5:$A$56,0),100),$B63:$CW63,"="&amp;"x",$B$3:$CW$3,"="&amp;"Y"),0)</f>
        <v>0</v>
      </c>
      <c r="K98">
        <f ca="1">IFERROR(SUMIFS(INDEX($B$5:$CW$56,MATCH(K$93,$A$5:$A$56,0),1):INDEX($B$5:$CW$56,MATCH(K$93,$A$5:$A$56,0),100),$B63:$CW63,"="&amp;"x",$B$3:$CW$3,"="&amp;"Y"),0)</f>
        <v>0</v>
      </c>
      <c r="L98">
        <f ca="1">IFERROR(SUMIFS(INDEX($B$5:$CW$56,MATCH(L$93,$A$5:$A$56,0),1):INDEX($B$5:$CW$56,MATCH(L$93,$A$5:$A$56,0),100),$B63:$CW63,"="&amp;"x",$B$3:$CW$3,"="&amp;"Y"),0)</f>
        <v>0</v>
      </c>
      <c r="M98">
        <f ca="1">IFERROR(SUMIFS(INDEX($B$5:$CW$56,MATCH(M$93,$A$5:$A$56,0),1):INDEX($B$5:$CW$56,MATCH(M$93,$A$5:$A$56,0),100),$B63:$CW63,"="&amp;"x",$B$3:$CW$3,"="&amp;"Y"),0)</f>
        <v>0</v>
      </c>
      <c r="N98">
        <f ca="1">IFERROR(SUMIFS(INDEX($B$5:$CW$56,MATCH(N$93,$A$5:$A$56,0),1):INDEX($B$5:$CW$56,MATCH(N$93,$A$5:$A$56,0),100),$B63:$CW63,"="&amp;"x",$B$3:$CW$3,"="&amp;"Y"),0)</f>
        <v>0</v>
      </c>
      <c r="O98">
        <f ca="1">IFERROR(SUMIFS(INDEX($B$5:$CW$56,MATCH(O$93,$A$5:$A$56,0),1):INDEX($B$5:$CW$56,MATCH(O$93,$A$5:$A$56,0),100),$B63:$CW63,"="&amp;"x",$B$3:$CW$3,"="&amp;"Y"),0)</f>
        <v>0</v>
      </c>
      <c r="P98">
        <f ca="1">IFERROR(SUMIFS(INDEX($B$5:$CW$56,MATCH(P$93,$A$5:$A$56,0),1):INDEX($B$5:$CW$56,MATCH(P$93,$A$5:$A$56,0),100),$B63:$CW63,"="&amp;"x",$B$3:$CW$3,"="&amp;"Y"),0)</f>
        <v>0</v>
      </c>
      <c r="Q98">
        <f ca="1">IFERROR(SUMIFS(INDEX($B$5:$CW$56,MATCH(Q$93,$A$5:$A$56,0),1):INDEX($B$5:$CW$56,MATCH(Q$93,$A$5:$A$56,0),100),$B63:$CW63,"="&amp;"x",$B$3:$CW$3,"="&amp;"Y"),0)</f>
        <v>0</v>
      </c>
      <c r="R98">
        <f ca="1">IFERROR(SUMIFS(INDEX($B$5:$CW$56,MATCH(R$93,$A$5:$A$56,0),1):INDEX($B$5:$CW$56,MATCH(R$93,$A$5:$A$56,0),100),$B63:$CW63,"="&amp;"x",$B$3:$CW$3,"="&amp;"Y"),0)</f>
        <v>0</v>
      </c>
      <c r="S98">
        <f ca="1">IFERROR(SUMIFS(INDEX($B$5:$CW$56,MATCH(S$93,$A$5:$A$56,0),1):INDEX($B$5:$CW$56,MATCH(S$93,$A$5:$A$56,0),100),$B63:$CW63,"="&amp;"x",$B$3:$CW$3,"="&amp;"Y"),0)</f>
        <v>0</v>
      </c>
      <c r="T98">
        <f ca="1">IFERROR(SUMIFS(INDEX($B$5:$CW$56,MATCH(T$93,$A$5:$A$56,0),1):INDEX($B$5:$CW$56,MATCH(T$93,$A$5:$A$56,0),100),$B63:$CW63,"="&amp;"x",$B$3:$CW$3,"="&amp;"Y"),0)</f>
        <v>0</v>
      </c>
      <c r="U98">
        <f ca="1">IFERROR(SUMIFS(INDEX($B$5:$CW$56,MATCH(U$93,$A$5:$A$56,0),1):INDEX($B$5:$CW$56,MATCH(U$93,$A$5:$A$56,0),100),$B63:$CW63,"="&amp;"x",$B$3:$CW$3,"="&amp;"Y"),0)</f>
        <v>0</v>
      </c>
      <c r="V98">
        <f ca="1">IFERROR(SUMIFS(INDEX($B$5:$CW$56,MATCH(V$93,$A$5:$A$56,0),1):INDEX($B$5:$CW$56,MATCH(V$93,$A$5:$A$56,0),100),$B63:$CW63,"="&amp;"x",$B$3:$CW$3,"="&amp;"Y"),0)</f>
        <v>0</v>
      </c>
      <c r="W98">
        <f ca="1">IFERROR(SUMIFS(INDEX($B$5:$CW$56,MATCH(W$93,$A$5:$A$56,0),1):INDEX($B$5:$CW$56,MATCH(W$93,$A$5:$A$56,0),100),$B63:$CW63,"="&amp;"x",$B$3:$CW$3,"="&amp;"Y"),0)</f>
        <v>0</v>
      </c>
      <c r="X98">
        <f ca="1">IFERROR(SUMIFS(INDEX($B$5:$CW$56,MATCH(X$93,$A$5:$A$56,0),1):INDEX($B$5:$CW$56,MATCH(X$93,$A$5:$A$56,0),100),$B63:$CW63,"="&amp;"x",$B$3:$CW$3,"="&amp;"Y"),0)</f>
        <v>0</v>
      </c>
      <c r="Y98">
        <f ca="1">IFERROR(SUMIFS(INDEX($B$5:$CW$56,MATCH(Y$93,$A$5:$A$56,0),1):INDEX($B$5:$CW$56,MATCH(Y$93,$A$5:$A$56,0),100),$B63:$CW63,"="&amp;"x",$B$3:$CW$3,"="&amp;"Y"),0)</f>
        <v>0</v>
      </c>
      <c r="Z98">
        <f ca="1">IFERROR(SUMIFS(INDEX($B$5:$CW$56,MATCH(Z$93,$A$5:$A$56,0),1):INDEX($B$5:$CW$56,MATCH(Z$93,$A$5:$A$56,0),100),$B63:$CW63,"="&amp;"x",$B$3:$CW$3,"="&amp;"Y"),0)</f>
        <v>0</v>
      </c>
      <c r="AA98">
        <f ca="1">IFERROR(SUMIFS(INDEX($B$5:$CW$56,MATCH(AA$93,$A$5:$A$56,0),1):INDEX($B$5:$CW$56,MATCH(AA$93,$A$5:$A$56,0),100),$B63:$CW63,"="&amp;"x",$B$3:$CW$3,"="&amp;"Y"),0)</f>
        <v>0</v>
      </c>
      <c r="AB98">
        <f ca="1">IFERROR(SUMIFS(INDEX($B$5:$CW$56,MATCH(AB$93,$A$5:$A$56,0),1):INDEX($B$5:$CW$56,MATCH(AB$93,$A$5:$A$56,0),100),$B63:$CW63,"="&amp;"x",$B$3:$CW$3,"="&amp;"Y"),0)</f>
        <v>0</v>
      </c>
      <c r="AC98">
        <f ca="1">IFERROR(SUMIFS(INDEX($B$5:$CW$56,MATCH(AC$93,$A$5:$A$56,0),1):INDEX($B$5:$CW$56,MATCH(AC$93,$A$5:$A$56,0),100),$B63:$CW63,"="&amp;"x",$B$3:$CW$3,"="&amp;"Y"),0)</f>
        <v>0</v>
      </c>
      <c r="AD98">
        <f ca="1">IFERROR(SUMIFS(INDEX($B$5:$CW$56,MATCH(AD$93,$A$5:$A$56,0),1):INDEX($B$5:$CW$56,MATCH(AD$93,$A$5:$A$56,0),100),$B63:$CW63,"="&amp;"x",$B$3:$CW$3,"="&amp;"Y"),0)</f>
        <v>0</v>
      </c>
      <c r="AE98">
        <f ca="1">IFERROR(SUMIFS(INDEX($B$5:$CW$56,MATCH(AE$93,$A$5:$A$56,0),1):INDEX($B$5:$CW$56,MATCH(AE$93,$A$5:$A$56,0),100),$B63:$CW63,"="&amp;"x",$B$3:$CW$3,"="&amp;"Y"),0)</f>
        <v>0</v>
      </c>
      <c r="AF98">
        <f ca="1">IFERROR(SUMIFS(INDEX($B$5:$CW$56,MATCH(AF$93,$A$5:$A$56,0),1):INDEX($B$5:$CW$56,MATCH(AF$93,$A$5:$A$56,0),100),$B63:$CW63,"="&amp;"x",$B$3:$CW$3,"="&amp;"Y"),0)</f>
        <v>0</v>
      </c>
      <c r="AG98">
        <f ca="1">IFERROR(SUMIFS(INDEX($B$5:$CW$56,MATCH(AG$93,$A$5:$A$56,0),1):INDEX($B$5:$CW$56,MATCH(AG$93,$A$5:$A$56,0),100),$B63:$CW63,"="&amp;"x",$B$3:$CW$3,"="&amp;"Y"),0)</f>
        <v>0</v>
      </c>
      <c r="AH98">
        <f ca="1">IFERROR(SUMIFS(INDEX($B$5:$CW$56,MATCH(AH$93,$A$5:$A$56,0),1):INDEX($B$5:$CW$56,MATCH(AH$93,$A$5:$A$56,0),100),$B63:$CW63,"="&amp;"x",$B$3:$CW$3,"="&amp;"Y"),0)</f>
        <v>0</v>
      </c>
      <c r="AI98">
        <f ca="1">IFERROR(SUMIFS(INDEX($B$5:$CW$56,MATCH(AI$93,$A$5:$A$56,0),1):INDEX($B$5:$CW$56,MATCH(AI$93,$A$5:$A$56,0),100),$B63:$CW63,"="&amp;"x",$B$3:$CW$3,"="&amp;"Y"),0)</f>
        <v>0</v>
      </c>
      <c r="AJ98">
        <f ca="1">IFERROR(SUMIFS(INDEX($B$5:$CW$56,MATCH(AJ$93,$A$5:$A$56,0),1):INDEX($B$5:$CW$56,MATCH(AJ$93,$A$5:$A$56,0),100),$B63:$CW63,"="&amp;"x",$B$3:$CW$3,"="&amp;"Y"),0)</f>
        <v>0</v>
      </c>
      <c r="AK98">
        <f ca="1">IFERROR(SUMIFS(INDEX($B$5:$CW$56,MATCH(AK$93,$A$5:$A$56,0),1):INDEX($B$5:$CW$56,MATCH(AK$93,$A$5:$A$56,0),100),$B63:$CW63,"="&amp;"x",$B$3:$CW$3,"="&amp;"Y"),0)</f>
        <v>0</v>
      </c>
      <c r="AL98">
        <f ca="1">IFERROR(SUMIFS(INDEX($B$5:$CW$56,MATCH(AL$93,$A$5:$A$56,0),1):INDEX($B$5:$CW$56,MATCH(AL$93,$A$5:$A$56,0),100),$B63:$CW63,"="&amp;"x",$B$3:$CW$3,"="&amp;"Y"),0)</f>
        <v>0</v>
      </c>
      <c r="AM98">
        <f ca="1">IFERROR(SUMIFS(INDEX($B$5:$CW$56,MATCH(AM$93,$A$5:$A$56,0),1):INDEX($B$5:$CW$56,MATCH(AM$93,$A$5:$A$56,0),100),$B63:$CW63,"="&amp;"x",$B$3:$CW$3,"="&amp;"Y"),0)</f>
        <v>0</v>
      </c>
      <c r="AN98">
        <f ca="1">IFERROR(SUMIFS(INDEX($B$5:$CW$56,MATCH(AN$93,$A$5:$A$56,0),1):INDEX($B$5:$CW$56,MATCH(AN$93,$A$5:$A$56,0),100),$B63:$CW63,"="&amp;"x",$B$3:$CW$3,"="&amp;"Y"),0)</f>
        <v>0</v>
      </c>
      <c r="AO98">
        <f ca="1">IFERROR(SUMIFS(INDEX($B$5:$CW$56,MATCH(AO$93,$A$5:$A$56,0),1):INDEX($B$5:$CW$56,MATCH(AO$93,$A$5:$A$56,0),100),$B63:$CW63,"="&amp;"x",$B$3:$CW$3,"="&amp;"Y"),0)</f>
        <v>0</v>
      </c>
      <c r="AP98">
        <f ca="1">IFERROR(SUMIFS(INDEX($B$5:$CW$56,MATCH(AP$93,$A$5:$A$56,0),1):INDEX($B$5:$CW$56,MATCH(AP$93,$A$5:$A$56,0),100),$B63:$CW63,"="&amp;"x",$B$3:$CW$3,"="&amp;"Y"),0)</f>
        <v>0</v>
      </c>
      <c r="AQ98">
        <f ca="1">IFERROR(SUMIFS(INDEX($B$5:$CW$56,MATCH(AQ$93,$A$5:$A$56,0),1):INDEX($B$5:$CW$56,MATCH(AQ$93,$A$5:$A$56,0),100),$B63:$CW63,"="&amp;"x",$B$3:$CW$3,"="&amp;"Y"),0)</f>
        <v>0</v>
      </c>
      <c r="AR98">
        <f ca="1">IFERROR(SUMIFS(INDEX($B$5:$CW$56,MATCH(AR$93,$A$5:$A$56,0),1):INDEX($B$5:$CW$56,MATCH(AR$93,$A$5:$A$56,0),100),$B63:$CW63,"="&amp;"x",$B$3:$CW$3,"="&amp;"Y"),0)</f>
        <v>0</v>
      </c>
      <c r="AS98">
        <f ca="1">IFERROR(SUMIFS(INDEX($B$5:$CW$56,MATCH(AS$93,$A$5:$A$56,0),1):INDEX($B$5:$CW$56,MATCH(AS$93,$A$5:$A$56,0),100),$B63:$CW63,"="&amp;"x",$B$3:$CW$3,"="&amp;"Y"),0)</f>
        <v>0</v>
      </c>
      <c r="AT98">
        <f ca="1">IFERROR(SUMIFS(INDEX($B$5:$CW$56,MATCH(AT$93,$A$5:$A$56,0),1):INDEX($B$5:$CW$56,MATCH(AT$93,$A$5:$A$56,0),100),$B63:$CW63,"="&amp;"x",$B$3:$CW$3,"="&amp;"Y"),0)</f>
        <v>0</v>
      </c>
      <c r="AU98">
        <f ca="1">IFERROR(SUMIFS(INDEX($B$5:$CW$56,MATCH(AU$93,$A$5:$A$56,0),1):INDEX($B$5:$CW$56,MATCH(AU$93,$A$5:$A$56,0),100),$B63:$CW63,"="&amp;"x",$B$3:$CW$3,"="&amp;"Y"),0)</f>
        <v>0</v>
      </c>
      <c r="AV98">
        <f ca="1">IFERROR(SUMIFS(INDEX($B$5:$CW$56,MATCH(AV$93,$A$5:$A$56,0),1):INDEX($B$5:$CW$56,MATCH(AV$93,$A$5:$A$56,0),100),$B63:$CW63,"="&amp;"x",$B$3:$CW$3,"="&amp;"Y"),0)</f>
        <v>0</v>
      </c>
      <c r="AW98">
        <f ca="1">IFERROR(SUMIFS(INDEX($B$5:$CW$56,MATCH(AW$93,$A$5:$A$56,0),1):INDEX($B$5:$CW$56,MATCH(AW$93,$A$5:$A$56,0),100),$B63:$CW63,"="&amp;"x",$B$3:$CW$3,"="&amp;"Y"),0)</f>
        <v>0</v>
      </c>
      <c r="AX98">
        <f ca="1">IFERROR(SUMIFS(INDEX($B$5:$CW$56,MATCH(AX$93,$A$5:$A$56,0),1):INDEX($B$5:$CW$56,MATCH(AX$93,$A$5:$A$56,0),100),$B63:$CW63,"="&amp;"x",$B$3:$CW$3,"="&amp;"Y"),0)</f>
        <v>0</v>
      </c>
      <c r="AY98">
        <f ca="1">IFERROR(SUMIFS(INDEX($B$5:$CW$56,MATCH(AY$93,$A$5:$A$56,0),1):INDEX($B$5:$CW$56,MATCH(AY$93,$A$5:$A$56,0),100),$B63:$CW63,"="&amp;"x",$B$3:$CW$3,"="&amp;"Y"),0)</f>
        <v>0</v>
      </c>
      <c r="AZ98">
        <f ca="1">IFERROR(SUMIFS(INDEX($B$5:$CW$56,MATCH(AZ$93,$A$5:$A$56,0),1):INDEX($B$5:$CW$56,MATCH(AZ$93,$A$5:$A$56,0),100),$B63:$CW63,"="&amp;"x",$B$3:$CW$3,"="&amp;"Y"),0)</f>
        <v>0</v>
      </c>
      <c r="BA98">
        <f ca="1">IFERROR(SUMIFS(INDEX($B$5:$CW$56,MATCH(BA$93,$A$5:$A$56,0),1):INDEX($B$5:$CW$56,MATCH(BA$93,$A$5:$A$56,0),100),$B63:$CW63,"="&amp;"x",$B$3:$CW$3,"="&amp;"Y"),0)</f>
        <v>0</v>
      </c>
      <c r="BC98">
        <f t="shared" ca="1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ca="1">IFERROR(SUMIFS(INDEX($B$5:$CW$56,MATCH(B$93,$A$5:$A$56,0),1):INDEX($B$5:$CW$56,MATCH(B$93,$A$5:$A$56,0),100),$B64:$CW64,"="&amp;"x",$B$3:$CW$3,"="&amp;"Y"),0)</f>
        <v>0</v>
      </c>
      <c r="C99">
        <f ca="1">IFERROR(SUMIFS(INDEX($B$5:$CW$56,MATCH(C$93,$A$5:$A$56,0),1):INDEX($B$5:$CW$56,MATCH(C$93,$A$5:$A$56,0),100),$B64:$CW64,"="&amp;"x",$B$3:$CW$3,"="&amp;"Y"),0)</f>
        <v>0</v>
      </c>
      <c r="D99">
        <f ca="1">IFERROR(SUMIFS(INDEX($B$5:$CW$56,MATCH(D$93,$A$5:$A$56,0),1):INDEX($B$5:$CW$56,MATCH(D$93,$A$5:$A$56,0),100),$B64:$CW64,"="&amp;"x",$B$3:$CW$3,"="&amp;"Y"),0)</f>
        <v>0</v>
      </c>
      <c r="E99">
        <f ca="1">IFERROR(SUMIFS(INDEX($B$5:$CW$56,MATCH(E$93,$A$5:$A$56,0),1):INDEX($B$5:$CW$56,MATCH(E$93,$A$5:$A$56,0),100),$B64:$CW64,"="&amp;"x",$B$3:$CW$3,"="&amp;"Y"),0)</f>
        <v>0</v>
      </c>
      <c r="F99">
        <f ca="1">IFERROR(SUMIFS(INDEX($B$5:$CW$56,MATCH(F$93,$A$5:$A$56,0),1):INDEX($B$5:$CW$56,MATCH(F$93,$A$5:$A$56,0),100),$B64:$CW64,"="&amp;"x",$B$3:$CW$3,"="&amp;"Y"),0)</f>
        <v>0</v>
      </c>
      <c r="G99">
        <f ca="1">IFERROR(SUMIFS(INDEX($B$5:$CW$56,MATCH(G$93,$A$5:$A$56,0),1):INDEX($B$5:$CW$56,MATCH(G$93,$A$5:$A$56,0),100),$B64:$CW64,"="&amp;"x",$B$3:$CW$3,"="&amp;"Y"),0)</f>
        <v>0</v>
      </c>
      <c r="H99">
        <f ca="1">IFERROR(SUMIFS(INDEX($B$5:$CW$56,MATCH(H$93,$A$5:$A$56,0),1):INDEX($B$5:$CW$56,MATCH(H$93,$A$5:$A$56,0),100),$B64:$CW64,"="&amp;"x",$B$3:$CW$3,"="&amp;"Y"),0)</f>
        <v>0</v>
      </c>
      <c r="I99">
        <f ca="1">IFERROR(SUMIFS(INDEX($B$5:$CW$56,MATCH(I$93,$A$5:$A$56,0),1):INDEX($B$5:$CW$56,MATCH(I$93,$A$5:$A$56,0),100),$B64:$CW64,"="&amp;"x",$B$3:$CW$3,"="&amp;"Y"),0)</f>
        <v>0</v>
      </c>
      <c r="J99">
        <f ca="1">IFERROR(SUMIFS(INDEX($B$5:$CW$56,MATCH(J$93,$A$5:$A$56,0),1):INDEX($B$5:$CW$56,MATCH(J$93,$A$5:$A$56,0),100),$B64:$CW64,"="&amp;"x",$B$3:$CW$3,"="&amp;"Y"),0)</f>
        <v>0</v>
      </c>
      <c r="K99">
        <f ca="1">IFERROR(SUMIFS(INDEX($B$5:$CW$56,MATCH(K$93,$A$5:$A$56,0),1):INDEX($B$5:$CW$56,MATCH(K$93,$A$5:$A$56,0),100),$B64:$CW64,"="&amp;"x",$B$3:$CW$3,"="&amp;"Y"),0)</f>
        <v>0</v>
      </c>
      <c r="L99">
        <f ca="1">IFERROR(SUMIFS(INDEX($B$5:$CW$56,MATCH(L$93,$A$5:$A$56,0),1):INDEX($B$5:$CW$56,MATCH(L$93,$A$5:$A$56,0),100),$B64:$CW64,"="&amp;"x",$B$3:$CW$3,"="&amp;"Y"),0)</f>
        <v>0</v>
      </c>
      <c r="M99">
        <f ca="1">IFERROR(SUMIFS(INDEX($B$5:$CW$56,MATCH(M$93,$A$5:$A$56,0),1):INDEX($B$5:$CW$56,MATCH(M$93,$A$5:$A$56,0),100),$B64:$CW64,"="&amp;"x",$B$3:$CW$3,"="&amp;"Y"),0)</f>
        <v>0</v>
      </c>
      <c r="N99">
        <f ca="1">IFERROR(SUMIFS(INDEX($B$5:$CW$56,MATCH(N$93,$A$5:$A$56,0),1):INDEX($B$5:$CW$56,MATCH(N$93,$A$5:$A$56,0),100),$B64:$CW64,"="&amp;"x",$B$3:$CW$3,"="&amp;"Y"),0)</f>
        <v>0</v>
      </c>
      <c r="O99">
        <f ca="1">IFERROR(SUMIFS(INDEX($B$5:$CW$56,MATCH(O$93,$A$5:$A$56,0),1):INDEX($B$5:$CW$56,MATCH(O$93,$A$5:$A$56,0),100),$B64:$CW64,"="&amp;"x",$B$3:$CW$3,"="&amp;"Y"),0)</f>
        <v>0</v>
      </c>
      <c r="P99">
        <f ca="1">IFERROR(SUMIFS(INDEX($B$5:$CW$56,MATCH(P$93,$A$5:$A$56,0),1):INDEX($B$5:$CW$56,MATCH(P$93,$A$5:$A$56,0),100),$B64:$CW64,"="&amp;"x",$B$3:$CW$3,"="&amp;"Y"),0)</f>
        <v>0</v>
      </c>
      <c r="Q99">
        <f ca="1">IFERROR(SUMIFS(INDEX($B$5:$CW$56,MATCH(Q$93,$A$5:$A$56,0),1):INDEX($B$5:$CW$56,MATCH(Q$93,$A$5:$A$56,0),100),$B64:$CW64,"="&amp;"x",$B$3:$CW$3,"="&amp;"Y"),0)</f>
        <v>0</v>
      </c>
      <c r="R99">
        <f ca="1">IFERROR(SUMIFS(INDEX($B$5:$CW$56,MATCH(R$93,$A$5:$A$56,0),1):INDEX($B$5:$CW$56,MATCH(R$93,$A$5:$A$56,0),100),$B64:$CW64,"="&amp;"x",$B$3:$CW$3,"="&amp;"Y"),0)</f>
        <v>0</v>
      </c>
      <c r="S99">
        <f ca="1">IFERROR(SUMIFS(INDEX($B$5:$CW$56,MATCH(S$93,$A$5:$A$56,0),1):INDEX($B$5:$CW$56,MATCH(S$93,$A$5:$A$56,0),100),$B64:$CW64,"="&amp;"x",$B$3:$CW$3,"="&amp;"Y"),0)</f>
        <v>0</v>
      </c>
      <c r="T99">
        <f ca="1">IFERROR(SUMIFS(INDEX($B$5:$CW$56,MATCH(T$93,$A$5:$A$56,0),1):INDEX($B$5:$CW$56,MATCH(T$93,$A$5:$A$56,0),100),$B64:$CW64,"="&amp;"x",$B$3:$CW$3,"="&amp;"Y"),0)</f>
        <v>0</v>
      </c>
      <c r="U99">
        <f ca="1">IFERROR(SUMIFS(INDEX($B$5:$CW$56,MATCH(U$93,$A$5:$A$56,0),1):INDEX($B$5:$CW$56,MATCH(U$93,$A$5:$A$56,0),100),$B64:$CW64,"="&amp;"x",$B$3:$CW$3,"="&amp;"Y"),0)</f>
        <v>0</v>
      </c>
      <c r="V99">
        <f ca="1">IFERROR(SUMIFS(INDEX($B$5:$CW$56,MATCH(V$93,$A$5:$A$56,0),1):INDEX($B$5:$CW$56,MATCH(V$93,$A$5:$A$56,0),100),$B64:$CW64,"="&amp;"x",$B$3:$CW$3,"="&amp;"Y"),0)</f>
        <v>0</v>
      </c>
      <c r="W99">
        <f ca="1">IFERROR(SUMIFS(INDEX($B$5:$CW$56,MATCH(W$93,$A$5:$A$56,0),1):INDEX($B$5:$CW$56,MATCH(W$93,$A$5:$A$56,0),100),$B64:$CW64,"="&amp;"x",$B$3:$CW$3,"="&amp;"Y"),0)</f>
        <v>0</v>
      </c>
      <c r="X99">
        <f ca="1">IFERROR(SUMIFS(INDEX($B$5:$CW$56,MATCH(X$93,$A$5:$A$56,0),1):INDEX($B$5:$CW$56,MATCH(X$93,$A$5:$A$56,0),100),$B64:$CW64,"="&amp;"x",$B$3:$CW$3,"="&amp;"Y"),0)</f>
        <v>0</v>
      </c>
      <c r="Y99">
        <f ca="1">IFERROR(SUMIFS(INDEX($B$5:$CW$56,MATCH(Y$93,$A$5:$A$56,0),1):INDEX($B$5:$CW$56,MATCH(Y$93,$A$5:$A$56,0),100),$B64:$CW64,"="&amp;"x",$B$3:$CW$3,"="&amp;"Y"),0)</f>
        <v>0</v>
      </c>
      <c r="Z99">
        <f ca="1">IFERROR(SUMIFS(INDEX($B$5:$CW$56,MATCH(Z$93,$A$5:$A$56,0),1):INDEX($B$5:$CW$56,MATCH(Z$93,$A$5:$A$56,0),100),$B64:$CW64,"="&amp;"x",$B$3:$CW$3,"="&amp;"Y"),0)</f>
        <v>0</v>
      </c>
      <c r="AA99">
        <f ca="1">IFERROR(SUMIFS(INDEX($B$5:$CW$56,MATCH(AA$93,$A$5:$A$56,0),1):INDEX($B$5:$CW$56,MATCH(AA$93,$A$5:$A$56,0),100),$B64:$CW64,"="&amp;"x",$B$3:$CW$3,"="&amp;"Y"),0)</f>
        <v>0</v>
      </c>
      <c r="AB99">
        <f ca="1">IFERROR(SUMIFS(INDEX($B$5:$CW$56,MATCH(AB$93,$A$5:$A$56,0),1):INDEX($B$5:$CW$56,MATCH(AB$93,$A$5:$A$56,0),100),$B64:$CW64,"="&amp;"x",$B$3:$CW$3,"="&amp;"Y"),0)</f>
        <v>0</v>
      </c>
      <c r="AC99">
        <f ca="1">IFERROR(SUMIFS(INDEX($B$5:$CW$56,MATCH(AC$93,$A$5:$A$56,0),1):INDEX($B$5:$CW$56,MATCH(AC$93,$A$5:$A$56,0),100),$B64:$CW64,"="&amp;"x",$B$3:$CW$3,"="&amp;"Y"),0)</f>
        <v>0</v>
      </c>
      <c r="AD99">
        <f ca="1">IFERROR(SUMIFS(INDEX($B$5:$CW$56,MATCH(AD$93,$A$5:$A$56,0),1):INDEX($B$5:$CW$56,MATCH(AD$93,$A$5:$A$56,0),100),$B64:$CW64,"="&amp;"x",$B$3:$CW$3,"="&amp;"Y"),0)</f>
        <v>0</v>
      </c>
      <c r="AE99">
        <f ca="1">IFERROR(SUMIFS(INDEX($B$5:$CW$56,MATCH(AE$93,$A$5:$A$56,0),1):INDEX($B$5:$CW$56,MATCH(AE$93,$A$5:$A$56,0),100),$B64:$CW64,"="&amp;"x",$B$3:$CW$3,"="&amp;"Y"),0)</f>
        <v>0</v>
      </c>
      <c r="AF99">
        <f ca="1">IFERROR(SUMIFS(INDEX($B$5:$CW$56,MATCH(AF$93,$A$5:$A$56,0),1):INDEX($B$5:$CW$56,MATCH(AF$93,$A$5:$A$56,0),100),$B64:$CW64,"="&amp;"x",$B$3:$CW$3,"="&amp;"Y"),0)</f>
        <v>0</v>
      </c>
      <c r="AG99">
        <f ca="1">IFERROR(SUMIFS(INDEX($B$5:$CW$56,MATCH(AG$93,$A$5:$A$56,0),1):INDEX($B$5:$CW$56,MATCH(AG$93,$A$5:$A$56,0),100),$B64:$CW64,"="&amp;"x",$B$3:$CW$3,"="&amp;"Y"),0)</f>
        <v>0</v>
      </c>
      <c r="AH99">
        <f ca="1">IFERROR(SUMIFS(INDEX($B$5:$CW$56,MATCH(AH$93,$A$5:$A$56,0),1):INDEX($B$5:$CW$56,MATCH(AH$93,$A$5:$A$56,0),100),$B64:$CW64,"="&amp;"x",$B$3:$CW$3,"="&amp;"Y"),0)</f>
        <v>0</v>
      </c>
      <c r="AI99">
        <f ca="1">IFERROR(SUMIFS(INDEX($B$5:$CW$56,MATCH(AI$93,$A$5:$A$56,0),1):INDEX($B$5:$CW$56,MATCH(AI$93,$A$5:$A$56,0),100),$B64:$CW64,"="&amp;"x",$B$3:$CW$3,"="&amp;"Y"),0)</f>
        <v>0</v>
      </c>
      <c r="AJ99">
        <f ca="1">IFERROR(SUMIFS(INDEX($B$5:$CW$56,MATCH(AJ$93,$A$5:$A$56,0),1):INDEX($B$5:$CW$56,MATCH(AJ$93,$A$5:$A$56,0),100),$B64:$CW64,"="&amp;"x",$B$3:$CW$3,"="&amp;"Y"),0)</f>
        <v>0</v>
      </c>
      <c r="AK99">
        <f ca="1">IFERROR(SUMIFS(INDEX($B$5:$CW$56,MATCH(AK$93,$A$5:$A$56,0),1):INDEX($B$5:$CW$56,MATCH(AK$93,$A$5:$A$56,0),100),$B64:$CW64,"="&amp;"x",$B$3:$CW$3,"="&amp;"Y"),0)</f>
        <v>0</v>
      </c>
      <c r="AL99">
        <f ca="1">IFERROR(SUMIFS(INDEX($B$5:$CW$56,MATCH(AL$93,$A$5:$A$56,0),1):INDEX($B$5:$CW$56,MATCH(AL$93,$A$5:$A$56,0),100),$B64:$CW64,"="&amp;"x",$B$3:$CW$3,"="&amp;"Y"),0)</f>
        <v>0</v>
      </c>
      <c r="AM99">
        <f ca="1">IFERROR(SUMIFS(INDEX($B$5:$CW$56,MATCH(AM$93,$A$5:$A$56,0),1):INDEX($B$5:$CW$56,MATCH(AM$93,$A$5:$A$56,0),100),$B64:$CW64,"="&amp;"x",$B$3:$CW$3,"="&amp;"Y"),0)</f>
        <v>0</v>
      </c>
      <c r="AN99">
        <f ca="1">IFERROR(SUMIFS(INDEX($B$5:$CW$56,MATCH(AN$93,$A$5:$A$56,0),1):INDEX($B$5:$CW$56,MATCH(AN$93,$A$5:$A$56,0),100),$B64:$CW64,"="&amp;"x",$B$3:$CW$3,"="&amp;"Y"),0)</f>
        <v>0</v>
      </c>
      <c r="AO99">
        <f ca="1">IFERROR(SUMIFS(INDEX($B$5:$CW$56,MATCH(AO$93,$A$5:$A$56,0),1):INDEX($B$5:$CW$56,MATCH(AO$93,$A$5:$A$56,0),100),$B64:$CW64,"="&amp;"x",$B$3:$CW$3,"="&amp;"Y"),0)</f>
        <v>0</v>
      </c>
      <c r="AP99">
        <f ca="1">IFERROR(SUMIFS(INDEX($B$5:$CW$56,MATCH(AP$93,$A$5:$A$56,0),1):INDEX($B$5:$CW$56,MATCH(AP$93,$A$5:$A$56,0),100),$B64:$CW64,"="&amp;"x",$B$3:$CW$3,"="&amp;"Y"),0)</f>
        <v>0</v>
      </c>
      <c r="AQ99">
        <f ca="1">IFERROR(SUMIFS(INDEX($B$5:$CW$56,MATCH(AQ$93,$A$5:$A$56,0),1):INDEX($B$5:$CW$56,MATCH(AQ$93,$A$5:$A$56,0),100),$B64:$CW64,"="&amp;"x",$B$3:$CW$3,"="&amp;"Y"),0)</f>
        <v>0</v>
      </c>
      <c r="AR99">
        <f ca="1">IFERROR(SUMIFS(INDEX($B$5:$CW$56,MATCH(AR$93,$A$5:$A$56,0),1):INDEX($B$5:$CW$56,MATCH(AR$93,$A$5:$A$56,0),100),$B64:$CW64,"="&amp;"x",$B$3:$CW$3,"="&amp;"Y"),0)</f>
        <v>0</v>
      </c>
      <c r="AS99">
        <f ca="1">IFERROR(SUMIFS(INDEX($B$5:$CW$56,MATCH(AS$93,$A$5:$A$56,0),1):INDEX($B$5:$CW$56,MATCH(AS$93,$A$5:$A$56,0),100),$B64:$CW64,"="&amp;"x",$B$3:$CW$3,"="&amp;"Y"),0)</f>
        <v>0</v>
      </c>
      <c r="AT99">
        <f ca="1">IFERROR(SUMIFS(INDEX($B$5:$CW$56,MATCH(AT$93,$A$5:$A$56,0),1):INDEX($B$5:$CW$56,MATCH(AT$93,$A$5:$A$56,0),100),$B64:$CW64,"="&amp;"x",$B$3:$CW$3,"="&amp;"Y"),0)</f>
        <v>0</v>
      </c>
      <c r="AU99">
        <f ca="1">IFERROR(SUMIFS(INDEX($B$5:$CW$56,MATCH(AU$93,$A$5:$A$56,0),1):INDEX($B$5:$CW$56,MATCH(AU$93,$A$5:$A$56,0),100),$B64:$CW64,"="&amp;"x",$B$3:$CW$3,"="&amp;"Y"),0)</f>
        <v>0</v>
      </c>
      <c r="AV99">
        <f ca="1">IFERROR(SUMIFS(INDEX($B$5:$CW$56,MATCH(AV$93,$A$5:$A$56,0),1):INDEX($B$5:$CW$56,MATCH(AV$93,$A$5:$A$56,0),100),$B64:$CW64,"="&amp;"x",$B$3:$CW$3,"="&amp;"Y"),0)</f>
        <v>0</v>
      </c>
      <c r="AW99">
        <f ca="1">IFERROR(SUMIFS(INDEX($B$5:$CW$56,MATCH(AW$93,$A$5:$A$56,0),1):INDEX($B$5:$CW$56,MATCH(AW$93,$A$5:$A$56,0),100),$B64:$CW64,"="&amp;"x",$B$3:$CW$3,"="&amp;"Y"),0)</f>
        <v>0</v>
      </c>
      <c r="AX99">
        <f ca="1">IFERROR(SUMIFS(INDEX($B$5:$CW$56,MATCH(AX$93,$A$5:$A$56,0),1):INDEX($B$5:$CW$56,MATCH(AX$93,$A$5:$A$56,0),100),$B64:$CW64,"="&amp;"x",$B$3:$CW$3,"="&amp;"Y"),0)</f>
        <v>0</v>
      </c>
      <c r="AY99">
        <f ca="1">IFERROR(SUMIFS(INDEX($B$5:$CW$56,MATCH(AY$93,$A$5:$A$56,0),1):INDEX($B$5:$CW$56,MATCH(AY$93,$A$5:$A$56,0),100),$B64:$CW64,"="&amp;"x",$B$3:$CW$3,"="&amp;"Y"),0)</f>
        <v>0</v>
      </c>
      <c r="AZ99">
        <f ca="1">IFERROR(SUMIFS(INDEX($B$5:$CW$56,MATCH(AZ$93,$A$5:$A$56,0),1):INDEX($B$5:$CW$56,MATCH(AZ$93,$A$5:$A$56,0),100),$B64:$CW64,"="&amp;"x",$B$3:$CW$3,"="&amp;"Y"),0)</f>
        <v>0</v>
      </c>
      <c r="BA99">
        <f ca="1">IFERROR(SUMIFS(INDEX($B$5:$CW$56,MATCH(BA$93,$A$5:$A$56,0),1):INDEX($B$5:$CW$56,MATCH(BA$93,$A$5:$A$56,0),100),$B64:$CW64,"="&amp;"x",$B$3:$CW$3,"="&amp;"Y"),0)</f>
        <v>0</v>
      </c>
      <c r="BC99">
        <f t="shared" ca="1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ca="1">IFERROR(SUMIFS(INDEX($B$5:$CW$56,MATCH(B$93,$A$5:$A$56,0),1):INDEX($B$5:$CW$56,MATCH(B$93,$A$5:$A$56,0),100),$B65:$CW65,"="&amp;"x",$B$3:$CW$3,"="&amp;"Y"),0)</f>
        <v>0</v>
      </c>
      <c r="C100">
        <f ca="1">IFERROR(SUMIFS(INDEX($B$5:$CW$56,MATCH(C$93,$A$5:$A$56,0),1):INDEX($B$5:$CW$56,MATCH(C$93,$A$5:$A$56,0),100),$B65:$CW65,"="&amp;"x",$B$3:$CW$3,"="&amp;"Y"),0)</f>
        <v>0</v>
      </c>
      <c r="D100">
        <f ca="1">IFERROR(SUMIFS(INDEX($B$5:$CW$56,MATCH(D$93,$A$5:$A$56,0),1):INDEX($B$5:$CW$56,MATCH(D$93,$A$5:$A$56,0),100),$B65:$CW65,"="&amp;"x",$B$3:$CW$3,"="&amp;"Y"),0)</f>
        <v>0</v>
      </c>
      <c r="E100">
        <f ca="1">IFERROR(SUMIFS(INDEX($B$5:$CW$56,MATCH(E$93,$A$5:$A$56,0),1):INDEX($B$5:$CW$56,MATCH(E$93,$A$5:$A$56,0),100),$B65:$CW65,"="&amp;"x",$B$3:$CW$3,"="&amp;"Y"),0)</f>
        <v>0</v>
      </c>
      <c r="F100">
        <f ca="1">IFERROR(SUMIFS(INDEX($B$5:$CW$56,MATCH(F$93,$A$5:$A$56,0),1):INDEX($B$5:$CW$56,MATCH(F$93,$A$5:$A$56,0),100),$B65:$CW65,"="&amp;"x",$B$3:$CW$3,"="&amp;"Y"),0)</f>
        <v>0</v>
      </c>
      <c r="G100">
        <f ca="1">IFERROR(SUMIFS(INDEX($B$5:$CW$56,MATCH(G$93,$A$5:$A$56,0),1):INDEX($B$5:$CW$56,MATCH(G$93,$A$5:$A$56,0),100),$B65:$CW65,"="&amp;"x",$B$3:$CW$3,"="&amp;"Y"),0)</f>
        <v>0</v>
      </c>
      <c r="H100">
        <f ca="1">IFERROR(SUMIFS(INDEX($B$5:$CW$56,MATCH(H$93,$A$5:$A$56,0),1):INDEX($B$5:$CW$56,MATCH(H$93,$A$5:$A$56,0),100),$B65:$CW65,"="&amp;"x",$B$3:$CW$3,"="&amp;"Y"),0)</f>
        <v>0</v>
      </c>
      <c r="I100">
        <f ca="1">IFERROR(SUMIFS(INDEX($B$5:$CW$56,MATCH(I$93,$A$5:$A$56,0),1):INDEX($B$5:$CW$56,MATCH(I$93,$A$5:$A$56,0),100),$B65:$CW65,"="&amp;"x",$B$3:$CW$3,"="&amp;"Y"),0)</f>
        <v>0</v>
      </c>
      <c r="J100">
        <f ca="1">IFERROR(SUMIFS(INDEX($B$5:$CW$56,MATCH(J$93,$A$5:$A$56,0),1):INDEX($B$5:$CW$56,MATCH(J$93,$A$5:$A$56,0),100),$B65:$CW65,"="&amp;"x",$B$3:$CW$3,"="&amp;"Y"),0)</f>
        <v>0</v>
      </c>
      <c r="K100">
        <f ca="1">IFERROR(SUMIFS(INDEX($B$5:$CW$56,MATCH(K$93,$A$5:$A$56,0),1):INDEX($B$5:$CW$56,MATCH(K$93,$A$5:$A$56,0),100),$B65:$CW65,"="&amp;"x",$B$3:$CW$3,"="&amp;"Y"),0)</f>
        <v>0</v>
      </c>
      <c r="L100">
        <f ca="1">IFERROR(SUMIFS(INDEX($B$5:$CW$56,MATCH(L$93,$A$5:$A$56,0),1):INDEX($B$5:$CW$56,MATCH(L$93,$A$5:$A$56,0),100),$B65:$CW65,"="&amp;"x",$B$3:$CW$3,"="&amp;"Y"),0)</f>
        <v>0</v>
      </c>
      <c r="M100">
        <f ca="1">IFERROR(SUMIFS(INDEX($B$5:$CW$56,MATCH(M$93,$A$5:$A$56,0),1):INDEX($B$5:$CW$56,MATCH(M$93,$A$5:$A$56,0),100),$B65:$CW65,"="&amp;"x",$B$3:$CW$3,"="&amp;"Y"),0)</f>
        <v>0</v>
      </c>
      <c r="N100">
        <f ca="1">IFERROR(SUMIFS(INDEX($B$5:$CW$56,MATCH(N$93,$A$5:$A$56,0),1):INDEX($B$5:$CW$56,MATCH(N$93,$A$5:$A$56,0),100),$B65:$CW65,"="&amp;"x",$B$3:$CW$3,"="&amp;"Y"),0)</f>
        <v>0</v>
      </c>
      <c r="O100">
        <f ca="1">IFERROR(SUMIFS(INDEX($B$5:$CW$56,MATCH(O$93,$A$5:$A$56,0),1):INDEX($B$5:$CW$56,MATCH(O$93,$A$5:$A$56,0),100),$B65:$CW65,"="&amp;"x",$B$3:$CW$3,"="&amp;"Y"),0)</f>
        <v>0</v>
      </c>
      <c r="P100">
        <f ca="1">IFERROR(SUMIFS(INDEX($B$5:$CW$56,MATCH(P$93,$A$5:$A$56,0),1):INDEX($B$5:$CW$56,MATCH(P$93,$A$5:$A$56,0),100),$B65:$CW65,"="&amp;"x",$B$3:$CW$3,"="&amp;"Y"),0)</f>
        <v>0</v>
      </c>
      <c r="Q100">
        <f ca="1">IFERROR(SUMIFS(INDEX($B$5:$CW$56,MATCH(Q$93,$A$5:$A$56,0),1):INDEX($B$5:$CW$56,MATCH(Q$93,$A$5:$A$56,0),100),$B65:$CW65,"="&amp;"x",$B$3:$CW$3,"="&amp;"Y"),0)</f>
        <v>0</v>
      </c>
      <c r="R100">
        <f ca="1">IFERROR(SUMIFS(INDEX($B$5:$CW$56,MATCH(R$93,$A$5:$A$56,0),1):INDEX($B$5:$CW$56,MATCH(R$93,$A$5:$A$56,0),100),$B65:$CW65,"="&amp;"x",$B$3:$CW$3,"="&amp;"Y"),0)</f>
        <v>0</v>
      </c>
      <c r="S100">
        <f ca="1">IFERROR(SUMIFS(INDEX($B$5:$CW$56,MATCH(S$93,$A$5:$A$56,0),1):INDEX($B$5:$CW$56,MATCH(S$93,$A$5:$A$56,0),100),$B65:$CW65,"="&amp;"x",$B$3:$CW$3,"="&amp;"Y"),0)</f>
        <v>0</v>
      </c>
      <c r="T100">
        <f ca="1">IFERROR(SUMIFS(INDEX($B$5:$CW$56,MATCH(T$93,$A$5:$A$56,0),1):INDEX($B$5:$CW$56,MATCH(T$93,$A$5:$A$56,0),100),$B65:$CW65,"="&amp;"x",$B$3:$CW$3,"="&amp;"Y"),0)</f>
        <v>0</v>
      </c>
      <c r="U100">
        <f ca="1">IFERROR(SUMIFS(INDEX($B$5:$CW$56,MATCH(U$93,$A$5:$A$56,0),1):INDEX($B$5:$CW$56,MATCH(U$93,$A$5:$A$56,0),100),$B65:$CW65,"="&amp;"x",$B$3:$CW$3,"="&amp;"Y"),0)</f>
        <v>0</v>
      </c>
      <c r="V100">
        <f ca="1">IFERROR(SUMIFS(INDEX($B$5:$CW$56,MATCH(V$93,$A$5:$A$56,0),1):INDEX($B$5:$CW$56,MATCH(V$93,$A$5:$A$56,0),100),$B65:$CW65,"="&amp;"x",$B$3:$CW$3,"="&amp;"Y"),0)</f>
        <v>0</v>
      </c>
      <c r="W100">
        <f ca="1">IFERROR(SUMIFS(INDEX($B$5:$CW$56,MATCH(W$93,$A$5:$A$56,0),1):INDEX($B$5:$CW$56,MATCH(W$93,$A$5:$A$56,0),100),$B65:$CW65,"="&amp;"x",$B$3:$CW$3,"="&amp;"Y"),0)</f>
        <v>0</v>
      </c>
      <c r="X100">
        <f ca="1">IFERROR(SUMIFS(INDEX($B$5:$CW$56,MATCH(X$93,$A$5:$A$56,0),1):INDEX($B$5:$CW$56,MATCH(X$93,$A$5:$A$56,0),100),$B65:$CW65,"="&amp;"x",$B$3:$CW$3,"="&amp;"Y"),0)</f>
        <v>0</v>
      </c>
      <c r="Y100">
        <f ca="1">IFERROR(SUMIFS(INDEX($B$5:$CW$56,MATCH(Y$93,$A$5:$A$56,0),1):INDEX($B$5:$CW$56,MATCH(Y$93,$A$5:$A$56,0),100),$B65:$CW65,"="&amp;"x",$B$3:$CW$3,"="&amp;"Y"),0)</f>
        <v>0</v>
      </c>
      <c r="Z100">
        <f ca="1">IFERROR(SUMIFS(INDEX($B$5:$CW$56,MATCH(Z$93,$A$5:$A$56,0),1):INDEX($B$5:$CW$56,MATCH(Z$93,$A$5:$A$56,0),100),$B65:$CW65,"="&amp;"x",$B$3:$CW$3,"="&amp;"Y"),0)</f>
        <v>0</v>
      </c>
      <c r="AA100">
        <f ca="1">IFERROR(SUMIFS(INDEX($B$5:$CW$56,MATCH(AA$93,$A$5:$A$56,0),1):INDEX($B$5:$CW$56,MATCH(AA$93,$A$5:$A$56,0),100),$B65:$CW65,"="&amp;"x",$B$3:$CW$3,"="&amp;"Y"),0)</f>
        <v>0</v>
      </c>
      <c r="AB100">
        <f ca="1">IFERROR(SUMIFS(INDEX($B$5:$CW$56,MATCH(AB$93,$A$5:$A$56,0),1):INDEX($B$5:$CW$56,MATCH(AB$93,$A$5:$A$56,0),100),$B65:$CW65,"="&amp;"x",$B$3:$CW$3,"="&amp;"Y"),0)</f>
        <v>0</v>
      </c>
      <c r="AC100">
        <f ca="1">IFERROR(SUMIFS(INDEX($B$5:$CW$56,MATCH(AC$93,$A$5:$A$56,0),1):INDEX($B$5:$CW$56,MATCH(AC$93,$A$5:$A$56,0),100),$B65:$CW65,"="&amp;"x",$B$3:$CW$3,"="&amp;"Y"),0)</f>
        <v>0</v>
      </c>
      <c r="AD100">
        <f ca="1">IFERROR(SUMIFS(INDEX($B$5:$CW$56,MATCH(AD$93,$A$5:$A$56,0),1):INDEX($B$5:$CW$56,MATCH(AD$93,$A$5:$A$56,0),100),$B65:$CW65,"="&amp;"x",$B$3:$CW$3,"="&amp;"Y"),0)</f>
        <v>0</v>
      </c>
      <c r="AE100">
        <f ca="1">IFERROR(SUMIFS(INDEX($B$5:$CW$56,MATCH(AE$93,$A$5:$A$56,0),1):INDEX($B$5:$CW$56,MATCH(AE$93,$A$5:$A$56,0),100),$B65:$CW65,"="&amp;"x",$B$3:$CW$3,"="&amp;"Y"),0)</f>
        <v>0</v>
      </c>
      <c r="AF100">
        <f ca="1">IFERROR(SUMIFS(INDEX($B$5:$CW$56,MATCH(AF$93,$A$5:$A$56,0),1):INDEX($B$5:$CW$56,MATCH(AF$93,$A$5:$A$56,0),100),$B65:$CW65,"="&amp;"x",$B$3:$CW$3,"="&amp;"Y"),0)</f>
        <v>0</v>
      </c>
      <c r="AG100">
        <f ca="1">IFERROR(SUMIFS(INDEX($B$5:$CW$56,MATCH(AG$93,$A$5:$A$56,0),1):INDEX($B$5:$CW$56,MATCH(AG$93,$A$5:$A$56,0),100),$B65:$CW65,"="&amp;"x",$B$3:$CW$3,"="&amp;"Y"),0)</f>
        <v>0</v>
      </c>
      <c r="AH100">
        <f ca="1">IFERROR(SUMIFS(INDEX($B$5:$CW$56,MATCH(AH$93,$A$5:$A$56,0),1):INDEX($B$5:$CW$56,MATCH(AH$93,$A$5:$A$56,0),100),$B65:$CW65,"="&amp;"x",$B$3:$CW$3,"="&amp;"Y"),0)</f>
        <v>0</v>
      </c>
      <c r="AI100">
        <f ca="1">IFERROR(SUMIFS(INDEX($B$5:$CW$56,MATCH(AI$93,$A$5:$A$56,0),1):INDEX($B$5:$CW$56,MATCH(AI$93,$A$5:$A$56,0),100),$B65:$CW65,"="&amp;"x",$B$3:$CW$3,"="&amp;"Y"),0)</f>
        <v>0</v>
      </c>
      <c r="AJ100">
        <f ca="1">IFERROR(SUMIFS(INDEX($B$5:$CW$56,MATCH(AJ$93,$A$5:$A$56,0),1):INDEX($B$5:$CW$56,MATCH(AJ$93,$A$5:$A$56,0),100),$B65:$CW65,"="&amp;"x",$B$3:$CW$3,"="&amp;"Y"),0)</f>
        <v>0</v>
      </c>
      <c r="AK100">
        <f ca="1">IFERROR(SUMIFS(INDEX($B$5:$CW$56,MATCH(AK$93,$A$5:$A$56,0),1):INDEX($B$5:$CW$56,MATCH(AK$93,$A$5:$A$56,0),100),$B65:$CW65,"="&amp;"x",$B$3:$CW$3,"="&amp;"Y"),0)</f>
        <v>0</v>
      </c>
      <c r="AL100">
        <f ca="1">IFERROR(SUMIFS(INDEX($B$5:$CW$56,MATCH(AL$93,$A$5:$A$56,0),1):INDEX($B$5:$CW$56,MATCH(AL$93,$A$5:$A$56,0),100),$B65:$CW65,"="&amp;"x",$B$3:$CW$3,"="&amp;"Y"),0)</f>
        <v>0</v>
      </c>
      <c r="AM100">
        <f ca="1">IFERROR(SUMIFS(INDEX($B$5:$CW$56,MATCH(AM$93,$A$5:$A$56,0),1):INDEX($B$5:$CW$56,MATCH(AM$93,$A$5:$A$56,0),100),$B65:$CW65,"="&amp;"x",$B$3:$CW$3,"="&amp;"Y"),0)</f>
        <v>0</v>
      </c>
      <c r="AN100">
        <f ca="1">IFERROR(SUMIFS(INDEX($B$5:$CW$56,MATCH(AN$93,$A$5:$A$56,0),1):INDEX($B$5:$CW$56,MATCH(AN$93,$A$5:$A$56,0),100),$B65:$CW65,"="&amp;"x",$B$3:$CW$3,"="&amp;"Y"),0)</f>
        <v>0</v>
      </c>
      <c r="AO100">
        <f ca="1">IFERROR(SUMIFS(INDEX($B$5:$CW$56,MATCH(AO$93,$A$5:$A$56,0),1):INDEX($B$5:$CW$56,MATCH(AO$93,$A$5:$A$56,0),100),$B65:$CW65,"="&amp;"x",$B$3:$CW$3,"="&amp;"Y"),0)</f>
        <v>0</v>
      </c>
      <c r="AP100">
        <f ca="1">IFERROR(SUMIFS(INDEX($B$5:$CW$56,MATCH(AP$93,$A$5:$A$56,0),1):INDEX($B$5:$CW$56,MATCH(AP$93,$A$5:$A$56,0),100),$B65:$CW65,"="&amp;"x",$B$3:$CW$3,"="&amp;"Y"),0)</f>
        <v>0</v>
      </c>
      <c r="AQ100">
        <f ca="1">IFERROR(SUMIFS(INDEX($B$5:$CW$56,MATCH(AQ$93,$A$5:$A$56,0),1):INDEX($B$5:$CW$56,MATCH(AQ$93,$A$5:$A$56,0),100),$B65:$CW65,"="&amp;"x",$B$3:$CW$3,"="&amp;"Y"),0)</f>
        <v>0</v>
      </c>
      <c r="AR100">
        <f ca="1">IFERROR(SUMIFS(INDEX($B$5:$CW$56,MATCH(AR$93,$A$5:$A$56,0),1):INDEX($B$5:$CW$56,MATCH(AR$93,$A$5:$A$56,0),100),$B65:$CW65,"="&amp;"x",$B$3:$CW$3,"="&amp;"Y"),0)</f>
        <v>0</v>
      </c>
      <c r="AS100">
        <f ca="1">IFERROR(SUMIFS(INDEX($B$5:$CW$56,MATCH(AS$93,$A$5:$A$56,0),1):INDEX($B$5:$CW$56,MATCH(AS$93,$A$5:$A$56,0),100),$B65:$CW65,"="&amp;"x",$B$3:$CW$3,"="&amp;"Y"),0)</f>
        <v>0</v>
      </c>
      <c r="AT100">
        <f ca="1">IFERROR(SUMIFS(INDEX($B$5:$CW$56,MATCH(AT$93,$A$5:$A$56,0),1):INDEX($B$5:$CW$56,MATCH(AT$93,$A$5:$A$56,0),100),$B65:$CW65,"="&amp;"x",$B$3:$CW$3,"="&amp;"Y"),0)</f>
        <v>0</v>
      </c>
      <c r="AU100">
        <f ca="1">IFERROR(SUMIFS(INDEX($B$5:$CW$56,MATCH(AU$93,$A$5:$A$56,0),1):INDEX($B$5:$CW$56,MATCH(AU$93,$A$5:$A$56,0),100),$B65:$CW65,"="&amp;"x",$B$3:$CW$3,"="&amp;"Y"),0)</f>
        <v>0</v>
      </c>
      <c r="AV100">
        <f ca="1">IFERROR(SUMIFS(INDEX($B$5:$CW$56,MATCH(AV$93,$A$5:$A$56,0),1):INDEX($B$5:$CW$56,MATCH(AV$93,$A$5:$A$56,0),100),$B65:$CW65,"="&amp;"x",$B$3:$CW$3,"="&amp;"Y"),0)</f>
        <v>0</v>
      </c>
      <c r="AW100">
        <f ca="1">IFERROR(SUMIFS(INDEX($B$5:$CW$56,MATCH(AW$93,$A$5:$A$56,0),1):INDEX($B$5:$CW$56,MATCH(AW$93,$A$5:$A$56,0),100),$B65:$CW65,"="&amp;"x",$B$3:$CW$3,"="&amp;"Y"),0)</f>
        <v>0</v>
      </c>
      <c r="AX100">
        <f ca="1">IFERROR(SUMIFS(INDEX($B$5:$CW$56,MATCH(AX$93,$A$5:$A$56,0),1):INDEX($B$5:$CW$56,MATCH(AX$93,$A$5:$A$56,0),100),$B65:$CW65,"="&amp;"x",$B$3:$CW$3,"="&amp;"Y"),0)</f>
        <v>0</v>
      </c>
      <c r="AY100">
        <f ca="1">IFERROR(SUMIFS(INDEX($B$5:$CW$56,MATCH(AY$93,$A$5:$A$56,0),1):INDEX($B$5:$CW$56,MATCH(AY$93,$A$5:$A$56,0),100),$B65:$CW65,"="&amp;"x",$B$3:$CW$3,"="&amp;"Y"),0)</f>
        <v>0</v>
      </c>
      <c r="AZ100">
        <f ca="1">IFERROR(SUMIFS(INDEX($B$5:$CW$56,MATCH(AZ$93,$A$5:$A$56,0),1):INDEX($B$5:$CW$56,MATCH(AZ$93,$A$5:$A$56,0),100),$B65:$CW65,"="&amp;"x",$B$3:$CW$3,"="&amp;"Y"),0)</f>
        <v>0</v>
      </c>
      <c r="BA100">
        <f ca="1">IFERROR(SUMIFS(INDEX($B$5:$CW$56,MATCH(BA$93,$A$5:$A$56,0),1):INDEX($B$5:$CW$56,MATCH(BA$93,$A$5:$A$56,0),100),$B65:$CW65,"="&amp;"x",$B$3:$CW$3,"="&amp;"Y"),0)</f>
        <v>0</v>
      </c>
      <c r="BC100">
        <f t="shared" ca="1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ca="1">IFERROR(SUMIFS(INDEX($B$5:$CW$56,MATCH(B$93,$A$5:$A$56,0),1):INDEX($B$5:$CW$56,MATCH(B$93,$A$5:$A$56,0),100),$B66:$CW66,"="&amp;"x",$B$3:$CW$3,"="&amp;"Y"),0)</f>
        <v>0</v>
      </c>
      <c r="C101">
        <f ca="1">IFERROR(SUMIFS(INDEX($B$5:$CW$56,MATCH(C$93,$A$5:$A$56,0),1):INDEX($B$5:$CW$56,MATCH(C$93,$A$5:$A$56,0),100),$B66:$CW66,"="&amp;"x",$B$3:$CW$3,"="&amp;"Y"),0)</f>
        <v>0</v>
      </c>
      <c r="D101">
        <f ca="1">IFERROR(SUMIFS(INDEX($B$5:$CW$56,MATCH(D$93,$A$5:$A$56,0),1):INDEX($B$5:$CW$56,MATCH(D$93,$A$5:$A$56,0),100),$B66:$CW66,"="&amp;"x",$B$3:$CW$3,"="&amp;"Y"),0)</f>
        <v>0</v>
      </c>
      <c r="E101">
        <f ca="1">IFERROR(SUMIFS(INDEX($B$5:$CW$56,MATCH(E$93,$A$5:$A$56,0),1):INDEX($B$5:$CW$56,MATCH(E$93,$A$5:$A$56,0),100),$B66:$CW66,"="&amp;"x",$B$3:$CW$3,"="&amp;"Y"),0)</f>
        <v>0</v>
      </c>
      <c r="F101">
        <f ca="1">IFERROR(SUMIFS(INDEX($B$5:$CW$56,MATCH(F$93,$A$5:$A$56,0),1):INDEX($B$5:$CW$56,MATCH(F$93,$A$5:$A$56,0),100),$B66:$CW66,"="&amp;"x",$B$3:$CW$3,"="&amp;"Y"),0)</f>
        <v>0</v>
      </c>
      <c r="G101">
        <f ca="1">IFERROR(SUMIFS(INDEX($B$5:$CW$56,MATCH(G$93,$A$5:$A$56,0),1):INDEX($B$5:$CW$56,MATCH(G$93,$A$5:$A$56,0),100),$B66:$CW66,"="&amp;"x",$B$3:$CW$3,"="&amp;"Y"),0)</f>
        <v>0</v>
      </c>
      <c r="H101">
        <f ca="1">IFERROR(SUMIFS(INDEX($B$5:$CW$56,MATCH(H$93,$A$5:$A$56,0),1):INDEX($B$5:$CW$56,MATCH(H$93,$A$5:$A$56,0),100),$B66:$CW66,"="&amp;"x",$B$3:$CW$3,"="&amp;"Y"),0)</f>
        <v>0</v>
      </c>
      <c r="I101">
        <f ca="1">IFERROR(SUMIFS(INDEX($B$5:$CW$56,MATCH(I$93,$A$5:$A$56,0),1):INDEX($B$5:$CW$56,MATCH(I$93,$A$5:$A$56,0),100),$B66:$CW66,"="&amp;"x",$B$3:$CW$3,"="&amp;"Y"),0)</f>
        <v>0</v>
      </c>
      <c r="J101">
        <f ca="1">IFERROR(SUMIFS(INDEX($B$5:$CW$56,MATCH(J$93,$A$5:$A$56,0),1):INDEX($B$5:$CW$56,MATCH(J$93,$A$5:$A$56,0),100),$B66:$CW66,"="&amp;"x",$B$3:$CW$3,"="&amp;"Y"),0)</f>
        <v>0</v>
      </c>
      <c r="K101">
        <f ca="1">IFERROR(SUMIFS(INDEX($B$5:$CW$56,MATCH(K$93,$A$5:$A$56,0),1):INDEX($B$5:$CW$56,MATCH(K$93,$A$5:$A$56,0),100),$B66:$CW66,"="&amp;"x",$B$3:$CW$3,"="&amp;"Y"),0)</f>
        <v>0</v>
      </c>
      <c r="L101">
        <f ca="1">IFERROR(SUMIFS(INDEX($B$5:$CW$56,MATCH(L$93,$A$5:$A$56,0),1):INDEX($B$5:$CW$56,MATCH(L$93,$A$5:$A$56,0),100),$B66:$CW66,"="&amp;"x",$B$3:$CW$3,"="&amp;"Y"),0)</f>
        <v>0</v>
      </c>
      <c r="M101">
        <f ca="1">IFERROR(SUMIFS(INDEX($B$5:$CW$56,MATCH(M$93,$A$5:$A$56,0),1):INDEX($B$5:$CW$56,MATCH(M$93,$A$5:$A$56,0),100),$B66:$CW66,"="&amp;"x",$B$3:$CW$3,"="&amp;"Y"),0)</f>
        <v>0</v>
      </c>
      <c r="N101">
        <f ca="1">IFERROR(SUMIFS(INDEX($B$5:$CW$56,MATCH(N$93,$A$5:$A$56,0),1):INDEX($B$5:$CW$56,MATCH(N$93,$A$5:$A$56,0),100),$B66:$CW66,"="&amp;"x",$B$3:$CW$3,"="&amp;"Y"),0)</f>
        <v>0</v>
      </c>
      <c r="O101">
        <f ca="1">IFERROR(SUMIFS(INDEX($B$5:$CW$56,MATCH(O$93,$A$5:$A$56,0),1):INDEX($B$5:$CW$56,MATCH(O$93,$A$5:$A$56,0),100),$B66:$CW66,"="&amp;"x",$B$3:$CW$3,"="&amp;"Y"),0)</f>
        <v>0</v>
      </c>
      <c r="P101">
        <f ca="1">IFERROR(SUMIFS(INDEX($B$5:$CW$56,MATCH(P$93,$A$5:$A$56,0),1):INDEX($B$5:$CW$56,MATCH(P$93,$A$5:$A$56,0),100),$B66:$CW66,"="&amp;"x",$B$3:$CW$3,"="&amp;"Y"),0)</f>
        <v>0</v>
      </c>
      <c r="Q101">
        <f ca="1">IFERROR(SUMIFS(INDEX($B$5:$CW$56,MATCH(Q$93,$A$5:$A$56,0),1):INDEX($B$5:$CW$56,MATCH(Q$93,$A$5:$A$56,0),100),$B66:$CW66,"="&amp;"x",$B$3:$CW$3,"="&amp;"Y"),0)</f>
        <v>0</v>
      </c>
      <c r="R101">
        <f ca="1">IFERROR(SUMIFS(INDEX($B$5:$CW$56,MATCH(R$93,$A$5:$A$56,0),1):INDEX($B$5:$CW$56,MATCH(R$93,$A$5:$A$56,0),100),$B66:$CW66,"="&amp;"x",$B$3:$CW$3,"="&amp;"Y"),0)</f>
        <v>0</v>
      </c>
      <c r="S101">
        <f ca="1">IFERROR(SUMIFS(INDEX($B$5:$CW$56,MATCH(S$93,$A$5:$A$56,0),1):INDEX($B$5:$CW$56,MATCH(S$93,$A$5:$A$56,0),100),$B66:$CW66,"="&amp;"x",$B$3:$CW$3,"="&amp;"Y"),0)</f>
        <v>0</v>
      </c>
      <c r="T101">
        <f ca="1">IFERROR(SUMIFS(INDEX($B$5:$CW$56,MATCH(T$93,$A$5:$A$56,0),1):INDEX($B$5:$CW$56,MATCH(T$93,$A$5:$A$56,0),100),$B66:$CW66,"="&amp;"x",$B$3:$CW$3,"="&amp;"Y"),0)</f>
        <v>0</v>
      </c>
      <c r="U101">
        <f ca="1">IFERROR(SUMIFS(INDEX($B$5:$CW$56,MATCH(U$93,$A$5:$A$56,0),1):INDEX($B$5:$CW$56,MATCH(U$93,$A$5:$A$56,0),100),$B66:$CW66,"="&amp;"x",$B$3:$CW$3,"="&amp;"Y"),0)</f>
        <v>0</v>
      </c>
      <c r="V101">
        <f ca="1">IFERROR(SUMIFS(INDEX($B$5:$CW$56,MATCH(V$93,$A$5:$A$56,0),1):INDEX($B$5:$CW$56,MATCH(V$93,$A$5:$A$56,0),100),$B66:$CW66,"="&amp;"x",$B$3:$CW$3,"="&amp;"Y"),0)</f>
        <v>0</v>
      </c>
      <c r="W101">
        <f ca="1">IFERROR(SUMIFS(INDEX($B$5:$CW$56,MATCH(W$93,$A$5:$A$56,0),1):INDEX($B$5:$CW$56,MATCH(W$93,$A$5:$A$56,0),100),$B66:$CW66,"="&amp;"x",$B$3:$CW$3,"="&amp;"Y"),0)</f>
        <v>0</v>
      </c>
      <c r="X101">
        <f ca="1">IFERROR(SUMIFS(INDEX($B$5:$CW$56,MATCH(X$93,$A$5:$A$56,0),1):INDEX($B$5:$CW$56,MATCH(X$93,$A$5:$A$56,0),100),$B66:$CW66,"="&amp;"x",$B$3:$CW$3,"="&amp;"Y"),0)</f>
        <v>0</v>
      </c>
      <c r="Y101">
        <f ca="1">IFERROR(SUMIFS(INDEX($B$5:$CW$56,MATCH(Y$93,$A$5:$A$56,0),1):INDEX($B$5:$CW$56,MATCH(Y$93,$A$5:$A$56,0),100),$B66:$CW66,"="&amp;"x",$B$3:$CW$3,"="&amp;"Y"),0)</f>
        <v>0</v>
      </c>
      <c r="Z101">
        <f ca="1">IFERROR(SUMIFS(INDEX($B$5:$CW$56,MATCH(Z$93,$A$5:$A$56,0),1):INDEX($B$5:$CW$56,MATCH(Z$93,$A$5:$A$56,0),100),$B66:$CW66,"="&amp;"x",$B$3:$CW$3,"="&amp;"Y"),0)</f>
        <v>0</v>
      </c>
      <c r="AA101">
        <f ca="1">IFERROR(SUMIFS(INDEX($B$5:$CW$56,MATCH(AA$93,$A$5:$A$56,0),1):INDEX($B$5:$CW$56,MATCH(AA$93,$A$5:$A$56,0),100),$B66:$CW66,"="&amp;"x",$B$3:$CW$3,"="&amp;"Y"),0)</f>
        <v>0</v>
      </c>
      <c r="AB101">
        <f ca="1">IFERROR(SUMIFS(INDEX($B$5:$CW$56,MATCH(AB$93,$A$5:$A$56,0),1):INDEX($B$5:$CW$56,MATCH(AB$93,$A$5:$A$56,0),100),$B66:$CW66,"="&amp;"x",$B$3:$CW$3,"="&amp;"Y"),0)</f>
        <v>0</v>
      </c>
      <c r="AC101">
        <f ca="1">IFERROR(SUMIFS(INDEX($B$5:$CW$56,MATCH(AC$93,$A$5:$A$56,0),1):INDEX($B$5:$CW$56,MATCH(AC$93,$A$5:$A$56,0),100),$B66:$CW66,"="&amp;"x",$B$3:$CW$3,"="&amp;"Y"),0)</f>
        <v>0</v>
      </c>
      <c r="AD101">
        <f ca="1">IFERROR(SUMIFS(INDEX($B$5:$CW$56,MATCH(AD$93,$A$5:$A$56,0),1):INDEX($B$5:$CW$56,MATCH(AD$93,$A$5:$A$56,0),100),$B66:$CW66,"="&amp;"x",$B$3:$CW$3,"="&amp;"Y"),0)</f>
        <v>0</v>
      </c>
      <c r="AE101">
        <f ca="1">IFERROR(SUMIFS(INDEX($B$5:$CW$56,MATCH(AE$93,$A$5:$A$56,0),1):INDEX($B$5:$CW$56,MATCH(AE$93,$A$5:$A$56,0),100),$B66:$CW66,"="&amp;"x",$B$3:$CW$3,"="&amp;"Y"),0)</f>
        <v>0</v>
      </c>
      <c r="AF101">
        <f ca="1">IFERROR(SUMIFS(INDEX($B$5:$CW$56,MATCH(AF$93,$A$5:$A$56,0),1):INDEX($B$5:$CW$56,MATCH(AF$93,$A$5:$A$56,0),100),$B66:$CW66,"="&amp;"x",$B$3:$CW$3,"="&amp;"Y"),0)</f>
        <v>0</v>
      </c>
      <c r="AG101">
        <f ca="1">IFERROR(SUMIFS(INDEX($B$5:$CW$56,MATCH(AG$93,$A$5:$A$56,0),1):INDEX($B$5:$CW$56,MATCH(AG$93,$A$5:$A$56,0),100),$B66:$CW66,"="&amp;"x",$B$3:$CW$3,"="&amp;"Y"),0)</f>
        <v>0</v>
      </c>
      <c r="AH101">
        <f ca="1">IFERROR(SUMIFS(INDEX($B$5:$CW$56,MATCH(AH$93,$A$5:$A$56,0),1):INDEX($B$5:$CW$56,MATCH(AH$93,$A$5:$A$56,0),100),$B66:$CW66,"="&amp;"x",$B$3:$CW$3,"="&amp;"Y"),0)</f>
        <v>0</v>
      </c>
      <c r="AI101">
        <f ca="1">IFERROR(SUMIFS(INDEX($B$5:$CW$56,MATCH(AI$93,$A$5:$A$56,0),1):INDEX($B$5:$CW$56,MATCH(AI$93,$A$5:$A$56,0),100),$B66:$CW66,"="&amp;"x",$B$3:$CW$3,"="&amp;"Y"),0)</f>
        <v>0</v>
      </c>
      <c r="AJ101">
        <f ca="1">IFERROR(SUMIFS(INDEX($B$5:$CW$56,MATCH(AJ$93,$A$5:$A$56,0),1):INDEX($B$5:$CW$56,MATCH(AJ$93,$A$5:$A$56,0),100),$B66:$CW66,"="&amp;"x",$B$3:$CW$3,"="&amp;"Y"),0)</f>
        <v>0</v>
      </c>
      <c r="AK101">
        <f ca="1">IFERROR(SUMIFS(INDEX($B$5:$CW$56,MATCH(AK$93,$A$5:$A$56,0),1):INDEX($B$5:$CW$56,MATCH(AK$93,$A$5:$A$56,0),100),$B66:$CW66,"="&amp;"x",$B$3:$CW$3,"="&amp;"Y"),0)</f>
        <v>0</v>
      </c>
      <c r="AL101">
        <f ca="1">IFERROR(SUMIFS(INDEX($B$5:$CW$56,MATCH(AL$93,$A$5:$A$56,0),1):INDEX($B$5:$CW$56,MATCH(AL$93,$A$5:$A$56,0),100),$B66:$CW66,"="&amp;"x",$B$3:$CW$3,"="&amp;"Y"),0)</f>
        <v>0</v>
      </c>
      <c r="AM101">
        <f ca="1">IFERROR(SUMIFS(INDEX($B$5:$CW$56,MATCH(AM$93,$A$5:$A$56,0),1):INDEX($B$5:$CW$56,MATCH(AM$93,$A$5:$A$56,0),100),$B66:$CW66,"="&amp;"x",$B$3:$CW$3,"="&amp;"Y"),0)</f>
        <v>0</v>
      </c>
      <c r="AN101">
        <f ca="1">IFERROR(SUMIFS(INDEX($B$5:$CW$56,MATCH(AN$93,$A$5:$A$56,0),1):INDEX($B$5:$CW$56,MATCH(AN$93,$A$5:$A$56,0),100),$B66:$CW66,"="&amp;"x",$B$3:$CW$3,"="&amp;"Y"),0)</f>
        <v>0</v>
      </c>
      <c r="AO101">
        <f ca="1">IFERROR(SUMIFS(INDEX($B$5:$CW$56,MATCH(AO$93,$A$5:$A$56,0),1):INDEX($B$5:$CW$56,MATCH(AO$93,$A$5:$A$56,0),100),$B66:$CW66,"="&amp;"x",$B$3:$CW$3,"="&amp;"Y"),0)</f>
        <v>0</v>
      </c>
      <c r="AP101">
        <f ca="1">IFERROR(SUMIFS(INDEX($B$5:$CW$56,MATCH(AP$93,$A$5:$A$56,0),1):INDEX($B$5:$CW$56,MATCH(AP$93,$A$5:$A$56,0),100),$B66:$CW66,"="&amp;"x",$B$3:$CW$3,"="&amp;"Y"),0)</f>
        <v>0</v>
      </c>
      <c r="AQ101">
        <f ca="1">IFERROR(SUMIFS(INDEX($B$5:$CW$56,MATCH(AQ$93,$A$5:$A$56,0),1):INDEX($B$5:$CW$56,MATCH(AQ$93,$A$5:$A$56,0),100),$B66:$CW66,"="&amp;"x",$B$3:$CW$3,"="&amp;"Y"),0)</f>
        <v>0</v>
      </c>
      <c r="AR101">
        <f ca="1">IFERROR(SUMIFS(INDEX($B$5:$CW$56,MATCH(AR$93,$A$5:$A$56,0),1):INDEX($B$5:$CW$56,MATCH(AR$93,$A$5:$A$56,0),100),$B66:$CW66,"="&amp;"x",$B$3:$CW$3,"="&amp;"Y"),0)</f>
        <v>0</v>
      </c>
      <c r="AS101">
        <f ca="1">IFERROR(SUMIFS(INDEX($B$5:$CW$56,MATCH(AS$93,$A$5:$A$56,0),1):INDEX($B$5:$CW$56,MATCH(AS$93,$A$5:$A$56,0),100),$B66:$CW66,"="&amp;"x",$B$3:$CW$3,"="&amp;"Y"),0)</f>
        <v>0</v>
      </c>
      <c r="AT101">
        <f ca="1">IFERROR(SUMIFS(INDEX($B$5:$CW$56,MATCH(AT$93,$A$5:$A$56,0),1):INDEX($B$5:$CW$56,MATCH(AT$93,$A$5:$A$56,0),100),$B66:$CW66,"="&amp;"x",$B$3:$CW$3,"="&amp;"Y"),0)</f>
        <v>0</v>
      </c>
      <c r="AU101">
        <f ca="1">IFERROR(SUMIFS(INDEX($B$5:$CW$56,MATCH(AU$93,$A$5:$A$56,0),1):INDEX($B$5:$CW$56,MATCH(AU$93,$A$5:$A$56,0),100),$B66:$CW66,"="&amp;"x",$B$3:$CW$3,"="&amp;"Y"),0)</f>
        <v>0</v>
      </c>
      <c r="AV101">
        <f ca="1">IFERROR(SUMIFS(INDEX($B$5:$CW$56,MATCH(AV$93,$A$5:$A$56,0),1):INDEX($B$5:$CW$56,MATCH(AV$93,$A$5:$A$56,0),100),$B66:$CW66,"="&amp;"x",$B$3:$CW$3,"="&amp;"Y"),0)</f>
        <v>0</v>
      </c>
      <c r="AW101">
        <f ca="1">IFERROR(SUMIFS(INDEX($B$5:$CW$56,MATCH(AW$93,$A$5:$A$56,0),1):INDEX($B$5:$CW$56,MATCH(AW$93,$A$5:$A$56,0),100),$B66:$CW66,"="&amp;"x",$B$3:$CW$3,"="&amp;"Y"),0)</f>
        <v>0</v>
      </c>
      <c r="AX101">
        <f ca="1">IFERROR(SUMIFS(INDEX($B$5:$CW$56,MATCH(AX$93,$A$5:$A$56,0),1):INDEX($B$5:$CW$56,MATCH(AX$93,$A$5:$A$56,0),100),$B66:$CW66,"="&amp;"x",$B$3:$CW$3,"="&amp;"Y"),0)</f>
        <v>0</v>
      </c>
      <c r="AY101">
        <f ca="1">IFERROR(SUMIFS(INDEX($B$5:$CW$56,MATCH(AY$93,$A$5:$A$56,0),1):INDEX($B$5:$CW$56,MATCH(AY$93,$A$5:$A$56,0),100),$B66:$CW66,"="&amp;"x",$B$3:$CW$3,"="&amp;"Y"),0)</f>
        <v>0</v>
      </c>
      <c r="AZ101">
        <f ca="1">IFERROR(SUMIFS(INDEX($B$5:$CW$56,MATCH(AZ$93,$A$5:$A$56,0),1):INDEX($B$5:$CW$56,MATCH(AZ$93,$A$5:$A$56,0),100),$B66:$CW66,"="&amp;"x",$B$3:$CW$3,"="&amp;"Y"),0)</f>
        <v>0</v>
      </c>
      <c r="BA101">
        <f ca="1">IFERROR(SUMIFS(INDEX($B$5:$CW$56,MATCH(BA$93,$A$5:$A$56,0),1):INDEX($B$5:$CW$56,MATCH(BA$93,$A$5:$A$56,0),100),$B66:$CW66,"="&amp;"x",$B$3:$CW$3,"="&amp;"Y"),0)</f>
        <v>0</v>
      </c>
      <c r="BC101">
        <f t="shared" ca="1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ca="1">IFERROR(SUMIFS(INDEX($B$5:$CW$56,MATCH(B$93,$A$5:$A$56,0),1):INDEX($B$5:$CW$56,MATCH(B$93,$A$5:$A$56,0),100),$B67:$CW67,"="&amp;"x",$B$3:$CW$3,"="&amp;"Y"),0)</f>
        <v>0</v>
      </c>
      <c r="C102">
        <f ca="1">IFERROR(SUMIFS(INDEX($B$5:$CW$56,MATCH(C$93,$A$5:$A$56,0),1):INDEX($B$5:$CW$56,MATCH(C$93,$A$5:$A$56,0),100),$B67:$CW67,"="&amp;"x",$B$3:$CW$3,"="&amp;"Y"),0)</f>
        <v>0</v>
      </c>
      <c r="D102">
        <f ca="1">IFERROR(SUMIFS(INDEX($B$5:$CW$56,MATCH(D$93,$A$5:$A$56,0),1):INDEX($B$5:$CW$56,MATCH(D$93,$A$5:$A$56,0),100),$B67:$CW67,"="&amp;"x",$B$3:$CW$3,"="&amp;"Y"),0)</f>
        <v>0</v>
      </c>
      <c r="E102">
        <f ca="1">IFERROR(SUMIFS(INDEX($B$5:$CW$56,MATCH(E$93,$A$5:$A$56,0),1):INDEX($B$5:$CW$56,MATCH(E$93,$A$5:$A$56,0),100),$B67:$CW67,"="&amp;"x",$B$3:$CW$3,"="&amp;"Y"),0)</f>
        <v>0</v>
      </c>
      <c r="F102">
        <f ca="1">IFERROR(SUMIFS(INDEX($B$5:$CW$56,MATCH(F$93,$A$5:$A$56,0),1):INDEX($B$5:$CW$56,MATCH(F$93,$A$5:$A$56,0),100),$B67:$CW67,"="&amp;"x",$B$3:$CW$3,"="&amp;"Y"),0)</f>
        <v>0</v>
      </c>
      <c r="G102">
        <f ca="1">IFERROR(SUMIFS(INDEX($B$5:$CW$56,MATCH(G$93,$A$5:$A$56,0),1):INDEX($B$5:$CW$56,MATCH(G$93,$A$5:$A$56,0),100),$B67:$CW67,"="&amp;"x",$B$3:$CW$3,"="&amp;"Y"),0)</f>
        <v>0</v>
      </c>
      <c r="H102">
        <f ca="1">IFERROR(SUMIFS(INDEX($B$5:$CW$56,MATCH(H$93,$A$5:$A$56,0),1):INDEX($B$5:$CW$56,MATCH(H$93,$A$5:$A$56,0),100),$B67:$CW67,"="&amp;"x",$B$3:$CW$3,"="&amp;"Y"),0)</f>
        <v>0</v>
      </c>
      <c r="I102">
        <f ca="1">IFERROR(SUMIFS(INDEX($B$5:$CW$56,MATCH(I$93,$A$5:$A$56,0),1):INDEX($B$5:$CW$56,MATCH(I$93,$A$5:$A$56,0),100),$B67:$CW67,"="&amp;"x",$B$3:$CW$3,"="&amp;"Y"),0)</f>
        <v>0</v>
      </c>
      <c r="J102">
        <f ca="1">IFERROR(SUMIFS(INDEX($B$5:$CW$56,MATCH(J$93,$A$5:$A$56,0),1):INDEX($B$5:$CW$56,MATCH(J$93,$A$5:$A$56,0),100),$B67:$CW67,"="&amp;"x",$B$3:$CW$3,"="&amp;"Y"),0)</f>
        <v>0</v>
      </c>
      <c r="K102">
        <f ca="1">IFERROR(SUMIFS(INDEX($B$5:$CW$56,MATCH(K$93,$A$5:$A$56,0),1):INDEX($B$5:$CW$56,MATCH(K$93,$A$5:$A$56,0),100),$B67:$CW67,"="&amp;"x",$B$3:$CW$3,"="&amp;"Y"),0)</f>
        <v>0</v>
      </c>
      <c r="L102">
        <f ca="1">IFERROR(SUMIFS(INDEX($B$5:$CW$56,MATCH(L$93,$A$5:$A$56,0),1):INDEX($B$5:$CW$56,MATCH(L$93,$A$5:$A$56,0),100),$B67:$CW67,"="&amp;"x",$B$3:$CW$3,"="&amp;"Y"),0)</f>
        <v>0</v>
      </c>
      <c r="M102">
        <f ca="1">IFERROR(SUMIFS(INDEX($B$5:$CW$56,MATCH(M$93,$A$5:$A$56,0),1):INDEX($B$5:$CW$56,MATCH(M$93,$A$5:$A$56,0),100),$B67:$CW67,"="&amp;"x",$B$3:$CW$3,"="&amp;"Y"),0)</f>
        <v>0</v>
      </c>
      <c r="N102">
        <f ca="1">IFERROR(SUMIFS(INDEX($B$5:$CW$56,MATCH(N$93,$A$5:$A$56,0),1):INDEX($B$5:$CW$56,MATCH(N$93,$A$5:$A$56,0),100),$B67:$CW67,"="&amp;"x",$B$3:$CW$3,"="&amp;"Y"),0)</f>
        <v>0</v>
      </c>
      <c r="O102">
        <f ca="1">IFERROR(SUMIFS(INDEX($B$5:$CW$56,MATCH(O$93,$A$5:$A$56,0),1):INDEX($B$5:$CW$56,MATCH(O$93,$A$5:$A$56,0),100),$B67:$CW67,"="&amp;"x",$B$3:$CW$3,"="&amp;"Y"),0)</f>
        <v>0</v>
      </c>
      <c r="P102">
        <f ca="1">IFERROR(SUMIFS(INDEX($B$5:$CW$56,MATCH(P$93,$A$5:$A$56,0),1):INDEX($B$5:$CW$56,MATCH(P$93,$A$5:$A$56,0),100),$B67:$CW67,"="&amp;"x",$B$3:$CW$3,"="&amp;"Y"),0)</f>
        <v>0</v>
      </c>
      <c r="Q102">
        <f ca="1">IFERROR(SUMIFS(INDEX($B$5:$CW$56,MATCH(Q$93,$A$5:$A$56,0),1):INDEX($B$5:$CW$56,MATCH(Q$93,$A$5:$A$56,0),100),$B67:$CW67,"="&amp;"x",$B$3:$CW$3,"="&amp;"Y"),0)</f>
        <v>0</v>
      </c>
      <c r="R102">
        <f ca="1">IFERROR(SUMIFS(INDEX($B$5:$CW$56,MATCH(R$93,$A$5:$A$56,0),1):INDEX($B$5:$CW$56,MATCH(R$93,$A$5:$A$56,0),100),$B67:$CW67,"="&amp;"x",$B$3:$CW$3,"="&amp;"Y"),0)</f>
        <v>0</v>
      </c>
      <c r="S102">
        <f ca="1">IFERROR(SUMIFS(INDEX($B$5:$CW$56,MATCH(S$93,$A$5:$A$56,0),1):INDEX($B$5:$CW$56,MATCH(S$93,$A$5:$A$56,0),100),$B67:$CW67,"="&amp;"x",$B$3:$CW$3,"="&amp;"Y"),0)</f>
        <v>0</v>
      </c>
      <c r="T102">
        <f ca="1">IFERROR(SUMIFS(INDEX($B$5:$CW$56,MATCH(T$93,$A$5:$A$56,0),1):INDEX($B$5:$CW$56,MATCH(T$93,$A$5:$A$56,0),100),$B67:$CW67,"="&amp;"x",$B$3:$CW$3,"="&amp;"Y"),0)</f>
        <v>0</v>
      </c>
      <c r="U102">
        <f ca="1">IFERROR(SUMIFS(INDEX($B$5:$CW$56,MATCH(U$93,$A$5:$A$56,0),1):INDEX($B$5:$CW$56,MATCH(U$93,$A$5:$A$56,0),100),$B67:$CW67,"="&amp;"x",$B$3:$CW$3,"="&amp;"Y"),0)</f>
        <v>0</v>
      </c>
      <c r="V102">
        <f ca="1">IFERROR(SUMIFS(INDEX($B$5:$CW$56,MATCH(V$93,$A$5:$A$56,0),1):INDEX($B$5:$CW$56,MATCH(V$93,$A$5:$A$56,0),100),$B67:$CW67,"="&amp;"x",$B$3:$CW$3,"="&amp;"Y"),0)</f>
        <v>0</v>
      </c>
      <c r="W102">
        <f ca="1">IFERROR(SUMIFS(INDEX($B$5:$CW$56,MATCH(W$93,$A$5:$A$56,0),1):INDEX($B$5:$CW$56,MATCH(W$93,$A$5:$A$56,0),100),$B67:$CW67,"="&amp;"x",$B$3:$CW$3,"="&amp;"Y"),0)</f>
        <v>0</v>
      </c>
      <c r="X102">
        <f ca="1">IFERROR(SUMIFS(INDEX($B$5:$CW$56,MATCH(X$93,$A$5:$A$56,0),1):INDEX($B$5:$CW$56,MATCH(X$93,$A$5:$A$56,0),100),$B67:$CW67,"="&amp;"x",$B$3:$CW$3,"="&amp;"Y"),0)</f>
        <v>0</v>
      </c>
      <c r="Y102">
        <f ca="1">IFERROR(SUMIFS(INDEX($B$5:$CW$56,MATCH(Y$93,$A$5:$A$56,0),1):INDEX($B$5:$CW$56,MATCH(Y$93,$A$5:$A$56,0),100),$B67:$CW67,"="&amp;"x",$B$3:$CW$3,"="&amp;"Y"),0)</f>
        <v>0</v>
      </c>
      <c r="Z102">
        <f ca="1">IFERROR(SUMIFS(INDEX($B$5:$CW$56,MATCH(Z$93,$A$5:$A$56,0),1):INDEX($B$5:$CW$56,MATCH(Z$93,$A$5:$A$56,0),100),$B67:$CW67,"="&amp;"x",$B$3:$CW$3,"="&amp;"Y"),0)</f>
        <v>0</v>
      </c>
      <c r="AA102">
        <f ca="1">IFERROR(SUMIFS(INDEX($B$5:$CW$56,MATCH(AA$93,$A$5:$A$56,0),1):INDEX($B$5:$CW$56,MATCH(AA$93,$A$5:$A$56,0),100),$B67:$CW67,"="&amp;"x",$B$3:$CW$3,"="&amp;"Y"),0)</f>
        <v>0</v>
      </c>
      <c r="AB102">
        <f ca="1">IFERROR(SUMIFS(INDEX($B$5:$CW$56,MATCH(AB$93,$A$5:$A$56,0),1):INDEX($B$5:$CW$56,MATCH(AB$93,$A$5:$A$56,0),100),$B67:$CW67,"="&amp;"x",$B$3:$CW$3,"="&amp;"Y"),0)</f>
        <v>0</v>
      </c>
      <c r="AC102">
        <f ca="1">IFERROR(SUMIFS(INDEX($B$5:$CW$56,MATCH(AC$93,$A$5:$A$56,0),1):INDEX($B$5:$CW$56,MATCH(AC$93,$A$5:$A$56,0),100),$B67:$CW67,"="&amp;"x",$B$3:$CW$3,"="&amp;"Y"),0)</f>
        <v>0</v>
      </c>
      <c r="AD102">
        <f ca="1">IFERROR(SUMIFS(INDEX($B$5:$CW$56,MATCH(AD$93,$A$5:$A$56,0),1):INDEX($B$5:$CW$56,MATCH(AD$93,$A$5:$A$56,0),100),$B67:$CW67,"="&amp;"x",$B$3:$CW$3,"="&amp;"Y"),0)</f>
        <v>0</v>
      </c>
      <c r="AE102">
        <f ca="1">IFERROR(SUMIFS(INDEX($B$5:$CW$56,MATCH(AE$93,$A$5:$A$56,0),1):INDEX($B$5:$CW$56,MATCH(AE$93,$A$5:$A$56,0),100),$B67:$CW67,"="&amp;"x",$B$3:$CW$3,"="&amp;"Y"),0)</f>
        <v>0</v>
      </c>
      <c r="AF102">
        <f ca="1">IFERROR(SUMIFS(INDEX($B$5:$CW$56,MATCH(AF$93,$A$5:$A$56,0),1):INDEX($B$5:$CW$56,MATCH(AF$93,$A$5:$A$56,0),100),$B67:$CW67,"="&amp;"x",$B$3:$CW$3,"="&amp;"Y"),0)</f>
        <v>0</v>
      </c>
      <c r="AG102">
        <f ca="1">IFERROR(SUMIFS(INDEX($B$5:$CW$56,MATCH(AG$93,$A$5:$A$56,0),1):INDEX($B$5:$CW$56,MATCH(AG$93,$A$5:$A$56,0),100),$B67:$CW67,"="&amp;"x",$B$3:$CW$3,"="&amp;"Y"),0)</f>
        <v>0</v>
      </c>
      <c r="AH102">
        <f ca="1">IFERROR(SUMIFS(INDEX($B$5:$CW$56,MATCH(AH$93,$A$5:$A$56,0),1):INDEX($B$5:$CW$56,MATCH(AH$93,$A$5:$A$56,0),100),$B67:$CW67,"="&amp;"x",$B$3:$CW$3,"="&amp;"Y"),0)</f>
        <v>0</v>
      </c>
      <c r="AI102">
        <f ca="1">IFERROR(SUMIFS(INDEX($B$5:$CW$56,MATCH(AI$93,$A$5:$A$56,0),1):INDEX($B$5:$CW$56,MATCH(AI$93,$A$5:$A$56,0),100),$B67:$CW67,"="&amp;"x",$B$3:$CW$3,"="&amp;"Y"),0)</f>
        <v>0</v>
      </c>
      <c r="AJ102">
        <f ca="1">IFERROR(SUMIFS(INDEX($B$5:$CW$56,MATCH(AJ$93,$A$5:$A$56,0),1):INDEX($B$5:$CW$56,MATCH(AJ$93,$A$5:$A$56,0),100),$B67:$CW67,"="&amp;"x",$B$3:$CW$3,"="&amp;"Y"),0)</f>
        <v>0</v>
      </c>
      <c r="AK102">
        <f ca="1">IFERROR(SUMIFS(INDEX($B$5:$CW$56,MATCH(AK$93,$A$5:$A$56,0),1):INDEX($B$5:$CW$56,MATCH(AK$93,$A$5:$A$56,0),100),$B67:$CW67,"="&amp;"x",$B$3:$CW$3,"="&amp;"Y"),0)</f>
        <v>0</v>
      </c>
      <c r="AL102">
        <f ca="1">IFERROR(SUMIFS(INDEX($B$5:$CW$56,MATCH(AL$93,$A$5:$A$56,0),1):INDEX($B$5:$CW$56,MATCH(AL$93,$A$5:$A$56,0),100),$B67:$CW67,"="&amp;"x",$B$3:$CW$3,"="&amp;"Y"),0)</f>
        <v>0</v>
      </c>
      <c r="AM102">
        <f ca="1">IFERROR(SUMIFS(INDEX($B$5:$CW$56,MATCH(AM$93,$A$5:$A$56,0),1):INDEX($B$5:$CW$56,MATCH(AM$93,$A$5:$A$56,0),100),$B67:$CW67,"="&amp;"x",$B$3:$CW$3,"="&amp;"Y"),0)</f>
        <v>0</v>
      </c>
      <c r="AN102">
        <f ca="1">IFERROR(SUMIFS(INDEX($B$5:$CW$56,MATCH(AN$93,$A$5:$A$56,0),1):INDEX($B$5:$CW$56,MATCH(AN$93,$A$5:$A$56,0),100),$B67:$CW67,"="&amp;"x",$B$3:$CW$3,"="&amp;"Y"),0)</f>
        <v>0</v>
      </c>
      <c r="AO102">
        <f ca="1">IFERROR(SUMIFS(INDEX($B$5:$CW$56,MATCH(AO$93,$A$5:$A$56,0),1):INDEX($B$5:$CW$56,MATCH(AO$93,$A$5:$A$56,0),100),$B67:$CW67,"="&amp;"x",$B$3:$CW$3,"="&amp;"Y"),0)</f>
        <v>0</v>
      </c>
      <c r="AP102">
        <f ca="1">IFERROR(SUMIFS(INDEX($B$5:$CW$56,MATCH(AP$93,$A$5:$A$56,0),1):INDEX($B$5:$CW$56,MATCH(AP$93,$A$5:$A$56,0),100),$B67:$CW67,"="&amp;"x",$B$3:$CW$3,"="&amp;"Y"),0)</f>
        <v>0</v>
      </c>
      <c r="AQ102">
        <f ca="1">IFERROR(SUMIFS(INDEX($B$5:$CW$56,MATCH(AQ$93,$A$5:$A$56,0),1):INDEX($B$5:$CW$56,MATCH(AQ$93,$A$5:$A$56,0),100),$B67:$CW67,"="&amp;"x",$B$3:$CW$3,"="&amp;"Y"),0)</f>
        <v>0</v>
      </c>
      <c r="AR102">
        <f ca="1">IFERROR(SUMIFS(INDEX($B$5:$CW$56,MATCH(AR$93,$A$5:$A$56,0),1):INDEX($B$5:$CW$56,MATCH(AR$93,$A$5:$A$56,0),100),$B67:$CW67,"="&amp;"x",$B$3:$CW$3,"="&amp;"Y"),0)</f>
        <v>0</v>
      </c>
      <c r="AS102">
        <f ca="1">IFERROR(SUMIFS(INDEX($B$5:$CW$56,MATCH(AS$93,$A$5:$A$56,0),1):INDEX($B$5:$CW$56,MATCH(AS$93,$A$5:$A$56,0),100),$B67:$CW67,"="&amp;"x",$B$3:$CW$3,"="&amp;"Y"),0)</f>
        <v>0</v>
      </c>
      <c r="AT102">
        <f ca="1">IFERROR(SUMIFS(INDEX($B$5:$CW$56,MATCH(AT$93,$A$5:$A$56,0),1):INDEX($B$5:$CW$56,MATCH(AT$93,$A$5:$A$56,0),100),$B67:$CW67,"="&amp;"x",$B$3:$CW$3,"="&amp;"Y"),0)</f>
        <v>0</v>
      </c>
      <c r="AU102">
        <f ca="1">IFERROR(SUMIFS(INDEX($B$5:$CW$56,MATCH(AU$93,$A$5:$A$56,0),1):INDEX($B$5:$CW$56,MATCH(AU$93,$A$5:$A$56,0),100),$B67:$CW67,"="&amp;"x",$B$3:$CW$3,"="&amp;"Y"),0)</f>
        <v>0</v>
      </c>
      <c r="AV102">
        <f ca="1">IFERROR(SUMIFS(INDEX($B$5:$CW$56,MATCH(AV$93,$A$5:$A$56,0),1):INDEX($B$5:$CW$56,MATCH(AV$93,$A$5:$A$56,0),100),$B67:$CW67,"="&amp;"x",$B$3:$CW$3,"="&amp;"Y"),0)</f>
        <v>0</v>
      </c>
      <c r="AW102">
        <f ca="1">IFERROR(SUMIFS(INDEX($B$5:$CW$56,MATCH(AW$93,$A$5:$A$56,0),1):INDEX($B$5:$CW$56,MATCH(AW$93,$A$5:$A$56,0),100),$B67:$CW67,"="&amp;"x",$B$3:$CW$3,"="&amp;"Y"),0)</f>
        <v>0</v>
      </c>
      <c r="AX102">
        <f ca="1">IFERROR(SUMIFS(INDEX($B$5:$CW$56,MATCH(AX$93,$A$5:$A$56,0),1):INDEX($B$5:$CW$56,MATCH(AX$93,$A$5:$A$56,0),100),$B67:$CW67,"="&amp;"x",$B$3:$CW$3,"="&amp;"Y"),0)</f>
        <v>0</v>
      </c>
      <c r="AY102">
        <f ca="1">IFERROR(SUMIFS(INDEX($B$5:$CW$56,MATCH(AY$93,$A$5:$A$56,0),1):INDEX($B$5:$CW$56,MATCH(AY$93,$A$5:$A$56,0),100),$B67:$CW67,"="&amp;"x",$B$3:$CW$3,"="&amp;"Y"),0)</f>
        <v>0</v>
      </c>
      <c r="AZ102">
        <f ca="1">IFERROR(SUMIFS(INDEX($B$5:$CW$56,MATCH(AZ$93,$A$5:$A$56,0),1):INDEX($B$5:$CW$56,MATCH(AZ$93,$A$5:$A$56,0),100),$B67:$CW67,"="&amp;"x",$B$3:$CW$3,"="&amp;"Y"),0)</f>
        <v>0</v>
      </c>
      <c r="BA102">
        <f ca="1">IFERROR(SUMIFS(INDEX($B$5:$CW$56,MATCH(BA$93,$A$5:$A$56,0),1):INDEX($B$5:$CW$56,MATCH(BA$93,$A$5:$A$56,0),100),$B67:$CW67,"="&amp;"x",$B$3:$CW$3,"="&amp;"Y"),0)</f>
        <v>0</v>
      </c>
      <c r="BC102">
        <f t="shared" ca="1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ca="1">IFERROR(SUMIFS(INDEX($B$5:$CW$56,MATCH(B$93,$A$5:$A$56,0),1):INDEX($B$5:$CW$56,MATCH(B$93,$A$5:$A$56,0),100),$B68:$CW68,"="&amp;"x",$B$3:$CW$3,"="&amp;"Y"),0)</f>
        <v>0</v>
      </c>
      <c r="C103">
        <f ca="1">IFERROR(SUMIFS(INDEX($B$5:$CW$56,MATCH(C$93,$A$5:$A$56,0),1):INDEX($B$5:$CW$56,MATCH(C$93,$A$5:$A$56,0),100),$B68:$CW68,"="&amp;"x",$B$3:$CW$3,"="&amp;"Y"),0)</f>
        <v>0</v>
      </c>
      <c r="D103">
        <f ca="1">IFERROR(SUMIFS(INDEX($B$5:$CW$56,MATCH(D$93,$A$5:$A$56,0),1):INDEX($B$5:$CW$56,MATCH(D$93,$A$5:$A$56,0),100),$B68:$CW68,"="&amp;"x",$B$3:$CW$3,"="&amp;"Y"),0)</f>
        <v>0</v>
      </c>
      <c r="E103">
        <f ca="1">IFERROR(SUMIFS(INDEX($B$5:$CW$56,MATCH(E$93,$A$5:$A$56,0),1):INDEX($B$5:$CW$56,MATCH(E$93,$A$5:$A$56,0),100),$B68:$CW68,"="&amp;"x",$B$3:$CW$3,"="&amp;"Y"),0)</f>
        <v>0</v>
      </c>
      <c r="F103">
        <f ca="1">IFERROR(SUMIFS(INDEX($B$5:$CW$56,MATCH(F$93,$A$5:$A$56,0),1):INDEX($B$5:$CW$56,MATCH(F$93,$A$5:$A$56,0),100),$B68:$CW68,"="&amp;"x",$B$3:$CW$3,"="&amp;"Y"),0)</f>
        <v>0</v>
      </c>
      <c r="G103">
        <f ca="1">IFERROR(SUMIFS(INDEX($B$5:$CW$56,MATCH(G$93,$A$5:$A$56,0),1):INDEX($B$5:$CW$56,MATCH(G$93,$A$5:$A$56,0),100),$B68:$CW68,"="&amp;"x",$B$3:$CW$3,"="&amp;"Y"),0)</f>
        <v>0</v>
      </c>
      <c r="H103">
        <f ca="1">IFERROR(SUMIFS(INDEX($B$5:$CW$56,MATCH(H$93,$A$5:$A$56,0),1):INDEX($B$5:$CW$56,MATCH(H$93,$A$5:$A$56,0),100),$B68:$CW68,"="&amp;"x",$B$3:$CW$3,"="&amp;"Y"),0)</f>
        <v>0</v>
      </c>
      <c r="I103">
        <f ca="1">IFERROR(SUMIFS(INDEX($B$5:$CW$56,MATCH(I$93,$A$5:$A$56,0),1):INDEX($B$5:$CW$56,MATCH(I$93,$A$5:$A$56,0),100),$B68:$CW68,"="&amp;"x",$B$3:$CW$3,"="&amp;"Y"),0)</f>
        <v>0</v>
      </c>
      <c r="J103">
        <f ca="1">IFERROR(SUMIFS(INDEX($B$5:$CW$56,MATCH(J$93,$A$5:$A$56,0),1):INDEX($B$5:$CW$56,MATCH(J$93,$A$5:$A$56,0),100),$B68:$CW68,"="&amp;"x",$B$3:$CW$3,"="&amp;"Y"),0)</f>
        <v>0</v>
      </c>
      <c r="K103">
        <f ca="1">IFERROR(SUMIFS(INDEX($B$5:$CW$56,MATCH(K$93,$A$5:$A$56,0),1):INDEX($B$5:$CW$56,MATCH(K$93,$A$5:$A$56,0),100),$B68:$CW68,"="&amp;"x",$B$3:$CW$3,"="&amp;"Y"),0)</f>
        <v>0</v>
      </c>
      <c r="L103">
        <f ca="1">IFERROR(SUMIFS(INDEX($B$5:$CW$56,MATCH(L$93,$A$5:$A$56,0),1):INDEX($B$5:$CW$56,MATCH(L$93,$A$5:$A$56,0),100),$B68:$CW68,"="&amp;"x",$B$3:$CW$3,"="&amp;"Y"),0)</f>
        <v>0</v>
      </c>
      <c r="M103">
        <f ca="1">IFERROR(SUMIFS(INDEX($B$5:$CW$56,MATCH(M$93,$A$5:$A$56,0),1):INDEX($B$5:$CW$56,MATCH(M$93,$A$5:$A$56,0),100),$B68:$CW68,"="&amp;"x",$B$3:$CW$3,"="&amp;"Y"),0)</f>
        <v>0</v>
      </c>
      <c r="N103">
        <f ca="1">IFERROR(SUMIFS(INDEX($B$5:$CW$56,MATCH(N$93,$A$5:$A$56,0),1):INDEX($B$5:$CW$56,MATCH(N$93,$A$5:$A$56,0),100),$B68:$CW68,"="&amp;"x",$B$3:$CW$3,"="&amp;"Y"),0)</f>
        <v>0</v>
      </c>
      <c r="O103">
        <f ca="1">IFERROR(SUMIFS(INDEX($B$5:$CW$56,MATCH(O$93,$A$5:$A$56,0),1):INDEX($B$5:$CW$56,MATCH(O$93,$A$5:$A$56,0),100),$B68:$CW68,"="&amp;"x",$B$3:$CW$3,"="&amp;"Y"),0)</f>
        <v>0</v>
      </c>
      <c r="P103">
        <f ca="1">IFERROR(SUMIFS(INDEX($B$5:$CW$56,MATCH(P$93,$A$5:$A$56,0),1):INDEX($B$5:$CW$56,MATCH(P$93,$A$5:$A$56,0),100),$B68:$CW68,"="&amp;"x",$B$3:$CW$3,"="&amp;"Y"),0)</f>
        <v>0</v>
      </c>
      <c r="Q103">
        <f ca="1">IFERROR(SUMIFS(INDEX($B$5:$CW$56,MATCH(Q$93,$A$5:$A$56,0),1):INDEX($B$5:$CW$56,MATCH(Q$93,$A$5:$A$56,0),100),$B68:$CW68,"="&amp;"x",$B$3:$CW$3,"="&amp;"Y"),0)</f>
        <v>0</v>
      </c>
      <c r="R103">
        <f ca="1">IFERROR(SUMIFS(INDEX($B$5:$CW$56,MATCH(R$93,$A$5:$A$56,0),1):INDEX($B$5:$CW$56,MATCH(R$93,$A$5:$A$56,0),100),$B68:$CW68,"="&amp;"x",$B$3:$CW$3,"="&amp;"Y"),0)</f>
        <v>0</v>
      </c>
      <c r="S103">
        <f ca="1">IFERROR(SUMIFS(INDEX($B$5:$CW$56,MATCH(S$93,$A$5:$A$56,0),1):INDEX($B$5:$CW$56,MATCH(S$93,$A$5:$A$56,0),100),$B68:$CW68,"="&amp;"x",$B$3:$CW$3,"="&amp;"Y"),0)</f>
        <v>0</v>
      </c>
      <c r="T103">
        <f ca="1">IFERROR(SUMIFS(INDEX($B$5:$CW$56,MATCH(T$93,$A$5:$A$56,0),1):INDEX($B$5:$CW$56,MATCH(T$93,$A$5:$A$56,0),100),$B68:$CW68,"="&amp;"x",$B$3:$CW$3,"="&amp;"Y"),0)</f>
        <v>0</v>
      </c>
      <c r="U103">
        <f ca="1">IFERROR(SUMIFS(INDEX($B$5:$CW$56,MATCH(U$93,$A$5:$A$56,0),1):INDEX($B$5:$CW$56,MATCH(U$93,$A$5:$A$56,0),100),$B68:$CW68,"="&amp;"x",$B$3:$CW$3,"="&amp;"Y"),0)</f>
        <v>0</v>
      </c>
      <c r="V103">
        <f ca="1">IFERROR(SUMIFS(INDEX($B$5:$CW$56,MATCH(V$93,$A$5:$A$56,0),1):INDEX($B$5:$CW$56,MATCH(V$93,$A$5:$A$56,0),100),$B68:$CW68,"="&amp;"x",$B$3:$CW$3,"="&amp;"Y"),0)</f>
        <v>0</v>
      </c>
      <c r="W103">
        <f ca="1">IFERROR(SUMIFS(INDEX($B$5:$CW$56,MATCH(W$93,$A$5:$A$56,0),1):INDEX($B$5:$CW$56,MATCH(W$93,$A$5:$A$56,0),100),$B68:$CW68,"="&amp;"x",$B$3:$CW$3,"="&amp;"Y"),0)</f>
        <v>0</v>
      </c>
      <c r="X103">
        <f ca="1">IFERROR(SUMIFS(INDEX($B$5:$CW$56,MATCH(X$93,$A$5:$A$56,0),1):INDEX($B$5:$CW$56,MATCH(X$93,$A$5:$A$56,0),100),$B68:$CW68,"="&amp;"x",$B$3:$CW$3,"="&amp;"Y"),0)</f>
        <v>0</v>
      </c>
      <c r="Y103">
        <f ca="1">IFERROR(SUMIFS(INDEX($B$5:$CW$56,MATCH(Y$93,$A$5:$A$56,0),1):INDEX($B$5:$CW$56,MATCH(Y$93,$A$5:$A$56,0),100),$B68:$CW68,"="&amp;"x",$B$3:$CW$3,"="&amp;"Y"),0)</f>
        <v>0</v>
      </c>
      <c r="Z103">
        <f ca="1">IFERROR(SUMIFS(INDEX($B$5:$CW$56,MATCH(Z$93,$A$5:$A$56,0),1):INDEX($B$5:$CW$56,MATCH(Z$93,$A$5:$A$56,0),100),$B68:$CW68,"="&amp;"x",$B$3:$CW$3,"="&amp;"Y"),0)</f>
        <v>0</v>
      </c>
      <c r="AA103">
        <f ca="1">IFERROR(SUMIFS(INDEX($B$5:$CW$56,MATCH(AA$93,$A$5:$A$56,0),1):INDEX($B$5:$CW$56,MATCH(AA$93,$A$5:$A$56,0),100),$B68:$CW68,"="&amp;"x",$B$3:$CW$3,"="&amp;"Y"),0)</f>
        <v>0</v>
      </c>
      <c r="AB103">
        <f ca="1">IFERROR(SUMIFS(INDEX($B$5:$CW$56,MATCH(AB$93,$A$5:$A$56,0),1):INDEX($B$5:$CW$56,MATCH(AB$93,$A$5:$A$56,0),100),$B68:$CW68,"="&amp;"x",$B$3:$CW$3,"="&amp;"Y"),0)</f>
        <v>0</v>
      </c>
      <c r="AC103">
        <f ca="1">IFERROR(SUMIFS(INDEX($B$5:$CW$56,MATCH(AC$93,$A$5:$A$56,0),1):INDEX($B$5:$CW$56,MATCH(AC$93,$A$5:$A$56,0),100),$B68:$CW68,"="&amp;"x",$B$3:$CW$3,"="&amp;"Y"),0)</f>
        <v>0</v>
      </c>
      <c r="AD103">
        <f ca="1">IFERROR(SUMIFS(INDEX($B$5:$CW$56,MATCH(AD$93,$A$5:$A$56,0),1):INDEX($B$5:$CW$56,MATCH(AD$93,$A$5:$A$56,0),100),$B68:$CW68,"="&amp;"x",$B$3:$CW$3,"="&amp;"Y"),0)</f>
        <v>0</v>
      </c>
      <c r="AE103">
        <f ca="1">IFERROR(SUMIFS(INDEX($B$5:$CW$56,MATCH(AE$93,$A$5:$A$56,0),1):INDEX($B$5:$CW$56,MATCH(AE$93,$A$5:$A$56,0),100),$B68:$CW68,"="&amp;"x",$B$3:$CW$3,"="&amp;"Y"),0)</f>
        <v>0</v>
      </c>
      <c r="AF103">
        <f ca="1">IFERROR(SUMIFS(INDEX($B$5:$CW$56,MATCH(AF$93,$A$5:$A$56,0),1):INDEX($B$5:$CW$56,MATCH(AF$93,$A$5:$A$56,0),100),$B68:$CW68,"="&amp;"x",$B$3:$CW$3,"="&amp;"Y"),0)</f>
        <v>0</v>
      </c>
      <c r="AG103">
        <f ca="1">IFERROR(SUMIFS(INDEX($B$5:$CW$56,MATCH(AG$93,$A$5:$A$56,0),1):INDEX($B$5:$CW$56,MATCH(AG$93,$A$5:$A$56,0),100),$B68:$CW68,"="&amp;"x",$B$3:$CW$3,"="&amp;"Y"),0)</f>
        <v>0</v>
      </c>
      <c r="AH103">
        <f ca="1">IFERROR(SUMIFS(INDEX($B$5:$CW$56,MATCH(AH$93,$A$5:$A$56,0),1):INDEX($B$5:$CW$56,MATCH(AH$93,$A$5:$A$56,0),100),$B68:$CW68,"="&amp;"x",$B$3:$CW$3,"="&amp;"Y"),0)</f>
        <v>0</v>
      </c>
      <c r="AI103">
        <f ca="1">IFERROR(SUMIFS(INDEX($B$5:$CW$56,MATCH(AI$93,$A$5:$A$56,0),1):INDEX($B$5:$CW$56,MATCH(AI$93,$A$5:$A$56,0),100),$B68:$CW68,"="&amp;"x",$B$3:$CW$3,"="&amp;"Y"),0)</f>
        <v>0</v>
      </c>
      <c r="AJ103">
        <f ca="1">IFERROR(SUMIFS(INDEX($B$5:$CW$56,MATCH(AJ$93,$A$5:$A$56,0),1):INDEX($B$5:$CW$56,MATCH(AJ$93,$A$5:$A$56,0),100),$B68:$CW68,"="&amp;"x",$B$3:$CW$3,"="&amp;"Y"),0)</f>
        <v>0</v>
      </c>
      <c r="AK103">
        <f ca="1">IFERROR(SUMIFS(INDEX($B$5:$CW$56,MATCH(AK$93,$A$5:$A$56,0),1):INDEX($B$5:$CW$56,MATCH(AK$93,$A$5:$A$56,0),100),$B68:$CW68,"="&amp;"x",$B$3:$CW$3,"="&amp;"Y"),0)</f>
        <v>0</v>
      </c>
      <c r="AL103">
        <f ca="1">IFERROR(SUMIFS(INDEX($B$5:$CW$56,MATCH(AL$93,$A$5:$A$56,0),1):INDEX($B$5:$CW$56,MATCH(AL$93,$A$5:$A$56,0),100),$B68:$CW68,"="&amp;"x",$B$3:$CW$3,"="&amp;"Y"),0)</f>
        <v>0</v>
      </c>
      <c r="AM103">
        <f ca="1">IFERROR(SUMIFS(INDEX($B$5:$CW$56,MATCH(AM$93,$A$5:$A$56,0),1):INDEX($B$5:$CW$56,MATCH(AM$93,$A$5:$A$56,0),100),$B68:$CW68,"="&amp;"x",$B$3:$CW$3,"="&amp;"Y"),0)</f>
        <v>0</v>
      </c>
      <c r="AN103">
        <f ca="1">IFERROR(SUMIFS(INDEX($B$5:$CW$56,MATCH(AN$93,$A$5:$A$56,0),1):INDEX($B$5:$CW$56,MATCH(AN$93,$A$5:$A$56,0),100),$B68:$CW68,"="&amp;"x",$B$3:$CW$3,"="&amp;"Y"),0)</f>
        <v>0</v>
      </c>
      <c r="AO103">
        <f ca="1">IFERROR(SUMIFS(INDEX($B$5:$CW$56,MATCH(AO$93,$A$5:$A$56,0),1):INDEX($B$5:$CW$56,MATCH(AO$93,$A$5:$A$56,0),100),$B68:$CW68,"="&amp;"x",$B$3:$CW$3,"="&amp;"Y"),0)</f>
        <v>0</v>
      </c>
      <c r="AP103">
        <f ca="1">IFERROR(SUMIFS(INDEX($B$5:$CW$56,MATCH(AP$93,$A$5:$A$56,0),1):INDEX($B$5:$CW$56,MATCH(AP$93,$A$5:$A$56,0),100),$B68:$CW68,"="&amp;"x",$B$3:$CW$3,"="&amp;"Y"),0)</f>
        <v>0</v>
      </c>
      <c r="AQ103">
        <f ca="1">IFERROR(SUMIFS(INDEX($B$5:$CW$56,MATCH(AQ$93,$A$5:$A$56,0),1):INDEX($B$5:$CW$56,MATCH(AQ$93,$A$5:$A$56,0),100),$B68:$CW68,"="&amp;"x",$B$3:$CW$3,"="&amp;"Y"),0)</f>
        <v>0</v>
      </c>
      <c r="AR103">
        <f ca="1">IFERROR(SUMIFS(INDEX($B$5:$CW$56,MATCH(AR$93,$A$5:$A$56,0),1):INDEX($B$5:$CW$56,MATCH(AR$93,$A$5:$A$56,0),100),$B68:$CW68,"="&amp;"x",$B$3:$CW$3,"="&amp;"Y"),0)</f>
        <v>0</v>
      </c>
      <c r="AS103">
        <f ca="1">IFERROR(SUMIFS(INDEX($B$5:$CW$56,MATCH(AS$93,$A$5:$A$56,0),1):INDEX($B$5:$CW$56,MATCH(AS$93,$A$5:$A$56,0),100),$B68:$CW68,"="&amp;"x",$B$3:$CW$3,"="&amp;"Y"),0)</f>
        <v>0</v>
      </c>
      <c r="AT103">
        <f ca="1">IFERROR(SUMIFS(INDEX($B$5:$CW$56,MATCH(AT$93,$A$5:$A$56,0),1):INDEX($B$5:$CW$56,MATCH(AT$93,$A$5:$A$56,0),100),$B68:$CW68,"="&amp;"x",$B$3:$CW$3,"="&amp;"Y"),0)</f>
        <v>0</v>
      </c>
      <c r="AU103">
        <f ca="1">IFERROR(SUMIFS(INDEX($B$5:$CW$56,MATCH(AU$93,$A$5:$A$56,0),1):INDEX($B$5:$CW$56,MATCH(AU$93,$A$5:$A$56,0),100),$B68:$CW68,"="&amp;"x",$B$3:$CW$3,"="&amp;"Y"),0)</f>
        <v>0</v>
      </c>
      <c r="AV103">
        <f ca="1">IFERROR(SUMIFS(INDEX($B$5:$CW$56,MATCH(AV$93,$A$5:$A$56,0),1):INDEX($B$5:$CW$56,MATCH(AV$93,$A$5:$A$56,0),100),$B68:$CW68,"="&amp;"x",$B$3:$CW$3,"="&amp;"Y"),0)</f>
        <v>0</v>
      </c>
      <c r="AW103">
        <f ca="1">IFERROR(SUMIFS(INDEX($B$5:$CW$56,MATCH(AW$93,$A$5:$A$56,0),1):INDEX($B$5:$CW$56,MATCH(AW$93,$A$5:$A$56,0),100),$B68:$CW68,"="&amp;"x",$B$3:$CW$3,"="&amp;"Y"),0)</f>
        <v>0</v>
      </c>
      <c r="AX103">
        <f ca="1">IFERROR(SUMIFS(INDEX($B$5:$CW$56,MATCH(AX$93,$A$5:$A$56,0),1):INDEX($B$5:$CW$56,MATCH(AX$93,$A$5:$A$56,0),100),$B68:$CW68,"="&amp;"x",$B$3:$CW$3,"="&amp;"Y"),0)</f>
        <v>0</v>
      </c>
      <c r="AY103">
        <f ca="1">IFERROR(SUMIFS(INDEX($B$5:$CW$56,MATCH(AY$93,$A$5:$A$56,0),1):INDEX($B$5:$CW$56,MATCH(AY$93,$A$5:$A$56,0),100),$B68:$CW68,"="&amp;"x",$B$3:$CW$3,"="&amp;"Y"),0)</f>
        <v>0</v>
      </c>
      <c r="AZ103">
        <f ca="1">IFERROR(SUMIFS(INDEX($B$5:$CW$56,MATCH(AZ$93,$A$5:$A$56,0),1):INDEX($B$5:$CW$56,MATCH(AZ$93,$A$5:$A$56,0),100),$B68:$CW68,"="&amp;"x",$B$3:$CW$3,"="&amp;"Y"),0)</f>
        <v>0</v>
      </c>
      <c r="BA103">
        <f ca="1">IFERROR(SUMIFS(INDEX($B$5:$CW$56,MATCH(BA$93,$A$5:$A$56,0),1):INDEX($B$5:$CW$56,MATCH(BA$93,$A$5:$A$56,0),100),$B68:$CW68,"="&amp;"x",$B$3:$CW$3,"="&amp;"Y"),0)</f>
        <v>0</v>
      </c>
      <c r="BC103">
        <f t="shared" ca="1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ca="1">IFERROR(SUMIFS(INDEX($B$5:$CW$56,MATCH(B$93,$A$5:$A$56,0),1):INDEX($B$5:$CW$56,MATCH(B$93,$A$5:$A$56,0),100),$B69:$CW69,"="&amp;"x",$B$3:$CW$3,"="&amp;"Y"),0)</f>
        <v>0</v>
      </c>
      <c r="C104">
        <f ca="1">IFERROR(SUMIFS(INDEX($B$5:$CW$56,MATCH(C$93,$A$5:$A$56,0),1):INDEX($B$5:$CW$56,MATCH(C$93,$A$5:$A$56,0),100),$B69:$CW69,"="&amp;"x",$B$3:$CW$3,"="&amp;"Y"),0)</f>
        <v>0</v>
      </c>
      <c r="D104">
        <f ca="1">IFERROR(SUMIFS(INDEX($B$5:$CW$56,MATCH(D$93,$A$5:$A$56,0),1):INDEX($B$5:$CW$56,MATCH(D$93,$A$5:$A$56,0),100),$B69:$CW69,"="&amp;"x",$B$3:$CW$3,"="&amp;"Y"),0)</f>
        <v>0</v>
      </c>
      <c r="E104">
        <f ca="1">IFERROR(SUMIFS(INDEX($B$5:$CW$56,MATCH(E$93,$A$5:$A$56,0),1):INDEX($B$5:$CW$56,MATCH(E$93,$A$5:$A$56,0),100),$B69:$CW69,"="&amp;"x",$B$3:$CW$3,"="&amp;"Y"),0)</f>
        <v>0</v>
      </c>
      <c r="F104">
        <f ca="1">IFERROR(SUMIFS(INDEX($B$5:$CW$56,MATCH(F$93,$A$5:$A$56,0),1):INDEX($B$5:$CW$56,MATCH(F$93,$A$5:$A$56,0),100),$B69:$CW69,"="&amp;"x",$B$3:$CW$3,"="&amp;"Y"),0)</f>
        <v>0</v>
      </c>
      <c r="G104">
        <f ca="1">IFERROR(SUMIFS(INDEX($B$5:$CW$56,MATCH(G$93,$A$5:$A$56,0),1):INDEX($B$5:$CW$56,MATCH(G$93,$A$5:$A$56,0),100),$B69:$CW69,"="&amp;"x",$B$3:$CW$3,"="&amp;"Y"),0)</f>
        <v>0</v>
      </c>
      <c r="H104">
        <f ca="1">IFERROR(SUMIFS(INDEX($B$5:$CW$56,MATCH(H$93,$A$5:$A$56,0),1):INDEX($B$5:$CW$56,MATCH(H$93,$A$5:$A$56,0),100),$B69:$CW69,"="&amp;"x",$B$3:$CW$3,"="&amp;"Y"),0)</f>
        <v>0</v>
      </c>
      <c r="I104">
        <f ca="1">IFERROR(SUMIFS(INDEX($B$5:$CW$56,MATCH(I$93,$A$5:$A$56,0),1):INDEX($B$5:$CW$56,MATCH(I$93,$A$5:$A$56,0),100),$B69:$CW69,"="&amp;"x",$B$3:$CW$3,"="&amp;"Y"),0)</f>
        <v>0</v>
      </c>
      <c r="J104">
        <f ca="1">IFERROR(SUMIFS(INDEX($B$5:$CW$56,MATCH(J$93,$A$5:$A$56,0),1):INDEX($B$5:$CW$56,MATCH(J$93,$A$5:$A$56,0),100),$B69:$CW69,"="&amp;"x",$B$3:$CW$3,"="&amp;"Y"),0)</f>
        <v>0</v>
      </c>
      <c r="K104">
        <f ca="1">IFERROR(SUMIFS(INDEX($B$5:$CW$56,MATCH(K$93,$A$5:$A$56,0),1):INDEX($B$5:$CW$56,MATCH(K$93,$A$5:$A$56,0),100),$B69:$CW69,"="&amp;"x",$B$3:$CW$3,"="&amp;"Y"),0)</f>
        <v>0</v>
      </c>
      <c r="L104">
        <f ca="1">IFERROR(SUMIFS(INDEX($B$5:$CW$56,MATCH(L$93,$A$5:$A$56,0),1):INDEX($B$5:$CW$56,MATCH(L$93,$A$5:$A$56,0),100),$B69:$CW69,"="&amp;"x",$B$3:$CW$3,"="&amp;"Y"),0)</f>
        <v>0</v>
      </c>
      <c r="M104">
        <f ca="1">IFERROR(SUMIFS(INDEX($B$5:$CW$56,MATCH(M$93,$A$5:$A$56,0),1):INDEX($B$5:$CW$56,MATCH(M$93,$A$5:$A$56,0),100),$B69:$CW69,"="&amp;"x",$B$3:$CW$3,"="&amp;"Y"),0)</f>
        <v>0</v>
      </c>
      <c r="N104">
        <f ca="1">IFERROR(SUMIFS(INDEX($B$5:$CW$56,MATCH(N$93,$A$5:$A$56,0),1):INDEX($B$5:$CW$56,MATCH(N$93,$A$5:$A$56,0),100),$B69:$CW69,"="&amp;"x",$B$3:$CW$3,"="&amp;"Y"),0)</f>
        <v>0</v>
      </c>
      <c r="O104">
        <f ca="1">IFERROR(SUMIFS(INDEX($B$5:$CW$56,MATCH(O$93,$A$5:$A$56,0),1):INDEX($B$5:$CW$56,MATCH(O$93,$A$5:$A$56,0),100),$B69:$CW69,"="&amp;"x",$B$3:$CW$3,"="&amp;"Y"),0)</f>
        <v>0</v>
      </c>
      <c r="P104">
        <f ca="1">IFERROR(SUMIFS(INDEX($B$5:$CW$56,MATCH(P$93,$A$5:$A$56,0),1):INDEX($B$5:$CW$56,MATCH(P$93,$A$5:$A$56,0),100),$B69:$CW69,"="&amp;"x",$B$3:$CW$3,"="&amp;"Y"),0)</f>
        <v>0</v>
      </c>
      <c r="Q104">
        <f ca="1">IFERROR(SUMIFS(INDEX($B$5:$CW$56,MATCH(Q$93,$A$5:$A$56,0),1):INDEX($B$5:$CW$56,MATCH(Q$93,$A$5:$A$56,0),100),$B69:$CW69,"="&amp;"x",$B$3:$CW$3,"="&amp;"Y"),0)</f>
        <v>0</v>
      </c>
      <c r="R104">
        <f ca="1">IFERROR(SUMIFS(INDEX($B$5:$CW$56,MATCH(R$93,$A$5:$A$56,0),1):INDEX($B$5:$CW$56,MATCH(R$93,$A$5:$A$56,0),100),$B69:$CW69,"="&amp;"x",$B$3:$CW$3,"="&amp;"Y"),0)</f>
        <v>0</v>
      </c>
      <c r="S104">
        <f ca="1">IFERROR(SUMIFS(INDEX($B$5:$CW$56,MATCH(S$93,$A$5:$A$56,0),1):INDEX($B$5:$CW$56,MATCH(S$93,$A$5:$A$56,0),100),$B69:$CW69,"="&amp;"x",$B$3:$CW$3,"="&amp;"Y"),0)</f>
        <v>0</v>
      </c>
      <c r="T104">
        <f ca="1">IFERROR(SUMIFS(INDEX($B$5:$CW$56,MATCH(T$93,$A$5:$A$56,0),1):INDEX($B$5:$CW$56,MATCH(T$93,$A$5:$A$56,0),100),$B69:$CW69,"="&amp;"x",$B$3:$CW$3,"="&amp;"Y"),0)</f>
        <v>0</v>
      </c>
      <c r="U104">
        <f ca="1">IFERROR(SUMIFS(INDEX($B$5:$CW$56,MATCH(U$93,$A$5:$A$56,0),1):INDEX($B$5:$CW$56,MATCH(U$93,$A$5:$A$56,0),100),$B69:$CW69,"="&amp;"x",$B$3:$CW$3,"="&amp;"Y"),0)</f>
        <v>0</v>
      </c>
      <c r="V104">
        <f ca="1">IFERROR(SUMIFS(INDEX($B$5:$CW$56,MATCH(V$93,$A$5:$A$56,0),1):INDEX($B$5:$CW$56,MATCH(V$93,$A$5:$A$56,0),100),$B69:$CW69,"="&amp;"x",$B$3:$CW$3,"="&amp;"Y"),0)</f>
        <v>0</v>
      </c>
      <c r="W104">
        <f ca="1">IFERROR(SUMIFS(INDEX($B$5:$CW$56,MATCH(W$93,$A$5:$A$56,0),1):INDEX($B$5:$CW$56,MATCH(W$93,$A$5:$A$56,0),100),$B69:$CW69,"="&amp;"x",$B$3:$CW$3,"="&amp;"Y"),0)</f>
        <v>0</v>
      </c>
      <c r="X104">
        <f ca="1">IFERROR(SUMIFS(INDEX($B$5:$CW$56,MATCH(X$93,$A$5:$A$56,0),1):INDEX($B$5:$CW$56,MATCH(X$93,$A$5:$A$56,0),100),$B69:$CW69,"="&amp;"x",$B$3:$CW$3,"="&amp;"Y"),0)</f>
        <v>0</v>
      </c>
      <c r="Y104">
        <f ca="1">IFERROR(SUMIFS(INDEX($B$5:$CW$56,MATCH(Y$93,$A$5:$A$56,0),1):INDEX($B$5:$CW$56,MATCH(Y$93,$A$5:$A$56,0),100),$B69:$CW69,"="&amp;"x",$B$3:$CW$3,"="&amp;"Y"),0)</f>
        <v>0</v>
      </c>
      <c r="Z104">
        <f ca="1">IFERROR(SUMIFS(INDEX($B$5:$CW$56,MATCH(Z$93,$A$5:$A$56,0),1):INDEX($B$5:$CW$56,MATCH(Z$93,$A$5:$A$56,0),100),$B69:$CW69,"="&amp;"x",$B$3:$CW$3,"="&amp;"Y"),0)</f>
        <v>0</v>
      </c>
      <c r="AA104">
        <f ca="1">IFERROR(SUMIFS(INDEX($B$5:$CW$56,MATCH(AA$93,$A$5:$A$56,0),1):INDEX($B$5:$CW$56,MATCH(AA$93,$A$5:$A$56,0),100),$B69:$CW69,"="&amp;"x",$B$3:$CW$3,"="&amp;"Y"),0)</f>
        <v>0</v>
      </c>
      <c r="AB104">
        <f ca="1">IFERROR(SUMIFS(INDEX($B$5:$CW$56,MATCH(AB$93,$A$5:$A$56,0),1):INDEX($B$5:$CW$56,MATCH(AB$93,$A$5:$A$56,0),100),$B69:$CW69,"="&amp;"x",$B$3:$CW$3,"="&amp;"Y"),0)</f>
        <v>0</v>
      </c>
      <c r="AC104">
        <f ca="1">IFERROR(SUMIFS(INDEX($B$5:$CW$56,MATCH(AC$93,$A$5:$A$56,0),1):INDEX($B$5:$CW$56,MATCH(AC$93,$A$5:$A$56,0),100),$B69:$CW69,"="&amp;"x",$B$3:$CW$3,"="&amp;"Y"),0)</f>
        <v>0</v>
      </c>
      <c r="AD104">
        <f ca="1">IFERROR(SUMIFS(INDEX($B$5:$CW$56,MATCH(AD$93,$A$5:$A$56,0),1):INDEX($B$5:$CW$56,MATCH(AD$93,$A$5:$A$56,0),100),$B69:$CW69,"="&amp;"x",$B$3:$CW$3,"="&amp;"Y"),0)</f>
        <v>0</v>
      </c>
      <c r="AE104">
        <f ca="1">IFERROR(SUMIFS(INDEX($B$5:$CW$56,MATCH(AE$93,$A$5:$A$56,0),1):INDEX($B$5:$CW$56,MATCH(AE$93,$A$5:$A$56,0),100),$B69:$CW69,"="&amp;"x",$B$3:$CW$3,"="&amp;"Y"),0)</f>
        <v>0</v>
      </c>
      <c r="AF104">
        <f ca="1">IFERROR(SUMIFS(INDEX($B$5:$CW$56,MATCH(AF$93,$A$5:$A$56,0),1):INDEX($B$5:$CW$56,MATCH(AF$93,$A$5:$A$56,0),100),$B69:$CW69,"="&amp;"x",$B$3:$CW$3,"="&amp;"Y"),0)</f>
        <v>0</v>
      </c>
      <c r="AG104">
        <f ca="1">IFERROR(SUMIFS(INDEX($B$5:$CW$56,MATCH(AG$93,$A$5:$A$56,0),1):INDEX($B$5:$CW$56,MATCH(AG$93,$A$5:$A$56,0),100),$B69:$CW69,"="&amp;"x",$B$3:$CW$3,"="&amp;"Y"),0)</f>
        <v>0</v>
      </c>
      <c r="AH104">
        <f ca="1">IFERROR(SUMIFS(INDEX($B$5:$CW$56,MATCH(AH$93,$A$5:$A$56,0),1):INDEX($B$5:$CW$56,MATCH(AH$93,$A$5:$A$56,0),100),$B69:$CW69,"="&amp;"x",$B$3:$CW$3,"="&amp;"Y"),0)</f>
        <v>0</v>
      </c>
      <c r="AI104">
        <f ca="1">IFERROR(SUMIFS(INDEX($B$5:$CW$56,MATCH(AI$93,$A$5:$A$56,0),1):INDEX($B$5:$CW$56,MATCH(AI$93,$A$5:$A$56,0),100),$B69:$CW69,"="&amp;"x",$B$3:$CW$3,"="&amp;"Y"),0)</f>
        <v>0</v>
      </c>
      <c r="AJ104">
        <f ca="1">IFERROR(SUMIFS(INDEX($B$5:$CW$56,MATCH(AJ$93,$A$5:$A$56,0),1):INDEX($B$5:$CW$56,MATCH(AJ$93,$A$5:$A$56,0),100),$B69:$CW69,"="&amp;"x",$B$3:$CW$3,"="&amp;"Y"),0)</f>
        <v>0</v>
      </c>
      <c r="AK104">
        <f ca="1">IFERROR(SUMIFS(INDEX($B$5:$CW$56,MATCH(AK$93,$A$5:$A$56,0),1):INDEX($B$5:$CW$56,MATCH(AK$93,$A$5:$A$56,0),100),$B69:$CW69,"="&amp;"x",$B$3:$CW$3,"="&amp;"Y"),0)</f>
        <v>0</v>
      </c>
      <c r="AL104">
        <f ca="1">IFERROR(SUMIFS(INDEX($B$5:$CW$56,MATCH(AL$93,$A$5:$A$56,0),1):INDEX($B$5:$CW$56,MATCH(AL$93,$A$5:$A$56,0),100),$B69:$CW69,"="&amp;"x",$B$3:$CW$3,"="&amp;"Y"),0)</f>
        <v>0</v>
      </c>
      <c r="AM104">
        <f ca="1">IFERROR(SUMIFS(INDEX($B$5:$CW$56,MATCH(AM$93,$A$5:$A$56,0),1):INDEX($B$5:$CW$56,MATCH(AM$93,$A$5:$A$56,0),100),$B69:$CW69,"="&amp;"x",$B$3:$CW$3,"="&amp;"Y"),0)</f>
        <v>0</v>
      </c>
      <c r="AN104">
        <f ca="1">IFERROR(SUMIFS(INDEX($B$5:$CW$56,MATCH(AN$93,$A$5:$A$56,0),1):INDEX($B$5:$CW$56,MATCH(AN$93,$A$5:$A$56,0),100),$B69:$CW69,"="&amp;"x",$B$3:$CW$3,"="&amp;"Y"),0)</f>
        <v>0</v>
      </c>
      <c r="AO104">
        <f ca="1">IFERROR(SUMIFS(INDEX($B$5:$CW$56,MATCH(AO$93,$A$5:$A$56,0),1):INDEX($B$5:$CW$56,MATCH(AO$93,$A$5:$A$56,0),100),$B69:$CW69,"="&amp;"x",$B$3:$CW$3,"="&amp;"Y"),0)</f>
        <v>0</v>
      </c>
      <c r="AP104">
        <f ca="1">IFERROR(SUMIFS(INDEX($B$5:$CW$56,MATCH(AP$93,$A$5:$A$56,0),1):INDEX($B$5:$CW$56,MATCH(AP$93,$A$5:$A$56,0),100),$B69:$CW69,"="&amp;"x",$B$3:$CW$3,"="&amp;"Y"),0)</f>
        <v>0</v>
      </c>
      <c r="AQ104">
        <f ca="1">IFERROR(SUMIFS(INDEX($B$5:$CW$56,MATCH(AQ$93,$A$5:$A$56,0),1):INDEX($B$5:$CW$56,MATCH(AQ$93,$A$5:$A$56,0),100),$B69:$CW69,"="&amp;"x",$B$3:$CW$3,"="&amp;"Y"),0)</f>
        <v>0</v>
      </c>
      <c r="AR104">
        <f ca="1">IFERROR(SUMIFS(INDEX($B$5:$CW$56,MATCH(AR$93,$A$5:$A$56,0),1):INDEX($B$5:$CW$56,MATCH(AR$93,$A$5:$A$56,0),100),$B69:$CW69,"="&amp;"x",$B$3:$CW$3,"="&amp;"Y"),0)</f>
        <v>0</v>
      </c>
      <c r="AS104">
        <f ca="1">IFERROR(SUMIFS(INDEX($B$5:$CW$56,MATCH(AS$93,$A$5:$A$56,0),1):INDEX($B$5:$CW$56,MATCH(AS$93,$A$5:$A$56,0),100),$B69:$CW69,"="&amp;"x",$B$3:$CW$3,"="&amp;"Y"),0)</f>
        <v>0</v>
      </c>
      <c r="AT104">
        <f ca="1">IFERROR(SUMIFS(INDEX($B$5:$CW$56,MATCH(AT$93,$A$5:$A$56,0),1):INDEX($B$5:$CW$56,MATCH(AT$93,$A$5:$A$56,0),100),$B69:$CW69,"="&amp;"x",$B$3:$CW$3,"="&amp;"Y"),0)</f>
        <v>0</v>
      </c>
      <c r="AU104">
        <f ca="1">IFERROR(SUMIFS(INDEX($B$5:$CW$56,MATCH(AU$93,$A$5:$A$56,0),1):INDEX($B$5:$CW$56,MATCH(AU$93,$A$5:$A$56,0),100),$B69:$CW69,"="&amp;"x",$B$3:$CW$3,"="&amp;"Y"),0)</f>
        <v>0</v>
      </c>
      <c r="AV104">
        <f ca="1">IFERROR(SUMIFS(INDEX($B$5:$CW$56,MATCH(AV$93,$A$5:$A$56,0),1):INDEX($B$5:$CW$56,MATCH(AV$93,$A$5:$A$56,0),100),$B69:$CW69,"="&amp;"x",$B$3:$CW$3,"="&amp;"Y"),0)</f>
        <v>0</v>
      </c>
      <c r="AW104">
        <f ca="1">IFERROR(SUMIFS(INDEX($B$5:$CW$56,MATCH(AW$93,$A$5:$A$56,0),1):INDEX($B$5:$CW$56,MATCH(AW$93,$A$5:$A$56,0),100),$B69:$CW69,"="&amp;"x",$B$3:$CW$3,"="&amp;"Y"),0)</f>
        <v>0</v>
      </c>
      <c r="AX104">
        <f ca="1">IFERROR(SUMIFS(INDEX($B$5:$CW$56,MATCH(AX$93,$A$5:$A$56,0),1):INDEX($B$5:$CW$56,MATCH(AX$93,$A$5:$A$56,0),100),$B69:$CW69,"="&amp;"x",$B$3:$CW$3,"="&amp;"Y"),0)</f>
        <v>0</v>
      </c>
      <c r="AY104">
        <f ca="1">IFERROR(SUMIFS(INDEX($B$5:$CW$56,MATCH(AY$93,$A$5:$A$56,0),1):INDEX($B$5:$CW$56,MATCH(AY$93,$A$5:$A$56,0),100),$B69:$CW69,"="&amp;"x",$B$3:$CW$3,"="&amp;"Y"),0)</f>
        <v>0</v>
      </c>
      <c r="AZ104">
        <f ca="1">IFERROR(SUMIFS(INDEX($B$5:$CW$56,MATCH(AZ$93,$A$5:$A$56,0),1):INDEX($B$5:$CW$56,MATCH(AZ$93,$A$5:$A$56,0),100),$B69:$CW69,"="&amp;"x",$B$3:$CW$3,"="&amp;"Y"),0)</f>
        <v>0</v>
      </c>
      <c r="BA104">
        <f ca="1">IFERROR(SUMIFS(INDEX($B$5:$CW$56,MATCH(BA$93,$A$5:$A$56,0),1):INDEX($B$5:$CW$56,MATCH(BA$93,$A$5:$A$56,0),100),$B69:$CW69,"="&amp;"x",$B$3:$CW$3,"="&amp;"Y"),0)</f>
        <v>0</v>
      </c>
      <c r="BC104">
        <f t="shared" ca="1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ca="1">IFERROR(SUMIFS(INDEX($B$5:$CW$56,MATCH(B$93,$A$5:$A$56,0),1):INDEX($B$5:$CW$56,MATCH(B$93,$A$5:$A$56,0),100),$B70:$CW70,"="&amp;"x",$B$3:$CW$3,"="&amp;"Y"),0)</f>
        <v>0</v>
      </c>
      <c r="C105">
        <f ca="1">IFERROR(SUMIFS(INDEX($B$5:$CW$56,MATCH(C$93,$A$5:$A$56,0),1):INDEX($B$5:$CW$56,MATCH(C$93,$A$5:$A$56,0),100),$B70:$CW70,"="&amp;"x",$B$3:$CW$3,"="&amp;"Y"),0)</f>
        <v>0</v>
      </c>
      <c r="D105">
        <f ca="1">IFERROR(SUMIFS(INDEX($B$5:$CW$56,MATCH(D$93,$A$5:$A$56,0),1):INDEX($B$5:$CW$56,MATCH(D$93,$A$5:$A$56,0),100),$B70:$CW70,"="&amp;"x",$B$3:$CW$3,"="&amp;"Y"),0)</f>
        <v>0</v>
      </c>
      <c r="E105">
        <f ca="1">IFERROR(SUMIFS(INDEX($B$5:$CW$56,MATCH(E$93,$A$5:$A$56,0),1):INDEX($B$5:$CW$56,MATCH(E$93,$A$5:$A$56,0),100),$B70:$CW70,"="&amp;"x",$B$3:$CW$3,"="&amp;"Y"),0)</f>
        <v>0</v>
      </c>
      <c r="F105">
        <f ca="1">IFERROR(SUMIFS(INDEX($B$5:$CW$56,MATCH(F$93,$A$5:$A$56,0),1):INDEX($B$5:$CW$56,MATCH(F$93,$A$5:$A$56,0),100),$B70:$CW70,"="&amp;"x",$B$3:$CW$3,"="&amp;"Y"),0)</f>
        <v>0</v>
      </c>
      <c r="G105">
        <f ca="1">IFERROR(SUMIFS(INDEX($B$5:$CW$56,MATCH(G$93,$A$5:$A$56,0),1):INDEX($B$5:$CW$56,MATCH(G$93,$A$5:$A$56,0),100),$B70:$CW70,"="&amp;"x",$B$3:$CW$3,"="&amp;"Y"),0)</f>
        <v>0</v>
      </c>
      <c r="H105">
        <f ca="1">IFERROR(SUMIFS(INDEX($B$5:$CW$56,MATCH(H$93,$A$5:$A$56,0),1):INDEX($B$5:$CW$56,MATCH(H$93,$A$5:$A$56,0),100),$B70:$CW70,"="&amp;"x",$B$3:$CW$3,"="&amp;"Y"),0)</f>
        <v>0</v>
      </c>
      <c r="I105">
        <f ca="1">IFERROR(SUMIFS(INDEX($B$5:$CW$56,MATCH(I$93,$A$5:$A$56,0),1):INDEX($B$5:$CW$56,MATCH(I$93,$A$5:$A$56,0),100),$B70:$CW70,"="&amp;"x",$B$3:$CW$3,"="&amp;"Y"),0)</f>
        <v>0</v>
      </c>
      <c r="J105">
        <f ca="1">IFERROR(SUMIFS(INDEX($B$5:$CW$56,MATCH(J$93,$A$5:$A$56,0),1):INDEX($B$5:$CW$56,MATCH(J$93,$A$5:$A$56,0),100),$B70:$CW70,"="&amp;"x",$B$3:$CW$3,"="&amp;"Y"),0)</f>
        <v>0</v>
      </c>
      <c r="K105">
        <f ca="1">IFERROR(SUMIFS(INDEX($B$5:$CW$56,MATCH(K$93,$A$5:$A$56,0),1):INDEX($B$5:$CW$56,MATCH(K$93,$A$5:$A$56,0),100),$B70:$CW70,"="&amp;"x",$B$3:$CW$3,"="&amp;"Y"),0)</f>
        <v>0</v>
      </c>
      <c r="L105">
        <f ca="1">IFERROR(SUMIFS(INDEX($B$5:$CW$56,MATCH(L$93,$A$5:$A$56,0),1):INDEX($B$5:$CW$56,MATCH(L$93,$A$5:$A$56,0),100),$B70:$CW70,"="&amp;"x",$B$3:$CW$3,"="&amp;"Y"),0)</f>
        <v>0</v>
      </c>
      <c r="M105">
        <f ca="1">IFERROR(SUMIFS(INDEX($B$5:$CW$56,MATCH(M$93,$A$5:$A$56,0),1):INDEX($B$5:$CW$56,MATCH(M$93,$A$5:$A$56,0),100),$B70:$CW70,"="&amp;"x",$B$3:$CW$3,"="&amp;"Y"),0)</f>
        <v>0</v>
      </c>
      <c r="N105">
        <f ca="1">IFERROR(SUMIFS(INDEX($B$5:$CW$56,MATCH(N$93,$A$5:$A$56,0),1):INDEX($B$5:$CW$56,MATCH(N$93,$A$5:$A$56,0),100),$B70:$CW70,"="&amp;"x",$B$3:$CW$3,"="&amp;"Y"),0)</f>
        <v>0</v>
      </c>
      <c r="O105">
        <f ca="1">IFERROR(SUMIFS(INDEX($B$5:$CW$56,MATCH(O$93,$A$5:$A$56,0),1):INDEX($B$5:$CW$56,MATCH(O$93,$A$5:$A$56,0),100),$B70:$CW70,"="&amp;"x",$B$3:$CW$3,"="&amp;"Y"),0)</f>
        <v>0</v>
      </c>
      <c r="P105">
        <f ca="1">IFERROR(SUMIFS(INDEX($B$5:$CW$56,MATCH(P$93,$A$5:$A$56,0),1):INDEX($B$5:$CW$56,MATCH(P$93,$A$5:$A$56,0),100),$B70:$CW70,"="&amp;"x",$B$3:$CW$3,"="&amp;"Y"),0)</f>
        <v>0</v>
      </c>
      <c r="Q105">
        <f ca="1">IFERROR(SUMIFS(INDEX($B$5:$CW$56,MATCH(Q$93,$A$5:$A$56,0),1):INDEX($B$5:$CW$56,MATCH(Q$93,$A$5:$A$56,0),100),$B70:$CW70,"="&amp;"x",$B$3:$CW$3,"="&amp;"Y"),0)</f>
        <v>0</v>
      </c>
      <c r="R105">
        <f ca="1">IFERROR(SUMIFS(INDEX($B$5:$CW$56,MATCH(R$93,$A$5:$A$56,0),1):INDEX($B$5:$CW$56,MATCH(R$93,$A$5:$A$56,0),100),$B70:$CW70,"="&amp;"x",$B$3:$CW$3,"="&amp;"Y"),0)</f>
        <v>0</v>
      </c>
      <c r="S105">
        <f ca="1">IFERROR(SUMIFS(INDEX($B$5:$CW$56,MATCH(S$93,$A$5:$A$56,0),1):INDEX($B$5:$CW$56,MATCH(S$93,$A$5:$A$56,0),100),$B70:$CW70,"="&amp;"x",$B$3:$CW$3,"="&amp;"Y"),0)</f>
        <v>0</v>
      </c>
      <c r="T105">
        <f ca="1">IFERROR(SUMIFS(INDEX($B$5:$CW$56,MATCH(T$93,$A$5:$A$56,0),1):INDEX($B$5:$CW$56,MATCH(T$93,$A$5:$A$56,0),100),$B70:$CW70,"="&amp;"x",$B$3:$CW$3,"="&amp;"Y"),0)</f>
        <v>0</v>
      </c>
      <c r="U105">
        <f ca="1">IFERROR(SUMIFS(INDEX($B$5:$CW$56,MATCH(U$93,$A$5:$A$56,0),1):INDEX($B$5:$CW$56,MATCH(U$93,$A$5:$A$56,0),100),$B70:$CW70,"="&amp;"x",$B$3:$CW$3,"="&amp;"Y"),0)</f>
        <v>0</v>
      </c>
      <c r="V105">
        <f ca="1">IFERROR(SUMIFS(INDEX($B$5:$CW$56,MATCH(V$93,$A$5:$A$56,0),1):INDEX($B$5:$CW$56,MATCH(V$93,$A$5:$A$56,0),100),$B70:$CW70,"="&amp;"x",$B$3:$CW$3,"="&amp;"Y"),0)</f>
        <v>0</v>
      </c>
      <c r="W105">
        <f ca="1">IFERROR(SUMIFS(INDEX($B$5:$CW$56,MATCH(W$93,$A$5:$A$56,0),1):INDEX($B$5:$CW$56,MATCH(W$93,$A$5:$A$56,0),100),$B70:$CW70,"="&amp;"x",$B$3:$CW$3,"="&amp;"Y"),0)</f>
        <v>0</v>
      </c>
      <c r="X105">
        <f ca="1">IFERROR(SUMIFS(INDEX($B$5:$CW$56,MATCH(X$93,$A$5:$A$56,0),1):INDEX($B$5:$CW$56,MATCH(X$93,$A$5:$A$56,0),100),$B70:$CW70,"="&amp;"x",$B$3:$CW$3,"="&amp;"Y"),0)</f>
        <v>0</v>
      </c>
      <c r="Y105">
        <f ca="1">IFERROR(SUMIFS(INDEX($B$5:$CW$56,MATCH(Y$93,$A$5:$A$56,0),1):INDEX($B$5:$CW$56,MATCH(Y$93,$A$5:$A$56,0),100),$B70:$CW70,"="&amp;"x",$B$3:$CW$3,"="&amp;"Y"),0)</f>
        <v>0</v>
      </c>
      <c r="Z105">
        <f ca="1">IFERROR(SUMIFS(INDEX($B$5:$CW$56,MATCH(Z$93,$A$5:$A$56,0),1):INDEX($B$5:$CW$56,MATCH(Z$93,$A$5:$A$56,0),100),$B70:$CW70,"="&amp;"x",$B$3:$CW$3,"="&amp;"Y"),0)</f>
        <v>0</v>
      </c>
      <c r="AA105">
        <f ca="1">IFERROR(SUMIFS(INDEX($B$5:$CW$56,MATCH(AA$93,$A$5:$A$56,0),1):INDEX($B$5:$CW$56,MATCH(AA$93,$A$5:$A$56,0),100),$B70:$CW70,"="&amp;"x",$B$3:$CW$3,"="&amp;"Y"),0)</f>
        <v>0</v>
      </c>
      <c r="AB105">
        <f ca="1">IFERROR(SUMIFS(INDEX($B$5:$CW$56,MATCH(AB$93,$A$5:$A$56,0),1):INDEX($B$5:$CW$56,MATCH(AB$93,$A$5:$A$56,0),100),$B70:$CW70,"="&amp;"x",$B$3:$CW$3,"="&amp;"Y"),0)</f>
        <v>0</v>
      </c>
      <c r="AC105">
        <f ca="1">IFERROR(SUMIFS(INDEX($B$5:$CW$56,MATCH(AC$93,$A$5:$A$56,0),1):INDEX($B$5:$CW$56,MATCH(AC$93,$A$5:$A$56,0),100),$B70:$CW70,"="&amp;"x",$B$3:$CW$3,"="&amp;"Y"),0)</f>
        <v>0</v>
      </c>
      <c r="AD105">
        <f ca="1">IFERROR(SUMIFS(INDEX($B$5:$CW$56,MATCH(AD$93,$A$5:$A$56,0),1):INDEX($B$5:$CW$56,MATCH(AD$93,$A$5:$A$56,0),100),$B70:$CW70,"="&amp;"x",$B$3:$CW$3,"="&amp;"Y"),0)</f>
        <v>0</v>
      </c>
      <c r="AE105">
        <f ca="1">IFERROR(SUMIFS(INDEX($B$5:$CW$56,MATCH(AE$93,$A$5:$A$56,0),1):INDEX($B$5:$CW$56,MATCH(AE$93,$A$5:$A$56,0),100),$B70:$CW70,"="&amp;"x",$B$3:$CW$3,"="&amp;"Y"),0)</f>
        <v>0</v>
      </c>
      <c r="AF105">
        <f ca="1">IFERROR(SUMIFS(INDEX($B$5:$CW$56,MATCH(AF$93,$A$5:$A$56,0),1):INDEX($B$5:$CW$56,MATCH(AF$93,$A$5:$A$56,0),100),$B70:$CW70,"="&amp;"x",$B$3:$CW$3,"="&amp;"Y"),0)</f>
        <v>0</v>
      </c>
      <c r="AG105">
        <f ca="1">IFERROR(SUMIFS(INDEX($B$5:$CW$56,MATCH(AG$93,$A$5:$A$56,0),1):INDEX($B$5:$CW$56,MATCH(AG$93,$A$5:$A$56,0),100),$B70:$CW70,"="&amp;"x",$B$3:$CW$3,"="&amp;"Y"),0)</f>
        <v>0</v>
      </c>
      <c r="AH105">
        <f ca="1">IFERROR(SUMIFS(INDEX($B$5:$CW$56,MATCH(AH$93,$A$5:$A$56,0),1):INDEX($B$5:$CW$56,MATCH(AH$93,$A$5:$A$56,0),100),$B70:$CW70,"="&amp;"x",$B$3:$CW$3,"="&amp;"Y"),0)</f>
        <v>0</v>
      </c>
      <c r="AI105">
        <f ca="1">IFERROR(SUMIFS(INDEX($B$5:$CW$56,MATCH(AI$93,$A$5:$A$56,0),1):INDEX($B$5:$CW$56,MATCH(AI$93,$A$5:$A$56,0),100),$B70:$CW70,"="&amp;"x",$B$3:$CW$3,"="&amp;"Y"),0)</f>
        <v>0</v>
      </c>
      <c r="AJ105">
        <f ca="1">IFERROR(SUMIFS(INDEX($B$5:$CW$56,MATCH(AJ$93,$A$5:$A$56,0),1):INDEX($B$5:$CW$56,MATCH(AJ$93,$A$5:$A$56,0),100),$B70:$CW70,"="&amp;"x",$B$3:$CW$3,"="&amp;"Y"),0)</f>
        <v>0</v>
      </c>
      <c r="AK105">
        <f ca="1">IFERROR(SUMIFS(INDEX($B$5:$CW$56,MATCH(AK$93,$A$5:$A$56,0),1):INDEX($B$5:$CW$56,MATCH(AK$93,$A$5:$A$56,0),100),$B70:$CW70,"="&amp;"x",$B$3:$CW$3,"="&amp;"Y"),0)</f>
        <v>0</v>
      </c>
      <c r="AL105">
        <f ca="1">IFERROR(SUMIFS(INDEX($B$5:$CW$56,MATCH(AL$93,$A$5:$A$56,0),1):INDEX($B$5:$CW$56,MATCH(AL$93,$A$5:$A$56,0),100),$B70:$CW70,"="&amp;"x",$B$3:$CW$3,"="&amp;"Y"),0)</f>
        <v>0</v>
      </c>
      <c r="AM105">
        <f ca="1">IFERROR(SUMIFS(INDEX($B$5:$CW$56,MATCH(AM$93,$A$5:$A$56,0),1):INDEX($B$5:$CW$56,MATCH(AM$93,$A$5:$A$56,0),100),$B70:$CW70,"="&amp;"x",$B$3:$CW$3,"="&amp;"Y"),0)</f>
        <v>0</v>
      </c>
      <c r="AN105">
        <f ca="1">IFERROR(SUMIFS(INDEX($B$5:$CW$56,MATCH(AN$93,$A$5:$A$56,0),1):INDEX($B$5:$CW$56,MATCH(AN$93,$A$5:$A$56,0),100),$B70:$CW70,"="&amp;"x",$B$3:$CW$3,"="&amp;"Y"),0)</f>
        <v>0</v>
      </c>
      <c r="AO105">
        <f ca="1">IFERROR(SUMIFS(INDEX($B$5:$CW$56,MATCH(AO$93,$A$5:$A$56,0),1):INDEX($B$5:$CW$56,MATCH(AO$93,$A$5:$A$56,0),100),$B70:$CW70,"="&amp;"x",$B$3:$CW$3,"="&amp;"Y"),0)</f>
        <v>0</v>
      </c>
      <c r="AP105">
        <f ca="1">IFERROR(SUMIFS(INDEX($B$5:$CW$56,MATCH(AP$93,$A$5:$A$56,0),1):INDEX($B$5:$CW$56,MATCH(AP$93,$A$5:$A$56,0),100),$B70:$CW70,"="&amp;"x",$B$3:$CW$3,"="&amp;"Y"),0)</f>
        <v>0</v>
      </c>
      <c r="AQ105">
        <f ca="1">IFERROR(SUMIFS(INDEX($B$5:$CW$56,MATCH(AQ$93,$A$5:$A$56,0),1):INDEX($B$5:$CW$56,MATCH(AQ$93,$A$5:$A$56,0),100),$B70:$CW70,"="&amp;"x",$B$3:$CW$3,"="&amp;"Y"),0)</f>
        <v>0</v>
      </c>
      <c r="AR105">
        <f ca="1">IFERROR(SUMIFS(INDEX($B$5:$CW$56,MATCH(AR$93,$A$5:$A$56,0),1):INDEX($B$5:$CW$56,MATCH(AR$93,$A$5:$A$56,0),100),$B70:$CW70,"="&amp;"x",$B$3:$CW$3,"="&amp;"Y"),0)</f>
        <v>0</v>
      </c>
      <c r="AS105">
        <f ca="1">IFERROR(SUMIFS(INDEX($B$5:$CW$56,MATCH(AS$93,$A$5:$A$56,0),1):INDEX($B$5:$CW$56,MATCH(AS$93,$A$5:$A$56,0),100),$B70:$CW70,"="&amp;"x",$B$3:$CW$3,"="&amp;"Y"),0)</f>
        <v>0</v>
      </c>
      <c r="AT105">
        <f ca="1">IFERROR(SUMIFS(INDEX($B$5:$CW$56,MATCH(AT$93,$A$5:$A$56,0),1):INDEX($B$5:$CW$56,MATCH(AT$93,$A$5:$A$56,0),100),$B70:$CW70,"="&amp;"x",$B$3:$CW$3,"="&amp;"Y"),0)</f>
        <v>0</v>
      </c>
      <c r="AU105">
        <f ca="1">IFERROR(SUMIFS(INDEX($B$5:$CW$56,MATCH(AU$93,$A$5:$A$56,0),1):INDEX($B$5:$CW$56,MATCH(AU$93,$A$5:$A$56,0),100),$B70:$CW70,"="&amp;"x",$B$3:$CW$3,"="&amp;"Y"),0)</f>
        <v>0</v>
      </c>
      <c r="AV105">
        <f ca="1">IFERROR(SUMIFS(INDEX($B$5:$CW$56,MATCH(AV$93,$A$5:$A$56,0),1):INDEX($B$5:$CW$56,MATCH(AV$93,$A$5:$A$56,0),100),$B70:$CW70,"="&amp;"x",$B$3:$CW$3,"="&amp;"Y"),0)</f>
        <v>0</v>
      </c>
      <c r="AW105">
        <f ca="1">IFERROR(SUMIFS(INDEX($B$5:$CW$56,MATCH(AW$93,$A$5:$A$56,0),1):INDEX($B$5:$CW$56,MATCH(AW$93,$A$5:$A$56,0),100),$B70:$CW70,"="&amp;"x",$B$3:$CW$3,"="&amp;"Y"),0)</f>
        <v>0</v>
      </c>
      <c r="AX105">
        <f ca="1">IFERROR(SUMIFS(INDEX($B$5:$CW$56,MATCH(AX$93,$A$5:$A$56,0),1):INDEX($B$5:$CW$56,MATCH(AX$93,$A$5:$A$56,0),100),$B70:$CW70,"="&amp;"x",$B$3:$CW$3,"="&amp;"Y"),0)</f>
        <v>0</v>
      </c>
      <c r="AY105">
        <f ca="1">IFERROR(SUMIFS(INDEX($B$5:$CW$56,MATCH(AY$93,$A$5:$A$56,0),1):INDEX($B$5:$CW$56,MATCH(AY$93,$A$5:$A$56,0),100),$B70:$CW70,"="&amp;"x",$B$3:$CW$3,"="&amp;"Y"),0)</f>
        <v>0</v>
      </c>
      <c r="AZ105">
        <f ca="1">IFERROR(SUMIFS(INDEX($B$5:$CW$56,MATCH(AZ$93,$A$5:$A$56,0),1):INDEX($B$5:$CW$56,MATCH(AZ$93,$A$5:$A$56,0),100),$B70:$CW70,"="&amp;"x",$B$3:$CW$3,"="&amp;"Y"),0)</f>
        <v>0</v>
      </c>
      <c r="BA105">
        <f ca="1">IFERROR(SUMIFS(INDEX($B$5:$CW$56,MATCH(BA$93,$A$5:$A$56,0),1):INDEX($B$5:$CW$56,MATCH(BA$93,$A$5:$A$56,0),100),$B70:$CW70,"="&amp;"x",$B$3:$CW$3,"="&amp;"Y"),0)</f>
        <v>0</v>
      </c>
      <c r="BC105">
        <f t="shared" ca="1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ca="1">IFERROR(SUMIFS(INDEX($B$5:$CW$56,MATCH(B$93,$A$5:$A$56,0),1):INDEX($B$5:$CW$56,MATCH(B$93,$A$5:$A$56,0),100),$B71:$CW71,"="&amp;"x",$B$3:$CW$3,"="&amp;"Y"),0)</f>
        <v>0</v>
      </c>
      <c r="C106">
        <f ca="1">IFERROR(SUMIFS(INDEX($B$5:$CW$56,MATCH(C$93,$A$5:$A$56,0),1):INDEX($B$5:$CW$56,MATCH(C$93,$A$5:$A$56,0),100),$B71:$CW71,"="&amp;"x",$B$3:$CW$3,"="&amp;"Y"),0)</f>
        <v>0</v>
      </c>
      <c r="D106">
        <f ca="1">IFERROR(SUMIFS(INDEX($B$5:$CW$56,MATCH(D$93,$A$5:$A$56,0),1):INDEX($B$5:$CW$56,MATCH(D$93,$A$5:$A$56,0),100),$B71:$CW71,"="&amp;"x",$B$3:$CW$3,"="&amp;"Y"),0)</f>
        <v>0</v>
      </c>
      <c r="E106">
        <f ca="1">IFERROR(SUMIFS(INDEX($B$5:$CW$56,MATCH(E$93,$A$5:$A$56,0),1):INDEX($B$5:$CW$56,MATCH(E$93,$A$5:$A$56,0),100),$B71:$CW71,"="&amp;"x",$B$3:$CW$3,"="&amp;"Y"),0)</f>
        <v>0</v>
      </c>
      <c r="F106">
        <f ca="1">IFERROR(SUMIFS(INDEX($B$5:$CW$56,MATCH(F$93,$A$5:$A$56,0),1):INDEX($B$5:$CW$56,MATCH(F$93,$A$5:$A$56,0),100),$B71:$CW71,"="&amp;"x",$B$3:$CW$3,"="&amp;"Y"),0)</f>
        <v>0</v>
      </c>
      <c r="G106">
        <f ca="1">IFERROR(SUMIFS(INDEX($B$5:$CW$56,MATCH(G$93,$A$5:$A$56,0),1):INDEX($B$5:$CW$56,MATCH(G$93,$A$5:$A$56,0),100),$B71:$CW71,"="&amp;"x",$B$3:$CW$3,"="&amp;"Y"),0)</f>
        <v>0</v>
      </c>
      <c r="H106">
        <f ca="1">IFERROR(SUMIFS(INDEX($B$5:$CW$56,MATCH(H$93,$A$5:$A$56,0),1):INDEX($B$5:$CW$56,MATCH(H$93,$A$5:$A$56,0),100),$B71:$CW71,"="&amp;"x",$B$3:$CW$3,"="&amp;"Y"),0)</f>
        <v>0</v>
      </c>
      <c r="I106">
        <f ca="1">IFERROR(SUMIFS(INDEX($B$5:$CW$56,MATCH(I$93,$A$5:$A$56,0),1):INDEX($B$5:$CW$56,MATCH(I$93,$A$5:$A$56,0),100),$B71:$CW71,"="&amp;"x",$B$3:$CW$3,"="&amp;"Y"),0)</f>
        <v>0</v>
      </c>
      <c r="J106">
        <f ca="1">IFERROR(SUMIFS(INDEX($B$5:$CW$56,MATCH(J$93,$A$5:$A$56,0),1):INDEX($B$5:$CW$56,MATCH(J$93,$A$5:$A$56,0),100),$B71:$CW71,"="&amp;"x",$B$3:$CW$3,"="&amp;"Y"),0)</f>
        <v>0</v>
      </c>
      <c r="K106">
        <f ca="1">IFERROR(SUMIFS(INDEX($B$5:$CW$56,MATCH(K$93,$A$5:$A$56,0),1):INDEX($B$5:$CW$56,MATCH(K$93,$A$5:$A$56,0),100),$B71:$CW71,"="&amp;"x",$B$3:$CW$3,"="&amp;"Y"),0)</f>
        <v>0</v>
      </c>
      <c r="L106">
        <f ca="1">IFERROR(SUMIFS(INDEX($B$5:$CW$56,MATCH(L$93,$A$5:$A$56,0),1):INDEX($B$5:$CW$56,MATCH(L$93,$A$5:$A$56,0),100),$B71:$CW71,"="&amp;"x",$B$3:$CW$3,"="&amp;"Y"),0)</f>
        <v>0</v>
      </c>
      <c r="M106">
        <f ca="1">IFERROR(SUMIFS(INDEX($B$5:$CW$56,MATCH(M$93,$A$5:$A$56,0),1):INDEX($B$5:$CW$56,MATCH(M$93,$A$5:$A$56,0),100),$B71:$CW71,"="&amp;"x",$B$3:$CW$3,"="&amp;"Y"),0)</f>
        <v>0</v>
      </c>
      <c r="N106">
        <f ca="1">IFERROR(SUMIFS(INDEX($B$5:$CW$56,MATCH(N$93,$A$5:$A$56,0),1):INDEX($B$5:$CW$56,MATCH(N$93,$A$5:$A$56,0),100),$B71:$CW71,"="&amp;"x",$B$3:$CW$3,"="&amp;"Y"),0)</f>
        <v>0</v>
      </c>
      <c r="O106">
        <f ca="1">IFERROR(SUMIFS(INDEX($B$5:$CW$56,MATCH(O$93,$A$5:$A$56,0),1):INDEX($B$5:$CW$56,MATCH(O$93,$A$5:$A$56,0),100),$B71:$CW71,"="&amp;"x",$B$3:$CW$3,"="&amp;"Y"),0)</f>
        <v>0</v>
      </c>
      <c r="P106">
        <f ca="1">IFERROR(SUMIFS(INDEX($B$5:$CW$56,MATCH(P$93,$A$5:$A$56,0),1):INDEX($B$5:$CW$56,MATCH(P$93,$A$5:$A$56,0),100),$B71:$CW71,"="&amp;"x",$B$3:$CW$3,"="&amp;"Y"),0)</f>
        <v>0</v>
      </c>
      <c r="Q106">
        <f ca="1">IFERROR(SUMIFS(INDEX($B$5:$CW$56,MATCH(Q$93,$A$5:$A$56,0),1):INDEX($B$5:$CW$56,MATCH(Q$93,$A$5:$A$56,0),100),$B71:$CW71,"="&amp;"x",$B$3:$CW$3,"="&amp;"Y"),0)</f>
        <v>0</v>
      </c>
      <c r="R106">
        <f ca="1">IFERROR(SUMIFS(INDEX($B$5:$CW$56,MATCH(R$93,$A$5:$A$56,0),1):INDEX($B$5:$CW$56,MATCH(R$93,$A$5:$A$56,0),100),$B71:$CW71,"="&amp;"x",$B$3:$CW$3,"="&amp;"Y"),0)</f>
        <v>0</v>
      </c>
      <c r="S106">
        <f ca="1">IFERROR(SUMIFS(INDEX($B$5:$CW$56,MATCH(S$93,$A$5:$A$56,0),1):INDEX($B$5:$CW$56,MATCH(S$93,$A$5:$A$56,0),100),$B71:$CW71,"="&amp;"x",$B$3:$CW$3,"="&amp;"Y"),0)</f>
        <v>0</v>
      </c>
      <c r="T106">
        <f ca="1">IFERROR(SUMIFS(INDEX($B$5:$CW$56,MATCH(T$93,$A$5:$A$56,0),1):INDEX($B$5:$CW$56,MATCH(T$93,$A$5:$A$56,0),100),$B71:$CW71,"="&amp;"x",$B$3:$CW$3,"="&amp;"Y"),0)</f>
        <v>0</v>
      </c>
      <c r="U106">
        <f ca="1">IFERROR(SUMIFS(INDEX($B$5:$CW$56,MATCH(U$93,$A$5:$A$56,0),1):INDEX($B$5:$CW$56,MATCH(U$93,$A$5:$A$56,0),100),$B71:$CW71,"="&amp;"x",$B$3:$CW$3,"="&amp;"Y"),0)</f>
        <v>0</v>
      </c>
      <c r="V106">
        <f ca="1">IFERROR(SUMIFS(INDEX($B$5:$CW$56,MATCH(V$93,$A$5:$A$56,0),1):INDEX($B$5:$CW$56,MATCH(V$93,$A$5:$A$56,0),100),$B71:$CW71,"="&amp;"x",$B$3:$CW$3,"="&amp;"Y"),0)</f>
        <v>0</v>
      </c>
      <c r="W106">
        <f ca="1">IFERROR(SUMIFS(INDEX($B$5:$CW$56,MATCH(W$93,$A$5:$A$56,0),1):INDEX($B$5:$CW$56,MATCH(W$93,$A$5:$A$56,0),100),$B71:$CW71,"="&amp;"x",$B$3:$CW$3,"="&amp;"Y"),0)</f>
        <v>0</v>
      </c>
      <c r="X106">
        <f ca="1">IFERROR(SUMIFS(INDEX($B$5:$CW$56,MATCH(X$93,$A$5:$A$56,0),1):INDEX($B$5:$CW$56,MATCH(X$93,$A$5:$A$56,0),100),$B71:$CW71,"="&amp;"x",$B$3:$CW$3,"="&amp;"Y"),0)</f>
        <v>0</v>
      </c>
      <c r="Y106">
        <f ca="1">IFERROR(SUMIFS(INDEX($B$5:$CW$56,MATCH(Y$93,$A$5:$A$56,0),1):INDEX($B$5:$CW$56,MATCH(Y$93,$A$5:$A$56,0),100),$B71:$CW71,"="&amp;"x",$B$3:$CW$3,"="&amp;"Y"),0)</f>
        <v>0</v>
      </c>
      <c r="Z106">
        <f ca="1">IFERROR(SUMIFS(INDEX($B$5:$CW$56,MATCH(Z$93,$A$5:$A$56,0),1):INDEX($B$5:$CW$56,MATCH(Z$93,$A$5:$A$56,0),100),$B71:$CW71,"="&amp;"x",$B$3:$CW$3,"="&amp;"Y"),0)</f>
        <v>0</v>
      </c>
      <c r="AA106">
        <f ca="1">IFERROR(SUMIFS(INDEX($B$5:$CW$56,MATCH(AA$93,$A$5:$A$56,0),1):INDEX($B$5:$CW$56,MATCH(AA$93,$A$5:$A$56,0),100),$B71:$CW71,"="&amp;"x",$B$3:$CW$3,"="&amp;"Y"),0)</f>
        <v>0</v>
      </c>
      <c r="AB106">
        <f ca="1">IFERROR(SUMIFS(INDEX($B$5:$CW$56,MATCH(AB$93,$A$5:$A$56,0),1):INDEX($B$5:$CW$56,MATCH(AB$93,$A$5:$A$56,0),100),$B71:$CW71,"="&amp;"x",$B$3:$CW$3,"="&amp;"Y"),0)</f>
        <v>0</v>
      </c>
      <c r="AC106">
        <f ca="1">IFERROR(SUMIFS(INDEX($B$5:$CW$56,MATCH(AC$93,$A$5:$A$56,0),1):INDEX($B$5:$CW$56,MATCH(AC$93,$A$5:$A$56,0),100),$B71:$CW71,"="&amp;"x",$B$3:$CW$3,"="&amp;"Y"),0)</f>
        <v>0</v>
      </c>
      <c r="AD106">
        <f ca="1">IFERROR(SUMIFS(INDEX($B$5:$CW$56,MATCH(AD$93,$A$5:$A$56,0),1):INDEX($B$5:$CW$56,MATCH(AD$93,$A$5:$A$56,0),100),$B71:$CW71,"="&amp;"x",$B$3:$CW$3,"="&amp;"Y"),0)</f>
        <v>0</v>
      </c>
      <c r="AE106">
        <f ca="1">IFERROR(SUMIFS(INDEX($B$5:$CW$56,MATCH(AE$93,$A$5:$A$56,0),1):INDEX($B$5:$CW$56,MATCH(AE$93,$A$5:$A$56,0),100),$B71:$CW71,"="&amp;"x",$B$3:$CW$3,"="&amp;"Y"),0)</f>
        <v>0</v>
      </c>
      <c r="AF106">
        <f ca="1">IFERROR(SUMIFS(INDEX($B$5:$CW$56,MATCH(AF$93,$A$5:$A$56,0),1):INDEX($B$5:$CW$56,MATCH(AF$93,$A$5:$A$56,0),100),$B71:$CW71,"="&amp;"x",$B$3:$CW$3,"="&amp;"Y"),0)</f>
        <v>0</v>
      </c>
      <c r="AG106">
        <f ca="1">IFERROR(SUMIFS(INDEX($B$5:$CW$56,MATCH(AG$93,$A$5:$A$56,0),1):INDEX($B$5:$CW$56,MATCH(AG$93,$A$5:$A$56,0),100),$B71:$CW71,"="&amp;"x",$B$3:$CW$3,"="&amp;"Y"),0)</f>
        <v>0</v>
      </c>
      <c r="AH106">
        <f ca="1">IFERROR(SUMIFS(INDEX($B$5:$CW$56,MATCH(AH$93,$A$5:$A$56,0),1):INDEX($B$5:$CW$56,MATCH(AH$93,$A$5:$A$56,0),100),$B71:$CW71,"="&amp;"x",$B$3:$CW$3,"="&amp;"Y"),0)</f>
        <v>0</v>
      </c>
      <c r="AI106">
        <f ca="1">IFERROR(SUMIFS(INDEX($B$5:$CW$56,MATCH(AI$93,$A$5:$A$56,0),1):INDEX($B$5:$CW$56,MATCH(AI$93,$A$5:$A$56,0),100),$B71:$CW71,"="&amp;"x",$B$3:$CW$3,"="&amp;"Y"),0)</f>
        <v>0</v>
      </c>
      <c r="AJ106">
        <f ca="1">IFERROR(SUMIFS(INDEX($B$5:$CW$56,MATCH(AJ$93,$A$5:$A$56,0),1):INDEX($B$5:$CW$56,MATCH(AJ$93,$A$5:$A$56,0),100),$B71:$CW71,"="&amp;"x",$B$3:$CW$3,"="&amp;"Y"),0)</f>
        <v>0</v>
      </c>
      <c r="AK106">
        <f ca="1">IFERROR(SUMIFS(INDEX($B$5:$CW$56,MATCH(AK$93,$A$5:$A$56,0),1):INDEX($B$5:$CW$56,MATCH(AK$93,$A$5:$A$56,0),100),$B71:$CW71,"="&amp;"x",$B$3:$CW$3,"="&amp;"Y"),0)</f>
        <v>0</v>
      </c>
      <c r="AL106">
        <f ca="1">IFERROR(SUMIFS(INDEX($B$5:$CW$56,MATCH(AL$93,$A$5:$A$56,0),1):INDEX($B$5:$CW$56,MATCH(AL$93,$A$5:$A$56,0),100),$B71:$CW71,"="&amp;"x",$B$3:$CW$3,"="&amp;"Y"),0)</f>
        <v>0</v>
      </c>
      <c r="AM106">
        <f ca="1">IFERROR(SUMIFS(INDEX($B$5:$CW$56,MATCH(AM$93,$A$5:$A$56,0),1):INDEX($B$5:$CW$56,MATCH(AM$93,$A$5:$A$56,0),100),$B71:$CW71,"="&amp;"x",$B$3:$CW$3,"="&amp;"Y"),0)</f>
        <v>0</v>
      </c>
      <c r="AN106">
        <f ca="1">IFERROR(SUMIFS(INDEX($B$5:$CW$56,MATCH(AN$93,$A$5:$A$56,0),1):INDEX($B$5:$CW$56,MATCH(AN$93,$A$5:$A$56,0),100),$B71:$CW71,"="&amp;"x",$B$3:$CW$3,"="&amp;"Y"),0)</f>
        <v>0</v>
      </c>
      <c r="AO106">
        <f ca="1">IFERROR(SUMIFS(INDEX($B$5:$CW$56,MATCH(AO$93,$A$5:$A$56,0),1):INDEX($B$5:$CW$56,MATCH(AO$93,$A$5:$A$56,0),100),$B71:$CW71,"="&amp;"x",$B$3:$CW$3,"="&amp;"Y"),0)</f>
        <v>0</v>
      </c>
      <c r="AP106">
        <f ca="1">IFERROR(SUMIFS(INDEX($B$5:$CW$56,MATCH(AP$93,$A$5:$A$56,0),1):INDEX($B$5:$CW$56,MATCH(AP$93,$A$5:$A$56,0),100),$B71:$CW71,"="&amp;"x",$B$3:$CW$3,"="&amp;"Y"),0)</f>
        <v>0</v>
      </c>
      <c r="AQ106">
        <f ca="1">IFERROR(SUMIFS(INDEX($B$5:$CW$56,MATCH(AQ$93,$A$5:$A$56,0),1):INDEX($B$5:$CW$56,MATCH(AQ$93,$A$5:$A$56,0),100),$B71:$CW71,"="&amp;"x",$B$3:$CW$3,"="&amp;"Y"),0)</f>
        <v>0</v>
      </c>
      <c r="AR106">
        <f ca="1">IFERROR(SUMIFS(INDEX($B$5:$CW$56,MATCH(AR$93,$A$5:$A$56,0),1):INDEX($B$5:$CW$56,MATCH(AR$93,$A$5:$A$56,0),100),$B71:$CW71,"="&amp;"x",$B$3:$CW$3,"="&amp;"Y"),0)</f>
        <v>0</v>
      </c>
      <c r="AS106">
        <f ca="1">IFERROR(SUMIFS(INDEX($B$5:$CW$56,MATCH(AS$93,$A$5:$A$56,0),1):INDEX($B$5:$CW$56,MATCH(AS$93,$A$5:$A$56,0),100),$B71:$CW71,"="&amp;"x",$B$3:$CW$3,"="&amp;"Y"),0)</f>
        <v>0</v>
      </c>
      <c r="AT106">
        <f ca="1">IFERROR(SUMIFS(INDEX($B$5:$CW$56,MATCH(AT$93,$A$5:$A$56,0),1):INDEX($B$5:$CW$56,MATCH(AT$93,$A$5:$A$56,0),100),$B71:$CW71,"="&amp;"x",$B$3:$CW$3,"="&amp;"Y"),0)</f>
        <v>0</v>
      </c>
      <c r="AU106">
        <f ca="1">IFERROR(SUMIFS(INDEX($B$5:$CW$56,MATCH(AU$93,$A$5:$A$56,0),1):INDEX($B$5:$CW$56,MATCH(AU$93,$A$5:$A$56,0),100),$B71:$CW71,"="&amp;"x",$B$3:$CW$3,"="&amp;"Y"),0)</f>
        <v>0</v>
      </c>
      <c r="AV106">
        <f ca="1">IFERROR(SUMIFS(INDEX($B$5:$CW$56,MATCH(AV$93,$A$5:$A$56,0),1):INDEX($B$5:$CW$56,MATCH(AV$93,$A$5:$A$56,0),100),$B71:$CW71,"="&amp;"x",$B$3:$CW$3,"="&amp;"Y"),0)</f>
        <v>0</v>
      </c>
      <c r="AW106">
        <f ca="1">IFERROR(SUMIFS(INDEX($B$5:$CW$56,MATCH(AW$93,$A$5:$A$56,0),1):INDEX($B$5:$CW$56,MATCH(AW$93,$A$5:$A$56,0),100),$B71:$CW71,"="&amp;"x",$B$3:$CW$3,"="&amp;"Y"),0)</f>
        <v>0</v>
      </c>
      <c r="AX106">
        <f ca="1">IFERROR(SUMIFS(INDEX($B$5:$CW$56,MATCH(AX$93,$A$5:$A$56,0),1):INDEX($B$5:$CW$56,MATCH(AX$93,$A$5:$A$56,0),100),$B71:$CW71,"="&amp;"x",$B$3:$CW$3,"="&amp;"Y"),0)</f>
        <v>0</v>
      </c>
      <c r="AY106">
        <f ca="1">IFERROR(SUMIFS(INDEX($B$5:$CW$56,MATCH(AY$93,$A$5:$A$56,0),1):INDEX($B$5:$CW$56,MATCH(AY$93,$A$5:$A$56,0),100),$B71:$CW71,"="&amp;"x",$B$3:$CW$3,"="&amp;"Y"),0)</f>
        <v>0</v>
      </c>
      <c r="AZ106">
        <f ca="1">IFERROR(SUMIFS(INDEX($B$5:$CW$56,MATCH(AZ$93,$A$5:$A$56,0),1):INDEX($B$5:$CW$56,MATCH(AZ$93,$A$5:$A$56,0),100),$B71:$CW71,"="&amp;"x",$B$3:$CW$3,"="&amp;"Y"),0)</f>
        <v>0</v>
      </c>
      <c r="BA106">
        <f ca="1">IFERROR(SUMIFS(INDEX($B$5:$CW$56,MATCH(BA$93,$A$5:$A$56,0),1):INDEX($B$5:$CW$56,MATCH(BA$93,$A$5:$A$56,0),100),$B71:$CW71,"="&amp;"x",$B$3:$CW$3,"="&amp;"Y"),0)</f>
        <v>0</v>
      </c>
      <c r="BC106">
        <f t="shared" ca="1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ca="1">IFERROR(SUMIFS(INDEX($B$5:$CW$56,MATCH(B$93,$A$5:$A$56,0),1):INDEX($B$5:$CW$56,MATCH(B$93,$A$5:$A$56,0),100),$B72:$CW72,"="&amp;"x",$B$3:$CW$3,"="&amp;"Y"),0)</f>
        <v>0</v>
      </c>
      <c r="C107">
        <f ca="1">IFERROR(SUMIFS(INDEX($B$5:$CW$56,MATCH(C$93,$A$5:$A$56,0),1):INDEX($B$5:$CW$56,MATCH(C$93,$A$5:$A$56,0),100),$B72:$CW72,"="&amp;"x",$B$3:$CW$3,"="&amp;"Y"),0)</f>
        <v>0</v>
      </c>
      <c r="D107">
        <f ca="1">IFERROR(SUMIFS(INDEX($B$5:$CW$56,MATCH(D$93,$A$5:$A$56,0),1):INDEX($B$5:$CW$56,MATCH(D$93,$A$5:$A$56,0),100),$B72:$CW72,"="&amp;"x",$B$3:$CW$3,"="&amp;"Y"),0)</f>
        <v>0</v>
      </c>
      <c r="E107">
        <f ca="1">IFERROR(SUMIFS(INDEX($B$5:$CW$56,MATCH(E$93,$A$5:$A$56,0),1):INDEX($B$5:$CW$56,MATCH(E$93,$A$5:$A$56,0),100),$B72:$CW72,"="&amp;"x",$B$3:$CW$3,"="&amp;"Y"),0)</f>
        <v>0</v>
      </c>
      <c r="F107">
        <f ca="1">IFERROR(SUMIFS(INDEX($B$5:$CW$56,MATCH(F$93,$A$5:$A$56,0),1):INDEX($B$5:$CW$56,MATCH(F$93,$A$5:$A$56,0),100),$B72:$CW72,"="&amp;"x",$B$3:$CW$3,"="&amp;"Y"),0)</f>
        <v>0</v>
      </c>
      <c r="G107">
        <f ca="1">IFERROR(SUMIFS(INDEX($B$5:$CW$56,MATCH(G$93,$A$5:$A$56,0),1):INDEX($B$5:$CW$56,MATCH(G$93,$A$5:$A$56,0),100),$B72:$CW72,"="&amp;"x",$B$3:$CW$3,"="&amp;"Y"),0)</f>
        <v>0</v>
      </c>
      <c r="H107">
        <f ca="1">IFERROR(SUMIFS(INDEX($B$5:$CW$56,MATCH(H$93,$A$5:$A$56,0),1):INDEX($B$5:$CW$56,MATCH(H$93,$A$5:$A$56,0),100),$B72:$CW72,"="&amp;"x",$B$3:$CW$3,"="&amp;"Y"),0)</f>
        <v>0</v>
      </c>
      <c r="I107">
        <f ca="1">IFERROR(SUMIFS(INDEX($B$5:$CW$56,MATCH(I$93,$A$5:$A$56,0),1):INDEX($B$5:$CW$56,MATCH(I$93,$A$5:$A$56,0),100),$B72:$CW72,"="&amp;"x",$B$3:$CW$3,"="&amp;"Y"),0)</f>
        <v>0</v>
      </c>
      <c r="J107">
        <f ca="1">IFERROR(SUMIFS(INDEX($B$5:$CW$56,MATCH(J$93,$A$5:$A$56,0),1):INDEX($B$5:$CW$56,MATCH(J$93,$A$5:$A$56,0),100),$B72:$CW72,"="&amp;"x",$B$3:$CW$3,"="&amp;"Y"),0)</f>
        <v>0</v>
      </c>
      <c r="K107">
        <f ca="1">IFERROR(SUMIFS(INDEX($B$5:$CW$56,MATCH(K$93,$A$5:$A$56,0),1):INDEX($B$5:$CW$56,MATCH(K$93,$A$5:$A$56,0),100),$B72:$CW72,"="&amp;"x",$B$3:$CW$3,"="&amp;"Y"),0)</f>
        <v>0</v>
      </c>
      <c r="L107">
        <f ca="1">IFERROR(SUMIFS(INDEX($B$5:$CW$56,MATCH(L$93,$A$5:$A$56,0),1):INDEX($B$5:$CW$56,MATCH(L$93,$A$5:$A$56,0),100),$B72:$CW72,"="&amp;"x",$B$3:$CW$3,"="&amp;"Y"),0)</f>
        <v>0</v>
      </c>
      <c r="M107">
        <f ca="1">IFERROR(SUMIFS(INDEX($B$5:$CW$56,MATCH(M$93,$A$5:$A$56,0),1):INDEX($B$5:$CW$56,MATCH(M$93,$A$5:$A$56,0),100),$B72:$CW72,"="&amp;"x",$B$3:$CW$3,"="&amp;"Y"),0)</f>
        <v>0</v>
      </c>
      <c r="N107">
        <f ca="1">IFERROR(SUMIFS(INDEX($B$5:$CW$56,MATCH(N$93,$A$5:$A$56,0),1):INDEX($B$5:$CW$56,MATCH(N$93,$A$5:$A$56,0),100),$B72:$CW72,"="&amp;"x",$B$3:$CW$3,"="&amp;"Y"),0)</f>
        <v>0</v>
      </c>
      <c r="O107">
        <f ca="1">IFERROR(SUMIFS(INDEX($B$5:$CW$56,MATCH(O$93,$A$5:$A$56,0),1):INDEX($B$5:$CW$56,MATCH(O$93,$A$5:$A$56,0),100),$B72:$CW72,"="&amp;"x",$B$3:$CW$3,"="&amp;"Y"),0)</f>
        <v>0</v>
      </c>
      <c r="P107">
        <f ca="1">IFERROR(SUMIFS(INDEX($B$5:$CW$56,MATCH(P$93,$A$5:$A$56,0),1):INDEX($B$5:$CW$56,MATCH(P$93,$A$5:$A$56,0),100),$B72:$CW72,"="&amp;"x",$B$3:$CW$3,"="&amp;"Y"),0)</f>
        <v>0</v>
      </c>
      <c r="Q107">
        <f ca="1">IFERROR(SUMIFS(INDEX($B$5:$CW$56,MATCH(Q$93,$A$5:$A$56,0),1):INDEX($B$5:$CW$56,MATCH(Q$93,$A$5:$A$56,0),100),$B72:$CW72,"="&amp;"x",$B$3:$CW$3,"="&amp;"Y"),0)</f>
        <v>0</v>
      </c>
      <c r="R107">
        <f ca="1">IFERROR(SUMIFS(INDEX($B$5:$CW$56,MATCH(R$93,$A$5:$A$56,0),1):INDEX($B$5:$CW$56,MATCH(R$93,$A$5:$A$56,0),100),$B72:$CW72,"="&amp;"x",$B$3:$CW$3,"="&amp;"Y"),0)</f>
        <v>0</v>
      </c>
      <c r="S107">
        <f ca="1">IFERROR(SUMIFS(INDEX($B$5:$CW$56,MATCH(S$93,$A$5:$A$56,0),1):INDEX($B$5:$CW$56,MATCH(S$93,$A$5:$A$56,0),100),$B72:$CW72,"="&amp;"x",$B$3:$CW$3,"="&amp;"Y"),0)</f>
        <v>0</v>
      </c>
      <c r="T107">
        <f ca="1">IFERROR(SUMIFS(INDEX($B$5:$CW$56,MATCH(T$93,$A$5:$A$56,0),1):INDEX($B$5:$CW$56,MATCH(T$93,$A$5:$A$56,0),100),$B72:$CW72,"="&amp;"x",$B$3:$CW$3,"="&amp;"Y"),0)</f>
        <v>0</v>
      </c>
      <c r="U107">
        <f ca="1">IFERROR(SUMIFS(INDEX($B$5:$CW$56,MATCH(U$93,$A$5:$A$56,0),1):INDEX($B$5:$CW$56,MATCH(U$93,$A$5:$A$56,0),100),$B72:$CW72,"="&amp;"x",$B$3:$CW$3,"="&amp;"Y"),0)</f>
        <v>0</v>
      </c>
      <c r="V107">
        <f ca="1">IFERROR(SUMIFS(INDEX($B$5:$CW$56,MATCH(V$93,$A$5:$A$56,0),1):INDEX($B$5:$CW$56,MATCH(V$93,$A$5:$A$56,0),100),$B72:$CW72,"="&amp;"x",$B$3:$CW$3,"="&amp;"Y"),0)</f>
        <v>0</v>
      </c>
      <c r="W107">
        <f ca="1">IFERROR(SUMIFS(INDEX($B$5:$CW$56,MATCH(W$93,$A$5:$A$56,0),1):INDEX($B$5:$CW$56,MATCH(W$93,$A$5:$A$56,0),100),$B72:$CW72,"="&amp;"x",$B$3:$CW$3,"="&amp;"Y"),0)</f>
        <v>0</v>
      </c>
      <c r="X107">
        <f ca="1">IFERROR(SUMIFS(INDEX($B$5:$CW$56,MATCH(X$93,$A$5:$A$56,0),1):INDEX($B$5:$CW$56,MATCH(X$93,$A$5:$A$56,0),100),$B72:$CW72,"="&amp;"x",$B$3:$CW$3,"="&amp;"Y"),0)</f>
        <v>0</v>
      </c>
      <c r="Y107">
        <f ca="1">IFERROR(SUMIFS(INDEX($B$5:$CW$56,MATCH(Y$93,$A$5:$A$56,0),1):INDEX($B$5:$CW$56,MATCH(Y$93,$A$5:$A$56,0),100),$B72:$CW72,"="&amp;"x",$B$3:$CW$3,"="&amp;"Y"),0)</f>
        <v>0</v>
      </c>
      <c r="Z107">
        <f ca="1">IFERROR(SUMIFS(INDEX($B$5:$CW$56,MATCH(Z$93,$A$5:$A$56,0),1):INDEX($B$5:$CW$56,MATCH(Z$93,$A$5:$A$56,0),100),$B72:$CW72,"="&amp;"x",$B$3:$CW$3,"="&amp;"Y"),0)</f>
        <v>0</v>
      </c>
      <c r="AA107">
        <f ca="1">IFERROR(SUMIFS(INDEX($B$5:$CW$56,MATCH(AA$93,$A$5:$A$56,0),1):INDEX($B$5:$CW$56,MATCH(AA$93,$A$5:$A$56,0),100),$B72:$CW72,"="&amp;"x",$B$3:$CW$3,"="&amp;"Y"),0)</f>
        <v>0</v>
      </c>
      <c r="AB107">
        <f ca="1">IFERROR(SUMIFS(INDEX($B$5:$CW$56,MATCH(AB$93,$A$5:$A$56,0),1):INDEX($B$5:$CW$56,MATCH(AB$93,$A$5:$A$56,0),100),$B72:$CW72,"="&amp;"x",$B$3:$CW$3,"="&amp;"Y"),0)</f>
        <v>0</v>
      </c>
      <c r="AC107">
        <f ca="1">IFERROR(SUMIFS(INDEX($B$5:$CW$56,MATCH(AC$93,$A$5:$A$56,0),1):INDEX($B$5:$CW$56,MATCH(AC$93,$A$5:$A$56,0),100),$B72:$CW72,"="&amp;"x",$B$3:$CW$3,"="&amp;"Y"),0)</f>
        <v>0</v>
      </c>
      <c r="AD107">
        <f ca="1">IFERROR(SUMIFS(INDEX($B$5:$CW$56,MATCH(AD$93,$A$5:$A$56,0),1):INDEX($B$5:$CW$56,MATCH(AD$93,$A$5:$A$56,0),100),$B72:$CW72,"="&amp;"x",$B$3:$CW$3,"="&amp;"Y"),0)</f>
        <v>0</v>
      </c>
      <c r="AE107">
        <f ca="1">IFERROR(SUMIFS(INDEX($B$5:$CW$56,MATCH(AE$93,$A$5:$A$56,0),1):INDEX($B$5:$CW$56,MATCH(AE$93,$A$5:$A$56,0),100),$B72:$CW72,"="&amp;"x",$B$3:$CW$3,"="&amp;"Y"),0)</f>
        <v>0</v>
      </c>
      <c r="AF107">
        <f ca="1">IFERROR(SUMIFS(INDEX($B$5:$CW$56,MATCH(AF$93,$A$5:$A$56,0),1):INDEX($B$5:$CW$56,MATCH(AF$93,$A$5:$A$56,0),100),$B72:$CW72,"="&amp;"x",$B$3:$CW$3,"="&amp;"Y"),0)</f>
        <v>0</v>
      </c>
      <c r="AG107">
        <f ca="1">IFERROR(SUMIFS(INDEX($B$5:$CW$56,MATCH(AG$93,$A$5:$A$56,0),1):INDEX($B$5:$CW$56,MATCH(AG$93,$A$5:$A$56,0),100),$B72:$CW72,"="&amp;"x",$B$3:$CW$3,"="&amp;"Y"),0)</f>
        <v>0</v>
      </c>
      <c r="AH107">
        <f ca="1">IFERROR(SUMIFS(INDEX($B$5:$CW$56,MATCH(AH$93,$A$5:$A$56,0),1):INDEX($B$5:$CW$56,MATCH(AH$93,$A$5:$A$56,0),100),$B72:$CW72,"="&amp;"x",$B$3:$CW$3,"="&amp;"Y"),0)</f>
        <v>0</v>
      </c>
      <c r="AI107">
        <f ca="1">IFERROR(SUMIFS(INDEX($B$5:$CW$56,MATCH(AI$93,$A$5:$A$56,0),1):INDEX($B$5:$CW$56,MATCH(AI$93,$A$5:$A$56,0),100),$B72:$CW72,"="&amp;"x",$B$3:$CW$3,"="&amp;"Y"),0)</f>
        <v>0</v>
      </c>
      <c r="AJ107">
        <f ca="1">IFERROR(SUMIFS(INDEX($B$5:$CW$56,MATCH(AJ$93,$A$5:$A$56,0),1):INDEX($B$5:$CW$56,MATCH(AJ$93,$A$5:$A$56,0),100),$B72:$CW72,"="&amp;"x",$B$3:$CW$3,"="&amp;"Y"),0)</f>
        <v>0</v>
      </c>
      <c r="AK107">
        <f ca="1">IFERROR(SUMIFS(INDEX($B$5:$CW$56,MATCH(AK$93,$A$5:$A$56,0),1):INDEX($B$5:$CW$56,MATCH(AK$93,$A$5:$A$56,0),100),$B72:$CW72,"="&amp;"x",$B$3:$CW$3,"="&amp;"Y"),0)</f>
        <v>0</v>
      </c>
      <c r="AL107">
        <f ca="1">IFERROR(SUMIFS(INDEX($B$5:$CW$56,MATCH(AL$93,$A$5:$A$56,0),1):INDEX($B$5:$CW$56,MATCH(AL$93,$A$5:$A$56,0),100),$B72:$CW72,"="&amp;"x",$B$3:$CW$3,"="&amp;"Y"),0)</f>
        <v>0</v>
      </c>
      <c r="AM107">
        <f ca="1">IFERROR(SUMIFS(INDEX($B$5:$CW$56,MATCH(AM$93,$A$5:$A$56,0),1):INDEX($B$5:$CW$56,MATCH(AM$93,$A$5:$A$56,0),100),$B72:$CW72,"="&amp;"x",$B$3:$CW$3,"="&amp;"Y"),0)</f>
        <v>0</v>
      </c>
      <c r="AN107">
        <f ca="1">IFERROR(SUMIFS(INDEX($B$5:$CW$56,MATCH(AN$93,$A$5:$A$56,0),1):INDEX($B$5:$CW$56,MATCH(AN$93,$A$5:$A$56,0),100),$B72:$CW72,"="&amp;"x",$B$3:$CW$3,"="&amp;"Y"),0)</f>
        <v>0</v>
      </c>
      <c r="AO107">
        <f ca="1">IFERROR(SUMIFS(INDEX($B$5:$CW$56,MATCH(AO$93,$A$5:$A$56,0),1):INDEX($B$5:$CW$56,MATCH(AO$93,$A$5:$A$56,0),100),$B72:$CW72,"="&amp;"x",$B$3:$CW$3,"="&amp;"Y"),0)</f>
        <v>0</v>
      </c>
      <c r="AP107">
        <f ca="1">IFERROR(SUMIFS(INDEX($B$5:$CW$56,MATCH(AP$93,$A$5:$A$56,0),1):INDEX($B$5:$CW$56,MATCH(AP$93,$A$5:$A$56,0),100),$B72:$CW72,"="&amp;"x",$B$3:$CW$3,"="&amp;"Y"),0)</f>
        <v>0</v>
      </c>
      <c r="AQ107">
        <f ca="1">IFERROR(SUMIFS(INDEX($B$5:$CW$56,MATCH(AQ$93,$A$5:$A$56,0),1):INDEX($B$5:$CW$56,MATCH(AQ$93,$A$5:$A$56,0),100),$B72:$CW72,"="&amp;"x",$B$3:$CW$3,"="&amp;"Y"),0)</f>
        <v>0</v>
      </c>
      <c r="AR107">
        <f ca="1">IFERROR(SUMIFS(INDEX($B$5:$CW$56,MATCH(AR$93,$A$5:$A$56,0),1):INDEX($B$5:$CW$56,MATCH(AR$93,$A$5:$A$56,0),100),$B72:$CW72,"="&amp;"x",$B$3:$CW$3,"="&amp;"Y"),0)</f>
        <v>0</v>
      </c>
      <c r="AS107">
        <f ca="1">IFERROR(SUMIFS(INDEX($B$5:$CW$56,MATCH(AS$93,$A$5:$A$56,0),1):INDEX($B$5:$CW$56,MATCH(AS$93,$A$5:$A$56,0),100),$B72:$CW72,"="&amp;"x",$B$3:$CW$3,"="&amp;"Y"),0)</f>
        <v>0</v>
      </c>
      <c r="AT107">
        <f ca="1">IFERROR(SUMIFS(INDEX($B$5:$CW$56,MATCH(AT$93,$A$5:$A$56,0),1):INDEX($B$5:$CW$56,MATCH(AT$93,$A$5:$A$56,0),100),$B72:$CW72,"="&amp;"x",$B$3:$CW$3,"="&amp;"Y"),0)</f>
        <v>0</v>
      </c>
      <c r="AU107">
        <f ca="1">IFERROR(SUMIFS(INDEX($B$5:$CW$56,MATCH(AU$93,$A$5:$A$56,0),1):INDEX($B$5:$CW$56,MATCH(AU$93,$A$5:$A$56,0),100),$B72:$CW72,"="&amp;"x",$B$3:$CW$3,"="&amp;"Y"),0)</f>
        <v>0</v>
      </c>
      <c r="AV107">
        <f ca="1">IFERROR(SUMIFS(INDEX($B$5:$CW$56,MATCH(AV$93,$A$5:$A$56,0),1):INDEX($B$5:$CW$56,MATCH(AV$93,$A$5:$A$56,0),100),$B72:$CW72,"="&amp;"x",$B$3:$CW$3,"="&amp;"Y"),0)</f>
        <v>0</v>
      </c>
      <c r="AW107">
        <f ca="1">IFERROR(SUMIFS(INDEX($B$5:$CW$56,MATCH(AW$93,$A$5:$A$56,0),1):INDEX($B$5:$CW$56,MATCH(AW$93,$A$5:$A$56,0),100),$B72:$CW72,"="&amp;"x",$B$3:$CW$3,"="&amp;"Y"),0)</f>
        <v>0</v>
      </c>
      <c r="AX107">
        <f ca="1">IFERROR(SUMIFS(INDEX($B$5:$CW$56,MATCH(AX$93,$A$5:$A$56,0),1):INDEX($B$5:$CW$56,MATCH(AX$93,$A$5:$A$56,0),100),$B72:$CW72,"="&amp;"x",$B$3:$CW$3,"="&amp;"Y"),0)</f>
        <v>0</v>
      </c>
      <c r="AY107">
        <f ca="1">IFERROR(SUMIFS(INDEX($B$5:$CW$56,MATCH(AY$93,$A$5:$A$56,0),1):INDEX($B$5:$CW$56,MATCH(AY$93,$A$5:$A$56,0),100),$B72:$CW72,"="&amp;"x",$B$3:$CW$3,"="&amp;"Y"),0)</f>
        <v>0</v>
      </c>
      <c r="AZ107">
        <f ca="1">IFERROR(SUMIFS(INDEX($B$5:$CW$56,MATCH(AZ$93,$A$5:$A$56,0),1):INDEX($B$5:$CW$56,MATCH(AZ$93,$A$5:$A$56,0),100),$B72:$CW72,"="&amp;"x",$B$3:$CW$3,"="&amp;"Y"),0)</f>
        <v>0</v>
      </c>
      <c r="BA107">
        <f ca="1">IFERROR(SUMIFS(INDEX($B$5:$CW$56,MATCH(BA$93,$A$5:$A$56,0),1):INDEX($B$5:$CW$56,MATCH(BA$93,$A$5:$A$56,0),100),$B72:$CW72,"="&amp;"x",$B$3:$CW$3,"="&amp;"Y"),0)</f>
        <v>0</v>
      </c>
      <c r="BC107">
        <f t="shared" ca="1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ca="1">IFERROR(SUMIFS(INDEX($B$5:$CW$56,MATCH(B$93,$A$5:$A$56,0),1):INDEX($B$5:$CW$56,MATCH(B$93,$A$5:$A$56,0),100),$B73:$CW73,"="&amp;"x",$B$3:$CW$3,"="&amp;"Y"),0)</f>
        <v>0</v>
      </c>
      <c r="C108">
        <f ca="1">IFERROR(SUMIFS(INDEX($B$5:$CW$56,MATCH(C$93,$A$5:$A$56,0),1):INDEX($B$5:$CW$56,MATCH(C$93,$A$5:$A$56,0),100),$B73:$CW73,"="&amp;"x",$B$3:$CW$3,"="&amp;"Y"),0)</f>
        <v>0</v>
      </c>
      <c r="D108">
        <f ca="1">IFERROR(SUMIFS(INDEX($B$5:$CW$56,MATCH(D$93,$A$5:$A$56,0),1):INDEX($B$5:$CW$56,MATCH(D$93,$A$5:$A$56,0),100),$B73:$CW73,"="&amp;"x",$B$3:$CW$3,"="&amp;"Y"),0)</f>
        <v>0</v>
      </c>
      <c r="E108">
        <f ca="1">IFERROR(SUMIFS(INDEX($B$5:$CW$56,MATCH(E$93,$A$5:$A$56,0),1):INDEX($B$5:$CW$56,MATCH(E$93,$A$5:$A$56,0),100),$B73:$CW73,"="&amp;"x",$B$3:$CW$3,"="&amp;"Y"),0)</f>
        <v>0</v>
      </c>
      <c r="F108">
        <f ca="1">IFERROR(SUMIFS(INDEX($B$5:$CW$56,MATCH(F$93,$A$5:$A$56,0),1):INDEX($B$5:$CW$56,MATCH(F$93,$A$5:$A$56,0),100),$B73:$CW73,"="&amp;"x",$B$3:$CW$3,"="&amp;"Y"),0)</f>
        <v>0</v>
      </c>
      <c r="G108">
        <f ca="1">IFERROR(SUMIFS(INDEX($B$5:$CW$56,MATCH(G$93,$A$5:$A$56,0),1):INDEX($B$5:$CW$56,MATCH(G$93,$A$5:$A$56,0),100),$B73:$CW73,"="&amp;"x",$B$3:$CW$3,"="&amp;"Y"),0)</f>
        <v>0</v>
      </c>
      <c r="H108">
        <f ca="1">IFERROR(SUMIFS(INDEX($B$5:$CW$56,MATCH(H$93,$A$5:$A$56,0),1):INDEX($B$5:$CW$56,MATCH(H$93,$A$5:$A$56,0),100),$B73:$CW73,"="&amp;"x",$B$3:$CW$3,"="&amp;"Y"),0)</f>
        <v>0</v>
      </c>
      <c r="I108">
        <f ca="1">IFERROR(SUMIFS(INDEX($B$5:$CW$56,MATCH(I$93,$A$5:$A$56,0),1):INDEX($B$5:$CW$56,MATCH(I$93,$A$5:$A$56,0),100),$B73:$CW73,"="&amp;"x",$B$3:$CW$3,"="&amp;"Y"),0)</f>
        <v>0</v>
      </c>
      <c r="J108">
        <f ca="1">IFERROR(SUMIFS(INDEX($B$5:$CW$56,MATCH(J$93,$A$5:$A$56,0),1):INDEX($B$5:$CW$56,MATCH(J$93,$A$5:$A$56,0),100),$B73:$CW73,"="&amp;"x",$B$3:$CW$3,"="&amp;"Y"),0)</f>
        <v>0</v>
      </c>
      <c r="K108">
        <f ca="1">IFERROR(SUMIFS(INDEX($B$5:$CW$56,MATCH(K$93,$A$5:$A$56,0),1):INDEX($B$5:$CW$56,MATCH(K$93,$A$5:$A$56,0),100),$B73:$CW73,"="&amp;"x",$B$3:$CW$3,"="&amp;"Y"),0)</f>
        <v>0</v>
      </c>
      <c r="L108">
        <f ca="1">IFERROR(SUMIFS(INDEX($B$5:$CW$56,MATCH(L$93,$A$5:$A$56,0),1):INDEX($B$5:$CW$56,MATCH(L$93,$A$5:$A$56,0),100),$B73:$CW73,"="&amp;"x",$B$3:$CW$3,"="&amp;"Y"),0)</f>
        <v>0</v>
      </c>
      <c r="M108">
        <f ca="1">IFERROR(SUMIFS(INDEX($B$5:$CW$56,MATCH(M$93,$A$5:$A$56,0),1):INDEX($B$5:$CW$56,MATCH(M$93,$A$5:$A$56,0),100),$B73:$CW73,"="&amp;"x",$B$3:$CW$3,"="&amp;"Y"),0)</f>
        <v>0</v>
      </c>
      <c r="N108">
        <f ca="1">IFERROR(SUMIFS(INDEX($B$5:$CW$56,MATCH(N$93,$A$5:$A$56,0),1):INDEX($B$5:$CW$56,MATCH(N$93,$A$5:$A$56,0),100),$B73:$CW73,"="&amp;"x",$B$3:$CW$3,"="&amp;"Y"),0)</f>
        <v>0</v>
      </c>
      <c r="O108">
        <f ca="1">IFERROR(SUMIFS(INDEX($B$5:$CW$56,MATCH(O$93,$A$5:$A$56,0),1):INDEX($B$5:$CW$56,MATCH(O$93,$A$5:$A$56,0),100),$B73:$CW73,"="&amp;"x",$B$3:$CW$3,"="&amp;"Y"),0)</f>
        <v>0</v>
      </c>
      <c r="P108">
        <f ca="1">IFERROR(SUMIFS(INDEX($B$5:$CW$56,MATCH(P$93,$A$5:$A$56,0),1):INDEX($B$5:$CW$56,MATCH(P$93,$A$5:$A$56,0),100),$B73:$CW73,"="&amp;"x",$B$3:$CW$3,"="&amp;"Y"),0)</f>
        <v>0</v>
      </c>
      <c r="Q108">
        <f ca="1">IFERROR(SUMIFS(INDEX($B$5:$CW$56,MATCH(Q$93,$A$5:$A$56,0),1):INDEX($B$5:$CW$56,MATCH(Q$93,$A$5:$A$56,0),100),$B73:$CW73,"="&amp;"x",$B$3:$CW$3,"="&amp;"Y"),0)</f>
        <v>0</v>
      </c>
      <c r="R108">
        <f ca="1">IFERROR(SUMIFS(INDEX($B$5:$CW$56,MATCH(R$93,$A$5:$A$56,0),1):INDEX($B$5:$CW$56,MATCH(R$93,$A$5:$A$56,0),100),$B73:$CW73,"="&amp;"x",$B$3:$CW$3,"="&amp;"Y"),0)</f>
        <v>0</v>
      </c>
      <c r="S108">
        <f ca="1">IFERROR(SUMIFS(INDEX($B$5:$CW$56,MATCH(S$93,$A$5:$A$56,0),1):INDEX($B$5:$CW$56,MATCH(S$93,$A$5:$A$56,0),100),$B73:$CW73,"="&amp;"x",$B$3:$CW$3,"="&amp;"Y"),0)</f>
        <v>0</v>
      </c>
      <c r="T108">
        <f ca="1">IFERROR(SUMIFS(INDEX($B$5:$CW$56,MATCH(T$93,$A$5:$A$56,0),1):INDEX($B$5:$CW$56,MATCH(T$93,$A$5:$A$56,0),100),$B73:$CW73,"="&amp;"x",$B$3:$CW$3,"="&amp;"Y"),0)</f>
        <v>0</v>
      </c>
      <c r="U108">
        <f ca="1">IFERROR(SUMIFS(INDEX($B$5:$CW$56,MATCH(U$93,$A$5:$A$56,0),1):INDEX($B$5:$CW$56,MATCH(U$93,$A$5:$A$56,0),100),$B73:$CW73,"="&amp;"x",$B$3:$CW$3,"="&amp;"Y"),0)</f>
        <v>0</v>
      </c>
      <c r="V108">
        <f ca="1">IFERROR(SUMIFS(INDEX($B$5:$CW$56,MATCH(V$93,$A$5:$A$56,0),1):INDEX($B$5:$CW$56,MATCH(V$93,$A$5:$A$56,0),100),$B73:$CW73,"="&amp;"x",$B$3:$CW$3,"="&amp;"Y"),0)</f>
        <v>0</v>
      </c>
      <c r="W108">
        <f ca="1">IFERROR(SUMIFS(INDEX($B$5:$CW$56,MATCH(W$93,$A$5:$A$56,0),1):INDEX($B$5:$CW$56,MATCH(W$93,$A$5:$A$56,0),100),$B73:$CW73,"="&amp;"x",$B$3:$CW$3,"="&amp;"Y"),0)</f>
        <v>0</v>
      </c>
      <c r="X108">
        <f ca="1">IFERROR(SUMIFS(INDEX($B$5:$CW$56,MATCH(X$93,$A$5:$A$56,0),1):INDEX($B$5:$CW$56,MATCH(X$93,$A$5:$A$56,0),100),$B73:$CW73,"="&amp;"x",$B$3:$CW$3,"="&amp;"Y"),0)</f>
        <v>0</v>
      </c>
      <c r="Y108">
        <f ca="1">IFERROR(SUMIFS(INDEX($B$5:$CW$56,MATCH(Y$93,$A$5:$A$56,0),1):INDEX($B$5:$CW$56,MATCH(Y$93,$A$5:$A$56,0),100),$B73:$CW73,"="&amp;"x",$B$3:$CW$3,"="&amp;"Y"),0)</f>
        <v>0</v>
      </c>
      <c r="Z108">
        <f ca="1">IFERROR(SUMIFS(INDEX($B$5:$CW$56,MATCH(Z$93,$A$5:$A$56,0),1):INDEX($B$5:$CW$56,MATCH(Z$93,$A$5:$A$56,0),100),$B73:$CW73,"="&amp;"x",$B$3:$CW$3,"="&amp;"Y"),0)</f>
        <v>0</v>
      </c>
      <c r="AA108">
        <f ca="1">IFERROR(SUMIFS(INDEX($B$5:$CW$56,MATCH(AA$93,$A$5:$A$56,0),1):INDEX($B$5:$CW$56,MATCH(AA$93,$A$5:$A$56,0),100),$B73:$CW73,"="&amp;"x",$B$3:$CW$3,"="&amp;"Y"),0)</f>
        <v>0</v>
      </c>
      <c r="AB108">
        <f ca="1">IFERROR(SUMIFS(INDEX($B$5:$CW$56,MATCH(AB$93,$A$5:$A$56,0),1):INDEX($B$5:$CW$56,MATCH(AB$93,$A$5:$A$56,0),100),$B73:$CW73,"="&amp;"x",$B$3:$CW$3,"="&amp;"Y"),0)</f>
        <v>0</v>
      </c>
      <c r="AC108">
        <f ca="1">IFERROR(SUMIFS(INDEX($B$5:$CW$56,MATCH(AC$93,$A$5:$A$56,0),1):INDEX($B$5:$CW$56,MATCH(AC$93,$A$5:$A$56,0),100),$B73:$CW73,"="&amp;"x",$B$3:$CW$3,"="&amp;"Y"),0)</f>
        <v>0</v>
      </c>
      <c r="AD108">
        <f ca="1">IFERROR(SUMIFS(INDEX($B$5:$CW$56,MATCH(AD$93,$A$5:$A$56,0),1):INDEX($B$5:$CW$56,MATCH(AD$93,$A$5:$A$56,0),100),$B73:$CW73,"="&amp;"x",$B$3:$CW$3,"="&amp;"Y"),0)</f>
        <v>0</v>
      </c>
      <c r="AE108">
        <f ca="1">IFERROR(SUMIFS(INDEX($B$5:$CW$56,MATCH(AE$93,$A$5:$A$56,0),1):INDEX($B$5:$CW$56,MATCH(AE$93,$A$5:$A$56,0),100),$B73:$CW73,"="&amp;"x",$B$3:$CW$3,"="&amp;"Y"),0)</f>
        <v>0</v>
      </c>
      <c r="AF108">
        <f ca="1">IFERROR(SUMIFS(INDEX($B$5:$CW$56,MATCH(AF$93,$A$5:$A$56,0),1):INDEX($B$5:$CW$56,MATCH(AF$93,$A$5:$A$56,0),100),$B73:$CW73,"="&amp;"x",$B$3:$CW$3,"="&amp;"Y"),0)</f>
        <v>0</v>
      </c>
      <c r="AG108">
        <f ca="1">IFERROR(SUMIFS(INDEX($B$5:$CW$56,MATCH(AG$93,$A$5:$A$56,0),1):INDEX($B$5:$CW$56,MATCH(AG$93,$A$5:$A$56,0),100),$B73:$CW73,"="&amp;"x",$B$3:$CW$3,"="&amp;"Y"),0)</f>
        <v>0</v>
      </c>
      <c r="AH108">
        <f ca="1">IFERROR(SUMIFS(INDEX($B$5:$CW$56,MATCH(AH$93,$A$5:$A$56,0),1):INDEX($B$5:$CW$56,MATCH(AH$93,$A$5:$A$56,0),100),$B73:$CW73,"="&amp;"x",$B$3:$CW$3,"="&amp;"Y"),0)</f>
        <v>0</v>
      </c>
      <c r="AI108">
        <f ca="1">IFERROR(SUMIFS(INDEX($B$5:$CW$56,MATCH(AI$93,$A$5:$A$56,0),1):INDEX($B$5:$CW$56,MATCH(AI$93,$A$5:$A$56,0),100),$B73:$CW73,"="&amp;"x",$B$3:$CW$3,"="&amp;"Y"),0)</f>
        <v>0</v>
      </c>
      <c r="AJ108">
        <f ca="1">IFERROR(SUMIFS(INDEX($B$5:$CW$56,MATCH(AJ$93,$A$5:$A$56,0),1):INDEX($B$5:$CW$56,MATCH(AJ$93,$A$5:$A$56,0),100),$B73:$CW73,"="&amp;"x",$B$3:$CW$3,"="&amp;"Y"),0)</f>
        <v>0</v>
      </c>
      <c r="AK108">
        <f ca="1">IFERROR(SUMIFS(INDEX($B$5:$CW$56,MATCH(AK$93,$A$5:$A$56,0),1):INDEX($B$5:$CW$56,MATCH(AK$93,$A$5:$A$56,0),100),$B73:$CW73,"="&amp;"x",$B$3:$CW$3,"="&amp;"Y"),0)</f>
        <v>0</v>
      </c>
      <c r="AL108">
        <f ca="1">IFERROR(SUMIFS(INDEX($B$5:$CW$56,MATCH(AL$93,$A$5:$A$56,0),1):INDEX($B$5:$CW$56,MATCH(AL$93,$A$5:$A$56,0),100),$B73:$CW73,"="&amp;"x",$B$3:$CW$3,"="&amp;"Y"),0)</f>
        <v>0</v>
      </c>
      <c r="AM108">
        <f ca="1">IFERROR(SUMIFS(INDEX($B$5:$CW$56,MATCH(AM$93,$A$5:$A$56,0),1):INDEX($B$5:$CW$56,MATCH(AM$93,$A$5:$A$56,0),100),$B73:$CW73,"="&amp;"x",$B$3:$CW$3,"="&amp;"Y"),0)</f>
        <v>0</v>
      </c>
      <c r="AN108">
        <f ca="1">IFERROR(SUMIFS(INDEX($B$5:$CW$56,MATCH(AN$93,$A$5:$A$56,0),1):INDEX($B$5:$CW$56,MATCH(AN$93,$A$5:$A$56,0),100),$B73:$CW73,"="&amp;"x",$B$3:$CW$3,"="&amp;"Y"),0)</f>
        <v>0</v>
      </c>
      <c r="AO108">
        <f ca="1">IFERROR(SUMIFS(INDEX($B$5:$CW$56,MATCH(AO$93,$A$5:$A$56,0),1):INDEX($B$5:$CW$56,MATCH(AO$93,$A$5:$A$56,0),100),$B73:$CW73,"="&amp;"x",$B$3:$CW$3,"="&amp;"Y"),0)</f>
        <v>0</v>
      </c>
      <c r="AP108">
        <f ca="1">IFERROR(SUMIFS(INDEX($B$5:$CW$56,MATCH(AP$93,$A$5:$A$56,0),1):INDEX($B$5:$CW$56,MATCH(AP$93,$A$5:$A$56,0),100),$B73:$CW73,"="&amp;"x",$B$3:$CW$3,"="&amp;"Y"),0)</f>
        <v>0</v>
      </c>
      <c r="AQ108">
        <f ca="1">IFERROR(SUMIFS(INDEX($B$5:$CW$56,MATCH(AQ$93,$A$5:$A$56,0),1):INDEX($B$5:$CW$56,MATCH(AQ$93,$A$5:$A$56,0),100),$B73:$CW73,"="&amp;"x",$B$3:$CW$3,"="&amp;"Y"),0)</f>
        <v>0</v>
      </c>
      <c r="AR108">
        <f ca="1">IFERROR(SUMIFS(INDEX($B$5:$CW$56,MATCH(AR$93,$A$5:$A$56,0),1):INDEX($B$5:$CW$56,MATCH(AR$93,$A$5:$A$56,0),100),$B73:$CW73,"="&amp;"x",$B$3:$CW$3,"="&amp;"Y"),0)</f>
        <v>0</v>
      </c>
      <c r="AS108">
        <f ca="1">IFERROR(SUMIFS(INDEX($B$5:$CW$56,MATCH(AS$93,$A$5:$A$56,0),1):INDEX($B$5:$CW$56,MATCH(AS$93,$A$5:$A$56,0),100),$B73:$CW73,"="&amp;"x",$B$3:$CW$3,"="&amp;"Y"),0)</f>
        <v>0</v>
      </c>
      <c r="AT108">
        <f ca="1">IFERROR(SUMIFS(INDEX($B$5:$CW$56,MATCH(AT$93,$A$5:$A$56,0),1):INDEX($B$5:$CW$56,MATCH(AT$93,$A$5:$A$56,0),100),$B73:$CW73,"="&amp;"x",$B$3:$CW$3,"="&amp;"Y"),0)</f>
        <v>0</v>
      </c>
      <c r="AU108">
        <f ca="1">IFERROR(SUMIFS(INDEX($B$5:$CW$56,MATCH(AU$93,$A$5:$A$56,0),1):INDEX($B$5:$CW$56,MATCH(AU$93,$A$5:$A$56,0),100),$B73:$CW73,"="&amp;"x",$B$3:$CW$3,"="&amp;"Y"),0)</f>
        <v>0</v>
      </c>
      <c r="AV108">
        <f ca="1">IFERROR(SUMIFS(INDEX($B$5:$CW$56,MATCH(AV$93,$A$5:$A$56,0),1):INDEX($B$5:$CW$56,MATCH(AV$93,$A$5:$A$56,0),100),$B73:$CW73,"="&amp;"x",$B$3:$CW$3,"="&amp;"Y"),0)</f>
        <v>0</v>
      </c>
      <c r="AW108">
        <f ca="1">IFERROR(SUMIFS(INDEX($B$5:$CW$56,MATCH(AW$93,$A$5:$A$56,0),1):INDEX($B$5:$CW$56,MATCH(AW$93,$A$5:$A$56,0),100),$B73:$CW73,"="&amp;"x",$B$3:$CW$3,"="&amp;"Y"),0)</f>
        <v>0</v>
      </c>
      <c r="AX108">
        <f ca="1">IFERROR(SUMIFS(INDEX($B$5:$CW$56,MATCH(AX$93,$A$5:$A$56,0),1):INDEX($B$5:$CW$56,MATCH(AX$93,$A$5:$A$56,0),100),$B73:$CW73,"="&amp;"x",$B$3:$CW$3,"="&amp;"Y"),0)</f>
        <v>0</v>
      </c>
      <c r="AY108">
        <f ca="1">IFERROR(SUMIFS(INDEX($B$5:$CW$56,MATCH(AY$93,$A$5:$A$56,0),1):INDEX($B$5:$CW$56,MATCH(AY$93,$A$5:$A$56,0),100),$B73:$CW73,"="&amp;"x",$B$3:$CW$3,"="&amp;"Y"),0)</f>
        <v>0</v>
      </c>
      <c r="AZ108">
        <f ca="1">IFERROR(SUMIFS(INDEX($B$5:$CW$56,MATCH(AZ$93,$A$5:$A$56,0),1):INDEX($B$5:$CW$56,MATCH(AZ$93,$A$5:$A$56,0),100),$B73:$CW73,"="&amp;"x",$B$3:$CW$3,"="&amp;"Y"),0)</f>
        <v>0</v>
      </c>
      <c r="BA108">
        <f ca="1">IFERROR(SUMIFS(INDEX($B$5:$CW$56,MATCH(BA$93,$A$5:$A$56,0),1):INDEX($B$5:$CW$56,MATCH(BA$93,$A$5:$A$56,0),100),$B73:$CW73,"="&amp;"x",$B$3:$CW$3,"="&amp;"Y"),0)</f>
        <v>0</v>
      </c>
      <c r="BC108">
        <f t="shared" ca="1" si="2"/>
        <v>0</v>
      </c>
    </row>
    <row r="109" spans="1:55" x14ac:dyDescent="0.35">
      <c r="A109" s="3" t="str">
        <f>"All "&amp;Setup!$B$15</f>
        <v>All Caseloads</v>
      </c>
      <c r="B109">
        <f ca="1">SUM(B94:B108)</f>
        <v>0</v>
      </c>
      <c r="C109">
        <f t="shared" ref="C109:BA109" ca="1" si="3">SUM(C94:C108)</f>
        <v>0</v>
      </c>
      <c r="D109">
        <f t="shared" ca="1" si="3"/>
        <v>0</v>
      </c>
      <c r="E109">
        <f t="shared" ca="1" si="3"/>
        <v>0</v>
      </c>
      <c r="F109">
        <f t="shared" ca="1" si="3"/>
        <v>0</v>
      </c>
      <c r="G109">
        <f t="shared" ca="1" si="3"/>
        <v>0</v>
      </c>
      <c r="H109">
        <f t="shared" ca="1" si="3"/>
        <v>0</v>
      </c>
      <c r="I109">
        <f t="shared" ca="1" si="3"/>
        <v>0</v>
      </c>
      <c r="J109">
        <f t="shared" ca="1" si="3"/>
        <v>0</v>
      </c>
      <c r="K109">
        <f t="shared" ca="1" si="3"/>
        <v>0</v>
      </c>
      <c r="L109">
        <f t="shared" ca="1" si="3"/>
        <v>0</v>
      </c>
      <c r="M109">
        <f t="shared" ca="1" si="3"/>
        <v>0</v>
      </c>
      <c r="N109">
        <f t="shared" ca="1" si="3"/>
        <v>0</v>
      </c>
      <c r="O109">
        <f t="shared" ca="1" si="3"/>
        <v>0</v>
      </c>
      <c r="P109">
        <f t="shared" ca="1" si="3"/>
        <v>0</v>
      </c>
      <c r="Q109">
        <f t="shared" ca="1" si="3"/>
        <v>0</v>
      </c>
      <c r="R109">
        <f t="shared" ca="1" si="3"/>
        <v>0</v>
      </c>
      <c r="S109">
        <f t="shared" ca="1" si="3"/>
        <v>0</v>
      </c>
      <c r="T109">
        <f t="shared" ca="1" si="3"/>
        <v>0</v>
      </c>
      <c r="U109">
        <f t="shared" ca="1" si="3"/>
        <v>0</v>
      </c>
      <c r="V109">
        <f t="shared" ca="1" si="3"/>
        <v>0</v>
      </c>
      <c r="W109">
        <f t="shared" ca="1" si="3"/>
        <v>0</v>
      </c>
      <c r="X109">
        <f t="shared" ca="1" si="3"/>
        <v>0</v>
      </c>
      <c r="Y109">
        <f t="shared" ca="1" si="3"/>
        <v>0</v>
      </c>
      <c r="Z109">
        <f t="shared" ca="1" si="3"/>
        <v>0</v>
      </c>
      <c r="AA109">
        <f t="shared" ca="1" si="3"/>
        <v>0</v>
      </c>
      <c r="AB109">
        <f t="shared" ca="1" si="3"/>
        <v>0</v>
      </c>
      <c r="AC109">
        <f t="shared" ca="1" si="3"/>
        <v>0</v>
      </c>
      <c r="AD109">
        <f t="shared" ca="1" si="3"/>
        <v>0</v>
      </c>
      <c r="AE109">
        <f t="shared" ca="1" si="3"/>
        <v>0</v>
      </c>
      <c r="AF109">
        <f t="shared" ca="1" si="3"/>
        <v>0</v>
      </c>
      <c r="AG109">
        <f t="shared" ca="1" si="3"/>
        <v>0</v>
      </c>
      <c r="AH109">
        <f t="shared" ca="1" si="3"/>
        <v>0</v>
      </c>
      <c r="AI109">
        <f t="shared" ca="1" si="3"/>
        <v>0</v>
      </c>
      <c r="AJ109">
        <f t="shared" ca="1" si="3"/>
        <v>0</v>
      </c>
      <c r="AK109">
        <f t="shared" ca="1" si="3"/>
        <v>0</v>
      </c>
      <c r="AL109">
        <f t="shared" ca="1" si="3"/>
        <v>0</v>
      </c>
      <c r="AM109">
        <f t="shared" ca="1" si="3"/>
        <v>0</v>
      </c>
      <c r="AN109">
        <f t="shared" ca="1" si="3"/>
        <v>0</v>
      </c>
      <c r="AO109">
        <f t="shared" ca="1" si="3"/>
        <v>0</v>
      </c>
      <c r="AP109">
        <f t="shared" ca="1" si="3"/>
        <v>0</v>
      </c>
      <c r="AQ109">
        <f t="shared" ca="1" si="3"/>
        <v>0</v>
      </c>
      <c r="AR109">
        <f t="shared" ca="1" si="3"/>
        <v>0</v>
      </c>
      <c r="AS109">
        <f t="shared" ca="1" si="3"/>
        <v>0</v>
      </c>
      <c r="AT109">
        <f t="shared" ca="1" si="3"/>
        <v>0</v>
      </c>
      <c r="AU109">
        <f t="shared" ca="1" si="3"/>
        <v>0</v>
      </c>
      <c r="AV109">
        <f t="shared" ca="1" si="3"/>
        <v>0</v>
      </c>
      <c r="AW109">
        <f t="shared" ca="1" si="3"/>
        <v>0</v>
      </c>
      <c r="AX109">
        <f t="shared" ca="1" si="3"/>
        <v>0</v>
      </c>
      <c r="AY109">
        <f t="shared" ca="1" si="3"/>
        <v>0</v>
      </c>
      <c r="AZ109">
        <f t="shared" ca="1" si="3"/>
        <v>0</v>
      </c>
      <c r="BA109">
        <f t="shared" ca="1" si="3"/>
        <v>0</v>
      </c>
    </row>
    <row r="110" spans="1:55" x14ac:dyDescent="0.35">
      <c r="A110" s="2"/>
    </row>
    <row r="111" spans="1:55" x14ac:dyDescent="0.35">
      <c r="A111" s="2" t="s">
        <v>62</v>
      </c>
      <c r="B111" s="2" t="e" cm="1" vm="2">
        <f t="array" aca="1" ref="B111" ca="1">INDEX($A$5:$A$56,COLUMN(A19),1)</f>
        <v>#VALUE!</v>
      </c>
      <c r="C111" s="2" t="e" cm="1" vm="2">
        <f t="array" aca="1" ref="C111" ca="1">INDEX($A$5:$A$56,COLUMN(B19),1)</f>
        <v>#VALUE!</v>
      </c>
      <c r="D111" s="2" t="e" cm="1" vm="2">
        <f t="array" aca="1" ref="D111" ca="1">INDEX($A$5:$A$56,COLUMN(C19),1)</f>
        <v>#VALUE!</v>
      </c>
      <c r="E111" s="2" t="e" cm="1" vm="2">
        <f t="array" aca="1" ref="E111" ca="1">INDEX($A$5:$A$56,COLUMN(D19),1)</f>
        <v>#VALUE!</v>
      </c>
      <c r="F111" s="2" t="e" cm="1" vm="2">
        <f t="array" aca="1" ref="F111" ca="1">INDEX($A$5:$A$56,COLUMN(E19),1)</f>
        <v>#VALUE!</v>
      </c>
      <c r="G111" s="2" t="e" cm="1" vm="2">
        <f t="array" aca="1" ref="G111" ca="1">INDEX($A$5:$A$56,COLUMN(F19),1)</f>
        <v>#VALUE!</v>
      </c>
      <c r="H111" s="2" t="e" cm="1" vm="2">
        <f t="array" aca="1" ref="H111" ca="1">INDEX($A$5:$A$56,COLUMN(G19),1)</f>
        <v>#VALUE!</v>
      </c>
      <c r="I111" s="2" t="e" cm="1" vm="2">
        <f t="array" aca="1" ref="I111" ca="1">INDEX($A$5:$A$56,COLUMN(H19),1)</f>
        <v>#VALUE!</v>
      </c>
      <c r="J111" s="2" t="e" cm="1" vm="2">
        <f t="array" aca="1" ref="J111" ca="1">INDEX($A$5:$A$56,COLUMN(I19),1)</f>
        <v>#VALUE!</v>
      </c>
      <c r="K111" s="2" t="e" cm="1" vm="2">
        <f t="array" aca="1" ref="K111" ca="1">INDEX($A$5:$A$56,COLUMN(J19),1)</f>
        <v>#VALUE!</v>
      </c>
      <c r="L111" s="2" t="e" cm="1" vm="2">
        <f t="array" aca="1" ref="L111" ca="1">INDEX($A$5:$A$56,COLUMN(K19),1)</f>
        <v>#VALUE!</v>
      </c>
      <c r="M111" s="2" t="e" cm="1" vm="2">
        <f t="array" aca="1" ref="M111" ca="1">INDEX($A$5:$A$56,COLUMN(L19),1)</f>
        <v>#VALUE!</v>
      </c>
      <c r="N111" s="2" t="e" cm="1" vm="2">
        <f t="array" aca="1" ref="N111" ca="1">INDEX($A$5:$A$56,COLUMN(M19),1)</f>
        <v>#VALUE!</v>
      </c>
      <c r="O111" s="2" t="e" cm="1" vm="2">
        <f t="array" aca="1" ref="O111" ca="1">INDEX($A$5:$A$56,COLUMN(N19),1)</f>
        <v>#VALUE!</v>
      </c>
      <c r="P111" s="2" t="e" cm="1" vm="2">
        <f t="array" aca="1" ref="P111" ca="1">INDEX($A$5:$A$56,COLUMN(O19),1)</f>
        <v>#VALUE!</v>
      </c>
      <c r="Q111" s="2" t="e" cm="1" vm="2">
        <f t="array" aca="1" ref="Q111" ca="1">INDEX($A$5:$A$56,COLUMN(P19),1)</f>
        <v>#VALUE!</v>
      </c>
      <c r="R111" s="2" t="e" cm="1" vm="2">
        <f t="array" aca="1" ref="R111" ca="1">INDEX($A$5:$A$56,COLUMN(Q19),1)</f>
        <v>#VALUE!</v>
      </c>
      <c r="S111" s="2" t="e" cm="1" vm="2">
        <f t="array" aca="1" ref="S111" ca="1">INDEX($A$5:$A$56,COLUMN(R19),1)</f>
        <v>#VALUE!</v>
      </c>
      <c r="T111" s="2" t="e" cm="1" vm="2">
        <f t="array" aca="1" ref="T111" ca="1">INDEX($A$5:$A$56,COLUMN(S19),1)</f>
        <v>#VALUE!</v>
      </c>
      <c r="U111" s="2" t="e" cm="1" vm="2">
        <f t="array" aca="1" ref="U111" ca="1">INDEX($A$5:$A$56,COLUMN(T19),1)</f>
        <v>#VALUE!</v>
      </c>
      <c r="V111" s="2" t="e" cm="1" vm="2">
        <f t="array" aca="1" ref="V111" ca="1">INDEX($A$5:$A$56,COLUMN(U19),1)</f>
        <v>#VALUE!</v>
      </c>
      <c r="W111" s="2" t="e" cm="1" vm="2">
        <f t="array" aca="1" ref="W111" ca="1">INDEX($A$5:$A$56,COLUMN(V19),1)</f>
        <v>#VALUE!</v>
      </c>
      <c r="X111" s="2" t="e" cm="1" vm="2">
        <f t="array" aca="1" ref="X111" ca="1">INDEX($A$5:$A$56,COLUMN(W19),1)</f>
        <v>#VALUE!</v>
      </c>
      <c r="Y111" s="2" t="e" cm="1" vm="2">
        <f t="array" aca="1" ref="Y111" ca="1">INDEX($A$5:$A$56,COLUMN(X19),1)</f>
        <v>#VALUE!</v>
      </c>
      <c r="Z111" s="2" t="e" cm="1" vm="2">
        <f t="array" aca="1" ref="Z111" ca="1">INDEX($A$5:$A$56,COLUMN(Y19),1)</f>
        <v>#VALUE!</v>
      </c>
      <c r="AA111" s="2" t="e" cm="1" vm="2">
        <f t="array" aca="1" ref="AA111" ca="1">INDEX($A$5:$A$56,COLUMN(Z19),1)</f>
        <v>#VALUE!</v>
      </c>
      <c r="AB111" s="2" t="e" cm="1" vm="2">
        <f t="array" aca="1" ref="AB111" ca="1">INDEX($A$5:$A$56,COLUMN(AA19),1)</f>
        <v>#VALUE!</v>
      </c>
      <c r="AC111" s="2" t="e" cm="1" vm="2">
        <f t="array" aca="1" ref="AC111" ca="1">INDEX($A$5:$A$56,COLUMN(AB19),1)</f>
        <v>#VALUE!</v>
      </c>
      <c r="AD111" s="2" t="e" cm="1" vm="2">
        <f t="array" aca="1" ref="AD111" ca="1">INDEX($A$5:$A$56,COLUMN(AC19),1)</f>
        <v>#VALUE!</v>
      </c>
      <c r="AE111" s="2" t="e" cm="1" vm="2">
        <f t="array" aca="1" ref="AE111" ca="1">INDEX($A$5:$A$56,COLUMN(AD19),1)</f>
        <v>#VALUE!</v>
      </c>
      <c r="AF111" s="2" t="e" cm="1" vm="2">
        <f t="array" aca="1" ref="AF111" ca="1">INDEX($A$5:$A$56,COLUMN(AE19),1)</f>
        <v>#VALUE!</v>
      </c>
      <c r="AG111" s="2" t="e" cm="1" vm="2">
        <f t="array" aca="1" ref="AG111" ca="1">INDEX($A$5:$A$56,COLUMN(AF19),1)</f>
        <v>#VALUE!</v>
      </c>
      <c r="AH111" s="2" t="e" cm="1" vm="2">
        <f t="array" aca="1" ref="AH111" ca="1">INDEX($A$5:$A$56,COLUMN(AG19),1)</f>
        <v>#VALUE!</v>
      </c>
      <c r="AI111" s="2" t="e" cm="1" vm="2">
        <f t="array" aca="1" ref="AI111" ca="1">INDEX($A$5:$A$56,COLUMN(AH19),1)</f>
        <v>#VALUE!</v>
      </c>
      <c r="AJ111" s="2" t="e" cm="1" vm="2">
        <f t="array" aca="1" ref="AJ111" ca="1">INDEX($A$5:$A$56,COLUMN(AI19),1)</f>
        <v>#VALUE!</v>
      </c>
      <c r="AK111" s="2" t="e" cm="1" vm="2">
        <f t="array" aca="1" ref="AK111" ca="1">INDEX($A$5:$A$56,COLUMN(AJ19),1)</f>
        <v>#VALUE!</v>
      </c>
      <c r="AL111" s="2" t="e" cm="1" vm="2">
        <f t="array" aca="1" ref="AL111" ca="1">INDEX($A$5:$A$56,COLUMN(AK19),1)</f>
        <v>#VALUE!</v>
      </c>
      <c r="AM111" s="2" t="e" cm="1" vm="2">
        <f t="array" aca="1" ref="AM111" ca="1">INDEX($A$5:$A$56,COLUMN(AL19),1)</f>
        <v>#VALUE!</v>
      </c>
      <c r="AN111" s="2" t="e" cm="1" vm="2">
        <f t="array" aca="1" ref="AN111" ca="1">INDEX($A$5:$A$56,COLUMN(AM19),1)</f>
        <v>#VALUE!</v>
      </c>
      <c r="AO111" s="2" t="e" cm="1" vm="2">
        <f t="array" aca="1" ref="AO111" ca="1">INDEX($A$5:$A$56,COLUMN(AN19),1)</f>
        <v>#VALUE!</v>
      </c>
      <c r="AP111" s="2" t="e" cm="1" vm="2">
        <f t="array" aca="1" ref="AP111" ca="1">INDEX($A$5:$A$56,COLUMN(AO19),1)</f>
        <v>#VALUE!</v>
      </c>
      <c r="AQ111" s="2" t="e" cm="1" vm="2">
        <f t="array" aca="1" ref="AQ111" ca="1">INDEX($A$5:$A$56,COLUMN(AP19),1)</f>
        <v>#VALUE!</v>
      </c>
      <c r="AR111" s="2" t="e" cm="1" vm="2">
        <f t="array" aca="1" ref="AR111" ca="1">INDEX($A$5:$A$56,COLUMN(AQ19),1)</f>
        <v>#VALUE!</v>
      </c>
      <c r="AS111" s="2" t="e" cm="1" vm="2">
        <f t="array" aca="1" ref="AS111" ca="1">INDEX($A$5:$A$56,COLUMN(AR19),1)</f>
        <v>#VALUE!</v>
      </c>
      <c r="AT111" s="2" t="e" cm="1" vm="2">
        <f t="array" aca="1" ref="AT111" ca="1">INDEX($A$5:$A$56,COLUMN(AS19),1)</f>
        <v>#VALUE!</v>
      </c>
      <c r="AU111" s="2" t="e" cm="1" vm="2">
        <f t="array" aca="1" ref="AU111" ca="1">INDEX($A$5:$A$56,COLUMN(AT19),1)</f>
        <v>#VALUE!</v>
      </c>
      <c r="AV111" s="2" t="e" cm="1" vm="2">
        <f t="array" aca="1" ref="AV111" ca="1">INDEX($A$5:$A$56,COLUMN(AU19),1)</f>
        <v>#VALUE!</v>
      </c>
      <c r="AW111" s="2" t="e" cm="1" vm="2">
        <f t="array" aca="1" ref="AW111" ca="1">INDEX($A$5:$A$56,COLUMN(AV19),1)</f>
        <v>#VALUE!</v>
      </c>
      <c r="AX111" s="2" t="e" cm="1" vm="2">
        <f t="array" aca="1" ref="AX111" ca="1">INDEX($A$5:$A$56,COLUMN(AW19),1)</f>
        <v>#VALUE!</v>
      </c>
      <c r="AY111" s="2" t="e" cm="1" vm="2">
        <f t="array" aca="1" ref="AY111" ca="1">INDEX($A$5:$A$56,COLUMN(AX19),1)</f>
        <v>#VALUE!</v>
      </c>
      <c r="AZ111" s="2" t="e" cm="1" vm="2">
        <f t="array" aca="1" ref="AZ111" ca="1">INDEX($A$5:$A$56,COLUMN(AY19),1)</f>
        <v>#VALUE!</v>
      </c>
      <c r="BA111" s="2" t="e" cm="1" vm="2">
        <f t="array" aca="1" ref="BA111" ca="1">INDEX($A$5:$A$56,COLUMN(AZ19),1)</f>
        <v>#VALUE!</v>
      </c>
      <c r="BC111" t="s">
        <v>125</v>
      </c>
    </row>
    <row r="112" spans="1:55" x14ac:dyDescent="0.35">
      <c r="A112" s="2" t="str" cm="1">
        <f t="array" ref="A112">INDEX('Data Validation (Hide)'!$B$2:$B$16,ROW(A1),1)</f>
        <v>Caseload 1</v>
      </c>
      <c r="B112">
        <f t="shared" ref="B112:AG112" ca="1" si="4">SUM(B76,B94)</f>
        <v>0</v>
      </c>
      <c r="C112">
        <f t="shared" ca="1" si="4"/>
        <v>0</v>
      </c>
      <c r="D112">
        <f t="shared" ca="1" si="4"/>
        <v>0</v>
      </c>
      <c r="E112">
        <f t="shared" ca="1" si="4"/>
        <v>0</v>
      </c>
      <c r="F112">
        <f t="shared" ca="1" si="4"/>
        <v>0</v>
      </c>
      <c r="G112">
        <f t="shared" ca="1" si="4"/>
        <v>0</v>
      </c>
      <c r="H112">
        <f t="shared" ca="1" si="4"/>
        <v>0</v>
      </c>
      <c r="I112">
        <f t="shared" ca="1" si="4"/>
        <v>0</v>
      </c>
      <c r="J112">
        <f t="shared" ca="1" si="4"/>
        <v>0</v>
      </c>
      <c r="K112">
        <f t="shared" ca="1" si="4"/>
        <v>0</v>
      </c>
      <c r="L112">
        <f t="shared" ca="1" si="4"/>
        <v>0</v>
      </c>
      <c r="M112">
        <f t="shared" ca="1" si="4"/>
        <v>0</v>
      </c>
      <c r="N112">
        <f t="shared" ca="1" si="4"/>
        <v>0</v>
      </c>
      <c r="O112">
        <f t="shared" ca="1" si="4"/>
        <v>0</v>
      </c>
      <c r="P112">
        <f t="shared" ca="1" si="4"/>
        <v>0</v>
      </c>
      <c r="Q112">
        <f t="shared" ca="1" si="4"/>
        <v>0</v>
      </c>
      <c r="R112">
        <f t="shared" ca="1" si="4"/>
        <v>0</v>
      </c>
      <c r="S112">
        <f t="shared" ca="1" si="4"/>
        <v>0</v>
      </c>
      <c r="T112">
        <f t="shared" ca="1" si="4"/>
        <v>0</v>
      </c>
      <c r="U112">
        <f t="shared" ca="1" si="4"/>
        <v>0</v>
      </c>
      <c r="V112">
        <f t="shared" ca="1" si="4"/>
        <v>0</v>
      </c>
      <c r="W112">
        <f t="shared" ca="1" si="4"/>
        <v>0</v>
      </c>
      <c r="X112">
        <f t="shared" ca="1" si="4"/>
        <v>0</v>
      </c>
      <c r="Y112">
        <f t="shared" ca="1" si="4"/>
        <v>0</v>
      </c>
      <c r="Z112">
        <f t="shared" ca="1" si="4"/>
        <v>0</v>
      </c>
      <c r="AA112">
        <f t="shared" ca="1" si="4"/>
        <v>0</v>
      </c>
      <c r="AB112">
        <f t="shared" ca="1" si="4"/>
        <v>0</v>
      </c>
      <c r="AC112">
        <f t="shared" ca="1" si="4"/>
        <v>0</v>
      </c>
      <c r="AD112">
        <f t="shared" ca="1" si="4"/>
        <v>0</v>
      </c>
      <c r="AE112">
        <f t="shared" ca="1" si="4"/>
        <v>0</v>
      </c>
      <c r="AF112">
        <f t="shared" ca="1" si="4"/>
        <v>0</v>
      </c>
      <c r="AG112">
        <f t="shared" ca="1" si="4"/>
        <v>0</v>
      </c>
      <c r="AH112">
        <f t="shared" ref="AH112:BA112" ca="1" si="5">SUM(AH76,AH94)</f>
        <v>0</v>
      </c>
      <c r="AI112">
        <f t="shared" ca="1" si="5"/>
        <v>0</v>
      </c>
      <c r="AJ112">
        <f t="shared" ca="1" si="5"/>
        <v>0</v>
      </c>
      <c r="AK112">
        <f t="shared" ca="1" si="5"/>
        <v>0</v>
      </c>
      <c r="AL112">
        <f t="shared" ca="1" si="5"/>
        <v>0</v>
      </c>
      <c r="AM112">
        <f t="shared" ca="1" si="5"/>
        <v>0</v>
      </c>
      <c r="AN112">
        <f t="shared" ca="1" si="5"/>
        <v>0</v>
      </c>
      <c r="AO112">
        <f t="shared" ca="1" si="5"/>
        <v>0</v>
      </c>
      <c r="AP112">
        <f t="shared" ca="1" si="5"/>
        <v>0</v>
      </c>
      <c r="AQ112">
        <f t="shared" ca="1" si="5"/>
        <v>0</v>
      </c>
      <c r="AR112">
        <f t="shared" ca="1" si="5"/>
        <v>0</v>
      </c>
      <c r="AS112">
        <f t="shared" ca="1" si="5"/>
        <v>0</v>
      </c>
      <c r="AT112">
        <f t="shared" ca="1" si="5"/>
        <v>0</v>
      </c>
      <c r="AU112">
        <f t="shared" ca="1" si="5"/>
        <v>0</v>
      </c>
      <c r="AV112">
        <f t="shared" ca="1" si="5"/>
        <v>0</v>
      </c>
      <c r="AW112">
        <f t="shared" ca="1" si="5"/>
        <v>0</v>
      </c>
      <c r="AX112">
        <f t="shared" ca="1" si="5"/>
        <v>0</v>
      </c>
      <c r="AY112">
        <f t="shared" ca="1" si="5"/>
        <v>0</v>
      </c>
      <c r="AZ112">
        <f t="shared" ca="1" si="5"/>
        <v>0</v>
      </c>
      <c r="BA112">
        <f t="shared" ca="1" si="5"/>
        <v>0</v>
      </c>
      <c r="BC112">
        <f ca="1">AVERAGE(B112:BA112)</f>
        <v>0</v>
      </c>
    </row>
    <row r="113" spans="1:55" x14ac:dyDescent="0.35">
      <c r="A113" s="2" t="str" cm="1">
        <f t="array" ref="A113">INDEX('Data Validation (Hide)'!$B$2:$B$16,ROW(A2),1)</f>
        <v>Caseload 2</v>
      </c>
      <c r="B113">
        <f t="shared" ref="B113:AG113" ca="1" si="6">SUM(B77,B95)</f>
        <v>0</v>
      </c>
      <c r="C113">
        <f t="shared" ca="1" si="6"/>
        <v>0</v>
      </c>
      <c r="D113">
        <f t="shared" ca="1" si="6"/>
        <v>0</v>
      </c>
      <c r="E113">
        <f t="shared" ca="1" si="6"/>
        <v>0</v>
      </c>
      <c r="F113">
        <f t="shared" ca="1" si="6"/>
        <v>0</v>
      </c>
      <c r="G113">
        <f t="shared" ca="1" si="6"/>
        <v>0</v>
      </c>
      <c r="H113">
        <f t="shared" ca="1" si="6"/>
        <v>0</v>
      </c>
      <c r="I113">
        <f t="shared" ca="1" si="6"/>
        <v>0</v>
      </c>
      <c r="J113">
        <f t="shared" ca="1" si="6"/>
        <v>0</v>
      </c>
      <c r="K113">
        <f t="shared" ca="1" si="6"/>
        <v>0</v>
      </c>
      <c r="L113">
        <f t="shared" ca="1" si="6"/>
        <v>0</v>
      </c>
      <c r="M113">
        <f t="shared" ca="1" si="6"/>
        <v>0</v>
      </c>
      <c r="N113">
        <f t="shared" ca="1" si="6"/>
        <v>0</v>
      </c>
      <c r="O113">
        <f t="shared" ca="1" si="6"/>
        <v>0</v>
      </c>
      <c r="P113">
        <f t="shared" ca="1" si="6"/>
        <v>0</v>
      </c>
      <c r="Q113">
        <f t="shared" ca="1" si="6"/>
        <v>0</v>
      </c>
      <c r="R113">
        <f t="shared" ca="1" si="6"/>
        <v>0</v>
      </c>
      <c r="S113">
        <f t="shared" ca="1" si="6"/>
        <v>0</v>
      </c>
      <c r="T113">
        <f t="shared" ca="1" si="6"/>
        <v>0</v>
      </c>
      <c r="U113">
        <f t="shared" ca="1" si="6"/>
        <v>0</v>
      </c>
      <c r="V113">
        <f t="shared" ca="1" si="6"/>
        <v>0</v>
      </c>
      <c r="W113">
        <f t="shared" ca="1" si="6"/>
        <v>0</v>
      </c>
      <c r="X113">
        <f t="shared" ca="1" si="6"/>
        <v>0</v>
      </c>
      <c r="Y113">
        <f t="shared" ca="1" si="6"/>
        <v>0</v>
      </c>
      <c r="Z113">
        <f t="shared" ca="1" si="6"/>
        <v>0</v>
      </c>
      <c r="AA113">
        <f t="shared" ca="1" si="6"/>
        <v>0</v>
      </c>
      <c r="AB113">
        <f t="shared" ca="1" si="6"/>
        <v>0</v>
      </c>
      <c r="AC113">
        <f t="shared" ca="1" si="6"/>
        <v>0</v>
      </c>
      <c r="AD113">
        <f t="shared" ca="1" si="6"/>
        <v>0</v>
      </c>
      <c r="AE113">
        <f t="shared" ca="1" si="6"/>
        <v>0</v>
      </c>
      <c r="AF113">
        <f t="shared" ca="1" si="6"/>
        <v>0</v>
      </c>
      <c r="AG113">
        <f t="shared" ca="1" si="6"/>
        <v>0</v>
      </c>
      <c r="AH113">
        <f t="shared" ref="AH113:BA113" ca="1" si="7">SUM(AH77,AH95)</f>
        <v>0</v>
      </c>
      <c r="AI113">
        <f t="shared" ca="1" si="7"/>
        <v>0</v>
      </c>
      <c r="AJ113">
        <f t="shared" ca="1" si="7"/>
        <v>0</v>
      </c>
      <c r="AK113">
        <f t="shared" ca="1" si="7"/>
        <v>0</v>
      </c>
      <c r="AL113">
        <f t="shared" ca="1" si="7"/>
        <v>0</v>
      </c>
      <c r="AM113">
        <f t="shared" ca="1" si="7"/>
        <v>0</v>
      </c>
      <c r="AN113">
        <f t="shared" ca="1" si="7"/>
        <v>0</v>
      </c>
      <c r="AO113">
        <f t="shared" ca="1" si="7"/>
        <v>0</v>
      </c>
      <c r="AP113">
        <f t="shared" ca="1" si="7"/>
        <v>0</v>
      </c>
      <c r="AQ113">
        <f t="shared" ca="1" si="7"/>
        <v>0</v>
      </c>
      <c r="AR113">
        <f t="shared" ca="1" si="7"/>
        <v>0</v>
      </c>
      <c r="AS113">
        <f t="shared" ca="1" si="7"/>
        <v>0</v>
      </c>
      <c r="AT113">
        <f t="shared" ca="1" si="7"/>
        <v>0</v>
      </c>
      <c r="AU113">
        <f t="shared" ca="1" si="7"/>
        <v>0</v>
      </c>
      <c r="AV113">
        <f t="shared" ca="1" si="7"/>
        <v>0</v>
      </c>
      <c r="AW113">
        <f t="shared" ca="1" si="7"/>
        <v>0</v>
      </c>
      <c r="AX113">
        <f t="shared" ca="1" si="7"/>
        <v>0</v>
      </c>
      <c r="AY113">
        <f t="shared" ca="1" si="7"/>
        <v>0</v>
      </c>
      <c r="AZ113">
        <f t="shared" ca="1" si="7"/>
        <v>0</v>
      </c>
      <c r="BA113">
        <f t="shared" ca="1" si="7"/>
        <v>0</v>
      </c>
      <c r="BC113">
        <f t="shared" ref="BC113:BC126" ca="1" si="8">AVERAGE(B113:BA113)</f>
        <v>0</v>
      </c>
    </row>
    <row r="114" spans="1:55" x14ac:dyDescent="0.35">
      <c r="A114" s="2" t="str" cm="1">
        <f t="array" ref="A114">INDEX('Data Validation (Hide)'!$B$2:$B$16,ROW(A3),1)</f>
        <v>Caseload 3</v>
      </c>
      <c r="B114">
        <f t="shared" ref="B114:AG114" ca="1" si="9">SUM(B78,B96)</f>
        <v>0</v>
      </c>
      <c r="C114">
        <f t="shared" ca="1" si="9"/>
        <v>0</v>
      </c>
      <c r="D114">
        <f t="shared" ca="1" si="9"/>
        <v>0</v>
      </c>
      <c r="E114">
        <f t="shared" ca="1" si="9"/>
        <v>0</v>
      </c>
      <c r="F114">
        <f t="shared" ca="1" si="9"/>
        <v>0</v>
      </c>
      <c r="G114">
        <f t="shared" ca="1" si="9"/>
        <v>0</v>
      </c>
      <c r="H114">
        <f t="shared" ca="1" si="9"/>
        <v>0</v>
      </c>
      <c r="I114">
        <f t="shared" ca="1" si="9"/>
        <v>0</v>
      </c>
      <c r="J114">
        <f t="shared" ca="1" si="9"/>
        <v>0</v>
      </c>
      <c r="K114">
        <f t="shared" ca="1" si="9"/>
        <v>0</v>
      </c>
      <c r="L114">
        <f t="shared" ca="1" si="9"/>
        <v>0</v>
      </c>
      <c r="M114">
        <f t="shared" ca="1" si="9"/>
        <v>0</v>
      </c>
      <c r="N114">
        <f t="shared" ca="1" si="9"/>
        <v>0</v>
      </c>
      <c r="O114">
        <f t="shared" ca="1" si="9"/>
        <v>0</v>
      </c>
      <c r="P114">
        <f t="shared" ca="1" si="9"/>
        <v>0</v>
      </c>
      <c r="Q114">
        <f t="shared" ca="1" si="9"/>
        <v>0</v>
      </c>
      <c r="R114">
        <f t="shared" ca="1" si="9"/>
        <v>0</v>
      </c>
      <c r="S114">
        <f t="shared" ca="1" si="9"/>
        <v>0</v>
      </c>
      <c r="T114">
        <f t="shared" ca="1" si="9"/>
        <v>0</v>
      </c>
      <c r="U114">
        <f t="shared" ca="1" si="9"/>
        <v>0</v>
      </c>
      <c r="V114">
        <f t="shared" ca="1" si="9"/>
        <v>0</v>
      </c>
      <c r="W114">
        <f t="shared" ca="1" si="9"/>
        <v>0</v>
      </c>
      <c r="X114">
        <f t="shared" ca="1" si="9"/>
        <v>0</v>
      </c>
      <c r="Y114">
        <f t="shared" ca="1" si="9"/>
        <v>0</v>
      </c>
      <c r="Z114">
        <f t="shared" ca="1" si="9"/>
        <v>0</v>
      </c>
      <c r="AA114">
        <f t="shared" ca="1" si="9"/>
        <v>0</v>
      </c>
      <c r="AB114">
        <f t="shared" ca="1" si="9"/>
        <v>0</v>
      </c>
      <c r="AC114">
        <f t="shared" ca="1" si="9"/>
        <v>0</v>
      </c>
      <c r="AD114">
        <f t="shared" ca="1" si="9"/>
        <v>0</v>
      </c>
      <c r="AE114">
        <f t="shared" ca="1" si="9"/>
        <v>0</v>
      </c>
      <c r="AF114">
        <f t="shared" ca="1" si="9"/>
        <v>0</v>
      </c>
      <c r="AG114">
        <f t="shared" ca="1" si="9"/>
        <v>0</v>
      </c>
      <c r="AH114">
        <f t="shared" ref="AH114:BA114" ca="1" si="10">SUM(AH78,AH96)</f>
        <v>0</v>
      </c>
      <c r="AI114">
        <f t="shared" ca="1" si="10"/>
        <v>0</v>
      </c>
      <c r="AJ114">
        <f t="shared" ca="1" si="10"/>
        <v>0</v>
      </c>
      <c r="AK114">
        <f t="shared" ca="1" si="10"/>
        <v>0</v>
      </c>
      <c r="AL114">
        <f t="shared" ca="1" si="10"/>
        <v>0</v>
      </c>
      <c r="AM114">
        <f t="shared" ca="1" si="10"/>
        <v>0</v>
      </c>
      <c r="AN114">
        <f t="shared" ca="1" si="10"/>
        <v>0</v>
      </c>
      <c r="AO114">
        <f t="shared" ca="1" si="10"/>
        <v>0</v>
      </c>
      <c r="AP114">
        <f t="shared" ca="1" si="10"/>
        <v>0</v>
      </c>
      <c r="AQ114">
        <f t="shared" ca="1" si="10"/>
        <v>0</v>
      </c>
      <c r="AR114">
        <f t="shared" ca="1" si="10"/>
        <v>0</v>
      </c>
      <c r="AS114">
        <f t="shared" ca="1" si="10"/>
        <v>0</v>
      </c>
      <c r="AT114">
        <f t="shared" ca="1" si="10"/>
        <v>0</v>
      </c>
      <c r="AU114">
        <f t="shared" ca="1" si="10"/>
        <v>0</v>
      </c>
      <c r="AV114">
        <f t="shared" ca="1" si="10"/>
        <v>0</v>
      </c>
      <c r="AW114">
        <f t="shared" ca="1" si="10"/>
        <v>0</v>
      </c>
      <c r="AX114">
        <f t="shared" ca="1" si="10"/>
        <v>0</v>
      </c>
      <c r="AY114">
        <f t="shared" ca="1" si="10"/>
        <v>0</v>
      </c>
      <c r="AZ114">
        <f t="shared" ca="1" si="10"/>
        <v>0</v>
      </c>
      <c r="BA114">
        <f t="shared" ca="1" si="10"/>
        <v>0</v>
      </c>
      <c r="BC114">
        <f t="shared" ca="1" si="8"/>
        <v>0</v>
      </c>
    </row>
    <row r="115" spans="1:55" x14ac:dyDescent="0.35">
      <c r="A115" s="2" t="str" cm="1">
        <f t="array" ref="A115">INDEX('Data Validation (Hide)'!$B$2:$B$16,ROW(A4),1)</f>
        <v>Caseload 4</v>
      </c>
      <c r="B115">
        <f t="shared" ref="B115:AG115" ca="1" si="11">SUM(B79,B97)</f>
        <v>0</v>
      </c>
      <c r="C115">
        <f t="shared" ca="1" si="11"/>
        <v>0</v>
      </c>
      <c r="D115">
        <f t="shared" ca="1" si="11"/>
        <v>0</v>
      </c>
      <c r="E115">
        <f t="shared" ca="1" si="11"/>
        <v>0</v>
      </c>
      <c r="F115">
        <f t="shared" ca="1" si="11"/>
        <v>0</v>
      </c>
      <c r="G115">
        <f t="shared" ca="1" si="11"/>
        <v>0</v>
      </c>
      <c r="H115">
        <f t="shared" ca="1" si="11"/>
        <v>0</v>
      </c>
      <c r="I115">
        <f t="shared" ca="1" si="11"/>
        <v>0</v>
      </c>
      <c r="J115">
        <f t="shared" ca="1" si="11"/>
        <v>0</v>
      </c>
      <c r="K115">
        <f t="shared" ca="1" si="11"/>
        <v>0</v>
      </c>
      <c r="L115">
        <f t="shared" ca="1" si="11"/>
        <v>0</v>
      </c>
      <c r="M115">
        <f t="shared" ca="1" si="11"/>
        <v>0</v>
      </c>
      <c r="N115">
        <f t="shared" ca="1" si="11"/>
        <v>0</v>
      </c>
      <c r="O115">
        <f t="shared" ca="1" si="11"/>
        <v>0</v>
      </c>
      <c r="P115">
        <f t="shared" ca="1" si="11"/>
        <v>0</v>
      </c>
      <c r="Q115">
        <f t="shared" ca="1" si="11"/>
        <v>0</v>
      </c>
      <c r="R115">
        <f t="shared" ca="1" si="11"/>
        <v>0</v>
      </c>
      <c r="S115">
        <f t="shared" ca="1" si="11"/>
        <v>0</v>
      </c>
      <c r="T115">
        <f t="shared" ca="1" si="11"/>
        <v>0</v>
      </c>
      <c r="U115">
        <f t="shared" ca="1" si="11"/>
        <v>0</v>
      </c>
      <c r="V115">
        <f t="shared" ca="1" si="11"/>
        <v>0</v>
      </c>
      <c r="W115">
        <f t="shared" ca="1" si="11"/>
        <v>0</v>
      </c>
      <c r="X115">
        <f t="shared" ca="1" si="11"/>
        <v>0</v>
      </c>
      <c r="Y115">
        <f t="shared" ca="1" si="11"/>
        <v>0</v>
      </c>
      <c r="Z115">
        <f t="shared" ca="1" si="11"/>
        <v>0</v>
      </c>
      <c r="AA115">
        <f t="shared" ca="1" si="11"/>
        <v>0</v>
      </c>
      <c r="AB115">
        <f t="shared" ca="1" si="11"/>
        <v>0</v>
      </c>
      <c r="AC115">
        <f t="shared" ca="1" si="11"/>
        <v>0</v>
      </c>
      <c r="AD115">
        <f t="shared" ca="1" si="11"/>
        <v>0</v>
      </c>
      <c r="AE115">
        <f t="shared" ca="1" si="11"/>
        <v>0</v>
      </c>
      <c r="AF115">
        <f t="shared" ca="1" si="11"/>
        <v>0</v>
      </c>
      <c r="AG115">
        <f t="shared" ca="1" si="11"/>
        <v>0</v>
      </c>
      <c r="AH115">
        <f t="shared" ref="AH115:BA115" ca="1" si="12">SUM(AH79,AH97)</f>
        <v>0</v>
      </c>
      <c r="AI115">
        <f t="shared" ca="1" si="12"/>
        <v>0</v>
      </c>
      <c r="AJ115">
        <f t="shared" ca="1" si="12"/>
        <v>0</v>
      </c>
      <c r="AK115">
        <f t="shared" ca="1" si="12"/>
        <v>0</v>
      </c>
      <c r="AL115">
        <f t="shared" ca="1" si="12"/>
        <v>0</v>
      </c>
      <c r="AM115">
        <f t="shared" ca="1" si="12"/>
        <v>0</v>
      </c>
      <c r="AN115">
        <f t="shared" ca="1" si="12"/>
        <v>0</v>
      </c>
      <c r="AO115">
        <f t="shared" ca="1" si="12"/>
        <v>0</v>
      </c>
      <c r="AP115">
        <f t="shared" ca="1" si="12"/>
        <v>0</v>
      </c>
      <c r="AQ115">
        <f t="shared" ca="1" si="12"/>
        <v>0</v>
      </c>
      <c r="AR115">
        <f t="shared" ca="1" si="12"/>
        <v>0</v>
      </c>
      <c r="AS115">
        <f t="shared" ca="1" si="12"/>
        <v>0</v>
      </c>
      <c r="AT115">
        <f t="shared" ca="1" si="12"/>
        <v>0</v>
      </c>
      <c r="AU115">
        <f t="shared" ca="1" si="12"/>
        <v>0</v>
      </c>
      <c r="AV115">
        <f t="shared" ca="1" si="12"/>
        <v>0</v>
      </c>
      <c r="AW115">
        <f t="shared" ca="1" si="12"/>
        <v>0</v>
      </c>
      <c r="AX115">
        <f t="shared" ca="1" si="12"/>
        <v>0</v>
      </c>
      <c r="AY115">
        <f t="shared" ca="1" si="12"/>
        <v>0</v>
      </c>
      <c r="AZ115">
        <f t="shared" ca="1" si="12"/>
        <v>0</v>
      </c>
      <c r="BA115">
        <f t="shared" ca="1" si="12"/>
        <v>0</v>
      </c>
      <c r="BC115">
        <f t="shared" ca="1" si="8"/>
        <v>0</v>
      </c>
    </row>
    <row r="116" spans="1:55" x14ac:dyDescent="0.35">
      <c r="A116" s="2" t="str" cm="1">
        <f t="array" ref="A116">INDEX('Data Validation (Hide)'!$B$2:$B$16,ROW(A5),1)</f>
        <v>Caseload 5</v>
      </c>
      <c r="B116">
        <f t="shared" ref="B116:AG116" ca="1" si="13">SUM(B80,B98)</f>
        <v>0</v>
      </c>
      <c r="C116">
        <f t="shared" ca="1" si="13"/>
        <v>0</v>
      </c>
      <c r="D116">
        <f t="shared" ca="1" si="13"/>
        <v>0</v>
      </c>
      <c r="E116">
        <f t="shared" ca="1" si="13"/>
        <v>0</v>
      </c>
      <c r="F116">
        <f t="shared" ca="1" si="13"/>
        <v>0</v>
      </c>
      <c r="G116">
        <f t="shared" ca="1" si="13"/>
        <v>0</v>
      </c>
      <c r="H116">
        <f t="shared" ca="1" si="13"/>
        <v>0</v>
      </c>
      <c r="I116">
        <f t="shared" ca="1" si="13"/>
        <v>0</v>
      </c>
      <c r="J116">
        <f t="shared" ca="1" si="13"/>
        <v>0</v>
      </c>
      <c r="K116">
        <f t="shared" ca="1" si="13"/>
        <v>0</v>
      </c>
      <c r="L116">
        <f t="shared" ca="1" si="13"/>
        <v>0</v>
      </c>
      <c r="M116">
        <f t="shared" ca="1" si="13"/>
        <v>0</v>
      </c>
      <c r="N116">
        <f t="shared" ca="1" si="13"/>
        <v>0</v>
      </c>
      <c r="O116">
        <f t="shared" ca="1" si="13"/>
        <v>0</v>
      </c>
      <c r="P116">
        <f t="shared" ca="1" si="13"/>
        <v>0</v>
      </c>
      <c r="Q116">
        <f t="shared" ca="1" si="13"/>
        <v>0</v>
      </c>
      <c r="R116">
        <f t="shared" ca="1" si="13"/>
        <v>0</v>
      </c>
      <c r="S116">
        <f t="shared" ca="1" si="13"/>
        <v>0</v>
      </c>
      <c r="T116">
        <f t="shared" ca="1" si="13"/>
        <v>0</v>
      </c>
      <c r="U116">
        <f t="shared" ca="1" si="13"/>
        <v>0</v>
      </c>
      <c r="V116">
        <f t="shared" ca="1" si="13"/>
        <v>0</v>
      </c>
      <c r="W116">
        <f t="shared" ca="1" si="13"/>
        <v>0</v>
      </c>
      <c r="X116">
        <f t="shared" ca="1" si="13"/>
        <v>0</v>
      </c>
      <c r="Y116">
        <f t="shared" ca="1" si="13"/>
        <v>0</v>
      </c>
      <c r="Z116">
        <f t="shared" ca="1" si="13"/>
        <v>0</v>
      </c>
      <c r="AA116">
        <f t="shared" ca="1" si="13"/>
        <v>0</v>
      </c>
      <c r="AB116">
        <f t="shared" ca="1" si="13"/>
        <v>0</v>
      </c>
      <c r="AC116">
        <f t="shared" ca="1" si="13"/>
        <v>0</v>
      </c>
      <c r="AD116">
        <f t="shared" ca="1" si="13"/>
        <v>0</v>
      </c>
      <c r="AE116">
        <f t="shared" ca="1" si="13"/>
        <v>0</v>
      </c>
      <c r="AF116">
        <f t="shared" ca="1" si="13"/>
        <v>0</v>
      </c>
      <c r="AG116">
        <f t="shared" ca="1" si="13"/>
        <v>0</v>
      </c>
      <c r="AH116">
        <f t="shared" ref="AH116:BA116" ca="1" si="14">SUM(AH80,AH98)</f>
        <v>0</v>
      </c>
      <c r="AI116">
        <f t="shared" ca="1" si="14"/>
        <v>0</v>
      </c>
      <c r="AJ116">
        <f t="shared" ca="1" si="14"/>
        <v>0</v>
      </c>
      <c r="AK116">
        <f t="shared" ca="1" si="14"/>
        <v>0</v>
      </c>
      <c r="AL116">
        <f t="shared" ca="1" si="14"/>
        <v>0</v>
      </c>
      <c r="AM116">
        <f t="shared" ca="1" si="14"/>
        <v>0</v>
      </c>
      <c r="AN116">
        <f t="shared" ca="1" si="14"/>
        <v>0</v>
      </c>
      <c r="AO116">
        <f t="shared" ca="1" si="14"/>
        <v>0</v>
      </c>
      <c r="AP116">
        <f t="shared" ca="1" si="14"/>
        <v>0</v>
      </c>
      <c r="AQ116">
        <f t="shared" ca="1" si="14"/>
        <v>0</v>
      </c>
      <c r="AR116">
        <f t="shared" ca="1" si="14"/>
        <v>0</v>
      </c>
      <c r="AS116">
        <f t="shared" ca="1" si="14"/>
        <v>0</v>
      </c>
      <c r="AT116">
        <f t="shared" ca="1" si="14"/>
        <v>0</v>
      </c>
      <c r="AU116">
        <f t="shared" ca="1" si="14"/>
        <v>0</v>
      </c>
      <c r="AV116">
        <f t="shared" ca="1" si="14"/>
        <v>0</v>
      </c>
      <c r="AW116">
        <f t="shared" ca="1" si="14"/>
        <v>0</v>
      </c>
      <c r="AX116">
        <f t="shared" ca="1" si="14"/>
        <v>0</v>
      </c>
      <c r="AY116">
        <f t="shared" ca="1" si="14"/>
        <v>0</v>
      </c>
      <c r="AZ116">
        <f t="shared" ca="1" si="14"/>
        <v>0</v>
      </c>
      <c r="BA116">
        <f t="shared" ca="1" si="14"/>
        <v>0</v>
      </c>
      <c r="BC116">
        <f t="shared" ca="1" si="8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ca="1" si="15">SUM(B81,B99)</f>
        <v>0</v>
      </c>
      <c r="C117">
        <f t="shared" ca="1" si="15"/>
        <v>0</v>
      </c>
      <c r="D117">
        <f t="shared" ca="1" si="15"/>
        <v>0</v>
      </c>
      <c r="E117">
        <f t="shared" ca="1" si="15"/>
        <v>0</v>
      </c>
      <c r="F117">
        <f t="shared" ca="1" si="15"/>
        <v>0</v>
      </c>
      <c r="G117">
        <f t="shared" ca="1" si="15"/>
        <v>0</v>
      </c>
      <c r="H117">
        <f t="shared" ca="1" si="15"/>
        <v>0</v>
      </c>
      <c r="I117">
        <f t="shared" ca="1" si="15"/>
        <v>0</v>
      </c>
      <c r="J117">
        <f t="shared" ca="1" si="15"/>
        <v>0</v>
      </c>
      <c r="K117">
        <f t="shared" ca="1" si="15"/>
        <v>0</v>
      </c>
      <c r="L117">
        <f t="shared" ca="1" si="15"/>
        <v>0</v>
      </c>
      <c r="M117">
        <f t="shared" ca="1" si="15"/>
        <v>0</v>
      </c>
      <c r="N117">
        <f t="shared" ca="1" si="15"/>
        <v>0</v>
      </c>
      <c r="O117">
        <f t="shared" ca="1" si="15"/>
        <v>0</v>
      </c>
      <c r="P117">
        <f t="shared" ca="1" si="15"/>
        <v>0</v>
      </c>
      <c r="Q117">
        <f t="shared" ca="1" si="15"/>
        <v>0</v>
      </c>
      <c r="R117">
        <f t="shared" ca="1" si="15"/>
        <v>0</v>
      </c>
      <c r="S117">
        <f t="shared" ca="1" si="15"/>
        <v>0</v>
      </c>
      <c r="T117">
        <f t="shared" ca="1" si="15"/>
        <v>0</v>
      </c>
      <c r="U117">
        <f t="shared" ca="1" si="15"/>
        <v>0</v>
      </c>
      <c r="V117">
        <f t="shared" ca="1" si="15"/>
        <v>0</v>
      </c>
      <c r="W117">
        <f t="shared" ca="1" si="15"/>
        <v>0</v>
      </c>
      <c r="X117">
        <f t="shared" ca="1" si="15"/>
        <v>0</v>
      </c>
      <c r="Y117">
        <f t="shared" ca="1" si="15"/>
        <v>0</v>
      </c>
      <c r="Z117">
        <f t="shared" ca="1" si="15"/>
        <v>0</v>
      </c>
      <c r="AA117">
        <f t="shared" ca="1" si="15"/>
        <v>0</v>
      </c>
      <c r="AB117">
        <f t="shared" ca="1" si="15"/>
        <v>0</v>
      </c>
      <c r="AC117">
        <f t="shared" ca="1" si="15"/>
        <v>0</v>
      </c>
      <c r="AD117">
        <f t="shared" ca="1" si="15"/>
        <v>0</v>
      </c>
      <c r="AE117">
        <f t="shared" ca="1" si="15"/>
        <v>0</v>
      </c>
      <c r="AF117">
        <f t="shared" ca="1" si="15"/>
        <v>0</v>
      </c>
      <c r="AG117">
        <f t="shared" ca="1" si="15"/>
        <v>0</v>
      </c>
      <c r="AH117">
        <f t="shared" ref="AH117:BA117" ca="1" si="16">SUM(AH81,AH99)</f>
        <v>0</v>
      </c>
      <c r="AI117">
        <f t="shared" ca="1" si="16"/>
        <v>0</v>
      </c>
      <c r="AJ117">
        <f t="shared" ca="1" si="16"/>
        <v>0</v>
      </c>
      <c r="AK117">
        <f t="shared" ca="1" si="16"/>
        <v>0</v>
      </c>
      <c r="AL117">
        <f t="shared" ca="1" si="16"/>
        <v>0</v>
      </c>
      <c r="AM117">
        <f t="shared" ca="1" si="16"/>
        <v>0</v>
      </c>
      <c r="AN117">
        <f t="shared" ca="1" si="16"/>
        <v>0</v>
      </c>
      <c r="AO117">
        <f t="shared" ca="1" si="16"/>
        <v>0</v>
      </c>
      <c r="AP117">
        <f t="shared" ca="1" si="16"/>
        <v>0</v>
      </c>
      <c r="AQ117">
        <f t="shared" ca="1" si="16"/>
        <v>0</v>
      </c>
      <c r="AR117">
        <f t="shared" ca="1" si="16"/>
        <v>0</v>
      </c>
      <c r="AS117">
        <f t="shared" ca="1" si="16"/>
        <v>0</v>
      </c>
      <c r="AT117">
        <f t="shared" ca="1" si="16"/>
        <v>0</v>
      </c>
      <c r="AU117">
        <f t="shared" ca="1" si="16"/>
        <v>0</v>
      </c>
      <c r="AV117">
        <f t="shared" ca="1" si="16"/>
        <v>0</v>
      </c>
      <c r="AW117">
        <f t="shared" ca="1" si="16"/>
        <v>0</v>
      </c>
      <c r="AX117">
        <f t="shared" ca="1" si="16"/>
        <v>0</v>
      </c>
      <c r="AY117">
        <f t="shared" ca="1" si="16"/>
        <v>0</v>
      </c>
      <c r="AZ117">
        <f t="shared" ca="1" si="16"/>
        <v>0</v>
      </c>
      <c r="BA117">
        <f t="shared" ca="1" si="16"/>
        <v>0</v>
      </c>
      <c r="BC117">
        <f t="shared" ca="1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ca="1" si="17">SUM(B82,B100)</f>
        <v>0</v>
      </c>
      <c r="C118">
        <f t="shared" ca="1" si="17"/>
        <v>0</v>
      </c>
      <c r="D118">
        <f t="shared" ca="1" si="17"/>
        <v>0</v>
      </c>
      <c r="E118">
        <f t="shared" ca="1" si="17"/>
        <v>0</v>
      </c>
      <c r="F118">
        <f t="shared" ca="1" si="17"/>
        <v>0</v>
      </c>
      <c r="G118">
        <f t="shared" ca="1" si="17"/>
        <v>0</v>
      </c>
      <c r="H118">
        <f t="shared" ca="1" si="17"/>
        <v>0</v>
      </c>
      <c r="I118">
        <f t="shared" ca="1" si="17"/>
        <v>0</v>
      </c>
      <c r="J118">
        <f t="shared" ca="1" si="17"/>
        <v>0</v>
      </c>
      <c r="K118">
        <f t="shared" ca="1" si="17"/>
        <v>0</v>
      </c>
      <c r="L118">
        <f t="shared" ca="1" si="17"/>
        <v>0</v>
      </c>
      <c r="M118">
        <f t="shared" ca="1" si="17"/>
        <v>0</v>
      </c>
      <c r="N118">
        <f t="shared" ca="1" si="17"/>
        <v>0</v>
      </c>
      <c r="O118">
        <f t="shared" ca="1" si="17"/>
        <v>0</v>
      </c>
      <c r="P118">
        <f t="shared" ca="1" si="17"/>
        <v>0</v>
      </c>
      <c r="Q118">
        <f t="shared" ca="1" si="17"/>
        <v>0</v>
      </c>
      <c r="R118">
        <f t="shared" ca="1" si="17"/>
        <v>0</v>
      </c>
      <c r="S118">
        <f t="shared" ca="1" si="17"/>
        <v>0</v>
      </c>
      <c r="T118">
        <f t="shared" ca="1" si="17"/>
        <v>0</v>
      </c>
      <c r="U118">
        <f t="shared" ca="1" si="17"/>
        <v>0</v>
      </c>
      <c r="V118">
        <f t="shared" ca="1" si="17"/>
        <v>0</v>
      </c>
      <c r="W118">
        <f t="shared" ca="1" si="17"/>
        <v>0</v>
      </c>
      <c r="X118">
        <f t="shared" ca="1" si="17"/>
        <v>0</v>
      </c>
      <c r="Y118">
        <f t="shared" ca="1" si="17"/>
        <v>0</v>
      </c>
      <c r="Z118">
        <f t="shared" ca="1" si="17"/>
        <v>0</v>
      </c>
      <c r="AA118">
        <f t="shared" ca="1" si="17"/>
        <v>0</v>
      </c>
      <c r="AB118">
        <f t="shared" ca="1" si="17"/>
        <v>0</v>
      </c>
      <c r="AC118">
        <f t="shared" ca="1" si="17"/>
        <v>0</v>
      </c>
      <c r="AD118">
        <f t="shared" ca="1" si="17"/>
        <v>0</v>
      </c>
      <c r="AE118">
        <f t="shared" ca="1" si="17"/>
        <v>0</v>
      </c>
      <c r="AF118">
        <f t="shared" ca="1" si="17"/>
        <v>0</v>
      </c>
      <c r="AG118">
        <f t="shared" ca="1" si="17"/>
        <v>0</v>
      </c>
      <c r="AH118">
        <f t="shared" ref="AH118:BA118" ca="1" si="18">SUM(AH82,AH100)</f>
        <v>0</v>
      </c>
      <c r="AI118">
        <f t="shared" ca="1" si="18"/>
        <v>0</v>
      </c>
      <c r="AJ118">
        <f t="shared" ca="1" si="18"/>
        <v>0</v>
      </c>
      <c r="AK118">
        <f t="shared" ca="1" si="18"/>
        <v>0</v>
      </c>
      <c r="AL118">
        <f t="shared" ca="1" si="18"/>
        <v>0</v>
      </c>
      <c r="AM118">
        <f t="shared" ca="1" si="18"/>
        <v>0</v>
      </c>
      <c r="AN118">
        <f t="shared" ca="1" si="18"/>
        <v>0</v>
      </c>
      <c r="AO118">
        <f t="shared" ca="1" si="18"/>
        <v>0</v>
      </c>
      <c r="AP118">
        <f t="shared" ca="1" si="18"/>
        <v>0</v>
      </c>
      <c r="AQ118">
        <f t="shared" ca="1" si="18"/>
        <v>0</v>
      </c>
      <c r="AR118">
        <f t="shared" ca="1" si="18"/>
        <v>0</v>
      </c>
      <c r="AS118">
        <f t="shared" ca="1" si="18"/>
        <v>0</v>
      </c>
      <c r="AT118">
        <f t="shared" ca="1" si="18"/>
        <v>0</v>
      </c>
      <c r="AU118">
        <f t="shared" ca="1" si="18"/>
        <v>0</v>
      </c>
      <c r="AV118">
        <f t="shared" ca="1" si="18"/>
        <v>0</v>
      </c>
      <c r="AW118">
        <f t="shared" ca="1" si="18"/>
        <v>0</v>
      </c>
      <c r="AX118">
        <f t="shared" ca="1" si="18"/>
        <v>0</v>
      </c>
      <c r="AY118">
        <f t="shared" ca="1" si="18"/>
        <v>0</v>
      </c>
      <c r="AZ118">
        <f t="shared" ca="1" si="18"/>
        <v>0</v>
      </c>
      <c r="BA118">
        <f t="shared" ca="1" si="18"/>
        <v>0</v>
      </c>
      <c r="BC118">
        <f t="shared" ca="1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ca="1" si="19">SUM(B83,B101)</f>
        <v>0</v>
      </c>
      <c r="C119">
        <f t="shared" ca="1" si="19"/>
        <v>0</v>
      </c>
      <c r="D119">
        <f t="shared" ca="1" si="19"/>
        <v>0</v>
      </c>
      <c r="E119">
        <f t="shared" ca="1" si="19"/>
        <v>0</v>
      </c>
      <c r="F119">
        <f t="shared" ca="1" si="19"/>
        <v>0</v>
      </c>
      <c r="G119">
        <f t="shared" ca="1" si="19"/>
        <v>0</v>
      </c>
      <c r="H119">
        <f t="shared" ca="1" si="19"/>
        <v>0</v>
      </c>
      <c r="I119">
        <f t="shared" ca="1" si="19"/>
        <v>0</v>
      </c>
      <c r="J119">
        <f t="shared" ca="1" si="19"/>
        <v>0</v>
      </c>
      <c r="K119">
        <f t="shared" ca="1" si="19"/>
        <v>0</v>
      </c>
      <c r="L119">
        <f t="shared" ca="1" si="19"/>
        <v>0</v>
      </c>
      <c r="M119">
        <f t="shared" ca="1" si="19"/>
        <v>0</v>
      </c>
      <c r="N119">
        <f t="shared" ca="1" si="19"/>
        <v>0</v>
      </c>
      <c r="O119">
        <f t="shared" ca="1" si="19"/>
        <v>0</v>
      </c>
      <c r="P119">
        <f t="shared" ca="1" si="19"/>
        <v>0</v>
      </c>
      <c r="Q119">
        <f t="shared" ca="1" si="19"/>
        <v>0</v>
      </c>
      <c r="R119">
        <f t="shared" ca="1" si="19"/>
        <v>0</v>
      </c>
      <c r="S119">
        <f t="shared" ca="1" si="19"/>
        <v>0</v>
      </c>
      <c r="T119">
        <f t="shared" ca="1" si="19"/>
        <v>0</v>
      </c>
      <c r="U119">
        <f t="shared" ca="1" si="19"/>
        <v>0</v>
      </c>
      <c r="V119">
        <f t="shared" ca="1" si="19"/>
        <v>0</v>
      </c>
      <c r="W119">
        <f t="shared" ca="1" si="19"/>
        <v>0</v>
      </c>
      <c r="X119">
        <f t="shared" ca="1" si="19"/>
        <v>0</v>
      </c>
      <c r="Y119">
        <f t="shared" ca="1" si="19"/>
        <v>0</v>
      </c>
      <c r="Z119">
        <f t="shared" ca="1" si="19"/>
        <v>0</v>
      </c>
      <c r="AA119">
        <f t="shared" ca="1" si="19"/>
        <v>0</v>
      </c>
      <c r="AB119">
        <f t="shared" ca="1" si="19"/>
        <v>0</v>
      </c>
      <c r="AC119">
        <f t="shared" ca="1" si="19"/>
        <v>0</v>
      </c>
      <c r="AD119">
        <f t="shared" ca="1" si="19"/>
        <v>0</v>
      </c>
      <c r="AE119">
        <f t="shared" ca="1" si="19"/>
        <v>0</v>
      </c>
      <c r="AF119">
        <f t="shared" ca="1" si="19"/>
        <v>0</v>
      </c>
      <c r="AG119">
        <f t="shared" ca="1" si="19"/>
        <v>0</v>
      </c>
      <c r="AH119">
        <f t="shared" ref="AH119:BA119" ca="1" si="20">SUM(AH83,AH101)</f>
        <v>0</v>
      </c>
      <c r="AI119">
        <f t="shared" ca="1" si="20"/>
        <v>0</v>
      </c>
      <c r="AJ119">
        <f t="shared" ca="1" si="20"/>
        <v>0</v>
      </c>
      <c r="AK119">
        <f t="shared" ca="1" si="20"/>
        <v>0</v>
      </c>
      <c r="AL119">
        <f t="shared" ca="1" si="20"/>
        <v>0</v>
      </c>
      <c r="AM119">
        <f t="shared" ca="1" si="20"/>
        <v>0</v>
      </c>
      <c r="AN119">
        <f t="shared" ca="1" si="20"/>
        <v>0</v>
      </c>
      <c r="AO119">
        <f t="shared" ca="1" si="20"/>
        <v>0</v>
      </c>
      <c r="AP119">
        <f t="shared" ca="1" si="20"/>
        <v>0</v>
      </c>
      <c r="AQ119">
        <f t="shared" ca="1" si="20"/>
        <v>0</v>
      </c>
      <c r="AR119">
        <f t="shared" ca="1" si="20"/>
        <v>0</v>
      </c>
      <c r="AS119">
        <f t="shared" ca="1" si="20"/>
        <v>0</v>
      </c>
      <c r="AT119">
        <f t="shared" ca="1" si="20"/>
        <v>0</v>
      </c>
      <c r="AU119">
        <f t="shared" ca="1" si="20"/>
        <v>0</v>
      </c>
      <c r="AV119">
        <f t="shared" ca="1" si="20"/>
        <v>0</v>
      </c>
      <c r="AW119">
        <f t="shared" ca="1" si="20"/>
        <v>0</v>
      </c>
      <c r="AX119">
        <f t="shared" ca="1" si="20"/>
        <v>0</v>
      </c>
      <c r="AY119">
        <f t="shared" ca="1" si="20"/>
        <v>0</v>
      </c>
      <c r="AZ119">
        <f t="shared" ca="1" si="20"/>
        <v>0</v>
      </c>
      <c r="BA119">
        <f t="shared" ca="1" si="20"/>
        <v>0</v>
      </c>
      <c r="BC119">
        <f t="shared" ca="1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ca="1" si="21">SUM(B84,B102)</f>
        <v>0</v>
      </c>
      <c r="C120">
        <f t="shared" ca="1" si="21"/>
        <v>0</v>
      </c>
      <c r="D120">
        <f t="shared" ca="1" si="21"/>
        <v>0</v>
      </c>
      <c r="E120">
        <f t="shared" ca="1" si="21"/>
        <v>0</v>
      </c>
      <c r="F120">
        <f t="shared" ca="1" si="21"/>
        <v>0</v>
      </c>
      <c r="G120">
        <f t="shared" ca="1" si="21"/>
        <v>0</v>
      </c>
      <c r="H120">
        <f t="shared" ca="1" si="21"/>
        <v>0</v>
      </c>
      <c r="I120">
        <f t="shared" ca="1" si="21"/>
        <v>0</v>
      </c>
      <c r="J120">
        <f t="shared" ca="1" si="21"/>
        <v>0</v>
      </c>
      <c r="K120">
        <f t="shared" ca="1" si="21"/>
        <v>0</v>
      </c>
      <c r="L120">
        <f t="shared" ca="1" si="21"/>
        <v>0</v>
      </c>
      <c r="M120">
        <f t="shared" ca="1" si="21"/>
        <v>0</v>
      </c>
      <c r="N120">
        <f t="shared" ca="1" si="21"/>
        <v>0</v>
      </c>
      <c r="O120">
        <f t="shared" ca="1" si="21"/>
        <v>0</v>
      </c>
      <c r="P120">
        <f t="shared" ca="1" si="21"/>
        <v>0</v>
      </c>
      <c r="Q120">
        <f t="shared" ca="1" si="21"/>
        <v>0</v>
      </c>
      <c r="R120">
        <f t="shared" ca="1" si="21"/>
        <v>0</v>
      </c>
      <c r="S120">
        <f t="shared" ca="1" si="21"/>
        <v>0</v>
      </c>
      <c r="T120">
        <f t="shared" ca="1" si="21"/>
        <v>0</v>
      </c>
      <c r="U120">
        <f t="shared" ca="1" si="21"/>
        <v>0</v>
      </c>
      <c r="V120">
        <f t="shared" ca="1" si="21"/>
        <v>0</v>
      </c>
      <c r="W120">
        <f t="shared" ca="1" si="21"/>
        <v>0</v>
      </c>
      <c r="X120">
        <f t="shared" ca="1" si="21"/>
        <v>0</v>
      </c>
      <c r="Y120">
        <f t="shared" ca="1" si="21"/>
        <v>0</v>
      </c>
      <c r="Z120">
        <f t="shared" ca="1" si="21"/>
        <v>0</v>
      </c>
      <c r="AA120">
        <f t="shared" ca="1" si="21"/>
        <v>0</v>
      </c>
      <c r="AB120">
        <f t="shared" ca="1" si="21"/>
        <v>0</v>
      </c>
      <c r="AC120">
        <f t="shared" ca="1" si="21"/>
        <v>0</v>
      </c>
      <c r="AD120">
        <f t="shared" ca="1" si="21"/>
        <v>0</v>
      </c>
      <c r="AE120">
        <f t="shared" ca="1" si="21"/>
        <v>0</v>
      </c>
      <c r="AF120">
        <f t="shared" ca="1" si="21"/>
        <v>0</v>
      </c>
      <c r="AG120">
        <f t="shared" ca="1" si="21"/>
        <v>0</v>
      </c>
      <c r="AH120">
        <f t="shared" ref="AH120:BA120" ca="1" si="22">SUM(AH84,AH102)</f>
        <v>0</v>
      </c>
      <c r="AI120">
        <f t="shared" ca="1" si="22"/>
        <v>0</v>
      </c>
      <c r="AJ120">
        <f t="shared" ca="1" si="22"/>
        <v>0</v>
      </c>
      <c r="AK120">
        <f t="shared" ca="1" si="22"/>
        <v>0</v>
      </c>
      <c r="AL120">
        <f t="shared" ca="1" si="22"/>
        <v>0</v>
      </c>
      <c r="AM120">
        <f t="shared" ca="1" si="22"/>
        <v>0</v>
      </c>
      <c r="AN120">
        <f t="shared" ca="1" si="22"/>
        <v>0</v>
      </c>
      <c r="AO120">
        <f t="shared" ca="1" si="22"/>
        <v>0</v>
      </c>
      <c r="AP120">
        <f t="shared" ca="1" si="22"/>
        <v>0</v>
      </c>
      <c r="AQ120">
        <f t="shared" ca="1" si="22"/>
        <v>0</v>
      </c>
      <c r="AR120">
        <f t="shared" ca="1" si="22"/>
        <v>0</v>
      </c>
      <c r="AS120">
        <f t="shared" ca="1" si="22"/>
        <v>0</v>
      </c>
      <c r="AT120">
        <f t="shared" ca="1" si="22"/>
        <v>0</v>
      </c>
      <c r="AU120">
        <f t="shared" ca="1" si="22"/>
        <v>0</v>
      </c>
      <c r="AV120">
        <f t="shared" ca="1" si="22"/>
        <v>0</v>
      </c>
      <c r="AW120">
        <f t="shared" ca="1" si="22"/>
        <v>0</v>
      </c>
      <c r="AX120">
        <f t="shared" ca="1" si="22"/>
        <v>0</v>
      </c>
      <c r="AY120">
        <f t="shared" ca="1" si="22"/>
        <v>0</v>
      </c>
      <c r="AZ120">
        <f t="shared" ca="1" si="22"/>
        <v>0</v>
      </c>
      <c r="BA120">
        <f t="shared" ca="1" si="22"/>
        <v>0</v>
      </c>
      <c r="BC120">
        <f t="shared" ca="1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ca="1" si="23">SUM(B85,B103)</f>
        <v>0</v>
      </c>
      <c r="C121">
        <f t="shared" ca="1" si="23"/>
        <v>0</v>
      </c>
      <c r="D121">
        <f t="shared" ca="1" si="23"/>
        <v>0</v>
      </c>
      <c r="E121">
        <f t="shared" ca="1" si="23"/>
        <v>0</v>
      </c>
      <c r="F121">
        <f t="shared" ca="1" si="23"/>
        <v>0</v>
      </c>
      <c r="G121">
        <f t="shared" ca="1" si="23"/>
        <v>0</v>
      </c>
      <c r="H121">
        <f t="shared" ca="1" si="23"/>
        <v>0</v>
      </c>
      <c r="I121">
        <f t="shared" ca="1" si="23"/>
        <v>0</v>
      </c>
      <c r="J121">
        <f t="shared" ca="1" si="23"/>
        <v>0</v>
      </c>
      <c r="K121">
        <f t="shared" ca="1" si="23"/>
        <v>0</v>
      </c>
      <c r="L121">
        <f t="shared" ca="1" si="23"/>
        <v>0</v>
      </c>
      <c r="M121">
        <f t="shared" ca="1" si="23"/>
        <v>0</v>
      </c>
      <c r="N121">
        <f t="shared" ca="1" si="23"/>
        <v>0</v>
      </c>
      <c r="O121">
        <f t="shared" ca="1" si="23"/>
        <v>0</v>
      </c>
      <c r="P121">
        <f t="shared" ca="1" si="23"/>
        <v>0</v>
      </c>
      <c r="Q121">
        <f t="shared" ca="1" si="23"/>
        <v>0</v>
      </c>
      <c r="R121">
        <f t="shared" ca="1" si="23"/>
        <v>0</v>
      </c>
      <c r="S121">
        <f t="shared" ca="1" si="23"/>
        <v>0</v>
      </c>
      <c r="T121">
        <f t="shared" ca="1" si="23"/>
        <v>0</v>
      </c>
      <c r="U121">
        <f t="shared" ca="1" si="23"/>
        <v>0</v>
      </c>
      <c r="V121">
        <f t="shared" ca="1" si="23"/>
        <v>0</v>
      </c>
      <c r="W121">
        <f t="shared" ca="1" si="23"/>
        <v>0</v>
      </c>
      <c r="X121">
        <f t="shared" ca="1" si="23"/>
        <v>0</v>
      </c>
      <c r="Y121">
        <f t="shared" ca="1" si="23"/>
        <v>0</v>
      </c>
      <c r="Z121">
        <f t="shared" ca="1" si="23"/>
        <v>0</v>
      </c>
      <c r="AA121">
        <f t="shared" ca="1" si="23"/>
        <v>0</v>
      </c>
      <c r="AB121">
        <f t="shared" ca="1" si="23"/>
        <v>0</v>
      </c>
      <c r="AC121">
        <f t="shared" ca="1" si="23"/>
        <v>0</v>
      </c>
      <c r="AD121">
        <f t="shared" ca="1" si="23"/>
        <v>0</v>
      </c>
      <c r="AE121">
        <f t="shared" ca="1" si="23"/>
        <v>0</v>
      </c>
      <c r="AF121">
        <f t="shared" ca="1" si="23"/>
        <v>0</v>
      </c>
      <c r="AG121">
        <f t="shared" ca="1" si="23"/>
        <v>0</v>
      </c>
      <c r="AH121">
        <f t="shared" ref="AH121:BA121" ca="1" si="24">SUM(AH85,AH103)</f>
        <v>0</v>
      </c>
      <c r="AI121">
        <f t="shared" ca="1" si="24"/>
        <v>0</v>
      </c>
      <c r="AJ121">
        <f t="shared" ca="1" si="24"/>
        <v>0</v>
      </c>
      <c r="AK121">
        <f t="shared" ca="1" si="24"/>
        <v>0</v>
      </c>
      <c r="AL121">
        <f t="shared" ca="1" si="24"/>
        <v>0</v>
      </c>
      <c r="AM121">
        <f t="shared" ca="1" si="24"/>
        <v>0</v>
      </c>
      <c r="AN121">
        <f t="shared" ca="1" si="24"/>
        <v>0</v>
      </c>
      <c r="AO121">
        <f t="shared" ca="1" si="24"/>
        <v>0</v>
      </c>
      <c r="AP121">
        <f t="shared" ca="1" si="24"/>
        <v>0</v>
      </c>
      <c r="AQ121">
        <f t="shared" ca="1" si="24"/>
        <v>0</v>
      </c>
      <c r="AR121">
        <f t="shared" ca="1" si="24"/>
        <v>0</v>
      </c>
      <c r="AS121">
        <f t="shared" ca="1" si="24"/>
        <v>0</v>
      </c>
      <c r="AT121">
        <f t="shared" ca="1" si="24"/>
        <v>0</v>
      </c>
      <c r="AU121">
        <f t="shared" ca="1" si="24"/>
        <v>0</v>
      </c>
      <c r="AV121">
        <f t="shared" ca="1" si="24"/>
        <v>0</v>
      </c>
      <c r="AW121">
        <f t="shared" ca="1" si="24"/>
        <v>0</v>
      </c>
      <c r="AX121">
        <f t="shared" ca="1" si="24"/>
        <v>0</v>
      </c>
      <c r="AY121">
        <f t="shared" ca="1" si="24"/>
        <v>0</v>
      </c>
      <c r="AZ121">
        <f t="shared" ca="1" si="24"/>
        <v>0</v>
      </c>
      <c r="BA121">
        <f t="shared" ca="1" si="24"/>
        <v>0</v>
      </c>
      <c r="BC121">
        <f t="shared" ca="1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ca="1" si="25">SUM(B86,B104)</f>
        <v>0</v>
      </c>
      <c r="C122">
        <f t="shared" ca="1" si="25"/>
        <v>0</v>
      </c>
      <c r="D122">
        <f t="shared" ca="1" si="25"/>
        <v>0</v>
      </c>
      <c r="E122">
        <f t="shared" ca="1" si="25"/>
        <v>0</v>
      </c>
      <c r="F122">
        <f t="shared" ca="1" si="25"/>
        <v>0</v>
      </c>
      <c r="G122">
        <f t="shared" ca="1" si="25"/>
        <v>0</v>
      </c>
      <c r="H122">
        <f t="shared" ca="1" si="25"/>
        <v>0</v>
      </c>
      <c r="I122">
        <f t="shared" ca="1" si="25"/>
        <v>0</v>
      </c>
      <c r="J122">
        <f t="shared" ca="1" si="25"/>
        <v>0</v>
      </c>
      <c r="K122">
        <f t="shared" ca="1" si="25"/>
        <v>0</v>
      </c>
      <c r="L122">
        <f t="shared" ca="1" si="25"/>
        <v>0</v>
      </c>
      <c r="M122">
        <f t="shared" ca="1" si="25"/>
        <v>0</v>
      </c>
      <c r="N122">
        <f t="shared" ca="1" si="25"/>
        <v>0</v>
      </c>
      <c r="O122">
        <f t="shared" ca="1" si="25"/>
        <v>0</v>
      </c>
      <c r="P122">
        <f t="shared" ca="1" si="25"/>
        <v>0</v>
      </c>
      <c r="Q122">
        <f t="shared" ca="1" si="25"/>
        <v>0</v>
      </c>
      <c r="R122">
        <f t="shared" ca="1" si="25"/>
        <v>0</v>
      </c>
      <c r="S122">
        <f t="shared" ca="1" si="25"/>
        <v>0</v>
      </c>
      <c r="T122">
        <f t="shared" ca="1" si="25"/>
        <v>0</v>
      </c>
      <c r="U122">
        <f t="shared" ca="1" si="25"/>
        <v>0</v>
      </c>
      <c r="V122">
        <f t="shared" ca="1" si="25"/>
        <v>0</v>
      </c>
      <c r="W122">
        <f t="shared" ca="1" si="25"/>
        <v>0</v>
      </c>
      <c r="X122">
        <f t="shared" ca="1" si="25"/>
        <v>0</v>
      </c>
      <c r="Y122">
        <f t="shared" ca="1" si="25"/>
        <v>0</v>
      </c>
      <c r="Z122">
        <f t="shared" ca="1" si="25"/>
        <v>0</v>
      </c>
      <c r="AA122">
        <f t="shared" ca="1" si="25"/>
        <v>0</v>
      </c>
      <c r="AB122">
        <f t="shared" ca="1" si="25"/>
        <v>0</v>
      </c>
      <c r="AC122">
        <f t="shared" ca="1" si="25"/>
        <v>0</v>
      </c>
      <c r="AD122">
        <f t="shared" ca="1" si="25"/>
        <v>0</v>
      </c>
      <c r="AE122">
        <f t="shared" ca="1" si="25"/>
        <v>0</v>
      </c>
      <c r="AF122">
        <f t="shared" ca="1" si="25"/>
        <v>0</v>
      </c>
      <c r="AG122">
        <f t="shared" ca="1" si="25"/>
        <v>0</v>
      </c>
      <c r="AH122">
        <f t="shared" ref="AH122:BA122" ca="1" si="26">SUM(AH86,AH104)</f>
        <v>0</v>
      </c>
      <c r="AI122">
        <f t="shared" ca="1" si="26"/>
        <v>0</v>
      </c>
      <c r="AJ122">
        <f t="shared" ca="1" si="26"/>
        <v>0</v>
      </c>
      <c r="AK122">
        <f t="shared" ca="1" si="26"/>
        <v>0</v>
      </c>
      <c r="AL122">
        <f t="shared" ca="1" si="26"/>
        <v>0</v>
      </c>
      <c r="AM122">
        <f t="shared" ca="1" si="26"/>
        <v>0</v>
      </c>
      <c r="AN122">
        <f t="shared" ca="1" si="26"/>
        <v>0</v>
      </c>
      <c r="AO122">
        <f t="shared" ca="1" si="26"/>
        <v>0</v>
      </c>
      <c r="AP122">
        <f t="shared" ca="1" si="26"/>
        <v>0</v>
      </c>
      <c r="AQ122">
        <f t="shared" ca="1" si="26"/>
        <v>0</v>
      </c>
      <c r="AR122">
        <f t="shared" ca="1" si="26"/>
        <v>0</v>
      </c>
      <c r="AS122">
        <f t="shared" ca="1" si="26"/>
        <v>0</v>
      </c>
      <c r="AT122">
        <f t="shared" ca="1" si="26"/>
        <v>0</v>
      </c>
      <c r="AU122">
        <f t="shared" ca="1" si="26"/>
        <v>0</v>
      </c>
      <c r="AV122">
        <f t="shared" ca="1" si="26"/>
        <v>0</v>
      </c>
      <c r="AW122">
        <f t="shared" ca="1" si="26"/>
        <v>0</v>
      </c>
      <c r="AX122">
        <f t="shared" ca="1" si="26"/>
        <v>0</v>
      </c>
      <c r="AY122">
        <f t="shared" ca="1" si="26"/>
        <v>0</v>
      </c>
      <c r="AZ122">
        <f t="shared" ca="1" si="26"/>
        <v>0</v>
      </c>
      <c r="BA122">
        <f t="shared" ca="1" si="26"/>
        <v>0</v>
      </c>
      <c r="BC122">
        <f t="shared" ca="1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ca="1" si="27">SUM(B87,B105)</f>
        <v>0</v>
      </c>
      <c r="C123">
        <f t="shared" ca="1" si="27"/>
        <v>0</v>
      </c>
      <c r="D123">
        <f t="shared" ca="1" si="27"/>
        <v>0</v>
      </c>
      <c r="E123">
        <f t="shared" ca="1" si="27"/>
        <v>0</v>
      </c>
      <c r="F123">
        <f t="shared" ca="1" si="27"/>
        <v>0</v>
      </c>
      <c r="G123">
        <f t="shared" ca="1" si="27"/>
        <v>0</v>
      </c>
      <c r="H123">
        <f t="shared" ca="1" si="27"/>
        <v>0</v>
      </c>
      <c r="I123">
        <f t="shared" ca="1" si="27"/>
        <v>0</v>
      </c>
      <c r="J123">
        <f t="shared" ca="1" si="27"/>
        <v>0</v>
      </c>
      <c r="K123">
        <f t="shared" ca="1" si="27"/>
        <v>0</v>
      </c>
      <c r="L123">
        <f t="shared" ca="1" si="27"/>
        <v>0</v>
      </c>
      <c r="M123">
        <f t="shared" ca="1" si="27"/>
        <v>0</v>
      </c>
      <c r="N123">
        <f t="shared" ca="1" si="27"/>
        <v>0</v>
      </c>
      <c r="O123">
        <f t="shared" ca="1" si="27"/>
        <v>0</v>
      </c>
      <c r="P123">
        <f t="shared" ca="1" si="27"/>
        <v>0</v>
      </c>
      <c r="Q123">
        <f t="shared" ca="1" si="27"/>
        <v>0</v>
      </c>
      <c r="R123">
        <f t="shared" ca="1" si="27"/>
        <v>0</v>
      </c>
      <c r="S123">
        <f t="shared" ca="1" si="27"/>
        <v>0</v>
      </c>
      <c r="T123">
        <f t="shared" ca="1" si="27"/>
        <v>0</v>
      </c>
      <c r="U123">
        <f t="shared" ca="1" si="27"/>
        <v>0</v>
      </c>
      <c r="V123">
        <f t="shared" ca="1" si="27"/>
        <v>0</v>
      </c>
      <c r="W123">
        <f t="shared" ca="1" si="27"/>
        <v>0</v>
      </c>
      <c r="X123">
        <f t="shared" ca="1" si="27"/>
        <v>0</v>
      </c>
      <c r="Y123">
        <f t="shared" ca="1" si="27"/>
        <v>0</v>
      </c>
      <c r="Z123">
        <f t="shared" ca="1" si="27"/>
        <v>0</v>
      </c>
      <c r="AA123">
        <f t="shared" ca="1" si="27"/>
        <v>0</v>
      </c>
      <c r="AB123">
        <f t="shared" ca="1" si="27"/>
        <v>0</v>
      </c>
      <c r="AC123">
        <f t="shared" ca="1" si="27"/>
        <v>0</v>
      </c>
      <c r="AD123">
        <f t="shared" ca="1" si="27"/>
        <v>0</v>
      </c>
      <c r="AE123">
        <f t="shared" ca="1" si="27"/>
        <v>0</v>
      </c>
      <c r="AF123">
        <f t="shared" ca="1" si="27"/>
        <v>0</v>
      </c>
      <c r="AG123">
        <f t="shared" ca="1" si="27"/>
        <v>0</v>
      </c>
      <c r="AH123">
        <f t="shared" ref="AH123:BA123" ca="1" si="28">SUM(AH87,AH105)</f>
        <v>0</v>
      </c>
      <c r="AI123">
        <f t="shared" ca="1" si="28"/>
        <v>0</v>
      </c>
      <c r="AJ123">
        <f t="shared" ca="1" si="28"/>
        <v>0</v>
      </c>
      <c r="AK123">
        <f t="shared" ca="1" si="28"/>
        <v>0</v>
      </c>
      <c r="AL123">
        <f t="shared" ca="1" si="28"/>
        <v>0</v>
      </c>
      <c r="AM123">
        <f t="shared" ca="1" si="28"/>
        <v>0</v>
      </c>
      <c r="AN123">
        <f t="shared" ca="1" si="28"/>
        <v>0</v>
      </c>
      <c r="AO123">
        <f t="shared" ca="1" si="28"/>
        <v>0</v>
      </c>
      <c r="AP123">
        <f t="shared" ca="1" si="28"/>
        <v>0</v>
      </c>
      <c r="AQ123">
        <f t="shared" ca="1" si="28"/>
        <v>0</v>
      </c>
      <c r="AR123">
        <f t="shared" ca="1" si="28"/>
        <v>0</v>
      </c>
      <c r="AS123">
        <f t="shared" ca="1" si="28"/>
        <v>0</v>
      </c>
      <c r="AT123">
        <f t="shared" ca="1" si="28"/>
        <v>0</v>
      </c>
      <c r="AU123">
        <f t="shared" ca="1" si="28"/>
        <v>0</v>
      </c>
      <c r="AV123">
        <f t="shared" ca="1" si="28"/>
        <v>0</v>
      </c>
      <c r="AW123">
        <f t="shared" ca="1" si="28"/>
        <v>0</v>
      </c>
      <c r="AX123">
        <f t="shared" ca="1" si="28"/>
        <v>0</v>
      </c>
      <c r="AY123">
        <f t="shared" ca="1" si="28"/>
        <v>0</v>
      </c>
      <c r="AZ123">
        <f t="shared" ca="1" si="28"/>
        <v>0</v>
      </c>
      <c r="BA123">
        <f t="shared" ca="1" si="28"/>
        <v>0</v>
      </c>
      <c r="BC123">
        <f t="shared" ca="1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ca="1" si="29">SUM(B88,B106)</f>
        <v>0</v>
      </c>
      <c r="C124">
        <f t="shared" ca="1" si="29"/>
        <v>0</v>
      </c>
      <c r="D124">
        <f t="shared" ca="1" si="29"/>
        <v>0</v>
      </c>
      <c r="E124">
        <f t="shared" ca="1" si="29"/>
        <v>0</v>
      </c>
      <c r="F124">
        <f t="shared" ca="1" si="29"/>
        <v>0</v>
      </c>
      <c r="G124">
        <f t="shared" ca="1" si="29"/>
        <v>0</v>
      </c>
      <c r="H124">
        <f t="shared" ca="1" si="29"/>
        <v>0</v>
      </c>
      <c r="I124">
        <f t="shared" ca="1" si="29"/>
        <v>0</v>
      </c>
      <c r="J124">
        <f t="shared" ca="1" si="29"/>
        <v>0</v>
      </c>
      <c r="K124">
        <f t="shared" ca="1" si="29"/>
        <v>0</v>
      </c>
      <c r="L124">
        <f t="shared" ca="1" si="29"/>
        <v>0</v>
      </c>
      <c r="M124">
        <f t="shared" ca="1" si="29"/>
        <v>0</v>
      </c>
      <c r="N124">
        <f t="shared" ca="1" si="29"/>
        <v>0</v>
      </c>
      <c r="O124">
        <f t="shared" ca="1" si="29"/>
        <v>0</v>
      </c>
      <c r="P124">
        <f t="shared" ca="1" si="29"/>
        <v>0</v>
      </c>
      <c r="Q124">
        <f t="shared" ca="1" si="29"/>
        <v>0</v>
      </c>
      <c r="R124">
        <f t="shared" ca="1" si="29"/>
        <v>0</v>
      </c>
      <c r="S124">
        <f t="shared" ca="1" si="29"/>
        <v>0</v>
      </c>
      <c r="T124">
        <f t="shared" ca="1" si="29"/>
        <v>0</v>
      </c>
      <c r="U124">
        <f t="shared" ca="1" si="29"/>
        <v>0</v>
      </c>
      <c r="V124">
        <f t="shared" ca="1" si="29"/>
        <v>0</v>
      </c>
      <c r="W124">
        <f t="shared" ca="1" si="29"/>
        <v>0</v>
      </c>
      <c r="X124">
        <f t="shared" ca="1" si="29"/>
        <v>0</v>
      </c>
      <c r="Y124">
        <f t="shared" ca="1" si="29"/>
        <v>0</v>
      </c>
      <c r="Z124">
        <f t="shared" ca="1" si="29"/>
        <v>0</v>
      </c>
      <c r="AA124">
        <f t="shared" ca="1" si="29"/>
        <v>0</v>
      </c>
      <c r="AB124">
        <f t="shared" ca="1" si="29"/>
        <v>0</v>
      </c>
      <c r="AC124">
        <f t="shared" ca="1" si="29"/>
        <v>0</v>
      </c>
      <c r="AD124">
        <f t="shared" ca="1" si="29"/>
        <v>0</v>
      </c>
      <c r="AE124">
        <f t="shared" ca="1" si="29"/>
        <v>0</v>
      </c>
      <c r="AF124">
        <f t="shared" ca="1" si="29"/>
        <v>0</v>
      </c>
      <c r="AG124">
        <f t="shared" ca="1" si="29"/>
        <v>0</v>
      </c>
      <c r="AH124">
        <f t="shared" ref="AH124:BA124" ca="1" si="30">SUM(AH88,AH106)</f>
        <v>0</v>
      </c>
      <c r="AI124">
        <f t="shared" ca="1" si="30"/>
        <v>0</v>
      </c>
      <c r="AJ124">
        <f t="shared" ca="1" si="30"/>
        <v>0</v>
      </c>
      <c r="AK124">
        <f t="shared" ca="1" si="30"/>
        <v>0</v>
      </c>
      <c r="AL124">
        <f t="shared" ca="1" si="30"/>
        <v>0</v>
      </c>
      <c r="AM124">
        <f t="shared" ca="1" si="30"/>
        <v>0</v>
      </c>
      <c r="AN124">
        <f t="shared" ca="1" si="30"/>
        <v>0</v>
      </c>
      <c r="AO124">
        <f t="shared" ca="1" si="30"/>
        <v>0</v>
      </c>
      <c r="AP124">
        <f t="shared" ca="1" si="30"/>
        <v>0</v>
      </c>
      <c r="AQ124">
        <f t="shared" ca="1" si="30"/>
        <v>0</v>
      </c>
      <c r="AR124">
        <f t="shared" ca="1" si="30"/>
        <v>0</v>
      </c>
      <c r="AS124">
        <f t="shared" ca="1" si="30"/>
        <v>0</v>
      </c>
      <c r="AT124">
        <f t="shared" ca="1" si="30"/>
        <v>0</v>
      </c>
      <c r="AU124">
        <f t="shared" ca="1" si="30"/>
        <v>0</v>
      </c>
      <c r="AV124">
        <f t="shared" ca="1" si="30"/>
        <v>0</v>
      </c>
      <c r="AW124">
        <f t="shared" ca="1" si="30"/>
        <v>0</v>
      </c>
      <c r="AX124">
        <f t="shared" ca="1" si="30"/>
        <v>0</v>
      </c>
      <c r="AY124">
        <f t="shared" ca="1" si="30"/>
        <v>0</v>
      </c>
      <c r="AZ124">
        <f t="shared" ca="1" si="30"/>
        <v>0</v>
      </c>
      <c r="BA124">
        <f t="shared" ca="1" si="30"/>
        <v>0</v>
      </c>
      <c r="BC124">
        <f t="shared" ca="1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ca="1" si="31">SUM(B89,B107)</f>
        <v>0</v>
      </c>
      <c r="C125">
        <f t="shared" ca="1" si="31"/>
        <v>0</v>
      </c>
      <c r="D125">
        <f t="shared" ca="1" si="31"/>
        <v>0</v>
      </c>
      <c r="E125">
        <f t="shared" ca="1" si="31"/>
        <v>0</v>
      </c>
      <c r="F125">
        <f t="shared" ca="1" si="31"/>
        <v>0</v>
      </c>
      <c r="G125">
        <f t="shared" ca="1" si="31"/>
        <v>0</v>
      </c>
      <c r="H125">
        <f t="shared" ca="1" si="31"/>
        <v>0</v>
      </c>
      <c r="I125">
        <f t="shared" ca="1" si="31"/>
        <v>0</v>
      </c>
      <c r="J125">
        <f t="shared" ca="1" si="31"/>
        <v>0</v>
      </c>
      <c r="K125">
        <f t="shared" ca="1" si="31"/>
        <v>0</v>
      </c>
      <c r="L125">
        <f t="shared" ca="1" si="31"/>
        <v>0</v>
      </c>
      <c r="M125">
        <f t="shared" ca="1" si="31"/>
        <v>0</v>
      </c>
      <c r="N125">
        <f t="shared" ca="1" si="31"/>
        <v>0</v>
      </c>
      <c r="O125">
        <f t="shared" ca="1" si="31"/>
        <v>0</v>
      </c>
      <c r="P125">
        <f t="shared" ca="1" si="31"/>
        <v>0</v>
      </c>
      <c r="Q125">
        <f t="shared" ca="1" si="31"/>
        <v>0</v>
      </c>
      <c r="R125">
        <f t="shared" ca="1" si="31"/>
        <v>0</v>
      </c>
      <c r="S125">
        <f t="shared" ca="1" si="31"/>
        <v>0</v>
      </c>
      <c r="T125">
        <f t="shared" ca="1" si="31"/>
        <v>0</v>
      </c>
      <c r="U125">
        <f t="shared" ca="1" si="31"/>
        <v>0</v>
      </c>
      <c r="V125">
        <f t="shared" ca="1" si="31"/>
        <v>0</v>
      </c>
      <c r="W125">
        <f t="shared" ca="1" si="31"/>
        <v>0</v>
      </c>
      <c r="X125">
        <f t="shared" ca="1" si="31"/>
        <v>0</v>
      </c>
      <c r="Y125">
        <f t="shared" ca="1" si="31"/>
        <v>0</v>
      </c>
      <c r="Z125">
        <f t="shared" ca="1" si="31"/>
        <v>0</v>
      </c>
      <c r="AA125">
        <f t="shared" ca="1" si="31"/>
        <v>0</v>
      </c>
      <c r="AB125">
        <f t="shared" ca="1" si="31"/>
        <v>0</v>
      </c>
      <c r="AC125">
        <f t="shared" ca="1" si="31"/>
        <v>0</v>
      </c>
      <c r="AD125">
        <f t="shared" ca="1" si="31"/>
        <v>0</v>
      </c>
      <c r="AE125">
        <f t="shared" ca="1" si="31"/>
        <v>0</v>
      </c>
      <c r="AF125">
        <f t="shared" ca="1" si="31"/>
        <v>0</v>
      </c>
      <c r="AG125">
        <f t="shared" ca="1" si="31"/>
        <v>0</v>
      </c>
      <c r="AH125">
        <f t="shared" ref="AH125:BA125" ca="1" si="32">SUM(AH89,AH107)</f>
        <v>0</v>
      </c>
      <c r="AI125">
        <f t="shared" ca="1" si="32"/>
        <v>0</v>
      </c>
      <c r="AJ125">
        <f t="shared" ca="1" si="32"/>
        <v>0</v>
      </c>
      <c r="AK125">
        <f t="shared" ca="1" si="32"/>
        <v>0</v>
      </c>
      <c r="AL125">
        <f t="shared" ca="1" si="32"/>
        <v>0</v>
      </c>
      <c r="AM125">
        <f t="shared" ca="1" si="32"/>
        <v>0</v>
      </c>
      <c r="AN125">
        <f t="shared" ca="1" si="32"/>
        <v>0</v>
      </c>
      <c r="AO125">
        <f t="shared" ca="1" si="32"/>
        <v>0</v>
      </c>
      <c r="AP125">
        <f t="shared" ca="1" si="32"/>
        <v>0</v>
      </c>
      <c r="AQ125">
        <f t="shared" ca="1" si="32"/>
        <v>0</v>
      </c>
      <c r="AR125">
        <f t="shared" ca="1" si="32"/>
        <v>0</v>
      </c>
      <c r="AS125">
        <f t="shared" ca="1" si="32"/>
        <v>0</v>
      </c>
      <c r="AT125">
        <f t="shared" ca="1" si="32"/>
        <v>0</v>
      </c>
      <c r="AU125">
        <f t="shared" ca="1" si="32"/>
        <v>0</v>
      </c>
      <c r="AV125">
        <f t="shared" ca="1" si="32"/>
        <v>0</v>
      </c>
      <c r="AW125">
        <f t="shared" ca="1" si="32"/>
        <v>0</v>
      </c>
      <c r="AX125">
        <f t="shared" ca="1" si="32"/>
        <v>0</v>
      </c>
      <c r="AY125">
        <f t="shared" ca="1" si="32"/>
        <v>0</v>
      </c>
      <c r="AZ125">
        <f t="shared" ca="1" si="32"/>
        <v>0</v>
      </c>
      <c r="BA125">
        <f t="shared" ca="1" si="32"/>
        <v>0</v>
      </c>
      <c r="BC125">
        <f t="shared" ca="1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ca="1" si="33">SUM(B90,B108)</f>
        <v>0</v>
      </c>
      <c r="C126">
        <f t="shared" ca="1" si="33"/>
        <v>0</v>
      </c>
      <c r="D126">
        <f t="shared" ca="1" si="33"/>
        <v>0</v>
      </c>
      <c r="E126">
        <f t="shared" ca="1" si="33"/>
        <v>0</v>
      </c>
      <c r="F126">
        <f t="shared" ca="1" si="33"/>
        <v>0</v>
      </c>
      <c r="G126">
        <f t="shared" ca="1" si="33"/>
        <v>0</v>
      </c>
      <c r="H126">
        <f t="shared" ca="1" si="33"/>
        <v>0</v>
      </c>
      <c r="I126">
        <f t="shared" ca="1" si="33"/>
        <v>0</v>
      </c>
      <c r="J126">
        <f t="shared" ca="1" si="33"/>
        <v>0</v>
      </c>
      <c r="K126">
        <f t="shared" ca="1" si="33"/>
        <v>0</v>
      </c>
      <c r="L126">
        <f t="shared" ca="1" si="33"/>
        <v>0</v>
      </c>
      <c r="M126">
        <f t="shared" ca="1" si="33"/>
        <v>0</v>
      </c>
      <c r="N126">
        <f t="shared" ca="1" si="33"/>
        <v>0</v>
      </c>
      <c r="O126">
        <f t="shared" ca="1" si="33"/>
        <v>0</v>
      </c>
      <c r="P126">
        <f t="shared" ca="1" si="33"/>
        <v>0</v>
      </c>
      <c r="Q126">
        <f t="shared" ca="1" si="33"/>
        <v>0</v>
      </c>
      <c r="R126">
        <f t="shared" ca="1" si="33"/>
        <v>0</v>
      </c>
      <c r="S126">
        <f t="shared" ca="1" si="33"/>
        <v>0</v>
      </c>
      <c r="T126">
        <f t="shared" ca="1" si="33"/>
        <v>0</v>
      </c>
      <c r="U126">
        <f t="shared" ca="1" si="33"/>
        <v>0</v>
      </c>
      <c r="V126">
        <f t="shared" ca="1" si="33"/>
        <v>0</v>
      </c>
      <c r="W126">
        <f t="shared" ca="1" si="33"/>
        <v>0</v>
      </c>
      <c r="X126">
        <f t="shared" ca="1" si="33"/>
        <v>0</v>
      </c>
      <c r="Y126">
        <f t="shared" ca="1" si="33"/>
        <v>0</v>
      </c>
      <c r="Z126">
        <f t="shared" ca="1" si="33"/>
        <v>0</v>
      </c>
      <c r="AA126">
        <f t="shared" ca="1" si="33"/>
        <v>0</v>
      </c>
      <c r="AB126">
        <f t="shared" ca="1" si="33"/>
        <v>0</v>
      </c>
      <c r="AC126">
        <f t="shared" ca="1" si="33"/>
        <v>0</v>
      </c>
      <c r="AD126">
        <f t="shared" ca="1" si="33"/>
        <v>0</v>
      </c>
      <c r="AE126">
        <f t="shared" ca="1" si="33"/>
        <v>0</v>
      </c>
      <c r="AF126">
        <f t="shared" ca="1" si="33"/>
        <v>0</v>
      </c>
      <c r="AG126">
        <f t="shared" ca="1" si="33"/>
        <v>0</v>
      </c>
      <c r="AH126">
        <f t="shared" ref="AH126:BA126" ca="1" si="34">SUM(AH90,AH108)</f>
        <v>0</v>
      </c>
      <c r="AI126">
        <f t="shared" ca="1" si="34"/>
        <v>0</v>
      </c>
      <c r="AJ126">
        <f t="shared" ca="1" si="34"/>
        <v>0</v>
      </c>
      <c r="AK126">
        <f t="shared" ca="1" si="34"/>
        <v>0</v>
      </c>
      <c r="AL126">
        <f t="shared" ca="1" si="34"/>
        <v>0</v>
      </c>
      <c r="AM126">
        <f t="shared" ca="1" si="34"/>
        <v>0</v>
      </c>
      <c r="AN126">
        <f t="shared" ca="1" si="34"/>
        <v>0</v>
      </c>
      <c r="AO126">
        <f t="shared" ca="1" si="34"/>
        <v>0</v>
      </c>
      <c r="AP126">
        <f t="shared" ca="1" si="34"/>
        <v>0</v>
      </c>
      <c r="AQ126">
        <f t="shared" ca="1" si="34"/>
        <v>0</v>
      </c>
      <c r="AR126">
        <f t="shared" ca="1" si="34"/>
        <v>0</v>
      </c>
      <c r="AS126">
        <f t="shared" ca="1" si="34"/>
        <v>0</v>
      </c>
      <c r="AT126">
        <f t="shared" ca="1" si="34"/>
        <v>0</v>
      </c>
      <c r="AU126">
        <f t="shared" ca="1" si="34"/>
        <v>0</v>
      </c>
      <c r="AV126">
        <f t="shared" ca="1" si="34"/>
        <v>0</v>
      </c>
      <c r="AW126">
        <f t="shared" ca="1" si="34"/>
        <v>0</v>
      </c>
      <c r="AX126">
        <f t="shared" ca="1" si="34"/>
        <v>0</v>
      </c>
      <c r="AY126">
        <f t="shared" ca="1" si="34"/>
        <v>0</v>
      </c>
      <c r="AZ126">
        <f t="shared" ca="1" si="34"/>
        <v>0</v>
      </c>
      <c r="BA126">
        <f t="shared" ca="1" si="34"/>
        <v>0</v>
      </c>
      <c r="BC126">
        <f t="shared" ca="1" si="8"/>
        <v>0</v>
      </c>
    </row>
    <row r="127" spans="1:55" x14ac:dyDescent="0.35">
      <c r="A127" s="3" t="str">
        <f>"All "&amp;Setup!$B$15</f>
        <v>All Caseloads</v>
      </c>
      <c r="B127">
        <f ca="1">SUM(B112:B126)</f>
        <v>0</v>
      </c>
      <c r="C127">
        <f t="shared" ref="C127:BA127" ca="1" si="35">SUM(C112:C126)</f>
        <v>0</v>
      </c>
      <c r="D127">
        <f t="shared" ca="1" si="35"/>
        <v>0</v>
      </c>
      <c r="E127">
        <f t="shared" ca="1" si="35"/>
        <v>0</v>
      </c>
      <c r="F127">
        <f t="shared" ca="1" si="35"/>
        <v>0</v>
      </c>
      <c r="G127">
        <f t="shared" ca="1" si="35"/>
        <v>0</v>
      </c>
      <c r="H127">
        <f t="shared" ca="1" si="35"/>
        <v>0</v>
      </c>
      <c r="I127">
        <f t="shared" ca="1" si="35"/>
        <v>0</v>
      </c>
      <c r="J127">
        <f t="shared" ca="1" si="35"/>
        <v>0</v>
      </c>
      <c r="K127">
        <f t="shared" ca="1" si="35"/>
        <v>0</v>
      </c>
      <c r="L127">
        <f t="shared" ca="1" si="35"/>
        <v>0</v>
      </c>
      <c r="M127">
        <f t="shared" ca="1" si="35"/>
        <v>0</v>
      </c>
      <c r="N127">
        <f t="shared" ca="1" si="35"/>
        <v>0</v>
      </c>
      <c r="O127">
        <f t="shared" ca="1" si="35"/>
        <v>0</v>
      </c>
      <c r="P127">
        <f t="shared" ca="1" si="35"/>
        <v>0</v>
      </c>
      <c r="Q127">
        <f t="shared" ca="1" si="35"/>
        <v>0</v>
      </c>
      <c r="R127">
        <f t="shared" ca="1" si="35"/>
        <v>0</v>
      </c>
      <c r="S127">
        <f t="shared" ca="1" si="35"/>
        <v>0</v>
      </c>
      <c r="T127">
        <f t="shared" ca="1" si="35"/>
        <v>0</v>
      </c>
      <c r="U127">
        <f t="shared" ca="1" si="35"/>
        <v>0</v>
      </c>
      <c r="V127">
        <f t="shared" ca="1" si="35"/>
        <v>0</v>
      </c>
      <c r="W127">
        <f t="shared" ca="1" si="35"/>
        <v>0</v>
      </c>
      <c r="X127">
        <f t="shared" ca="1" si="35"/>
        <v>0</v>
      </c>
      <c r="Y127">
        <f t="shared" ca="1" si="35"/>
        <v>0</v>
      </c>
      <c r="Z127">
        <f t="shared" ca="1" si="35"/>
        <v>0</v>
      </c>
      <c r="AA127">
        <f t="shared" ca="1" si="35"/>
        <v>0</v>
      </c>
      <c r="AB127">
        <f t="shared" ca="1" si="35"/>
        <v>0</v>
      </c>
      <c r="AC127">
        <f t="shared" ca="1" si="35"/>
        <v>0</v>
      </c>
      <c r="AD127">
        <f t="shared" ca="1" si="35"/>
        <v>0</v>
      </c>
      <c r="AE127">
        <f t="shared" ca="1" si="35"/>
        <v>0</v>
      </c>
      <c r="AF127">
        <f t="shared" ca="1" si="35"/>
        <v>0</v>
      </c>
      <c r="AG127">
        <f t="shared" ca="1" si="35"/>
        <v>0</v>
      </c>
      <c r="AH127">
        <f t="shared" ca="1" si="35"/>
        <v>0</v>
      </c>
      <c r="AI127">
        <f t="shared" ca="1" si="35"/>
        <v>0</v>
      </c>
      <c r="AJ127">
        <f t="shared" ca="1" si="35"/>
        <v>0</v>
      </c>
      <c r="AK127">
        <f t="shared" ca="1" si="35"/>
        <v>0</v>
      </c>
      <c r="AL127">
        <f t="shared" ca="1" si="35"/>
        <v>0</v>
      </c>
      <c r="AM127">
        <f t="shared" ca="1" si="35"/>
        <v>0</v>
      </c>
      <c r="AN127">
        <f t="shared" ca="1" si="35"/>
        <v>0</v>
      </c>
      <c r="AO127">
        <f t="shared" ca="1" si="35"/>
        <v>0</v>
      </c>
      <c r="AP127">
        <f t="shared" ca="1" si="35"/>
        <v>0</v>
      </c>
      <c r="AQ127">
        <f t="shared" ca="1" si="35"/>
        <v>0</v>
      </c>
      <c r="AR127">
        <f t="shared" ca="1" si="35"/>
        <v>0</v>
      </c>
      <c r="AS127">
        <f t="shared" ca="1" si="35"/>
        <v>0</v>
      </c>
      <c r="AT127">
        <f t="shared" ca="1" si="35"/>
        <v>0</v>
      </c>
      <c r="AU127">
        <f t="shared" ca="1" si="35"/>
        <v>0</v>
      </c>
      <c r="AV127">
        <f t="shared" ca="1" si="35"/>
        <v>0</v>
      </c>
      <c r="AW127">
        <f t="shared" ca="1" si="35"/>
        <v>0</v>
      </c>
      <c r="AX127">
        <f t="shared" ca="1" si="35"/>
        <v>0</v>
      </c>
      <c r="AY127">
        <f t="shared" ca="1" si="35"/>
        <v>0</v>
      </c>
      <c r="AZ127">
        <f t="shared" ca="1" si="35"/>
        <v>0</v>
      </c>
      <c r="BA127">
        <f t="shared" ca="1" si="35"/>
        <v>0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 t="e" vm="2">
        <f ca="1">'Required Capacity (Hide)'!E5</f>
        <v>#VALUE!</v>
      </c>
      <c r="B13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 t="e" vm="2">
        <f ca="1">'Required Capacity (Hide)'!E6</f>
        <v>#VALUE!</v>
      </c>
      <c r="B13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 t="e" vm="2">
        <f ca="1">'Required Capacity (Hide)'!E7</f>
        <v>#VALUE!</v>
      </c>
      <c r="B137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 t="e" vm="2">
        <f ca="1">'Required Capacity (Hide)'!E8</f>
        <v>#VALUE!</v>
      </c>
      <c r="B138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 t="e" vm="2">
        <f ca="1">'Required Capacity (Hide)'!E9</f>
        <v>#VALUE!</v>
      </c>
      <c r="B139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 t="e" vm="2">
        <f ca="1">'Required Capacity (Hide)'!E10</f>
        <v>#VALUE!</v>
      </c>
      <c r="B140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 t="e" vm="2">
        <f ca="1">'Required Capacity (Hide)'!E11</f>
        <v>#VALUE!</v>
      </c>
      <c r="B141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 t="e" vm="2">
        <f ca="1">'Required Capacity (Hide)'!E12</f>
        <v>#VALUE!</v>
      </c>
      <c r="B142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 t="e" vm="2">
        <f ca="1">'Required Capacity (Hide)'!E13</f>
        <v>#VALUE!</v>
      </c>
      <c r="B143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 t="e" vm="2">
        <f ca="1">'Required Capacity (Hide)'!E14</f>
        <v>#VALUE!</v>
      </c>
      <c r="B144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 t="e" vm="2">
        <f ca="1">'Required Capacity (Hide)'!E15</f>
        <v>#VALUE!</v>
      </c>
      <c r="B14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 t="e" vm="2">
        <f ca="1">'Required Capacity (Hide)'!E16</f>
        <v>#VALUE!</v>
      </c>
      <c r="B14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 t="e" vm="2">
        <f ca="1">'Required Capacity (Hide)'!E17</f>
        <v>#VALUE!</v>
      </c>
      <c r="B147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 t="e" vm="2">
        <f ca="1">'Required Capacity (Hide)'!E18</f>
        <v>#VALUE!</v>
      </c>
      <c r="B148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 t="e" vm="2">
        <f ca="1">'Required Capacity (Hide)'!E19</f>
        <v>#VALUE!</v>
      </c>
      <c r="B149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 t="e" vm="2">
        <f ca="1">'Required Capacity (Hide)'!E20</f>
        <v>#VALUE!</v>
      </c>
      <c r="B150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 t="e" vm="2">
        <f ca="1">'Required Capacity (Hide)'!E21</f>
        <v>#VALUE!</v>
      </c>
      <c r="B151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 t="e" vm="2">
        <f ca="1">'Required Capacity (Hide)'!E22</f>
        <v>#VALUE!</v>
      </c>
      <c r="B152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 t="e" vm="2">
        <f ca="1">'Required Capacity (Hide)'!E23</f>
        <v>#VALUE!</v>
      </c>
      <c r="B153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 t="e" vm="2">
        <f ca="1">'Required Capacity (Hide)'!E24</f>
        <v>#VALUE!</v>
      </c>
      <c r="B154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 t="e" vm="2">
        <f ca="1">'Required Capacity (Hide)'!E25</f>
        <v>#VALUE!</v>
      </c>
      <c r="B15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 t="e" vm="2">
        <f ca="1">'Required Capacity (Hide)'!E26</f>
        <v>#VALUE!</v>
      </c>
      <c r="B15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 t="e" vm="2">
        <f ca="1">'Required Capacity (Hide)'!E27</f>
        <v>#VALUE!</v>
      </c>
      <c r="B157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 t="e" vm="2">
        <f ca="1">'Required Capacity (Hide)'!E28</f>
        <v>#VALUE!</v>
      </c>
      <c r="B158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 t="e" vm="2">
        <f ca="1">'Required Capacity (Hide)'!E29</f>
        <v>#VALUE!</v>
      </c>
      <c r="B159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 t="e" vm="2">
        <f ca="1">'Required Capacity (Hide)'!E30</f>
        <v>#VALUE!</v>
      </c>
      <c r="B160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 t="e" vm="2">
        <f ca="1">'Required Capacity (Hide)'!E31</f>
        <v>#VALUE!</v>
      </c>
      <c r="B161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 t="e" vm="2">
        <f ca="1">'Required Capacity (Hide)'!E32</f>
        <v>#VALUE!</v>
      </c>
      <c r="B162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 t="e" vm="2">
        <f ca="1">'Required Capacity (Hide)'!E33</f>
        <v>#VALUE!</v>
      </c>
      <c r="B163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 t="e" vm="2">
        <f ca="1">'Required Capacity (Hide)'!E34</f>
        <v>#VALUE!</v>
      </c>
      <c r="B164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 t="e" vm="2">
        <f ca="1">'Required Capacity (Hide)'!E35</f>
        <v>#VALUE!</v>
      </c>
      <c r="B16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 t="e" vm="2">
        <f ca="1">'Required Capacity (Hide)'!E36</f>
        <v>#VALUE!</v>
      </c>
      <c r="B16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 t="e" vm="2">
        <f ca="1">'Required Capacity (Hide)'!E37</f>
        <v>#VALUE!</v>
      </c>
      <c r="B167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 t="e" vm="2">
        <f ca="1">'Required Capacity (Hide)'!E38</f>
        <v>#VALUE!</v>
      </c>
      <c r="B168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 t="e" vm="2">
        <f ca="1">'Required Capacity (Hide)'!E39</f>
        <v>#VALUE!</v>
      </c>
      <c r="B169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 t="e" vm="2">
        <f ca="1">'Required Capacity (Hide)'!E40</f>
        <v>#VALUE!</v>
      </c>
      <c r="B170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 t="e" vm="2">
        <f ca="1">'Required Capacity (Hide)'!E41</f>
        <v>#VALUE!</v>
      </c>
      <c r="B171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 t="e" vm="2">
        <f ca="1">'Required Capacity (Hide)'!E42</f>
        <v>#VALUE!</v>
      </c>
      <c r="B172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 t="e" vm="2">
        <f ca="1">'Required Capacity (Hide)'!E43</f>
        <v>#VALUE!</v>
      </c>
      <c r="B173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 t="e" vm="2">
        <f ca="1">'Required Capacity (Hide)'!E44</f>
        <v>#VALUE!</v>
      </c>
      <c r="B174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 t="e" vm="2">
        <f ca="1">'Required Capacity (Hide)'!E45</f>
        <v>#VALUE!</v>
      </c>
      <c r="B17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 t="e" vm="2">
        <f ca="1">'Required Capacity (Hide)'!E46</f>
        <v>#VALUE!</v>
      </c>
      <c r="B17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 t="e" vm="2">
        <f ca="1">'Required Capacity (Hide)'!E47</f>
        <v>#VALUE!</v>
      </c>
      <c r="B177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 t="e" vm="2">
        <f ca="1">'Required Capacity (Hide)'!E48</f>
        <v>#VALUE!</v>
      </c>
      <c r="B178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 t="e" vm="2">
        <f ca="1">'Required Capacity (Hide)'!E49</f>
        <v>#VALUE!</v>
      </c>
      <c r="B179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 t="e" vm="2">
        <f ca="1">'Required Capacity (Hide)'!E50</f>
        <v>#VALUE!</v>
      </c>
      <c r="B180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 t="e" vm="2">
        <f ca="1">'Required Capacity (Hide)'!E51</f>
        <v>#VALUE!</v>
      </c>
      <c r="B181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 t="e" vm="2">
        <f ca="1">'Required Capacity (Hide)'!E52</f>
        <v>#VALUE!</v>
      </c>
      <c r="B182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 t="e" vm="2">
        <f ca="1">'Required Capacity (Hide)'!E53</f>
        <v>#VALUE!</v>
      </c>
      <c r="B183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 t="e" vm="2">
        <f ca="1">'Required Capacity (Hide)'!E54</f>
        <v>#VALUE!</v>
      </c>
      <c r="B184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 t="e" vm="2">
        <f ca="1">'Required Capacity (Hide)'!E55</f>
        <v>#VALUE!</v>
      </c>
      <c r="B185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 t="e" vm="2">
        <f ca="1">'Required Capacity (Hide)'!E56</f>
        <v>#VALUE!</v>
      </c>
      <c r="B186" t="e">
        <f ca="1"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 ca="1"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 ca="1"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 ca="1"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 ca="1"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 ca="1"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 ca="1"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 ca="1"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 ca="1"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 ca="1"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 ca="1"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 ca="1"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 ca="1"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 ca="1"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 ca="1"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 ca="1"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 ca="1"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 ca="1"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 ca="1"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 ca="1"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 ca="1"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 ca="1"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 ca="1"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 ca="1"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 ca="1"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 ca="1"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 ca="1"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 ca="1"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 ca="1"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 ca="1"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 ca="1"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 ca="1"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 ca="1"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 ca="1"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 ca="1"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 ca="1"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 ca="1"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 ca="1"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 ca="1"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 ca="1"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 ca="1"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 ca="1"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 ca="1"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 ca="1"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 ca="1"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 ca="1"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 ca="1"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 ca="1"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 ca="1"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 ca="1"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 ca="1"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 ca="1"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 ca="1"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 ca="1"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 ca="1"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 ca="1"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 ca="1"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 ca="1"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 ca="1"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 ca="1"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 ca="1"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 ca="1"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 ca="1"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 ca="1"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 ca="1"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 ca="1"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 ca="1"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 ca="1"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 ca="1"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 ca="1"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 ca="1"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 ca="1"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 ca="1"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 ca="1"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 ca="1"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 ca="1"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 ca="1"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 ca="1"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 ca="1"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 ca="1"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 ca="1"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 ca="1"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 ca="1"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 ca="1"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 ca="1"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 ca="1"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 ca="1"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 ca="1"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 ca="1"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 ca="1"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 ca="1"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 ca="1"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 ca="1"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 ca="1"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 ca="1"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 ca="1"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 ca="1"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 ca="1"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 ca="1"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 ca="1"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Caseload 1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Caseload 2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Caseload 3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Caseload 4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t="e" cm="1" vm="2">
        <f t="array" aca="1" ref="B205" ca="1">INDEX($A$5:$A$56,COLUMN(A1),1)</f>
        <v>#VALUE!</v>
      </c>
      <c r="C205" s="2" t="e" cm="1" vm="2">
        <f t="array" aca="1" ref="C205" ca="1">INDEX($A$5:$A$56,COLUMN(B1),1)</f>
        <v>#VALUE!</v>
      </c>
      <c r="D205" s="2" t="e" cm="1" vm="2">
        <f t="array" aca="1" ref="D205" ca="1">INDEX($A$5:$A$56,COLUMN(C1),1)</f>
        <v>#VALUE!</v>
      </c>
      <c r="E205" s="2" t="e" cm="1" vm="2">
        <f t="array" aca="1" ref="E205" ca="1">INDEX($A$5:$A$56,COLUMN(D1),1)</f>
        <v>#VALUE!</v>
      </c>
      <c r="F205" s="2" t="e" cm="1" vm="2">
        <f t="array" aca="1" ref="F205" ca="1">INDEX($A$5:$A$56,COLUMN(E1),1)</f>
        <v>#VALUE!</v>
      </c>
      <c r="G205" s="2" t="e" cm="1" vm="2">
        <f t="array" aca="1" ref="G205" ca="1">INDEX($A$5:$A$56,COLUMN(F1),1)</f>
        <v>#VALUE!</v>
      </c>
      <c r="H205" s="2" t="e" cm="1" vm="2">
        <f t="array" aca="1" ref="H205" ca="1">INDEX($A$5:$A$56,COLUMN(G1),1)</f>
        <v>#VALUE!</v>
      </c>
      <c r="I205" s="2" t="e" cm="1" vm="2">
        <f t="array" aca="1" ref="I205" ca="1">INDEX($A$5:$A$56,COLUMN(H1),1)</f>
        <v>#VALUE!</v>
      </c>
      <c r="J205" s="2" t="e" cm="1" vm="2">
        <f t="array" aca="1" ref="J205" ca="1">INDEX($A$5:$A$56,COLUMN(I1),1)</f>
        <v>#VALUE!</v>
      </c>
      <c r="K205" s="2" t="e" cm="1" vm="2">
        <f t="array" aca="1" ref="K205" ca="1">INDEX($A$5:$A$56,COLUMN(J1),1)</f>
        <v>#VALUE!</v>
      </c>
      <c r="L205" s="2" t="e" cm="1" vm="2">
        <f t="array" aca="1" ref="L205" ca="1">INDEX($A$5:$A$56,COLUMN(K1),1)</f>
        <v>#VALUE!</v>
      </c>
      <c r="M205" s="2" t="e" cm="1" vm="2">
        <f t="array" aca="1" ref="M205" ca="1">INDEX($A$5:$A$56,COLUMN(L1),1)</f>
        <v>#VALUE!</v>
      </c>
      <c r="N205" s="2" t="e" cm="1" vm="2">
        <f t="array" aca="1" ref="N205" ca="1">INDEX($A$5:$A$56,COLUMN(M1),1)</f>
        <v>#VALUE!</v>
      </c>
      <c r="O205" s="2" t="e" cm="1" vm="2">
        <f t="array" aca="1" ref="O205" ca="1">INDEX($A$5:$A$56,COLUMN(N1),1)</f>
        <v>#VALUE!</v>
      </c>
      <c r="P205" s="2" t="e" cm="1" vm="2">
        <f t="array" aca="1" ref="P205" ca="1">INDEX($A$5:$A$56,COLUMN(O1),1)</f>
        <v>#VALUE!</v>
      </c>
      <c r="Q205" s="2" t="e" cm="1" vm="2">
        <f t="array" aca="1" ref="Q205" ca="1">INDEX($A$5:$A$56,COLUMN(P1),1)</f>
        <v>#VALUE!</v>
      </c>
      <c r="R205" s="2" t="e" cm="1" vm="2">
        <f t="array" aca="1" ref="R205" ca="1">INDEX($A$5:$A$56,COLUMN(Q1),1)</f>
        <v>#VALUE!</v>
      </c>
      <c r="S205" s="2" t="e" cm="1" vm="2">
        <f t="array" aca="1" ref="S205" ca="1">INDEX($A$5:$A$56,COLUMN(R1),1)</f>
        <v>#VALUE!</v>
      </c>
      <c r="T205" s="2" t="e" cm="1" vm="2">
        <f t="array" aca="1" ref="T205" ca="1">INDEX($A$5:$A$56,COLUMN(S1),1)</f>
        <v>#VALUE!</v>
      </c>
      <c r="U205" s="2" t="e" cm="1" vm="2">
        <f t="array" aca="1" ref="U205" ca="1">INDEX($A$5:$A$56,COLUMN(T1),1)</f>
        <v>#VALUE!</v>
      </c>
      <c r="V205" s="2" t="e" cm="1" vm="2">
        <f t="array" aca="1" ref="V205" ca="1">INDEX($A$5:$A$56,COLUMN(U1),1)</f>
        <v>#VALUE!</v>
      </c>
      <c r="W205" s="2" t="e" cm="1" vm="2">
        <f t="array" aca="1" ref="W205" ca="1">INDEX($A$5:$A$56,COLUMN(V1),1)</f>
        <v>#VALUE!</v>
      </c>
      <c r="X205" s="2" t="e" cm="1" vm="2">
        <f t="array" aca="1" ref="X205" ca="1">INDEX($A$5:$A$56,COLUMN(W1),1)</f>
        <v>#VALUE!</v>
      </c>
      <c r="Y205" s="2" t="e" cm="1" vm="2">
        <f t="array" aca="1" ref="Y205" ca="1">INDEX($A$5:$A$56,COLUMN(X1),1)</f>
        <v>#VALUE!</v>
      </c>
      <c r="Z205" s="2" t="e" cm="1" vm="2">
        <f t="array" aca="1" ref="Z205" ca="1">INDEX($A$5:$A$56,COLUMN(Y1),1)</f>
        <v>#VALUE!</v>
      </c>
      <c r="AA205" s="2" t="e" cm="1" vm="2">
        <f t="array" aca="1" ref="AA205" ca="1">INDEX($A$5:$A$56,COLUMN(Z1),1)</f>
        <v>#VALUE!</v>
      </c>
      <c r="AB205" s="2" t="e" cm="1" vm="2">
        <f t="array" aca="1" ref="AB205" ca="1">INDEX($A$5:$A$56,COLUMN(AA1),1)</f>
        <v>#VALUE!</v>
      </c>
      <c r="AC205" s="2" t="e" cm="1" vm="2">
        <f t="array" aca="1" ref="AC205" ca="1">INDEX($A$5:$A$56,COLUMN(AB1),1)</f>
        <v>#VALUE!</v>
      </c>
      <c r="AD205" s="2" t="e" cm="1" vm="2">
        <f t="array" aca="1" ref="AD205" ca="1">INDEX($A$5:$A$56,COLUMN(AC1),1)</f>
        <v>#VALUE!</v>
      </c>
      <c r="AE205" s="2" t="e" cm="1" vm="2">
        <f t="array" aca="1" ref="AE205" ca="1">INDEX($A$5:$A$56,COLUMN(AD1),1)</f>
        <v>#VALUE!</v>
      </c>
      <c r="AF205" s="2" t="e" cm="1" vm="2">
        <f t="array" aca="1" ref="AF205" ca="1">INDEX($A$5:$A$56,COLUMN(AE1),1)</f>
        <v>#VALUE!</v>
      </c>
      <c r="AG205" s="2" t="e" cm="1" vm="2">
        <f t="array" aca="1" ref="AG205" ca="1">INDEX($A$5:$A$56,COLUMN(AF1),1)</f>
        <v>#VALUE!</v>
      </c>
      <c r="AH205" s="2" t="e" cm="1" vm="2">
        <f t="array" aca="1" ref="AH205" ca="1">INDEX($A$5:$A$56,COLUMN(AG1),1)</f>
        <v>#VALUE!</v>
      </c>
      <c r="AI205" s="2" t="e" cm="1" vm="2">
        <f t="array" aca="1" ref="AI205" ca="1">INDEX($A$5:$A$56,COLUMN(AH1),1)</f>
        <v>#VALUE!</v>
      </c>
      <c r="AJ205" s="2" t="e" cm="1" vm="2">
        <f t="array" aca="1" ref="AJ205" ca="1">INDEX($A$5:$A$56,COLUMN(AI1),1)</f>
        <v>#VALUE!</v>
      </c>
      <c r="AK205" s="2" t="e" cm="1" vm="2">
        <f t="array" aca="1" ref="AK205" ca="1">INDEX($A$5:$A$56,COLUMN(AJ1),1)</f>
        <v>#VALUE!</v>
      </c>
      <c r="AL205" s="2" t="e" cm="1" vm="2">
        <f t="array" aca="1" ref="AL205" ca="1">INDEX($A$5:$A$56,COLUMN(AK1),1)</f>
        <v>#VALUE!</v>
      </c>
      <c r="AM205" s="2" t="e" cm="1" vm="2">
        <f t="array" aca="1" ref="AM205" ca="1">INDEX($A$5:$A$56,COLUMN(AL1),1)</f>
        <v>#VALUE!</v>
      </c>
      <c r="AN205" s="2" t="e" cm="1" vm="2">
        <f t="array" aca="1" ref="AN205" ca="1">INDEX($A$5:$A$56,COLUMN(AM1),1)</f>
        <v>#VALUE!</v>
      </c>
      <c r="AO205" s="2" t="e" cm="1" vm="2">
        <f t="array" aca="1" ref="AO205" ca="1">INDEX($A$5:$A$56,COLUMN(AN1),1)</f>
        <v>#VALUE!</v>
      </c>
      <c r="AP205" s="2" t="e" cm="1" vm="2">
        <f t="array" aca="1" ref="AP205" ca="1">INDEX($A$5:$A$56,COLUMN(AO1),1)</f>
        <v>#VALUE!</v>
      </c>
      <c r="AQ205" s="2" t="e" cm="1" vm="2">
        <f t="array" aca="1" ref="AQ205" ca="1">INDEX($A$5:$A$56,COLUMN(AP1),1)</f>
        <v>#VALUE!</v>
      </c>
      <c r="AR205" s="2" t="e" cm="1" vm="2">
        <f t="array" aca="1" ref="AR205" ca="1">INDEX($A$5:$A$56,COLUMN(AQ1),1)</f>
        <v>#VALUE!</v>
      </c>
      <c r="AS205" s="2" t="e" cm="1" vm="2">
        <f t="array" aca="1" ref="AS205" ca="1">INDEX($A$5:$A$56,COLUMN(AR1),1)</f>
        <v>#VALUE!</v>
      </c>
      <c r="AT205" s="2" t="e" cm="1" vm="2">
        <f t="array" aca="1" ref="AT205" ca="1">INDEX($A$5:$A$56,COLUMN(AS1),1)</f>
        <v>#VALUE!</v>
      </c>
      <c r="AU205" s="2" t="e" cm="1" vm="2">
        <f t="array" aca="1" ref="AU205" ca="1">INDEX($A$5:$A$56,COLUMN(AT1),1)</f>
        <v>#VALUE!</v>
      </c>
      <c r="AV205" s="2" t="e" cm="1" vm="2">
        <f t="array" aca="1" ref="AV205" ca="1">INDEX($A$5:$A$56,COLUMN(AU1),1)</f>
        <v>#VALUE!</v>
      </c>
      <c r="AW205" s="2" t="e" cm="1" vm="2">
        <f t="array" aca="1" ref="AW205" ca="1">INDEX($A$5:$A$56,COLUMN(AV1),1)</f>
        <v>#VALUE!</v>
      </c>
      <c r="AX205" s="2" t="e" cm="1" vm="2">
        <f t="array" aca="1" ref="AX205" ca="1">INDEX($A$5:$A$56,COLUMN(AW1),1)</f>
        <v>#VALUE!</v>
      </c>
      <c r="AY205" s="2" t="e" cm="1" vm="2">
        <f t="array" aca="1" ref="AY205" ca="1">INDEX($A$5:$A$56,COLUMN(AX1),1)</f>
        <v>#VALUE!</v>
      </c>
      <c r="AZ205" s="2" t="e" cm="1" vm="2">
        <f t="array" aca="1" ref="AZ205" ca="1">INDEX($A$5:$A$56,COLUMN(AY1),1)</f>
        <v>#VALUE!</v>
      </c>
      <c r="BA205" s="2" t="e" cm="1" vm="2">
        <f t="array" aca="1" ref="BA205" ca="1">INDEX($A$5:$A$56,COLUMN(AZ1),1)</f>
        <v>#VALUE!</v>
      </c>
      <c r="BC205" t="s">
        <v>125</v>
      </c>
    </row>
    <row r="206" spans="1:101" x14ac:dyDescent="0.35">
      <c r="A206" s="2" t="str" cm="1">
        <f t="array" ref="A206">INDEX('Data Validation (Hide)'!$B$2:$B$16,ROW(A1),1)</f>
        <v>Caseload 1</v>
      </c>
      <c r="B206">
        <f ca="1">IFERROR(SUMIFS(INDEX($B$135:$CW$186,MATCH(B$205,$A$135:$A$186,0),1):INDEX($B$135:$CW$186,MATCH(B$205,$A$135:$A$186,0),100),$B189:$CW189,"="&amp;"x",$B$133:$CW$133,"="&amp;"N"),0)</f>
        <v>0</v>
      </c>
      <c r="C206">
        <f ca="1">IFERROR(SUMIFS(INDEX($B$135:$CW$186,MATCH(C$205,$A$135:$A$186,0),1):INDEX($B$135:$CW$186,MATCH(C$205,$A$135:$A$186,0),100),$B189:$CW189,"="&amp;"x",$B$133:$CW$133,"="&amp;"N"),0)</f>
        <v>0</v>
      </c>
      <c r="D206">
        <f ca="1">IFERROR(SUMIFS(INDEX($B$135:$CW$186,MATCH(D$205,$A$135:$A$186,0),1):INDEX($B$135:$CW$186,MATCH(D$205,$A$135:$A$186,0),100),$B189:$CW189,"="&amp;"x",$B$133:$CW$133,"="&amp;"N"),0)</f>
        <v>0</v>
      </c>
      <c r="E206">
        <f ca="1">IFERROR(SUMIFS(INDEX($B$135:$CW$186,MATCH(E$205,$A$135:$A$186,0),1):INDEX($B$135:$CW$186,MATCH(E$205,$A$135:$A$186,0),100),$B189:$CW189,"="&amp;"x",$B$133:$CW$133,"="&amp;"N"),0)</f>
        <v>0</v>
      </c>
      <c r="F206">
        <f ca="1">IFERROR(SUMIFS(INDEX($B$135:$CW$186,MATCH(F$205,$A$135:$A$186,0),1):INDEX($B$135:$CW$186,MATCH(F$205,$A$135:$A$186,0),100),$B189:$CW189,"="&amp;"x",$B$133:$CW$133,"="&amp;"N"),0)</f>
        <v>0</v>
      </c>
      <c r="G206">
        <f ca="1">IFERROR(SUMIFS(INDEX($B$135:$CW$186,MATCH(G$205,$A$135:$A$186,0),1):INDEX($B$135:$CW$186,MATCH(G$205,$A$135:$A$186,0),100),$B189:$CW189,"="&amp;"x",$B$133:$CW$133,"="&amp;"N"),0)</f>
        <v>0</v>
      </c>
      <c r="H206">
        <f ca="1">IFERROR(SUMIFS(INDEX($B$135:$CW$186,MATCH(H$205,$A$135:$A$186,0),1):INDEX($B$135:$CW$186,MATCH(H$205,$A$135:$A$186,0),100),$B189:$CW189,"="&amp;"x",$B$133:$CW$133,"="&amp;"N"),0)</f>
        <v>0</v>
      </c>
      <c r="I206">
        <f ca="1">IFERROR(SUMIFS(INDEX($B$135:$CW$186,MATCH(I$205,$A$135:$A$186,0),1):INDEX($B$135:$CW$186,MATCH(I$205,$A$135:$A$186,0),100),$B189:$CW189,"="&amp;"x",$B$133:$CW$133,"="&amp;"N"),0)</f>
        <v>0</v>
      </c>
      <c r="J206">
        <f ca="1">IFERROR(SUMIFS(INDEX($B$135:$CW$186,MATCH(J$205,$A$135:$A$186,0),1):INDEX($B$135:$CW$186,MATCH(J$205,$A$135:$A$186,0),100),$B189:$CW189,"="&amp;"x",$B$133:$CW$133,"="&amp;"N"),0)</f>
        <v>0</v>
      </c>
      <c r="K206">
        <f ca="1">IFERROR(SUMIFS(INDEX($B$135:$CW$186,MATCH(K$205,$A$135:$A$186,0),1):INDEX($B$135:$CW$186,MATCH(K$205,$A$135:$A$186,0),100),$B189:$CW189,"="&amp;"x",$B$133:$CW$133,"="&amp;"N"),0)</f>
        <v>0</v>
      </c>
      <c r="L206">
        <f ca="1">IFERROR(SUMIFS(INDEX($B$135:$CW$186,MATCH(L$205,$A$135:$A$186,0),1):INDEX($B$135:$CW$186,MATCH(L$205,$A$135:$A$186,0),100),$B189:$CW189,"="&amp;"x",$B$133:$CW$133,"="&amp;"N"),0)</f>
        <v>0</v>
      </c>
      <c r="M206">
        <f ca="1">IFERROR(SUMIFS(INDEX($B$135:$CW$186,MATCH(M$205,$A$135:$A$186,0),1):INDEX($B$135:$CW$186,MATCH(M$205,$A$135:$A$186,0),100),$B189:$CW189,"="&amp;"x",$B$133:$CW$133,"="&amp;"N"),0)</f>
        <v>0</v>
      </c>
      <c r="N206">
        <f ca="1">IFERROR(SUMIFS(INDEX($B$135:$CW$186,MATCH(N$205,$A$135:$A$186,0),1):INDEX($B$135:$CW$186,MATCH(N$205,$A$135:$A$186,0),100),$B189:$CW189,"="&amp;"x",$B$133:$CW$133,"="&amp;"N"),0)</f>
        <v>0</v>
      </c>
      <c r="O206">
        <f ca="1">IFERROR(SUMIFS(INDEX($B$135:$CW$186,MATCH(O$205,$A$135:$A$186,0),1):INDEX($B$135:$CW$186,MATCH(O$205,$A$135:$A$186,0),100),$B189:$CW189,"="&amp;"x",$B$133:$CW$133,"="&amp;"N"),0)</f>
        <v>0</v>
      </c>
      <c r="P206">
        <f ca="1">IFERROR(SUMIFS(INDEX($B$135:$CW$186,MATCH(P$205,$A$135:$A$186,0),1):INDEX($B$135:$CW$186,MATCH(P$205,$A$135:$A$186,0),100),$B189:$CW189,"="&amp;"x",$B$133:$CW$133,"="&amp;"N"),0)</f>
        <v>0</v>
      </c>
      <c r="Q206">
        <f ca="1">IFERROR(SUMIFS(INDEX($B$135:$CW$186,MATCH(Q$205,$A$135:$A$186,0),1):INDEX($B$135:$CW$186,MATCH(Q$205,$A$135:$A$186,0),100),$B189:$CW189,"="&amp;"x",$B$133:$CW$133,"="&amp;"N"),0)</f>
        <v>0</v>
      </c>
      <c r="R206">
        <f ca="1">IFERROR(SUMIFS(INDEX($B$135:$CW$186,MATCH(R$205,$A$135:$A$186,0),1):INDEX($B$135:$CW$186,MATCH(R$205,$A$135:$A$186,0),100),$B189:$CW189,"="&amp;"x",$B$133:$CW$133,"="&amp;"N"),0)</f>
        <v>0</v>
      </c>
      <c r="S206">
        <f ca="1">IFERROR(SUMIFS(INDEX($B$135:$CW$186,MATCH(S$205,$A$135:$A$186,0),1):INDEX($B$135:$CW$186,MATCH(S$205,$A$135:$A$186,0),100),$B189:$CW189,"="&amp;"x",$B$133:$CW$133,"="&amp;"N"),0)</f>
        <v>0</v>
      </c>
      <c r="T206">
        <f ca="1">IFERROR(SUMIFS(INDEX($B$135:$CW$186,MATCH(T$205,$A$135:$A$186,0),1):INDEX($B$135:$CW$186,MATCH(T$205,$A$135:$A$186,0),100),$B189:$CW189,"="&amp;"x",$B$133:$CW$133,"="&amp;"N"),0)</f>
        <v>0</v>
      </c>
      <c r="U206">
        <f ca="1">IFERROR(SUMIFS(INDEX($B$135:$CW$186,MATCH(U$205,$A$135:$A$186,0),1):INDEX($B$135:$CW$186,MATCH(U$205,$A$135:$A$186,0),100),$B189:$CW189,"="&amp;"x",$B$133:$CW$133,"="&amp;"N"),0)</f>
        <v>0</v>
      </c>
      <c r="V206">
        <f ca="1">IFERROR(SUMIFS(INDEX($B$135:$CW$186,MATCH(V$205,$A$135:$A$186,0),1):INDEX($B$135:$CW$186,MATCH(V$205,$A$135:$A$186,0),100),$B189:$CW189,"="&amp;"x",$B$133:$CW$133,"="&amp;"N"),0)</f>
        <v>0</v>
      </c>
      <c r="W206">
        <f ca="1">IFERROR(SUMIFS(INDEX($B$135:$CW$186,MATCH(W$205,$A$135:$A$186,0),1):INDEX($B$135:$CW$186,MATCH(W$205,$A$135:$A$186,0),100),$B189:$CW189,"="&amp;"x",$B$133:$CW$133,"="&amp;"N"),0)</f>
        <v>0</v>
      </c>
      <c r="X206">
        <f ca="1">IFERROR(SUMIFS(INDEX($B$135:$CW$186,MATCH(X$205,$A$135:$A$186,0),1):INDEX($B$135:$CW$186,MATCH(X$205,$A$135:$A$186,0),100),$B189:$CW189,"="&amp;"x",$B$133:$CW$133,"="&amp;"N"),0)</f>
        <v>0</v>
      </c>
      <c r="Y206">
        <f ca="1">IFERROR(SUMIFS(INDEX($B$135:$CW$186,MATCH(Y$205,$A$135:$A$186,0),1):INDEX($B$135:$CW$186,MATCH(Y$205,$A$135:$A$186,0),100),$B189:$CW189,"="&amp;"x",$B$133:$CW$133,"="&amp;"N"),0)</f>
        <v>0</v>
      </c>
      <c r="Z206">
        <f ca="1">IFERROR(SUMIFS(INDEX($B$135:$CW$186,MATCH(Z$205,$A$135:$A$186,0),1):INDEX($B$135:$CW$186,MATCH(Z$205,$A$135:$A$186,0),100),$B189:$CW189,"="&amp;"x",$B$133:$CW$133,"="&amp;"N"),0)</f>
        <v>0</v>
      </c>
      <c r="AA206">
        <f ca="1">IFERROR(SUMIFS(INDEX($B$135:$CW$186,MATCH(AA$205,$A$135:$A$186,0),1):INDEX($B$135:$CW$186,MATCH(AA$205,$A$135:$A$186,0),100),$B189:$CW189,"="&amp;"x",$B$133:$CW$133,"="&amp;"N"),0)</f>
        <v>0</v>
      </c>
      <c r="AB206">
        <f ca="1">IFERROR(SUMIFS(INDEX($B$135:$CW$186,MATCH(AB$205,$A$135:$A$186,0),1):INDEX($B$135:$CW$186,MATCH(AB$205,$A$135:$A$186,0),100),$B189:$CW189,"="&amp;"x",$B$133:$CW$133,"="&amp;"N"),0)</f>
        <v>0</v>
      </c>
      <c r="AC206">
        <f ca="1">IFERROR(SUMIFS(INDEX($B$135:$CW$186,MATCH(AC$205,$A$135:$A$186,0),1):INDEX($B$135:$CW$186,MATCH(AC$205,$A$135:$A$186,0),100),$B189:$CW189,"="&amp;"x",$B$133:$CW$133,"="&amp;"N"),0)</f>
        <v>0</v>
      </c>
      <c r="AD206">
        <f ca="1">IFERROR(SUMIFS(INDEX($B$135:$CW$186,MATCH(AD$205,$A$135:$A$186,0),1):INDEX($B$135:$CW$186,MATCH(AD$205,$A$135:$A$186,0),100),$B189:$CW189,"="&amp;"x",$B$133:$CW$133,"="&amp;"N"),0)</f>
        <v>0</v>
      </c>
      <c r="AE206">
        <f ca="1">IFERROR(SUMIFS(INDEX($B$135:$CW$186,MATCH(AE$205,$A$135:$A$186,0),1):INDEX($B$135:$CW$186,MATCH(AE$205,$A$135:$A$186,0),100),$B189:$CW189,"="&amp;"x",$B$133:$CW$133,"="&amp;"N"),0)</f>
        <v>0</v>
      </c>
      <c r="AF206">
        <f ca="1">IFERROR(SUMIFS(INDEX($B$135:$CW$186,MATCH(AF$205,$A$135:$A$186,0),1):INDEX($B$135:$CW$186,MATCH(AF$205,$A$135:$A$186,0),100),$B189:$CW189,"="&amp;"x",$B$133:$CW$133,"="&amp;"N"),0)</f>
        <v>0</v>
      </c>
      <c r="AG206">
        <f ca="1">IFERROR(SUMIFS(INDEX($B$135:$CW$186,MATCH(AG$205,$A$135:$A$186,0),1):INDEX($B$135:$CW$186,MATCH(AG$205,$A$135:$A$186,0),100),$B189:$CW189,"="&amp;"x",$B$133:$CW$133,"="&amp;"N"),0)</f>
        <v>0</v>
      </c>
      <c r="AH206">
        <f ca="1">IFERROR(SUMIFS(INDEX($B$135:$CW$186,MATCH(AH$205,$A$135:$A$186,0),1):INDEX($B$135:$CW$186,MATCH(AH$205,$A$135:$A$186,0),100),$B189:$CW189,"="&amp;"x",$B$133:$CW$133,"="&amp;"N"),0)</f>
        <v>0</v>
      </c>
      <c r="AI206">
        <f ca="1">IFERROR(SUMIFS(INDEX($B$135:$CW$186,MATCH(AI$205,$A$135:$A$186,0),1):INDEX($B$135:$CW$186,MATCH(AI$205,$A$135:$A$186,0),100),$B189:$CW189,"="&amp;"x",$B$133:$CW$133,"="&amp;"N"),0)</f>
        <v>0</v>
      </c>
      <c r="AJ206">
        <f ca="1">IFERROR(SUMIFS(INDEX($B$135:$CW$186,MATCH(AJ$205,$A$135:$A$186,0),1):INDEX($B$135:$CW$186,MATCH(AJ$205,$A$135:$A$186,0),100),$B189:$CW189,"="&amp;"x",$B$133:$CW$133,"="&amp;"N"),0)</f>
        <v>0</v>
      </c>
      <c r="AK206">
        <f ca="1">IFERROR(SUMIFS(INDEX($B$135:$CW$186,MATCH(AK$205,$A$135:$A$186,0),1):INDEX($B$135:$CW$186,MATCH(AK$205,$A$135:$A$186,0),100),$B189:$CW189,"="&amp;"x",$B$133:$CW$133,"="&amp;"N"),0)</f>
        <v>0</v>
      </c>
      <c r="AL206">
        <f ca="1">IFERROR(SUMIFS(INDEX($B$135:$CW$186,MATCH(AL$205,$A$135:$A$186,0),1):INDEX($B$135:$CW$186,MATCH(AL$205,$A$135:$A$186,0),100),$B189:$CW189,"="&amp;"x",$B$133:$CW$133,"="&amp;"N"),0)</f>
        <v>0</v>
      </c>
      <c r="AM206">
        <f ca="1">IFERROR(SUMIFS(INDEX($B$135:$CW$186,MATCH(AM$205,$A$135:$A$186,0),1):INDEX($B$135:$CW$186,MATCH(AM$205,$A$135:$A$186,0),100),$B189:$CW189,"="&amp;"x",$B$133:$CW$133,"="&amp;"N"),0)</f>
        <v>0</v>
      </c>
      <c r="AN206">
        <f ca="1">IFERROR(SUMIFS(INDEX($B$135:$CW$186,MATCH(AN$205,$A$135:$A$186,0),1):INDEX($B$135:$CW$186,MATCH(AN$205,$A$135:$A$186,0),100),$B189:$CW189,"="&amp;"x",$B$133:$CW$133,"="&amp;"N"),0)</f>
        <v>0</v>
      </c>
      <c r="AO206">
        <f ca="1">IFERROR(SUMIFS(INDEX($B$135:$CW$186,MATCH(AO$205,$A$135:$A$186,0),1):INDEX($B$135:$CW$186,MATCH(AO$205,$A$135:$A$186,0),100),$B189:$CW189,"="&amp;"x",$B$133:$CW$133,"="&amp;"N"),0)</f>
        <v>0</v>
      </c>
      <c r="AP206">
        <f ca="1">IFERROR(SUMIFS(INDEX($B$135:$CW$186,MATCH(AP$205,$A$135:$A$186,0),1):INDEX($B$135:$CW$186,MATCH(AP$205,$A$135:$A$186,0),100),$B189:$CW189,"="&amp;"x",$B$133:$CW$133,"="&amp;"N"),0)</f>
        <v>0</v>
      </c>
      <c r="AQ206">
        <f ca="1">IFERROR(SUMIFS(INDEX($B$135:$CW$186,MATCH(AQ$205,$A$135:$A$186,0),1):INDEX($B$135:$CW$186,MATCH(AQ$205,$A$135:$A$186,0),100),$B189:$CW189,"="&amp;"x",$B$133:$CW$133,"="&amp;"N"),0)</f>
        <v>0</v>
      </c>
      <c r="AR206">
        <f ca="1">IFERROR(SUMIFS(INDEX($B$135:$CW$186,MATCH(AR$205,$A$135:$A$186,0),1):INDEX($B$135:$CW$186,MATCH(AR$205,$A$135:$A$186,0),100),$B189:$CW189,"="&amp;"x",$B$133:$CW$133,"="&amp;"N"),0)</f>
        <v>0</v>
      </c>
      <c r="AS206">
        <f ca="1">IFERROR(SUMIFS(INDEX($B$135:$CW$186,MATCH(AS$205,$A$135:$A$186,0),1):INDEX($B$135:$CW$186,MATCH(AS$205,$A$135:$A$186,0),100),$B189:$CW189,"="&amp;"x",$B$133:$CW$133,"="&amp;"N"),0)</f>
        <v>0</v>
      </c>
      <c r="AT206">
        <f ca="1">IFERROR(SUMIFS(INDEX($B$135:$CW$186,MATCH(AT$205,$A$135:$A$186,0),1):INDEX($B$135:$CW$186,MATCH(AT$205,$A$135:$A$186,0),100),$B189:$CW189,"="&amp;"x",$B$133:$CW$133,"="&amp;"N"),0)</f>
        <v>0</v>
      </c>
      <c r="AU206">
        <f ca="1">IFERROR(SUMIFS(INDEX($B$135:$CW$186,MATCH(AU$205,$A$135:$A$186,0),1):INDEX($B$135:$CW$186,MATCH(AU$205,$A$135:$A$186,0),100),$B189:$CW189,"="&amp;"x",$B$133:$CW$133,"="&amp;"N"),0)</f>
        <v>0</v>
      </c>
      <c r="AV206">
        <f ca="1">IFERROR(SUMIFS(INDEX($B$135:$CW$186,MATCH(AV$205,$A$135:$A$186,0),1):INDEX($B$135:$CW$186,MATCH(AV$205,$A$135:$A$186,0),100),$B189:$CW189,"="&amp;"x",$B$133:$CW$133,"="&amp;"N"),0)</f>
        <v>0</v>
      </c>
      <c r="AW206">
        <f ca="1">IFERROR(SUMIFS(INDEX($B$135:$CW$186,MATCH(AW$205,$A$135:$A$186,0),1):INDEX($B$135:$CW$186,MATCH(AW$205,$A$135:$A$186,0),100),$B189:$CW189,"="&amp;"x",$B$133:$CW$133,"="&amp;"N"),0)</f>
        <v>0</v>
      </c>
      <c r="AX206">
        <f ca="1">IFERROR(SUMIFS(INDEX($B$135:$CW$186,MATCH(AX$205,$A$135:$A$186,0),1):INDEX($B$135:$CW$186,MATCH(AX$205,$A$135:$A$186,0),100),$B189:$CW189,"="&amp;"x",$B$133:$CW$133,"="&amp;"N"),0)</f>
        <v>0</v>
      </c>
      <c r="AY206">
        <f ca="1">IFERROR(SUMIFS(INDEX($B$135:$CW$186,MATCH(AY$205,$A$135:$A$186,0),1):INDEX($B$135:$CW$186,MATCH(AY$205,$A$135:$A$186,0),100),$B189:$CW189,"="&amp;"x",$B$133:$CW$133,"="&amp;"N"),0)</f>
        <v>0</v>
      </c>
      <c r="AZ206">
        <f ca="1">IFERROR(SUMIFS(INDEX($B$135:$CW$186,MATCH(AZ$205,$A$135:$A$186,0),1):INDEX($B$135:$CW$186,MATCH(AZ$205,$A$135:$A$186,0),100),$B189:$CW189,"="&amp;"x",$B$133:$CW$133,"="&amp;"N"),0)</f>
        <v>0</v>
      </c>
      <c r="BA206">
        <f ca="1">IFERROR(SUMIFS(INDEX($B$135:$CW$186,MATCH(BA$205,$A$135:$A$186,0),1):INDEX($B$135:$CW$186,MATCH(BA$205,$A$135:$A$186,0),100),$B189:$CW189,"="&amp;"x",$B$133:$CW$133,"="&amp;"N"),0)</f>
        <v>0</v>
      </c>
      <c r="BC206">
        <f ca="1">AVERAGE(B206:BA206)</f>
        <v>0</v>
      </c>
    </row>
    <row r="207" spans="1:101" x14ac:dyDescent="0.35">
      <c r="A207" s="2" t="str" cm="1">
        <f t="array" ref="A207">INDEX('Data Validation (Hide)'!$B$2:$B$16,ROW(A2),1)</f>
        <v>Caseload 2</v>
      </c>
      <c r="B207">
        <f ca="1">IFERROR(SUMIFS(INDEX($B$135:$CW$186,MATCH(B$205,$A$135:$A$186,0),1):INDEX($B$135:$CW$186,MATCH(B$205,$A$135:$A$186,0),100),$B190:$CW190,"="&amp;"x",$B$133:$CW$133,"="&amp;"N"),0)</f>
        <v>0</v>
      </c>
      <c r="C207">
        <f ca="1">IFERROR(SUMIFS(INDEX($B$135:$CW$186,MATCH(C$205,$A$135:$A$186,0),1):INDEX($B$135:$CW$186,MATCH(C$205,$A$135:$A$186,0),100),$B190:$CW190,"="&amp;"x",$B$133:$CW$133,"="&amp;"N"),0)</f>
        <v>0</v>
      </c>
      <c r="D207">
        <f ca="1">IFERROR(SUMIFS(INDEX($B$135:$CW$186,MATCH(D$205,$A$135:$A$186,0),1):INDEX($B$135:$CW$186,MATCH(D$205,$A$135:$A$186,0),100),$B190:$CW190,"="&amp;"x",$B$133:$CW$133,"="&amp;"N"),0)</f>
        <v>0</v>
      </c>
      <c r="E207">
        <f ca="1">IFERROR(SUMIFS(INDEX($B$135:$CW$186,MATCH(E$205,$A$135:$A$186,0),1):INDEX($B$135:$CW$186,MATCH(E$205,$A$135:$A$186,0),100),$B190:$CW190,"="&amp;"x",$B$133:$CW$133,"="&amp;"N"),0)</f>
        <v>0</v>
      </c>
      <c r="F207">
        <f ca="1">IFERROR(SUMIFS(INDEX($B$135:$CW$186,MATCH(F$205,$A$135:$A$186,0),1):INDEX($B$135:$CW$186,MATCH(F$205,$A$135:$A$186,0),100),$B190:$CW190,"="&amp;"x",$B$133:$CW$133,"="&amp;"N"),0)</f>
        <v>0</v>
      </c>
      <c r="G207">
        <f ca="1">IFERROR(SUMIFS(INDEX($B$135:$CW$186,MATCH(G$205,$A$135:$A$186,0),1):INDEX($B$135:$CW$186,MATCH(G$205,$A$135:$A$186,0),100),$B190:$CW190,"="&amp;"x",$B$133:$CW$133,"="&amp;"N"),0)</f>
        <v>0</v>
      </c>
      <c r="H207">
        <f ca="1">IFERROR(SUMIFS(INDEX($B$135:$CW$186,MATCH(H$205,$A$135:$A$186,0),1):INDEX($B$135:$CW$186,MATCH(H$205,$A$135:$A$186,0),100),$B190:$CW190,"="&amp;"x",$B$133:$CW$133,"="&amp;"N"),0)</f>
        <v>0</v>
      </c>
      <c r="I207">
        <f ca="1">IFERROR(SUMIFS(INDEX($B$135:$CW$186,MATCH(I$205,$A$135:$A$186,0),1):INDEX($B$135:$CW$186,MATCH(I$205,$A$135:$A$186,0),100),$B190:$CW190,"="&amp;"x",$B$133:$CW$133,"="&amp;"N"),0)</f>
        <v>0</v>
      </c>
      <c r="J207">
        <f ca="1">IFERROR(SUMIFS(INDEX($B$135:$CW$186,MATCH(J$205,$A$135:$A$186,0),1):INDEX($B$135:$CW$186,MATCH(J$205,$A$135:$A$186,0),100),$B190:$CW190,"="&amp;"x",$B$133:$CW$133,"="&amp;"N"),0)</f>
        <v>0</v>
      </c>
      <c r="K207">
        <f ca="1">IFERROR(SUMIFS(INDEX($B$135:$CW$186,MATCH(K$205,$A$135:$A$186,0),1):INDEX($B$135:$CW$186,MATCH(K$205,$A$135:$A$186,0),100),$B190:$CW190,"="&amp;"x",$B$133:$CW$133,"="&amp;"N"),0)</f>
        <v>0</v>
      </c>
      <c r="L207">
        <f ca="1">IFERROR(SUMIFS(INDEX($B$135:$CW$186,MATCH(L$205,$A$135:$A$186,0),1):INDEX($B$135:$CW$186,MATCH(L$205,$A$135:$A$186,0),100),$B190:$CW190,"="&amp;"x",$B$133:$CW$133,"="&amp;"N"),0)</f>
        <v>0</v>
      </c>
      <c r="M207">
        <f ca="1">IFERROR(SUMIFS(INDEX($B$135:$CW$186,MATCH(M$205,$A$135:$A$186,0),1):INDEX($B$135:$CW$186,MATCH(M$205,$A$135:$A$186,0),100),$B190:$CW190,"="&amp;"x",$B$133:$CW$133,"="&amp;"N"),0)</f>
        <v>0</v>
      </c>
      <c r="N207">
        <f ca="1">IFERROR(SUMIFS(INDEX($B$135:$CW$186,MATCH(N$205,$A$135:$A$186,0),1):INDEX($B$135:$CW$186,MATCH(N$205,$A$135:$A$186,0),100),$B190:$CW190,"="&amp;"x",$B$133:$CW$133,"="&amp;"N"),0)</f>
        <v>0</v>
      </c>
      <c r="O207">
        <f ca="1">IFERROR(SUMIFS(INDEX($B$135:$CW$186,MATCH(O$205,$A$135:$A$186,0),1):INDEX($B$135:$CW$186,MATCH(O$205,$A$135:$A$186,0),100),$B190:$CW190,"="&amp;"x",$B$133:$CW$133,"="&amp;"N"),0)</f>
        <v>0</v>
      </c>
      <c r="P207">
        <f ca="1">IFERROR(SUMIFS(INDEX($B$135:$CW$186,MATCH(P$205,$A$135:$A$186,0),1):INDEX($B$135:$CW$186,MATCH(P$205,$A$135:$A$186,0),100),$B190:$CW190,"="&amp;"x",$B$133:$CW$133,"="&amp;"N"),0)</f>
        <v>0</v>
      </c>
      <c r="Q207">
        <f ca="1">IFERROR(SUMIFS(INDEX($B$135:$CW$186,MATCH(Q$205,$A$135:$A$186,0),1):INDEX($B$135:$CW$186,MATCH(Q$205,$A$135:$A$186,0),100),$B190:$CW190,"="&amp;"x",$B$133:$CW$133,"="&amp;"N"),0)</f>
        <v>0</v>
      </c>
      <c r="R207">
        <f ca="1">IFERROR(SUMIFS(INDEX($B$135:$CW$186,MATCH(R$205,$A$135:$A$186,0),1):INDEX($B$135:$CW$186,MATCH(R$205,$A$135:$A$186,0),100),$B190:$CW190,"="&amp;"x",$B$133:$CW$133,"="&amp;"N"),0)</f>
        <v>0</v>
      </c>
      <c r="S207">
        <f ca="1">IFERROR(SUMIFS(INDEX($B$135:$CW$186,MATCH(S$205,$A$135:$A$186,0),1):INDEX($B$135:$CW$186,MATCH(S$205,$A$135:$A$186,0),100),$B190:$CW190,"="&amp;"x",$B$133:$CW$133,"="&amp;"N"),0)</f>
        <v>0</v>
      </c>
      <c r="T207">
        <f ca="1">IFERROR(SUMIFS(INDEX($B$135:$CW$186,MATCH(T$205,$A$135:$A$186,0),1):INDEX($B$135:$CW$186,MATCH(T$205,$A$135:$A$186,0),100),$B190:$CW190,"="&amp;"x",$B$133:$CW$133,"="&amp;"N"),0)</f>
        <v>0</v>
      </c>
      <c r="U207">
        <f ca="1">IFERROR(SUMIFS(INDEX($B$135:$CW$186,MATCH(U$205,$A$135:$A$186,0),1):INDEX($B$135:$CW$186,MATCH(U$205,$A$135:$A$186,0),100),$B190:$CW190,"="&amp;"x",$B$133:$CW$133,"="&amp;"N"),0)</f>
        <v>0</v>
      </c>
      <c r="V207">
        <f ca="1">IFERROR(SUMIFS(INDEX($B$135:$CW$186,MATCH(V$205,$A$135:$A$186,0),1):INDEX($B$135:$CW$186,MATCH(V$205,$A$135:$A$186,0),100),$B190:$CW190,"="&amp;"x",$B$133:$CW$133,"="&amp;"N"),0)</f>
        <v>0</v>
      </c>
      <c r="W207">
        <f ca="1">IFERROR(SUMIFS(INDEX($B$135:$CW$186,MATCH(W$205,$A$135:$A$186,0),1):INDEX($B$135:$CW$186,MATCH(W$205,$A$135:$A$186,0),100),$B190:$CW190,"="&amp;"x",$B$133:$CW$133,"="&amp;"N"),0)</f>
        <v>0</v>
      </c>
      <c r="X207">
        <f ca="1">IFERROR(SUMIFS(INDEX($B$135:$CW$186,MATCH(X$205,$A$135:$A$186,0),1):INDEX($B$135:$CW$186,MATCH(X$205,$A$135:$A$186,0),100),$B190:$CW190,"="&amp;"x",$B$133:$CW$133,"="&amp;"N"),0)</f>
        <v>0</v>
      </c>
      <c r="Y207">
        <f ca="1">IFERROR(SUMIFS(INDEX($B$135:$CW$186,MATCH(Y$205,$A$135:$A$186,0),1):INDEX($B$135:$CW$186,MATCH(Y$205,$A$135:$A$186,0),100),$B190:$CW190,"="&amp;"x",$B$133:$CW$133,"="&amp;"N"),0)</f>
        <v>0</v>
      </c>
      <c r="Z207">
        <f ca="1">IFERROR(SUMIFS(INDEX($B$135:$CW$186,MATCH(Z$205,$A$135:$A$186,0),1):INDEX($B$135:$CW$186,MATCH(Z$205,$A$135:$A$186,0),100),$B190:$CW190,"="&amp;"x",$B$133:$CW$133,"="&amp;"N"),0)</f>
        <v>0</v>
      </c>
      <c r="AA207">
        <f ca="1">IFERROR(SUMIFS(INDEX($B$135:$CW$186,MATCH(AA$205,$A$135:$A$186,0),1):INDEX($B$135:$CW$186,MATCH(AA$205,$A$135:$A$186,0),100),$B190:$CW190,"="&amp;"x",$B$133:$CW$133,"="&amp;"N"),0)</f>
        <v>0</v>
      </c>
      <c r="AB207">
        <f ca="1">IFERROR(SUMIFS(INDEX($B$135:$CW$186,MATCH(AB$205,$A$135:$A$186,0),1):INDEX($B$135:$CW$186,MATCH(AB$205,$A$135:$A$186,0),100),$B190:$CW190,"="&amp;"x",$B$133:$CW$133,"="&amp;"N"),0)</f>
        <v>0</v>
      </c>
      <c r="AC207">
        <f ca="1">IFERROR(SUMIFS(INDEX($B$135:$CW$186,MATCH(AC$205,$A$135:$A$186,0),1):INDEX($B$135:$CW$186,MATCH(AC$205,$A$135:$A$186,0),100),$B190:$CW190,"="&amp;"x",$B$133:$CW$133,"="&amp;"N"),0)</f>
        <v>0</v>
      </c>
      <c r="AD207">
        <f ca="1">IFERROR(SUMIFS(INDEX($B$135:$CW$186,MATCH(AD$205,$A$135:$A$186,0),1):INDEX($B$135:$CW$186,MATCH(AD$205,$A$135:$A$186,0),100),$B190:$CW190,"="&amp;"x",$B$133:$CW$133,"="&amp;"N"),0)</f>
        <v>0</v>
      </c>
      <c r="AE207">
        <f ca="1">IFERROR(SUMIFS(INDEX($B$135:$CW$186,MATCH(AE$205,$A$135:$A$186,0),1):INDEX($B$135:$CW$186,MATCH(AE$205,$A$135:$A$186,0),100),$B190:$CW190,"="&amp;"x",$B$133:$CW$133,"="&amp;"N"),0)</f>
        <v>0</v>
      </c>
      <c r="AF207">
        <f ca="1">IFERROR(SUMIFS(INDEX($B$135:$CW$186,MATCH(AF$205,$A$135:$A$186,0),1):INDEX($B$135:$CW$186,MATCH(AF$205,$A$135:$A$186,0),100),$B190:$CW190,"="&amp;"x",$B$133:$CW$133,"="&amp;"N"),0)</f>
        <v>0</v>
      </c>
      <c r="AG207">
        <f ca="1">IFERROR(SUMIFS(INDEX($B$135:$CW$186,MATCH(AG$205,$A$135:$A$186,0),1):INDEX($B$135:$CW$186,MATCH(AG$205,$A$135:$A$186,0),100),$B190:$CW190,"="&amp;"x",$B$133:$CW$133,"="&amp;"N"),0)</f>
        <v>0</v>
      </c>
      <c r="AH207">
        <f ca="1">IFERROR(SUMIFS(INDEX($B$135:$CW$186,MATCH(AH$205,$A$135:$A$186,0),1):INDEX($B$135:$CW$186,MATCH(AH$205,$A$135:$A$186,0),100),$B190:$CW190,"="&amp;"x",$B$133:$CW$133,"="&amp;"N"),0)</f>
        <v>0</v>
      </c>
      <c r="AI207">
        <f ca="1">IFERROR(SUMIFS(INDEX($B$135:$CW$186,MATCH(AI$205,$A$135:$A$186,0),1):INDEX($B$135:$CW$186,MATCH(AI$205,$A$135:$A$186,0),100),$B190:$CW190,"="&amp;"x",$B$133:$CW$133,"="&amp;"N"),0)</f>
        <v>0</v>
      </c>
      <c r="AJ207">
        <f ca="1">IFERROR(SUMIFS(INDEX($B$135:$CW$186,MATCH(AJ$205,$A$135:$A$186,0),1):INDEX($B$135:$CW$186,MATCH(AJ$205,$A$135:$A$186,0),100),$B190:$CW190,"="&amp;"x",$B$133:$CW$133,"="&amp;"N"),0)</f>
        <v>0</v>
      </c>
      <c r="AK207">
        <f ca="1">IFERROR(SUMIFS(INDEX($B$135:$CW$186,MATCH(AK$205,$A$135:$A$186,0),1):INDEX($B$135:$CW$186,MATCH(AK$205,$A$135:$A$186,0),100),$B190:$CW190,"="&amp;"x",$B$133:$CW$133,"="&amp;"N"),0)</f>
        <v>0</v>
      </c>
      <c r="AL207">
        <f ca="1">IFERROR(SUMIFS(INDEX($B$135:$CW$186,MATCH(AL$205,$A$135:$A$186,0),1):INDEX($B$135:$CW$186,MATCH(AL$205,$A$135:$A$186,0),100),$B190:$CW190,"="&amp;"x",$B$133:$CW$133,"="&amp;"N"),0)</f>
        <v>0</v>
      </c>
      <c r="AM207">
        <f ca="1">IFERROR(SUMIFS(INDEX($B$135:$CW$186,MATCH(AM$205,$A$135:$A$186,0),1):INDEX($B$135:$CW$186,MATCH(AM$205,$A$135:$A$186,0),100),$B190:$CW190,"="&amp;"x",$B$133:$CW$133,"="&amp;"N"),0)</f>
        <v>0</v>
      </c>
      <c r="AN207">
        <f ca="1">IFERROR(SUMIFS(INDEX($B$135:$CW$186,MATCH(AN$205,$A$135:$A$186,0),1):INDEX($B$135:$CW$186,MATCH(AN$205,$A$135:$A$186,0),100),$B190:$CW190,"="&amp;"x",$B$133:$CW$133,"="&amp;"N"),0)</f>
        <v>0</v>
      </c>
      <c r="AO207">
        <f ca="1">IFERROR(SUMIFS(INDEX($B$135:$CW$186,MATCH(AO$205,$A$135:$A$186,0),1):INDEX($B$135:$CW$186,MATCH(AO$205,$A$135:$A$186,0),100),$B190:$CW190,"="&amp;"x",$B$133:$CW$133,"="&amp;"N"),0)</f>
        <v>0</v>
      </c>
      <c r="AP207">
        <f ca="1">IFERROR(SUMIFS(INDEX($B$135:$CW$186,MATCH(AP$205,$A$135:$A$186,0),1):INDEX($B$135:$CW$186,MATCH(AP$205,$A$135:$A$186,0),100),$B190:$CW190,"="&amp;"x",$B$133:$CW$133,"="&amp;"N"),0)</f>
        <v>0</v>
      </c>
      <c r="AQ207">
        <f ca="1">IFERROR(SUMIFS(INDEX($B$135:$CW$186,MATCH(AQ$205,$A$135:$A$186,0),1):INDEX($B$135:$CW$186,MATCH(AQ$205,$A$135:$A$186,0),100),$B190:$CW190,"="&amp;"x",$B$133:$CW$133,"="&amp;"N"),0)</f>
        <v>0</v>
      </c>
      <c r="AR207">
        <f ca="1">IFERROR(SUMIFS(INDEX($B$135:$CW$186,MATCH(AR$205,$A$135:$A$186,0),1):INDEX($B$135:$CW$186,MATCH(AR$205,$A$135:$A$186,0),100),$B190:$CW190,"="&amp;"x",$B$133:$CW$133,"="&amp;"N"),0)</f>
        <v>0</v>
      </c>
      <c r="AS207">
        <f ca="1">IFERROR(SUMIFS(INDEX($B$135:$CW$186,MATCH(AS$205,$A$135:$A$186,0),1):INDEX($B$135:$CW$186,MATCH(AS$205,$A$135:$A$186,0),100),$B190:$CW190,"="&amp;"x",$B$133:$CW$133,"="&amp;"N"),0)</f>
        <v>0</v>
      </c>
      <c r="AT207">
        <f ca="1">IFERROR(SUMIFS(INDEX($B$135:$CW$186,MATCH(AT$205,$A$135:$A$186,0),1):INDEX($B$135:$CW$186,MATCH(AT$205,$A$135:$A$186,0),100),$B190:$CW190,"="&amp;"x",$B$133:$CW$133,"="&amp;"N"),0)</f>
        <v>0</v>
      </c>
      <c r="AU207">
        <f ca="1">IFERROR(SUMIFS(INDEX($B$135:$CW$186,MATCH(AU$205,$A$135:$A$186,0),1):INDEX($B$135:$CW$186,MATCH(AU$205,$A$135:$A$186,0),100),$B190:$CW190,"="&amp;"x",$B$133:$CW$133,"="&amp;"N"),0)</f>
        <v>0</v>
      </c>
      <c r="AV207">
        <f ca="1">IFERROR(SUMIFS(INDEX($B$135:$CW$186,MATCH(AV$205,$A$135:$A$186,0),1):INDEX($B$135:$CW$186,MATCH(AV$205,$A$135:$A$186,0),100),$B190:$CW190,"="&amp;"x",$B$133:$CW$133,"="&amp;"N"),0)</f>
        <v>0</v>
      </c>
      <c r="AW207">
        <f ca="1">IFERROR(SUMIFS(INDEX($B$135:$CW$186,MATCH(AW$205,$A$135:$A$186,0),1):INDEX($B$135:$CW$186,MATCH(AW$205,$A$135:$A$186,0),100),$B190:$CW190,"="&amp;"x",$B$133:$CW$133,"="&amp;"N"),0)</f>
        <v>0</v>
      </c>
      <c r="AX207">
        <f ca="1">IFERROR(SUMIFS(INDEX($B$135:$CW$186,MATCH(AX$205,$A$135:$A$186,0),1):INDEX($B$135:$CW$186,MATCH(AX$205,$A$135:$A$186,0),100),$B190:$CW190,"="&amp;"x",$B$133:$CW$133,"="&amp;"N"),0)</f>
        <v>0</v>
      </c>
      <c r="AY207">
        <f ca="1">IFERROR(SUMIFS(INDEX($B$135:$CW$186,MATCH(AY$205,$A$135:$A$186,0),1):INDEX($B$135:$CW$186,MATCH(AY$205,$A$135:$A$186,0),100),$B190:$CW190,"="&amp;"x",$B$133:$CW$133,"="&amp;"N"),0)</f>
        <v>0</v>
      </c>
      <c r="AZ207">
        <f ca="1">IFERROR(SUMIFS(INDEX($B$135:$CW$186,MATCH(AZ$205,$A$135:$A$186,0),1):INDEX($B$135:$CW$186,MATCH(AZ$205,$A$135:$A$186,0),100),$B190:$CW190,"="&amp;"x",$B$133:$CW$133,"="&amp;"N"),0)</f>
        <v>0</v>
      </c>
      <c r="BA207">
        <f ca="1">IFERROR(SUMIFS(INDEX($B$135:$CW$186,MATCH(BA$205,$A$135:$A$186,0),1):INDEX($B$135:$CW$186,MATCH(BA$205,$A$135:$A$186,0),100),$B190:$CW190,"="&amp;"x",$B$133:$CW$133,"="&amp;"N"),0)</f>
        <v>0</v>
      </c>
      <c r="BC207">
        <f t="shared" ref="BC207:BC220" ca="1" si="36">AVERAGE(B207:BA207)</f>
        <v>0</v>
      </c>
    </row>
    <row r="208" spans="1:101" x14ac:dyDescent="0.35">
      <c r="A208" s="2" t="str" cm="1">
        <f t="array" ref="A208">INDEX('Data Validation (Hide)'!$B$2:$B$16,ROW(A3),1)</f>
        <v>Caseload 3</v>
      </c>
      <c r="B208">
        <f ca="1">IFERROR(SUMIFS(INDEX($B$135:$CW$186,MATCH(B$205,$A$135:$A$186,0),1):INDEX($B$135:$CW$186,MATCH(B$205,$A$135:$A$186,0),100),$B191:$CW191,"="&amp;"x",$B$133:$CW$133,"="&amp;"N"),0)</f>
        <v>0</v>
      </c>
      <c r="C208">
        <f ca="1">IFERROR(SUMIFS(INDEX($B$135:$CW$186,MATCH(C$205,$A$135:$A$186,0),1):INDEX($B$135:$CW$186,MATCH(C$205,$A$135:$A$186,0),100),$B191:$CW191,"="&amp;"x",$B$133:$CW$133,"="&amp;"N"),0)</f>
        <v>0</v>
      </c>
      <c r="D208">
        <f ca="1">IFERROR(SUMIFS(INDEX($B$135:$CW$186,MATCH(D$205,$A$135:$A$186,0),1):INDEX($B$135:$CW$186,MATCH(D$205,$A$135:$A$186,0),100),$B191:$CW191,"="&amp;"x",$B$133:$CW$133,"="&amp;"N"),0)</f>
        <v>0</v>
      </c>
      <c r="E208">
        <f ca="1">IFERROR(SUMIFS(INDEX($B$135:$CW$186,MATCH(E$205,$A$135:$A$186,0),1):INDEX($B$135:$CW$186,MATCH(E$205,$A$135:$A$186,0),100),$B191:$CW191,"="&amp;"x",$B$133:$CW$133,"="&amp;"N"),0)</f>
        <v>0</v>
      </c>
      <c r="F208">
        <f ca="1">IFERROR(SUMIFS(INDEX($B$135:$CW$186,MATCH(F$205,$A$135:$A$186,0),1):INDEX($B$135:$CW$186,MATCH(F$205,$A$135:$A$186,0),100),$B191:$CW191,"="&amp;"x",$B$133:$CW$133,"="&amp;"N"),0)</f>
        <v>0</v>
      </c>
      <c r="G208">
        <f ca="1">IFERROR(SUMIFS(INDEX($B$135:$CW$186,MATCH(G$205,$A$135:$A$186,0),1):INDEX($B$135:$CW$186,MATCH(G$205,$A$135:$A$186,0),100),$B191:$CW191,"="&amp;"x",$B$133:$CW$133,"="&amp;"N"),0)</f>
        <v>0</v>
      </c>
      <c r="H208">
        <f ca="1">IFERROR(SUMIFS(INDEX($B$135:$CW$186,MATCH(H$205,$A$135:$A$186,0),1):INDEX($B$135:$CW$186,MATCH(H$205,$A$135:$A$186,0),100),$B191:$CW191,"="&amp;"x",$B$133:$CW$133,"="&amp;"N"),0)</f>
        <v>0</v>
      </c>
      <c r="I208">
        <f ca="1">IFERROR(SUMIFS(INDEX($B$135:$CW$186,MATCH(I$205,$A$135:$A$186,0),1):INDEX($B$135:$CW$186,MATCH(I$205,$A$135:$A$186,0),100),$B191:$CW191,"="&amp;"x",$B$133:$CW$133,"="&amp;"N"),0)</f>
        <v>0</v>
      </c>
      <c r="J208">
        <f ca="1">IFERROR(SUMIFS(INDEX($B$135:$CW$186,MATCH(J$205,$A$135:$A$186,0),1):INDEX($B$135:$CW$186,MATCH(J$205,$A$135:$A$186,0),100),$B191:$CW191,"="&amp;"x",$B$133:$CW$133,"="&amp;"N"),0)</f>
        <v>0</v>
      </c>
      <c r="K208">
        <f ca="1">IFERROR(SUMIFS(INDEX($B$135:$CW$186,MATCH(K$205,$A$135:$A$186,0),1):INDEX($B$135:$CW$186,MATCH(K$205,$A$135:$A$186,0),100),$B191:$CW191,"="&amp;"x",$B$133:$CW$133,"="&amp;"N"),0)</f>
        <v>0</v>
      </c>
      <c r="L208">
        <f ca="1">IFERROR(SUMIFS(INDEX($B$135:$CW$186,MATCH(L$205,$A$135:$A$186,0),1):INDEX($B$135:$CW$186,MATCH(L$205,$A$135:$A$186,0),100),$B191:$CW191,"="&amp;"x",$B$133:$CW$133,"="&amp;"N"),0)</f>
        <v>0</v>
      </c>
      <c r="M208">
        <f ca="1">IFERROR(SUMIFS(INDEX($B$135:$CW$186,MATCH(M$205,$A$135:$A$186,0),1):INDEX($B$135:$CW$186,MATCH(M$205,$A$135:$A$186,0),100),$B191:$CW191,"="&amp;"x",$B$133:$CW$133,"="&amp;"N"),0)</f>
        <v>0</v>
      </c>
      <c r="N208">
        <f ca="1">IFERROR(SUMIFS(INDEX($B$135:$CW$186,MATCH(N$205,$A$135:$A$186,0),1):INDEX($B$135:$CW$186,MATCH(N$205,$A$135:$A$186,0),100),$B191:$CW191,"="&amp;"x",$B$133:$CW$133,"="&amp;"N"),0)</f>
        <v>0</v>
      </c>
      <c r="O208">
        <f ca="1">IFERROR(SUMIFS(INDEX($B$135:$CW$186,MATCH(O$205,$A$135:$A$186,0),1):INDEX($B$135:$CW$186,MATCH(O$205,$A$135:$A$186,0),100),$B191:$CW191,"="&amp;"x",$B$133:$CW$133,"="&amp;"N"),0)</f>
        <v>0</v>
      </c>
      <c r="P208">
        <f ca="1">IFERROR(SUMIFS(INDEX($B$135:$CW$186,MATCH(P$205,$A$135:$A$186,0),1):INDEX($B$135:$CW$186,MATCH(P$205,$A$135:$A$186,0),100),$B191:$CW191,"="&amp;"x",$B$133:$CW$133,"="&amp;"N"),0)</f>
        <v>0</v>
      </c>
      <c r="Q208">
        <f ca="1">IFERROR(SUMIFS(INDEX($B$135:$CW$186,MATCH(Q$205,$A$135:$A$186,0),1):INDEX($B$135:$CW$186,MATCH(Q$205,$A$135:$A$186,0),100),$B191:$CW191,"="&amp;"x",$B$133:$CW$133,"="&amp;"N"),0)</f>
        <v>0</v>
      </c>
      <c r="R208">
        <f ca="1">IFERROR(SUMIFS(INDEX($B$135:$CW$186,MATCH(R$205,$A$135:$A$186,0),1):INDEX($B$135:$CW$186,MATCH(R$205,$A$135:$A$186,0),100),$B191:$CW191,"="&amp;"x",$B$133:$CW$133,"="&amp;"N"),0)</f>
        <v>0</v>
      </c>
      <c r="S208">
        <f ca="1">IFERROR(SUMIFS(INDEX($B$135:$CW$186,MATCH(S$205,$A$135:$A$186,0),1):INDEX($B$135:$CW$186,MATCH(S$205,$A$135:$A$186,0),100),$B191:$CW191,"="&amp;"x",$B$133:$CW$133,"="&amp;"N"),0)</f>
        <v>0</v>
      </c>
      <c r="T208">
        <f ca="1">IFERROR(SUMIFS(INDEX($B$135:$CW$186,MATCH(T$205,$A$135:$A$186,0),1):INDEX($B$135:$CW$186,MATCH(T$205,$A$135:$A$186,0),100),$B191:$CW191,"="&amp;"x",$B$133:$CW$133,"="&amp;"N"),0)</f>
        <v>0</v>
      </c>
      <c r="U208">
        <f ca="1">IFERROR(SUMIFS(INDEX($B$135:$CW$186,MATCH(U$205,$A$135:$A$186,0),1):INDEX($B$135:$CW$186,MATCH(U$205,$A$135:$A$186,0),100),$B191:$CW191,"="&amp;"x",$B$133:$CW$133,"="&amp;"N"),0)</f>
        <v>0</v>
      </c>
      <c r="V208">
        <f ca="1">IFERROR(SUMIFS(INDEX($B$135:$CW$186,MATCH(V$205,$A$135:$A$186,0),1):INDEX($B$135:$CW$186,MATCH(V$205,$A$135:$A$186,0),100),$B191:$CW191,"="&amp;"x",$B$133:$CW$133,"="&amp;"N"),0)</f>
        <v>0</v>
      </c>
      <c r="W208">
        <f ca="1">IFERROR(SUMIFS(INDEX($B$135:$CW$186,MATCH(W$205,$A$135:$A$186,0),1):INDEX($B$135:$CW$186,MATCH(W$205,$A$135:$A$186,0),100),$B191:$CW191,"="&amp;"x",$B$133:$CW$133,"="&amp;"N"),0)</f>
        <v>0</v>
      </c>
      <c r="X208">
        <f ca="1">IFERROR(SUMIFS(INDEX($B$135:$CW$186,MATCH(X$205,$A$135:$A$186,0),1):INDEX($B$135:$CW$186,MATCH(X$205,$A$135:$A$186,0),100),$B191:$CW191,"="&amp;"x",$B$133:$CW$133,"="&amp;"N"),0)</f>
        <v>0</v>
      </c>
      <c r="Y208">
        <f ca="1">IFERROR(SUMIFS(INDEX($B$135:$CW$186,MATCH(Y$205,$A$135:$A$186,0),1):INDEX($B$135:$CW$186,MATCH(Y$205,$A$135:$A$186,0),100),$B191:$CW191,"="&amp;"x",$B$133:$CW$133,"="&amp;"N"),0)</f>
        <v>0</v>
      </c>
      <c r="Z208">
        <f ca="1">IFERROR(SUMIFS(INDEX($B$135:$CW$186,MATCH(Z$205,$A$135:$A$186,0),1):INDEX($B$135:$CW$186,MATCH(Z$205,$A$135:$A$186,0),100),$B191:$CW191,"="&amp;"x",$B$133:$CW$133,"="&amp;"N"),0)</f>
        <v>0</v>
      </c>
      <c r="AA208">
        <f ca="1">IFERROR(SUMIFS(INDEX($B$135:$CW$186,MATCH(AA$205,$A$135:$A$186,0),1):INDEX($B$135:$CW$186,MATCH(AA$205,$A$135:$A$186,0),100),$B191:$CW191,"="&amp;"x",$B$133:$CW$133,"="&amp;"N"),0)</f>
        <v>0</v>
      </c>
      <c r="AB208">
        <f ca="1">IFERROR(SUMIFS(INDEX($B$135:$CW$186,MATCH(AB$205,$A$135:$A$186,0),1):INDEX($B$135:$CW$186,MATCH(AB$205,$A$135:$A$186,0),100),$B191:$CW191,"="&amp;"x",$B$133:$CW$133,"="&amp;"N"),0)</f>
        <v>0</v>
      </c>
      <c r="AC208">
        <f ca="1">IFERROR(SUMIFS(INDEX($B$135:$CW$186,MATCH(AC$205,$A$135:$A$186,0),1):INDEX($B$135:$CW$186,MATCH(AC$205,$A$135:$A$186,0),100),$B191:$CW191,"="&amp;"x",$B$133:$CW$133,"="&amp;"N"),0)</f>
        <v>0</v>
      </c>
      <c r="AD208">
        <f ca="1">IFERROR(SUMIFS(INDEX($B$135:$CW$186,MATCH(AD$205,$A$135:$A$186,0),1):INDEX($B$135:$CW$186,MATCH(AD$205,$A$135:$A$186,0),100),$B191:$CW191,"="&amp;"x",$B$133:$CW$133,"="&amp;"N"),0)</f>
        <v>0</v>
      </c>
      <c r="AE208">
        <f ca="1">IFERROR(SUMIFS(INDEX($B$135:$CW$186,MATCH(AE$205,$A$135:$A$186,0),1):INDEX($B$135:$CW$186,MATCH(AE$205,$A$135:$A$186,0),100),$B191:$CW191,"="&amp;"x",$B$133:$CW$133,"="&amp;"N"),0)</f>
        <v>0</v>
      </c>
      <c r="AF208">
        <f ca="1">IFERROR(SUMIFS(INDEX($B$135:$CW$186,MATCH(AF$205,$A$135:$A$186,0),1):INDEX($B$135:$CW$186,MATCH(AF$205,$A$135:$A$186,0),100),$B191:$CW191,"="&amp;"x",$B$133:$CW$133,"="&amp;"N"),0)</f>
        <v>0</v>
      </c>
      <c r="AG208">
        <f ca="1">IFERROR(SUMIFS(INDEX($B$135:$CW$186,MATCH(AG$205,$A$135:$A$186,0),1):INDEX($B$135:$CW$186,MATCH(AG$205,$A$135:$A$186,0),100),$B191:$CW191,"="&amp;"x",$B$133:$CW$133,"="&amp;"N"),0)</f>
        <v>0</v>
      </c>
      <c r="AH208">
        <f ca="1">IFERROR(SUMIFS(INDEX($B$135:$CW$186,MATCH(AH$205,$A$135:$A$186,0),1):INDEX($B$135:$CW$186,MATCH(AH$205,$A$135:$A$186,0),100),$B191:$CW191,"="&amp;"x",$B$133:$CW$133,"="&amp;"N"),0)</f>
        <v>0</v>
      </c>
      <c r="AI208">
        <f ca="1">IFERROR(SUMIFS(INDEX($B$135:$CW$186,MATCH(AI$205,$A$135:$A$186,0),1):INDEX($B$135:$CW$186,MATCH(AI$205,$A$135:$A$186,0),100),$B191:$CW191,"="&amp;"x",$B$133:$CW$133,"="&amp;"N"),0)</f>
        <v>0</v>
      </c>
      <c r="AJ208">
        <f ca="1">IFERROR(SUMIFS(INDEX($B$135:$CW$186,MATCH(AJ$205,$A$135:$A$186,0),1):INDEX($B$135:$CW$186,MATCH(AJ$205,$A$135:$A$186,0),100),$B191:$CW191,"="&amp;"x",$B$133:$CW$133,"="&amp;"N"),0)</f>
        <v>0</v>
      </c>
      <c r="AK208">
        <f ca="1">IFERROR(SUMIFS(INDEX($B$135:$CW$186,MATCH(AK$205,$A$135:$A$186,0),1):INDEX($B$135:$CW$186,MATCH(AK$205,$A$135:$A$186,0),100),$B191:$CW191,"="&amp;"x",$B$133:$CW$133,"="&amp;"N"),0)</f>
        <v>0</v>
      </c>
      <c r="AL208">
        <f ca="1">IFERROR(SUMIFS(INDEX($B$135:$CW$186,MATCH(AL$205,$A$135:$A$186,0),1):INDEX($B$135:$CW$186,MATCH(AL$205,$A$135:$A$186,0),100),$B191:$CW191,"="&amp;"x",$B$133:$CW$133,"="&amp;"N"),0)</f>
        <v>0</v>
      </c>
      <c r="AM208">
        <f ca="1">IFERROR(SUMIFS(INDEX($B$135:$CW$186,MATCH(AM$205,$A$135:$A$186,0),1):INDEX($B$135:$CW$186,MATCH(AM$205,$A$135:$A$186,0),100),$B191:$CW191,"="&amp;"x",$B$133:$CW$133,"="&amp;"N"),0)</f>
        <v>0</v>
      </c>
      <c r="AN208">
        <f ca="1">IFERROR(SUMIFS(INDEX($B$135:$CW$186,MATCH(AN$205,$A$135:$A$186,0),1):INDEX($B$135:$CW$186,MATCH(AN$205,$A$135:$A$186,0),100),$B191:$CW191,"="&amp;"x",$B$133:$CW$133,"="&amp;"N"),0)</f>
        <v>0</v>
      </c>
      <c r="AO208">
        <f ca="1">IFERROR(SUMIFS(INDEX($B$135:$CW$186,MATCH(AO$205,$A$135:$A$186,0),1):INDEX($B$135:$CW$186,MATCH(AO$205,$A$135:$A$186,0),100),$B191:$CW191,"="&amp;"x",$B$133:$CW$133,"="&amp;"N"),0)</f>
        <v>0</v>
      </c>
      <c r="AP208">
        <f ca="1">IFERROR(SUMIFS(INDEX($B$135:$CW$186,MATCH(AP$205,$A$135:$A$186,0),1):INDEX($B$135:$CW$186,MATCH(AP$205,$A$135:$A$186,0),100),$B191:$CW191,"="&amp;"x",$B$133:$CW$133,"="&amp;"N"),0)</f>
        <v>0</v>
      </c>
      <c r="AQ208">
        <f ca="1">IFERROR(SUMIFS(INDEX($B$135:$CW$186,MATCH(AQ$205,$A$135:$A$186,0),1):INDEX($B$135:$CW$186,MATCH(AQ$205,$A$135:$A$186,0),100),$B191:$CW191,"="&amp;"x",$B$133:$CW$133,"="&amp;"N"),0)</f>
        <v>0</v>
      </c>
      <c r="AR208">
        <f ca="1">IFERROR(SUMIFS(INDEX($B$135:$CW$186,MATCH(AR$205,$A$135:$A$186,0),1):INDEX($B$135:$CW$186,MATCH(AR$205,$A$135:$A$186,0),100),$B191:$CW191,"="&amp;"x",$B$133:$CW$133,"="&amp;"N"),0)</f>
        <v>0</v>
      </c>
      <c r="AS208">
        <f ca="1">IFERROR(SUMIFS(INDEX($B$135:$CW$186,MATCH(AS$205,$A$135:$A$186,0),1):INDEX($B$135:$CW$186,MATCH(AS$205,$A$135:$A$186,0),100),$B191:$CW191,"="&amp;"x",$B$133:$CW$133,"="&amp;"N"),0)</f>
        <v>0</v>
      </c>
      <c r="AT208">
        <f ca="1">IFERROR(SUMIFS(INDEX($B$135:$CW$186,MATCH(AT$205,$A$135:$A$186,0),1):INDEX($B$135:$CW$186,MATCH(AT$205,$A$135:$A$186,0),100),$B191:$CW191,"="&amp;"x",$B$133:$CW$133,"="&amp;"N"),0)</f>
        <v>0</v>
      </c>
      <c r="AU208">
        <f ca="1">IFERROR(SUMIFS(INDEX($B$135:$CW$186,MATCH(AU$205,$A$135:$A$186,0),1):INDEX($B$135:$CW$186,MATCH(AU$205,$A$135:$A$186,0),100),$B191:$CW191,"="&amp;"x",$B$133:$CW$133,"="&amp;"N"),0)</f>
        <v>0</v>
      </c>
      <c r="AV208">
        <f ca="1">IFERROR(SUMIFS(INDEX($B$135:$CW$186,MATCH(AV$205,$A$135:$A$186,0),1):INDEX($B$135:$CW$186,MATCH(AV$205,$A$135:$A$186,0),100),$B191:$CW191,"="&amp;"x",$B$133:$CW$133,"="&amp;"N"),0)</f>
        <v>0</v>
      </c>
      <c r="AW208">
        <f ca="1">IFERROR(SUMIFS(INDEX($B$135:$CW$186,MATCH(AW$205,$A$135:$A$186,0),1):INDEX($B$135:$CW$186,MATCH(AW$205,$A$135:$A$186,0),100),$B191:$CW191,"="&amp;"x",$B$133:$CW$133,"="&amp;"N"),0)</f>
        <v>0</v>
      </c>
      <c r="AX208">
        <f ca="1">IFERROR(SUMIFS(INDEX($B$135:$CW$186,MATCH(AX$205,$A$135:$A$186,0),1):INDEX($B$135:$CW$186,MATCH(AX$205,$A$135:$A$186,0),100),$B191:$CW191,"="&amp;"x",$B$133:$CW$133,"="&amp;"N"),0)</f>
        <v>0</v>
      </c>
      <c r="AY208">
        <f ca="1">IFERROR(SUMIFS(INDEX($B$135:$CW$186,MATCH(AY$205,$A$135:$A$186,0),1):INDEX($B$135:$CW$186,MATCH(AY$205,$A$135:$A$186,0),100),$B191:$CW191,"="&amp;"x",$B$133:$CW$133,"="&amp;"N"),0)</f>
        <v>0</v>
      </c>
      <c r="AZ208">
        <f ca="1">IFERROR(SUMIFS(INDEX($B$135:$CW$186,MATCH(AZ$205,$A$135:$A$186,0),1):INDEX($B$135:$CW$186,MATCH(AZ$205,$A$135:$A$186,0),100),$B191:$CW191,"="&amp;"x",$B$133:$CW$133,"="&amp;"N"),0)</f>
        <v>0</v>
      </c>
      <c r="BA208">
        <f ca="1">IFERROR(SUMIFS(INDEX($B$135:$CW$186,MATCH(BA$205,$A$135:$A$186,0),1):INDEX($B$135:$CW$186,MATCH(BA$205,$A$135:$A$186,0),100),$B191:$CW191,"="&amp;"x",$B$133:$CW$133,"="&amp;"N"),0)</f>
        <v>0</v>
      </c>
      <c r="BC208">
        <f t="shared" ca="1" si="36"/>
        <v>0</v>
      </c>
    </row>
    <row r="209" spans="1:55" x14ac:dyDescent="0.35">
      <c r="A209" s="2" t="str" cm="1">
        <f t="array" ref="A209">INDEX('Data Validation (Hide)'!$B$2:$B$16,ROW(A4),1)</f>
        <v>Caseload 4</v>
      </c>
      <c r="B209">
        <f ca="1">IFERROR(SUMIFS(INDEX($B$135:$CW$186,MATCH(B$205,$A$135:$A$186,0),1):INDEX($B$135:$CW$186,MATCH(B$205,$A$135:$A$186,0),100),$B192:$CW192,"="&amp;"x",$B$133:$CW$133,"="&amp;"N"),0)</f>
        <v>0</v>
      </c>
      <c r="C209">
        <f ca="1">IFERROR(SUMIFS(INDEX($B$135:$CW$186,MATCH(C$205,$A$135:$A$186,0),1):INDEX($B$135:$CW$186,MATCH(C$205,$A$135:$A$186,0),100),$B192:$CW192,"="&amp;"x",$B$133:$CW$133,"="&amp;"N"),0)</f>
        <v>0</v>
      </c>
      <c r="D209">
        <f ca="1">IFERROR(SUMIFS(INDEX($B$135:$CW$186,MATCH(D$205,$A$135:$A$186,0),1):INDEX($B$135:$CW$186,MATCH(D$205,$A$135:$A$186,0),100),$B192:$CW192,"="&amp;"x",$B$133:$CW$133,"="&amp;"N"),0)</f>
        <v>0</v>
      </c>
      <c r="E209">
        <f ca="1">IFERROR(SUMIFS(INDEX($B$135:$CW$186,MATCH(E$205,$A$135:$A$186,0),1):INDEX($B$135:$CW$186,MATCH(E$205,$A$135:$A$186,0),100),$B192:$CW192,"="&amp;"x",$B$133:$CW$133,"="&amp;"N"),0)</f>
        <v>0</v>
      </c>
      <c r="F209">
        <f ca="1">IFERROR(SUMIFS(INDEX($B$135:$CW$186,MATCH(F$205,$A$135:$A$186,0),1):INDEX($B$135:$CW$186,MATCH(F$205,$A$135:$A$186,0),100),$B192:$CW192,"="&amp;"x",$B$133:$CW$133,"="&amp;"N"),0)</f>
        <v>0</v>
      </c>
      <c r="G209">
        <f ca="1">IFERROR(SUMIFS(INDEX($B$135:$CW$186,MATCH(G$205,$A$135:$A$186,0),1):INDEX($B$135:$CW$186,MATCH(G$205,$A$135:$A$186,0),100),$B192:$CW192,"="&amp;"x",$B$133:$CW$133,"="&amp;"N"),0)</f>
        <v>0</v>
      </c>
      <c r="H209">
        <f ca="1">IFERROR(SUMIFS(INDEX($B$135:$CW$186,MATCH(H$205,$A$135:$A$186,0),1):INDEX($B$135:$CW$186,MATCH(H$205,$A$135:$A$186,0),100),$B192:$CW192,"="&amp;"x",$B$133:$CW$133,"="&amp;"N"),0)</f>
        <v>0</v>
      </c>
      <c r="I209">
        <f ca="1">IFERROR(SUMIFS(INDEX($B$135:$CW$186,MATCH(I$205,$A$135:$A$186,0),1):INDEX($B$135:$CW$186,MATCH(I$205,$A$135:$A$186,0),100),$B192:$CW192,"="&amp;"x",$B$133:$CW$133,"="&amp;"N"),0)</f>
        <v>0</v>
      </c>
      <c r="J209">
        <f ca="1">IFERROR(SUMIFS(INDEX($B$135:$CW$186,MATCH(J$205,$A$135:$A$186,0),1):INDEX($B$135:$CW$186,MATCH(J$205,$A$135:$A$186,0),100),$B192:$CW192,"="&amp;"x",$B$133:$CW$133,"="&amp;"N"),0)</f>
        <v>0</v>
      </c>
      <c r="K209">
        <f ca="1">IFERROR(SUMIFS(INDEX($B$135:$CW$186,MATCH(K$205,$A$135:$A$186,0),1):INDEX($B$135:$CW$186,MATCH(K$205,$A$135:$A$186,0),100),$B192:$CW192,"="&amp;"x",$B$133:$CW$133,"="&amp;"N"),0)</f>
        <v>0</v>
      </c>
      <c r="L209">
        <f ca="1">IFERROR(SUMIFS(INDEX($B$135:$CW$186,MATCH(L$205,$A$135:$A$186,0),1):INDEX($B$135:$CW$186,MATCH(L$205,$A$135:$A$186,0),100),$B192:$CW192,"="&amp;"x",$B$133:$CW$133,"="&amp;"N"),0)</f>
        <v>0</v>
      </c>
      <c r="M209">
        <f ca="1">IFERROR(SUMIFS(INDEX($B$135:$CW$186,MATCH(M$205,$A$135:$A$186,0),1):INDEX($B$135:$CW$186,MATCH(M$205,$A$135:$A$186,0),100),$B192:$CW192,"="&amp;"x",$B$133:$CW$133,"="&amp;"N"),0)</f>
        <v>0</v>
      </c>
      <c r="N209">
        <f ca="1">IFERROR(SUMIFS(INDEX($B$135:$CW$186,MATCH(N$205,$A$135:$A$186,0),1):INDEX($B$135:$CW$186,MATCH(N$205,$A$135:$A$186,0),100),$B192:$CW192,"="&amp;"x",$B$133:$CW$133,"="&amp;"N"),0)</f>
        <v>0</v>
      </c>
      <c r="O209">
        <f ca="1">IFERROR(SUMIFS(INDEX($B$135:$CW$186,MATCH(O$205,$A$135:$A$186,0),1):INDEX($B$135:$CW$186,MATCH(O$205,$A$135:$A$186,0),100),$B192:$CW192,"="&amp;"x",$B$133:$CW$133,"="&amp;"N"),0)</f>
        <v>0</v>
      </c>
      <c r="P209">
        <f ca="1">IFERROR(SUMIFS(INDEX($B$135:$CW$186,MATCH(P$205,$A$135:$A$186,0),1):INDEX($B$135:$CW$186,MATCH(P$205,$A$135:$A$186,0),100),$B192:$CW192,"="&amp;"x",$B$133:$CW$133,"="&amp;"N"),0)</f>
        <v>0</v>
      </c>
      <c r="Q209">
        <f ca="1">IFERROR(SUMIFS(INDEX($B$135:$CW$186,MATCH(Q$205,$A$135:$A$186,0),1):INDEX($B$135:$CW$186,MATCH(Q$205,$A$135:$A$186,0),100),$B192:$CW192,"="&amp;"x",$B$133:$CW$133,"="&amp;"N"),0)</f>
        <v>0</v>
      </c>
      <c r="R209">
        <f ca="1">IFERROR(SUMIFS(INDEX($B$135:$CW$186,MATCH(R$205,$A$135:$A$186,0),1):INDEX($B$135:$CW$186,MATCH(R$205,$A$135:$A$186,0),100),$B192:$CW192,"="&amp;"x",$B$133:$CW$133,"="&amp;"N"),0)</f>
        <v>0</v>
      </c>
      <c r="S209">
        <f ca="1">IFERROR(SUMIFS(INDEX($B$135:$CW$186,MATCH(S$205,$A$135:$A$186,0),1):INDEX($B$135:$CW$186,MATCH(S$205,$A$135:$A$186,0),100),$B192:$CW192,"="&amp;"x",$B$133:$CW$133,"="&amp;"N"),0)</f>
        <v>0</v>
      </c>
      <c r="T209">
        <f ca="1">IFERROR(SUMIFS(INDEX($B$135:$CW$186,MATCH(T$205,$A$135:$A$186,0),1):INDEX($B$135:$CW$186,MATCH(T$205,$A$135:$A$186,0),100),$B192:$CW192,"="&amp;"x",$B$133:$CW$133,"="&amp;"N"),0)</f>
        <v>0</v>
      </c>
      <c r="U209">
        <f ca="1">IFERROR(SUMIFS(INDEX($B$135:$CW$186,MATCH(U$205,$A$135:$A$186,0),1):INDEX($B$135:$CW$186,MATCH(U$205,$A$135:$A$186,0),100),$B192:$CW192,"="&amp;"x",$B$133:$CW$133,"="&amp;"N"),0)</f>
        <v>0</v>
      </c>
      <c r="V209">
        <f ca="1">IFERROR(SUMIFS(INDEX($B$135:$CW$186,MATCH(V$205,$A$135:$A$186,0),1):INDEX($B$135:$CW$186,MATCH(V$205,$A$135:$A$186,0),100),$B192:$CW192,"="&amp;"x",$B$133:$CW$133,"="&amp;"N"),0)</f>
        <v>0</v>
      </c>
      <c r="W209">
        <f ca="1">IFERROR(SUMIFS(INDEX($B$135:$CW$186,MATCH(W$205,$A$135:$A$186,0),1):INDEX($B$135:$CW$186,MATCH(W$205,$A$135:$A$186,0),100),$B192:$CW192,"="&amp;"x",$B$133:$CW$133,"="&amp;"N"),0)</f>
        <v>0</v>
      </c>
      <c r="X209">
        <f ca="1">IFERROR(SUMIFS(INDEX($B$135:$CW$186,MATCH(X$205,$A$135:$A$186,0),1):INDEX($B$135:$CW$186,MATCH(X$205,$A$135:$A$186,0),100),$B192:$CW192,"="&amp;"x",$B$133:$CW$133,"="&amp;"N"),0)</f>
        <v>0</v>
      </c>
      <c r="Y209">
        <f ca="1">IFERROR(SUMIFS(INDEX($B$135:$CW$186,MATCH(Y$205,$A$135:$A$186,0),1):INDEX($B$135:$CW$186,MATCH(Y$205,$A$135:$A$186,0),100),$B192:$CW192,"="&amp;"x",$B$133:$CW$133,"="&amp;"N"),0)</f>
        <v>0</v>
      </c>
      <c r="Z209">
        <f ca="1">IFERROR(SUMIFS(INDEX($B$135:$CW$186,MATCH(Z$205,$A$135:$A$186,0),1):INDEX($B$135:$CW$186,MATCH(Z$205,$A$135:$A$186,0),100),$B192:$CW192,"="&amp;"x",$B$133:$CW$133,"="&amp;"N"),0)</f>
        <v>0</v>
      </c>
      <c r="AA209">
        <f ca="1">IFERROR(SUMIFS(INDEX($B$135:$CW$186,MATCH(AA$205,$A$135:$A$186,0),1):INDEX($B$135:$CW$186,MATCH(AA$205,$A$135:$A$186,0),100),$B192:$CW192,"="&amp;"x",$B$133:$CW$133,"="&amp;"N"),0)</f>
        <v>0</v>
      </c>
      <c r="AB209">
        <f ca="1">IFERROR(SUMIFS(INDEX($B$135:$CW$186,MATCH(AB$205,$A$135:$A$186,0),1):INDEX($B$135:$CW$186,MATCH(AB$205,$A$135:$A$186,0),100),$B192:$CW192,"="&amp;"x",$B$133:$CW$133,"="&amp;"N"),0)</f>
        <v>0</v>
      </c>
      <c r="AC209">
        <f ca="1">IFERROR(SUMIFS(INDEX($B$135:$CW$186,MATCH(AC$205,$A$135:$A$186,0),1):INDEX($B$135:$CW$186,MATCH(AC$205,$A$135:$A$186,0),100),$B192:$CW192,"="&amp;"x",$B$133:$CW$133,"="&amp;"N"),0)</f>
        <v>0</v>
      </c>
      <c r="AD209">
        <f ca="1">IFERROR(SUMIFS(INDEX($B$135:$CW$186,MATCH(AD$205,$A$135:$A$186,0),1):INDEX($B$135:$CW$186,MATCH(AD$205,$A$135:$A$186,0),100),$B192:$CW192,"="&amp;"x",$B$133:$CW$133,"="&amp;"N"),0)</f>
        <v>0</v>
      </c>
      <c r="AE209">
        <f ca="1">IFERROR(SUMIFS(INDEX($B$135:$CW$186,MATCH(AE$205,$A$135:$A$186,0),1):INDEX($B$135:$CW$186,MATCH(AE$205,$A$135:$A$186,0),100),$B192:$CW192,"="&amp;"x",$B$133:$CW$133,"="&amp;"N"),0)</f>
        <v>0</v>
      </c>
      <c r="AF209">
        <f ca="1">IFERROR(SUMIFS(INDEX($B$135:$CW$186,MATCH(AF$205,$A$135:$A$186,0),1):INDEX($B$135:$CW$186,MATCH(AF$205,$A$135:$A$186,0),100),$B192:$CW192,"="&amp;"x",$B$133:$CW$133,"="&amp;"N"),0)</f>
        <v>0</v>
      </c>
      <c r="AG209">
        <f ca="1">IFERROR(SUMIFS(INDEX($B$135:$CW$186,MATCH(AG$205,$A$135:$A$186,0),1):INDEX($B$135:$CW$186,MATCH(AG$205,$A$135:$A$186,0),100),$B192:$CW192,"="&amp;"x",$B$133:$CW$133,"="&amp;"N"),0)</f>
        <v>0</v>
      </c>
      <c r="AH209">
        <f ca="1">IFERROR(SUMIFS(INDEX($B$135:$CW$186,MATCH(AH$205,$A$135:$A$186,0),1):INDEX($B$135:$CW$186,MATCH(AH$205,$A$135:$A$186,0),100),$B192:$CW192,"="&amp;"x",$B$133:$CW$133,"="&amp;"N"),0)</f>
        <v>0</v>
      </c>
      <c r="AI209">
        <f ca="1">IFERROR(SUMIFS(INDEX($B$135:$CW$186,MATCH(AI$205,$A$135:$A$186,0),1):INDEX($B$135:$CW$186,MATCH(AI$205,$A$135:$A$186,0),100),$B192:$CW192,"="&amp;"x",$B$133:$CW$133,"="&amp;"N"),0)</f>
        <v>0</v>
      </c>
      <c r="AJ209">
        <f ca="1">IFERROR(SUMIFS(INDEX($B$135:$CW$186,MATCH(AJ$205,$A$135:$A$186,0),1):INDEX($B$135:$CW$186,MATCH(AJ$205,$A$135:$A$186,0),100),$B192:$CW192,"="&amp;"x",$B$133:$CW$133,"="&amp;"N"),0)</f>
        <v>0</v>
      </c>
      <c r="AK209">
        <f ca="1">IFERROR(SUMIFS(INDEX($B$135:$CW$186,MATCH(AK$205,$A$135:$A$186,0),1):INDEX($B$135:$CW$186,MATCH(AK$205,$A$135:$A$186,0),100),$B192:$CW192,"="&amp;"x",$B$133:$CW$133,"="&amp;"N"),0)</f>
        <v>0</v>
      </c>
      <c r="AL209">
        <f ca="1">IFERROR(SUMIFS(INDEX($B$135:$CW$186,MATCH(AL$205,$A$135:$A$186,0),1):INDEX($B$135:$CW$186,MATCH(AL$205,$A$135:$A$186,0),100),$B192:$CW192,"="&amp;"x",$B$133:$CW$133,"="&amp;"N"),0)</f>
        <v>0</v>
      </c>
      <c r="AM209">
        <f ca="1">IFERROR(SUMIFS(INDEX($B$135:$CW$186,MATCH(AM$205,$A$135:$A$186,0),1):INDEX($B$135:$CW$186,MATCH(AM$205,$A$135:$A$186,0),100),$B192:$CW192,"="&amp;"x",$B$133:$CW$133,"="&amp;"N"),0)</f>
        <v>0</v>
      </c>
      <c r="AN209">
        <f ca="1">IFERROR(SUMIFS(INDEX($B$135:$CW$186,MATCH(AN$205,$A$135:$A$186,0),1):INDEX($B$135:$CW$186,MATCH(AN$205,$A$135:$A$186,0),100),$B192:$CW192,"="&amp;"x",$B$133:$CW$133,"="&amp;"N"),0)</f>
        <v>0</v>
      </c>
      <c r="AO209">
        <f ca="1">IFERROR(SUMIFS(INDEX($B$135:$CW$186,MATCH(AO$205,$A$135:$A$186,0),1):INDEX($B$135:$CW$186,MATCH(AO$205,$A$135:$A$186,0),100),$B192:$CW192,"="&amp;"x",$B$133:$CW$133,"="&amp;"N"),0)</f>
        <v>0</v>
      </c>
      <c r="AP209">
        <f ca="1">IFERROR(SUMIFS(INDEX($B$135:$CW$186,MATCH(AP$205,$A$135:$A$186,0),1):INDEX($B$135:$CW$186,MATCH(AP$205,$A$135:$A$186,0),100),$B192:$CW192,"="&amp;"x",$B$133:$CW$133,"="&amp;"N"),0)</f>
        <v>0</v>
      </c>
      <c r="AQ209">
        <f ca="1">IFERROR(SUMIFS(INDEX($B$135:$CW$186,MATCH(AQ$205,$A$135:$A$186,0),1):INDEX($B$135:$CW$186,MATCH(AQ$205,$A$135:$A$186,0),100),$B192:$CW192,"="&amp;"x",$B$133:$CW$133,"="&amp;"N"),0)</f>
        <v>0</v>
      </c>
      <c r="AR209">
        <f ca="1">IFERROR(SUMIFS(INDEX($B$135:$CW$186,MATCH(AR$205,$A$135:$A$186,0),1):INDEX($B$135:$CW$186,MATCH(AR$205,$A$135:$A$186,0),100),$B192:$CW192,"="&amp;"x",$B$133:$CW$133,"="&amp;"N"),0)</f>
        <v>0</v>
      </c>
      <c r="AS209">
        <f ca="1">IFERROR(SUMIFS(INDEX($B$135:$CW$186,MATCH(AS$205,$A$135:$A$186,0),1):INDEX($B$135:$CW$186,MATCH(AS$205,$A$135:$A$186,0),100),$B192:$CW192,"="&amp;"x",$B$133:$CW$133,"="&amp;"N"),0)</f>
        <v>0</v>
      </c>
      <c r="AT209">
        <f ca="1">IFERROR(SUMIFS(INDEX($B$135:$CW$186,MATCH(AT$205,$A$135:$A$186,0),1):INDEX($B$135:$CW$186,MATCH(AT$205,$A$135:$A$186,0),100),$B192:$CW192,"="&amp;"x",$B$133:$CW$133,"="&amp;"N"),0)</f>
        <v>0</v>
      </c>
      <c r="AU209">
        <f ca="1">IFERROR(SUMIFS(INDEX($B$135:$CW$186,MATCH(AU$205,$A$135:$A$186,0),1):INDEX($B$135:$CW$186,MATCH(AU$205,$A$135:$A$186,0),100),$B192:$CW192,"="&amp;"x",$B$133:$CW$133,"="&amp;"N"),0)</f>
        <v>0</v>
      </c>
      <c r="AV209">
        <f ca="1">IFERROR(SUMIFS(INDEX($B$135:$CW$186,MATCH(AV$205,$A$135:$A$186,0),1):INDEX($B$135:$CW$186,MATCH(AV$205,$A$135:$A$186,0),100),$B192:$CW192,"="&amp;"x",$B$133:$CW$133,"="&amp;"N"),0)</f>
        <v>0</v>
      </c>
      <c r="AW209">
        <f ca="1">IFERROR(SUMIFS(INDEX($B$135:$CW$186,MATCH(AW$205,$A$135:$A$186,0),1):INDEX($B$135:$CW$186,MATCH(AW$205,$A$135:$A$186,0),100),$B192:$CW192,"="&amp;"x",$B$133:$CW$133,"="&amp;"N"),0)</f>
        <v>0</v>
      </c>
      <c r="AX209">
        <f ca="1">IFERROR(SUMIFS(INDEX($B$135:$CW$186,MATCH(AX$205,$A$135:$A$186,0),1):INDEX($B$135:$CW$186,MATCH(AX$205,$A$135:$A$186,0),100),$B192:$CW192,"="&amp;"x",$B$133:$CW$133,"="&amp;"N"),0)</f>
        <v>0</v>
      </c>
      <c r="AY209">
        <f ca="1">IFERROR(SUMIFS(INDEX($B$135:$CW$186,MATCH(AY$205,$A$135:$A$186,0),1):INDEX($B$135:$CW$186,MATCH(AY$205,$A$135:$A$186,0),100),$B192:$CW192,"="&amp;"x",$B$133:$CW$133,"="&amp;"N"),0)</f>
        <v>0</v>
      </c>
      <c r="AZ209">
        <f ca="1">IFERROR(SUMIFS(INDEX($B$135:$CW$186,MATCH(AZ$205,$A$135:$A$186,0),1):INDEX($B$135:$CW$186,MATCH(AZ$205,$A$135:$A$186,0),100),$B192:$CW192,"="&amp;"x",$B$133:$CW$133,"="&amp;"N"),0)</f>
        <v>0</v>
      </c>
      <c r="BA209">
        <f ca="1">IFERROR(SUMIFS(INDEX($B$135:$CW$186,MATCH(BA$205,$A$135:$A$186,0),1):INDEX($B$135:$CW$186,MATCH(BA$205,$A$135:$A$186,0),100),$B192:$CW192,"="&amp;"x",$B$133:$CW$133,"="&amp;"N"),0)</f>
        <v>0</v>
      </c>
      <c r="BC209">
        <f t="shared" ca="1" si="36"/>
        <v>0</v>
      </c>
    </row>
    <row r="210" spans="1:55" x14ac:dyDescent="0.35">
      <c r="A210" s="2" t="str" cm="1">
        <f t="array" ref="A210">INDEX('Data Validation (Hide)'!$B$2:$B$16,ROW(A5),1)</f>
        <v>Caseload 5</v>
      </c>
      <c r="B210">
        <f ca="1">IFERROR(SUMIFS(INDEX($B$135:$CW$186,MATCH(B$205,$A$135:$A$186,0),1):INDEX($B$135:$CW$186,MATCH(B$205,$A$135:$A$186,0),100),$B193:$CW193,"="&amp;"x",$B$133:$CW$133,"="&amp;"N"),0)</f>
        <v>0</v>
      </c>
      <c r="C210">
        <f ca="1">IFERROR(SUMIFS(INDEX($B$135:$CW$186,MATCH(C$205,$A$135:$A$186,0),1):INDEX($B$135:$CW$186,MATCH(C$205,$A$135:$A$186,0),100),$B193:$CW193,"="&amp;"x",$B$133:$CW$133,"="&amp;"N"),0)</f>
        <v>0</v>
      </c>
      <c r="D210">
        <f ca="1">IFERROR(SUMIFS(INDEX($B$135:$CW$186,MATCH(D$205,$A$135:$A$186,0),1):INDEX($B$135:$CW$186,MATCH(D$205,$A$135:$A$186,0),100),$B193:$CW193,"="&amp;"x",$B$133:$CW$133,"="&amp;"N"),0)</f>
        <v>0</v>
      </c>
      <c r="E210">
        <f ca="1">IFERROR(SUMIFS(INDEX($B$135:$CW$186,MATCH(E$205,$A$135:$A$186,0),1):INDEX($B$135:$CW$186,MATCH(E$205,$A$135:$A$186,0),100),$B193:$CW193,"="&amp;"x",$B$133:$CW$133,"="&amp;"N"),0)</f>
        <v>0</v>
      </c>
      <c r="F210">
        <f ca="1">IFERROR(SUMIFS(INDEX($B$135:$CW$186,MATCH(F$205,$A$135:$A$186,0),1):INDEX($B$135:$CW$186,MATCH(F$205,$A$135:$A$186,0),100),$B193:$CW193,"="&amp;"x",$B$133:$CW$133,"="&amp;"N"),0)</f>
        <v>0</v>
      </c>
      <c r="G210">
        <f ca="1">IFERROR(SUMIFS(INDEX($B$135:$CW$186,MATCH(G$205,$A$135:$A$186,0),1):INDEX($B$135:$CW$186,MATCH(G$205,$A$135:$A$186,0),100),$B193:$CW193,"="&amp;"x",$B$133:$CW$133,"="&amp;"N"),0)</f>
        <v>0</v>
      </c>
      <c r="H210">
        <f ca="1">IFERROR(SUMIFS(INDEX($B$135:$CW$186,MATCH(H$205,$A$135:$A$186,0),1):INDEX($B$135:$CW$186,MATCH(H$205,$A$135:$A$186,0),100),$B193:$CW193,"="&amp;"x",$B$133:$CW$133,"="&amp;"N"),0)</f>
        <v>0</v>
      </c>
      <c r="I210">
        <f ca="1">IFERROR(SUMIFS(INDEX($B$135:$CW$186,MATCH(I$205,$A$135:$A$186,0),1):INDEX($B$135:$CW$186,MATCH(I$205,$A$135:$A$186,0),100),$B193:$CW193,"="&amp;"x",$B$133:$CW$133,"="&amp;"N"),0)</f>
        <v>0</v>
      </c>
      <c r="J210">
        <f ca="1">IFERROR(SUMIFS(INDEX($B$135:$CW$186,MATCH(J$205,$A$135:$A$186,0),1):INDEX($B$135:$CW$186,MATCH(J$205,$A$135:$A$186,0),100),$B193:$CW193,"="&amp;"x",$B$133:$CW$133,"="&amp;"N"),0)</f>
        <v>0</v>
      </c>
      <c r="K210">
        <f ca="1">IFERROR(SUMIFS(INDEX($B$135:$CW$186,MATCH(K$205,$A$135:$A$186,0),1):INDEX($B$135:$CW$186,MATCH(K$205,$A$135:$A$186,0),100),$B193:$CW193,"="&amp;"x",$B$133:$CW$133,"="&amp;"N"),0)</f>
        <v>0</v>
      </c>
      <c r="L210">
        <f ca="1">IFERROR(SUMIFS(INDEX($B$135:$CW$186,MATCH(L$205,$A$135:$A$186,0),1):INDEX($B$135:$CW$186,MATCH(L$205,$A$135:$A$186,0),100),$B193:$CW193,"="&amp;"x",$B$133:$CW$133,"="&amp;"N"),0)</f>
        <v>0</v>
      </c>
      <c r="M210">
        <f ca="1">IFERROR(SUMIFS(INDEX($B$135:$CW$186,MATCH(M$205,$A$135:$A$186,0),1):INDEX($B$135:$CW$186,MATCH(M$205,$A$135:$A$186,0),100),$B193:$CW193,"="&amp;"x",$B$133:$CW$133,"="&amp;"N"),0)</f>
        <v>0</v>
      </c>
      <c r="N210">
        <f ca="1">IFERROR(SUMIFS(INDEX($B$135:$CW$186,MATCH(N$205,$A$135:$A$186,0),1):INDEX($B$135:$CW$186,MATCH(N$205,$A$135:$A$186,0),100),$B193:$CW193,"="&amp;"x",$B$133:$CW$133,"="&amp;"N"),0)</f>
        <v>0</v>
      </c>
      <c r="O210">
        <f ca="1">IFERROR(SUMIFS(INDEX($B$135:$CW$186,MATCH(O$205,$A$135:$A$186,0),1):INDEX($B$135:$CW$186,MATCH(O$205,$A$135:$A$186,0),100),$B193:$CW193,"="&amp;"x",$B$133:$CW$133,"="&amp;"N"),0)</f>
        <v>0</v>
      </c>
      <c r="P210">
        <f ca="1">IFERROR(SUMIFS(INDEX($B$135:$CW$186,MATCH(P$205,$A$135:$A$186,0),1):INDEX($B$135:$CW$186,MATCH(P$205,$A$135:$A$186,0),100),$B193:$CW193,"="&amp;"x",$B$133:$CW$133,"="&amp;"N"),0)</f>
        <v>0</v>
      </c>
      <c r="Q210">
        <f ca="1">IFERROR(SUMIFS(INDEX($B$135:$CW$186,MATCH(Q$205,$A$135:$A$186,0),1):INDEX($B$135:$CW$186,MATCH(Q$205,$A$135:$A$186,0),100),$B193:$CW193,"="&amp;"x",$B$133:$CW$133,"="&amp;"N"),0)</f>
        <v>0</v>
      </c>
      <c r="R210">
        <f ca="1">IFERROR(SUMIFS(INDEX($B$135:$CW$186,MATCH(R$205,$A$135:$A$186,0),1):INDEX($B$135:$CW$186,MATCH(R$205,$A$135:$A$186,0),100),$B193:$CW193,"="&amp;"x",$B$133:$CW$133,"="&amp;"N"),0)</f>
        <v>0</v>
      </c>
      <c r="S210">
        <f ca="1">IFERROR(SUMIFS(INDEX($B$135:$CW$186,MATCH(S$205,$A$135:$A$186,0),1):INDEX($B$135:$CW$186,MATCH(S$205,$A$135:$A$186,0),100),$B193:$CW193,"="&amp;"x",$B$133:$CW$133,"="&amp;"N"),0)</f>
        <v>0</v>
      </c>
      <c r="T210">
        <f ca="1">IFERROR(SUMIFS(INDEX($B$135:$CW$186,MATCH(T$205,$A$135:$A$186,0),1):INDEX($B$135:$CW$186,MATCH(T$205,$A$135:$A$186,0),100),$B193:$CW193,"="&amp;"x",$B$133:$CW$133,"="&amp;"N"),0)</f>
        <v>0</v>
      </c>
      <c r="U210">
        <f ca="1">IFERROR(SUMIFS(INDEX($B$135:$CW$186,MATCH(U$205,$A$135:$A$186,0),1):INDEX($B$135:$CW$186,MATCH(U$205,$A$135:$A$186,0),100),$B193:$CW193,"="&amp;"x",$B$133:$CW$133,"="&amp;"N"),0)</f>
        <v>0</v>
      </c>
      <c r="V210">
        <f ca="1">IFERROR(SUMIFS(INDEX($B$135:$CW$186,MATCH(V$205,$A$135:$A$186,0),1):INDEX($B$135:$CW$186,MATCH(V$205,$A$135:$A$186,0),100),$B193:$CW193,"="&amp;"x",$B$133:$CW$133,"="&amp;"N"),0)</f>
        <v>0</v>
      </c>
      <c r="W210">
        <f ca="1">IFERROR(SUMIFS(INDEX($B$135:$CW$186,MATCH(W$205,$A$135:$A$186,0),1):INDEX($B$135:$CW$186,MATCH(W$205,$A$135:$A$186,0),100),$B193:$CW193,"="&amp;"x",$B$133:$CW$133,"="&amp;"N"),0)</f>
        <v>0</v>
      </c>
      <c r="X210">
        <f ca="1">IFERROR(SUMIFS(INDEX($B$135:$CW$186,MATCH(X$205,$A$135:$A$186,0),1):INDEX($B$135:$CW$186,MATCH(X$205,$A$135:$A$186,0),100),$B193:$CW193,"="&amp;"x",$B$133:$CW$133,"="&amp;"N"),0)</f>
        <v>0</v>
      </c>
      <c r="Y210">
        <f ca="1">IFERROR(SUMIFS(INDEX($B$135:$CW$186,MATCH(Y$205,$A$135:$A$186,0),1):INDEX($B$135:$CW$186,MATCH(Y$205,$A$135:$A$186,0),100),$B193:$CW193,"="&amp;"x",$B$133:$CW$133,"="&amp;"N"),0)</f>
        <v>0</v>
      </c>
      <c r="Z210">
        <f ca="1">IFERROR(SUMIFS(INDEX($B$135:$CW$186,MATCH(Z$205,$A$135:$A$186,0),1):INDEX($B$135:$CW$186,MATCH(Z$205,$A$135:$A$186,0),100),$B193:$CW193,"="&amp;"x",$B$133:$CW$133,"="&amp;"N"),0)</f>
        <v>0</v>
      </c>
      <c r="AA210">
        <f ca="1">IFERROR(SUMIFS(INDEX($B$135:$CW$186,MATCH(AA$205,$A$135:$A$186,0),1):INDEX($B$135:$CW$186,MATCH(AA$205,$A$135:$A$186,0),100),$B193:$CW193,"="&amp;"x",$B$133:$CW$133,"="&amp;"N"),0)</f>
        <v>0</v>
      </c>
      <c r="AB210">
        <f ca="1">IFERROR(SUMIFS(INDEX($B$135:$CW$186,MATCH(AB$205,$A$135:$A$186,0),1):INDEX($B$135:$CW$186,MATCH(AB$205,$A$135:$A$186,0),100),$B193:$CW193,"="&amp;"x",$B$133:$CW$133,"="&amp;"N"),0)</f>
        <v>0</v>
      </c>
      <c r="AC210">
        <f ca="1">IFERROR(SUMIFS(INDEX($B$135:$CW$186,MATCH(AC$205,$A$135:$A$186,0),1):INDEX($B$135:$CW$186,MATCH(AC$205,$A$135:$A$186,0),100),$B193:$CW193,"="&amp;"x",$B$133:$CW$133,"="&amp;"N"),0)</f>
        <v>0</v>
      </c>
      <c r="AD210">
        <f ca="1">IFERROR(SUMIFS(INDEX($B$135:$CW$186,MATCH(AD$205,$A$135:$A$186,0),1):INDEX($B$135:$CW$186,MATCH(AD$205,$A$135:$A$186,0),100),$B193:$CW193,"="&amp;"x",$B$133:$CW$133,"="&amp;"N"),0)</f>
        <v>0</v>
      </c>
      <c r="AE210">
        <f ca="1">IFERROR(SUMIFS(INDEX($B$135:$CW$186,MATCH(AE$205,$A$135:$A$186,0),1):INDEX($B$135:$CW$186,MATCH(AE$205,$A$135:$A$186,0),100),$B193:$CW193,"="&amp;"x",$B$133:$CW$133,"="&amp;"N"),0)</f>
        <v>0</v>
      </c>
      <c r="AF210">
        <f ca="1">IFERROR(SUMIFS(INDEX($B$135:$CW$186,MATCH(AF$205,$A$135:$A$186,0),1):INDEX($B$135:$CW$186,MATCH(AF$205,$A$135:$A$186,0),100),$B193:$CW193,"="&amp;"x",$B$133:$CW$133,"="&amp;"N"),0)</f>
        <v>0</v>
      </c>
      <c r="AG210">
        <f ca="1">IFERROR(SUMIFS(INDEX($B$135:$CW$186,MATCH(AG$205,$A$135:$A$186,0),1):INDEX($B$135:$CW$186,MATCH(AG$205,$A$135:$A$186,0),100),$B193:$CW193,"="&amp;"x",$B$133:$CW$133,"="&amp;"N"),0)</f>
        <v>0</v>
      </c>
      <c r="AH210">
        <f ca="1">IFERROR(SUMIFS(INDEX($B$135:$CW$186,MATCH(AH$205,$A$135:$A$186,0),1):INDEX($B$135:$CW$186,MATCH(AH$205,$A$135:$A$186,0),100),$B193:$CW193,"="&amp;"x",$B$133:$CW$133,"="&amp;"N"),0)</f>
        <v>0</v>
      </c>
      <c r="AI210">
        <f ca="1">IFERROR(SUMIFS(INDEX($B$135:$CW$186,MATCH(AI$205,$A$135:$A$186,0),1):INDEX($B$135:$CW$186,MATCH(AI$205,$A$135:$A$186,0),100),$B193:$CW193,"="&amp;"x",$B$133:$CW$133,"="&amp;"N"),0)</f>
        <v>0</v>
      </c>
      <c r="AJ210">
        <f ca="1">IFERROR(SUMIFS(INDEX($B$135:$CW$186,MATCH(AJ$205,$A$135:$A$186,0),1):INDEX($B$135:$CW$186,MATCH(AJ$205,$A$135:$A$186,0),100),$B193:$CW193,"="&amp;"x",$B$133:$CW$133,"="&amp;"N"),0)</f>
        <v>0</v>
      </c>
      <c r="AK210">
        <f ca="1">IFERROR(SUMIFS(INDEX($B$135:$CW$186,MATCH(AK$205,$A$135:$A$186,0),1):INDEX($B$135:$CW$186,MATCH(AK$205,$A$135:$A$186,0),100),$B193:$CW193,"="&amp;"x",$B$133:$CW$133,"="&amp;"N"),0)</f>
        <v>0</v>
      </c>
      <c r="AL210">
        <f ca="1">IFERROR(SUMIFS(INDEX($B$135:$CW$186,MATCH(AL$205,$A$135:$A$186,0),1):INDEX($B$135:$CW$186,MATCH(AL$205,$A$135:$A$186,0),100),$B193:$CW193,"="&amp;"x",$B$133:$CW$133,"="&amp;"N"),0)</f>
        <v>0</v>
      </c>
      <c r="AM210">
        <f ca="1">IFERROR(SUMIFS(INDEX($B$135:$CW$186,MATCH(AM$205,$A$135:$A$186,0),1):INDEX($B$135:$CW$186,MATCH(AM$205,$A$135:$A$186,0),100),$B193:$CW193,"="&amp;"x",$B$133:$CW$133,"="&amp;"N"),0)</f>
        <v>0</v>
      </c>
      <c r="AN210">
        <f ca="1">IFERROR(SUMIFS(INDEX($B$135:$CW$186,MATCH(AN$205,$A$135:$A$186,0),1):INDEX($B$135:$CW$186,MATCH(AN$205,$A$135:$A$186,0),100),$B193:$CW193,"="&amp;"x",$B$133:$CW$133,"="&amp;"N"),0)</f>
        <v>0</v>
      </c>
      <c r="AO210">
        <f ca="1">IFERROR(SUMIFS(INDEX($B$135:$CW$186,MATCH(AO$205,$A$135:$A$186,0),1):INDEX($B$135:$CW$186,MATCH(AO$205,$A$135:$A$186,0),100),$B193:$CW193,"="&amp;"x",$B$133:$CW$133,"="&amp;"N"),0)</f>
        <v>0</v>
      </c>
      <c r="AP210">
        <f ca="1">IFERROR(SUMIFS(INDEX($B$135:$CW$186,MATCH(AP$205,$A$135:$A$186,0),1):INDEX($B$135:$CW$186,MATCH(AP$205,$A$135:$A$186,0),100),$B193:$CW193,"="&amp;"x",$B$133:$CW$133,"="&amp;"N"),0)</f>
        <v>0</v>
      </c>
      <c r="AQ210">
        <f ca="1">IFERROR(SUMIFS(INDEX($B$135:$CW$186,MATCH(AQ$205,$A$135:$A$186,0),1):INDEX($B$135:$CW$186,MATCH(AQ$205,$A$135:$A$186,0),100),$B193:$CW193,"="&amp;"x",$B$133:$CW$133,"="&amp;"N"),0)</f>
        <v>0</v>
      </c>
      <c r="AR210">
        <f ca="1">IFERROR(SUMIFS(INDEX($B$135:$CW$186,MATCH(AR$205,$A$135:$A$186,0),1):INDEX($B$135:$CW$186,MATCH(AR$205,$A$135:$A$186,0),100),$B193:$CW193,"="&amp;"x",$B$133:$CW$133,"="&amp;"N"),0)</f>
        <v>0</v>
      </c>
      <c r="AS210">
        <f ca="1">IFERROR(SUMIFS(INDEX($B$135:$CW$186,MATCH(AS$205,$A$135:$A$186,0),1):INDEX($B$135:$CW$186,MATCH(AS$205,$A$135:$A$186,0),100),$B193:$CW193,"="&amp;"x",$B$133:$CW$133,"="&amp;"N"),0)</f>
        <v>0</v>
      </c>
      <c r="AT210">
        <f ca="1">IFERROR(SUMIFS(INDEX($B$135:$CW$186,MATCH(AT$205,$A$135:$A$186,0),1):INDEX($B$135:$CW$186,MATCH(AT$205,$A$135:$A$186,0),100),$B193:$CW193,"="&amp;"x",$B$133:$CW$133,"="&amp;"N"),0)</f>
        <v>0</v>
      </c>
      <c r="AU210">
        <f ca="1">IFERROR(SUMIFS(INDEX($B$135:$CW$186,MATCH(AU$205,$A$135:$A$186,0),1):INDEX($B$135:$CW$186,MATCH(AU$205,$A$135:$A$186,0),100),$B193:$CW193,"="&amp;"x",$B$133:$CW$133,"="&amp;"N"),0)</f>
        <v>0</v>
      </c>
      <c r="AV210">
        <f ca="1">IFERROR(SUMIFS(INDEX($B$135:$CW$186,MATCH(AV$205,$A$135:$A$186,0),1):INDEX($B$135:$CW$186,MATCH(AV$205,$A$135:$A$186,0),100),$B193:$CW193,"="&amp;"x",$B$133:$CW$133,"="&amp;"N"),0)</f>
        <v>0</v>
      </c>
      <c r="AW210">
        <f ca="1">IFERROR(SUMIFS(INDEX($B$135:$CW$186,MATCH(AW$205,$A$135:$A$186,0),1):INDEX($B$135:$CW$186,MATCH(AW$205,$A$135:$A$186,0),100),$B193:$CW193,"="&amp;"x",$B$133:$CW$133,"="&amp;"N"),0)</f>
        <v>0</v>
      </c>
      <c r="AX210">
        <f ca="1">IFERROR(SUMIFS(INDEX($B$135:$CW$186,MATCH(AX$205,$A$135:$A$186,0),1):INDEX($B$135:$CW$186,MATCH(AX$205,$A$135:$A$186,0),100),$B193:$CW193,"="&amp;"x",$B$133:$CW$133,"="&amp;"N"),0)</f>
        <v>0</v>
      </c>
      <c r="AY210">
        <f ca="1">IFERROR(SUMIFS(INDEX($B$135:$CW$186,MATCH(AY$205,$A$135:$A$186,0),1):INDEX($B$135:$CW$186,MATCH(AY$205,$A$135:$A$186,0),100),$B193:$CW193,"="&amp;"x",$B$133:$CW$133,"="&amp;"N"),0)</f>
        <v>0</v>
      </c>
      <c r="AZ210">
        <f ca="1">IFERROR(SUMIFS(INDEX($B$135:$CW$186,MATCH(AZ$205,$A$135:$A$186,0),1):INDEX($B$135:$CW$186,MATCH(AZ$205,$A$135:$A$186,0),100),$B193:$CW193,"="&amp;"x",$B$133:$CW$133,"="&amp;"N"),0)</f>
        <v>0</v>
      </c>
      <c r="BA210">
        <f ca="1">IFERROR(SUMIFS(INDEX($B$135:$CW$186,MATCH(BA$205,$A$135:$A$186,0),1):INDEX($B$135:$CW$186,MATCH(BA$205,$A$135:$A$186,0),100),$B193:$CW193,"="&amp;"x",$B$133:$CW$133,"="&amp;"N"),0)</f>
        <v>0</v>
      </c>
      <c r="BC210">
        <f t="shared" ca="1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ca="1">IFERROR(SUMIFS(INDEX($B$135:$CW$186,MATCH(B$205,$A$135:$A$186,0),1):INDEX($B$135:$CW$186,MATCH(B$205,$A$135:$A$186,0),100),$B194:$CW194,"="&amp;"x",$B$133:$CW$133,"="&amp;"N"),0)</f>
        <v>0</v>
      </c>
      <c r="C211">
        <f ca="1">IFERROR(SUMIFS(INDEX($B$135:$CW$186,MATCH(C$205,$A$135:$A$186,0),1):INDEX($B$135:$CW$186,MATCH(C$205,$A$135:$A$186,0),100),$B194:$CW194,"="&amp;"x",$B$133:$CW$133,"="&amp;"N"),0)</f>
        <v>0</v>
      </c>
      <c r="D211">
        <f ca="1">IFERROR(SUMIFS(INDEX($B$135:$CW$186,MATCH(D$205,$A$135:$A$186,0),1):INDEX($B$135:$CW$186,MATCH(D$205,$A$135:$A$186,0),100),$B194:$CW194,"="&amp;"x",$B$133:$CW$133,"="&amp;"N"),0)</f>
        <v>0</v>
      </c>
      <c r="E211">
        <f ca="1">IFERROR(SUMIFS(INDEX($B$135:$CW$186,MATCH(E$205,$A$135:$A$186,0),1):INDEX($B$135:$CW$186,MATCH(E$205,$A$135:$A$186,0),100),$B194:$CW194,"="&amp;"x",$B$133:$CW$133,"="&amp;"N"),0)</f>
        <v>0</v>
      </c>
      <c r="F211">
        <f ca="1">IFERROR(SUMIFS(INDEX($B$135:$CW$186,MATCH(F$205,$A$135:$A$186,0),1):INDEX($B$135:$CW$186,MATCH(F$205,$A$135:$A$186,0),100),$B194:$CW194,"="&amp;"x",$B$133:$CW$133,"="&amp;"N"),0)</f>
        <v>0</v>
      </c>
      <c r="G211">
        <f ca="1">IFERROR(SUMIFS(INDEX($B$135:$CW$186,MATCH(G$205,$A$135:$A$186,0),1):INDEX($B$135:$CW$186,MATCH(G$205,$A$135:$A$186,0),100),$B194:$CW194,"="&amp;"x",$B$133:$CW$133,"="&amp;"N"),0)</f>
        <v>0</v>
      </c>
      <c r="H211">
        <f ca="1">IFERROR(SUMIFS(INDEX($B$135:$CW$186,MATCH(H$205,$A$135:$A$186,0),1):INDEX($B$135:$CW$186,MATCH(H$205,$A$135:$A$186,0),100),$B194:$CW194,"="&amp;"x",$B$133:$CW$133,"="&amp;"N"),0)</f>
        <v>0</v>
      </c>
      <c r="I211">
        <f ca="1">IFERROR(SUMIFS(INDEX($B$135:$CW$186,MATCH(I$205,$A$135:$A$186,0),1):INDEX($B$135:$CW$186,MATCH(I$205,$A$135:$A$186,0),100),$B194:$CW194,"="&amp;"x",$B$133:$CW$133,"="&amp;"N"),0)</f>
        <v>0</v>
      </c>
      <c r="J211">
        <f ca="1">IFERROR(SUMIFS(INDEX($B$135:$CW$186,MATCH(J$205,$A$135:$A$186,0),1):INDEX($B$135:$CW$186,MATCH(J$205,$A$135:$A$186,0),100),$B194:$CW194,"="&amp;"x",$B$133:$CW$133,"="&amp;"N"),0)</f>
        <v>0</v>
      </c>
      <c r="K211">
        <f ca="1">IFERROR(SUMIFS(INDEX($B$135:$CW$186,MATCH(K$205,$A$135:$A$186,0),1):INDEX($B$135:$CW$186,MATCH(K$205,$A$135:$A$186,0),100),$B194:$CW194,"="&amp;"x",$B$133:$CW$133,"="&amp;"N"),0)</f>
        <v>0</v>
      </c>
      <c r="L211">
        <f ca="1">IFERROR(SUMIFS(INDEX($B$135:$CW$186,MATCH(L$205,$A$135:$A$186,0),1):INDEX($B$135:$CW$186,MATCH(L$205,$A$135:$A$186,0),100),$B194:$CW194,"="&amp;"x",$B$133:$CW$133,"="&amp;"N"),0)</f>
        <v>0</v>
      </c>
      <c r="M211">
        <f ca="1">IFERROR(SUMIFS(INDEX($B$135:$CW$186,MATCH(M$205,$A$135:$A$186,0),1):INDEX($B$135:$CW$186,MATCH(M$205,$A$135:$A$186,0),100),$B194:$CW194,"="&amp;"x",$B$133:$CW$133,"="&amp;"N"),0)</f>
        <v>0</v>
      </c>
      <c r="N211">
        <f ca="1">IFERROR(SUMIFS(INDEX($B$135:$CW$186,MATCH(N$205,$A$135:$A$186,0),1):INDEX($B$135:$CW$186,MATCH(N$205,$A$135:$A$186,0),100),$B194:$CW194,"="&amp;"x",$B$133:$CW$133,"="&amp;"N"),0)</f>
        <v>0</v>
      </c>
      <c r="O211">
        <f ca="1">IFERROR(SUMIFS(INDEX($B$135:$CW$186,MATCH(O$205,$A$135:$A$186,0),1):INDEX($B$135:$CW$186,MATCH(O$205,$A$135:$A$186,0),100),$B194:$CW194,"="&amp;"x",$B$133:$CW$133,"="&amp;"N"),0)</f>
        <v>0</v>
      </c>
      <c r="P211">
        <f ca="1">IFERROR(SUMIFS(INDEX($B$135:$CW$186,MATCH(P$205,$A$135:$A$186,0),1):INDEX($B$135:$CW$186,MATCH(P$205,$A$135:$A$186,0),100),$B194:$CW194,"="&amp;"x",$B$133:$CW$133,"="&amp;"N"),0)</f>
        <v>0</v>
      </c>
      <c r="Q211">
        <f ca="1">IFERROR(SUMIFS(INDEX($B$135:$CW$186,MATCH(Q$205,$A$135:$A$186,0),1):INDEX($B$135:$CW$186,MATCH(Q$205,$A$135:$A$186,0),100),$B194:$CW194,"="&amp;"x",$B$133:$CW$133,"="&amp;"N"),0)</f>
        <v>0</v>
      </c>
      <c r="R211">
        <f ca="1">IFERROR(SUMIFS(INDEX($B$135:$CW$186,MATCH(R$205,$A$135:$A$186,0),1):INDEX($B$135:$CW$186,MATCH(R$205,$A$135:$A$186,0),100),$B194:$CW194,"="&amp;"x",$B$133:$CW$133,"="&amp;"N"),0)</f>
        <v>0</v>
      </c>
      <c r="S211">
        <f ca="1">IFERROR(SUMIFS(INDEX($B$135:$CW$186,MATCH(S$205,$A$135:$A$186,0),1):INDEX($B$135:$CW$186,MATCH(S$205,$A$135:$A$186,0),100),$B194:$CW194,"="&amp;"x",$B$133:$CW$133,"="&amp;"N"),0)</f>
        <v>0</v>
      </c>
      <c r="T211">
        <f ca="1">IFERROR(SUMIFS(INDEX($B$135:$CW$186,MATCH(T$205,$A$135:$A$186,0),1):INDEX($B$135:$CW$186,MATCH(T$205,$A$135:$A$186,0),100),$B194:$CW194,"="&amp;"x",$B$133:$CW$133,"="&amp;"N"),0)</f>
        <v>0</v>
      </c>
      <c r="U211">
        <f ca="1">IFERROR(SUMIFS(INDEX($B$135:$CW$186,MATCH(U$205,$A$135:$A$186,0),1):INDEX($B$135:$CW$186,MATCH(U$205,$A$135:$A$186,0),100),$B194:$CW194,"="&amp;"x",$B$133:$CW$133,"="&amp;"N"),0)</f>
        <v>0</v>
      </c>
      <c r="V211">
        <f ca="1">IFERROR(SUMIFS(INDEX($B$135:$CW$186,MATCH(V$205,$A$135:$A$186,0),1):INDEX($B$135:$CW$186,MATCH(V$205,$A$135:$A$186,0),100),$B194:$CW194,"="&amp;"x",$B$133:$CW$133,"="&amp;"N"),0)</f>
        <v>0</v>
      </c>
      <c r="W211">
        <f ca="1">IFERROR(SUMIFS(INDEX($B$135:$CW$186,MATCH(W$205,$A$135:$A$186,0),1):INDEX($B$135:$CW$186,MATCH(W$205,$A$135:$A$186,0),100),$B194:$CW194,"="&amp;"x",$B$133:$CW$133,"="&amp;"N"),0)</f>
        <v>0</v>
      </c>
      <c r="X211">
        <f ca="1">IFERROR(SUMIFS(INDEX($B$135:$CW$186,MATCH(X$205,$A$135:$A$186,0),1):INDEX($B$135:$CW$186,MATCH(X$205,$A$135:$A$186,0),100),$B194:$CW194,"="&amp;"x",$B$133:$CW$133,"="&amp;"N"),0)</f>
        <v>0</v>
      </c>
      <c r="Y211">
        <f ca="1">IFERROR(SUMIFS(INDEX($B$135:$CW$186,MATCH(Y$205,$A$135:$A$186,0),1):INDEX($B$135:$CW$186,MATCH(Y$205,$A$135:$A$186,0),100),$B194:$CW194,"="&amp;"x",$B$133:$CW$133,"="&amp;"N"),0)</f>
        <v>0</v>
      </c>
      <c r="Z211">
        <f ca="1">IFERROR(SUMIFS(INDEX($B$135:$CW$186,MATCH(Z$205,$A$135:$A$186,0),1):INDEX($B$135:$CW$186,MATCH(Z$205,$A$135:$A$186,0),100),$B194:$CW194,"="&amp;"x",$B$133:$CW$133,"="&amp;"N"),0)</f>
        <v>0</v>
      </c>
      <c r="AA211">
        <f ca="1">IFERROR(SUMIFS(INDEX($B$135:$CW$186,MATCH(AA$205,$A$135:$A$186,0),1):INDEX($B$135:$CW$186,MATCH(AA$205,$A$135:$A$186,0),100),$B194:$CW194,"="&amp;"x",$B$133:$CW$133,"="&amp;"N"),0)</f>
        <v>0</v>
      </c>
      <c r="AB211">
        <f ca="1">IFERROR(SUMIFS(INDEX($B$135:$CW$186,MATCH(AB$205,$A$135:$A$186,0),1):INDEX($B$135:$CW$186,MATCH(AB$205,$A$135:$A$186,0),100),$B194:$CW194,"="&amp;"x",$B$133:$CW$133,"="&amp;"N"),0)</f>
        <v>0</v>
      </c>
      <c r="AC211">
        <f ca="1">IFERROR(SUMIFS(INDEX($B$135:$CW$186,MATCH(AC$205,$A$135:$A$186,0),1):INDEX($B$135:$CW$186,MATCH(AC$205,$A$135:$A$186,0),100),$B194:$CW194,"="&amp;"x",$B$133:$CW$133,"="&amp;"N"),0)</f>
        <v>0</v>
      </c>
      <c r="AD211">
        <f ca="1">IFERROR(SUMIFS(INDEX($B$135:$CW$186,MATCH(AD$205,$A$135:$A$186,0),1):INDEX($B$135:$CW$186,MATCH(AD$205,$A$135:$A$186,0),100),$B194:$CW194,"="&amp;"x",$B$133:$CW$133,"="&amp;"N"),0)</f>
        <v>0</v>
      </c>
      <c r="AE211">
        <f ca="1">IFERROR(SUMIFS(INDEX($B$135:$CW$186,MATCH(AE$205,$A$135:$A$186,0),1):INDEX($B$135:$CW$186,MATCH(AE$205,$A$135:$A$186,0),100),$B194:$CW194,"="&amp;"x",$B$133:$CW$133,"="&amp;"N"),0)</f>
        <v>0</v>
      </c>
      <c r="AF211">
        <f ca="1">IFERROR(SUMIFS(INDEX($B$135:$CW$186,MATCH(AF$205,$A$135:$A$186,0),1):INDEX($B$135:$CW$186,MATCH(AF$205,$A$135:$A$186,0),100),$B194:$CW194,"="&amp;"x",$B$133:$CW$133,"="&amp;"N"),0)</f>
        <v>0</v>
      </c>
      <c r="AG211">
        <f ca="1">IFERROR(SUMIFS(INDEX($B$135:$CW$186,MATCH(AG$205,$A$135:$A$186,0),1):INDEX($B$135:$CW$186,MATCH(AG$205,$A$135:$A$186,0),100),$B194:$CW194,"="&amp;"x",$B$133:$CW$133,"="&amp;"N"),0)</f>
        <v>0</v>
      </c>
      <c r="AH211">
        <f ca="1">IFERROR(SUMIFS(INDEX($B$135:$CW$186,MATCH(AH$205,$A$135:$A$186,0),1):INDEX($B$135:$CW$186,MATCH(AH$205,$A$135:$A$186,0),100),$B194:$CW194,"="&amp;"x",$B$133:$CW$133,"="&amp;"N"),0)</f>
        <v>0</v>
      </c>
      <c r="AI211">
        <f ca="1">IFERROR(SUMIFS(INDEX($B$135:$CW$186,MATCH(AI$205,$A$135:$A$186,0),1):INDEX($B$135:$CW$186,MATCH(AI$205,$A$135:$A$186,0),100),$B194:$CW194,"="&amp;"x",$B$133:$CW$133,"="&amp;"N"),0)</f>
        <v>0</v>
      </c>
      <c r="AJ211">
        <f ca="1">IFERROR(SUMIFS(INDEX($B$135:$CW$186,MATCH(AJ$205,$A$135:$A$186,0),1):INDEX($B$135:$CW$186,MATCH(AJ$205,$A$135:$A$186,0),100),$B194:$CW194,"="&amp;"x",$B$133:$CW$133,"="&amp;"N"),0)</f>
        <v>0</v>
      </c>
      <c r="AK211">
        <f ca="1">IFERROR(SUMIFS(INDEX($B$135:$CW$186,MATCH(AK$205,$A$135:$A$186,0),1):INDEX($B$135:$CW$186,MATCH(AK$205,$A$135:$A$186,0),100),$B194:$CW194,"="&amp;"x",$B$133:$CW$133,"="&amp;"N"),0)</f>
        <v>0</v>
      </c>
      <c r="AL211">
        <f ca="1">IFERROR(SUMIFS(INDEX($B$135:$CW$186,MATCH(AL$205,$A$135:$A$186,0),1):INDEX($B$135:$CW$186,MATCH(AL$205,$A$135:$A$186,0),100),$B194:$CW194,"="&amp;"x",$B$133:$CW$133,"="&amp;"N"),0)</f>
        <v>0</v>
      </c>
      <c r="AM211">
        <f ca="1">IFERROR(SUMIFS(INDEX($B$135:$CW$186,MATCH(AM$205,$A$135:$A$186,0),1):INDEX($B$135:$CW$186,MATCH(AM$205,$A$135:$A$186,0),100),$B194:$CW194,"="&amp;"x",$B$133:$CW$133,"="&amp;"N"),0)</f>
        <v>0</v>
      </c>
      <c r="AN211">
        <f ca="1">IFERROR(SUMIFS(INDEX($B$135:$CW$186,MATCH(AN$205,$A$135:$A$186,0),1):INDEX($B$135:$CW$186,MATCH(AN$205,$A$135:$A$186,0),100),$B194:$CW194,"="&amp;"x",$B$133:$CW$133,"="&amp;"N"),0)</f>
        <v>0</v>
      </c>
      <c r="AO211">
        <f ca="1">IFERROR(SUMIFS(INDEX($B$135:$CW$186,MATCH(AO$205,$A$135:$A$186,0),1):INDEX($B$135:$CW$186,MATCH(AO$205,$A$135:$A$186,0),100),$B194:$CW194,"="&amp;"x",$B$133:$CW$133,"="&amp;"N"),0)</f>
        <v>0</v>
      </c>
      <c r="AP211">
        <f ca="1">IFERROR(SUMIFS(INDEX($B$135:$CW$186,MATCH(AP$205,$A$135:$A$186,0),1):INDEX($B$135:$CW$186,MATCH(AP$205,$A$135:$A$186,0),100),$B194:$CW194,"="&amp;"x",$B$133:$CW$133,"="&amp;"N"),0)</f>
        <v>0</v>
      </c>
      <c r="AQ211">
        <f ca="1">IFERROR(SUMIFS(INDEX($B$135:$CW$186,MATCH(AQ$205,$A$135:$A$186,0),1):INDEX($B$135:$CW$186,MATCH(AQ$205,$A$135:$A$186,0),100),$B194:$CW194,"="&amp;"x",$B$133:$CW$133,"="&amp;"N"),0)</f>
        <v>0</v>
      </c>
      <c r="AR211">
        <f ca="1">IFERROR(SUMIFS(INDEX($B$135:$CW$186,MATCH(AR$205,$A$135:$A$186,0),1):INDEX($B$135:$CW$186,MATCH(AR$205,$A$135:$A$186,0),100),$B194:$CW194,"="&amp;"x",$B$133:$CW$133,"="&amp;"N"),0)</f>
        <v>0</v>
      </c>
      <c r="AS211">
        <f ca="1">IFERROR(SUMIFS(INDEX($B$135:$CW$186,MATCH(AS$205,$A$135:$A$186,0),1):INDEX($B$135:$CW$186,MATCH(AS$205,$A$135:$A$186,0),100),$B194:$CW194,"="&amp;"x",$B$133:$CW$133,"="&amp;"N"),0)</f>
        <v>0</v>
      </c>
      <c r="AT211">
        <f ca="1">IFERROR(SUMIFS(INDEX($B$135:$CW$186,MATCH(AT$205,$A$135:$A$186,0),1):INDEX($B$135:$CW$186,MATCH(AT$205,$A$135:$A$186,0),100),$B194:$CW194,"="&amp;"x",$B$133:$CW$133,"="&amp;"N"),0)</f>
        <v>0</v>
      </c>
      <c r="AU211">
        <f ca="1">IFERROR(SUMIFS(INDEX($B$135:$CW$186,MATCH(AU$205,$A$135:$A$186,0),1):INDEX($B$135:$CW$186,MATCH(AU$205,$A$135:$A$186,0),100),$B194:$CW194,"="&amp;"x",$B$133:$CW$133,"="&amp;"N"),0)</f>
        <v>0</v>
      </c>
      <c r="AV211">
        <f ca="1">IFERROR(SUMIFS(INDEX($B$135:$CW$186,MATCH(AV$205,$A$135:$A$186,0),1):INDEX($B$135:$CW$186,MATCH(AV$205,$A$135:$A$186,0),100),$B194:$CW194,"="&amp;"x",$B$133:$CW$133,"="&amp;"N"),0)</f>
        <v>0</v>
      </c>
      <c r="AW211">
        <f ca="1">IFERROR(SUMIFS(INDEX($B$135:$CW$186,MATCH(AW$205,$A$135:$A$186,0),1):INDEX($B$135:$CW$186,MATCH(AW$205,$A$135:$A$186,0),100),$B194:$CW194,"="&amp;"x",$B$133:$CW$133,"="&amp;"N"),0)</f>
        <v>0</v>
      </c>
      <c r="AX211">
        <f ca="1">IFERROR(SUMIFS(INDEX($B$135:$CW$186,MATCH(AX$205,$A$135:$A$186,0),1):INDEX($B$135:$CW$186,MATCH(AX$205,$A$135:$A$186,0),100),$B194:$CW194,"="&amp;"x",$B$133:$CW$133,"="&amp;"N"),0)</f>
        <v>0</v>
      </c>
      <c r="AY211">
        <f ca="1">IFERROR(SUMIFS(INDEX($B$135:$CW$186,MATCH(AY$205,$A$135:$A$186,0),1):INDEX($B$135:$CW$186,MATCH(AY$205,$A$135:$A$186,0),100),$B194:$CW194,"="&amp;"x",$B$133:$CW$133,"="&amp;"N"),0)</f>
        <v>0</v>
      </c>
      <c r="AZ211">
        <f ca="1">IFERROR(SUMIFS(INDEX($B$135:$CW$186,MATCH(AZ$205,$A$135:$A$186,0),1):INDEX($B$135:$CW$186,MATCH(AZ$205,$A$135:$A$186,0),100),$B194:$CW194,"="&amp;"x",$B$133:$CW$133,"="&amp;"N"),0)</f>
        <v>0</v>
      </c>
      <c r="BA211">
        <f ca="1">IFERROR(SUMIFS(INDEX($B$135:$CW$186,MATCH(BA$205,$A$135:$A$186,0),1):INDEX($B$135:$CW$186,MATCH(BA$205,$A$135:$A$186,0),100),$B194:$CW194,"="&amp;"x",$B$133:$CW$133,"="&amp;"N"),0)</f>
        <v>0</v>
      </c>
      <c r="BC211">
        <f t="shared" ca="1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ca="1">IFERROR(SUMIFS(INDEX($B$135:$CW$186,MATCH(B$205,$A$135:$A$186,0),1):INDEX($B$135:$CW$186,MATCH(B$205,$A$135:$A$186,0),100),$B195:$CW195,"="&amp;"x",$B$133:$CW$133,"="&amp;"N"),0)</f>
        <v>0</v>
      </c>
      <c r="C212">
        <f ca="1">IFERROR(SUMIFS(INDEX($B$135:$CW$186,MATCH(C$205,$A$135:$A$186,0),1):INDEX($B$135:$CW$186,MATCH(C$205,$A$135:$A$186,0),100),$B195:$CW195,"="&amp;"x",$B$133:$CW$133,"="&amp;"N"),0)</f>
        <v>0</v>
      </c>
      <c r="D212">
        <f ca="1">IFERROR(SUMIFS(INDEX($B$135:$CW$186,MATCH(D$205,$A$135:$A$186,0),1):INDEX($B$135:$CW$186,MATCH(D$205,$A$135:$A$186,0),100),$B195:$CW195,"="&amp;"x",$B$133:$CW$133,"="&amp;"N"),0)</f>
        <v>0</v>
      </c>
      <c r="E212">
        <f ca="1">IFERROR(SUMIFS(INDEX($B$135:$CW$186,MATCH(E$205,$A$135:$A$186,0),1):INDEX($B$135:$CW$186,MATCH(E$205,$A$135:$A$186,0),100),$B195:$CW195,"="&amp;"x",$B$133:$CW$133,"="&amp;"N"),0)</f>
        <v>0</v>
      </c>
      <c r="F212">
        <f ca="1">IFERROR(SUMIFS(INDEX($B$135:$CW$186,MATCH(F$205,$A$135:$A$186,0),1):INDEX($B$135:$CW$186,MATCH(F$205,$A$135:$A$186,0),100),$B195:$CW195,"="&amp;"x",$B$133:$CW$133,"="&amp;"N"),0)</f>
        <v>0</v>
      </c>
      <c r="G212">
        <f ca="1">IFERROR(SUMIFS(INDEX($B$135:$CW$186,MATCH(G$205,$A$135:$A$186,0),1):INDEX($B$135:$CW$186,MATCH(G$205,$A$135:$A$186,0),100),$B195:$CW195,"="&amp;"x",$B$133:$CW$133,"="&amp;"N"),0)</f>
        <v>0</v>
      </c>
      <c r="H212">
        <f ca="1">IFERROR(SUMIFS(INDEX($B$135:$CW$186,MATCH(H$205,$A$135:$A$186,0),1):INDEX($B$135:$CW$186,MATCH(H$205,$A$135:$A$186,0),100),$B195:$CW195,"="&amp;"x",$B$133:$CW$133,"="&amp;"N"),0)</f>
        <v>0</v>
      </c>
      <c r="I212">
        <f ca="1">IFERROR(SUMIFS(INDEX($B$135:$CW$186,MATCH(I$205,$A$135:$A$186,0),1):INDEX($B$135:$CW$186,MATCH(I$205,$A$135:$A$186,0),100),$B195:$CW195,"="&amp;"x",$B$133:$CW$133,"="&amp;"N"),0)</f>
        <v>0</v>
      </c>
      <c r="J212">
        <f ca="1">IFERROR(SUMIFS(INDEX($B$135:$CW$186,MATCH(J$205,$A$135:$A$186,0),1):INDEX($B$135:$CW$186,MATCH(J$205,$A$135:$A$186,0),100),$B195:$CW195,"="&amp;"x",$B$133:$CW$133,"="&amp;"N"),0)</f>
        <v>0</v>
      </c>
      <c r="K212">
        <f ca="1">IFERROR(SUMIFS(INDEX($B$135:$CW$186,MATCH(K$205,$A$135:$A$186,0),1):INDEX($B$135:$CW$186,MATCH(K$205,$A$135:$A$186,0),100),$B195:$CW195,"="&amp;"x",$B$133:$CW$133,"="&amp;"N"),0)</f>
        <v>0</v>
      </c>
      <c r="L212">
        <f ca="1">IFERROR(SUMIFS(INDEX($B$135:$CW$186,MATCH(L$205,$A$135:$A$186,0),1):INDEX($B$135:$CW$186,MATCH(L$205,$A$135:$A$186,0),100),$B195:$CW195,"="&amp;"x",$B$133:$CW$133,"="&amp;"N"),0)</f>
        <v>0</v>
      </c>
      <c r="M212">
        <f ca="1">IFERROR(SUMIFS(INDEX($B$135:$CW$186,MATCH(M$205,$A$135:$A$186,0),1):INDEX($B$135:$CW$186,MATCH(M$205,$A$135:$A$186,0),100),$B195:$CW195,"="&amp;"x",$B$133:$CW$133,"="&amp;"N"),0)</f>
        <v>0</v>
      </c>
      <c r="N212">
        <f ca="1">IFERROR(SUMIFS(INDEX($B$135:$CW$186,MATCH(N$205,$A$135:$A$186,0),1):INDEX($B$135:$CW$186,MATCH(N$205,$A$135:$A$186,0),100),$B195:$CW195,"="&amp;"x",$B$133:$CW$133,"="&amp;"N"),0)</f>
        <v>0</v>
      </c>
      <c r="O212">
        <f ca="1">IFERROR(SUMIFS(INDEX($B$135:$CW$186,MATCH(O$205,$A$135:$A$186,0),1):INDEX($B$135:$CW$186,MATCH(O$205,$A$135:$A$186,0),100),$B195:$CW195,"="&amp;"x",$B$133:$CW$133,"="&amp;"N"),0)</f>
        <v>0</v>
      </c>
      <c r="P212">
        <f ca="1">IFERROR(SUMIFS(INDEX($B$135:$CW$186,MATCH(P$205,$A$135:$A$186,0),1):INDEX($B$135:$CW$186,MATCH(P$205,$A$135:$A$186,0),100),$B195:$CW195,"="&amp;"x",$B$133:$CW$133,"="&amp;"N"),0)</f>
        <v>0</v>
      </c>
      <c r="Q212">
        <f ca="1">IFERROR(SUMIFS(INDEX($B$135:$CW$186,MATCH(Q$205,$A$135:$A$186,0),1):INDEX($B$135:$CW$186,MATCH(Q$205,$A$135:$A$186,0),100),$B195:$CW195,"="&amp;"x",$B$133:$CW$133,"="&amp;"N"),0)</f>
        <v>0</v>
      </c>
      <c r="R212">
        <f ca="1">IFERROR(SUMIFS(INDEX($B$135:$CW$186,MATCH(R$205,$A$135:$A$186,0),1):INDEX($B$135:$CW$186,MATCH(R$205,$A$135:$A$186,0),100),$B195:$CW195,"="&amp;"x",$B$133:$CW$133,"="&amp;"N"),0)</f>
        <v>0</v>
      </c>
      <c r="S212">
        <f ca="1">IFERROR(SUMIFS(INDEX($B$135:$CW$186,MATCH(S$205,$A$135:$A$186,0),1):INDEX($B$135:$CW$186,MATCH(S$205,$A$135:$A$186,0),100),$B195:$CW195,"="&amp;"x",$B$133:$CW$133,"="&amp;"N"),0)</f>
        <v>0</v>
      </c>
      <c r="T212">
        <f ca="1">IFERROR(SUMIFS(INDEX($B$135:$CW$186,MATCH(T$205,$A$135:$A$186,0),1):INDEX($B$135:$CW$186,MATCH(T$205,$A$135:$A$186,0),100),$B195:$CW195,"="&amp;"x",$B$133:$CW$133,"="&amp;"N"),0)</f>
        <v>0</v>
      </c>
      <c r="U212">
        <f ca="1">IFERROR(SUMIFS(INDEX($B$135:$CW$186,MATCH(U$205,$A$135:$A$186,0),1):INDEX($B$135:$CW$186,MATCH(U$205,$A$135:$A$186,0),100),$B195:$CW195,"="&amp;"x",$B$133:$CW$133,"="&amp;"N"),0)</f>
        <v>0</v>
      </c>
      <c r="V212">
        <f ca="1">IFERROR(SUMIFS(INDEX($B$135:$CW$186,MATCH(V$205,$A$135:$A$186,0),1):INDEX($B$135:$CW$186,MATCH(V$205,$A$135:$A$186,0),100),$B195:$CW195,"="&amp;"x",$B$133:$CW$133,"="&amp;"N"),0)</f>
        <v>0</v>
      </c>
      <c r="W212">
        <f ca="1">IFERROR(SUMIFS(INDEX($B$135:$CW$186,MATCH(W$205,$A$135:$A$186,0),1):INDEX($B$135:$CW$186,MATCH(W$205,$A$135:$A$186,0),100),$B195:$CW195,"="&amp;"x",$B$133:$CW$133,"="&amp;"N"),0)</f>
        <v>0</v>
      </c>
      <c r="X212">
        <f ca="1">IFERROR(SUMIFS(INDEX($B$135:$CW$186,MATCH(X$205,$A$135:$A$186,0),1):INDEX($B$135:$CW$186,MATCH(X$205,$A$135:$A$186,0),100),$B195:$CW195,"="&amp;"x",$B$133:$CW$133,"="&amp;"N"),0)</f>
        <v>0</v>
      </c>
      <c r="Y212">
        <f ca="1">IFERROR(SUMIFS(INDEX($B$135:$CW$186,MATCH(Y$205,$A$135:$A$186,0),1):INDEX($B$135:$CW$186,MATCH(Y$205,$A$135:$A$186,0),100),$B195:$CW195,"="&amp;"x",$B$133:$CW$133,"="&amp;"N"),0)</f>
        <v>0</v>
      </c>
      <c r="Z212">
        <f ca="1">IFERROR(SUMIFS(INDEX($B$135:$CW$186,MATCH(Z$205,$A$135:$A$186,0),1):INDEX($B$135:$CW$186,MATCH(Z$205,$A$135:$A$186,0),100),$B195:$CW195,"="&amp;"x",$B$133:$CW$133,"="&amp;"N"),0)</f>
        <v>0</v>
      </c>
      <c r="AA212">
        <f ca="1">IFERROR(SUMIFS(INDEX($B$135:$CW$186,MATCH(AA$205,$A$135:$A$186,0),1):INDEX($B$135:$CW$186,MATCH(AA$205,$A$135:$A$186,0),100),$B195:$CW195,"="&amp;"x",$B$133:$CW$133,"="&amp;"N"),0)</f>
        <v>0</v>
      </c>
      <c r="AB212">
        <f ca="1">IFERROR(SUMIFS(INDEX($B$135:$CW$186,MATCH(AB$205,$A$135:$A$186,0),1):INDEX($B$135:$CW$186,MATCH(AB$205,$A$135:$A$186,0),100),$B195:$CW195,"="&amp;"x",$B$133:$CW$133,"="&amp;"N"),0)</f>
        <v>0</v>
      </c>
      <c r="AC212">
        <f ca="1">IFERROR(SUMIFS(INDEX($B$135:$CW$186,MATCH(AC$205,$A$135:$A$186,0),1):INDEX($B$135:$CW$186,MATCH(AC$205,$A$135:$A$186,0),100),$B195:$CW195,"="&amp;"x",$B$133:$CW$133,"="&amp;"N"),0)</f>
        <v>0</v>
      </c>
      <c r="AD212">
        <f ca="1">IFERROR(SUMIFS(INDEX($B$135:$CW$186,MATCH(AD$205,$A$135:$A$186,0),1):INDEX($B$135:$CW$186,MATCH(AD$205,$A$135:$A$186,0),100),$B195:$CW195,"="&amp;"x",$B$133:$CW$133,"="&amp;"N"),0)</f>
        <v>0</v>
      </c>
      <c r="AE212">
        <f ca="1">IFERROR(SUMIFS(INDEX($B$135:$CW$186,MATCH(AE$205,$A$135:$A$186,0),1):INDEX($B$135:$CW$186,MATCH(AE$205,$A$135:$A$186,0),100),$B195:$CW195,"="&amp;"x",$B$133:$CW$133,"="&amp;"N"),0)</f>
        <v>0</v>
      </c>
      <c r="AF212">
        <f ca="1">IFERROR(SUMIFS(INDEX($B$135:$CW$186,MATCH(AF$205,$A$135:$A$186,0),1):INDEX($B$135:$CW$186,MATCH(AF$205,$A$135:$A$186,0),100),$B195:$CW195,"="&amp;"x",$B$133:$CW$133,"="&amp;"N"),0)</f>
        <v>0</v>
      </c>
      <c r="AG212">
        <f ca="1">IFERROR(SUMIFS(INDEX($B$135:$CW$186,MATCH(AG$205,$A$135:$A$186,0),1):INDEX($B$135:$CW$186,MATCH(AG$205,$A$135:$A$186,0),100),$B195:$CW195,"="&amp;"x",$B$133:$CW$133,"="&amp;"N"),0)</f>
        <v>0</v>
      </c>
      <c r="AH212">
        <f ca="1">IFERROR(SUMIFS(INDEX($B$135:$CW$186,MATCH(AH$205,$A$135:$A$186,0),1):INDEX($B$135:$CW$186,MATCH(AH$205,$A$135:$A$186,0),100),$B195:$CW195,"="&amp;"x",$B$133:$CW$133,"="&amp;"N"),0)</f>
        <v>0</v>
      </c>
      <c r="AI212">
        <f ca="1">IFERROR(SUMIFS(INDEX($B$135:$CW$186,MATCH(AI$205,$A$135:$A$186,0),1):INDEX($B$135:$CW$186,MATCH(AI$205,$A$135:$A$186,0),100),$B195:$CW195,"="&amp;"x",$B$133:$CW$133,"="&amp;"N"),0)</f>
        <v>0</v>
      </c>
      <c r="AJ212">
        <f ca="1">IFERROR(SUMIFS(INDEX($B$135:$CW$186,MATCH(AJ$205,$A$135:$A$186,0),1):INDEX($B$135:$CW$186,MATCH(AJ$205,$A$135:$A$186,0),100),$B195:$CW195,"="&amp;"x",$B$133:$CW$133,"="&amp;"N"),0)</f>
        <v>0</v>
      </c>
      <c r="AK212">
        <f ca="1">IFERROR(SUMIFS(INDEX($B$135:$CW$186,MATCH(AK$205,$A$135:$A$186,0),1):INDEX($B$135:$CW$186,MATCH(AK$205,$A$135:$A$186,0),100),$B195:$CW195,"="&amp;"x",$B$133:$CW$133,"="&amp;"N"),0)</f>
        <v>0</v>
      </c>
      <c r="AL212">
        <f ca="1">IFERROR(SUMIFS(INDEX($B$135:$CW$186,MATCH(AL$205,$A$135:$A$186,0),1):INDEX($B$135:$CW$186,MATCH(AL$205,$A$135:$A$186,0),100),$B195:$CW195,"="&amp;"x",$B$133:$CW$133,"="&amp;"N"),0)</f>
        <v>0</v>
      </c>
      <c r="AM212">
        <f ca="1">IFERROR(SUMIFS(INDEX($B$135:$CW$186,MATCH(AM$205,$A$135:$A$186,0),1):INDEX($B$135:$CW$186,MATCH(AM$205,$A$135:$A$186,0),100),$B195:$CW195,"="&amp;"x",$B$133:$CW$133,"="&amp;"N"),0)</f>
        <v>0</v>
      </c>
      <c r="AN212">
        <f ca="1">IFERROR(SUMIFS(INDEX($B$135:$CW$186,MATCH(AN$205,$A$135:$A$186,0),1):INDEX($B$135:$CW$186,MATCH(AN$205,$A$135:$A$186,0),100),$B195:$CW195,"="&amp;"x",$B$133:$CW$133,"="&amp;"N"),0)</f>
        <v>0</v>
      </c>
      <c r="AO212">
        <f ca="1">IFERROR(SUMIFS(INDEX($B$135:$CW$186,MATCH(AO$205,$A$135:$A$186,0),1):INDEX($B$135:$CW$186,MATCH(AO$205,$A$135:$A$186,0),100),$B195:$CW195,"="&amp;"x",$B$133:$CW$133,"="&amp;"N"),0)</f>
        <v>0</v>
      </c>
      <c r="AP212">
        <f ca="1">IFERROR(SUMIFS(INDEX($B$135:$CW$186,MATCH(AP$205,$A$135:$A$186,0),1):INDEX($B$135:$CW$186,MATCH(AP$205,$A$135:$A$186,0),100),$B195:$CW195,"="&amp;"x",$B$133:$CW$133,"="&amp;"N"),0)</f>
        <v>0</v>
      </c>
      <c r="AQ212">
        <f ca="1">IFERROR(SUMIFS(INDEX($B$135:$CW$186,MATCH(AQ$205,$A$135:$A$186,0),1):INDEX($B$135:$CW$186,MATCH(AQ$205,$A$135:$A$186,0),100),$B195:$CW195,"="&amp;"x",$B$133:$CW$133,"="&amp;"N"),0)</f>
        <v>0</v>
      </c>
      <c r="AR212">
        <f ca="1">IFERROR(SUMIFS(INDEX($B$135:$CW$186,MATCH(AR$205,$A$135:$A$186,0),1):INDEX($B$135:$CW$186,MATCH(AR$205,$A$135:$A$186,0),100),$B195:$CW195,"="&amp;"x",$B$133:$CW$133,"="&amp;"N"),0)</f>
        <v>0</v>
      </c>
      <c r="AS212">
        <f ca="1">IFERROR(SUMIFS(INDEX($B$135:$CW$186,MATCH(AS$205,$A$135:$A$186,0),1):INDEX($B$135:$CW$186,MATCH(AS$205,$A$135:$A$186,0),100),$B195:$CW195,"="&amp;"x",$B$133:$CW$133,"="&amp;"N"),0)</f>
        <v>0</v>
      </c>
      <c r="AT212">
        <f ca="1">IFERROR(SUMIFS(INDEX($B$135:$CW$186,MATCH(AT$205,$A$135:$A$186,0),1):INDEX($B$135:$CW$186,MATCH(AT$205,$A$135:$A$186,0),100),$B195:$CW195,"="&amp;"x",$B$133:$CW$133,"="&amp;"N"),0)</f>
        <v>0</v>
      </c>
      <c r="AU212">
        <f ca="1">IFERROR(SUMIFS(INDEX($B$135:$CW$186,MATCH(AU$205,$A$135:$A$186,0),1):INDEX($B$135:$CW$186,MATCH(AU$205,$A$135:$A$186,0),100),$B195:$CW195,"="&amp;"x",$B$133:$CW$133,"="&amp;"N"),0)</f>
        <v>0</v>
      </c>
      <c r="AV212">
        <f ca="1">IFERROR(SUMIFS(INDEX($B$135:$CW$186,MATCH(AV$205,$A$135:$A$186,0),1):INDEX($B$135:$CW$186,MATCH(AV$205,$A$135:$A$186,0),100),$B195:$CW195,"="&amp;"x",$B$133:$CW$133,"="&amp;"N"),0)</f>
        <v>0</v>
      </c>
      <c r="AW212">
        <f ca="1">IFERROR(SUMIFS(INDEX($B$135:$CW$186,MATCH(AW$205,$A$135:$A$186,0),1):INDEX($B$135:$CW$186,MATCH(AW$205,$A$135:$A$186,0),100),$B195:$CW195,"="&amp;"x",$B$133:$CW$133,"="&amp;"N"),0)</f>
        <v>0</v>
      </c>
      <c r="AX212">
        <f ca="1">IFERROR(SUMIFS(INDEX($B$135:$CW$186,MATCH(AX$205,$A$135:$A$186,0),1):INDEX($B$135:$CW$186,MATCH(AX$205,$A$135:$A$186,0),100),$B195:$CW195,"="&amp;"x",$B$133:$CW$133,"="&amp;"N"),0)</f>
        <v>0</v>
      </c>
      <c r="AY212">
        <f ca="1">IFERROR(SUMIFS(INDEX($B$135:$CW$186,MATCH(AY$205,$A$135:$A$186,0),1):INDEX($B$135:$CW$186,MATCH(AY$205,$A$135:$A$186,0),100),$B195:$CW195,"="&amp;"x",$B$133:$CW$133,"="&amp;"N"),0)</f>
        <v>0</v>
      </c>
      <c r="AZ212">
        <f ca="1">IFERROR(SUMIFS(INDEX($B$135:$CW$186,MATCH(AZ$205,$A$135:$A$186,0),1):INDEX($B$135:$CW$186,MATCH(AZ$205,$A$135:$A$186,0),100),$B195:$CW195,"="&amp;"x",$B$133:$CW$133,"="&amp;"N"),0)</f>
        <v>0</v>
      </c>
      <c r="BA212">
        <f ca="1">IFERROR(SUMIFS(INDEX($B$135:$CW$186,MATCH(BA$205,$A$135:$A$186,0),1):INDEX($B$135:$CW$186,MATCH(BA$205,$A$135:$A$186,0),100),$B195:$CW195,"="&amp;"x",$B$133:$CW$133,"="&amp;"N"),0)</f>
        <v>0</v>
      </c>
      <c r="BC212">
        <f t="shared" ca="1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ca="1">IFERROR(SUMIFS(INDEX($B$135:$CW$186,MATCH(B$205,$A$135:$A$186,0),1):INDEX($B$135:$CW$186,MATCH(B$205,$A$135:$A$186,0),100),$B196:$CW196,"="&amp;"x",$B$133:$CW$133,"="&amp;"N"),0)</f>
        <v>0</v>
      </c>
      <c r="C213">
        <f ca="1">IFERROR(SUMIFS(INDEX($B$135:$CW$186,MATCH(C$205,$A$135:$A$186,0),1):INDEX($B$135:$CW$186,MATCH(C$205,$A$135:$A$186,0),100),$B196:$CW196,"="&amp;"x",$B$133:$CW$133,"="&amp;"N"),0)</f>
        <v>0</v>
      </c>
      <c r="D213">
        <f ca="1">IFERROR(SUMIFS(INDEX($B$135:$CW$186,MATCH(D$205,$A$135:$A$186,0),1):INDEX($B$135:$CW$186,MATCH(D$205,$A$135:$A$186,0),100),$B196:$CW196,"="&amp;"x",$B$133:$CW$133,"="&amp;"N"),0)</f>
        <v>0</v>
      </c>
      <c r="E213">
        <f ca="1">IFERROR(SUMIFS(INDEX($B$135:$CW$186,MATCH(E$205,$A$135:$A$186,0),1):INDEX($B$135:$CW$186,MATCH(E$205,$A$135:$A$186,0),100),$B196:$CW196,"="&amp;"x",$B$133:$CW$133,"="&amp;"N"),0)</f>
        <v>0</v>
      </c>
      <c r="F213">
        <f ca="1">IFERROR(SUMIFS(INDEX($B$135:$CW$186,MATCH(F$205,$A$135:$A$186,0),1):INDEX($B$135:$CW$186,MATCH(F$205,$A$135:$A$186,0),100),$B196:$CW196,"="&amp;"x",$B$133:$CW$133,"="&amp;"N"),0)</f>
        <v>0</v>
      </c>
      <c r="G213">
        <f ca="1">IFERROR(SUMIFS(INDEX($B$135:$CW$186,MATCH(G$205,$A$135:$A$186,0),1):INDEX($B$135:$CW$186,MATCH(G$205,$A$135:$A$186,0),100),$B196:$CW196,"="&amp;"x",$B$133:$CW$133,"="&amp;"N"),0)</f>
        <v>0</v>
      </c>
      <c r="H213">
        <f ca="1">IFERROR(SUMIFS(INDEX($B$135:$CW$186,MATCH(H$205,$A$135:$A$186,0),1):INDEX($B$135:$CW$186,MATCH(H$205,$A$135:$A$186,0),100),$B196:$CW196,"="&amp;"x",$B$133:$CW$133,"="&amp;"N"),0)</f>
        <v>0</v>
      </c>
      <c r="I213">
        <f ca="1">IFERROR(SUMIFS(INDEX($B$135:$CW$186,MATCH(I$205,$A$135:$A$186,0),1):INDEX($B$135:$CW$186,MATCH(I$205,$A$135:$A$186,0),100),$B196:$CW196,"="&amp;"x",$B$133:$CW$133,"="&amp;"N"),0)</f>
        <v>0</v>
      </c>
      <c r="J213">
        <f ca="1">IFERROR(SUMIFS(INDEX($B$135:$CW$186,MATCH(J$205,$A$135:$A$186,0),1):INDEX($B$135:$CW$186,MATCH(J$205,$A$135:$A$186,0),100),$B196:$CW196,"="&amp;"x",$B$133:$CW$133,"="&amp;"N"),0)</f>
        <v>0</v>
      </c>
      <c r="K213">
        <f ca="1">IFERROR(SUMIFS(INDEX($B$135:$CW$186,MATCH(K$205,$A$135:$A$186,0),1):INDEX($B$135:$CW$186,MATCH(K$205,$A$135:$A$186,0),100),$B196:$CW196,"="&amp;"x",$B$133:$CW$133,"="&amp;"N"),0)</f>
        <v>0</v>
      </c>
      <c r="L213">
        <f ca="1">IFERROR(SUMIFS(INDEX($B$135:$CW$186,MATCH(L$205,$A$135:$A$186,0),1):INDEX($B$135:$CW$186,MATCH(L$205,$A$135:$A$186,0),100),$B196:$CW196,"="&amp;"x",$B$133:$CW$133,"="&amp;"N"),0)</f>
        <v>0</v>
      </c>
      <c r="M213">
        <f ca="1">IFERROR(SUMIFS(INDEX($B$135:$CW$186,MATCH(M$205,$A$135:$A$186,0),1):INDEX($B$135:$CW$186,MATCH(M$205,$A$135:$A$186,0),100),$B196:$CW196,"="&amp;"x",$B$133:$CW$133,"="&amp;"N"),0)</f>
        <v>0</v>
      </c>
      <c r="N213">
        <f ca="1">IFERROR(SUMIFS(INDEX($B$135:$CW$186,MATCH(N$205,$A$135:$A$186,0),1):INDEX($B$135:$CW$186,MATCH(N$205,$A$135:$A$186,0),100),$B196:$CW196,"="&amp;"x",$B$133:$CW$133,"="&amp;"N"),0)</f>
        <v>0</v>
      </c>
      <c r="O213">
        <f ca="1">IFERROR(SUMIFS(INDEX($B$135:$CW$186,MATCH(O$205,$A$135:$A$186,0),1):INDEX($B$135:$CW$186,MATCH(O$205,$A$135:$A$186,0),100),$B196:$CW196,"="&amp;"x",$B$133:$CW$133,"="&amp;"N"),0)</f>
        <v>0</v>
      </c>
      <c r="P213">
        <f ca="1">IFERROR(SUMIFS(INDEX($B$135:$CW$186,MATCH(P$205,$A$135:$A$186,0),1):INDEX($B$135:$CW$186,MATCH(P$205,$A$135:$A$186,0),100),$B196:$CW196,"="&amp;"x",$B$133:$CW$133,"="&amp;"N"),0)</f>
        <v>0</v>
      </c>
      <c r="Q213">
        <f ca="1">IFERROR(SUMIFS(INDEX($B$135:$CW$186,MATCH(Q$205,$A$135:$A$186,0),1):INDEX($B$135:$CW$186,MATCH(Q$205,$A$135:$A$186,0),100),$B196:$CW196,"="&amp;"x",$B$133:$CW$133,"="&amp;"N"),0)</f>
        <v>0</v>
      </c>
      <c r="R213">
        <f ca="1">IFERROR(SUMIFS(INDEX($B$135:$CW$186,MATCH(R$205,$A$135:$A$186,0),1):INDEX($B$135:$CW$186,MATCH(R$205,$A$135:$A$186,0),100),$B196:$CW196,"="&amp;"x",$B$133:$CW$133,"="&amp;"N"),0)</f>
        <v>0</v>
      </c>
      <c r="S213">
        <f ca="1">IFERROR(SUMIFS(INDEX($B$135:$CW$186,MATCH(S$205,$A$135:$A$186,0),1):INDEX($B$135:$CW$186,MATCH(S$205,$A$135:$A$186,0),100),$B196:$CW196,"="&amp;"x",$B$133:$CW$133,"="&amp;"N"),0)</f>
        <v>0</v>
      </c>
      <c r="T213">
        <f ca="1">IFERROR(SUMIFS(INDEX($B$135:$CW$186,MATCH(T$205,$A$135:$A$186,0),1):INDEX($B$135:$CW$186,MATCH(T$205,$A$135:$A$186,0),100),$B196:$CW196,"="&amp;"x",$B$133:$CW$133,"="&amp;"N"),0)</f>
        <v>0</v>
      </c>
      <c r="U213">
        <f ca="1">IFERROR(SUMIFS(INDEX($B$135:$CW$186,MATCH(U$205,$A$135:$A$186,0),1):INDEX($B$135:$CW$186,MATCH(U$205,$A$135:$A$186,0),100),$B196:$CW196,"="&amp;"x",$B$133:$CW$133,"="&amp;"N"),0)</f>
        <v>0</v>
      </c>
      <c r="V213">
        <f ca="1">IFERROR(SUMIFS(INDEX($B$135:$CW$186,MATCH(V$205,$A$135:$A$186,0),1):INDEX($B$135:$CW$186,MATCH(V$205,$A$135:$A$186,0),100),$B196:$CW196,"="&amp;"x",$B$133:$CW$133,"="&amp;"N"),0)</f>
        <v>0</v>
      </c>
      <c r="W213">
        <f ca="1">IFERROR(SUMIFS(INDEX($B$135:$CW$186,MATCH(W$205,$A$135:$A$186,0),1):INDEX($B$135:$CW$186,MATCH(W$205,$A$135:$A$186,0),100),$B196:$CW196,"="&amp;"x",$B$133:$CW$133,"="&amp;"N"),0)</f>
        <v>0</v>
      </c>
      <c r="X213">
        <f ca="1">IFERROR(SUMIFS(INDEX($B$135:$CW$186,MATCH(X$205,$A$135:$A$186,0),1):INDEX($B$135:$CW$186,MATCH(X$205,$A$135:$A$186,0),100),$B196:$CW196,"="&amp;"x",$B$133:$CW$133,"="&amp;"N"),0)</f>
        <v>0</v>
      </c>
      <c r="Y213">
        <f ca="1">IFERROR(SUMIFS(INDEX($B$135:$CW$186,MATCH(Y$205,$A$135:$A$186,0),1):INDEX($B$135:$CW$186,MATCH(Y$205,$A$135:$A$186,0),100),$B196:$CW196,"="&amp;"x",$B$133:$CW$133,"="&amp;"N"),0)</f>
        <v>0</v>
      </c>
      <c r="Z213">
        <f ca="1">IFERROR(SUMIFS(INDEX($B$135:$CW$186,MATCH(Z$205,$A$135:$A$186,0),1):INDEX($B$135:$CW$186,MATCH(Z$205,$A$135:$A$186,0),100),$B196:$CW196,"="&amp;"x",$B$133:$CW$133,"="&amp;"N"),0)</f>
        <v>0</v>
      </c>
      <c r="AA213">
        <f ca="1">IFERROR(SUMIFS(INDEX($B$135:$CW$186,MATCH(AA$205,$A$135:$A$186,0),1):INDEX($B$135:$CW$186,MATCH(AA$205,$A$135:$A$186,0),100),$B196:$CW196,"="&amp;"x",$B$133:$CW$133,"="&amp;"N"),0)</f>
        <v>0</v>
      </c>
      <c r="AB213">
        <f ca="1">IFERROR(SUMIFS(INDEX($B$135:$CW$186,MATCH(AB$205,$A$135:$A$186,0),1):INDEX($B$135:$CW$186,MATCH(AB$205,$A$135:$A$186,0),100),$B196:$CW196,"="&amp;"x",$B$133:$CW$133,"="&amp;"N"),0)</f>
        <v>0</v>
      </c>
      <c r="AC213">
        <f ca="1">IFERROR(SUMIFS(INDEX($B$135:$CW$186,MATCH(AC$205,$A$135:$A$186,0),1):INDEX($B$135:$CW$186,MATCH(AC$205,$A$135:$A$186,0),100),$B196:$CW196,"="&amp;"x",$B$133:$CW$133,"="&amp;"N"),0)</f>
        <v>0</v>
      </c>
      <c r="AD213">
        <f ca="1">IFERROR(SUMIFS(INDEX($B$135:$CW$186,MATCH(AD$205,$A$135:$A$186,0),1):INDEX($B$135:$CW$186,MATCH(AD$205,$A$135:$A$186,0),100),$B196:$CW196,"="&amp;"x",$B$133:$CW$133,"="&amp;"N"),0)</f>
        <v>0</v>
      </c>
      <c r="AE213">
        <f ca="1">IFERROR(SUMIFS(INDEX($B$135:$CW$186,MATCH(AE$205,$A$135:$A$186,0),1):INDEX($B$135:$CW$186,MATCH(AE$205,$A$135:$A$186,0),100),$B196:$CW196,"="&amp;"x",$B$133:$CW$133,"="&amp;"N"),0)</f>
        <v>0</v>
      </c>
      <c r="AF213">
        <f ca="1">IFERROR(SUMIFS(INDEX($B$135:$CW$186,MATCH(AF$205,$A$135:$A$186,0),1):INDEX($B$135:$CW$186,MATCH(AF$205,$A$135:$A$186,0),100),$B196:$CW196,"="&amp;"x",$B$133:$CW$133,"="&amp;"N"),0)</f>
        <v>0</v>
      </c>
      <c r="AG213">
        <f ca="1">IFERROR(SUMIFS(INDEX($B$135:$CW$186,MATCH(AG$205,$A$135:$A$186,0),1):INDEX($B$135:$CW$186,MATCH(AG$205,$A$135:$A$186,0),100),$B196:$CW196,"="&amp;"x",$B$133:$CW$133,"="&amp;"N"),0)</f>
        <v>0</v>
      </c>
      <c r="AH213">
        <f ca="1">IFERROR(SUMIFS(INDEX($B$135:$CW$186,MATCH(AH$205,$A$135:$A$186,0),1):INDEX($B$135:$CW$186,MATCH(AH$205,$A$135:$A$186,0),100),$B196:$CW196,"="&amp;"x",$B$133:$CW$133,"="&amp;"N"),0)</f>
        <v>0</v>
      </c>
      <c r="AI213">
        <f ca="1">IFERROR(SUMIFS(INDEX($B$135:$CW$186,MATCH(AI$205,$A$135:$A$186,0),1):INDEX($B$135:$CW$186,MATCH(AI$205,$A$135:$A$186,0),100),$B196:$CW196,"="&amp;"x",$B$133:$CW$133,"="&amp;"N"),0)</f>
        <v>0</v>
      </c>
      <c r="AJ213">
        <f ca="1">IFERROR(SUMIFS(INDEX($B$135:$CW$186,MATCH(AJ$205,$A$135:$A$186,0),1):INDEX($B$135:$CW$186,MATCH(AJ$205,$A$135:$A$186,0),100),$B196:$CW196,"="&amp;"x",$B$133:$CW$133,"="&amp;"N"),0)</f>
        <v>0</v>
      </c>
      <c r="AK213">
        <f ca="1">IFERROR(SUMIFS(INDEX($B$135:$CW$186,MATCH(AK$205,$A$135:$A$186,0),1):INDEX($B$135:$CW$186,MATCH(AK$205,$A$135:$A$186,0),100),$B196:$CW196,"="&amp;"x",$B$133:$CW$133,"="&amp;"N"),0)</f>
        <v>0</v>
      </c>
      <c r="AL213">
        <f ca="1">IFERROR(SUMIFS(INDEX($B$135:$CW$186,MATCH(AL$205,$A$135:$A$186,0),1):INDEX($B$135:$CW$186,MATCH(AL$205,$A$135:$A$186,0),100),$B196:$CW196,"="&amp;"x",$B$133:$CW$133,"="&amp;"N"),0)</f>
        <v>0</v>
      </c>
      <c r="AM213">
        <f ca="1">IFERROR(SUMIFS(INDEX($B$135:$CW$186,MATCH(AM$205,$A$135:$A$186,0),1):INDEX($B$135:$CW$186,MATCH(AM$205,$A$135:$A$186,0),100),$B196:$CW196,"="&amp;"x",$B$133:$CW$133,"="&amp;"N"),0)</f>
        <v>0</v>
      </c>
      <c r="AN213">
        <f ca="1">IFERROR(SUMIFS(INDEX($B$135:$CW$186,MATCH(AN$205,$A$135:$A$186,0),1):INDEX($B$135:$CW$186,MATCH(AN$205,$A$135:$A$186,0),100),$B196:$CW196,"="&amp;"x",$B$133:$CW$133,"="&amp;"N"),0)</f>
        <v>0</v>
      </c>
      <c r="AO213">
        <f ca="1">IFERROR(SUMIFS(INDEX($B$135:$CW$186,MATCH(AO$205,$A$135:$A$186,0),1):INDEX($B$135:$CW$186,MATCH(AO$205,$A$135:$A$186,0),100),$B196:$CW196,"="&amp;"x",$B$133:$CW$133,"="&amp;"N"),0)</f>
        <v>0</v>
      </c>
      <c r="AP213">
        <f ca="1">IFERROR(SUMIFS(INDEX($B$135:$CW$186,MATCH(AP$205,$A$135:$A$186,0),1):INDEX($B$135:$CW$186,MATCH(AP$205,$A$135:$A$186,0),100),$B196:$CW196,"="&amp;"x",$B$133:$CW$133,"="&amp;"N"),0)</f>
        <v>0</v>
      </c>
      <c r="AQ213">
        <f ca="1">IFERROR(SUMIFS(INDEX($B$135:$CW$186,MATCH(AQ$205,$A$135:$A$186,0),1):INDEX($B$135:$CW$186,MATCH(AQ$205,$A$135:$A$186,0),100),$B196:$CW196,"="&amp;"x",$B$133:$CW$133,"="&amp;"N"),0)</f>
        <v>0</v>
      </c>
      <c r="AR213">
        <f ca="1">IFERROR(SUMIFS(INDEX($B$135:$CW$186,MATCH(AR$205,$A$135:$A$186,0),1):INDEX($B$135:$CW$186,MATCH(AR$205,$A$135:$A$186,0),100),$B196:$CW196,"="&amp;"x",$B$133:$CW$133,"="&amp;"N"),0)</f>
        <v>0</v>
      </c>
      <c r="AS213">
        <f ca="1">IFERROR(SUMIFS(INDEX($B$135:$CW$186,MATCH(AS$205,$A$135:$A$186,0),1):INDEX($B$135:$CW$186,MATCH(AS$205,$A$135:$A$186,0),100),$B196:$CW196,"="&amp;"x",$B$133:$CW$133,"="&amp;"N"),0)</f>
        <v>0</v>
      </c>
      <c r="AT213">
        <f ca="1">IFERROR(SUMIFS(INDEX($B$135:$CW$186,MATCH(AT$205,$A$135:$A$186,0),1):INDEX($B$135:$CW$186,MATCH(AT$205,$A$135:$A$186,0),100),$B196:$CW196,"="&amp;"x",$B$133:$CW$133,"="&amp;"N"),0)</f>
        <v>0</v>
      </c>
      <c r="AU213">
        <f ca="1">IFERROR(SUMIFS(INDEX($B$135:$CW$186,MATCH(AU$205,$A$135:$A$186,0),1):INDEX($B$135:$CW$186,MATCH(AU$205,$A$135:$A$186,0),100),$B196:$CW196,"="&amp;"x",$B$133:$CW$133,"="&amp;"N"),0)</f>
        <v>0</v>
      </c>
      <c r="AV213">
        <f ca="1">IFERROR(SUMIFS(INDEX($B$135:$CW$186,MATCH(AV$205,$A$135:$A$186,0),1):INDEX($B$135:$CW$186,MATCH(AV$205,$A$135:$A$186,0),100),$B196:$CW196,"="&amp;"x",$B$133:$CW$133,"="&amp;"N"),0)</f>
        <v>0</v>
      </c>
      <c r="AW213">
        <f ca="1">IFERROR(SUMIFS(INDEX($B$135:$CW$186,MATCH(AW$205,$A$135:$A$186,0),1):INDEX($B$135:$CW$186,MATCH(AW$205,$A$135:$A$186,0),100),$B196:$CW196,"="&amp;"x",$B$133:$CW$133,"="&amp;"N"),0)</f>
        <v>0</v>
      </c>
      <c r="AX213">
        <f ca="1">IFERROR(SUMIFS(INDEX($B$135:$CW$186,MATCH(AX$205,$A$135:$A$186,0),1):INDEX($B$135:$CW$186,MATCH(AX$205,$A$135:$A$186,0),100),$B196:$CW196,"="&amp;"x",$B$133:$CW$133,"="&amp;"N"),0)</f>
        <v>0</v>
      </c>
      <c r="AY213">
        <f ca="1">IFERROR(SUMIFS(INDEX($B$135:$CW$186,MATCH(AY$205,$A$135:$A$186,0),1):INDEX($B$135:$CW$186,MATCH(AY$205,$A$135:$A$186,0),100),$B196:$CW196,"="&amp;"x",$B$133:$CW$133,"="&amp;"N"),0)</f>
        <v>0</v>
      </c>
      <c r="AZ213">
        <f ca="1">IFERROR(SUMIFS(INDEX($B$135:$CW$186,MATCH(AZ$205,$A$135:$A$186,0),1):INDEX($B$135:$CW$186,MATCH(AZ$205,$A$135:$A$186,0),100),$B196:$CW196,"="&amp;"x",$B$133:$CW$133,"="&amp;"N"),0)</f>
        <v>0</v>
      </c>
      <c r="BA213">
        <f ca="1">IFERROR(SUMIFS(INDEX($B$135:$CW$186,MATCH(BA$205,$A$135:$A$186,0),1):INDEX($B$135:$CW$186,MATCH(BA$205,$A$135:$A$186,0),100),$B196:$CW196,"="&amp;"x",$B$133:$CW$133,"="&amp;"N"),0)</f>
        <v>0</v>
      </c>
      <c r="BC213">
        <f t="shared" ca="1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ca="1">IFERROR(SUMIFS(INDEX($B$135:$CW$186,MATCH(B$205,$A$135:$A$186,0),1):INDEX($B$135:$CW$186,MATCH(B$205,$A$135:$A$186,0),100),$B197:$CW197,"="&amp;"x",$B$133:$CW$133,"="&amp;"N"),0)</f>
        <v>0</v>
      </c>
      <c r="C214">
        <f ca="1">IFERROR(SUMIFS(INDEX($B$135:$CW$186,MATCH(C$205,$A$135:$A$186,0),1):INDEX($B$135:$CW$186,MATCH(C$205,$A$135:$A$186,0),100),$B197:$CW197,"="&amp;"x",$B$133:$CW$133,"="&amp;"N"),0)</f>
        <v>0</v>
      </c>
      <c r="D214">
        <f ca="1">IFERROR(SUMIFS(INDEX($B$135:$CW$186,MATCH(D$205,$A$135:$A$186,0),1):INDEX($B$135:$CW$186,MATCH(D$205,$A$135:$A$186,0),100),$B197:$CW197,"="&amp;"x",$B$133:$CW$133,"="&amp;"N"),0)</f>
        <v>0</v>
      </c>
      <c r="E214">
        <f ca="1">IFERROR(SUMIFS(INDEX($B$135:$CW$186,MATCH(E$205,$A$135:$A$186,0),1):INDEX($B$135:$CW$186,MATCH(E$205,$A$135:$A$186,0),100),$B197:$CW197,"="&amp;"x",$B$133:$CW$133,"="&amp;"N"),0)</f>
        <v>0</v>
      </c>
      <c r="F214">
        <f ca="1">IFERROR(SUMIFS(INDEX($B$135:$CW$186,MATCH(F$205,$A$135:$A$186,0),1):INDEX($B$135:$CW$186,MATCH(F$205,$A$135:$A$186,0),100),$B197:$CW197,"="&amp;"x",$B$133:$CW$133,"="&amp;"N"),0)</f>
        <v>0</v>
      </c>
      <c r="G214">
        <f ca="1">IFERROR(SUMIFS(INDEX($B$135:$CW$186,MATCH(G$205,$A$135:$A$186,0),1):INDEX($B$135:$CW$186,MATCH(G$205,$A$135:$A$186,0),100),$B197:$CW197,"="&amp;"x",$B$133:$CW$133,"="&amp;"N"),0)</f>
        <v>0</v>
      </c>
      <c r="H214">
        <f ca="1">IFERROR(SUMIFS(INDEX($B$135:$CW$186,MATCH(H$205,$A$135:$A$186,0),1):INDEX($B$135:$CW$186,MATCH(H$205,$A$135:$A$186,0),100),$B197:$CW197,"="&amp;"x",$B$133:$CW$133,"="&amp;"N"),0)</f>
        <v>0</v>
      </c>
      <c r="I214">
        <f ca="1">IFERROR(SUMIFS(INDEX($B$135:$CW$186,MATCH(I$205,$A$135:$A$186,0),1):INDEX($B$135:$CW$186,MATCH(I$205,$A$135:$A$186,0),100),$B197:$CW197,"="&amp;"x",$B$133:$CW$133,"="&amp;"N"),0)</f>
        <v>0</v>
      </c>
      <c r="J214">
        <f ca="1">IFERROR(SUMIFS(INDEX($B$135:$CW$186,MATCH(J$205,$A$135:$A$186,0),1):INDEX($B$135:$CW$186,MATCH(J$205,$A$135:$A$186,0),100),$B197:$CW197,"="&amp;"x",$B$133:$CW$133,"="&amp;"N"),0)</f>
        <v>0</v>
      </c>
      <c r="K214">
        <f ca="1">IFERROR(SUMIFS(INDEX($B$135:$CW$186,MATCH(K$205,$A$135:$A$186,0),1):INDEX($B$135:$CW$186,MATCH(K$205,$A$135:$A$186,0),100),$B197:$CW197,"="&amp;"x",$B$133:$CW$133,"="&amp;"N"),0)</f>
        <v>0</v>
      </c>
      <c r="L214">
        <f ca="1">IFERROR(SUMIFS(INDEX($B$135:$CW$186,MATCH(L$205,$A$135:$A$186,0),1):INDEX($B$135:$CW$186,MATCH(L$205,$A$135:$A$186,0),100),$B197:$CW197,"="&amp;"x",$B$133:$CW$133,"="&amp;"N"),0)</f>
        <v>0</v>
      </c>
      <c r="M214">
        <f ca="1">IFERROR(SUMIFS(INDEX($B$135:$CW$186,MATCH(M$205,$A$135:$A$186,0),1):INDEX($B$135:$CW$186,MATCH(M$205,$A$135:$A$186,0),100),$B197:$CW197,"="&amp;"x",$B$133:$CW$133,"="&amp;"N"),0)</f>
        <v>0</v>
      </c>
      <c r="N214">
        <f ca="1">IFERROR(SUMIFS(INDEX($B$135:$CW$186,MATCH(N$205,$A$135:$A$186,0),1):INDEX($B$135:$CW$186,MATCH(N$205,$A$135:$A$186,0),100),$B197:$CW197,"="&amp;"x",$B$133:$CW$133,"="&amp;"N"),0)</f>
        <v>0</v>
      </c>
      <c r="O214">
        <f ca="1">IFERROR(SUMIFS(INDEX($B$135:$CW$186,MATCH(O$205,$A$135:$A$186,0),1):INDEX($B$135:$CW$186,MATCH(O$205,$A$135:$A$186,0),100),$B197:$CW197,"="&amp;"x",$B$133:$CW$133,"="&amp;"N"),0)</f>
        <v>0</v>
      </c>
      <c r="P214">
        <f ca="1">IFERROR(SUMIFS(INDEX($B$135:$CW$186,MATCH(P$205,$A$135:$A$186,0),1):INDEX($B$135:$CW$186,MATCH(P$205,$A$135:$A$186,0),100),$B197:$CW197,"="&amp;"x",$B$133:$CW$133,"="&amp;"N"),0)</f>
        <v>0</v>
      </c>
      <c r="Q214">
        <f ca="1">IFERROR(SUMIFS(INDEX($B$135:$CW$186,MATCH(Q$205,$A$135:$A$186,0),1):INDEX($B$135:$CW$186,MATCH(Q$205,$A$135:$A$186,0),100),$B197:$CW197,"="&amp;"x",$B$133:$CW$133,"="&amp;"N"),0)</f>
        <v>0</v>
      </c>
      <c r="R214">
        <f ca="1">IFERROR(SUMIFS(INDEX($B$135:$CW$186,MATCH(R$205,$A$135:$A$186,0),1):INDEX($B$135:$CW$186,MATCH(R$205,$A$135:$A$186,0),100),$B197:$CW197,"="&amp;"x",$B$133:$CW$133,"="&amp;"N"),0)</f>
        <v>0</v>
      </c>
      <c r="S214">
        <f ca="1">IFERROR(SUMIFS(INDEX($B$135:$CW$186,MATCH(S$205,$A$135:$A$186,0),1):INDEX($B$135:$CW$186,MATCH(S$205,$A$135:$A$186,0),100),$B197:$CW197,"="&amp;"x",$B$133:$CW$133,"="&amp;"N"),0)</f>
        <v>0</v>
      </c>
      <c r="T214">
        <f ca="1">IFERROR(SUMIFS(INDEX($B$135:$CW$186,MATCH(T$205,$A$135:$A$186,0),1):INDEX($B$135:$CW$186,MATCH(T$205,$A$135:$A$186,0),100),$B197:$CW197,"="&amp;"x",$B$133:$CW$133,"="&amp;"N"),0)</f>
        <v>0</v>
      </c>
      <c r="U214">
        <f ca="1">IFERROR(SUMIFS(INDEX($B$135:$CW$186,MATCH(U$205,$A$135:$A$186,0),1):INDEX($B$135:$CW$186,MATCH(U$205,$A$135:$A$186,0),100),$B197:$CW197,"="&amp;"x",$B$133:$CW$133,"="&amp;"N"),0)</f>
        <v>0</v>
      </c>
      <c r="V214">
        <f ca="1">IFERROR(SUMIFS(INDEX($B$135:$CW$186,MATCH(V$205,$A$135:$A$186,0),1):INDEX($B$135:$CW$186,MATCH(V$205,$A$135:$A$186,0),100),$B197:$CW197,"="&amp;"x",$B$133:$CW$133,"="&amp;"N"),0)</f>
        <v>0</v>
      </c>
      <c r="W214">
        <f ca="1">IFERROR(SUMIFS(INDEX($B$135:$CW$186,MATCH(W$205,$A$135:$A$186,0),1):INDEX($B$135:$CW$186,MATCH(W$205,$A$135:$A$186,0),100),$B197:$CW197,"="&amp;"x",$B$133:$CW$133,"="&amp;"N"),0)</f>
        <v>0</v>
      </c>
      <c r="X214">
        <f ca="1">IFERROR(SUMIFS(INDEX($B$135:$CW$186,MATCH(X$205,$A$135:$A$186,0),1):INDEX($B$135:$CW$186,MATCH(X$205,$A$135:$A$186,0),100),$B197:$CW197,"="&amp;"x",$B$133:$CW$133,"="&amp;"N"),0)</f>
        <v>0</v>
      </c>
      <c r="Y214">
        <f ca="1">IFERROR(SUMIFS(INDEX($B$135:$CW$186,MATCH(Y$205,$A$135:$A$186,0),1):INDEX($B$135:$CW$186,MATCH(Y$205,$A$135:$A$186,0),100),$B197:$CW197,"="&amp;"x",$B$133:$CW$133,"="&amp;"N"),0)</f>
        <v>0</v>
      </c>
      <c r="Z214">
        <f ca="1">IFERROR(SUMIFS(INDEX($B$135:$CW$186,MATCH(Z$205,$A$135:$A$186,0),1):INDEX($B$135:$CW$186,MATCH(Z$205,$A$135:$A$186,0),100),$B197:$CW197,"="&amp;"x",$B$133:$CW$133,"="&amp;"N"),0)</f>
        <v>0</v>
      </c>
      <c r="AA214">
        <f ca="1">IFERROR(SUMIFS(INDEX($B$135:$CW$186,MATCH(AA$205,$A$135:$A$186,0),1):INDEX($B$135:$CW$186,MATCH(AA$205,$A$135:$A$186,0),100),$B197:$CW197,"="&amp;"x",$B$133:$CW$133,"="&amp;"N"),0)</f>
        <v>0</v>
      </c>
      <c r="AB214">
        <f ca="1">IFERROR(SUMIFS(INDEX($B$135:$CW$186,MATCH(AB$205,$A$135:$A$186,0),1):INDEX($B$135:$CW$186,MATCH(AB$205,$A$135:$A$186,0),100),$B197:$CW197,"="&amp;"x",$B$133:$CW$133,"="&amp;"N"),0)</f>
        <v>0</v>
      </c>
      <c r="AC214">
        <f ca="1">IFERROR(SUMIFS(INDEX($B$135:$CW$186,MATCH(AC$205,$A$135:$A$186,0),1):INDEX($B$135:$CW$186,MATCH(AC$205,$A$135:$A$186,0),100),$B197:$CW197,"="&amp;"x",$B$133:$CW$133,"="&amp;"N"),0)</f>
        <v>0</v>
      </c>
      <c r="AD214">
        <f ca="1">IFERROR(SUMIFS(INDEX($B$135:$CW$186,MATCH(AD$205,$A$135:$A$186,0),1):INDEX($B$135:$CW$186,MATCH(AD$205,$A$135:$A$186,0),100),$B197:$CW197,"="&amp;"x",$B$133:$CW$133,"="&amp;"N"),0)</f>
        <v>0</v>
      </c>
      <c r="AE214">
        <f ca="1">IFERROR(SUMIFS(INDEX($B$135:$CW$186,MATCH(AE$205,$A$135:$A$186,0),1):INDEX($B$135:$CW$186,MATCH(AE$205,$A$135:$A$186,0),100),$B197:$CW197,"="&amp;"x",$B$133:$CW$133,"="&amp;"N"),0)</f>
        <v>0</v>
      </c>
      <c r="AF214">
        <f ca="1">IFERROR(SUMIFS(INDEX($B$135:$CW$186,MATCH(AF$205,$A$135:$A$186,0),1):INDEX($B$135:$CW$186,MATCH(AF$205,$A$135:$A$186,0),100),$B197:$CW197,"="&amp;"x",$B$133:$CW$133,"="&amp;"N"),0)</f>
        <v>0</v>
      </c>
      <c r="AG214">
        <f ca="1">IFERROR(SUMIFS(INDEX($B$135:$CW$186,MATCH(AG$205,$A$135:$A$186,0),1):INDEX($B$135:$CW$186,MATCH(AG$205,$A$135:$A$186,0),100),$B197:$CW197,"="&amp;"x",$B$133:$CW$133,"="&amp;"N"),0)</f>
        <v>0</v>
      </c>
      <c r="AH214">
        <f ca="1">IFERROR(SUMIFS(INDEX($B$135:$CW$186,MATCH(AH$205,$A$135:$A$186,0),1):INDEX($B$135:$CW$186,MATCH(AH$205,$A$135:$A$186,0),100),$B197:$CW197,"="&amp;"x",$B$133:$CW$133,"="&amp;"N"),0)</f>
        <v>0</v>
      </c>
      <c r="AI214">
        <f ca="1">IFERROR(SUMIFS(INDEX($B$135:$CW$186,MATCH(AI$205,$A$135:$A$186,0),1):INDEX($B$135:$CW$186,MATCH(AI$205,$A$135:$A$186,0),100),$B197:$CW197,"="&amp;"x",$B$133:$CW$133,"="&amp;"N"),0)</f>
        <v>0</v>
      </c>
      <c r="AJ214">
        <f ca="1">IFERROR(SUMIFS(INDEX($B$135:$CW$186,MATCH(AJ$205,$A$135:$A$186,0),1):INDEX($B$135:$CW$186,MATCH(AJ$205,$A$135:$A$186,0),100),$B197:$CW197,"="&amp;"x",$B$133:$CW$133,"="&amp;"N"),0)</f>
        <v>0</v>
      </c>
      <c r="AK214">
        <f ca="1">IFERROR(SUMIFS(INDEX($B$135:$CW$186,MATCH(AK$205,$A$135:$A$186,0),1):INDEX($B$135:$CW$186,MATCH(AK$205,$A$135:$A$186,0),100),$B197:$CW197,"="&amp;"x",$B$133:$CW$133,"="&amp;"N"),0)</f>
        <v>0</v>
      </c>
      <c r="AL214">
        <f ca="1">IFERROR(SUMIFS(INDEX($B$135:$CW$186,MATCH(AL$205,$A$135:$A$186,0),1):INDEX($B$135:$CW$186,MATCH(AL$205,$A$135:$A$186,0),100),$B197:$CW197,"="&amp;"x",$B$133:$CW$133,"="&amp;"N"),0)</f>
        <v>0</v>
      </c>
      <c r="AM214">
        <f ca="1">IFERROR(SUMIFS(INDEX($B$135:$CW$186,MATCH(AM$205,$A$135:$A$186,0),1):INDEX($B$135:$CW$186,MATCH(AM$205,$A$135:$A$186,0),100),$B197:$CW197,"="&amp;"x",$B$133:$CW$133,"="&amp;"N"),0)</f>
        <v>0</v>
      </c>
      <c r="AN214">
        <f ca="1">IFERROR(SUMIFS(INDEX($B$135:$CW$186,MATCH(AN$205,$A$135:$A$186,0),1):INDEX($B$135:$CW$186,MATCH(AN$205,$A$135:$A$186,0),100),$B197:$CW197,"="&amp;"x",$B$133:$CW$133,"="&amp;"N"),0)</f>
        <v>0</v>
      </c>
      <c r="AO214">
        <f ca="1">IFERROR(SUMIFS(INDEX($B$135:$CW$186,MATCH(AO$205,$A$135:$A$186,0),1):INDEX($B$135:$CW$186,MATCH(AO$205,$A$135:$A$186,0),100),$B197:$CW197,"="&amp;"x",$B$133:$CW$133,"="&amp;"N"),0)</f>
        <v>0</v>
      </c>
      <c r="AP214">
        <f ca="1">IFERROR(SUMIFS(INDEX($B$135:$CW$186,MATCH(AP$205,$A$135:$A$186,0),1):INDEX($B$135:$CW$186,MATCH(AP$205,$A$135:$A$186,0),100),$B197:$CW197,"="&amp;"x",$B$133:$CW$133,"="&amp;"N"),0)</f>
        <v>0</v>
      </c>
      <c r="AQ214">
        <f ca="1">IFERROR(SUMIFS(INDEX($B$135:$CW$186,MATCH(AQ$205,$A$135:$A$186,0),1):INDEX($B$135:$CW$186,MATCH(AQ$205,$A$135:$A$186,0),100),$B197:$CW197,"="&amp;"x",$B$133:$CW$133,"="&amp;"N"),0)</f>
        <v>0</v>
      </c>
      <c r="AR214">
        <f ca="1">IFERROR(SUMIFS(INDEX($B$135:$CW$186,MATCH(AR$205,$A$135:$A$186,0),1):INDEX($B$135:$CW$186,MATCH(AR$205,$A$135:$A$186,0),100),$B197:$CW197,"="&amp;"x",$B$133:$CW$133,"="&amp;"N"),0)</f>
        <v>0</v>
      </c>
      <c r="AS214">
        <f ca="1">IFERROR(SUMIFS(INDEX($B$135:$CW$186,MATCH(AS$205,$A$135:$A$186,0),1):INDEX($B$135:$CW$186,MATCH(AS$205,$A$135:$A$186,0),100),$B197:$CW197,"="&amp;"x",$B$133:$CW$133,"="&amp;"N"),0)</f>
        <v>0</v>
      </c>
      <c r="AT214">
        <f ca="1">IFERROR(SUMIFS(INDEX($B$135:$CW$186,MATCH(AT$205,$A$135:$A$186,0),1):INDEX($B$135:$CW$186,MATCH(AT$205,$A$135:$A$186,0),100),$B197:$CW197,"="&amp;"x",$B$133:$CW$133,"="&amp;"N"),0)</f>
        <v>0</v>
      </c>
      <c r="AU214">
        <f ca="1">IFERROR(SUMIFS(INDEX($B$135:$CW$186,MATCH(AU$205,$A$135:$A$186,0),1):INDEX($B$135:$CW$186,MATCH(AU$205,$A$135:$A$186,0),100),$B197:$CW197,"="&amp;"x",$B$133:$CW$133,"="&amp;"N"),0)</f>
        <v>0</v>
      </c>
      <c r="AV214">
        <f ca="1">IFERROR(SUMIFS(INDEX($B$135:$CW$186,MATCH(AV$205,$A$135:$A$186,0),1):INDEX($B$135:$CW$186,MATCH(AV$205,$A$135:$A$186,0),100),$B197:$CW197,"="&amp;"x",$B$133:$CW$133,"="&amp;"N"),0)</f>
        <v>0</v>
      </c>
      <c r="AW214">
        <f ca="1">IFERROR(SUMIFS(INDEX($B$135:$CW$186,MATCH(AW$205,$A$135:$A$186,0),1):INDEX($B$135:$CW$186,MATCH(AW$205,$A$135:$A$186,0),100),$B197:$CW197,"="&amp;"x",$B$133:$CW$133,"="&amp;"N"),0)</f>
        <v>0</v>
      </c>
      <c r="AX214">
        <f ca="1">IFERROR(SUMIFS(INDEX($B$135:$CW$186,MATCH(AX$205,$A$135:$A$186,0),1):INDEX($B$135:$CW$186,MATCH(AX$205,$A$135:$A$186,0),100),$B197:$CW197,"="&amp;"x",$B$133:$CW$133,"="&amp;"N"),0)</f>
        <v>0</v>
      </c>
      <c r="AY214">
        <f ca="1">IFERROR(SUMIFS(INDEX($B$135:$CW$186,MATCH(AY$205,$A$135:$A$186,0),1):INDEX($B$135:$CW$186,MATCH(AY$205,$A$135:$A$186,0),100),$B197:$CW197,"="&amp;"x",$B$133:$CW$133,"="&amp;"N"),0)</f>
        <v>0</v>
      </c>
      <c r="AZ214">
        <f ca="1">IFERROR(SUMIFS(INDEX($B$135:$CW$186,MATCH(AZ$205,$A$135:$A$186,0),1):INDEX($B$135:$CW$186,MATCH(AZ$205,$A$135:$A$186,0),100),$B197:$CW197,"="&amp;"x",$B$133:$CW$133,"="&amp;"N"),0)</f>
        <v>0</v>
      </c>
      <c r="BA214">
        <f ca="1">IFERROR(SUMIFS(INDEX($B$135:$CW$186,MATCH(BA$205,$A$135:$A$186,0),1):INDEX($B$135:$CW$186,MATCH(BA$205,$A$135:$A$186,0),100),$B197:$CW197,"="&amp;"x",$B$133:$CW$133,"="&amp;"N"),0)</f>
        <v>0</v>
      </c>
      <c r="BC214">
        <f t="shared" ca="1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ca="1">IFERROR(SUMIFS(INDEX($B$135:$CW$186,MATCH(B$205,$A$135:$A$186,0),1):INDEX($B$135:$CW$186,MATCH(B$205,$A$135:$A$186,0),100),$B198:$CW198,"="&amp;"x",$B$133:$CW$133,"="&amp;"N"),0)</f>
        <v>0</v>
      </c>
      <c r="C215">
        <f ca="1">IFERROR(SUMIFS(INDEX($B$135:$CW$186,MATCH(C$205,$A$135:$A$186,0),1):INDEX($B$135:$CW$186,MATCH(C$205,$A$135:$A$186,0),100),$B198:$CW198,"="&amp;"x",$B$133:$CW$133,"="&amp;"N"),0)</f>
        <v>0</v>
      </c>
      <c r="D215">
        <f ca="1">IFERROR(SUMIFS(INDEX($B$135:$CW$186,MATCH(D$205,$A$135:$A$186,0),1):INDEX($B$135:$CW$186,MATCH(D$205,$A$135:$A$186,0),100),$B198:$CW198,"="&amp;"x",$B$133:$CW$133,"="&amp;"N"),0)</f>
        <v>0</v>
      </c>
      <c r="E215">
        <f ca="1">IFERROR(SUMIFS(INDEX($B$135:$CW$186,MATCH(E$205,$A$135:$A$186,0),1):INDEX($B$135:$CW$186,MATCH(E$205,$A$135:$A$186,0),100),$B198:$CW198,"="&amp;"x",$B$133:$CW$133,"="&amp;"N"),0)</f>
        <v>0</v>
      </c>
      <c r="F215">
        <f ca="1">IFERROR(SUMIFS(INDEX($B$135:$CW$186,MATCH(F$205,$A$135:$A$186,0),1):INDEX($B$135:$CW$186,MATCH(F$205,$A$135:$A$186,0),100),$B198:$CW198,"="&amp;"x",$B$133:$CW$133,"="&amp;"N"),0)</f>
        <v>0</v>
      </c>
      <c r="G215">
        <f ca="1">IFERROR(SUMIFS(INDEX($B$135:$CW$186,MATCH(G$205,$A$135:$A$186,0),1):INDEX($B$135:$CW$186,MATCH(G$205,$A$135:$A$186,0),100),$B198:$CW198,"="&amp;"x",$B$133:$CW$133,"="&amp;"N"),0)</f>
        <v>0</v>
      </c>
      <c r="H215">
        <f ca="1">IFERROR(SUMIFS(INDEX($B$135:$CW$186,MATCH(H$205,$A$135:$A$186,0),1):INDEX($B$135:$CW$186,MATCH(H$205,$A$135:$A$186,0),100),$B198:$CW198,"="&amp;"x",$B$133:$CW$133,"="&amp;"N"),0)</f>
        <v>0</v>
      </c>
      <c r="I215">
        <f ca="1">IFERROR(SUMIFS(INDEX($B$135:$CW$186,MATCH(I$205,$A$135:$A$186,0),1):INDEX($B$135:$CW$186,MATCH(I$205,$A$135:$A$186,0),100),$B198:$CW198,"="&amp;"x",$B$133:$CW$133,"="&amp;"N"),0)</f>
        <v>0</v>
      </c>
      <c r="J215">
        <f ca="1">IFERROR(SUMIFS(INDEX($B$135:$CW$186,MATCH(J$205,$A$135:$A$186,0),1):INDEX($B$135:$CW$186,MATCH(J$205,$A$135:$A$186,0),100),$B198:$CW198,"="&amp;"x",$B$133:$CW$133,"="&amp;"N"),0)</f>
        <v>0</v>
      </c>
      <c r="K215">
        <f ca="1">IFERROR(SUMIFS(INDEX($B$135:$CW$186,MATCH(K$205,$A$135:$A$186,0),1):INDEX($B$135:$CW$186,MATCH(K$205,$A$135:$A$186,0),100),$B198:$CW198,"="&amp;"x",$B$133:$CW$133,"="&amp;"N"),0)</f>
        <v>0</v>
      </c>
      <c r="L215">
        <f ca="1">IFERROR(SUMIFS(INDEX($B$135:$CW$186,MATCH(L$205,$A$135:$A$186,0),1):INDEX($B$135:$CW$186,MATCH(L$205,$A$135:$A$186,0),100),$B198:$CW198,"="&amp;"x",$B$133:$CW$133,"="&amp;"N"),0)</f>
        <v>0</v>
      </c>
      <c r="M215">
        <f ca="1">IFERROR(SUMIFS(INDEX($B$135:$CW$186,MATCH(M$205,$A$135:$A$186,0),1):INDEX($B$135:$CW$186,MATCH(M$205,$A$135:$A$186,0),100),$B198:$CW198,"="&amp;"x",$B$133:$CW$133,"="&amp;"N"),0)</f>
        <v>0</v>
      </c>
      <c r="N215">
        <f ca="1">IFERROR(SUMIFS(INDEX($B$135:$CW$186,MATCH(N$205,$A$135:$A$186,0),1):INDEX($B$135:$CW$186,MATCH(N$205,$A$135:$A$186,0),100),$B198:$CW198,"="&amp;"x",$B$133:$CW$133,"="&amp;"N"),0)</f>
        <v>0</v>
      </c>
      <c r="O215">
        <f ca="1">IFERROR(SUMIFS(INDEX($B$135:$CW$186,MATCH(O$205,$A$135:$A$186,0),1):INDEX($B$135:$CW$186,MATCH(O$205,$A$135:$A$186,0),100),$B198:$CW198,"="&amp;"x",$B$133:$CW$133,"="&amp;"N"),0)</f>
        <v>0</v>
      </c>
      <c r="P215">
        <f ca="1">IFERROR(SUMIFS(INDEX($B$135:$CW$186,MATCH(P$205,$A$135:$A$186,0),1):INDEX($B$135:$CW$186,MATCH(P$205,$A$135:$A$186,0),100),$B198:$CW198,"="&amp;"x",$B$133:$CW$133,"="&amp;"N"),0)</f>
        <v>0</v>
      </c>
      <c r="Q215">
        <f ca="1">IFERROR(SUMIFS(INDEX($B$135:$CW$186,MATCH(Q$205,$A$135:$A$186,0),1):INDEX($B$135:$CW$186,MATCH(Q$205,$A$135:$A$186,0),100),$B198:$CW198,"="&amp;"x",$B$133:$CW$133,"="&amp;"N"),0)</f>
        <v>0</v>
      </c>
      <c r="R215">
        <f ca="1">IFERROR(SUMIFS(INDEX($B$135:$CW$186,MATCH(R$205,$A$135:$A$186,0),1):INDEX($B$135:$CW$186,MATCH(R$205,$A$135:$A$186,0),100),$B198:$CW198,"="&amp;"x",$B$133:$CW$133,"="&amp;"N"),0)</f>
        <v>0</v>
      </c>
      <c r="S215">
        <f ca="1">IFERROR(SUMIFS(INDEX($B$135:$CW$186,MATCH(S$205,$A$135:$A$186,0),1):INDEX($B$135:$CW$186,MATCH(S$205,$A$135:$A$186,0),100),$B198:$CW198,"="&amp;"x",$B$133:$CW$133,"="&amp;"N"),0)</f>
        <v>0</v>
      </c>
      <c r="T215">
        <f ca="1">IFERROR(SUMIFS(INDEX($B$135:$CW$186,MATCH(T$205,$A$135:$A$186,0),1):INDEX($B$135:$CW$186,MATCH(T$205,$A$135:$A$186,0),100),$B198:$CW198,"="&amp;"x",$B$133:$CW$133,"="&amp;"N"),0)</f>
        <v>0</v>
      </c>
      <c r="U215">
        <f ca="1">IFERROR(SUMIFS(INDEX($B$135:$CW$186,MATCH(U$205,$A$135:$A$186,0),1):INDEX($B$135:$CW$186,MATCH(U$205,$A$135:$A$186,0),100),$B198:$CW198,"="&amp;"x",$B$133:$CW$133,"="&amp;"N"),0)</f>
        <v>0</v>
      </c>
      <c r="V215">
        <f ca="1">IFERROR(SUMIFS(INDEX($B$135:$CW$186,MATCH(V$205,$A$135:$A$186,0),1):INDEX($B$135:$CW$186,MATCH(V$205,$A$135:$A$186,0),100),$B198:$CW198,"="&amp;"x",$B$133:$CW$133,"="&amp;"N"),0)</f>
        <v>0</v>
      </c>
      <c r="W215">
        <f ca="1">IFERROR(SUMIFS(INDEX($B$135:$CW$186,MATCH(W$205,$A$135:$A$186,0),1):INDEX($B$135:$CW$186,MATCH(W$205,$A$135:$A$186,0),100),$B198:$CW198,"="&amp;"x",$B$133:$CW$133,"="&amp;"N"),0)</f>
        <v>0</v>
      </c>
      <c r="X215">
        <f ca="1">IFERROR(SUMIFS(INDEX($B$135:$CW$186,MATCH(X$205,$A$135:$A$186,0),1):INDEX($B$135:$CW$186,MATCH(X$205,$A$135:$A$186,0),100),$B198:$CW198,"="&amp;"x",$B$133:$CW$133,"="&amp;"N"),0)</f>
        <v>0</v>
      </c>
      <c r="Y215">
        <f ca="1">IFERROR(SUMIFS(INDEX($B$135:$CW$186,MATCH(Y$205,$A$135:$A$186,0),1):INDEX($B$135:$CW$186,MATCH(Y$205,$A$135:$A$186,0),100),$B198:$CW198,"="&amp;"x",$B$133:$CW$133,"="&amp;"N"),0)</f>
        <v>0</v>
      </c>
      <c r="Z215">
        <f ca="1">IFERROR(SUMIFS(INDEX($B$135:$CW$186,MATCH(Z$205,$A$135:$A$186,0),1):INDEX($B$135:$CW$186,MATCH(Z$205,$A$135:$A$186,0),100),$B198:$CW198,"="&amp;"x",$B$133:$CW$133,"="&amp;"N"),0)</f>
        <v>0</v>
      </c>
      <c r="AA215">
        <f ca="1">IFERROR(SUMIFS(INDEX($B$135:$CW$186,MATCH(AA$205,$A$135:$A$186,0),1):INDEX($B$135:$CW$186,MATCH(AA$205,$A$135:$A$186,0),100),$B198:$CW198,"="&amp;"x",$B$133:$CW$133,"="&amp;"N"),0)</f>
        <v>0</v>
      </c>
      <c r="AB215">
        <f ca="1">IFERROR(SUMIFS(INDEX($B$135:$CW$186,MATCH(AB$205,$A$135:$A$186,0),1):INDEX($B$135:$CW$186,MATCH(AB$205,$A$135:$A$186,0),100),$B198:$CW198,"="&amp;"x",$B$133:$CW$133,"="&amp;"N"),0)</f>
        <v>0</v>
      </c>
      <c r="AC215">
        <f ca="1">IFERROR(SUMIFS(INDEX($B$135:$CW$186,MATCH(AC$205,$A$135:$A$186,0),1):INDEX($B$135:$CW$186,MATCH(AC$205,$A$135:$A$186,0),100),$B198:$CW198,"="&amp;"x",$B$133:$CW$133,"="&amp;"N"),0)</f>
        <v>0</v>
      </c>
      <c r="AD215">
        <f ca="1">IFERROR(SUMIFS(INDEX($B$135:$CW$186,MATCH(AD$205,$A$135:$A$186,0),1):INDEX($B$135:$CW$186,MATCH(AD$205,$A$135:$A$186,0),100),$B198:$CW198,"="&amp;"x",$B$133:$CW$133,"="&amp;"N"),0)</f>
        <v>0</v>
      </c>
      <c r="AE215">
        <f ca="1">IFERROR(SUMIFS(INDEX($B$135:$CW$186,MATCH(AE$205,$A$135:$A$186,0),1):INDEX($B$135:$CW$186,MATCH(AE$205,$A$135:$A$186,0),100),$B198:$CW198,"="&amp;"x",$B$133:$CW$133,"="&amp;"N"),0)</f>
        <v>0</v>
      </c>
      <c r="AF215">
        <f ca="1">IFERROR(SUMIFS(INDEX($B$135:$CW$186,MATCH(AF$205,$A$135:$A$186,0),1):INDEX($B$135:$CW$186,MATCH(AF$205,$A$135:$A$186,0),100),$B198:$CW198,"="&amp;"x",$B$133:$CW$133,"="&amp;"N"),0)</f>
        <v>0</v>
      </c>
      <c r="AG215">
        <f ca="1">IFERROR(SUMIFS(INDEX($B$135:$CW$186,MATCH(AG$205,$A$135:$A$186,0),1):INDEX($B$135:$CW$186,MATCH(AG$205,$A$135:$A$186,0),100),$B198:$CW198,"="&amp;"x",$B$133:$CW$133,"="&amp;"N"),0)</f>
        <v>0</v>
      </c>
      <c r="AH215">
        <f ca="1">IFERROR(SUMIFS(INDEX($B$135:$CW$186,MATCH(AH$205,$A$135:$A$186,0),1):INDEX($B$135:$CW$186,MATCH(AH$205,$A$135:$A$186,0),100),$B198:$CW198,"="&amp;"x",$B$133:$CW$133,"="&amp;"N"),0)</f>
        <v>0</v>
      </c>
      <c r="AI215">
        <f ca="1">IFERROR(SUMIFS(INDEX($B$135:$CW$186,MATCH(AI$205,$A$135:$A$186,0),1):INDEX($B$135:$CW$186,MATCH(AI$205,$A$135:$A$186,0),100),$B198:$CW198,"="&amp;"x",$B$133:$CW$133,"="&amp;"N"),0)</f>
        <v>0</v>
      </c>
      <c r="AJ215">
        <f ca="1">IFERROR(SUMIFS(INDEX($B$135:$CW$186,MATCH(AJ$205,$A$135:$A$186,0),1):INDEX($B$135:$CW$186,MATCH(AJ$205,$A$135:$A$186,0),100),$B198:$CW198,"="&amp;"x",$B$133:$CW$133,"="&amp;"N"),0)</f>
        <v>0</v>
      </c>
      <c r="AK215">
        <f ca="1">IFERROR(SUMIFS(INDEX($B$135:$CW$186,MATCH(AK$205,$A$135:$A$186,0),1):INDEX($B$135:$CW$186,MATCH(AK$205,$A$135:$A$186,0),100),$B198:$CW198,"="&amp;"x",$B$133:$CW$133,"="&amp;"N"),0)</f>
        <v>0</v>
      </c>
      <c r="AL215">
        <f ca="1">IFERROR(SUMIFS(INDEX($B$135:$CW$186,MATCH(AL$205,$A$135:$A$186,0),1):INDEX($B$135:$CW$186,MATCH(AL$205,$A$135:$A$186,0),100),$B198:$CW198,"="&amp;"x",$B$133:$CW$133,"="&amp;"N"),0)</f>
        <v>0</v>
      </c>
      <c r="AM215">
        <f ca="1">IFERROR(SUMIFS(INDEX($B$135:$CW$186,MATCH(AM$205,$A$135:$A$186,0),1):INDEX($B$135:$CW$186,MATCH(AM$205,$A$135:$A$186,0),100),$B198:$CW198,"="&amp;"x",$B$133:$CW$133,"="&amp;"N"),0)</f>
        <v>0</v>
      </c>
      <c r="AN215">
        <f ca="1">IFERROR(SUMIFS(INDEX($B$135:$CW$186,MATCH(AN$205,$A$135:$A$186,0),1):INDEX($B$135:$CW$186,MATCH(AN$205,$A$135:$A$186,0),100),$B198:$CW198,"="&amp;"x",$B$133:$CW$133,"="&amp;"N"),0)</f>
        <v>0</v>
      </c>
      <c r="AO215">
        <f ca="1">IFERROR(SUMIFS(INDEX($B$135:$CW$186,MATCH(AO$205,$A$135:$A$186,0),1):INDEX($B$135:$CW$186,MATCH(AO$205,$A$135:$A$186,0),100),$B198:$CW198,"="&amp;"x",$B$133:$CW$133,"="&amp;"N"),0)</f>
        <v>0</v>
      </c>
      <c r="AP215">
        <f ca="1">IFERROR(SUMIFS(INDEX($B$135:$CW$186,MATCH(AP$205,$A$135:$A$186,0),1):INDEX($B$135:$CW$186,MATCH(AP$205,$A$135:$A$186,0),100),$B198:$CW198,"="&amp;"x",$B$133:$CW$133,"="&amp;"N"),0)</f>
        <v>0</v>
      </c>
      <c r="AQ215">
        <f ca="1">IFERROR(SUMIFS(INDEX($B$135:$CW$186,MATCH(AQ$205,$A$135:$A$186,0),1):INDEX($B$135:$CW$186,MATCH(AQ$205,$A$135:$A$186,0),100),$B198:$CW198,"="&amp;"x",$B$133:$CW$133,"="&amp;"N"),0)</f>
        <v>0</v>
      </c>
      <c r="AR215">
        <f ca="1">IFERROR(SUMIFS(INDEX($B$135:$CW$186,MATCH(AR$205,$A$135:$A$186,0),1):INDEX($B$135:$CW$186,MATCH(AR$205,$A$135:$A$186,0),100),$B198:$CW198,"="&amp;"x",$B$133:$CW$133,"="&amp;"N"),0)</f>
        <v>0</v>
      </c>
      <c r="AS215">
        <f ca="1">IFERROR(SUMIFS(INDEX($B$135:$CW$186,MATCH(AS$205,$A$135:$A$186,0),1):INDEX($B$135:$CW$186,MATCH(AS$205,$A$135:$A$186,0),100),$B198:$CW198,"="&amp;"x",$B$133:$CW$133,"="&amp;"N"),0)</f>
        <v>0</v>
      </c>
      <c r="AT215">
        <f ca="1">IFERROR(SUMIFS(INDEX($B$135:$CW$186,MATCH(AT$205,$A$135:$A$186,0),1):INDEX($B$135:$CW$186,MATCH(AT$205,$A$135:$A$186,0),100),$B198:$CW198,"="&amp;"x",$B$133:$CW$133,"="&amp;"N"),0)</f>
        <v>0</v>
      </c>
      <c r="AU215">
        <f ca="1">IFERROR(SUMIFS(INDEX($B$135:$CW$186,MATCH(AU$205,$A$135:$A$186,0),1):INDEX($B$135:$CW$186,MATCH(AU$205,$A$135:$A$186,0),100),$B198:$CW198,"="&amp;"x",$B$133:$CW$133,"="&amp;"N"),0)</f>
        <v>0</v>
      </c>
      <c r="AV215">
        <f ca="1">IFERROR(SUMIFS(INDEX($B$135:$CW$186,MATCH(AV$205,$A$135:$A$186,0),1):INDEX($B$135:$CW$186,MATCH(AV$205,$A$135:$A$186,0),100),$B198:$CW198,"="&amp;"x",$B$133:$CW$133,"="&amp;"N"),0)</f>
        <v>0</v>
      </c>
      <c r="AW215">
        <f ca="1">IFERROR(SUMIFS(INDEX($B$135:$CW$186,MATCH(AW$205,$A$135:$A$186,0),1):INDEX($B$135:$CW$186,MATCH(AW$205,$A$135:$A$186,0),100),$B198:$CW198,"="&amp;"x",$B$133:$CW$133,"="&amp;"N"),0)</f>
        <v>0</v>
      </c>
      <c r="AX215">
        <f ca="1">IFERROR(SUMIFS(INDEX($B$135:$CW$186,MATCH(AX$205,$A$135:$A$186,0),1):INDEX($B$135:$CW$186,MATCH(AX$205,$A$135:$A$186,0),100),$B198:$CW198,"="&amp;"x",$B$133:$CW$133,"="&amp;"N"),0)</f>
        <v>0</v>
      </c>
      <c r="AY215">
        <f ca="1">IFERROR(SUMIFS(INDEX($B$135:$CW$186,MATCH(AY$205,$A$135:$A$186,0),1):INDEX($B$135:$CW$186,MATCH(AY$205,$A$135:$A$186,0),100),$B198:$CW198,"="&amp;"x",$B$133:$CW$133,"="&amp;"N"),0)</f>
        <v>0</v>
      </c>
      <c r="AZ215">
        <f ca="1">IFERROR(SUMIFS(INDEX($B$135:$CW$186,MATCH(AZ$205,$A$135:$A$186,0),1):INDEX($B$135:$CW$186,MATCH(AZ$205,$A$135:$A$186,0),100),$B198:$CW198,"="&amp;"x",$B$133:$CW$133,"="&amp;"N"),0)</f>
        <v>0</v>
      </c>
      <c r="BA215">
        <f ca="1">IFERROR(SUMIFS(INDEX($B$135:$CW$186,MATCH(BA$205,$A$135:$A$186,0),1):INDEX($B$135:$CW$186,MATCH(BA$205,$A$135:$A$186,0),100),$B198:$CW198,"="&amp;"x",$B$133:$CW$133,"="&amp;"N"),0)</f>
        <v>0</v>
      </c>
      <c r="BC215">
        <f t="shared" ca="1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ca="1">IFERROR(SUMIFS(INDEX($B$135:$CW$186,MATCH(B$205,$A$135:$A$186,0),1):INDEX($B$135:$CW$186,MATCH(B$205,$A$135:$A$186,0),100),$B199:$CW199,"="&amp;"x",$B$133:$CW$133,"="&amp;"N"),0)</f>
        <v>0</v>
      </c>
      <c r="C216">
        <f ca="1">IFERROR(SUMIFS(INDEX($B$135:$CW$186,MATCH(C$205,$A$135:$A$186,0),1):INDEX($B$135:$CW$186,MATCH(C$205,$A$135:$A$186,0),100),$B199:$CW199,"="&amp;"x",$B$133:$CW$133,"="&amp;"N"),0)</f>
        <v>0</v>
      </c>
      <c r="D216">
        <f ca="1">IFERROR(SUMIFS(INDEX($B$135:$CW$186,MATCH(D$205,$A$135:$A$186,0),1):INDEX($B$135:$CW$186,MATCH(D$205,$A$135:$A$186,0),100),$B199:$CW199,"="&amp;"x",$B$133:$CW$133,"="&amp;"N"),0)</f>
        <v>0</v>
      </c>
      <c r="E216">
        <f ca="1">IFERROR(SUMIFS(INDEX($B$135:$CW$186,MATCH(E$205,$A$135:$A$186,0),1):INDEX($B$135:$CW$186,MATCH(E$205,$A$135:$A$186,0),100),$B199:$CW199,"="&amp;"x",$B$133:$CW$133,"="&amp;"N"),0)</f>
        <v>0</v>
      </c>
      <c r="F216">
        <f ca="1">IFERROR(SUMIFS(INDEX($B$135:$CW$186,MATCH(F$205,$A$135:$A$186,0),1):INDEX($B$135:$CW$186,MATCH(F$205,$A$135:$A$186,0),100),$B199:$CW199,"="&amp;"x",$B$133:$CW$133,"="&amp;"N"),0)</f>
        <v>0</v>
      </c>
      <c r="G216">
        <f ca="1">IFERROR(SUMIFS(INDEX($B$135:$CW$186,MATCH(G$205,$A$135:$A$186,0),1):INDEX($B$135:$CW$186,MATCH(G$205,$A$135:$A$186,0),100),$B199:$CW199,"="&amp;"x",$B$133:$CW$133,"="&amp;"N"),0)</f>
        <v>0</v>
      </c>
      <c r="H216">
        <f ca="1">IFERROR(SUMIFS(INDEX($B$135:$CW$186,MATCH(H$205,$A$135:$A$186,0),1):INDEX($B$135:$CW$186,MATCH(H$205,$A$135:$A$186,0),100),$B199:$CW199,"="&amp;"x",$B$133:$CW$133,"="&amp;"N"),0)</f>
        <v>0</v>
      </c>
      <c r="I216">
        <f ca="1">IFERROR(SUMIFS(INDEX($B$135:$CW$186,MATCH(I$205,$A$135:$A$186,0),1):INDEX($B$135:$CW$186,MATCH(I$205,$A$135:$A$186,0),100),$B199:$CW199,"="&amp;"x",$B$133:$CW$133,"="&amp;"N"),0)</f>
        <v>0</v>
      </c>
      <c r="J216">
        <f ca="1">IFERROR(SUMIFS(INDEX($B$135:$CW$186,MATCH(J$205,$A$135:$A$186,0),1):INDEX($B$135:$CW$186,MATCH(J$205,$A$135:$A$186,0),100),$B199:$CW199,"="&amp;"x",$B$133:$CW$133,"="&amp;"N"),0)</f>
        <v>0</v>
      </c>
      <c r="K216">
        <f ca="1">IFERROR(SUMIFS(INDEX($B$135:$CW$186,MATCH(K$205,$A$135:$A$186,0),1):INDEX($B$135:$CW$186,MATCH(K$205,$A$135:$A$186,0),100),$B199:$CW199,"="&amp;"x",$B$133:$CW$133,"="&amp;"N"),0)</f>
        <v>0</v>
      </c>
      <c r="L216">
        <f ca="1">IFERROR(SUMIFS(INDEX($B$135:$CW$186,MATCH(L$205,$A$135:$A$186,0),1):INDEX($B$135:$CW$186,MATCH(L$205,$A$135:$A$186,0),100),$B199:$CW199,"="&amp;"x",$B$133:$CW$133,"="&amp;"N"),0)</f>
        <v>0</v>
      </c>
      <c r="M216">
        <f ca="1">IFERROR(SUMIFS(INDEX($B$135:$CW$186,MATCH(M$205,$A$135:$A$186,0),1):INDEX($B$135:$CW$186,MATCH(M$205,$A$135:$A$186,0),100),$B199:$CW199,"="&amp;"x",$B$133:$CW$133,"="&amp;"N"),0)</f>
        <v>0</v>
      </c>
      <c r="N216">
        <f ca="1">IFERROR(SUMIFS(INDEX($B$135:$CW$186,MATCH(N$205,$A$135:$A$186,0),1):INDEX($B$135:$CW$186,MATCH(N$205,$A$135:$A$186,0),100),$B199:$CW199,"="&amp;"x",$B$133:$CW$133,"="&amp;"N"),0)</f>
        <v>0</v>
      </c>
      <c r="O216">
        <f ca="1">IFERROR(SUMIFS(INDEX($B$135:$CW$186,MATCH(O$205,$A$135:$A$186,0),1):INDEX($B$135:$CW$186,MATCH(O$205,$A$135:$A$186,0),100),$B199:$CW199,"="&amp;"x",$B$133:$CW$133,"="&amp;"N"),0)</f>
        <v>0</v>
      </c>
      <c r="P216">
        <f ca="1">IFERROR(SUMIFS(INDEX($B$135:$CW$186,MATCH(P$205,$A$135:$A$186,0),1):INDEX($B$135:$CW$186,MATCH(P$205,$A$135:$A$186,0),100),$B199:$CW199,"="&amp;"x",$B$133:$CW$133,"="&amp;"N"),0)</f>
        <v>0</v>
      </c>
      <c r="Q216">
        <f ca="1">IFERROR(SUMIFS(INDEX($B$135:$CW$186,MATCH(Q$205,$A$135:$A$186,0),1):INDEX($B$135:$CW$186,MATCH(Q$205,$A$135:$A$186,0),100),$B199:$CW199,"="&amp;"x",$B$133:$CW$133,"="&amp;"N"),0)</f>
        <v>0</v>
      </c>
      <c r="R216">
        <f ca="1">IFERROR(SUMIFS(INDEX($B$135:$CW$186,MATCH(R$205,$A$135:$A$186,0),1):INDEX($B$135:$CW$186,MATCH(R$205,$A$135:$A$186,0),100),$B199:$CW199,"="&amp;"x",$B$133:$CW$133,"="&amp;"N"),0)</f>
        <v>0</v>
      </c>
      <c r="S216">
        <f ca="1">IFERROR(SUMIFS(INDEX($B$135:$CW$186,MATCH(S$205,$A$135:$A$186,0),1):INDEX($B$135:$CW$186,MATCH(S$205,$A$135:$A$186,0),100),$B199:$CW199,"="&amp;"x",$B$133:$CW$133,"="&amp;"N"),0)</f>
        <v>0</v>
      </c>
      <c r="T216">
        <f ca="1">IFERROR(SUMIFS(INDEX($B$135:$CW$186,MATCH(T$205,$A$135:$A$186,0),1):INDEX($B$135:$CW$186,MATCH(T$205,$A$135:$A$186,0),100),$B199:$CW199,"="&amp;"x",$B$133:$CW$133,"="&amp;"N"),0)</f>
        <v>0</v>
      </c>
      <c r="U216">
        <f ca="1">IFERROR(SUMIFS(INDEX($B$135:$CW$186,MATCH(U$205,$A$135:$A$186,0),1):INDEX($B$135:$CW$186,MATCH(U$205,$A$135:$A$186,0),100),$B199:$CW199,"="&amp;"x",$B$133:$CW$133,"="&amp;"N"),0)</f>
        <v>0</v>
      </c>
      <c r="V216">
        <f ca="1">IFERROR(SUMIFS(INDEX($B$135:$CW$186,MATCH(V$205,$A$135:$A$186,0),1):INDEX($B$135:$CW$186,MATCH(V$205,$A$135:$A$186,0),100),$B199:$CW199,"="&amp;"x",$B$133:$CW$133,"="&amp;"N"),0)</f>
        <v>0</v>
      </c>
      <c r="W216">
        <f ca="1">IFERROR(SUMIFS(INDEX($B$135:$CW$186,MATCH(W$205,$A$135:$A$186,0),1):INDEX($B$135:$CW$186,MATCH(W$205,$A$135:$A$186,0),100),$B199:$CW199,"="&amp;"x",$B$133:$CW$133,"="&amp;"N"),0)</f>
        <v>0</v>
      </c>
      <c r="X216">
        <f ca="1">IFERROR(SUMIFS(INDEX($B$135:$CW$186,MATCH(X$205,$A$135:$A$186,0),1):INDEX($B$135:$CW$186,MATCH(X$205,$A$135:$A$186,0),100),$B199:$CW199,"="&amp;"x",$B$133:$CW$133,"="&amp;"N"),0)</f>
        <v>0</v>
      </c>
      <c r="Y216">
        <f ca="1">IFERROR(SUMIFS(INDEX($B$135:$CW$186,MATCH(Y$205,$A$135:$A$186,0),1):INDEX($B$135:$CW$186,MATCH(Y$205,$A$135:$A$186,0),100),$B199:$CW199,"="&amp;"x",$B$133:$CW$133,"="&amp;"N"),0)</f>
        <v>0</v>
      </c>
      <c r="Z216">
        <f ca="1">IFERROR(SUMIFS(INDEX($B$135:$CW$186,MATCH(Z$205,$A$135:$A$186,0),1):INDEX($B$135:$CW$186,MATCH(Z$205,$A$135:$A$186,0),100),$B199:$CW199,"="&amp;"x",$B$133:$CW$133,"="&amp;"N"),0)</f>
        <v>0</v>
      </c>
      <c r="AA216">
        <f ca="1">IFERROR(SUMIFS(INDEX($B$135:$CW$186,MATCH(AA$205,$A$135:$A$186,0),1):INDEX($B$135:$CW$186,MATCH(AA$205,$A$135:$A$186,0),100),$B199:$CW199,"="&amp;"x",$B$133:$CW$133,"="&amp;"N"),0)</f>
        <v>0</v>
      </c>
      <c r="AB216">
        <f ca="1">IFERROR(SUMIFS(INDEX($B$135:$CW$186,MATCH(AB$205,$A$135:$A$186,0),1):INDEX($B$135:$CW$186,MATCH(AB$205,$A$135:$A$186,0),100),$B199:$CW199,"="&amp;"x",$B$133:$CW$133,"="&amp;"N"),0)</f>
        <v>0</v>
      </c>
      <c r="AC216">
        <f ca="1">IFERROR(SUMIFS(INDEX($B$135:$CW$186,MATCH(AC$205,$A$135:$A$186,0),1):INDEX($B$135:$CW$186,MATCH(AC$205,$A$135:$A$186,0),100),$B199:$CW199,"="&amp;"x",$B$133:$CW$133,"="&amp;"N"),0)</f>
        <v>0</v>
      </c>
      <c r="AD216">
        <f ca="1">IFERROR(SUMIFS(INDEX($B$135:$CW$186,MATCH(AD$205,$A$135:$A$186,0),1):INDEX($B$135:$CW$186,MATCH(AD$205,$A$135:$A$186,0),100),$B199:$CW199,"="&amp;"x",$B$133:$CW$133,"="&amp;"N"),0)</f>
        <v>0</v>
      </c>
      <c r="AE216">
        <f ca="1">IFERROR(SUMIFS(INDEX($B$135:$CW$186,MATCH(AE$205,$A$135:$A$186,0),1):INDEX($B$135:$CW$186,MATCH(AE$205,$A$135:$A$186,0),100),$B199:$CW199,"="&amp;"x",$B$133:$CW$133,"="&amp;"N"),0)</f>
        <v>0</v>
      </c>
      <c r="AF216">
        <f ca="1">IFERROR(SUMIFS(INDEX($B$135:$CW$186,MATCH(AF$205,$A$135:$A$186,0),1):INDEX($B$135:$CW$186,MATCH(AF$205,$A$135:$A$186,0),100),$B199:$CW199,"="&amp;"x",$B$133:$CW$133,"="&amp;"N"),0)</f>
        <v>0</v>
      </c>
      <c r="AG216">
        <f ca="1">IFERROR(SUMIFS(INDEX($B$135:$CW$186,MATCH(AG$205,$A$135:$A$186,0),1):INDEX($B$135:$CW$186,MATCH(AG$205,$A$135:$A$186,0),100),$B199:$CW199,"="&amp;"x",$B$133:$CW$133,"="&amp;"N"),0)</f>
        <v>0</v>
      </c>
      <c r="AH216">
        <f ca="1">IFERROR(SUMIFS(INDEX($B$135:$CW$186,MATCH(AH$205,$A$135:$A$186,0),1):INDEX($B$135:$CW$186,MATCH(AH$205,$A$135:$A$186,0),100),$B199:$CW199,"="&amp;"x",$B$133:$CW$133,"="&amp;"N"),0)</f>
        <v>0</v>
      </c>
      <c r="AI216">
        <f ca="1">IFERROR(SUMIFS(INDEX($B$135:$CW$186,MATCH(AI$205,$A$135:$A$186,0),1):INDEX($B$135:$CW$186,MATCH(AI$205,$A$135:$A$186,0),100),$B199:$CW199,"="&amp;"x",$B$133:$CW$133,"="&amp;"N"),0)</f>
        <v>0</v>
      </c>
      <c r="AJ216">
        <f ca="1">IFERROR(SUMIFS(INDEX($B$135:$CW$186,MATCH(AJ$205,$A$135:$A$186,0),1):INDEX($B$135:$CW$186,MATCH(AJ$205,$A$135:$A$186,0),100),$B199:$CW199,"="&amp;"x",$B$133:$CW$133,"="&amp;"N"),0)</f>
        <v>0</v>
      </c>
      <c r="AK216">
        <f ca="1">IFERROR(SUMIFS(INDEX($B$135:$CW$186,MATCH(AK$205,$A$135:$A$186,0),1):INDEX($B$135:$CW$186,MATCH(AK$205,$A$135:$A$186,0),100),$B199:$CW199,"="&amp;"x",$B$133:$CW$133,"="&amp;"N"),0)</f>
        <v>0</v>
      </c>
      <c r="AL216">
        <f ca="1">IFERROR(SUMIFS(INDEX($B$135:$CW$186,MATCH(AL$205,$A$135:$A$186,0),1):INDEX($B$135:$CW$186,MATCH(AL$205,$A$135:$A$186,0),100),$B199:$CW199,"="&amp;"x",$B$133:$CW$133,"="&amp;"N"),0)</f>
        <v>0</v>
      </c>
      <c r="AM216">
        <f ca="1">IFERROR(SUMIFS(INDEX($B$135:$CW$186,MATCH(AM$205,$A$135:$A$186,0),1):INDEX($B$135:$CW$186,MATCH(AM$205,$A$135:$A$186,0),100),$B199:$CW199,"="&amp;"x",$B$133:$CW$133,"="&amp;"N"),0)</f>
        <v>0</v>
      </c>
      <c r="AN216">
        <f ca="1">IFERROR(SUMIFS(INDEX($B$135:$CW$186,MATCH(AN$205,$A$135:$A$186,0),1):INDEX($B$135:$CW$186,MATCH(AN$205,$A$135:$A$186,0),100),$B199:$CW199,"="&amp;"x",$B$133:$CW$133,"="&amp;"N"),0)</f>
        <v>0</v>
      </c>
      <c r="AO216">
        <f ca="1">IFERROR(SUMIFS(INDEX($B$135:$CW$186,MATCH(AO$205,$A$135:$A$186,0),1):INDEX($B$135:$CW$186,MATCH(AO$205,$A$135:$A$186,0),100),$B199:$CW199,"="&amp;"x",$B$133:$CW$133,"="&amp;"N"),0)</f>
        <v>0</v>
      </c>
      <c r="AP216">
        <f ca="1">IFERROR(SUMIFS(INDEX($B$135:$CW$186,MATCH(AP$205,$A$135:$A$186,0),1):INDEX($B$135:$CW$186,MATCH(AP$205,$A$135:$A$186,0),100),$B199:$CW199,"="&amp;"x",$B$133:$CW$133,"="&amp;"N"),0)</f>
        <v>0</v>
      </c>
      <c r="AQ216">
        <f ca="1">IFERROR(SUMIFS(INDEX($B$135:$CW$186,MATCH(AQ$205,$A$135:$A$186,0),1):INDEX($B$135:$CW$186,MATCH(AQ$205,$A$135:$A$186,0),100),$B199:$CW199,"="&amp;"x",$B$133:$CW$133,"="&amp;"N"),0)</f>
        <v>0</v>
      </c>
      <c r="AR216">
        <f ca="1">IFERROR(SUMIFS(INDEX($B$135:$CW$186,MATCH(AR$205,$A$135:$A$186,0),1):INDEX($B$135:$CW$186,MATCH(AR$205,$A$135:$A$186,0),100),$B199:$CW199,"="&amp;"x",$B$133:$CW$133,"="&amp;"N"),0)</f>
        <v>0</v>
      </c>
      <c r="AS216">
        <f ca="1">IFERROR(SUMIFS(INDEX($B$135:$CW$186,MATCH(AS$205,$A$135:$A$186,0),1):INDEX($B$135:$CW$186,MATCH(AS$205,$A$135:$A$186,0),100),$B199:$CW199,"="&amp;"x",$B$133:$CW$133,"="&amp;"N"),0)</f>
        <v>0</v>
      </c>
      <c r="AT216">
        <f ca="1">IFERROR(SUMIFS(INDEX($B$135:$CW$186,MATCH(AT$205,$A$135:$A$186,0),1):INDEX($B$135:$CW$186,MATCH(AT$205,$A$135:$A$186,0),100),$B199:$CW199,"="&amp;"x",$B$133:$CW$133,"="&amp;"N"),0)</f>
        <v>0</v>
      </c>
      <c r="AU216">
        <f ca="1">IFERROR(SUMIFS(INDEX($B$135:$CW$186,MATCH(AU$205,$A$135:$A$186,0),1):INDEX($B$135:$CW$186,MATCH(AU$205,$A$135:$A$186,0),100),$B199:$CW199,"="&amp;"x",$B$133:$CW$133,"="&amp;"N"),0)</f>
        <v>0</v>
      </c>
      <c r="AV216">
        <f ca="1">IFERROR(SUMIFS(INDEX($B$135:$CW$186,MATCH(AV$205,$A$135:$A$186,0),1):INDEX($B$135:$CW$186,MATCH(AV$205,$A$135:$A$186,0),100),$B199:$CW199,"="&amp;"x",$B$133:$CW$133,"="&amp;"N"),0)</f>
        <v>0</v>
      </c>
      <c r="AW216">
        <f ca="1">IFERROR(SUMIFS(INDEX($B$135:$CW$186,MATCH(AW$205,$A$135:$A$186,0),1):INDEX($B$135:$CW$186,MATCH(AW$205,$A$135:$A$186,0),100),$B199:$CW199,"="&amp;"x",$B$133:$CW$133,"="&amp;"N"),0)</f>
        <v>0</v>
      </c>
      <c r="AX216">
        <f ca="1">IFERROR(SUMIFS(INDEX($B$135:$CW$186,MATCH(AX$205,$A$135:$A$186,0),1):INDEX($B$135:$CW$186,MATCH(AX$205,$A$135:$A$186,0),100),$B199:$CW199,"="&amp;"x",$B$133:$CW$133,"="&amp;"N"),0)</f>
        <v>0</v>
      </c>
      <c r="AY216">
        <f ca="1">IFERROR(SUMIFS(INDEX($B$135:$CW$186,MATCH(AY$205,$A$135:$A$186,0),1):INDEX($B$135:$CW$186,MATCH(AY$205,$A$135:$A$186,0),100),$B199:$CW199,"="&amp;"x",$B$133:$CW$133,"="&amp;"N"),0)</f>
        <v>0</v>
      </c>
      <c r="AZ216">
        <f ca="1">IFERROR(SUMIFS(INDEX($B$135:$CW$186,MATCH(AZ$205,$A$135:$A$186,0),1):INDEX($B$135:$CW$186,MATCH(AZ$205,$A$135:$A$186,0),100),$B199:$CW199,"="&amp;"x",$B$133:$CW$133,"="&amp;"N"),0)</f>
        <v>0</v>
      </c>
      <c r="BA216">
        <f ca="1">IFERROR(SUMIFS(INDEX($B$135:$CW$186,MATCH(BA$205,$A$135:$A$186,0),1):INDEX($B$135:$CW$186,MATCH(BA$205,$A$135:$A$186,0),100),$B199:$CW199,"="&amp;"x",$B$133:$CW$133,"="&amp;"N"),0)</f>
        <v>0</v>
      </c>
      <c r="BC216">
        <f t="shared" ca="1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ca="1">IFERROR(SUMIFS(INDEX($B$135:$CW$186,MATCH(B$205,$A$135:$A$186,0),1):INDEX($B$135:$CW$186,MATCH(B$205,$A$135:$A$186,0),100),$B200:$CW200,"="&amp;"x",$B$133:$CW$133,"="&amp;"N"),0)</f>
        <v>0</v>
      </c>
      <c r="C217">
        <f ca="1">IFERROR(SUMIFS(INDEX($B$135:$CW$186,MATCH(C$205,$A$135:$A$186,0),1):INDEX($B$135:$CW$186,MATCH(C$205,$A$135:$A$186,0),100),$B200:$CW200,"="&amp;"x",$B$133:$CW$133,"="&amp;"N"),0)</f>
        <v>0</v>
      </c>
      <c r="D217">
        <f ca="1">IFERROR(SUMIFS(INDEX($B$135:$CW$186,MATCH(D$205,$A$135:$A$186,0),1):INDEX($B$135:$CW$186,MATCH(D$205,$A$135:$A$186,0),100),$B200:$CW200,"="&amp;"x",$B$133:$CW$133,"="&amp;"N"),0)</f>
        <v>0</v>
      </c>
      <c r="E217">
        <f ca="1">IFERROR(SUMIFS(INDEX($B$135:$CW$186,MATCH(E$205,$A$135:$A$186,0),1):INDEX($B$135:$CW$186,MATCH(E$205,$A$135:$A$186,0),100),$B200:$CW200,"="&amp;"x",$B$133:$CW$133,"="&amp;"N"),0)</f>
        <v>0</v>
      </c>
      <c r="F217">
        <f ca="1">IFERROR(SUMIFS(INDEX($B$135:$CW$186,MATCH(F$205,$A$135:$A$186,0),1):INDEX($B$135:$CW$186,MATCH(F$205,$A$135:$A$186,0),100),$B200:$CW200,"="&amp;"x",$B$133:$CW$133,"="&amp;"N"),0)</f>
        <v>0</v>
      </c>
      <c r="G217">
        <f ca="1">IFERROR(SUMIFS(INDEX($B$135:$CW$186,MATCH(G$205,$A$135:$A$186,0),1):INDEX($B$135:$CW$186,MATCH(G$205,$A$135:$A$186,0),100),$B200:$CW200,"="&amp;"x",$B$133:$CW$133,"="&amp;"N"),0)</f>
        <v>0</v>
      </c>
      <c r="H217">
        <f ca="1">IFERROR(SUMIFS(INDEX($B$135:$CW$186,MATCH(H$205,$A$135:$A$186,0),1):INDEX($B$135:$CW$186,MATCH(H$205,$A$135:$A$186,0),100),$B200:$CW200,"="&amp;"x",$B$133:$CW$133,"="&amp;"N"),0)</f>
        <v>0</v>
      </c>
      <c r="I217">
        <f ca="1">IFERROR(SUMIFS(INDEX($B$135:$CW$186,MATCH(I$205,$A$135:$A$186,0),1):INDEX($B$135:$CW$186,MATCH(I$205,$A$135:$A$186,0),100),$B200:$CW200,"="&amp;"x",$B$133:$CW$133,"="&amp;"N"),0)</f>
        <v>0</v>
      </c>
      <c r="J217">
        <f ca="1">IFERROR(SUMIFS(INDEX($B$135:$CW$186,MATCH(J$205,$A$135:$A$186,0),1):INDEX($B$135:$CW$186,MATCH(J$205,$A$135:$A$186,0),100),$B200:$CW200,"="&amp;"x",$B$133:$CW$133,"="&amp;"N"),0)</f>
        <v>0</v>
      </c>
      <c r="K217">
        <f ca="1">IFERROR(SUMIFS(INDEX($B$135:$CW$186,MATCH(K$205,$A$135:$A$186,0),1):INDEX($B$135:$CW$186,MATCH(K$205,$A$135:$A$186,0),100),$B200:$CW200,"="&amp;"x",$B$133:$CW$133,"="&amp;"N"),0)</f>
        <v>0</v>
      </c>
      <c r="L217">
        <f ca="1">IFERROR(SUMIFS(INDEX($B$135:$CW$186,MATCH(L$205,$A$135:$A$186,0),1):INDEX($B$135:$CW$186,MATCH(L$205,$A$135:$A$186,0),100),$B200:$CW200,"="&amp;"x",$B$133:$CW$133,"="&amp;"N"),0)</f>
        <v>0</v>
      </c>
      <c r="M217">
        <f ca="1">IFERROR(SUMIFS(INDEX($B$135:$CW$186,MATCH(M$205,$A$135:$A$186,0),1):INDEX($B$135:$CW$186,MATCH(M$205,$A$135:$A$186,0),100),$B200:$CW200,"="&amp;"x",$B$133:$CW$133,"="&amp;"N"),0)</f>
        <v>0</v>
      </c>
      <c r="N217">
        <f ca="1">IFERROR(SUMIFS(INDEX($B$135:$CW$186,MATCH(N$205,$A$135:$A$186,0),1):INDEX($B$135:$CW$186,MATCH(N$205,$A$135:$A$186,0),100),$B200:$CW200,"="&amp;"x",$B$133:$CW$133,"="&amp;"N"),0)</f>
        <v>0</v>
      </c>
      <c r="O217">
        <f ca="1">IFERROR(SUMIFS(INDEX($B$135:$CW$186,MATCH(O$205,$A$135:$A$186,0),1):INDEX($B$135:$CW$186,MATCH(O$205,$A$135:$A$186,0),100),$B200:$CW200,"="&amp;"x",$B$133:$CW$133,"="&amp;"N"),0)</f>
        <v>0</v>
      </c>
      <c r="P217">
        <f ca="1">IFERROR(SUMIFS(INDEX($B$135:$CW$186,MATCH(P$205,$A$135:$A$186,0),1):INDEX($B$135:$CW$186,MATCH(P$205,$A$135:$A$186,0),100),$B200:$CW200,"="&amp;"x",$B$133:$CW$133,"="&amp;"N"),0)</f>
        <v>0</v>
      </c>
      <c r="Q217">
        <f ca="1">IFERROR(SUMIFS(INDEX($B$135:$CW$186,MATCH(Q$205,$A$135:$A$186,0),1):INDEX($B$135:$CW$186,MATCH(Q$205,$A$135:$A$186,0),100),$B200:$CW200,"="&amp;"x",$B$133:$CW$133,"="&amp;"N"),0)</f>
        <v>0</v>
      </c>
      <c r="R217">
        <f ca="1">IFERROR(SUMIFS(INDEX($B$135:$CW$186,MATCH(R$205,$A$135:$A$186,0),1):INDEX($B$135:$CW$186,MATCH(R$205,$A$135:$A$186,0),100),$B200:$CW200,"="&amp;"x",$B$133:$CW$133,"="&amp;"N"),0)</f>
        <v>0</v>
      </c>
      <c r="S217">
        <f ca="1">IFERROR(SUMIFS(INDEX($B$135:$CW$186,MATCH(S$205,$A$135:$A$186,0),1):INDEX($B$135:$CW$186,MATCH(S$205,$A$135:$A$186,0),100),$B200:$CW200,"="&amp;"x",$B$133:$CW$133,"="&amp;"N"),0)</f>
        <v>0</v>
      </c>
      <c r="T217">
        <f ca="1">IFERROR(SUMIFS(INDEX($B$135:$CW$186,MATCH(T$205,$A$135:$A$186,0),1):INDEX($B$135:$CW$186,MATCH(T$205,$A$135:$A$186,0),100),$B200:$CW200,"="&amp;"x",$B$133:$CW$133,"="&amp;"N"),0)</f>
        <v>0</v>
      </c>
      <c r="U217">
        <f ca="1">IFERROR(SUMIFS(INDEX($B$135:$CW$186,MATCH(U$205,$A$135:$A$186,0),1):INDEX($B$135:$CW$186,MATCH(U$205,$A$135:$A$186,0),100),$B200:$CW200,"="&amp;"x",$B$133:$CW$133,"="&amp;"N"),0)</f>
        <v>0</v>
      </c>
      <c r="V217">
        <f ca="1">IFERROR(SUMIFS(INDEX($B$135:$CW$186,MATCH(V$205,$A$135:$A$186,0),1):INDEX($B$135:$CW$186,MATCH(V$205,$A$135:$A$186,0),100),$B200:$CW200,"="&amp;"x",$B$133:$CW$133,"="&amp;"N"),0)</f>
        <v>0</v>
      </c>
      <c r="W217">
        <f ca="1">IFERROR(SUMIFS(INDEX($B$135:$CW$186,MATCH(W$205,$A$135:$A$186,0),1):INDEX($B$135:$CW$186,MATCH(W$205,$A$135:$A$186,0),100),$B200:$CW200,"="&amp;"x",$B$133:$CW$133,"="&amp;"N"),0)</f>
        <v>0</v>
      </c>
      <c r="X217">
        <f ca="1">IFERROR(SUMIFS(INDEX($B$135:$CW$186,MATCH(X$205,$A$135:$A$186,0),1):INDEX($B$135:$CW$186,MATCH(X$205,$A$135:$A$186,0),100),$B200:$CW200,"="&amp;"x",$B$133:$CW$133,"="&amp;"N"),0)</f>
        <v>0</v>
      </c>
      <c r="Y217">
        <f ca="1">IFERROR(SUMIFS(INDEX($B$135:$CW$186,MATCH(Y$205,$A$135:$A$186,0),1):INDEX($B$135:$CW$186,MATCH(Y$205,$A$135:$A$186,0),100),$B200:$CW200,"="&amp;"x",$B$133:$CW$133,"="&amp;"N"),0)</f>
        <v>0</v>
      </c>
      <c r="Z217">
        <f ca="1">IFERROR(SUMIFS(INDEX($B$135:$CW$186,MATCH(Z$205,$A$135:$A$186,0),1):INDEX($B$135:$CW$186,MATCH(Z$205,$A$135:$A$186,0),100),$B200:$CW200,"="&amp;"x",$B$133:$CW$133,"="&amp;"N"),0)</f>
        <v>0</v>
      </c>
      <c r="AA217">
        <f ca="1">IFERROR(SUMIFS(INDEX($B$135:$CW$186,MATCH(AA$205,$A$135:$A$186,0),1):INDEX($B$135:$CW$186,MATCH(AA$205,$A$135:$A$186,0),100),$B200:$CW200,"="&amp;"x",$B$133:$CW$133,"="&amp;"N"),0)</f>
        <v>0</v>
      </c>
      <c r="AB217">
        <f ca="1">IFERROR(SUMIFS(INDEX($B$135:$CW$186,MATCH(AB$205,$A$135:$A$186,0),1):INDEX($B$135:$CW$186,MATCH(AB$205,$A$135:$A$186,0),100),$B200:$CW200,"="&amp;"x",$B$133:$CW$133,"="&amp;"N"),0)</f>
        <v>0</v>
      </c>
      <c r="AC217">
        <f ca="1">IFERROR(SUMIFS(INDEX($B$135:$CW$186,MATCH(AC$205,$A$135:$A$186,0),1):INDEX($B$135:$CW$186,MATCH(AC$205,$A$135:$A$186,0),100),$B200:$CW200,"="&amp;"x",$B$133:$CW$133,"="&amp;"N"),0)</f>
        <v>0</v>
      </c>
      <c r="AD217">
        <f ca="1">IFERROR(SUMIFS(INDEX($B$135:$CW$186,MATCH(AD$205,$A$135:$A$186,0),1):INDEX($B$135:$CW$186,MATCH(AD$205,$A$135:$A$186,0),100),$B200:$CW200,"="&amp;"x",$B$133:$CW$133,"="&amp;"N"),0)</f>
        <v>0</v>
      </c>
      <c r="AE217">
        <f ca="1">IFERROR(SUMIFS(INDEX($B$135:$CW$186,MATCH(AE$205,$A$135:$A$186,0),1):INDEX($B$135:$CW$186,MATCH(AE$205,$A$135:$A$186,0),100),$B200:$CW200,"="&amp;"x",$B$133:$CW$133,"="&amp;"N"),0)</f>
        <v>0</v>
      </c>
      <c r="AF217">
        <f ca="1">IFERROR(SUMIFS(INDEX($B$135:$CW$186,MATCH(AF$205,$A$135:$A$186,0),1):INDEX($B$135:$CW$186,MATCH(AF$205,$A$135:$A$186,0),100),$B200:$CW200,"="&amp;"x",$B$133:$CW$133,"="&amp;"N"),0)</f>
        <v>0</v>
      </c>
      <c r="AG217">
        <f ca="1">IFERROR(SUMIFS(INDEX($B$135:$CW$186,MATCH(AG$205,$A$135:$A$186,0),1):INDEX($B$135:$CW$186,MATCH(AG$205,$A$135:$A$186,0),100),$B200:$CW200,"="&amp;"x",$B$133:$CW$133,"="&amp;"N"),0)</f>
        <v>0</v>
      </c>
      <c r="AH217">
        <f ca="1">IFERROR(SUMIFS(INDEX($B$135:$CW$186,MATCH(AH$205,$A$135:$A$186,0),1):INDEX($B$135:$CW$186,MATCH(AH$205,$A$135:$A$186,0),100),$B200:$CW200,"="&amp;"x",$B$133:$CW$133,"="&amp;"N"),0)</f>
        <v>0</v>
      </c>
      <c r="AI217">
        <f ca="1">IFERROR(SUMIFS(INDEX($B$135:$CW$186,MATCH(AI$205,$A$135:$A$186,0),1):INDEX($B$135:$CW$186,MATCH(AI$205,$A$135:$A$186,0),100),$B200:$CW200,"="&amp;"x",$B$133:$CW$133,"="&amp;"N"),0)</f>
        <v>0</v>
      </c>
      <c r="AJ217">
        <f ca="1">IFERROR(SUMIFS(INDEX($B$135:$CW$186,MATCH(AJ$205,$A$135:$A$186,0),1):INDEX($B$135:$CW$186,MATCH(AJ$205,$A$135:$A$186,0),100),$B200:$CW200,"="&amp;"x",$B$133:$CW$133,"="&amp;"N"),0)</f>
        <v>0</v>
      </c>
      <c r="AK217">
        <f ca="1">IFERROR(SUMIFS(INDEX($B$135:$CW$186,MATCH(AK$205,$A$135:$A$186,0),1):INDEX($B$135:$CW$186,MATCH(AK$205,$A$135:$A$186,0),100),$B200:$CW200,"="&amp;"x",$B$133:$CW$133,"="&amp;"N"),0)</f>
        <v>0</v>
      </c>
      <c r="AL217">
        <f ca="1">IFERROR(SUMIFS(INDEX($B$135:$CW$186,MATCH(AL$205,$A$135:$A$186,0),1):INDEX($B$135:$CW$186,MATCH(AL$205,$A$135:$A$186,0),100),$B200:$CW200,"="&amp;"x",$B$133:$CW$133,"="&amp;"N"),0)</f>
        <v>0</v>
      </c>
      <c r="AM217">
        <f ca="1">IFERROR(SUMIFS(INDEX($B$135:$CW$186,MATCH(AM$205,$A$135:$A$186,0),1):INDEX($B$135:$CW$186,MATCH(AM$205,$A$135:$A$186,0),100),$B200:$CW200,"="&amp;"x",$B$133:$CW$133,"="&amp;"N"),0)</f>
        <v>0</v>
      </c>
      <c r="AN217">
        <f ca="1">IFERROR(SUMIFS(INDEX($B$135:$CW$186,MATCH(AN$205,$A$135:$A$186,0),1):INDEX($B$135:$CW$186,MATCH(AN$205,$A$135:$A$186,0),100),$B200:$CW200,"="&amp;"x",$B$133:$CW$133,"="&amp;"N"),0)</f>
        <v>0</v>
      </c>
      <c r="AO217">
        <f ca="1">IFERROR(SUMIFS(INDEX($B$135:$CW$186,MATCH(AO$205,$A$135:$A$186,0),1):INDEX($B$135:$CW$186,MATCH(AO$205,$A$135:$A$186,0),100),$B200:$CW200,"="&amp;"x",$B$133:$CW$133,"="&amp;"N"),0)</f>
        <v>0</v>
      </c>
      <c r="AP217">
        <f ca="1">IFERROR(SUMIFS(INDEX($B$135:$CW$186,MATCH(AP$205,$A$135:$A$186,0),1):INDEX($B$135:$CW$186,MATCH(AP$205,$A$135:$A$186,0),100),$B200:$CW200,"="&amp;"x",$B$133:$CW$133,"="&amp;"N"),0)</f>
        <v>0</v>
      </c>
      <c r="AQ217">
        <f ca="1">IFERROR(SUMIFS(INDEX($B$135:$CW$186,MATCH(AQ$205,$A$135:$A$186,0),1):INDEX($B$135:$CW$186,MATCH(AQ$205,$A$135:$A$186,0),100),$B200:$CW200,"="&amp;"x",$B$133:$CW$133,"="&amp;"N"),0)</f>
        <v>0</v>
      </c>
      <c r="AR217">
        <f ca="1">IFERROR(SUMIFS(INDEX($B$135:$CW$186,MATCH(AR$205,$A$135:$A$186,0),1):INDEX($B$135:$CW$186,MATCH(AR$205,$A$135:$A$186,0),100),$B200:$CW200,"="&amp;"x",$B$133:$CW$133,"="&amp;"N"),0)</f>
        <v>0</v>
      </c>
      <c r="AS217">
        <f ca="1">IFERROR(SUMIFS(INDEX($B$135:$CW$186,MATCH(AS$205,$A$135:$A$186,0),1):INDEX($B$135:$CW$186,MATCH(AS$205,$A$135:$A$186,0),100),$B200:$CW200,"="&amp;"x",$B$133:$CW$133,"="&amp;"N"),0)</f>
        <v>0</v>
      </c>
      <c r="AT217">
        <f ca="1">IFERROR(SUMIFS(INDEX($B$135:$CW$186,MATCH(AT$205,$A$135:$A$186,0),1):INDEX($B$135:$CW$186,MATCH(AT$205,$A$135:$A$186,0),100),$B200:$CW200,"="&amp;"x",$B$133:$CW$133,"="&amp;"N"),0)</f>
        <v>0</v>
      </c>
      <c r="AU217">
        <f ca="1">IFERROR(SUMIFS(INDEX($B$135:$CW$186,MATCH(AU$205,$A$135:$A$186,0),1):INDEX($B$135:$CW$186,MATCH(AU$205,$A$135:$A$186,0),100),$B200:$CW200,"="&amp;"x",$B$133:$CW$133,"="&amp;"N"),0)</f>
        <v>0</v>
      </c>
      <c r="AV217">
        <f ca="1">IFERROR(SUMIFS(INDEX($B$135:$CW$186,MATCH(AV$205,$A$135:$A$186,0),1):INDEX($B$135:$CW$186,MATCH(AV$205,$A$135:$A$186,0),100),$B200:$CW200,"="&amp;"x",$B$133:$CW$133,"="&amp;"N"),0)</f>
        <v>0</v>
      </c>
      <c r="AW217">
        <f ca="1">IFERROR(SUMIFS(INDEX($B$135:$CW$186,MATCH(AW$205,$A$135:$A$186,0),1):INDEX($B$135:$CW$186,MATCH(AW$205,$A$135:$A$186,0),100),$B200:$CW200,"="&amp;"x",$B$133:$CW$133,"="&amp;"N"),0)</f>
        <v>0</v>
      </c>
      <c r="AX217">
        <f ca="1">IFERROR(SUMIFS(INDEX($B$135:$CW$186,MATCH(AX$205,$A$135:$A$186,0),1):INDEX($B$135:$CW$186,MATCH(AX$205,$A$135:$A$186,0),100),$B200:$CW200,"="&amp;"x",$B$133:$CW$133,"="&amp;"N"),0)</f>
        <v>0</v>
      </c>
      <c r="AY217">
        <f ca="1">IFERROR(SUMIFS(INDEX($B$135:$CW$186,MATCH(AY$205,$A$135:$A$186,0),1):INDEX($B$135:$CW$186,MATCH(AY$205,$A$135:$A$186,0),100),$B200:$CW200,"="&amp;"x",$B$133:$CW$133,"="&amp;"N"),0)</f>
        <v>0</v>
      </c>
      <c r="AZ217">
        <f ca="1">IFERROR(SUMIFS(INDEX($B$135:$CW$186,MATCH(AZ$205,$A$135:$A$186,0),1):INDEX($B$135:$CW$186,MATCH(AZ$205,$A$135:$A$186,0),100),$B200:$CW200,"="&amp;"x",$B$133:$CW$133,"="&amp;"N"),0)</f>
        <v>0</v>
      </c>
      <c r="BA217">
        <f ca="1">IFERROR(SUMIFS(INDEX($B$135:$CW$186,MATCH(BA$205,$A$135:$A$186,0),1):INDEX($B$135:$CW$186,MATCH(BA$205,$A$135:$A$186,0),100),$B200:$CW200,"="&amp;"x",$B$133:$CW$133,"="&amp;"N"),0)</f>
        <v>0</v>
      </c>
      <c r="BC217">
        <f t="shared" ca="1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ca="1">IFERROR(SUMIFS(INDEX($B$135:$CW$186,MATCH(B$205,$A$135:$A$186,0),1):INDEX($B$135:$CW$186,MATCH(B$205,$A$135:$A$186,0),100),$B201:$CW201,"="&amp;"x",$B$133:$CW$133,"="&amp;"N"),0)</f>
        <v>0</v>
      </c>
      <c r="C218">
        <f ca="1">IFERROR(SUMIFS(INDEX($B$135:$CW$186,MATCH(C$205,$A$135:$A$186,0),1):INDEX($B$135:$CW$186,MATCH(C$205,$A$135:$A$186,0),100),$B201:$CW201,"="&amp;"x",$B$133:$CW$133,"="&amp;"N"),0)</f>
        <v>0</v>
      </c>
      <c r="D218">
        <f ca="1">IFERROR(SUMIFS(INDEX($B$135:$CW$186,MATCH(D$205,$A$135:$A$186,0),1):INDEX($B$135:$CW$186,MATCH(D$205,$A$135:$A$186,0),100),$B201:$CW201,"="&amp;"x",$B$133:$CW$133,"="&amp;"N"),0)</f>
        <v>0</v>
      </c>
      <c r="E218">
        <f ca="1">IFERROR(SUMIFS(INDEX($B$135:$CW$186,MATCH(E$205,$A$135:$A$186,0),1):INDEX($B$135:$CW$186,MATCH(E$205,$A$135:$A$186,0),100),$B201:$CW201,"="&amp;"x",$B$133:$CW$133,"="&amp;"N"),0)</f>
        <v>0</v>
      </c>
      <c r="F218">
        <f ca="1">IFERROR(SUMIFS(INDEX($B$135:$CW$186,MATCH(F$205,$A$135:$A$186,0),1):INDEX($B$135:$CW$186,MATCH(F$205,$A$135:$A$186,0),100),$B201:$CW201,"="&amp;"x",$B$133:$CW$133,"="&amp;"N"),0)</f>
        <v>0</v>
      </c>
      <c r="G218">
        <f ca="1">IFERROR(SUMIFS(INDEX($B$135:$CW$186,MATCH(G$205,$A$135:$A$186,0),1):INDEX($B$135:$CW$186,MATCH(G$205,$A$135:$A$186,0),100),$B201:$CW201,"="&amp;"x",$B$133:$CW$133,"="&amp;"N"),0)</f>
        <v>0</v>
      </c>
      <c r="H218">
        <f ca="1">IFERROR(SUMIFS(INDEX($B$135:$CW$186,MATCH(H$205,$A$135:$A$186,0),1):INDEX($B$135:$CW$186,MATCH(H$205,$A$135:$A$186,0),100),$B201:$CW201,"="&amp;"x",$B$133:$CW$133,"="&amp;"N"),0)</f>
        <v>0</v>
      </c>
      <c r="I218">
        <f ca="1">IFERROR(SUMIFS(INDEX($B$135:$CW$186,MATCH(I$205,$A$135:$A$186,0),1):INDEX($B$135:$CW$186,MATCH(I$205,$A$135:$A$186,0),100),$B201:$CW201,"="&amp;"x",$B$133:$CW$133,"="&amp;"N"),0)</f>
        <v>0</v>
      </c>
      <c r="J218">
        <f ca="1">IFERROR(SUMIFS(INDEX($B$135:$CW$186,MATCH(J$205,$A$135:$A$186,0),1):INDEX($B$135:$CW$186,MATCH(J$205,$A$135:$A$186,0),100),$B201:$CW201,"="&amp;"x",$B$133:$CW$133,"="&amp;"N"),0)</f>
        <v>0</v>
      </c>
      <c r="K218">
        <f ca="1">IFERROR(SUMIFS(INDEX($B$135:$CW$186,MATCH(K$205,$A$135:$A$186,0),1):INDEX($B$135:$CW$186,MATCH(K$205,$A$135:$A$186,0),100),$B201:$CW201,"="&amp;"x",$B$133:$CW$133,"="&amp;"N"),0)</f>
        <v>0</v>
      </c>
      <c r="L218">
        <f ca="1">IFERROR(SUMIFS(INDEX($B$135:$CW$186,MATCH(L$205,$A$135:$A$186,0),1):INDEX($B$135:$CW$186,MATCH(L$205,$A$135:$A$186,0),100),$B201:$CW201,"="&amp;"x",$B$133:$CW$133,"="&amp;"N"),0)</f>
        <v>0</v>
      </c>
      <c r="M218">
        <f ca="1">IFERROR(SUMIFS(INDEX($B$135:$CW$186,MATCH(M$205,$A$135:$A$186,0),1):INDEX($B$135:$CW$186,MATCH(M$205,$A$135:$A$186,0),100),$B201:$CW201,"="&amp;"x",$B$133:$CW$133,"="&amp;"N"),0)</f>
        <v>0</v>
      </c>
      <c r="N218">
        <f ca="1">IFERROR(SUMIFS(INDEX($B$135:$CW$186,MATCH(N$205,$A$135:$A$186,0),1):INDEX($B$135:$CW$186,MATCH(N$205,$A$135:$A$186,0),100),$B201:$CW201,"="&amp;"x",$B$133:$CW$133,"="&amp;"N"),0)</f>
        <v>0</v>
      </c>
      <c r="O218">
        <f ca="1">IFERROR(SUMIFS(INDEX($B$135:$CW$186,MATCH(O$205,$A$135:$A$186,0),1):INDEX($B$135:$CW$186,MATCH(O$205,$A$135:$A$186,0),100),$B201:$CW201,"="&amp;"x",$B$133:$CW$133,"="&amp;"N"),0)</f>
        <v>0</v>
      </c>
      <c r="P218">
        <f ca="1">IFERROR(SUMIFS(INDEX($B$135:$CW$186,MATCH(P$205,$A$135:$A$186,0),1):INDEX($B$135:$CW$186,MATCH(P$205,$A$135:$A$186,0),100),$B201:$CW201,"="&amp;"x",$B$133:$CW$133,"="&amp;"N"),0)</f>
        <v>0</v>
      </c>
      <c r="Q218">
        <f ca="1">IFERROR(SUMIFS(INDEX($B$135:$CW$186,MATCH(Q$205,$A$135:$A$186,0),1):INDEX($B$135:$CW$186,MATCH(Q$205,$A$135:$A$186,0),100),$B201:$CW201,"="&amp;"x",$B$133:$CW$133,"="&amp;"N"),0)</f>
        <v>0</v>
      </c>
      <c r="R218">
        <f ca="1">IFERROR(SUMIFS(INDEX($B$135:$CW$186,MATCH(R$205,$A$135:$A$186,0),1):INDEX($B$135:$CW$186,MATCH(R$205,$A$135:$A$186,0),100),$B201:$CW201,"="&amp;"x",$B$133:$CW$133,"="&amp;"N"),0)</f>
        <v>0</v>
      </c>
      <c r="S218">
        <f ca="1">IFERROR(SUMIFS(INDEX($B$135:$CW$186,MATCH(S$205,$A$135:$A$186,0),1):INDEX($B$135:$CW$186,MATCH(S$205,$A$135:$A$186,0),100),$B201:$CW201,"="&amp;"x",$B$133:$CW$133,"="&amp;"N"),0)</f>
        <v>0</v>
      </c>
      <c r="T218">
        <f ca="1">IFERROR(SUMIFS(INDEX($B$135:$CW$186,MATCH(T$205,$A$135:$A$186,0),1):INDEX($B$135:$CW$186,MATCH(T$205,$A$135:$A$186,0),100),$B201:$CW201,"="&amp;"x",$B$133:$CW$133,"="&amp;"N"),0)</f>
        <v>0</v>
      </c>
      <c r="U218">
        <f ca="1">IFERROR(SUMIFS(INDEX($B$135:$CW$186,MATCH(U$205,$A$135:$A$186,0),1):INDEX($B$135:$CW$186,MATCH(U$205,$A$135:$A$186,0),100),$B201:$CW201,"="&amp;"x",$B$133:$CW$133,"="&amp;"N"),0)</f>
        <v>0</v>
      </c>
      <c r="V218">
        <f ca="1">IFERROR(SUMIFS(INDEX($B$135:$CW$186,MATCH(V$205,$A$135:$A$186,0),1):INDEX($B$135:$CW$186,MATCH(V$205,$A$135:$A$186,0),100),$B201:$CW201,"="&amp;"x",$B$133:$CW$133,"="&amp;"N"),0)</f>
        <v>0</v>
      </c>
      <c r="W218">
        <f ca="1">IFERROR(SUMIFS(INDEX($B$135:$CW$186,MATCH(W$205,$A$135:$A$186,0),1):INDEX($B$135:$CW$186,MATCH(W$205,$A$135:$A$186,0),100),$B201:$CW201,"="&amp;"x",$B$133:$CW$133,"="&amp;"N"),0)</f>
        <v>0</v>
      </c>
      <c r="X218">
        <f ca="1">IFERROR(SUMIFS(INDEX($B$135:$CW$186,MATCH(X$205,$A$135:$A$186,0),1):INDEX($B$135:$CW$186,MATCH(X$205,$A$135:$A$186,0),100),$B201:$CW201,"="&amp;"x",$B$133:$CW$133,"="&amp;"N"),0)</f>
        <v>0</v>
      </c>
      <c r="Y218">
        <f ca="1">IFERROR(SUMIFS(INDEX($B$135:$CW$186,MATCH(Y$205,$A$135:$A$186,0),1):INDEX($B$135:$CW$186,MATCH(Y$205,$A$135:$A$186,0),100),$B201:$CW201,"="&amp;"x",$B$133:$CW$133,"="&amp;"N"),0)</f>
        <v>0</v>
      </c>
      <c r="Z218">
        <f ca="1">IFERROR(SUMIFS(INDEX($B$135:$CW$186,MATCH(Z$205,$A$135:$A$186,0),1):INDEX($B$135:$CW$186,MATCH(Z$205,$A$135:$A$186,0),100),$B201:$CW201,"="&amp;"x",$B$133:$CW$133,"="&amp;"N"),0)</f>
        <v>0</v>
      </c>
      <c r="AA218">
        <f ca="1">IFERROR(SUMIFS(INDEX($B$135:$CW$186,MATCH(AA$205,$A$135:$A$186,0),1):INDEX($B$135:$CW$186,MATCH(AA$205,$A$135:$A$186,0),100),$B201:$CW201,"="&amp;"x",$B$133:$CW$133,"="&amp;"N"),0)</f>
        <v>0</v>
      </c>
      <c r="AB218">
        <f ca="1">IFERROR(SUMIFS(INDEX($B$135:$CW$186,MATCH(AB$205,$A$135:$A$186,0),1):INDEX($B$135:$CW$186,MATCH(AB$205,$A$135:$A$186,0),100),$B201:$CW201,"="&amp;"x",$B$133:$CW$133,"="&amp;"N"),0)</f>
        <v>0</v>
      </c>
      <c r="AC218">
        <f ca="1">IFERROR(SUMIFS(INDEX($B$135:$CW$186,MATCH(AC$205,$A$135:$A$186,0),1):INDEX($B$135:$CW$186,MATCH(AC$205,$A$135:$A$186,0),100),$B201:$CW201,"="&amp;"x",$B$133:$CW$133,"="&amp;"N"),0)</f>
        <v>0</v>
      </c>
      <c r="AD218">
        <f ca="1">IFERROR(SUMIFS(INDEX($B$135:$CW$186,MATCH(AD$205,$A$135:$A$186,0),1):INDEX($B$135:$CW$186,MATCH(AD$205,$A$135:$A$186,0),100),$B201:$CW201,"="&amp;"x",$B$133:$CW$133,"="&amp;"N"),0)</f>
        <v>0</v>
      </c>
      <c r="AE218">
        <f ca="1">IFERROR(SUMIFS(INDEX($B$135:$CW$186,MATCH(AE$205,$A$135:$A$186,0),1):INDEX($B$135:$CW$186,MATCH(AE$205,$A$135:$A$186,0),100),$B201:$CW201,"="&amp;"x",$B$133:$CW$133,"="&amp;"N"),0)</f>
        <v>0</v>
      </c>
      <c r="AF218">
        <f ca="1">IFERROR(SUMIFS(INDEX($B$135:$CW$186,MATCH(AF$205,$A$135:$A$186,0),1):INDEX($B$135:$CW$186,MATCH(AF$205,$A$135:$A$186,0),100),$B201:$CW201,"="&amp;"x",$B$133:$CW$133,"="&amp;"N"),0)</f>
        <v>0</v>
      </c>
      <c r="AG218">
        <f ca="1">IFERROR(SUMIFS(INDEX($B$135:$CW$186,MATCH(AG$205,$A$135:$A$186,0),1):INDEX($B$135:$CW$186,MATCH(AG$205,$A$135:$A$186,0),100),$B201:$CW201,"="&amp;"x",$B$133:$CW$133,"="&amp;"N"),0)</f>
        <v>0</v>
      </c>
      <c r="AH218">
        <f ca="1">IFERROR(SUMIFS(INDEX($B$135:$CW$186,MATCH(AH$205,$A$135:$A$186,0),1):INDEX($B$135:$CW$186,MATCH(AH$205,$A$135:$A$186,0),100),$B201:$CW201,"="&amp;"x",$B$133:$CW$133,"="&amp;"N"),0)</f>
        <v>0</v>
      </c>
      <c r="AI218">
        <f ca="1">IFERROR(SUMIFS(INDEX($B$135:$CW$186,MATCH(AI$205,$A$135:$A$186,0),1):INDEX($B$135:$CW$186,MATCH(AI$205,$A$135:$A$186,0),100),$B201:$CW201,"="&amp;"x",$B$133:$CW$133,"="&amp;"N"),0)</f>
        <v>0</v>
      </c>
      <c r="AJ218">
        <f ca="1">IFERROR(SUMIFS(INDEX($B$135:$CW$186,MATCH(AJ$205,$A$135:$A$186,0),1):INDEX($B$135:$CW$186,MATCH(AJ$205,$A$135:$A$186,0),100),$B201:$CW201,"="&amp;"x",$B$133:$CW$133,"="&amp;"N"),0)</f>
        <v>0</v>
      </c>
      <c r="AK218">
        <f ca="1">IFERROR(SUMIFS(INDEX($B$135:$CW$186,MATCH(AK$205,$A$135:$A$186,0),1):INDEX($B$135:$CW$186,MATCH(AK$205,$A$135:$A$186,0),100),$B201:$CW201,"="&amp;"x",$B$133:$CW$133,"="&amp;"N"),0)</f>
        <v>0</v>
      </c>
      <c r="AL218">
        <f ca="1">IFERROR(SUMIFS(INDEX($B$135:$CW$186,MATCH(AL$205,$A$135:$A$186,0),1):INDEX($B$135:$CW$186,MATCH(AL$205,$A$135:$A$186,0),100),$B201:$CW201,"="&amp;"x",$B$133:$CW$133,"="&amp;"N"),0)</f>
        <v>0</v>
      </c>
      <c r="AM218">
        <f ca="1">IFERROR(SUMIFS(INDEX($B$135:$CW$186,MATCH(AM$205,$A$135:$A$186,0),1):INDEX($B$135:$CW$186,MATCH(AM$205,$A$135:$A$186,0),100),$B201:$CW201,"="&amp;"x",$B$133:$CW$133,"="&amp;"N"),0)</f>
        <v>0</v>
      </c>
      <c r="AN218">
        <f ca="1">IFERROR(SUMIFS(INDEX($B$135:$CW$186,MATCH(AN$205,$A$135:$A$186,0),1):INDEX($B$135:$CW$186,MATCH(AN$205,$A$135:$A$186,0),100),$B201:$CW201,"="&amp;"x",$B$133:$CW$133,"="&amp;"N"),0)</f>
        <v>0</v>
      </c>
      <c r="AO218">
        <f ca="1">IFERROR(SUMIFS(INDEX($B$135:$CW$186,MATCH(AO$205,$A$135:$A$186,0),1):INDEX($B$135:$CW$186,MATCH(AO$205,$A$135:$A$186,0),100),$B201:$CW201,"="&amp;"x",$B$133:$CW$133,"="&amp;"N"),0)</f>
        <v>0</v>
      </c>
      <c r="AP218">
        <f ca="1">IFERROR(SUMIFS(INDEX($B$135:$CW$186,MATCH(AP$205,$A$135:$A$186,0),1):INDEX($B$135:$CW$186,MATCH(AP$205,$A$135:$A$186,0),100),$B201:$CW201,"="&amp;"x",$B$133:$CW$133,"="&amp;"N"),0)</f>
        <v>0</v>
      </c>
      <c r="AQ218">
        <f ca="1">IFERROR(SUMIFS(INDEX($B$135:$CW$186,MATCH(AQ$205,$A$135:$A$186,0),1):INDEX($B$135:$CW$186,MATCH(AQ$205,$A$135:$A$186,0),100),$B201:$CW201,"="&amp;"x",$B$133:$CW$133,"="&amp;"N"),0)</f>
        <v>0</v>
      </c>
      <c r="AR218">
        <f ca="1">IFERROR(SUMIFS(INDEX($B$135:$CW$186,MATCH(AR$205,$A$135:$A$186,0),1):INDEX($B$135:$CW$186,MATCH(AR$205,$A$135:$A$186,0),100),$B201:$CW201,"="&amp;"x",$B$133:$CW$133,"="&amp;"N"),0)</f>
        <v>0</v>
      </c>
      <c r="AS218">
        <f ca="1">IFERROR(SUMIFS(INDEX($B$135:$CW$186,MATCH(AS$205,$A$135:$A$186,0),1):INDEX($B$135:$CW$186,MATCH(AS$205,$A$135:$A$186,0),100),$B201:$CW201,"="&amp;"x",$B$133:$CW$133,"="&amp;"N"),0)</f>
        <v>0</v>
      </c>
      <c r="AT218">
        <f ca="1">IFERROR(SUMIFS(INDEX($B$135:$CW$186,MATCH(AT$205,$A$135:$A$186,0),1):INDEX($B$135:$CW$186,MATCH(AT$205,$A$135:$A$186,0),100),$B201:$CW201,"="&amp;"x",$B$133:$CW$133,"="&amp;"N"),0)</f>
        <v>0</v>
      </c>
      <c r="AU218">
        <f ca="1">IFERROR(SUMIFS(INDEX($B$135:$CW$186,MATCH(AU$205,$A$135:$A$186,0),1):INDEX($B$135:$CW$186,MATCH(AU$205,$A$135:$A$186,0),100),$B201:$CW201,"="&amp;"x",$B$133:$CW$133,"="&amp;"N"),0)</f>
        <v>0</v>
      </c>
      <c r="AV218">
        <f ca="1">IFERROR(SUMIFS(INDEX($B$135:$CW$186,MATCH(AV$205,$A$135:$A$186,0),1):INDEX($B$135:$CW$186,MATCH(AV$205,$A$135:$A$186,0),100),$B201:$CW201,"="&amp;"x",$B$133:$CW$133,"="&amp;"N"),0)</f>
        <v>0</v>
      </c>
      <c r="AW218">
        <f ca="1">IFERROR(SUMIFS(INDEX($B$135:$CW$186,MATCH(AW$205,$A$135:$A$186,0),1):INDEX($B$135:$CW$186,MATCH(AW$205,$A$135:$A$186,0),100),$B201:$CW201,"="&amp;"x",$B$133:$CW$133,"="&amp;"N"),0)</f>
        <v>0</v>
      </c>
      <c r="AX218">
        <f ca="1">IFERROR(SUMIFS(INDEX($B$135:$CW$186,MATCH(AX$205,$A$135:$A$186,0),1):INDEX($B$135:$CW$186,MATCH(AX$205,$A$135:$A$186,0),100),$B201:$CW201,"="&amp;"x",$B$133:$CW$133,"="&amp;"N"),0)</f>
        <v>0</v>
      </c>
      <c r="AY218">
        <f ca="1">IFERROR(SUMIFS(INDEX($B$135:$CW$186,MATCH(AY$205,$A$135:$A$186,0),1):INDEX($B$135:$CW$186,MATCH(AY$205,$A$135:$A$186,0),100),$B201:$CW201,"="&amp;"x",$B$133:$CW$133,"="&amp;"N"),0)</f>
        <v>0</v>
      </c>
      <c r="AZ218">
        <f ca="1">IFERROR(SUMIFS(INDEX($B$135:$CW$186,MATCH(AZ$205,$A$135:$A$186,0),1):INDEX($B$135:$CW$186,MATCH(AZ$205,$A$135:$A$186,0),100),$B201:$CW201,"="&amp;"x",$B$133:$CW$133,"="&amp;"N"),0)</f>
        <v>0</v>
      </c>
      <c r="BA218">
        <f ca="1">IFERROR(SUMIFS(INDEX($B$135:$CW$186,MATCH(BA$205,$A$135:$A$186,0),1):INDEX($B$135:$CW$186,MATCH(BA$205,$A$135:$A$186,0),100),$B201:$CW201,"="&amp;"x",$B$133:$CW$133,"="&amp;"N"),0)</f>
        <v>0</v>
      </c>
      <c r="BC218">
        <f t="shared" ca="1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ca="1">IFERROR(SUMIFS(INDEX($B$135:$CW$186,MATCH(B$205,$A$135:$A$186,0),1):INDEX($B$135:$CW$186,MATCH(B$205,$A$135:$A$186,0),100),$B202:$CW202,"="&amp;"x",$B$133:$CW$133,"="&amp;"N"),0)</f>
        <v>0</v>
      </c>
      <c r="C219">
        <f ca="1">IFERROR(SUMIFS(INDEX($B$135:$CW$186,MATCH(C$205,$A$135:$A$186,0),1):INDEX($B$135:$CW$186,MATCH(C$205,$A$135:$A$186,0),100),$B202:$CW202,"="&amp;"x",$B$133:$CW$133,"="&amp;"N"),0)</f>
        <v>0</v>
      </c>
      <c r="D219">
        <f ca="1">IFERROR(SUMIFS(INDEX($B$135:$CW$186,MATCH(D$205,$A$135:$A$186,0),1):INDEX($B$135:$CW$186,MATCH(D$205,$A$135:$A$186,0),100),$B202:$CW202,"="&amp;"x",$B$133:$CW$133,"="&amp;"N"),0)</f>
        <v>0</v>
      </c>
      <c r="E219">
        <f ca="1">IFERROR(SUMIFS(INDEX($B$135:$CW$186,MATCH(E$205,$A$135:$A$186,0),1):INDEX($B$135:$CW$186,MATCH(E$205,$A$135:$A$186,0),100),$B202:$CW202,"="&amp;"x",$B$133:$CW$133,"="&amp;"N"),0)</f>
        <v>0</v>
      </c>
      <c r="F219">
        <f ca="1">IFERROR(SUMIFS(INDEX($B$135:$CW$186,MATCH(F$205,$A$135:$A$186,0),1):INDEX($B$135:$CW$186,MATCH(F$205,$A$135:$A$186,0),100),$B202:$CW202,"="&amp;"x",$B$133:$CW$133,"="&amp;"N"),0)</f>
        <v>0</v>
      </c>
      <c r="G219">
        <f ca="1">IFERROR(SUMIFS(INDEX($B$135:$CW$186,MATCH(G$205,$A$135:$A$186,0),1):INDEX($B$135:$CW$186,MATCH(G$205,$A$135:$A$186,0),100),$B202:$CW202,"="&amp;"x",$B$133:$CW$133,"="&amp;"N"),0)</f>
        <v>0</v>
      </c>
      <c r="H219">
        <f ca="1">IFERROR(SUMIFS(INDEX($B$135:$CW$186,MATCH(H$205,$A$135:$A$186,0),1):INDEX($B$135:$CW$186,MATCH(H$205,$A$135:$A$186,0),100),$B202:$CW202,"="&amp;"x",$B$133:$CW$133,"="&amp;"N"),0)</f>
        <v>0</v>
      </c>
      <c r="I219">
        <f ca="1">IFERROR(SUMIFS(INDEX($B$135:$CW$186,MATCH(I$205,$A$135:$A$186,0),1):INDEX($B$135:$CW$186,MATCH(I$205,$A$135:$A$186,0),100),$B202:$CW202,"="&amp;"x",$B$133:$CW$133,"="&amp;"N"),0)</f>
        <v>0</v>
      </c>
      <c r="J219">
        <f ca="1">IFERROR(SUMIFS(INDEX($B$135:$CW$186,MATCH(J$205,$A$135:$A$186,0),1):INDEX($B$135:$CW$186,MATCH(J$205,$A$135:$A$186,0),100),$B202:$CW202,"="&amp;"x",$B$133:$CW$133,"="&amp;"N"),0)</f>
        <v>0</v>
      </c>
      <c r="K219">
        <f ca="1">IFERROR(SUMIFS(INDEX($B$135:$CW$186,MATCH(K$205,$A$135:$A$186,0),1):INDEX($B$135:$CW$186,MATCH(K$205,$A$135:$A$186,0),100),$B202:$CW202,"="&amp;"x",$B$133:$CW$133,"="&amp;"N"),0)</f>
        <v>0</v>
      </c>
      <c r="L219">
        <f ca="1">IFERROR(SUMIFS(INDEX($B$135:$CW$186,MATCH(L$205,$A$135:$A$186,0),1):INDEX($B$135:$CW$186,MATCH(L$205,$A$135:$A$186,0),100),$B202:$CW202,"="&amp;"x",$B$133:$CW$133,"="&amp;"N"),0)</f>
        <v>0</v>
      </c>
      <c r="M219">
        <f ca="1">IFERROR(SUMIFS(INDEX($B$135:$CW$186,MATCH(M$205,$A$135:$A$186,0),1):INDEX($B$135:$CW$186,MATCH(M$205,$A$135:$A$186,0),100),$B202:$CW202,"="&amp;"x",$B$133:$CW$133,"="&amp;"N"),0)</f>
        <v>0</v>
      </c>
      <c r="N219">
        <f ca="1">IFERROR(SUMIFS(INDEX($B$135:$CW$186,MATCH(N$205,$A$135:$A$186,0),1):INDEX($B$135:$CW$186,MATCH(N$205,$A$135:$A$186,0),100),$B202:$CW202,"="&amp;"x",$B$133:$CW$133,"="&amp;"N"),0)</f>
        <v>0</v>
      </c>
      <c r="O219">
        <f ca="1">IFERROR(SUMIFS(INDEX($B$135:$CW$186,MATCH(O$205,$A$135:$A$186,0),1):INDEX($B$135:$CW$186,MATCH(O$205,$A$135:$A$186,0),100),$B202:$CW202,"="&amp;"x",$B$133:$CW$133,"="&amp;"N"),0)</f>
        <v>0</v>
      </c>
      <c r="P219">
        <f ca="1">IFERROR(SUMIFS(INDEX($B$135:$CW$186,MATCH(P$205,$A$135:$A$186,0),1):INDEX($B$135:$CW$186,MATCH(P$205,$A$135:$A$186,0),100),$B202:$CW202,"="&amp;"x",$B$133:$CW$133,"="&amp;"N"),0)</f>
        <v>0</v>
      </c>
      <c r="Q219">
        <f ca="1">IFERROR(SUMIFS(INDEX($B$135:$CW$186,MATCH(Q$205,$A$135:$A$186,0),1):INDEX($B$135:$CW$186,MATCH(Q$205,$A$135:$A$186,0),100),$B202:$CW202,"="&amp;"x",$B$133:$CW$133,"="&amp;"N"),0)</f>
        <v>0</v>
      </c>
      <c r="R219">
        <f ca="1">IFERROR(SUMIFS(INDEX($B$135:$CW$186,MATCH(R$205,$A$135:$A$186,0),1):INDEX($B$135:$CW$186,MATCH(R$205,$A$135:$A$186,0),100),$B202:$CW202,"="&amp;"x",$B$133:$CW$133,"="&amp;"N"),0)</f>
        <v>0</v>
      </c>
      <c r="S219">
        <f ca="1">IFERROR(SUMIFS(INDEX($B$135:$CW$186,MATCH(S$205,$A$135:$A$186,0),1):INDEX($B$135:$CW$186,MATCH(S$205,$A$135:$A$186,0),100),$B202:$CW202,"="&amp;"x",$B$133:$CW$133,"="&amp;"N"),0)</f>
        <v>0</v>
      </c>
      <c r="T219">
        <f ca="1">IFERROR(SUMIFS(INDEX($B$135:$CW$186,MATCH(T$205,$A$135:$A$186,0),1):INDEX($B$135:$CW$186,MATCH(T$205,$A$135:$A$186,0),100),$B202:$CW202,"="&amp;"x",$B$133:$CW$133,"="&amp;"N"),0)</f>
        <v>0</v>
      </c>
      <c r="U219">
        <f ca="1">IFERROR(SUMIFS(INDEX($B$135:$CW$186,MATCH(U$205,$A$135:$A$186,0),1):INDEX($B$135:$CW$186,MATCH(U$205,$A$135:$A$186,0),100),$B202:$CW202,"="&amp;"x",$B$133:$CW$133,"="&amp;"N"),0)</f>
        <v>0</v>
      </c>
      <c r="V219">
        <f ca="1">IFERROR(SUMIFS(INDEX($B$135:$CW$186,MATCH(V$205,$A$135:$A$186,0),1):INDEX($B$135:$CW$186,MATCH(V$205,$A$135:$A$186,0),100),$B202:$CW202,"="&amp;"x",$B$133:$CW$133,"="&amp;"N"),0)</f>
        <v>0</v>
      </c>
      <c r="W219">
        <f ca="1">IFERROR(SUMIFS(INDEX($B$135:$CW$186,MATCH(W$205,$A$135:$A$186,0),1):INDEX($B$135:$CW$186,MATCH(W$205,$A$135:$A$186,0),100),$B202:$CW202,"="&amp;"x",$B$133:$CW$133,"="&amp;"N"),0)</f>
        <v>0</v>
      </c>
      <c r="X219">
        <f ca="1">IFERROR(SUMIFS(INDEX($B$135:$CW$186,MATCH(X$205,$A$135:$A$186,0),1):INDEX($B$135:$CW$186,MATCH(X$205,$A$135:$A$186,0),100),$B202:$CW202,"="&amp;"x",$B$133:$CW$133,"="&amp;"N"),0)</f>
        <v>0</v>
      </c>
      <c r="Y219">
        <f ca="1">IFERROR(SUMIFS(INDEX($B$135:$CW$186,MATCH(Y$205,$A$135:$A$186,0),1):INDEX($B$135:$CW$186,MATCH(Y$205,$A$135:$A$186,0),100),$B202:$CW202,"="&amp;"x",$B$133:$CW$133,"="&amp;"N"),0)</f>
        <v>0</v>
      </c>
      <c r="Z219">
        <f ca="1">IFERROR(SUMIFS(INDEX($B$135:$CW$186,MATCH(Z$205,$A$135:$A$186,0),1):INDEX($B$135:$CW$186,MATCH(Z$205,$A$135:$A$186,0),100),$B202:$CW202,"="&amp;"x",$B$133:$CW$133,"="&amp;"N"),0)</f>
        <v>0</v>
      </c>
      <c r="AA219">
        <f ca="1">IFERROR(SUMIFS(INDEX($B$135:$CW$186,MATCH(AA$205,$A$135:$A$186,0),1):INDEX($B$135:$CW$186,MATCH(AA$205,$A$135:$A$186,0),100),$B202:$CW202,"="&amp;"x",$B$133:$CW$133,"="&amp;"N"),0)</f>
        <v>0</v>
      </c>
      <c r="AB219">
        <f ca="1">IFERROR(SUMIFS(INDEX($B$135:$CW$186,MATCH(AB$205,$A$135:$A$186,0),1):INDEX($B$135:$CW$186,MATCH(AB$205,$A$135:$A$186,0),100),$B202:$CW202,"="&amp;"x",$B$133:$CW$133,"="&amp;"N"),0)</f>
        <v>0</v>
      </c>
      <c r="AC219">
        <f ca="1">IFERROR(SUMIFS(INDEX($B$135:$CW$186,MATCH(AC$205,$A$135:$A$186,0),1):INDEX($B$135:$CW$186,MATCH(AC$205,$A$135:$A$186,0),100),$B202:$CW202,"="&amp;"x",$B$133:$CW$133,"="&amp;"N"),0)</f>
        <v>0</v>
      </c>
      <c r="AD219">
        <f ca="1">IFERROR(SUMIFS(INDEX($B$135:$CW$186,MATCH(AD$205,$A$135:$A$186,0),1):INDEX($B$135:$CW$186,MATCH(AD$205,$A$135:$A$186,0),100),$B202:$CW202,"="&amp;"x",$B$133:$CW$133,"="&amp;"N"),0)</f>
        <v>0</v>
      </c>
      <c r="AE219">
        <f ca="1">IFERROR(SUMIFS(INDEX($B$135:$CW$186,MATCH(AE$205,$A$135:$A$186,0),1):INDEX($B$135:$CW$186,MATCH(AE$205,$A$135:$A$186,0),100),$B202:$CW202,"="&amp;"x",$B$133:$CW$133,"="&amp;"N"),0)</f>
        <v>0</v>
      </c>
      <c r="AF219">
        <f ca="1">IFERROR(SUMIFS(INDEX($B$135:$CW$186,MATCH(AF$205,$A$135:$A$186,0),1):INDEX($B$135:$CW$186,MATCH(AF$205,$A$135:$A$186,0),100),$B202:$CW202,"="&amp;"x",$B$133:$CW$133,"="&amp;"N"),0)</f>
        <v>0</v>
      </c>
      <c r="AG219">
        <f ca="1">IFERROR(SUMIFS(INDEX($B$135:$CW$186,MATCH(AG$205,$A$135:$A$186,0),1):INDEX($B$135:$CW$186,MATCH(AG$205,$A$135:$A$186,0),100),$B202:$CW202,"="&amp;"x",$B$133:$CW$133,"="&amp;"N"),0)</f>
        <v>0</v>
      </c>
      <c r="AH219">
        <f ca="1">IFERROR(SUMIFS(INDEX($B$135:$CW$186,MATCH(AH$205,$A$135:$A$186,0),1):INDEX($B$135:$CW$186,MATCH(AH$205,$A$135:$A$186,0),100),$B202:$CW202,"="&amp;"x",$B$133:$CW$133,"="&amp;"N"),0)</f>
        <v>0</v>
      </c>
      <c r="AI219">
        <f ca="1">IFERROR(SUMIFS(INDEX($B$135:$CW$186,MATCH(AI$205,$A$135:$A$186,0),1):INDEX($B$135:$CW$186,MATCH(AI$205,$A$135:$A$186,0),100),$B202:$CW202,"="&amp;"x",$B$133:$CW$133,"="&amp;"N"),0)</f>
        <v>0</v>
      </c>
      <c r="AJ219">
        <f ca="1">IFERROR(SUMIFS(INDEX($B$135:$CW$186,MATCH(AJ$205,$A$135:$A$186,0),1):INDEX($B$135:$CW$186,MATCH(AJ$205,$A$135:$A$186,0),100),$B202:$CW202,"="&amp;"x",$B$133:$CW$133,"="&amp;"N"),0)</f>
        <v>0</v>
      </c>
      <c r="AK219">
        <f ca="1">IFERROR(SUMIFS(INDEX($B$135:$CW$186,MATCH(AK$205,$A$135:$A$186,0),1):INDEX($B$135:$CW$186,MATCH(AK$205,$A$135:$A$186,0),100),$B202:$CW202,"="&amp;"x",$B$133:$CW$133,"="&amp;"N"),0)</f>
        <v>0</v>
      </c>
      <c r="AL219">
        <f ca="1">IFERROR(SUMIFS(INDEX($B$135:$CW$186,MATCH(AL$205,$A$135:$A$186,0),1):INDEX($B$135:$CW$186,MATCH(AL$205,$A$135:$A$186,0),100),$B202:$CW202,"="&amp;"x",$B$133:$CW$133,"="&amp;"N"),0)</f>
        <v>0</v>
      </c>
      <c r="AM219">
        <f ca="1">IFERROR(SUMIFS(INDEX($B$135:$CW$186,MATCH(AM$205,$A$135:$A$186,0),1):INDEX($B$135:$CW$186,MATCH(AM$205,$A$135:$A$186,0),100),$B202:$CW202,"="&amp;"x",$B$133:$CW$133,"="&amp;"N"),0)</f>
        <v>0</v>
      </c>
      <c r="AN219">
        <f ca="1">IFERROR(SUMIFS(INDEX($B$135:$CW$186,MATCH(AN$205,$A$135:$A$186,0),1):INDEX($B$135:$CW$186,MATCH(AN$205,$A$135:$A$186,0),100),$B202:$CW202,"="&amp;"x",$B$133:$CW$133,"="&amp;"N"),0)</f>
        <v>0</v>
      </c>
      <c r="AO219">
        <f ca="1">IFERROR(SUMIFS(INDEX($B$135:$CW$186,MATCH(AO$205,$A$135:$A$186,0),1):INDEX($B$135:$CW$186,MATCH(AO$205,$A$135:$A$186,0),100),$B202:$CW202,"="&amp;"x",$B$133:$CW$133,"="&amp;"N"),0)</f>
        <v>0</v>
      </c>
      <c r="AP219">
        <f ca="1">IFERROR(SUMIFS(INDEX($B$135:$CW$186,MATCH(AP$205,$A$135:$A$186,0),1):INDEX($B$135:$CW$186,MATCH(AP$205,$A$135:$A$186,0),100),$B202:$CW202,"="&amp;"x",$B$133:$CW$133,"="&amp;"N"),0)</f>
        <v>0</v>
      </c>
      <c r="AQ219">
        <f ca="1">IFERROR(SUMIFS(INDEX($B$135:$CW$186,MATCH(AQ$205,$A$135:$A$186,0),1):INDEX($B$135:$CW$186,MATCH(AQ$205,$A$135:$A$186,0),100),$B202:$CW202,"="&amp;"x",$B$133:$CW$133,"="&amp;"N"),0)</f>
        <v>0</v>
      </c>
      <c r="AR219">
        <f ca="1">IFERROR(SUMIFS(INDEX($B$135:$CW$186,MATCH(AR$205,$A$135:$A$186,0),1):INDEX($B$135:$CW$186,MATCH(AR$205,$A$135:$A$186,0),100),$B202:$CW202,"="&amp;"x",$B$133:$CW$133,"="&amp;"N"),0)</f>
        <v>0</v>
      </c>
      <c r="AS219">
        <f ca="1">IFERROR(SUMIFS(INDEX($B$135:$CW$186,MATCH(AS$205,$A$135:$A$186,0),1):INDEX($B$135:$CW$186,MATCH(AS$205,$A$135:$A$186,0),100),$B202:$CW202,"="&amp;"x",$B$133:$CW$133,"="&amp;"N"),0)</f>
        <v>0</v>
      </c>
      <c r="AT219">
        <f ca="1">IFERROR(SUMIFS(INDEX($B$135:$CW$186,MATCH(AT$205,$A$135:$A$186,0),1):INDEX($B$135:$CW$186,MATCH(AT$205,$A$135:$A$186,0),100),$B202:$CW202,"="&amp;"x",$B$133:$CW$133,"="&amp;"N"),0)</f>
        <v>0</v>
      </c>
      <c r="AU219">
        <f ca="1">IFERROR(SUMIFS(INDEX($B$135:$CW$186,MATCH(AU$205,$A$135:$A$186,0),1):INDEX($B$135:$CW$186,MATCH(AU$205,$A$135:$A$186,0),100),$B202:$CW202,"="&amp;"x",$B$133:$CW$133,"="&amp;"N"),0)</f>
        <v>0</v>
      </c>
      <c r="AV219">
        <f ca="1">IFERROR(SUMIFS(INDEX($B$135:$CW$186,MATCH(AV$205,$A$135:$A$186,0),1):INDEX($B$135:$CW$186,MATCH(AV$205,$A$135:$A$186,0),100),$B202:$CW202,"="&amp;"x",$B$133:$CW$133,"="&amp;"N"),0)</f>
        <v>0</v>
      </c>
      <c r="AW219">
        <f ca="1">IFERROR(SUMIFS(INDEX($B$135:$CW$186,MATCH(AW$205,$A$135:$A$186,0),1):INDEX($B$135:$CW$186,MATCH(AW$205,$A$135:$A$186,0),100),$B202:$CW202,"="&amp;"x",$B$133:$CW$133,"="&amp;"N"),0)</f>
        <v>0</v>
      </c>
      <c r="AX219">
        <f ca="1">IFERROR(SUMIFS(INDEX($B$135:$CW$186,MATCH(AX$205,$A$135:$A$186,0),1):INDEX($B$135:$CW$186,MATCH(AX$205,$A$135:$A$186,0),100),$B202:$CW202,"="&amp;"x",$B$133:$CW$133,"="&amp;"N"),0)</f>
        <v>0</v>
      </c>
      <c r="AY219">
        <f ca="1">IFERROR(SUMIFS(INDEX($B$135:$CW$186,MATCH(AY$205,$A$135:$A$186,0),1):INDEX($B$135:$CW$186,MATCH(AY$205,$A$135:$A$186,0),100),$B202:$CW202,"="&amp;"x",$B$133:$CW$133,"="&amp;"N"),0)</f>
        <v>0</v>
      </c>
      <c r="AZ219">
        <f ca="1">IFERROR(SUMIFS(INDEX($B$135:$CW$186,MATCH(AZ$205,$A$135:$A$186,0),1):INDEX($B$135:$CW$186,MATCH(AZ$205,$A$135:$A$186,0),100),$B202:$CW202,"="&amp;"x",$B$133:$CW$133,"="&amp;"N"),0)</f>
        <v>0</v>
      </c>
      <c r="BA219">
        <f ca="1">IFERROR(SUMIFS(INDEX($B$135:$CW$186,MATCH(BA$205,$A$135:$A$186,0),1):INDEX($B$135:$CW$186,MATCH(BA$205,$A$135:$A$186,0),100),$B202:$CW202,"="&amp;"x",$B$133:$CW$133,"="&amp;"N"),0)</f>
        <v>0</v>
      </c>
      <c r="BC219">
        <f t="shared" ca="1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ca="1">IFERROR(SUMIFS(INDEX($B$135:$CW$186,MATCH(B$205,$A$135:$A$186,0),1):INDEX($B$135:$CW$186,MATCH(B$205,$A$135:$A$186,0),100),$B203:$CW203,"="&amp;"x",$B$133:$CW$133,"="&amp;"N"),0)</f>
        <v>0</v>
      </c>
      <c r="C220">
        <f ca="1">IFERROR(SUMIFS(INDEX($B$135:$CW$186,MATCH(C$205,$A$135:$A$186,0),1):INDEX($B$135:$CW$186,MATCH(C$205,$A$135:$A$186,0),100),$B203:$CW203,"="&amp;"x",$B$133:$CW$133,"="&amp;"N"),0)</f>
        <v>0</v>
      </c>
      <c r="D220">
        <f ca="1">IFERROR(SUMIFS(INDEX($B$135:$CW$186,MATCH(D$205,$A$135:$A$186,0),1):INDEX($B$135:$CW$186,MATCH(D$205,$A$135:$A$186,0),100),$B203:$CW203,"="&amp;"x",$B$133:$CW$133,"="&amp;"N"),0)</f>
        <v>0</v>
      </c>
      <c r="E220">
        <f ca="1">IFERROR(SUMIFS(INDEX($B$135:$CW$186,MATCH(E$205,$A$135:$A$186,0),1):INDEX($B$135:$CW$186,MATCH(E$205,$A$135:$A$186,0),100),$B203:$CW203,"="&amp;"x",$B$133:$CW$133,"="&amp;"N"),0)</f>
        <v>0</v>
      </c>
      <c r="F220">
        <f ca="1">IFERROR(SUMIFS(INDEX($B$135:$CW$186,MATCH(F$205,$A$135:$A$186,0),1):INDEX($B$135:$CW$186,MATCH(F$205,$A$135:$A$186,0),100),$B203:$CW203,"="&amp;"x",$B$133:$CW$133,"="&amp;"N"),0)</f>
        <v>0</v>
      </c>
      <c r="G220">
        <f ca="1">IFERROR(SUMIFS(INDEX($B$135:$CW$186,MATCH(G$205,$A$135:$A$186,0),1):INDEX($B$135:$CW$186,MATCH(G$205,$A$135:$A$186,0),100),$B203:$CW203,"="&amp;"x",$B$133:$CW$133,"="&amp;"N"),0)</f>
        <v>0</v>
      </c>
      <c r="H220">
        <f ca="1">IFERROR(SUMIFS(INDEX($B$135:$CW$186,MATCH(H$205,$A$135:$A$186,0),1):INDEX($B$135:$CW$186,MATCH(H$205,$A$135:$A$186,0),100),$B203:$CW203,"="&amp;"x",$B$133:$CW$133,"="&amp;"N"),0)</f>
        <v>0</v>
      </c>
      <c r="I220">
        <f ca="1">IFERROR(SUMIFS(INDEX($B$135:$CW$186,MATCH(I$205,$A$135:$A$186,0),1):INDEX($B$135:$CW$186,MATCH(I$205,$A$135:$A$186,0),100),$B203:$CW203,"="&amp;"x",$B$133:$CW$133,"="&amp;"N"),0)</f>
        <v>0</v>
      </c>
      <c r="J220">
        <f ca="1">IFERROR(SUMIFS(INDEX($B$135:$CW$186,MATCH(J$205,$A$135:$A$186,0),1):INDEX($B$135:$CW$186,MATCH(J$205,$A$135:$A$186,0),100),$B203:$CW203,"="&amp;"x",$B$133:$CW$133,"="&amp;"N"),0)</f>
        <v>0</v>
      </c>
      <c r="K220">
        <f ca="1">IFERROR(SUMIFS(INDEX($B$135:$CW$186,MATCH(K$205,$A$135:$A$186,0),1):INDEX($B$135:$CW$186,MATCH(K$205,$A$135:$A$186,0),100),$B203:$CW203,"="&amp;"x",$B$133:$CW$133,"="&amp;"N"),0)</f>
        <v>0</v>
      </c>
      <c r="L220">
        <f ca="1">IFERROR(SUMIFS(INDEX($B$135:$CW$186,MATCH(L$205,$A$135:$A$186,0),1):INDEX($B$135:$CW$186,MATCH(L$205,$A$135:$A$186,0),100),$B203:$CW203,"="&amp;"x",$B$133:$CW$133,"="&amp;"N"),0)</f>
        <v>0</v>
      </c>
      <c r="M220">
        <f ca="1">IFERROR(SUMIFS(INDEX($B$135:$CW$186,MATCH(M$205,$A$135:$A$186,0),1):INDEX($B$135:$CW$186,MATCH(M$205,$A$135:$A$186,0),100),$B203:$CW203,"="&amp;"x",$B$133:$CW$133,"="&amp;"N"),0)</f>
        <v>0</v>
      </c>
      <c r="N220">
        <f ca="1">IFERROR(SUMIFS(INDEX($B$135:$CW$186,MATCH(N$205,$A$135:$A$186,0),1):INDEX($B$135:$CW$186,MATCH(N$205,$A$135:$A$186,0),100),$B203:$CW203,"="&amp;"x",$B$133:$CW$133,"="&amp;"N"),0)</f>
        <v>0</v>
      </c>
      <c r="O220">
        <f ca="1">IFERROR(SUMIFS(INDEX($B$135:$CW$186,MATCH(O$205,$A$135:$A$186,0),1):INDEX($B$135:$CW$186,MATCH(O$205,$A$135:$A$186,0),100),$B203:$CW203,"="&amp;"x",$B$133:$CW$133,"="&amp;"N"),0)</f>
        <v>0</v>
      </c>
      <c r="P220">
        <f ca="1">IFERROR(SUMIFS(INDEX($B$135:$CW$186,MATCH(P$205,$A$135:$A$186,0),1):INDEX($B$135:$CW$186,MATCH(P$205,$A$135:$A$186,0),100),$B203:$CW203,"="&amp;"x",$B$133:$CW$133,"="&amp;"N"),0)</f>
        <v>0</v>
      </c>
      <c r="Q220">
        <f ca="1">IFERROR(SUMIFS(INDEX($B$135:$CW$186,MATCH(Q$205,$A$135:$A$186,0),1):INDEX($B$135:$CW$186,MATCH(Q$205,$A$135:$A$186,0),100),$B203:$CW203,"="&amp;"x",$B$133:$CW$133,"="&amp;"N"),0)</f>
        <v>0</v>
      </c>
      <c r="R220">
        <f ca="1">IFERROR(SUMIFS(INDEX($B$135:$CW$186,MATCH(R$205,$A$135:$A$186,0),1):INDEX($B$135:$CW$186,MATCH(R$205,$A$135:$A$186,0),100),$B203:$CW203,"="&amp;"x",$B$133:$CW$133,"="&amp;"N"),0)</f>
        <v>0</v>
      </c>
      <c r="S220">
        <f ca="1">IFERROR(SUMIFS(INDEX($B$135:$CW$186,MATCH(S$205,$A$135:$A$186,0),1):INDEX($B$135:$CW$186,MATCH(S$205,$A$135:$A$186,0),100),$B203:$CW203,"="&amp;"x",$B$133:$CW$133,"="&amp;"N"),0)</f>
        <v>0</v>
      </c>
      <c r="T220">
        <f ca="1">IFERROR(SUMIFS(INDEX($B$135:$CW$186,MATCH(T$205,$A$135:$A$186,0),1):INDEX($B$135:$CW$186,MATCH(T$205,$A$135:$A$186,0),100),$B203:$CW203,"="&amp;"x",$B$133:$CW$133,"="&amp;"N"),0)</f>
        <v>0</v>
      </c>
      <c r="U220">
        <f ca="1">IFERROR(SUMIFS(INDEX($B$135:$CW$186,MATCH(U$205,$A$135:$A$186,0),1):INDEX($B$135:$CW$186,MATCH(U$205,$A$135:$A$186,0),100),$B203:$CW203,"="&amp;"x",$B$133:$CW$133,"="&amp;"N"),0)</f>
        <v>0</v>
      </c>
      <c r="V220">
        <f ca="1">IFERROR(SUMIFS(INDEX($B$135:$CW$186,MATCH(V$205,$A$135:$A$186,0),1):INDEX($B$135:$CW$186,MATCH(V$205,$A$135:$A$186,0),100),$B203:$CW203,"="&amp;"x",$B$133:$CW$133,"="&amp;"N"),0)</f>
        <v>0</v>
      </c>
      <c r="W220">
        <f ca="1">IFERROR(SUMIFS(INDEX($B$135:$CW$186,MATCH(W$205,$A$135:$A$186,0),1):INDEX($B$135:$CW$186,MATCH(W$205,$A$135:$A$186,0),100),$B203:$CW203,"="&amp;"x",$B$133:$CW$133,"="&amp;"N"),0)</f>
        <v>0</v>
      </c>
      <c r="X220">
        <f ca="1">IFERROR(SUMIFS(INDEX($B$135:$CW$186,MATCH(X$205,$A$135:$A$186,0),1):INDEX($B$135:$CW$186,MATCH(X$205,$A$135:$A$186,0),100),$B203:$CW203,"="&amp;"x",$B$133:$CW$133,"="&amp;"N"),0)</f>
        <v>0</v>
      </c>
      <c r="Y220">
        <f ca="1">IFERROR(SUMIFS(INDEX($B$135:$CW$186,MATCH(Y$205,$A$135:$A$186,0),1):INDEX($B$135:$CW$186,MATCH(Y$205,$A$135:$A$186,0),100),$B203:$CW203,"="&amp;"x",$B$133:$CW$133,"="&amp;"N"),0)</f>
        <v>0</v>
      </c>
      <c r="Z220">
        <f ca="1">IFERROR(SUMIFS(INDEX($B$135:$CW$186,MATCH(Z$205,$A$135:$A$186,0),1):INDEX($B$135:$CW$186,MATCH(Z$205,$A$135:$A$186,0),100),$B203:$CW203,"="&amp;"x",$B$133:$CW$133,"="&amp;"N"),0)</f>
        <v>0</v>
      </c>
      <c r="AA220">
        <f ca="1">IFERROR(SUMIFS(INDEX($B$135:$CW$186,MATCH(AA$205,$A$135:$A$186,0),1):INDEX($B$135:$CW$186,MATCH(AA$205,$A$135:$A$186,0),100),$B203:$CW203,"="&amp;"x",$B$133:$CW$133,"="&amp;"N"),0)</f>
        <v>0</v>
      </c>
      <c r="AB220">
        <f ca="1">IFERROR(SUMIFS(INDEX($B$135:$CW$186,MATCH(AB$205,$A$135:$A$186,0),1):INDEX($B$135:$CW$186,MATCH(AB$205,$A$135:$A$186,0),100),$B203:$CW203,"="&amp;"x",$B$133:$CW$133,"="&amp;"N"),0)</f>
        <v>0</v>
      </c>
      <c r="AC220">
        <f ca="1">IFERROR(SUMIFS(INDEX($B$135:$CW$186,MATCH(AC$205,$A$135:$A$186,0),1):INDEX($B$135:$CW$186,MATCH(AC$205,$A$135:$A$186,0),100),$B203:$CW203,"="&amp;"x",$B$133:$CW$133,"="&amp;"N"),0)</f>
        <v>0</v>
      </c>
      <c r="AD220">
        <f ca="1">IFERROR(SUMIFS(INDEX($B$135:$CW$186,MATCH(AD$205,$A$135:$A$186,0),1):INDEX($B$135:$CW$186,MATCH(AD$205,$A$135:$A$186,0),100),$B203:$CW203,"="&amp;"x",$B$133:$CW$133,"="&amp;"N"),0)</f>
        <v>0</v>
      </c>
      <c r="AE220">
        <f ca="1">IFERROR(SUMIFS(INDEX($B$135:$CW$186,MATCH(AE$205,$A$135:$A$186,0),1):INDEX($B$135:$CW$186,MATCH(AE$205,$A$135:$A$186,0),100),$B203:$CW203,"="&amp;"x",$B$133:$CW$133,"="&amp;"N"),0)</f>
        <v>0</v>
      </c>
      <c r="AF220">
        <f ca="1">IFERROR(SUMIFS(INDEX($B$135:$CW$186,MATCH(AF$205,$A$135:$A$186,0),1):INDEX($B$135:$CW$186,MATCH(AF$205,$A$135:$A$186,0),100),$B203:$CW203,"="&amp;"x",$B$133:$CW$133,"="&amp;"N"),0)</f>
        <v>0</v>
      </c>
      <c r="AG220">
        <f ca="1">IFERROR(SUMIFS(INDEX($B$135:$CW$186,MATCH(AG$205,$A$135:$A$186,0),1):INDEX($B$135:$CW$186,MATCH(AG$205,$A$135:$A$186,0),100),$B203:$CW203,"="&amp;"x",$B$133:$CW$133,"="&amp;"N"),0)</f>
        <v>0</v>
      </c>
      <c r="AH220">
        <f ca="1">IFERROR(SUMIFS(INDEX($B$135:$CW$186,MATCH(AH$205,$A$135:$A$186,0),1):INDEX($B$135:$CW$186,MATCH(AH$205,$A$135:$A$186,0),100),$B203:$CW203,"="&amp;"x",$B$133:$CW$133,"="&amp;"N"),0)</f>
        <v>0</v>
      </c>
      <c r="AI220">
        <f ca="1">IFERROR(SUMIFS(INDEX($B$135:$CW$186,MATCH(AI$205,$A$135:$A$186,0),1):INDEX($B$135:$CW$186,MATCH(AI$205,$A$135:$A$186,0),100),$B203:$CW203,"="&amp;"x",$B$133:$CW$133,"="&amp;"N"),0)</f>
        <v>0</v>
      </c>
      <c r="AJ220">
        <f ca="1">IFERROR(SUMIFS(INDEX($B$135:$CW$186,MATCH(AJ$205,$A$135:$A$186,0),1):INDEX($B$135:$CW$186,MATCH(AJ$205,$A$135:$A$186,0),100),$B203:$CW203,"="&amp;"x",$B$133:$CW$133,"="&amp;"N"),0)</f>
        <v>0</v>
      </c>
      <c r="AK220">
        <f ca="1">IFERROR(SUMIFS(INDEX($B$135:$CW$186,MATCH(AK$205,$A$135:$A$186,0),1):INDEX($B$135:$CW$186,MATCH(AK$205,$A$135:$A$186,0),100),$B203:$CW203,"="&amp;"x",$B$133:$CW$133,"="&amp;"N"),0)</f>
        <v>0</v>
      </c>
      <c r="AL220">
        <f ca="1">IFERROR(SUMIFS(INDEX($B$135:$CW$186,MATCH(AL$205,$A$135:$A$186,0),1):INDEX($B$135:$CW$186,MATCH(AL$205,$A$135:$A$186,0),100),$B203:$CW203,"="&amp;"x",$B$133:$CW$133,"="&amp;"N"),0)</f>
        <v>0</v>
      </c>
      <c r="AM220">
        <f ca="1">IFERROR(SUMIFS(INDEX($B$135:$CW$186,MATCH(AM$205,$A$135:$A$186,0),1):INDEX($B$135:$CW$186,MATCH(AM$205,$A$135:$A$186,0),100),$B203:$CW203,"="&amp;"x",$B$133:$CW$133,"="&amp;"N"),0)</f>
        <v>0</v>
      </c>
      <c r="AN220">
        <f ca="1">IFERROR(SUMIFS(INDEX($B$135:$CW$186,MATCH(AN$205,$A$135:$A$186,0),1):INDEX($B$135:$CW$186,MATCH(AN$205,$A$135:$A$186,0),100),$B203:$CW203,"="&amp;"x",$B$133:$CW$133,"="&amp;"N"),0)</f>
        <v>0</v>
      </c>
      <c r="AO220">
        <f ca="1">IFERROR(SUMIFS(INDEX($B$135:$CW$186,MATCH(AO$205,$A$135:$A$186,0),1):INDEX($B$135:$CW$186,MATCH(AO$205,$A$135:$A$186,0),100),$B203:$CW203,"="&amp;"x",$B$133:$CW$133,"="&amp;"N"),0)</f>
        <v>0</v>
      </c>
      <c r="AP220">
        <f ca="1">IFERROR(SUMIFS(INDEX($B$135:$CW$186,MATCH(AP$205,$A$135:$A$186,0),1):INDEX($B$135:$CW$186,MATCH(AP$205,$A$135:$A$186,0),100),$B203:$CW203,"="&amp;"x",$B$133:$CW$133,"="&amp;"N"),0)</f>
        <v>0</v>
      </c>
      <c r="AQ220">
        <f ca="1">IFERROR(SUMIFS(INDEX($B$135:$CW$186,MATCH(AQ$205,$A$135:$A$186,0),1):INDEX($B$135:$CW$186,MATCH(AQ$205,$A$135:$A$186,0),100),$B203:$CW203,"="&amp;"x",$B$133:$CW$133,"="&amp;"N"),0)</f>
        <v>0</v>
      </c>
      <c r="AR220">
        <f ca="1">IFERROR(SUMIFS(INDEX($B$135:$CW$186,MATCH(AR$205,$A$135:$A$186,0),1):INDEX($B$135:$CW$186,MATCH(AR$205,$A$135:$A$186,0),100),$B203:$CW203,"="&amp;"x",$B$133:$CW$133,"="&amp;"N"),0)</f>
        <v>0</v>
      </c>
      <c r="AS220">
        <f ca="1">IFERROR(SUMIFS(INDEX($B$135:$CW$186,MATCH(AS$205,$A$135:$A$186,0),1):INDEX($B$135:$CW$186,MATCH(AS$205,$A$135:$A$186,0),100),$B203:$CW203,"="&amp;"x",$B$133:$CW$133,"="&amp;"N"),0)</f>
        <v>0</v>
      </c>
      <c r="AT220">
        <f ca="1">IFERROR(SUMIFS(INDEX($B$135:$CW$186,MATCH(AT$205,$A$135:$A$186,0),1):INDEX($B$135:$CW$186,MATCH(AT$205,$A$135:$A$186,0),100),$B203:$CW203,"="&amp;"x",$B$133:$CW$133,"="&amp;"N"),0)</f>
        <v>0</v>
      </c>
      <c r="AU220">
        <f ca="1">IFERROR(SUMIFS(INDEX($B$135:$CW$186,MATCH(AU$205,$A$135:$A$186,0),1):INDEX($B$135:$CW$186,MATCH(AU$205,$A$135:$A$186,0),100),$B203:$CW203,"="&amp;"x",$B$133:$CW$133,"="&amp;"N"),0)</f>
        <v>0</v>
      </c>
      <c r="AV220">
        <f ca="1">IFERROR(SUMIFS(INDEX($B$135:$CW$186,MATCH(AV$205,$A$135:$A$186,0),1):INDEX($B$135:$CW$186,MATCH(AV$205,$A$135:$A$186,0),100),$B203:$CW203,"="&amp;"x",$B$133:$CW$133,"="&amp;"N"),0)</f>
        <v>0</v>
      </c>
      <c r="AW220">
        <f ca="1">IFERROR(SUMIFS(INDEX($B$135:$CW$186,MATCH(AW$205,$A$135:$A$186,0),1):INDEX($B$135:$CW$186,MATCH(AW$205,$A$135:$A$186,0),100),$B203:$CW203,"="&amp;"x",$B$133:$CW$133,"="&amp;"N"),0)</f>
        <v>0</v>
      </c>
      <c r="AX220">
        <f ca="1">IFERROR(SUMIFS(INDEX($B$135:$CW$186,MATCH(AX$205,$A$135:$A$186,0),1):INDEX($B$135:$CW$186,MATCH(AX$205,$A$135:$A$186,0),100),$B203:$CW203,"="&amp;"x",$B$133:$CW$133,"="&amp;"N"),0)</f>
        <v>0</v>
      </c>
      <c r="AY220">
        <f ca="1">IFERROR(SUMIFS(INDEX($B$135:$CW$186,MATCH(AY$205,$A$135:$A$186,0),1):INDEX($B$135:$CW$186,MATCH(AY$205,$A$135:$A$186,0),100),$B203:$CW203,"="&amp;"x",$B$133:$CW$133,"="&amp;"N"),0)</f>
        <v>0</v>
      </c>
      <c r="AZ220">
        <f ca="1">IFERROR(SUMIFS(INDEX($B$135:$CW$186,MATCH(AZ$205,$A$135:$A$186,0),1):INDEX($B$135:$CW$186,MATCH(AZ$205,$A$135:$A$186,0),100),$B203:$CW203,"="&amp;"x",$B$133:$CW$133,"="&amp;"N"),0)</f>
        <v>0</v>
      </c>
      <c r="BA220">
        <f ca="1">IFERROR(SUMIFS(INDEX($B$135:$CW$186,MATCH(BA$205,$A$135:$A$186,0),1):INDEX($B$135:$CW$186,MATCH(BA$205,$A$135:$A$186,0),100),$B203:$CW203,"="&amp;"x",$B$133:$CW$133,"="&amp;"N"),0)</f>
        <v>0</v>
      </c>
      <c r="BC220">
        <f t="shared" ca="1" si="36"/>
        <v>0</v>
      </c>
    </row>
    <row r="221" spans="1:55" x14ac:dyDescent="0.35">
      <c r="A221" s="3" t="str">
        <f>"All "&amp;Setup!$B$15</f>
        <v>All Caseloads</v>
      </c>
      <c r="B221">
        <f ca="1">SUM(B206:B220)</f>
        <v>0</v>
      </c>
      <c r="C221">
        <f t="shared" ref="C221:BA221" ca="1" si="37">SUM(C206:C220)</f>
        <v>0</v>
      </c>
      <c r="D221">
        <f t="shared" ca="1" si="37"/>
        <v>0</v>
      </c>
      <c r="E221">
        <f t="shared" ca="1" si="37"/>
        <v>0</v>
      </c>
      <c r="F221">
        <f t="shared" ca="1" si="37"/>
        <v>0</v>
      </c>
      <c r="G221">
        <f t="shared" ca="1" si="37"/>
        <v>0</v>
      </c>
      <c r="H221">
        <f t="shared" ca="1" si="37"/>
        <v>0</v>
      </c>
      <c r="I221">
        <f t="shared" ca="1" si="37"/>
        <v>0</v>
      </c>
      <c r="J221">
        <f t="shared" ca="1" si="37"/>
        <v>0</v>
      </c>
      <c r="K221">
        <f t="shared" ca="1" si="37"/>
        <v>0</v>
      </c>
      <c r="L221">
        <f t="shared" ca="1" si="37"/>
        <v>0</v>
      </c>
      <c r="M221">
        <f t="shared" ca="1" si="37"/>
        <v>0</v>
      </c>
      <c r="N221">
        <f t="shared" ca="1" si="37"/>
        <v>0</v>
      </c>
      <c r="O221">
        <f t="shared" ca="1" si="37"/>
        <v>0</v>
      </c>
      <c r="P221">
        <f t="shared" ca="1" si="37"/>
        <v>0</v>
      </c>
      <c r="Q221">
        <f t="shared" ca="1" si="37"/>
        <v>0</v>
      </c>
      <c r="R221">
        <f t="shared" ca="1" si="37"/>
        <v>0</v>
      </c>
      <c r="S221">
        <f t="shared" ca="1" si="37"/>
        <v>0</v>
      </c>
      <c r="T221">
        <f t="shared" ca="1" si="37"/>
        <v>0</v>
      </c>
      <c r="U221">
        <f t="shared" ca="1" si="37"/>
        <v>0</v>
      </c>
      <c r="V221">
        <f t="shared" ca="1" si="37"/>
        <v>0</v>
      </c>
      <c r="W221">
        <f t="shared" ca="1" si="37"/>
        <v>0</v>
      </c>
      <c r="X221">
        <f t="shared" ca="1" si="37"/>
        <v>0</v>
      </c>
      <c r="Y221">
        <f t="shared" ca="1" si="37"/>
        <v>0</v>
      </c>
      <c r="Z221">
        <f t="shared" ca="1" si="37"/>
        <v>0</v>
      </c>
      <c r="AA221">
        <f t="shared" ca="1" si="37"/>
        <v>0</v>
      </c>
      <c r="AB221">
        <f t="shared" ca="1" si="37"/>
        <v>0</v>
      </c>
      <c r="AC221">
        <f t="shared" ca="1" si="37"/>
        <v>0</v>
      </c>
      <c r="AD221">
        <f t="shared" ca="1" si="37"/>
        <v>0</v>
      </c>
      <c r="AE221">
        <f t="shared" ca="1" si="37"/>
        <v>0</v>
      </c>
      <c r="AF221">
        <f t="shared" ca="1" si="37"/>
        <v>0</v>
      </c>
      <c r="AG221">
        <f t="shared" ca="1" si="37"/>
        <v>0</v>
      </c>
      <c r="AH221">
        <f t="shared" ca="1" si="37"/>
        <v>0</v>
      </c>
      <c r="AI221">
        <f t="shared" ca="1" si="37"/>
        <v>0</v>
      </c>
      <c r="AJ221">
        <f t="shared" ca="1" si="37"/>
        <v>0</v>
      </c>
      <c r="AK221">
        <f t="shared" ca="1" si="37"/>
        <v>0</v>
      </c>
      <c r="AL221">
        <f t="shared" ca="1" si="37"/>
        <v>0</v>
      </c>
      <c r="AM221">
        <f t="shared" ca="1" si="37"/>
        <v>0</v>
      </c>
      <c r="AN221">
        <f t="shared" ca="1" si="37"/>
        <v>0</v>
      </c>
      <c r="AO221">
        <f t="shared" ca="1" si="37"/>
        <v>0</v>
      </c>
      <c r="AP221">
        <f t="shared" ca="1" si="37"/>
        <v>0</v>
      </c>
      <c r="AQ221">
        <f t="shared" ca="1" si="37"/>
        <v>0</v>
      </c>
      <c r="AR221">
        <f t="shared" ca="1" si="37"/>
        <v>0</v>
      </c>
      <c r="AS221">
        <f t="shared" ca="1" si="37"/>
        <v>0</v>
      </c>
      <c r="AT221">
        <f t="shared" ca="1" si="37"/>
        <v>0</v>
      </c>
      <c r="AU221">
        <f t="shared" ca="1" si="37"/>
        <v>0</v>
      </c>
      <c r="AV221">
        <f t="shared" ca="1" si="37"/>
        <v>0</v>
      </c>
      <c r="AW221">
        <f t="shared" ca="1" si="37"/>
        <v>0</v>
      </c>
      <c r="AX221">
        <f t="shared" ca="1" si="37"/>
        <v>0</v>
      </c>
      <c r="AY221">
        <f t="shared" ca="1" si="37"/>
        <v>0</v>
      </c>
      <c r="AZ221">
        <f t="shared" ca="1" si="37"/>
        <v>0</v>
      </c>
      <c r="BA221">
        <f t="shared" ca="1" si="37"/>
        <v>0</v>
      </c>
    </row>
    <row r="222" spans="1:55" x14ac:dyDescent="0.35">
      <c r="A222" s="2"/>
    </row>
    <row r="223" spans="1:55" x14ac:dyDescent="0.35">
      <c r="A223" s="2" t="s">
        <v>49</v>
      </c>
      <c r="B223" s="2" t="e" cm="1" vm="2">
        <f t="array" aca="1" ref="B223" ca="1">INDEX($A$5:$A$56,COLUMN(A149),1)</f>
        <v>#VALUE!</v>
      </c>
      <c r="C223" s="2" t="e" cm="1" vm="2">
        <f t="array" aca="1" ref="C223" ca="1">INDEX($A$5:$A$56,COLUMN(B149),1)</f>
        <v>#VALUE!</v>
      </c>
      <c r="D223" s="2" t="e" cm="1" vm="2">
        <f t="array" aca="1" ref="D223" ca="1">INDEX($A$5:$A$56,COLUMN(C149),1)</f>
        <v>#VALUE!</v>
      </c>
      <c r="E223" s="2" t="e" cm="1" vm="2">
        <f t="array" aca="1" ref="E223" ca="1">INDEX($A$5:$A$56,COLUMN(D149),1)</f>
        <v>#VALUE!</v>
      </c>
      <c r="F223" s="2" t="e" cm="1" vm="2">
        <f t="array" aca="1" ref="F223" ca="1">INDEX($A$5:$A$56,COLUMN(E149),1)</f>
        <v>#VALUE!</v>
      </c>
      <c r="G223" s="2" t="e" cm="1" vm="2">
        <f t="array" aca="1" ref="G223" ca="1">INDEX($A$5:$A$56,COLUMN(F149),1)</f>
        <v>#VALUE!</v>
      </c>
      <c r="H223" s="2" t="e" cm="1" vm="2">
        <f t="array" aca="1" ref="H223" ca="1">INDEX($A$5:$A$56,COLUMN(G149),1)</f>
        <v>#VALUE!</v>
      </c>
      <c r="I223" s="2" t="e" cm="1" vm="2">
        <f t="array" aca="1" ref="I223" ca="1">INDEX($A$5:$A$56,COLUMN(H149),1)</f>
        <v>#VALUE!</v>
      </c>
      <c r="J223" s="2" t="e" cm="1" vm="2">
        <f t="array" aca="1" ref="J223" ca="1">INDEX($A$5:$A$56,COLUMN(I149),1)</f>
        <v>#VALUE!</v>
      </c>
      <c r="K223" s="2" t="e" cm="1" vm="2">
        <f t="array" aca="1" ref="K223" ca="1">INDEX($A$5:$A$56,COLUMN(J149),1)</f>
        <v>#VALUE!</v>
      </c>
      <c r="L223" s="2" t="e" cm="1" vm="2">
        <f t="array" aca="1" ref="L223" ca="1">INDEX($A$5:$A$56,COLUMN(K149),1)</f>
        <v>#VALUE!</v>
      </c>
      <c r="M223" s="2" t="e" cm="1" vm="2">
        <f t="array" aca="1" ref="M223" ca="1">INDEX($A$5:$A$56,COLUMN(L149),1)</f>
        <v>#VALUE!</v>
      </c>
      <c r="N223" s="2" t="e" cm="1" vm="2">
        <f t="array" aca="1" ref="N223" ca="1">INDEX($A$5:$A$56,COLUMN(M149),1)</f>
        <v>#VALUE!</v>
      </c>
      <c r="O223" s="2" t="e" cm="1" vm="2">
        <f t="array" aca="1" ref="O223" ca="1">INDEX($A$5:$A$56,COLUMN(N149),1)</f>
        <v>#VALUE!</v>
      </c>
      <c r="P223" s="2" t="e" cm="1" vm="2">
        <f t="array" aca="1" ref="P223" ca="1">INDEX($A$5:$A$56,COLUMN(O149),1)</f>
        <v>#VALUE!</v>
      </c>
      <c r="Q223" s="2" t="e" cm="1" vm="2">
        <f t="array" aca="1" ref="Q223" ca="1">INDEX($A$5:$A$56,COLUMN(P149),1)</f>
        <v>#VALUE!</v>
      </c>
      <c r="R223" s="2" t="e" cm="1" vm="2">
        <f t="array" aca="1" ref="R223" ca="1">INDEX($A$5:$A$56,COLUMN(Q149),1)</f>
        <v>#VALUE!</v>
      </c>
      <c r="S223" s="2" t="e" cm="1" vm="2">
        <f t="array" aca="1" ref="S223" ca="1">INDEX($A$5:$A$56,COLUMN(R149),1)</f>
        <v>#VALUE!</v>
      </c>
      <c r="T223" s="2" t="e" cm="1" vm="2">
        <f t="array" aca="1" ref="T223" ca="1">INDEX($A$5:$A$56,COLUMN(S149),1)</f>
        <v>#VALUE!</v>
      </c>
      <c r="U223" s="2" t="e" cm="1" vm="2">
        <f t="array" aca="1" ref="U223" ca="1">INDEX($A$5:$A$56,COLUMN(T149),1)</f>
        <v>#VALUE!</v>
      </c>
      <c r="V223" s="2" t="e" cm="1" vm="2">
        <f t="array" aca="1" ref="V223" ca="1">INDEX($A$5:$A$56,COLUMN(U149),1)</f>
        <v>#VALUE!</v>
      </c>
      <c r="W223" s="2" t="e" cm="1" vm="2">
        <f t="array" aca="1" ref="W223" ca="1">INDEX($A$5:$A$56,COLUMN(V149),1)</f>
        <v>#VALUE!</v>
      </c>
      <c r="X223" s="2" t="e" cm="1" vm="2">
        <f t="array" aca="1" ref="X223" ca="1">INDEX($A$5:$A$56,COLUMN(W149),1)</f>
        <v>#VALUE!</v>
      </c>
      <c r="Y223" s="2" t="e" cm="1" vm="2">
        <f t="array" aca="1" ref="Y223" ca="1">INDEX($A$5:$A$56,COLUMN(X149),1)</f>
        <v>#VALUE!</v>
      </c>
      <c r="Z223" s="2" t="e" cm="1" vm="2">
        <f t="array" aca="1" ref="Z223" ca="1">INDEX($A$5:$A$56,COLUMN(Y149),1)</f>
        <v>#VALUE!</v>
      </c>
      <c r="AA223" s="2" t="e" cm="1" vm="2">
        <f t="array" aca="1" ref="AA223" ca="1">INDEX($A$5:$A$56,COLUMN(Z149),1)</f>
        <v>#VALUE!</v>
      </c>
      <c r="AB223" s="2" t="e" cm="1" vm="2">
        <f t="array" aca="1" ref="AB223" ca="1">INDEX($A$5:$A$56,COLUMN(AA149),1)</f>
        <v>#VALUE!</v>
      </c>
      <c r="AC223" s="2" t="e" cm="1" vm="2">
        <f t="array" aca="1" ref="AC223" ca="1">INDEX($A$5:$A$56,COLUMN(AB149),1)</f>
        <v>#VALUE!</v>
      </c>
      <c r="AD223" s="2" t="e" cm="1" vm="2">
        <f t="array" aca="1" ref="AD223" ca="1">INDEX($A$5:$A$56,COLUMN(AC149),1)</f>
        <v>#VALUE!</v>
      </c>
      <c r="AE223" s="2" t="e" cm="1" vm="2">
        <f t="array" aca="1" ref="AE223" ca="1">INDEX($A$5:$A$56,COLUMN(AD149),1)</f>
        <v>#VALUE!</v>
      </c>
      <c r="AF223" s="2" t="e" cm="1" vm="2">
        <f t="array" aca="1" ref="AF223" ca="1">INDEX($A$5:$A$56,COLUMN(AE149),1)</f>
        <v>#VALUE!</v>
      </c>
      <c r="AG223" s="2" t="e" cm="1" vm="2">
        <f t="array" aca="1" ref="AG223" ca="1">INDEX($A$5:$A$56,COLUMN(AF149),1)</f>
        <v>#VALUE!</v>
      </c>
      <c r="AH223" s="2" t="e" cm="1" vm="2">
        <f t="array" aca="1" ref="AH223" ca="1">INDEX($A$5:$A$56,COLUMN(AG149),1)</f>
        <v>#VALUE!</v>
      </c>
      <c r="AI223" s="2" t="e" cm="1" vm="2">
        <f t="array" aca="1" ref="AI223" ca="1">INDEX($A$5:$A$56,COLUMN(AH149),1)</f>
        <v>#VALUE!</v>
      </c>
      <c r="AJ223" s="2" t="e" cm="1" vm="2">
        <f t="array" aca="1" ref="AJ223" ca="1">INDEX($A$5:$A$56,COLUMN(AI149),1)</f>
        <v>#VALUE!</v>
      </c>
      <c r="AK223" s="2" t="e" cm="1" vm="2">
        <f t="array" aca="1" ref="AK223" ca="1">INDEX($A$5:$A$56,COLUMN(AJ149),1)</f>
        <v>#VALUE!</v>
      </c>
      <c r="AL223" s="2" t="e" cm="1" vm="2">
        <f t="array" aca="1" ref="AL223" ca="1">INDEX($A$5:$A$56,COLUMN(AK149),1)</f>
        <v>#VALUE!</v>
      </c>
      <c r="AM223" s="2" t="e" cm="1" vm="2">
        <f t="array" aca="1" ref="AM223" ca="1">INDEX($A$5:$A$56,COLUMN(AL149),1)</f>
        <v>#VALUE!</v>
      </c>
      <c r="AN223" s="2" t="e" cm="1" vm="2">
        <f t="array" aca="1" ref="AN223" ca="1">INDEX($A$5:$A$56,COLUMN(AM149),1)</f>
        <v>#VALUE!</v>
      </c>
      <c r="AO223" s="2" t="e" cm="1" vm="2">
        <f t="array" aca="1" ref="AO223" ca="1">INDEX($A$5:$A$56,COLUMN(AN149),1)</f>
        <v>#VALUE!</v>
      </c>
      <c r="AP223" s="2" t="e" cm="1" vm="2">
        <f t="array" aca="1" ref="AP223" ca="1">INDEX($A$5:$A$56,COLUMN(AO149),1)</f>
        <v>#VALUE!</v>
      </c>
      <c r="AQ223" s="2" t="e" cm="1" vm="2">
        <f t="array" aca="1" ref="AQ223" ca="1">INDEX($A$5:$A$56,COLUMN(AP149),1)</f>
        <v>#VALUE!</v>
      </c>
      <c r="AR223" s="2" t="e" cm="1" vm="2">
        <f t="array" aca="1" ref="AR223" ca="1">INDEX($A$5:$A$56,COLUMN(AQ149),1)</f>
        <v>#VALUE!</v>
      </c>
      <c r="AS223" s="2" t="e" cm="1" vm="2">
        <f t="array" aca="1" ref="AS223" ca="1">INDEX($A$5:$A$56,COLUMN(AR149),1)</f>
        <v>#VALUE!</v>
      </c>
      <c r="AT223" s="2" t="e" cm="1" vm="2">
        <f t="array" aca="1" ref="AT223" ca="1">INDEX($A$5:$A$56,COLUMN(AS149),1)</f>
        <v>#VALUE!</v>
      </c>
      <c r="AU223" s="2" t="e" cm="1" vm="2">
        <f t="array" aca="1" ref="AU223" ca="1">INDEX($A$5:$A$56,COLUMN(AT149),1)</f>
        <v>#VALUE!</v>
      </c>
      <c r="AV223" s="2" t="e" cm="1" vm="2">
        <f t="array" aca="1" ref="AV223" ca="1">INDEX($A$5:$A$56,COLUMN(AU149),1)</f>
        <v>#VALUE!</v>
      </c>
      <c r="AW223" s="2" t="e" cm="1" vm="2">
        <f t="array" aca="1" ref="AW223" ca="1">INDEX($A$5:$A$56,COLUMN(AV149),1)</f>
        <v>#VALUE!</v>
      </c>
      <c r="AX223" s="2" t="e" cm="1" vm="2">
        <f t="array" aca="1" ref="AX223" ca="1">INDEX($A$5:$A$56,COLUMN(AW149),1)</f>
        <v>#VALUE!</v>
      </c>
      <c r="AY223" s="2" t="e" cm="1" vm="2">
        <f t="array" aca="1" ref="AY223" ca="1">INDEX($A$5:$A$56,COLUMN(AX149),1)</f>
        <v>#VALUE!</v>
      </c>
      <c r="AZ223" s="2" t="e" cm="1" vm="2">
        <f t="array" aca="1" ref="AZ223" ca="1">INDEX($A$5:$A$56,COLUMN(AY149),1)</f>
        <v>#VALUE!</v>
      </c>
      <c r="BA223" s="2" t="e" cm="1" vm="2">
        <f t="array" aca="1" ref="BA223" ca="1">INDEX($A$5:$A$56,COLUMN(AZ149),1)</f>
        <v>#VALUE!</v>
      </c>
      <c r="BC223" t="s">
        <v>125</v>
      </c>
    </row>
    <row r="224" spans="1:55" x14ac:dyDescent="0.35">
      <c r="A224" s="2" t="str" cm="1">
        <f t="array" ref="A224">INDEX('Data Validation (Hide)'!$B$2:$B$16,ROW(A1),1)</f>
        <v>Caseload 1</v>
      </c>
      <c r="B224">
        <f ca="1">IFERROR(SUMIFS(INDEX($B$135:$CW$186,MATCH(B$205,$A$135:$A$186,0),1):INDEX($B$135:$CW$186,MATCH(B$205,$A$135:$A$186,0),100),$B189:$CW189,"="&amp;"x",$B$133:$CW$133,"="&amp;"Y"),0)</f>
        <v>0</v>
      </c>
      <c r="C224">
        <f ca="1">IFERROR(SUMIFS(INDEX($B$135:$CW$186,MATCH(C$205,$A$135:$A$186,0),1):INDEX($B$135:$CW$186,MATCH(C$205,$A$135:$A$186,0),100),$B189:$CW189,"="&amp;"x",$B$133:$CW$133,"="&amp;"Y"),0)</f>
        <v>0</v>
      </c>
      <c r="D224">
        <f ca="1">IFERROR(SUMIFS(INDEX($B$135:$CW$186,MATCH(D$205,$A$135:$A$186,0),1):INDEX($B$135:$CW$186,MATCH(D$205,$A$135:$A$186,0),100),$B189:$CW189,"="&amp;"x",$B$133:$CW$133,"="&amp;"Y"),0)</f>
        <v>0</v>
      </c>
      <c r="E224">
        <f ca="1">IFERROR(SUMIFS(INDEX($B$135:$CW$186,MATCH(E$205,$A$135:$A$186,0),1):INDEX($B$135:$CW$186,MATCH(E$205,$A$135:$A$186,0),100),$B189:$CW189,"="&amp;"x",$B$133:$CW$133,"="&amp;"Y"),0)</f>
        <v>0</v>
      </c>
      <c r="F224">
        <f ca="1">IFERROR(SUMIFS(INDEX($B$135:$CW$186,MATCH(F$205,$A$135:$A$186,0),1):INDEX($B$135:$CW$186,MATCH(F$205,$A$135:$A$186,0),100),$B189:$CW189,"="&amp;"x",$B$133:$CW$133,"="&amp;"Y"),0)</f>
        <v>0</v>
      </c>
      <c r="G224">
        <f ca="1">IFERROR(SUMIFS(INDEX($B$135:$CW$186,MATCH(G$205,$A$135:$A$186,0),1):INDEX($B$135:$CW$186,MATCH(G$205,$A$135:$A$186,0),100),$B189:$CW189,"="&amp;"x",$B$133:$CW$133,"="&amp;"Y"),0)</f>
        <v>0</v>
      </c>
      <c r="H224">
        <f ca="1">IFERROR(SUMIFS(INDEX($B$135:$CW$186,MATCH(H$205,$A$135:$A$186,0),1):INDEX($B$135:$CW$186,MATCH(H$205,$A$135:$A$186,0),100),$B189:$CW189,"="&amp;"x",$B$133:$CW$133,"="&amp;"Y"),0)</f>
        <v>0</v>
      </c>
      <c r="I224">
        <f ca="1">IFERROR(SUMIFS(INDEX($B$135:$CW$186,MATCH(I$205,$A$135:$A$186,0),1):INDEX($B$135:$CW$186,MATCH(I$205,$A$135:$A$186,0),100),$B189:$CW189,"="&amp;"x",$B$133:$CW$133,"="&amp;"Y"),0)</f>
        <v>0</v>
      </c>
      <c r="J224">
        <f ca="1">IFERROR(SUMIFS(INDEX($B$135:$CW$186,MATCH(J$205,$A$135:$A$186,0),1):INDEX($B$135:$CW$186,MATCH(J$205,$A$135:$A$186,0),100),$B189:$CW189,"="&amp;"x",$B$133:$CW$133,"="&amp;"Y"),0)</f>
        <v>0</v>
      </c>
      <c r="K224">
        <f ca="1">IFERROR(SUMIFS(INDEX($B$135:$CW$186,MATCH(K$205,$A$135:$A$186,0),1):INDEX($B$135:$CW$186,MATCH(K$205,$A$135:$A$186,0),100),$B189:$CW189,"="&amp;"x",$B$133:$CW$133,"="&amp;"Y"),0)</f>
        <v>0</v>
      </c>
      <c r="L224">
        <f ca="1">IFERROR(SUMIFS(INDEX($B$135:$CW$186,MATCH(L$205,$A$135:$A$186,0),1):INDEX($B$135:$CW$186,MATCH(L$205,$A$135:$A$186,0),100),$B189:$CW189,"="&amp;"x",$B$133:$CW$133,"="&amp;"Y"),0)</f>
        <v>0</v>
      </c>
      <c r="M224">
        <f ca="1">IFERROR(SUMIFS(INDEX($B$135:$CW$186,MATCH(M$205,$A$135:$A$186,0),1):INDEX($B$135:$CW$186,MATCH(M$205,$A$135:$A$186,0),100),$B189:$CW189,"="&amp;"x",$B$133:$CW$133,"="&amp;"Y"),0)</f>
        <v>0</v>
      </c>
      <c r="N224">
        <f ca="1">IFERROR(SUMIFS(INDEX($B$135:$CW$186,MATCH(N$205,$A$135:$A$186,0),1):INDEX($B$135:$CW$186,MATCH(N$205,$A$135:$A$186,0),100),$B189:$CW189,"="&amp;"x",$B$133:$CW$133,"="&amp;"Y"),0)</f>
        <v>0</v>
      </c>
      <c r="O224">
        <f ca="1">IFERROR(SUMIFS(INDEX($B$135:$CW$186,MATCH(O$205,$A$135:$A$186,0),1):INDEX($B$135:$CW$186,MATCH(O$205,$A$135:$A$186,0),100),$B189:$CW189,"="&amp;"x",$B$133:$CW$133,"="&amp;"Y"),0)</f>
        <v>0</v>
      </c>
      <c r="P224">
        <f ca="1">IFERROR(SUMIFS(INDEX($B$135:$CW$186,MATCH(P$205,$A$135:$A$186,0),1):INDEX($B$135:$CW$186,MATCH(P$205,$A$135:$A$186,0),100),$B189:$CW189,"="&amp;"x",$B$133:$CW$133,"="&amp;"Y"),0)</f>
        <v>0</v>
      </c>
      <c r="Q224">
        <f ca="1">IFERROR(SUMIFS(INDEX($B$135:$CW$186,MATCH(Q$205,$A$135:$A$186,0),1):INDEX($B$135:$CW$186,MATCH(Q$205,$A$135:$A$186,0),100),$B189:$CW189,"="&amp;"x",$B$133:$CW$133,"="&amp;"Y"),0)</f>
        <v>0</v>
      </c>
      <c r="R224">
        <f ca="1">IFERROR(SUMIFS(INDEX($B$135:$CW$186,MATCH(R$205,$A$135:$A$186,0),1):INDEX($B$135:$CW$186,MATCH(R$205,$A$135:$A$186,0),100),$B189:$CW189,"="&amp;"x",$B$133:$CW$133,"="&amp;"Y"),0)</f>
        <v>0</v>
      </c>
      <c r="S224">
        <f ca="1">IFERROR(SUMIFS(INDEX($B$135:$CW$186,MATCH(S$205,$A$135:$A$186,0),1):INDEX($B$135:$CW$186,MATCH(S$205,$A$135:$A$186,0),100),$B189:$CW189,"="&amp;"x",$B$133:$CW$133,"="&amp;"Y"),0)</f>
        <v>0</v>
      </c>
      <c r="T224">
        <f ca="1">IFERROR(SUMIFS(INDEX($B$135:$CW$186,MATCH(T$205,$A$135:$A$186,0),1):INDEX($B$135:$CW$186,MATCH(T$205,$A$135:$A$186,0),100),$B189:$CW189,"="&amp;"x",$B$133:$CW$133,"="&amp;"Y"),0)</f>
        <v>0</v>
      </c>
      <c r="U224">
        <f ca="1">IFERROR(SUMIFS(INDEX($B$135:$CW$186,MATCH(U$205,$A$135:$A$186,0),1):INDEX($B$135:$CW$186,MATCH(U$205,$A$135:$A$186,0),100),$B189:$CW189,"="&amp;"x",$B$133:$CW$133,"="&amp;"Y"),0)</f>
        <v>0</v>
      </c>
      <c r="V224">
        <f ca="1">IFERROR(SUMIFS(INDEX($B$135:$CW$186,MATCH(V$205,$A$135:$A$186,0),1):INDEX($B$135:$CW$186,MATCH(V$205,$A$135:$A$186,0),100),$B189:$CW189,"="&amp;"x",$B$133:$CW$133,"="&amp;"Y"),0)</f>
        <v>0</v>
      </c>
      <c r="W224">
        <f ca="1">IFERROR(SUMIFS(INDEX($B$135:$CW$186,MATCH(W$205,$A$135:$A$186,0),1):INDEX($B$135:$CW$186,MATCH(W$205,$A$135:$A$186,0),100),$B189:$CW189,"="&amp;"x",$B$133:$CW$133,"="&amp;"Y"),0)</f>
        <v>0</v>
      </c>
      <c r="X224">
        <f ca="1">IFERROR(SUMIFS(INDEX($B$135:$CW$186,MATCH(X$205,$A$135:$A$186,0),1):INDEX($B$135:$CW$186,MATCH(X$205,$A$135:$A$186,0),100),$B189:$CW189,"="&amp;"x",$B$133:$CW$133,"="&amp;"Y"),0)</f>
        <v>0</v>
      </c>
      <c r="Y224">
        <f ca="1">IFERROR(SUMIFS(INDEX($B$135:$CW$186,MATCH(Y$205,$A$135:$A$186,0),1):INDEX($B$135:$CW$186,MATCH(Y$205,$A$135:$A$186,0),100),$B189:$CW189,"="&amp;"x",$B$133:$CW$133,"="&amp;"Y"),0)</f>
        <v>0</v>
      </c>
      <c r="Z224">
        <f ca="1">IFERROR(SUMIFS(INDEX($B$135:$CW$186,MATCH(Z$205,$A$135:$A$186,0),1):INDEX($B$135:$CW$186,MATCH(Z$205,$A$135:$A$186,0),100),$B189:$CW189,"="&amp;"x",$B$133:$CW$133,"="&amp;"Y"),0)</f>
        <v>0</v>
      </c>
      <c r="AA224">
        <f ca="1">IFERROR(SUMIFS(INDEX($B$135:$CW$186,MATCH(AA$205,$A$135:$A$186,0),1):INDEX($B$135:$CW$186,MATCH(AA$205,$A$135:$A$186,0),100),$B189:$CW189,"="&amp;"x",$B$133:$CW$133,"="&amp;"Y"),0)</f>
        <v>0</v>
      </c>
      <c r="AB224">
        <f ca="1">IFERROR(SUMIFS(INDEX($B$135:$CW$186,MATCH(AB$205,$A$135:$A$186,0),1):INDEX($B$135:$CW$186,MATCH(AB$205,$A$135:$A$186,0),100),$B189:$CW189,"="&amp;"x",$B$133:$CW$133,"="&amp;"Y"),0)</f>
        <v>0</v>
      </c>
      <c r="AC224">
        <f ca="1">IFERROR(SUMIFS(INDEX($B$135:$CW$186,MATCH(AC$205,$A$135:$A$186,0),1):INDEX($B$135:$CW$186,MATCH(AC$205,$A$135:$A$186,0),100),$B189:$CW189,"="&amp;"x",$B$133:$CW$133,"="&amp;"Y"),0)</f>
        <v>0</v>
      </c>
      <c r="AD224">
        <f ca="1">IFERROR(SUMIFS(INDEX($B$135:$CW$186,MATCH(AD$205,$A$135:$A$186,0),1):INDEX($B$135:$CW$186,MATCH(AD$205,$A$135:$A$186,0),100),$B189:$CW189,"="&amp;"x",$B$133:$CW$133,"="&amp;"Y"),0)</f>
        <v>0</v>
      </c>
      <c r="AE224">
        <f ca="1">IFERROR(SUMIFS(INDEX($B$135:$CW$186,MATCH(AE$205,$A$135:$A$186,0),1):INDEX($B$135:$CW$186,MATCH(AE$205,$A$135:$A$186,0),100),$B189:$CW189,"="&amp;"x",$B$133:$CW$133,"="&amp;"Y"),0)</f>
        <v>0</v>
      </c>
      <c r="AF224">
        <f ca="1">IFERROR(SUMIFS(INDEX($B$135:$CW$186,MATCH(AF$205,$A$135:$A$186,0),1):INDEX($B$135:$CW$186,MATCH(AF$205,$A$135:$A$186,0),100),$B189:$CW189,"="&amp;"x",$B$133:$CW$133,"="&amp;"Y"),0)</f>
        <v>0</v>
      </c>
      <c r="AG224">
        <f ca="1">IFERROR(SUMIFS(INDEX($B$135:$CW$186,MATCH(AG$205,$A$135:$A$186,0),1):INDEX($B$135:$CW$186,MATCH(AG$205,$A$135:$A$186,0),100),$B189:$CW189,"="&amp;"x",$B$133:$CW$133,"="&amp;"Y"),0)</f>
        <v>0</v>
      </c>
      <c r="AH224">
        <f ca="1">IFERROR(SUMIFS(INDEX($B$135:$CW$186,MATCH(AH$205,$A$135:$A$186,0),1):INDEX($B$135:$CW$186,MATCH(AH$205,$A$135:$A$186,0),100),$B189:$CW189,"="&amp;"x",$B$133:$CW$133,"="&amp;"Y"),0)</f>
        <v>0</v>
      </c>
      <c r="AI224">
        <f ca="1">IFERROR(SUMIFS(INDEX($B$135:$CW$186,MATCH(AI$205,$A$135:$A$186,0),1):INDEX($B$135:$CW$186,MATCH(AI$205,$A$135:$A$186,0),100),$B189:$CW189,"="&amp;"x",$B$133:$CW$133,"="&amp;"Y"),0)</f>
        <v>0</v>
      </c>
      <c r="AJ224">
        <f ca="1">IFERROR(SUMIFS(INDEX($B$135:$CW$186,MATCH(AJ$205,$A$135:$A$186,0),1):INDEX($B$135:$CW$186,MATCH(AJ$205,$A$135:$A$186,0),100),$B189:$CW189,"="&amp;"x",$B$133:$CW$133,"="&amp;"Y"),0)</f>
        <v>0</v>
      </c>
      <c r="AK224">
        <f ca="1">IFERROR(SUMIFS(INDEX($B$135:$CW$186,MATCH(AK$205,$A$135:$A$186,0),1):INDEX($B$135:$CW$186,MATCH(AK$205,$A$135:$A$186,0),100),$B189:$CW189,"="&amp;"x",$B$133:$CW$133,"="&amp;"Y"),0)</f>
        <v>0</v>
      </c>
      <c r="AL224">
        <f ca="1">IFERROR(SUMIFS(INDEX($B$135:$CW$186,MATCH(AL$205,$A$135:$A$186,0),1):INDEX($B$135:$CW$186,MATCH(AL$205,$A$135:$A$186,0),100),$B189:$CW189,"="&amp;"x",$B$133:$CW$133,"="&amp;"Y"),0)</f>
        <v>0</v>
      </c>
      <c r="AM224">
        <f ca="1">IFERROR(SUMIFS(INDEX($B$135:$CW$186,MATCH(AM$205,$A$135:$A$186,0),1):INDEX($B$135:$CW$186,MATCH(AM$205,$A$135:$A$186,0),100),$B189:$CW189,"="&amp;"x",$B$133:$CW$133,"="&amp;"Y"),0)</f>
        <v>0</v>
      </c>
      <c r="AN224">
        <f ca="1">IFERROR(SUMIFS(INDEX($B$135:$CW$186,MATCH(AN$205,$A$135:$A$186,0),1):INDEX($B$135:$CW$186,MATCH(AN$205,$A$135:$A$186,0),100),$B189:$CW189,"="&amp;"x",$B$133:$CW$133,"="&amp;"Y"),0)</f>
        <v>0</v>
      </c>
      <c r="AO224">
        <f ca="1">IFERROR(SUMIFS(INDEX($B$135:$CW$186,MATCH(AO$205,$A$135:$A$186,0),1):INDEX($B$135:$CW$186,MATCH(AO$205,$A$135:$A$186,0),100),$B189:$CW189,"="&amp;"x",$B$133:$CW$133,"="&amp;"Y"),0)</f>
        <v>0</v>
      </c>
      <c r="AP224">
        <f ca="1">IFERROR(SUMIFS(INDEX($B$135:$CW$186,MATCH(AP$205,$A$135:$A$186,0),1):INDEX($B$135:$CW$186,MATCH(AP$205,$A$135:$A$186,0),100),$B189:$CW189,"="&amp;"x",$B$133:$CW$133,"="&amp;"Y"),0)</f>
        <v>0</v>
      </c>
      <c r="AQ224">
        <f ca="1">IFERROR(SUMIFS(INDEX($B$135:$CW$186,MATCH(AQ$205,$A$135:$A$186,0),1):INDEX($B$135:$CW$186,MATCH(AQ$205,$A$135:$A$186,0),100),$B189:$CW189,"="&amp;"x",$B$133:$CW$133,"="&amp;"Y"),0)</f>
        <v>0</v>
      </c>
      <c r="AR224">
        <f ca="1">IFERROR(SUMIFS(INDEX($B$135:$CW$186,MATCH(AR$205,$A$135:$A$186,0),1):INDEX($B$135:$CW$186,MATCH(AR$205,$A$135:$A$186,0),100),$B189:$CW189,"="&amp;"x",$B$133:$CW$133,"="&amp;"Y"),0)</f>
        <v>0</v>
      </c>
      <c r="AS224">
        <f ca="1">IFERROR(SUMIFS(INDEX($B$135:$CW$186,MATCH(AS$205,$A$135:$A$186,0),1):INDEX($B$135:$CW$186,MATCH(AS$205,$A$135:$A$186,0),100),$B189:$CW189,"="&amp;"x",$B$133:$CW$133,"="&amp;"Y"),0)</f>
        <v>0</v>
      </c>
      <c r="AT224">
        <f ca="1">IFERROR(SUMIFS(INDEX($B$135:$CW$186,MATCH(AT$205,$A$135:$A$186,0),1):INDEX($B$135:$CW$186,MATCH(AT$205,$A$135:$A$186,0),100),$B189:$CW189,"="&amp;"x",$B$133:$CW$133,"="&amp;"Y"),0)</f>
        <v>0</v>
      </c>
      <c r="AU224">
        <f ca="1">IFERROR(SUMIFS(INDEX($B$135:$CW$186,MATCH(AU$205,$A$135:$A$186,0),1):INDEX($B$135:$CW$186,MATCH(AU$205,$A$135:$A$186,0),100),$B189:$CW189,"="&amp;"x",$B$133:$CW$133,"="&amp;"Y"),0)</f>
        <v>0</v>
      </c>
      <c r="AV224">
        <f ca="1">IFERROR(SUMIFS(INDEX($B$135:$CW$186,MATCH(AV$205,$A$135:$A$186,0),1):INDEX($B$135:$CW$186,MATCH(AV$205,$A$135:$A$186,0),100),$B189:$CW189,"="&amp;"x",$B$133:$CW$133,"="&amp;"Y"),0)</f>
        <v>0</v>
      </c>
      <c r="AW224">
        <f ca="1">IFERROR(SUMIFS(INDEX($B$135:$CW$186,MATCH(AW$205,$A$135:$A$186,0),1):INDEX($B$135:$CW$186,MATCH(AW$205,$A$135:$A$186,0),100),$B189:$CW189,"="&amp;"x",$B$133:$CW$133,"="&amp;"Y"),0)</f>
        <v>0</v>
      </c>
      <c r="AX224">
        <f ca="1">IFERROR(SUMIFS(INDEX($B$135:$CW$186,MATCH(AX$205,$A$135:$A$186,0),1):INDEX($B$135:$CW$186,MATCH(AX$205,$A$135:$A$186,0),100),$B189:$CW189,"="&amp;"x",$B$133:$CW$133,"="&amp;"Y"),0)</f>
        <v>0</v>
      </c>
      <c r="AY224">
        <f ca="1">IFERROR(SUMIFS(INDEX($B$135:$CW$186,MATCH(AY$205,$A$135:$A$186,0),1):INDEX($B$135:$CW$186,MATCH(AY$205,$A$135:$A$186,0),100),$B189:$CW189,"="&amp;"x",$B$133:$CW$133,"="&amp;"Y"),0)</f>
        <v>0</v>
      </c>
      <c r="AZ224">
        <f ca="1">IFERROR(SUMIFS(INDEX($B$135:$CW$186,MATCH(AZ$205,$A$135:$A$186,0),1):INDEX($B$135:$CW$186,MATCH(AZ$205,$A$135:$A$186,0),100),$B189:$CW189,"="&amp;"x",$B$133:$CW$133,"="&amp;"Y"),0)</f>
        <v>0</v>
      </c>
      <c r="BA224">
        <f ca="1">IFERROR(SUMIFS(INDEX($B$135:$CW$186,MATCH(BA$205,$A$135:$A$186,0),1):INDEX($B$135:$CW$186,MATCH(BA$205,$A$135:$A$186,0),100),$B189:$CW189,"="&amp;"x",$B$133:$CW$133,"="&amp;"Y"),0)</f>
        <v>0</v>
      </c>
      <c r="BC224">
        <f ca="1">AVERAGE(B224:BA224)</f>
        <v>0</v>
      </c>
    </row>
    <row r="225" spans="1:55" x14ac:dyDescent="0.35">
      <c r="A225" s="2" t="str" cm="1">
        <f t="array" ref="A225">INDEX('Data Validation (Hide)'!$B$2:$B$16,ROW(A2),1)</f>
        <v>Caseload 2</v>
      </c>
      <c r="B225">
        <f ca="1">IFERROR(SUMIFS(INDEX($B$135:$CW$186,MATCH(B$205,$A$135:$A$186,0),1):INDEX($B$135:$CW$186,MATCH(B$205,$A$135:$A$186,0),100),$B190:$CW190,"="&amp;"x",$B$133:$CW$133,"="&amp;"Y"),0)</f>
        <v>0</v>
      </c>
      <c r="C225">
        <f ca="1">IFERROR(SUMIFS(INDEX($B$135:$CW$186,MATCH(C$205,$A$135:$A$186,0),1):INDEX($B$135:$CW$186,MATCH(C$205,$A$135:$A$186,0),100),$B190:$CW190,"="&amp;"x",$B$133:$CW$133,"="&amp;"Y"),0)</f>
        <v>0</v>
      </c>
      <c r="D225">
        <f ca="1">IFERROR(SUMIFS(INDEX($B$135:$CW$186,MATCH(D$205,$A$135:$A$186,0),1):INDEX($B$135:$CW$186,MATCH(D$205,$A$135:$A$186,0),100),$B190:$CW190,"="&amp;"x",$B$133:$CW$133,"="&amp;"Y"),0)</f>
        <v>0</v>
      </c>
      <c r="E225">
        <f ca="1">IFERROR(SUMIFS(INDEX($B$135:$CW$186,MATCH(E$205,$A$135:$A$186,0),1):INDEX($B$135:$CW$186,MATCH(E$205,$A$135:$A$186,0),100),$B190:$CW190,"="&amp;"x",$B$133:$CW$133,"="&amp;"Y"),0)</f>
        <v>0</v>
      </c>
      <c r="F225">
        <f ca="1">IFERROR(SUMIFS(INDEX($B$135:$CW$186,MATCH(F$205,$A$135:$A$186,0),1):INDEX($B$135:$CW$186,MATCH(F$205,$A$135:$A$186,0),100),$B190:$CW190,"="&amp;"x",$B$133:$CW$133,"="&amp;"Y"),0)</f>
        <v>0</v>
      </c>
      <c r="G225">
        <f ca="1">IFERROR(SUMIFS(INDEX($B$135:$CW$186,MATCH(G$205,$A$135:$A$186,0),1):INDEX($B$135:$CW$186,MATCH(G$205,$A$135:$A$186,0),100),$B190:$CW190,"="&amp;"x",$B$133:$CW$133,"="&amp;"Y"),0)</f>
        <v>0</v>
      </c>
      <c r="H225">
        <f ca="1">IFERROR(SUMIFS(INDEX($B$135:$CW$186,MATCH(H$205,$A$135:$A$186,0),1):INDEX($B$135:$CW$186,MATCH(H$205,$A$135:$A$186,0),100),$B190:$CW190,"="&amp;"x",$B$133:$CW$133,"="&amp;"Y"),0)</f>
        <v>0</v>
      </c>
      <c r="I225">
        <f ca="1">IFERROR(SUMIFS(INDEX($B$135:$CW$186,MATCH(I$205,$A$135:$A$186,0),1):INDEX($B$135:$CW$186,MATCH(I$205,$A$135:$A$186,0),100),$B190:$CW190,"="&amp;"x",$B$133:$CW$133,"="&amp;"Y"),0)</f>
        <v>0</v>
      </c>
      <c r="J225">
        <f ca="1">IFERROR(SUMIFS(INDEX($B$135:$CW$186,MATCH(J$205,$A$135:$A$186,0),1):INDEX($B$135:$CW$186,MATCH(J$205,$A$135:$A$186,0),100),$B190:$CW190,"="&amp;"x",$B$133:$CW$133,"="&amp;"Y"),0)</f>
        <v>0</v>
      </c>
      <c r="K225">
        <f ca="1">IFERROR(SUMIFS(INDEX($B$135:$CW$186,MATCH(K$205,$A$135:$A$186,0),1):INDEX($B$135:$CW$186,MATCH(K$205,$A$135:$A$186,0),100),$B190:$CW190,"="&amp;"x",$B$133:$CW$133,"="&amp;"Y"),0)</f>
        <v>0</v>
      </c>
      <c r="L225">
        <f ca="1">IFERROR(SUMIFS(INDEX($B$135:$CW$186,MATCH(L$205,$A$135:$A$186,0),1):INDEX($B$135:$CW$186,MATCH(L$205,$A$135:$A$186,0),100),$B190:$CW190,"="&amp;"x",$B$133:$CW$133,"="&amp;"Y"),0)</f>
        <v>0</v>
      </c>
      <c r="M225">
        <f ca="1">IFERROR(SUMIFS(INDEX($B$135:$CW$186,MATCH(M$205,$A$135:$A$186,0),1):INDEX($B$135:$CW$186,MATCH(M$205,$A$135:$A$186,0),100),$B190:$CW190,"="&amp;"x",$B$133:$CW$133,"="&amp;"Y"),0)</f>
        <v>0</v>
      </c>
      <c r="N225">
        <f ca="1">IFERROR(SUMIFS(INDEX($B$135:$CW$186,MATCH(N$205,$A$135:$A$186,0),1):INDEX($B$135:$CW$186,MATCH(N$205,$A$135:$A$186,0),100),$B190:$CW190,"="&amp;"x",$B$133:$CW$133,"="&amp;"Y"),0)</f>
        <v>0</v>
      </c>
      <c r="O225">
        <f ca="1">IFERROR(SUMIFS(INDEX($B$135:$CW$186,MATCH(O$205,$A$135:$A$186,0),1):INDEX($B$135:$CW$186,MATCH(O$205,$A$135:$A$186,0),100),$B190:$CW190,"="&amp;"x",$B$133:$CW$133,"="&amp;"Y"),0)</f>
        <v>0</v>
      </c>
      <c r="P225">
        <f ca="1">IFERROR(SUMIFS(INDEX($B$135:$CW$186,MATCH(P$205,$A$135:$A$186,0),1):INDEX($B$135:$CW$186,MATCH(P$205,$A$135:$A$186,0),100),$B190:$CW190,"="&amp;"x",$B$133:$CW$133,"="&amp;"Y"),0)</f>
        <v>0</v>
      </c>
      <c r="Q225">
        <f ca="1">IFERROR(SUMIFS(INDEX($B$135:$CW$186,MATCH(Q$205,$A$135:$A$186,0),1):INDEX($B$135:$CW$186,MATCH(Q$205,$A$135:$A$186,0),100),$B190:$CW190,"="&amp;"x",$B$133:$CW$133,"="&amp;"Y"),0)</f>
        <v>0</v>
      </c>
      <c r="R225">
        <f ca="1">IFERROR(SUMIFS(INDEX($B$135:$CW$186,MATCH(R$205,$A$135:$A$186,0),1):INDEX($B$135:$CW$186,MATCH(R$205,$A$135:$A$186,0),100),$B190:$CW190,"="&amp;"x",$B$133:$CW$133,"="&amp;"Y"),0)</f>
        <v>0</v>
      </c>
      <c r="S225">
        <f ca="1">IFERROR(SUMIFS(INDEX($B$135:$CW$186,MATCH(S$205,$A$135:$A$186,0),1):INDEX($B$135:$CW$186,MATCH(S$205,$A$135:$A$186,0),100),$B190:$CW190,"="&amp;"x",$B$133:$CW$133,"="&amp;"Y"),0)</f>
        <v>0</v>
      </c>
      <c r="T225">
        <f ca="1">IFERROR(SUMIFS(INDEX($B$135:$CW$186,MATCH(T$205,$A$135:$A$186,0),1):INDEX($B$135:$CW$186,MATCH(T$205,$A$135:$A$186,0),100),$B190:$CW190,"="&amp;"x",$B$133:$CW$133,"="&amp;"Y"),0)</f>
        <v>0</v>
      </c>
      <c r="U225">
        <f ca="1">IFERROR(SUMIFS(INDEX($B$135:$CW$186,MATCH(U$205,$A$135:$A$186,0),1):INDEX($B$135:$CW$186,MATCH(U$205,$A$135:$A$186,0),100),$B190:$CW190,"="&amp;"x",$B$133:$CW$133,"="&amp;"Y"),0)</f>
        <v>0</v>
      </c>
      <c r="V225">
        <f ca="1">IFERROR(SUMIFS(INDEX($B$135:$CW$186,MATCH(V$205,$A$135:$A$186,0),1):INDEX($B$135:$CW$186,MATCH(V$205,$A$135:$A$186,0),100),$B190:$CW190,"="&amp;"x",$B$133:$CW$133,"="&amp;"Y"),0)</f>
        <v>0</v>
      </c>
      <c r="W225">
        <f ca="1">IFERROR(SUMIFS(INDEX($B$135:$CW$186,MATCH(W$205,$A$135:$A$186,0),1):INDEX($B$135:$CW$186,MATCH(W$205,$A$135:$A$186,0),100),$B190:$CW190,"="&amp;"x",$B$133:$CW$133,"="&amp;"Y"),0)</f>
        <v>0</v>
      </c>
      <c r="X225">
        <f ca="1">IFERROR(SUMIFS(INDEX($B$135:$CW$186,MATCH(X$205,$A$135:$A$186,0),1):INDEX($B$135:$CW$186,MATCH(X$205,$A$135:$A$186,0),100),$B190:$CW190,"="&amp;"x",$B$133:$CW$133,"="&amp;"Y"),0)</f>
        <v>0</v>
      </c>
      <c r="Y225">
        <f ca="1">IFERROR(SUMIFS(INDEX($B$135:$CW$186,MATCH(Y$205,$A$135:$A$186,0),1):INDEX($B$135:$CW$186,MATCH(Y$205,$A$135:$A$186,0),100),$B190:$CW190,"="&amp;"x",$B$133:$CW$133,"="&amp;"Y"),0)</f>
        <v>0</v>
      </c>
      <c r="Z225">
        <f ca="1">IFERROR(SUMIFS(INDEX($B$135:$CW$186,MATCH(Z$205,$A$135:$A$186,0),1):INDEX($B$135:$CW$186,MATCH(Z$205,$A$135:$A$186,0),100),$B190:$CW190,"="&amp;"x",$B$133:$CW$133,"="&amp;"Y"),0)</f>
        <v>0</v>
      </c>
      <c r="AA225">
        <f ca="1">IFERROR(SUMIFS(INDEX($B$135:$CW$186,MATCH(AA$205,$A$135:$A$186,0),1):INDEX($B$135:$CW$186,MATCH(AA$205,$A$135:$A$186,0),100),$B190:$CW190,"="&amp;"x",$B$133:$CW$133,"="&amp;"Y"),0)</f>
        <v>0</v>
      </c>
      <c r="AB225">
        <f ca="1">IFERROR(SUMIFS(INDEX($B$135:$CW$186,MATCH(AB$205,$A$135:$A$186,0),1):INDEX($B$135:$CW$186,MATCH(AB$205,$A$135:$A$186,0),100),$B190:$CW190,"="&amp;"x",$B$133:$CW$133,"="&amp;"Y"),0)</f>
        <v>0</v>
      </c>
      <c r="AC225">
        <f ca="1">IFERROR(SUMIFS(INDEX($B$135:$CW$186,MATCH(AC$205,$A$135:$A$186,0),1):INDEX($B$135:$CW$186,MATCH(AC$205,$A$135:$A$186,0),100),$B190:$CW190,"="&amp;"x",$B$133:$CW$133,"="&amp;"Y"),0)</f>
        <v>0</v>
      </c>
      <c r="AD225">
        <f ca="1">IFERROR(SUMIFS(INDEX($B$135:$CW$186,MATCH(AD$205,$A$135:$A$186,0),1):INDEX($B$135:$CW$186,MATCH(AD$205,$A$135:$A$186,0),100),$B190:$CW190,"="&amp;"x",$B$133:$CW$133,"="&amp;"Y"),0)</f>
        <v>0</v>
      </c>
      <c r="AE225">
        <f ca="1">IFERROR(SUMIFS(INDEX($B$135:$CW$186,MATCH(AE$205,$A$135:$A$186,0),1):INDEX($B$135:$CW$186,MATCH(AE$205,$A$135:$A$186,0),100),$B190:$CW190,"="&amp;"x",$B$133:$CW$133,"="&amp;"Y"),0)</f>
        <v>0</v>
      </c>
      <c r="AF225">
        <f ca="1">IFERROR(SUMIFS(INDEX($B$135:$CW$186,MATCH(AF$205,$A$135:$A$186,0),1):INDEX($B$135:$CW$186,MATCH(AF$205,$A$135:$A$186,0),100),$B190:$CW190,"="&amp;"x",$B$133:$CW$133,"="&amp;"Y"),0)</f>
        <v>0</v>
      </c>
      <c r="AG225">
        <f ca="1">IFERROR(SUMIFS(INDEX($B$135:$CW$186,MATCH(AG$205,$A$135:$A$186,0),1):INDEX($B$135:$CW$186,MATCH(AG$205,$A$135:$A$186,0),100),$B190:$CW190,"="&amp;"x",$B$133:$CW$133,"="&amp;"Y"),0)</f>
        <v>0</v>
      </c>
      <c r="AH225">
        <f ca="1">IFERROR(SUMIFS(INDEX($B$135:$CW$186,MATCH(AH$205,$A$135:$A$186,0),1):INDEX($B$135:$CW$186,MATCH(AH$205,$A$135:$A$186,0),100),$B190:$CW190,"="&amp;"x",$B$133:$CW$133,"="&amp;"Y"),0)</f>
        <v>0</v>
      </c>
      <c r="AI225">
        <f ca="1">IFERROR(SUMIFS(INDEX($B$135:$CW$186,MATCH(AI$205,$A$135:$A$186,0),1):INDEX($B$135:$CW$186,MATCH(AI$205,$A$135:$A$186,0),100),$B190:$CW190,"="&amp;"x",$B$133:$CW$133,"="&amp;"Y"),0)</f>
        <v>0</v>
      </c>
      <c r="AJ225">
        <f ca="1">IFERROR(SUMIFS(INDEX($B$135:$CW$186,MATCH(AJ$205,$A$135:$A$186,0),1):INDEX($B$135:$CW$186,MATCH(AJ$205,$A$135:$A$186,0),100),$B190:$CW190,"="&amp;"x",$B$133:$CW$133,"="&amp;"Y"),0)</f>
        <v>0</v>
      </c>
      <c r="AK225">
        <f ca="1">IFERROR(SUMIFS(INDEX($B$135:$CW$186,MATCH(AK$205,$A$135:$A$186,0),1):INDEX($B$135:$CW$186,MATCH(AK$205,$A$135:$A$186,0),100),$B190:$CW190,"="&amp;"x",$B$133:$CW$133,"="&amp;"Y"),0)</f>
        <v>0</v>
      </c>
      <c r="AL225">
        <f ca="1">IFERROR(SUMIFS(INDEX($B$135:$CW$186,MATCH(AL$205,$A$135:$A$186,0),1):INDEX($B$135:$CW$186,MATCH(AL$205,$A$135:$A$186,0),100),$B190:$CW190,"="&amp;"x",$B$133:$CW$133,"="&amp;"Y"),0)</f>
        <v>0</v>
      </c>
      <c r="AM225">
        <f ca="1">IFERROR(SUMIFS(INDEX($B$135:$CW$186,MATCH(AM$205,$A$135:$A$186,0),1):INDEX($B$135:$CW$186,MATCH(AM$205,$A$135:$A$186,0),100),$B190:$CW190,"="&amp;"x",$B$133:$CW$133,"="&amp;"Y"),0)</f>
        <v>0</v>
      </c>
      <c r="AN225">
        <f ca="1">IFERROR(SUMIFS(INDEX($B$135:$CW$186,MATCH(AN$205,$A$135:$A$186,0),1):INDEX($B$135:$CW$186,MATCH(AN$205,$A$135:$A$186,0),100),$B190:$CW190,"="&amp;"x",$B$133:$CW$133,"="&amp;"Y"),0)</f>
        <v>0</v>
      </c>
      <c r="AO225">
        <f ca="1">IFERROR(SUMIFS(INDEX($B$135:$CW$186,MATCH(AO$205,$A$135:$A$186,0),1):INDEX($B$135:$CW$186,MATCH(AO$205,$A$135:$A$186,0),100),$B190:$CW190,"="&amp;"x",$B$133:$CW$133,"="&amp;"Y"),0)</f>
        <v>0</v>
      </c>
      <c r="AP225">
        <f ca="1">IFERROR(SUMIFS(INDEX($B$135:$CW$186,MATCH(AP$205,$A$135:$A$186,0),1):INDEX($B$135:$CW$186,MATCH(AP$205,$A$135:$A$186,0),100),$B190:$CW190,"="&amp;"x",$B$133:$CW$133,"="&amp;"Y"),0)</f>
        <v>0</v>
      </c>
      <c r="AQ225">
        <f ca="1">IFERROR(SUMIFS(INDEX($B$135:$CW$186,MATCH(AQ$205,$A$135:$A$186,0),1):INDEX($B$135:$CW$186,MATCH(AQ$205,$A$135:$A$186,0),100),$B190:$CW190,"="&amp;"x",$B$133:$CW$133,"="&amp;"Y"),0)</f>
        <v>0</v>
      </c>
      <c r="AR225">
        <f ca="1">IFERROR(SUMIFS(INDEX($B$135:$CW$186,MATCH(AR$205,$A$135:$A$186,0),1):INDEX($B$135:$CW$186,MATCH(AR$205,$A$135:$A$186,0),100),$B190:$CW190,"="&amp;"x",$B$133:$CW$133,"="&amp;"Y"),0)</f>
        <v>0</v>
      </c>
      <c r="AS225">
        <f ca="1">IFERROR(SUMIFS(INDEX($B$135:$CW$186,MATCH(AS$205,$A$135:$A$186,0),1):INDEX($B$135:$CW$186,MATCH(AS$205,$A$135:$A$186,0),100),$B190:$CW190,"="&amp;"x",$B$133:$CW$133,"="&amp;"Y"),0)</f>
        <v>0</v>
      </c>
      <c r="AT225">
        <f ca="1">IFERROR(SUMIFS(INDEX($B$135:$CW$186,MATCH(AT$205,$A$135:$A$186,0),1):INDEX($B$135:$CW$186,MATCH(AT$205,$A$135:$A$186,0),100),$B190:$CW190,"="&amp;"x",$B$133:$CW$133,"="&amp;"Y"),0)</f>
        <v>0</v>
      </c>
      <c r="AU225">
        <f ca="1">IFERROR(SUMIFS(INDEX($B$135:$CW$186,MATCH(AU$205,$A$135:$A$186,0),1):INDEX($B$135:$CW$186,MATCH(AU$205,$A$135:$A$186,0),100),$B190:$CW190,"="&amp;"x",$B$133:$CW$133,"="&amp;"Y"),0)</f>
        <v>0</v>
      </c>
      <c r="AV225">
        <f ca="1">IFERROR(SUMIFS(INDEX($B$135:$CW$186,MATCH(AV$205,$A$135:$A$186,0),1):INDEX($B$135:$CW$186,MATCH(AV$205,$A$135:$A$186,0),100),$B190:$CW190,"="&amp;"x",$B$133:$CW$133,"="&amp;"Y"),0)</f>
        <v>0</v>
      </c>
      <c r="AW225">
        <f ca="1">IFERROR(SUMIFS(INDEX($B$135:$CW$186,MATCH(AW$205,$A$135:$A$186,0),1):INDEX($B$135:$CW$186,MATCH(AW$205,$A$135:$A$186,0),100),$B190:$CW190,"="&amp;"x",$B$133:$CW$133,"="&amp;"Y"),0)</f>
        <v>0</v>
      </c>
      <c r="AX225">
        <f ca="1">IFERROR(SUMIFS(INDEX($B$135:$CW$186,MATCH(AX$205,$A$135:$A$186,0),1):INDEX($B$135:$CW$186,MATCH(AX$205,$A$135:$A$186,0),100),$B190:$CW190,"="&amp;"x",$B$133:$CW$133,"="&amp;"Y"),0)</f>
        <v>0</v>
      </c>
      <c r="AY225">
        <f ca="1">IFERROR(SUMIFS(INDEX($B$135:$CW$186,MATCH(AY$205,$A$135:$A$186,0),1):INDEX($B$135:$CW$186,MATCH(AY$205,$A$135:$A$186,0),100),$B190:$CW190,"="&amp;"x",$B$133:$CW$133,"="&amp;"Y"),0)</f>
        <v>0</v>
      </c>
      <c r="AZ225">
        <f ca="1">IFERROR(SUMIFS(INDEX($B$135:$CW$186,MATCH(AZ$205,$A$135:$A$186,0),1):INDEX($B$135:$CW$186,MATCH(AZ$205,$A$135:$A$186,0),100),$B190:$CW190,"="&amp;"x",$B$133:$CW$133,"="&amp;"Y"),0)</f>
        <v>0</v>
      </c>
      <c r="BA225">
        <f ca="1">IFERROR(SUMIFS(INDEX($B$135:$CW$186,MATCH(BA$205,$A$135:$A$186,0),1):INDEX($B$135:$CW$186,MATCH(BA$205,$A$135:$A$186,0),100),$B190:$CW190,"="&amp;"x",$B$133:$CW$133,"="&amp;"Y"),0)</f>
        <v>0</v>
      </c>
      <c r="BC225">
        <f t="shared" ref="BC225:BC238" ca="1" si="38">AVERAGE(B225:BA225)</f>
        <v>0</v>
      </c>
    </row>
    <row r="226" spans="1:55" x14ac:dyDescent="0.35">
      <c r="A226" s="2" t="str" cm="1">
        <f t="array" ref="A226">INDEX('Data Validation (Hide)'!$B$2:$B$16,ROW(A3),1)</f>
        <v>Caseload 3</v>
      </c>
      <c r="B226">
        <f ca="1">IFERROR(SUMIFS(INDEX($B$135:$CW$186,MATCH(B$205,$A$135:$A$186,0),1):INDEX($B$135:$CW$186,MATCH(B$205,$A$135:$A$186,0),100),$B191:$CW191,"="&amp;"x",$B$133:$CW$133,"="&amp;"Y"),0)</f>
        <v>0</v>
      </c>
      <c r="C226">
        <f ca="1">IFERROR(SUMIFS(INDEX($B$135:$CW$186,MATCH(C$205,$A$135:$A$186,0),1):INDEX($B$135:$CW$186,MATCH(C$205,$A$135:$A$186,0),100),$B191:$CW191,"="&amp;"x",$B$133:$CW$133,"="&amp;"Y"),0)</f>
        <v>0</v>
      </c>
      <c r="D226">
        <f ca="1">IFERROR(SUMIFS(INDEX($B$135:$CW$186,MATCH(D$205,$A$135:$A$186,0),1):INDEX($B$135:$CW$186,MATCH(D$205,$A$135:$A$186,0),100),$B191:$CW191,"="&amp;"x",$B$133:$CW$133,"="&amp;"Y"),0)</f>
        <v>0</v>
      </c>
      <c r="E226">
        <f ca="1">IFERROR(SUMIFS(INDEX($B$135:$CW$186,MATCH(E$205,$A$135:$A$186,0),1):INDEX($B$135:$CW$186,MATCH(E$205,$A$135:$A$186,0),100),$B191:$CW191,"="&amp;"x",$B$133:$CW$133,"="&amp;"Y"),0)</f>
        <v>0</v>
      </c>
      <c r="F226">
        <f ca="1">IFERROR(SUMIFS(INDEX($B$135:$CW$186,MATCH(F$205,$A$135:$A$186,0),1):INDEX($B$135:$CW$186,MATCH(F$205,$A$135:$A$186,0),100),$B191:$CW191,"="&amp;"x",$B$133:$CW$133,"="&amp;"Y"),0)</f>
        <v>0</v>
      </c>
      <c r="G226">
        <f ca="1">IFERROR(SUMIFS(INDEX($B$135:$CW$186,MATCH(G$205,$A$135:$A$186,0),1):INDEX($B$135:$CW$186,MATCH(G$205,$A$135:$A$186,0),100),$B191:$CW191,"="&amp;"x",$B$133:$CW$133,"="&amp;"Y"),0)</f>
        <v>0</v>
      </c>
      <c r="H226">
        <f ca="1">IFERROR(SUMIFS(INDEX($B$135:$CW$186,MATCH(H$205,$A$135:$A$186,0),1):INDEX($B$135:$CW$186,MATCH(H$205,$A$135:$A$186,0),100),$B191:$CW191,"="&amp;"x",$B$133:$CW$133,"="&amp;"Y"),0)</f>
        <v>0</v>
      </c>
      <c r="I226">
        <f ca="1">IFERROR(SUMIFS(INDEX($B$135:$CW$186,MATCH(I$205,$A$135:$A$186,0),1):INDEX($B$135:$CW$186,MATCH(I$205,$A$135:$A$186,0),100),$B191:$CW191,"="&amp;"x",$B$133:$CW$133,"="&amp;"Y"),0)</f>
        <v>0</v>
      </c>
      <c r="J226">
        <f ca="1">IFERROR(SUMIFS(INDEX($B$135:$CW$186,MATCH(J$205,$A$135:$A$186,0),1):INDEX($B$135:$CW$186,MATCH(J$205,$A$135:$A$186,0),100),$B191:$CW191,"="&amp;"x",$B$133:$CW$133,"="&amp;"Y"),0)</f>
        <v>0</v>
      </c>
      <c r="K226">
        <f ca="1">IFERROR(SUMIFS(INDEX($B$135:$CW$186,MATCH(K$205,$A$135:$A$186,0),1):INDEX($B$135:$CW$186,MATCH(K$205,$A$135:$A$186,0),100),$B191:$CW191,"="&amp;"x",$B$133:$CW$133,"="&amp;"Y"),0)</f>
        <v>0</v>
      </c>
      <c r="L226">
        <f ca="1">IFERROR(SUMIFS(INDEX($B$135:$CW$186,MATCH(L$205,$A$135:$A$186,0),1):INDEX($B$135:$CW$186,MATCH(L$205,$A$135:$A$186,0),100),$B191:$CW191,"="&amp;"x",$B$133:$CW$133,"="&amp;"Y"),0)</f>
        <v>0</v>
      </c>
      <c r="M226">
        <f ca="1">IFERROR(SUMIFS(INDEX($B$135:$CW$186,MATCH(M$205,$A$135:$A$186,0),1):INDEX($B$135:$CW$186,MATCH(M$205,$A$135:$A$186,0),100),$B191:$CW191,"="&amp;"x",$B$133:$CW$133,"="&amp;"Y"),0)</f>
        <v>0</v>
      </c>
      <c r="N226">
        <f ca="1">IFERROR(SUMIFS(INDEX($B$135:$CW$186,MATCH(N$205,$A$135:$A$186,0),1):INDEX($B$135:$CW$186,MATCH(N$205,$A$135:$A$186,0),100),$B191:$CW191,"="&amp;"x",$B$133:$CW$133,"="&amp;"Y"),0)</f>
        <v>0</v>
      </c>
      <c r="O226">
        <f ca="1">IFERROR(SUMIFS(INDEX($B$135:$CW$186,MATCH(O$205,$A$135:$A$186,0),1):INDEX($B$135:$CW$186,MATCH(O$205,$A$135:$A$186,0),100),$B191:$CW191,"="&amp;"x",$B$133:$CW$133,"="&amp;"Y"),0)</f>
        <v>0</v>
      </c>
      <c r="P226">
        <f ca="1">IFERROR(SUMIFS(INDEX($B$135:$CW$186,MATCH(P$205,$A$135:$A$186,0),1):INDEX($B$135:$CW$186,MATCH(P$205,$A$135:$A$186,0),100),$B191:$CW191,"="&amp;"x",$B$133:$CW$133,"="&amp;"Y"),0)</f>
        <v>0</v>
      </c>
      <c r="Q226">
        <f ca="1">IFERROR(SUMIFS(INDEX($B$135:$CW$186,MATCH(Q$205,$A$135:$A$186,0),1):INDEX($B$135:$CW$186,MATCH(Q$205,$A$135:$A$186,0),100),$B191:$CW191,"="&amp;"x",$B$133:$CW$133,"="&amp;"Y"),0)</f>
        <v>0</v>
      </c>
      <c r="R226">
        <f ca="1">IFERROR(SUMIFS(INDEX($B$135:$CW$186,MATCH(R$205,$A$135:$A$186,0),1):INDEX($B$135:$CW$186,MATCH(R$205,$A$135:$A$186,0),100),$B191:$CW191,"="&amp;"x",$B$133:$CW$133,"="&amp;"Y"),0)</f>
        <v>0</v>
      </c>
      <c r="S226">
        <f ca="1">IFERROR(SUMIFS(INDEX($B$135:$CW$186,MATCH(S$205,$A$135:$A$186,0),1):INDEX($B$135:$CW$186,MATCH(S$205,$A$135:$A$186,0),100),$B191:$CW191,"="&amp;"x",$B$133:$CW$133,"="&amp;"Y"),0)</f>
        <v>0</v>
      </c>
      <c r="T226">
        <f ca="1">IFERROR(SUMIFS(INDEX($B$135:$CW$186,MATCH(T$205,$A$135:$A$186,0),1):INDEX($B$135:$CW$186,MATCH(T$205,$A$135:$A$186,0),100),$B191:$CW191,"="&amp;"x",$B$133:$CW$133,"="&amp;"Y"),0)</f>
        <v>0</v>
      </c>
      <c r="U226">
        <f ca="1">IFERROR(SUMIFS(INDEX($B$135:$CW$186,MATCH(U$205,$A$135:$A$186,0),1):INDEX($B$135:$CW$186,MATCH(U$205,$A$135:$A$186,0),100),$B191:$CW191,"="&amp;"x",$B$133:$CW$133,"="&amp;"Y"),0)</f>
        <v>0</v>
      </c>
      <c r="V226">
        <f ca="1">IFERROR(SUMIFS(INDEX($B$135:$CW$186,MATCH(V$205,$A$135:$A$186,0),1):INDEX($B$135:$CW$186,MATCH(V$205,$A$135:$A$186,0),100),$B191:$CW191,"="&amp;"x",$B$133:$CW$133,"="&amp;"Y"),0)</f>
        <v>0</v>
      </c>
      <c r="W226">
        <f ca="1">IFERROR(SUMIFS(INDEX($B$135:$CW$186,MATCH(W$205,$A$135:$A$186,0),1):INDEX($B$135:$CW$186,MATCH(W$205,$A$135:$A$186,0),100),$B191:$CW191,"="&amp;"x",$B$133:$CW$133,"="&amp;"Y"),0)</f>
        <v>0</v>
      </c>
      <c r="X226">
        <f ca="1">IFERROR(SUMIFS(INDEX($B$135:$CW$186,MATCH(X$205,$A$135:$A$186,0),1):INDEX($B$135:$CW$186,MATCH(X$205,$A$135:$A$186,0),100),$B191:$CW191,"="&amp;"x",$B$133:$CW$133,"="&amp;"Y"),0)</f>
        <v>0</v>
      </c>
      <c r="Y226">
        <f ca="1">IFERROR(SUMIFS(INDEX($B$135:$CW$186,MATCH(Y$205,$A$135:$A$186,0),1):INDEX($B$135:$CW$186,MATCH(Y$205,$A$135:$A$186,0),100),$B191:$CW191,"="&amp;"x",$B$133:$CW$133,"="&amp;"Y"),0)</f>
        <v>0</v>
      </c>
      <c r="Z226">
        <f ca="1">IFERROR(SUMIFS(INDEX($B$135:$CW$186,MATCH(Z$205,$A$135:$A$186,0),1):INDEX($B$135:$CW$186,MATCH(Z$205,$A$135:$A$186,0),100),$B191:$CW191,"="&amp;"x",$B$133:$CW$133,"="&amp;"Y"),0)</f>
        <v>0</v>
      </c>
      <c r="AA226">
        <f ca="1">IFERROR(SUMIFS(INDEX($B$135:$CW$186,MATCH(AA$205,$A$135:$A$186,0),1):INDEX($B$135:$CW$186,MATCH(AA$205,$A$135:$A$186,0),100),$B191:$CW191,"="&amp;"x",$B$133:$CW$133,"="&amp;"Y"),0)</f>
        <v>0</v>
      </c>
      <c r="AB226">
        <f ca="1">IFERROR(SUMIFS(INDEX($B$135:$CW$186,MATCH(AB$205,$A$135:$A$186,0),1):INDEX($B$135:$CW$186,MATCH(AB$205,$A$135:$A$186,0),100),$B191:$CW191,"="&amp;"x",$B$133:$CW$133,"="&amp;"Y"),0)</f>
        <v>0</v>
      </c>
      <c r="AC226">
        <f ca="1">IFERROR(SUMIFS(INDEX($B$135:$CW$186,MATCH(AC$205,$A$135:$A$186,0),1):INDEX($B$135:$CW$186,MATCH(AC$205,$A$135:$A$186,0),100),$B191:$CW191,"="&amp;"x",$B$133:$CW$133,"="&amp;"Y"),0)</f>
        <v>0</v>
      </c>
      <c r="AD226">
        <f ca="1">IFERROR(SUMIFS(INDEX($B$135:$CW$186,MATCH(AD$205,$A$135:$A$186,0),1):INDEX($B$135:$CW$186,MATCH(AD$205,$A$135:$A$186,0),100),$B191:$CW191,"="&amp;"x",$B$133:$CW$133,"="&amp;"Y"),0)</f>
        <v>0</v>
      </c>
      <c r="AE226">
        <f ca="1">IFERROR(SUMIFS(INDEX($B$135:$CW$186,MATCH(AE$205,$A$135:$A$186,0),1):INDEX($B$135:$CW$186,MATCH(AE$205,$A$135:$A$186,0),100),$B191:$CW191,"="&amp;"x",$B$133:$CW$133,"="&amp;"Y"),0)</f>
        <v>0</v>
      </c>
      <c r="AF226">
        <f ca="1">IFERROR(SUMIFS(INDEX($B$135:$CW$186,MATCH(AF$205,$A$135:$A$186,0),1):INDEX($B$135:$CW$186,MATCH(AF$205,$A$135:$A$186,0),100),$B191:$CW191,"="&amp;"x",$B$133:$CW$133,"="&amp;"Y"),0)</f>
        <v>0</v>
      </c>
      <c r="AG226">
        <f ca="1">IFERROR(SUMIFS(INDEX($B$135:$CW$186,MATCH(AG$205,$A$135:$A$186,0),1):INDEX($B$135:$CW$186,MATCH(AG$205,$A$135:$A$186,0),100),$B191:$CW191,"="&amp;"x",$B$133:$CW$133,"="&amp;"Y"),0)</f>
        <v>0</v>
      </c>
      <c r="AH226">
        <f ca="1">IFERROR(SUMIFS(INDEX($B$135:$CW$186,MATCH(AH$205,$A$135:$A$186,0),1):INDEX($B$135:$CW$186,MATCH(AH$205,$A$135:$A$186,0),100),$B191:$CW191,"="&amp;"x",$B$133:$CW$133,"="&amp;"Y"),0)</f>
        <v>0</v>
      </c>
      <c r="AI226">
        <f ca="1">IFERROR(SUMIFS(INDEX($B$135:$CW$186,MATCH(AI$205,$A$135:$A$186,0),1):INDEX($B$135:$CW$186,MATCH(AI$205,$A$135:$A$186,0),100),$B191:$CW191,"="&amp;"x",$B$133:$CW$133,"="&amp;"Y"),0)</f>
        <v>0</v>
      </c>
      <c r="AJ226">
        <f ca="1">IFERROR(SUMIFS(INDEX($B$135:$CW$186,MATCH(AJ$205,$A$135:$A$186,0),1):INDEX($B$135:$CW$186,MATCH(AJ$205,$A$135:$A$186,0),100),$B191:$CW191,"="&amp;"x",$B$133:$CW$133,"="&amp;"Y"),0)</f>
        <v>0</v>
      </c>
      <c r="AK226">
        <f ca="1">IFERROR(SUMIFS(INDEX($B$135:$CW$186,MATCH(AK$205,$A$135:$A$186,0),1):INDEX($B$135:$CW$186,MATCH(AK$205,$A$135:$A$186,0),100),$B191:$CW191,"="&amp;"x",$B$133:$CW$133,"="&amp;"Y"),0)</f>
        <v>0</v>
      </c>
      <c r="AL226">
        <f ca="1">IFERROR(SUMIFS(INDEX($B$135:$CW$186,MATCH(AL$205,$A$135:$A$186,0),1):INDEX($B$135:$CW$186,MATCH(AL$205,$A$135:$A$186,0),100),$B191:$CW191,"="&amp;"x",$B$133:$CW$133,"="&amp;"Y"),0)</f>
        <v>0</v>
      </c>
      <c r="AM226">
        <f ca="1">IFERROR(SUMIFS(INDEX($B$135:$CW$186,MATCH(AM$205,$A$135:$A$186,0),1):INDEX($B$135:$CW$186,MATCH(AM$205,$A$135:$A$186,0),100),$B191:$CW191,"="&amp;"x",$B$133:$CW$133,"="&amp;"Y"),0)</f>
        <v>0</v>
      </c>
      <c r="AN226">
        <f ca="1">IFERROR(SUMIFS(INDEX($B$135:$CW$186,MATCH(AN$205,$A$135:$A$186,0),1):INDEX($B$135:$CW$186,MATCH(AN$205,$A$135:$A$186,0),100),$B191:$CW191,"="&amp;"x",$B$133:$CW$133,"="&amp;"Y"),0)</f>
        <v>0</v>
      </c>
      <c r="AO226">
        <f ca="1">IFERROR(SUMIFS(INDEX($B$135:$CW$186,MATCH(AO$205,$A$135:$A$186,0),1):INDEX($B$135:$CW$186,MATCH(AO$205,$A$135:$A$186,0),100),$B191:$CW191,"="&amp;"x",$B$133:$CW$133,"="&amp;"Y"),0)</f>
        <v>0</v>
      </c>
      <c r="AP226">
        <f ca="1">IFERROR(SUMIFS(INDEX($B$135:$CW$186,MATCH(AP$205,$A$135:$A$186,0),1):INDEX($B$135:$CW$186,MATCH(AP$205,$A$135:$A$186,0),100),$B191:$CW191,"="&amp;"x",$B$133:$CW$133,"="&amp;"Y"),0)</f>
        <v>0</v>
      </c>
      <c r="AQ226">
        <f ca="1">IFERROR(SUMIFS(INDEX($B$135:$CW$186,MATCH(AQ$205,$A$135:$A$186,0),1):INDEX($B$135:$CW$186,MATCH(AQ$205,$A$135:$A$186,0),100),$B191:$CW191,"="&amp;"x",$B$133:$CW$133,"="&amp;"Y"),0)</f>
        <v>0</v>
      </c>
      <c r="AR226">
        <f ca="1">IFERROR(SUMIFS(INDEX($B$135:$CW$186,MATCH(AR$205,$A$135:$A$186,0),1):INDEX($B$135:$CW$186,MATCH(AR$205,$A$135:$A$186,0),100),$B191:$CW191,"="&amp;"x",$B$133:$CW$133,"="&amp;"Y"),0)</f>
        <v>0</v>
      </c>
      <c r="AS226">
        <f ca="1">IFERROR(SUMIFS(INDEX($B$135:$CW$186,MATCH(AS$205,$A$135:$A$186,0),1):INDEX($B$135:$CW$186,MATCH(AS$205,$A$135:$A$186,0),100),$B191:$CW191,"="&amp;"x",$B$133:$CW$133,"="&amp;"Y"),0)</f>
        <v>0</v>
      </c>
      <c r="AT226">
        <f ca="1">IFERROR(SUMIFS(INDEX($B$135:$CW$186,MATCH(AT$205,$A$135:$A$186,0),1):INDEX($B$135:$CW$186,MATCH(AT$205,$A$135:$A$186,0),100),$B191:$CW191,"="&amp;"x",$B$133:$CW$133,"="&amp;"Y"),0)</f>
        <v>0</v>
      </c>
      <c r="AU226">
        <f ca="1">IFERROR(SUMIFS(INDEX($B$135:$CW$186,MATCH(AU$205,$A$135:$A$186,0),1):INDEX($B$135:$CW$186,MATCH(AU$205,$A$135:$A$186,0),100),$B191:$CW191,"="&amp;"x",$B$133:$CW$133,"="&amp;"Y"),0)</f>
        <v>0</v>
      </c>
      <c r="AV226">
        <f ca="1">IFERROR(SUMIFS(INDEX($B$135:$CW$186,MATCH(AV$205,$A$135:$A$186,0),1):INDEX($B$135:$CW$186,MATCH(AV$205,$A$135:$A$186,0),100),$B191:$CW191,"="&amp;"x",$B$133:$CW$133,"="&amp;"Y"),0)</f>
        <v>0</v>
      </c>
      <c r="AW226">
        <f ca="1">IFERROR(SUMIFS(INDEX($B$135:$CW$186,MATCH(AW$205,$A$135:$A$186,0),1):INDEX($B$135:$CW$186,MATCH(AW$205,$A$135:$A$186,0),100),$B191:$CW191,"="&amp;"x",$B$133:$CW$133,"="&amp;"Y"),0)</f>
        <v>0</v>
      </c>
      <c r="AX226">
        <f ca="1">IFERROR(SUMIFS(INDEX($B$135:$CW$186,MATCH(AX$205,$A$135:$A$186,0),1):INDEX($B$135:$CW$186,MATCH(AX$205,$A$135:$A$186,0),100),$B191:$CW191,"="&amp;"x",$B$133:$CW$133,"="&amp;"Y"),0)</f>
        <v>0</v>
      </c>
      <c r="AY226">
        <f ca="1">IFERROR(SUMIFS(INDEX($B$135:$CW$186,MATCH(AY$205,$A$135:$A$186,0),1):INDEX($B$135:$CW$186,MATCH(AY$205,$A$135:$A$186,0),100),$B191:$CW191,"="&amp;"x",$B$133:$CW$133,"="&amp;"Y"),0)</f>
        <v>0</v>
      </c>
      <c r="AZ226">
        <f ca="1">IFERROR(SUMIFS(INDEX($B$135:$CW$186,MATCH(AZ$205,$A$135:$A$186,0),1):INDEX($B$135:$CW$186,MATCH(AZ$205,$A$135:$A$186,0),100),$B191:$CW191,"="&amp;"x",$B$133:$CW$133,"="&amp;"Y"),0)</f>
        <v>0</v>
      </c>
      <c r="BA226">
        <f ca="1">IFERROR(SUMIFS(INDEX($B$135:$CW$186,MATCH(BA$205,$A$135:$A$186,0),1):INDEX($B$135:$CW$186,MATCH(BA$205,$A$135:$A$186,0),100),$B191:$CW191,"="&amp;"x",$B$133:$CW$133,"="&amp;"Y"),0)</f>
        <v>0</v>
      </c>
      <c r="BC226">
        <f t="shared" ca="1" si="38"/>
        <v>0</v>
      </c>
    </row>
    <row r="227" spans="1:55" x14ac:dyDescent="0.35">
      <c r="A227" s="2" t="str" cm="1">
        <f t="array" ref="A227">INDEX('Data Validation (Hide)'!$B$2:$B$16,ROW(A4),1)</f>
        <v>Caseload 4</v>
      </c>
      <c r="B227">
        <f ca="1">IFERROR(SUMIFS(INDEX($B$135:$CW$186,MATCH(B$205,$A$135:$A$186,0),1):INDEX($B$135:$CW$186,MATCH(B$205,$A$135:$A$186,0),100),$B192:$CW192,"="&amp;"x",$B$133:$CW$133,"="&amp;"Y"),0)</f>
        <v>0</v>
      </c>
      <c r="C227">
        <f ca="1">IFERROR(SUMIFS(INDEX($B$135:$CW$186,MATCH(C$205,$A$135:$A$186,0),1):INDEX($B$135:$CW$186,MATCH(C$205,$A$135:$A$186,0),100),$B192:$CW192,"="&amp;"x",$B$133:$CW$133,"="&amp;"Y"),0)</f>
        <v>0</v>
      </c>
      <c r="D227">
        <f ca="1">IFERROR(SUMIFS(INDEX($B$135:$CW$186,MATCH(D$205,$A$135:$A$186,0),1):INDEX($B$135:$CW$186,MATCH(D$205,$A$135:$A$186,0),100),$B192:$CW192,"="&amp;"x",$B$133:$CW$133,"="&amp;"Y"),0)</f>
        <v>0</v>
      </c>
      <c r="E227">
        <f ca="1">IFERROR(SUMIFS(INDEX($B$135:$CW$186,MATCH(E$205,$A$135:$A$186,0),1):INDEX($B$135:$CW$186,MATCH(E$205,$A$135:$A$186,0),100),$B192:$CW192,"="&amp;"x",$B$133:$CW$133,"="&amp;"Y"),0)</f>
        <v>0</v>
      </c>
      <c r="F227">
        <f ca="1">IFERROR(SUMIFS(INDEX($B$135:$CW$186,MATCH(F$205,$A$135:$A$186,0),1):INDEX($B$135:$CW$186,MATCH(F$205,$A$135:$A$186,0),100),$B192:$CW192,"="&amp;"x",$B$133:$CW$133,"="&amp;"Y"),0)</f>
        <v>0</v>
      </c>
      <c r="G227">
        <f ca="1">IFERROR(SUMIFS(INDEX($B$135:$CW$186,MATCH(G$205,$A$135:$A$186,0),1):INDEX($B$135:$CW$186,MATCH(G$205,$A$135:$A$186,0),100),$B192:$CW192,"="&amp;"x",$B$133:$CW$133,"="&amp;"Y"),0)</f>
        <v>0</v>
      </c>
      <c r="H227">
        <f ca="1">IFERROR(SUMIFS(INDEX($B$135:$CW$186,MATCH(H$205,$A$135:$A$186,0),1):INDEX($B$135:$CW$186,MATCH(H$205,$A$135:$A$186,0),100),$B192:$CW192,"="&amp;"x",$B$133:$CW$133,"="&amp;"Y"),0)</f>
        <v>0</v>
      </c>
      <c r="I227">
        <f ca="1">IFERROR(SUMIFS(INDEX($B$135:$CW$186,MATCH(I$205,$A$135:$A$186,0),1):INDEX($B$135:$CW$186,MATCH(I$205,$A$135:$A$186,0),100),$B192:$CW192,"="&amp;"x",$B$133:$CW$133,"="&amp;"Y"),0)</f>
        <v>0</v>
      </c>
      <c r="J227">
        <f ca="1">IFERROR(SUMIFS(INDEX($B$135:$CW$186,MATCH(J$205,$A$135:$A$186,0),1):INDEX($B$135:$CW$186,MATCH(J$205,$A$135:$A$186,0),100),$B192:$CW192,"="&amp;"x",$B$133:$CW$133,"="&amp;"Y"),0)</f>
        <v>0</v>
      </c>
      <c r="K227">
        <f ca="1">IFERROR(SUMIFS(INDEX($B$135:$CW$186,MATCH(K$205,$A$135:$A$186,0),1):INDEX($B$135:$CW$186,MATCH(K$205,$A$135:$A$186,0),100),$B192:$CW192,"="&amp;"x",$B$133:$CW$133,"="&amp;"Y"),0)</f>
        <v>0</v>
      </c>
      <c r="L227">
        <f ca="1">IFERROR(SUMIFS(INDEX($B$135:$CW$186,MATCH(L$205,$A$135:$A$186,0),1):INDEX($B$135:$CW$186,MATCH(L$205,$A$135:$A$186,0),100),$B192:$CW192,"="&amp;"x",$B$133:$CW$133,"="&amp;"Y"),0)</f>
        <v>0</v>
      </c>
      <c r="M227">
        <f ca="1">IFERROR(SUMIFS(INDEX($B$135:$CW$186,MATCH(M$205,$A$135:$A$186,0),1):INDEX($B$135:$CW$186,MATCH(M$205,$A$135:$A$186,0),100),$B192:$CW192,"="&amp;"x",$B$133:$CW$133,"="&amp;"Y"),0)</f>
        <v>0</v>
      </c>
      <c r="N227">
        <f ca="1">IFERROR(SUMIFS(INDEX($B$135:$CW$186,MATCH(N$205,$A$135:$A$186,0),1):INDEX($B$135:$CW$186,MATCH(N$205,$A$135:$A$186,0),100),$B192:$CW192,"="&amp;"x",$B$133:$CW$133,"="&amp;"Y"),0)</f>
        <v>0</v>
      </c>
      <c r="O227">
        <f ca="1">IFERROR(SUMIFS(INDEX($B$135:$CW$186,MATCH(O$205,$A$135:$A$186,0),1):INDEX($B$135:$CW$186,MATCH(O$205,$A$135:$A$186,0),100),$B192:$CW192,"="&amp;"x",$B$133:$CW$133,"="&amp;"Y"),0)</f>
        <v>0</v>
      </c>
      <c r="P227">
        <f ca="1">IFERROR(SUMIFS(INDEX($B$135:$CW$186,MATCH(P$205,$A$135:$A$186,0),1):INDEX($B$135:$CW$186,MATCH(P$205,$A$135:$A$186,0),100),$B192:$CW192,"="&amp;"x",$B$133:$CW$133,"="&amp;"Y"),0)</f>
        <v>0</v>
      </c>
      <c r="Q227">
        <f ca="1">IFERROR(SUMIFS(INDEX($B$135:$CW$186,MATCH(Q$205,$A$135:$A$186,0),1):INDEX($B$135:$CW$186,MATCH(Q$205,$A$135:$A$186,0),100),$B192:$CW192,"="&amp;"x",$B$133:$CW$133,"="&amp;"Y"),0)</f>
        <v>0</v>
      </c>
      <c r="R227">
        <f ca="1">IFERROR(SUMIFS(INDEX($B$135:$CW$186,MATCH(R$205,$A$135:$A$186,0),1):INDEX($B$135:$CW$186,MATCH(R$205,$A$135:$A$186,0),100),$B192:$CW192,"="&amp;"x",$B$133:$CW$133,"="&amp;"Y"),0)</f>
        <v>0</v>
      </c>
      <c r="S227">
        <f ca="1">IFERROR(SUMIFS(INDEX($B$135:$CW$186,MATCH(S$205,$A$135:$A$186,0),1):INDEX($B$135:$CW$186,MATCH(S$205,$A$135:$A$186,0),100),$B192:$CW192,"="&amp;"x",$B$133:$CW$133,"="&amp;"Y"),0)</f>
        <v>0</v>
      </c>
      <c r="T227">
        <f ca="1">IFERROR(SUMIFS(INDEX($B$135:$CW$186,MATCH(T$205,$A$135:$A$186,0),1):INDEX($B$135:$CW$186,MATCH(T$205,$A$135:$A$186,0),100),$B192:$CW192,"="&amp;"x",$B$133:$CW$133,"="&amp;"Y"),0)</f>
        <v>0</v>
      </c>
      <c r="U227">
        <f ca="1">IFERROR(SUMIFS(INDEX($B$135:$CW$186,MATCH(U$205,$A$135:$A$186,0),1):INDEX($B$135:$CW$186,MATCH(U$205,$A$135:$A$186,0),100),$B192:$CW192,"="&amp;"x",$B$133:$CW$133,"="&amp;"Y"),0)</f>
        <v>0</v>
      </c>
      <c r="V227">
        <f ca="1">IFERROR(SUMIFS(INDEX($B$135:$CW$186,MATCH(V$205,$A$135:$A$186,0),1):INDEX($B$135:$CW$186,MATCH(V$205,$A$135:$A$186,0),100),$B192:$CW192,"="&amp;"x",$B$133:$CW$133,"="&amp;"Y"),0)</f>
        <v>0</v>
      </c>
      <c r="W227">
        <f ca="1">IFERROR(SUMIFS(INDEX($B$135:$CW$186,MATCH(W$205,$A$135:$A$186,0),1):INDEX($B$135:$CW$186,MATCH(W$205,$A$135:$A$186,0),100),$B192:$CW192,"="&amp;"x",$B$133:$CW$133,"="&amp;"Y"),0)</f>
        <v>0</v>
      </c>
      <c r="X227">
        <f ca="1">IFERROR(SUMIFS(INDEX($B$135:$CW$186,MATCH(X$205,$A$135:$A$186,0),1):INDEX($B$135:$CW$186,MATCH(X$205,$A$135:$A$186,0),100),$B192:$CW192,"="&amp;"x",$B$133:$CW$133,"="&amp;"Y"),0)</f>
        <v>0</v>
      </c>
      <c r="Y227">
        <f ca="1">IFERROR(SUMIFS(INDEX($B$135:$CW$186,MATCH(Y$205,$A$135:$A$186,0),1):INDEX($B$135:$CW$186,MATCH(Y$205,$A$135:$A$186,0),100),$B192:$CW192,"="&amp;"x",$B$133:$CW$133,"="&amp;"Y"),0)</f>
        <v>0</v>
      </c>
      <c r="Z227">
        <f ca="1">IFERROR(SUMIFS(INDEX($B$135:$CW$186,MATCH(Z$205,$A$135:$A$186,0),1):INDEX($B$135:$CW$186,MATCH(Z$205,$A$135:$A$186,0),100),$B192:$CW192,"="&amp;"x",$B$133:$CW$133,"="&amp;"Y"),0)</f>
        <v>0</v>
      </c>
      <c r="AA227">
        <f ca="1">IFERROR(SUMIFS(INDEX($B$135:$CW$186,MATCH(AA$205,$A$135:$A$186,0),1):INDEX($B$135:$CW$186,MATCH(AA$205,$A$135:$A$186,0),100),$B192:$CW192,"="&amp;"x",$B$133:$CW$133,"="&amp;"Y"),0)</f>
        <v>0</v>
      </c>
      <c r="AB227">
        <f ca="1">IFERROR(SUMIFS(INDEX($B$135:$CW$186,MATCH(AB$205,$A$135:$A$186,0),1):INDEX($B$135:$CW$186,MATCH(AB$205,$A$135:$A$186,0),100),$B192:$CW192,"="&amp;"x",$B$133:$CW$133,"="&amp;"Y"),0)</f>
        <v>0</v>
      </c>
      <c r="AC227">
        <f ca="1">IFERROR(SUMIFS(INDEX($B$135:$CW$186,MATCH(AC$205,$A$135:$A$186,0),1):INDEX($B$135:$CW$186,MATCH(AC$205,$A$135:$A$186,0),100),$B192:$CW192,"="&amp;"x",$B$133:$CW$133,"="&amp;"Y"),0)</f>
        <v>0</v>
      </c>
      <c r="AD227">
        <f ca="1">IFERROR(SUMIFS(INDEX($B$135:$CW$186,MATCH(AD$205,$A$135:$A$186,0),1):INDEX($B$135:$CW$186,MATCH(AD$205,$A$135:$A$186,0),100),$B192:$CW192,"="&amp;"x",$B$133:$CW$133,"="&amp;"Y"),0)</f>
        <v>0</v>
      </c>
      <c r="AE227">
        <f ca="1">IFERROR(SUMIFS(INDEX($B$135:$CW$186,MATCH(AE$205,$A$135:$A$186,0),1):INDEX($B$135:$CW$186,MATCH(AE$205,$A$135:$A$186,0),100),$B192:$CW192,"="&amp;"x",$B$133:$CW$133,"="&amp;"Y"),0)</f>
        <v>0</v>
      </c>
      <c r="AF227">
        <f ca="1">IFERROR(SUMIFS(INDEX($B$135:$CW$186,MATCH(AF$205,$A$135:$A$186,0),1):INDEX($B$135:$CW$186,MATCH(AF$205,$A$135:$A$186,0),100),$B192:$CW192,"="&amp;"x",$B$133:$CW$133,"="&amp;"Y"),0)</f>
        <v>0</v>
      </c>
      <c r="AG227">
        <f ca="1">IFERROR(SUMIFS(INDEX($B$135:$CW$186,MATCH(AG$205,$A$135:$A$186,0),1):INDEX($B$135:$CW$186,MATCH(AG$205,$A$135:$A$186,0),100),$B192:$CW192,"="&amp;"x",$B$133:$CW$133,"="&amp;"Y"),0)</f>
        <v>0</v>
      </c>
      <c r="AH227">
        <f ca="1">IFERROR(SUMIFS(INDEX($B$135:$CW$186,MATCH(AH$205,$A$135:$A$186,0),1):INDEX($B$135:$CW$186,MATCH(AH$205,$A$135:$A$186,0),100),$B192:$CW192,"="&amp;"x",$B$133:$CW$133,"="&amp;"Y"),0)</f>
        <v>0</v>
      </c>
      <c r="AI227">
        <f ca="1">IFERROR(SUMIFS(INDEX($B$135:$CW$186,MATCH(AI$205,$A$135:$A$186,0),1):INDEX($B$135:$CW$186,MATCH(AI$205,$A$135:$A$186,0),100),$B192:$CW192,"="&amp;"x",$B$133:$CW$133,"="&amp;"Y"),0)</f>
        <v>0</v>
      </c>
      <c r="AJ227">
        <f ca="1">IFERROR(SUMIFS(INDEX($B$135:$CW$186,MATCH(AJ$205,$A$135:$A$186,0),1):INDEX($B$135:$CW$186,MATCH(AJ$205,$A$135:$A$186,0),100),$B192:$CW192,"="&amp;"x",$B$133:$CW$133,"="&amp;"Y"),0)</f>
        <v>0</v>
      </c>
      <c r="AK227">
        <f ca="1">IFERROR(SUMIFS(INDEX($B$135:$CW$186,MATCH(AK$205,$A$135:$A$186,0),1):INDEX($B$135:$CW$186,MATCH(AK$205,$A$135:$A$186,0),100),$B192:$CW192,"="&amp;"x",$B$133:$CW$133,"="&amp;"Y"),0)</f>
        <v>0</v>
      </c>
      <c r="AL227">
        <f ca="1">IFERROR(SUMIFS(INDEX($B$135:$CW$186,MATCH(AL$205,$A$135:$A$186,0),1):INDEX($B$135:$CW$186,MATCH(AL$205,$A$135:$A$186,0),100),$B192:$CW192,"="&amp;"x",$B$133:$CW$133,"="&amp;"Y"),0)</f>
        <v>0</v>
      </c>
      <c r="AM227">
        <f ca="1">IFERROR(SUMIFS(INDEX($B$135:$CW$186,MATCH(AM$205,$A$135:$A$186,0),1):INDEX($B$135:$CW$186,MATCH(AM$205,$A$135:$A$186,0),100),$B192:$CW192,"="&amp;"x",$B$133:$CW$133,"="&amp;"Y"),0)</f>
        <v>0</v>
      </c>
      <c r="AN227">
        <f ca="1">IFERROR(SUMIFS(INDEX($B$135:$CW$186,MATCH(AN$205,$A$135:$A$186,0),1):INDEX($B$135:$CW$186,MATCH(AN$205,$A$135:$A$186,0),100),$B192:$CW192,"="&amp;"x",$B$133:$CW$133,"="&amp;"Y"),0)</f>
        <v>0</v>
      </c>
      <c r="AO227">
        <f ca="1">IFERROR(SUMIFS(INDEX($B$135:$CW$186,MATCH(AO$205,$A$135:$A$186,0),1):INDEX($B$135:$CW$186,MATCH(AO$205,$A$135:$A$186,0),100),$B192:$CW192,"="&amp;"x",$B$133:$CW$133,"="&amp;"Y"),0)</f>
        <v>0</v>
      </c>
      <c r="AP227">
        <f ca="1">IFERROR(SUMIFS(INDEX($B$135:$CW$186,MATCH(AP$205,$A$135:$A$186,0),1):INDEX($B$135:$CW$186,MATCH(AP$205,$A$135:$A$186,0),100),$B192:$CW192,"="&amp;"x",$B$133:$CW$133,"="&amp;"Y"),0)</f>
        <v>0</v>
      </c>
      <c r="AQ227">
        <f ca="1">IFERROR(SUMIFS(INDEX($B$135:$CW$186,MATCH(AQ$205,$A$135:$A$186,0),1):INDEX($B$135:$CW$186,MATCH(AQ$205,$A$135:$A$186,0),100),$B192:$CW192,"="&amp;"x",$B$133:$CW$133,"="&amp;"Y"),0)</f>
        <v>0</v>
      </c>
      <c r="AR227">
        <f ca="1">IFERROR(SUMIFS(INDEX($B$135:$CW$186,MATCH(AR$205,$A$135:$A$186,0),1):INDEX($B$135:$CW$186,MATCH(AR$205,$A$135:$A$186,0),100),$B192:$CW192,"="&amp;"x",$B$133:$CW$133,"="&amp;"Y"),0)</f>
        <v>0</v>
      </c>
      <c r="AS227">
        <f ca="1">IFERROR(SUMIFS(INDEX($B$135:$CW$186,MATCH(AS$205,$A$135:$A$186,0),1):INDEX($B$135:$CW$186,MATCH(AS$205,$A$135:$A$186,0),100),$B192:$CW192,"="&amp;"x",$B$133:$CW$133,"="&amp;"Y"),0)</f>
        <v>0</v>
      </c>
      <c r="AT227">
        <f ca="1">IFERROR(SUMIFS(INDEX($B$135:$CW$186,MATCH(AT$205,$A$135:$A$186,0),1):INDEX($B$135:$CW$186,MATCH(AT$205,$A$135:$A$186,0),100),$B192:$CW192,"="&amp;"x",$B$133:$CW$133,"="&amp;"Y"),0)</f>
        <v>0</v>
      </c>
      <c r="AU227">
        <f ca="1">IFERROR(SUMIFS(INDEX($B$135:$CW$186,MATCH(AU$205,$A$135:$A$186,0),1):INDEX($B$135:$CW$186,MATCH(AU$205,$A$135:$A$186,0),100),$B192:$CW192,"="&amp;"x",$B$133:$CW$133,"="&amp;"Y"),0)</f>
        <v>0</v>
      </c>
      <c r="AV227">
        <f ca="1">IFERROR(SUMIFS(INDEX($B$135:$CW$186,MATCH(AV$205,$A$135:$A$186,0),1):INDEX($B$135:$CW$186,MATCH(AV$205,$A$135:$A$186,0),100),$B192:$CW192,"="&amp;"x",$B$133:$CW$133,"="&amp;"Y"),0)</f>
        <v>0</v>
      </c>
      <c r="AW227">
        <f ca="1">IFERROR(SUMIFS(INDEX($B$135:$CW$186,MATCH(AW$205,$A$135:$A$186,0),1):INDEX($B$135:$CW$186,MATCH(AW$205,$A$135:$A$186,0),100),$B192:$CW192,"="&amp;"x",$B$133:$CW$133,"="&amp;"Y"),0)</f>
        <v>0</v>
      </c>
      <c r="AX227">
        <f ca="1">IFERROR(SUMIFS(INDEX($B$135:$CW$186,MATCH(AX$205,$A$135:$A$186,0),1):INDEX($B$135:$CW$186,MATCH(AX$205,$A$135:$A$186,0),100),$B192:$CW192,"="&amp;"x",$B$133:$CW$133,"="&amp;"Y"),0)</f>
        <v>0</v>
      </c>
      <c r="AY227">
        <f ca="1">IFERROR(SUMIFS(INDEX($B$135:$CW$186,MATCH(AY$205,$A$135:$A$186,0),1):INDEX($B$135:$CW$186,MATCH(AY$205,$A$135:$A$186,0),100),$B192:$CW192,"="&amp;"x",$B$133:$CW$133,"="&amp;"Y"),0)</f>
        <v>0</v>
      </c>
      <c r="AZ227">
        <f ca="1">IFERROR(SUMIFS(INDEX($B$135:$CW$186,MATCH(AZ$205,$A$135:$A$186,0),1):INDEX($B$135:$CW$186,MATCH(AZ$205,$A$135:$A$186,0),100),$B192:$CW192,"="&amp;"x",$B$133:$CW$133,"="&amp;"Y"),0)</f>
        <v>0</v>
      </c>
      <c r="BA227">
        <f ca="1">IFERROR(SUMIFS(INDEX($B$135:$CW$186,MATCH(BA$205,$A$135:$A$186,0),1):INDEX($B$135:$CW$186,MATCH(BA$205,$A$135:$A$186,0),100),$B192:$CW192,"="&amp;"x",$B$133:$CW$133,"="&amp;"Y"),0)</f>
        <v>0</v>
      </c>
      <c r="BC227">
        <f t="shared" ca="1" si="38"/>
        <v>0</v>
      </c>
    </row>
    <row r="228" spans="1:55" x14ac:dyDescent="0.35">
      <c r="A228" s="2" t="str" cm="1">
        <f t="array" ref="A228">INDEX('Data Validation (Hide)'!$B$2:$B$16,ROW(A5),1)</f>
        <v>Caseload 5</v>
      </c>
      <c r="B228">
        <f ca="1">IFERROR(SUMIFS(INDEX($B$135:$CW$186,MATCH(B$205,$A$135:$A$186,0),1):INDEX($B$135:$CW$186,MATCH(B$205,$A$135:$A$186,0),100),$B193:$CW193,"="&amp;"x",$B$133:$CW$133,"="&amp;"Y"),0)</f>
        <v>0</v>
      </c>
      <c r="C228">
        <f ca="1">IFERROR(SUMIFS(INDEX($B$135:$CW$186,MATCH(C$205,$A$135:$A$186,0),1):INDEX($B$135:$CW$186,MATCH(C$205,$A$135:$A$186,0),100),$B193:$CW193,"="&amp;"x",$B$133:$CW$133,"="&amp;"Y"),0)</f>
        <v>0</v>
      </c>
      <c r="D228">
        <f ca="1">IFERROR(SUMIFS(INDEX($B$135:$CW$186,MATCH(D$205,$A$135:$A$186,0),1):INDEX($B$135:$CW$186,MATCH(D$205,$A$135:$A$186,0),100),$B193:$CW193,"="&amp;"x",$B$133:$CW$133,"="&amp;"Y"),0)</f>
        <v>0</v>
      </c>
      <c r="E228">
        <f ca="1">IFERROR(SUMIFS(INDEX($B$135:$CW$186,MATCH(E$205,$A$135:$A$186,0),1):INDEX($B$135:$CW$186,MATCH(E$205,$A$135:$A$186,0),100),$B193:$CW193,"="&amp;"x",$B$133:$CW$133,"="&amp;"Y"),0)</f>
        <v>0</v>
      </c>
      <c r="F228">
        <f ca="1">IFERROR(SUMIFS(INDEX($B$135:$CW$186,MATCH(F$205,$A$135:$A$186,0),1):INDEX($B$135:$CW$186,MATCH(F$205,$A$135:$A$186,0),100),$B193:$CW193,"="&amp;"x",$B$133:$CW$133,"="&amp;"Y"),0)</f>
        <v>0</v>
      </c>
      <c r="G228">
        <f ca="1">IFERROR(SUMIFS(INDEX($B$135:$CW$186,MATCH(G$205,$A$135:$A$186,0),1):INDEX($B$135:$CW$186,MATCH(G$205,$A$135:$A$186,0),100),$B193:$CW193,"="&amp;"x",$B$133:$CW$133,"="&amp;"Y"),0)</f>
        <v>0</v>
      </c>
      <c r="H228">
        <f ca="1">IFERROR(SUMIFS(INDEX($B$135:$CW$186,MATCH(H$205,$A$135:$A$186,0),1):INDEX($B$135:$CW$186,MATCH(H$205,$A$135:$A$186,0),100),$B193:$CW193,"="&amp;"x",$B$133:$CW$133,"="&amp;"Y"),0)</f>
        <v>0</v>
      </c>
      <c r="I228">
        <f ca="1">IFERROR(SUMIFS(INDEX($B$135:$CW$186,MATCH(I$205,$A$135:$A$186,0),1):INDEX($B$135:$CW$186,MATCH(I$205,$A$135:$A$186,0),100),$B193:$CW193,"="&amp;"x",$B$133:$CW$133,"="&amp;"Y"),0)</f>
        <v>0</v>
      </c>
      <c r="J228">
        <f ca="1">IFERROR(SUMIFS(INDEX($B$135:$CW$186,MATCH(J$205,$A$135:$A$186,0),1):INDEX($B$135:$CW$186,MATCH(J$205,$A$135:$A$186,0),100),$B193:$CW193,"="&amp;"x",$B$133:$CW$133,"="&amp;"Y"),0)</f>
        <v>0</v>
      </c>
      <c r="K228">
        <f ca="1">IFERROR(SUMIFS(INDEX($B$135:$CW$186,MATCH(K$205,$A$135:$A$186,0),1):INDEX($B$135:$CW$186,MATCH(K$205,$A$135:$A$186,0),100),$B193:$CW193,"="&amp;"x",$B$133:$CW$133,"="&amp;"Y"),0)</f>
        <v>0</v>
      </c>
      <c r="L228">
        <f ca="1">IFERROR(SUMIFS(INDEX($B$135:$CW$186,MATCH(L$205,$A$135:$A$186,0),1):INDEX($B$135:$CW$186,MATCH(L$205,$A$135:$A$186,0),100),$B193:$CW193,"="&amp;"x",$B$133:$CW$133,"="&amp;"Y"),0)</f>
        <v>0</v>
      </c>
      <c r="M228">
        <f ca="1">IFERROR(SUMIFS(INDEX($B$135:$CW$186,MATCH(M$205,$A$135:$A$186,0),1):INDEX($B$135:$CW$186,MATCH(M$205,$A$135:$A$186,0),100),$B193:$CW193,"="&amp;"x",$B$133:$CW$133,"="&amp;"Y"),0)</f>
        <v>0</v>
      </c>
      <c r="N228">
        <f ca="1">IFERROR(SUMIFS(INDEX($B$135:$CW$186,MATCH(N$205,$A$135:$A$186,0),1):INDEX($B$135:$CW$186,MATCH(N$205,$A$135:$A$186,0),100),$B193:$CW193,"="&amp;"x",$B$133:$CW$133,"="&amp;"Y"),0)</f>
        <v>0</v>
      </c>
      <c r="O228">
        <f ca="1">IFERROR(SUMIFS(INDEX($B$135:$CW$186,MATCH(O$205,$A$135:$A$186,0),1):INDEX($B$135:$CW$186,MATCH(O$205,$A$135:$A$186,0),100),$B193:$CW193,"="&amp;"x",$B$133:$CW$133,"="&amp;"Y"),0)</f>
        <v>0</v>
      </c>
      <c r="P228">
        <f ca="1">IFERROR(SUMIFS(INDEX($B$135:$CW$186,MATCH(P$205,$A$135:$A$186,0),1):INDEX($B$135:$CW$186,MATCH(P$205,$A$135:$A$186,0),100),$B193:$CW193,"="&amp;"x",$B$133:$CW$133,"="&amp;"Y"),0)</f>
        <v>0</v>
      </c>
      <c r="Q228">
        <f ca="1">IFERROR(SUMIFS(INDEX($B$135:$CW$186,MATCH(Q$205,$A$135:$A$186,0),1):INDEX($B$135:$CW$186,MATCH(Q$205,$A$135:$A$186,0),100),$B193:$CW193,"="&amp;"x",$B$133:$CW$133,"="&amp;"Y"),0)</f>
        <v>0</v>
      </c>
      <c r="R228">
        <f ca="1">IFERROR(SUMIFS(INDEX($B$135:$CW$186,MATCH(R$205,$A$135:$A$186,0),1):INDEX($B$135:$CW$186,MATCH(R$205,$A$135:$A$186,0),100),$B193:$CW193,"="&amp;"x",$B$133:$CW$133,"="&amp;"Y"),0)</f>
        <v>0</v>
      </c>
      <c r="S228">
        <f ca="1">IFERROR(SUMIFS(INDEX($B$135:$CW$186,MATCH(S$205,$A$135:$A$186,0),1):INDEX($B$135:$CW$186,MATCH(S$205,$A$135:$A$186,0),100),$B193:$CW193,"="&amp;"x",$B$133:$CW$133,"="&amp;"Y"),0)</f>
        <v>0</v>
      </c>
      <c r="T228">
        <f ca="1">IFERROR(SUMIFS(INDEX($B$135:$CW$186,MATCH(T$205,$A$135:$A$186,0),1):INDEX($B$135:$CW$186,MATCH(T$205,$A$135:$A$186,0),100),$B193:$CW193,"="&amp;"x",$B$133:$CW$133,"="&amp;"Y"),0)</f>
        <v>0</v>
      </c>
      <c r="U228">
        <f ca="1">IFERROR(SUMIFS(INDEX($B$135:$CW$186,MATCH(U$205,$A$135:$A$186,0),1):INDEX($B$135:$CW$186,MATCH(U$205,$A$135:$A$186,0),100),$B193:$CW193,"="&amp;"x",$B$133:$CW$133,"="&amp;"Y"),0)</f>
        <v>0</v>
      </c>
      <c r="V228">
        <f ca="1">IFERROR(SUMIFS(INDEX($B$135:$CW$186,MATCH(V$205,$A$135:$A$186,0),1):INDEX($B$135:$CW$186,MATCH(V$205,$A$135:$A$186,0),100),$B193:$CW193,"="&amp;"x",$B$133:$CW$133,"="&amp;"Y"),0)</f>
        <v>0</v>
      </c>
      <c r="W228">
        <f ca="1">IFERROR(SUMIFS(INDEX($B$135:$CW$186,MATCH(W$205,$A$135:$A$186,0),1):INDEX($B$135:$CW$186,MATCH(W$205,$A$135:$A$186,0),100),$B193:$CW193,"="&amp;"x",$B$133:$CW$133,"="&amp;"Y"),0)</f>
        <v>0</v>
      </c>
      <c r="X228">
        <f ca="1">IFERROR(SUMIFS(INDEX($B$135:$CW$186,MATCH(X$205,$A$135:$A$186,0),1):INDEX($B$135:$CW$186,MATCH(X$205,$A$135:$A$186,0),100),$B193:$CW193,"="&amp;"x",$B$133:$CW$133,"="&amp;"Y"),0)</f>
        <v>0</v>
      </c>
      <c r="Y228">
        <f ca="1">IFERROR(SUMIFS(INDEX($B$135:$CW$186,MATCH(Y$205,$A$135:$A$186,0),1):INDEX($B$135:$CW$186,MATCH(Y$205,$A$135:$A$186,0),100),$B193:$CW193,"="&amp;"x",$B$133:$CW$133,"="&amp;"Y"),0)</f>
        <v>0</v>
      </c>
      <c r="Z228">
        <f ca="1">IFERROR(SUMIFS(INDEX($B$135:$CW$186,MATCH(Z$205,$A$135:$A$186,0),1):INDEX($B$135:$CW$186,MATCH(Z$205,$A$135:$A$186,0),100),$B193:$CW193,"="&amp;"x",$B$133:$CW$133,"="&amp;"Y"),0)</f>
        <v>0</v>
      </c>
      <c r="AA228">
        <f ca="1">IFERROR(SUMIFS(INDEX($B$135:$CW$186,MATCH(AA$205,$A$135:$A$186,0),1):INDEX($B$135:$CW$186,MATCH(AA$205,$A$135:$A$186,0),100),$B193:$CW193,"="&amp;"x",$B$133:$CW$133,"="&amp;"Y"),0)</f>
        <v>0</v>
      </c>
      <c r="AB228">
        <f ca="1">IFERROR(SUMIFS(INDEX($B$135:$CW$186,MATCH(AB$205,$A$135:$A$186,0),1):INDEX($B$135:$CW$186,MATCH(AB$205,$A$135:$A$186,0),100),$B193:$CW193,"="&amp;"x",$B$133:$CW$133,"="&amp;"Y"),0)</f>
        <v>0</v>
      </c>
      <c r="AC228">
        <f ca="1">IFERROR(SUMIFS(INDEX($B$135:$CW$186,MATCH(AC$205,$A$135:$A$186,0),1):INDEX($B$135:$CW$186,MATCH(AC$205,$A$135:$A$186,0),100),$B193:$CW193,"="&amp;"x",$B$133:$CW$133,"="&amp;"Y"),0)</f>
        <v>0</v>
      </c>
      <c r="AD228">
        <f ca="1">IFERROR(SUMIFS(INDEX($B$135:$CW$186,MATCH(AD$205,$A$135:$A$186,0),1):INDEX($B$135:$CW$186,MATCH(AD$205,$A$135:$A$186,0),100),$B193:$CW193,"="&amp;"x",$B$133:$CW$133,"="&amp;"Y"),0)</f>
        <v>0</v>
      </c>
      <c r="AE228">
        <f ca="1">IFERROR(SUMIFS(INDEX($B$135:$CW$186,MATCH(AE$205,$A$135:$A$186,0),1):INDEX($B$135:$CW$186,MATCH(AE$205,$A$135:$A$186,0),100),$B193:$CW193,"="&amp;"x",$B$133:$CW$133,"="&amp;"Y"),0)</f>
        <v>0</v>
      </c>
      <c r="AF228">
        <f ca="1">IFERROR(SUMIFS(INDEX($B$135:$CW$186,MATCH(AF$205,$A$135:$A$186,0),1):INDEX($B$135:$CW$186,MATCH(AF$205,$A$135:$A$186,0),100),$B193:$CW193,"="&amp;"x",$B$133:$CW$133,"="&amp;"Y"),0)</f>
        <v>0</v>
      </c>
      <c r="AG228">
        <f ca="1">IFERROR(SUMIFS(INDEX($B$135:$CW$186,MATCH(AG$205,$A$135:$A$186,0),1):INDEX($B$135:$CW$186,MATCH(AG$205,$A$135:$A$186,0),100),$B193:$CW193,"="&amp;"x",$B$133:$CW$133,"="&amp;"Y"),0)</f>
        <v>0</v>
      </c>
      <c r="AH228">
        <f ca="1">IFERROR(SUMIFS(INDEX($B$135:$CW$186,MATCH(AH$205,$A$135:$A$186,0),1):INDEX($B$135:$CW$186,MATCH(AH$205,$A$135:$A$186,0),100),$B193:$CW193,"="&amp;"x",$B$133:$CW$133,"="&amp;"Y"),0)</f>
        <v>0</v>
      </c>
      <c r="AI228">
        <f ca="1">IFERROR(SUMIFS(INDEX($B$135:$CW$186,MATCH(AI$205,$A$135:$A$186,0),1):INDEX($B$135:$CW$186,MATCH(AI$205,$A$135:$A$186,0),100),$B193:$CW193,"="&amp;"x",$B$133:$CW$133,"="&amp;"Y"),0)</f>
        <v>0</v>
      </c>
      <c r="AJ228">
        <f ca="1">IFERROR(SUMIFS(INDEX($B$135:$CW$186,MATCH(AJ$205,$A$135:$A$186,0),1):INDEX($B$135:$CW$186,MATCH(AJ$205,$A$135:$A$186,0),100),$B193:$CW193,"="&amp;"x",$B$133:$CW$133,"="&amp;"Y"),0)</f>
        <v>0</v>
      </c>
      <c r="AK228">
        <f ca="1">IFERROR(SUMIFS(INDEX($B$135:$CW$186,MATCH(AK$205,$A$135:$A$186,0),1):INDEX($B$135:$CW$186,MATCH(AK$205,$A$135:$A$186,0),100),$B193:$CW193,"="&amp;"x",$B$133:$CW$133,"="&amp;"Y"),0)</f>
        <v>0</v>
      </c>
      <c r="AL228">
        <f ca="1">IFERROR(SUMIFS(INDEX($B$135:$CW$186,MATCH(AL$205,$A$135:$A$186,0),1):INDEX($B$135:$CW$186,MATCH(AL$205,$A$135:$A$186,0),100),$B193:$CW193,"="&amp;"x",$B$133:$CW$133,"="&amp;"Y"),0)</f>
        <v>0</v>
      </c>
      <c r="AM228">
        <f ca="1">IFERROR(SUMIFS(INDEX($B$135:$CW$186,MATCH(AM$205,$A$135:$A$186,0),1):INDEX($B$135:$CW$186,MATCH(AM$205,$A$135:$A$186,0),100),$B193:$CW193,"="&amp;"x",$B$133:$CW$133,"="&amp;"Y"),0)</f>
        <v>0</v>
      </c>
      <c r="AN228">
        <f ca="1">IFERROR(SUMIFS(INDEX($B$135:$CW$186,MATCH(AN$205,$A$135:$A$186,0),1):INDEX($B$135:$CW$186,MATCH(AN$205,$A$135:$A$186,0),100),$B193:$CW193,"="&amp;"x",$B$133:$CW$133,"="&amp;"Y"),0)</f>
        <v>0</v>
      </c>
      <c r="AO228">
        <f ca="1">IFERROR(SUMIFS(INDEX($B$135:$CW$186,MATCH(AO$205,$A$135:$A$186,0),1):INDEX($B$135:$CW$186,MATCH(AO$205,$A$135:$A$186,0),100),$B193:$CW193,"="&amp;"x",$B$133:$CW$133,"="&amp;"Y"),0)</f>
        <v>0</v>
      </c>
      <c r="AP228">
        <f ca="1">IFERROR(SUMIFS(INDEX($B$135:$CW$186,MATCH(AP$205,$A$135:$A$186,0),1):INDEX($B$135:$CW$186,MATCH(AP$205,$A$135:$A$186,0),100),$B193:$CW193,"="&amp;"x",$B$133:$CW$133,"="&amp;"Y"),0)</f>
        <v>0</v>
      </c>
      <c r="AQ228">
        <f ca="1">IFERROR(SUMIFS(INDEX($B$135:$CW$186,MATCH(AQ$205,$A$135:$A$186,0),1):INDEX($B$135:$CW$186,MATCH(AQ$205,$A$135:$A$186,0),100),$B193:$CW193,"="&amp;"x",$B$133:$CW$133,"="&amp;"Y"),0)</f>
        <v>0</v>
      </c>
      <c r="AR228">
        <f ca="1">IFERROR(SUMIFS(INDEX($B$135:$CW$186,MATCH(AR$205,$A$135:$A$186,0),1):INDEX($B$135:$CW$186,MATCH(AR$205,$A$135:$A$186,0),100),$B193:$CW193,"="&amp;"x",$B$133:$CW$133,"="&amp;"Y"),0)</f>
        <v>0</v>
      </c>
      <c r="AS228">
        <f ca="1">IFERROR(SUMIFS(INDEX($B$135:$CW$186,MATCH(AS$205,$A$135:$A$186,0),1):INDEX($B$135:$CW$186,MATCH(AS$205,$A$135:$A$186,0),100),$B193:$CW193,"="&amp;"x",$B$133:$CW$133,"="&amp;"Y"),0)</f>
        <v>0</v>
      </c>
      <c r="AT228">
        <f ca="1">IFERROR(SUMIFS(INDEX($B$135:$CW$186,MATCH(AT$205,$A$135:$A$186,0),1):INDEX($B$135:$CW$186,MATCH(AT$205,$A$135:$A$186,0),100),$B193:$CW193,"="&amp;"x",$B$133:$CW$133,"="&amp;"Y"),0)</f>
        <v>0</v>
      </c>
      <c r="AU228">
        <f ca="1">IFERROR(SUMIFS(INDEX($B$135:$CW$186,MATCH(AU$205,$A$135:$A$186,0),1):INDEX($B$135:$CW$186,MATCH(AU$205,$A$135:$A$186,0),100),$B193:$CW193,"="&amp;"x",$B$133:$CW$133,"="&amp;"Y"),0)</f>
        <v>0</v>
      </c>
      <c r="AV228">
        <f ca="1">IFERROR(SUMIFS(INDEX($B$135:$CW$186,MATCH(AV$205,$A$135:$A$186,0),1):INDEX($B$135:$CW$186,MATCH(AV$205,$A$135:$A$186,0),100),$B193:$CW193,"="&amp;"x",$B$133:$CW$133,"="&amp;"Y"),0)</f>
        <v>0</v>
      </c>
      <c r="AW228">
        <f ca="1">IFERROR(SUMIFS(INDEX($B$135:$CW$186,MATCH(AW$205,$A$135:$A$186,0),1):INDEX($B$135:$CW$186,MATCH(AW$205,$A$135:$A$186,0),100),$B193:$CW193,"="&amp;"x",$B$133:$CW$133,"="&amp;"Y"),0)</f>
        <v>0</v>
      </c>
      <c r="AX228">
        <f ca="1">IFERROR(SUMIFS(INDEX($B$135:$CW$186,MATCH(AX$205,$A$135:$A$186,0),1):INDEX($B$135:$CW$186,MATCH(AX$205,$A$135:$A$186,0),100),$B193:$CW193,"="&amp;"x",$B$133:$CW$133,"="&amp;"Y"),0)</f>
        <v>0</v>
      </c>
      <c r="AY228">
        <f ca="1">IFERROR(SUMIFS(INDEX($B$135:$CW$186,MATCH(AY$205,$A$135:$A$186,0),1):INDEX($B$135:$CW$186,MATCH(AY$205,$A$135:$A$186,0),100),$B193:$CW193,"="&amp;"x",$B$133:$CW$133,"="&amp;"Y"),0)</f>
        <v>0</v>
      </c>
      <c r="AZ228">
        <f ca="1">IFERROR(SUMIFS(INDEX($B$135:$CW$186,MATCH(AZ$205,$A$135:$A$186,0),1):INDEX($B$135:$CW$186,MATCH(AZ$205,$A$135:$A$186,0),100),$B193:$CW193,"="&amp;"x",$B$133:$CW$133,"="&amp;"Y"),0)</f>
        <v>0</v>
      </c>
      <c r="BA228">
        <f ca="1">IFERROR(SUMIFS(INDEX($B$135:$CW$186,MATCH(BA$205,$A$135:$A$186,0),1):INDEX($B$135:$CW$186,MATCH(BA$205,$A$135:$A$186,0),100),$B193:$CW193,"="&amp;"x",$B$133:$CW$133,"="&amp;"Y"),0)</f>
        <v>0</v>
      </c>
      <c r="BC228">
        <f t="shared" ca="1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ca="1">IFERROR(SUMIFS(INDEX($B$135:$CW$186,MATCH(B$205,$A$135:$A$186,0),1):INDEX($B$135:$CW$186,MATCH(B$205,$A$135:$A$186,0),100),$B194:$CW194,"="&amp;"x",$B$133:$CW$133,"="&amp;"Y"),0)</f>
        <v>0</v>
      </c>
      <c r="C229">
        <f ca="1">IFERROR(SUMIFS(INDEX($B$135:$CW$186,MATCH(C$205,$A$135:$A$186,0),1):INDEX($B$135:$CW$186,MATCH(C$205,$A$135:$A$186,0),100),$B194:$CW194,"="&amp;"x",$B$133:$CW$133,"="&amp;"Y"),0)</f>
        <v>0</v>
      </c>
      <c r="D229">
        <f ca="1">IFERROR(SUMIFS(INDEX($B$135:$CW$186,MATCH(D$205,$A$135:$A$186,0),1):INDEX($B$135:$CW$186,MATCH(D$205,$A$135:$A$186,0),100),$B194:$CW194,"="&amp;"x",$B$133:$CW$133,"="&amp;"Y"),0)</f>
        <v>0</v>
      </c>
      <c r="E229">
        <f ca="1">IFERROR(SUMIFS(INDEX($B$135:$CW$186,MATCH(E$205,$A$135:$A$186,0),1):INDEX($B$135:$CW$186,MATCH(E$205,$A$135:$A$186,0),100),$B194:$CW194,"="&amp;"x",$B$133:$CW$133,"="&amp;"Y"),0)</f>
        <v>0</v>
      </c>
      <c r="F229">
        <f ca="1">IFERROR(SUMIFS(INDEX($B$135:$CW$186,MATCH(F$205,$A$135:$A$186,0),1):INDEX($B$135:$CW$186,MATCH(F$205,$A$135:$A$186,0),100),$B194:$CW194,"="&amp;"x",$B$133:$CW$133,"="&amp;"Y"),0)</f>
        <v>0</v>
      </c>
      <c r="G229">
        <f ca="1">IFERROR(SUMIFS(INDEX($B$135:$CW$186,MATCH(G$205,$A$135:$A$186,0),1):INDEX($B$135:$CW$186,MATCH(G$205,$A$135:$A$186,0),100),$B194:$CW194,"="&amp;"x",$B$133:$CW$133,"="&amp;"Y"),0)</f>
        <v>0</v>
      </c>
      <c r="H229">
        <f ca="1">IFERROR(SUMIFS(INDEX($B$135:$CW$186,MATCH(H$205,$A$135:$A$186,0),1):INDEX($B$135:$CW$186,MATCH(H$205,$A$135:$A$186,0),100),$B194:$CW194,"="&amp;"x",$B$133:$CW$133,"="&amp;"Y"),0)</f>
        <v>0</v>
      </c>
      <c r="I229">
        <f ca="1">IFERROR(SUMIFS(INDEX($B$135:$CW$186,MATCH(I$205,$A$135:$A$186,0),1):INDEX($B$135:$CW$186,MATCH(I$205,$A$135:$A$186,0),100),$B194:$CW194,"="&amp;"x",$B$133:$CW$133,"="&amp;"Y"),0)</f>
        <v>0</v>
      </c>
      <c r="J229">
        <f ca="1">IFERROR(SUMIFS(INDEX($B$135:$CW$186,MATCH(J$205,$A$135:$A$186,0),1):INDEX($B$135:$CW$186,MATCH(J$205,$A$135:$A$186,0),100),$B194:$CW194,"="&amp;"x",$B$133:$CW$133,"="&amp;"Y"),0)</f>
        <v>0</v>
      </c>
      <c r="K229">
        <f ca="1">IFERROR(SUMIFS(INDEX($B$135:$CW$186,MATCH(K$205,$A$135:$A$186,0),1):INDEX($B$135:$CW$186,MATCH(K$205,$A$135:$A$186,0),100),$B194:$CW194,"="&amp;"x",$B$133:$CW$133,"="&amp;"Y"),0)</f>
        <v>0</v>
      </c>
      <c r="L229">
        <f ca="1">IFERROR(SUMIFS(INDEX($B$135:$CW$186,MATCH(L$205,$A$135:$A$186,0),1):INDEX($B$135:$CW$186,MATCH(L$205,$A$135:$A$186,0),100),$B194:$CW194,"="&amp;"x",$B$133:$CW$133,"="&amp;"Y"),0)</f>
        <v>0</v>
      </c>
      <c r="M229">
        <f ca="1">IFERROR(SUMIFS(INDEX($B$135:$CW$186,MATCH(M$205,$A$135:$A$186,0),1):INDEX($B$135:$CW$186,MATCH(M$205,$A$135:$A$186,0),100),$B194:$CW194,"="&amp;"x",$B$133:$CW$133,"="&amp;"Y"),0)</f>
        <v>0</v>
      </c>
      <c r="N229">
        <f ca="1">IFERROR(SUMIFS(INDEX($B$135:$CW$186,MATCH(N$205,$A$135:$A$186,0),1):INDEX($B$135:$CW$186,MATCH(N$205,$A$135:$A$186,0),100),$B194:$CW194,"="&amp;"x",$B$133:$CW$133,"="&amp;"Y"),0)</f>
        <v>0</v>
      </c>
      <c r="O229">
        <f ca="1">IFERROR(SUMIFS(INDEX($B$135:$CW$186,MATCH(O$205,$A$135:$A$186,0),1):INDEX($B$135:$CW$186,MATCH(O$205,$A$135:$A$186,0),100),$B194:$CW194,"="&amp;"x",$B$133:$CW$133,"="&amp;"Y"),0)</f>
        <v>0</v>
      </c>
      <c r="P229">
        <f ca="1">IFERROR(SUMIFS(INDEX($B$135:$CW$186,MATCH(P$205,$A$135:$A$186,0),1):INDEX($B$135:$CW$186,MATCH(P$205,$A$135:$A$186,0),100),$B194:$CW194,"="&amp;"x",$B$133:$CW$133,"="&amp;"Y"),0)</f>
        <v>0</v>
      </c>
      <c r="Q229">
        <f ca="1">IFERROR(SUMIFS(INDEX($B$135:$CW$186,MATCH(Q$205,$A$135:$A$186,0),1):INDEX($B$135:$CW$186,MATCH(Q$205,$A$135:$A$186,0),100),$B194:$CW194,"="&amp;"x",$B$133:$CW$133,"="&amp;"Y"),0)</f>
        <v>0</v>
      </c>
      <c r="R229">
        <f ca="1">IFERROR(SUMIFS(INDEX($B$135:$CW$186,MATCH(R$205,$A$135:$A$186,0),1):INDEX($B$135:$CW$186,MATCH(R$205,$A$135:$A$186,0),100),$B194:$CW194,"="&amp;"x",$B$133:$CW$133,"="&amp;"Y"),0)</f>
        <v>0</v>
      </c>
      <c r="S229">
        <f ca="1">IFERROR(SUMIFS(INDEX($B$135:$CW$186,MATCH(S$205,$A$135:$A$186,0),1):INDEX($B$135:$CW$186,MATCH(S$205,$A$135:$A$186,0),100),$B194:$CW194,"="&amp;"x",$B$133:$CW$133,"="&amp;"Y"),0)</f>
        <v>0</v>
      </c>
      <c r="T229">
        <f ca="1">IFERROR(SUMIFS(INDEX($B$135:$CW$186,MATCH(T$205,$A$135:$A$186,0),1):INDEX($B$135:$CW$186,MATCH(T$205,$A$135:$A$186,0),100),$B194:$CW194,"="&amp;"x",$B$133:$CW$133,"="&amp;"Y"),0)</f>
        <v>0</v>
      </c>
      <c r="U229">
        <f ca="1">IFERROR(SUMIFS(INDEX($B$135:$CW$186,MATCH(U$205,$A$135:$A$186,0),1):INDEX($B$135:$CW$186,MATCH(U$205,$A$135:$A$186,0),100),$B194:$CW194,"="&amp;"x",$B$133:$CW$133,"="&amp;"Y"),0)</f>
        <v>0</v>
      </c>
      <c r="V229">
        <f ca="1">IFERROR(SUMIFS(INDEX($B$135:$CW$186,MATCH(V$205,$A$135:$A$186,0),1):INDEX($B$135:$CW$186,MATCH(V$205,$A$135:$A$186,0),100),$B194:$CW194,"="&amp;"x",$B$133:$CW$133,"="&amp;"Y"),0)</f>
        <v>0</v>
      </c>
      <c r="W229">
        <f ca="1">IFERROR(SUMIFS(INDEX($B$135:$CW$186,MATCH(W$205,$A$135:$A$186,0),1):INDEX($B$135:$CW$186,MATCH(W$205,$A$135:$A$186,0),100),$B194:$CW194,"="&amp;"x",$B$133:$CW$133,"="&amp;"Y"),0)</f>
        <v>0</v>
      </c>
      <c r="X229">
        <f ca="1">IFERROR(SUMIFS(INDEX($B$135:$CW$186,MATCH(X$205,$A$135:$A$186,0),1):INDEX($B$135:$CW$186,MATCH(X$205,$A$135:$A$186,0),100),$B194:$CW194,"="&amp;"x",$B$133:$CW$133,"="&amp;"Y"),0)</f>
        <v>0</v>
      </c>
      <c r="Y229">
        <f ca="1">IFERROR(SUMIFS(INDEX($B$135:$CW$186,MATCH(Y$205,$A$135:$A$186,0),1):INDEX($B$135:$CW$186,MATCH(Y$205,$A$135:$A$186,0),100),$B194:$CW194,"="&amp;"x",$B$133:$CW$133,"="&amp;"Y"),0)</f>
        <v>0</v>
      </c>
      <c r="Z229">
        <f ca="1">IFERROR(SUMIFS(INDEX($B$135:$CW$186,MATCH(Z$205,$A$135:$A$186,0),1):INDEX($B$135:$CW$186,MATCH(Z$205,$A$135:$A$186,0),100),$B194:$CW194,"="&amp;"x",$B$133:$CW$133,"="&amp;"Y"),0)</f>
        <v>0</v>
      </c>
      <c r="AA229">
        <f ca="1">IFERROR(SUMIFS(INDEX($B$135:$CW$186,MATCH(AA$205,$A$135:$A$186,0),1):INDEX($B$135:$CW$186,MATCH(AA$205,$A$135:$A$186,0),100),$B194:$CW194,"="&amp;"x",$B$133:$CW$133,"="&amp;"Y"),0)</f>
        <v>0</v>
      </c>
      <c r="AB229">
        <f ca="1">IFERROR(SUMIFS(INDEX($B$135:$CW$186,MATCH(AB$205,$A$135:$A$186,0),1):INDEX($B$135:$CW$186,MATCH(AB$205,$A$135:$A$186,0),100),$B194:$CW194,"="&amp;"x",$B$133:$CW$133,"="&amp;"Y"),0)</f>
        <v>0</v>
      </c>
      <c r="AC229">
        <f ca="1">IFERROR(SUMIFS(INDEX($B$135:$CW$186,MATCH(AC$205,$A$135:$A$186,0),1):INDEX($B$135:$CW$186,MATCH(AC$205,$A$135:$A$186,0),100),$B194:$CW194,"="&amp;"x",$B$133:$CW$133,"="&amp;"Y"),0)</f>
        <v>0</v>
      </c>
      <c r="AD229">
        <f ca="1">IFERROR(SUMIFS(INDEX($B$135:$CW$186,MATCH(AD$205,$A$135:$A$186,0),1):INDEX($B$135:$CW$186,MATCH(AD$205,$A$135:$A$186,0),100),$B194:$CW194,"="&amp;"x",$B$133:$CW$133,"="&amp;"Y"),0)</f>
        <v>0</v>
      </c>
      <c r="AE229">
        <f ca="1">IFERROR(SUMIFS(INDEX($B$135:$CW$186,MATCH(AE$205,$A$135:$A$186,0),1):INDEX($B$135:$CW$186,MATCH(AE$205,$A$135:$A$186,0),100),$B194:$CW194,"="&amp;"x",$B$133:$CW$133,"="&amp;"Y"),0)</f>
        <v>0</v>
      </c>
      <c r="AF229">
        <f ca="1">IFERROR(SUMIFS(INDEX($B$135:$CW$186,MATCH(AF$205,$A$135:$A$186,0),1):INDEX($B$135:$CW$186,MATCH(AF$205,$A$135:$A$186,0),100),$B194:$CW194,"="&amp;"x",$B$133:$CW$133,"="&amp;"Y"),0)</f>
        <v>0</v>
      </c>
      <c r="AG229">
        <f ca="1">IFERROR(SUMIFS(INDEX($B$135:$CW$186,MATCH(AG$205,$A$135:$A$186,0),1):INDEX($B$135:$CW$186,MATCH(AG$205,$A$135:$A$186,0),100),$B194:$CW194,"="&amp;"x",$B$133:$CW$133,"="&amp;"Y"),0)</f>
        <v>0</v>
      </c>
      <c r="AH229">
        <f ca="1">IFERROR(SUMIFS(INDEX($B$135:$CW$186,MATCH(AH$205,$A$135:$A$186,0),1):INDEX($B$135:$CW$186,MATCH(AH$205,$A$135:$A$186,0),100),$B194:$CW194,"="&amp;"x",$B$133:$CW$133,"="&amp;"Y"),0)</f>
        <v>0</v>
      </c>
      <c r="AI229">
        <f ca="1">IFERROR(SUMIFS(INDEX($B$135:$CW$186,MATCH(AI$205,$A$135:$A$186,0),1):INDEX($B$135:$CW$186,MATCH(AI$205,$A$135:$A$186,0),100),$B194:$CW194,"="&amp;"x",$B$133:$CW$133,"="&amp;"Y"),0)</f>
        <v>0</v>
      </c>
      <c r="AJ229">
        <f ca="1">IFERROR(SUMIFS(INDEX($B$135:$CW$186,MATCH(AJ$205,$A$135:$A$186,0),1):INDEX($B$135:$CW$186,MATCH(AJ$205,$A$135:$A$186,0),100),$B194:$CW194,"="&amp;"x",$B$133:$CW$133,"="&amp;"Y"),0)</f>
        <v>0</v>
      </c>
      <c r="AK229">
        <f ca="1">IFERROR(SUMIFS(INDEX($B$135:$CW$186,MATCH(AK$205,$A$135:$A$186,0),1):INDEX($B$135:$CW$186,MATCH(AK$205,$A$135:$A$186,0),100),$B194:$CW194,"="&amp;"x",$B$133:$CW$133,"="&amp;"Y"),0)</f>
        <v>0</v>
      </c>
      <c r="AL229">
        <f ca="1">IFERROR(SUMIFS(INDEX($B$135:$CW$186,MATCH(AL$205,$A$135:$A$186,0),1):INDEX($B$135:$CW$186,MATCH(AL$205,$A$135:$A$186,0),100),$B194:$CW194,"="&amp;"x",$B$133:$CW$133,"="&amp;"Y"),0)</f>
        <v>0</v>
      </c>
      <c r="AM229">
        <f ca="1">IFERROR(SUMIFS(INDEX($B$135:$CW$186,MATCH(AM$205,$A$135:$A$186,0),1):INDEX($B$135:$CW$186,MATCH(AM$205,$A$135:$A$186,0),100),$B194:$CW194,"="&amp;"x",$B$133:$CW$133,"="&amp;"Y"),0)</f>
        <v>0</v>
      </c>
      <c r="AN229">
        <f ca="1">IFERROR(SUMIFS(INDEX($B$135:$CW$186,MATCH(AN$205,$A$135:$A$186,0),1):INDEX($B$135:$CW$186,MATCH(AN$205,$A$135:$A$186,0),100),$B194:$CW194,"="&amp;"x",$B$133:$CW$133,"="&amp;"Y"),0)</f>
        <v>0</v>
      </c>
      <c r="AO229">
        <f ca="1">IFERROR(SUMIFS(INDEX($B$135:$CW$186,MATCH(AO$205,$A$135:$A$186,0),1):INDEX($B$135:$CW$186,MATCH(AO$205,$A$135:$A$186,0),100),$B194:$CW194,"="&amp;"x",$B$133:$CW$133,"="&amp;"Y"),0)</f>
        <v>0</v>
      </c>
      <c r="AP229">
        <f ca="1">IFERROR(SUMIFS(INDEX($B$135:$CW$186,MATCH(AP$205,$A$135:$A$186,0),1):INDEX($B$135:$CW$186,MATCH(AP$205,$A$135:$A$186,0),100),$B194:$CW194,"="&amp;"x",$B$133:$CW$133,"="&amp;"Y"),0)</f>
        <v>0</v>
      </c>
      <c r="AQ229">
        <f ca="1">IFERROR(SUMIFS(INDEX($B$135:$CW$186,MATCH(AQ$205,$A$135:$A$186,0),1):INDEX($B$135:$CW$186,MATCH(AQ$205,$A$135:$A$186,0),100),$B194:$CW194,"="&amp;"x",$B$133:$CW$133,"="&amp;"Y"),0)</f>
        <v>0</v>
      </c>
      <c r="AR229">
        <f ca="1">IFERROR(SUMIFS(INDEX($B$135:$CW$186,MATCH(AR$205,$A$135:$A$186,0),1):INDEX($B$135:$CW$186,MATCH(AR$205,$A$135:$A$186,0),100),$B194:$CW194,"="&amp;"x",$B$133:$CW$133,"="&amp;"Y"),0)</f>
        <v>0</v>
      </c>
      <c r="AS229">
        <f ca="1">IFERROR(SUMIFS(INDEX($B$135:$CW$186,MATCH(AS$205,$A$135:$A$186,0),1):INDEX($B$135:$CW$186,MATCH(AS$205,$A$135:$A$186,0),100),$B194:$CW194,"="&amp;"x",$B$133:$CW$133,"="&amp;"Y"),0)</f>
        <v>0</v>
      </c>
      <c r="AT229">
        <f ca="1">IFERROR(SUMIFS(INDEX($B$135:$CW$186,MATCH(AT$205,$A$135:$A$186,0),1):INDEX($B$135:$CW$186,MATCH(AT$205,$A$135:$A$186,0),100),$B194:$CW194,"="&amp;"x",$B$133:$CW$133,"="&amp;"Y"),0)</f>
        <v>0</v>
      </c>
      <c r="AU229">
        <f ca="1">IFERROR(SUMIFS(INDEX($B$135:$CW$186,MATCH(AU$205,$A$135:$A$186,0),1):INDEX($B$135:$CW$186,MATCH(AU$205,$A$135:$A$186,0),100),$B194:$CW194,"="&amp;"x",$B$133:$CW$133,"="&amp;"Y"),0)</f>
        <v>0</v>
      </c>
      <c r="AV229">
        <f ca="1">IFERROR(SUMIFS(INDEX($B$135:$CW$186,MATCH(AV$205,$A$135:$A$186,0),1):INDEX($B$135:$CW$186,MATCH(AV$205,$A$135:$A$186,0),100),$B194:$CW194,"="&amp;"x",$B$133:$CW$133,"="&amp;"Y"),0)</f>
        <v>0</v>
      </c>
      <c r="AW229">
        <f ca="1">IFERROR(SUMIFS(INDEX($B$135:$CW$186,MATCH(AW$205,$A$135:$A$186,0),1):INDEX($B$135:$CW$186,MATCH(AW$205,$A$135:$A$186,0),100),$B194:$CW194,"="&amp;"x",$B$133:$CW$133,"="&amp;"Y"),0)</f>
        <v>0</v>
      </c>
      <c r="AX229">
        <f ca="1">IFERROR(SUMIFS(INDEX($B$135:$CW$186,MATCH(AX$205,$A$135:$A$186,0),1):INDEX($B$135:$CW$186,MATCH(AX$205,$A$135:$A$186,0),100),$B194:$CW194,"="&amp;"x",$B$133:$CW$133,"="&amp;"Y"),0)</f>
        <v>0</v>
      </c>
      <c r="AY229">
        <f ca="1">IFERROR(SUMIFS(INDEX($B$135:$CW$186,MATCH(AY$205,$A$135:$A$186,0),1):INDEX($B$135:$CW$186,MATCH(AY$205,$A$135:$A$186,0),100),$B194:$CW194,"="&amp;"x",$B$133:$CW$133,"="&amp;"Y"),0)</f>
        <v>0</v>
      </c>
      <c r="AZ229">
        <f ca="1">IFERROR(SUMIFS(INDEX($B$135:$CW$186,MATCH(AZ$205,$A$135:$A$186,0),1):INDEX($B$135:$CW$186,MATCH(AZ$205,$A$135:$A$186,0),100),$B194:$CW194,"="&amp;"x",$B$133:$CW$133,"="&amp;"Y"),0)</f>
        <v>0</v>
      </c>
      <c r="BA229">
        <f ca="1">IFERROR(SUMIFS(INDEX($B$135:$CW$186,MATCH(BA$205,$A$135:$A$186,0),1):INDEX($B$135:$CW$186,MATCH(BA$205,$A$135:$A$186,0),100),$B194:$CW194,"="&amp;"x",$B$133:$CW$133,"="&amp;"Y"),0)</f>
        <v>0</v>
      </c>
      <c r="BC229">
        <f t="shared" ca="1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ca="1">IFERROR(SUMIFS(INDEX($B$135:$CW$186,MATCH(B$205,$A$135:$A$186,0),1):INDEX($B$135:$CW$186,MATCH(B$205,$A$135:$A$186,0),100),$B195:$CW195,"="&amp;"x",$B$133:$CW$133,"="&amp;"Y"),0)</f>
        <v>0</v>
      </c>
      <c r="C230">
        <f ca="1">IFERROR(SUMIFS(INDEX($B$135:$CW$186,MATCH(C$205,$A$135:$A$186,0),1):INDEX($B$135:$CW$186,MATCH(C$205,$A$135:$A$186,0),100),$B195:$CW195,"="&amp;"x",$B$133:$CW$133,"="&amp;"Y"),0)</f>
        <v>0</v>
      </c>
      <c r="D230">
        <f ca="1">IFERROR(SUMIFS(INDEX($B$135:$CW$186,MATCH(D$205,$A$135:$A$186,0),1):INDEX($B$135:$CW$186,MATCH(D$205,$A$135:$A$186,0),100),$B195:$CW195,"="&amp;"x",$B$133:$CW$133,"="&amp;"Y"),0)</f>
        <v>0</v>
      </c>
      <c r="E230">
        <f ca="1">IFERROR(SUMIFS(INDEX($B$135:$CW$186,MATCH(E$205,$A$135:$A$186,0),1):INDEX($B$135:$CW$186,MATCH(E$205,$A$135:$A$186,0),100),$B195:$CW195,"="&amp;"x",$B$133:$CW$133,"="&amp;"Y"),0)</f>
        <v>0</v>
      </c>
      <c r="F230">
        <f ca="1">IFERROR(SUMIFS(INDEX($B$135:$CW$186,MATCH(F$205,$A$135:$A$186,0),1):INDEX($B$135:$CW$186,MATCH(F$205,$A$135:$A$186,0),100),$B195:$CW195,"="&amp;"x",$B$133:$CW$133,"="&amp;"Y"),0)</f>
        <v>0</v>
      </c>
      <c r="G230">
        <f ca="1">IFERROR(SUMIFS(INDEX($B$135:$CW$186,MATCH(G$205,$A$135:$A$186,0),1):INDEX($B$135:$CW$186,MATCH(G$205,$A$135:$A$186,0),100),$B195:$CW195,"="&amp;"x",$B$133:$CW$133,"="&amp;"Y"),0)</f>
        <v>0</v>
      </c>
      <c r="H230">
        <f ca="1">IFERROR(SUMIFS(INDEX($B$135:$CW$186,MATCH(H$205,$A$135:$A$186,0),1):INDEX($B$135:$CW$186,MATCH(H$205,$A$135:$A$186,0),100),$B195:$CW195,"="&amp;"x",$B$133:$CW$133,"="&amp;"Y"),0)</f>
        <v>0</v>
      </c>
      <c r="I230">
        <f ca="1">IFERROR(SUMIFS(INDEX($B$135:$CW$186,MATCH(I$205,$A$135:$A$186,0),1):INDEX($B$135:$CW$186,MATCH(I$205,$A$135:$A$186,0),100),$B195:$CW195,"="&amp;"x",$B$133:$CW$133,"="&amp;"Y"),0)</f>
        <v>0</v>
      </c>
      <c r="J230">
        <f ca="1">IFERROR(SUMIFS(INDEX($B$135:$CW$186,MATCH(J$205,$A$135:$A$186,0),1):INDEX($B$135:$CW$186,MATCH(J$205,$A$135:$A$186,0),100),$B195:$CW195,"="&amp;"x",$B$133:$CW$133,"="&amp;"Y"),0)</f>
        <v>0</v>
      </c>
      <c r="K230">
        <f ca="1">IFERROR(SUMIFS(INDEX($B$135:$CW$186,MATCH(K$205,$A$135:$A$186,0),1):INDEX($B$135:$CW$186,MATCH(K$205,$A$135:$A$186,0),100),$B195:$CW195,"="&amp;"x",$B$133:$CW$133,"="&amp;"Y"),0)</f>
        <v>0</v>
      </c>
      <c r="L230">
        <f ca="1">IFERROR(SUMIFS(INDEX($B$135:$CW$186,MATCH(L$205,$A$135:$A$186,0),1):INDEX($B$135:$CW$186,MATCH(L$205,$A$135:$A$186,0),100),$B195:$CW195,"="&amp;"x",$B$133:$CW$133,"="&amp;"Y"),0)</f>
        <v>0</v>
      </c>
      <c r="M230">
        <f ca="1">IFERROR(SUMIFS(INDEX($B$135:$CW$186,MATCH(M$205,$A$135:$A$186,0),1):INDEX($B$135:$CW$186,MATCH(M$205,$A$135:$A$186,0),100),$B195:$CW195,"="&amp;"x",$B$133:$CW$133,"="&amp;"Y"),0)</f>
        <v>0</v>
      </c>
      <c r="N230">
        <f ca="1">IFERROR(SUMIFS(INDEX($B$135:$CW$186,MATCH(N$205,$A$135:$A$186,0),1):INDEX($B$135:$CW$186,MATCH(N$205,$A$135:$A$186,0),100),$B195:$CW195,"="&amp;"x",$B$133:$CW$133,"="&amp;"Y"),0)</f>
        <v>0</v>
      </c>
      <c r="O230">
        <f ca="1">IFERROR(SUMIFS(INDEX($B$135:$CW$186,MATCH(O$205,$A$135:$A$186,0),1):INDEX($B$135:$CW$186,MATCH(O$205,$A$135:$A$186,0),100),$B195:$CW195,"="&amp;"x",$B$133:$CW$133,"="&amp;"Y"),0)</f>
        <v>0</v>
      </c>
      <c r="P230">
        <f ca="1">IFERROR(SUMIFS(INDEX($B$135:$CW$186,MATCH(P$205,$A$135:$A$186,0),1):INDEX($B$135:$CW$186,MATCH(P$205,$A$135:$A$186,0),100),$B195:$CW195,"="&amp;"x",$B$133:$CW$133,"="&amp;"Y"),0)</f>
        <v>0</v>
      </c>
      <c r="Q230">
        <f ca="1">IFERROR(SUMIFS(INDEX($B$135:$CW$186,MATCH(Q$205,$A$135:$A$186,0),1):INDEX($B$135:$CW$186,MATCH(Q$205,$A$135:$A$186,0),100),$B195:$CW195,"="&amp;"x",$B$133:$CW$133,"="&amp;"Y"),0)</f>
        <v>0</v>
      </c>
      <c r="R230">
        <f ca="1">IFERROR(SUMIFS(INDEX($B$135:$CW$186,MATCH(R$205,$A$135:$A$186,0),1):INDEX($B$135:$CW$186,MATCH(R$205,$A$135:$A$186,0),100),$B195:$CW195,"="&amp;"x",$B$133:$CW$133,"="&amp;"Y"),0)</f>
        <v>0</v>
      </c>
      <c r="S230">
        <f ca="1">IFERROR(SUMIFS(INDEX($B$135:$CW$186,MATCH(S$205,$A$135:$A$186,0),1):INDEX($B$135:$CW$186,MATCH(S$205,$A$135:$A$186,0),100),$B195:$CW195,"="&amp;"x",$B$133:$CW$133,"="&amp;"Y"),0)</f>
        <v>0</v>
      </c>
      <c r="T230">
        <f ca="1">IFERROR(SUMIFS(INDEX($B$135:$CW$186,MATCH(T$205,$A$135:$A$186,0),1):INDEX($B$135:$CW$186,MATCH(T$205,$A$135:$A$186,0),100),$B195:$CW195,"="&amp;"x",$B$133:$CW$133,"="&amp;"Y"),0)</f>
        <v>0</v>
      </c>
      <c r="U230">
        <f ca="1">IFERROR(SUMIFS(INDEX($B$135:$CW$186,MATCH(U$205,$A$135:$A$186,0),1):INDEX($B$135:$CW$186,MATCH(U$205,$A$135:$A$186,0),100),$B195:$CW195,"="&amp;"x",$B$133:$CW$133,"="&amp;"Y"),0)</f>
        <v>0</v>
      </c>
      <c r="V230">
        <f ca="1">IFERROR(SUMIFS(INDEX($B$135:$CW$186,MATCH(V$205,$A$135:$A$186,0),1):INDEX($B$135:$CW$186,MATCH(V$205,$A$135:$A$186,0),100),$B195:$CW195,"="&amp;"x",$B$133:$CW$133,"="&amp;"Y"),0)</f>
        <v>0</v>
      </c>
      <c r="W230">
        <f ca="1">IFERROR(SUMIFS(INDEX($B$135:$CW$186,MATCH(W$205,$A$135:$A$186,0),1):INDEX($B$135:$CW$186,MATCH(W$205,$A$135:$A$186,0),100),$B195:$CW195,"="&amp;"x",$B$133:$CW$133,"="&amp;"Y"),0)</f>
        <v>0</v>
      </c>
      <c r="X230">
        <f ca="1">IFERROR(SUMIFS(INDEX($B$135:$CW$186,MATCH(X$205,$A$135:$A$186,0),1):INDEX($B$135:$CW$186,MATCH(X$205,$A$135:$A$186,0),100),$B195:$CW195,"="&amp;"x",$B$133:$CW$133,"="&amp;"Y"),0)</f>
        <v>0</v>
      </c>
      <c r="Y230">
        <f ca="1">IFERROR(SUMIFS(INDEX($B$135:$CW$186,MATCH(Y$205,$A$135:$A$186,0),1):INDEX($B$135:$CW$186,MATCH(Y$205,$A$135:$A$186,0),100),$B195:$CW195,"="&amp;"x",$B$133:$CW$133,"="&amp;"Y"),0)</f>
        <v>0</v>
      </c>
      <c r="Z230">
        <f ca="1">IFERROR(SUMIFS(INDEX($B$135:$CW$186,MATCH(Z$205,$A$135:$A$186,0),1):INDEX($B$135:$CW$186,MATCH(Z$205,$A$135:$A$186,0),100),$B195:$CW195,"="&amp;"x",$B$133:$CW$133,"="&amp;"Y"),0)</f>
        <v>0</v>
      </c>
      <c r="AA230">
        <f ca="1">IFERROR(SUMIFS(INDEX($B$135:$CW$186,MATCH(AA$205,$A$135:$A$186,0),1):INDEX($B$135:$CW$186,MATCH(AA$205,$A$135:$A$186,0),100),$B195:$CW195,"="&amp;"x",$B$133:$CW$133,"="&amp;"Y"),0)</f>
        <v>0</v>
      </c>
      <c r="AB230">
        <f ca="1">IFERROR(SUMIFS(INDEX($B$135:$CW$186,MATCH(AB$205,$A$135:$A$186,0),1):INDEX($B$135:$CW$186,MATCH(AB$205,$A$135:$A$186,0),100),$B195:$CW195,"="&amp;"x",$B$133:$CW$133,"="&amp;"Y"),0)</f>
        <v>0</v>
      </c>
      <c r="AC230">
        <f ca="1">IFERROR(SUMIFS(INDEX($B$135:$CW$186,MATCH(AC$205,$A$135:$A$186,0),1):INDEX($B$135:$CW$186,MATCH(AC$205,$A$135:$A$186,0),100),$B195:$CW195,"="&amp;"x",$B$133:$CW$133,"="&amp;"Y"),0)</f>
        <v>0</v>
      </c>
      <c r="AD230">
        <f ca="1">IFERROR(SUMIFS(INDEX($B$135:$CW$186,MATCH(AD$205,$A$135:$A$186,0),1):INDEX($B$135:$CW$186,MATCH(AD$205,$A$135:$A$186,0),100),$B195:$CW195,"="&amp;"x",$B$133:$CW$133,"="&amp;"Y"),0)</f>
        <v>0</v>
      </c>
      <c r="AE230">
        <f ca="1">IFERROR(SUMIFS(INDEX($B$135:$CW$186,MATCH(AE$205,$A$135:$A$186,0),1):INDEX($B$135:$CW$186,MATCH(AE$205,$A$135:$A$186,0),100),$B195:$CW195,"="&amp;"x",$B$133:$CW$133,"="&amp;"Y"),0)</f>
        <v>0</v>
      </c>
      <c r="AF230">
        <f ca="1">IFERROR(SUMIFS(INDEX($B$135:$CW$186,MATCH(AF$205,$A$135:$A$186,0),1):INDEX($B$135:$CW$186,MATCH(AF$205,$A$135:$A$186,0),100),$B195:$CW195,"="&amp;"x",$B$133:$CW$133,"="&amp;"Y"),0)</f>
        <v>0</v>
      </c>
      <c r="AG230">
        <f ca="1">IFERROR(SUMIFS(INDEX($B$135:$CW$186,MATCH(AG$205,$A$135:$A$186,0),1):INDEX($B$135:$CW$186,MATCH(AG$205,$A$135:$A$186,0),100),$B195:$CW195,"="&amp;"x",$B$133:$CW$133,"="&amp;"Y"),0)</f>
        <v>0</v>
      </c>
      <c r="AH230">
        <f ca="1">IFERROR(SUMIFS(INDEX($B$135:$CW$186,MATCH(AH$205,$A$135:$A$186,0),1):INDEX($B$135:$CW$186,MATCH(AH$205,$A$135:$A$186,0),100),$B195:$CW195,"="&amp;"x",$B$133:$CW$133,"="&amp;"Y"),0)</f>
        <v>0</v>
      </c>
      <c r="AI230">
        <f ca="1">IFERROR(SUMIFS(INDEX($B$135:$CW$186,MATCH(AI$205,$A$135:$A$186,0),1):INDEX($B$135:$CW$186,MATCH(AI$205,$A$135:$A$186,0),100),$B195:$CW195,"="&amp;"x",$B$133:$CW$133,"="&amp;"Y"),0)</f>
        <v>0</v>
      </c>
      <c r="AJ230">
        <f ca="1">IFERROR(SUMIFS(INDEX($B$135:$CW$186,MATCH(AJ$205,$A$135:$A$186,0),1):INDEX($B$135:$CW$186,MATCH(AJ$205,$A$135:$A$186,0),100),$B195:$CW195,"="&amp;"x",$B$133:$CW$133,"="&amp;"Y"),0)</f>
        <v>0</v>
      </c>
      <c r="AK230">
        <f ca="1">IFERROR(SUMIFS(INDEX($B$135:$CW$186,MATCH(AK$205,$A$135:$A$186,0),1):INDEX($B$135:$CW$186,MATCH(AK$205,$A$135:$A$186,0),100),$B195:$CW195,"="&amp;"x",$B$133:$CW$133,"="&amp;"Y"),0)</f>
        <v>0</v>
      </c>
      <c r="AL230">
        <f ca="1">IFERROR(SUMIFS(INDEX($B$135:$CW$186,MATCH(AL$205,$A$135:$A$186,0),1):INDEX($B$135:$CW$186,MATCH(AL$205,$A$135:$A$186,0),100),$B195:$CW195,"="&amp;"x",$B$133:$CW$133,"="&amp;"Y"),0)</f>
        <v>0</v>
      </c>
      <c r="AM230">
        <f ca="1">IFERROR(SUMIFS(INDEX($B$135:$CW$186,MATCH(AM$205,$A$135:$A$186,0),1):INDEX($B$135:$CW$186,MATCH(AM$205,$A$135:$A$186,0),100),$B195:$CW195,"="&amp;"x",$B$133:$CW$133,"="&amp;"Y"),0)</f>
        <v>0</v>
      </c>
      <c r="AN230">
        <f ca="1">IFERROR(SUMIFS(INDEX($B$135:$CW$186,MATCH(AN$205,$A$135:$A$186,0),1):INDEX($B$135:$CW$186,MATCH(AN$205,$A$135:$A$186,0),100),$B195:$CW195,"="&amp;"x",$B$133:$CW$133,"="&amp;"Y"),0)</f>
        <v>0</v>
      </c>
      <c r="AO230">
        <f ca="1">IFERROR(SUMIFS(INDEX($B$135:$CW$186,MATCH(AO$205,$A$135:$A$186,0),1):INDEX($B$135:$CW$186,MATCH(AO$205,$A$135:$A$186,0),100),$B195:$CW195,"="&amp;"x",$B$133:$CW$133,"="&amp;"Y"),0)</f>
        <v>0</v>
      </c>
      <c r="AP230">
        <f ca="1">IFERROR(SUMIFS(INDEX($B$135:$CW$186,MATCH(AP$205,$A$135:$A$186,0),1):INDEX($B$135:$CW$186,MATCH(AP$205,$A$135:$A$186,0),100),$B195:$CW195,"="&amp;"x",$B$133:$CW$133,"="&amp;"Y"),0)</f>
        <v>0</v>
      </c>
      <c r="AQ230">
        <f ca="1">IFERROR(SUMIFS(INDEX($B$135:$CW$186,MATCH(AQ$205,$A$135:$A$186,0),1):INDEX($B$135:$CW$186,MATCH(AQ$205,$A$135:$A$186,0),100),$B195:$CW195,"="&amp;"x",$B$133:$CW$133,"="&amp;"Y"),0)</f>
        <v>0</v>
      </c>
      <c r="AR230">
        <f ca="1">IFERROR(SUMIFS(INDEX($B$135:$CW$186,MATCH(AR$205,$A$135:$A$186,0),1):INDEX($B$135:$CW$186,MATCH(AR$205,$A$135:$A$186,0),100),$B195:$CW195,"="&amp;"x",$B$133:$CW$133,"="&amp;"Y"),0)</f>
        <v>0</v>
      </c>
      <c r="AS230">
        <f ca="1">IFERROR(SUMIFS(INDEX($B$135:$CW$186,MATCH(AS$205,$A$135:$A$186,0),1):INDEX($B$135:$CW$186,MATCH(AS$205,$A$135:$A$186,0),100),$B195:$CW195,"="&amp;"x",$B$133:$CW$133,"="&amp;"Y"),0)</f>
        <v>0</v>
      </c>
      <c r="AT230">
        <f ca="1">IFERROR(SUMIFS(INDEX($B$135:$CW$186,MATCH(AT$205,$A$135:$A$186,0),1):INDEX($B$135:$CW$186,MATCH(AT$205,$A$135:$A$186,0),100),$B195:$CW195,"="&amp;"x",$B$133:$CW$133,"="&amp;"Y"),0)</f>
        <v>0</v>
      </c>
      <c r="AU230">
        <f ca="1">IFERROR(SUMIFS(INDEX($B$135:$CW$186,MATCH(AU$205,$A$135:$A$186,0),1):INDEX($B$135:$CW$186,MATCH(AU$205,$A$135:$A$186,0),100),$B195:$CW195,"="&amp;"x",$B$133:$CW$133,"="&amp;"Y"),0)</f>
        <v>0</v>
      </c>
      <c r="AV230">
        <f ca="1">IFERROR(SUMIFS(INDEX($B$135:$CW$186,MATCH(AV$205,$A$135:$A$186,0),1):INDEX($B$135:$CW$186,MATCH(AV$205,$A$135:$A$186,0),100),$B195:$CW195,"="&amp;"x",$B$133:$CW$133,"="&amp;"Y"),0)</f>
        <v>0</v>
      </c>
      <c r="AW230">
        <f ca="1">IFERROR(SUMIFS(INDEX($B$135:$CW$186,MATCH(AW$205,$A$135:$A$186,0),1):INDEX($B$135:$CW$186,MATCH(AW$205,$A$135:$A$186,0),100),$B195:$CW195,"="&amp;"x",$B$133:$CW$133,"="&amp;"Y"),0)</f>
        <v>0</v>
      </c>
      <c r="AX230">
        <f ca="1">IFERROR(SUMIFS(INDEX($B$135:$CW$186,MATCH(AX$205,$A$135:$A$186,0),1):INDEX($B$135:$CW$186,MATCH(AX$205,$A$135:$A$186,0),100),$B195:$CW195,"="&amp;"x",$B$133:$CW$133,"="&amp;"Y"),0)</f>
        <v>0</v>
      </c>
      <c r="AY230">
        <f ca="1">IFERROR(SUMIFS(INDEX($B$135:$CW$186,MATCH(AY$205,$A$135:$A$186,0),1):INDEX($B$135:$CW$186,MATCH(AY$205,$A$135:$A$186,0),100),$B195:$CW195,"="&amp;"x",$B$133:$CW$133,"="&amp;"Y"),0)</f>
        <v>0</v>
      </c>
      <c r="AZ230">
        <f ca="1">IFERROR(SUMIFS(INDEX($B$135:$CW$186,MATCH(AZ$205,$A$135:$A$186,0),1):INDEX($B$135:$CW$186,MATCH(AZ$205,$A$135:$A$186,0),100),$B195:$CW195,"="&amp;"x",$B$133:$CW$133,"="&amp;"Y"),0)</f>
        <v>0</v>
      </c>
      <c r="BA230">
        <f ca="1">IFERROR(SUMIFS(INDEX($B$135:$CW$186,MATCH(BA$205,$A$135:$A$186,0),1):INDEX($B$135:$CW$186,MATCH(BA$205,$A$135:$A$186,0),100),$B195:$CW195,"="&amp;"x",$B$133:$CW$133,"="&amp;"Y"),0)</f>
        <v>0</v>
      </c>
      <c r="BC230">
        <f t="shared" ca="1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ca="1">IFERROR(SUMIFS(INDEX($B$135:$CW$186,MATCH(B$205,$A$135:$A$186,0),1):INDEX($B$135:$CW$186,MATCH(B$205,$A$135:$A$186,0),100),$B196:$CW196,"="&amp;"x",$B$133:$CW$133,"="&amp;"Y"),0)</f>
        <v>0</v>
      </c>
      <c r="C231">
        <f ca="1">IFERROR(SUMIFS(INDEX($B$135:$CW$186,MATCH(C$205,$A$135:$A$186,0),1):INDEX($B$135:$CW$186,MATCH(C$205,$A$135:$A$186,0),100),$B196:$CW196,"="&amp;"x",$B$133:$CW$133,"="&amp;"Y"),0)</f>
        <v>0</v>
      </c>
      <c r="D231">
        <f ca="1">IFERROR(SUMIFS(INDEX($B$135:$CW$186,MATCH(D$205,$A$135:$A$186,0),1):INDEX($B$135:$CW$186,MATCH(D$205,$A$135:$A$186,0),100),$B196:$CW196,"="&amp;"x",$B$133:$CW$133,"="&amp;"Y"),0)</f>
        <v>0</v>
      </c>
      <c r="E231">
        <f ca="1">IFERROR(SUMIFS(INDEX($B$135:$CW$186,MATCH(E$205,$A$135:$A$186,0),1):INDEX($B$135:$CW$186,MATCH(E$205,$A$135:$A$186,0),100),$B196:$CW196,"="&amp;"x",$B$133:$CW$133,"="&amp;"Y"),0)</f>
        <v>0</v>
      </c>
      <c r="F231">
        <f ca="1">IFERROR(SUMIFS(INDEX($B$135:$CW$186,MATCH(F$205,$A$135:$A$186,0),1):INDEX($B$135:$CW$186,MATCH(F$205,$A$135:$A$186,0),100),$B196:$CW196,"="&amp;"x",$B$133:$CW$133,"="&amp;"Y"),0)</f>
        <v>0</v>
      </c>
      <c r="G231">
        <f ca="1">IFERROR(SUMIFS(INDEX($B$135:$CW$186,MATCH(G$205,$A$135:$A$186,0),1):INDEX($B$135:$CW$186,MATCH(G$205,$A$135:$A$186,0),100),$B196:$CW196,"="&amp;"x",$B$133:$CW$133,"="&amp;"Y"),0)</f>
        <v>0</v>
      </c>
      <c r="H231">
        <f ca="1">IFERROR(SUMIFS(INDEX($B$135:$CW$186,MATCH(H$205,$A$135:$A$186,0),1):INDEX($B$135:$CW$186,MATCH(H$205,$A$135:$A$186,0),100),$B196:$CW196,"="&amp;"x",$B$133:$CW$133,"="&amp;"Y"),0)</f>
        <v>0</v>
      </c>
      <c r="I231">
        <f ca="1">IFERROR(SUMIFS(INDEX($B$135:$CW$186,MATCH(I$205,$A$135:$A$186,0),1):INDEX($B$135:$CW$186,MATCH(I$205,$A$135:$A$186,0),100),$B196:$CW196,"="&amp;"x",$B$133:$CW$133,"="&amp;"Y"),0)</f>
        <v>0</v>
      </c>
      <c r="J231">
        <f ca="1">IFERROR(SUMIFS(INDEX($B$135:$CW$186,MATCH(J$205,$A$135:$A$186,0),1):INDEX($B$135:$CW$186,MATCH(J$205,$A$135:$A$186,0),100),$B196:$CW196,"="&amp;"x",$B$133:$CW$133,"="&amp;"Y"),0)</f>
        <v>0</v>
      </c>
      <c r="K231">
        <f ca="1">IFERROR(SUMIFS(INDEX($B$135:$CW$186,MATCH(K$205,$A$135:$A$186,0),1):INDEX($B$135:$CW$186,MATCH(K$205,$A$135:$A$186,0),100),$B196:$CW196,"="&amp;"x",$B$133:$CW$133,"="&amp;"Y"),0)</f>
        <v>0</v>
      </c>
      <c r="L231">
        <f ca="1">IFERROR(SUMIFS(INDEX($B$135:$CW$186,MATCH(L$205,$A$135:$A$186,0),1):INDEX($B$135:$CW$186,MATCH(L$205,$A$135:$A$186,0),100),$B196:$CW196,"="&amp;"x",$B$133:$CW$133,"="&amp;"Y"),0)</f>
        <v>0</v>
      </c>
      <c r="M231">
        <f ca="1">IFERROR(SUMIFS(INDEX($B$135:$CW$186,MATCH(M$205,$A$135:$A$186,0),1):INDEX($B$135:$CW$186,MATCH(M$205,$A$135:$A$186,0),100),$B196:$CW196,"="&amp;"x",$B$133:$CW$133,"="&amp;"Y"),0)</f>
        <v>0</v>
      </c>
      <c r="N231">
        <f ca="1">IFERROR(SUMIFS(INDEX($B$135:$CW$186,MATCH(N$205,$A$135:$A$186,0),1):INDEX($B$135:$CW$186,MATCH(N$205,$A$135:$A$186,0),100),$B196:$CW196,"="&amp;"x",$B$133:$CW$133,"="&amp;"Y"),0)</f>
        <v>0</v>
      </c>
      <c r="O231">
        <f ca="1">IFERROR(SUMIFS(INDEX($B$135:$CW$186,MATCH(O$205,$A$135:$A$186,0),1):INDEX($B$135:$CW$186,MATCH(O$205,$A$135:$A$186,0),100),$B196:$CW196,"="&amp;"x",$B$133:$CW$133,"="&amp;"Y"),0)</f>
        <v>0</v>
      </c>
      <c r="P231">
        <f ca="1">IFERROR(SUMIFS(INDEX($B$135:$CW$186,MATCH(P$205,$A$135:$A$186,0),1):INDEX($B$135:$CW$186,MATCH(P$205,$A$135:$A$186,0),100),$B196:$CW196,"="&amp;"x",$B$133:$CW$133,"="&amp;"Y"),0)</f>
        <v>0</v>
      </c>
      <c r="Q231">
        <f ca="1">IFERROR(SUMIFS(INDEX($B$135:$CW$186,MATCH(Q$205,$A$135:$A$186,0),1):INDEX($B$135:$CW$186,MATCH(Q$205,$A$135:$A$186,0),100),$B196:$CW196,"="&amp;"x",$B$133:$CW$133,"="&amp;"Y"),0)</f>
        <v>0</v>
      </c>
      <c r="R231">
        <f ca="1">IFERROR(SUMIFS(INDEX($B$135:$CW$186,MATCH(R$205,$A$135:$A$186,0),1):INDEX($B$135:$CW$186,MATCH(R$205,$A$135:$A$186,0),100),$B196:$CW196,"="&amp;"x",$B$133:$CW$133,"="&amp;"Y"),0)</f>
        <v>0</v>
      </c>
      <c r="S231">
        <f ca="1">IFERROR(SUMIFS(INDEX($B$135:$CW$186,MATCH(S$205,$A$135:$A$186,0),1):INDEX($B$135:$CW$186,MATCH(S$205,$A$135:$A$186,0),100),$B196:$CW196,"="&amp;"x",$B$133:$CW$133,"="&amp;"Y"),0)</f>
        <v>0</v>
      </c>
      <c r="T231">
        <f ca="1">IFERROR(SUMIFS(INDEX($B$135:$CW$186,MATCH(T$205,$A$135:$A$186,0),1):INDEX($B$135:$CW$186,MATCH(T$205,$A$135:$A$186,0),100),$B196:$CW196,"="&amp;"x",$B$133:$CW$133,"="&amp;"Y"),0)</f>
        <v>0</v>
      </c>
      <c r="U231">
        <f ca="1">IFERROR(SUMIFS(INDEX($B$135:$CW$186,MATCH(U$205,$A$135:$A$186,0),1):INDEX($B$135:$CW$186,MATCH(U$205,$A$135:$A$186,0),100),$B196:$CW196,"="&amp;"x",$B$133:$CW$133,"="&amp;"Y"),0)</f>
        <v>0</v>
      </c>
      <c r="V231">
        <f ca="1">IFERROR(SUMIFS(INDEX($B$135:$CW$186,MATCH(V$205,$A$135:$A$186,0),1):INDEX($B$135:$CW$186,MATCH(V$205,$A$135:$A$186,0),100),$B196:$CW196,"="&amp;"x",$B$133:$CW$133,"="&amp;"Y"),0)</f>
        <v>0</v>
      </c>
      <c r="W231">
        <f ca="1">IFERROR(SUMIFS(INDEX($B$135:$CW$186,MATCH(W$205,$A$135:$A$186,0),1):INDEX($B$135:$CW$186,MATCH(W$205,$A$135:$A$186,0),100),$B196:$CW196,"="&amp;"x",$B$133:$CW$133,"="&amp;"Y"),0)</f>
        <v>0</v>
      </c>
      <c r="X231">
        <f ca="1">IFERROR(SUMIFS(INDEX($B$135:$CW$186,MATCH(X$205,$A$135:$A$186,0),1):INDEX($B$135:$CW$186,MATCH(X$205,$A$135:$A$186,0),100),$B196:$CW196,"="&amp;"x",$B$133:$CW$133,"="&amp;"Y"),0)</f>
        <v>0</v>
      </c>
      <c r="Y231">
        <f ca="1">IFERROR(SUMIFS(INDEX($B$135:$CW$186,MATCH(Y$205,$A$135:$A$186,0),1):INDEX($B$135:$CW$186,MATCH(Y$205,$A$135:$A$186,0),100),$B196:$CW196,"="&amp;"x",$B$133:$CW$133,"="&amp;"Y"),0)</f>
        <v>0</v>
      </c>
      <c r="Z231">
        <f ca="1">IFERROR(SUMIFS(INDEX($B$135:$CW$186,MATCH(Z$205,$A$135:$A$186,0),1):INDEX($B$135:$CW$186,MATCH(Z$205,$A$135:$A$186,0),100),$B196:$CW196,"="&amp;"x",$B$133:$CW$133,"="&amp;"Y"),0)</f>
        <v>0</v>
      </c>
      <c r="AA231">
        <f ca="1">IFERROR(SUMIFS(INDEX($B$135:$CW$186,MATCH(AA$205,$A$135:$A$186,0),1):INDEX($B$135:$CW$186,MATCH(AA$205,$A$135:$A$186,0),100),$B196:$CW196,"="&amp;"x",$B$133:$CW$133,"="&amp;"Y"),0)</f>
        <v>0</v>
      </c>
      <c r="AB231">
        <f ca="1">IFERROR(SUMIFS(INDEX($B$135:$CW$186,MATCH(AB$205,$A$135:$A$186,0),1):INDEX($B$135:$CW$186,MATCH(AB$205,$A$135:$A$186,0),100),$B196:$CW196,"="&amp;"x",$B$133:$CW$133,"="&amp;"Y"),0)</f>
        <v>0</v>
      </c>
      <c r="AC231">
        <f ca="1">IFERROR(SUMIFS(INDEX($B$135:$CW$186,MATCH(AC$205,$A$135:$A$186,0),1):INDEX($B$135:$CW$186,MATCH(AC$205,$A$135:$A$186,0),100),$B196:$CW196,"="&amp;"x",$B$133:$CW$133,"="&amp;"Y"),0)</f>
        <v>0</v>
      </c>
      <c r="AD231">
        <f ca="1">IFERROR(SUMIFS(INDEX($B$135:$CW$186,MATCH(AD$205,$A$135:$A$186,0),1):INDEX($B$135:$CW$186,MATCH(AD$205,$A$135:$A$186,0),100),$B196:$CW196,"="&amp;"x",$B$133:$CW$133,"="&amp;"Y"),0)</f>
        <v>0</v>
      </c>
      <c r="AE231">
        <f ca="1">IFERROR(SUMIFS(INDEX($B$135:$CW$186,MATCH(AE$205,$A$135:$A$186,0),1):INDEX($B$135:$CW$186,MATCH(AE$205,$A$135:$A$186,0),100),$B196:$CW196,"="&amp;"x",$B$133:$CW$133,"="&amp;"Y"),0)</f>
        <v>0</v>
      </c>
      <c r="AF231">
        <f ca="1">IFERROR(SUMIFS(INDEX($B$135:$CW$186,MATCH(AF$205,$A$135:$A$186,0),1):INDEX($B$135:$CW$186,MATCH(AF$205,$A$135:$A$186,0),100),$B196:$CW196,"="&amp;"x",$B$133:$CW$133,"="&amp;"Y"),0)</f>
        <v>0</v>
      </c>
      <c r="AG231">
        <f ca="1">IFERROR(SUMIFS(INDEX($B$135:$CW$186,MATCH(AG$205,$A$135:$A$186,0),1):INDEX($B$135:$CW$186,MATCH(AG$205,$A$135:$A$186,0),100),$B196:$CW196,"="&amp;"x",$B$133:$CW$133,"="&amp;"Y"),0)</f>
        <v>0</v>
      </c>
      <c r="AH231">
        <f ca="1">IFERROR(SUMIFS(INDEX($B$135:$CW$186,MATCH(AH$205,$A$135:$A$186,0),1):INDEX($B$135:$CW$186,MATCH(AH$205,$A$135:$A$186,0),100),$B196:$CW196,"="&amp;"x",$B$133:$CW$133,"="&amp;"Y"),0)</f>
        <v>0</v>
      </c>
      <c r="AI231">
        <f ca="1">IFERROR(SUMIFS(INDEX($B$135:$CW$186,MATCH(AI$205,$A$135:$A$186,0),1):INDEX($B$135:$CW$186,MATCH(AI$205,$A$135:$A$186,0),100),$B196:$CW196,"="&amp;"x",$B$133:$CW$133,"="&amp;"Y"),0)</f>
        <v>0</v>
      </c>
      <c r="AJ231">
        <f ca="1">IFERROR(SUMIFS(INDEX($B$135:$CW$186,MATCH(AJ$205,$A$135:$A$186,0),1):INDEX($B$135:$CW$186,MATCH(AJ$205,$A$135:$A$186,0),100),$B196:$CW196,"="&amp;"x",$B$133:$CW$133,"="&amp;"Y"),0)</f>
        <v>0</v>
      </c>
      <c r="AK231">
        <f ca="1">IFERROR(SUMIFS(INDEX($B$135:$CW$186,MATCH(AK$205,$A$135:$A$186,0),1):INDEX($B$135:$CW$186,MATCH(AK$205,$A$135:$A$186,0),100),$B196:$CW196,"="&amp;"x",$B$133:$CW$133,"="&amp;"Y"),0)</f>
        <v>0</v>
      </c>
      <c r="AL231">
        <f ca="1">IFERROR(SUMIFS(INDEX($B$135:$CW$186,MATCH(AL$205,$A$135:$A$186,0),1):INDEX($B$135:$CW$186,MATCH(AL$205,$A$135:$A$186,0),100),$B196:$CW196,"="&amp;"x",$B$133:$CW$133,"="&amp;"Y"),0)</f>
        <v>0</v>
      </c>
      <c r="AM231">
        <f ca="1">IFERROR(SUMIFS(INDEX($B$135:$CW$186,MATCH(AM$205,$A$135:$A$186,0),1):INDEX($B$135:$CW$186,MATCH(AM$205,$A$135:$A$186,0),100),$B196:$CW196,"="&amp;"x",$B$133:$CW$133,"="&amp;"Y"),0)</f>
        <v>0</v>
      </c>
      <c r="AN231">
        <f ca="1">IFERROR(SUMIFS(INDEX($B$135:$CW$186,MATCH(AN$205,$A$135:$A$186,0),1):INDEX($B$135:$CW$186,MATCH(AN$205,$A$135:$A$186,0),100),$B196:$CW196,"="&amp;"x",$B$133:$CW$133,"="&amp;"Y"),0)</f>
        <v>0</v>
      </c>
      <c r="AO231">
        <f ca="1">IFERROR(SUMIFS(INDEX($B$135:$CW$186,MATCH(AO$205,$A$135:$A$186,0),1):INDEX($B$135:$CW$186,MATCH(AO$205,$A$135:$A$186,0),100),$B196:$CW196,"="&amp;"x",$B$133:$CW$133,"="&amp;"Y"),0)</f>
        <v>0</v>
      </c>
      <c r="AP231">
        <f ca="1">IFERROR(SUMIFS(INDEX($B$135:$CW$186,MATCH(AP$205,$A$135:$A$186,0),1):INDEX($B$135:$CW$186,MATCH(AP$205,$A$135:$A$186,0),100),$B196:$CW196,"="&amp;"x",$B$133:$CW$133,"="&amp;"Y"),0)</f>
        <v>0</v>
      </c>
      <c r="AQ231">
        <f ca="1">IFERROR(SUMIFS(INDEX($B$135:$CW$186,MATCH(AQ$205,$A$135:$A$186,0),1):INDEX($B$135:$CW$186,MATCH(AQ$205,$A$135:$A$186,0),100),$B196:$CW196,"="&amp;"x",$B$133:$CW$133,"="&amp;"Y"),0)</f>
        <v>0</v>
      </c>
      <c r="AR231">
        <f ca="1">IFERROR(SUMIFS(INDEX($B$135:$CW$186,MATCH(AR$205,$A$135:$A$186,0),1):INDEX($B$135:$CW$186,MATCH(AR$205,$A$135:$A$186,0),100),$B196:$CW196,"="&amp;"x",$B$133:$CW$133,"="&amp;"Y"),0)</f>
        <v>0</v>
      </c>
      <c r="AS231">
        <f ca="1">IFERROR(SUMIFS(INDEX($B$135:$CW$186,MATCH(AS$205,$A$135:$A$186,0),1):INDEX($B$135:$CW$186,MATCH(AS$205,$A$135:$A$186,0),100),$B196:$CW196,"="&amp;"x",$B$133:$CW$133,"="&amp;"Y"),0)</f>
        <v>0</v>
      </c>
      <c r="AT231">
        <f ca="1">IFERROR(SUMIFS(INDEX($B$135:$CW$186,MATCH(AT$205,$A$135:$A$186,0),1):INDEX($B$135:$CW$186,MATCH(AT$205,$A$135:$A$186,0),100),$B196:$CW196,"="&amp;"x",$B$133:$CW$133,"="&amp;"Y"),0)</f>
        <v>0</v>
      </c>
      <c r="AU231">
        <f ca="1">IFERROR(SUMIFS(INDEX($B$135:$CW$186,MATCH(AU$205,$A$135:$A$186,0),1):INDEX($B$135:$CW$186,MATCH(AU$205,$A$135:$A$186,0),100),$B196:$CW196,"="&amp;"x",$B$133:$CW$133,"="&amp;"Y"),0)</f>
        <v>0</v>
      </c>
      <c r="AV231">
        <f ca="1">IFERROR(SUMIFS(INDEX($B$135:$CW$186,MATCH(AV$205,$A$135:$A$186,0),1):INDEX($B$135:$CW$186,MATCH(AV$205,$A$135:$A$186,0),100),$B196:$CW196,"="&amp;"x",$B$133:$CW$133,"="&amp;"Y"),0)</f>
        <v>0</v>
      </c>
      <c r="AW231">
        <f ca="1">IFERROR(SUMIFS(INDEX($B$135:$CW$186,MATCH(AW$205,$A$135:$A$186,0),1):INDEX($B$135:$CW$186,MATCH(AW$205,$A$135:$A$186,0),100),$B196:$CW196,"="&amp;"x",$B$133:$CW$133,"="&amp;"Y"),0)</f>
        <v>0</v>
      </c>
      <c r="AX231">
        <f ca="1">IFERROR(SUMIFS(INDEX($B$135:$CW$186,MATCH(AX$205,$A$135:$A$186,0),1):INDEX($B$135:$CW$186,MATCH(AX$205,$A$135:$A$186,0),100),$B196:$CW196,"="&amp;"x",$B$133:$CW$133,"="&amp;"Y"),0)</f>
        <v>0</v>
      </c>
      <c r="AY231">
        <f ca="1">IFERROR(SUMIFS(INDEX($B$135:$CW$186,MATCH(AY$205,$A$135:$A$186,0),1):INDEX($B$135:$CW$186,MATCH(AY$205,$A$135:$A$186,0),100),$B196:$CW196,"="&amp;"x",$B$133:$CW$133,"="&amp;"Y"),0)</f>
        <v>0</v>
      </c>
      <c r="AZ231">
        <f ca="1">IFERROR(SUMIFS(INDEX($B$135:$CW$186,MATCH(AZ$205,$A$135:$A$186,0),1):INDEX($B$135:$CW$186,MATCH(AZ$205,$A$135:$A$186,0),100),$B196:$CW196,"="&amp;"x",$B$133:$CW$133,"="&amp;"Y"),0)</f>
        <v>0</v>
      </c>
      <c r="BA231">
        <f ca="1">IFERROR(SUMIFS(INDEX($B$135:$CW$186,MATCH(BA$205,$A$135:$A$186,0),1):INDEX($B$135:$CW$186,MATCH(BA$205,$A$135:$A$186,0),100),$B196:$CW196,"="&amp;"x",$B$133:$CW$133,"="&amp;"Y"),0)</f>
        <v>0</v>
      </c>
      <c r="BC231">
        <f t="shared" ca="1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ca="1">IFERROR(SUMIFS(INDEX($B$135:$CW$186,MATCH(B$205,$A$135:$A$186,0),1):INDEX($B$135:$CW$186,MATCH(B$205,$A$135:$A$186,0),100),$B197:$CW197,"="&amp;"x",$B$133:$CW$133,"="&amp;"Y"),0)</f>
        <v>0</v>
      </c>
      <c r="C232">
        <f ca="1">IFERROR(SUMIFS(INDEX($B$135:$CW$186,MATCH(C$205,$A$135:$A$186,0),1):INDEX($B$135:$CW$186,MATCH(C$205,$A$135:$A$186,0),100),$B197:$CW197,"="&amp;"x",$B$133:$CW$133,"="&amp;"Y"),0)</f>
        <v>0</v>
      </c>
      <c r="D232">
        <f ca="1">IFERROR(SUMIFS(INDEX($B$135:$CW$186,MATCH(D$205,$A$135:$A$186,0),1):INDEX($B$135:$CW$186,MATCH(D$205,$A$135:$A$186,0),100),$B197:$CW197,"="&amp;"x",$B$133:$CW$133,"="&amp;"Y"),0)</f>
        <v>0</v>
      </c>
      <c r="E232">
        <f ca="1">IFERROR(SUMIFS(INDEX($B$135:$CW$186,MATCH(E$205,$A$135:$A$186,0),1):INDEX($B$135:$CW$186,MATCH(E$205,$A$135:$A$186,0),100),$B197:$CW197,"="&amp;"x",$B$133:$CW$133,"="&amp;"Y"),0)</f>
        <v>0</v>
      </c>
      <c r="F232">
        <f ca="1">IFERROR(SUMIFS(INDEX($B$135:$CW$186,MATCH(F$205,$A$135:$A$186,0),1):INDEX($B$135:$CW$186,MATCH(F$205,$A$135:$A$186,0),100),$B197:$CW197,"="&amp;"x",$B$133:$CW$133,"="&amp;"Y"),0)</f>
        <v>0</v>
      </c>
      <c r="G232">
        <f ca="1">IFERROR(SUMIFS(INDEX($B$135:$CW$186,MATCH(G$205,$A$135:$A$186,0),1):INDEX($B$135:$CW$186,MATCH(G$205,$A$135:$A$186,0),100),$B197:$CW197,"="&amp;"x",$B$133:$CW$133,"="&amp;"Y"),0)</f>
        <v>0</v>
      </c>
      <c r="H232">
        <f ca="1">IFERROR(SUMIFS(INDEX($B$135:$CW$186,MATCH(H$205,$A$135:$A$186,0),1):INDEX($B$135:$CW$186,MATCH(H$205,$A$135:$A$186,0),100),$B197:$CW197,"="&amp;"x",$B$133:$CW$133,"="&amp;"Y"),0)</f>
        <v>0</v>
      </c>
      <c r="I232">
        <f ca="1">IFERROR(SUMIFS(INDEX($B$135:$CW$186,MATCH(I$205,$A$135:$A$186,0),1):INDEX($B$135:$CW$186,MATCH(I$205,$A$135:$A$186,0),100),$B197:$CW197,"="&amp;"x",$B$133:$CW$133,"="&amp;"Y"),0)</f>
        <v>0</v>
      </c>
      <c r="J232">
        <f ca="1">IFERROR(SUMIFS(INDEX($B$135:$CW$186,MATCH(J$205,$A$135:$A$186,0),1):INDEX($B$135:$CW$186,MATCH(J$205,$A$135:$A$186,0),100),$B197:$CW197,"="&amp;"x",$B$133:$CW$133,"="&amp;"Y"),0)</f>
        <v>0</v>
      </c>
      <c r="K232">
        <f ca="1">IFERROR(SUMIFS(INDEX($B$135:$CW$186,MATCH(K$205,$A$135:$A$186,0),1):INDEX($B$135:$CW$186,MATCH(K$205,$A$135:$A$186,0),100),$B197:$CW197,"="&amp;"x",$B$133:$CW$133,"="&amp;"Y"),0)</f>
        <v>0</v>
      </c>
      <c r="L232">
        <f ca="1">IFERROR(SUMIFS(INDEX($B$135:$CW$186,MATCH(L$205,$A$135:$A$186,0),1):INDEX($B$135:$CW$186,MATCH(L$205,$A$135:$A$186,0),100),$B197:$CW197,"="&amp;"x",$B$133:$CW$133,"="&amp;"Y"),0)</f>
        <v>0</v>
      </c>
      <c r="M232">
        <f ca="1">IFERROR(SUMIFS(INDEX($B$135:$CW$186,MATCH(M$205,$A$135:$A$186,0),1):INDEX($B$135:$CW$186,MATCH(M$205,$A$135:$A$186,0),100),$B197:$CW197,"="&amp;"x",$B$133:$CW$133,"="&amp;"Y"),0)</f>
        <v>0</v>
      </c>
      <c r="N232">
        <f ca="1">IFERROR(SUMIFS(INDEX($B$135:$CW$186,MATCH(N$205,$A$135:$A$186,0),1):INDEX($B$135:$CW$186,MATCH(N$205,$A$135:$A$186,0),100),$B197:$CW197,"="&amp;"x",$B$133:$CW$133,"="&amp;"Y"),0)</f>
        <v>0</v>
      </c>
      <c r="O232">
        <f ca="1">IFERROR(SUMIFS(INDEX($B$135:$CW$186,MATCH(O$205,$A$135:$A$186,0),1):INDEX($B$135:$CW$186,MATCH(O$205,$A$135:$A$186,0),100),$B197:$CW197,"="&amp;"x",$B$133:$CW$133,"="&amp;"Y"),0)</f>
        <v>0</v>
      </c>
      <c r="P232">
        <f ca="1">IFERROR(SUMIFS(INDEX($B$135:$CW$186,MATCH(P$205,$A$135:$A$186,0),1):INDEX($B$135:$CW$186,MATCH(P$205,$A$135:$A$186,0),100),$B197:$CW197,"="&amp;"x",$B$133:$CW$133,"="&amp;"Y"),0)</f>
        <v>0</v>
      </c>
      <c r="Q232">
        <f ca="1">IFERROR(SUMIFS(INDEX($B$135:$CW$186,MATCH(Q$205,$A$135:$A$186,0),1):INDEX($B$135:$CW$186,MATCH(Q$205,$A$135:$A$186,0),100),$B197:$CW197,"="&amp;"x",$B$133:$CW$133,"="&amp;"Y"),0)</f>
        <v>0</v>
      </c>
      <c r="R232">
        <f ca="1">IFERROR(SUMIFS(INDEX($B$135:$CW$186,MATCH(R$205,$A$135:$A$186,0),1):INDEX($B$135:$CW$186,MATCH(R$205,$A$135:$A$186,0),100),$B197:$CW197,"="&amp;"x",$B$133:$CW$133,"="&amp;"Y"),0)</f>
        <v>0</v>
      </c>
      <c r="S232">
        <f ca="1">IFERROR(SUMIFS(INDEX($B$135:$CW$186,MATCH(S$205,$A$135:$A$186,0),1):INDEX($B$135:$CW$186,MATCH(S$205,$A$135:$A$186,0),100),$B197:$CW197,"="&amp;"x",$B$133:$CW$133,"="&amp;"Y"),0)</f>
        <v>0</v>
      </c>
      <c r="T232">
        <f ca="1">IFERROR(SUMIFS(INDEX($B$135:$CW$186,MATCH(T$205,$A$135:$A$186,0),1):INDEX($B$135:$CW$186,MATCH(T$205,$A$135:$A$186,0),100),$B197:$CW197,"="&amp;"x",$B$133:$CW$133,"="&amp;"Y"),0)</f>
        <v>0</v>
      </c>
      <c r="U232">
        <f ca="1">IFERROR(SUMIFS(INDEX($B$135:$CW$186,MATCH(U$205,$A$135:$A$186,0),1):INDEX($B$135:$CW$186,MATCH(U$205,$A$135:$A$186,0),100),$B197:$CW197,"="&amp;"x",$B$133:$CW$133,"="&amp;"Y"),0)</f>
        <v>0</v>
      </c>
      <c r="V232">
        <f ca="1">IFERROR(SUMIFS(INDEX($B$135:$CW$186,MATCH(V$205,$A$135:$A$186,0),1):INDEX($B$135:$CW$186,MATCH(V$205,$A$135:$A$186,0),100),$B197:$CW197,"="&amp;"x",$B$133:$CW$133,"="&amp;"Y"),0)</f>
        <v>0</v>
      </c>
      <c r="W232">
        <f ca="1">IFERROR(SUMIFS(INDEX($B$135:$CW$186,MATCH(W$205,$A$135:$A$186,0),1):INDEX($B$135:$CW$186,MATCH(W$205,$A$135:$A$186,0),100),$B197:$CW197,"="&amp;"x",$B$133:$CW$133,"="&amp;"Y"),0)</f>
        <v>0</v>
      </c>
      <c r="X232">
        <f ca="1">IFERROR(SUMIFS(INDEX($B$135:$CW$186,MATCH(X$205,$A$135:$A$186,0),1):INDEX($B$135:$CW$186,MATCH(X$205,$A$135:$A$186,0),100),$B197:$CW197,"="&amp;"x",$B$133:$CW$133,"="&amp;"Y"),0)</f>
        <v>0</v>
      </c>
      <c r="Y232">
        <f ca="1">IFERROR(SUMIFS(INDEX($B$135:$CW$186,MATCH(Y$205,$A$135:$A$186,0),1):INDEX($B$135:$CW$186,MATCH(Y$205,$A$135:$A$186,0),100),$B197:$CW197,"="&amp;"x",$B$133:$CW$133,"="&amp;"Y"),0)</f>
        <v>0</v>
      </c>
      <c r="Z232">
        <f ca="1">IFERROR(SUMIFS(INDEX($B$135:$CW$186,MATCH(Z$205,$A$135:$A$186,0),1):INDEX($B$135:$CW$186,MATCH(Z$205,$A$135:$A$186,0),100),$B197:$CW197,"="&amp;"x",$B$133:$CW$133,"="&amp;"Y"),0)</f>
        <v>0</v>
      </c>
      <c r="AA232">
        <f ca="1">IFERROR(SUMIFS(INDEX($B$135:$CW$186,MATCH(AA$205,$A$135:$A$186,0),1):INDEX($B$135:$CW$186,MATCH(AA$205,$A$135:$A$186,0),100),$B197:$CW197,"="&amp;"x",$B$133:$CW$133,"="&amp;"Y"),0)</f>
        <v>0</v>
      </c>
      <c r="AB232">
        <f ca="1">IFERROR(SUMIFS(INDEX($B$135:$CW$186,MATCH(AB$205,$A$135:$A$186,0),1):INDEX($B$135:$CW$186,MATCH(AB$205,$A$135:$A$186,0),100),$B197:$CW197,"="&amp;"x",$B$133:$CW$133,"="&amp;"Y"),0)</f>
        <v>0</v>
      </c>
      <c r="AC232">
        <f ca="1">IFERROR(SUMIFS(INDEX($B$135:$CW$186,MATCH(AC$205,$A$135:$A$186,0),1):INDEX($B$135:$CW$186,MATCH(AC$205,$A$135:$A$186,0),100),$B197:$CW197,"="&amp;"x",$B$133:$CW$133,"="&amp;"Y"),0)</f>
        <v>0</v>
      </c>
      <c r="AD232">
        <f ca="1">IFERROR(SUMIFS(INDEX($B$135:$CW$186,MATCH(AD$205,$A$135:$A$186,0),1):INDEX($B$135:$CW$186,MATCH(AD$205,$A$135:$A$186,0),100),$B197:$CW197,"="&amp;"x",$B$133:$CW$133,"="&amp;"Y"),0)</f>
        <v>0</v>
      </c>
      <c r="AE232">
        <f ca="1">IFERROR(SUMIFS(INDEX($B$135:$CW$186,MATCH(AE$205,$A$135:$A$186,0),1):INDEX($B$135:$CW$186,MATCH(AE$205,$A$135:$A$186,0),100),$B197:$CW197,"="&amp;"x",$B$133:$CW$133,"="&amp;"Y"),0)</f>
        <v>0</v>
      </c>
      <c r="AF232">
        <f ca="1">IFERROR(SUMIFS(INDEX($B$135:$CW$186,MATCH(AF$205,$A$135:$A$186,0),1):INDEX($B$135:$CW$186,MATCH(AF$205,$A$135:$A$186,0),100),$B197:$CW197,"="&amp;"x",$B$133:$CW$133,"="&amp;"Y"),0)</f>
        <v>0</v>
      </c>
      <c r="AG232">
        <f ca="1">IFERROR(SUMIFS(INDEX($B$135:$CW$186,MATCH(AG$205,$A$135:$A$186,0),1):INDEX($B$135:$CW$186,MATCH(AG$205,$A$135:$A$186,0),100),$B197:$CW197,"="&amp;"x",$B$133:$CW$133,"="&amp;"Y"),0)</f>
        <v>0</v>
      </c>
      <c r="AH232">
        <f ca="1">IFERROR(SUMIFS(INDEX($B$135:$CW$186,MATCH(AH$205,$A$135:$A$186,0),1):INDEX($B$135:$CW$186,MATCH(AH$205,$A$135:$A$186,0),100),$B197:$CW197,"="&amp;"x",$B$133:$CW$133,"="&amp;"Y"),0)</f>
        <v>0</v>
      </c>
      <c r="AI232">
        <f ca="1">IFERROR(SUMIFS(INDEX($B$135:$CW$186,MATCH(AI$205,$A$135:$A$186,0),1):INDEX($B$135:$CW$186,MATCH(AI$205,$A$135:$A$186,0),100),$B197:$CW197,"="&amp;"x",$B$133:$CW$133,"="&amp;"Y"),0)</f>
        <v>0</v>
      </c>
      <c r="AJ232">
        <f ca="1">IFERROR(SUMIFS(INDEX($B$135:$CW$186,MATCH(AJ$205,$A$135:$A$186,0),1):INDEX($B$135:$CW$186,MATCH(AJ$205,$A$135:$A$186,0),100),$B197:$CW197,"="&amp;"x",$B$133:$CW$133,"="&amp;"Y"),0)</f>
        <v>0</v>
      </c>
      <c r="AK232">
        <f ca="1">IFERROR(SUMIFS(INDEX($B$135:$CW$186,MATCH(AK$205,$A$135:$A$186,0),1):INDEX($B$135:$CW$186,MATCH(AK$205,$A$135:$A$186,0),100),$B197:$CW197,"="&amp;"x",$B$133:$CW$133,"="&amp;"Y"),0)</f>
        <v>0</v>
      </c>
      <c r="AL232">
        <f ca="1">IFERROR(SUMIFS(INDEX($B$135:$CW$186,MATCH(AL$205,$A$135:$A$186,0),1):INDEX($B$135:$CW$186,MATCH(AL$205,$A$135:$A$186,0),100),$B197:$CW197,"="&amp;"x",$B$133:$CW$133,"="&amp;"Y"),0)</f>
        <v>0</v>
      </c>
      <c r="AM232">
        <f ca="1">IFERROR(SUMIFS(INDEX($B$135:$CW$186,MATCH(AM$205,$A$135:$A$186,0),1):INDEX($B$135:$CW$186,MATCH(AM$205,$A$135:$A$186,0),100),$B197:$CW197,"="&amp;"x",$B$133:$CW$133,"="&amp;"Y"),0)</f>
        <v>0</v>
      </c>
      <c r="AN232">
        <f ca="1">IFERROR(SUMIFS(INDEX($B$135:$CW$186,MATCH(AN$205,$A$135:$A$186,0),1):INDEX($B$135:$CW$186,MATCH(AN$205,$A$135:$A$186,0),100),$B197:$CW197,"="&amp;"x",$B$133:$CW$133,"="&amp;"Y"),0)</f>
        <v>0</v>
      </c>
      <c r="AO232">
        <f ca="1">IFERROR(SUMIFS(INDEX($B$135:$CW$186,MATCH(AO$205,$A$135:$A$186,0),1):INDEX($B$135:$CW$186,MATCH(AO$205,$A$135:$A$186,0),100),$B197:$CW197,"="&amp;"x",$B$133:$CW$133,"="&amp;"Y"),0)</f>
        <v>0</v>
      </c>
      <c r="AP232">
        <f ca="1">IFERROR(SUMIFS(INDEX($B$135:$CW$186,MATCH(AP$205,$A$135:$A$186,0),1):INDEX($B$135:$CW$186,MATCH(AP$205,$A$135:$A$186,0),100),$B197:$CW197,"="&amp;"x",$B$133:$CW$133,"="&amp;"Y"),0)</f>
        <v>0</v>
      </c>
      <c r="AQ232">
        <f ca="1">IFERROR(SUMIFS(INDEX($B$135:$CW$186,MATCH(AQ$205,$A$135:$A$186,0),1):INDEX($B$135:$CW$186,MATCH(AQ$205,$A$135:$A$186,0),100),$B197:$CW197,"="&amp;"x",$B$133:$CW$133,"="&amp;"Y"),0)</f>
        <v>0</v>
      </c>
      <c r="AR232">
        <f ca="1">IFERROR(SUMIFS(INDEX($B$135:$CW$186,MATCH(AR$205,$A$135:$A$186,0),1):INDEX($B$135:$CW$186,MATCH(AR$205,$A$135:$A$186,0),100),$B197:$CW197,"="&amp;"x",$B$133:$CW$133,"="&amp;"Y"),0)</f>
        <v>0</v>
      </c>
      <c r="AS232">
        <f ca="1">IFERROR(SUMIFS(INDEX($B$135:$CW$186,MATCH(AS$205,$A$135:$A$186,0),1):INDEX($B$135:$CW$186,MATCH(AS$205,$A$135:$A$186,0),100),$B197:$CW197,"="&amp;"x",$B$133:$CW$133,"="&amp;"Y"),0)</f>
        <v>0</v>
      </c>
      <c r="AT232">
        <f ca="1">IFERROR(SUMIFS(INDEX($B$135:$CW$186,MATCH(AT$205,$A$135:$A$186,0),1):INDEX($B$135:$CW$186,MATCH(AT$205,$A$135:$A$186,0),100),$B197:$CW197,"="&amp;"x",$B$133:$CW$133,"="&amp;"Y"),0)</f>
        <v>0</v>
      </c>
      <c r="AU232">
        <f ca="1">IFERROR(SUMIFS(INDEX($B$135:$CW$186,MATCH(AU$205,$A$135:$A$186,0),1):INDEX($B$135:$CW$186,MATCH(AU$205,$A$135:$A$186,0),100),$B197:$CW197,"="&amp;"x",$B$133:$CW$133,"="&amp;"Y"),0)</f>
        <v>0</v>
      </c>
      <c r="AV232">
        <f ca="1">IFERROR(SUMIFS(INDEX($B$135:$CW$186,MATCH(AV$205,$A$135:$A$186,0),1):INDEX($B$135:$CW$186,MATCH(AV$205,$A$135:$A$186,0),100),$B197:$CW197,"="&amp;"x",$B$133:$CW$133,"="&amp;"Y"),0)</f>
        <v>0</v>
      </c>
      <c r="AW232">
        <f ca="1">IFERROR(SUMIFS(INDEX($B$135:$CW$186,MATCH(AW$205,$A$135:$A$186,0),1):INDEX($B$135:$CW$186,MATCH(AW$205,$A$135:$A$186,0),100),$B197:$CW197,"="&amp;"x",$B$133:$CW$133,"="&amp;"Y"),0)</f>
        <v>0</v>
      </c>
      <c r="AX232">
        <f ca="1">IFERROR(SUMIFS(INDEX($B$135:$CW$186,MATCH(AX$205,$A$135:$A$186,0),1):INDEX($B$135:$CW$186,MATCH(AX$205,$A$135:$A$186,0),100),$B197:$CW197,"="&amp;"x",$B$133:$CW$133,"="&amp;"Y"),0)</f>
        <v>0</v>
      </c>
      <c r="AY232">
        <f ca="1">IFERROR(SUMIFS(INDEX($B$135:$CW$186,MATCH(AY$205,$A$135:$A$186,0),1):INDEX($B$135:$CW$186,MATCH(AY$205,$A$135:$A$186,0),100),$B197:$CW197,"="&amp;"x",$B$133:$CW$133,"="&amp;"Y"),0)</f>
        <v>0</v>
      </c>
      <c r="AZ232">
        <f ca="1">IFERROR(SUMIFS(INDEX($B$135:$CW$186,MATCH(AZ$205,$A$135:$A$186,0),1):INDEX($B$135:$CW$186,MATCH(AZ$205,$A$135:$A$186,0),100),$B197:$CW197,"="&amp;"x",$B$133:$CW$133,"="&amp;"Y"),0)</f>
        <v>0</v>
      </c>
      <c r="BA232">
        <f ca="1">IFERROR(SUMIFS(INDEX($B$135:$CW$186,MATCH(BA$205,$A$135:$A$186,0),1):INDEX($B$135:$CW$186,MATCH(BA$205,$A$135:$A$186,0),100),$B197:$CW197,"="&amp;"x",$B$133:$CW$133,"="&amp;"Y"),0)</f>
        <v>0</v>
      </c>
      <c r="BC232">
        <f t="shared" ca="1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ca="1">IFERROR(SUMIFS(INDEX($B$135:$CW$186,MATCH(B$205,$A$135:$A$186,0),1):INDEX($B$135:$CW$186,MATCH(B$205,$A$135:$A$186,0),100),$B198:$CW198,"="&amp;"x",$B$133:$CW$133,"="&amp;"Y"),0)</f>
        <v>0</v>
      </c>
      <c r="C233">
        <f ca="1">IFERROR(SUMIFS(INDEX($B$135:$CW$186,MATCH(C$205,$A$135:$A$186,0),1):INDEX($B$135:$CW$186,MATCH(C$205,$A$135:$A$186,0),100),$B198:$CW198,"="&amp;"x",$B$133:$CW$133,"="&amp;"Y"),0)</f>
        <v>0</v>
      </c>
      <c r="D233">
        <f ca="1">IFERROR(SUMIFS(INDEX($B$135:$CW$186,MATCH(D$205,$A$135:$A$186,0),1):INDEX($B$135:$CW$186,MATCH(D$205,$A$135:$A$186,0),100),$B198:$CW198,"="&amp;"x",$B$133:$CW$133,"="&amp;"Y"),0)</f>
        <v>0</v>
      </c>
      <c r="E233">
        <f ca="1">IFERROR(SUMIFS(INDEX($B$135:$CW$186,MATCH(E$205,$A$135:$A$186,0),1):INDEX($B$135:$CW$186,MATCH(E$205,$A$135:$A$186,0),100),$B198:$CW198,"="&amp;"x",$B$133:$CW$133,"="&amp;"Y"),0)</f>
        <v>0</v>
      </c>
      <c r="F233">
        <f ca="1">IFERROR(SUMIFS(INDEX($B$135:$CW$186,MATCH(F$205,$A$135:$A$186,0),1):INDEX($B$135:$CW$186,MATCH(F$205,$A$135:$A$186,0),100),$B198:$CW198,"="&amp;"x",$B$133:$CW$133,"="&amp;"Y"),0)</f>
        <v>0</v>
      </c>
      <c r="G233">
        <f ca="1">IFERROR(SUMIFS(INDEX($B$135:$CW$186,MATCH(G$205,$A$135:$A$186,0),1):INDEX($B$135:$CW$186,MATCH(G$205,$A$135:$A$186,0),100),$B198:$CW198,"="&amp;"x",$B$133:$CW$133,"="&amp;"Y"),0)</f>
        <v>0</v>
      </c>
      <c r="H233">
        <f ca="1">IFERROR(SUMIFS(INDEX($B$135:$CW$186,MATCH(H$205,$A$135:$A$186,0),1):INDEX($B$135:$CW$186,MATCH(H$205,$A$135:$A$186,0),100),$B198:$CW198,"="&amp;"x",$B$133:$CW$133,"="&amp;"Y"),0)</f>
        <v>0</v>
      </c>
      <c r="I233">
        <f ca="1">IFERROR(SUMIFS(INDEX($B$135:$CW$186,MATCH(I$205,$A$135:$A$186,0),1):INDEX($B$135:$CW$186,MATCH(I$205,$A$135:$A$186,0),100),$B198:$CW198,"="&amp;"x",$B$133:$CW$133,"="&amp;"Y"),0)</f>
        <v>0</v>
      </c>
      <c r="J233">
        <f ca="1">IFERROR(SUMIFS(INDEX($B$135:$CW$186,MATCH(J$205,$A$135:$A$186,0),1):INDEX($B$135:$CW$186,MATCH(J$205,$A$135:$A$186,0),100),$B198:$CW198,"="&amp;"x",$B$133:$CW$133,"="&amp;"Y"),0)</f>
        <v>0</v>
      </c>
      <c r="K233">
        <f ca="1">IFERROR(SUMIFS(INDEX($B$135:$CW$186,MATCH(K$205,$A$135:$A$186,0),1):INDEX($B$135:$CW$186,MATCH(K$205,$A$135:$A$186,0),100),$B198:$CW198,"="&amp;"x",$B$133:$CW$133,"="&amp;"Y"),0)</f>
        <v>0</v>
      </c>
      <c r="L233">
        <f ca="1">IFERROR(SUMIFS(INDEX($B$135:$CW$186,MATCH(L$205,$A$135:$A$186,0),1):INDEX($B$135:$CW$186,MATCH(L$205,$A$135:$A$186,0),100),$B198:$CW198,"="&amp;"x",$B$133:$CW$133,"="&amp;"Y"),0)</f>
        <v>0</v>
      </c>
      <c r="M233">
        <f ca="1">IFERROR(SUMIFS(INDEX($B$135:$CW$186,MATCH(M$205,$A$135:$A$186,0),1):INDEX($B$135:$CW$186,MATCH(M$205,$A$135:$A$186,0),100),$B198:$CW198,"="&amp;"x",$B$133:$CW$133,"="&amp;"Y"),0)</f>
        <v>0</v>
      </c>
      <c r="N233">
        <f ca="1">IFERROR(SUMIFS(INDEX($B$135:$CW$186,MATCH(N$205,$A$135:$A$186,0),1):INDEX($B$135:$CW$186,MATCH(N$205,$A$135:$A$186,0),100),$B198:$CW198,"="&amp;"x",$B$133:$CW$133,"="&amp;"Y"),0)</f>
        <v>0</v>
      </c>
      <c r="O233">
        <f ca="1">IFERROR(SUMIFS(INDEX($B$135:$CW$186,MATCH(O$205,$A$135:$A$186,0),1):INDEX($B$135:$CW$186,MATCH(O$205,$A$135:$A$186,0),100),$B198:$CW198,"="&amp;"x",$B$133:$CW$133,"="&amp;"Y"),0)</f>
        <v>0</v>
      </c>
      <c r="P233">
        <f ca="1">IFERROR(SUMIFS(INDEX($B$135:$CW$186,MATCH(P$205,$A$135:$A$186,0),1):INDEX($B$135:$CW$186,MATCH(P$205,$A$135:$A$186,0),100),$B198:$CW198,"="&amp;"x",$B$133:$CW$133,"="&amp;"Y"),0)</f>
        <v>0</v>
      </c>
      <c r="Q233">
        <f ca="1">IFERROR(SUMIFS(INDEX($B$135:$CW$186,MATCH(Q$205,$A$135:$A$186,0),1):INDEX($B$135:$CW$186,MATCH(Q$205,$A$135:$A$186,0),100),$B198:$CW198,"="&amp;"x",$B$133:$CW$133,"="&amp;"Y"),0)</f>
        <v>0</v>
      </c>
      <c r="R233">
        <f ca="1">IFERROR(SUMIFS(INDEX($B$135:$CW$186,MATCH(R$205,$A$135:$A$186,0),1):INDEX($B$135:$CW$186,MATCH(R$205,$A$135:$A$186,0),100),$B198:$CW198,"="&amp;"x",$B$133:$CW$133,"="&amp;"Y"),0)</f>
        <v>0</v>
      </c>
      <c r="S233">
        <f ca="1">IFERROR(SUMIFS(INDEX($B$135:$CW$186,MATCH(S$205,$A$135:$A$186,0),1):INDEX($B$135:$CW$186,MATCH(S$205,$A$135:$A$186,0),100),$B198:$CW198,"="&amp;"x",$B$133:$CW$133,"="&amp;"Y"),0)</f>
        <v>0</v>
      </c>
      <c r="T233">
        <f ca="1">IFERROR(SUMIFS(INDEX($B$135:$CW$186,MATCH(T$205,$A$135:$A$186,0),1):INDEX($B$135:$CW$186,MATCH(T$205,$A$135:$A$186,0),100),$B198:$CW198,"="&amp;"x",$B$133:$CW$133,"="&amp;"Y"),0)</f>
        <v>0</v>
      </c>
      <c r="U233">
        <f ca="1">IFERROR(SUMIFS(INDEX($B$135:$CW$186,MATCH(U$205,$A$135:$A$186,0),1):INDEX($B$135:$CW$186,MATCH(U$205,$A$135:$A$186,0),100),$B198:$CW198,"="&amp;"x",$B$133:$CW$133,"="&amp;"Y"),0)</f>
        <v>0</v>
      </c>
      <c r="V233">
        <f ca="1">IFERROR(SUMIFS(INDEX($B$135:$CW$186,MATCH(V$205,$A$135:$A$186,0),1):INDEX($B$135:$CW$186,MATCH(V$205,$A$135:$A$186,0),100),$B198:$CW198,"="&amp;"x",$B$133:$CW$133,"="&amp;"Y"),0)</f>
        <v>0</v>
      </c>
      <c r="W233">
        <f ca="1">IFERROR(SUMIFS(INDEX($B$135:$CW$186,MATCH(W$205,$A$135:$A$186,0),1):INDEX($B$135:$CW$186,MATCH(W$205,$A$135:$A$186,0),100),$B198:$CW198,"="&amp;"x",$B$133:$CW$133,"="&amp;"Y"),0)</f>
        <v>0</v>
      </c>
      <c r="X233">
        <f ca="1">IFERROR(SUMIFS(INDEX($B$135:$CW$186,MATCH(X$205,$A$135:$A$186,0),1):INDEX($B$135:$CW$186,MATCH(X$205,$A$135:$A$186,0),100),$B198:$CW198,"="&amp;"x",$B$133:$CW$133,"="&amp;"Y"),0)</f>
        <v>0</v>
      </c>
      <c r="Y233">
        <f ca="1">IFERROR(SUMIFS(INDEX($B$135:$CW$186,MATCH(Y$205,$A$135:$A$186,0),1):INDEX($B$135:$CW$186,MATCH(Y$205,$A$135:$A$186,0),100),$B198:$CW198,"="&amp;"x",$B$133:$CW$133,"="&amp;"Y"),0)</f>
        <v>0</v>
      </c>
      <c r="Z233">
        <f ca="1">IFERROR(SUMIFS(INDEX($B$135:$CW$186,MATCH(Z$205,$A$135:$A$186,0),1):INDEX($B$135:$CW$186,MATCH(Z$205,$A$135:$A$186,0),100),$B198:$CW198,"="&amp;"x",$B$133:$CW$133,"="&amp;"Y"),0)</f>
        <v>0</v>
      </c>
      <c r="AA233">
        <f ca="1">IFERROR(SUMIFS(INDEX($B$135:$CW$186,MATCH(AA$205,$A$135:$A$186,0),1):INDEX($B$135:$CW$186,MATCH(AA$205,$A$135:$A$186,0),100),$B198:$CW198,"="&amp;"x",$B$133:$CW$133,"="&amp;"Y"),0)</f>
        <v>0</v>
      </c>
      <c r="AB233">
        <f ca="1">IFERROR(SUMIFS(INDEX($B$135:$CW$186,MATCH(AB$205,$A$135:$A$186,0),1):INDEX($B$135:$CW$186,MATCH(AB$205,$A$135:$A$186,0),100),$B198:$CW198,"="&amp;"x",$B$133:$CW$133,"="&amp;"Y"),0)</f>
        <v>0</v>
      </c>
      <c r="AC233">
        <f ca="1">IFERROR(SUMIFS(INDEX($B$135:$CW$186,MATCH(AC$205,$A$135:$A$186,0),1):INDEX($B$135:$CW$186,MATCH(AC$205,$A$135:$A$186,0),100),$B198:$CW198,"="&amp;"x",$B$133:$CW$133,"="&amp;"Y"),0)</f>
        <v>0</v>
      </c>
      <c r="AD233">
        <f ca="1">IFERROR(SUMIFS(INDEX($B$135:$CW$186,MATCH(AD$205,$A$135:$A$186,0),1):INDEX($B$135:$CW$186,MATCH(AD$205,$A$135:$A$186,0),100),$B198:$CW198,"="&amp;"x",$B$133:$CW$133,"="&amp;"Y"),0)</f>
        <v>0</v>
      </c>
      <c r="AE233">
        <f ca="1">IFERROR(SUMIFS(INDEX($B$135:$CW$186,MATCH(AE$205,$A$135:$A$186,0),1):INDEX($B$135:$CW$186,MATCH(AE$205,$A$135:$A$186,0),100),$B198:$CW198,"="&amp;"x",$B$133:$CW$133,"="&amp;"Y"),0)</f>
        <v>0</v>
      </c>
      <c r="AF233">
        <f ca="1">IFERROR(SUMIFS(INDEX($B$135:$CW$186,MATCH(AF$205,$A$135:$A$186,0),1):INDEX($B$135:$CW$186,MATCH(AF$205,$A$135:$A$186,0),100),$B198:$CW198,"="&amp;"x",$B$133:$CW$133,"="&amp;"Y"),0)</f>
        <v>0</v>
      </c>
      <c r="AG233">
        <f ca="1">IFERROR(SUMIFS(INDEX($B$135:$CW$186,MATCH(AG$205,$A$135:$A$186,0),1):INDEX($B$135:$CW$186,MATCH(AG$205,$A$135:$A$186,0),100),$B198:$CW198,"="&amp;"x",$B$133:$CW$133,"="&amp;"Y"),0)</f>
        <v>0</v>
      </c>
      <c r="AH233">
        <f ca="1">IFERROR(SUMIFS(INDEX($B$135:$CW$186,MATCH(AH$205,$A$135:$A$186,0),1):INDEX($B$135:$CW$186,MATCH(AH$205,$A$135:$A$186,0),100),$B198:$CW198,"="&amp;"x",$B$133:$CW$133,"="&amp;"Y"),0)</f>
        <v>0</v>
      </c>
      <c r="AI233">
        <f ca="1">IFERROR(SUMIFS(INDEX($B$135:$CW$186,MATCH(AI$205,$A$135:$A$186,0),1):INDEX($B$135:$CW$186,MATCH(AI$205,$A$135:$A$186,0),100),$B198:$CW198,"="&amp;"x",$B$133:$CW$133,"="&amp;"Y"),0)</f>
        <v>0</v>
      </c>
      <c r="AJ233">
        <f ca="1">IFERROR(SUMIFS(INDEX($B$135:$CW$186,MATCH(AJ$205,$A$135:$A$186,0),1):INDEX($B$135:$CW$186,MATCH(AJ$205,$A$135:$A$186,0),100),$B198:$CW198,"="&amp;"x",$B$133:$CW$133,"="&amp;"Y"),0)</f>
        <v>0</v>
      </c>
      <c r="AK233">
        <f ca="1">IFERROR(SUMIFS(INDEX($B$135:$CW$186,MATCH(AK$205,$A$135:$A$186,0),1):INDEX($B$135:$CW$186,MATCH(AK$205,$A$135:$A$186,0),100),$B198:$CW198,"="&amp;"x",$B$133:$CW$133,"="&amp;"Y"),0)</f>
        <v>0</v>
      </c>
      <c r="AL233">
        <f ca="1">IFERROR(SUMIFS(INDEX($B$135:$CW$186,MATCH(AL$205,$A$135:$A$186,0),1):INDEX($B$135:$CW$186,MATCH(AL$205,$A$135:$A$186,0),100),$B198:$CW198,"="&amp;"x",$B$133:$CW$133,"="&amp;"Y"),0)</f>
        <v>0</v>
      </c>
      <c r="AM233">
        <f ca="1">IFERROR(SUMIFS(INDEX($B$135:$CW$186,MATCH(AM$205,$A$135:$A$186,0),1):INDEX($B$135:$CW$186,MATCH(AM$205,$A$135:$A$186,0),100),$B198:$CW198,"="&amp;"x",$B$133:$CW$133,"="&amp;"Y"),0)</f>
        <v>0</v>
      </c>
      <c r="AN233">
        <f ca="1">IFERROR(SUMIFS(INDEX($B$135:$CW$186,MATCH(AN$205,$A$135:$A$186,0),1):INDEX($B$135:$CW$186,MATCH(AN$205,$A$135:$A$186,0),100),$B198:$CW198,"="&amp;"x",$B$133:$CW$133,"="&amp;"Y"),0)</f>
        <v>0</v>
      </c>
      <c r="AO233">
        <f ca="1">IFERROR(SUMIFS(INDEX($B$135:$CW$186,MATCH(AO$205,$A$135:$A$186,0),1):INDEX($B$135:$CW$186,MATCH(AO$205,$A$135:$A$186,0),100),$B198:$CW198,"="&amp;"x",$B$133:$CW$133,"="&amp;"Y"),0)</f>
        <v>0</v>
      </c>
      <c r="AP233">
        <f ca="1">IFERROR(SUMIFS(INDEX($B$135:$CW$186,MATCH(AP$205,$A$135:$A$186,0),1):INDEX($B$135:$CW$186,MATCH(AP$205,$A$135:$A$186,0),100),$B198:$CW198,"="&amp;"x",$B$133:$CW$133,"="&amp;"Y"),0)</f>
        <v>0</v>
      </c>
      <c r="AQ233">
        <f ca="1">IFERROR(SUMIFS(INDEX($B$135:$CW$186,MATCH(AQ$205,$A$135:$A$186,0),1):INDEX($B$135:$CW$186,MATCH(AQ$205,$A$135:$A$186,0),100),$B198:$CW198,"="&amp;"x",$B$133:$CW$133,"="&amp;"Y"),0)</f>
        <v>0</v>
      </c>
      <c r="AR233">
        <f ca="1">IFERROR(SUMIFS(INDEX($B$135:$CW$186,MATCH(AR$205,$A$135:$A$186,0),1):INDEX($B$135:$CW$186,MATCH(AR$205,$A$135:$A$186,0),100),$B198:$CW198,"="&amp;"x",$B$133:$CW$133,"="&amp;"Y"),0)</f>
        <v>0</v>
      </c>
      <c r="AS233">
        <f ca="1">IFERROR(SUMIFS(INDEX($B$135:$CW$186,MATCH(AS$205,$A$135:$A$186,0),1):INDEX($B$135:$CW$186,MATCH(AS$205,$A$135:$A$186,0),100),$B198:$CW198,"="&amp;"x",$B$133:$CW$133,"="&amp;"Y"),0)</f>
        <v>0</v>
      </c>
      <c r="AT233">
        <f ca="1">IFERROR(SUMIFS(INDEX($B$135:$CW$186,MATCH(AT$205,$A$135:$A$186,0),1):INDEX($B$135:$CW$186,MATCH(AT$205,$A$135:$A$186,0),100),$B198:$CW198,"="&amp;"x",$B$133:$CW$133,"="&amp;"Y"),0)</f>
        <v>0</v>
      </c>
      <c r="AU233">
        <f ca="1">IFERROR(SUMIFS(INDEX($B$135:$CW$186,MATCH(AU$205,$A$135:$A$186,0),1):INDEX($B$135:$CW$186,MATCH(AU$205,$A$135:$A$186,0),100),$B198:$CW198,"="&amp;"x",$B$133:$CW$133,"="&amp;"Y"),0)</f>
        <v>0</v>
      </c>
      <c r="AV233">
        <f ca="1">IFERROR(SUMIFS(INDEX($B$135:$CW$186,MATCH(AV$205,$A$135:$A$186,0),1):INDEX($B$135:$CW$186,MATCH(AV$205,$A$135:$A$186,0),100),$B198:$CW198,"="&amp;"x",$B$133:$CW$133,"="&amp;"Y"),0)</f>
        <v>0</v>
      </c>
      <c r="AW233">
        <f ca="1">IFERROR(SUMIFS(INDEX($B$135:$CW$186,MATCH(AW$205,$A$135:$A$186,0),1):INDEX($B$135:$CW$186,MATCH(AW$205,$A$135:$A$186,0),100),$B198:$CW198,"="&amp;"x",$B$133:$CW$133,"="&amp;"Y"),0)</f>
        <v>0</v>
      </c>
      <c r="AX233">
        <f ca="1">IFERROR(SUMIFS(INDEX($B$135:$CW$186,MATCH(AX$205,$A$135:$A$186,0),1):INDEX($B$135:$CW$186,MATCH(AX$205,$A$135:$A$186,0),100),$B198:$CW198,"="&amp;"x",$B$133:$CW$133,"="&amp;"Y"),0)</f>
        <v>0</v>
      </c>
      <c r="AY233">
        <f ca="1">IFERROR(SUMIFS(INDEX($B$135:$CW$186,MATCH(AY$205,$A$135:$A$186,0),1):INDEX($B$135:$CW$186,MATCH(AY$205,$A$135:$A$186,0),100),$B198:$CW198,"="&amp;"x",$B$133:$CW$133,"="&amp;"Y"),0)</f>
        <v>0</v>
      </c>
      <c r="AZ233">
        <f ca="1">IFERROR(SUMIFS(INDEX($B$135:$CW$186,MATCH(AZ$205,$A$135:$A$186,0),1):INDEX($B$135:$CW$186,MATCH(AZ$205,$A$135:$A$186,0),100),$B198:$CW198,"="&amp;"x",$B$133:$CW$133,"="&amp;"Y"),0)</f>
        <v>0</v>
      </c>
      <c r="BA233">
        <f ca="1">IFERROR(SUMIFS(INDEX($B$135:$CW$186,MATCH(BA$205,$A$135:$A$186,0),1):INDEX($B$135:$CW$186,MATCH(BA$205,$A$135:$A$186,0),100),$B198:$CW198,"="&amp;"x",$B$133:$CW$133,"="&amp;"Y"),0)</f>
        <v>0</v>
      </c>
      <c r="BC233">
        <f t="shared" ca="1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ca="1">IFERROR(SUMIFS(INDEX($B$135:$CW$186,MATCH(B$205,$A$135:$A$186,0),1):INDEX($B$135:$CW$186,MATCH(B$205,$A$135:$A$186,0),100),$B199:$CW199,"="&amp;"x",$B$133:$CW$133,"="&amp;"Y"),0)</f>
        <v>0</v>
      </c>
      <c r="C234">
        <f ca="1">IFERROR(SUMIFS(INDEX($B$135:$CW$186,MATCH(C$205,$A$135:$A$186,0),1):INDEX($B$135:$CW$186,MATCH(C$205,$A$135:$A$186,0),100),$B199:$CW199,"="&amp;"x",$B$133:$CW$133,"="&amp;"Y"),0)</f>
        <v>0</v>
      </c>
      <c r="D234">
        <f ca="1">IFERROR(SUMIFS(INDEX($B$135:$CW$186,MATCH(D$205,$A$135:$A$186,0),1):INDEX($B$135:$CW$186,MATCH(D$205,$A$135:$A$186,0),100),$B199:$CW199,"="&amp;"x",$B$133:$CW$133,"="&amp;"Y"),0)</f>
        <v>0</v>
      </c>
      <c r="E234">
        <f ca="1">IFERROR(SUMIFS(INDEX($B$135:$CW$186,MATCH(E$205,$A$135:$A$186,0),1):INDEX($B$135:$CW$186,MATCH(E$205,$A$135:$A$186,0),100),$B199:$CW199,"="&amp;"x",$B$133:$CW$133,"="&amp;"Y"),0)</f>
        <v>0</v>
      </c>
      <c r="F234">
        <f ca="1">IFERROR(SUMIFS(INDEX($B$135:$CW$186,MATCH(F$205,$A$135:$A$186,0),1):INDEX($B$135:$CW$186,MATCH(F$205,$A$135:$A$186,0),100),$B199:$CW199,"="&amp;"x",$B$133:$CW$133,"="&amp;"Y"),0)</f>
        <v>0</v>
      </c>
      <c r="G234">
        <f ca="1">IFERROR(SUMIFS(INDEX($B$135:$CW$186,MATCH(G$205,$A$135:$A$186,0),1):INDEX($B$135:$CW$186,MATCH(G$205,$A$135:$A$186,0),100),$B199:$CW199,"="&amp;"x",$B$133:$CW$133,"="&amp;"Y"),0)</f>
        <v>0</v>
      </c>
      <c r="H234">
        <f ca="1">IFERROR(SUMIFS(INDEX($B$135:$CW$186,MATCH(H$205,$A$135:$A$186,0),1):INDEX($B$135:$CW$186,MATCH(H$205,$A$135:$A$186,0),100),$B199:$CW199,"="&amp;"x",$B$133:$CW$133,"="&amp;"Y"),0)</f>
        <v>0</v>
      </c>
      <c r="I234">
        <f ca="1">IFERROR(SUMIFS(INDEX($B$135:$CW$186,MATCH(I$205,$A$135:$A$186,0),1):INDEX($B$135:$CW$186,MATCH(I$205,$A$135:$A$186,0),100),$B199:$CW199,"="&amp;"x",$B$133:$CW$133,"="&amp;"Y"),0)</f>
        <v>0</v>
      </c>
      <c r="J234">
        <f ca="1">IFERROR(SUMIFS(INDEX($B$135:$CW$186,MATCH(J$205,$A$135:$A$186,0),1):INDEX($B$135:$CW$186,MATCH(J$205,$A$135:$A$186,0),100),$B199:$CW199,"="&amp;"x",$B$133:$CW$133,"="&amp;"Y"),0)</f>
        <v>0</v>
      </c>
      <c r="K234">
        <f ca="1">IFERROR(SUMIFS(INDEX($B$135:$CW$186,MATCH(K$205,$A$135:$A$186,0),1):INDEX($B$135:$CW$186,MATCH(K$205,$A$135:$A$186,0),100),$B199:$CW199,"="&amp;"x",$B$133:$CW$133,"="&amp;"Y"),0)</f>
        <v>0</v>
      </c>
      <c r="L234">
        <f ca="1">IFERROR(SUMIFS(INDEX($B$135:$CW$186,MATCH(L$205,$A$135:$A$186,0),1):INDEX($B$135:$CW$186,MATCH(L$205,$A$135:$A$186,0),100),$B199:$CW199,"="&amp;"x",$B$133:$CW$133,"="&amp;"Y"),0)</f>
        <v>0</v>
      </c>
      <c r="M234">
        <f ca="1">IFERROR(SUMIFS(INDEX($B$135:$CW$186,MATCH(M$205,$A$135:$A$186,0),1):INDEX($B$135:$CW$186,MATCH(M$205,$A$135:$A$186,0),100),$B199:$CW199,"="&amp;"x",$B$133:$CW$133,"="&amp;"Y"),0)</f>
        <v>0</v>
      </c>
      <c r="N234">
        <f ca="1">IFERROR(SUMIFS(INDEX($B$135:$CW$186,MATCH(N$205,$A$135:$A$186,0),1):INDEX($B$135:$CW$186,MATCH(N$205,$A$135:$A$186,0),100),$B199:$CW199,"="&amp;"x",$B$133:$CW$133,"="&amp;"Y"),0)</f>
        <v>0</v>
      </c>
      <c r="O234">
        <f ca="1">IFERROR(SUMIFS(INDEX($B$135:$CW$186,MATCH(O$205,$A$135:$A$186,0),1):INDEX($B$135:$CW$186,MATCH(O$205,$A$135:$A$186,0),100),$B199:$CW199,"="&amp;"x",$B$133:$CW$133,"="&amp;"Y"),0)</f>
        <v>0</v>
      </c>
      <c r="P234">
        <f ca="1">IFERROR(SUMIFS(INDEX($B$135:$CW$186,MATCH(P$205,$A$135:$A$186,0),1):INDEX($B$135:$CW$186,MATCH(P$205,$A$135:$A$186,0),100),$B199:$CW199,"="&amp;"x",$B$133:$CW$133,"="&amp;"Y"),0)</f>
        <v>0</v>
      </c>
      <c r="Q234">
        <f ca="1">IFERROR(SUMIFS(INDEX($B$135:$CW$186,MATCH(Q$205,$A$135:$A$186,0),1):INDEX($B$135:$CW$186,MATCH(Q$205,$A$135:$A$186,0),100),$B199:$CW199,"="&amp;"x",$B$133:$CW$133,"="&amp;"Y"),0)</f>
        <v>0</v>
      </c>
      <c r="R234">
        <f ca="1">IFERROR(SUMIFS(INDEX($B$135:$CW$186,MATCH(R$205,$A$135:$A$186,0),1):INDEX($B$135:$CW$186,MATCH(R$205,$A$135:$A$186,0),100),$B199:$CW199,"="&amp;"x",$B$133:$CW$133,"="&amp;"Y"),0)</f>
        <v>0</v>
      </c>
      <c r="S234">
        <f ca="1">IFERROR(SUMIFS(INDEX($B$135:$CW$186,MATCH(S$205,$A$135:$A$186,0),1):INDEX($B$135:$CW$186,MATCH(S$205,$A$135:$A$186,0),100),$B199:$CW199,"="&amp;"x",$B$133:$CW$133,"="&amp;"Y"),0)</f>
        <v>0</v>
      </c>
      <c r="T234">
        <f ca="1">IFERROR(SUMIFS(INDEX($B$135:$CW$186,MATCH(T$205,$A$135:$A$186,0),1):INDEX($B$135:$CW$186,MATCH(T$205,$A$135:$A$186,0),100),$B199:$CW199,"="&amp;"x",$B$133:$CW$133,"="&amp;"Y"),0)</f>
        <v>0</v>
      </c>
      <c r="U234">
        <f ca="1">IFERROR(SUMIFS(INDEX($B$135:$CW$186,MATCH(U$205,$A$135:$A$186,0),1):INDEX($B$135:$CW$186,MATCH(U$205,$A$135:$A$186,0),100),$B199:$CW199,"="&amp;"x",$B$133:$CW$133,"="&amp;"Y"),0)</f>
        <v>0</v>
      </c>
      <c r="V234">
        <f ca="1">IFERROR(SUMIFS(INDEX($B$135:$CW$186,MATCH(V$205,$A$135:$A$186,0),1):INDEX($B$135:$CW$186,MATCH(V$205,$A$135:$A$186,0),100),$B199:$CW199,"="&amp;"x",$B$133:$CW$133,"="&amp;"Y"),0)</f>
        <v>0</v>
      </c>
      <c r="W234">
        <f ca="1">IFERROR(SUMIFS(INDEX($B$135:$CW$186,MATCH(W$205,$A$135:$A$186,0),1):INDEX($B$135:$CW$186,MATCH(W$205,$A$135:$A$186,0),100),$B199:$CW199,"="&amp;"x",$B$133:$CW$133,"="&amp;"Y"),0)</f>
        <v>0</v>
      </c>
      <c r="X234">
        <f ca="1">IFERROR(SUMIFS(INDEX($B$135:$CW$186,MATCH(X$205,$A$135:$A$186,0),1):INDEX($B$135:$CW$186,MATCH(X$205,$A$135:$A$186,0),100),$B199:$CW199,"="&amp;"x",$B$133:$CW$133,"="&amp;"Y"),0)</f>
        <v>0</v>
      </c>
      <c r="Y234">
        <f ca="1">IFERROR(SUMIFS(INDEX($B$135:$CW$186,MATCH(Y$205,$A$135:$A$186,0),1):INDEX($B$135:$CW$186,MATCH(Y$205,$A$135:$A$186,0),100),$B199:$CW199,"="&amp;"x",$B$133:$CW$133,"="&amp;"Y"),0)</f>
        <v>0</v>
      </c>
      <c r="Z234">
        <f ca="1">IFERROR(SUMIFS(INDEX($B$135:$CW$186,MATCH(Z$205,$A$135:$A$186,0),1):INDEX($B$135:$CW$186,MATCH(Z$205,$A$135:$A$186,0),100),$B199:$CW199,"="&amp;"x",$B$133:$CW$133,"="&amp;"Y"),0)</f>
        <v>0</v>
      </c>
      <c r="AA234">
        <f ca="1">IFERROR(SUMIFS(INDEX($B$135:$CW$186,MATCH(AA$205,$A$135:$A$186,0),1):INDEX($B$135:$CW$186,MATCH(AA$205,$A$135:$A$186,0),100),$B199:$CW199,"="&amp;"x",$B$133:$CW$133,"="&amp;"Y"),0)</f>
        <v>0</v>
      </c>
      <c r="AB234">
        <f ca="1">IFERROR(SUMIFS(INDEX($B$135:$CW$186,MATCH(AB$205,$A$135:$A$186,0),1):INDEX($B$135:$CW$186,MATCH(AB$205,$A$135:$A$186,0),100),$B199:$CW199,"="&amp;"x",$B$133:$CW$133,"="&amp;"Y"),0)</f>
        <v>0</v>
      </c>
      <c r="AC234">
        <f ca="1">IFERROR(SUMIFS(INDEX($B$135:$CW$186,MATCH(AC$205,$A$135:$A$186,0),1):INDEX($B$135:$CW$186,MATCH(AC$205,$A$135:$A$186,0),100),$B199:$CW199,"="&amp;"x",$B$133:$CW$133,"="&amp;"Y"),0)</f>
        <v>0</v>
      </c>
      <c r="AD234">
        <f ca="1">IFERROR(SUMIFS(INDEX($B$135:$CW$186,MATCH(AD$205,$A$135:$A$186,0),1):INDEX($B$135:$CW$186,MATCH(AD$205,$A$135:$A$186,0),100),$B199:$CW199,"="&amp;"x",$B$133:$CW$133,"="&amp;"Y"),0)</f>
        <v>0</v>
      </c>
      <c r="AE234">
        <f ca="1">IFERROR(SUMIFS(INDEX($B$135:$CW$186,MATCH(AE$205,$A$135:$A$186,0),1):INDEX($B$135:$CW$186,MATCH(AE$205,$A$135:$A$186,0),100),$B199:$CW199,"="&amp;"x",$B$133:$CW$133,"="&amp;"Y"),0)</f>
        <v>0</v>
      </c>
      <c r="AF234">
        <f ca="1">IFERROR(SUMIFS(INDEX($B$135:$CW$186,MATCH(AF$205,$A$135:$A$186,0),1):INDEX($B$135:$CW$186,MATCH(AF$205,$A$135:$A$186,0),100),$B199:$CW199,"="&amp;"x",$B$133:$CW$133,"="&amp;"Y"),0)</f>
        <v>0</v>
      </c>
      <c r="AG234">
        <f ca="1">IFERROR(SUMIFS(INDEX($B$135:$CW$186,MATCH(AG$205,$A$135:$A$186,0),1):INDEX($B$135:$CW$186,MATCH(AG$205,$A$135:$A$186,0),100),$B199:$CW199,"="&amp;"x",$B$133:$CW$133,"="&amp;"Y"),0)</f>
        <v>0</v>
      </c>
      <c r="AH234">
        <f ca="1">IFERROR(SUMIFS(INDEX($B$135:$CW$186,MATCH(AH$205,$A$135:$A$186,0),1):INDEX($B$135:$CW$186,MATCH(AH$205,$A$135:$A$186,0),100),$B199:$CW199,"="&amp;"x",$B$133:$CW$133,"="&amp;"Y"),0)</f>
        <v>0</v>
      </c>
      <c r="AI234">
        <f ca="1">IFERROR(SUMIFS(INDEX($B$135:$CW$186,MATCH(AI$205,$A$135:$A$186,0),1):INDEX($B$135:$CW$186,MATCH(AI$205,$A$135:$A$186,0),100),$B199:$CW199,"="&amp;"x",$B$133:$CW$133,"="&amp;"Y"),0)</f>
        <v>0</v>
      </c>
      <c r="AJ234">
        <f ca="1">IFERROR(SUMIFS(INDEX($B$135:$CW$186,MATCH(AJ$205,$A$135:$A$186,0),1):INDEX($B$135:$CW$186,MATCH(AJ$205,$A$135:$A$186,0),100),$B199:$CW199,"="&amp;"x",$B$133:$CW$133,"="&amp;"Y"),0)</f>
        <v>0</v>
      </c>
      <c r="AK234">
        <f ca="1">IFERROR(SUMIFS(INDEX($B$135:$CW$186,MATCH(AK$205,$A$135:$A$186,0),1):INDEX($B$135:$CW$186,MATCH(AK$205,$A$135:$A$186,0),100),$B199:$CW199,"="&amp;"x",$B$133:$CW$133,"="&amp;"Y"),0)</f>
        <v>0</v>
      </c>
      <c r="AL234">
        <f ca="1">IFERROR(SUMIFS(INDEX($B$135:$CW$186,MATCH(AL$205,$A$135:$A$186,0),1):INDEX($B$135:$CW$186,MATCH(AL$205,$A$135:$A$186,0),100),$B199:$CW199,"="&amp;"x",$B$133:$CW$133,"="&amp;"Y"),0)</f>
        <v>0</v>
      </c>
      <c r="AM234">
        <f ca="1">IFERROR(SUMIFS(INDEX($B$135:$CW$186,MATCH(AM$205,$A$135:$A$186,0),1):INDEX($B$135:$CW$186,MATCH(AM$205,$A$135:$A$186,0),100),$B199:$CW199,"="&amp;"x",$B$133:$CW$133,"="&amp;"Y"),0)</f>
        <v>0</v>
      </c>
      <c r="AN234">
        <f ca="1">IFERROR(SUMIFS(INDEX($B$135:$CW$186,MATCH(AN$205,$A$135:$A$186,0),1):INDEX($B$135:$CW$186,MATCH(AN$205,$A$135:$A$186,0),100),$B199:$CW199,"="&amp;"x",$B$133:$CW$133,"="&amp;"Y"),0)</f>
        <v>0</v>
      </c>
      <c r="AO234">
        <f ca="1">IFERROR(SUMIFS(INDEX($B$135:$CW$186,MATCH(AO$205,$A$135:$A$186,0),1):INDEX($B$135:$CW$186,MATCH(AO$205,$A$135:$A$186,0),100),$B199:$CW199,"="&amp;"x",$B$133:$CW$133,"="&amp;"Y"),0)</f>
        <v>0</v>
      </c>
      <c r="AP234">
        <f ca="1">IFERROR(SUMIFS(INDEX($B$135:$CW$186,MATCH(AP$205,$A$135:$A$186,0),1):INDEX($B$135:$CW$186,MATCH(AP$205,$A$135:$A$186,0),100),$B199:$CW199,"="&amp;"x",$B$133:$CW$133,"="&amp;"Y"),0)</f>
        <v>0</v>
      </c>
      <c r="AQ234">
        <f ca="1">IFERROR(SUMIFS(INDEX($B$135:$CW$186,MATCH(AQ$205,$A$135:$A$186,0),1):INDEX($B$135:$CW$186,MATCH(AQ$205,$A$135:$A$186,0),100),$B199:$CW199,"="&amp;"x",$B$133:$CW$133,"="&amp;"Y"),0)</f>
        <v>0</v>
      </c>
      <c r="AR234">
        <f ca="1">IFERROR(SUMIFS(INDEX($B$135:$CW$186,MATCH(AR$205,$A$135:$A$186,0),1):INDEX($B$135:$CW$186,MATCH(AR$205,$A$135:$A$186,0),100),$B199:$CW199,"="&amp;"x",$B$133:$CW$133,"="&amp;"Y"),0)</f>
        <v>0</v>
      </c>
      <c r="AS234">
        <f ca="1">IFERROR(SUMIFS(INDEX($B$135:$CW$186,MATCH(AS$205,$A$135:$A$186,0),1):INDEX($B$135:$CW$186,MATCH(AS$205,$A$135:$A$186,0),100),$B199:$CW199,"="&amp;"x",$B$133:$CW$133,"="&amp;"Y"),0)</f>
        <v>0</v>
      </c>
      <c r="AT234">
        <f ca="1">IFERROR(SUMIFS(INDEX($B$135:$CW$186,MATCH(AT$205,$A$135:$A$186,0),1):INDEX($B$135:$CW$186,MATCH(AT$205,$A$135:$A$186,0),100),$B199:$CW199,"="&amp;"x",$B$133:$CW$133,"="&amp;"Y"),0)</f>
        <v>0</v>
      </c>
      <c r="AU234">
        <f ca="1">IFERROR(SUMIFS(INDEX($B$135:$CW$186,MATCH(AU$205,$A$135:$A$186,0),1):INDEX($B$135:$CW$186,MATCH(AU$205,$A$135:$A$186,0),100),$B199:$CW199,"="&amp;"x",$B$133:$CW$133,"="&amp;"Y"),0)</f>
        <v>0</v>
      </c>
      <c r="AV234">
        <f ca="1">IFERROR(SUMIFS(INDEX($B$135:$CW$186,MATCH(AV$205,$A$135:$A$186,0),1):INDEX($B$135:$CW$186,MATCH(AV$205,$A$135:$A$186,0),100),$B199:$CW199,"="&amp;"x",$B$133:$CW$133,"="&amp;"Y"),0)</f>
        <v>0</v>
      </c>
      <c r="AW234">
        <f ca="1">IFERROR(SUMIFS(INDEX($B$135:$CW$186,MATCH(AW$205,$A$135:$A$186,0),1):INDEX($B$135:$CW$186,MATCH(AW$205,$A$135:$A$186,0),100),$B199:$CW199,"="&amp;"x",$B$133:$CW$133,"="&amp;"Y"),0)</f>
        <v>0</v>
      </c>
      <c r="AX234">
        <f ca="1">IFERROR(SUMIFS(INDEX($B$135:$CW$186,MATCH(AX$205,$A$135:$A$186,0),1):INDEX($B$135:$CW$186,MATCH(AX$205,$A$135:$A$186,0),100),$B199:$CW199,"="&amp;"x",$B$133:$CW$133,"="&amp;"Y"),0)</f>
        <v>0</v>
      </c>
      <c r="AY234">
        <f ca="1">IFERROR(SUMIFS(INDEX($B$135:$CW$186,MATCH(AY$205,$A$135:$A$186,0),1):INDEX($B$135:$CW$186,MATCH(AY$205,$A$135:$A$186,0),100),$B199:$CW199,"="&amp;"x",$B$133:$CW$133,"="&amp;"Y"),0)</f>
        <v>0</v>
      </c>
      <c r="AZ234">
        <f ca="1">IFERROR(SUMIFS(INDEX($B$135:$CW$186,MATCH(AZ$205,$A$135:$A$186,0),1):INDEX($B$135:$CW$186,MATCH(AZ$205,$A$135:$A$186,0),100),$B199:$CW199,"="&amp;"x",$B$133:$CW$133,"="&amp;"Y"),0)</f>
        <v>0</v>
      </c>
      <c r="BA234">
        <f ca="1">IFERROR(SUMIFS(INDEX($B$135:$CW$186,MATCH(BA$205,$A$135:$A$186,0),1):INDEX($B$135:$CW$186,MATCH(BA$205,$A$135:$A$186,0),100),$B199:$CW199,"="&amp;"x",$B$133:$CW$133,"="&amp;"Y"),0)</f>
        <v>0</v>
      </c>
      <c r="BC234">
        <f t="shared" ca="1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ca="1">IFERROR(SUMIFS(INDEX($B$135:$CW$186,MATCH(B$205,$A$135:$A$186,0),1):INDEX($B$135:$CW$186,MATCH(B$205,$A$135:$A$186,0),100),$B200:$CW200,"="&amp;"x",$B$133:$CW$133,"="&amp;"Y"),0)</f>
        <v>0</v>
      </c>
      <c r="C235">
        <f ca="1">IFERROR(SUMIFS(INDEX($B$135:$CW$186,MATCH(C$205,$A$135:$A$186,0),1):INDEX($B$135:$CW$186,MATCH(C$205,$A$135:$A$186,0),100),$B200:$CW200,"="&amp;"x",$B$133:$CW$133,"="&amp;"Y"),0)</f>
        <v>0</v>
      </c>
      <c r="D235">
        <f ca="1">IFERROR(SUMIFS(INDEX($B$135:$CW$186,MATCH(D$205,$A$135:$A$186,0),1):INDEX($B$135:$CW$186,MATCH(D$205,$A$135:$A$186,0),100),$B200:$CW200,"="&amp;"x",$B$133:$CW$133,"="&amp;"Y"),0)</f>
        <v>0</v>
      </c>
      <c r="E235">
        <f ca="1">IFERROR(SUMIFS(INDEX($B$135:$CW$186,MATCH(E$205,$A$135:$A$186,0),1):INDEX($B$135:$CW$186,MATCH(E$205,$A$135:$A$186,0),100),$B200:$CW200,"="&amp;"x",$B$133:$CW$133,"="&amp;"Y"),0)</f>
        <v>0</v>
      </c>
      <c r="F235">
        <f ca="1">IFERROR(SUMIFS(INDEX($B$135:$CW$186,MATCH(F$205,$A$135:$A$186,0),1):INDEX($B$135:$CW$186,MATCH(F$205,$A$135:$A$186,0),100),$B200:$CW200,"="&amp;"x",$B$133:$CW$133,"="&amp;"Y"),0)</f>
        <v>0</v>
      </c>
      <c r="G235">
        <f ca="1">IFERROR(SUMIFS(INDEX($B$135:$CW$186,MATCH(G$205,$A$135:$A$186,0),1):INDEX($B$135:$CW$186,MATCH(G$205,$A$135:$A$186,0),100),$B200:$CW200,"="&amp;"x",$B$133:$CW$133,"="&amp;"Y"),0)</f>
        <v>0</v>
      </c>
      <c r="H235">
        <f ca="1">IFERROR(SUMIFS(INDEX($B$135:$CW$186,MATCH(H$205,$A$135:$A$186,0),1):INDEX($B$135:$CW$186,MATCH(H$205,$A$135:$A$186,0),100),$B200:$CW200,"="&amp;"x",$B$133:$CW$133,"="&amp;"Y"),0)</f>
        <v>0</v>
      </c>
      <c r="I235">
        <f ca="1">IFERROR(SUMIFS(INDEX($B$135:$CW$186,MATCH(I$205,$A$135:$A$186,0),1):INDEX($B$135:$CW$186,MATCH(I$205,$A$135:$A$186,0),100),$B200:$CW200,"="&amp;"x",$B$133:$CW$133,"="&amp;"Y"),0)</f>
        <v>0</v>
      </c>
      <c r="J235">
        <f ca="1">IFERROR(SUMIFS(INDEX($B$135:$CW$186,MATCH(J$205,$A$135:$A$186,0),1):INDEX($B$135:$CW$186,MATCH(J$205,$A$135:$A$186,0),100),$B200:$CW200,"="&amp;"x",$B$133:$CW$133,"="&amp;"Y"),0)</f>
        <v>0</v>
      </c>
      <c r="K235">
        <f ca="1">IFERROR(SUMIFS(INDEX($B$135:$CW$186,MATCH(K$205,$A$135:$A$186,0),1):INDEX($B$135:$CW$186,MATCH(K$205,$A$135:$A$186,0),100),$B200:$CW200,"="&amp;"x",$B$133:$CW$133,"="&amp;"Y"),0)</f>
        <v>0</v>
      </c>
      <c r="L235">
        <f ca="1">IFERROR(SUMIFS(INDEX($B$135:$CW$186,MATCH(L$205,$A$135:$A$186,0),1):INDEX($B$135:$CW$186,MATCH(L$205,$A$135:$A$186,0),100),$B200:$CW200,"="&amp;"x",$B$133:$CW$133,"="&amp;"Y"),0)</f>
        <v>0</v>
      </c>
      <c r="M235">
        <f ca="1">IFERROR(SUMIFS(INDEX($B$135:$CW$186,MATCH(M$205,$A$135:$A$186,0),1):INDEX($B$135:$CW$186,MATCH(M$205,$A$135:$A$186,0),100),$B200:$CW200,"="&amp;"x",$B$133:$CW$133,"="&amp;"Y"),0)</f>
        <v>0</v>
      </c>
      <c r="N235">
        <f ca="1">IFERROR(SUMIFS(INDEX($B$135:$CW$186,MATCH(N$205,$A$135:$A$186,0),1):INDEX($B$135:$CW$186,MATCH(N$205,$A$135:$A$186,0),100),$B200:$CW200,"="&amp;"x",$B$133:$CW$133,"="&amp;"Y"),0)</f>
        <v>0</v>
      </c>
      <c r="O235">
        <f ca="1">IFERROR(SUMIFS(INDEX($B$135:$CW$186,MATCH(O$205,$A$135:$A$186,0),1):INDEX($B$135:$CW$186,MATCH(O$205,$A$135:$A$186,0),100),$B200:$CW200,"="&amp;"x",$B$133:$CW$133,"="&amp;"Y"),0)</f>
        <v>0</v>
      </c>
      <c r="P235">
        <f ca="1">IFERROR(SUMIFS(INDEX($B$135:$CW$186,MATCH(P$205,$A$135:$A$186,0),1):INDEX($B$135:$CW$186,MATCH(P$205,$A$135:$A$186,0),100),$B200:$CW200,"="&amp;"x",$B$133:$CW$133,"="&amp;"Y"),0)</f>
        <v>0</v>
      </c>
      <c r="Q235">
        <f ca="1">IFERROR(SUMIFS(INDEX($B$135:$CW$186,MATCH(Q$205,$A$135:$A$186,0),1):INDEX($B$135:$CW$186,MATCH(Q$205,$A$135:$A$186,0),100),$B200:$CW200,"="&amp;"x",$B$133:$CW$133,"="&amp;"Y"),0)</f>
        <v>0</v>
      </c>
      <c r="R235">
        <f ca="1">IFERROR(SUMIFS(INDEX($B$135:$CW$186,MATCH(R$205,$A$135:$A$186,0),1):INDEX($B$135:$CW$186,MATCH(R$205,$A$135:$A$186,0),100),$B200:$CW200,"="&amp;"x",$B$133:$CW$133,"="&amp;"Y"),0)</f>
        <v>0</v>
      </c>
      <c r="S235">
        <f ca="1">IFERROR(SUMIFS(INDEX($B$135:$CW$186,MATCH(S$205,$A$135:$A$186,0),1):INDEX($B$135:$CW$186,MATCH(S$205,$A$135:$A$186,0),100),$B200:$CW200,"="&amp;"x",$B$133:$CW$133,"="&amp;"Y"),0)</f>
        <v>0</v>
      </c>
      <c r="T235">
        <f ca="1">IFERROR(SUMIFS(INDEX($B$135:$CW$186,MATCH(T$205,$A$135:$A$186,0),1):INDEX($B$135:$CW$186,MATCH(T$205,$A$135:$A$186,0),100),$B200:$CW200,"="&amp;"x",$B$133:$CW$133,"="&amp;"Y"),0)</f>
        <v>0</v>
      </c>
      <c r="U235">
        <f ca="1">IFERROR(SUMIFS(INDEX($B$135:$CW$186,MATCH(U$205,$A$135:$A$186,0),1):INDEX($B$135:$CW$186,MATCH(U$205,$A$135:$A$186,0),100),$B200:$CW200,"="&amp;"x",$B$133:$CW$133,"="&amp;"Y"),0)</f>
        <v>0</v>
      </c>
      <c r="V235">
        <f ca="1">IFERROR(SUMIFS(INDEX($B$135:$CW$186,MATCH(V$205,$A$135:$A$186,0),1):INDEX($B$135:$CW$186,MATCH(V$205,$A$135:$A$186,0),100),$B200:$CW200,"="&amp;"x",$B$133:$CW$133,"="&amp;"Y"),0)</f>
        <v>0</v>
      </c>
      <c r="W235">
        <f ca="1">IFERROR(SUMIFS(INDEX($B$135:$CW$186,MATCH(W$205,$A$135:$A$186,0),1):INDEX($B$135:$CW$186,MATCH(W$205,$A$135:$A$186,0),100),$B200:$CW200,"="&amp;"x",$B$133:$CW$133,"="&amp;"Y"),0)</f>
        <v>0</v>
      </c>
      <c r="X235">
        <f ca="1">IFERROR(SUMIFS(INDEX($B$135:$CW$186,MATCH(X$205,$A$135:$A$186,0),1):INDEX($B$135:$CW$186,MATCH(X$205,$A$135:$A$186,0),100),$B200:$CW200,"="&amp;"x",$B$133:$CW$133,"="&amp;"Y"),0)</f>
        <v>0</v>
      </c>
      <c r="Y235">
        <f ca="1">IFERROR(SUMIFS(INDEX($B$135:$CW$186,MATCH(Y$205,$A$135:$A$186,0),1):INDEX($B$135:$CW$186,MATCH(Y$205,$A$135:$A$186,0),100),$B200:$CW200,"="&amp;"x",$B$133:$CW$133,"="&amp;"Y"),0)</f>
        <v>0</v>
      </c>
      <c r="Z235">
        <f ca="1">IFERROR(SUMIFS(INDEX($B$135:$CW$186,MATCH(Z$205,$A$135:$A$186,0),1):INDEX($B$135:$CW$186,MATCH(Z$205,$A$135:$A$186,0),100),$B200:$CW200,"="&amp;"x",$B$133:$CW$133,"="&amp;"Y"),0)</f>
        <v>0</v>
      </c>
      <c r="AA235">
        <f ca="1">IFERROR(SUMIFS(INDEX($B$135:$CW$186,MATCH(AA$205,$A$135:$A$186,0),1):INDEX($B$135:$CW$186,MATCH(AA$205,$A$135:$A$186,0),100),$B200:$CW200,"="&amp;"x",$B$133:$CW$133,"="&amp;"Y"),0)</f>
        <v>0</v>
      </c>
      <c r="AB235">
        <f ca="1">IFERROR(SUMIFS(INDEX($B$135:$CW$186,MATCH(AB$205,$A$135:$A$186,0),1):INDEX($B$135:$CW$186,MATCH(AB$205,$A$135:$A$186,0),100),$B200:$CW200,"="&amp;"x",$B$133:$CW$133,"="&amp;"Y"),0)</f>
        <v>0</v>
      </c>
      <c r="AC235">
        <f ca="1">IFERROR(SUMIFS(INDEX($B$135:$CW$186,MATCH(AC$205,$A$135:$A$186,0),1):INDEX($B$135:$CW$186,MATCH(AC$205,$A$135:$A$186,0),100),$B200:$CW200,"="&amp;"x",$B$133:$CW$133,"="&amp;"Y"),0)</f>
        <v>0</v>
      </c>
      <c r="AD235">
        <f ca="1">IFERROR(SUMIFS(INDEX($B$135:$CW$186,MATCH(AD$205,$A$135:$A$186,0),1):INDEX($B$135:$CW$186,MATCH(AD$205,$A$135:$A$186,0),100),$B200:$CW200,"="&amp;"x",$B$133:$CW$133,"="&amp;"Y"),0)</f>
        <v>0</v>
      </c>
      <c r="AE235">
        <f ca="1">IFERROR(SUMIFS(INDEX($B$135:$CW$186,MATCH(AE$205,$A$135:$A$186,0),1):INDEX($B$135:$CW$186,MATCH(AE$205,$A$135:$A$186,0),100),$B200:$CW200,"="&amp;"x",$B$133:$CW$133,"="&amp;"Y"),0)</f>
        <v>0</v>
      </c>
      <c r="AF235">
        <f ca="1">IFERROR(SUMIFS(INDEX($B$135:$CW$186,MATCH(AF$205,$A$135:$A$186,0),1):INDEX($B$135:$CW$186,MATCH(AF$205,$A$135:$A$186,0),100),$B200:$CW200,"="&amp;"x",$B$133:$CW$133,"="&amp;"Y"),0)</f>
        <v>0</v>
      </c>
      <c r="AG235">
        <f ca="1">IFERROR(SUMIFS(INDEX($B$135:$CW$186,MATCH(AG$205,$A$135:$A$186,0),1):INDEX($B$135:$CW$186,MATCH(AG$205,$A$135:$A$186,0),100),$B200:$CW200,"="&amp;"x",$B$133:$CW$133,"="&amp;"Y"),0)</f>
        <v>0</v>
      </c>
      <c r="AH235">
        <f ca="1">IFERROR(SUMIFS(INDEX($B$135:$CW$186,MATCH(AH$205,$A$135:$A$186,0),1):INDEX($B$135:$CW$186,MATCH(AH$205,$A$135:$A$186,0),100),$B200:$CW200,"="&amp;"x",$B$133:$CW$133,"="&amp;"Y"),0)</f>
        <v>0</v>
      </c>
      <c r="AI235">
        <f ca="1">IFERROR(SUMIFS(INDEX($B$135:$CW$186,MATCH(AI$205,$A$135:$A$186,0),1):INDEX($B$135:$CW$186,MATCH(AI$205,$A$135:$A$186,0),100),$B200:$CW200,"="&amp;"x",$B$133:$CW$133,"="&amp;"Y"),0)</f>
        <v>0</v>
      </c>
      <c r="AJ235">
        <f ca="1">IFERROR(SUMIFS(INDEX($B$135:$CW$186,MATCH(AJ$205,$A$135:$A$186,0),1):INDEX($B$135:$CW$186,MATCH(AJ$205,$A$135:$A$186,0),100),$B200:$CW200,"="&amp;"x",$B$133:$CW$133,"="&amp;"Y"),0)</f>
        <v>0</v>
      </c>
      <c r="AK235">
        <f ca="1">IFERROR(SUMIFS(INDEX($B$135:$CW$186,MATCH(AK$205,$A$135:$A$186,0),1):INDEX($B$135:$CW$186,MATCH(AK$205,$A$135:$A$186,0),100),$B200:$CW200,"="&amp;"x",$B$133:$CW$133,"="&amp;"Y"),0)</f>
        <v>0</v>
      </c>
      <c r="AL235">
        <f ca="1">IFERROR(SUMIFS(INDEX($B$135:$CW$186,MATCH(AL$205,$A$135:$A$186,0),1):INDEX($B$135:$CW$186,MATCH(AL$205,$A$135:$A$186,0),100),$B200:$CW200,"="&amp;"x",$B$133:$CW$133,"="&amp;"Y"),0)</f>
        <v>0</v>
      </c>
      <c r="AM235">
        <f ca="1">IFERROR(SUMIFS(INDEX($B$135:$CW$186,MATCH(AM$205,$A$135:$A$186,0),1):INDEX($B$135:$CW$186,MATCH(AM$205,$A$135:$A$186,0),100),$B200:$CW200,"="&amp;"x",$B$133:$CW$133,"="&amp;"Y"),0)</f>
        <v>0</v>
      </c>
      <c r="AN235">
        <f ca="1">IFERROR(SUMIFS(INDEX($B$135:$CW$186,MATCH(AN$205,$A$135:$A$186,0),1):INDEX($B$135:$CW$186,MATCH(AN$205,$A$135:$A$186,0),100),$B200:$CW200,"="&amp;"x",$B$133:$CW$133,"="&amp;"Y"),0)</f>
        <v>0</v>
      </c>
      <c r="AO235">
        <f ca="1">IFERROR(SUMIFS(INDEX($B$135:$CW$186,MATCH(AO$205,$A$135:$A$186,0),1):INDEX($B$135:$CW$186,MATCH(AO$205,$A$135:$A$186,0),100),$B200:$CW200,"="&amp;"x",$B$133:$CW$133,"="&amp;"Y"),0)</f>
        <v>0</v>
      </c>
      <c r="AP235">
        <f ca="1">IFERROR(SUMIFS(INDEX($B$135:$CW$186,MATCH(AP$205,$A$135:$A$186,0),1):INDEX($B$135:$CW$186,MATCH(AP$205,$A$135:$A$186,0),100),$B200:$CW200,"="&amp;"x",$B$133:$CW$133,"="&amp;"Y"),0)</f>
        <v>0</v>
      </c>
      <c r="AQ235">
        <f ca="1">IFERROR(SUMIFS(INDEX($B$135:$CW$186,MATCH(AQ$205,$A$135:$A$186,0),1):INDEX($B$135:$CW$186,MATCH(AQ$205,$A$135:$A$186,0),100),$B200:$CW200,"="&amp;"x",$B$133:$CW$133,"="&amp;"Y"),0)</f>
        <v>0</v>
      </c>
      <c r="AR235">
        <f ca="1">IFERROR(SUMIFS(INDEX($B$135:$CW$186,MATCH(AR$205,$A$135:$A$186,0),1):INDEX($B$135:$CW$186,MATCH(AR$205,$A$135:$A$186,0),100),$B200:$CW200,"="&amp;"x",$B$133:$CW$133,"="&amp;"Y"),0)</f>
        <v>0</v>
      </c>
      <c r="AS235">
        <f ca="1">IFERROR(SUMIFS(INDEX($B$135:$CW$186,MATCH(AS$205,$A$135:$A$186,0),1):INDEX($B$135:$CW$186,MATCH(AS$205,$A$135:$A$186,0),100),$B200:$CW200,"="&amp;"x",$B$133:$CW$133,"="&amp;"Y"),0)</f>
        <v>0</v>
      </c>
      <c r="AT235">
        <f ca="1">IFERROR(SUMIFS(INDEX($B$135:$CW$186,MATCH(AT$205,$A$135:$A$186,0),1):INDEX($B$135:$CW$186,MATCH(AT$205,$A$135:$A$186,0),100),$B200:$CW200,"="&amp;"x",$B$133:$CW$133,"="&amp;"Y"),0)</f>
        <v>0</v>
      </c>
      <c r="AU235">
        <f ca="1">IFERROR(SUMIFS(INDEX($B$135:$CW$186,MATCH(AU$205,$A$135:$A$186,0),1):INDEX($B$135:$CW$186,MATCH(AU$205,$A$135:$A$186,0),100),$B200:$CW200,"="&amp;"x",$B$133:$CW$133,"="&amp;"Y"),0)</f>
        <v>0</v>
      </c>
      <c r="AV235">
        <f ca="1">IFERROR(SUMIFS(INDEX($B$135:$CW$186,MATCH(AV$205,$A$135:$A$186,0),1):INDEX($B$135:$CW$186,MATCH(AV$205,$A$135:$A$186,0),100),$B200:$CW200,"="&amp;"x",$B$133:$CW$133,"="&amp;"Y"),0)</f>
        <v>0</v>
      </c>
      <c r="AW235">
        <f ca="1">IFERROR(SUMIFS(INDEX($B$135:$CW$186,MATCH(AW$205,$A$135:$A$186,0),1):INDEX($B$135:$CW$186,MATCH(AW$205,$A$135:$A$186,0),100),$B200:$CW200,"="&amp;"x",$B$133:$CW$133,"="&amp;"Y"),0)</f>
        <v>0</v>
      </c>
      <c r="AX235">
        <f ca="1">IFERROR(SUMIFS(INDEX($B$135:$CW$186,MATCH(AX$205,$A$135:$A$186,0),1):INDEX($B$135:$CW$186,MATCH(AX$205,$A$135:$A$186,0),100),$B200:$CW200,"="&amp;"x",$B$133:$CW$133,"="&amp;"Y"),0)</f>
        <v>0</v>
      </c>
      <c r="AY235">
        <f ca="1">IFERROR(SUMIFS(INDEX($B$135:$CW$186,MATCH(AY$205,$A$135:$A$186,0),1):INDEX($B$135:$CW$186,MATCH(AY$205,$A$135:$A$186,0),100),$B200:$CW200,"="&amp;"x",$B$133:$CW$133,"="&amp;"Y"),0)</f>
        <v>0</v>
      </c>
      <c r="AZ235">
        <f ca="1">IFERROR(SUMIFS(INDEX($B$135:$CW$186,MATCH(AZ$205,$A$135:$A$186,0),1):INDEX($B$135:$CW$186,MATCH(AZ$205,$A$135:$A$186,0),100),$B200:$CW200,"="&amp;"x",$B$133:$CW$133,"="&amp;"Y"),0)</f>
        <v>0</v>
      </c>
      <c r="BA235">
        <f ca="1">IFERROR(SUMIFS(INDEX($B$135:$CW$186,MATCH(BA$205,$A$135:$A$186,0),1):INDEX($B$135:$CW$186,MATCH(BA$205,$A$135:$A$186,0),100),$B200:$CW200,"="&amp;"x",$B$133:$CW$133,"="&amp;"Y"),0)</f>
        <v>0</v>
      </c>
      <c r="BC235">
        <f t="shared" ca="1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ca="1">IFERROR(SUMIFS(INDEX($B$135:$CW$186,MATCH(B$205,$A$135:$A$186,0),1):INDEX($B$135:$CW$186,MATCH(B$205,$A$135:$A$186,0),100),$B201:$CW201,"="&amp;"x",$B$133:$CW$133,"="&amp;"Y"),0)</f>
        <v>0</v>
      </c>
      <c r="C236">
        <f ca="1">IFERROR(SUMIFS(INDEX($B$135:$CW$186,MATCH(C$205,$A$135:$A$186,0),1):INDEX($B$135:$CW$186,MATCH(C$205,$A$135:$A$186,0),100),$B201:$CW201,"="&amp;"x",$B$133:$CW$133,"="&amp;"Y"),0)</f>
        <v>0</v>
      </c>
      <c r="D236">
        <f ca="1">IFERROR(SUMIFS(INDEX($B$135:$CW$186,MATCH(D$205,$A$135:$A$186,0),1):INDEX($B$135:$CW$186,MATCH(D$205,$A$135:$A$186,0),100),$B201:$CW201,"="&amp;"x",$B$133:$CW$133,"="&amp;"Y"),0)</f>
        <v>0</v>
      </c>
      <c r="E236">
        <f ca="1">IFERROR(SUMIFS(INDEX($B$135:$CW$186,MATCH(E$205,$A$135:$A$186,0),1):INDEX($B$135:$CW$186,MATCH(E$205,$A$135:$A$186,0),100),$B201:$CW201,"="&amp;"x",$B$133:$CW$133,"="&amp;"Y"),0)</f>
        <v>0</v>
      </c>
      <c r="F236">
        <f ca="1">IFERROR(SUMIFS(INDEX($B$135:$CW$186,MATCH(F$205,$A$135:$A$186,0),1):INDEX($B$135:$CW$186,MATCH(F$205,$A$135:$A$186,0),100),$B201:$CW201,"="&amp;"x",$B$133:$CW$133,"="&amp;"Y"),0)</f>
        <v>0</v>
      </c>
      <c r="G236">
        <f ca="1">IFERROR(SUMIFS(INDEX($B$135:$CW$186,MATCH(G$205,$A$135:$A$186,0),1):INDEX($B$135:$CW$186,MATCH(G$205,$A$135:$A$186,0),100),$B201:$CW201,"="&amp;"x",$B$133:$CW$133,"="&amp;"Y"),0)</f>
        <v>0</v>
      </c>
      <c r="H236">
        <f ca="1">IFERROR(SUMIFS(INDEX($B$135:$CW$186,MATCH(H$205,$A$135:$A$186,0),1):INDEX($B$135:$CW$186,MATCH(H$205,$A$135:$A$186,0),100),$B201:$CW201,"="&amp;"x",$B$133:$CW$133,"="&amp;"Y"),0)</f>
        <v>0</v>
      </c>
      <c r="I236">
        <f ca="1">IFERROR(SUMIFS(INDEX($B$135:$CW$186,MATCH(I$205,$A$135:$A$186,0),1):INDEX($B$135:$CW$186,MATCH(I$205,$A$135:$A$186,0),100),$B201:$CW201,"="&amp;"x",$B$133:$CW$133,"="&amp;"Y"),0)</f>
        <v>0</v>
      </c>
      <c r="J236">
        <f ca="1">IFERROR(SUMIFS(INDEX($B$135:$CW$186,MATCH(J$205,$A$135:$A$186,0),1):INDEX($B$135:$CW$186,MATCH(J$205,$A$135:$A$186,0),100),$B201:$CW201,"="&amp;"x",$B$133:$CW$133,"="&amp;"Y"),0)</f>
        <v>0</v>
      </c>
      <c r="K236">
        <f ca="1">IFERROR(SUMIFS(INDEX($B$135:$CW$186,MATCH(K$205,$A$135:$A$186,0),1):INDEX($B$135:$CW$186,MATCH(K$205,$A$135:$A$186,0),100),$B201:$CW201,"="&amp;"x",$B$133:$CW$133,"="&amp;"Y"),0)</f>
        <v>0</v>
      </c>
      <c r="L236">
        <f ca="1">IFERROR(SUMIFS(INDEX($B$135:$CW$186,MATCH(L$205,$A$135:$A$186,0),1):INDEX($B$135:$CW$186,MATCH(L$205,$A$135:$A$186,0),100),$B201:$CW201,"="&amp;"x",$B$133:$CW$133,"="&amp;"Y"),0)</f>
        <v>0</v>
      </c>
      <c r="M236">
        <f ca="1">IFERROR(SUMIFS(INDEX($B$135:$CW$186,MATCH(M$205,$A$135:$A$186,0),1):INDEX($B$135:$CW$186,MATCH(M$205,$A$135:$A$186,0),100),$B201:$CW201,"="&amp;"x",$B$133:$CW$133,"="&amp;"Y"),0)</f>
        <v>0</v>
      </c>
      <c r="N236">
        <f ca="1">IFERROR(SUMIFS(INDEX($B$135:$CW$186,MATCH(N$205,$A$135:$A$186,0),1):INDEX($B$135:$CW$186,MATCH(N$205,$A$135:$A$186,0),100),$B201:$CW201,"="&amp;"x",$B$133:$CW$133,"="&amp;"Y"),0)</f>
        <v>0</v>
      </c>
      <c r="O236">
        <f ca="1">IFERROR(SUMIFS(INDEX($B$135:$CW$186,MATCH(O$205,$A$135:$A$186,0),1):INDEX($B$135:$CW$186,MATCH(O$205,$A$135:$A$186,0),100),$B201:$CW201,"="&amp;"x",$B$133:$CW$133,"="&amp;"Y"),0)</f>
        <v>0</v>
      </c>
      <c r="P236">
        <f ca="1">IFERROR(SUMIFS(INDEX($B$135:$CW$186,MATCH(P$205,$A$135:$A$186,0),1):INDEX($B$135:$CW$186,MATCH(P$205,$A$135:$A$186,0),100),$B201:$CW201,"="&amp;"x",$B$133:$CW$133,"="&amp;"Y"),0)</f>
        <v>0</v>
      </c>
      <c r="Q236">
        <f ca="1">IFERROR(SUMIFS(INDEX($B$135:$CW$186,MATCH(Q$205,$A$135:$A$186,0),1):INDEX($B$135:$CW$186,MATCH(Q$205,$A$135:$A$186,0),100),$B201:$CW201,"="&amp;"x",$B$133:$CW$133,"="&amp;"Y"),0)</f>
        <v>0</v>
      </c>
      <c r="R236">
        <f ca="1">IFERROR(SUMIFS(INDEX($B$135:$CW$186,MATCH(R$205,$A$135:$A$186,0),1):INDEX($B$135:$CW$186,MATCH(R$205,$A$135:$A$186,0),100),$B201:$CW201,"="&amp;"x",$B$133:$CW$133,"="&amp;"Y"),0)</f>
        <v>0</v>
      </c>
      <c r="S236">
        <f ca="1">IFERROR(SUMIFS(INDEX($B$135:$CW$186,MATCH(S$205,$A$135:$A$186,0),1):INDEX($B$135:$CW$186,MATCH(S$205,$A$135:$A$186,0),100),$B201:$CW201,"="&amp;"x",$B$133:$CW$133,"="&amp;"Y"),0)</f>
        <v>0</v>
      </c>
      <c r="T236">
        <f ca="1">IFERROR(SUMIFS(INDEX($B$135:$CW$186,MATCH(T$205,$A$135:$A$186,0),1):INDEX($B$135:$CW$186,MATCH(T$205,$A$135:$A$186,0),100),$B201:$CW201,"="&amp;"x",$B$133:$CW$133,"="&amp;"Y"),0)</f>
        <v>0</v>
      </c>
      <c r="U236">
        <f ca="1">IFERROR(SUMIFS(INDEX($B$135:$CW$186,MATCH(U$205,$A$135:$A$186,0),1):INDEX($B$135:$CW$186,MATCH(U$205,$A$135:$A$186,0),100),$B201:$CW201,"="&amp;"x",$B$133:$CW$133,"="&amp;"Y"),0)</f>
        <v>0</v>
      </c>
      <c r="V236">
        <f ca="1">IFERROR(SUMIFS(INDEX($B$135:$CW$186,MATCH(V$205,$A$135:$A$186,0),1):INDEX($B$135:$CW$186,MATCH(V$205,$A$135:$A$186,0),100),$B201:$CW201,"="&amp;"x",$B$133:$CW$133,"="&amp;"Y"),0)</f>
        <v>0</v>
      </c>
      <c r="W236">
        <f ca="1">IFERROR(SUMIFS(INDEX($B$135:$CW$186,MATCH(W$205,$A$135:$A$186,0),1):INDEX($B$135:$CW$186,MATCH(W$205,$A$135:$A$186,0),100),$B201:$CW201,"="&amp;"x",$B$133:$CW$133,"="&amp;"Y"),0)</f>
        <v>0</v>
      </c>
      <c r="X236">
        <f ca="1">IFERROR(SUMIFS(INDEX($B$135:$CW$186,MATCH(X$205,$A$135:$A$186,0),1):INDEX($B$135:$CW$186,MATCH(X$205,$A$135:$A$186,0),100),$B201:$CW201,"="&amp;"x",$B$133:$CW$133,"="&amp;"Y"),0)</f>
        <v>0</v>
      </c>
      <c r="Y236">
        <f ca="1">IFERROR(SUMIFS(INDEX($B$135:$CW$186,MATCH(Y$205,$A$135:$A$186,0),1):INDEX($B$135:$CW$186,MATCH(Y$205,$A$135:$A$186,0),100),$B201:$CW201,"="&amp;"x",$B$133:$CW$133,"="&amp;"Y"),0)</f>
        <v>0</v>
      </c>
      <c r="Z236">
        <f ca="1">IFERROR(SUMIFS(INDEX($B$135:$CW$186,MATCH(Z$205,$A$135:$A$186,0),1):INDEX($B$135:$CW$186,MATCH(Z$205,$A$135:$A$186,0),100),$B201:$CW201,"="&amp;"x",$B$133:$CW$133,"="&amp;"Y"),0)</f>
        <v>0</v>
      </c>
      <c r="AA236">
        <f ca="1">IFERROR(SUMIFS(INDEX($B$135:$CW$186,MATCH(AA$205,$A$135:$A$186,0),1):INDEX($B$135:$CW$186,MATCH(AA$205,$A$135:$A$186,0),100),$B201:$CW201,"="&amp;"x",$B$133:$CW$133,"="&amp;"Y"),0)</f>
        <v>0</v>
      </c>
      <c r="AB236">
        <f ca="1">IFERROR(SUMIFS(INDEX($B$135:$CW$186,MATCH(AB$205,$A$135:$A$186,0),1):INDEX($B$135:$CW$186,MATCH(AB$205,$A$135:$A$186,0),100),$B201:$CW201,"="&amp;"x",$B$133:$CW$133,"="&amp;"Y"),0)</f>
        <v>0</v>
      </c>
      <c r="AC236">
        <f ca="1">IFERROR(SUMIFS(INDEX($B$135:$CW$186,MATCH(AC$205,$A$135:$A$186,0),1):INDEX($B$135:$CW$186,MATCH(AC$205,$A$135:$A$186,0),100),$B201:$CW201,"="&amp;"x",$B$133:$CW$133,"="&amp;"Y"),0)</f>
        <v>0</v>
      </c>
      <c r="AD236">
        <f ca="1">IFERROR(SUMIFS(INDEX($B$135:$CW$186,MATCH(AD$205,$A$135:$A$186,0),1):INDEX($B$135:$CW$186,MATCH(AD$205,$A$135:$A$186,0),100),$B201:$CW201,"="&amp;"x",$B$133:$CW$133,"="&amp;"Y"),0)</f>
        <v>0</v>
      </c>
      <c r="AE236">
        <f ca="1">IFERROR(SUMIFS(INDEX($B$135:$CW$186,MATCH(AE$205,$A$135:$A$186,0),1):INDEX($B$135:$CW$186,MATCH(AE$205,$A$135:$A$186,0),100),$B201:$CW201,"="&amp;"x",$B$133:$CW$133,"="&amp;"Y"),0)</f>
        <v>0</v>
      </c>
      <c r="AF236">
        <f ca="1">IFERROR(SUMIFS(INDEX($B$135:$CW$186,MATCH(AF$205,$A$135:$A$186,0),1):INDEX($B$135:$CW$186,MATCH(AF$205,$A$135:$A$186,0),100),$B201:$CW201,"="&amp;"x",$B$133:$CW$133,"="&amp;"Y"),0)</f>
        <v>0</v>
      </c>
      <c r="AG236">
        <f ca="1">IFERROR(SUMIFS(INDEX($B$135:$CW$186,MATCH(AG$205,$A$135:$A$186,0),1):INDEX($B$135:$CW$186,MATCH(AG$205,$A$135:$A$186,0),100),$B201:$CW201,"="&amp;"x",$B$133:$CW$133,"="&amp;"Y"),0)</f>
        <v>0</v>
      </c>
      <c r="AH236">
        <f ca="1">IFERROR(SUMIFS(INDEX($B$135:$CW$186,MATCH(AH$205,$A$135:$A$186,0),1):INDEX($B$135:$CW$186,MATCH(AH$205,$A$135:$A$186,0),100),$B201:$CW201,"="&amp;"x",$B$133:$CW$133,"="&amp;"Y"),0)</f>
        <v>0</v>
      </c>
      <c r="AI236">
        <f ca="1">IFERROR(SUMIFS(INDEX($B$135:$CW$186,MATCH(AI$205,$A$135:$A$186,0),1):INDEX($B$135:$CW$186,MATCH(AI$205,$A$135:$A$186,0),100),$B201:$CW201,"="&amp;"x",$B$133:$CW$133,"="&amp;"Y"),0)</f>
        <v>0</v>
      </c>
      <c r="AJ236">
        <f ca="1">IFERROR(SUMIFS(INDEX($B$135:$CW$186,MATCH(AJ$205,$A$135:$A$186,0),1):INDEX($B$135:$CW$186,MATCH(AJ$205,$A$135:$A$186,0),100),$B201:$CW201,"="&amp;"x",$B$133:$CW$133,"="&amp;"Y"),0)</f>
        <v>0</v>
      </c>
      <c r="AK236">
        <f ca="1">IFERROR(SUMIFS(INDEX($B$135:$CW$186,MATCH(AK$205,$A$135:$A$186,0),1):INDEX($B$135:$CW$186,MATCH(AK$205,$A$135:$A$186,0),100),$B201:$CW201,"="&amp;"x",$B$133:$CW$133,"="&amp;"Y"),0)</f>
        <v>0</v>
      </c>
      <c r="AL236">
        <f ca="1">IFERROR(SUMIFS(INDEX($B$135:$CW$186,MATCH(AL$205,$A$135:$A$186,0),1):INDEX($B$135:$CW$186,MATCH(AL$205,$A$135:$A$186,0),100),$B201:$CW201,"="&amp;"x",$B$133:$CW$133,"="&amp;"Y"),0)</f>
        <v>0</v>
      </c>
      <c r="AM236">
        <f ca="1">IFERROR(SUMIFS(INDEX($B$135:$CW$186,MATCH(AM$205,$A$135:$A$186,0),1):INDEX($B$135:$CW$186,MATCH(AM$205,$A$135:$A$186,0),100),$B201:$CW201,"="&amp;"x",$B$133:$CW$133,"="&amp;"Y"),0)</f>
        <v>0</v>
      </c>
      <c r="AN236">
        <f ca="1">IFERROR(SUMIFS(INDEX($B$135:$CW$186,MATCH(AN$205,$A$135:$A$186,0),1):INDEX($B$135:$CW$186,MATCH(AN$205,$A$135:$A$186,0),100),$B201:$CW201,"="&amp;"x",$B$133:$CW$133,"="&amp;"Y"),0)</f>
        <v>0</v>
      </c>
      <c r="AO236">
        <f ca="1">IFERROR(SUMIFS(INDEX($B$135:$CW$186,MATCH(AO$205,$A$135:$A$186,0),1):INDEX($B$135:$CW$186,MATCH(AO$205,$A$135:$A$186,0),100),$B201:$CW201,"="&amp;"x",$B$133:$CW$133,"="&amp;"Y"),0)</f>
        <v>0</v>
      </c>
      <c r="AP236">
        <f ca="1">IFERROR(SUMIFS(INDEX($B$135:$CW$186,MATCH(AP$205,$A$135:$A$186,0),1):INDEX($B$135:$CW$186,MATCH(AP$205,$A$135:$A$186,0),100),$B201:$CW201,"="&amp;"x",$B$133:$CW$133,"="&amp;"Y"),0)</f>
        <v>0</v>
      </c>
      <c r="AQ236">
        <f ca="1">IFERROR(SUMIFS(INDEX($B$135:$CW$186,MATCH(AQ$205,$A$135:$A$186,0),1):INDEX($B$135:$CW$186,MATCH(AQ$205,$A$135:$A$186,0),100),$B201:$CW201,"="&amp;"x",$B$133:$CW$133,"="&amp;"Y"),0)</f>
        <v>0</v>
      </c>
      <c r="AR236">
        <f ca="1">IFERROR(SUMIFS(INDEX($B$135:$CW$186,MATCH(AR$205,$A$135:$A$186,0),1):INDEX($B$135:$CW$186,MATCH(AR$205,$A$135:$A$186,0),100),$B201:$CW201,"="&amp;"x",$B$133:$CW$133,"="&amp;"Y"),0)</f>
        <v>0</v>
      </c>
      <c r="AS236">
        <f ca="1">IFERROR(SUMIFS(INDEX($B$135:$CW$186,MATCH(AS$205,$A$135:$A$186,0),1):INDEX($B$135:$CW$186,MATCH(AS$205,$A$135:$A$186,0),100),$B201:$CW201,"="&amp;"x",$B$133:$CW$133,"="&amp;"Y"),0)</f>
        <v>0</v>
      </c>
      <c r="AT236">
        <f ca="1">IFERROR(SUMIFS(INDEX($B$135:$CW$186,MATCH(AT$205,$A$135:$A$186,0),1):INDEX($B$135:$CW$186,MATCH(AT$205,$A$135:$A$186,0),100),$B201:$CW201,"="&amp;"x",$B$133:$CW$133,"="&amp;"Y"),0)</f>
        <v>0</v>
      </c>
      <c r="AU236">
        <f ca="1">IFERROR(SUMIFS(INDEX($B$135:$CW$186,MATCH(AU$205,$A$135:$A$186,0),1):INDEX($B$135:$CW$186,MATCH(AU$205,$A$135:$A$186,0),100),$B201:$CW201,"="&amp;"x",$B$133:$CW$133,"="&amp;"Y"),0)</f>
        <v>0</v>
      </c>
      <c r="AV236">
        <f ca="1">IFERROR(SUMIFS(INDEX($B$135:$CW$186,MATCH(AV$205,$A$135:$A$186,0),1):INDEX($B$135:$CW$186,MATCH(AV$205,$A$135:$A$186,0),100),$B201:$CW201,"="&amp;"x",$B$133:$CW$133,"="&amp;"Y"),0)</f>
        <v>0</v>
      </c>
      <c r="AW236">
        <f ca="1">IFERROR(SUMIFS(INDEX($B$135:$CW$186,MATCH(AW$205,$A$135:$A$186,0),1):INDEX($B$135:$CW$186,MATCH(AW$205,$A$135:$A$186,0),100),$B201:$CW201,"="&amp;"x",$B$133:$CW$133,"="&amp;"Y"),0)</f>
        <v>0</v>
      </c>
      <c r="AX236">
        <f ca="1">IFERROR(SUMIFS(INDEX($B$135:$CW$186,MATCH(AX$205,$A$135:$A$186,0),1):INDEX($B$135:$CW$186,MATCH(AX$205,$A$135:$A$186,0),100),$B201:$CW201,"="&amp;"x",$B$133:$CW$133,"="&amp;"Y"),0)</f>
        <v>0</v>
      </c>
      <c r="AY236">
        <f ca="1">IFERROR(SUMIFS(INDEX($B$135:$CW$186,MATCH(AY$205,$A$135:$A$186,0),1):INDEX($B$135:$CW$186,MATCH(AY$205,$A$135:$A$186,0),100),$B201:$CW201,"="&amp;"x",$B$133:$CW$133,"="&amp;"Y"),0)</f>
        <v>0</v>
      </c>
      <c r="AZ236">
        <f ca="1">IFERROR(SUMIFS(INDEX($B$135:$CW$186,MATCH(AZ$205,$A$135:$A$186,0),1):INDEX($B$135:$CW$186,MATCH(AZ$205,$A$135:$A$186,0),100),$B201:$CW201,"="&amp;"x",$B$133:$CW$133,"="&amp;"Y"),0)</f>
        <v>0</v>
      </c>
      <c r="BA236">
        <f ca="1">IFERROR(SUMIFS(INDEX($B$135:$CW$186,MATCH(BA$205,$A$135:$A$186,0),1):INDEX($B$135:$CW$186,MATCH(BA$205,$A$135:$A$186,0),100),$B201:$CW201,"="&amp;"x",$B$133:$CW$133,"="&amp;"Y"),0)</f>
        <v>0</v>
      </c>
      <c r="BC236">
        <f t="shared" ca="1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ca="1">IFERROR(SUMIFS(INDEX($B$135:$CW$186,MATCH(B$205,$A$135:$A$186,0),1):INDEX($B$135:$CW$186,MATCH(B$205,$A$135:$A$186,0),100),$B202:$CW202,"="&amp;"x",$B$133:$CW$133,"="&amp;"Y"),0)</f>
        <v>0</v>
      </c>
      <c r="C237">
        <f ca="1">IFERROR(SUMIFS(INDEX($B$135:$CW$186,MATCH(C$205,$A$135:$A$186,0),1):INDEX($B$135:$CW$186,MATCH(C$205,$A$135:$A$186,0),100),$B202:$CW202,"="&amp;"x",$B$133:$CW$133,"="&amp;"Y"),0)</f>
        <v>0</v>
      </c>
      <c r="D237">
        <f ca="1">IFERROR(SUMIFS(INDEX($B$135:$CW$186,MATCH(D$205,$A$135:$A$186,0),1):INDEX($B$135:$CW$186,MATCH(D$205,$A$135:$A$186,0),100),$B202:$CW202,"="&amp;"x",$B$133:$CW$133,"="&amp;"Y"),0)</f>
        <v>0</v>
      </c>
      <c r="E237">
        <f ca="1">IFERROR(SUMIFS(INDEX($B$135:$CW$186,MATCH(E$205,$A$135:$A$186,0),1):INDEX($B$135:$CW$186,MATCH(E$205,$A$135:$A$186,0),100),$B202:$CW202,"="&amp;"x",$B$133:$CW$133,"="&amp;"Y"),0)</f>
        <v>0</v>
      </c>
      <c r="F237">
        <f ca="1">IFERROR(SUMIFS(INDEX($B$135:$CW$186,MATCH(F$205,$A$135:$A$186,0),1):INDEX($B$135:$CW$186,MATCH(F$205,$A$135:$A$186,0),100),$B202:$CW202,"="&amp;"x",$B$133:$CW$133,"="&amp;"Y"),0)</f>
        <v>0</v>
      </c>
      <c r="G237">
        <f ca="1">IFERROR(SUMIFS(INDEX($B$135:$CW$186,MATCH(G$205,$A$135:$A$186,0),1):INDEX($B$135:$CW$186,MATCH(G$205,$A$135:$A$186,0),100),$B202:$CW202,"="&amp;"x",$B$133:$CW$133,"="&amp;"Y"),0)</f>
        <v>0</v>
      </c>
      <c r="H237">
        <f ca="1">IFERROR(SUMIFS(INDEX($B$135:$CW$186,MATCH(H$205,$A$135:$A$186,0),1):INDEX($B$135:$CW$186,MATCH(H$205,$A$135:$A$186,0),100),$B202:$CW202,"="&amp;"x",$B$133:$CW$133,"="&amp;"Y"),0)</f>
        <v>0</v>
      </c>
      <c r="I237">
        <f ca="1">IFERROR(SUMIFS(INDEX($B$135:$CW$186,MATCH(I$205,$A$135:$A$186,0),1):INDEX($B$135:$CW$186,MATCH(I$205,$A$135:$A$186,0),100),$B202:$CW202,"="&amp;"x",$B$133:$CW$133,"="&amp;"Y"),0)</f>
        <v>0</v>
      </c>
      <c r="J237">
        <f ca="1">IFERROR(SUMIFS(INDEX($B$135:$CW$186,MATCH(J$205,$A$135:$A$186,0),1):INDEX($B$135:$CW$186,MATCH(J$205,$A$135:$A$186,0),100),$B202:$CW202,"="&amp;"x",$B$133:$CW$133,"="&amp;"Y"),0)</f>
        <v>0</v>
      </c>
      <c r="K237">
        <f ca="1">IFERROR(SUMIFS(INDEX($B$135:$CW$186,MATCH(K$205,$A$135:$A$186,0),1):INDEX($B$135:$CW$186,MATCH(K$205,$A$135:$A$186,0),100),$B202:$CW202,"="&amp;"x",$B$133:$CW$133,"="&amp;"Y"),0)</f>
        <v>0</v>
      </c>
      <c r="L237">
        <f ca="1">IFERROR(SUMIFS(INDEX($B$135:$CW$186,MATCH(L$205,$A$135:$A$186,0),1):INDEX($B$135:$CW$186,MATCH(L$205,$A$135:$A$186,0),100),$B202:$CW202,"="&amp;"x",$B$133:$CW$133,"="&amp;"Y"),0)</f>
        <v>0</v>
      </c>
      <c r="M237">
        <f ca="1">IFERROR(SUMIFS(INDEX($B$135:$CW$186,MATCH(M$205,$A$135:$A$186,0),1):INDEX($B$135:$CW$186,MATCH(M$205,$A$135:$A$186,0),100),$B202:$CW202,"="&amp;"x",$B$133:$CW$133,"="&amp;"Y"),0)</f>
        <v>0</v>
      </c>
      <c r="N237">
        <f ca="1">IFERROR(SUMIFS(INDEX($B$135:$CW$186,MATCH(N$205,$A$135:$A$186,0),1):INDEX($B$135:$CW$186,MATCH(N$205,$A$135:$A$186,0),100),$B202:$CW202,"="&amp;"x",$B$133:$CW$133,"="&amp;"Y"),0)</f>
        <v>0</v>
      </c>
      <c r="O237">
        <f ca="1">IFERROR(SUMIFS(INDEX($B$135:$CW$186,MATCH(O$205,$A$135:$A$186,0),1):INDEX($B$135:$CW$186,MATCH(O$205,$A$135:$A$186,0),100),$B202:$CW202,"="&amp;"x",$B$133:$CW$133,"="&amp;"Y"),0)</f>
        <v>0</v>
      </c>
      <c r="P237">
        <f ca="1">IFERROR(SUMIFS(INDEX($B$135:$CW$186,MATCH(P$205,$A$135:$A$186,0),1):INDEX($B$135:$CW$186,MATCH(P$205,$A$135:$A$186,0),100),$B202:$CW202,"="&amp;"x",$B$133:$CW$133,"="&amp;"Y"),0)</f>
        <v>0</v>
      </c>
      <c r="Q237">
        <f ca="1">IFERROR(SUMIFS(INDEX($B$135:$CW$186,MATCH(Q$205,$A$135:$A$186,0),1):INDEX($B$135:$CW$186,MATCH(Q$205,$A$135:$A$186,0),100),$B202:$CW202,"="&amp;"x",$B$133:$CW$133,"="&amp;"Y"),0)</f>
        <v>0</v>
      </c>
      <c r="R237">
        <f ca="1">IFERROR(SUMIFS(INDEX($B$135:$CW$186,MATCH(R$205,$A$135:$A$186,0),1):INDEX($B$135:$CW$186,MATCH(R$205,$A$135:$A$186,0),100),$B202:$CW202,"="&amp;"x",$B$133:$CW$133,"="&amp;"Y"),0)</f>
        <v>0</v>
      </c>
      <c r="S237">
        <f ca="1">IFERROR(SUMIFS(INDEX($B$135:$CW$186,MATCH(S$205,$A$135:$A$186,0),1):INDEX($B$135:$CW$186,MATCH(S$205,$A$135:$A$186,0),100),$B202:$CW202,"="&amp;"x",$B$133:$CW$133,"="&amp;"Y"),0)</f>
        <v>0</v>
      </c>
      <c r="T237">
        <f ca="1">IFERROR(SUMIFS(INDEX($B$135:$CW$186,MATCH(T$205,$A$135:$A$186,0),1):INDEX($B$135:$CW$186,MATCH(T$205,$A$135:$A$186,0),100),$B202:$CW202,"="&amp;"x",$B$133:$CW$133,"="&amp;"Y"),0)</f>
        <v>0</v>
      </c>
      <c r="U237">
        <f ca="1">IFERROR(SUMIFS(INDEX($B$135:$CW$186,MATCH(U$205,$A$135:$A$186,0),1):INDEX($B$135:$CW$186,MATCH(U$205,$A$135:$A$186,0),100),$B202:$CW202,"="&amp;"x",$B$133:$CW$133,"="&amp;"Y"),0)</f>
        <v>0</v>
      </c>
      <c r="V237">
        <f ca="1">IFERROR(SUMIFS(INDEX($B$135:$CW$186,MATCH(V$205,$A$135:$A$186,0),1):INDEX($B$135:$CW$186,MATCH(V$205,$A$135:$A$186,0),100),$B202:$CW202,"="&amp;"x",$B$133:$CW$133,"="&amp;"Y"),0)</f>
        <v>0</v>
      </c>
      <c r="W237">
        <f ca="1">IFERROR(SUMIFS(INDEX($B$135:$CW$186,MATCH(W$205,$A$135:$A$186,0),1):INDEX($B$135:$CW$186,MATCH(W$205,$A$135:$A$186,0),100),$B202:$CW202,"="&amp;"x",$B$133:$CW$133,"="&amp;"Y"),0)</f>
        <v>0</v>
      </c>
      <c r="X237">
        <f ca="1">IFERROR(SUMIFS(INDEX($B$135:$CW$186,MATCH(X$205,$A$135:$A$186,0),1):INDEX($B$135:$CW$186,MATCH(X$205,$A$135:$A$186,0),100),$B202:$CW202,"="&amp;"x",$B$133:$CW$133,"="&amp;"Y"),0)</f>
        <v>0</v>
      </c>
      <c r="Y237">
        <f ca="1">IFERROR(SUMIFS(INDEX($B$135:$CW$186,MATCH(Y$205,$A$135:$A$186,0),1):INDEX($B$135:$CW$186,MATCH(Y$205,$A$135:$A$186,0),100),$B202:$CW202,"="&amp;"x",$B$133:$CW$133,"="&amp;"Y"),0)</f>
        <v>0</v>
      </c>
      <c r="Z237">
        <f ca="1">IFERROR(SUMIFS(INDEX($B$135:$CW$186,MATCH(Z$205,$A$135:$A$186,0),1):INDEX($B$135:$CW$186,MATCH(Z$205,$A$135:$A$186,0),100),$B202:$CW202,"="&amp;"x",$B$133:$CW$133,"="&amp;"Y"),0)</f>
        <v>0</v>
      </c>
      <c r="AA237">
        <f ca="1">IFERROR(SUMIFS(INDEX($B$135:$CW$186,MATCH(AA$205,$A$135:$A$186,0),1):INDEX($B$135:$CW$186,MATCH(AA$205,$A$135:$A$186,0),100),$B202:$CW202,"="&amp;"x",$B$133:$CW$133,"="&amp;"Y"),0)</f>
        <v>0</v>
      </c>
      <c r="AB237">
        <f ca="1">IFERROR(SUMIFS(INDEX($B$135:$CW$186,MATCH(AB$205,$A$135:$A$186,0),1):INDEX($B$135:$CW$186,MATCH(AB$205,$A$135:$A$186,0),100),$B202:$CW202,"="&amp;"x",$B$133:$CW$133,"="&amp;"Y"),0)</f>
        <v>0</v>
      </c>
      <c r="AC237">
        <f ca="1">IFERROR(SUMIFS(INDEX($B$135:$CW$186,MATCH(AC$205,$A$135:$A$186,0),1):INDEX($B$135:$CW$186,MATCH(AC$205,$A$135:$A$186,0),100),$B202:$CW202,"="&amp;"x",$B$133:$CW$133,"="&amp;"Y"),0)</f>
        <v>0</v>
      </c>
      <c r="AD237">
        <f ca="1">IFERROR(SUMIFS(INDEX($B$135:$CW$186,MATCH(AD$205,$A$135:$A$186,0),1):INDEX($B$135:$CW$186,MATCH(AD$205,$A$135:$A$186,0),100),$B202:$CW202,"="&amp;"x",$B$133:$CW$133,"="&amp;"Y"),0)</f>
        <v>0</v>
      </c>
      <c r="AE237">
        <f ca="1">IFERROR(SUMIFS(INDEX($B$135:$CW$186,MATCH(AE$205,$A$135:$A$186,0),1):INDEX($B$135:$CW$186,MATCH(AE$205,$A$135:$A$186,0),100),$B202:$CW202,"="&amp;"x",$B$133:$CW$133,"="&amp;"Y"),0)</f>
        <v>0</v>
      </c>
      <c r="AF237">
        <f ca="1">IFERROR(SUMIFS(INDEX($B$135:$CW$186,MATCH(AF$205,$A$135:$A$186,0),1):INDEX($B$135:$CW$186,MATCH(AF$205,$A$135:$A$186,0),100),$B202:$CW202,"="&amp;"x",$B$133:$CW$133,"="&amp;"Y"),0)</f>
        <v>0</v>
      </c>
      <c r="AG237">
        <f ca="1">IFERROR(SUMIFS(INDEX($B$135:$CW$186,MATCH(AG$205,$A$135:$A$186,0),1):INDEX($B$135:$CW$186,MATCH(AG$205,$A$135:$A$186,0),100),$B202:$CW202,"="&amp;"x",$B$133:$CW$133,"="&amp;"Y"),0)</f>
        <v>0</v>
      </c>
      <c r="AH237">
        <f ca="1">IFERROR(SUMIFS(INDEX($B$135:$CW$186,MATCH(AH$205,$A$135:$A$186,0),1):INDEX($B$135:$CW$186,MATCH(AH$205,$A$135:$A$186,0),100),$B202:$CW202,"="&amp;"x",$B$133:$CW$133,"="&amp;"Y"),0)</f>
        <v>0</v>
      </c>
      <c r="AI237">
        <f ca="1">IFERROR(SUMIFS(INDEX($B$135:$CW$186,MATCH(AI$205,$A$135:$A$186,0),1):INDEX($B$135:$CW$186,MATCH(AI$205,$A$135:$A$186,0),100),$B202:$CW202,"="&amp;"x",$B$133:$CW$133,"="&amp;"Y"),0)</f>
        <v>0</v>
      </c>
      <c r="AJ237">
        <f ca="1">IFERROR(SUMIFS(INDEX($B$135:$CW$186,MATCH(AJ$205,$A$135:$A$186,0),1):INDEX($B$135:$CW$186,MATCH(AJ$205,$A$135:$A$186,0),100),$B202:$CW202,"="&amp;"x",$B$133:$CW$133,"="&amp;"Y"),0)</f>
        <v>0</v>
      </c>
      <c r="AK237">
        <f ca="1">IFERROR(SUMIFS(INDEX($B$135:$CW$186,MATCH(AK$205,$A$135:$A$186,0),1):INDEX($B$135:$CW$186,MATCH(AK$205,$A$135:$A$186,0),100),$B202:$CW202,"="&amp;"x",$B$133:$CW$133,"="&amp;"Y"),0)</f>
        <v>0</v>
      </c>
      <c r="AL237">
        <f ca="1">IFERROR(SUMIFS(INDEX($B$135:$CW$186,MATCH(AL$205,$A$135:$A$186,0),1):INDEX($B$135:$CW$186,MATCH(AL$205,$A$135:$A$186,0),100),$B202:$CW202,"="&amp;"x",$B$133:$CW$133,"="&amp;"Y"),0)</f>
        <v>0</v>
      </c>
      <c r="AM237">
        <f ca="1">IFERROR(SUMIFS(INDEX($B$135:$CW$186,MATCH(AM$205,$A$135:$A$186,0),1):INDEX($B$135:$CW$186,MATCH(AM$205,$A$135:$A$186,0),100),$B202:$CW202,"="&amp;"x",$B$133:$CW$133,"="&amp;"Y"),0)</f>
        <v>0</v>
      </c>
      <c r="AN237">
        <f ca="1">IFERROR(SUMIFS(INDEX($B$135:$CW$186,MATCH(AN$205,$A$135:$A$186,0),1):INDEX($B$135:$CW$186,MATCH(AN$205,$A$135:$A$186,0),100),$B202:$CW202,"="&amp;"x",$B$133:$CW$133,"="&amp;"Y"),0)</f>
        <v>0</v>
      </c>
      <c r="AO237">
        <f ca="1">IFERROR(SUMIFS(INDEX($B$135:$CW$186,MATCH(AO$205,$A$135:$A$186,0),1):INDEX($B$135:$CW$186,MATCH(AO$205,$A$135:$A$186,0),100),$B202:$CW202,"="&amp;"x",$B$133:$CW$133,"="&amp;"Y"),0)</f>
        <v>0</v>
      </c>
      <c r="AP237">
        <f ca="1">IFERROR(SUMIFS(INDEX($B$135:$CW$186,MATCH(AP$205,$A$135:$A$186,0),1):INDEX($B$135:$CW$186,MATCH(AP$205,$A$135:$A$186,0),100),$B202:$CW202,"="&amp;"x",$B$133:$CW$133,"="&amp;"Y"),0)</f>
        <v>0</v>
      </c>
      <c r="AQ237">
        <f ca="1">IFERROR(SUMIFS(INDEX($B$135:$CW$186,MATCH(AQ$205,$A$135:$A$186,0),1):INDEX($B$135:$CW$186,MATCH(AQ$205,$A$135:$A$186,0),100),$B202:$CW202,"="&amp;"x",$B$133:$CW$133,"="&amp;"Y"),0)</f>
        <v>0</v>
      </c>
      <c r="AR237">
        <f ca="1">IFERROR(SUMIFS(INDEX($B$135:$CW$186,MATCH(AR$205,$A$135:$A$186,0),1):INDEX($B$135:$CW$186,MATCH(AR$205,$A$135:$A$186,0),100),$B202:$CW202,"="&amp;"x",$B$133:$CW$133,"="&amp;"Y"),0)</f>
        <v>0</v>
      </c>
      <c r="AS237">
        <f ca="1">IFERROR(SUMIFS(INDEX($B$135:$CW$186,MATCH(AS$205,$A$135:$A$186,0),1):INDEX($B$135:$CW$186,MATCH(AS$205,$A$135:$A$186,0),100),$B202:$CW202,"="&amp;"x",$B$133:$CW$133,"="&amp;"Y"),0)</f>
        <v>0</v>
      </c>
      <c r="AT237">
        <f ca="1">IFERROR(SUMIFS(INDEX($B$135:$CW$186,MATCH(AT$205,$A$135:$A$186,0),1):INDEX($B$135:$CW$186,MATCH(AT$205,$A$135:$A$186,0),100),$B202:$CW202,"="&amp;"x",$B$133:$CW$133,"="&amp;"Y"),0)</f>
        <v>0</v>
      </c>
      <c r="AU237">
        <f ca="1">IFERROR(SUMIFS(INDEX($B$135:$CW$186,MATCH(AU$205,$A$135:$A$186,0),1):INDEX($B$135:$CW$186,MATCH(AU$205,$A$135:$A$186,0),100),$B202:$CW202,"="&amp;"x",$B$133:$CW$133,"="&amp;"Y"),0)</f>
        <v>0</v>
      </c>
      <c r="AV237">
        <f ca="1">IFERROR(SUMIFS(INDEX($B$135:$CW$186,MATCH(AV$205,$A$135:$A$186,0),1):INDEX($B$135:$CW$186,MATCH(AV$205,$A$135:$A$186,0),100),$B202:$CW202,"="&amp;"x",$B$133:$CW$133,"="&amp;"Y"),0)</f>
        <v>0</v>
      </c>
      <c r="AW237">
        <f ca="1">IFERROR(SUMIFS(INDEX($B$135:$CW$186,MATCH(AW$205,$A$135:$A$186,0),1):INDEX($B$135:$CW$186,MATCH(AW$205,$A$135:$A$186,0),100),$B202:$CW202,"="&amp;"x",$B$133:$CW$133,"="&amp;"Y"),0)</f>
        <v>0</v>
      </c>
      <c r="AX237">
        <f ca="1">IFERROR(SUMIFS(INDEX($B$135:$CW$186,MATCH(AX$205,$A$135:$A$186,0),1):INDEX($B$135:$CW$186,MATCH(AX$205,$A$135:$A$186,0),100),$B202:$CW202,"="&amp;"x",$B$133:$CW$133,"="&amp;"Y"),0)</f>
        <v>0</v>
      </c>
      <c r="AY237">
        <f ca="1">IFERROR(SUMIFS(INDEX($B$135:$CW$186,MATCH(AY$205,$A$135:$A$186,0),1):INDEX($B$135:$CW$186,MATCH(AY$205,$A$135:$A$186,0),100),$B202:$CW202,"="&amp;"x",$B$133:$CW$133,"="&amp;"Y"),0)</f>
        <v>0</v>
      </c>
      <c r="AZ237">
        <f ca="1">IFERROR(SUMIFS(INDEX($B$135:$CW$186,MATCH(AZ$205,$A$135:$A$186,0),1):INDEX($B$135:$CW$186,MATCH(AZ$205,$A$135:$A$186,0),100),$B202:$CW202,"="&amp;"x",$B$133:$CW$133,"="&amp;"Y"),0)</f>
        <v>0</v>
      </c>
      <c r="BA237">
        <f ca="1">IFERROR(SUMIFS(INDEX($B$135:$CW$186,MATCH(BA$205,$A$135:$A$186,0),1):INDEX($B$135:$CW$186,MATCH(BA$205,$A$135:$A$186,0),100),$B202:$CW202,"="&amp;"x",$B$133:$CW$133,"="&amp;"Y"),0)</f>
        <v>0</v>
      </c>
      <c r="BC237">
        <f t="shared" ca="1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ca="1">IFERROR(SUMIFS(INDEX($B$135:$CW$186,MATCH(B$205,$A$135:$A$186,0),1):INDEX($B$135:$CW$186,MATCH(B$205,$A$135:$A$186,0),100),$B203:$CW203,"="&amp;"x",$B$133:$CW$133,"="&amp;"Y"),0)</f>
        <v>0</v>
      </c>
      <c r="C238">
        <f ca="1">IFERROR(SUMIFS(INDEX($B$135:$CW$186,MATCH(C$205,$A$135:$A$186,0),1):INDEX($B$135:$CW$186,MATCH(C$205,$A$135:$A$186,0),100),$B203:$CW203,"="&amp;"x",$B$133:$CW$133,"="&amp;"Y"),0)</f>
        <v>0</v>
      </c>
      <c r="D238">
        <f ca="1">IFERROR(SUMIFS(INDEX($B$135:$CW$186,MATCH(D$205,$A$135:$A$186,0),1):INDEX($B$135:$CW$186,MATCH(D$205,$A$135:$A$186,0),100),$B203:$CW203,"="&amp;"x",$B$133:$CW$133,"="&amp;"Y"),0)</f>
        <v>0</v>
      </c>
      <c r="E238">
        <f ca="1">IFERROR(SUMIFS(INDEX($B$135:$CW$186,MATCH(E$205,$A$135:$A$186,0),1):INDEX($B$135:$CW$186,MATCH(E$205,$A$135:$A$186,0),100),$B203:$CW203,"="&amp;"x",$B$133:$CW$133,"="&amp;"Y"),0)</f>
        <v>0</v>
      </c>
      <c r="F238">
        <f ca="1">IFERROR(SUMIFS(INDEX($B$135:$CW$186,MATCH(F$205,$A$135:$A$186,0),1):INDEX($B$135:$CW$186,MATCH(F$205,$A$135:$A$186,0),100),$B203:$CW203,"="&amp;"x",$B$133:$CW$133,"="&amp;"Y"),0)</f>
        <v>0</v>
      </c>
      <c r="G238">
        <f ca="1">IFERROR(SUMIFS(INDEX($B$135:$CW$186,MATCH(G$205,$A$135:$A$186,0),1):INDEX($B$135:$CW$186,MATCH(G$205,$A$135:$A$186,0),100),$B203:$CW203,"="&amp;"x",$B$133:$CW$133,"="&amp;"Y"),0)</f>
        <v>0</v>
      </c>
      <c r="H238">
        <f ca="1">IFERROR(SUMIFS(INDEX($B$135:$CW$186,MATCH(H$205,$A$135:$A$186,0),1):INDEX($B$135:$CW$186,MATCH(H$205,$A$135:$A$186,0),100),$B203:$CW203,"="&amp;"x",$B$133:$CW$133,"="&amp;"Y"),0)</f>
        <v>0</v>
      </c>
      <c r="I238">
        <f ca="1">IFERROR(SUMIFS(INDEX($B$135:$CW$186,MATCH(I$205,$A$135:$A$186,0),1):INDEX($B$135:$CW$186,MATCH(I$205,$A$135:$A$186,0),100),$B203:$CW203,"="&amp;"x",$B$133:$CW$133,"="&amp;"Y"),0)</f>
        <v>0</v>
      </c>
      <c r="J238">
        <f ca="1">IFERROR(SUMIFS(INDEX($B$135:$CW$186,MATCH(J$205,$A$135:$A$186,0),1):INDEX($B$135:$CW$186,MATCH(J$205,$A$135:$A$186,0),100),$B203:$CW203,"="&amp;"x",$B$133:$CW$133,"="&amp;"Y"),0)</f>
        <v>0</v>
      </c>
      <c r="K238">
        <f ca="1">IFERROR(SUMIFS(INDEX($B$135:$CW$186,MATCH(K$205,$A$135:$A$186,0),1):INDEX($B$135:$CW$186,MATCH(K$205,$A$135:$A$186,0),100),$B203:$CW203,"="&amp;"x",$B$133:$CW$133,"="&amp;"Y"),0)</f>
        <v>0</v>
      </c>
      <c r="L238">
        <f ca="1">IFERROR(SUMIFS(INDEX($B$135:$CW$186,MATCH(L$205,$A$135:$A$186,0),1):INDEX($B$135:$CW$186,MATCH(L$205,$A$135:$A$186,0),100),$B203:$CW203,"="&amp;"x",$B$133:$CW$133,"="&amp;"Y"),0)</f>
        <v>0</v>
      </c>
      <c r="M238">
        <f ca="1">IFERROR(SUMIFS(INDEX($B$135:$CW$186,MATCH(M$205,$A$135:$A$186,0),1):INDEX($B$135:$CW$186,MATCH(M$205,$A$135:$A$186,0),100),$B203:$CW203,"="&amp;"x",$B$133:$CW$133,"="&amp;"Y"),0)</f>
        <v>0</v>
      </c>
      <c r="N238">
        <f ca="1">IFERROR(SUMIFS(INDEX($B$135:$CW$186,MATCH(N$205,$A$135:$A$186,0),1):INDEX($B$135:$CW$186,MATCH(N$205,$A$135:$A$186,0),100),$B203:$CW203,"="&amp;"x",$B$133:$CW$133,"="&amp;"Y"),0)</f>
        <v>0</v>
      </c>
      <c r="O238">
        <f ca="1">IFERROR(SUMIFS(INDEX($B$135:$CW$186,MATCH(O$205,$A$135:$A$186,0),1):INDEX($B$135:$CW$186,MATCH(O$205,$A$135:$A$186,0),100),$B203:$CW203,"="&amp;"x",$B$133:$CW$133,"="&amp;"Y"),0)</f>
        <v>0</v>
      </c>
      <c r="P238">
        <f ca="1">IFERROR(SUMIFS(INDEX($B$135:$CW$186,MATCH(P$205,$A$135:$A$186,0),1):INDEX($B$135:$CW$186,MATCH(P$205,$A$135:$A$186,0),100),$B203:$CW203,"="&amp;"x",$B$133:$CW$133,"="&amp;"Y"),0)</f>
        <v>0</v>
      </c>
      <c r="Q238">
        <f ca="1">IFERROR(SUMIFS(INDEX($B$135:$CW$186,MATCH(Q$205,$A$135:$A$186,0),1):INDEX($B$135:$CW$186,MATCH(Q$205,$A$135:$A$186,0),100),$B203:$CW203,"="&amp;"x",$B$133:$CW$133,"="&amp;"Y"),0)</f>
        <v>0</v>
      </c>
      <c r="R238">
        <f ca="1">IFERROR(SUMIFS(INDEX($B$135:$CW$186,MATCH(R$205,$A$135:$A$186,0),1):INDEX($B$135:$CW$186,MATCH(R$205,$A$135:$A$186,0),100),$B203:$CW203,"="&amp;"x",$B$133:$CW$133,"="&amp;"Y"),0)</f>
        <v>0</v>
      </c>
      <c r="S238">
        <f ca="1">IFERROR(SUMIFS(INDEX($B$135:$CW$186,MATCH(S$205,$A$135:$A$186,0),1):INDEX($B$135:$CW$186,MATCH(S$205,$A$135:$A$186,0),100),$B203:$CW203,"="&amp;"x",$B$133:$CW$133,"="&amp;"Y"),0)</f>
        <v>0</v>
      </c>
      <c r="T238">
        <f ca="1">IFERROR(SUMIFS(INDEX($B$135:$CW$186,MATCH(T$205,$A$135:$A$186,0),1):INDEX($B$135:$CW$186,MATCH(T$205,$A$135:$A$186,0),100),$B203:$CW203,"="&amp;"x",$B$133:$CW$133,"="&amp;"Y"),0)</f>
        <v>0</v>
      </c>
      <c r="U238">
        <f ca="1">IFERROR(SUMIFS(INDEX($B$135:$CW$186,MATCH(U$205,$A$135:$A$186,0),1):INDEX($B$135:$CW$186,MATCH(U$205,$A$135:$A$186,0),100),$B203:$CW203,"="&amp;"x",$B$133:$CW$133,"="&amp;"Y"),0)</f>
        <v>0</v>
      </c>
      <c r="V238">
        <f ca="1">IFERROR(SUMIFS(INDEX($B$135:$CW$186,MATCH(V$205,$A$135:$A$186,0),1):INDEX($B$135:$CW$186,MATCH(V$205,$A$135:$A$186,0),100),$B203:$CW203,"="&amp;"x",$B$133:$CW$133,"="&amp;"Y"),0)</f>
        <v>0</v>
      </c>
      <c r="W238">
        <f ca="1">IFERROR(SUMIFS(INDEX($B$135:$CW$186,MATCH(W$205,$A$135:$A$186,0),1):INDEX($B$135:$CW$186,MATCH(W$205,$A$135:$A$186,0),100),$B203:$CW203,"="&amp;"x",$B$133:$CW$133,"="&amp;"Y"),0)</f>
        <v>0</v>
      </c>
      <c r="X238">
        <f ca="1">IFERROR(SUMIFS(INDEX($B$135:$CW$186,MATCH(X$205,$A$135:$A$186,0),1):INDEX($B$135:$CW$186,MATCH(X$205,$A$135:$A$186,0),100),$B203:$CW203,"="&amp;"x",$B$133:$CW$133,"="&amp;"Y"),0)</f>
        <v>0</v>
      </c>
      <c r="Y238">
        <f ca="1">IFERROR(SUMIFS(INDEX($B$135:$CW$186,MATCH(Y$205,$A$135:$A$186,0),1):INDEX($B$135:$CW$186,MATCH(Y$205,$A$135:$A$186,0),100),$B203:$CW203,"="&amp;"x",$B$133:$CW$133,"="&amp;"Y"),0)</f>
        <v>0</v>
      </c>
      <c r="Z238">
        <f ca="1">IFERROR(SUMIFS(INDEX($B$135:$CW$186,MATCH(Z$205,$A$135:$A$186,0),1):INDEX($B$135:$CW$186,MATCH(Z$205,$A$135:$A$186,0),100),$B203:$CW203,"="&amp;"x",$B$133:$CW$133,"="&amp;"Y"),0)</f>
        <v>0</v>
      </c>
      <c r="AA238">
        <f ca="1">IFERROR(SUMIFS(INDEX($B$135:$CW$186,MATCH(AA$205,$A$135:$A$186,0),1):INDEX($B$135:$CW$186,MATCH(AA$205,$A$135:$A$186,0),100),$B203:$CW203,"="&amp;"x",$B$133:$CW$133,"="&amp;"Y"),0)</f>
        <v>0</v>
      </c>
      <c r="AB238">
        <f ca="1">IFERROR(SUMIFS(INDEX($B$135:$CW$186,MATCH(AB$205,$A$135:$A$186,0),1):INDEX($B$135:$CW$186,MATCH(AB$205,$A$135:$A$186,0),100),$B203:$CW203,"="&amp;"x",$B$133:$CW$133,"="&amp;"Y"),0)</f>
        <v>0</v>
      </c>
      <c r="AC238">
        <f ca="1">IFERROR(SUMIFS(INDEX($B$135:$CW$186,MATCH(AC$205,$A$135:$A$186,0),1):INDEX($B$135:$CW$186,MATCH(AC$205,$A$135:$A$186,0),100),$B203:$CW203,"="&amp;"x",$B$133:$CW$133,"="&amp;"Y"),0)</f>
        <v>0</v>
      </c>
      <c r="AD238">
        <f ca="1">IFERROR(SUMIFS(INDEX($B$135:$CW$186,MATCH(AD$205,$A$135:$A$186,0),1):INDEX($B$135:$CW$186,MATCH(AD$205,$A$135:$A$186,0),100),$B203:$CW203,"="&amp;"x",$B$133:$CW$133,"="&amp;"Y"),0)</f>
        <v>0</v>
      </c>
      <c r="AE238">
        <f ca="1">IFERROR(SUMIFS(INDEX($B$135:$CW$186,MATCH(AE$205,$A$135:$A$186,0),1):INDEX($B$135:$CW$186,MATCH(AE$205,$A$135:$A$186,0),100),$B203:$CW203,"="&amp;"x",$B$133:$CW$133,"="&amp;"Y"),0)</f>
        <v>0</v>
      </c>
      <c r="AF238">
        <f ca="1">IFERROR(SUMIFS(INDEX($B$135:$CW$186,MATCH(AF$205,$A$135:$A$186,0),1):INDEX($B$135:$CW$186,MATCH(AF$205,$A$135:$A$186,0),100),$B203:$CW203,"="&amp;"x",$B$133:$CW$133,"="&amp;"Y"),0)</f>
        <v>0</v>
      </c>
      <c r="AG238">
        <f ca="1">IFERROR(SUMIFS(INDEX($B$135:$CW$186,MATCH(AG$205,$A$135:$A$186,0),1):INDEX($B$135:$CW$186,MATCH(AG$205,$A$135:$A$186,0),100),$B203:$CW203,"="&amp;"x",$B$133:$CW$133,"="&amp;"Y"),0)</f>
        <v>0</v>
      </c>
      <c r="AH238">
        <f ca="1">IFERROR(SUMIFS(INDEX($B$135:$CW$186,MATCH(AH$205,$A$135:$A$186,0),1):INDEX($B$135:$CW$186,MATCH(AH$205,$A$135:$A$186,0),100),$B203:$CW203,"="&amp;"x",$B$133:$CW$133,"="&amp;"Y"),0)</f>
        <v>0</v>
      </c>
      <c r="AI238">
        <f ca="1">IFERROR(SUMIFS(INDEX($B$135:$CW$186,MATCH(AI$205,$A$135:$A$186,0),1):INDEX($B$135:$CW$186,MATCH(AI$205,$A$135:$A$186,0),100),$B203:$CW203,"="&amp;"x",$B$133:$CW$133,"="&amp;"Y"),0)</f>
        <v>0</v>
      </c>
      <c r="AJ238">
        <f ca="1">IFERROR(SUMIFS(INDEX($B$135:$CW$186,MATCH(AJ$205,$A$135:$A$186,0),1):INDEX($B$135:$CW$186,MATCH(AJ$205,$A$135:$A$186,0),100),$B203:$CW203,"="&amp;"x",$B$133:$CW$133,"="&amp;"Y"),0)</f>
        <v>0</v>
      </c>
      <c r="AK238">
        <f ca="1">IFERROR(SUMIFS(INDEX($B$135:$CW$186,MATCH(AK$205,$A$135:$A$186,0),1):INDEX($B$135:$CW$186,MATCH(AK$205,$A$135:$A$186,0),100),$B203:$CW203,"="&amp;"x",$B$133:$CW$133,"="&amp;"Y"),0)</f>
        <v>0</v>
      </c>
      <c r="AL238">
        <f ca="1">IFERROR(SUMIFS(INDEX($B$135:$CW$186,MATCH(AL$205,$A$135:$A$186,0),1):INDEX($B$135:$CW$186,MATCH(AL$205,$A$135:$A$186,0),100),$B203:$CW203,"="&amp;"x",$B$133:$CW$133,"="&amp;"Y"),0)</f>
        <v>0</v>
      </c>
      <c r="AM238">
        <f ca="1">IFERROR(SUMIFS(INDEX($B$135:$CW$186,MATCH(AM$205,$A$135:$A$186,0),1):INDEX($B$135:$CW$186,MATCH(AM$205,$A$135:$A$186,0),100),$B203:$CW203,"="&amp;"x",$B$133:$CW$133,"="&amp;"Y"),0)</f>
        <v>0</v>
      </c>
      <c r="AN238">
        <f ca="1">IFERROR(SUMIFS(INDEX($B$135:$CW$186,MATCH(AN$205,$A$135:$A$186,0),1):INDEX($B$135:$CW$186,MATCH(AN$205,$A$135:$A$186,0),100),$B203:$CW203,"="&amp;"x",$B$133:$CW$133,"="&amp;"Y"),0)</f>
        <v>0</v>
      </c>
      <c r="AO238">
        <f ca="1">IFERROR(SUMIFS(INDEX($B$135:$CW$186,MATCH(AO$205,$A$135:$A$186,0),1):INDEX($B$135:$CW$186,MATCH(AO$205,$A$135:$A$186,0),100),$B203:$CW203,"="&amp;"x",$B$133:$CW$133,"="&amp;"Y"),0)</f>
        <v>0</v>
      </c>
      <c r="AP238">
        <f ca="1">IFERROR(SUMIFS(INDEX($B$135:$CW$186,MATCH(AP$205,$A$135:$A$186,0),1):INDEX($B$135:$CW$186,MATCH(AP$205,$A$135:$A$186,0),100),$B203:$CW203,"="&amp;"x",$B$133:$CW$133,"="&amp;"Y"),0)</f>
        <v>0</v>
      </c>
      <c r="AQ238">
        <f ca="1">IFERROR(SUMIFS(INDEX($B$135:$CW$186,MATCH(AQ$205,$A$135:$A$186,0),1):INDEX($B$135:$CW$186,MATCH(AQ$205,$A$135:$A$186,0),100),$B203:$CW203,"="&amp;"x",$B$133:$CW$133,"="&amp;"Y"),0)</f>
        <v>0</v>
      </c>
      <c r="AR238">
        <f ca="1">IFERROR(SUMIFS(INDEX($B$135:$CW$186,MATCH(AR$205,$A$135:$A$186,0),1):INDEX($B$135:$CW$186,MATCH(AR$205,$A$135:$A$186,0),100),$B203:$CW203,"="&amp;"x",$B$133:$CW$133,"="&amp;"Y"),0)</f>
        <v>0</v>
      </c>
      <c r="AS238">
        <f ca="1">IFERROR(SUMIFS(INDEX($B$135:$CW$186,MATCH(AS$205,$A$135:$A$186,0),1):INDEX($B$135:$CW$186,MATCH(AS$205,$A$135:$A$186,0),100),$B203:$CW203,"="&amp;"x",$B$133:$CW$133,"="&amp;"Y"),0)</f>
        <v>0</v>
      </c>
      <c r="AT238">
        <f ca="1">IFERROR(SUMIFS(INDEX($B$135:$CW$186,MATCH(AT$205,$A$135:$A$186,0),1):INDEX($B$135:$CW$186,MATCH(AT$205,$A$135:$A$186,0),100),$B203:$CW203,"="&amp;"x",$B$133:$CW$133,"="&amp;"Y"),0)</f>
        <v>0</v>
      </c>
      <c r="AU238">
        <f ca="1">IFERROR(SUMIFS(INDEX($B$135:$CW$186,MATCH(AU$205,$A$135:$A$186,0),1):INDEX($B$135:$CW$186,MATCH(AU$205,$A$135:$A$186,0),100),$B203:$CW203,"="&amp;"x",$B$133:$CW$133,"="&amp;"Y"),0)</f>
        <v>0</v>
      </c>
      <c r="AV238">
        <f ca="1">IFERROR(SUMIFS(INDEX($B$135:$CW$186,MATCH(AV$205,$A$135:$A$186,0),1):INDEX($B$135:$CW$186,MATCH(AV$205,$A$135:$A$186,0),100),$B203:$CW203,"="&amp;"x",$B$133:$CW$133,"="&amp;"Y"),0)</f>
        <v>0</v>
      </c>
      <c r="AW238">
        <f ca="1">IFERROR(SUMIFS(INDEX($B$135:$CW$186,MATCH(AW$205,$A$135:$A$186,0),1):INDEX($B$135:$CW$186,MATCH(AW$205,$A$135:$A$186,0),100),$B203:$CW203,"="&amp;"x",$B$133:$CW$133,"="&amp;"Y"),0)</f>
        <v>0</v>
      </c>
      <c r="AX238">
        <f ca="1">IFERROR(SUMIFS(INDEX($B$135:$CW$186,MATCH(AX$205,$A$135:$A$186,0),1):INDEX($B$135:$CW$186,MATCH(AX$205,$A$135:$A$186,0),100),$B203:$CW203,"="&amp;"x",$B$133:$CW$133,"="&amp;"Y"),0)</f>
        <v>0</v>
      </c>
      <c r="AY238">
        <f ca="1">IFERROR(SUMIFS(INDEX($B$135:$CW$186,MATCH(AY$205,$A$135:$A$186,0),1):INDEX($B$135:$CW$186,MATCH(AY$205,$A$135:$A$186,0),100),$B203:$CW203,"="&amp;"x",$B$133:$CW$133,"="&amp;"Y"),0)</f>
        <v>0</v>
      </c>
      <c r="AZ238">
        <f ca="1">IFERROR(SUMIFS(INDEX($B$135:$CW$186,MATCH(AZ$205,$A$135:$A$186,0),1):INDEX($B$135:$CW$186,MATCH(AZ$205,$A$135:$A$186,0),100),$B203:$CW203,"="&amp;"x",$B$133:$CW$133,"="&amp;"Y"),0)</f>
        <v>0</v>
      </c>
      <c r="BA238">
        <f ca="1">IFERROR(SUMIFS(INDEX($B$135:$CW$186,MATCH(BA$205,$A$135:$A$186,0),1):INDEX($B$135:$CW$186,MATCH(BA$205,$A$135:$A$186,0),100),$B203:$CW203,"="&amp;"x",$B$133:$CW$133,"="&amp;"Y"),0)</f>
        <v>0</v>
      </c>
      <c r="BC238">
        <f t="shared" ca="1" si="38"/>
        <v>0</v>
      </c>
    </row>
    <row r="239" spans="1:55" x14ac:dyDescent="0.35">
      <c r="A239" s="3" t="str">
        <f>"All "&amp;Setup!$B$15</f>
        <v>All Caseloads</v>
      </c>
      <c r="B239">
        <f ca="1">SUM(B224:B238)</f>
        <v>0</v>
      </c>
      <c r="C239">
        <f t="shared" ref="C239:BA239" ca="1" si="39">SUM(C224:C238)</f>
        <v>0</v>
      </c>
      <c r="D239">
        <f t="shared" ca="1" si="39"/>
        <v>0</v>
      </c>
      <c r="E239">
        <f t="shared" ca="1" si="39"/>
        <v>0</v>
      </c>
      <c r="F239">
        <f t="shared" ca="1" si="39"/>
        <v>0</v>
      </c>
      <c r="G239">
        <f t="shared" ca="1" si="39"/>
        <v>0</v>
      </c>
      <c r="H239">
        <f t="shared" ca="1" si="39"/>
        <v>0</v>
      </c>
      <c r="I239">
        <f t="shared" ca="1" si="39"/>
        <v>0</v>
      </c>
      <c r="J239">
        <f t="shared" ca="1" si="39"/>
        <v>0</v>
      </c>
      <c r="K239">
        <f t="shared" ca="1" si="39"/>
        <v>0</v>
      </c>
      <c r="L239">
        <f t="shared" ca="1" si="39"/>
        <v>0</v>
      </c>
      <c r="M239">
        <f t="shared" ca="1" si="39"/>
        <v>0</v>
      </c>
      <c r="N239">
        <f t="shared" ca="1" si="39"/>
        <v>0</v>
      </c>
      <c r="O239">
        <f t="shared" ca="1" si="39"/>
        <v>0</v>
      </c>
      <c r="P239">
        <f t="shared" ca="1" si="39"/>
        <v>0</v>
      </c>
      <c r="Q239">
        <f t="shared" ca="1" si="39"/>
        <v>0</v>
      </c>
      <c r="R239">
        <f t="shared" ca="1" si="39"/>
        <v>0</v>
      </c>
      <c r="S239">
        <f t="shared" ca="1" si="39"/>
        <v>0</v>
      </c>
      <c r="T239">
        <f t="shared" ca="1" si="39"/>
        <v>0</v>
      </c>
      <c r="U239">
        <f t="shared" ca="1" si="39"/>
        <v>0</v>
      </c>
      <c r="V239">
        <f t="shared" ca="1" si="39"/>
        <v>0</v>
      </c>
      <c r="W239">
        <f t="shared" ca="1" si="39"/>
        <v>0</v>
      </c>
      <c r="X239">
        <f t="shared" ca="1" si="39"/>
        <v>0</v>
      </c>
      <c r="Y239">
        <f t="shared" ca="1" si="39"/>
        <v>0</v>
      </c>
      <c r="Z239">
        <f t="shared" ca="1" si="39"/>
        <v>0</v>
      </c>
      <c r="AA239">
        <f t="shared" ca="1" si="39"/>
        <v>0</v>
      </c>
      <c r="AB239">
        <f t="shared" ca="1" si="39"/>
        <v>0</v>
      </c>
      <c r="AC239">
        <f t="shared" ca="1" si="39"/>
        <v>0</v>
      </c>
      <c r="AD239">
        <f t="shared" ca="1" si="39"/>
        <v>0</v>
      </c>
      <c r="AE239">
        <f t="shared" ca="1" si="39"/>
        <v>0</v>
      </c>
      <c r="AF239">
        <f t="shared" ca="1" si="39"/>
        <v>0</v>
      </c>
      <c r="AG239">
        <f t="shared" ca="1" si="39"/>
        <v>0</v>
      </c>
      <c r="AH239">
        <f t="shared" ca="1" si="39"/>
        <v>0</v>
      </c>
      <c r="AI239">
        <f t="shared" ca="1" si="39"/>
        <v>0</v>
      </c>
      <c r="AJ239">
        <f t="shared" ca="1" si="39"/>
        <v>0</v>
      </c>
      <c r="AK239">
        <f t="shared" ca="1" si="39"/>
        <v>0</v>
      </c>
      <c r="AL239">
        <f t="shared" ca="1" si="39"/>
        <v>0</v>
      </c>
      <c r="AM239">
        <f t="shared" ca="1" si="39"/>
        <v>0</v>
      </c>
      <c r="AN239">
        <f t="shared" ca="1" si="39"/>
        <v>0</v>
      </c>
      <c r="AO239">
        <f t="shared" ca="1" si="39"/>
        <v>0</v>
      </c>
      <c r="AP239">
        <f t="shared" ca="1" si="39"/>
        <v>0</v>
      </c>
      <c r="AQ239">
        <f t="shared" ca="1" si="39"/>
        <v>0</v>
      </c>
      <c r="AR239">
        <f t="shared" ca="1" si="39"/>
        <v>0</v>
      </c>
      <c r="AS239">
        <f t="shared" ca="1" si="39"/>
        <v>0</v>
      </c>
      <c r="AT239">
        <f t="shared" ca="1" si="39"/>
        <v>0</v>
      </c>
      <c r="AU239">
        <f t="shared" ca="1" si="39"/>
        <v>0</v>
      </c>
      <c r="AV239">
        <f t="shared" ca="1" si="39"/>
        <v>0</v>
      </c>
      <c r="AW239">
        <f t="shared" ca="1" si="39"/>
        <v>0</v>
      </c>
      <c r="AX239">
        <f t="shared" ca="1" si="39"/>
        <v>0</v>
      </c>
      <c r="AY239">
        <f t="shared" ca="1" si="39"/>
        <v>0</v>
      </c>
      <c r="AZ239">
        <f t="shared" ca="1" si="39"/>
        <v>0</v>
      </c>
      <c r="BA239">
        <f t="shared" ca="1" si="39"/>
        <v>0</v>
      </c>
    </row>
    <row r="240" spans="1:55" x14ac:dyDescent="0.35">
      <c r="A240" s="2"/>
    </row>
    <row r="241" spans="1:55" x14ac:dyDescent="0.35">
      <c r="A241" s="2" t="s">
        <v>62</v>
      </c>
      <c r="B241" s="2" t="e" cm="1" vm="2">
        <f t="array" aca="1" ref="B241" ca="1">INDEX($A$5:$A$56,COLUMN(A1),1)</f>
        <v>#VALUE!</v>
      </c>
      <c r="C241" s="2" t="e" cm="1" vm="2">
        <f t="array" aca="1" ref="C241" ca="1">INDEX($A$5:$A$56,COLUMN(B1),1)</f>
        <v>#VALUE!</v>
      </c>
      <c r="D241" s="2" t="e" cm="1" vm="2">
        <f t="array" aca="1" ref="D241" ca="1">INDEX($A$5:$A$56,COLUMN(C1),1)</f>
        <v>#VALUE!</v>
      </c>
      <c r="E241" s="2" t="e" cm="1" vm="2">
        <f t="array" aca="1" ref="E241" ca="1">INDEX($A$5:$A$56,COLUMN(D1),1)</f>
        <v>#VALUE!</v>
      </c>
      <c r="F241" s="2" t="e" cm="1" vm="2">
        <f t="array" aca="1" ref="F241" ca="1">INDEX($A$5:$A$56,COLUMN(E1),1)</f>
        <v>#VALUE!</v>
      </c>
      <c r="G241" s="2" t="e" cm="1" vm="2">
        <f t="array" aca="1" ref="G241" ca="1">INDEX($A$5:$A$56,COLUMN(F1),1)</f>
        <v>#VALUE!</v>
      </c>
      <c r="H241" s="2" t="e" cm="1" vm="2">
        <f t="array" aca="1" ref="H241" ca="1">INDEX($A$5:$A$56,COLUMN(G1),1)</f>
        <v>#VALUE!</v>
      </c>
      <c r="I241" s="2" t="e" cm="1" vm="2">
        <f t="array" aca="1" ref="I241" ca="1">INDEX($A$5:$A$56,COLUMN(H1),1)</f>
        <v>#VALUE!</v>
      </c>
      <c r="J241" s="2" t="e" cm="1" vm="2">
        <f t="array" aca="1" ref="J241" ca="1">INDEX($A$5:$A$56,COLUMN(I1),1)</f>
        <v>#VALUE!</v>
      </c>
      <c r="K241" s="2" t="e" cm="1" vm="2">
        <f t="array" aca="1" ref="K241" ca="1">INDEX($A$5:$A$56,COLUMN(J1),1)</f>
        <v>#VALUE!</v>
      </c>
      <c r="L241" s="2" t="e" cm="1" vm="2">
        <f t="array" aca="1" ref="L241" ca="1">INDEX($A$5:$A$56,COLUMN(K1),1)</f>
        <v>#VALUE!</v>
      </c>
      <c r="M241" s="2" t="e" cm="1" vm="2">
        <f t="array" aca="1" ref="M241" ca="1">INDEX($A$5:$A$56,COLUMN(L1),1)</f>
        <v>#VALUE!</v>
      </c>
      <c r="N241" s="2" t="e" cm="1" vm="2">
        <f t="array" aca="1" ref="N241" ca="1">INDEX($A$5:$A$56,COLUMN(M1),1)</f>
        <v>#VALUE!</v>
      </c>
      <c r="O241" s="2" t="e" cm="1" vm="2">
        <f t="array" aca="1" ref="O241" ca="1">INDEX($A$5:$A$56,COLUMN(N1),1)</f>
        <v>#VALUE!</v>
      </c>
      <c r="P241" s="2" t="e" cm="1" vm="2">
        <f t="array" aca="1" ref="P241" ca="1">INDEX($A$5:$A$56,COLUMN(O1),1)</f>
        <v>#VALUE!</v>
      </c>
      <c r="Q241" s="2" t="e" cm="1" vm="2">
        <f t="array" aca="1" ref="Q241" ca="1">INDEX($A$5:$A$56,COLUMN(P1),1)</f>
        <v>#VALUE!</v>
      </c>
      <c r="R241" s="2" t="e" cm="1" vm="2">
        <f t="array" aca="1" ref="R241" ca="1">INDEX($A$5:$A$56,COLUMN(Q1),1)</f>
        <v>#VALUE!</v>
      </c>
      <c r="S241" s="2" t="e" cm="1" vm="2">
        <f t="array" aca="1" ref="S241" ca="1">INDEX($A$5:$A$56,COLUMN(R1),1)</f>
        <v>#VALUE!</v>
      </c>
      <c r="T241" s="2" t="e" cm="1" vm="2">
        <f t="array" aca="1" ref="T241" ca="1">INDEX($A$5:$A$56,COLUMN(S1),1)</f>
        <v>#VALUE!</v>
      </c>
      <c r="U241" s="2" t="e" cm="1" vm="2">
        <f t="array" aca="1" ref="U241" ca="1">INDEX($A$5:$A$56,COLUMN(T1),1)</f>
        <v>#VALUE!</v>
      </c>
      <c r="V241" s="2" t="e" cm="1" vm="2">
        <f t="array" aca="1" ref="V241" ca="1">INDEX($A$5:$A$56,COLUMN(U1),1)</f>
        <v>#VALUE!</v>
      </c>
      <c r="W241" s="2" t="e" cm="1" vm="2">
        <f t="array" aca="1" ref="W241" ca="1">INDEX($A$5:$A$56,COLUMN(V1),1)</f>
        <v>#VALUE!</v>
      </c>
      <c r="X241" s="2" t="e" cm="1" vm="2">
        <f t="array" aca="1" ref="X241" ca="1">INDEX($A$5:$A$56,COLUMN(W1),1)</f>
        <v>#VALUE!</v>
      </c>
      <c r="Y241" s="2" t="e" cm="1" vm="2">
        <f t="array" aca="1" ref="Y241" ca="1">INDEX($A$5:$A$56,COLUMN(X1),1)</f>
        <v>#VALUE!</v>
      </c>
      <c r="Z241" s="2" t="e" cm="1" vm="2">
        <f t="array" aca="1" ref="Z241" ca="1">INDEX($A$5:$A$56,COLUMN(Y1),1)</f>
        <v>#VALUE!</v>
      </c>
      <c r="AA241" s="2" t="e" cm="1" vm="2">
        <f t="array" aca="1" ref="AA241" ca="1">INDEX($A$5:$A$56,COLUMN(Z1),1)</f>
        <v>#VALUE!</v>
      </c>
      <c r="AB241" s="2" t="e" cm="1" vm="2">
        <f t="array" aca="1" ref="AB241" ca="1">INDEX($A$5:$A$56,COLUMN(AA1),1)</f>
        <v>#VALUE!</v>
      </c>
      <c r="AC241" s="2" t="e" cm="1" vm="2">
        <f t="array" aca="1" ref="AC241" ca="1">INDEX($A$5:$A$56,COLUMN(AB1),1)</f>
        <v>#VALUE!</v>
      </c>
      <c r="AD241" s="2" t="e" cm="1" vm="2">
        <f t="array" aca="1" ref="AD241" ca="1">INDEX($A$5:$A$56,COLUMN(AC1),1)</f>
        <v>#VALUE!</v>
      </c>
      <c r="AE241" s="2" t="e" cm="1" vm="2">
        <f t="array" aca="1" ref="AE241" ca="1">INDEX($A$5:$A$56,COLUMN(AD1),1)</f>
        <v>#VALUE!</v>
      </c>
      <c r="AF241" s="2" t="e" cm="1" vm="2">
        <f t="array" aca="1" ref="AF241" ca="1">INDEX($A$5:$A$56,COLUMN(AE1),1)</f>
        <v>#VALUE!</v>
      </c>
      <c r="AG241" s="2" t="e" cm="1" vm="2">
        <f t="array" aca="1" ref="AG241" ca="1">INDEX($A$5:$A$56,COLUMN(AF1),1)</f>
        <v>#VALUE!</v>
      </c>
      <c r="AH241" s="2" t="e" cm="1" vm="2">
        <f t="array" aca="1" ref="AH241" ca="1">INDEX($A$5:$A$56,COLUMN(AG1),1)</f>
        <v>#VALUE!</v>
      </c>
      <c r="AI241" s="2" t="e" cm="1" vm="2">
        <f t="array" aca="1" ref="AI241" ca="1">INDEX($A$5:$A$56,COLUMN(AH1),1)</f>
        <v>#VALUE!</v>
      </c>
      <c r="AJ241" s="2" t="e" cm="1" vm="2">
        <f t="array" aca="1" ref="AJ241" ca="1">INDEX($A$5:$A$56,COLUMN(AI1),1)</f>
        <v>#VALUE!</v>
      </c>
      <c r="AK241" s="2" t="e" cm="1" vm="2">
        <f t="array" aca="1" ref="AK241" ca="1">INDEX($A$5:$A$56,COLUMN(AJ1),1)</f>
        <v>#VALUE!</v>
      </c>
      <c r="AL241" s="2" t="e" cm="1" vm="2">
        <f t="array" aca="1" ref="AL241" ca="1">INDEX($A$5:$A$56,COLUMN(AK1),1)</f>
        <v>#VALUE!</v>
      </c>
      <c r="AM241" s="2" t="e" cm="1" vm="2">
        <f t="array" aca="1" ref="AM241" ca="1">INDEX($A$5:$A$56,COLUMN(AL1),1)</f>
        <v>#VALUE!</v>
      </c>
      <c r="AN241" s="2" t="e" cm="1" vm="2">
        <f t="array" aca="1" ref="AN241" ca="1">INDEX($A$5:$A$56,COLUMN(AM1),1)</f>
        <v>#VALUE!</v>
      </c>
      <c r="AO241" s="2" t="e" cm="1" vm="2">
        <f t="array" aca="1" ref="AO241" ca="1">INDEX($A$5:$A$56,COLUMN(AN1),1)</f>
        <v>#VALUE!</v>
      </c>
      <c r="AP241" s="2" t="e" cm="1" vm="2">
        <f t="array" aca="1" ref="AP241" ca="1">INDEX($A$5:$A$56,COLUMN(AO1),1)</f>
        <v>#VALUE!</v>
      </c>
      <c r="AQ241" s="2" t="e" cm="1" vm="2">
        <f t="array" aca="1" ref="AQ241" ca="1">INDEX($A$5:$A$56,COLUMN(AP1),1)</f>
        <v>#VALUE!</v>
      </c>
      <c r="AR241" s="2" t="e" cm="1" vm="2">
        <f t="array" aca="1" ref="AR241" ca="1">INDEX($A$5:$A$56,COLUMN(AQ1),1)</f>
        <v>#VALUE!</v>
      </c>
      <c r="AS241" s="2" t="e" cm="1" vm="2">
        <f t="array" aca="1" ref="AS241" ca="1">INDEX($A$5:$A$56,COLUMN(AR1),1)</f>
        <v>#VALUE!</v>
      </c>
      <c r="AT241" s="2" t="e" cm="1" vm="2">
        <f t="array" aca="1" ref="AT241" ca="1">INDEX($A$5:$A$56,COLUMN(AS1),1)</f>
        <v>#VALUE!</v>
      </c>
      <c r="AU241" s="2" t="e" cm="1" vm="2">
        <f t="array" aca="1" ref="AU241" ca="1">INDEX($A$5:$A$56,COLUMN(AT1),1)</f>
        <v>#VALUE!</v>
      </c>
      <c r="AV241" s="2" t="e" cm="1" vm="2">
        <f t="array" aca="1" ref="AV241" ca="1">INDEX($A$5:$A$56,COLUMN(AU1),1)</f>
        <v>#VALUE!</v>
      </c>
      <c r="AW241" s="2" t="e" cm="1" vm="2">
        <f t="array" aca="1" ref="AW241" ca="1">INDEX($A$5:$A$56,COLUMN(AV1),1)</f>
        <v>#VALUE!</v>
      </c>
      <c r="AX241" s="2" t="e" cm="1" vm="2">
        <f t="array" aca="1" ref="AX241" ca="1">INDEX($A$5:$A$56,COLUMN(AW1),1)</f>
        <v>#VALUE!</v>
      </c>
      <c r="AY241" s="2" t="e" cm="1" vm="2">
        <f t="array" aca="1" ref="AY241" ca="1">INDEX($A$5:$A$56,COLUMN(AX1),1)</f>
        <v>#VALUE!</v>
      </c>
      <c r="AZ241" s="2" t="e" cm="1" vm="2">
        <f t="array" aca="1" ref="AZ241" ca="1">INDEX($A$5:$A$56,COLUMN(AY1),1)</f>
        <v>#VALUE!</v>
      </c>
      <c r="BA241" s="2" t="e" cm="1" vm="2">
        <f t="array" aca="1" ref="BA241" ca="1">INDEX($A$5:$A$56,COLUMN(AZ1),1)</f>
        <v>#VALUE!</v>
      </c>
      <c r="BC241" t="s">
        <v>125</v>
      </c>
    </row>
    <row r="242" spans="1:55" x14ac:dyDescent="0.35">
      <c r="A242" s="2" t="str" cm="1">
        <f t="array" ref="A242">INDEX('Data Validation (Hide)'!$B$2:$B$16,ROW(A1),1)</f>
        <v>Caseload 1</v>
      </c>
      <c r="B242">
        <f ca="1">SUM(B206,B224)</f>
        <v>0</v>
      </c>
      <c r="C242">
        <f t="shared" ref="C242:BA242" ca="1" si="40">SUM(C206,C224)</f>
        <v>0</v>
      </c>
      <c r="D242">
        <f t="shared" ca="1" si="40"/>
        <v>0</v>
      </c>
      <c r="E242">
        <f t="shared" ca="1" si="40"/>
        <v>0</v>
      </c>
      <c r="F242">
        <f t="shared" ca="1" si="40"/>
        <v>0</v>
      </c>
      <c r="G242">
        <f t="shared" ca="1" si="40"/>
        <v>0</v>
      </c>
      <c r="H242">
        <f t="shared" ca="1" si="40"/>
        <v>0</v>
      </c>
      <c r="I242">
        <f t="shared" ca="1" si="40"/>
        <v>0</v>
      </c>
      <c r="J242">
        <f t="shared" ca="1" si="40"/>
        <v>0</v>
      </c>
      <c r="K242">
        <f t="shared" ca="1" si="40"/>
        <v>0</v>
      </c>
      <c r="L242">
        <f t="shared" ca="1" si="40"/>
        <v>0</v>
      </c>
      <c r="M242">
        <f t="shared" ca="1" si="40"/>
        <v>0</v>
      </c>
      <c r="N242">
        <f t="shared" ca="1" si="40"/>
        <v>0</v>
      </c>
      <c r="O242">
        <f t="shared" ca="1" si="40"/>
        <v>0</v>
      </c>
      <c r="P242">
        <f t="shared" ca="1" si="40"/>
        <v>0</v>
      </c>
      <c r="Q242">
        <f t="shared" ca="1" si="40"/>
        <v>0</v>
      </c>
      <c r="R242">
        <f t="shared" ca="1" si="40"/>
        <v>0</v>
      </c>
      <c r="S242">
        <f t="shared" ca="1" si="40"/>
        <v>0</v>
      </c>
      <c r="T242">
        <f t="shared" ca="1" si="40"/>
        <v>0</v>
      </c>
      <c r="U242">
        <f t="shared" ca="1" si="40"/>
        <v>0</v>
      </c>
      <c r="V242">
        <f t="shared" ca="1" si="40"/>
        <v>0</v>
      </c>
      <c r="W242">
        <f t="shared" ca="1" si="40"/>
        <v>0</v>
      </c>
      <c r="X242">
        <f t="shared" ca="1" si="40"/>
        <v>0</v>
      </c>
      <c r="Y242">
        <f t="shared" ca="1" si="40"/>
        <v>0</v>
      </c>
      <c r="Z242">
        <f t="shared" ca="1" si="40"/>
        <v>0</v>
      </c>
      <c r="AA242">
        <f t="shared" ca="1" si="40"/>
        <v>0</v>
      </c>
      <c r="AB242">
        <f t="shared" ca="1" si="40"/>
        <v>0</v>
      </c>
      <c r="AC242">
        <f t="shared" ca="1" si="40"/>
        <v>0</v>
      </c>
      <c r="AD242">
        <f t="shared" ca="1" si="40"/>
        <v>0</v>
      </c>
      <c r="AE242">
        <f t="shared" ca="1" si="40"/>
        <v>0</v>
      </c>
      <c r="AF242">
        <f t="shared" ca="1" si="40"/>
        <v>0</v>
      </c>
      <c r="AG242">
        <f t="shared" ca="1" si="40"/>
        <v>0</v>
      </c>
      <c r="AH242">
        <f t="shared" ca="1" si="40"/>
        <v>0</v>
      </c>
      <c r="AI242">
        <f t="shared" ca="1" si="40"/>
        <v>0</v>
      </c>
      <c r="AJ242">
        <f t="shared" ca="1" si="40"/>
        <v>0</v>
      </c>
      <c r="AK242">
        <f t="shared" ca="1" si="40"/>
        <v>0</v>
      </c>
      <c r="AL242">
        <f t="shared" ca="1" si="40"/>
        <v>0</v>
      </c>
      <c r="AM242">
        <f t="shared" ca="1" si="40"/>
        <v>0</v>
      </c>
      <c r="AN242">
        <f t="shared" ca="1" si="40"/>
        <v>0</v>
      </c>
      <c r="AO242">
        <f t="shared" ca="1" si="40"/>
        <v>0</v>
      </c>
      <c r="AP242">
        <f t="shared" ca="1" si="40"/>
        <v>0</v>
      </c>
      <c r="AQ242">
        <f t="shared" ca="1" si="40"/>
        <v>0</v>
      </c>
      <c r="AR242">
        <f t="shared" ca="1" si="40"/>
        <v>0</v>
      </c>
      <c r="AS242">
        <f t="shared" ca="1" si="40"/>
        <v>0</v>
      </c>
      <c r="AT242">
        <f t="shared" ca="1" si="40"/>
        <v>0</v>
      </c>
      <c r="AU242">
        <f t="shared" ca="1" si="40"/>
        <v>0</v>
      </c>
      <c r="AV242">
        <f t="shared" ca="1" si="40"/>
        <v>0</v>
      </c>
      <c r="AW242">
        <f t="shared" ca="1" si="40"/>
        <v>0</v>
      </c>
      <c r="AX242">
        <f t="shared" ca="1" si="40"/>
        <v>0</v>
      </c>
      <c r="AY242">
        <f t="shared" ca="1" si="40"/>
        <v>0</v>
      </c>
      <c r="AZ242">
        <f t="shared" ca="1" si="40"/>
        <v>0</v>
      </c>
      <c r="BA242">
        <f t="shared" ca="1" si="40"/>
        <v>0</v>
      </c>
      <c r="BC242">
        <f ca="1">AVERAGE(B242:BA242)</f>
        <v>0</v>
      </c>
    </row>
    <row r="243" spans="1:55" x14ac:dyDescent="0.35">
      <c r="A243" s="2" t="str" cm="1">
        <f t="array" ref="A243">INDEX('Data Validation (Hide)'!$B$2:$B$16,ROW(A2),1)</f>
        <v>Caseload 2</v>
      </c>
      <c r="B243">
        <f t="shared" ref="B243:BA243" ca="1" si="41">SUM(B207,B225)</f>
        <v>0</v>
      </c>
      <c r="C243">
        <f t="shared" ca="1" si="41"/>
        <v>0</v>
      </c>
      <c r="D243">
        <f t="shared" ca="1" si="41"/>
        <v>0</v>
      </c>
      <c r="E243">
        <f t="shared" ca="1" si="41"/>
        <v>0</v>
      </c>
      <c r="F243">
        <f t="shared" ca="1" si="41"/>
        <v>0</v>
      </c>
      <c r="G243">
        <f t="shared" ca="1" si="41"/>
        <v>0</v>
      </c>
      <c r="H243">
        <f t="shared" ca="1" si="41"/>
        <v>0</v>
      </c>
      <c r="I243">
        <f t="shared" ca="1" si="41"/>
        <v>0</v>
      </c>
      <c r="J243">
        <f t="shared" ca="1" si="41"/>
        <v>0</v>
      </c>
      <c r="K243">
        <f t="shared" ca="1" si="41"/>
        <v>0</v>
      </c>
      <c r="L243">
        <f t="shared" ca="1" si="41"/>
        <v>0</v>
      </c>
      <c r="M243">
        <f t="shared" ca="1" si="41"/>
        <v>0</v>
      </c>
      <c r="N243">
        <f t="shared" ca="1" si="41"/>
        <v>0</v>
      </c>
      <c r="O243">
        <f t="shared" ca="1" si="41"/>
        <v>0</v>
      </c>
      <c r="P243">
        <f t="shared" ca="1" si="41"/>
        <v>0</v>
      </c>
      <c r="Q243">
        <f t="shared" ca="1" si="41"/>
        <v>0</v>
      </c>
      <c r="R243">
        <f t="shared" ca="1" si="41"/>
        <v>0</v>
      </c>
      <c r="S243">
        <f t="shared" ca="1" si="41"/>
        <v>0</v>
      </c>
      <c r="T243">
        <f t="shared" ca="1" si="41"/>
        <v>0</v>
      </c>
      <c r="U243">
        <f t="shared" ca="1" si="41"/>
        <v>0</v>
      </c>
      <c r="V243">
        <f t="shared" ca="1" si="41"/>
        <v>0</v>
      </c>
      <c r="W243">
        <f t="shared" ca="1" si="41"/>
        <v>0</v>
      </c>
      <c r="X243">
        <f t="shared" ca="1" si="41"/>
        <v>0</v>
      </c>
      <c r="Y243">
        <f t="shared" ca="1" si="41"/>
        <v>0</v>
      </c>
      <c r="Z243">
        <f t="shared" ca="1" si="41"/>
        <v>0</v>
      </c>
      <c r="AA243">
        <f t="shared" ca="1" si="41"/>
        <v>0</v>
      </c>
      <c r="AB243">
        <f t="shared" ca="1" si="41"/>
        <v>0</v>
      </c>
      <c r="AC243">
        <f t="shared" ca="1" si="41"/>
        <v>0</v>
      </c>
      <c r="AD243">
        <f t="shared" ca="1" si="41"/>
        <v>0</v>
      </c>
      <c r="AE243">
        <f t="shared" ca="1" si="41"/>
        <v>0</v>
      </c>
      <c r="AF243">
        <f t="shared" ca="1" si="41"/>
        <v>0</v>
      </c>
      <c r="AG243">
        <f t="shared" ca="1" si="41"/>
        <v>0</v>
      </c>
      <c r="AH243">
        <f t="shared" ca="1" si="41"/>
        <v>0</v>
      </c>
      <c r="AI243">
        <f t="shared" ca="1" si="41"/>
        <v>0</v>
      </c>
      <c r="AJ243">
        <f t="shared" ca="1" si="41"/>
        <v>0</v>
      </c>
      <c r="AK243">
        <f t="shared" ca="1" si="41"/>
        <v>0</v>
      </c>
      <c r="AL243">
        <f t="shared" ca="1" si="41"/>
        <v>0</v>
      </c>
      <c r="AM243">
        <f t="shared" ca="1" si="41"/>
        <v>0</v>
      </c>
      <c r="AN243">
        <f t="shared" ca="1" si="41"/>
        <v>0</v>
      </c>
      <c r="AO243">
        <f t="shared" ca="1" si="41"/>
        <v>0</v>
      </c>
      <c r="AP243">
        <f t="shared" ca="1" si="41"/>
        <v>0</v>
      </c>
      <c r="AQ243">
        <f t="shared" ca="1" si="41"/>
        <v>0</v>
      </c>
      <c r="AR243">
        <f t="shared" ca="1" si="41"/>
        <v>0</v>
      </c>
      <c r="AS243">
        <f t="shared" ca="1" si="41"/>
        <v>0</v>
      </c>
      <c r="AT243">
        <f t="shared" ca="1" si="41"/>
        <v>0</v>
      </c>
      <c r="AU243">
        <f t="shared" ca="1" si="41"/>
        <v>0</v>
      </c>
      <c r="AV243">
        <f t="shared" ca="1" si="41"/>
        <v>0</v>
      </c>
      <c r="AW243">
        <f t="shared" ca="1" si="41"/>
        <v>0</v>
      </c>
      <c r="AX243">
        <f t="shared" ca="1" si="41"/>
        <v>0</v>
      </c>
      <c r="AY243">
        <f t="shared" ca="1" si="41"/>
        <v>0</v>
      </c>
      <c r="AZ243">
        <f t="shared" ca="1" si="41"/>
        <v>0</v>
      </c>
      <c r="BA243">
        <f t="shared" ca="1" si="41"/>
        <v>0</v>
      </c>
      <c r="BC243">
        <f t="shared" ref="BC243:BC256" ca="1" si="42">AVERAGE(B243:BA243)</f>
        <v>0</v>
      </c>
    </row>
    <row r="244" spans="1:55" x14ac:dyDescent="0.35">
      <c r="A244" s="2" t="str" cm="1">
        <f t="array" ref="A244">INDEX('Data Validation (Hide)'!$B$2:$B$16,ROW(A3),1)</f>
        <v>Caseload 3</v>
      </c>
      <c r="B244">
        <f t="shared" ref="B244:BA244" ca="1" si="43">SUM(B208,B226)</f>
        <v>0</v>
      </c>
      <c r="C244">
        <f t="shared" ca="1" si="43"/>
        <v>0</v>
      </c>
      <c r="D244">
        <f t="shared" ca="1" si="43"/>
        <v>0</v>
      </c>
      <c r="E244">
        <f t="shared" ca="1" si="43"/>
        <v>0</v>
      </c>
      <c r="F244">
        <f t="shared" ca="1" si="43"/>
        <v>0</v>
      </c>
      <c r="G244">
        <f t="shared" ca="1" si="43"/>
        <v>0</v>
      </c>
      <c r="H244">
        <f t="shared" ca="1" si="43"/>
        <v>0</v>
      </c>
      <c r="I244">
        <f t="shared" ca="1" si="43"/>
        <v>0</v>
      </c>
      <c r="J244">
        <f t="shared" ca="1" si="43"/>
        <v>0</v>
      </c>
      <c r="K244">
        <f t="shared" ca="1" si="43"/>
        <v>0</v>
      </c>
      <c r="L244">
        <f t="shared" ca="1" si="43"/>
        <v>0</v>
      </c>
      <c r="M244">
        <f t="shared" ca="1" si="43"/>
        <v>0</v>
      </c>
      <c r="N244">
        <f t="shared" ca="1" si="43"/>
        <v>0</v>
      </c>
      <c r="O244">
        <f t="shared" ca="1" si="43"/>
        <v>0</v>
      </c>
      <c r="P244">
        <f t="shared" ca="1" si="43"/>
        <v>0</v>
      </c>
      <c r="Q244">
        <f t="shared" ca="1" si="43"/>
        <v>0</v>
      </c>
      <c r="R244">
        <f t="shared" ca="1" si="43"/>
        <v>0</v>
      </c>
      <c r="S244">
        <f t="shared" ca="1" si="43"/>
        <v>0</v>
      </c>
      <c r="T244">
        <f t="shared" ca="1" si="43"/>
        <v>0</v>
      </c>
      <c r="U244">
        <f t="shared" ca="1" si="43"/>
        <v>0</v>
      </c>
      <c r="V244">
        <f t="shared" ca="1" si="43"/>
        <v>0</v>
      </c>
      <c r="W244">
        <f t="shared" ca="1" si="43"/>
        <v>0</v>
      </c>
      <c r="X244">
        <f t="shared" ca="1" si="43"/>
        <v>0</v>
      </c>
      <c r="Y244">
        <f t="shared" ca="1" si="43"/>
        <v>0</v>
      </c>
      <c r="Z244">
        <f t="shared" ca="1" si="43"/>
        <v>0</v>
      </c>
      <c r="AA244">
        <f t="shared" ca="1" si="43"/>
        <v>0</v>
      </c>
      <c r="AB244">
        <f t="shared" ca="1" si="43"/>
        <v>0</v>
      </c>
      <c r="AC244">
        <f t="shared" ca="1" si="43"/>
        <v>0</v>
      </c>
      <c r="AD244">
        <f t="shared" ca="1" si="43"/>
        <v>0</v>
      </c>
      <c r="AE244">
        <f t="shared" ca="1" si="43"/>
        <v>0</v>
      </c>
      <c r="AF244">
        <f t="shared" ca="1" si="43"/>
        <v>0</v>
      </c>
      <c r="AG244">
        <f t="shared" ca="1" si="43"/>
        <v>0</v>
      </c>
      <c r="AH244">
        <f t="shared" ca="1" si="43"/>
        <v>0</v>
      </c>
      <c r="AI244">
        <f t="shared" ca="1" si="43"/>
        <v>0</v>
      </c>
      <c r="AJ244">
        <f t="shared" ca="1" si="43"/>
        <v>0</v>
      </c>
      <c r="AK244">
        <f t="shared" ca="1" si="43"/>
        <v>0</v>
      </c>
      <c r="AL244">
        <f t="shared" ca="1" si="43"/>
        <v>0</v>
      </c>
      <c r="AM244">
        <f t="shared" ca="1" si="43"/>
        <v>0</v>
      </c>
      <c r="AN244">
        <f t="shared" ca="1" si="43"/>
        <v>0</v>
      </c>
      <c r="AO244">
        <f t="shared" ca="1" si="43"/>
        <v>0</v>
      </c>
      <c r="AP244">
        <f t="shared" ca="1" si="43"/>
        <v>0</v>
      </c>
      <c r="AQ244">
        <f t="shared" ca="1" si="43"/>
        <v>0</v>
      </c>
      <c r="AR244">
        <f t="shared" ca="1" si="43"/>
        <v>0</v>
      </c>
      <c r="AS244">
        <f t="shared" ca="1" si="43"/>
        <v>0</v>
      </c>
      <c r="AT244">
        <f t="shared" ca="1" si="43"/>
        <v>0</v>
      </c>
      <c r="AU244">
        <f t="shared" ca="1" si="43"/>
        <v>0</v>
      </c>
      <c r="AV244">
        <f t="shared" ca="1" si="43"/>
        <v>0</v>
      </c>
      <c r="AW244">
        <f t="shared" ca="1" si="43"/>
        <v>0</v>
      </c>
      <c r="AX244">
        <f t="shared" ca="1" si="43"/>
        <v>0</v>
      </c>
      <c r="AY244">
        <f t="shared" ca="1" si="43"/>
        <v>0</v>
      </c>
      <c r="AZ244">
        <f t="shared" ca="1" si="43"/>
        <v>0</v>
      </c>
      <c r="BA244">
        <f t="shared" ca="1" si="43"/>
        <v>0</v>
      </c>
      <c r="BC244">
        <f t="shared" ca="1" si="42"/>
        <v>0</v>
      </c>
    </row>
    <row r="245" spans="1:55" x14ac:dyDescent="0.35">
      <c r="A245" s="2" t="str" cm="1">
        <f t="array" ref="A245">INDEX('Data Validation (Hide)'!$B$2:$B$16,ROW(A4),1)</f>
        <v>Caseload 4</v>
      </c>
      <c r="B245">
        <f t="shared" ref="B245:BA245" ca="1" si="44">SUM(B209,B227)</f>
        <v>0</v>
      </c>
      <c r="C245">
        <f t="shared" ca="1" si="44"/>
        <v>0</v>
      </c>
      <c r="D245">
        <f t="shared" ca="1" si="44"/>
        <v>0</v>
      </c>
      <c r="E245">
        <f t="shared" ca="1" si="44"/>
        <v>0</v>
      </c>
      <c r="F245">
        <f t="shared" ca="1" si="44"/>
        <v>0</v>
      </c>
      <c r="G245">
        <f t="shared" ca="1" si="44"/>
        <v>0</v>
      </c>
      <c r="H245">
        <f t="shared" ca="1" si="44"/>
        <v>0</v>
      </c>
      <c r="I245">
        <f t="shared" ca="1" si="44"/>
        <v>0</v>
      </c>
      <c r="J245">
        <f t="shared" ca="1" si="44"/>
        <v>0</v>
      </c>
      <c r="K245">
        <f t="shared" ca="1" si="44"/>
        <v>0</v>
      </c>
      <c r="L245">
        <f t="shared" ca="1" si="44"/>
        <v>0</v>
      </c>
      <c r="M245">
        <f t="shared" ca="1" si="44"/>
        <v>0</v>
      </c>
      <c r="N245">
        <f t="shared" ca="1" si="44"/>
        <v>0</v>
      </c>
      <c r="O245">
        <f t="shared" ca="1" si="44"/>
        <v>0</v>
      </c>
      <c r="P245">
        <f t="shared" ca="1" si="44"/>
        <v>0</v>
      </c>
      <c r="Q245">
        <f t="shared" ca="1" si="44"/>
        <v>0</v>
      </c>
      <c r="R245">
        <f t="shared" ca="1" si="44"/>
        <v>0</v>
      </c>
      <c r="S245">
        <f t="shared" ca="1" si="44"/>
        <v>0</v>
      </c>
      <c r="T245">
        <f t="shared" ca="1" si="44"/>
        <v>0</v>
      </c>
      <c r="U245">
        <f t="shared" ca="1" si="44"/>
        <v>0</v>
      </c>
      <c r="V245">
        <f t="shared" ca="1" si="44"/>
        <v>0</v>
      </c>
      <c r="W245">
        <f t="shared" ca="1" si="44"/>
        <v>0</v>
      </c>
      <c r="X245">
        <f t="shared" ca="1" si="44"/>
        <v>0</v>
      </c>
      <c r="Y245">
        <f t="shared" ca="1" si="44"/>
        <v>0</v>
      </c>
      <c r="Z245">
        <f t="shared" ca="1" si="44"/>
        <v>0</v>
      </c>
      <c r="AA245">
        <f t="shared" ca="1" si="44"/>
        <v>0</v>
      </c>
      <c r="AB245">
        <f t="shared" ca="1" si="44"/>
        <v>0</v>
      </c>
      <c r="AC245">
        <f t="shared" ca="1" si="44"/>
        <v>0</v>
      </c>
      <c r="AD245">
        <f t="shared" ca="1" si="44"/>
        <v>0</v>
      </c>
      <c r="AE245">
        <f t="shared" ca="1" si="44"/>
        <v>0</v>
      </c>
      <c r="AF245">
        <f t="shared" ca="1" si="44"/>
        <v>0</v>
      </c>
      <c r="AG245">
        <f t="shared" ca="1" si="44"/>
        <v>0</v>
      </c>
      <c r="AH245">
        <f t="shared" ca="1" si="44"/>
        <v>0</v>
      </c>
      <c r="AI245">
        <f t="shared" ca="1" si="44"/>
        <v>0</v>
      </c>
      <c r="AJ245">
        <f t="shared" ca="1" si="44"/>
        <v>0</v>
      </c>
      <c r="AK245">
        <f t="shared" ca="1" si="44"/>
        <v>0</v>
      </c>
      <c r="AL245">
        <f t="shared" ca="1" si="44"/>
        <v>0</v>
      </c>
      <c r="AM245">
        <f t="shared" ca="1" si="44"/>
        <v>0</v>
      </c>
      <c r="AN245">
        <f t="shared" ca="1" si="44"/>
        <v>0</v>
      </c>
      <c r="AO245">
        <f t="shared" ca="1" si="44"/>
        <v>0</v>
      </c>
      <c r="AP245">
        <f t="shared" ca="1" si="44"/>
        <v>0</v>
      </c>
      <c r="AQ245">
        <f t="shared" ca="1" si="44"/>
        <v>0</v>
      </c>
      <c r="AR245">
        <f t="shared" ca="1" si="44"/>
        <v>0</v>
      </c>
      <c r="AS245">
        <f t="shared" ca="1" si="44"/>
        <v>0</v>
      </c>
      <c r="AT245">
        <f t="shared" ca="1" si="44"/>
        <v>0</v>
      </c>
      <c r="AU245">
        <f t="shared" ca="1" si="44"/>
        <v>0</v>
      </c>
      <c r="AV245">
        <f t="shared" ca="1" si="44"/>
        <v>0</v>
      </c>
      <c r="AW245">
        <f t="shared" ca="1" si="44"/>
        <v>0</v>
      </c>
      <c r="AX245">
        <f t="shared" ca="1" si="44"/>
        <v>0</v>
      </c>
      <c r="AY245">
        <f t="shared" ca="1" si="44"/>
        <v>0</v>
      </c>
      <c r="AZ245">
        <f t="shared" ca="1" si="44"/>
        <v>0</v>
      </c>
      <c r="BA245">
        <f t="shared" ca="1" si="44"/>
        <v>0</v>
      </c>
      <c r="BC245">
        <f t="shared" ca="1" si="42"/>
        <v>0</v>
      </c>
    </row>
    <row r="246" spans="1:55" x14ac:dyDescent="0.35">
      <c r="A246" s="2" t="str" cm="1">
        <f t="array" ref="A246">INDEX('Data Validation (Hide)'!$B$2:$B$16,ROW(A5),1)</f>
        <v>Caseload 5</v>
      </c>
      <c r="B246">
        <f t="shared" ref="B246:BA246" ca="1" si="45">SUM(B210,B228)</f>
        <v>0</v>
      </c>
      <c r="C246">
        <f t="shared" ca="1" si="45"/>
        <v>0</v>
      </c>
      <c r="D246">
        <f t="shared" ca="1" si="45"/>
        <v>0</v>
      </c>
      <c r="E246">
        <f t="shared" ca="1" si="45"/>
        <v>0</v>
      </c>
      <c r="F246">
        <f t="shared" ca="1" si="45"/>
        <v>0</v>
      </c>
      <c r="G246">
        <f t="shared" ca="1" si="45"/>
        <v>0</v>
      </c>
      <c r="H246">
        <f t="shared" ca="1" si="45"/>
        <v>0</v>
      </c>
      <c r="I246">
        <f t="shared" ca="1" si="45"/>
        <v>0</v>
      </c>
      <c r="J246">
        <f t="shared" ca="1" si="45"/>
        <v>0</v>
      </c>
      <c r="K246">
        <f t="shared" ca="1" si="45"/>
        <v>0</v>
      </c>
      <c r="L246">
        <f t="shared" ca="1" si="45"/>
        <v>0</v>
      </c>
      <c r="M246">
        <f t="shared" ca="1" si="45"/>
        <v>0</v>
      </c>
      <c r="N246">
        <f t="shared" ca="1" si="45"/>
        <v>0</v>
      </c>
      <c r="O246">
        <f t="shared" ca="1" si="45"/>
        <v>0</v>
      </c>
      <c r="P246">
        <f t="shared" ca="1" si="45"/>
        <v>0</v>
      </c>
      <c r="Q246">
        <f t="shared" ca="1" si="45"/>
        <v>0</v>
      </c>
      <c r="R246">
        <f t="shared" ca="1" si="45"/>
        <v>0</v>
      </c>
      <c r="S246">
        <f t="shared" ca="1" si="45"/>
        <v>0</v>
      </c>
      <c r="T246">
        <f t="shared" ca="1" si="45"/>
        <v>0</v>
      </c>
      <c r="U246">
        <f t="shared" ca="1" si="45"/>
        <v>0</v>
      </c>
      <c r="V246">
        <f t="shared" ca="1" si="45"/>
        <v>0</v>
      </c>
      <c r="W246">
        <f t="shared" ca="1" si="45"/>
        <v>0</v>
      </c>
      <c r="X246">
        <f t="shared" ca="1" si="45"/>
        <v>0</v>
      </c>
      <c r="Y246">
        <f t="shared" ca="1" si="45"/>
        <v>0</v>
      </c>
      <c r="Z246">
        <f t="shared" ca="1" si="45"/>
        <v>0</v>
      </c>
      <c r="AA246">
        <f t="shared" ca="1" si="45"/>
        <v>0</v>
      </c>
      <c r="AB246">
        <f t="shared" ca="1" si="45"/>
        <v>0</v>
      </c>
      <c r="AC246">
        <f t="shared" ca="1" si="45"/>
        <v>0</v>
      </c>
      <c r="AD246">
        <f t="shared" ca="1" si="45"/>
        <v>0</v>
      </c>
      <c r="AE246">
        <f t="shared" ca="1" si="45"/>
        <v>0</v>
      </c>
      <c r="AF246">
        <f t="shared" ca="1" si="45"/>
        <v>0</v>
      </c>
      <c r="AG246">
        <f t="shared" ca="1" si="45"/>
        <v>0</v>
      </c>
      <c r="AH246">
        <f t="shared" ca="1" si="45"/>
        <v>0</v>
      </c>
      <c r="AI246">
        <f t="shared" ca="1" si="45"/>
        <v>0</v>
      </c>
      <c r="AJ246">
        <f t="shared" ca="1" si="45"/>
        <v>0</v>
      </c>
      <c r="AK246">
        <f t="shared" ca="1" si="45"/>
        <v>0</v>
      </c>
      <c r="AL246">
        <f t="shared" ca="1" si="45"/>
        <v>0</v>
      </c>
      <c r="AM246">
        <f t="shared" ca="1" si="45"/>
        <v>0</v>
      </c>
      <c r="AN246">
        <f t="shared" ca="1" si="45"/>
        <v>0</v>
      </c>
      <c r="AO246">
        <f t="shared" ca="1" si="45"/>
        <v>0</v>
      </c>
      <c r="AP246">
        <f t="shared" ca="1" si="45"/>
        <v>0</v>
      </c>
      <c r="AQ246">
        <f t="shared" ca="1" si="45"/>
        <v>0</v>
      </c>
      <c r="AR246">
        <f t="shared" ca="1" si="45"/>
        <v>0</v>
      </c>
      <c r="AS246">
        <f t="shared" ca="1" si="45"/>
        <v>0</v>
      </c>
      <c r="AT246">
        <f t="shared" ca="1" si="45"/>
        <v>0</v>
      </c>
      <c r="AU246">
        <f t="shared" ca="1" si="45"/>
        <v>0</v>
      </c>
      <c r="AV246">
        <f t="shared" ca="1" si="45"/>
        <v>0</v>
      </c>
      <c r="AW246">
        <f t="shared" ca="1" si="45"/>
        <v>0</v>
      </c>
      <c r="AX246">
        <f t="shared" ca="1" si="45"/>
        <v>0</v>
      </c>
      <c r="AY246">
        <f t="shared" ca="1" si="45"/>
        <v>0</v>
      </c>
      <c r="AZ246">
        <f t="shared" ca="1" si="45"/>
        <v>0</v>
      </c>
      <c r="BA246">
        <f t="shared" ca="1" si="45"/>
        <v>0</v>
      </c>
      <c r="BC246">
        <f t="shared" ca="1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ca="1" si="46">SUM(B211,B229)</f>
        <v>0</v>
      </c>
      <c r="C247">
        <f t="shared" ca="1" si="46"/>
        <v>0</v>
      </c>
      <c r="D247">
        <f t="shared" ca="1" si="46"/>
        <v>0</v>
      </c>
      <c r="E247">
        <f t="shared" ca="1" si="46"/>
        <v>0</v>
      </c>
      <c r="F247">
        <f t="shared" ca="1" si="46"/>
        <v>0</v>
      </c>
      <c r="G247">
        <f t="shared" ca="1" si="46"/>
        <v>0</v>
      </c>
      <c r="H247">
        <f t="shared" ca="1" si="46"/>
        <v>0</v>
      </c>
      <c r="I247">
        <f t="shared" ca="1" si="46"/>
        <v>0</v>
      </c>
      <c r="J247">
        <f t="shared" ca="1" si="46"/>
        <v>0</v>
      </c>
      <c r="K247">
        <f t="shared" ca="1" si="46"/>
        <v>0</v>
      </c>
      <c r="L247">
        <f t="shared" ca="1" si="46"/>
        <v>0</v>
      </c>
      <c r="M247">
        <f t="shared" ca="1" si="46"/>
        <v>0</v>
      </c>
      <c r="N247">
        <f t="shared" ca="1" si="46"/>
        <v>0</v>
      </c>
      <c r="O247">
        <f t="shared" ca="1" si="46"/>
        <v>0</v>
      </c>
      <c r="P247">
        <f t="shared" ca="1" si="46"/>
        <v>0</v>
      </c>
      <c r="Q247">
        <f t="shared" ca="1" si="46"/>
        <v>0</v>
      </c>
      <c r="R247">
        <f t="shared" ca="1" si="46"/>
        <v>0</v>
      </c>
      <c r="S247">
        <f t="shared" ca="1" si="46"/>
        <v>0</v>
      </c>
      <c r="T247">
        <f t="shared" ca="1" si="46"/>
        <v>0</v>
      </c>
      <c r="U247">
        <f t="shared" ca="1" si="46"/>
        <v>0</v>
      </c>
      <c r="V247">
        <f t="shared" ca="1" si="46"/>
        <v>0</v>
      </c>
      <c r="W247">
        <f t="shared" ca="1" si="46"/>
        <v>0</v>
      </c>
      <c r="X247">
        <f t="shared" ca="1" si="46"/>
        <v>0</v>
      </c>
      <c r="Y247">
        <f t="shared" ca="1" si="46"/>
        <v>0</v>
      </c>
      <c r="Z247">
        <f t="shared" ca="1" si="46"/>
        <v>0</v>
      </c>
      <c r="AA247">
        <f t="shared" ca="1" si="46"/>
        <v>0</v>
      </c>
      <c r="AB247">
        <f t="shared" ca="1" si="46"/>
        <v>0</v>
      </c>
      <c r="AC247">
        <f t="shared" ca="1" si="46"/>
        <v>0</v>
      </c>
      <c r="AD247">
        <f t="shared" ca="1" si="46"/>
        <v>0</v>
      </c>
      <c r="AE247">
        <f t="shared" ca="1" si="46"/>
        <v>0</v>
      </c>
      <c r="AF247">
        <f t="shared" ca="1" si="46"/>
        <v>0</v>
      </c>
      <c r="AG247">
        <f t="shared" ca="1" si="46"/>
        <v>0</v>
      </c>
      <c r="AH247">
        <f t="shared" ca="1" si="46"/>
        <v>0</v>
      </c>
      <c r="AI247">
        <f t="shared" ca="1" si="46"/>
        <v>0</v>
      </c>
      <c r="AJ247">
        <f t="shared" ca="1" si="46"/>
        <v>0</v>
      </c>
      <c r="AK247">
        <f t="shared" ca="1" si="46"/>
        <v>0</v>
      </c>
      <c r="AL247">
        <f t="shared" ca="1" si="46"/>
        <v>0</v>
      </c>
      <c r="AM247">
        <f t="shared" ca="1" si="46"/>
        <v>0</v>
      </c>
      <c r="AN247">
        <f t="shared" ca="1" si="46"/>
        <v>0</v>
      </c>
      <c r="AO247">
        <f t="shared" ca="1" si="46"/>
        <v>0</v>
      </c>
      <c r="AP247">
        <f t="shared" ca="1" si="46"/>
        <v>0</v>
      </c>
      <c r="AQ247">
        <f t="shared" ca="1" si="46"/>
        <v>0</v>
      </c>
      <c r="AR247">
        <f t="shared" ca="1" si="46"/>
        <v>0</v>
      </c>
      <c r="AS247">
        <f t="shared" ca="1" si="46"/>
        <v>0</v>
      </c>
      <c r="AT247">
        <f t="shared" ca="1" si="46"/>
        <v>0</v>
      </c>
      <c r="AU247">
        <f t="shared" ca="1" si="46"/>
        <v>0</v>
      </c>
      <c r="AV247">
        <f t="shared" ca="1" si="46"/>
        <v>0</v>
      </c>
      <c r="AW247">
        <f t="shared" ca="1" si="46"/>
        <v>0</v>
      </c>
      <c r="AX247">
        <f t="shared" ca="1" si="46"/>
        <v>0</v>
      </c>
      <c r="AY247">
        <f t="shared" ca="1" si="46"/>
        <v>0</v>
      </c>
      <c r="AZ247">
        <f t="shared" ca="1" si="46"/>
        <v>0</v>
      </c>
      <c r="BA247">
        <f t="shared" ca="1" si="46"/>
        <v>0</v>
      </c>
      <c r="BC247">
        <f t="shared" ca="1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ca="1" si="47">SUM(B212,B230)</f>
        <v>0</v>
      </c>
      <c r="C248">
        <f t="shared" ca="1" si="47"/>
        <v>0</v>
      </c>
      <c r="D248">
        <f t="shared" ca="1" si="47"/>
        <v>0</v>
      </c>
      <c r="E248">
        <f t="shared" ca="1" si="47"/>
        <v>0</v>
      </c>
      <c r="F248">
        <f t="shared" ca="1" si="47"/>
        <v>0</v>
      </c>
      <c r="G248">
        <f t="shared" ca="1" si="47"/>
        <v>0</v>
      </c>
      <c r="H248">
        <f t="shared" ca="1" si="47"/>
        <v>0</v>
      </c>
      <c r="I248">
        <f t="shared" ca="1" si="47"/>
        <v>0</v>
      </c>
      <c r="J248">
        <f t="shared" ca="1" si="47"/>
        <v>0</v>
      </c>
      <c r="K248">
        <f t="shared" ca="1" si="47"/>
        <v>0</v>
      </c>
      <c r="L248">
        <f t="shared" ca="1" si="47"/>
        <v>0</v>
      </c>
      <c r="M248">
        <f t="shared" ca="1" si="47"/>
        <v>0</v>
      </c>
      <c r="N248">
        <f t="shared" ca="1" si="47"/>
        <v>0</v>
      </c>
      <c r="O248">
        <f t="shared" ca="1" si="47"/>
        <v>0</v>
      </c>
      <c r="P248">
        <f t="shared" ca="1" si="47"/>
        <v>0</v>
      </c>
      <c r="Q248">
        <f t="shared" ca="1" si="47"/>
        <v>0</v>
      </c>
      <c r="R248">
        <f t="shared" ca="1" si="47"/>
        <v>0</v>
      </c>
      <c r="S248">
        <f t="shared" ca="1" si="47"/>
        <v>0</v>
      </c>
      <c r="T248">
        <f t="shared" ca="1" si="47"/>
        <v>0</v>
      </c>
      <c r="U248">
        <f t="shared" ca="1" si="47"/>
        <v>0</v>
      </c>
      <c r="V248">
        <f t="shared" ca="1" si="47"/>
        <v>0</v>
      </c>
      <c r="W248">
        <f t="shared" ca="1" si="47"/>
        <v>0</v>
      </c>
      <c r="X248">
        <f t="shared" ca="1" si="47"/>
        <v>0</v>
      </c>
      <c r="Y248">
        <f t="shared" ca="1" si="47"/>
        <v>0</v>
      </c>
      <c r="Z248">
        <f t="shared" ca="1" si="47"/>
        <v>0</v>
      </c>
      <c r="AA248">
        <f t="shared" ca="1" si="47"/>
        <v>0</v>
      </c>
      <c r="AB248">
        <f t="shared" ca="1" si="47"/>
        <v>0</v>
      </c>
      <c r="AC248">
        <f t="shared" ca="1" si="47"/>
        <v>0</v>
      </c>
      <c r="AD248">
        <f t="shared" ca="1" si="47"/>
        <v>0</v>
      </c>
      <c r="AE248">
        <f t="shared" ca="1" si="47"/>
        <v>0</v>
      </c>
      <c r="AF248">
        <f t="shared" ca="1" si="47"/>
        <v>0</v>
      </c>
      <c r="AG248">
        <f t="shared" ca="1" si="47"/>
        <v>0</v>
      </c>
      <c r="AH248">
        <f t="shared" ca="1" si="47"/>
        <v>0</v>
      </c>
      <c r="AI248">
        <f t="shared" ca="1" si="47"/>
        <v>0</v>
      </c>
      <c r="AJ248">
        <f t="shared" ca="1" si="47"/>
        <v>0</v>
      </c>
      <c r="AK248">
        <f t="shared" ca="1" si="47"/>
        <v>0</v>
      </c>
      <c r="AL248">
        <f t="shared" ca="1" si="47"/>
        <v>0</v>
      </c>
      <c r="AM248">
        <f t="shared" ca="1" si="47"/>
        <v>0</v>
      </c>
      <c r="AN248">
        <f t="shared" ca="1" si="47"/>
        <v>0</v>
      </c>
      <c r="AO248">
        <f t="shared" ca="1" si="47"/>
        <v>0</v>
      </c>
      <c r="AP248">
        <f t="shared" ca="1" si="47"/>
        <v>0</v>
      </c>
      <c r="AQ248">
        <f t="shared" ca="1" si="47"/>
        <v>0</v>
      </c>
      <c r="AR248">
        <f t="shared" ca="1" si="47"/>
        <v>0</v>
      </c>
      <c r="AS248">
        <f t="shared" ca="1" si="47"/>
        <v>0</v>
      </c>
      <c r="AT248">
        <f t="shared" ca="1" si="47"/>
        <v>0</v>
      </c>
      <c r="AU248">
        <f t="shared" ca="1" si="47"/>
        <v>0</v>
      </c>
      <c r="AV248">
        <f t="shared" ca="1" si="47"/>
        <v>0</v>
      </c>
      <c r="AW248">
        <f t="shared" ca="1" si="47"/>
        <v>0</v>
      </c>
      <c r="AX248">
        <f t="shared" ca="1" si="47"/>
        <v>0</v>
      </c>
      <c r="AY248">
        <f t="shared" ca="1" si="47"/>
        <v>0</v>
      </c>
      <c r="AZ248">
        <f t="shared" ca="1" si="47"/>
        <v>0</v>
      </c>
      <c r="BA248">
        <f t="shared" ca="1" si="47"/>
        <v>0</v>
      </c>
      <c r="BC248">
        <f t="shared" ca="1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ca="1" si="48">SUM(B213,B231)</f>
        <v>0</v>
      </c>
      <c r="C249">
        <f t="shared" ca="1" si="48"/>
        <v>0</v>
      </c>
      <c r="D249">
        <f t="shared" ca="1" si="48"/>
        <v>0</v>
      </c>
      <c r="E249">
        <f t="shared" ca="1" si="48"/>
        <v>0</v>
      </c>
      <c r="F249">
        <f t="shared" ca="1" si="48"/>
        <v>0</v>
      </c>
      <c r="G249">
        <f t="shared" ca="1" si="48"/>
        <v>0</v>
      </c>
      <c r="H249">
        <f t="shared" ca="1" si="48"/>
        <v>0</v>
      </c>
      <c r="I249">
        <f t="shared" ca="1" si="48"/>
        <v>0</v>
      </c>
      <c r="J249">
        <f t="shared" ca="1" si="48"/>
        <v>0</v>
      </c>
      <c r="K249">
        <f t="shared" ca="1" si="48"/>
        <v>0</v>
      </c>
      <c r="L249">
        <f t="shared" ca="1" si="48"/>
        <v>0</v>
      </c>
      <c r="M249">
        <f t="shared" ca="1" si="48"/>
        <v>0</v>
      </c>
      <c r="N249">
        <f t="shared" ca="1" si="48"/>
        <v>0</v>
      </c>
      <c r="O249">
        <f t="shared" ca="1" si="48"/>
        <v>0</v>
      </c>
      <c r="P249">
        <f t="shared" ca="1" si="48"/>
        <v>0</v>
      </c>
      <c r="Q249">
        <f t="shared" ca="1" si="48"/>
        <v>0</v>
      </c>
      <c r="R249">
        <f t="shared" ca="1" si="48"/>
        <v>0</v>
      </c>
      <c r="S249">
        <f t="shared" ca="1" si="48"/>
        <v>0</v>
      </c>
      <c r="T249">
        <f t="shared" ca="1" si="48"/>
        <v>0</v>
      </c>
      <c r="U249">
        <f t="shared" ca="1" si="48"/>
        <v>0</v>
      </c>
      <c r="V249">
        <f t="shared" ca="1" si="48"/>
        <v>0</v>
      </c>
      <c r="W249">
        <f t="shared" ca="1" si="48"/>
        <v>0</v>
      </c>
      <c r="X249">
        <f t="shared" ca="1" si="48"/>
        <v>0</v>
      </c>
      <c r="Y249">
        <f t="shared" ca="1" si="48"/>
        <v>0</v>
      </c>
      <c r="Z249">
        <f t="shared" ca="1" si="48"/>
        <v>0</v>
      </c>
      <c r="AA249">
        <f t="shared" ca="1" si="48"/>
        <v>0</v>
      </c>
      <c r="AB249">
        <f t="shared" ca="1" si="48"/>
        <v>0</v>
      </c>
      <c r="AC249">
        <f t="shared" ca="1" si="48"/>
        <v>0</v>
      </c>
      <c r="AD249">
        <f t="shared" ca="1" si="48"/>
        <v>0</v>
      </c>
      <c r="AE249">
        <f t="shared" ca="1" si="48"/>
        <v>0</v>
      </c>
      <c r="AF249">
        <f t="shared" ca="1" si="48"/>
        <v>0</v>
      </c>
      <c r="AG249">
        <f t="shared" ca="1" si="48"/>
        <v>0</v>
      </c>
      <c r="AH249">
        <f t="shared" ca="1" si="48"/>
        <v>0</v>
      </c>
      <c r="AI249">
        <f t="shared" ca="1" si="48"/>
        <v>0</v>
      </c>
      <c r="AJ249">
        <f t="shared" ca="1" si="48"/>
        <v>0</v>
      </c>
      <c r="AK249">
        <f t="shared" ca="1" si="48"/>
        <v>0</v>
      </c>
      <c r="AL249">
        <f t="shared" ca="1" si="48"/>
        <v>0</v>
      </c>
      <c r="AM249">
        <f t="shared" ca="1" si="48"/>
        <v>0</v>
      </c>
      <c r="AN249">
        <f t="shared" ca="1" si="48"/>
        <v>0</v>
      </c>
      <c r="AO249">
        <f t="shared" ca="1" si="48"/>
        <v>0</v>
      </c>
      <c r="AP249">
        <f t="shared" ca="1" si="48"/>
        <v>0</v>
      </c>
      <c r="AQ249">
        <f t="shared" ca="1" si="48"/>
        <v>0</v>
      </c>
      <c r="AR249">
        <f t="shared" ca="1" si="48"/>
        <v>0</v>
      </c>
      <c r="AS249">
        <f t="shared" ca="1" si="48"/>
        <v>0</v>
      </c>
      <c r="AT249">
        <f t="shared" ca="1" si="48"/>
        <v>0</v>
      </c>
      <c r="AU249">
        <f t="shared" ca="1" si="48"/>
        <v>0</v>
      </c>
      <c r="AV249">
        <f t="shared" ca="1" si="48"/>
        <v>0</v>
      </c>
      <c r="AW249">
        <f t="shared" ca="1" si="48"/>
        <v>0</v>
      </c>
      <c r="AX249">
        <f t="shared" ca="1" si="48"/>
        <v>0</v>
      </c>
      <c r="AY249">
        <f t="shared" ca="1" si="48"/>
        <v>0</v>
      </c>
      <c r="AZ249">
        <f t="shared" ca="1" si="48"/>
        <v>0</v>
      </c>
      <c r="BA249">
        <f t="shared" ca="1" si="48"/>
        <v>0</v>
      </c>
      <c r="BC249">
        <f t="shared" ca="1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ca="1" si="49">SUM(B214,B232)</f>
        <v>0</v>
      </c>
      <c r="C250">
        <f t="shared" ca="1" si="49"/>
        <v>0</v>
      </c>
      <c r="D250">
        <f t="shared" ca="1" si="49"/>
        <v>0</v>
      </c>
      <c r="E250">
        <f t="shared" ca="1" si="49"/>
        <v>0</v>
      </c>
      <c r="F250">
        <f t="shared" ca="1" si="49"/>
        <v>0</v>
      </c>
      <c r="G250">
        <f t="shared" ca="1" si="49"/>
        <v>0</v>
      </c>
      <c r="H250">
        <f t="shared" ca="1" si="49"/>
        <v>0</v>
      </c>
      <c r="I250">
        <f t="shared" ca="1" si="49"/>
        <v>0</v>
      </c>
      <c r="J250">
        <f t="shared" ca="1" si="49"/>
        <v>0</v>
      </c>
      <c r="K250">
        <f t="shared" ca="1" si="49"/>
        <v>0</v>
      </c>
      <c r="L250">
        <f t="shared" ca="1" si="49"/>
        <v>0</v>
      </c>
      <c r="M250">
        <f t="shared" ca="1" si="49"/>
        <v>0</v>
      </c>
      <c r="N250">
        <f t="shared" ca="1" si="49"/>
        <v>0</v>
      </c>
      <c r="O250">
        <f t="shared" ca="1" si="49"/>
        <v>0</v>
      </c>
      <c r="P250">
        <f t="shared" ca="1" si="49"/>
        <v>0</v>
      </c>
      <c r="Q250">
        <f t="shared" ca="1" si="49"/>
        <v>0</v>
      </c>
      <c r="R250">
        <f t="shared" ca="1" si="49"/>
        <v>0</v>
      </c>
      <c r="S250">
        <f t="shared" ca="1" si="49"/>
        <v>0</v>
      </c>
      <c r="T250">
        <f t="shared" ca="1" si="49"/>
        <v>0</v>
      </c>
      <c r="U250">
        <f t="shared" ca="1" si="49"/>
        <v>0</v>
      </c>
      <c r="V250">
        <f t="shared" ca="1" si="49"/>
        <v>0</v>
      </c>
      <c r="W250">
        <f t="shared" ca="1" si="49"/>
        <v>0</v>
      </c>
      <c r="X250">
        <f t="shared" ca="1" si="49"/>
        <v>0</v>
      </c>
      <c r="Y250">
        <f t="shared" ca="1" si="49"/>
        <v>0</v>
      </c>
      <c r="Z250">
        <f t="shared" ca="1" si="49"/>
        <v>0</v>
      </c>
      <c r="AA250">
        <f t="shared" ca="1" si="49"/>
        <v>0</v>
      </c>
      <c r="AB250">
        <f t="shared" ca="1" si="49"/>
        <v>0</v>
      </c>
      <c r="AC250">
        <f t="shared" ca="1" si="49"/>
        <v>0</v>
      </c>
      <c r="AD250">
        <f t="shared" ca="1" si="49"/>
        <v>0</v>
      </c>
      <c r="AE250">
        <f t="shared" ca="1" si="49"/>
        <v>0</v>
      </c>
      <c r="AF250">
        <f t="shared" ca="1" si="49"/>
        <v>0</v>
      </c>
      <c r="AG250">
        <f t="shared" ca="1" si="49"/>
        <v>0</v>
      </c>
      <c r="AH250">
        <f t="shared" ca="1" si="49"/>
        <v>0</v>
      </c>
      <c r="AI250">
        <f t="shared" ca="1" si="49"/>
        <v>0</v>
      </c>
      <c r="AJ250">
        <f t="shared" ca="1" si="49"/>
        <v>0</v>
      </c>
      <c r="AK250">
        <f t="shared" ca="1" si="49"/>
        <v>0</v>
      </c>
      <c r="AL250">
        <f t="shared" ca="1" si="49"/>
        <v>0</v>
      </c>
      <c r="AM250">
        <f t="shared" ca="1" si="49"/>
        <v>0</v>
      </c>
      <c r="AN250">
        <f t="shared" ca="1" si="49"/>
        <v>0</v>
      </c>
      <c r="AO250">
        <f t="shared" ca="1" si="49"/>
        <v>0</v>
      </c>
      <c r="AP250">
        <f t="shared" ca="1" si="49"/>
        <v>0</v>
      </c>
      <c r="AQ250">
        <f t="shared" ca="1" si="49"/>
        <v>0</v>
      </c>
      <c r="AR250">
        <f t="shared" ca="1" si="49"/>
        <v>0</v>
      </c>
      <c r="AS250">
        <f t="shared" ca="1" si="49"/>
        <v>0</v>
      </c>
      <c r="AT250">
        <f t="shared" ca="1" si="49"/>
        <v>0</v>
      </c>
      <c r="AU250">
        <f t="shared" ca="1" si="49"/>
        <v>0</v>
      </c>
      <c r="AV250">
        <f t="shared" ca="1" si="49"/>
        <v>0</v>
      </c>
      <c r="AW250">
        <f t="shared" ca="1" si="49"/>
        <v>0</v>
      </c>
      <c r="AX250">
        <f t="shared" ca="1" si="49"/>
        <v>0</v>
      </c>
      <c r="AY250">
        <f t="shared" ca="1" si="49"/>
        <v>0</v>
      </c>
      <c r="AZ250">
        <f t="shared" ca="1" si="49"/>
        <v>0</v>
      </c>
      <c r="BA250">
        <f t="shared" ca="1" si="49"/>
        <v>0</v>
      </c>
      <c r="BC250">
        <f t="shared" ca="1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ca="1" si="50">SUM(B215,B233)</f>
        <v>0</v>
      </c>
      <c r="C251">
        <f t="shared" ca="1" si="50"/>
        <v>0</v>
      </c>
      <c r="D251">
        <f t="shared" ca="1" si="50"/>
        <v>0</v>
      </c>
      <c r="E251">
        <f t="shared" ca="1" si="50"/>
        <v>0</v>
      </c>
      <c r="F251">
        <f t="shared" ca="1" si="50"/>
        <v>0</v>
      </c>
      <c r="G251">
        <f t="shared" ca="1" si="50"/>
        <v>0</v>
      </c>
      <c r="H251">
        <f t="shared" ca="1" si="50"/>
        <v>0</v>
      </c>
      <c r="I251">
        <f t="shared" ca="1" si="50"/>
        <v>0</v>
      </c>
      <c r="J251">
        <f t="shared" ca="1" si="50"/>
        <v>0</v>
      </c>
      <c r="K251">
        <f t="shared" ca="1" si="50"/>
        <v>0</v>
      </c>
      <c r="L251">
        <f t="shared" ca="1" si="50"/>
        <v>0</v>
      </c>
      <c r="M251">
        <f t="shared" ca="1" si="50"/>
        <v>0</v>
      </c>
      <c r="N251">
        <f t="shared" ca="1" si="50"/>
        <v>0</v>
      </c>
      <c r="O251">
        <f t="shared" ca="1" si="50"/>
        <v>0</v>
      </c>
      <c r="P251">
        <f t="shared" ca="1" si="50"/>
        <v>0</v>
      </c>
      <c r="Q251">
        <f t="shared" ca="1" si="50"/>
        <v>0</v>
      </c>
      <c r="R251">
        <f t="shared" ca="1" si="50"/>
        <v>0</v>
      </c>
      <c r="S251">
        <f t="shared" ca="1" si="50"/>
        <v>0</v>
      </c>
      <c r="T251">
        <f t="shared" ca="1" si="50"/>
        <v>0</v>
      </c>
      <c r="U251">
        <f t="shared" ca="1" si="50"/>
        <v>0</v>
      </c>
      <c r="V251">
        <f t="shared" ca="1" si="50"/>
        <v>0</v>
      </c>
      <c r="W251">
        <f t="shared" ca="1" si="50"/>
        <v>0</v>
      </c>
      <c r="X251">
        <f t="shared" ca="1" si="50"/>
        <v>0</v>
      </c>
      <c r="Y251">
        <f t="shared" ca="1" si="50"/>
        <v>0</v>
      </c>
      <c r="Z251">
        <f t="shared" ca="1" si="50"/>
        <v>0</v>
      </c>
      <c r="AA251">
        <f t="shared" ca="1" si="50"/>
        <v>0</v>
      </c>
      <c r="AB251">
        <f t="shared" ca="1" si="50"/>
        <v>0</v>
      </c>
      <c r="AC251">
        <f t="shared" ca="1" si="50"/>
        <v>0</v>
      </c>
      <c r="AD251">
        <f t="shared" ca="1" si="50"/>
        <v>0</v>
      </c>
      <c r="AE251">
        <f t="shared" ca="1" si="50"/>
        <v>0</v>
      </c>
      <c r="AF251">
        <f t="shared" ca="1" si="50"/>
        <v>0</v>
      </c>
      <c r="AG251">
        <f t="shared" ca="1" si="50"/>
        <v>0</v>
      </c>
      <c r="AH251">
        <f t="shared" ca="1" si="50"/>
        <v>0</v>
      </c>
      <c r="AI251">
        <f t="shared" ca="1" si="50"/>
        <v>0</v>
      </c>
      <c r="AJ251">
        <f t="shared" ca="1" si="50"/>
        <v>0</v>
      </c>
      <c r="AK251">
        <f t="shared" ca="1" si="50"/>
        <v>0</v>
      </c>
      <c r="AL251">
        <f t="shared" ca="1" si="50"/>
        <v>0</v>
      </c>
      <c r="AM251">
        <f t="shared" ca="1" si="50"/>
        <v>0</v>
      </c>
      <c r="AN251">
        <f t="shared" ca="1" si="50"/>
        <v>0</v>
      </c>
      <c r="AO251">
        <f t="shared" ca="1" si="50"/>
        <v>0</v>
      </c>
      <c r="AP251">
        <f t="shared" ca="1" si="50"/>
        <v>0</v>
      </c>
      <c r="AQ251">
        <f t="shared" ca="1" si="50"/>
        <v>0</v>
      </c>
      <c r="AR251">
        <f t="shared" ca="1" si="50"/>
        <v>0</v>
      </c>
      <c r="AS251">
        <f t="shared" ca="1" si="50"/>
        <v>0</v>
      </c>
      <c r="AT251">
        <f t="shared" ca="1" si="50"/>
        <v>0</v>
      </c>
      <c r="AU251">
        <f t="shared" ca="1" si="50"/>
        <v>0</v>
      </c>
      <c r="AV251">
        <f t="shared" ca="1" si="50"/>
        <v>0</v>
      </c>
      <c r="AW251">
        <f t="shared" ca="1" si="50"/>
        <v>0</v>
      </c>
      <c r="AX251">
        <f t="shared" ca="1" si="50"/>
        <v>0</v>
      </c>
      <c r="AY251">
        <f t="shared" ca="1" si="50"/>
        <v>0</v>
      </c>
      <c r="AZ251">
        <f t="shared" ca="1" si="50"/>
        <v>0</v>
      </c>
      <c r="BA251">
        <f t="shared" ca="1" si="50"/>
        <v>0</v>
      </c>
      <c r="BC251">
        <f t="shared" ca="1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ca="1" si="51">SUM(B216,B234)</f>
        <v>0</v>
      </c>
      <c r="C252">
        <f t="shared" ca="1" si="51"/>
        <v>0</v>
      </c>
      <c r="D252">
        <f t="shared" ca="1" si="51"/>
        <v>0</v>
      </c>
      <c r="E252">
        <f t="shared" ca="1" si="51"/>
        <v>0</v>
      </c>
      <c r="F252">
        <f t="shared" ca="1" si="51"/>
        <v>0</v>
      </c>
      <c r="G252">
        <f t="shared" ca="1" si="51"/>
        <v>0</v>
      </c>
      <c r="H252">
        <f t="shared" ca="1" si="51"/>
        <v>0</v>
      </c>
      <c r="I252">
        <f t="shared" ca="1" si="51"/>
        <v>0</v>
      </c>
      <c r="J252">
        <f t="shared" ca="1" si="51"/>
        <v>0</v>
      </c>
      <c r="K252">
        <f t="shared" ca="1" si="51"/>
        <v>0</v>
      </c>
      <c r="L252">
        <f t="shared" ca="1" si="51"/>
        <v>0</v>
      </c>
      <c r="M252">
        <f t="shared" ca="1" si="51"/>
        <v>0</v>
      </c>
      <c r="N252">
        <f t="shared" ca="1" si="51"/>
        <v>0</v>
      </c>
      <c r="O252">
        <f t="shared" ca="1" si="51"/>
        <v>0</v>
      </c>
      <c r="P252">
        <f t="shared" ca="1" si="51"/>
        <v>0</v>
      </c>
      <c r="Q252">
        <f t="shared" ca="1" si="51"/>
        <v>0</v>
      </c>
      <c r="R252">
        <f t="shared" ca="1" si="51"/>
        <v>0</v>
      </c>
      <c r="S252">
        <f t="shared" ca="1" si="51"/>
        <v>0</v>
      </c>
      <c r="T252">
        <f t="shared" ca="1" si="51"/>
        <v>0</v>
      </c>
      <c r="U252">
        <f t="shared" ca="1" si="51"/>
        <v>0</v>
      </c>
      <c r="V252">
        <f t="shared" ca="1" si="51"/>
        <v>0</v>
      </c>
      <c r="W252">
        <f t="shared" ca="1" si="51"/>
        <v>0</v>
      </c>
      <c r="X252">
        <f t="shared" ca="1" si="51"/>
        <v>0</v>
      </c>
      <c r="Y252">
        <f t="shared" ca="1" si="51"/>
        <v>0</v>
      </c>
      <c r="Z252">
        <f t="shared" ca="1" si="51"/>
        <v>0</v>
      </c>
      <c r="AA252">
        <f t="shared" ca="1" si="51"/>
        <v>0</v>
      </c>
      <c r="AB252">
        <f t="shared" ca="1" si="51"/>
        <v>0</v>
      </c>
      <c r="AC252">
        <f t="shared" ca="1" si="51"/>
        <v>0</v>
      </c>
      <c r="AD252">
        <f t="shared" ca="1" si="51"/>
        <v>0</v>
      </c>
      <c r="AE252">
        <f t="shared" ca="1" si="51"/>
        <v>0</v>
      </c>
      <c r="AF252">
        <f t="shared" ca="1" si="51"/>
        <v>0</v>
      </c>
      <c r="AG252">
        <f t="shared" ca="1" si="51"/>
        <v>0</v>
      </c>
      <c r="AH252">
        <f t="shared" ca="1" si="51"/>
        <v>0</v>
      </c>
      <c r="AI252">
        <f t="shared" ca="1" si="51"/>
        <v>0</v>
      </c>
      <c r="AJ252">
        <f t="shared" ca="1" si="51"/>
        <v>0</v>
      </c>
      <c r="AK252">
        <f t="shared" ca="1" si="51"/>
        <v>0</v>
      </c>
      <c r="AL252">
        <f t="shared" ca="1" si="51"/>
        <v>0</v>
      </c>
      <c r="AM252">
        <f t="shared" ca="1" si="51"/>
        <v>0</v>
      </c>
      <c r="AN252">
        <f t="shared" ca="1" si="51"/>
        <v>0</v>
      </c>
      <c r="AO252">
        <f t="shared" ca="1" si="51"/>
        <v>0</v>
      </c>
      <c r="AP252">
        <f t="shared" ca="1" si="51"/>
        <v>0</v>
      </c>
      <c r="AQ252">
        <f t="shared" ca="1" si="51"/>
        <v>0</v>
      </c>
      <c r="AR252">
        <f t="shared" ca="1" si="51"/>
        <v>0</v>
      </c>
      <c r="AS252">
        <f t="shared" ca="1" si="51"/>
        <v>0</v>
      </c>
      <c r="AT252">
        <f t="shared" ca="1" si="51"/>
        <v>0</v>
      </c>
      <c r="AU252">
        <f t="shared" ca="1" si="51"/>
        <v>0</v>
      </c>
      <c r="AV252">
        <f t="shared" ca="1" si="51"/>
        <v>0</v>
      </c>
      <c r="AW252">
        <f t="shared" ca="1" si="51"/>
        <v>0</v>
      </c>
      <c r="AX252">
        <f t="shared" ca="1" si="51"/>
        <v>0</v>
      </c>
      <c r="AY252">
        <f t="shared" ca="1" si="51"/>
        <v>0</v>
      </c>
      <c r="AZ252">
        <f t="shared" ca="1" si="51"/>
        <v>0</v>
      </c>
      <c r="BA252">
        <f t="shared" ca="1" si="51"/>
        <v>0</v>
      </c>
      <c r="BC252">
        <f t="shared" ca="1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ca="1" si="52">SUM(B217,B235)</f>
        <v>0</v>
      </c>
      <c r="C253">
        <f t="shared" ca="1" si="52"/>
        <v>0</v>
      </c>
      <c r="D253">
        <f t="shared" ca="1" si="52"/>
        <v>0</v>
      </c>
      <c r="E253">
        <f t="shared" ca="1" si="52"/>
        <v>0</v>
      </c>
      <c r="F253">
        <f t="shared" ca="1" si="52"/>
        <v>0</v>
      </c>
      <c r="G253">
        <f t="shared" ca="1" si="52"/>
        <v>0</v>
      </c>
      <c r="H253">
        <f t="shared" ca="1" si="52"/>
        <v>0</v>
      </c>
      <c r="I253">
        <f t="shared" ca="1" si="52"/>
        <v>0</v>
      </c>
      <c r="J253">
        <f t="shared" ca="1" si="52"/>
        <v>0</v>
      </c>
      <c r="K253">
        <f t="shared" ca="1" si="52"/>
        <v>0</v>
      </c>
      <c r="L253">
        <f t="shared" ca="1" si="52"/>
        <v>0</v>
      </c>
      <c r="M253">
        <f t="shared" ca="1" si="52"/>
        <v>0</v>
      </c>
      <c r="N253">
        <f t="shared" ca="1" si="52"/>
        <v>0</v>
      </c>
      <c r="O253">
        <f t="shared" ca="1" si="52"/>
        <v>0</v>
      </c>
      <c r="P253">
        <f t="shared" ca="1" si="52"/>
        <v>0</v>
      </c>
      <c r="Q253">
        <f t="shared" ca="1" si="52"/>
        <v>0</v>
      </c>
      <c r="R253">
        <f t="shared" ca="1" si="52"/>
        <v>0</v>
      </c>
      <c r="S253">
        <f t="shared" ca="1" si="52"/>
        <v>0</v>
      </c>
      <c r="T253">
        <f t="shared" ca="1" si="52"/>
        <v>0</v>
      </c>
      <c r="U253">
        <f t="shared" ca="1" si="52"/>
        <v>0</v>
      </c>
      <c r="V253">
        <f t="shared" ca="1" si="52"/>
        <v>0</v>
      </c>
      <c r="W253">
        <f t="shared" ca="1" si="52"/>
        <v>0</v>
      </c>
      <c r="X253">
        <f t="shared" ca="1" si="52"/>
        <v>0</v>
      </c>
      <c r="Y253">
        <f t="shared" ca="1" si="52"/>
        <v>0</v>
      </c>
      <c r="Z253">
        <f t="shared" ca="1" si="52"/>
        <v>0</v>
      </c>
      <c r="AA253">
        <f t="shared" ca="1" si="52"/>
        <v>0</v>
      </c>
      <c r="AB253">
        <f t="shared" ca="1" si="52"/>
        <v>0</v>
      </c>
      <c r="AC253">
        <f t="shared" ca="1" si="52"/>
        <v>0</v>
      </c>
      <c r="AD253">
        <f t="shared" ca="1" si="52"/>
        <v>0</v>
      </c>
      <c r="AE253">
        <f t="shared" ca="1" si="52"/>
        <v>0</v>
      </c>
      <c r="AF253">
        <f t="shared" ca="1" si="52"/>
        <v>0</v>
      </c>
      <c r="AG253">
        <f t="shared" ca="1" si="52"/>
        <v>0</v>
      </c>
      <c r="AH253">
        <f t="shared" ca="1" si="52"/>
        <v>0</v>
      </c>
      <c r="AI253">
        <f t="shared" ca="1" si="52"/>
        <v>0</v>
      </c>
      <c r="AJ253">
        <f t="shared" ca="1" si="52"/>
        <v>0</v>
      </c>
      <c r="AK253">
        <f t="shared" ca="1" si="52"/>
        <v>0</v>
      </c>
      <c r="AL253">
        <f t="shared" ca="1" si="52"/>
        <v>0</v>
      </c>
      <c r="AM253">
        <f t="shared" ca="1" si="52"/>
        <v>0</v>
      </c>
      <c r="AN253">
        <f t="shared" ca="1" si="52"/>
        <v>0</v>
      </c>
      <c r="AO253">
        <f t="shared" ca="1" si="52"/>
        <v>0</v>
      </c>
      <c r="AP253">
        <f t="shared" ca="1" si="52"/>
        <v>0</v>
      </c>
      <c r="AQ253">
        <f t="shared" ca="1" si="52"/>
        <v>0</v>
      </c>
      <c r="AR253">
        <f t="shared" ca="1" si="52"/>
        <v>0</v>
      </c>
      <c r="AS253">
        <f t="shared" ca="1" si="52"/>
        <v>0</v>
      </c>
      <c r="AT253">
        <f t="shared" ca="1" si="52"/>
        <v>0</v>
      </c>
      <c r="AU253">
        <f t="shared" ca="1" si="52"/>
        <v>0</v>
      </c>
      <c r="AV253">
        <f t="shared" ca="1" si="52"/>
        <v>0</v>
      </c>
      <c r="AW253">
        <f t="shared" ca="1" si="52"/>
        <v>0</v>
      </c>
      <c r="AX253">
        <f t="shared" ca="1" si="52"/>
        <v>0</v>
      </c>
      <c r="AY253">
        <f t="shared" ca="1" si="52"/>
        <v>0</v>
      </c>
      <c r="AZ253">
        <f t="shared" ca="1" si="52"/>
        <v>0</v>
      </c>
      <c r="BA253">
        <f t="shared" ca="1" si="52"/>
        <v>0</v>
      </c>
      <c r="BC253">
        <f t="shared" ca="1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ca="1" si="53">SUM(B218,B236)</f>
        <v>0</v>
      </c>
      <c r="C254">
        <f t="shared" ca="1" si="53"/>
        <v>0</v>
      </c>
      <c r="D254">
        <f t="shared" ca="1" si="53"/>
        <v>0</v>
      </c>
      <c r="E254">
        <f t="shared" ca="1" si="53"/>
        <v>0</v>
      </c>
      <c r="F254">
        <f t="shared" ca="1" si="53"/>
        <v>0</v>
      </c>
      <c r="G254">
        <f t="shared" ca="1" si="53"/>
        <v>0</v>
      </c>
      <c r="H254">
        <f t="shared" ca="1" si="53"/>
        <v>0</v>
      </c>
      <c r="I254">
        <f t="shared" ca="1" si="53"/>
        <v>0</v>
      </c>
      <c r="J254">
        <f t="shared" ca="1" si="53"/>
        <v>0</v>
      </c>
      <c r="K254">
        <f t="shared" ca="1" si="53"/>
        <v>0</v>
      </c>
      <c r="L254">
        <f t="shared" ca="1" si="53"/>
        <v>0</v>
      </c>
      <c r="M254">
        <f t="shared" ca="1" si="53"/>
        <v>0</v>
      </c>
      <c r="N254">
        <f t="shared" ca="1" si="53"/>
        <v>0</v>
      </c>
      <c r="O254">
        <f t="shared" ca="1" si="53"/>
        <v>0</v>
      </c>
      <c r="P254">
        <f t="shared" ca="1" si="53"/>
        <v>0</v>
      </c>
      <c r="Q254">
        <f t="shared" ca="1" si="53"/>
        <v>0</v>
      </c>
      <c r="R254">
        <f t="shared" ca="1" si="53"/>
        <v>0</v>
      </c>
      <c r="S254">
        <f t="shared" ca="1" si="53"/>
        <v>0</v>
      </c>
      <c r="T254">
        <f t="shared" ca="1" si="53"/>
        <v>0</v>
      </c>
      <c r="U254">
        <f t="shared" ca="1" si="53"/>
        <v>0</v>
      </c>
      <c r="V254">
        <f t="shared" ca="1" si="53"/>
        <v>0</v>
      </c>
      <c r="W254">
        <f t="shared" ca="1" si="53"/>
        <v>0</v>
      </c>
      <c r="X254">
        <f t="shared" ca="1" si="53"/>
        <v>0</v>
      </c>
      <c r="Y254">
        <f t="shared" ca="1" si="53"/>
        <v>0</v>
      </c>
      <c r="Z254">
        <f t="shared" ca="1" si="53"/>
        <v>0</v>
      </c>
      <c r="AA254">
        <f t="shared" ca="1" si="53"/>
        <v>0</v>
      </c>
      <c r="AB254">
        <f t="shared" ca="1" si="53"/>
        <v>0</v>
      </c>
      <c r="AC254">
        <f t="shared" ca="1" si="53"/>
        <v>0</v>
      </c>
      <c r="AD254">
        <f t="shared" ca="1" si="53"/>
        <v>0</v>
      </c>
      <c r="AE254">
        <f t="shared" ca="1" si="53"/>
        <v>0</v>
      </c>
      <c r="AF254">
        <f t="shared" ca="1" si="53"/>
        <v>0</v>
      </c>
      <c r="AG254">
        <f t="shared" ca="1" si="53"/>
        <v>0</v>
      </c>
      <c r="AH254">
        <f t="shared" ca="1" si="53"/>
        <v>0</v>
      </c>
      <c r="AI254">
        <f t="shared" ca="1" si="53"/>
        <v>0</v>
      </c>
      <c r="AJ254">
        <f t="shared" ca="1" si="53"/>
        <v>0</v>
      </c>
      <c r="AK254">
        <f t="shared" ca="1" si="53"/>
        <v>0</v>
      </c>
      <c r="AL254">
        <f t="shared" ca="1" si="53"/>
        <v>0</v>
      </c>
      <c r="AM254">
        <f t="shared" ca="1" si="53"/>
        <v>0</v>
      </c>
      <c r="AN254">
        <f t="shared" ca="1" si="53"/>
        <v>0</v>
      </c>
      <c r="AO254">
        <f t="shared" ca="1" si="53"/>
        <v>0</v>
      </c>
      <c r="AP254">
        <f t="shared" ca="1" si="53"/>
        <v>0</v>
      </c>
      <c r="AQ254">
        <f t="shared" ca="1" si="53"/>
        <v>0</v>
      </c>
      <c r="AR254">
        <f t="shared" ca="1" si="53"/>
        <v>0</v>
      </c>
      <c r="AS254">
        <f t="shared" ca="1" si="53"/>
        <v>0</v>
      </c>
      <c r="AT254">
        <f t="shared" ca="1" si="53"/>
        <v>0</v>
      </c>
      <c r="AU254">
        <f t="shared" ca="1" si="53"/>
        <v>0</v>
      </c>
      <c r="AV254">
        <f t="shared" ca="1" si="53"/>
        <v>0</v>
      </c>
      <c r="AW254">
        <f t="shared" ca="1" si="53"/>
        <v>0</v>
      </c>
      <c r="AX254">
        <f t="shared" ca="1" si="53"/>
        <v>0</v>
      </c>
      <c r="AY254">
        <f t="shared" ca="1" si="53"/>
        <v>0</v>
      </c>
      <c r="AZ254">
        <f t="shared" ca="1" si="53"/>
        <v>0</v>
      </c>
      <c r="BA254">
        <f t="shared" ca="1" si="53"/>
        <v>0</v>
      </c>
      <c r="BC254">
        <f t="shared" ca="1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ca="1" si="54">SUM(B219,B237)</f>
        <v>0</v>
      </c>
      <c r="C255">
        <f t="shared" ca="1" si="54"/>
        <v>0</v>
      </c>
      <c r="D255">
        <f t="shared" ca="1" si="54"/>
        <v>0</v>
      </c>
      <c r="E255">
        <f t="shared" ca="1" si="54"/>
        <v>0</v>
      </c>
      <c r="F255">
        <f t="shared" ca="1" si="54"/>
        <v>0</v>
      </c>
      <c r="G255">
        <f t="shared" ca="1" si="54"/>
        <v>0</v>
      </c>
      <c r="H255">
        <f t="shared" ca="1" si="54"/>
        <v>0</v>
      </c>
      <c r="I255">
        <f t="shared" ca="1" si="54"/>
        <v>0</v>
      </c>
      <c r="J255">
        <f t="shared" ca="1" si="54"/>
        <v>0</v>
      </c>
      <c r="K255">
        <f t="shared" ca="1" si="54"/>
        <v>0</v>
      </c>
      <c r="L255">
        <f t="shared" ca="1" si="54"/>
        <v>0</v>
      </c>
      <c r="M255">
        <f t="shared" ca="1" si="54"/>
        <v>0</v>
      </c>
      <c r="N255">
        <f t="shared" ca="1" si="54"/>
        <v>0</v>
      </c>
      <c r="O255">
        <f t="shared" ca="1" si="54"/>
        <v>0</v>
      </c>
      <c r="P255">
        <f t="shared" ca="1" si="54"/>
        <v>0</v>
      </c>
      <c r="Q255">
        <f t="shared" ca="1" si="54"/>
        <v>0</v>
      </c>
      <c r="R255">
        <f t="shared" ca="1" si="54"/>
        <v>0</v>
      </c>
      <c r="S255">
        <f t="shared" ca="1" si="54"/>
        <v>0</v>
      </c>
      <c r="T255">
        <f t="shared" ca="1" si="54"/>
        <v>0</v>
      </c>
      <c r="U255">
        <f t="shared" ca="1" si="54"/>
        <v>0</v>
      </c>
      <c r="V255">
        <f t="shared" ca="1" si="54"/>
        <v>0</v>
      </c>
      <c r="W255">
        <f t="shared" ca="1" si="54"/>
        <v>0</v>
      </c>
      <c r="X255">
        <f t="shared" ca="1" si="54"/>
        <v>0</v>
      </c>
      <c r="Y255">
        <f t="shared" ca="1" si="54"/>
        <v>0</v>
      </c>
      <c r="Z255">
        <f t="shared" ca="1" si="54"/>
        <v>0</v>
      </c>
      <c r="AA255">
        <f t="shared" ca="1" si="54"/>
        <v>0</v>
      </c>
      <c r="AB255">
        <f t="shared" ca="1" si="54"/>
        <v>0</v>
      </c>
      <c r="AC255">
        <f t="shared" ca="1" si="54"/>
        <v>0</v>
      </c>
      <c r="AD255">
        <f t="shared" ca="1" si="54"/>
        <v>0</v>
      </c>
      <c r="AE255">
        <f t="shared" ca="1" si="54"/>
        <v>0</v>
      </c>
      <c r="AF255">
        <f t="shared" ca="1" si="54"/>
        <v>0</v>
      </c>
      <c r="AG255">
        <f t="shared" ca="1" si="54"/>
        <v>0</v>
      </c>
      <c r="AH255">
        <f t="shared" ca="1" si="54"/>
        <v>0</v>
      </c>
      <c r="AI255">
        <f t="shared" ca="1" si="54"/>
        <v>0</v>
      </c>
      <c r="AJ255">
        <f t="shared" ca="1" si="54"/>
        <v>0</v>
      </c>
      <c r="AK255">
        <f t="shared" ca="1" si="54"/>
        <v>0</v>
      </c>
      <c r="AL255">
        <f t="shared" ca="1" si="54"/>
        <v>0</v>
      </c>
      <c r="AM255">
        <f t="shared" ca="1" si="54"/>
        <v>0</v>
      </c>
      <c r="AN255">
        <f t="shared" ca="1" si="54"/>
        <v>0</v>
      </c>
      <c r="AO255">
        <f t="shared" ca="1" si="54"/>
        <v>0</v>
      </c>
      <c r="AP255">
        <f t="shared" ca="1" si="54"/>
        <v>0</v>
      </c>
      <c r="AQ255">
        <f t="shared" ca="1" si="54"/>
        <v>0</v>
      </c>
      <c r="AR255">
        <f t="shared" ca="1" si="54"/>
        <v>0</v>
      </c>
      <c r="AS255">
        <f t="shared" ca="1" si="54"/>
        <v>0</v>
      </c>
      <c r="AT255">
        <f t="shared" ca="1" si="54"/>
        <v>0</v>
      </c>
      <c r="AU255">
        <f t="shared" ca="1" si="54"/>
        <v>0</v>
      </c>
      <c r="AV255">
        <f t="shared" ca="1" si="54"/>
        <v>0</v>
      </c>
      <c r="AW255">
        <f t="shared" ca="1" si="54"/>
        <v>0</v>
      </c>
      <c r="AX255">
        <f t="shared" ca="1" si="54"/>
        <v>0</v>
      </c>
      <c r="AY255">
        <f t="shared" ca="1" si="54"/>
        <v>0</v>
      </c>
      <c r="AZ255">
        <f t="shared" ca="1" si="54"/>
        <v>0</v>
      </c>
      <c r="BA255">
        <f t="shared" ca="1" si="54"/>
        <v>0</v>
      </c>
      <c r="BC255">
        <f t="shared" ca="1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ca="1" si="55">SUM(B220,B238)</f>
        <v>0</v>
      </c>
      <c r="C256">
        <f t="shared" ca="1" si="55"/>
        <v>0</v>
      </c>
      <c r="D256">
        <f t="shared" ca="1" si="55"/>
        <v>0</v>
      </c>
      <c r="E256">
        <f t="shared" ca="1" si="55"/>
        <v>0</v>
      </c>
      <c r="F256">
        <f t="shared" ca="1" si="55"/>
        <v>0</v>
      </c>
      <c r="G256">
        <f t="shared" ca="1" si="55"/>
        <v>0</v>
      </c>
      <c r="H256">
        <f t="shared" ca="1" si="55"/>
        <v>0</v>
      </c>
      <c r="I256">
        <f t="shared" ca="1" si="55"/>
        <v>0</v>
      </c>
      <c r="J256">
        <f t="shared" ca="1" si="55"/>
        <v>0</v>
      </c>
      <c r="K256">
        <f t="shared" ca="1" si="55"/>
        <v>0</v>
      </c>
      <c r="L256">
        <f t="shared" ca="1" si="55"/>
        <v>0</v>
      </c>
      <c r="M256">
        <f t="shared" ca="1" si="55"/>
        <v>0</v>
      </c>
      <c r="N256">
        <f t="shared" ca="1" si="55"/>
        <v>0</v>
      </c>
      <c r="O256">
        <f t="shared" ca="1" si="55"/>
        <v>0</v>
      </c>
      <c r="P256">
        <f t="shared" ca="1" si="55"/>
        <v>0</v>
      </c>
      <c r="Q256">
        <f t="shared" ca="1" si="55"/>
        <v>0</v>
      </c>
      <c r="R256">
        <f t="shared" ca="1" si="55"/>
        <v>0</v>
      </c>
      <c r="S256">
        <f t="shared" ca="1" si="55"/>
        <v>0</v>
      </c>
      <c r="T256">
        <f t="shared" ca="1" si="55"/>
        <v>0</v>
      </c>
      <c r="U256">
        <f t="shared" ca="1" si="55"/>
        <v>0</v>
      </c>
      <c r="V256">
        <f t="shared" ca="1" si="55"/>
        <v>0</v>
      </c>
      <c r="W256">
        <f t="shared" ca="1" si="55"/>
        <v>0</v>
      </c>
      <c r="X256">
        <f t="shared" ca="1" si="55"/>
        <v>0</v>
      </c>
      <c r="Y256">
        <f t="shared" ca="1" si="55"/>
        <v>0</v>
      </c>
      <c r="Z256">
        <f t="shared" ca="1" si="55"/>
        <v>0</v>
      </c>
      <c r="AA256">
        <f t="shared" ca="1" si="55"/>
        <v>0</v>
      </c>
      <c r="AB256">
        <f t="shared" ca="1" si="55"/>
        <v>0</v>
      </c>
      <c r="AC256">
        <f t="shared" ca="1" si="55"/>
        <v>0</v>
      </c>
      <c r="AD256">
        <f t="shared" ca="1" si="55"/>
        <v>0</v>
      </c>
      <c r="AE256">
        <f t="shared" ca="1" si="55"/>
        <v>0</v>
      </c>
      <c r="AF256">
        <f t="shared" ca="1" si="55"/>
        <v>0</v>
      </c>
      <c r="AG256">
        <f t="shared" ca="1" si="55"/>
        <v>0</v>
      </c>
      <c r="AH256">
        <f t="shared" ca="1" si="55"/>
        <v>0</v>
      </c>
      <c r="AI256">
        <f t="shared" ca="1" si="55"/>
        <v>0</v>
      </c>
      <c r="AJ256">
        <f t="shared" ca="1" si="55"/>
        <v>0</v>
      </c>
      <c r="AK256">
        <f t="shared" ca="1" si="55"/>
        <v>0</v>
      </c>
      <c r="AL256">
        <f t="shared" ca="1" si="55"/>
        <v>0</v>
      </c>
      <c r="AM256">
        <f t="shared" ca="1" si="55"/>
        <v>0</v>
      </c>
      <c r="AN256">
        <f t="shared" ca="1" si="55"/>
        <v>0</v>
      </c>
      <c r="AO256">
        <f t="shared" ca="1" si="55"/>
        <v>0</v>
      </c>
      <c r="AP256">
        <f t="shared" ca="1" si="55"/>
        <v>0</v>
      </c>
      <c r="AQ256">
        <f t="shared" ca="1" si="55"/>
        <v>0</v>
      </c>
      <c r="AR256">
        <f t="shared" ca="1" si="55"/>
        <v>0</v>
      </c>
      <c r="AS256">
        <f t="shared" ca="1" si="55"/>
        <v>0</v>
      </c>
      <c r="AT256">
        <f t="shared" ca="1" si="55"/>
        <v>0</v>
      </c>
      <c r="AU256">
        <f t="shared" ca="1" si="55"/>
        <v>0</v>
      </c>
      <c r="AV256">
        <f t="shared" ca="1" si="55"/>
        <v>0</v>
      </c>
      <c r="AW256">
        <f t="shared" ca="1" si="55"/>
        <v>0</v>
      </c>
      <c r="AX256">
        <f t="shared" ca="1" si="55"/>
        <v>0</v>
      </c>
      <c r="AY256">
        <f t="shared" ca="1" si="55"/>
        <v>0</v>
      </c>
      <c r="AZ256">
        <f t="shared" ca="1" si="55"/>
        <v>0</v>
      </c>
      <c r="BA256">
        <f t="shared" ca="1" si="55"/>
        <v>0</v>
      </c>
      <c r="BC256">
        <f t="shared" ca="1" si="42"/>
        <v>0</v>
      </c>
    </row>
    <row r="257" spans="1:53" x14ac:dyDescent="0.35">
      <c r="A257" s="3" t="str">
        <f>"All "&amp;Setup!$B$15</f>
        <v>All Caseloads</v>
      </c>
      <c r="B257">
        <f ca="1">SUM(B242:B256)</f>
        <v>0</v>
      </c>
      <c r="C257">
        <f t="shared" ref="C257:BA257" ca="1" si="56">SUM(C242:C256)</f>
        <v>0</v>
      </c>
      <c r="D257">
        <f t="shared" ca="1" si="56"/>
        <v>0</v>
      </c>
      <c r="E257">
        <f t="shared" ca="1" si="56"/>
        <v>0</v>
      </c>
      <c r="F257">
        <f t="shared" ca="1" si="56"/>
        <v>0</v>
      </c>
      <c r="G257">
        <f t="shared" ca="1" si="56"/>
        <v>0</v>
      </c>
      <c r="H257">
        <f t="shared" ca="1" si="56"/>
        <v>0</v>
      </c>
      <c r="I257">
        <f t="shared" ca="1" si="56"/>
        <v>0</v>
      </c>
      <c r="J257">
        <f t="shared" ca="1" si="56"/>
        <v>0</v>
      </c>
      <c r="K257">
        <f t="shared" ca="1" si="56"/>
        <v>0</v>
      </c>
      <c r="L257">
        <f t="shared" ca="1" si="56"/>
        <v>0</v>
      </c>
      <c r="M257">
        <f t="shared" ca="1" si="56"/>
        <v>0</v>
      </c>
      <c r="N257">
        <f t="shared" ca="1" si="56"/>
        <v>0</v>
      </c>
      <c r="O257">
        <f t="shared" ca="1" si="56"/>
        <v>0</v>
      </c>
      <c r="P257">
        <f t="shared" ca="1" si="56"/>
        <v>0</v>
      </c>
      <c r="Q257">
        <f t="shared" ca="1" si="56"/>
        <v>0</v>
      </c>
      <c r="R257">
        <f t="shared" ca="1" si="56"/>
        <v>0</v>
      </c>
      <c r="S257">
        <f t="shared" ca="1" si="56"/>
        <v>0</v>
      </c>
      <c r="T257">
        <f t="shared" ca="1" si="56"/>
        <v>0</v>
      </c>
      <c r="U257">
        <f t="shared" ca="1" si="56"/>
        <v>0</v>
      </c>
      <c r="V257">
        <f t="shared" ca="1" si="56"/>
        <v>0</v>
      </c>
      <c r="W257">
        <f t="shared" ca="1" si="56"/>
        <v>0</v>
      </c>
      <c r="X257">
        <f t="shared" ca="1" si="56"/>
        <v>0</v>
      </c>
      <c r="Y257">
        <f t="shared" ca="1" si="56"/>
        <v>0</v>
      </c>
      <c r="Z257">
        <f t="shared" ca="1" si="56"/>
        <v>0</v>
      </c>
      <c r="AA257">
        <f t="shared" ca="1" si="56"/>
        <v>0</v>
      </c>
      <c r="AB257">
        <f t="shared" ca="1" si="56"/>
        <v>0</v>
      </c>
      <c r="AC257">
        <f t="shared" ca="1" si="56"/>
        <v>0</v>
      </c>
      <c r="AD257">
        <f t="shared" ca="1" si="56"/>
        <v>0</v>
      </c>
      <c r="AE257">
        <f t="shared" ca="1" si="56"/>
        <v>0</v>
      </c>
      <c r="AF257">
        <f t="shared" ca="1" si="56"/>
        <v>0</v>
      </c>
      <c r="AG257">
        <f t="shared" ca="1" si="56"/>
        <v>0</v>
      </c>
      <c r="AH257">
        <f t="shared" ca="1" si="56"/>
        <v>0</v>
      </c>
      <c r="AI257">
        <f t="shared" ca="1" si="56"/>
        <v>0</v>
      </c>
      <c r="AJ257">
        <f t="shared" ca="1" si="56"/>
        <v>0</v>
      </c>
      <c r="AK257">
        <f t="shared" ca="1" si="56"/>
        <v>0</v>
      </c>
      <c r="AL257">
        <f t="shared" ca="1" si="56"/>
        <v>0</v>
      </c>
      <c r="AM257">
        <f t="shared" ca="1" si="56"/>
        <v>0</v>
      </c>
      <c r="AN257">
        <f t="shared" ca="1" si="56"/>
        <v>0</v>
      </c>
      <c r="AO257">
        <f t="shared" ca="1" si="56"/>
        <v>0</v>
      </c>
      <c r="AP257">
        <f t="shared" ca="1" si="56"/>
        <v>0</v>
      </c>
      <c r="AQ257">
        <f t="shared" ca="1" si="56"/>
        <v>0</v>
      </c>
      <c r="AR257">
        <f t="shared" ca="1" si="56"/>
        <v>0</v>
      </c>
      <c r="AS257">
        <f t="shared" ca="1" si="56"/>
        <v>0</v>
      </c>
      <c r="AT257">
        <f t="shared" ca="1" si="56"/>
        <v>0</v>
      </c>
      <c r="AU257">
        <f t="shared" ca="1" si="56"/>
        <v>0</v>
      </c>
      <c r="AV257">
        <f t="shared" ca="1" si="56"/>
        <v>0</v>
      </c>
      <c r="AW257">
        <f t="shared" ca="1" si="56"/>
        <v>0</v>
      </c>
      <c r="AX257">
        <f t="shared" ca="1" si="56"/>
        <v>0</v>
      </c>
      <c r="AY257">
        <f t="shared" ca="1" si="56"/>
        <v>0</v>
      </c>
      <c r="AZ257">
        <f t="shared" ca="1" si="56"/>
        <v>0</v>
      </c>
      <c r="BA257">
        <f t="shared" ca="1" si="56"/>
        <v>0</v>
      </c>
    </row>
    <row r="258" spans="1:53" ht="15" thickBot="1" x14ac:dyDescent="0.4"/>
    <row r="259" spans="1:53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Caseload 1</v>
      </c>
      <c r="B261">
        <f ca="1">BC76</f>
        <v>0</v>
      </c>
      <c r="C261">
        <f ca="1">BC94</f>
        <v>0</v>
      </c>
      <c r="D261">
        <f ca="1">BC112</f>
        <v>0</v>
      </c>
      <c r="E261">
        <f ca="1">BC206</f>
        <v>0</v>
      </c>
      <c r="F261">
        <f ca="1">BC224</f>
        <v>0</v>
      </c>
      <c r="G261">
        <f ca="1">BC242</f>
        <v>0</v>
      </c>
      <c r="H261">
        <f ca="1">B261+E261</f>
        <v>0</v>
      </c>
      <c r="I261">
        <f t="shared" ref="I261:J261" ca="1" si="57">C261+F261</f>
        <v>0</v>
      </c>
      <c r="J261">
        <f t="shared" ca="1" si="57"/>
        <v>0</v>
      </c>
    </row>
    <row r="262" spans="1:53" x14ac:dyDescent="0.35">
      <c r="A262" t="str" cm="1">
        <f t="array" ref="A262">INDEX('Data Validation (Hide)'!$B$2:$B$16,ROW(A2),1)</f>
        <v>Caseload 2</v>
      </c>
      <c r="B262">
        <f t="shared" ref="B262:B275" ca="1" si="58">BC77</f>
        <v>0</v>
      </c>
      <c r="C262">
        <f t="shared" ref="C262:C275" ca="1" si="59">BC95</f>
        <v>0</v>
      </c>
      <c r="D262">
        <f t="shared" ref="D262:D275" ca="1" si="60">BC113</f>
        <v>0</v>
      </c>
      <c r="E262">
        <f t="shared" ref="E262:E275" ca="1" si="61">BC207</f>
        <v>0</v>
      </c>
      <c r="F262">
        <f t="shared" ref="F262:F275" ca="1" si="62">BC225</f>
        <v>0</v>
      </c>
      <c r="G262">
        <f t="shared" ref="G262:G275" ca="1" si="63">BC243</f>
        <v>0</v>
      </c>
      <c r="H262">
        <f t="shared" ref="H262:H275" ca="1" si="64">B262+E262</f>
        <v>0</v>
      </c>
      <c r="I262">
        <f t="shared" ref="I262:I275" ca="1" si="65">C262+F262</f>
        <v>0</v>
      </c>
      <c r="J262">
        <f t="shared" ref="J262:J275" ca="1" si="66">D262+G262</f>
        <v>0</v>
      </c>
    </row>
    <row r="263" spans="1:53" x14ac:dyDescent="0.35">
      <c r="A263" t="str" cm="1">
        <f t="array" ref="A263">INDEX('Data Validation (Hide)'!$B$2:$B$16,ROW(A3),1)</f>
        <v>Caseload 3</v>
      </c>
      <c r="B263">
        <f t="shared" ca="1" si="58"/>
        <v>0</v>
      </c>
      <c r="C263">
        <f t="shared" ca="1" si="59"/>
        <v>0</v>
      </c>
      <c r="D263">
        <f t="shared" ca="1" si="60"/>
        <v>0</v>
      </c>
      <c r="E263">
        <f t="shared" ca="1" si="61"/>
        <v>0</v>
      </c>
      <c r="F263">
        <f t="shared" ca="1" si="62"/>
        <v>0</v>
      </c>
      <c r="G263">
        <f t="shared" ca="1" si="63"/>
        <v>0</v>
      </c>
      <c r="H263">
        <f t="shared" ca="1" si="64"/>
        <v>0</v>
      </c>
      <c r="I263">
        <f t="shared" ca="1" si="65"/>
        <v>0</v>
      </c>
      <c r="J263">
        <f t="shared" ca="1" si="66"/>
        <v>0</v>
      </c>
    </row>
    <row r="264" spans="1:53" x14ac:dyDescent="0.35">
      <c r="A264" t="str" cm="1">
        <f t="array" ref="A264">INDEX('Data Validation (Hide)'!$B$2:$B$16,ROW(A4),1)</f>
        <v>Caseload 4</v>
      </c>
      <c r="B264">
        <f t="shared" ca="1" si="58"/>
        <v>0</v>
      </c>
      <c r="C264">
        <f t="shared" ca="1" si="59"/>
        <v>0</v>
      </c>
      <c r="D264">
        <f t="shared" ca="1" si="60"/>
        <v>0</v>
      </c>
      <c r="E264">
        <f t="shared" ca="1" si="61"/>
        <v>0</v>
      </c>
      <c r="F264">
        <f t="shared" ca="1" si="62"/>
        <v>0</v>
      </c>
      <c r="G264">
        <f t="shared" ca="1" si="63"/>
        <v>0</v>
      </c>
      <c r="H264">
        <f t="shared" ca="1" si="64"/>
        <v>0</v>
      </c>
      <c r="I264">
        <f t="shared" ca="1" si="65"/>
        <v>0</v>
      </c>
      <c r="J264">
        <f t="shared" ca="1" si="66"/>
        <v>0</v>
      </c>
    </row>
    <row r="265" spans="1:53" x14ac:dyDescent="0.35">
      <c r="A265" t="str" cm="1">
        <f t="array" ref="A265">INDEX('Data Validation (Hide)'!$B$2:$B$16,ROW(A5),1)</f>
        <v>Caseload 5</v>
      </c>
      <c r="B265">
        <f t="shared" ca="1" si="58"/>
        <v>0</v>
      </c>
      <c r="C265">
        <f t="shared" ca="1" si="59"/>
        <v>0</v>
      </c>
      <c r="D265">
        <f t="shared" ca="1" si="60"/>
        <v>0</v>
      </c>
      <c r="E265">
        <f t="shared" ca="1" si="61"/>
        <v>0</v>
      </c>
      <c r="F265">
        <f t="shared" ca="1" si="62"/>
        <v>0</v>
      </c>
      <c r="G265">
        <f t="shared" ca="1" si="63"/>
        <v>0</v>
      </c>
      <c r="H265">
        <f t="shared" ca="1" si="64"/>
        <v>0</v>
      </c>
      <c r="I265">
        <f t="shared" ca="1" si="65"/>
        <v>0</v>
      </c>
      <c r="J265">
        <f t="shared" ca="1" si="66"/>
        <v>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ca="1" si="58"/>
        <v>0</v>
      </c>
      <c r="C266">
        <f t="shared" ca="1" si="59"/>
        <v>0</v>
      </c>
      <c r="D266">
        <f t="shared" ca="1" si="60"/>
        <v>0</v>
      </c>
      <c r="E266">
        <f t="shared" ca="1" si="61"/>
        <v>0</v>
      </c>
      <c r="F266">
        <f t="shared" ca="1" si="62"/>
        <v>0</v>
      </c>
      <c r="G266">
        <f t="shared" ca="1" si="63"/>
        <v>0</v>
      </c>
      <c r="H266">
        <f t="shared" ca="1" si="64"/>
        <v>0</v>
      </c>
      <c r="I266">
        <f t="shared" ca="1" si="65"/>
        <v>0</v>
      </c>
      <c r="J266">
        <f t="shared" ca="1" si="66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ca="1" si="58"/>
        <v>0</v>
      </c>
      <c r="C267">
        <f t="shared" ca="1" si="59"/>
        <v>0</v>
      </c>
      <c r="D267">
        <f t="shared" ca="1" si="60"/>
        <v>0</v>
      </c>
      <c r="E267">
        <f t="shared" ca="1" si="61"/>
        <v>0</v>
      </c>
      <c r="F267">
        <f t="shared" ca="1" si="62"/>
        <v>0</v>
      </c>
      <c r="G267">
        <f t="shared" ca="1" si="63"/>
        <v>0</v>
      </c>
      <c r="H267">
        <f t="shared" ca="1" si="64"/>
        <v>0</v>
      </c>
      <c r="I267">
        <f t="shared" ca="1" si="65"/>
        <v>0</v>
      </c>
      <c r="J267">
        <f t="shared" ca="1" si="66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ca="1" si="58"/>
        <v>0</v>
      </c>
      <c r="C268">
        <f t="shared" ca="1" si="59"/>
        <v>0</v>
      </c>
      <c r="D268">
        <f t="shared" ca="1" si="60"/>
        <v>0</v>
      </c>
      <c r="E268">
        <f t="shared" ca="1" si="61"/>
        <v>0</v>
      </c>
      <c r="F268">
        <f t="shared" ca="1" si="62"/>
        <v>0</v>
      </c>
      <c r="G268">
        <f t="shared" ca="1" si="63"/>
        <v>0</v>
      </c>
      <c r="H268">
        <f t="shared" ca="1" si="64"/>
        <v>0</v>
      </c>
      <c r="I268">
        <f t="shared" ca="1" si="65"/>
        <v>0</v>
      </c>
      <c r="J268">
        <f t="shared" ca="1" si="66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ca="1" si="58"/>
        <v>0</v>
      </c>
      <c r="C269">
        <f t="shared" ca="1" si="59"/>
        <v>0</v>
      </c>
      <c r="D269">
        <f t="shared" ca="1" si="60"/>
        <v>0</v>
      </c>
      <c r="E269">
        <f t="shared" ca="1" si="61"/>
        <v>0</v>
      </c>
      <c r="F269">
        <f t="shared" ca="1" si="62"/>
        <v>0</v>
      </c>
      <c r="G269">
        <f t="shared" ca="1" si="63"/>
        <v>0</v>
      </c>
      <c r="H269">
        <f t="shared" ca="1" si="64"/>
        <v>0</v>
      </c>
      <c r="I269">
        <f t="shared" ca="1" si="65"/>
        <v>0</v>
      </c>
      <c r="J269">
        <f t="shared" ca="1" si="66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ca="1" si="58"/>
        <v>0</v>
      </c>
      <c r="C270">
        <f t="shared" ca="1" si="59"/>
        <v>0</v>
      </c>
      <c r="D270">
        <f t="shared" ca="1" si="60"/>
        <v>0</v>
      </c>
      <c r="E270">
        <f t="shared" ca="1" si="61"/>
        <v>0</v>
      </c>
      <c r="F270">
        <f t="shared" ca="1" si="62"/>
        <v>0</v>
      </c>
      <c r="G270">
        <f t="shared" ca="1" si="63"/>
        <v>0</v>
      </c>
      <c r="H270">
        <f t="shared" ca="1" si="64"/>
        <v>0</v>
      </c>
      <c r="I270">
        <f t="shared" ca="1" si="65"/>
        <v>0</v>
      </c>
      <c r="J270">
        <f t="shared" ca="1" si="66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ca="1" si="58"/>
        <v>0</v>
      </c>
      <c r="C271">
        <f t="shared" ca="1" si="59"/>
        <v>0</v>
      </c>
      <c r="D271">
        <f t="shared" ca="1" si="60"/>
        <v>0</v>
      </c>
      <c r="E271">
        <f t="shared" ca="1" si="61"/>
        <v>0</v>
      </c>
      <c r="F271">
        <f t="shared" ca="1" si="62"/>
        <v>0</v>
      </c>
      <c r="G271">
        <f t="shared" ca="1" si="63"/>
        <v>0</v>
      </c>
      <c r="H271">
        <f t="shared" ca="1" si="64"/>
        <v>0</v>
      </c>
      <c r="I271">
        <f t="shared" ca="1" si="65"/>
        <v>0</v>
      </c>
      <c r="J271">
        <f t="shared" ca="1" si="66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ca="1" si="58"/>
        <v>0</v>
      </c>
      <c r="C272">
        <f t="shared" ca="1" si="59"/>
        <v>0</v>
      </c>
      <c r="D272">
        <f t="shared" ca="1" si="60"/>
        <v>0</v>
      </c>
      <c r="E272">
        <f t="shared" ca="1" si="61"/>
        <v>0</v>
      </c>
      <c r="F272">
        <f t="shared" ca="1" si="62"/>
        <v>0</v>
      </c>
      <c r="G272">
        <f t="shared" ca="1" si="63"/>
        <v>0</v>
      </c>
      <c r="H272">
        <f t="shared" ca="1" si="64"/>
        <v>0</v>
      </c>
      <c r="I272">
        <f t="shared" ca="1" si="65"/>
        <v>0</v>
      </c>
      <c r="J272">
        <f t="shared" ca="1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ca="1" si="58"/>
        <v>0</v>
      </c>
      <c r="C273">
        <f t="shared" ca="1" si="59"/>
        <v>0</v>
      </c>
      <c r="D273">
        <f t="shared" ca="1" si="60"/>
        <v>0</v>
      </c>
      <c r="E273">
        <f t="shared" ca="1" si="61"/>
        <v>0</v>
      </c>
      <c r="F273">
        <f t="shared" ca="1" si="62"/>
        <v>0</v>
      </c>
      <c r="G273">
        <f t="shared" ca="1" si="63"/>
        <v>0</v>
      </c>
      <c r="H273">
        <f t="shared" ca="1" si="64"/>
        <v>0</v>
      </c>
      <c r="I273">
        <f t="shared" ca="1" si="65"/>
        <v>0</v>
      </c>
      <c r="J273">
        <f t="shared" ca="1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ca="1" si="58"/>
        <v>0</v>
      </c>
      <c r="C274">
        <f t="shared" ca="1" si="59"/>
        <v>0</v>
      </c>
      <c r="D274">
        <f t="shared" ca="1" si="60"/>
        <v>0</v>
      </c>
      <c r="E274">
        <f t="shared" ca="1" si="61"/>
        <v>0</v>
      </c>
      <c r="F274">
        <f t="shared" ca="1" si="62"/>
        <v>0</v>
      </c>
      <c r="G274">
        <f t="shared" ca="1" si="63"/>
        <v>0</v>
      </c>
      <c r="H274">
        <f t="shared" ca="1" si="64"/>
        <v>0</v>
      </c>
      <c r="I274">
        <f t="shared" ca="1" si="65"/>
        <v>0</v>
      </c>
      <c r="J274">
        <f t="shared" ca="1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ca="1" si="58"/>
        <v>0</v>
      </c>
      <c r="C275">
        <f t="shared" ca="1" si="59"/>
        <v>0</v>
      </c>
      <c r="D275">
        <f t="shared" ca="1" si="60"/>
        <v>0</v>
      </c>
      <c r="E275">
        <f t="shared" ca="1" si="61"/>
        <v>0</v>
      </c>
      <c r="F275">
        <f t="shared" ca="1" si="62"/>
        <v>0</v>
      </c>
      <c r="G275">
        <f t="shared" ca="1" si="63"/>
        <v>0</v>
      </c>
      <c r="H275">
        <f t="shared" ca="1" si="64"/>
        <v>0</v>
      </c>
      <c r="I275">
        <f t="shared" ca="1" si="65"/>
        <v>0</v>
      </c>
      <c r="J275">
        <f t="shared" ca="1" si="66"/>
        <v>0</v>
      </c>
    </row>
    <row r="276" spans="1:10" x14ac:dyDescent="0.35">
      <c r="A276" s="3" t="str">
        <f>"All "&amp;Setup!$B$15</f>
        <v>All Caseloads</v>
      </c>
      <c r="B276">
        <f t="shared" ref="B276:G276" ca="1" si="67">SUM(B261:B275)</f>
        <v>0</v>
      </c>
      <c r="C276">
        <f t="shared" ca="1" si="67"/>
        <v>0</v>
      </c>
      <c r="D276">
        <f t="shared" ca="1" si="67"/>
        <v>0</v>
      </c>
      <c r="E276">
        <f t="shared" ca="1" si="67"/>
        <v>0</v>
      </c>
      <c r="F276">
        <f t="shared" ca="1" si="67"/>
        <v>0</v>
      </c>
      <c r="G276">
        <f t="shared" ca="1" si="67"/>
        <v>0</v>
      </c>
      <c r="H276">
        <f ca="1">SUM(H261:H275)</f>
        <v>0</v>
      </c>
      <c r="I276">
        <f t="shared" ref="I276:J276" ca="1" si="68">SUM(I261:I275)</f>
        <v>0</v>
      </c>
      <c r="J276">
        <f t="shared" ca="1" si="68"/>
        <v>0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Caseload 1</v>
      </c>
      <c r="B278" cm="1">
        <f t="array" aca="1" ref="B278" ca="1">INDEX($B$261:$J$275,MATCH($A278,$A$261:$A$275,0),MATCH(1,(B$277=$B$259:$G$259)*(Summary!$B$5='Capacity Backing (Hide)'!$B$260:$G$260),0))</f>
        <v>0</v>
      </c>
      <c r="C278" cm="1">
        <f t="array" aca="1" ref="C278" ca="1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Caseload 2</v>
      </c>
      <c r="B279" cm="1">
        <f t="array" aca="1" ref="B279" ca="1">INDEX($B$261:$J$275,MATCH($A279,$A$261:$A$275,0),MATCH(1,(B$277=$B$259:$G$259)*(Summary!$B$5='Capacity Backing (Hide)'!$B$260:$G$260),0))</f>
        <v>0</v>
      </c>
      <c r="C279" cm="1">
        <f t="array" aca="1" ref="C279" ca="1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Caseload 3</v>
      </c>
      <c r="B280" cm="1">
        <f t="array" aca="1" ref="B280" ca="1">INDEX($B$261:$J$275,MATCH($A280,$A$261:$A$275,0),MATCH(1,(B$277=$B$259:$G$259)*(Summary!$B$5='Capacity Backing (Hide)'!$B$260:$G$260),0))</f>
        <v>0</v>
      </c>
      <c r="C280" cm="1">
        <f t="array" aca="1" ref="C280" ca="1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Caseload 4</v>
      </c>
      <c r="B281" cm="1">
        <f t="array" aca="1" ref="B281" ca="1">INDEX($B$261:$J$275,MATCH($A281,$A$261:$A$275,0),MATCH(1,(B$277=$B$259:$G$259)*(Summary!$B$5='Capacity Backing (Hide)'!$B$260:$G$260),0))</f>
        <v>0</v>
      </c>
      <c r="C281" cm="1">
        <f t="array" aca="1" ref="C281" ca="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Caseload 5</v>
      </c>
      <c r="B282" cm="1">
        <f t="array" aca="1" ref="B282" ca="1">INDEX($B$261:$J$275,MATCH($A282,$A$261:$A$275,0),MATCH(1,(B$277=$B$259:$G$259)*(Summary!$B$5='Capacity Backing (Hide)'!$B$260:$G$260),0))</f>
        <v>0</v>
      </c>
      <c r="C282" cm="1">
        <f t="array" aca="1" ref="C282" ca="1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aca="1" ref="B283" ca="1">INDEX($B$261:$J$275,MATCH($A283,$A$261:$A$275,0),MATCH(1,(B$277=$B$259:$G$259)*(Summary!$B$5='Capacity Backing (Hide)'!$B$260:$G$260),0))</f>
        <v>0</v>
      </c>
      <c r="C283" cm="1">
        <f t="array" aca="1" ref="C283" ca="1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aca="1" ref="B284" ca="1">INDEX($B$261:$J$275,MATCH($A284,$A$261:$A$275,0),MATCH(1,(B$277=$B$259:$G$259)*(Summary!$B$5='Capacity Backing (Hide)'!$B$260:$G$260),0))</f>
        <v>0</v>
      </c>
      <c r="C284" cm="1">
        <f t="array" aca="1" ref="C284" ca="1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aca="1" ref="B285" ca="1">INDEX($B$261:$J$275,MATCH($A285,$A$261:$A$275,0),MATCH(1,(B$277=$B$259:$G$259)*(Summary!$B$5='Capacity Backing (Hide)'!$B$260:$G$260),0))</f>
        <v>0</v>
      </c>
      <c r="C285" cm="1">
        <f t="array" aca="1" ref="C285" ca="1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aca="1" ref="B286" ca="1">INDEX($B$261:$J$275,MATCH($A286,$A$261:$A$275,0),MATCH(1,(B$277=$B$259:$G$259)*(Summary!$B$5='Capacity Backing (Hide)'!$B$260:$G$260),0))</f>
        <v>0</v>
      </c>
      <c r="C286" cm="1">
        <f t="array" aca="1" ref="C286" ca="1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aca="1" ref="B287" ca="1">INDEX($B$261:$J$275,MATCH($A287,$A$261:$A$275,0),MATCH(1,(B$277=$B$259:$G$259)*(Summary!$B$5='Capacity Backing (Hide)'!$B$260:$G$260),0))</f>
        <v>0</v>
      </c>
      <c r="C287" cm="1">
        <f t="array" aca="1" ref="C287" ca="1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aca="1" ref="B288" ca="1">INDEX($B$261:$J$275,MATCH($A288,$A$261:$A$275,0),MATCH(1,(B$277=$B$259:$G$259)*(Summary!$B$5='Capacity Backing (Hide)'!$B$260:$G$260),0))</f>
        <v>0</v>
      </c>
      <c r="C288" cm="1">
        <f t="array" aca="1" ref="C288" ca="1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aca="1" ref="B289" ca="1">INDEX($B$261:$J$275,MATCH($A289,$A$261:$A$275,0),MATCH(1,(B$277=$B$259:$G$259)*(Summary!$B$5='Capacity Backing (Hide)'!$B$260:$G$260),0))</f>
        <v>0</v>
      </c>
      <c r="C289" cm="1">
        <f t="array" aca="1" ref="C289" ca="1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aca="1" ref="B290" ca="1">INDEX($B$261:$J$275,MATCH($A290,$A$261:$A$275,0),MATCH(1,(B$277=$B$259:$G$259)*(Summary!$B$5='Capacity Backing (Hide)'!$B$260:$G$260),0))</f>
        <v>0</v>
      </c>
      <c r="C290" cm="1">
        <f t="array" aca="1" ref="C290" ca="1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aca="1" ref="B291" ca="1">INDEX($B$261:$J$275,MATCH($A291,$A$261:$A$275,0),MATCH(1,(B$277=$B$259:$G$259)*(Summary!$B$5='Capacity Backing (Hide)'!$B$260:$G$260),0))</f>
        <v>0</v>
      </c>
      <c r="C291" cm="1">
        <f t="array" aca="1" ref="C291" ca="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aca="1" ref="B292" ca="1">INDEX($B$261:$J$275,MATCH($A292,$A$261:$A$275,0),MATCH(1,(B$277=$B$259:$G$259)*(Summary!$B$5='Capacity Backing (Hide)'!$B$260:$G$260),0))</f>
        <v>0</v>
      </c>
      <c r="C292" cm="1">
        <f t="array" aca="1" ref="C292" ca="1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238"/>
  <sheetViews>
    <sheetView showGridLines="0" showRowColHeaders="0" zoomScale="90" zoomScaleNormal="90" workbookViewId="0">
      <selection activeCell="AC246" sqref="AC246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thickBot="1" x14ac:dyDescent="0.4">
      <c r="A3" s="57" t="s">
        <v>60</v>
      </c>
      <c r="B3" s="144" t="s">
        <v>212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Caseload 1, all types of session</v>
      </c>
    </row>
    <row r="4" spans="1:8" ht="15" thickBot="1" x14ac:dyDescent="0.4">
      <c r="A4" s="85" t="s">
        <v>61</v>
      </c>
      <c r="B4" s="144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31" spans="1:2" ht="15" thickBot="1" x14ac:dyDescent="0.4"/>
    <row r="32" spans="1:2" ht="15" thickBot="1" x14ac:dyDescent="0.4">
      <c r="A32" s="112" t="s">
        <v>121</v>
      </c>
      <c r="B32" s="164" t="s">
        <v>209</v>
      </c>
    </row>
    <row r="33" spans="1:70" ht="15" thickBot="1" x14ac:dyDescent="0.4"/>
    <row r="34" spans="1:70" ht="15" thickBot="1" x14ac:dyDescent="0.4">
      <c r="C34" s="133" t="s">
        <v>202</v>
      </c>
      <c r="D34" s="134"/>
      <c r="E34" s="133" t="s">
        <v>203</v>
      </c>
      <c r="F34" s="134"/>
    </row>
    <row r="35" spans="1:70" ht="57" customHeight="1" thickBot="1" x14ac:dyDescent="0.4">
      <c r="A35" s="122" t="s">
        <v>209</v>
      </c>
      <c r="B35" s="90" t="s">
        <v>200</v>
      </c>
      <c r="C35" s="91" t="s">
        <v>201</v>
      </c>
      <c r="D35" s="91" t="s">
        <v>204</v>
      </c>
      <c r="E35" s="91" t="s">
        <v>201</v>
      </c>
      <c r="F35" s="91" t="s">
        <v>204</v>
      </c>
      <c r="H35" s="113" t="str" cm="1">
        <f t="array" aca="1" ref="H35" ca="1">IFERROR(INDEX('Capacity Backing (Hide)'!$A$5:$A$56,COLUMN(A1),1),"")</f>
        <v/>
      </c>
      <c r="I35" s="114" t="str" cm="1">
        <f t="array" aca="1" ref="I35" ca="1">IFERROR(INDEX('Capacity Backing (Hide)'!$A$5:$A$56,COLUMN(B1),1),"")</f>
        <v/>
      </c>
      <c r="J35" s="114" t="str" cm="1">
        <f t="array" aca="1" ref="J35" ca="1">IFERROR(INDEX('Capacity Backing (Hide)'!$A$5:$A$56,COLUMN(C1),1),"")</f>
        <v/>
      </c>
      <c r="K35" s="114" t="str" cm="1">
        <f t="array" aca="1" ref="K35" ca="1">IFERROR(INDEX('Capacity Backing (Hide)'!$A$5:$A$56,COLUMN(D1),1),"")</f>
        <v/>
      </c>
      <c r="L35" s="114" t="str" cm="1">
        <f t="array" aca="1" ref="L35" ca="1">IFERROR(INDEX('Capacity Backing (Hide)'!$A$5:$A$56,COLUMN(E1),1),"")</f>
        <v/>
      </c>
      <c r="M35" s="114" t="str" cm="1">
        <f t="array" aca="1" ref="M35" ca="1">IFERROR(INDEX('Capacity Backing (Hide)'!$A$5:$A$56,COLUMN(F1),1),"")</f>
        <v/>
      </c>
      <c r="N35" s="114" t="str" cm="1">
        <f t="array" aca="1" ref="N35" ca="1">IFERROR(INDEX('Capacity Backing (Hide)'!$A$5:$A$56,COLUMN(G1),1),"")</f>
        <v/>
      </c>
      <c r="O35" s="114" t="str" cm="1">
        <f t="array" aca="1" ref="O35" ca="1">IFERROR(INDEX('Capacity Backing (Hide)'!$A$5:$A$56,COLUMN(H1),1),"")</f>
        <v/>
      </c>
      <c r="P35" s="114" t="str" cm="1">
        <f t="array" aca="1" ref="P35" ca="1">IFERROR(INDEX('Capacity Backing (Hide)'!$A$5:$A$56,COLUMN(I1),1),"")</f>
        <v/>
      </c>
      <c r="Q35" s="114" t="str" cm="1">
        <f t="array" aca="1" ref="Q35" ca="1">IFERROR(INDEX('Capacity Backing (Hide)'!$A$5:$A$56,COLUMN(J1),1),"")</f>
        <v/>
      </c>
      <c r="R35" s="114" t="str" cm="1">
        <f t="array" aca="1" ref="R35" ca="1">IFERROR(INDEX('Capacity Backing (Hide)'!$A$5:$A$56,COLUMN(K1),1),"")</f>
        <v/>
      </c>
      <c r="S35" s="114" t="str" cm="1">
        <f t="array" aca="1" ref="S35" ca="1">IFERROR(INDEX('Capacity Backing (Hide)'!$A$5:$A$56,COLUMN(L1),1),"")</f>
        <v/>
      </c>
      <c r="T35" s="114" t="str" cm="1">
        <f t="array" aca="1" ref="T35" ca="1">IFERROR(INDEX('Capacity Backing (Hide)'!$A$5:$A$56,COLUMN(M1),1),"")</f>
        <v/>
      </c>
      <c r="U35" s="114" t="str" cm="1">
        <f t="array" aca="1" ref="U35" ca="1">IFERROR(INDEX('Capacity Backing (Hide)'!$A$5:$A$56,COLUMN(N1),1),"")</f>
        <v/>
      </c>
      <c r="V35" s="114" t="str" cm="1">
        <f t="array" aca="1" ref="V35" ca="1">IFERROR(INDEX('Capacity Backing (Hide)'!$A$5:$A$56,COLUMN(O1),1),"")</f>
        <v/>
      </c>
      <c r="W35" s="114" t="str" cm="1">
        <f t="array" aca="1" ref="W35" ca="1">IFERROR(INDEX('Capacity Backing (Hide)'!$A$5:$A$56,COLUMN(P1),1),"")</f>
        <v/>
      </c>
      <c r="X35" s="114" t="str" cm="1">
        <f t="array" aca="1" ref="X35" ca="1">IFERROR(INDEX('Capacity Backing (Hide)'!$A$5:$A$56,COLUMN(Q1),1),"")</f>
        <v/>
      </c>
      <c r="Y35" s="114" t="str" cm="1">
        <f t="array" aca="1" ref="Y35" ca="1">IFERROR(INDEX('Capacity Backing (Hide)'!$A$5:$A$56,COLUMN(R1),1),"")</f>
        <v/>
      </c>
      <c r="Z35" s="114" t="str" cm="1">
        <f t="array" aca="1" ref="Z35" ca="1">IFERROR(INDEX('Capacity Backing (Hide)'!$A$5:$A$56,COLUMN(S1),1),"")</f>
        <v/>
      </c>
      <c r="AA35" s="114" t="str" cm="1">
        <f t="array" aca="1" ref="AA35" ca="1">IFERROR(INDEX('Capacity Backing (Hide)'!$A$5:$A$56,COLUMN(T1),1),"")</f>
        <v/>
      </c>
      <c r="AB35" s="114" t="str" cm="1">
        <f t="array" aca="1" ref="AB35" ca="1">IFERROR(INDEX('Capacity Backing (Hide)'!$A$5:$A$56,COLUMN(U1),1),"")</f>
        <v/>
      </c>
      <c r="AC35" s="114" t="str" cm="1">
        <f t="array" aca="1" ref="AC35" ca="1">IFERROR(INDEX('Capacity Backing (Hide)'!$A$5:$A$56,COLUMN(V1),1),"")</f>
        <v/>
      </c>
      <c r="AD35" s="114" t="str" cm="1">
        <f t="array" aca="1" ref="AD35" ca="1">IFERROR(INDEX('Capacity Backing (Hide)'!$A$5:$A$56,COLUMN(W1),1),"")</f>
        <v/>
      </c>
      <c r="AE35" s="114" t="str" cm="1">
        <f t="array" aca="1" ref="AE35" ca="1">IFERROR(INDEX('Capacity Backing (Hide)'!$A$5:$A$56,COLUMN(X1),1),"")</f>
        <v/>
      </c>
      <c r="AF35" s="114" t="str" cm="1">
        <f t="array" aca="1" ref="AF35" ca="1">IFERROR(INDEX('Capacity Backing (Hide)'!$A$5:$A$56,COLUMN(Y1),1),"")</f>
        <v/>
      </c>
      <c r="AG35" s="114" t="str" cm="1">
        <f t="array" aca="1" ref="AG35" ca="1">IFERROR(INDEX('Capacity Backing (Hide)'!$A$5:$A$56,COLUMN(Z1),1),"")</f>
        <v/>
      </c>
      <c r="AH35" s="114" t="str" cm="1">
        <f t="array" aca="1" ref="AH35" ca="1">IFERROR(INDEX('Capacity Backing (Hide)'!$A$5:$A$56,COLUMN(AA1),1),"")</f>
        <v/>
      </c>
      <c r="AI35" s="114" t="str" cm="1">
        <f t="array" aca="1" ref="AI35" ca="1">IFERROR(INDEX('Capacity Backing (Hide)'!$A$5:$A$56,COLUMN(AB1),1),"")</f>
        <v/>
      </c>
      <c r="AJ35" s="114" t="str" cm="1">
        <f t="array" aca="1" ref="AJ35" ca="1">IFERROR(INDEX('Capacity Backing (Hide)'!$A$5:$A$56,COLUMN(AC1),1),"")</f>
        <v/>
      </c>
      <c r="AK35" s="114" t="str" cm="1">
        <f t="array" aca="1" ref="AK35" ca="1">IFERROR(INDEX('Capacity Backing (Hide)'!$A$5:$A$56,COLUMN(AD1),1),"")</f>
        <v/>
      </c>
      <c r="AL35" s="114" t="str" cm="1">
        <f t="array" aca="1" ref="AL35" ca="1">IFERROR(INDEX('Capacity Backing (Hide)'!$A$5:$A$56,COLUMN(AE1),1),"")</f>
        <v/>
      </c>
      <c r="AM35" s="114" t="str" cm="1">
        <f t="array" aca="1" ref="AM35" ca="1">IFERROR(INDEX('Capacity Backing (Hide)'!$A$5:$A$56,COLUMN(AF1),1),"")</f>
        <v/>
      </c>
      <c r="AN35" s="114" t="str" cm="1">
        <f t="array" aca="1" ref="AN35" ca="1">IFERROR(INDEX('Capacity Backing (Hide)'!$A$5:$A$56,COLUMN(AG1),1),"")</f>
        <v/>
      </c>
      <c r="AO35" s="114" t="str" cm="1">
        <f t="array" aca="1" ref="AO35" ca="1">IFERROR(INDEX('Capacity Backing (Hide)'!$A$5:$A$56,COLUMN(AH1),1),"")</f>
        <v/>
      </c>
      <c r="AP35" s="114" t="str" cm="1">
        <f t="array" aca="1" ref="AP35" ca="1">IFERROR(INDEX('Capacity Backing (Hide)'!$A$5:$A$56,COLUMN(AI1),1),"")</f>
        <v/>
      </c>
      <c r="AQ35" s="114" t="str" cm="1">
        <f t="array" aca="1" ref="AQ35" ca="1">IFERROR(INDEX('Capacity Backing (Hide)'!$A$5:$A$56,COLUMN(AJ1),1),"")</f>
        <v/>
      </c>
      <c r="AR35" s="114" t="str" cm="1">
        <f t="array" aca="1" ref="AR35" ca="1">IFERROR(INDEX('Capacity Backing (Hide)'!$A$5:$A$56,COLUMN(AK1),1),"")</f>
        <v/>
      </c>
      <c r="AS35" s="114" t="str" cm="1">
        <f t="array" aca="1" ref="AS35" ca="1">IFERROR(INDEX('Capacity Backing (Hide)'!$A$5:$A$56,COLUMN(AL1),1),"")</f>
        <v/>
      </c>
      <c r="AT35" s="114" t="str" cm="1">
        <f t="array" aca="1" ref="AT35" ca="1">IFERROR(INDEX('Capacity Backing (Hide)'!$A$5:$A$56,COLUMN(AM1),1),"")</f>
        <v/>
      </c>
      <c r="AU35" s="114" t="str" cm="1">
        <f t="array" aca="1" ref="AU35" ca="1">IFERROR(INDEX('Capacity Backing (Hide)'!$A$5:$A$56,COLUMN(AN1),1),"")</f>
        <v/>
      </c>
      <c r="AV35" s="114" t="str" cm="1">
        <f t="array" aca="1" ref="AV35" ca="1">IFERROR(INDEX('Capacity Backing (Hide)'!$A$5:$A$56,COLUMN(AO1),1),"")</f>
        <v/>
      </c>
      <c r="AW35" s="114" t="str" cm="1">
        <f t="array" aca="1" ref="AW35" ca="1">IFERROR(INDEX('Capacity Backing (Hide)'!$A$5:$A$56,COLUMN(AP1),1),"")</f>
        <v/>
      </c>
      <c r="AX35" s="114" t="str" cm="1">
        <f t="array" aca="1" ref="AX35" ca="1">IFERROR(INDEX('Capacity Backing (Hide)'!$A$5:$A$56,COLUMN(AQ1),1),"")</f>
        <v/>
      </c>
      <c r="AY35" s="114" t="str" cm="1">
        <f t="array" aca="1" ref="AY35" ca="1">IFERROR(INDEX('Capacity Backing (Hide)'!$A$5:$A$56,COLUMN(AR1),1),"")</f>
        <v/>
      </c>
      <c r="AZ35" s="114" t="str" cm="1">
        <f t="array" aca="1" ref="AZ35" ca="1">IFERROR(INDEX('Capacity Backing (Hide)'!$A$5:$A$56,COLUMN(AS1),1),"")</f>
        <v/>
      </c>
      <c r="BA35" s="114" t="str" cm="1">
        <f t="array" aca="1" ref="BA35" ca="1">IFERROR(INDEX('Capacity Backing (Hide)'!$A$5:$A$56,COLUMN(AT1),1),"")</f>
        <v/>
      </c>
      <c r="BB35" s="114" t="str" cm="1">
        <f t="array" aca="1" ref="BB35" ca="1">IFERROR(INDEX('Capacity Backing (Hide)'!$A$5:$A$56,COLUMN(AU1),1),"")</f>
        <v/>
      </c>
      <c r="BC35" s="114" t="str" cm="1">
        <f t="array" aca="1" ref="BC35" ca="1">IFERROR(INDEX('Capacity Backing (Hide)'!$A$5:$A$56,COLUMN(AV1),1),"")</f>
        <v/>
      </c>
      <c r="BD35" s="114" t="str" cm="1">
        <f t="array" aca="1" ref="BD35" ca="1">IFERROR(INDEX('Capacity Backing (Hide)'!$A$5:$A$56,COLUMN(AW1),1),"")</f>
        <v/>
      </c>
      <c r="BE35" s="114" t="str" cm="1">
        <f t="array" aca="1" ref="BE35" ca="1">IFERROR(INDEX('Capacity Backing (Hide)'!$A$5:$A$56,COLUMN(AX1),1),"")</f>
        <v/>
      </c>
      <c r="BF35" s="114" t="str" cm="1">
        <f t="array" aca="1" ref="BF35" ca="1">IFERROR(INDEX('Capacity Backing (Hide)'!$A$5:$A$56,COLUMN(AY1),1),"")</f>
        <v/>
      </c>
      <c r="BG35" s="115" t="str" cm="1">
        <f t="array" aca="1" ref="BG35" ca="1">IFERROR(INDEX('Capacity Backing (Hide)'!$A$5:$A$56,COLUMN(AZ1),1),"")</f>
        <v/>
      </c>
      <c r="BH35" s="111"/>
      <c r="BI35" s="111"/>
      <c r="BJ35" s="111"/>
      <c r="BK35" s="111"/>
      <c r="BL35" s="111"/>
      <c r="BM35" s="111"/>
      <c r="BN35" s="111"/>
      <c r="BO35" s="111"/>
      <c r="BP35" s="111"/>
      <c r="BQ35" s="111"/>
      <c r="BR35" s="111"/>
    </row>
    <row r="36" spans="1:70" x14ac:dyDescent="0.35">
      <c r="B36" t="str">
        <f>IF(Capacity!B7="","",Capacity!B7)</f>
        <v/>
      </c>
      <c r="C36" s="29" t="str">
        <f>IF(Capacity!S7="","",Capacity!S7)</f>
        <v/>
      </c>
      <c r="D36" s="29" t="str">
        <f>IF(C36="","",IF($B$3="All "&amp;Setup!$B$15,Capacity!V7,Capacity!W7))</f>
        <v/>
      </c>
      <c r="E36" s="29" t="str">
        <f>IF(B36="","",IF(COUNTBLANK($H36:$BG36)=52,52,COUNTA($H$36:$BG$36)))</f>
        <v/>
      </c>
      <c r="F36" s="116" t="str">
        <f>IF(E36&gt;C36,Capacity!U7/'Capacity Summary'!E36,IF(Capacity!T7=0,""))</f>
        <v/>
      </c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</row>
    <row r="37" spans="1:70" x14ac:dyDescent="0.35">
      <c r="B37" t="str">
        <f>IF(Capacity!B8="","",Capacity!B8)</f>
        <v/>
      </c>
      <c r="C37" s="29" t="str">
        <f>IF(Capacity!S8="","",Capacity!S8)</f>
        <v/>
      </c>
      <c r="D37" s="29" t="str">
        <f>IF(C37="","",IF($B$3="All "&amp;Setup!$B$15,Capacity!V8,Capacity!W8))</f>
        <v/>
      </c>
      <c r="E37" s="29" t="str">
        <f t="shared" ref="E37:E100" si="0">IF(B37="","",IF(COUNTBLANK($H37:$BG37)=52,52,COUNTA($H$36:$BG$36)))</f>
        <v/>
      </c>
      <c r="F37" s="116" t="str">
        <f>IF(E37&gt;C37,Capacity!U8/'Capacity Summary'!E37,IF(Capacity!T8=0,""))</f>
        <v/>
      </c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5"/>
      <c r="AR37" s="165"/>
      <c r="AS37" s="165"/>
      <c r="AT37" s="165"/>
      <c r="AU37" s="165"/>
      <c r="AV37" s="165"/>
      <c r="AW37" s="165"/>
      <c r="AX37" s="165"/>
      <c r="AY37" s="165"/>
      <c r="AZ37" s="165"/>
      <c r="BA37" s="165"/>
      <c r="BB37" s="165"/>
      <c r="BC37" s="165"/>
      <c r="BD37" s="165"/>
      <c r="BE37" s="165"/>
      <c r="BF37" s="165"/>
      <c r="BG37" s="165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29" t="str">
        <f>IF(C38="","",IF($B$3="All "&amp;Setup!$B$15,Capacity!V9,Capacity!W9))</f>
        <v/>
      </c>
      <c r="E38" s="29" t="str">
        <f t="shared" si="0"/>
        <v/>
      </c>
      <c r="F38" s="116" t="str">
        <f>IF(E38&gt;C38,Capacity!U9/'Capacity Summary'!E38,IF(Capacity!T9=0,""))</f>
        <v/>
      </c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165"/>
      <c r="AZ38" s="165"/>
      <c r="BA38" s="165"/>
      <c r="BB38" s="165"/>
      <c r="BC38" s="165"/>
      <c r="BD38" s="165"/>
      <c r="BE38" s="165"/>
      <c r="BF38" s="165"/>
      <c r="BG38" s="165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29" t="str">
        <f>IF(C39="","",IF($B$3="All "&amp;Setup!$B$15,Capacity!V10,Capacity!W10))</f>
        <v/>
      </c>
      <c r="E39" s="29" t="str">
        <f t="shared" si="0"/>
        <v/>
      </c>
      <c r="F39" s="116" t="str">
        <f>IF(E39&gt;C39,Capacity!U10/'Capacity Summary'!E39,IF(Capacity!T10=0,""))</f>
        <v/>
      </c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  <c r="AR39" s="165"/>
      <c r="AS39" s="165"/>
      <c r="AT39" s="165"/>
      <c r="AU39" s="165"/>
      <c r="AV39" s="165"/>
      <c r="AW39" s="165"/>
      <c r="AX39" s="165"/>
      <c r="AY39" s="165"/>
      <c r="AZ39" s="165"/>
      <c r="BA39" s="165"/>
      <c r="BB39" s="165"/>
      <c r="BC39" s="165"/>
      <c r="BD39" s="165"/>
      <c r="BE39" s="165"/>
      <c r="BF39" s="165"/>
      <c r="BG39" s="165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29" t="str">
        <f>IF(C40="","",IF($B$3="All "&amp;Setup!$B$15,Capacity!V11,Capacity!W11))</f>
        <v/>
      </c>
      <c r="E40" s="29" t="str">
        <f t="shared" si="0"/>
        <v/>
      </c>
      <c r="F40" s="116" t="str">
        <f>IF(E40&gt;C40,Capacity!U11/'Capacity Summary'!E40,IF(Capacity!T11=0,""))</f>
        <v/>
      </c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  <c r="AR40" s="165"/>
      <c r="AS40" s="165"/>
      <c r="AT40" s="165"/>
      <c r="AU40" s="165"/>
      <c r="AV40" s="165"/>
      <c r="AW40" s="165"/>
      <c r="AX40" s="165"/>
      <c r="AY40" s="165"/>
      <c r="AZ40" s="165"/>
      <c r="BA40" s="165"/>
      <c r="BB40" s="165"/>
      <c r="BC40" s="165"/>
      <c r="BD40" s="165"/>
      <c r="BE40" s="165"/>
      <c r="BF40" s="165"/>
      <c r="BG40" s="165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29" t="str">
        <f>IF(C41="","",IF($B$3="All "&amp;Setup!$B$15,Capacity!V12,Capacity!W12))</f>
        <v/>
      </c>
      <c r="E41" s="29" t="str">
        <f t="shared" si="0"/>
        <v/>
      </c>
      <c r="F41" s="116" t="str">
        <f>IF(E41&gt;C41,Capacity!U12/'Capacity Summary'!E41,IF(Capacity!T12=0,""))</f>
        <v/>
      </c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  <c r="AR41" s="165"/>
      <c r="AS41" s="165"/>
      <c r="AT41" s="165"/>
      <c r="AU41" s="165"/>
      <c r="AV41" s="165"/>
      <c r="AW41" s="165"/>
      <c r="AX41" s="165"/>
      <c r="AY41" s="165"/>
      <c r="AZ41" s="165"/>
      <c r="BA41" s="165"/>
      <c r="BB41" s="165"/>
      <c r="BC41" s="165"/>
      <c r="BD41" s="165"/>
      <c r="BE41" s="165"/>
      <c r="BF41" s="165"/>
      <c r="BG41" s="165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29" t="str">
        <f>IF(C42="","",IF($B$3="All "&amp;Setup!$B$15,Capacity!V13,Capacity!W13))</f>
        <v/>
      </c>
      <c r="E42" s="29" t="str">
        <f t="shared" si="0"/>
        <v/>
      </c>
      <c r="F42" s="116" t="str">
        <f>IF(E42&gt;C42,Capacity!U13/'Capacity Summary'!E42,IF(Capacity!T13=0,""))</f>
        <v/>
      </c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  <c r="AV42" s="165"/>
      <c r="AW42" s="165"/>
      <c r="AX42" s="165"/>
      <c r="AY42" s="165"/>
      <c r="AZ42" s="165"/>
      <c r="BA42" s="165"/>
      <c r="BB42" s="165"/>
      <c r="BC42" s="165"/>
      <c r="BD42" s="165"/>
      <c r="BE42" s="165"/>
      <c r="BF42" s="165"/>
      <c r="BG42" s="165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29" t="str">
        <f>IF(C43="","",IF($B$3="All "&amp;Setup!$B$15,Capacity!V14,Capacity!W14))</f>
        <v/>
      </c>
      <c r="E43" s="29" t="str">
        <f t="shared" si="0"/>
        <v/>
      </c>
      <c r="F43" s="116" t="str">
        <f>IF(E43&gt;C43,Capacity!U14/'Capacity Summary'!E43,IF(Capacity!T14=0,""))</f>
        <v/>
      </c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  <c r="AG43" s="165"/>
      <c r="AH43" s="165"/>
      <c r="AI43" s="165"/>
      <c r="AJ43" s="165"/>
      <c r="AK43" s="165"/>
      <c r="AL43" s="165"/>
      <c r="AM43" s="165"/>
      <c r="AN43" s="165"/>
      <c r="AO43" s="165"/>
      <c r="AP43" s="165"/>
      <c r="AQ43" s="165"/>
      <c r="AR43" s="165"/>
      <c r="AS43" s="165"/>
      <c r="AT43" s="165"/>
      <c r="AU43" s="165"/>
      <c r="AV43" s="165"/>
      <c r="AW43" s="165"/>
      <c r="AX43" s="165"/>
      <c r="AY43" s="165"/>
      <c r="AZ43" s="165"/>
      <c r="BA43" s="165"/>
      <c r="BB43" s="165"/>
      <c r="BC43" s="165"/>
      <c r="BD43" s="165"/>
      <c r="BE43" s="165"/>
      <c r="BF43" s="165"/>
      <c r="BG43" s="165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29" t="str">
        <f>IF(C44="","",IF($B$3="All "&amp;Setup!$B$15,Capacity!V15,Capacity!W15))</f>
        <v/>
      </c>
      <c r="E44" s="29" t="str">
        <f t="shared" si="0"/>
        <v/>
      </c>
      <c r="F44" s="116" t="str">
        <f>IF(E44&gt;C44,Capacity!U15/'Capacity Summary'!E44,IF(Capacity!T15=0,""))</f>
        <v/>
      </c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165"/>
      <c r="AL44" s="165"/>
      <c r="AM44" s="165"/>
      <c r="AN44" s="165"/>
      <c r="AO44" s="165"/>
      <c r="AP44" s="165"/>
      <c r="AQ44" s="165"/>
      <c r="AR44" s="165"/>
      <c r="AS44" s="165"/>
      <c r="AT44" s="165"/>
      <c r="AU44" s="165"/>
      <c r="AV44" s="165"/>
      <c r="AW44" s="165"/>
      <c r="AX44" s="165"/>
      <c r="AY44" s="165"/>
      <c r="AZ44" s="165"/>
      <c r="BA44" s="165"/>
      <c r="BB44" s="165"/>
      <c r="BC44" s="165"/>
      <c r="BD44" s="165"/>
      <c r="BE44" s="165"/>
      <c r="BF44" s="165"/>
      <c r="BG44" s="165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29" t="str">
        <f>IF(C45="","",IF($B$3="All "&amp;Setup!$B$15,Capacity!V16,Capacity!W16))</f>
        <v/>
      </c>
      <c r="E45" s="29" t="str">
        <f t="shared" si="0"/>
        <v/>
      </c>
      <c r="F45" s="116" t="str">
        <f>IF(E45&gt;C45,Capacity!U16/'Capacity Summary'!E45,IF(Capacity!T16=0,""))</f>
        <v/>
      </c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5"/>
      <c r="AP45" s="165"/>
      <c r="AQ45" s="165"/>
      <c r="AR45" s="165"/>
      <c r="AS45" s="165"/>
      <c r="AT45" s="165"/>
      <c r="AU45" s="165"/>
      <c r="AV45" s="165"/>
      <c r="AW45" s="165"/>
      <c r="AX45" s="165"/>
      <c r="AY45" s="165"/>
      <c r="AZ45" s="165"/>
      <c r="BA45" s="165"/>
      <c r="BB45" s="165"/>
      <c r="BC45" s="165"/>
      <c r="BD45" s="165"/>
      <c r="BE45" s="165"/>
      <c r="BF45" s="165"/>
      <c r="BG45" s="165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29" t="str">
        <f>IF(C46="","",IF($B$3="All "&amp;Setup!$B$15,Capacity!V17,Capacity!W17))</f>
        <v/>
      </c>
      <c r="E46" s="29" t="str">
        <f t="shared" si="0"/>
        <v/>
      </c>
      <c r="F46" s="116" t="str">
        <f>IF(E46&gt;C46,Capacity!U17/'Capacity Summary'!E46,IF(Capacity!T17=0,""))</f>
        <v/>
      </c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5"/>
      <c r="AS46" s="165"/>
      <c r="AT46" s="165"/>
      <c r="AU46" s="165"/>
      <c r="AV46" s="165"/>
      <c r="AW46" s="165"/>
      <c r="AX46" s="165"/>
      <c r="AY46" s="165"/>
      <c r="AZ46" s="165"/>
      <c r="BA46" s="165"/>
      <c r="BB46" s="165"/>
      <c r="BC46" s="165"/>
      <c r="BD46" s="165"/>
      <c r="BE46" s="165"/>
      <c r="BF46" s="165"/>
      <c r="BG46" s="165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29" t="str">
        <f>IF(C47="","",IF($B$3="All "&amp;Setup!$B$15,Capacity!V18,Capacity!W18))</f>
        <v/>
      </c>
      <c r="E47" s="29" t="str">
        <f t="shared" si="0"/>
        <v/>
      </c>
      <c r="F47" s="116" t="str">
        <f>IF(E47&gt;C47,Capacity!U18/'Capacity Summary'!E47,IF(Capacity!T18=0,""))</f>
        <v/>
      </c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5"/>
      <c r="AS47" s="165"/>
      <c r="AT47" s="165"/>
      <c r="AU47" s="165"/>
      <c r="AV47" s="165"/>
      <c r="AW47" s="165"/>
      <c r="AX47" s="165"/>
      <c r="AY47" s="165"/>
      <c r="AZ47" s="165"/>
      <c r="BA47" s="165"/>
      <c r="BB47" s="165"/>
      <c r="BC47" s="165"/>
      <c r="BD47" s="165"/>
      <c r="BE47" s="165"/>
      <c r="BF47" s="165"/>
      <c r="BG47" s="165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29" t="str">
        <f>IF(C48="","",IF($B$3="All "&amp;Setup!$B$15,Capacity!V19,Capacity!W19))</f>
        <v/>
      </c>
      <c r="E48" s="29" t="str">
        <f t="shared" si="0"/>
        <v/>
      </c>
      <c r="F48" s="116" t="str">
        <f>IF(E48&gt;C48,Capacity!U19/'Capacity Summary'!E48,IF(Capacity!T19=0,""))</f>
        <v/>
      </c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5"/>
      <c r="AS48" s="165"/>
      <c r="AT48" s="165"/>
      <c r="AU48" s="165"/>
      <c r="AV48" s="165"/>
      <c r="AW48" s="165"/>
      <c r="AX48" s="165"/>
      <c r="AY48" s="165"/>
      <c r="AZ48" s="165"/>
      <c r="BA48" s="165"/>
      <c r="BB48" s="165"/>
      <c r="BC48" s="165"/>
      <c r="BD48" s="165"/>
      <c r="BE48" s="165"/>
      <c r="BF48" s="165"/>
      <c r="BG48" s="165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29" t="str">
        <f>IF(C49="","",IF($B$3="All "&amp;Setup!$B$15,Capacity!V20,Capacity!W20))</f>
        <v/>
      </c>
      <c r="E49" s="29" t="str">
        <f t="shared" si="0"/>
        <v/>
      </c>
      <c r="F49" s="116" t="str">
        <f>IF(E49&gt;C49,Capacity!U20/'Capacity Summary'!E49,IF(Capacity!T20=0,""))</f>
        <v/>
      </c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  <c r="AT49" s="165"/>
      <c r="AU49" s="165"/>
      <c r="AV49" s="165"/>
      <c r="AW49" s="165"/>
      <c r="AX49" s="165"/>
      <c r="AY49" s="165"/>
      <c r="AZ49" s="165"/>
      <c r="BA49" s="165"/>
      <c r="BB49" s="165"/>
      <c r="BC49" s="165"/>
      <c r="BD49" s="165"/>
      <c r="BE49" s="165"/>
      <c r="BF49" s="165"/>
      <c r="BG49" s="165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29" t="str">
        <f>IF(C50="","",IF($B$3="All "&amp;Setup!$B$15,Capacity!V21,Capacity!W21))</f>
        <v/>
      </c>
      <c r="E50" s="29" t="str">
        <f t="shared" si="0"/>
        <v/>
      </c>
      <c r="F50" s="116" t="str">
        <f>IF(E50&gt;C50,Capacity!U21/'Capacity Summary'!E50,IF(Capacity!T21=0,""))</f>
        <v/>
      </c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  <c r="AT50" s="165"/>
      <c r="AU50" s="165"/>
      <c r="AV50" s="165"/>
      <c r="AW50" s="165"/>
      <c r="AX50" s="165"/>
      <c r="AY50" s="165"/>
      <c r="AZ50" s="165"/>
      <c r="BA50" s="165"/>
      <c r="BB50" s="165"/>
      <c r="BC50" s="165"/>
      <c r="BD50" s="165"/>
      <c r="BE50" s="165"/>
      <c r="BF50" s="165"/>
      <c r="BG50" s="165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29" t="str">
        <f>IF(C51="","",IF($B$3="All "&amp;Setup!$B$15,Capacity!V22,Capacity!W22))</f>
        <v/>
      </c>
      <c r="E51" s="29" t="str">
        <f t="shared" si="0"/>
        <v/>
      </c>
      <c r="F51" s="116" t="str">
        <f>IF(E51&gt;C51,Capacity!U22/'Capacity Summary'!E51,IF(Capacity!T22=0,""))</f>
        <v/>
      </c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29" t="str">
        <f>IF(C52="","",IF($B$3="All "&amp;Setup!$B$15,Capacity!V23,Capacity!W23))</f>
        <v/>
      </c>
      <c r="E52" s="29" t="str">
        <f t="shared" si="0"/>
        <v/>
      </c>
      <c r="F52" s="116" t="str">
        <f>IF(E52&gt;C52,Capacity!U23/'Capacity Summary'!E52,IF(Capacity!T23=0,""))</f>
        <v/>
      </c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29" t="str">
        <f>IF(C53="","",IF($B$3="All "&amp;Setup!$B$15,Capacity!V24,Capacity!W24))</f>
        <v/>
      </c>
      <c r="E53" s="29" t="str">
        <f t="shared" si="0"/>
        <v/>
      </c>
      <c r="F53" s="116" t="str">
        <f>IF(E53&gt;C53,Capacity!U24/'Capacity Summary'!E53,IF(Capacity!T24=0,""))</f>
        <v/>
      </c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29" t="str">
        <f>IF(C54="","",IF($B$3="All "&amp;Setup!$B$15,Capacity!V25,Capacity!W25))</f>
        <v/>
      </c>
      <c r="E54" s="29" t="str">
        <f t="shared" si="0"/>
        <v/>
      </c>
      <c r="F54" s="116" t="str">
        <f>IF(E54&gt;C54,Capacity!U25/'Capacity Summary'!E54,IF(Capacity!T25=0,""))</f>
        <v/>
      </c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29" t="str">
        <f>IF(C55="","",IF($B$3="All "&amp;Setup!$B$15,Capacity!V26,Capacity!W26))</f>
        <v/>
      </c>
      <c r="E55" s="29" t="str">
        <f t="shared" si="0"/>
        <v/>
      </c>
      <c r="F55" s="116" t="str">
        <f>IF(E55&gt;C55,Capacity!U26/'Capacity Summary'!E55,IF(Capacity!T26=0,""))</f>
        <v/>
      </c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29" t="str">
        <f>IF(C56="","",IF($B$3="All "&amp;Setup!$B$15,Capacity!V27,Capacity!W27))</f>
        <v/>
      </c>
      <c r="E56" s="29" t="str">
        <f t="shared" si="0"/>
        <v/>
      </c>
      <c r="F56" s="116" t="str">
        <f>IF(E56&gt;C56,Capacity!U27/'Capacity Summary'!E56,IF(Capacity!T27=0,""))</f>
        <v/>
      </c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29" t="str">
        <f>IF(C57="","",IF($B$3="All "&amp;Setup!$B$15,Capacity!V28,Capacity!W28))</f>
        <v/>
      </c>
      <c r="E57" s="29" t="str">
        <f t="shared" si="0"/>
        <v/>
      </c>
      <c r="F57" s="116" t="str">
        <f>IF(E57&gt;C57,Capacity!U28/'Capacity Summary'!E57,IF(Capacity!T28=0,""))</f>
        <v/>
      </c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29" t="str">
        <f>IF(C58="","",IF($B$3="All "&amp;Setup!$B$15,Capacity!V29,Capacity!W29))</f>
        <v/>
      </c>
      <c r="E58" s="29" t="str">
        <f t="shared" si="0"/>
        <v/>
      </c>
      <c r="F58" s="116" t="str">
        <f>IF(E58&gt;C58,Capacity!U29/'Capacity Summary'!E58,IF(Capacity!T29=0,""))</f>
        <v/>
      </c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29" t="str">
        <f>IF(C59="","",IF($B$3="All "&amp;Setup!$B$15,Capacity!V30,Capacity!W30))</f>
        <v/>
      </c>
      <c r="E59" s="29" t="str">
        <f t="shared" si="0"/>
        <v/>
      </c>
      <c r="F59" s="116" t="str">
        <f>IF(E59&gt;C59,Capacity!U30/'Capacity Summary'!E59,IF(Capacity!T30=0,""))</f>
        <v/>
      </c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29" t="str">
        <f>IF(C60="","",IF($B$3="All "&amp;Setup!$B$15,Capacity!V31,Capacity!W31))</f>
        <v/>
      </c>
      <c r="E60" s="29" t="str">
        <f t="shared" si="0"/>
        <v/>
      </c>
      <c r="F60" s="116" t="str">
        <f>IF(E60&gt;C60,Capacity!U31/'Capacity Summary'!E60,IF(Capacity!T31=0,""))</f>
        <v/>
      </c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29" t="str">
        <f>IF(C61="","",IF($B$3="All "&amp;Setup!$B$15,Capacity!V32,Capacity!W32))</f>
        <v/>
      </c>
      <c r="E61" s="29" t="str">
        <f t="shared" si="0"/>
        <v/>
      </c>
      <c r="F61" s="116" t="str">
        <f>IF(E61&gt;C61,Capacity!U32/'Capacity Summary'!E61,IF(Capacity!T32=0,""))</f>
        <v/>
      </c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29" t="str">
        <f>IF(C62="","",IF($B$3="All "&amp;Setup!$B$15,Capacity!V33,Capacity!W33))</f>
        <v/>
      </c>
      <c r="E62" s="29" t="str">
        <f t="shared" si="0"/>
        <v/>
      </c>
      <c r="F62" s="116" t="str">
        <f>IF(E62&gt;C62,Capacity!U33/'Capacity Summary'!E62,IF(Capacity!T33=0,""))</f>
        <v/>
      </c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29" t="str">
        <f>IF(C63="","",IF($B$3="All "&amp;Setup!$B$15,Capacity!V34,Capacity!W34))</f>
        <v/>
      </c>
      <c r="E63" s="29" t="str">
        <f t="shared" si="0"/>
        <v/>
      </c>
      <c r="F63" s="116" t="str">
        <f>IF(E63&gt;C63,Capacity!U34/'Capacity Summary'!E63,IF(Capacity!T34=0,""))</f>
        <v/>
      </c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29" t="str">
        <f>IF(C64="","",IF($B$3="All "&amp;Setup!$B$15,Capacity!V35,Capacity!W35))</f>
        <v/>
      </c>
      <c r="E64" s="29" t="str">
        <f t="shared" si="0"/>
        <v/>
      </c>
      <c r="F64" s="116" t="str">
        <f>IF(E64&gt;C64,Capacity!U35/'Capacity Summary'!E64,IF(Capacity!T35=0,""))</f>
        <v/>
      </c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29" t="str">
        <f>IF(C65="","",IF($B$3="All "&amp;Setup!$B$15,Capacity!V36,Capacity!W36))</f>
        <v/>
      </c>
      <c r="E65" s="29" t="str">
        <f t="shared" si="0"/>
        <v/>
      </c>
      <c r="F65" s="116" t="str">
        <f>IF(E65&gt;C65,Capacity!U36/'Capacity Summary'!E65,IF(Capacity!T36=0,""))</f>
        <v/>
      </c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29" t="str">
        <f>IF(C66="","",IF($B$3="All "&amp;Setup!$B$15,Capacity!V37,Capacity!W37))</f>
        <v/>
      </c>
      <c r="E66" s="29" t="str">
        <f t="shared" si="0"/>
        <v/>
      </c>
      <c r="F66" s="116" t="str">
        <f>IF(E66&gt;C66,Capacity!U37/'Capacity Summary'!E66,IF(Capacity!T37=0,""))</f>
        <v/>
      </c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29" t="str">
        <f>IF(C67="","",IF($B$3="All "&amp;Setup!$B$15,Capacity!V38,Capacity!W38))</f>
        <v/>
      </c>
      <c r="E67" s="29" t="str">
        <f t="shared" si="0"/>
        <v/>
      </c>
      <c r="F67" s="116" t="str">
        <f>IF(E67&gt;C67,Capacity!U38/'Capacity Summary'!E67,IF(Capacity!T38=0,""))</f>
        <v/>
      </c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29" t="str">
        <f>IF(C68="","",IF($B$3="All "&amp;Setup!$B$15,Capacity!V39,Capacity!W39))</f>
        <v/>
      </c>
      <c r="E68" s="29" t="str">
        <f t="shared" si="0"/>
        <v/>
      </c>
      <c r="F68" s="116" t="str">
        <f>IF(E68&gt;C68,Capacity!U39/'Capacity Summary'!E68,IF(Capacity!T39=0,""))</f>
        <v/>
      </c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29" t="str">
        <f>IF(C69="","",IF($B$3="All "&amp;Setup!$B$15,Capacity!V40,Capacity!W40))</f>
        <v/>
      </c>
      <c r="E69" s="29" t="str">
        <f t="shared" si="0"/>
        <v/>
      </c>
      <c r="F69" s="116" t="str">
        <f>IF(E69&gt;C69,Capacity!U40/'Capacity Summary'!E69,IF(Capacity!T40=0,""))</f>
        <v/>
      </c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29" t="str">
        <f>IF(C70="","",IF($B$3="All "&amp;Setup!$B$15,Capacity!V41,Capacity!W41))</f>
        <v/>
      </c>
      <c r="E70" s="29" t="str">
        <f t="shared" si="0"/>
        <v/>
      </c>
      <c r="F70" s="116" t="str">
        <f>IF(E70&gt;C70,Capacity!U41/'Capacity Summary'!E70,IF(Capacity!T41=0,""))</f>
        <v/>
      </c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29" t="str">
        <f>IF(C71="","",IF($B$3="All "&amp;Setup!$B$15,Capacity!V42,Capacity!W42))</f>
        <v/>
      </c>
      <c r="E71" s="29" t="str">
        <f t="shared" si="0"/>
        <v/>
      </c>
      <c r="F71" s="116" t="str">
        <f>IF(E71&gt;C71,Capacity!U42/'Capacity Summary'!E71,IF(Capacity!T42=0,""))</f>
        <v/>
      </c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29" t="str">
        <f>IF(C72="","",IF($B$3="All "&amp;Setup!$B$15,Capacity!V43,Capacity!W43))</f>
        <v/>
      </c>
      <c r="E72" s="29" t="str">
        <f t="shared" si="0"/>
        <v/>
      </c>
      <c r="F72" s="116" t="str">
        <f>IF(E72&gt;C72,Capacity!U43/'Capacity Summary'!E72,IF(Capacity!T43=0,""))</f>
        <v/>
      </c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29" t="str">
        <f>IF(C73="","",IF($B$3="All "&amp;Setup!$B$15,Capacity!V44,Capacity!W44))</f>
        <v/>
      </c>
      <c r="E73" s="29" t="str">
        <f t="shared" si="0"/>
        <v/>
      </c>
      <c r="F73" s="116" t="str">
        <f>IF(E73&gt;C73,Capacity!U44/'Capacity Summary'!E73,IF(Capacity!T44=0,""))</f>
        <v/>
      </c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29" t="str">
        <f>IF(C74="","",IF($B$3="All "&amp;Setup!$B$15,Capacity!V45,Capacity!W45))</f>
        <v/>
      </c>
      <c r="E74" s="29" t="str">
        <f t="shared" si="0"/>
        <v/>
      </c>
      <c r="F74" s="116" t="str">
        <f>IF(E74&gt;C74,Capacity!U45/'Capacity Summary'!E74,IF(Capacity!T45=0,""))</f>
        <v/>
      </c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29" t="str">
        <f>IF(C75="","",IF($B$3="All "&amp;Setup!$B$15,Capacity!V46,Capacity!W46))</f>
        <v/>
      </c>
      <c r="E75" s="29" t="str">
        <f t="shared" si="0"/>
        <v/>
      </c>
      <c r="F75" s="116" t="str">
        <f>IF(E75&gt;C75,Capacity!U46/'Capacity Summary'!E75,IF(Capacity!T46=0,""))</f>
        <v/>
      </c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29" t="str">
        <f>IF(C76="","",IF($B$3="All "&amp;Setup!$B$15,Capacity!V47,Capacity!W47))</f>
        <v/>
      </c>
      <c r="E76" s="29" t="str">
        <f t="shared" si="0"/>
        <v/>
      </c>
      <c r="F76" s="116" t="str">
        <f>IF(E76&gt;C76,Capacity!U47/'Capacity Summary'!E76,IF(Capacity!T47=0,""))</f>
        <v/>
      </c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29" t="str">
        <f>IF(C77="","",IF($B$3="All "&amp;Setup!$B$15,Capacity!V48,Capacity!W48))</f>
        <v/>
      </c>
      <c r="E77" s="29" t="str">
        <f t="shared" si="0"/>
        <v/>
      </c>
      <c r="F77" s="116" t="str">
        <f>IF(E77&gt;C77,Capacity!U48/'Capacity Summary'!E77,IF(Capacity!T48=0,""))</f>
        <v/>
      </c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29" t="str">
        <f>IF(C78="","",IF($B$3="All "&amp;Setup!$B$15,Capacity!V49,Capacity!W49))</f>
        <v/>
      </c>
      <c r="E78" s="29" t="str">
        <f t="shared" si="0"/>
        <v/>
      </c>
      <c r="F78" s="116" t="str">
        <f>IF(E78&gt;C78,Capacity!U49/'Capacity Summary'!E78,IF(Capacity!T49=0,""))</f>
        <v/>
      </c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29" t="str">
        <f>IF(C79="","",IF($B$3="All "&amp;Setup!$B$15,Capacity!V50,Capacity!W50))</f>
        <v/>
      </c>
      <c r="E79" s="29" t="str">
        <f t="shared" si="0"/>
        <v/>
      </c>
      <c r="F79" s="116" t="str">
        <f>IF(E79&gt;C79,Capacity!U50/'Capacity Summary'!E79,IF(Capacity!T50=0,""))</f>
        <v/>
      </c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29" t="str">
        <f>IF(C80="","",IF($B$3="All "&amp;Setup!$B$15,Capacity!V51,Capacity!W51))</f>
        <v/>
      </c>
      <c r="E80" s="29" t="str">
        <f t="shared" si="0"/>
        <v/>
      </c>
      <c r="F80" s="116" t="str">
        <f>IF(E80&gt;C80,Capacity!U51/'Capacity Summary'!E80,IF(Capacity!T51=0,""))</f>
        <v/>
      </c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29" t="str">
        <f>IF(C81="","",IF($B$3="All "&amp;Setup!$B$15,Capacity!V52,Capacity!W52))</f>
        <v/>
      </c>
      <c r="E81" s="29" t="str">
        <f t="shared" si="0"/>
        <v/>
      </c>
      <c r="F81" s="116" t="str">
        <f>IF(E81&gt;C81,Capacity!U52/'Capacity Summary'!E81,IF(Capacity!T52=0,""))</f>
        <v/>
      </c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29" t="str">
        <f>IF(C82="","",IF($B$3="All "&amp;Setup!$B$15,Capacity!V53,Capacity!W53))</f>
        <v/>
      </c>
      <c r="E82" s="29" t="str">
        <f t="shared" si="0"/>
        <v/>
      </c>
      <c r="F82" s="116" t="str">
        <f>IF(E82&gt;C82,Capacity!U53/'Capacity Summary'!E82,IF(Capacity!T53=0,""))</f>
        <v/>
      </c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29" t="str">
        <f>IF(C83="","",IF($B$3="All "&amp;Setup!$B$15,Capacity!V54,Capacity!W54))</f>
        <v/>
      </c>
      <c r="E83" s="29" t="str">
        <f t="shared" si="0"/>
        <v/>
      </c>
      <c r="F83" s="116" t="str">
        <f>IF(E83&gt;C83,Capacity!U54/'Capacity Summary'!E83,IF(Capacity!T54=0,""))</f>
        <v/>
      </c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29" t="str">
        <f>IF(C84="","",IF($B$3="All "&amp;Setup!$B$15,Capacity!V55,Capacity!W55))</f>
        <v/>
      </c>
      <c r="E84" s="29" t="str">
        <f t="shared" si="0"/>
        <v/>
      </c>
      <c r="F84" s="116" t="str">
        <f>IF(E84&gt;C84,Capacity!U55/'Capacity Summary'!E84,IF(Capacity!T55=0,""))</f>
        <v/>
      </c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29" t="str">
        <f>IF(C85="","",IF($B$3="All "&amp;Setup!$B$15,Capacity!V56,Capacity!W56))</f>
        <v/>
      </c>
      <c r="E85" s="29" t="str">
        <f t="shared" si="0"/>
        <v/>
      </c>
      <c r="F85" s="116" t="str">
        <f>IF(E85&gt;C85,Capacity!U56/'Capacity Summary'!E85,IF(Capacity!T56=0,""))</f>
        <v/>
      </c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29" t="str">
        <f>IF(C86="","",IF($B$3="All "&amp;Setup!$B$15,Capacity!V57,Capacity!W57))</f>
        <v/>
      </c>
      <c r="E86" s="29" t="str">
        <f t="shared" si="0"/>
        <v/>
      </c>
      <c r="F86" s="116" t="str">
        <f>IF(E86&gt;C86,Capacity!U57/'Capacity Summary'!E86,IF(Capacity!T57=0,""))</f>
        <v/>
      </c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29" t="str">
        <f>IF(C87="","",IF($B$3="All "&amp;Setup!$B$15,Capacity!V58,Capacity!W58))</f>
        <v/>
      </c>
      <c r="E87" s="29" t="str">
        <f t="shared" si="0"/>
        <v/>
      </c>
      <c r="F87" s="116" t="str">
        <f>IF(E87&gt;C87,Capacity!U58/'Capacity Summary'!E87,IF(Capacity!T58=0,""))</f>
        <v/>
      </c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29" t="str">
        <f>IF(C88="","",IF($B$3="All "&amp;Setup!$B$15,Capacity!V59,Capacity!W59))</f>
        <v/>
      </c>
      <c r="E88" s="29" t="str">
        <f t="shared" si="0"/>
        <v/>
      </c>
      <c r="F88" s="116" t="str">
        <f>IF(E88&gt;C88,Capacity!U59/'Capacity Summary'!E88,IF(Capacity!T59=0,""))</f>
        <v/>
      </c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29" t="str">
        <f>IF(C89="","",IF($B$3="All "&amp;Setup!$B$15,Capacity!V60,Capacity!W60))</f>
        <v/>
      </c>
      <c r="E89" s="29" t="str">
        <f t="shared" si="0"/>
        <v/>
      </c>
      <c r="F89" s="116" t="str">
        <f>IF(E89&gt;C89,Capacity!U60/'Capacity Summary'!E89,IF(Capacity!T60=0,""))</f>
        <v/>
      </c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29" t="str">
        <f>IF(C90="","",IF($B$3="All "&amp;Setup!$B$15,Capacity!V61,Capacity!W61))</f>
        <v/>
      </c>
      <c r="E90" s="29" t="str">
        <f t="shared" si="0"/>
        <v/>
      </c>
      <c r="F90" s="116" t="str">
        <f>IF(E90&gt;C90,Capacity!U61/'Capacity Summary'!E90,IF(Capacity!T61=0,""))</f>
        <v/>
      </c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29" t="str">
        <f>IF(C91="","",IF($B$3="All "&amp;Setup!$B$15,Capacity!V62,Capacity!W62))</f>
        <v/>
      </c>
      <c r="E91" s="29" t="str">
        <f t="shared" si="0"/>
        <v/>
      </c>
      <c r="F91" s="116" t="str">
        <f>IF(E91&gt;C91,Capacity!U62/'Capacity Summary'!E91,IF(Capacity!T62=0,""))</f>
        <v/>
      </c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29" t="str">
        <f>IF(C92="","",IF($B$3="All "&amp;Setup!$B$15,Capacity!V63,Capacity!W63))</f>
        <v/>
      </c>
      <c r="E92" s="29" t="str">
        <f t="shared" si="0"/>
        <v/>
      </c>
      <c r="F92" s="116" t="str">
        <f>IF(E92&gt;C92,Capacity!U63/'Capacity Summary'!E92,IF(Capacity!T63=0,""))</f>
        <v/>
      </c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29" t="str">
        <f>IF(C93="","",IF($B$3="All "&amp;Setup!$B$15,Capacity!V64,Capacity!W64))</f>
        <v/>
      </c>
      <c r="E93" s="29" t="str">
        <f t="shared" si="0"/>
        <v/>
      </c>
      <c r="F93" s="116" t="str">
        <f>IF(E93&gt;C93,Capacity!U64/'Capacity Summary'!E93,IF(Capacity!T64=0,""))</f>
        <v/>
      </c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29" t="str">
        <f>IF(C94="","",IF($B$3="All "&amp;Setup!$B$15,Capacity!V65,Capacity!W65))</f>
        <v/>
      </c>
      <c r="E94" s="29" t="str">
        <f t="shared" si="0"/>
        <v/>
      </c>
      <c r="F94" s="116" t="str">
        <f>IF(E94&gt;C94,Capacity!U65/'Capacity Summary'!E94,IF(Capacity!T65=0,""))</f>
        <v/>
      </c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29" t="str">
        <f>IF(C95="","",IF($B$3="All "&amp;Setup!$B$15,Capacity!V66,Capacity!W66))</f>
        <v/>
      </c>
      <c r="E95" s="29" t="str">
        <f t="shared" si="0"/>
        <v/>
      </c>
      <c r="F95" s="116" t="str">
        <f>IF(E95&gt;C95,Capacity!U66/'Capacity Summary'!E95,IF(Capacity!T66=0,""))</f>
        <v/>
      </c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29" t="str">
        <f>IF(C96="","",IF($B$3="All "&amp;Setup!$B$15,Capacity!V67,Capacity!W67))</f>
        <v/>
      </c>
      <c r="E96" s="29" t="str">
        <f t="shared" si="0"/>
        <v/>
      </c>
      <c r="F96" s="116" t="str">
        <f>IF(E96&gt;C96,Capacity!U67/'Capacity Summary'!E96,IF(Capacity!T67=0,""))</f>
        <v/>
      </c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29" t="str">
        <f>IF(C97="","",IF($B$3="All "&amp;Setup!$B$15,Capacity!V68,Capacity!W68))</f>
        <v/>
      </c>
      <c r="E97" s="29" t="str">
        <f t="shared" si="0"/>
        <v/>
      </c>
      <c r="F97" s="116" t="str">
        <f>IF(E97&gt;C97,Capacity!U68/'Capacity Summary'!E97,IF(Capacity!T68=0,""))</f>
        <v/>
      </c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29" t="str">
        <f>IF(C98="","",IF($B$3="All "&amp;Setup!$B$15,Capacity!V69,Capacity!W69))</f>
        <v/>
      </c>
      <c r="E98" s="29" t="str">
        <f t="shared" si="0"/>
        <v/>
      </c>
      <c r="F98" s="116" t="str">
        <f>IF(E98&gt;C98,Capacity!U69/'Capacity Summary'!E98,IF(Capacity!T69=0,""))</f>
        <v/>
      </c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29" t="str">
        <f>IF(C99="","",IF($B$3="All "&amp;Setup!$B$15,Capacity!V70,Capacity!W70))</f>
        <v/>
      </c>
      <c r="E99" s="29" t="str">
        <f t="shared" si="0"/>
        <v/>
      </c>
      <c r="F99" s="116" t="str">
        <f>IF(E99&gt;C99,Capacity!U70/'Capacity Summary'!E99,IF(Capacity!T70=0,""))</f>
        <v/>
      </c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29" t="str">
        <f>IF(C100="","",IF($B$3="All "&amp;Setup!$B$15,Capacity!V71,Capacity!W71))</f>
        <v/>
      </c>
      <c r="E100" s="29" t="str">
        <f t="shared" si="0"/>
        <v/>
      </c>
      <c r="F100" s="116" t="str">
        <f>IF(E100&gt;C100,Capacity!U71/'Capacity Summary'!E100,IF(Capacity!T71=0,""))</f>
        <v/>
      </c>
      <c r="H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29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6" t="str">
        <f>IF(E101&gt;C101,Capacity!U72/'Capacity Summary'!E101,IF(Capacity!T72=0,""))</f>
        <v/>
      </c>
      <c r="H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29" t="str">
        <f>IF(C102="","",IF($B$3="All "&amp;Setup!$B$15,Capacity!V73,Capacity!W73))</f>
        <v/>
      </c>
      <c r="E102" s="29" t="str">
        <f t="shared" si="1"/>
        <v/>
      </c>
      <c r="F102" s="116" t="str">
        <f>IF(E102&gt;C102,Capacity!U73/'Capacity Summary'!E102,IF(Capacity!T73=0,""))</f>
        <v/>
      </c>
      <c r="H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29" t="str">
        <f>IF(C103="","",IF($B$3="All "&amp;Setup!$B$15,Capacity!V74,Capacity!W74))</f>
        <v/>
      </c>
      <c r="E103" s="29" t="str">
        <f t="shared" si="1"/>
        <v/>
      </c>
      <c r="F103" s="116" t="str">
        <f>IF(E103&gt;C103,Capacity!U74/'Capacity Summary'!E103,IF(Capacity!T74=0,""))</f>
        <v/>
      </c>
      <c r="H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29" t="str">
        <f>IF(C104="","",IF($B$3="All "&amp;Setup!$B$15,Capacity!V75,Capacity!W75))</f>
        <v/>
      </c>
      <c r="E104" s="29" t="str">
        <f t="shared" si="1"/>
        <v/>
      </c>
      <c r="F104" s="116" t="str">
        <f>IF(E104&gt;C104,Capacity!U75/'Capacity Summary'!E104,IF(Capacity!T75=0,""))</f>
        <v/>
      </c>
      <c r="H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29" t="str">
        <f>IF(C105="","",IF($B$3="All "&amp;Setup!$B$15,Capacity!V76,Capacity!W76))</f>
        <v/>
      </c>
      <c r="E105" s="29" t="str">
        <f t="shared" si="1"/>
        <v/>
      </c>
      <c r="F105" s="116" t="str">
        <f>IF(E105&gt;C105,Capacity!U76/'Capacity Summary'!E105,IF(Capacity!T76=0,""))</f>
        <v/>
      </c>
      <c r="H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29" t="str">
        <f>IF(C106="","",IF($B$3="All "&amp;Setup!$B$15,Capacity!V77,Capacity!W77))</f>
        <v/>
      </c>
      <c r="E106" s="29" t="str">
        <f t="shared" si="1"/>
        <v/>
      </c>
      <c r="F106" s="116" t="str">
        <f>IF(E106&gt;C106,Capacity!U77/'Capacity Summary'!E106,IF(Capacity!T77=0,""))</f>
        <v/>
      </c>
      <c r="H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29" t="str">
        <f>IF(C107="","",IF($B$3="All "&amp;Setup!$B$15,Capacity!V78,Capacity!W78))</f>
        <v/>
      </c>
      <c r="E107" s="29" t="str">
        <f t="shared" si="1"/>
        <v/>
      </c>
      <c r="F107" s="116" t="str">
        <f>IF(E107&gt;C107,Capacity!U78/'Capacity Summary'!E107,IF(Capacity!T78=0,""))</f>
        <v/>
      </c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29" t="str">
        <f>IF(C108="","",IF($B$3="All "&amp;Setup!$B$15,Capacity!V79,Capacity!W79))</f>
        <v/>
      </c>
      <c r="E108" s="29" t="str">
        <f t="shared" si="1"/>
        <v/>
      </c>
      <c r="F108" s="116" t="str">
        <f>IF(E108&gt;C108,Capacity!U79/'Capacity Summary'!E108,IF(Capacity!T79=0,""))</f>
        <v/>
      </c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29" t="str">
        <f>IF(C109="","",IF($B$3="All "&amp;Setup!$B$15,Capacity!V80,Capacity!W80))</f>
        <v/>
      </c>
      <c r="E109" s="29" t="str">
        <f t="shared" si="1"/>
        <v/>
      </c>
      <c r="F109" s="116" t="str">
        <f>IF(E109&gt;C109,Capacity!U80/'Capacity Summary'!E109,IF(Capacity!T80=0,""))</f>
        <v/>
      </c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29" t="str">
        <f>IF(C110="","",IF($B$3="All "&amp;Setup!$B$15,Capacity!V81,Capacity!W81))</f>
        <v/>
      </c>
      <c r="E110" s="29" t="str">
        <f t="shared" si="1"/>
        <v/>
      </c>
      <c r="F110" s="116" t="str">
        <f>IF(E110&gt;C110,Capacity!U81/'Capacity Summary'!E110,IF(Capacity!T81=0,""))</f>
        <v/>
      </c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29" t="str">
        <f>IF(C111="","",IF($B$3="All "&amp;Setup!$B$15,Capacity!V82,Capacity!W82))</f>
        <v/>
      </c>
      <c r="E111" s="29" t="str">
        <f t="shared" si="1"/>
        <v/>
      </c>
      <c r="F111" s="116" t="str">
        <f>IF(E111&gt;C111,Capacity!U82/'Capacity Summary'!E111,IF(Capacity!T82=0,""))</f>
        <v/>
      </c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29" t="str">
        <f>IF(C112="","",IF($B$3="All "&amp;Setup!$B$15,Capacity!V83,Capacity!W83))</f>
        <v/>
      </c>
      <c r="E112" s="29" t="str">
        <f t="shared" si="1"/>
        <v/>
      </c>
      <c r="F112" s="116" t="str">
        <f>IF(E112&gt;C112,Capacity!U83/'Capacity Summary'!E112,IF(Capacity!T83=0,""))</f>
        <v/>
      </c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29" t="str">
        <f>IF(C113="","",IF($B$3="All "&amp;Setup!$B$15,Capacity!V84,Capacity!W84))</f>
        <v/>
      </c>
      <c r="E113" s="29" t="str">
        <f t="shared" si="1"/>
        <v/>
      </c>
      <c r="F113" s="116" t="str">
        <f>IF(E113&gt;C113,Capacity!U84/'Capacity Summary'!E113,IF(Capacity!T84=0,""))</f>
        <v/>
      </c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  <c r="AH113" s="165"/>
      <c r="AI113" s="165"/>
      <c r="AJ113" s="165"/>
      <c r="AK113" s="165"/>
      <c r="AL113" s="165"/>
      <c r="AM113" s="165"/>
      <c r="AN113" s="165"/>
      <c r="AO113" s="165"/>
      <c r="AP113" s="165"/>
      <c r="AQ113" s="165"/>
      <c r="AR113" s="165"/>
      <c r="AS113" s="165"/>
      <c r="AT113" s="165"/>
      <c r="AU113" s="165"/>
      <c r="AV113" s="165"/>
      <c r="AW113" s="165"/>
      <c r="AX113" s="165"/>
      <c r="AY113" s="165"/>
      <c r="AZ113" s="165"/>
      <c r="BA113" s="165"/>
      <c r="BB113" s="165"/>
      <c r="BC113" s="165"/>
      <c r="BD113" s="165"/>
      <c r="BE113" s="165"/>
      <c r="BF113" s="165"/>
      <c r="BG113" s="165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29" t="str">
        <f>IF(C114="","",IF($B$3="All "&amp;Setup!$B$15,Capacity!V85,Capacity!W85))</f>
        <v/>
      </c>
      <c r="E114" s="29" t="str">
        <f t="shared" si="1"/>
        <v/>
      </c>
      <c r="F114" s="116" t="str">
        <f>IF(E114&gt;C114,Capacity!U85/'Capacity Summary'!E114,IF(Capacity!T85=0,""))</f>
        <v/>
      </c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  <c r="AH114" s="165"/>
      <c r="AI114" s="165"/>
      <c r="AJ114" s="165"/>
      <c r="AK114" s="165"/>
      <c r="AL114" s="165"/>
      <c r="AM114" s="165"/>
      <c r="AN114" s="165"/>
      <c r="AO114" s="165"/>
      <c r="AP114" s="165"/>
      <c r="AQ114" s="165"/>
      <c r="AR114" s="165"/>
      <c r="AS114" s="165"/>
      <c r="AT114" s="165"/>
      <c r="AU114" s="165"/>
      <c r="AV114" s="165"/>
      <c r="AW114" s="165"/>
      <c r="AX114" s="165"/>
      <c r="AY114" s="165"/>
      <c r="AZ114" s="165"/>
      <c r="BA114" s="165"/>
      <c r="BB114" s="165"/>
      <c r="BC114" s="165"/>
      <c r="BD114" s="165"/>
      <c r="BE114" s="165"/>
      <c r="BF114" s="165"/>
      <c r="BG114" s="165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29" t="str">
        <f>IF(C115="","",IF($B$3="All "&amp;Setup!$B$15,Capacity!V86,Capacity!W86))</f>
        <v/>
      </c>
      <c r="E115" s="29" t="str">
        <f t="shared" si="1"/>
        <v/>
      </c>
      <c r="F115" s="116" t="str">
        <f>IF(E115&gt;C115,Capacity!U86/'Capacity Summary'!E115,IF(Capacity!T86=0,""))</f>
        <v/>
      </c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  <c r="AH115" s="165"/>
      <c r="AI115" s="165"/>
      <c r="AJ115" s="165"/>
      <c r="AK115" s="165"/>
      <c r="AL115" s="165"/>
      <c r="AM115" s="165"/>
      <c r="AN115" s="165"/>
      <c r="AO115" s="165"/>
      <c r="AP115" s="165"/>
      <c r="AQ115" s="165"/>
      <c r="AR115" s="165"/>
      <c r="AS115" s="165"/>
      <c r="AT115" s="165"/>
      <c r="AU115" s="165"/>
      <c r="AV115" s="165"/>
      <c r="AW115" s="165"/>
      <c r="AX115" s="165"/>
      <c r="AY115" s="165"/>
      <c r="AZ115" s="165"/>
      <c r="BA115" s="165"/>
      <c r="BB115" s="165"/>
      <c r="BC115" s="165"/>
      <c r="BD115" s="165"/>
      <c r="BE115" s="165"/>
      <c r="BF115" s="165"/>
      <c r="BG115" s="165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29" t="str">
        <f>IF(C116="","",IF($B$3="All "&amp;Setup!$B$15,Capacity!V87,Capacity!W87))</f>
        <v/>
      </c>
      <c r="E116" s="29" t="str">
        <f t="shared" si="1"/>
        <v/>
      </c>
      <c r="F116" s="116" t="str">
        <f>IF(E116&gt;C116,Capacity!U87/'Capacity Summary'!E116,IF(Capacity!T87=0,""))</f>
        <v/>
      </c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  <c r="AH116" s="165"/>
      <c r="AI116" s="165"/>
      <c r="AJ116" s="165"/>
      <c r="AK116" s="165"/>
      <c r="AL116" s="165"/>
      <c r="AM116" s="165"/>
      <c r="AN116" s="165"/>
      <c r="AO116" s="165"/>
      <c r="AP116" s="165"/>
      <c r="AQ116" s="165"/>
      <c r="AR116" s="165"/>
      <c r="AS116" s="165"/>
      <c r="AT116" s="165"/>
      <c r="AU116" s="165"/>
      <c r="AV116" s="165"/>
      <c r="AW116" s="165"/>
      <c r="AX116" s="165"/>
      <c r="AY116" s="165"/>
      <c r="AZ116" s="165"/>
      <c r="BA116" s="165"/>
      <c r="BB116" s="165"/>
      <c r="BC116" s="165"/>
      <c r="BD116" s="165"/>
      <c r="BE116" s="165"/>
      <c r="BF116" s="165"/>
      <c r="BG116" s="165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29" t="str">
        <f>IF(C117="","",IF($B$3="All "&amp;Setup!$B$15,Capacity!V88,Capacity!W88))</f>
        <v/>
      </c>
      <c r="E117" s="29" t="str">
        <f t="shared" si="1"/>
        <v/>
      </c>
      <c r="F117" s="116" t="str">
        <f>IF(E117&gt;C117,Capacity!U88/'Capacity Summary'!E117,IF(Capacity!T88=0,""))</f>
        <v/>
      </c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  <c r="AH117" s="165"/>
      <c r="AI117" s="165"/>
      <c r="AJ117" s="165"/>
      <c r="AK117" s="165"/>
      <c r="AL117" s="165"/>
      <c r="AM117" s="165"/>
      <c r="AN117" s="165"/>
      <c r="AO117" s="165"/>
      <c r="AP117" s="165"/>
      <c r="AQ117" s="165"/>
      <c r="AR117" s="165"/>
      <c r="AS117" s="165"/>
      <c r="AT117" s="165"/>
      <c r="AU117" s="165"/>
      <c r="AV117" s="165"/>
      <c r="AW117" s="165"/>
      <c r="AX117" s="165"/>
      <c r="AY117" s="165"/>
      <c r="AZ117" s="165"/>
      <c r="BA117" s="165"/>
      <c r="BB117" s="165"/>
      <c r="BC117" s="165"/>
      <c r="BD117" s="165"/>
      <c r="BE117" s="165"/>
      <c r="BF117" s="165"/>
      <c r="BG117" s="165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29" t="str">
        <f>IF(C118="","",IF($B$3="All "&amp;Setup!$B$15,Capacity!V89,Capacity!W89))</f>
        <v/>
      </c>
      <c r="E118" s="29" t="str">
        <f t="shared" si="1"/>
        <v/>
      </c>
      <c r="F118" s="116" t="str">
        <f>IF(E118&gt;C118,Capacity!U89/'Capacity Summary'!E118,IF(Capacity!T89=0,""))</f>
        <v/>
      </c>
      <c r="H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  <c r="AH118" s="165"/>
      <c r="AI118" s="165"/>
      <c r="AJ118" s="165"/>
      <c r="AK118" s="165"/>
      <c r="AL118" s="165"/>
      <c r="AM118" s="165"/>
      <c r="AN118" s="165"/>
      <c r="AO118" s="165"/>
      <c r="AP118" s="165"/>
      <c r="AQ118" s="165"/>
      <c r="AR118" s="165"/>
      <c r="AS118" s="165"/>
      <c r="AT118" s="165"/>
      <c r="AU118" s="165"/>
      <c r="AV118" s="165"/>
      <c r="AW118" s="165"/>
      <c r="AX118" s="165"/>
      <c r="AY118" s="165"/>
      <c r="AZ118" s="165"/>
      <c r="BA118" s="165"/>
      <c r="BB118" s="165"/>
      <c r="BC118" s="165"/>
      <c r="BD118" s="165"/>
      <c r="BE118" s="165"/>
      <c r="BF118" s="165"/>
      <c r="BG118" s="165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29" t="str">
        <f>IF(C119="","",IF($B$3="All "&amp;Setup!$B$15,Capacity!V90,Capacity!W90))</f>
        <v/>
      </c>
      <c r="E119" s="29" t="str">
        <f t="shared" si="1"/>
        <v/>
      </c>
      <c r="F119" s="116" t="str">
        <f>IF(E119&gt;C119,Capacity!U90/'Capacity Summary'!E119,IF(Capacity!T90=0,""))</f>
        <v/>
      </c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  <c r="AH119" s="165"/>
      <c r="AI119" s="165"/>
      <c r="AJ119" s="165"/>
      <c r="AK119" s="165"/>
      <c r="AL119" s="165"/>
      <c r="AM119" s="165"/>
      <c r="AN119" s="165"/>
      <c r="AO119" s="165"/>
      <c r="AP119" s="165"/>
      <c r="AQ119" s="165"/>
      <c r="AR119" s="165"/>
      <c r="AS119" s="165"/>
      <c r="AT119" s="165"/>
      <c r="AU119" s="165"/>
      <c r="AV119" s="165"/>
      <c r="AW119" s="165"/>
      <c r="AX119" s="165"/>
      <c r="AY119" s="165"/>
      <c r="AZ119" s="165"/>
      <c r="BA119" s="165"/>
      <c r="BB119" s="165"/>
      <c r="BC119" s="165"/>
      <c r="BD119" s="165"/>
      <c r="BE119" s="165"/>
      <c r="BF119" s="165"/>
      <c r="BG119" s="165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29" t="str">
        <f>IF(C120="","",IF($B$3="All "&amp;Setup!$B$15,Capacity!V91,Capacity!W91))</f>
        <v/>
      </c>
      <c r="E120" s="29" t="str">
        <f t="shared" si="1"/>
        <v/>
      </c>
      <c r="F120" s="116" t="str">
        <f>IF(E120&gt;C120,Capacity!U91/'Capacity Summary'!E120,IF(Capacity!T91=0,""))</f>
        <v/>
      </c>
      <c r="H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  <c r="AH120" s="165"/>
      <c r="AI120" s="165"/>
      <c r="AJ120" s="165"/>
      <c r="AK120" s="165"/>
      <c r="AL120" s="165"/>
      <c r="AM120" s="165"/>
      <c r="AN120" s="165"/>
      <c r="AO120" s="165"/>
      <c r="AP120" s="165"/>
      <c r="AQ120" s="165"/>
      <c r="AR120" s="165"/>
      <c r="AS120" s="165"/>
      <c r="AT120" s="165"/>
      <c r="AU120" s="165"/>
      <c r="AV120" s="165"/>
      <c r="AW120" s="165"/>
      <c r="AX120" s="165"/>
      <c r="AY120" s="165"/>
      <c r="AZ120" s="165"/>
      <c r="BA120" s="165"/>
      <c r="BB120" s="165"/>
      <c r="BC120" s="165"/>
      <c r="BD120" s="165"/>
      <c r="BE120" s="165"/>
      <c r="BF120" s="165"/>
      <c r="BG120" s="165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29" t="str">
        <f>IF(C121="","",IF($B$3="All "&amp;Setup!$B$15,Capacity!V92,Capacity!W92))</f>
        <v/>
      </c>
      <c r="E121" s="29" t="str">
        <f t="shared" si="1"/>
        <v/>
      </c>
      <c r="F121" s="116" t="str">
        <f>IF(E121&gt;C121,Capacity!U92/'Capacity Summary'!E121,IF(Capacity!T92=0,""))</f>
        <v/>
      </c>
      <c r="H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  <c r="AH121" s="165"/>
      <c r="AI121" s="165"/>
      <c r="AJ121" s="165"/>
      <c r="AK121" s="165"/>
      <c r="AL121" s="165"/>
      <c r="AM121" s="165"/>
      <c r="AN121" s="165"/>
      <c r="AO121" s="165"/>
      <c r="AP121" s="165"/>
      <c r="AQ121" s="165"/>
      <c r="AR121" s="165"/>
      <c r="AS121" s="165"/>
      <c r="AT121" s="165"/>
      <c r="AU121" s="165"/>
      <c r="AV121" s="165"/>
      <c r="AW121" s="165"/>
      <c r="AX121" s="165"/>
      <c r="AY121" s="165"/>
      <c r="AZ121" s="165"/>
      <c r="BA121" s="165"/>
      <c r="BB121" s="165"/>
      <c r="BC121" s="165"/>
      <c r="BD121" s="165"/>
      <c r="BE121" s="165"/>
      <c r="BF121" s="165"/>
      <c r="BG121" s="165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29" t="str">
        <f>IF(C122="","",IF($B$3="All "&amp;Setup!$B$15,Capacity!V93,Capacity!W93))</f>
        <v/>
      </c>
      <c r="E122" s="29" t="str">
        <f t="shared" si="1"/>
        <v/>
      </c>
      <c r="F122" s="116" t="str">
        <f>IF(E122&gt;C122,Capacity!U93/'Capacity Summary'!E122,IF(Capacity!T93=0,""))</f>
        <v/>
      </c>
      <c r="H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65"/>
      <c r="AM122" s="165"/>
      <c r="AN122" s="165"/>
      <c r="AO122" s="165"/>
      <c r="AP122" s="165"/>
      <c r="AQ122" s="165"/>
      <c r="AR122" s="165"/>
      <c r="AS122" s="165"/>
      <c r="AT122" s="165"/>
      <c r="AU122" s="165"/>
      <c r="AV122" s="165"/>
      <c r="AW122" s="165"/>
      <c r="AX122" s="165"/>
      <c r="AY122" s="165"/>
      <c r="AZ122" s="165"/>
      <c r="BA122" s="165"/>
      <c r="BB122" s="165"/>
      <c r="BC122" s="165"/>
      <c r="BD122" s="165"/>
      <c r="BE122" s="165"/>
      <c r="BF122" s="165"/>
      <c r="BG122" s="165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29" t="str">
        <f>IF(C123="","",IF($B$3="All "&amp;Setup!$B$15,Capacity!V94,Capacity!W94))</f>
        <v/>
      </c>
      <c r="E123" s="29" t="str">
        <f t="shared" si="1"/>
        <v/>
      </c>
      <c r="F123" s="116" t="str">
        <f>IF(E123&gt;C123,Capacity!U94/'Capacity Summary'!E123,IF(Capacity!T94=0,""))</f>
        <v/>
      </c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  <c r="AJ123" s="165"/>
      <c r="AK123" s="165"/>
      <c r="AL123" s="165"/>
      <c r="AM123" s="165"/>
      <c r="AN123" s="165"/>
      <c r="AO123" s="165"/>
      <c r="AP123" s="165"/>
      <c r="AQ123" s="165"/>
      <c r="AR123" s="165"/>
      <c r="AS123" s="165"/>
      <c r="AT123" s="165"/>
      <c r="AU123" s="165"/>
      <c r="AV123" s="165"/>
      <c r="AW123" s="165"/>
      <c r="AX123" s="165"/>
      <c r="AY123" s="165"/>
      <c r="AZ123" s="165"/>
      <c r="BA123" s="165"/>
      <c r="BB123" s="165"/>
      <c r="BC123" s="165"/>
      <c r="BD123" s="165"/>
      <c r="BE123" s="165"/>
      <c r="BF123" s="165"/>
      <c r="BG123" s="165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29" t="str">
        <f>IF(C124="","",IF($B$3="All "&amp;Setup!$B$15,Capacity!V95,Capacity!W95))</f>
        <v/>
      </c>
      <c r="E124" s="29" t="str">
        <f t="shared" si="1"/>
        <v/>
      </c>
      <c r="F124" s="116" t="str">
        <f>IF(E124&gt;C124,Capacity!U95/'Capacity Summary'!E124,IF(Capacity!T95=0,""))</f>
        <v/>
      </c>
      <c r="H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65"/>
      <c r="AL124" s="165"/>
      <c r="AM124" s="165"/>
      <c r="AN124" s="165"/>
      <c r="AO124" s="165"/>
      <c r="AP124" s="165"/>
      <c r="AQ124" s="165"/>
      <c r="AR124" s="165"/>
      <c r="AS124" s="165"/>
      <c r="AT124" s="165"/>
      <c r="AU124" s="165"/>
      <c r="AV124" s="165"/>
      <c r="AW124" s="165"/>
      <c r="AX124" s="165"/>
      <c r="AY124" s="165"/>
      <c r="AZ124" s="165"/>
      <c r="BA124" s="165"/>
      <c r="BB124" s="165"/>
      <c r="BC124" s="165"/>
      <c r="BD124" s="165"/>
      <c r="BE124" s="165"/>
      <c r="BF124" s="165"/>
      <c r="BG124" s="165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29" t="str">
        <f>IF(C125="","",IF($B$3="All "&amp;Setup!$B$15,Capacity!V96,Capacity!W96))</f>
        <v/>
      </c>
      <c r="E125" s="29" t="str">
        <f t="shared" si="1"/>
        <v/>
      </c>
      <c r="F125" s="116" t="str">
        <f>IF(E125&gt;C125,Capacity!U96/'Capacity Summary'!E125,IF(Capacity!T96=0,""))</f>
        <v/>
      </c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  <c r="AH125" s="165"/>
      <c r="AI125" s="165"/>
      <c r="AJ125" s="165"/>
      <c r="AK125" s="165"/>
      <c r="AL125" s="165"/>
      <c r="AM125" s="165"/>
      <c r="AN125" s="165"/>
      <c r="AO125" s="165"/>
      <c r="AP125" s="165"/>
      <c r="AQ125" s="165"/>
      <c r="AR125" s="165"/>
      <c r="AS125" s="165"/>
      <c r="AT125" s="165"/>
      <c r="AU125" s="165"/>
      <c r="AV125" s="165"/>
      <c r="AW125" s="165"/>
      <c r="AX125" s="165"/>
      <c r="AY125" s="165"/>
      <c r="AZ125" s="165"/>
      <c r="BA125" s="165"/>
      <c r="BB125" s="165"/>
      <c r="BC125" s="165"/>
      <c r="BD125" s="165"/>
      <c r="BE125" s="165"/>
      <c r="BF125" s="165"/>
      <c r="BG125" s="165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29" t="str">
        <f>IF(C126="","",IF($B$3="All "&amp;Setup!$B$15,Capacity!V97,Capacity!W97))</f>
        <v/>
      </c>
      <c r="E126" s="29" t="str">
        <f t="shared" si="1"/>
        <v/>
      </c>
      <c r="F126" s="116" t="str">
        <f>IF(E126&gt;C126,Capacity!U97/'Capacity Summary'!E126,IF(Capacity!T97=0,""))</f>
        <v/>
      </c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  <c r="AH126" s="165"/>
      <c r="AI126" s="165"/>
      <c r="AJ126" s="165"/>
      <c r="AK126" s="165"/>
      <c r="AL126" s="165"/>
      <c r="AM126" s="165"/>
      <c r="AN126" s="165"/>
      <c r="AO126" s="165"/>
      <c r="AP126" s="165"/>
      <c r="AQ126" s="165"/>
      <c r="AR126" s="165"/>
      <c r="AS126" s="165"/>
      <c r="AT126" s="165"/>
      <c r="AU126" s="165"/>
      <c r="AV126" s="165"/>
      <c r="AW126" s="165"/>
      <c r="AX126" s="165"/>
      <c r="AY126" s="165"/>
      <c r="AZ126" s="165"/>
      <c r="BA126" s="165"/>
      <c r="BB126" s="165"/>
      <c r="BC126" s="165"/>
      <c r="BD126" s="165"/>
      <c r="BE126" s="165"/>
      <c r="BF126" s="165"/>
      <c r="BG126" s="165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29" t="str">
        <f>IF(C127="","",IF($B$3="All "&amp;Setup!$B$15,Capacity!V98,Capacity!W98))</f>
        <v/>
      </c>
      <c r="E127" s="29" t="str">
        <f t="shared" si="1"/>
        <v/>
      </c>
      <c r="F127" s="116" t="str">
        <f>IF(E127&gt;C127,Capacity!U98/'Capacity Summary'!E127,IF(Capacity!T98=0,""))</f>
        <v/>
      </c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  <c r="AH127" s="165"/>
      <c r="AI127" s="165"/>
      <c r="AJ127" s="165"/>
      <c r="AK127" s="165"/>
      <c r="AL127" s="165"/>
      <c r="AM127" s="165"/>
      <c r="AN127" s="165"/>
      <c r="AO127" s="165"/>
      <c r="AP127" s="165"/>
      <c r="AQ127" s="165"/>
      <c r="AR127" s="165"/>
      <c r="AS127" s="165"/>
      <c r="AT127" s="165"/>
      <c r="AU127" s="165"/>
      <c r="AV127" s="165"/>
      <c r="AW127" s="165"/>
      <c r="AX127" s="165"/>
      <c r="AY127" s="165"/>
      <c r="AZ127" s="165"/>
      <c r="BA127" s="165"/>
      <c r="BB127" s="165"/>
      <c r="BC127" s="165"/>
      <c r="BD127" s="165"/>
      <c r="BE127" s="165"/>
      <c r="BF127" s="165"/>
      <c r="BG127" s="165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29" t="str">
        <f>IF(C128="","",IF($B$3="All "&amp;Setup!$B$15,Capacity!V99,Capacity!W99))</f>
        <v/>
      </c>
      <c r="E128" s="29" t="str">
        <f t="shared" si="1"/>
        <v/>
      </c>
      <c r="F128" s="116" t="str">
        <f>IF(E128&gt;C128,Capacity!U99/'Capacity Summary'!E128,IF(Capacity!T99=0,""))</f>
        <v/>
      </c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  <c r="AH128" s="165"/>
      <c r="AI128" s="165"/>
      <c r="AJ128" s="165"/>
      <c r="AK128" s="165"/>
      <c r="AL128" s="165"/>
      <c r="AM128" s="165"/>
      <c r="AN128" s="165"/>
      <c r="AO128" s="165"/>
      <c r="AP128" s="165"/>
      <c r="AQ128" s="165"/>
      <c r="AR128" s="165"/>
      <c r="AS128" s="165"/>
      <c r="AT128" s="165"/>
      <c r="AU128" s="165"/>
      <c r="AV128" s="165"/>
      <c r="AW128" s="165"/>
      <c r="AX128" s="165"/>
      <c r="AY128" s="165"/>
      <c r="AZ128" s="165"/>
      <c r="BA128" s="165"/>
      <c r="BB128" s="165"/>
      <c r="BC128" s="165"/>
      <c r="BD128" s="165"/>
      <c r="BE128" s="165"/>
      <c r="BF128" s="165"/>
      <c r="BG128" s="165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29" t="str">
        <f>IF(C129="","",IF($B$3="All "&amp;Setup!$B$15,Capacity!V100,Capacity!W100))</f>
        <v/>
      </c>
      <c r="E129" s="29" t="str">
        <f t="shared" si="1"/>
        <v/>
      </c>
      <c r="F129" s="116" t="str">
        <f>IF(E129&gt;C129,Capacity!U100/'Capacity Summary'!E129,IF(Capacity!T100=0,""))</f>
        <v/>
      </c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  <c r="AH129" s="165"/>
      <c r="AI129" s="165"/>
      <c r="AJ129" s="165"/>
      <c r="AK129" s="165"/>
      <c r="AL129" s="165"/>
      <c r="AM129" s="165"/>
      <c r="AN129" s="165"/>
      <c r="AO129" s="165"/>
      <c r="AP129" s="165"/>
      <c r="AQ129" s="165"/>
      <c r="AR129" s="165"/>
      <c r="AS129" s="165"/>
      <c r="AT129" s="165"/>
      <c r="AU129" s="165"/>
      <c r="AV129" s="165"/>
      <c r="AW129" s="165"/>
      <c r="AX129" s="165"/>
      <c r="AY129" s="165"/>
      <c r="AZ129" s="165"/>
      <c r="BA129" s="165"/>
      <c r="BB129" s="165"/>
      <c r="BC129" s="165"/>
      <c r="BD129" s="165"/>
      <c r="BE129" s="165"/>
      <c r="BF129" s="165"/>
      <c r="BG129" s="165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29" t="str">
        <f>IF(C130="","",IF($B$3="All "&amp;Setup!$B$15,Capacity!V101,Capacity!W101))</f>
        <v/>
      </c>
      <c r="E130" s="29" t="str">
        <f t="shared" si="1"/>
        <v/>
      </c>
      <c r="F130" s="116" t="str">
        <f>IF(E130&gt;C130,Capacity!U101/'Capacity Summary'!E130,IF(Capacity!T101=0,""))</f>
        <v/>
      </c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65"/>
      <c r="AN130" s="165"/>
      <c r="AO130" s="165"/>
      <c r="AP130" s="165"/>
      <c r="AQ130" s="165"/>
      <c r="AR130" s="165"/>
      <c r="AS130" s="165"/>
      <c r="AT130" s="165"/>
      <c r="AU130" s="165"/>
      <c r="AV130" s="165"/>
      <c r="AW130" s="165"/>
      <c r="AX130" s="165"/>
      <c r="AY130" s="165"/>
      <c r="AZ130" s="165"/>
      <c r="BA130" s="165"/>
      <c r="BB130" s="165"/>
      <c r="BC130" s="165"/>
      <c r="BD130" s="165"/>
      <c r="BE130" s="165"/>
      <c r="BF130" s="165"/>
      <c r="BG130" s="165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29" t="str">
        <f>IF(C131="","",IF($B$3="All "&amp;Setup!$B$15,Capacity!V102,Capacity!W102))</f>
        <v/>
      </c>
      <c r="E131" s="29" t="str">
        <f t="shared" si="1"/>
        <v/>
      </c>
      <c r="F131" s="116" t="str">
        <f>IF(E131&gt;C131,Capacity!U102/'Capacity Summary'!E131,IF(Capacity!T102=0,""))</f>
        <v/>
      </c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  <c r="AH131" s="165"/>
      <c r="AI131" s="165"/>
      <c r="AJ131" s="165"/>
      <c r="AK131" s="165"/>
      <c r="AL131" s="165"/>
      <c r="AM131" s="165"/>
      <c r="AN131" s="165"/>
      <c r="AO131" s="165"/>
      <c r="AP131" s="165"/>
      <c r="AQ131" s="165"/>
      <c r="AR131" s="165"/>
      <c r="AS131" s="165"/>
      <c r="AT131" s="165"/>
      <c r="AU131" s="165"/>
      <c r="AV131" s="165"/>
      <c r="AW131" s="165"/>
      <c r="AX131" s="165"/>
      <c r="AY131" s="165"/>
      <c r="AZ131" s="165"/>
      <c r="BA131" s="165"/>
      <c r="BB131" s="165"/>
      <c r="BC131" s="165"/>
      <c r="BD131" s="165"/>
      <c r="BE131" s="165"/>
      <c r="BF131" s="165"/>
      <c r="BG131" s="165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29" t="str">
        <f>IF(C132="","",IF($B$3="All "&amp;Setup!$B$15,Capacity!V103,Capacity!W103))</f>
        <v/>
      </c>
      <c r="E132" s="29" t="str">
        <f t="shared" si="1"/>
        <v/>
      </c>
      <c r="F132" s="116" t="str">
        <f>IF(E132&gt;C132,Capacity!U103/'Capacity Summary'!E132,IF(Capacity!T103=0,""))</f>
        <v/>
      </c>
      <c r="H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  <c r="AH132" s="165"/>
      <c r="AI132" s="165"/>
      <c r="AJ132" s="165"/>
      <c r="AK132" s="165"/>
      <c r="AL132" s="165"/>
      <c r="AM132" s="165"/>
      <c r="AN132" s="165"/>
      <c r="AO132" s="165"/>
      <c r="AP132" s="165"/>
      <c r="AQ132" s="165"/>
      <c r="AR132" s="165"/>
      <c r="AS132" s="165"/>
      <c r="AT132" s="165"/>
      <c r="AU132" s="165"/>
      <c r="AV132" s="165"/>
      <c r="AW132" s="165"/>
      <c r="AX132" s="165"/>
      <c r="AY132" s="165"/>
      <c r="AZ132" s="165"/>
      <c r="BA132" s="165"/>
      <c r="BB132" s="165"/>
      <c r="BC132" s="165"/>
      <c r="BD132" s="165"/>
      <c r="BE132" s="165"/>
      <c r="BF132" s="165"/>
      <c r="BG132" s="165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29" t="str">
        <f>IF(C133="","",IF($B$3="All "&amp;Setup!$B$15,Capacity!V104,Capacity!W104))</f>
        <v/>
      </c>
      <c r="E133" s="29" t="str">
        <f t="shared" si="1"/>
        <v/>
      </c>
      <c r="F133" s="116" t="str">
        <f>IF(E133&gt;C133,Capacity!U104/'Capacity Summary'!E133,IF(Capacity!T104=0,""))</f>
        <v/>
      </c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  <c r="AH133" s="165"/>
      <c r="AI133" s="165"/>
      <c r="AJ133" s="165"/>
      <c r="AK133" s="165"/>
      <c r="AL133" s="165"/>
      <c r="AM133" s="165"/>
      <c r="AN133" s="165"/>
      <c r="AO133" s="165"/>
      <c r="AP133" s="165"/>
      <c r="AQ133" s="165"/>
      <c r="AR133" s="165"/>
      <c r="AS133" s="165"/>
      <c r="AT133" s="165"/>
      <c r="AU133" s="165"/>
      <c r="AV133" s="165"/>
      <c r="AW133" s="165"/>
      <c r="AX133" s="165"/>
      <c r="AY133" s="165"/>
      <c r="AZ133" s="165"/>
      <c r="BA133" s="165"/>
      <c r="BB133" s="165"/>
      <c r="BC133" s="165"/>
      <c r="BD133" s="165"/>
      <c r="BE133" s="165"/>
      <c r="BF133" s="165"/>
      <c r="BG133" s="165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29" t="str">
        <f>IF(C134="","",IF($B$3="All "&amp;Setup!$B$15,Capacity!V105,Capacity!W105))</f>
        <v/>
      </c>
      <c r="E134" s="29" t="str">
        <f t="shared" si="1"/>
        <v/>
      </c>
      <c r="F134" s="116" t="str">
        <f>IF(E134&gt;C134,Capacity!U105/'Capacity Summary'!E134,IF(Capacity!T105=0,""))</f>
        <v/>
      </c>
      <c r="H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  <c r="AH134" s="165"/>
      <c r="AI134" s="165"/>
      <c r="AJ134" s="165"/>
      <c r="AK134" s="165"/>
      <c r="AL134" s="165"/>
      <c r="AM134" s="165"/>
      <c r="AN134" s="165"/>
      <c r="AO134" s="165"/>
      <c r="AP134" s="165"/>
      <c r="AQ134" s="165"/>
      <c r="AR134" s="165"/>
      <c r="AS134" s="165"/>
      <c r="AT134" s="165"/>
      <c r="AU134" s="165"/>
      <c r="AV134" s="165"/>
      <c r="AW134" s="165"/>
      <c r="AX134" s="165"/>
      <c r="AY134" s="165"/>
      <c r="AZ134" s="165"/>
      <c r="BA134" s="165"/>
      <c r="BB134" s="165"/>
      <c r="BC134" s="165"/>
      <c r="BD134" s="165"/>
      <c r="BE134" s="165"/>
      <c r="BF134" s="165"/>
      <c r="BG134" s="165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29" t="str">
        <f>IF(C135="","",IF($B$3="All "&amp;Setup!$B$15,Capacity!V106,Capacity!W106))</f>
        <v/>
      </c>
      <c r="E135" s="29" t="str">
        <f t="shared" si="1"/>
        <v/>
      </c>
      <c r="F135" s="116" t="str">
        <f>IF(E135&gt;C135,Capacity!U106/'Capacity Summary'!E135,IF(Capacity!T106=0,""))</f>
        <v/>
      </c>
      <c r="H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  <c r="AH135" s="165"/>
      <c r="AI135" s="165"/>
      <c r="AJ135" s="165"/>
      <c r="AK135" s="165"/>
      <c r="AL135" s="165"/>
      <c r="AM135" s="165"/>
      <c r="AN135" s="165"/>
      <c r="AO135" s="165"/>
      <c r="AP135" s="165"/>
      <c r="AQ135" s="165"/>
      <c r="AR135" s="165"/>
      <c r="AS135" s="165"/>
      <c r="AT135" s="165"/>
      <c r="AU135" s="165"/>
      <c r="AV135" s="165"/>
      <c r="AW135" s="165"/>
      <c r="AX135" s="165"/>
      <c r="AY135" s="165"/>
      <c r="AZ135" s="165"/>
      <c r="BA135" s="165"/>
      <c r="BB135" s="165"/>
      <c r="BC135" s="165"/>
      <c r="BD135" s="165"/>
      <c r="BE135" s="165"/>
      <c r="BF135" s="165"/>
      <c r="BG135" s="165"/>
    </row>
    <row r="136" spans="1:59" x14ac:dyDescent="0.35">
      <c r="H136" s="167"/>
      <c r="I136" s="167"/>
      <c r="J136" s="167"/>
      <c r="K136" s="167"/>
      <c r="L136" s="167"/>
      <c r="M136" s="167"/>
      <c r="N136" s="167"/>
      <c r="O136" s="167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67"/>
      <c r="AI136" s="167"/>
      <c r="AJ136" s="167"/>
      <c r="AK136" s="167"/>
      <c r="AL136" s="167"/>
      <c r="AM136" s="167"/>
      <c r="AN136" s="167"/>
      <c r="AO136" s="167"/>
      <c r="AP136" s="167"/>
      <c r="AQ136" s="167"/>
      <c r="AR136" s="167"/>
      <c r="AS136" s="167"/>
      <c r="AT136" s="167"/>
      <c r="AU136" s="167"/>
      <c r="AV136" s="167"/>
      <c r="AW136" s="167"/>
      <c r="AX136" s="167"/>
      <c r="AY136" s="167"/>
      <c r="AZ136" s="167"/>
      <c r="BA136" s="167"/>
      <c r="BB136" s="167"/>
      <c r="BC136" s="167"/>
      <c r="BD136" s="167"/>
      <c r="BE136" s="167"/>
      <c r="BF136" s="167"/>
      <c r="BG136" s="167"/>
    </row>
    <row r="137" spans="1:59" ht="15" hidden="1" thickBot="1" x14ac:dyDescent="0.4">
      <c r="C137" s="133" t="s">
        <v>202</v>
      </c>
      <c r="D137" s="134"/>
      <c r="E137" s="133" t="s">
        <v>203</v>
      </c>
      <c r="F137" s="134"/>
    </row>
    <row r="138" spans="1:59" ht="58" hidden="1" thickBot="1" x14ac:dyDescent="0.4">
      <c r="A138" s="123" t="s">
        <v>210</v>
      </c>
      <c r="B138" s="57" t="s">
        <v>200</v>
      </c>
      <c r="C138" s="78" t="s">
        <v>201</v>
      </c>
      <c r="D138" s="78" t="s">
        <v>204</v>
      </c>
      <c r="E138" s="78" t="s">
        <v>201</v>
      </c>
      <c r="F138" s="78" t="s">
        <v>204</v>
      </c>
      <c r="H138" s="113" t="str" cm="1">
        <f t="array" aca="1" ref="H138" ca="1">IFERROR(INDEX('Capacity Backing (Hide)'!$A$5:$A$56,COLUMN(A104),1),"")</f>
        <v/>
      </c>
      <c r="I138" s="114" t="str" cm="1">
        <f t="array" aca="1" ref="I138" ca="1">IFERROR(INDEX('Capacity Backing (Hide)'!$A$5:$A$56,COLUMN(B104),1),"")</f>
        <v/>
      </c>
      <c r="J138" s="114" t="str" cm="1">
        <f t="array" aca="1" ref="J138" ca="1">IFERROR(INDEX('Capacity Backing (Hide)'!$A$5:$A$56,COLUMN(C104),1),"")</f>
        <v/>
      </c>
      <c r="K138" s="114" t="str" cm="1">
        <f t="array" aca="1" ref="K138" ca="1">IFERROR(INDEX('Capacity Backing (Hide)'!$A$5:$A$56,COLUMN(D104),1),"")</f>
        <v/>
      </c>
      <c r="L138" s="114" t="str" cm="1">
        <f t="array" aca="1" ref="L138" ca="1">IFERROR(INDEX('Capacity Backing (Hide)'!$A$5:$A$56,COLUMN(E104),1),"")</f>
        <v/>
      </c>
      <c r="M138" s="114" t="str" cm="1">
        <f t="array" aca="1" ref="M138" ca="1">IFERROR(INDEX('Capacity Backing (Hide)'!$A$5:$A$56,COLUMN(F104),1),"")</f>
        <v/>
      </c>
      <c r="N138" s="114" t="str" cm="1">
        <f t="array" aca="1" ref="N138" ca="1">IFERROR(INDEX('Capacity Backing (Hide)'!$A$5:$A$56,COLUMN(G104),1),"")</f>
        <v/>
      </c>
      <c r="O138" s="114" t="str" cm="1">
        <f t="array" aca="1" ref="O138" ca="1">IFERROR(INDEX('Capacity Backing (Hide)'!$A$5:$A$56,COLUMN(H104),1),"")</f>
        <v/>
      </c>
      <c r="P138" s="114" t="str" cm="1">
        <f t="array" aca="1" ref="P138" ca="1">IFERROR(INDEX('Capacity Backing (Hide)'!$A$5:$A$56,COLUMN(I104),1),"")</f>
        <v/>
      </c>
      <c r="Q138" s="114" t="str" cm="1">
        <f t="array" aca="1" ref="Q138" ca="1">IFERROR(INDEX('Capacity Backing (Hide)'!$A$5:$A$56,COLUMN(J104),1),"")</f>
        <v/>
      </c>
      <c r="R138" s="114" t="str" cm="1">
        <f t="array" aca="1" ref="R138" ca="1">IFERROR(INDEX('Capacity Backing (Hide)'!$A$5:$A$56,COLUMN(K104),1),"")</f>
        <v/>
      </c>
      <c r="S138" s="114" t="str" cm="1">
        <f t="array" aca="1" ref="S138" ca="1">IFERROR(INDEX('Capacity Backing (Hide)'!$A$5:$A$56,COLUMN(L104),1),"")</f>
        <v/>
      </c>
      <c r="T138" s="114" t="str" cm="1">
        <f t="array" aca="1" ref="T138" ca="1">IFERROR(INDEX('Capacity Backing (Hide)'!$A$5:$A$56,COLUMN(M104),1),"")</f>
        <v/>
      </c>
      <c r="U138" s="114" t="str" cm="1">
        <f t="array" aca="1" ref="U138" ca="1">IFERROR(INDEX('Capacity Backing (Hide)'!$A$5:$A$56,COLUMN(N104),1),"")</f>
        <v/>
      </c>
      <c r="V138" s="114" t="str" cm="1">
        <f t="array" aca="1" ref="V138" ca="1">IFERROR(INDEX('Capacity Backing (Hide)'!$A$5:$A$56,COLUMN(O104),1),"")</f>
        <v/>
      </c>
      <c r="W138" s="114" t="str" cm="1">
        <f t="array" aca="1" ref="W138" ca="1">IFERROR(INDEX('Capacity Backing (Hide)'!$A$5:$A$56,COLUMN(P104),1),"")</f>
        <v/>
      </c>
      <c r="X138" s="114" t="str" cm="1">
        <f t="array" aca="1" ref="X138" ca="1">IFERROR(INDEX('Capacity Backing (Hide)'!$A$5:$A$56,COLUMN(Q104),1),"")</f>
        <v/>
      </c>
      <c r="Y138" s="114" t="str" cm="1">
        <f t="array" aca="1" ref="Y138" ca="1">IFERROR(INDEX('Capacity Backing (Hide)'!$A$5:$A$56,COLUMN(R104),1),"")</f>
        <v/>
      </c>
      <c r="Z138" s="114" t="str" cm="1">
        <f t="array" aca="1" ref="Z138" ca="1">IFERROR(INDEX('Capacity Backing (Hide)'!$A$5:$A$56,COLUMN(S104),1),"")</f>
        <v/>
      </c>
      <c r="AA138" s="114" t="str" cm="1">
        <f t="array" aca="1" ref="AA138" ca="1">IFERROR(INDEX('Capacity Backing (Hide)'!$A$5:$A$56,COLUMN(T104),1),"")</f>
        <v/>
      </c>
      <c r="AB138" s="114" t="str" cm="1">
        <f t="array" aca="1" ref="AB138" ca="1">IFERROR(INDEX('Capacity Backing (Hide)'!$A$5:$A$56,COLUMN(U104),1),"")</f>
        <v/>
      </c>
      <c r="AC138" s="114" t="str" cm="1">
        <f t="array" aca="1" ref="AC138" ca="1">IFERROR(INDEX('Capacity Backing (Hide)'!$A$5:$A$56,COLUMN(V104),1),"")</f>
        <v/>
      </c>
      <c r="AD138" s="114" t="str" cm="1">
        <f t="array" aca="1" ref="AD138" ca="1">IFERROR(INDEX('Capacity Backing (Hide)'!$A$5:$A$56,COLUMN(W104),1),"")</f>
        <v/>
      </c>
      <c r="AE138" s="114" t="str" cm="1">
        <f t="array" aca="1" ref="AE138" ca="1">IFERROR(INDEX('Capacity Backing (Hide)'!$A$5:$A$56,COLUMN(X104),1),"")</f>
        <v/>
      </c>
      <c r="AF138" s="114" t="str" cm="1">
        <f t="array" aca="1" ref="AF138" ca="1">IFERROR(INDEX('Capacity Backing (Hide)'!$A$5:$A$56,COLUMN(Y104),1),"")</f>
        <v/>
      </c>
      <c r="AG138" s="114" t="str" cm="1">
        <f t="array" aca="1" ref="AG138" ca="1">IFERROR(INDEX('Capacity Backing (Hide)'!$A$5:$A$56,COLUMN(Z104),1),"")</f>
        <v/>
      </c>
      <c r="AH138" s="114" t="str" cm="1">
        <f t="array" aca="1" ref="AH138" ca="1">IFERROR(INDEX('Capacity Backing (Hide)'!$A$5:$A$56,COLUMN(AA104),1),"")</f>
        <v/>
      </c>
      <c r="AI138" s="114" t="str" cm="1">
        <f t="array" aca="1" ref="AI138" ca="1">IFERROR(INDEX('Capacity Backing (Hide)'!$A$5:$A$56,COLUMN(AB104),1),"")</f>
        <v/>
      </c>
      <c r="AJ138" s="114" t="str" cm="1">
        <f t="array" aca="1" ref="AJ138" ca="1">IFERROR(INDEX('Capacity Backing (Hide)'!$A$5:$A$56,COLUMN(AC104),1),"")</f>
        <v/>
      </c>
      <c r="AK138" s="114" t="str" cm="1">
        <f t="array" aca="1" ref="AK138" ca="1">IFERROR(INDEX('Capacity Backing (Hide)'!$A$5:$A$56,COLUMN(AD104),1),"")</f>
        <v/>
      </c>
      <c r="AL138" s="114" t="str" cm="1">
        <f t="array" aca="1" ref="AL138" ca="1">IFERROR(INDEX('Capacity Backing (Hide)'!$A$5:$A$56,COLUMN(AE104),1),"")</f>
        <v/>
      </c>
      <c r="AM138" s="114" t="str" cm="1">
        <f t="array" aca="1" ref="AM138" ca="1">IFERROR(INDEX('Capacity Backing (Hide)'!$A$5:$A$56,COLUMN(AF104),1),"")</f>
        <v/>
      </c>
      <c r="AN138" s="114" t="str" cm="1">
        <f t="array" aca="1" ref="AN138" ca="1">IFERROR(INDEX('Capacity Backing (Hide)'!$A$5:$A$56,COLUMN(AG104),1),"")</f>
        <v/>
      </c>
      <c r="AO138" s="114" t="str" cm="1">
        <f t="array" aca="1" ref="AO138" ca="1">IFERROR(INDEX('Capacity Backing (Hide)'!$A$5:$A$56,COLUMN(AH104),1),"")</f>
        <v/>
      </c>
      <c r="AP138" s="114" t="str" cm="1">
        <f t="array" aca="1" ref="AP138" ca="1">IFERROR(INDEX('Capacity Backing (Hide)'!$A$5:$A$56,COLUMN(AI104),1),"")</f>
        <v/>
      </c>
      <c r="AQ138" s="114" t="str" cm="1">
        <f t="array" aca="1" ref="AQ138" ca="1">IFERROR(INDEX('Capacity Backing (Hide)'!$A$5:$A$56,COLUMN(AJ104),1),"")</f>
        <v/>
      </c>
      <c r="AR138" s="114" t="str" cm="1">
        <f t="array" aca="1" ref="AR138" ca="1">IFERROR(INDEX('Capacity Backing (Hide)'!$A$5:$A$56,COLUMN(AK104),1),"")</f>
        <v/>
      </c>
      <c r="AS138" s="114" t="str" cm="1">
        <f t="array" aca="1" ref="AS138" ca="1">IFERROR(INDEX('Capacity Backing (Hide)'!$A$5:$A$56,COLUMN(AL104),1),"")</f>
        <v/>
      </c>
      <c r="AT138" s="114" t="str" cm="1">
        <f t="array" aca="1" ref="AT138" ca="1">IFERROR(INDEX('Capacity Backing (Hide)'!$A$5:$A$56,COLUMN(AM104),1),"")</f>
        <v/>
      </c>
      <c r="AU138" s="114" t="str" cm="1">
        <f t="array" aca="1" ref="AU138" ca="1">IFERROR(INDEX('Capacity Backing (Hide)'!$A$5:$A$56,COLUMN(AN104),1),"")</f>
        <v/>
      </c>
      <c r="AV138" s="114" t="str" cm="1">
        <f t="array" aca="1" ref="AV138" ca="1">IFERROR(INDEX('Capacity Backing (Hide)'!$A$5:$A$56,COLUMN(AO104),1),"")</f>
        <v/>
      </c>
      <c r="AW138" s="114" t="str" cm="1">
        <f t="array" aca="1" ref="AW138" ca="1">IFERROR(INDEX('Capacity Backing (Hide)'!$A$5:$A$56,COLUMN(AP104),1),"")</f>
        <v/>
      </c>
      <c r="AX138" s="114" t="str" cm="1">
        <f t="array" aca="1" ref="AX138" ca="1">IFERROR(INDEX('Capacity Backing (Hide)'!$A$5:$A$56,COLUMN(AQ104),1),"")</f>
        <v/>
      </c>
      <c r="AY138" s="114" t="str" cm="1">
        <f t="array" aca="1" ref="AY138" ca="1">IFERROR(INDEX('Capacity Backing (Hide)'!$A$5:$A$56,COLUMN(AR104),1),"")</f>
        <v/>
      </c>
      <c r="AZ138" s="114" t="str" cm="1">
        <f t="array" aca="1" ref="AZ138" ca="1">IFERROR(INDEX('Capacity Backing (Hide)'!$A$5:$A$56,COLUMN(AS104),1),"")</f>
        <v/>
      </c>
      <c r="BA138" s="114" t="str" cm="1">
        <f t="array" aca="1" ref="BA138" ca="1">IFERROR(INDEX('Capacity Backing (Hide)'!$A$5:$A$56,COLUMN(AT104),1),"")</f>
        <v/>
      </c>
      <c r="BB138" s="114" t="str" cm="1">
        <f t="array" aca="1" ref="BB138" ca="1">IFERROR(INDEX('Capacity Backing (Hide)'!$A$5:$A$56,COLUMN(AU104),1),"")</f>
        <v/>
      </c>
      <c r="BC138" s="114" t="str" cm="1">
        <f t="array" aca="1" ref="BC138" ca="1">IFERROR(INDEX('Capacity Backing (Hide)'!$A$5:$A$56,COLUMN(AV104),1),"")</f>
        <v/>
      </c>
      <c r="BD138" s="114" t="str" cm="1">
        <f t="array" aca="1" ref="BD138" ca="1">IFERROR(INDEX('Capacity Backing (Hide)'!$A$5:$A$56,COLUMN(AW104),1),"")</f>
        <v/>
      </c>
      <c r="BE138" s="114" t="str" cm="1">
        <f t="array" aca="1" ref="BE138" ca="1">IFERROR(INDEX('Capacity Backing (Hide)'!$A$5:$A$56,COLUMN(AX104),1),"")</f>
        <v/>
      </c>
      <c r="BF138" s="114" t="str" cm="1">
        <f t="array" aca="1" ref="BF138" ca="1">IFERROR(INDEX('Capacity Backing (Hide)'!$A$5:$A$56,COLUMN(AY104),1),"")</f>
        <v/>
      </c>
      <c r="BG138" s="115" t="str" cm="1">
        <f t="array" aca="1" ref="BG138" ca="1">IFERROR(INDEX('Capacity Backing (Hide)'!$A$5:$A$56,COLUMN(AZ104),1),"")</f>
        <v/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6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6" t="str">
        <f>IF(E139&gt;C139,Capacity!AR7/'Capacity Summary'!E139,IF(Capacity!AQ7=0,"",Capacity!AQ7))</f>
        <v/>
      </c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  <c r="AH139" s="165"/>
      <c r="AI139" s="165"/>
      <c r="AJ139" s="165"/>
      <c r="AK139" s="165"/>
      <c r="AL139" s="165"/>
      <c r="AM139" s="165"/>
      <c r="AN139" s="165"/>
      <c r="AO139" s="165"/>
      <c r="AP139" s="165"/>
      <c r="AQ139" s="165"/>
      <c r="AR139" s="165"/>
      <c r="AS139" s="165"/>
      <c r="AT139" s="165"/>
      <c r="AU139" s="165"/>
      <c r="AV139" s="165"/>
      <c r="AW139" s="165"/>
      <c r="AX139" s="165"/>
      <c r="AY139" s="165"/>
      <c r="AZ139" s="165"/>
      <c r="BA139" s="165"/>
      <c r="BB139" s="165"/>
      <c r="BC139" s="165"/>
      <c r="BD139" s="165"/>
      <c r="BE139" s="165"/>
      <c r="BF139" s="165"/>
      <c r="BG139" s="165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6" t="str">
        <f>IF(E140&gt;C140,Capacity!AR8/'Capacity Summary'!E140,IF(Capacity!AQ8=0,"",Capacity!AQ8))</f>
        <v/>
      </c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  <c r="AN140" s="166"/>
      <c r="AO140" s="166"/>
      <c r="AP140" s="166"/>
      <c r="AQ140" s="166"/>
      <c r="AR140" s="166"/>
      <c r="AS140" s="166"/>
      <c r="AT140" s="166"/>
      <c r="AU140" s="166"/>
      <c r="AV140" s="166"/>
      <c r="AW140" s="166"/>
      <c r="AX140" s="166"/>
      <c r="AY140" s="166"/>
      <c r="AZ140" s="166"/>
      <c r="BA140" s="166"/>
      <c r="BB140" s="166"/>
      <c r="BC140" s="166"/>
      <c r="BD140" s="166"/>
      <c r="BE140" s="166"/>
      <c r="BF140" s="166"/>
      <c r="BG140" s="166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6" t="str">
        <f>IF(E141&gt;C141,Capacity!AR9/'Capacity Summary'!E141,IF(Capacity!AQ9=0,"",Capacity!AQ9))</f>
        <v/>
      </c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  <c r="AN141" s="166"/>
      <c r="AO141" s="166"/>
      <c r="AP141" s="166"/>
      <c r="AQ141" s="166"/>
      <c r="AR141" s="166"/>
      <c r="AS141" s="166"/>
      <c r="AT141" s="166"/>
      <c r="AU141" s="166"/>
      <c r="AV141" s="166"/>
      <c r="AW141" s="166"/>
      <c r="AX141" s="166"/>
      <c r="AY141" s="166"/>
      <c r="AZ141" s="166"/>
      <c r="BA141" s="166"/>
      <c r="BB141" s="166"/>
      <c r="BC141" s="166"/>
      <c r="BD141" s="166"/>
      <c r="BE141" s="166"/>
      <c r="BF141" s="166"/>
      <c r="BG141" s="166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6" t="str">
        <f>IF(E142&gt;C142,Capacity!AR10/'Capacity Summary'!E142,IF(Capacity!AQ10=0,"",Capacity!AQ10))</f>
        <v/>
      </c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  <c r="AN142" s="166"/>
      <c r="AO142" s="166"/>
      <c r="AP142" s="166"/>
      <c r="AQ142" s="166"/>
      <c r="AR142" s="166"/>
      <c r="AS142" s="166"/>
      <c r="AT142" s="166"/>
      <c r="AU142" s="166"/>
      <c r="AV142" s="166"/>
      <c r="AW142" s="166"/>
      <c r="AX142" s="166"/>
      <c r="AY142" s="166"/>
      <c r="AZ142" s="166"/>
      <c r="BA142" s="166"/>
      <c r="BB142" s="166"/>
      <c r="BC142" s="166"/>
      <c r="BD142" s="166"/>
      <c r="BE142" s="166"/>
      <c r="BF142" s="166"/>
      <c r="BG142" s="166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6" t="str">
        <f>IF(E143&gt;C143,Capacity!AR11/'Capacity Summary'!E143,IF(Capacity!AQ11=0,"",Capacity!AQ11))</f>
        <v/>
      </c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  <c r="AN143" s="166"/>
      <c r="AO143" s="166"/>
      <c r="AP143" s="166"/>
      <c r="AQ143" s="166"/>
      <c r="AR143" s="166"/>
      <c r="AS143" s="166"/>
      <c r="AT143" s="166"/>
      <c r="AU143" s="166"/>
      <c r="AV143" s="166"/>
      <c r="AW143" s="166"/>
      <c r="AX143" s="166"/>
      <c r="AY143" s="166"/>
      <c r="AZ143" s="166"/>
      <c r="BA143" s="166"/>
      <c r="BB143" s="166"/>
      <c r="BC143" s="166"/>
      <c r="BD143" s="166"/>
      <c r="BE143" s="166"/>
      <c r="BF143" s="166"/>
      <c r="BG143" s="166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6" t="str">
        <f>IF(E144&gt;C144,Capacity!AR12/'Capacity Summary'!E144,IF(Capacity!AQ12=0,"",Capacity!AQ12))</f>
        <v/>
      </c>
      <c r="H144" s="166"/>
      <c r="I144" s="166"/>
      <c r="J144" s="166"/>
      <c r="K144" s="166"/>
      <c r="L144" s="166"/>
      <c r="M144" s="166"/>
      <c r="N144" s="166"/>
      <c r="O144" s="166"/>
      <c r="P144" s="166"/>
      <c r="Q144" s="166"/>
      <c r="R144" s="166"/>
      <c r="S144" s="166"/>
      <c r="T144" s="166"/>
      <c r="U144" s="166"/>
      <c r="V144" s="166"/>
      <c r="W144" s="166"/>
      <c r="X144" s="166"/>
      <c r="Y144" s="166"/>
      <c r="Z144" s="166"/>
      <c r="AA144" s="166"/>
      <c r="AB144" s="166"/>
      <c r="AC144" s="166"/>
      <c r="AD144" s="166"/>
      <c r="AE144" s="166"/>
      <c r="AF144" s="166"/>
      <c r="AG144" s="166"/>
      <c r="AH144" s="166"/>
      <c r="AI144" s="166"/>
      <c r="AJ144" s="166"/>
      <c r="AK144" s="166"/>
      <c r="AL144" s="166"/>
      <c r="AM144" s="166"/>
      <c r="AN144" s="166"/>
      <c r="AO144" s="166"/>
      <c r="AP144" s="166"/>
      <c r="AQ144" s="166"/>
      <c r="AR144" s="166"/>
      <c r="AS144" s="166"/>
      <c r="AT144" s="166"/>
      <c r="AU144" s="166"/>
      <c r="AV144" s="166"/>
      <c r="AW144" s="166"/>
      <c r="AX144" s="166"/>
      <c r="AY144" s="166"/>
      <c r="AZ144" s="166"/>
      <c r="BA144" s="166"/>
      <c r="BB144" s="166"/>
      <c r="BC144" s="166"/>
      <c r="BD144" s="166"/>
      <c r="BE144" s="166"/>
      <c r="BF144" s="166"/>
      <c r="BG144" s="166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6" t="str">
        <f>IF(E145&gt;C145,Capacity!AR13/'Capacity Summary'!E145,IF(Capacity!AQ13=0,"",Capacity!AQ13))</f>
        <v/>
      </c>
      <c r="H145" s="166"/>
      <c r="I145" s="166"/>
      <c r="J145" s="166"/>
      <c r="K145" s="166"/>
      <c r="L145" s="166"/>
      <c r="M145" s="166"/>
      <c r="N145" s="166"/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166"/>
      <c r="AS145" s="166"/>
      <c r="AT145" s="166"/>
      <c r="AU145" s="166"/>
      <c r="AV145" s="166"/>
      <c r="AW145" s="166"/>
      <c r="AX145" s="166"/>
      <c r="AY145" s="166"/>
      <c r="AZ145" s="166"/>
      <c r="BA145" s="166"/>
      <c r="BB145" s="166"/>
      <c r="BC145" s="166"/>
      <c r="BD145" s="166"/>
      <c r="BE145" s="166"/>
      <c r="BF145" s="166"/>
      <c r="BG145" s="166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6" t="str">
        <f>IF(E146&gt;C146,Capacity!AR14/'Capacity Summary'!E146,IF(Capacity!AQ14=0,"",Capacity!AQ14))</f>
        <v/>
      </c>
      <c r="H146" s="166"/>
      <c r="I146" s="166"/>
      <c r="J146" s="166"/>
      <c r="K146" s="166"/>
      <c r="L146" s="166"/>
      <c r="M146" s="166"/>
      <c r="N146" s="166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6"/>
      <c r="AB146" s="166"/>
      <c r="AC146" s="166"/>
      <c r="AD146" s="166"/>
      <c r="AE146" s="166"/>
      <c r="AF146" s="166"/>
      <c r="AG146" s="166"/>
      <c r="AH146" s="166"/>
      <c r="AI146" s="166"/>
      <c r="AJ146" s="166"/>
      <c r="AK146" s="166"/>
      <c r="AL146" s="166"/>
      <c r="AM146" s="166"/>
      <c r="AN146" s="166"/>
      <c r="AO146" s="166"/>
      <c r="AP146" s="166"/>
      <c r="AQ146" s="166"/>
      <c r="AR146" s="166"/>
      <c r="AS146" s="166"/>
      <c r="AT146" s="166"/>
      <c r="AU146" s="166"/>
      <c r="AV146" s="166"/>
      <c r="AW146" s="166"/>
      <c r="AX146" s="166"/>
      <c r="AY146" s="166"/>
      <c r="AZ146" s="166"/>
      <c r="BA146" s="166"/>
      <c r="BB146" s="166"/>
      <c r="BC146" s="166"/>
      <c r="BD146" s="166"/>
      <c r="BE146" s="166"/>
      <c r="BF146" s="166"/>
      <c r="BG146" s="166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6" t="str">
        <f>IF(E147&gt;C147,Capacity!AR15/'Capacity Summary'!E147,IF(Capacity!AQ15=0,"",Capacity!AQ15))</f>
        <v/>
      </c>
      <c r="H147" s="166"/>
      <c r="I147" s="166"/>
      <c r="J147" s="166"/>
      <c r="K147" s="166"/>
      <c r="L147" s="166"/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66"/>
      <c r="Z147" s="166"/>
      <c r="AA147" s="166"/>
      <c r="AB147" s="166"/>
      <c r="AC147" s="166"/>
      <c r="AD147" s="166"/>
      <c r="AE147" s="166"/>
      <c r="AF147" s="166"/>
      <c r="AG147" s="166"/>
      <c r="AH147" s="166"/>
      <c r="AI147" s="166"/>
      <c r="AJ147" s="166"/>
      <c r="AK147" s="166"/>
      <c r="AL147" s="166"/>
      <c r="AM147" s="166"/>
      <c r="AN147" s="166"/>
      <c r="AO147" s="166"/>
      <c r="AP147" s="166"/>
      <c r="AQ147" s="166"/>
      <c r="AR147" s="166"/>
      <c r="AS147" s="166"/>
      <c r="AT147" s="166"/>
      <c r="AU147" s="166"/>
      <c r="AV147" s="166"/>
      <c r="AW147" s="166"/>
      <c r="AX147" s="166"/>
      <c r="AY147" s="166"/>
      <c r="AZ147" s="166"/>
      <c r="BA147" s="166"/>
      <c r="BB147" s="166"/>
      <c r="BC147" s="166"/>
      <c r="BD147" s="166"/>
      <c r="BE147" s="166"/>
      <c r="BF147" s="166"/>
      <c r="BG147" s="166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6" t="str">
        <f>IF(E148&gt;C148,Capacity!AR16/'Capacity Summary'!E148,IF(Capacity!AQ16=0,"",Capacity!AQ16))</f>
        <v/>
      </c>
      <c r="H148" s="166"/>
      <c r="I148" s="166"/>
      <c r="J148" s="166"/>
      <c r="K148" s="166"/>
      <c r="L148" s="166"/>
      <c r="M148" s="166"/>
      <c r="N148" s="166"/>
      <c r="O148" s="166"/>
      <c r="P148" s="166"/>
      <c r="Q148" s="166"/>
      <c r="R148" s="166"/>
      <c r="S148" s="166"/>
      <c r="T148" s="166"/>
      <c r="U148" s="166"/>
      <c r="V148" s="166"/>
      <c r="W148" s="166"/>
      <c r="X148" s="166"/>
      <c r="Y148" s="166"/>
      <c r="Z148" s="166"/>
      <c r="AA148" s="166"/>
      <c r="AB148" s="166"/>
      <c r="AC148" s="166"/>
      <c r="AD148" s="166"/>
      <c r="AE148" s="166"/>
      <c r="AF148" s="166"/>
      <c r="AG148" s="166"/>
      <c r="AH148" s="166"/>
      <c r="AI148" s="166"/>
      <c r="AJ148" s="166"/>
      <c r="AK148" s="166"/>
      <c r="AL148" s="166"/>
      <c r="AM148" s="166"/>
      <c r="AN148" s="166"/>
      <c r="AO148" s="166"/>
      <c r="AP148" s="166"/>
      <c r="AQ148" s="166"/>
      <c r="AR148" s="166"/>
      <c r="AS148" s="166"/>
      <c r="AT148" s="166"/>
      <c r="AU148" s="166"/>
      <c r="AV148" s="166"/>
      <c r="AW148" s="166"/>
      <c r="AX148" s="166"/>
      <c r="AY148" s="166"/>
      <c r="AZ148" s="166"/>
      <c r="BA148" s="166"/>
      <c r="BB148" s="166"/>
      <c r="BC148" s="166"/>
      <c r="BD148" s="166"/>
      <c r="BE148" s="166"/>
      <c r="BF148" s="166"/>
      <c r="BG148" s="166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6" t="str">
        <f>IF(E149&gt;C149,Capacity!AR17/'Capacity Summary'!E149,IF(Capacity!AQ17=0,"",Capacity!AQ17))</f>
        <v/>
      </c>
      <c r="H149" s="166"/>
      <c r="I149" s="166"/>
      <c r="J149" s="166"/>
      <c r="K149" s="166"/>
      <c r="L149" s="166"/>
      <c r="M149" s="166"/>
      <c r="N149" s="166"/>
      <c r="O149" s="166"/>
      <c r="P149" s="166"/>
      <c r="Q149" s="166"/>
      <c r="R149" s="166"/>
      <c r="S149" s="166"/>
      <c r="T149" s="166"/>
      <c r="U149" s="166"/>
      <c r="V149" s="166"/>
      <c r="W149" s="166"/>
      <c r="X149" s="166"/>
      <c r="Y149" s="166"/>
      <c r="Z149" s="166"/>
      <c r="AA149" s="166"/>
      <c r="AB149" s="166"/>
      <c r="AC149" s="166"/>
      <c r="AD149" s="166"/>
      <c r="AE149" s="166"/>
      <c r="AF149" s="166"/>
      <c r="AG149" s="166"/>
      <c r="AH149" s="166"/>
      <c r="AI149" s="166"/>
      <c r="AJ149" s="166"/>
      <c r="AK149" s="166"/>
      <c r="AL149" s="166"/>
      <c r="AM149" s="166"/>
      <c r="AN149" s="166"/>
      <c r="AO149" s="166"/>
      <c r="AP149" s="166"/>
      <c r="AQ149" s="166"/>
      <c r="AR149" s="166"/>
      <c r="AS149" s="166"/>
      <c r="AT149" s="166"/>
      <c r="AU149" s="166"/>
      <c r="AV149" s="166"/>
      <c r="AW149" s="166"/>
      <c r="AX149" s="166"/>
      <c r="AY149" s="166"/>
      <c r="AZ149" s="166"/>
      <c r="BA149" s="166"/>
      <c r="BB149" s="166"/>
      <c r="BC149" s="166"/>
      <c r="BD149" s="166"/>
      <c r="BE149" s="166"/>
      <c r="BF149" s="166"/>
      <c r="BG149" s="166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6" t="str">
        <f>IF(E150&gt;C150,Capacity!AR18/'Capacity Summary'!E150,IF(Capacity!AQ18=0,"",Capacity!AQ18))</f>
        <v/>
      </c>
      <c r="H150" s="166"/>
      <c r="I150" s="166"/>
      <c r="J150" s="166"/>
      <c r="K150" s="166"/>
      <c r="L150" s="166"/>
      <c r="M150" s="166"/>
      <c r="N150" s="166"/>
      <c r="O150" s="166"/>
      <c r="P150" s="166"/>
      <c r="Q150" s="166"/>
      <c r="R150" s="166"/>
      <c r="S150" s="166"/>
      <c r="T150" s="166"/>
      <c r="U150" s="166"/>
      <c r="V150" s="166"/>
      <c r="W150" s="166"/>
      <c r="X150" s="166"/>
      <c r="Y150" s="166"/>
      <c r="Z150" s="166"/>
      <c r="AA150" s="166"/>
      <c r="AB150" s="166"/>
      <c r="AC150" s="166"/>
      <c r="AD150" s="166"/>
      <c r="AE150" s="166"/>
      <c r="AF150" s="166"/>
      <c r="AG150" s="166"/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6"/>
      <c r="BC150" s="166"/>
      <c r="BD150" s="166"/>
      <c r="BE150" s="166"/>
      <c r="BF150" s="166"/>
      <c r="BG150" s="166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6" t="str">
        <f>IF(E151&gt;C151,Capacity!AR19/'Capacity Summary'!E151,IF(Capacity!AQ19=0,"",Capacity!AQ19))</f>
        <v/>
      </c>
      <c r="H151" s="166"/>
      <c r="I151" s="166"/>
      <c r="J151" s="166"/>
      <c r="K151" s="166"/>
      <c r="L151" s="166"/>
      <c r="M151" s="166"/>
      <c r="N151" s="166"/>
      <c r="O151" s="166"/>
      <c r="P151" s="166"/>
      <c r="Q151" s="166"/>
      <c r="R151" s="166"/>
      <c r="S151" s="166"/>
      <c r="T151" s="166"/>
      <c r="U151" s="166"/>
      <c r="V151" s="166"/>
      <c r="W151" s="166"/>
      <c r="X151" s="166"/>
      <c r="Y151" s="166"/>
      <c r="Z151" s="166"/>
      <c r="AA151" s="166"/>
      <c r="AB151" s="166"/>
      <c r="AC151" s="166"/>
      <c r="AD151" s="166"/>
      <c r="AE151" s="166"/>
      <c r="AF151" s="166"/>
      <c r="AG151" s="166"/>
      <c r="AH151" s="166"/>
      <c r="AI151" s="166"/>
      <c r="AJ151" s="166"/>
      <c r="AK151" s="166"/>
      <c r="AL151" s="166"/>
      <c r="AM151" s="166"/>
      <c r="AN151" s="166"/>
      <c r="AO151" s="166"/>
      <c r="AP151" s="166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66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6" t="str">
        <f>IF(E152&gt;C152,Capacity!AR20/'Capacity Summary'!E152,IF(Capacity!AQ20=0,"",Capacity!AQ20))</f>
        <v/>
      </c>
      <c r="H152" s="166"/>
      <c r="I152" s="166"/>
      <c r="J152" s="166"/>
      <c r="K152" s="166"/>
      <c r="L152" s="166"/>
      <c r="M152" s="166"/>
      <c r="N152" s="166"/>
      <c r="O152" s="166"/>
      <c r="P152" s="166"/>
      <c r="Q152" s="166"/>
      <c r="R152" s="166"/>
      <c r="S152" s="166"/>
      <c r="T152" s="166"/>
      <c r="U152" s="166"/>
      <c r="V152" s="166"/>
      <c r="W152" s="166"/>
      <c r="X152" s="166"/>
      <c r="Y152" s="166"/>
      <c r="Z152" s="166"/>
      <c r="AA152" s="166"/>
      <c r="AB152" s="166"/>
      <c r="AC152" s="166"/>
      <c r="AD152" s="166"/>
      <c r="AE152" s="166"/>
      <c r="AF152" s="166"/>
      <c r="AG152" s="166"/>
      <c r="AH152" s="166"/>
      <c r="AI152" s="166"/>
      <c r="AJ152" s="166"/>
      <c r="AK152" s="166"/>
      <c r="AL152" s="166"/>
      <c r="AM152" s="166"/>
      <c r="AN152" s="166"/>
      <c r="AO152" s="166"/>
      <c r="AP152" s="166"/>
      <c r="AQ152" s="166"/>
      <c r="AR152" s="166"/>
      <c r="AS152" s="166"/>
      <c r="AT152" s="166"/>
      <c r="AU152" s="166"/>
      <c r="AV152" s="166"/>
      <c r="AW152" s="166"/>
      <c r="AX152" s="166"/>
      <c r="AY152" s="166"/>
      <c r="AZ152" s="166"/>
      <c r="BA152" s="166"/>
      <c r="BB152" s="166"/>
      <c r="BC152" s="166"/>
      <c r="BD152" s="166"/>
      <c r="BE152" s="166"/>
      <c r="BF152" s="166"/>
      <c r="BG152" s="166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6" t="str">
        <f>IF(E153&gt;C153,Capacity!AR21/'Capacity Summary'!E153,IF(Capacity!AQ21=0,"",Capacity!AQ21))</f>
        <v/>
      </c>
      <c r="H153" s="166"/>
      <c r="I153" s="166"/>
      <c r="J153" s="166"/>
      <c r="K153" s="166"/>
      <c r="L153" s="166"/>
      <c r="M153" s="166"/>
      <c r="N153" s="166"/>
      <c r="O153" s="166"/>
      <c r="P153" s="166"/>
      <c r="Q153" s="166"/>
      <c r="R153" s="166"/>
      <c r="S153" s="166"/>
      <c r="T153" s="166"/>
      <c r="U153" s="166"/>
      <c r="V153" s="166"/>
      <c r="W153" s="166"/>
      <c r="X153" s="166"/>
      <c r="Y153" s="166"/>
      <c r="Z153" s="166"/>
      <c r="AA153" s="166"/>
      <c r="AB153" s="166"/>
      <c r="AC153" s="166"/>
      <c r="AD153" s="166"/>
      <c r="AE153" s="166"/>
      <c r="AF153" s="166"/>
      <c r="AG153" s="166"/>
      <c r="AH153" s="166"/>
      <c r="AI153" s="166"/>
      <c r="AJ153" s="166"/>
      <c r="AK153" s="166"/>
      <c r="AL153" s="166"/>
      <c r="AM153" s="166"/>
      <c r="AN153" s="166"/>
      <c r="AO153" s="166"/>
      <c r="AP153" s="166"/>
      <c r="AQ153" s="166"/>
      <c r="AR153" s="166"/>
      <c r="AS153" s="166"/>
      <c r="AT153" s="166"/>
      <c r="AU153" s="166"/>
      <c r="AV153" s="166"/>
      <c r="AW153" s="166"/>
      <c r="AX153" s="166"/>
      <c r="AY153" s="166"/>
      <c r="AZ153" s="166"/>
      <c r="BA153" s="166"/>
      <c r="BB153" s="166"/>
      <c r="BC153" s="166"/>
      <c r="BD153" s="166"/>
      <c r="BE153" s="166"/>
      <c r="BF153" s="166"/>
      <c r="BG153" s="166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6" t="str">
        <f>IF(E154&gt;C154,Capacity!AR22/'Capacity Summary'!E154,IF(Capacity!AQ22=0,"",Capacity!AQ22))</f>
        <v/>
      </c>
      <c r="H154" s="166"/>
      <c r="I154" s="166"/>
      <c r="J154" s="166"/>
      <c r="K154" s="166"/>
      <c r="L154" s="166"/>
      <c r="M154" s="166"/>
      <c r="N154" s="166"/>
      <c r="O154" s="166"/>
      <c r="P154" s="166"/>
      <c r="Q154" s="166"/>
      <c r="R154" s="166"/>
      <c r="S154" s="166"/>
      <c r="T154" s="166"/>
      <c r="U154" s="166"/>
      <c r="V154" s="166"/>
      <c r="W154" s="166"/>
      <c r="X154" s="166"/>
      <c r="Y154" s="166"/>
      <c r="Z154" s="166"/>
      <c r="AA154" s="166"/>
      <c r="AB154" s="166"/>
      <c r="AC154" s="166"/>
      <c r="AD154" s="166"/>
      <c r="AE154" s="166"/>
      <c r="AF154" s="166"/>
      <c r="AG154" s="166"/>
      <c r="AH154" s="166"/>
      <c r="AI154" s="166"/>
      <c r="AJ154" s="166"/>
      <c r="AK154" s="166"/>
      <c r="AL154" s="166"/>
      <c r="AM154" s="166"/>
      <c r="AN154" s="166"/>
      <c r="AO154" s="166"/>
      <c r="AP154" s="166"/>
      <c r="AQ154" s="166"/>
      <c r="AR154" s="166"/>
      <c r="AS154" s="166"/>
      <c r="AT154" s="166"/>
      <c r="AU154" s="166"/>
      <c r="AV154" s="166"/>
      <c r="AW154" s="166"/>
      <c r="AX154" s="166"/>
      <c r="AY154" s="166"/>
      <c r="AZ154" s="166"/>
      <c r="BA154" s="166"/>
      <c r="BB154" s="166"/>
      <c r="BC154" s="166"/>
      <c r="BD154" s="166"/>
      <c r="BE154" s="166"/>
      <c r="BF154" s="166"/>
      <c r="BG154" s="166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6" t="str">
        <f>IF(E155&gt;C155,Capacity!AR23/'Capacity Summary'!E155,IF(Capacity!AQ23=0,"",Capacity!AQ23))</f>
        <v/>
      </c>
      <c r="H155" s="166"/>
      <c r="I155" s="166"/>
      <c r="J155" s="166"/>
      <c r="K155" s="166"/>
      <c r="L155" s="166"/>
      <c r="M155" s="166"/>
      <c r="N155" s="166"/>
      <c r="O155" s="166"/>
      <c r="P155" s="166"/>
      <c r="Q155" s="166"/>
      <c r="R155" s="166"/>
      <c r="S155" s="166"/>
      <c r="T155" s="166"/>
      <c r="U155" s="166"/>
      <c r="V155" s="166"/>
      <c r="W155" s="166"/>
      <c r="X155" s="166"/>
      <c r="Y155" s="166"/>
      <c r="Z155" s="166"/>
      <c r="AA155" s="166"/>
      <c r="AB155" s="166"/>
      <c r="AC155" s="166"/>
      <c r="AD155" s="166"/>
      <c r="AE155" s="166"/>
      <c r="AF155" s="166"/>
      <c r="AG155" s="166"/>
      <c r="AH155" s="166"/>
      <c r="AI155" s="166"/>
      <c r="AJ155" s="166"/>
      <c r="AK155" s="166"/>
      <c r="AL155" s="166"/>
      <c r="AM155" s="166"/>
      <c r="AN155" s="166"/>
      <c r="AO155" s="166"/>
      <c r="AP155" s="166"/>
      <c r="AQ155" s="166"/>
      <c r="AR155" s="166"/>
      <c r="AS155" s="166"/>
      <c r="AT155" s="166"/>
      <c r="AU155" s="166"/>
      <c r="AV155" s="166"/>
      <c r="AW155" s="166"/>
      <c r="AX155" s="166"/>
      <c r="AY155" s="166"/>
      <c r="AZ155" s="166"/>
      <c r="BA155" s="166"/>
      <c r="BB155" s="166"/>
      <c r="BC155" s="166"/>
      <c r="BD155" s="166"/>
      <c r="BE155" s="166"/>
      <c r="BF155" s="166"/>
      <c r="BG155" s="166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6" t="str">
        <f>IF(E156&gt;C156,Capacity!AR24/'Capacity Summary'!E156,IF(Capacity!AQ24=0,"",Capacity!AQ24))</f>
        <v/>
      </c>
      <c r="H156" s="166"/>
      <c r="I156" s="166"/>
      <c r="J156" s="166"/>
      <c r="K156" s="166"/>
      <c r="L156" s="166"/>
      <c r="M156" s="166"/>
      <c r="N156" s="166"/>
      <c r="O156" s="166"/>
      <c r="P156" s="166"/>
      <c r="Q156" s="166"/>
      <c r="R156" s="166"/>
      <c r="S156" s="166"/>
      <c r="T156" s="166"/>
      <c r="U156" s="166"/>
      <c r="V156" s="166"/>
      <c r="W156" s="166"/>
      <c r="X156" s="166"/>
      <c r="Y156" s="166"/>
      <c r="Z156" s="166"/>
      <c r="AA156" s="166"/>
      <c r="AB156" s="166"/>
      <c r="AC156" s="166"/>
      <c r="AD156" s="166"/>
      <c r="AE156" s="166"/>
      <c r="AF156" s="166"/>
      <c r="AG156" s="166"/>
      <c r="AH156" s="166"/>
      <c r="AI156" s="166"/>
      <c r="AJ156" s="166"/>
      <c r="AK156" s="166"/>
      <c r="AL156" s="166"/>
      <c r="AM156" s="166"/>
      <c r="AN156" s="166"/>
      <c r="AO156" s="166"/>
      <c r="AP156" s="166"/>
      <c r="AQ156" s="166"/>
      <c r="AR156" s="166"/>
      <c r="AS156" s="166"/>
      <c r="AT156" s="166"/>
      <c r="AU156" s="166"/>
      <c r="AV156" s="166"/>
      <c r="AW156" s="166"/>
      <c r="AX156" s="166"/>
      <c r="AY156" s="166"/>
      <c r="AZ156" s="166"/>
      <c r="BA156" s="166"/>
      <c r="BB156" s="166"/>
      <c r="BC156" s="166"/>
      <c r="BD156" s="166"/>
      <c r="BE156" s="166"/>
      <c r="BF156" s="166"/>
      <c r="BG156" s="166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6" t="str">
        <f>IF(E157&gt;C157,Capacity!AR25/'Capacity Summary'!E157,IF(Capacity!AQ25=0,"",Capacity!AQ25))</f>
        <v/>
      </c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66"/>
      <c r="T157" s="166"/>
      <c r="U157" s="166"/>
      <c r="V157" s="166"/>
      <c r="W157" s="166"/>
      <c r="X157" s="166"/>
      <c r="Y157" s="166"/>
      <c r="Z157" s="166"/>
      <c r="AA157" s="166"/>
      <c r="AB157" s="166"/>
      <c r="AC157" s="166"/>
      <c r="AD157" s="166"/>
      <c r="AE157" s="166"/>
      <c r="AF157" s="166"/>
      <c r="AG157" s="166"/>
      <c r="AH157" s="166"/>
      <c r="AI157" s="166"/>
      <c r="AJ157" s="166"/>
      <c r="AK157" s="166"/>
      <c r="AL157" s="166"/>
      <c r="AM157" s="166"/>
      <c r="AN157" s="166"/>
      <c r="AO157" s="166"/>
      <c r="AP157" s="166"/>
      <c r="AQ157" s="166"/>
      <c r="AR157" s="166"/>
      <c r="AS157" s="166"/>
      <c r="AT157" s="166"/>
      <c r="AU157" s="166"/>
      <c r="AV157" s="166"/>
      <c r="AW157" s="166"/>
      <c r="AX157" s="166"/>
      <c r="AY157" s="166"/>
      <c r="AZ157" s="166"/>
      <c r="BA157" s="166"/>
      <c r="BB157" s="166"/>
      <c r="BC157" s="166"/>
      <c r="BD157" s="166"/>
      <c r="BE157" s="166"/>
      <c r="BF157" s="166"/>
      <c r="BG157" s="166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6" t="str">
        <f>IF(E158&gt;C158,Capacity!AR26/'Capacity Summary'!E158,IF(Capacity!AQ26=0,"",Capacity!AQ26))</f>
        <v/>
      </c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66"/>
      <c r="T158" s="166"/>
      <c r="U158" s="166"/>
      <c r="V158" s="166"/>
      <c r="W158" s="166"/>
      <c r="X158" s="166"/>
      <c r="Y158" s="166"/>
      <c r="Z158" s="166"/>
      <c r="AA158" s="166"/>
      <c r="AB158" s="166"/>
      <c r="AC158" s="166"/>
      <c r="AD158" s="166"/>
      <c r="AE158" s="166"/>
      <c r="AF158" s="166"/>
      <c r="AG158" s="166"/>
      <c r="AH158" s="166"/>
      <c r="AI158" s="166"/>
      <c r="AJ158" s="166"/>
      <c r="AK158" s="166"/>
      <c r="AL158" s="166"/>
      <c r="AM158" s="166"/>
      <c r="AN158" s="166"/>
      <c r="AO158" s="166"/>
      <c r="AP158" s="166"/>
      <c r="AQ158" s="166"/>
      <c r="AR158" s="166"/>
      <c r="AS158" s="166"/>
      <c r="AT158" s="166"/>
      <c r="AU158" s="166"/>
      <c r="AV158" s="166"/>
      <c r="AW158" s="166"/>
      <c r="AX158" s="166"/>
      <c r="AY158" s="166"/>
      <c r="AZ158" s="166"/>
      <c r="BA158" s="166"/>
      <c r="BB158" s="166"/>
      <c r="BC158" s="166"/>
      <c r="BD158" s="166"/>
      <c r="BE158" s="166"/>
      <c r="BF158" s="166"/>
      <c r="BG158" s="166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6" t="str">
        <f>IF(E159&gt;C159,Capacity!AR27/'Capacity Summary'!E159,IF(Capacity!AQ27=0,"",Capacity!AQ27))</f>
        <v/>
      </c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66"/>
      <c r="T159" s="166"/>
      <c r="U159" s="166"/>
      <c r="V159" s="166"/>
      <c r="W159" s="166"/>
      <c r="X159" s="166"/>
      <c r="Y159" s="166"/>
      <c r="Z159" s="166"/>
      <c r="AA159" s="166"/>
      <c r="AB159" s="166"/>
      <c r="AC159" s="166"/>
      <c r="AD159" s="166"/>
      <c r="AE159" s="166"/>
      <c r="AF159" s="166"/>
      <c r="AG159" s="166"/>
      <c r="AH159" s="166"/>
      <c r="AI159" s="166"/>
      <c r="AJ159" s="166"/>
      <c r="AK159" s="166"/>
      <c r="AL159" s="166"/>
      <c r="AM159" s="166"/>
      <c r="AN159" s="166"/>
      <c r="AO159" s="166"/>
      <c r="AP159" s="166"/>
      <c r="AQ159" s="166"/>
      <c r="AR159" s="166"/>
      <c r="AS159" s="166"/>
      <c r="AT159" s="166"/>
      <c r="AU159" s="166"/>
      <c r="AV159" s="166"/>
      <c r="AW159" s="166"/>
      <c r="AX159" s="166"/>
      <c r="AY159" s="166"/>
      <c r="AZ159" s="166"/>
      <c r="BA159" s="166"/>
      <c r="BB159" s="166"/>
      <c r="BC159" s="166"/>
      <c r="BD159" s="166"/>
      <c r="BE159" s="166"/>
      <c r="BF159" s="166"/>
      <c r="BG159" s="166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6" t="str">
        <f>IF(E160&gt;C160,Capacity!AR28/'Capacity Summary'!E160,IF(Capacity!AQ28=0,"",Capacity!AQ28))</f>
        <v/>
      </c>
      <c r="H160" s="166"/>
      <c r="I160" s="166"/>
      <c r="J160" s="166"/>
      <c r="K160" s="166"/>
      <c r="L160" s="166"/>
      <c r="M160" s="166"/>
      <c r="N160" s="166"/>
      <c r="O160" s="166"/>
      <c r="P160" s="166"/>
      <c r="Q160" s="166"/>
      <c r="R160" s="166"/>
      <c r="S160" s="166"/>
      <c r="T160" s="166"/>
      <c r="U160" s="166"/>
      <c r="V160" s="166"/>
      <c r="W160" s="166"/>
      <c r="X160" s="166"/>
      <c r="Y160" s="166"/>
      <c r="Z160" s="166"/>
      <c r="AA160" s="166"/>
      <c r="AB160" s="166"/>
      <c r="AC160" s="166"/>
      <c r="AD160" s="166"/>
      <c r="AE160" s="166"/>
      <c r="AF160" s="166"/>
      <c r="AG160" s="166"/>
      <c r="AH160" s="166"/>
      <c r="AI160" s="166"/>
      <c r="AJ160" s="166"/>
      <c r="AK160" s="166"/>
      <c r="AL160" s="166"/>
      <c r="AM160" s="166"/>
      <c r="AN160" s="166"/>
      <c r="AO160" s="166"/>
      <c r="AP160" s="166"/>
      <c r="AQ160" s="166"/>
      <c r="AR160" s="166"/>
      <c r="AS160" s="166"/>
      <c r="AT160" s="166"/>
      <c r="AU160" s="166"/>
      <c r="AV160" s="166"/>
      <c r="AW160" s="166"/>
      <c r="AX160" s="166"/>
      <c r="AY160" s="166"/>
      <c r="AZ160" s="166"/>
      <c r="BA160" s="166"/>
      <c r="BB160" s="166"/>
      <c r="BC160" s="166"/>
      <c r="BD160" s="166"/>
      <c r="BE160" s="166"/>
      <c r="BF160" s="166"/>
      <c r="BG160" s="166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6" t="str">
        <f>IF(E161&gt;C161,Capacity!AR29/'Capacity Summary'!E161,IF(Capacity!AQ29=0,"",Capacity!AQ29))</f>
        <v/>
      </c>
      <c r="H161" s="166"/>
      <c r="I161" s="166"/>
      <c r="J161" s="166"/>
      <c r="K161" s="166"/>
      <c r="L161" s="166"/>
      <c r="M161" s="166"/>
      <c r="N161" s="166"/>
      <c r="O161" s="166"/>
      <c r="P161" s="166"/>
      <c r="Q161" s="166"/>
      <c r="R161" s="166"/>
      <c r="S161" s="166"/>
      <c r="T161" s="166"/>
      <c r="U161" s="166"/>
      <c r="V161" s="166"/>
      <c r="W161" s="166"/>
      <c r="X161" s="166"/>
      <c r="Y161" s="166"/>
      <c r="Z161" s="166"/>
      <c r="AA161" s="166"/>
      <c r="AB161" s="166"/>
      <c r="AC161" s="166"/>
      <c r="AD161" s="166"/>
      <c r="AE161" s="166"/>
      <c r="AF161" s="166"/>
      <c r="AG161" s="166"/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6"/>
      <c r="BC161" s="166"/>
      <c r="BD161" s="166"/>
      <c r="BE161" s="166"/>
      <c r="BF161" s="166"/>
      <c r="BG161" s="166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6" t="str">
        <f>IF(E162&gt;C162,Capacity!AR30/'Capacity Summary'!E162,IF(Capacity!AQ30=0,"",Capacity!AQ30))</f>
        <v/>
      </c>
      <c r="H162" s="166"/>
      <c r="I162" s="166"/>
      <c r="J162" s="166"/>
      <c r="K162" s="166"/>
      <c r="L162" s="166"/>
      <c r="M162" s="166"/>
      <c r="N162" s="166"/>
      <c r="O162" s="166"/>
      <c r="P162" s="166"/>
      <c r="Q162" s="166"/>
      <c r="R162" s="166"/>
      <c r="S162" s="166"/>
      <c r="T162" s="166"/>
      <c r="U162" s="166"/>
      <c r="V162" s="166"/>
      <c r="W162" s="166"/>
      <c r="X162" s="166"/>
      <c r="Y162" s="166"/>
      <c r="Z162" s="166"/>
      <c r="AA162" s="166"/>
      <c r="AB162" s="166"/>
      <c r="AC162" s="166"/>
      <c r="AD162" s="166"/>
      <c r="AE162" s="166"/>
      <c r="AF162" s="166"/>
      <c r="AG162" s="166"/>
      <c r="AH162" s="166"/>
      <c r="AI162" s="166"/>
      <c r="AJ162" s="166"/>
      <c r="AK162" s="166"/>
      <c r="AL162" s="166"/>
      <c r="AM162" s="166"/>
      <c r="AN162" s="166"/>
      <c r="AO162" s="166"/>
      <c r="AP162" s="166"/>
      <c r="AQ162" s="166"/>
      <c r="AR162" s="166"/>
      <c r="AS162" s="166"/>
      <c r="AT162" s="166"/>
      <c r="AU162" s="166"/>
      <c r="AV162" s="166"/>
      <c r="AW162" s="166"/>
      <c r="AX162" s="166"/>
      <c r="AY162" s="166"/>
      <c r="AZ162" s="166"/>
      <c r="BA162" s="166"/>
      <c r="BB162" s="166"/>
      <c r="BC162" s="166"/>
      <c r="BD162" s="166"/>
      <c r="BE162" s="166"/>
      <c r="BF162" s="166"/>
      <c r="BG162" s="166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6" t="str">
        <f>IF(E163&gt;C163,Capacity!AR31/'Capacity Summary'!E163,IF(Capacity!AQ31=0,"",Capacity!AQ31))</f>
        <v/>
      </c>
      <c r="H163" s="166"/>
      <c r="I163" s="166"/>
      <c r="J163" s="166"/>
      <c r="K163" s="166"/>
      <c r="L163" s="166"/>
      <c r="M163" s="166"/>
      <c r="N163" s="166"/>
      <c r="O163" s="166"/>
      <c r="P163" s="166"/>
      <c r="Q163" s="166"/>
      <c r="R163" s="166"/>
      <c r="S163" s="166"/>
      <c r="T163" s="166"/>
      <c r="U163" s="166"/>
      <c r="V163" s="166"/>
      <c r="W163" s="166"/>
      <c r="X163" s="166"/>
      <c r="Y163" s="166"/>
      <c r="Z163" s="166"/>
      <c r="AA163" s="166"/>
      <c r="AB163" s="166"/>
      <c r="AC163" s="166"/>
      <c r="AD163" s="166"/>
      <c r="AE163" s="166"/>
      <c r="AF163" s="166"/>
      <c r="AG163" s="166"/>
      <c r="AH163" s="166"/>
      <c r="AI163" s="166"/>
      <c r="AJ163" s="166"/>
      <c r="AK163" s="166"/>
      <c r="AL163" s="166"/>
      <c r="AM163" s="166"/>
      <c r="AN163" s="166"/>
      <c r="AO163" s="166"/>
      <c r="AP163" s="166"/>
      <c r="AQ163" s="166"/>
      <c r="AR163" s="166"/>
      <c r="AS163" s="166"/>
      <c r="AT163" s="166"/>
      <c r="AU163" s="166"/>
      <c r="AV163" s="166"/>
      <c r="AW163" s="166"/>
      <c r="AX163" s="166"/>
      <c r="AY163" s="166"/>
      <c r="AZ163" s="166"/>
      <c r="BA163" s="166"/>
      <c r="BB163" s="166"/>
      <c r="BC163" s="166"/>
      <c r="BD163" s="166"/>
      <c r="BE163" s="166"/>
      <c r="BF163" s="166"/>
      <c r="BG163" s="166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6" t="str">
        <f>IF(E164&gt;C164,Capacity!AR32/'Capacity Summary'!E164,IF(Capacity!AQ32=0,"",Capacity!AQ32))</f>
        <v/>
      </c>
      <c r="H164" s="166"/>
      <c r="I164" s="166"/>
      <c r="J164" s="166"/>
      <c r="K164" s="166"/>
      <c r="L164" s="166"/>
      <c r="M164" s="166"/>
      <c r="N164" s="166"/>
      <c r="O164" s="166"/>
      <c r="P164" s="166"/>
      <c r="Q164" s="166"/>
      <c r="R164" s="166"/>
      <c r="S164" s="166"/>
      <c r="T164" s="166"/>
      <c r="U164" s="166"/>
      <c r="V164" s="166"/>
      <c r="W164" s="166"/>
      <c r="X164" s="166"/>
      <c r="Y164" s="166"/>
      <c r="Z164" s="166"/>
      <c r="AA164" s="166"/>
      <c r="AB164" s="166"/>
      <c r="AC164" s="166"/>
      <c r="AD164" s="166"/>
      <c r="AE164" s="166"/>
      <c r="AF164" s="166"/>
      <c r="AG164" s="166"/>
      <c r="AH164" s="166"/>
      <c r="AI164" s="166"/>
      <c r="AJ164" s="166"/>
      <c r="AK164" s="166"/>
      <c r="AL164" s="166"/>
      <c r="AM164" s="166"/>
      <c r="AN164" s="166"/>
      <c r="AO164" s="166"/>
      <c r="AP164" s="166"/>
      <c r="AQ164" s="166"/>
      <c r="AR164" s="166"/>
      <c r="AS164" s="166"/>
      <c r="AT164" s="166"/>
      <c r="AU164" s="166"/>
      <c r="AV164" s="166"/>
      <c r="AW164" s="166"/>
      <c r="AX164" s="166"/>
      <c r="AY164" s="166"/>
      <c r="AZ164" s="166"/>
      <c r="BA164" s="166"/>
      <c r="BB164" s="166"/>
      <c r="BC164" s="166"/>
      <c r="BD164" s="166"/>
      <c r="BE164" s="166"/>
      <c r="BF164" s="166"/>
      <c r="BG164" s="166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6" t="str">
        <f>IF(E165&gt;C165,Capacity!AR33/'Capacity Summary'!E165,IF(Capacity!AQ33=0,"",Capacity!AQ33))</f>
        <v/>
      </c>
      <c r="H165" s="166"/>
      <c r="I165" s="166"/>
      <c r="J165" s="166"/>
      <c r="K165" s="166"/>
      <c r="L165" s="166"/>
      <c r="M165" s="166"/>
      <c r="N165" s="166"/>
      <c r="O165" s="166"/>
      <c r="P165" s="166"/>
      <c r="Q165" s="166"/>
      <c r="R165" s="166"/>
      <c r="S165" s="166"/>
      <c r="T165" s="166"/>
      <c r="U165" s="166"/>
      <c r="V165" s="166"/>
      <c r="W165" s="166"/>
      <c r="X165" s="166"/>
      <c r="Y165" s="166"/>
      <c r="Z165" s="166"/>
      <c r="AA165" s="166"/>
      <c r="AB165" s="166"/>
      <c r="AC165" s="166"/>
      <c r="AD165" s="166"/>
      <c r="AE165" s="166"/>
      <c r="AF165" s="166"/>
      <c r="AG165" s="166"/>
      <c r="AH165" s="166"/>
      <c r="AI165" s="166"/>
      <c r="AJ165" s="166"/>
      <c r="AK165" s="166"/>
      <c r="AL165" s="166"/>
      <c r="AM165" s="166"/>
      <c r="AN165" s="166"/>
      <c r="AO165" s="166"/>
      <c r="AP165" s="166"/>
      <c r="AQ165" s="166"/>
      <c r="AR165" s="166"/>
      <c r="AS165" s="166"/>
      <c r="AT165" s="166"/>
      <c r="AU165" s="166"/>
      <c r="AV165" s="166"/>
      <c r="AW165" s="166"/>
      <c r="AX165" s="166"/>
      <c r="AY165" s="166"/>
      <c r="AZ165" s="166"/>
      <c r="BA165" s="166"/>
      <c r="BB165" s="166"/>
      <c r="BC165" s="166"/>
      <c r="BD165" s="166"/>
      <c r="BE165" s="166"/>
      <c r="BF165" s="166"/>
      <c r="BG165" s="166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6" t="str">
        <f>IF(E166&gt;C166,Capacity!AR34/'Capacity Summary'!E166,IF(Capacity!AQ34=0,"",Capacity!AQ34))</f>
        <v/>
      </c>
      <c r="H166" s="166"/>
      <c r="I166" s="166"/>
      <c r="J166" s="166"/>
      <c r="K166" s="166"/>
      <c r="L166" s="166"/>
      <c r="M166" s="166"/>
      <c r="N166" s="166"/>
      <c r="O166" s="166"/>
      <c r="P166" s="166"/>
      <c r="Q166" s="166"/>
      <c r="R166" s="166"/>
      <c r="S166" s="166"/>
      <c r="T166" s="166"/>
      <c r="U166" s="166"/>
      <c r="V166" s="166"/>
      <c r="W166" s="166"/>
      <c r="X166" s="166"/>
      <c r="Y166" s="166"/>
      <c r="Z166" s="166"/>
      <c r="AA166" s="166"/>
      <c r="AB166" s="166"/>
      <c r="AC166" s="166"/>
      <c r="AD166" s="166"/>
      <c r="AE166" s="166"/>
      <c r="AF166" s="166"/>
      <c r="AG166" s="166"/>
      <c r="AH166" s="166"/>
      <c r="AI166" s="166"/>
      <c r="AJ166" s="166"/>
      <c r="AK166" s="166"/>
      <c r="AL166" s="166"/>
      <c r="AM166" s="166"/>
      <c r="AN166" s="166"/>
      <c r="AO166" s="166"/>
      <c r="AP166" s="166"/>
      <c r="AQ166" s="166"/>
      <c r="AR166" s="166"/>
      <c r="AS166" s="166"/>
      <c r="AT166" s="166"/>
      <c r="AU166" s="166"/>
      <c r="AV166" s="166"/>
      <c r="AW166" s="166"/>
      <c r="AX166" s="166"/>
      <c r="AY166" s="166"/>
      <c r="AZ166" s="166"/>
      <c r="BA166" s="166"/>
      <c r="BB166" s="166"/>
      <c r="BC166" s="166"/>
      <c r="BD166" s="166"/>
      <c r="BE166" s="166"/>
      <c r="BF166" s="166"/>
      <c r="BG166" s="166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6" t="str">
        <f>IF(E167&gt;C167,Capacity!AR35/'Capacity Summary'!E167,IF(Capacity!AQ35=0,"",Capacity!AQ35))</f>
        <v/>
      </c>
      <c r="H167" s="166"/>
      <c r="I167" s="166"/>
      <c r="J167" s="166"/>
      <c r="K167" s="166"/>
      <c r="L167" s="166"/>
      <c r="M167" s="166"/>
      <c r="N167" s="166"/>
      <c r="O167" s="166"/>
      <c r="P167" s="166"/>
      <c r="Q167" s="166"/>
      <c r="R167" s="166"/>
      <c r="S167" s="166"/>
      <c r="T167" s="166"/>
      <c r="U167" s="166"/>
      <c r="V167" s="166"/>
      <c r="W167" s="166"/>
      <c r="X167" s="166"/>
      <c r="Y167" s="166"/>
      <c r="Z167" s="166"/>
      <c r="AA167" s="166"/>
      <c r="AB167" s="166"/>
      <c r="AC167" s="166"/>
      <c r="AD167" s="166"/>
      <c r="AE167" s="166"/>
      <c r="AF167" s="166"/>
      <c r="AG167" s="166"/>
      <c r="AH167" s="166"/>
      <c r="AI167" s="166"/>
      <c r="AJ167" s="166"/>
      <c r="AK167" s="166"/>
      <c r="AL167" s="166"/>
      <c r="AM167" s="166"/>
      <c r="AN167" s="166"/>
      <c r="AO167" s="166"/>
      <c r="AP167" s="166"/>
      <c r="AQ167" s="166"/>
      <c r="AR167" s="166"/>
      <c r="AS167" s="166"/>
      <c r="AT167" s="166"/>
      <c r="AU167" s="166"/>
      <c r="AV167" s="166"/>
      <c r="AW167" s="166"/>
      <c r="AX167" s="166"/>
      <c r="AY167" s="166"/>
      <c r="AZ167" s="166"/>
      <c r="BA167" s="166"/>
      <c r="BB167" s="166"/>
      <c r="BC167" s="166"/>
      <c r="BD167" s="166"/>
      <c r="BE167" s="166"/>
      <c r="BF167" s="166"/>
      <c r="BG167" s="166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6" t="str">
        <f>IF(E168&gt;C168,Capacity!AR36/'Capacity Summary'!E168,IF(Capacity!AQ36=0,"",Capacity!AQ36))</f>
        <v/>
      </c>
      <c r="H168" s="166"/>
      <c r="I168" s="166"/>
      <c r="J168" s="166"/>
      <c r="K168" s="166"/>
      <c r="L168" s="166"/>
      <c r="M168" s="166"/>
      <c r="N168" s="166"/>
      <c r="O168" s="166"/>
      <c r="P168" s="166"/>
      <c r="Q168" s="166"/>
      <c r="R168" s="166"/>
      <c r="S168" s="166"/>
      <c r="T168" s="166"/>
      <c r="U168" s="166"/>
      <c r="V168" s="166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66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6" t="str">
        <f>IF(E169&gt;C169,Capacity!AR37/'Capacity Summary'!E169,IF(Capacity!AQ37=0,"",Capacity!AQ37))</f>
        <v/>
      </c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66"/>
      <c r="S169" s="166"/>
      <c r="T169" s="166"/>
      <c r="U169" s="166"/>
      <c r="V169" s="166"/>
      <c r="W169" s="166"/>
      <c r="X169" s="166"/>
      <c r="Y169" s="166"/>
      <c r="Z169" s="166"/>
      <c r="AA169" s="166"/>
      <c r="AB169" s="166"/>
      <c r="AC169" s="166"/>
      <c r="AD169" s="166"/>
      <c r="AE169" s="166"/>
      <c r="AF169" s="166"/>
      <c r="AG169" s="166"/>
      <c r="AH169" s="166"/>
      <c r="AI169" s="166"/>
      <c r="AJ169" s="166"/>
      <c r="AK169" s="166"/>
      <c r="AL169" s="166"/>
      <c r="AM169" s="166"/>
      <c r="AN169" s="166"/>
      <c r="AO169" s="166"/>
      <c r="AP169" s="166"/>
      <c r="AQ169" s="166"/>
      <c r="AR169" s="166"/>
      <c r="AS169" s="166"/>
      <c r="AT169" s="166"/>
      <c r="AU169" s="166"/>
      <c r="AV169" s="166"/>
      <c r="AW169" s="166"/>
      <c r="AX169" s="166"/>
      <c r="AY169" s="166"/>
      <c r="AZ169" s="166"/>
      <c r="BA169" s="166"/>
      <c r="BB169" s="166"/>
      <c r="BC169" s="166"/>
      <c r="BD169" s="166"/>
      <c r="BE169" s="166"/>
      <c r="BF169" s="166"/>
      <c r="BG169" s="166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6" t="str">
        <f>IF(E170&gt;C170,Capacity!AR38/'Capacity Summary'!E170,IF(Capacity!AQ38=0,"",Capacity!AQ38))</f>
        <v/>
      </c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6"/>
      <c r="AD170" s="166"/>
      <c r="AE170" s="166"/>
      <c r="AF170" s="166"/>
      <c r="AG170" s="166"/>
      <c r="AH170" s="166"/>
      <c r="AI170" s="166"/>
      <c r="AJ170" s="166"/>
      <c r="AK170" s="166"/>
      <c r="AL170" s="166"/>
      <c r="AM170" s="166"/>
      <c r="AN170" s="166"/>
      <c r="AO170" s="166"/>
      <c r="AP170" s="166"/>
      <c r="AQ170" s="166"/>
      <c r="AR170" s="166"/>
      <c r="AS170" s="166"/>
      <c r="AT170" s="166"/>
      <c r="AU170" s="166"/>
      <c r="AV170" s="166"/>
      <c r="AW170" s="166"/>
      <c r="AX170" s="166"/>
      <c r="AY170" s="166"/>
      <c r="AZ170" s="166"/>
      <c r="BA170" s="166"/>
      <c r="BB170" s="166"/>
      <c r="BC170" s="166"/>
      <c r="BD170" s="166"/>
      <c r="BE170" s="166"/>
      <c r="BF170" s="166"/>
      <c r="BG170" s="166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6" t="str">
        <f>IF(E171&gt;C171,Capacity!AR39/'Capacity Summary'!E171,IF(Capacity!AQ39=0,"",Capacity!AQ39))</f>
        <v/>
      </c>
      <c r="H171" s="166"/>
      <c r="I171" s="166"/>
      <c r="J171" s="166"/>
      <c r="K171" s="166"/>
      <c r="L171" s="166"/>
      <c r="M171" s="166"/>
      <c r="N171" s="166"/>
      <c r="O171" s="166"/>
      <c r="P171" s="166"/>
      <c r="Q171" s="166"/>
      <c r="R171" s="166"/>
      <c r="S171" s="166"/>
      <c r="T171" s="166"/>
      <c r="U171" s="166"/>
      <c r="V171" s="166"/>
      <c r="W171" s="166"/>
      <c r="X171" s="166"/>
      <c r="Y171" s="166"/>
      <c r="Z171" s="166"/>
      <c r="AA171" s="166"/>
      <c r="AB171" s="166"/>
      <c r="AC171" s="166"/>
      <c r="AD171" s="166"/>
      <c r="AE171" s="166"/>
      <c r="AF171" s="166"/>
      <c r="AG171" s="166"/>
      <c r="AH171" s="166"/>
      <c r="AI171" s="166"/>
      <c r="AJ171" s="166"/>
      <c r="AK171" s="166"/>
      <c r="AL171" s="166"/>
      <c r="AM171" s="166"/>
      <c r="AN171" s="166"/>
      <c r="AO171" s="166"/>
      <c r="AP171" s="166"/>
      <c r="AQ171" s="166"/>
      <c r="AR171" s="166"/>
      <c r="AS171" s="166"/>
      <c r="AT171" s="166"/>
      <c r="AU171" s="166"/>
      <c r="AV171" s="166"/>
      <c r="AW171" s="166"/>
      <c r="AX171" s="166"/>
      <c r="AY171" s="166"/>
      <c r="AZ171" s="166"/>
      <c r="BA171" s="166"/>
      <c r="BB171" s="166"/>
      <c r="BC171" s="166"/>
      <c r="BD171" s="166"/>
      <c r="BE171" s="166"/>
      <c r="BF171" s="166"/>
      <c r="BG171" s="166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6" t="str">
        <f>IF(E172&gt;C172,Capacity!AR40/'Capacity Summary'!E172,IF(Capacity!AQ40=0,"",Capacity!AQ40))</f>
        <v/>
      </c>
      <c r="H172" s="166"/>
      <c r="I172" s="166"/>
      <c r="J172" s="166"/>
      <c r="K172" s="166"/>
      <c r="L172" s="166"/>
      <c r="M172" s="166"/>
      <c r="N172" s="166"/>
      <c r="O172" s="166"/>
      <c r="P172" s="166"/>
      <c r="Q172" s="166"/>
      <c r="R172" s="166"/>
      <c r="S172" s="166"/>
      <c r="T172" s="166"/>
      <c r="U172" s="166"/>
      <c r="V172" s="166"/>
      <c r="W172" s="166"/>
      <c r="X172" s="166"/>
      <c r="Y172" s="166"/>
      <c r="Z172" s="166"/>
      <c r="AA172" s="166"/>
      <c r="AB172" s="166"/>
      <c r="AC172" s="166"/>
      <c r="AD172" s="166"/>
      <c r="AE172" s="166"/>
      <c r="AF172" s="166"/>
      <c r="AG172" s="166"/>
      <c r="AH172" s="166"/>
      <c r="AI172" s="166"/>
      <c r="AJ172" s="166"/>
      <c r="AK172" s="166"/>
      <c r="AL172" s="166"/>
      <c r="AM172" s="166"/>
      <c r="AN172" s="166"/>
      <c r="AO172" s="166"/>
      <c r="AP172" s="166"/>
      <c r="AQ172" s="166"/>
      <c r="AR172" s="166"/>
      <c r="AS172" s="166"/>
      <c r="AT172" s="166"/>
      <c r="AU172" s="166"/>
      <c r="AV172" s="166"/>
      <c r="AW172" s="166"/>
      <c r="AX172" s="166"/>
      <c r="AY172" s="166"/>
      <c r="AZ172" s="166"/>
      <c r="BA172" s="166"/>
      <c r="BB172" s="166"/>
      <c r="BC172" s="166"/>
      <c r="BD172" s="166"/>
      <c r="BE172" s="166"/>
      <c r="BF172" s="166"/>
      <c r="BG172" s="166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6" t="str">
        <f>IF(E173&gt;C173,Capacity!AR41/'Capacity Summary'!E173,IF(Capacity!AQ41=0,"",Capacity!AQ41))</f>
        <v/>
      </c>
      <c r="H173" s="166"/>
      <c r="I173" s="166"/>
      <c r="J173" s="166"/>
      <c r="K173" s="166"/>
      <c r="L173" s="166"/>
      <c r="M173" s="166"/>
      <c r="N173" s="166"/>
      <c r="O173" s="166"/>
      <c r="P173" s="166"/>
      <c r="Q173" s="166"/>
      <c r="R173" s="166"/>
      <c r="S173" s="166"/>
      <c r="T173" s="166"/>
      <c r="U173" s="166"/>
      <c r="V173" s="166"/>
      <c r="W173" s="166"/>
      <c r="X173" s="166"/>
      <c r="Y173" s="166"/>
      <c r="Z173" s="166"/>
      <c r="AA173" s="166"/>
      <c r="AB173" s="166"/>
      <c r="AC173" s="166"/>
      <c r="AD173" s="166"/>
      <c r="AE173" s="166"/>
      <c r="AF173" s="166"/>
      <c r="AG173" s="166"/>
      <c r="AH173" s="166"/>
      <c r="AI173" s="166"/>
      <c r="AJ173" s="166"/>
      <c r="AK173" s="166"/>
      <c r="AL173" s="166"/>
      <c r="AM173" s="166"/>
      <c r="AN173" s="166"/>
      <c r="AO173" s="166"/>
      <c r="AP173" s="166"/>
      <c r="AQ173" s="166"/>
      <c r="AR173" s="166"/>
      <c r="AS173" s="166"/>
      <c r="AT173" s="166"/>
      <c r="AU173" s="166"/>
      <c r="AV173" s="166"/>
      <c r="AW173" s="166"/>
      <c r="AX173" s="166"/>
      <c r="AY173" s="166"/>
      <c r="AZ173" s="166"/>
      <c r="BA173" s="166"/>
      <c r="BB173" s="166"/>
      <c r="BC173" s="166"/>
      <c r="BD173" s="166"/>
      <c r="BE173" s="166"/>
      <c r="BF173" s="166"/>
      <c r="BG173" s="166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6" t="str">
        <f>IF(E174&gt;C174,Capacity!AR42/'Capacity Summary'!E174,IF(Capacity!AQ42=0,"",Capacity!AQ42))</f>
        <v/>
      </c>
      <c r="H174" s="166"/>
      <c r="I174" s="166"/>
      <c r="J174" s="166"/>
      <c r="K174" s="166"/>
      <c r="L174" s="166"/>
      <c r="M174" s="166"/>
      <c r="N174" s="166"/>
      <c r="O174" s="166"/>
      <c r="P174" s="166"/>
      <c r="Q174" s="166"/>
      <c r="R174" s="166"/>
      <c r="S174" s="166"/>
      <c r="T174" s="166"/>
      <c r="U174" s="166"/>
      <c r="V174" s="166"/>
      <c r="W174" s="166"/>
      <c r="X174" s="166"/>
      <c r="Y174" s="166"/>
      <c r="Z174" s="166"/>
      <c r="AA174" s="166"/>
      <c r="AB174" s="166"/>
      <c r="AC174" s="166"/>
      <c r="AD174" s="166"/>
      <c r="AE174" s="166"/>
      <c r="AF174" s="166"/>
      <c r="AG174" s="166"/>
      <c r="AH174" s="166"/>
      <c r="AI174" s="166"/>
      <c r="AJ174" s="166"/>
      <c r="AK174" s="166"/>
      <c r="AL174" s="166"/>
      <c r="AM174" s="166"/>
      <c r="AN174" s="166"/>
      <c r="AO174" s="166"/>
      <c r="AP174" s="166"/>
      <c r="AQ174" s="166"/>
      <c r="AR174" s="166"/>
      <c r="AS174" s="166"/>
      <c r="AT174" s="166"/>
      <c r="AU174" s="166"/>
      <c r="AV174" s="166"/>
      <c r="AW174" s="166"/>
      <c r="AX174" s="166"/>
      <c r="AY174" s="166"/>
      <c r="AZ174" s="166"/>
      <c r="BA174" s="166"/>
      <c r="BB174" s="166"/>
      <c r="BC174" s="166"/>
      <c r="BD174" s="166"/>
      <c r="BE174" s="166"/>
      <c r="BF174" s="166"/>
      <c r="BG174" s="166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6" t="str">
        <f>IF(E175&gt;C175,Capacity!AR43/'Capacity Summary'!E175,IF(Capacity!AQ43=0,"",Capacity!AQ43))</f>
        <v/>
      </c>
      <c r="H175" s="166"/>
      <c r="I175" s="166"/>
      <c r="J175" s="166"/>
      <c r="K175" s="166"/>
      <c r="L175" s="166"/>
      <c r="M175" s="166"/>
      <c r="N175" s="166"/>
      <c r="O175" s="166"/>
      <c r="P175" s="166"/>
      <c r="Q175" s="166"/>
      <c r="R175" s="166"/>
      <c r="S175" s="166"/>
      <c r="T175" s="166"/>
      <c r="U175" s="166"/>
      <c r="V175" s="166"/>
      <c r="W175" s="166"/>
      <c r="X175" s="166"/>
      <c r="Y175" s="166"/>
      <c r="Z175" s="166"/>
      <c r="AA175" s="166"/>
      <c r="AB175" s="166"/>
      <c r="AC175" s="166"/>
      <c r="AD175" s="166"/>
      <c r="AE175" s="166"/>
      <c r="AF175" s="166"/>
      <c r="AG175" s="166"/>
      <c r="AH175" s="166"/>
      <c r="AI175" s="166"/>
      <c r="AJ175" s="166"/>
      <c r="AK175" s="166"/>
      <c r="AL175" s="166"/>
      <c r="AM175" s="166"/>
      <c r="AN175" s="166"/>
      <c r="AO175" s="166"/>
      <c r="AP175" s="166"/>
      <c r="AQ175" s="166"/>
      <c r="AR175" s="166"/>
      <c r="AS175" s="166"/>
      <c r="AT175" s="166"/>
      <c r="AU175" s="166"/>
      <c r="AV175" s="166"/>
      <c r="AW175" s="166"/>
      <c r="AX175" s="166"/>
      <c r="AY175" s="166"/>
      <c r="AZ175" s="166"/>
      <c r="BA175" s="166"/>
      <c r="BB175" s="166"/>
      <c r="BC175" s="166"/>
      <c r="BD175" s="166"/>
      <c r="BE175" s="166"/>
      <c r="BF175" s="166"/>
      <c r="BG175" s="166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6" t="str">
        <f>IF(E176&gt;C176,Capacity!AR44/'Capacity Summary'!E176,IF(Capacity!AQ44=0,"",Capacity!AQ44))</f>
        <v/>
      </c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6"/>
      <c r="U176" s="166"/>
      <c r="V176" s="166"/>
      <c r="W176" s="166"/>
      <c r="X176" s="166"/>
      <c r="Y176" s="166"/>
      <c r="Z176" s="166"/>
      <c r="AA176" s="166"/>
      <c r="AB176" s="166"/>
      <c r="AC176" s="166"/>
      <c r="AD176" s="166"/>
      <c r="AE176" s="166"/>
      <c r="AF176" s="166"/>
      <c r="AG176" s="166"/>
      <c r="AH176" s="166"/>
      <c r="AI176" s="166"/>
      <c r="AJ176" s="166"/>
      <c r="AK176" s="166"/>
      <c r="AL176" s="166"/>
      <c r="AM176" s="166"/>
      <c r="AN176" s="166"/>
      <c r="AO176" s="166"/>
      <c r="AP176" s="166"/>
      <c r="AQ176" s="166"/>
      <c r="AR176" s="166"/>
      <c r="AS176" s="166"/>
      <c r="AT176" s="166"/>
      <c r="AU176" s="166"/>
      <c r="AV176" s="166"/>
      <c r="AW176" s="166"/>
      <c r="AX176" s="166"/>
      <c r="AY176" s="166"/>
      <c r="AZ176" s="166"/>
      <c r="BA176" s="166"/>
      <c r="BB176" s="166"/>
      <c r="BC176" s="166"/>
      <c r="BD176" s="166"/>
      <c r="BE176" s="166"/>
      <c r="BF176" s="166"/>
      <c r="BG176" s="166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6" t="str">
        <f>IF(E177&gt;C177,Capacity!AR45/'Capacity Summary'!E177,IF(Capacity!AQ45=0,"",Capacity!AQ45))</f>
        <v/>
      </c>
      <c r="H177" s="166"/>
      <c r="I177" s="166"/>
      <c r="J177" s="166"/>
      <c r="K177" s="166"/>
      <c r="L177" s="166"/>
      <c r="M177" s="166"/>
      <c r="N177" s="166"/>
      <c r="O177" s="166"/>
      <c r="P177" s="166"/>
      <c r="Q177" s="166"/>
      <c r="R177" s="166"/>
      <c r="S177" s="166"/>
      <c r="T177" s="166"/>
      <c r="U177" s="166"/>
      <c r="V177" s="166"/>
      <c r="W177" s="166"/>
      <c r="X177" s="166"/>
      <c r="Y177" s="166"/>
      <c r="Z177" s="166"/>
      <c r="AA177" s="166"/>
      <c r="AB177" s="166"/>
      <c r="AC177" s="166"/>
      <c r="AD177" s="166"/>
      <c r="AE177" s="166"/>
      <c r="AF177" s="166"/>
      <c r="AG177" s="166"/>
      <c r="AH177" s="166"/>
      <c r="AI177" s="166"/>
      <c r="AJ177" s="166"/>
      <c r="AK177" s="166"/>
      <c r="AL177" s="166"/>
      <c r="AM177" s="166"/>
      <c r="AN177" s="166"/>
      <c r="AO177" s="166"/>
      <c r="AP177" s="166"/>
      <c r="AQ177" s="166"/>
      <c r="AR177" s="166"/>
      <c r="AS177" s="166"/>
      <c r="AT177" s="166"/>
      <c r="AU177" s="166"/>
      <c r="AV177" s="166"/>
      <c r="AW177" s="166"/>
      <c r="AX177" s="166"/>
      <c r="AY177" s="166"/>
      <c r="AZ177" s="166"/>
      <c r="BA177" s="166"/>
      <c r="BB177" s="166"/>
      <c r="BC177" s="166"/>
      <c r="BD177" s="166"/>
      <c r="BE177" s="166"/>
      <c r="BF177" s="166"/>
      <c r="BG177" s="166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6" t="str">
        <f>IF(E178&gt;C178,Capacity!AR46/'Capacity Summary'!E178,IF(Capacity!AQ46=0,"",Capacity!AQ46))</f>
        <v/>
      </c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  <c r="X178" s="166"/>
      <c r="Y178" s="166"/>
      <c r="Z178" s="166"/>
      <c r="AA178" s="166"/>
      <c r="AB178" s="166"/>
      <c r="AC178" s="166"/>
      <c r="AD178" s="166"/>
      <c r="AE178" s="166"/>
      <c r="AF178" s="166"/>
      <c r="AG178" s="166"/>
      <c r="AH178" s="166"/>
      <c r="AI178" s="166"/>
      <c r="AJ178" s="166"/>
      <c r="AK178" s="166"/>
      <c r="AL178" s="166"/>
      <c r="AM178" s="166"/>
      <c r="AN178" s="166"/>
      <c r="AO178" s="166"/>
      <c r="AP178" s="166"/>
      <c r="AQ178" s="166"/>
      <c r="AR178" s="166"/>
      <c r="AS178" s="166"/>
      <c r="AT178" s="166"/>
      <c r="AU178" s="166"/>
      <c r="AV178" s="166"/>
      <c r="AW178" s="166"/>
      <c r="AX178" s="166"/>
      <c r="AY178" s="166"/>
      <c r="AZ178" s="166"/>
      <c r="BA178" s="166"/>
      <c r="BB178" s="166"/>
      <c r="BC178" s="166"/>
      <c r="BD178" s="166"/>
      <c r="BE178" s="166"/>
      <c r="BF178" s="166"/>
      <c r="BG178" s="166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6" t="str">
        <f>IF(E179&gt;C179,Capacity!AR47/'Capacity Summary'!E179,IF(Capacity!AQ47=0,"",Capacity!AQ47))</f>
        <v/>
      </c>
      <c r="H179" s="166"/>
      <c r="I179" s="166"/>
      <c r="J179" s="166"/>
      <c r="K179" s="166"/>
      <c r="L179" s="166"/>
      <c r="M179" s="166"/>
      <c r="N179" s="166"/>
      <c r="O179" s="166"/>
      <c r="P179" s="166"/>
      <c r="Q179" s="166"/>
      <c r="R179" s="166"/>
      <c r="S179" s="166"/>
      <c r="T179" s="166"/>
      <c r="U179" s="166"/>
      <c r="V179" s="166"/>
      <c r="W179" s="166"/>
      <c r="X179" s="166"/>
      <c r="Y179" s="166"/>
      <c r="Z179" s="166"/>
      <c r="AA179" s="166"/>
      <c r="AB179" s="166"/>
      <c r="AC179" s="166"/>
      <c r="AD179" s="166"/>
      <c r="AE179" s="166"/>
      <c r="AF179" s="166"/>
      <c r="AG179" s="166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6"/>
      <c r="BC179" s="166"/>
      <c r="BD179" s="166"/>
      <c r="BE179" s="166"/>
      <c r="BF179" s="166"/>
      <c r="BG179" s="166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6" t="str">
        <f>IF(E180&gt;C180,Capacity!AR48/'Capacity Summary'!E180,IF(Capacity!AQ48=0,"",Capacity!AQ48))</f>
        <v/>
      </c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  <c r="X180" s="166"/>
      <c r="Y180" s="166"/>
      <c r="Z180" s="166"/>
      <c r="AA180" s="166"/>
      <c r="AB180" s="166"/>
      <c r="AC180" s="166"/>
      <c r="AD180" s="166"/>
      <c r="AE180" s="166"/>
      <c r="AF180" s="166"/>
      <c r="AG180" s="166"/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6"/>
      <c r="BC180" s="166"/>
      <c r="BD180" s="166"/>
      <c r="BE180" s="166"/>
      <c r="BF180" s="166"/>
      <c r="BG180" s="166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6" t="str">
        <f>IF(E181&gt;C181,Capacity!AR49/'Capacity Summary'!E181,IF(Capacity!AQ49=0,"",Capacity!AQ49))</f>
        <v/>
      </c>
      <c r="H181" s="166"/>
      <c r="I181" s="166"/>
      <c r="J181" s="166"/>
      <c r="K181" s="166"/>
      <c r="L181" s="166"/>
      <c r="M181" s="166"/>
      <c r="N181" s="166"/>
      <c r="O181" s="166"/>
      <c r="P181" s="166"/>
      <c r="Q181" s="166"/>
      <c r="R181" s="166"/>
      <c r="S181" s="166"/>
      <c r="T181" s="166"/>
      <c r="U181" s="166"/>
      <c r="V181" s="166"/>
      <c r="W181" s="166"/>
      <c r="X181" s="166"/>
      <c r="Y181" s="166"/>
      <c r="Z181" s="166"/>
      <c r="AA181" s="166"/>
      <c r="AB181" s="166"/>
      <c r="AC181" s="166"/>
      <c r="AD181" s="166"/>
      <c r="AE181" s="166"/>
      <c r="AF181" s="166"/>
      <c r="AG181" s="166"/>
      <c r="AH181" s="166"/>
      <c r="AI181" s="166"/>
      <c r="AJ181" s="166"/>
      <c r="AK181" s="166"/>
      <c r="AL181" s="166"/>
      <c r="AM181" s="166"/>
      <c r="AN181" s="166"/>
      <c r="AO181" s="166"/>
      <c r="AP181" s="166"/>
      <c r="AQ181" s="166"/>
      <c r="AR181" s="166"/>
      <c r="AS181" s="166"/>
      <c r="AT181" s="166"/>
      <c r="AU181" s="166"/>
      <c r="AV181" s="166"/>
      <c r="AW181" s="166"/>
      <c r="AX181" s="166"/>
      <c r="AY181" s="166"/>
      <c r="AZ181" s="166"/>
      <c r="BA181" s="166"/>
      <c r="BB181" s="166"/>
      <c r="BC181" s="166"/>
      <c r="BD181" s="166"/>
      <c r="BE181" s="166"/>
      <c r="BF181" s="166"/>
      <c r="BG181" s="166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6" t="str">
        <f>IF(E182&gt;C182,Capacity!AR50/'Capacity Summary'!E182,IF(Capacity!AQ50=0,"",Capacity!AQ50))</f>
        <v/>
      </c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  <c r="X182" s="166"/>
      <c r="Y182" s="166"/>
      <c r="Z182" s="166"/>
      <c r="AA182" s="166"/>
      <c r="AB182" s="166"/>
      <c r="AC182" s="166"/>
      <c r="AD182" s="166"/>
      <c r="AE182" s="166"/>
      <c r="AF182" s="166"/>
      <c r="AG182" s="166"/>
      <c r="AH182" s="166"/>
      <c r="AI182" s="166"/>
      <c r="AJ182" s="166"/>
      <c r="AK182" s="166"/>
      <c r="AL182" s="166"/>
      <c r="AM182" s="166"/>
      <c r="AN182" s="166"/>
      <c r="AO182" s="166"/>
      <c r="AP182" s="166"/>
      <c r="AQ182" s="166"/>
      <c r="AR182" s="166"/>
      <c r="AS182" s="166"/>
      <c r="AT182" s="166"/>
      <c r="AU182" s="166"/>
      <c r="AV182" s="166"/>
      <c r="AW182" s="166"/>
      <c r="AX182" s="166"/>
      <c r="AY182" s="166"/>
      <c r="AZ182" s="166"/>
      <c r="BA182" s="166"/>
      <c r="BB182" s="166"/>
      <c r="BC182" s="166"/>
      <c r="BD182" s="166"/>
      <c r="BE182" s="166"/>
      <c r="BF182" s="166"/>
      <c r="BG182" s="166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6" t="str">
        <f>IF(E183&gt;C183,Capacity!AR51/'Capacity Summary'!E183,IF(Capacity!AQ51=0,"",Capacity!AQ51))</f>
        <v/>
      </c>
      <c r="H183" s="166"/>
      <c r="I183" s="166"/>
      <c r="J183" s="166"/>
      <c r="K183" s="166"/>
      <c r="L183" s="166"/>
      <c r="M183" s="166"/>
      <c r="N183" s="166"/>
      <c r="O183" s="166"/>
      <c r="P183" s="166"/>
      <c r="Q183" s="166"/>
      <c r="R183" s="166"/>
      <c r="S183" s="166"/>
      <c r="T183" s="166"/>
      <c r="U183" s="166"/>
      <c r="V183" s="166"/>
      <c r="W183" s="166"/>
      <c r="X183" s="166"/>
      <c r="Y183" s="166"/>
      <c r="Z183" s="166"/>
      <c r="AA183" s="166"/>
      <c r="AB183" s="166"/>
      <c r="AC183" s="166"/>
      <c r="AD183" s="166"/>
      <c r="AE183" s="166"/>
      <c r="AF183" s="166"/>
      <c r="AG183" s="166"/>
      <c r="AH183" s="166"/>
      <c r="AI183" s="166"/>
      <c r="AJ183" s="166"/>
      <c r="AK183" s="166"/>
      <c r="AL183" s="166"/>
      <c r="AM183" s="166"/>
      <c r="AN183" s="166"/>
      <c r="AO183" s="166"/>
      <c r="AP183" s="166"/>
      <c r="AQ183" s="166"/>
      <c r="AR183" s="166"/>
      <c r="AS183" s="166"/>
      <c r="AT183" s="166"/>
      <c r="AU183" s="166"/>
      <c r="AV183" s="166"/>
      <c r="AW183" s="166"/>
      <c r="AX183" s="166"/>
      <c r="AY183" s="166"/>
      <c r="AZ183" s="166"/>
      <c r="BA183" s="166"/>
      <c r="BB183" s="166"/>
      <c r="BC183" s="166"/>
      <c r="BD183" s="166"/>
      <c r="BE183" s="166"/>
      <c r="BF183" s="166"/>
      <c r="BG183" s="166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6" t="str">
        <f>IF(E184&gt;C184,Capacity!AR52/'Capacity Summary'!E184,IF(Capacity!AQ52=0,"",Capacity!AQ52))</f>
        <v/>
      </c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  <c r="X184" s="166"/>
      <c r="Y184" s="166"/>
      <c r="Z184" s="166"/>
      <c r="AA184" s="166"/>
      <c r="AB184" s="166"/>
      <c r="AC184" s="166"/>
      <c r="AD184" s="166"/>
      <c r="AE184" s="166"/>
      <c r="AF184" s="166"/>
      <c r="AG184" s="166"/>
      <c r="AH184" s="166"/>
      <c r="AI184" s="166"/>
      <c r="AJ184" s="166"/>
      <c r="AK184" s="166"/>
      <c r="AL184" s="166"/>
      <c r="AM184" s="166"/>
      <c r="AN184" s="166"/>
      <c r="AO184" s="166"/>
      <c r="AP184" s="166"/>
      <c r="AQ184" s="166"/>
      <c r="AR184" s="166"/>
      <c r="AS184" s="166"/>
      <c r="AT184" s="166"/>
      <c r="AU184" s="166"/>
      <c r="AV184" s="166"/>
      <c r="AW184" s="166"/>
      <c r="AX184" s="166"/>
      <c r="AY184" s="166"/>
      <c r="AZ184" s="166"/>
      <c r="BA184" s="166"/>
      <c r="BB184" s="166"/>
      <c r="BC184" s="166"/>
      <c r="BD184" s="166"/>
      <c r="BE184" s="166"/>
      <c r="BF184" s="166"/>
      <c r="BG184" s="166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6" t="str">
        <f>IF(E185&gt;C185,Capacity!AR53/'Capacity Summary'!E185,IF(Capacity!AQ53=0,"",Capacity!AQ53))</f>
        <v/>
      </c>
      <c r="H185" s="166"/>
      <c r="I185" s="166"/>
      <c r="J185" s="166"/>
      <c r="K185" s="166"/>
      <c r="L185" s="166"/>
      <c r="M185" s="166"/>
      <c r="N185" s="166"/>
      <c r="O185" s="166"/>
      <c r="P185" s="166"/>
      <c r="Q185" s="166"/>
      <c r="R185" s="166"/>
      <c r="S185" s="166"/>
      <c r="T185" s="166"/>
      <c r="U185" s="166"/>
      <c r="V185" s="166"/>
      <c r="W185" s="166"/>
      <c r="X185" s="166"/>
      <c r="Y185" s="166"/>
      <c r="Z185" s="166"/>
      <c r="AA185" s="166"/>
      <c r="AB185" s="166"/>
      <c r="AC185" s="166"/>
      <c r="AD185" s="166"/>
      <c r="AE185" s="166"/>
      <c r="AF185" s="166"/>
      <c r="AG185" s="166"/>
      <c r="AH185" s="166"/>
      <c r="AI185" s="166"/>
      <c r="AJ185" s="166"/>
      <c r="AK185" s="166"/>
      <c r="AL185" s="166"/>
      <c r="AM185" s="166"/>
      <c r="AN185" s="166"/>
      <c r="AO185" s="166"/>
      <c r="AP185" s="166"/>
      <c r="AQ185" s="166"/>
      <c r="AR185" s="166"/>
      <c r="AS185" s="166"/>
      <c r="AT185" s="166"/>
      <c r="AU185" s="166"/>
      <c r="AV185" s="166"/>
      <c r="AW185" s="166"/>
      <c r="AX185" s="166"/>
      <c r="AY185" s="166"/>
      <c r="AZ185" s="166"/>
      <c r="BA185" s="166"/>
      <c r="BB185" s="166"/>
      <c r="BC185" s="166"/>
      <c r="BD185" s="166"/>
      <c r="BE185" s="166"/>
      <c r="BF185" s="166"/>
      <c r="BG185" s="166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6" t="str">
        <f>IF(E186&gt;C186,Capacity!AR54/'Capacity Summary'!E186,IF(Capacity!AQ54=0,"",Capacity!AQ54))</f>
        <v/>
      </c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  <c r="X186" s="166"/>
      <c r="Y186" s="166"/>
      <c r="Z186" s="166"/>
      <c r="AA186" s="166"/>
      <c r="AB186" s="166"/>
      <c r="AC186" s="166"/>
      <c r="AD186" s="166"/>
      <c r="AE186" s="166"/>
      <c r="AF186" s="166"/>
      <c r="AG186" s="166"/>
      <c r="AH186" s="166"/>
      <c r="AI186" s="166"/>
      <c r="AJ186" s="166"/>
      <c r="AK186" s="166"/>
      <c r="AL186" s="166"/>
      <c r="AM186" s="166"/>
      <c r="AN186" s="166"/>
      <c r="AO186" s="166"/>
      <c r="AP186" s="166"/>
      <c r="AQ186" s="166"/>
      <c r="AR186" s="166"/>
      <c r="AS186" s="166"/>
      <c r="AT186" s="166"/>
      <c r="AU186" s="166"/>
      <c r="AV186" s="166"/>
      <c r="AW186" s="166"/>
      <c r="AX186" s="166"/>
      <c r="AY186" s="166"/>
      <c r="AZ186" s="166"/>
      <c r="BA186" s="166"/>
      <c r="BB186" s="166"/>
      <c r="BC186" s="166"/>
      <c r="BD186" s="166"/>
      <c r="BE186" s="166"/>
      <c r="BF186" s="166"/>
      <c r="BG186" s="166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6" t="str">
        <f>IF(E187&gt;C187,Capacity!AR55/'Capacity Summary'!E187,IF(Capacity!AQ55=0,"",Capacity!AQ55))</f>
        <v/>
      </c>
      <c r="H187" s="166"/>
      <c r="I187" s="166"/>
      <c r="J187" s="166"/>
      <c r="K187" s="166"/>
      <c r="L187" s="166"/>
      <c r="M187" s="166"/>
      <c r="N187" s="166"/>
      <c r="O187" s="166"/>
      <c r="P187" s="166"/>
      <c r="Q187" s="166"/>
      <c r="R187" s="166"/>
      <c r="S187" s="166"/>
      <c r="T187" s="166"/>
      <c r="U187" s="166"/>
      <c r="V187" s="166"/>
      <c r="W187" s="166"/>
      <c r="X187" s="166"/>
      <c r="Y187" s="166"/>
      <c r="Z187" s="166"/>
      <c r="AA187" s="166"/>
      <c r="AB187" s="166"/>
      <c r="AC187" s="166"/>
      <c r="AD187" s="166"/>
      <c r="AE187" s="166"/>
      <c r="AF187" s="166"/>
      <c r="AG187" s="166"/>
      <c r="AH187" s="166"/>
      <c r="AI187" s="166"/>
      <c r="AJ187" s="166"/>
      <c r="AK187" s="166"/>
      <c r="AL187" s="166"/>
      <c r="AM187" s="166"/>
      <c r="AN187" s="166"/>
      <c r="AO187" s="166"/>
      <c r="AP187" s="166"/>
      <c r="AQ187" s="166"/>
      <c r="AR187" s="166"/>
      <c r="AS187" s="166"/>
      <c r="AT187" s="166"/>
      <c r="AU187" s="166"/>
      <c r="AV187" s="166"/>
      <c r="AW187" s="166"/>
      <c r="AX187" s="166"/>
      <c r="AY187" s="166"/>
      <c r="AZ187" s="166"/>
      <c r="BA187" s="166"/>
      <c r="BB187" s="166"/>
      <c r="BC187" s="166"/>
      <c r="BD187" s="166"/>
      <c r="BE187" s="166"/>
      <c r="BF187" s="166"/>
      <c r="BG187" s="166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6" t="str">
        <f>IF(E188&gt;C188,Capacity!AR56/'Capacity Summary'!E188,IF(Capacity!AQ56=0,"",Capacity!AQ56))</f>
        <v/>
      </c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  <c r="X188" s="166"/>
      <c r="Y188" s="166"/>
      <c r="Z188" s="166"/>
      <c r="AA188" s="166"/>
      <c r="AB188" s="166"/>
      <c r="AC188" s="166"/>
      <c r="AD188" s="166"/>
      <c r="AE188" s="166"/>
      <c r="AF188" s="166"/>
      <c r="AG188" s="166"/>
      <c r="AH188" s="166"/>
      <c r="AI188" s="166"/>
      <c r="AJ188" s="166"/>
      <c r="AK188" s="166"/>
      <c r="AL188" s="166"/>
      <c r="AM188" s="166"/>
      <c r="AN188" s="166"/>
      <c r="AO188" s="166"/>
      <c r="AP188" s="166"/>
      <c r="AQ188" s="166"/>
      <c r="AR188" s="166"/>
      <c r="AS188" s="166"/>
      <c r="AT188" s="166"/>
      <c r="AU188" s="166"/>
      <c r="AV188" s="166"/>
      <c r="AW188" s="166"/>
      <c r="AX188" s="166"/>
      <c r="AY188" s="166"/>
      <c r="AZ188" s="166"/>
      <c r="BA188" s="166"/>
      <c r="BB188" s="166"/>
      <c r="BC188" s="166"/>
      <c r="BD188" s="166"/>
      <c r="BE188" s="166"/>
      <c r="BF188" s="166"/>
      <c r="BG188" s="166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6" t="str">
        <f>IF(E189&gt;C189,Capacity!AR57/'Capacity Summary'!E189,IF(Capacity!AQ57=0,"",Capacity!AQ57))</f>
        <v/>
      </c>
      <c r="H189" s="166"/>
      <c r="I189" s="166"/>
      <c r="J189" s="166"/>
      <c r="K189" s="166"/>
      <c r="L189" s="166"/>
      <c r="M189" s="166"/>
      <c r="N189" s="166"/>
      <c r="O189" s="166"/>
      <c r="P189" s="166"/>
      <c r="Q189" s="166"/>
      <c r="R189" s="166"/>
      <c r="S189" s="166"/>
      <c r="T189" s="166"/>
      <c r="U189" s="166"/>
      <c r="V189" s="166"/>
      <c r="W189" s="166"/>
      <c r="X189" s="166"/>
      <c r="Y189" s="166"/>
      <c r="Z189" s="166"/>
      <c r="AA189" s="166"/>
      <c r="AB189" s="166"/>
      <c r="AC189" s="166"/>
      <c r="AD189" s="166"/>
      <c r="AE189" s="166"/>
      <c r="AF189" s="166"/>
      <c r="AG189" s="166"/>
      <c r="AH189" s="166"/>
      <c r="AI189" s="166"/>
      <c r="AJ189" s="166"/>
      <c r="AK189" s="166"/>
      <c r="AL189" s="166"/>
      <c r="AM189" s="166"/>
      <c r="AN189" s="166"/>
      <c r="AO189" s="166"/>
      <c r="AP189" s="166"/>
      <c r="AQ189" s="166"/>
      <c r="AR189" s="166"/>
      <c r="AS189" s="166"/>
      <c r="AT189" s="166"/>
      <c r="AU189" s="166"/>
      <c r="AV189" s="166"/>
      <c r="AW189" s="166"/>
      <c r="AX189" s="166"/>
      <c r="AY189" s="166"/>
      <c r="AZ189" s="166"/>
      <c r="BA189" s="166"/>
      <c r="BB189" s="166"/>
      <c r="BC189" s="166"/>
      <c r="BD189" s="166"/>
      <c r="BE189" s="166"/>
      <c r="BF189" s="166"/>
      <c r="BG189" s="166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6" t="str">
        <f>IF(E190&gt;C190,Capacity!AR58/'Capacity Summary'!E190,IF(Capacity!AQ58=0,"",Capacity!AQ58))</f>
        <v/>
      </c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  <c r="X190" s="166"/>
      <c r="Y190" s="166"/>
      <c r="Z190" s="166"/>
      <c r="AA190" s="166"/>
      <c r="AB190" s="166"/>
      <c r="AC190" s="166"/>
      <c r="AD190" s="166"/>
      <c r="AE190" s="166"/>
      <c r="AF190" s="166"/>
      <c r="AG190" s="166"/>
      <c r="AH190" s="166"/>
      <c r="AI190" s="166"/>
      <c r="AJ190" s="166"/>
      <c r="AK190" s="166"/>
      <c r="AL190" s="166"/>
      <c r="AM190" s="166"/>
      <c r="AN190" s="166"/>
      <c r="AO190" s="166"/>
      <c r="AP190" s="166"/>
      <c r="AQ190" s="166"/>
      <c r="AR190" s="166"/>
      <c r="AS190" s="166"/>
      <c r="AT190" s="166"/>
      <c r="AU190" s="166"/>
      <c r="AV190" s="166"/>
      <c r="AW190" s="166"/>
      <c r="AX190" s="166"/>
      <c r="AY190" s="166"/>
      <c r="AZ190" s="166"/>
      <c r="BA190" s="166"/>
      <c r="BB190" s="166"/>
      <c r="BC190" s="166"/>
      <c r="BD190" s="166"/>
      <c r="BE190" s="166"/>
      <c r="BF190" s="166"/>
      <c r="BG190" s="166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6" t="str">
        <f>IF(E191&gt;C191,Capacity!AR59/'Capacity Summary'!E191,IF(Capacity!AQ59=0,"",Capacity!AQ59))</f>
        <v/>
      </c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66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6" t="str">
        <f>IF(E192&gt;C192,Capacity!AR60/'Capacity Summary'!E192,IF(Capacity!AQ60=0,"",Capacity!AQ60))</f>
        <v/>
      </c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  <c r="X192" s="166"/>
      <c r="Y192" s="166"/>
      <c r="Z192" s="166"/>
      <c r="AA192" s="166"/>
      <c r="AB192" s="166"/>
      <c r="AC192" s="166"/>
      <c r="AD192" s="166"/>
      <c r="AE192" s="166"/>
      <c r="AF192" s="166"/>
      <c r="AG192" s="166"/>
      <c r="AH192" s="166"/>
      <c r="AI192" s="166"/>
      <c r="AJ192" s="166"/>
      <c r="AK192" s="166"/>
      <c r="AL192" s="166"/>
      <c r="AM192" s="166"/>
      <c r="AN192" s="166"/>
      <c r="AO192" s="166"/>
      <c r="AP192" s="166"/>
      <c r="AQ192" s="166"/>
      <c r="AR192" s="166"/>
      <c r="AS192" s="166"/>
      <c r="AT192" s="166"/>
      <c r="AU192" s="166"/>
      <c r="AV192" s="166"/>
      <c r="AW192" s="166"/>
      <c r="AX192" s="166"/>
      <c r="AY192" s="166"/>
      <c r="AZ192" s="166"/>
      <c r="BA192" s="166"/>
      <c r="BB192" s="166"/>
      <c r="BC192" s="166"/>
      <c r="BD192" s="166"/>
      <c r="BE192" s="166"/>
      <c r="BF192" s="166"/>
      <c r="BG192" s="166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6" t="str">
        <f>IF(E193&gt;C193,Capacity!AR61/'Capacity Summary'!E193,IF(Capacity!AQ61=0,"",Capacity!AQ61))</f>
        <v/>
      </c>
      <c r="H193" s="166"/>
      <c r="I193" s="166"/>
      <c r="J193" s="166"/>
      <c r="K193" s="166"/>
      <c r="L193" s="166"/>
      <c r="M193" s="166"/>
      <c r="N193" s="166"/>
      <c r="O193" s="166"/>
      <c r="P193" s="166"/>
      <c r="Q193" s="166"/>
      <c r="R193" s="166"/>
      <c r="S193" s="166"/>
      <c r="T193" s="166"/>
      <c r="U193" s="166"/>
      <c r="V193" s="166"/>
      <c r="W193" s="166"/>
      <c r="X193" s="166"/>
      <c r="Y193" s="166"/>
      <c r="Z193" s="166"/>
      <c r="AA193" s="166"/>
      <c r="AB193" s="166"/>
      <c r="AC193" s="166"/>
      <c r="AD193" s="166"/>
      <c r="AE193" s="166"/>
      <c r="AF193" s="166"/>
      <c r="AG193" s="166"/>
      <c r="AH193" s="166"/>
      <c r="AI193" s="166"/>
      <c r="AJ193" s="166"/>
      <c r="AK193" s="166"/>
      <c r="AL193" s="166"/>
      <c r="AM193" s="166"/>
      <c r="AN193" s="166"/>
      <c r="AO193" s="166"/>
      <c r="AP193" s="166"/>
      <c r="AQ193" s="166"/>
      <c r="AR193" s="166"/>
      <c r="AS193" s="166"/>
      <c r="AT193" s="166"/>
      <c r="AU193" s="166"/>
      <c r="AV193" s="166"/>
      <c r="AW193" s="166"/>
      <c r="AX193" s="166"/>
      <c r="AY193" s="166"/>
      <c r="AZ193" s="166"/>
      <c r="BA193" s="166"/>
      <c r="BB193" s="166"/>
      <c r="BC193" s="166"/>
      <c r="BD193" s="166"/>
      <c r="BE193" s="166"/>
      <c r="BF193" s="166"/>
      <c r="BG193" s="166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6" t="str">
        <f>IF(E194&gt;C194,Capacity!AR62/'Capacity Summary'!E194,IF(Capacity!AQ62=0,"",Capacity!AQ62))</f>
        <v/>
      </c>
      <c r="H194" s="166"/>
      <c r="I194" s="166"/>
      <c r="J194" s="166"/>
      <c r="K194" s="166"/>
      <c r="L194" s="166"/>
      <c r="M194" s="166"/>
      <c r="N194" s="166"/>
      <c r="O194" s="166"/>
      <c r="P194" s="166"/>
      <c r="Q194" s="166"/>
      <c r="R194" s="166"/>
      <c r="S194" s="166"/>
      <c r="T194" s="166"/>
      <c r="U194" s="166"/>
      <c r="V194" s="166"/>
      <c r="W194" s="166"/>
      <c r="X194" s="166"/>
      <c r="Y194" s="166"/>
      <c r="Z194" s="166"/>
      <c r="AA194" s="166"/>
      <c r="AB194" s="166"/>
      <c r="AC194" s="166"/>
      <c r="AD194" s="166"/>
      <c r="AE194" s="166"/>
      <c r="AF194" s="166"/>
      <c r="AG194" s="166"/>
      <c r="AH194" s="166"/>
      <c r="AI194" s="166"/>
      <c r="AJ194" s="166"/>
      <c r="AK194" s="166"/>
      <c r="AL194" s="166"/>
      <c r="AM194" s="166"/>
      <c r="AN194" s="166"/>
      <c r="AO194" s="166"/>
      <c r="AP194" s="166"/>
      <c r="AQ194" s="166"/>
      <c r="AR194" s="166"/>
      <c r="AS194" s="166"/>
      <c r="AT194" s="166"/>
      <c r="AU194" s="166"/>
      <c r="AV194" s="166"/>
      <c r="AW194" s="166"/>
      <c r="AX194" s="166"/>
      <c r="AY194" s="166"/>
      <c r="AZ194" s="166"/>
      <c r="BA194" s="166"/>
      <c r="BB194" s="166"/>
      <c r="BC194" s="166"/>
      <c r="BD194" s="166"/>
      <c r="BE194" s="166"/>
      <c r="BF194" s="166"/>
      <c r="BG194" s="166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6" t="str">
        <f>IF(E195&gt;C195,Capacity!AR63/'Capacity Summary'!E195,IF(Capacity!AQ63=0,"",Capacity!AQ63))</f>
        <v/>
      </c>
      <c r="H195" s="166"/>
      <c r="I195" s="166"/>
      <c r="J195" s="166"/>
      <c r="K195" s="166"/>
      <c r="L195" s="166"/>
      <c r="M195" s="166"/>
      <c r="N195" s="166"/>
      <c r="O195" s="166"/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166"/>
      <c r="AC195" s="166"/>
      <c r="AD195" s="166"/>
      <c r="AE195" s="166"/>
      <c r="AF195" s="166"/>
      <c r="AG195" s="166"/>
      <c r="AH195" s="166"/>
      <c r="AI195" s="166"/>
      <c r="AJ195" s="166"/>
      <c r="AK195" s="166"/>
      <c r="AL195" s="166"/>
      <c r="AM195" s="166"/>
      <c r="AN195" s="166"/>
      <c r="AO195" s="166"/>
      <c r="AP195" s="166"/>
      <c r="AQ195" s="166"/>
      <c r="AR195" s="166"/>
      <c r="AS195" s="166"/>
      <c r="AT195" s="166"/>
      <c r="AU195" s="166"/>
      <c r="AV195" s="166"/>
      <c r="AW195" s="166"/>
      <c r="AX195" s="166"/>
      <c r="AY195" s="166"/>
      <c r="AZ195" s="166"/>
      <c r="BA195" s="166"/>
      <c r="BB195" s="166"/>
      <c r="BC195" s="166"/>
      <c r="BD195" s="166"/>
      <c r="BE195" s="166"/>
      <c r="BF195" s="166"/>
      <c r="BG195" s="166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6" t="str">
        <f>IF(E196&gt;C196,Capacity!AR64/'Capacity Summary'!E196,IF(Capacity!AQ64=0,"",Capacity!AQ64))</f>
        <v/>
      </c>
      <c r="H196" s="166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  <c r="AC196" s="166"/>
      <c r="AD196" s="166"/>
      <c r="AE196" s="166"/>
      <c r="AF196" s="166"/>
      <c r="AG196" s="166"/>
      <c r="AH196" s="166"/>
      <c r="AI196" s="166"/>
      <c r="AJ196" s="166"/>
      <c r="AK196" s="166"/>
      <c r="AL196" s="166"/>
      <c r="AM196" s="166"/>
      <c r="AN196" s="166"/>
      <c r="AO196" s="166"/>
      <c r="AP196" s="166"/>
      <c r="AQ196" s="166"/>
      <c r="AR196" s="166"/>
      <c r="AS196" s="166"/>
      <c r="AT196" s="166"/>
      <c r="AU196" s="166"/>
      <c r="AV196" s="166"/>
      <c r="AW196" s="166"/>
      <c r="AX196" s="166"/>
      <c r="AY196" s="166"/>
      <c r="AZ196" s="166"/>
      <c r="BA196" s="166"/>
      <c r="BB196" s="166"/>
      <c r="BC196" s="166"/>
      <c r="BD196" s="166"/>
      <c r="BE196" s="166"/>
      <c r="BF196" s="166"/>
      <c r="BG196" s="166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6" t="str">
        <f>IF(E197&gt;C197,Capacity!AR65/'Capacity Summary'!E197,IF(Capacity!AQ65=0,"",Capacity!AQ65))</f>
        <v/>
      </c>
      <c r="H197" s="166"/>
      <c r="I197" s="166"/>
      <c r="J197" s="166"/>
      <c r="K197" s="166"/>
      <c r="L197" s="166"/>
      <c r="M197" s="166"/>
      <c r="N197" s="166"/>
      <c r="O197" s="166"/>
      <c r="P197" s="166"/>
      <c r="Q197" s="166"/>
      <c r="R197" s="166"/>
      <c r="S197" s="166"/>
      <c r="T197" s="166"/>
      <c r="U197" s="166"/>
      <c r="V197" s="166"/>
      <c r="W197" s="166"/>
      <c r="X197" s="166"/>
      <c r="Y197" s="166"/>
      <c r="Z197" s="166"/>
      <c r="AA197" s="166"/>
      <c r="AB197" s="166"/>
      <c r="AC197" s="166"/>
      <c r="AD197" s="166"/>
      <c r="AE197" s="166"/>
      <c r="AF197" s="166"/>
      <c r="AG197" s="166"/>
      <c r="AH197" s="166"/>
      <c r="AI197" s="166"/>
      <c r="AJ197" s="166"/>
      <c r="AK197" s="166"/>
      <c r="AL197" s="166"/>
      <c r="AM197" s="166"/>
      <c r="AN197" s="166"/>
      <c r="AO197" s="166"/>
      <c r="AP197" s="166"/>
      <c r="AQ197" s="166"/>
      <c r="AR197" s="166"/>
      <c r="AS197" s="166"/>
      <c r="AT197" s="166"/>
      <c r="AU197" s="166"/>
      <c r="AV197" s="166"/>
      <c r="AW197" s="166"/>
      <c r="AX197" s="166"/>
      <c r="AY197" s="166"/>
      <c r="AZ197" s="166"/>
      <c r="BA197" s="166"/>
      <c r="BB197" s="166"/>
      <c r="BC197" s="166"/>
      <c r="BD197" s="166"/>
      <c r="BE197" s="166"/>
      <c r="BF197" s="166"/>
      <c r="BG197" s="166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6" t="str">
        <f>IF(E198&gt;C198,Capacity!AR66/'Capacity Summary'!E198,IF(Capacity!AQ66=0,"",Capacity!AQ66))</f>
        <v/>
      </c>
      <c r="H198" s="166"/>
      <c r="I198" s="166"/>
      <c r="J198" s="166"/>
      <c r="K198" s="166"/>
      <c r="L198" s="166"/>
      <c r="M198" s="166"/>
      <c r="N198" s="166"/>
      <c r="O198" s="166"/>
      <c r="P198" s="166"/>
      <c r="Q198" s="166"/>
      <c r="R198" s="166"/>
      <c r="S198" s="166"/>
      <c r="T198" s="166"/>
      <c r="U198" s="166"/>
      <c r="V198" s="166"/>
      <c r="W198" s="166"/>
      <c r="X198" s="166"/>
      <c r="Y198" s="166"/>
      <c r="Z198" s="166"/>
      <c r="AA198" s="166"/>
      <c r="AB198" s="166"/>
      <c r="AC198" s="166"/>
      <c r="AD198" s="166"/>
      <c r="AE198" s="166"/>
      <c r="AF198" s="166"/>
      <c r="AG198" s="166"/>
      <c r="AH198" s="166"/>
      <c r="AI198" s="166"/>
      <c r="AJ198" s="166"/>
      <c r="AK198" s="166"/>
      <c r="AL198" s="166"/>
      <c r="AM198" s="166"/>
      <c r="AN198" s="166"/>
      <c r="AO198" s="166"/>
      <c r="AP198" s="166"/>
      <c r="AQ198" s="166"/>
      <c r="AR198" s="166"/>
      <c r="AS198" s="166"/>
      <c r="AT198" s="166"/>
      <c r="AU198" s="166"/>
      <c r="AV198" s="166"/>
      <c r="AW198" s="166"/>
      <c r="AX198" s="166"/>
      <c r="AY198" s="166"/>
      <c r="AZ198" s="166"/>
      <c r="BA198" s="166"/>
      <c r="BB198" s="166"/>
      <c r="BC198" s="166"/>
      <c r="BD198" s="166"/>
      <c r="BE198" s="166"/>
      <c r="BF198" s="166"/>
      <c r="BG198" s="166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6" t="str">
        <f>IF(E199&gt;C199,Capacity!AR67/'Capacity Summary'!E199,IF(Capacity!AQ67=0,"",Capacity!AQ67))</f>
        <v/>
      </c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  <c r="AC199" s="166"/>
      <c r="AD199" s="166"/>
      <c r="AE199" s="166"/>
      <c r="AF199" s="166"/>
      <c r="AG199" s="166"/>
      <c r="AH199" s="166"/>
      <c r="AI199" s="166"/>
      <c r="AJ199" s="166"/>
      <c r="AK199" s="166"/>
      <c r="AL199" s="166"/>
      <c r="AM199" s="166"/>
      <c r="AN199" s="166"/>
      <c r="AO199" s="166"/>
      <c r="AP199" s="166"/>
      <c r="AQ199" s="166"/>
      <c r="AR199" s="166"/>
      <c r="AS199" s="166"/>
      <c r="AT199" s="166"/>
      <c r="AU199" s="166"/>
      <c r="AV199" s="166"/>
      <c r="AW199" s="166"/>
      <c r="AX199" s="166"/>
      <c r="AY199" s="166"/>
      <c r="AZ199" s="166"/>
      <c r="BA199" s="166"/>
      <c r="BB199" s="166"/>
      <c r="BC199" s="166"/>
      <c r="BD199" s="166"/>
      <c r="BE199" s="166"/>
      <c r="BF199" s="166"/>
      <c r="BG199" s="166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6" t="str">
        <f>IF(E200&gt;C200,Capacity!AR68/'Capacity Summary'!E200,IF(Capacity!AQ68=0,"",Capacity!AQ68))</f>
        <v/>
      </c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166"/>
      <c r="AH200" s="166"/>
      <c r="AI200" s="166"/>
      <c r="AJ200" s="166"/>
      <c r="AK200" s="166"/>
      <c r="AL200" s="166"/>
      <c r="AM200" s="166"/>
      <c r="AN200" s="166"/>
      <c r="AO200" s="166"/>
      <c r="AP200" s="166"/>
      <c r="AQ200" s="166"/>
      <c r="AR200" s="166"/>
      <c r="AS200" s="166"/>
      <c r="AT200" s="166"/>
      <c r="AU200" s="166"/>
      <c r="AV200" s="166"/>
      <c r="AW200" s="166"/>
      <c r="AX200" s="166"/>
      <c r="AY200" s="166"/>
      <c r="AZ200" s="166"/>
      <c r="BA200" s="166"/>
      <c r="BB200" s="166"/>
      <c r="BC200" s="166"/>
      <c r="BD200" s="166"/>
      <c r="BE200" s="166"/>
      <c r="BF200" s="166"/>
      <c r="BG200" s="166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6" t="str">
        <f>IF(E201&gt;C201,Capacity!AR69/'Capacity Summary'!E201,IF(Capacity!AQ69=0,"",Capacity!AQ69))</f>
        <v/>
      </c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166"/>
      <c r="AH201" s="166"/>
      <c r="AI201" s="166"/>
      <c r="AJ201" s="166"/>
      <c r="AK201" s="166"/>
      <c r="AL201" s="166"/>
      <c r="AM201" s="166"/>
      <c r="AN201" s="166"/>
      <c r="AO201" s="166"/>
      <c r="AP201" s="166"/>
      <c r="AQ201" s="166"/>
      <c r="AR201" s="166"/>
      <c r="AS201" s="166"/>
      <c r="AT201" s="166"/>
      <c r="AU201" s="166"/>
      <c r="AV201" s="166"/>
      <c r="AW201" s="166"/>
      <c r="AX201" s="166"/>
      <c r="AY201" s="166"/>
      <c r="AZ201" s="166"/>
      <c r="BA201" s="166"/>
      <c r="BB201" s="166"/>
      <c r="BC201" s="166"/>
      <c r="BD201" s="166"/>
      <c r="BE201" s="166"/>
      <c r="BF201" s="166"/>
      <c r="BG201" s="166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6" t="str">
        <f>IF(E202&gt;C202,Capacity!AR70/'Capacity Summary'!E202,IF(Capacity!AQ70=0,"",Capacity!AQ70))</f>
        <v/>
      </c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166"/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6"/>
      <c r="BC202" s="166"/>
      <c r="BD202" s="166"/>
      <c r="BE202" s="166"/>
      <c r="BF202" s="166"/>
      <c r="BG202" s="166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6" t="str">
        <f>IF(E203&gt;C203,Capacity!AR71/'Capacity Summary'!E203,IF(Capacity!AQ71=0,"",Capacity!AQ71))</f>
        <v/>
      </c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  <c r="AC203" s="166"/>
      <c r="AD203" s="166"/>
      <c r="AE203" s="166"/>
      <c r="AF203" s="166"/>
      <c r="AG203" s="166"/>
      <c r="AH203" s="166"/>
      <c r="AI203" s="166"/>
      <c r="AJ203" s="166"/>
      <c r="AK203" s="166"/>
      <c r="AL203" s="166"/>
      <c r="AM203" s="166"/>
      <c r="AN203" s="166"/>
      <c r="AO203" s="166"/>
      <c r="AP203" s="166"/>
      <c r="AQ203" s="166"/>
      <c r="AR203" s="166"/>
      <c r="AS203" s="166"/>
      <c r="AT203" s="166"/>
      <c r="AU203" s="166"/>
      <c r="AV203" s="166"/>
      <c r="AW203" s="166"/>
      <c r="AX203" s="166"/>
      <c r="AY203" s="166"/>
      <c r="AZ203" s="166"/>
      <c r="BA203" s="166"/>
      <c r="BB203" s="166"/>
      <c r="BC203" s="166"/>
      <c r="BD203" s="166"/>
      <c r="BE203" s="166"/>
      <c r="BF203" s="166"/>
      <c r="BG203" s="166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6" t="str">
        <f>IF(E204&gt;C204,Capacity!AR72/'Capacity Summary'!E204,IF(Capacity!AQ72=0,"",Capacity!AQ72))</f>
        <v/>
      </c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  <c r="AC204" s="166"/>
      <c r="AD204" s="166"/>
      <c r="AE204" s="166"/>
      <c r="AF204" s="166"/>
      <c r="AG204" s="166"/>
      <c r="AH204" s="166"/>
      <c r="AI204" s="166"/>
      <c r="AJ204" s="166"/>
      <c r="AK204" s="166"/>
      <c r="AL204" s="166"/>
      <c r="AM204" s="166"/>
      <c r="AN204" s="166"/>
      <c r="AO204" s="166"/>
      <c r="AP204" s="166"/>
      <c r="AQ204" s="166"/>
      <c r="AR204" s="166"/>
      <c r="AS204" s="166"/>
      <c r="AT204" s="166"/>
      <c r="AU204" s="166"/>
      <c r="AV204" s="166"/>
      <c r="AW204" s="166"/>
      <c r="AX204" s="166"/>
      <c r="AY204" s="166"/>
      <c r="AZ204" s="166"/>
      <c r="BA204" s="166"/>
      <c r="BB204" s="166"/>
      <c r="BC204" s="166"/>
      <c r="BD204" s="166"/>
      <c r="BE204" s="166"/>
      <c r="BF204" s="166"/>
      <c r="BG204" s="166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6" t="str">
        <f>IF(E205&gt;C205,Capacity!AR73/'Capacity Summary'!E205,IF(Capacity!AQ73=0,"",Capacity!AQ73))</f>
        <v/>
      </c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166"/>
      <c r="AH205" s="166"/>
      <c r="AI205" s="166"/>
      <c r="AJ205" s="166"/>
      <c r="AK205" s="166"/>
      <c r="AL205" s="166"/>
      <c r="AM205" s="166"/>
      <c r="AN205" s="166"/>
      <c r="AO205" s="166"/>
      <c r="AP205" s="166"/>
      <c r="AQ205" s="166"/>
      <c r="AR205" s="166"/>
      <c r="AS205" s="166"/>
      <c r="AT205" s="166"/>
      <c r="AU205" s="166"/>
      <c r="AV205" s="166"/>
      <c r="AW205" s="166"/>
      <c r="AX205" s="166"/>
      <c r="AY205" s="166"/>
      <c r="AZ205" s="166"/>
      <c r="BA205" s="166"/>
      <c r="BB205" s="166"/>
      <c r="BC205" s="166"/>
      <c r="BD205" s="166"/>
      <c r="BE205" s="166"/>
      <c r="BF205" s="166"/>
      <c r="BG205" s="166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6" t="str">
        <f>IF(E206&gt;C206,Capacity!AR74/'Capacity Summary'!E206,IF(Capacity!AQ74=0,"",Capacity!AQ74))</f>
        <v/>
      </c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166"/>
      <c r="AH206" s="166"/>
      <c r="AI206" s="166"/>
      <c r="AJ206" s="166"/>
      <c r="AK206" s="166"/>
      <c r="AL206" s="166"/>
      <c r="AM206" s="166"/>
      <c r="AN206" s="166"/>
      <c r="AO206" s="166"/>
      <c r="AP206" s="166"/>
      <c r="AQ206" s="166"/>
      <c r="AR206" s="166"/>
      <c r="AS206" s="166"/>
      <c r="AT206" s="166"/>
      <c r="AU206" s="166"/>
      <c r="AV206" s="166"/>
      <c r="AW206" s="166"/>
      <c r="AX206" s="166"/>
      <c r="AY206" s="166"/>
      <c r="AZ206" s="166"/>
      <c r="BA206" s="166"/>
      <c r="BB206" s="166"/>
      <c r="BC206" s="166"/>
      <c r="BD206" s="166"/>
      <c r="BE206" s="166"/>
      <c r="BF206" s="166"/>
      <c r="BG206" s="166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6" t="str">
        <f>IF(E207&gt;C207,Capacity!AR75/'Capacity Summary'!E207,IF(Capacity!AQ75=0,"",Capacity!AQ75))</f>
        <v/>
      </c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166"/>
      <c r="AH207" s="166"/>
      <c r="AI207" s="166"/>
      <c r="AJ207" s="166"/>
      <c r="AK207" s="166"/>
      <c r="AL207" s="166"/>
      <c r="AM207" s="166"/>
      <c r="AN207" s="166"/>
      <c r="AO207" s="166"/>
      <c r="AP207" s="166"/>
      <c r="AQ207" s="166"/>
      <c r="AR207" s="166"/>
      <c r="AS207" s="166"/>
      <c r="AT207" s="166"/>
      <c r="AU207" s="166"/>
      <c r="AV207" s="166"/>
      <c r="AW207" s="166"/>
      <c r="AX207" s="166"/>
      <c r="AY207" s="166"/>
      <c r="AZ207" s="166"/>
      <c r="BA207" s="166"/>
      <c r="BB207" s="166"/>
      <c r="BC207" s="166"/>
      <c r="BD207" s="166"/>
      <c r="BE207" s="166"/>
      <c r="BF207" s="166"/>
      <c r="BG207" s="166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6" t="str">
        <f>IF(E208&gt;C208,Capacity!AR76/'Capacity Summary'!E208,IF(Capacity!AQ76=0,"",Capacity!AQ76))</f>
        <v/>
      </c>
      <c r="H208" s="166"/>
      <c r="I208" s="166"/>
      <c r="J208" s="166"/>
      <c r="K208" s="166"/>
      <c r="L208" s="166"/>
      <c r="M208" s="166"/>
      <c r="N208" s="166"/>
      <c r="O208" s="166"/>
      <c r="P208" s="166"/>
      <c r="Q208" s="166"/>
      <c r="R208" s="166"/>
      <c r="S208" s="166"/>
      <c r="T208" s="166"/>
      <c r="U208" s="166"/>
      <c r="V208" s="166"/>
      <c r="W208" s="166"/>
      <c r="X208" s="166"/>
      <c r="Y208" s="166"/>
      <c r="Z208" s="166"/>
      <c r="AA208" s="166"/>
      <c r="AB208" s="166"/>
      <c r="AC208" s="166"/>
      <c r="AD208" s="166"/>
      <c r="AE208" s="166"/>
      <c r="AF208" s="166"/>
      <c r="AG208" s="166"/>
      <c r="AH208" s="166"/>
      <c r="AI208" s="166"/>
      <c r="AJ208" s="166"/>
      <c r="AK208" s="166"/>
      <c r="AL208" s="166"/>
      <c r="AM208" s="166"/>
      <c r="AN208" s="166"/>
      <c r="AO208" s="166"/>
      <c r="AP208" s="166"/>
      <c r="AQ208" s="166"/>
      <c r="AR208" s="166"/>
      <c r="AS208" s="166"/>
      <c r="AT208" s="166"/>
      <c r="AU208" s="166"/>
      <c r="AV208" s="166"/>
      <c r="AW208" s="166"/>
      <c r="AX208" s="166"/>
      <c r="AY208" s="166"/>
      <c r="AZ208" s="166"/>
      <c r="BA208" s="166"/>
      <c r="BB208" s="166"/>
      <c r="BC208" s="166"/>
      <c r="BD208" s="166"/>
      <c r="BE208" s="166"/>
      <c r="BF208" s="166"/>
      <c r="BG208" s="166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6" t="str">
        <f>IF(E209&gt;C209,Capacity!AR77/'Capacity Summary'!E209,IF(Capacity!AQ77=0,"",Capacity!AQ77))</f>
        <v/>
      </c>
      <c r="H209" s="166"/>
      <c r="I209" s="166"/>
      <c r="J209" s="166"/>
      <c r="K209" s="166"/>
      <c r="L209" s="166"/>
      <c r="M209" s="166"/>
      <c r="N209" s="166"/>
      <c r="O209" s="166"/>
      <c r="P209" s="166"/>
      <c r="Q209" s="166"/>
      <c r="R209" s="166"/>
      <c r="S209" s="166"/>
      <c r="T209" s="166"/>
      <c r="U209" s="166"/>
      <c r="V209" s="166"/>
      <c r="W209" s="166"/>
      <c r="X209" s="166"/>
      <c r="Y209" s="166"/>
      <c r="Z209" s="166"/>
      <c r="AA209" s="166"/>
      <c r="AB209" s="166"/>
      <c r="AC209" s="166"/>
      <c r="AD209" s="166"/>
      <c r="AE209" s="166"/>
      <c r="AF209" s="166"/>
      <c r="AG209" s="166"/>
      <c r="AH209" s="166"/>
      <c r="AI209" s="166"/>
      <c r="AJ209" s="166"/>
      <c r="AK209" s="166"/>
      <c r="AL209" s="166"/>
      <c r="AM209" s="166"/>
      <c r="AN209" s="166"/>
      <c r="AO209" s="166"/>
      <c r="AP209" s="166"/>
      <c r="AQ209" s="166"/>
      <c r="AR209" s="166"/>
      <c r="AS209" s="166"/>
      <c r="AT209" s="166"/>
      <c r="AU209" s="166"/>
      <c r="AV209" s="166"/>
      <c r="AW209" s="166"/>
      <c r="AX209" s="166"/>
      <c r="AY209" s="166"/>
      <c r="AZ209" s="166"/>
      <c r="BA209" s="166"/>
      <c r="BB209" s="166"/>
      <c r="BC209" s="166"/>
      <c r="BD209" s="166"/>
      <c r="BE209" s="166"/>
      <c r="BF209" s="166"/>
      <c r="BG209" s="166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6" t="str">
        <f>IF(E210&gt;C210,Capacity!AR78/'Capacity Summary'!E210,IF(Capacity!AQ78=0,"",Capacity!AQ78))</f>
        <v/>
      </c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  <c r="AC210" s="166"/>
      <c r="AD210" s="166"/>
      <c r="AE210" s="166"/>
      <c r="AF210" s="166"/>
      <c r="AG210" s="166"/>
      <c r="AH210" s="166"/>
      <c r="AI210" s="166"/>
      <c r="AJ210" s="166"/>
      <c r="AK210" s="166"/>
      <c r="AL210" s="166"/>
      <c r="AM210" s="166"/>
      <c r="AN210" s="166"/>
      <c r="AO210" s="166"/>
      <c r="AP210" s="166"/>
      <c r="AQ210" s="166"/>
      <c r="AR210" s="166"/>
      <c r="AS210" s="166"/>
      <c r="AT210" s="166"/>
      <c r="AU210" s="166"/>
      <c r="AV210" s="166"/>
      <c r="AW210" s="166"/>
      <c r="AX210" s="166"/>
      <c r="AY210" s="166"/>
      <c r="AZ210" s="166"/>
      <c r="BA210" s="166"/>
      <c r="BB210" s="166"/>
      <c r="BC210" s="166"/>
      <c r="BD210" s="166"/>
      <c r="BE210" s="166"/>
      <c r="BF210" s="166"/>
      <c r="BG210" s="166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6" t="str">
        <f>IF(E211&gt;C211,Capacity!AR79/'Capacity Summary'!E211,IF(Capacity!AQ79=0,"",Capacity!AQ79))</f>
        <v/>
      </c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  <c r="AC211" s="166"/>
      <c r="AD211" s="166"/>
      <c r="AE211" s="166"/>
      <c r="AF211" s="166"/>
      <c r="AG211" s="166"/>
      <c r="AH211" s="166"/>
      <c r="AI211" s="166"/>
      <c r="AJ211" s="166"/>
      <c r="AK211" s="166"/>
      <c r="AL211" s="166"/>
      <c r="AM211" s="166"/>
      <c r="AN211" s="166"/>
      <c r="AO211" s="166"/>
      <c r="AP211" s="166"/>
      <c r="AQ211" s="166"/>
      <c r="AR211" s="166"/>
      <c r="AS211" s="166"/>
      <c r="AT211" s="166"/>
      <c r="AU211" s="166"/>
      <c r="AV211" s="166"/>
      <c r="AW211" s="166"/>
      <c r="AX211" s="166"/>
      <c r="AY211" s="166"/>
      <c r="AZ211" s="166"/>
      <c r="BA211" s="166"/>
      <c r="BB211" s="166"/>
      <c r="BC211" s="166"/>
      <c r="BD211" s="166"/>
      <c r="BE211" s="166"/>
      <c r="BF211" s="166"/>
      <c r="BG211" s="166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6" t="str">
        <f>IF(E212&gt;C212,Capacity!AR80/'Capacity Summary'!E212,IF(Capacity!AQ80=0,"",Capacity!AQ80))</f>
        <v/>
      </c>
      <c r="H212" s="166"/>
      <c r="I212" s="166"/>
      <c r="J212" s="166"/>
      <c r="K212" s="166"/>
      <c r="L212" s="166"/>
      <c r="M212" s="166"/>
      <c r="N212" s="166"/>
      <c r="O212" s="166"/>
      <c r="P212" s="166"/>
      <c r="Q212" s="166"/>
      <c r="R212" s="166"/>
      <c r="S212" s="166"/>
      <c r="T212" s="166"/>
      <c r="U212" s="166"/>
      <c r="V212" s="166"/>
      <c r="W212" s="166"/>
      <c r="X212" s="166"/>
      <c r="Y212" s="166"/>
      <c r="Z212" s="166"/>
      <c r="AA212" s="166"/>
      <c r="AB212" s="166"/>
      <c r="AC212" s="166"/>
      <c r="AD212" s="166"/>
      <c r="AE212" s="166"/>
      <c r="AF212" s="166"/>
      <c r="AG212" s="166"/>
      <c r="AH212" s="166"/>
      <c r="AI212" s="166"/>
      <c r="AJ212" s="166"/>
      <c r="AK212" s="166"/>
      <c r="AL212" s="166"/>
      <c r="AM212" s="166"/>
      <c r="AN212" s="166"/>
      <c r="AO212" s="166"/>
      <c r="AP212" s="166"/>
      <c r="AQ212" s="166"/>
      <c r="AR212" s="166"/>
      <c r="AS212" s="166"/>
      <c r="AT212" s="166"/>
      <c r="AU212" s="166"/>
      <c r="AV212" s="166"/>
      <c r="AW212" s="166"/>
      <c r="AX212" s="166"/>
      <c r="AY212" s="166"/>
      <c r="AZ212" s="166"/>
      <c r="BA212" s="166"/>
      <c r="BB212" s="166"/>
      <c r="BC212" s="166"/>
      <c r="BD212" s="166"/>
      <c r="BE212" s="166"/>
      <c r="BF212" s="166"/>
      <c r="BG212" s="166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6" t="str">
        <f>IF(E213&gt;C213,Capacity!AR81/'Capacity Summary'!E213,IF(Capacity!AQ81=0,"",Capacity!AQ81))</f>
        <v/>
      </c>
      <c r="H213" s="166"/>
      <c r="I213" s="166"/>
      <c r="J213" s="166"/>
      <c r="K213" s="166"/>
      <c r="L213" s="166"/>
      <c r="M213" s="166"/>
      <c r="N213" s="166"/>
      <c r="O213" s="166"/>
      <c r="P213" s="166"/>
      <c r="Q213" s="166"/>
      <c r="R213" s="166"/>
      <c r="S213" s="166"/>
      <c r="T213" s="166"/>
      <c r="U213" s="166"/>
      <c r="V213" s="166"/>
      <c r="W213" s="166"/>
      <c r="X213" s="166"/>
      <c r="Y213" s="166"/>
      <c r="Z213" s="166"/>
      <c r="AA213" s="166"/>
      <c r="AB213" s="166"/>
      <c r="AC213" s="166"/>
      <c r="AD213" s="166"/>
      <c r="AE213" s="166"/>
      <c r="AF213" s="166"/>
      <c r="AG213" s="166"/>
      <c r="AH213" s="166"/>
      <c r="AI213" s="166"/>
      <c r="AJ213" s="166"/>
      <c r="AK213" s="166"/>
      <c r="AL213" s="166"/>
      <c r="AM213" s="166"/>
      <c r="AN213" s="166"/>
      <c r="AO213" s="166"/>
      <c r="AP213" s="166"/>
      <c r="AQ213" s="166"/>
      <c r="AR213" s="166"/>
      <c r="AS213" s="166"/>
      <c r="AT213" s="166"/>
      <c r="AU213" s="166"/>
      <c r="AV213" s="166"/>
      <c r="AW213" s="166"/>
      <c r="AX213" s="166"/>
      <c r="AY213" s="166"/>
      <c r="AZ213" s="166"/>
      <c r="BA213" s="166"/>
      <c r="BB213" s="166"/>
      <c r="BC213" s="166"/>
      <c r="BD213" s="166"/>
      <c r="BE213" s="166"/>
      <c r="BF213" s="166"/>
      <c r="BG213" s="166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6" t="str">
        <f>IF(E214&gt;C214,Capacity!AR82/'Capacity Summary'!E214,IF(Capacity!AQ82=0,"",Capacity!AQ82))</f>
        <v/>
      </c>
      <c r="H214" s="166"/>
      <c r="I214" s="166"/>
      <c r="J214" s="166"/>
      <c r="K214" s="166"/>
      <c r="L214" s="166"/>
      <c r="M214" s="166"/>
      <c r="N214" s="166"/>
      <c r="O214" s="166"/>
      <c r="P214" s="166"/>
      <c r="Q214" s="166"/>
      <c r="R214" s="166"/>
      <c r="S214" s="166"/>
      <c r="T214" s="166"/>
      <c r="U214" s="166"/>
      <c r="V214" s="166"/>
      <c r="W214" s="166"/>
      <c r="X214" s="166"/>
      <c r="Y214" s="166"/>
      <c r="Z214" s="166"/>
      <c r="AA214" s="166"/>
      <c r="AB214" s="166"/>
      <c r="AC214" s="166"/>
      <c r="AD214" s="166"/>
      <c r="AE214" s="166"/>
      <c r="AF214" s="166"/>
      <c r="AG214" s="166"/>
      <c r="AH214" s="166"/>
      <c r="AI214" s="166"/>
      <c r="AJ214" s="166"/>
      <c r="AK214" s="166"/>
      <c r="AL214" s="166"/>
      <c r="AM214" s="166"/>
      <c r="AN214" s="166"/>
      <c r="AO214" s="166"/>
      <c r="AP214" s="166"/>
      <c r="AQ214" s="166"/>
      <c r="AR214" s="166"/>
      <c r="AS214" s="166"/>
      <c r="AT214" s="166"/>
      <c r="AU214" s="166"/>
      <c r="AV214" s="166"/>
      <c r="AW214" s="166"/>
      <c r="AX214" s="166"/>
      <c r="AY214" s="166"/>
      <c r="AZ214" s="166"/>
      <c r="BA214" s="166"/>
      <c r="BB214" s="166"/>
      <c r="BC214" s="166"/>
      <c r="BD214" s="166"/>
      <c r="BE214" s="166"/>
      <c r="BF214" s="166"/>
      <c r="BG214" s="166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6" t="str">
        <f>IF(E215&gt;C215,Capacity!AR83/'Capacity Summary'!E215,IF(Capacity!AQ83=0,"",Capacity!AQ83))</f>
        <v/>
      </c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6"/>
      <c r="AI215" s="166"/>
      <c r="AJ215" s="166"/>
      <c r="AK215" s="166"/>
      <c r="AL215" s="166"/>
      <c r="AM215" s="166"/>
      <c r="AN215" s="166"/>
      <c r="AO215" s="166"/>
      <c r="AP215" s="166"/>
      <c r="AQ215" s="166"/>
      <c r="AR215" s="166"/>
      <c r="AS215" s="166"/>
      <c r="AT215" s="166"/>
      <c r="AU215" s="166"/>
      <c r="AV215" s="166"/>
      <c r="AW215" s="166"/>
      <c r="AX215" s="166"/>
      <c r="AY215" s="166"/>
      <c r="AZ215" s="166"/>
      <c r="BA215" s="166"/>
      <c r="BB215" s="166"/>
      <c r="BC215" s="166"/>
      <c r="BD215" s="166"/>
      <c r="BE215" s="166"/>
      <c r="BF215" s="166"/>
      <c r="BG215" s="166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6" t="str">
        <f>IF(E216&gt;C216,Capacity!AR84/'Capacity Summary'!E216,IF(Capacity!AQ84=0,"",Capacity!AQ84))</f>
        <v/>
      </c>
      <c r="H216" s="166"/>
      <c r="I216" s="166"/>
      <c r="J216" s="166"/>
      <c r="K216" s="166"/>
      <c r="L216" s="166"/>
      <c r="M216" s="166"/>
      <c r="N216" s="166"/>
      <c r="O216" s="166"/>
      <c r="P216" s="166"/>
      <c r="Q216" s="166"/>
      <c r="R216" s="166"/>
      <c r="S216" s="166"/>
      <c r="T216" s="166"/>
      <c r="U216" s="166"/>
      <c r="V216" s="166"/>
      <c r="W216" s="166"/>
      <c r="X216" s="166"/>
      <c r="Y216" s="166"/>
      <c r="Z216" s="166"/>
      <c r="AA216" s="166"/>
      <c r="AB216" s="166"/>
      <c r="AC216" s="166"/>
      <c r="AD216" s="166"/>
      <c r="AE216" s="166"/>
      <c r="AF216" s="166"/>
      <c r="AG216" s="166"/>
      <c r="AH216" s="166"/>
      <c r="AI216" s="166"/>
      <c r="AJ216" s="166"/>
      <c r="AK216" s="166"/>
      <c r="AL216" s="166"/>
      <c r="AM216" s="166"/>
      <c r="AN216" s="166"/>
      <c r="AO216" s="166"/>
      <c r="AP216" s="166"/>
      <c r="AQ216" s="166"/>
      <c r="AR216" s="166"/>
      <c r="AS216" s="166"/>
      <c r="AT216" s="166"/>
      <c r="AU216" s="166"/>
      <c r="AV216" s="166"/>
      <c r="AW216" s="166"/>
      <c r="AX216" s="166"/>
      <c r="AY216" s="166"/>
      <c r="AZ216" s="166"/>
      <c r="BA216" s="166"/>
      <c r="BB216" s="166"/>
      <c r="BC216" s="166"/>
      <c r="BD216" s="166"/>
      <c r="BE216" s="166"/>
      <c r="BF216" s="166"/>
      <c r="BG216" s="166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6" t="str">
        <f>IF(E217&gt;C217,Capacity!AR85/'Capacity Summary'!E217,IF(Capacity!AQ85=0,"",Capacity!AQ85))</f>
        <v/>
      </c>
      <c r="H217" s="166"/>
      <c r="I217" s="166"/>
      <c r="J217" s="166"/>
      <c r="K217" s="166"/>
      <c r="L217" s="166"/>
      <c r="M217" s="166"/>
      <c r="N217" s="166"/>
      <c r="O217" s="166"/>
      <c r="P217" s="166"/>
      <c r="Q217" s="166"/>
      <c r="R217" s="166"/>
      <c r="S217" s="166"/>
      <c r="T217" s="166"/>
      <c r="U217" s="166"/>
      <c r="V217" s="166"/>
      <c r="W217" s="166"/>
      <c r="X217" s="166"/>
      <c r="Y217" s="166"/>
      <c r="Z217" s="166"/>
      <c r="AA217" s="166"/>
      <c r="AB217" s="166"/>
      <c r="AC217" s="166"/>
      <c r="AD217" s="166"/>
      <c r="AE217" s="166"/>
      <c r="AF217" s="166"/>
      <c r="AG217" s="166"/>
      <c r="AH217" s="166"/>
      <c r="AI217" s="166"/>
      <c r="AJ217" s="166"/>
      <c r="AK217" s="166"/>
      <c r="AL217" s="166"/>
      <c r="AM217" s="166"/>
      <c r="AN217" s="166"/>
      <c r="AO217" s="166"/>
      <c r="AP217" s="166"/>
      <c r="AQ217" s="166"/>
      <c r="AR217" s="166"/>
      <c r="AS217" s="166"/>
      <c r="AT217" s="166"/>
      <c r="AU217" s="166"/>
      <c r="AV217" s="166"/>
      <c r="AW217" s="166"/>
      <c r="AX217" s="166"/>
      <c r="AY217" s="166"/>
      <c r="AZ217" s="166"/>
      <c r="BA217" s="166"/>
      <c r="BB217" s="166"/>
      <c r="BC217" s="166"/>
      <c r="BD217" s="166"/>
      <c r="BE217" s="166"/>
      <c r="BF217" s="166"/>
      <c r="BG217" s="166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6" t="str">
        <f>IF(E218&gt;C218,Capacity!AR86/'Capacity Summary'!E218,IF(Capacity!AQ86=0,"",Capacity!AQ86))</f>
        <v/>
      </c>
      <c r="H218" s="166"/>
      <c r="I218" s="166"/>
      <c r="J218" s="166"/>
      <c r="K218" s="166"/>
      <c r="L218" s="166"/>
      <c r="M218" s="166"/>
      <c r="N218" s="166"/>
      <c r="O218" s="166"/>
      <c r="P218" s="166"/>
      <c r="Q218" s="166"/>
      <c r="R218" s="166"/>
      <c r="S218" s="166"/>
      <c r="T218" s="166"/>
      <c r="U218" s="166"/>
      <c r="V218" s="166"/>
      <c r="W218" s="166"/>
      <c r="X218" s="166"/>
      <c r="Y218" s="166"/>
      <c r="Z218" s="166"/>
      <c r="AA218" s="166"/>
      <c r="AB218" s="166"/>
      <c r="AC218" s="166"/>
      <c r="AD218" s="166"/>
      <c r="AE218" s="166"/>
      <c r="AF218" s="166"/>
      <c r="AG218" s="166"/>
      <c r="AH218" s="166"/>
      <c r="AI218" s="166"/>
      <c r="AJ218" s="166"/>
      <c r="AK218" s="166"/>
      <c r="AL218" s="166"/>
      <c r="AM218" s="166"/>
      <c r="AN218" s="166"/>
      <c r="AO218" s="166"/>
      <c r="AP218" s="166"/>
      <c r="AQ218" s="166"/>
      <c r="AR218" s="166"/>
      <c r="AS218" s="166"/>
      <c r="AT218" s="166"/>
      <c r="AU218" s="166"/>
      <c r="AV218" s="166"/>
      <c r="AW218" s="166"/>
      <c r="AX218" s="166"/>
      <c r="AY218" s="166"/>
      <c r="AZ218" s="166"/>
      <c r="BA218" s="166"/>
      <c r="BB218" s="166"/>
      <c r="BC218" s="166"/>
      <c r="BD218" s="166"/>
      <c r="BE218" s="166"/>
      <c r="BF218" s="166"/>
      <c r="BG218" s="166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6" t="str">
        <f>IF(E219&gt;C219,Capacity!AR87/'Capacity Summary'!E219,IF(Capacity!AQ87=0,"",Capacity!AQ87))</f>
        <v/>
      </c>
      <c r="H219" s="166"/>
      <c r="I219" s="166"/>
      <c r="J219" s="166"/>
      <c r="K219" s="166"/>
      <c r="L219" s="166"/>
      <c r="M219" s="166"/>
      <c r="N219" s="166"/>
      <c r="O219" s="166"/>
      <c r="P219" s="166"/>
      <c r="Q219" s="166"/>
      <c r="R219" s="166"/>
      <c r="S219" s="166"/>
      <c r="T219" s="166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6"/>
      <c r="BD219" s="166"/>
      <c r="BE219" s="166"/>
      <c r="BF219" s="166"/>
      <c r="BG219" s="166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6" t="str">
        <f>IF(E220&gt;C220,Capacity!AR88/'Capacity Summary'!E220,IF(Capacity!AQ88=0,"",Capacity!AQ88))</f>
        <v/>
      </c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  <c r="AC220" s="166"/>
      <c r="AD220" s="166"/>
      <c r="AE220" s="166"/>
      <c r="AF220" s="166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6"/>
      <c r="BD220" s="166"/>
      <c r="BE220" s="166"/>
      <c r="BF220" s="166"/>
      <c r="BG220" s="166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6" t="str">
        <f>IF(E221&gt;C221,Capacity!AR89/'Capacity Summary'!E221,IF(Capacity!AQ89=0,"",Capacity!AQ89))</f>
        <v/>
      </c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  <c r="AC221" s="166"/>
      <c r="AD221" s="166"/>
      <c r="AE221" s="166"/>
      <c r="AF221" s="166"/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6"/>
      <c r="BD221" s="166"/>
      <c r="BE221" s="166"/>
      <c r="BF221" s="166"/>
      <c r="BG221" s="166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6" t="str">
        <f>IF(E222&gt;C222,Capacity!AR90/'Capacity Summary'!E222,IF(Capacity!AQ90=0,"",Capacity!AQ90))</f>
        <v/>
      </c>
      <c r="H222" s="166"/>
      <c r="I222" s="166"/>
      <c r="J222" s="166"/>
      <c r="K222" s="166"/>
      <c r="L222" s="166"/>
      <c r="M222" s="166"/>
      <c r="N222" s="166"/>
      <c r="O222" s="166"/>
      <c r="P222" s="166"/>
      <c r="Q222" s="166"/>
      <c r="R222" s="166"/>
      <c r="S222" s="166"/>
      <c r="T222" s="166"/>
      <c r="U222" s="166"/>
      <c r="V222" s="166"/>
      <c r="W222" s="166"/>
      <c r="X222" s="166"/>
      <c r="Y222" s="166"/>
      <c r="Z222" s="166"/>
      <c r="AA222" s="166"/>
      <c r="AB222" s="166"/>
      <c r="AC222" s="166"/>
      <c r="AD222" s="166"/>
      <c r="AE222" s="166"/>
      <c r="AF222" s="166"/>
      <c r="AG222" s="166"/>
      <c r="AH222" s="166"/>
      <c r="AI222" s="166"/>
      <c r="AJ222" s="166"/>
      <c r="AK222" s="166"/>
      <c r="AL222" s="166"/>
      <c r="AM222" s="166"/>
      <c r="AN222" s="166"/>
      <c r="AO222" s="166"/>
      <c r="AP222" s="166"/>
      <c r="AQ222" s="166"/>
      <c r="AR222" s="166"/>
      <c r="AS222" s="166"/>
      <c r="AT222" s="166"/>
      <c r="AU222" s="166"/>
      <c r="AV222" s="166"/>
      <c r="AW222" s="166"/>
      <c r="AX222" s="166"/>
      <c r="AY222" s="166"/>
      <c r="AZ222" s="166"/>
      <c r="BA222" s="166"/>
      <c r="BB222" s="166"/>
      <c r="BC222" s="166"/>
      <c r="BD222" s="166"/>
      <c r="BE222" s="166"/>
      <c r="BF222" s="166"/>
      <c r="BG222" s="166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6" t="str">
        <f>IF(E223&gt;C223,Capacity!AR91/'Capacity Summary'!E223,IF(Capacity!AQ91=0,"",Capacity!AQ91))</f>
        <v/>
      </c>
      <c r="H223" s="166"/>
      <c r="I223" s="166"/>
      <c r="J223" s="166"/>
      <c r="K223" s="166"/>
      <c r="L223" s="166"/>
      <c r="M223" s="166"/>
      <c r="N223" s="166"/>
      <c r="O223" s="166"/>
      <c r="P223" s="166"/>
      <c r="Q223" s="166"/>
      <c r="R223" s="166"/>
      <c r="S223" s="166"/>
      <c r="T223" s="166"/>
      <c r="U223" s="166"/>
      <c r="V223" s="166"/>
      <c r="W223" s="166"/>
      <c r="X223" s="166"/>
      <c r="Y223" s="166"/>
      <c r="Z223" s="166"/>
      <c r="AA223" s="166"/>
      <c r="AB223" s="166"/>
      <c r="AC223" s="166"/>
      <c r="AD223" s="166"/>
      <c r="AE223" s="166"/>
      <c r="AF223" s="166"/>
      <c r="AG223" s="166"/>
      <c r="AH223" s="166"/>
      <c r="AI223" s="166"/>
      <c r="AJ223" s="166"/>
      <c r="AK223" s="166"/>
      <c r="AL223" s="166"/>
      <c r="AM223" s="166"/>
      <c r="AN223" s="166"/>
      <c r="AO223" s="166"/>
      <c r="AP223" s="166"/>
      <c r="AQ223" s="166"/>
      <c r="AR223" s="166"/>
      <c r="AS223" s="166"/>
      <c r="AT223" s="166"/>
      <c r="AU223" s="166"/>
      <c r="AV223" s="166"/>
      <c r="AW223" s="166"/>
      <c r="AX223" s="166"/>
      <c r="AY223" s="166"/>
      <c r="AZ223" s="166"/>
      <c r="BA223" s="166"/>
      <c r="BB223" s="166"/>
      <c r="BC223" s="166"/>
      <c r="BD223" s="166"/>
      <c r="BE223" s="166"/>
      <c r="BF223" s="166"/>
      <c r="BG223" s="166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6" t="str">
        <f>IF(E224&gt;C224,Capacity!AR92/'Capacity Summary'!E224,IF(Capacity!AQ92=0,"",Capacity!AQ92))</f>
        <v/>
      </c>
      <c r="H224" s="166"/>
      <c r="I224" s="166"/>
      <c r="J224" s="166"/>
      <c r="K224" s="166"/>
      <c r="L224" s="166"/>
      <c r="M224" s="166"/>
      <c r="N224" s="166"/>
      <c r="O224" s="166"/>
      <c r="P224" s="166"/>
      <c r="Q224" s="166"/>
      <c r="R224" s="166"/>
      <c r="S224" s="166"/>
      <c r="T224" s="166"/>
      <c r="U224" s="166"/>
      <c r="V224" s="166"/>
      <c r="W224" s="166"/>
      <c r="X224" s="166"/>
      <c r="Y224" s="166"/>
      <c r="Z224" s="166"/>
      <c r="AA224" s="166"/>
      <c r="AB224" s="166"/>
      <c r="AC224" s="166"/>
      <c r="AD224" s="166"/>
      <c r="AE224" s="166"/>
      <c r="AF224" s="166"/>
      <c r="AG224" s="166"/>
      <c r="AH224" s="166"/>
      <c r="AI224" s="166"/>
      <c r="AJ224" s="166"/>
      <c r="AK224" s="166"/>
      <c r="AL224" s="166"/>
      <c r="AM224" s="166"/>
      <c r="AN224" s="166"/>
      <c r="AO224" s="166"/>
      <c r="AP224" s="166"/>
      <c r="AQ224" s="166"/>
      <c r="AR224" s="166"/>
      <c r="AS224" s="166"/>
      <c r="AT224" s="166"/>
      <c r="AU224" s="166"/>
      <c r="AV224" s="166"/>
      <c r="AW224" s="166"/>
      <c r="AX224" s="166"/>
      <c r="AY224" s="166"/>
      <c r="AZ224" s="166"/>
      <c r="BA224" s="166"/>
      <c r="BB224" s="166"/>
      <c r="BC224" s="166"/>
      <c r="BD224" s="166"/>
      <c r="BE224" s="166"/>
      <c r="BF224" s="166"/>
      <c r="BG224" s="166"/>
    </row>
    <row r="225" spans="1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6" t="str">
        <f>IF(E225&gt;C225,Capacity!AR93/'Capacity Summary'!E225,IF(Capacity!AQ93=0,"",Capacity!AQ93))</f>
        <v/>
      </c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  <c r="AQ225" s="166"/>
      <c r="AR225" s="166"/>
      <c r="AS225" s="166"/>
      <c r="AT225" s="166"/>
      <c r="AU225" s="166"/>
      <c r="AV225" s="166"/>
      <c r="AW225" s="166"/>
      <c r="AX225" s="166"/>
      <c r="AY225" s="166"/>
      <c r="AZ225" s="166"/>
      <c r="BA225" s="166"/>
      <c r="BB225" s="166"/>
      <c r="BC225" s="166"/>
      <c r="BD225" s="166"/>
      <c r="BE225" s="166"/>
      <c r="BF225" s="166"/>
      <c r="BG225" s="166"/>
    </row>
    <row r="226" spans="1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6" t="str">
        <f>IF(E226&gt;C226,Capacity!AR94/'Capacity Summary'!E226,IF(Capacity!AQ94=0,"",Capacity!AQ94))</f>
        <v/>
      </c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  <c r="AT226" s="166"/>
      <c r="AU226" s="166"/>
      <c r="AV226" s="166"/>
      <c r="AW226" s="166"/>
      <c r="AX226" s="166"/>
      <c r="AY226" s="166"/>
      <c r="AZ226" s="166"/>
      <c r="BA226" s="166"/>
      <c r="BB226" s="166"/>
      <c r="BC226" s="166"/>
      <c r="BD226" s="166"/>
      <c r="BE226" s="166"/>
      <c r="BF226" s="166"/>
      <c r="BG226" s="166"/>
    </row>
    <row r="227" spans="1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6" t="str">
        <f>IF(E227&gt;C227,Capacity!AR95/'Capacity Summary'!E227,IF(Capacity!AQ95=0,"",Capacity!AQ95))</f>
        <v/>
      </c>
      <c r="H227" s="166"/>
      <c r="I227" s="166"/>
      <c r="J227" s="166"/>
      <c r="K227" s="166"/>
      <c r="L227" s="166"/>
      <c r="M227" s="166"/>
      <c r="N227" s="166"/>
      <c r="O227" s="166"/>
      <c r="P227" s="166"/>
      <c r="Q227" s="166"/>
      <c r="R227" s="166"/>
      <c r="S227" s="166"/>
      <c r="T227" s="166"/>
      <c r="U227" s="166"/>
      <c r="V227" s="166"/>
      <c r="W227" s="166"/>
      <c r="X227" s="166"/>
      <c r="Y227" s="166"/>
      <c r="Z227" s="166"/>
      <c r="AA227" s="166"/>
      <c r="AB227" s="166"/>
      <c r="AC227" s="166"/>
      <c r="AD227" s="166"/>
      <c r="AE227" s="166"/>
      <c r="AF227" s="166"/>
      <c r="AG227" s="166"/>
      <c r="AH227" s="166"/>
      <c r="AI227" s="166"/>
      <c r="AJ227" s="166"/>
      <c r="AK227" s="166"/>
      <c r="AL227" s="166"/>
      <c r="AM227" s="166"/>
      <c r="AN227" s="166"/>
      <c r="AO227" s="166"/>
      <c r="AP227" s="166"/>
      <c r="AQ227" s="166"/>
      <c r="AR227" s="166"/>
      <c r="AS227" s="166"/>
      <c r="AT227" s="166"/>
      <c r="AU227" s="166"/>
      <c r="AV227" s="166"/>
      <c r="AW227" s="166"/>
      <c r="AX227" s="166"/>
      <c r="AY227" s="166"/>
      <c r="AZ227" s="166"/>
      <c r="BA227" s="166"/>
      <c r="BB227" s="166"/>
      <c r="BC227" s="166"/>
      <c r="BD227" s="166"/>
      <c r="BE227" s="166"/>
      <c r="BF227" s="166"/>
      <c r="BG227" s="166"/>
    </row>
    <row r="228" spans="1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6" t="str">
        <f>IF(E228&gt;C228,Capacity!AR96/'Capacity Summary'!E228,IF(Capacity!AQ96=0,"",Capacity!AQ96))</f>
        <v/>
      </c>
      <c r="H228" s="166"/>
      <c r="I228" s="166"/>
      <c r="J228" s="166"/>
      <c r="K228" s="166"/>
      <c r="L228" s="166"/>
      <c r="M228" s="166"/>
      <c r="N228" s="166"/>
      <c r="O228" s="166"/>
      <c r="P228" s="166"/>
      <c r="Q228" s="166"/>
      <c r="R228" s="166"/>
      <c r="S228" s="166"/>
      <c r="T228" s="166"/>
      <c r="U228" s="166"/>
      <c r="V228" s="166"/>
      <c r="W228" s="166"/>
      <c r="X228" s="166"/>
      <c r="Y228" s="166"/>
      <c r="Z228" s="166"/>
      <c r="AA228" s="166"/>
      <c r="AB228" s="166"/>
      <c r="AC228" s="166"/>
      <c r="AD228" s="166"/>
      <c r="AE228" s="166"/>
      <c r="AF228" s="166"/>
      <c r="AG228" s="166"/>
      <c r="AH228" s="166"/>
      <c r="AI228" s="166"/>
      <c r="AJ228" s="166"/>
      <c r="AK228" s="166"/>
      <c r="AL228" s="166"/>
      <c r="AM228" s="166"/>
      <c r="AN228" s="166"/>
      <c r="AO228" s="166"/>
      <c r="AP228" s="166"/>
      <c r="AQ228" s="166"/>
      <c r="AR228" s="166"/>
      <c r="AS228" s="166"/>
      <c r="AT228" s="166"/>
      <c r="AU228" s="166"/>
      <c r="AV228" s="166"/>
      <c r="AW228" s="166"/>
      <c r="AX228" s="166"/>
      <c r="AY228" s="166"/>
      <c r="AZ228" s="166"/>
      <c r="BA228" s="166"/>
      <c r="BB228" s="166"/>
      <c r="BC228" s="166"/>
      <c r="BD228" s="166"/>
      <c r="BE228" s="166"/>
      <c r="BF228" s="166"/>
      <c r="BG228" s="166"/>
    </row>
    <row r="229" spans="1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6" t="str">
        <f>IF(E229&gt;C229,Capacity!AR97/'Capacity Summary'!E229,IF(Capacity!AQ97=0,"",Capacity!AQ97))</f>
        <v/>
      </c>
      <c r="H229" s="166"/>
      <c r="I229" s="166"/>
      <c r="J229" s="166"/>
      <c r="K229" s="166"/>
      <c r="L229" s="166"/>
      <c r="M229" s="166"/>
      <c r="N229" s="166"/>
      <c r="O229" s="166"/>
      <c r="P229" s="166"/>
      <c r="Q229" s="166"/>
      <c r="R229" s="166"/>
      <c r="S229" s="166"/>
      <c r="T229" s="166"/>
      <c r="U229" s="166"/>
      <c r="V229" s="166"/>
      <c r="W229" s="166"/>
      <c r="X229" s="166"/>
      <c r="Y229" s="166"/>
      <c r="Z229" s="166"/>
      <c r="AA229" s="166"/>
      <c r="AB229" s="166"/>
      <c r="AC229" s="166"/>
      <c r="AD229" s="166"/>
      <c r="AE229" s="166"/>
      <c r="AF229" s="166"/>
      <c r="AG229" s="166"/>
      <c r="AH229" s="166"/>
      <c r="AI229" s="166"/>
      <c r="AJ229" s="166"/>
      <c r="AK229" s="166"/>
      <c r="AL229" s="166"/>
      <c r="AM229" s="166"/>
      <c r="AN229" s="166"/>
      <c r="AO229" s="166"/>
      <c r="AP229" s="166"/>
      <c r="AQ229" s="166"/>
      <c r="AR229" s="166"/>
      <c r="AS229" s="166"/>
      <c r="AT229" s="166"/>
      <c r="AU229" s="166"/>
      <c r="AV229" s="166"/>
      <c r="AW229" s="166"/>
      <c r="AX229" s="166"/>
      <c r="AY229" s="166"/>
      <c r="AZ229" s="166"/>
      <c r="BA229" s="166"/>
      <c r="BB229" s="166"/>
      <c r="BC229" s="166"/>
      <c r="BD229" s="166"/>
      <c r="BE229" s="166"/>
      <c r="BF229" s="166"/>
      <c r="BG229" s="166"/>
    </row>
    <row r="230" spans="1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6" t="str">
        <f>IF(E230&gt;C230,Capacity!AR98/'Capacity Summary'!E230,IF(Capacity!AQ98=0,"",Capacity!AQ98))</f>
        <v/>
      </c>
      <c r="H230" s="166"/>
      <c r="I230" s="166"/>
      <c r="J230" s="166"/>
      <c r="K230" s="166"/>
      <c r="L230" s="166"/>
      <c r="M230" s="166"/>
      <c r="N230" s="166"/>
      <c r="O230" s="166"/>
      <c r="P230" s="166"/>
      <c r="Q230" s="166"/>
      <c r="R230" s="166"/>
      <c r="S230" s="166"/>
      <c r="T230" s="166"/>
      <c r="U230" s="166"/>
      <c r="V230" s="166"/>
      <c r="W230" s="166"/>
      <c r="X230" s="166"/>
      <c r="Y230" s="166"/>
      <c r="Z230" s="166"/>
      <c r="AA230" s="166"/>
      <c r="AB230" s="166"/>
      <c r="AC230" s="166"/>
      <c r="AD230" s="166"/>
      <c r="AE230" s="166"/>
      <c r="AF230" s="166"/>
      <c r="AG230" s="166"/>
      <c r="AH230" s="166"/>
      <c r="AI230" s="166"/>
      <c r="AJ230" s="166"/>
      <c r="AK230" s="166"/>
      <c r="AL230" s="166"/>
      <c r="AM230" s="166"/>
      <c r="AN230" s="166"/>
      <c r="AO230" s="166"/>
      <c r="AP230" s="166"/>
      <c r="AQ230" s="166"/>
      <c r="AR230" s="166"/>
      <c r="AS230" s="166"/>
      <c r="AT230" s="166"/>
      <c r="AU230" s="166"/>
      <c r="AV230" s="166"/>
      <c r="AW230" s="166"/>
      <c r="AX230" s="166"/>
      <c r="AY230" s="166"/>
      <c r="AZ230" s="166"/>
      <c r="BA230" s="166"/>
      <c r="BB230" s="166"/>
      <c r="BC230" s="166"/>
      <c r="BD230" s="166"/>
      <c r="BE230" s="166"/>
      <c r="BF230" s="166"/>
      <c r="BG230" s="166"/>
    </row>
    <row r="231" spans="1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6" t="str">
        <f>IF(E231&gt;C231,Capacity!AR99/'Capacity Summary'!E231,IF(Capacity!AQ99=0,"",Capacity!AQ99))</f>
        <v/>
      </c>
      <c r="H231" s="166"/>
      <c r="I231" s="166"/>
      <c r="J231" s="166"/>
      <c r="K231" s="166"/>
      <c r="L231" s="166"/>
      <c r="M231" s="166"/>
      <c r="N231" s="166"/>
      <c r="O231" s="166"/>
      <c r="P231" s="166"/>
      <c r="Q231" s="166"/>
      <c r="R231" s="166"/>
      <c r="S231" s="166"/>
      <c r="T231" s="166"/>
      <c r="U231" s="166"/>
      <c r="V231" s="166"/>
      <c r="W231" s="166"/>
      <c r="X231" s="166"/>
      <c r="Y231" s="166"/>
      <c r="Z231" s="166"/>
      <c r="AA231" s="166"/>
      <c r="AB231" s="166"/>
      <c r="AC231" s="166"/>
      <c r="AD231" s="166"/>
      <c r="AE231" s="166"/>
      <c r="AF231" s="166"/>
      <c r="AG231" s="166"/>
      <c r="AH231" s="166"/>
      <c r="AI231" s="166"/>
      <c r="AJ231" s="166"/>
      <c r="AK231" s="166"/>
      <c r="AL231" s="166"/>
      <c r="AM231" s="166"/>
      <c r="AN231" s="166"/>
      <c r="AO231" s="166"/>
      <c r="AP231" s="166"/>
      <c r="AQ231" s="166"/>
      <c r="AR231" s="166"/>
      <c r="AS231" s="166"/>
      <c r="AT231" s="166"/>
      <c r="AU231" s="166"/>
      <c r="AV231" s="166"/>
      <c r="AW231" s="166"/>
      <c r="AX231" s="166"/>
      <c r="AY231" s="166"/>
      <c r="AZ231" s="166"/>
      <c r="BA231" s="166"/>
      <c r="BB231" s="166"/>
      <c r="BC231" s="166"/>
      <c r="BD231" s="166"/>
      <c r="BE231" s="166"/>
      <c r="BF231" s="166"/>
      <c r="BG231" s="166"/>
    </row>
    <row r="232" spans="1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6" t="str">
        <f>IF(E232&gt;C232,Capacity!AR100/'Capacity Summary'!E232,IF(Capacity!AQ100=0,"",Capacity!AQ100))</f>
        <v/>
      </c>
      <c r="H232" s="166"/>
      <c r="I232" s="166"/>
      <c r="J232" s="166"/>
      <c r="K232" s="166"/>
      <c r="L232" s="166"/>
      <c r="M232" s="166"/>
      <c r="N232" s="166"/>
      <c r="O232" s="166"/>
      <c r="P232" s="166"/>
      <c r="Q232" s="166"/>
      <c r="R232" s="166"/>
      <c r="S232" s="166"/>
      <c r="T232" s="166"/>
      <c r="U232" s="166"/>
      <c r="V232" s="166"/>
      <c r="W232" s="166"/>
      <c r="X232" s="166"/>
      <c r="Y232" s="166"/>
      <c r="Z232" s="166"/>
      <c r="AA232" s="166"/>
      <c r="AB232" s="166"/>
      <c r="AC232" s="166"/>
      <c r="AD232" s="166"/>
      <c r="AE232" s="166"/>
      <c r="AF232" s="166"/>
      <c r="AG232" s="166"/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6"/>
      <c r="BC232" s="166"/>
      <c r="BD232" s="166"/>
      <c r="BE232" s="166"/>
      <c r="BF232" s="166"/>
      <c r="BG232" s="166"/>
    </row>
    <row r="233" spans="1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6" t="str">
        <f>IF(E233&gt;C233,Capacity!AR101/'Capacity Summary'!E233,IF(Capacity!AQ101=0,"",Capacity!AQ101))</f>
        <v/>
      </c>
      <c r="H233" s="166"/>
      <c r="I233" s="166"/>
      <c r="J233" s="166"/>
      <c r="K233" s="166"/>
      <c r="L233" s="166"/>
      <c r="M233" s="166"/>
      <c r="N233" s="166"/>
      <c r="O233" s="166"/>
      <c r="P233" s="166"/>
      <c r="Q233" s="166"/>
      <c r="R233" s="166"/>
      <c r="S233" s="166"/>
      <c r="T233" s="166"/>
      <c r="U233" s="166"/>
      <c r="V233" s="166"/>
      <c r="W233" s="166"/>
      <c r="X233" s="166"/>
      <c r="Y233" s="166"/>
      <c r="Z233" s="166"/>
      <c r="AA233" s="166"/>
      <c r="AB233" s="166"/>
      <c r="AC233" s="166"/>
      <c r="AD233" s="166"/>
      <c r="AE233" s="166"/>
      <c r="AF233" s="166"/>
      <c r="AG233" s="166"/>
      <c r="AH233" s="166"/>
      <c r="AI233" s="166"/>
      <c r="AJ233" s="166"/>
      <c r="AK233" s="166"/>
      <c r="AL233" s="166"/>
      <c r="AM233" s="166"/>
      <c r="AN233" s="166"/>
      <c r="AO233" s="166"/>
      <c r="AP233" s="166"/>
      <c r="AQ233" s="166"/>
      <c r="AR233" s="166"/>
      <c r="AS233" s="166"/>
      <c r="AT233" s="166"/>
      <c r="AU233" s="166"/>
      <c r="AV233" s="166"/>
      <c r="AW233" s="166"/>
      <c r="AX233" s="166"/>
      <c r="AY233" s="166"/>
      <c r="AZ233" s="166"/>
      <c r="BA233" s="166"/>
      <c r="BB233" s="166"/>
      <c r="BC233" s="166"/>
      <c r="BD233" s="166"/>
      <c r="BE233" s="166"/>
      <c r="BF233" s="166"/>
      <c r="BG233" s="166"/>
    </row>
    <row r="234" spans="1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6" t="str">
        <f>IF(E234&gt;C234,Capacity!AR102/'Capacity Summary'!E234,IF(Capacity!AQ102=0,"",Capacity!AQ102))</f>
        <v/>
      </c>
      <c r="H234" s="166"/>
      <c r="I234" s="166"/>
      <c r="J234" s="166"/>
      <c r="K234" s="166"/>
      <c r="L234" s="166"/>
      <c r="M234" s="166"/>
      <c r="N234" s="166"/>
      <c r="O234" s="166"/>
      <c r="P234" s="166"/>
      <c r="Q234" s="166"/>
      <c r="R234" s="166"/>
      <c r="S234" s="166"/>
      <c r="T234" s="166"/>
      <c r="U234" s="166"/>
      <c r="V234" s="166"/>
      <c r="W234" s="166"/>
      <c r="X234" s="166"/>
      <c r="Y234" s="166"/>
      <c r="Z234" s="166"/>
      <c r="AA234" s="166"/>
      <c r="AB234" s="166"/>
      <c r="AC234" s="166"/>
      <c r="AD234" s="166"/>
      <c r="AE234" s="166"/>
      <c r="AF234" s="166"/>
      <c r="AG234" s="166"/>
      <c r="AH234" s="166"/>
      <c r="AI234" s="166"/>
      <c r="AJ234" s="166"/>
      <c r="AK234" s="166"/>
      <c r="AL234" s="166"/>
      <c r="AM234" s="166"/>
      <c r="AN234" s="166"/>
      <c r="AO234" s="166"/>
      <c r="AP234" s="166"/>
      <c r="AQ234" s="166"/>
      <c r="AR234" s="166"/>
      <c r="AS234" s="166"/>
      <c r="AT234" s="166"/>
      <c r="AU234" s="166"/>
      <c r="AV234" s="166"/>
      <c r="AW234" s="166"/>
      <c r="AX234" s="166"/>
      <c r="AY234" s="166"/>
      <c r="AZ234" s="166"/>
      <c r="BA234" s="166"/>
      <c r="BB234" s="166"/>
      <c r="BC234" s="166"/>
      <c r="BD234" s="166"/>
      <c r="BE234" s="166"/>
      <c r="BF234" s="166"/>
      <c r="BG234" s="166"/>
    </row>
    <row r="235" spans="1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6" t="str">
        <f>IF(E235&gt;C235,Capacity!AR103/'Capacity Summary'!E235,IF(Capacity!AQ103=0,"",Capacity!AQ103))</f>
        <v/>
      </c>
      <c r="H235" s="166"/>
      <c r="I235" s="166"/>
      <c r="J235" s="166"/>
      <c r="K235" s="166"/>
      <c r="L235" s="166"/>
      <c r="M235" s="166"/>
      <c r="N235" s="166"/>
      <c r="O235" s="166"/>
      <c r="P235" s="166"/>
      <c r="Q235" s="166"/>
      <c r="R235" s="166"/>
      <c r="S235" s="166"/>
      <c r="T235" s="166"/>
      <c r="U235" s="166"/>
      <c r="V235" s="166"/>
      <c r="W235" s="166"/>
      <c r="X235" s="166"/>
      <c r="Y235" s="166"/>
      <c r="Z235" s="166"/>
      <c r="AA235" s="166"/>
      <c r="AB235" s="166"/>
      <c r="AC235" s="166"/>
      <c r="AD235" s="166"/>
      <c r="AE235" s="166"/>
      <c r="AF235" s="166"/>
      <c r="AG235" s="166"/>
      <c r="AH235" s="166"/>
      <c r="AI235" s="166"/>
      <c r="AJ235" s="166"/>
      <c r="AK235" s="166"/>
      <c r="AL235" s="166"/>
      <c r="AM235" s="166"/>
      <c r="AN235" s="166"/>
      <c r="AO235" s="166"/>
      <c r="AP235" s="166"/>
      <c r="AQ235" s="166"/>
      <c r="AR235" s="166"/>
      <c r="AS235" s="166"/>
      <c r="AT235" s="166"/>
      <c r="AU235" s="166"/>
      <c r="AV235" s="166"/>
      <c r="AW235" s="166"/>
      <c r="AX235" s="166"/>
      <c r="AY235" s="166"/>
      <c r="AZ235" s="166"/>
      <c r="BA235" s="166"/>
      <c r="BB235" s="166"/>
      <c r="BC235" s="166"/>
      <c r="BD235" s="166"/>
      <c r="BE235" s="166"/>
      <c r="BF235" s="166"/>
      <c r="BG235" s="166"/>
    </row>
    <row r="236" spans="1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6" t="str">
        <f>IF(E236&gt;C236,Capacity!AR104/'Capacity Summary'!E236,IF(Capacity!AQ104=0,"",Capacity!AQ104))</f>
        <v/>
      </c>
      <c r="H236" s="166"/>
      <c r="I236" s="166"/>
      <c r="J236" s="166"/>
      <c r="K236" s="166"/>
      <c r="L236" s="166"/>
      <c r="M236" s="166"/>
      <c r="N236" s="166"/>
      <c r="O236" s="166"/>
      <c r="P236" s="166"/>
      <c r="Q236" s="166"/>
      <c r="R236" s="166"/>
      <c r="S236" s="166"/>
      <c r="T236" s="166"/>
      <c r="U236" s="166"/>
      <c r="V236" s="166"/>
      <c r="W236" s="166"/>
      <c r="X236" s="166"/>
      <c r="Y236" s="166"/>
      <c r="Z236" s="166"/>
      <c r="AA236" s="166"/>
      <c r="AB236" s="166"/>
      <c r="AC236" s="166"/>
      <c r="AD236" s="166"/>
      <c r="AE236" s="166"/>
      <c r="AF236" s="166"/>
      <c r="AG236" s="166"/>
      <c r="AH236" s="166"/>
      <c r="AI236" s="166"/>
      <c r="AJ236" s="166"/>
      <c r="AK236" s="166"/>
      <c r="AL236" s="166"/>
      <c r="AM236" s="166"/>
      <c r="AN236" s="166"/>
      <c r="AO236" s="166"/>
      <c r="AP236" s="166"/>
      <c r="AQ236" s="166"/>
      <c r="AR236" s="166"/>
      <c r="AS236" s="166"/>
      <c r="AT236" s="166"/>
      <c r="AU236" s="166"/>
      <c r="AV236" s="166"/>
      <c r="AW236" s="166"/>
      <c r="AX236" s="166"/>
      <c r="AY236" s="166"/>
      <c r="AZ236" s="166"/>
      <c r="BA236" s="166"/>
      <c r="BB236" s="166"/>
      <c r="BC236" s="166"/>
      <c r="BD236" s="166"/>
      <c r="BE236" s="166"/>
      <c r="BF236" s="166"/>
      <c r="BG236" s="166"/>
    </row>
    <row r="237" spans="1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6" t="str">
        <f>IF(E237&gt;C237,Capacity!AR105/'Capacity Summary'!E237,IF(Capacity!AQ105=0,"",Capacity!AQ105))</f>
        <v/>
      </c>
      <c r="H237" s="166"/>
      <c r="I237" s="166"/>
      <c r="J237" s="166"/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  <c r="AO237" s="166"/>
      <c r="AP237" s="166"/>
      <c r="AQ237" s="166"/>
      <c r="AR237" s="166"/>
      <c r="AS237" s="166"/>
      <c r="AT237" s="166"/>
      <c r="AU237" s="166"/>
      <c r="AV237" s="166"/>
      <c r="AW237" s="166"/>
      <c r="AX237" s="166"/>
      <c r="AY237" s="166"/>
      <c r="AZ237" s="166"/>
      <c r="BA237" s="166"/>
      <c r="BB237" s="166"/>
      <c r="BC237" s="166"/>
      <c r="BD237" s="166"/>
      <c r="BE237" s="166"/>
      <c r="BF237" s="166"/>
      <c r="BG237" s="166"/>
    </row>
    <row r="238" spans="1:59" hidden="1" x14ac:dyDescent="0.35">
      <c r="A238" t="s">
        <v>207</v>
      </c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6" t="str">
        <f>IF(E238&gt;C238,Capacity!AR106/'Capacity Summary'!E238,IF(Capacity!AQ106=0,"",Capacity!AQ106))</f>
        <v/>
      </c>
      <c r="H238" s="166"/>
      <c r="I238" s="166"/>
      <c r="J238" s="166"/>
      <c r="K238" s="166"/>
      <c r="L238" s="166"/>
      <c r="M238" s="166"/>
      <c r="N238" s="166"/>
      <c r="O238" s="166"/>
      <c r="P238" s="166"/>
      <c r="Q238" s="166"/>
      <c r="R238" s="166"/>
      <c r="S238" s="166"/>
      <c r="T238" s="166"/>
      <c r="U238" s="166"/>
      <c r="V238" s="166"/>
      <c r="W238" s="166"/>
      <c r="X238" s="166"/>
      <c r="Y238" s="166"/>
      <c r="Z238" s="166"/>
      <c r="AA238" s="166"/>
      <c r="AB238" s="166"/>
      <c r="AC238" s="166"/>
      <c r="AD238" s="166"/>
      <c r="AE238" s="166"/>
      <c r="AF238" s="166"/>
      <c r="AG238" s="166"/>
      <c r="AH238" s="166"/>
      <c r="AI238" s="166"/>
      <c r="AJ238" s="166"/>
      <c r="AK238" s="166"/>
      <c r="AL238" s="166"/>
      <c r="AM238" s="166"/>
      <c r="AN238" s="166"/>
      <c r="AO238" s="166"/>
      <c r="AP238" s="166"/>
      <c r="AQ238" s="166"/>
      <c r="AR238" s="166"/>
      <c r="AS238" s="166"/>
      <c r="AT238" s="166"/>
      <c r="AU238" s="166"/>
      <c r="AV238" s="166"/>
      <c r="AW238" s="166"/>
      <c r="AX238" s="166"/>
      <c r="AY238" s="166"/>
      <c r="AZ238" s="166"/>
      <c r="BA238" s="166"/>
      <c r="BB238" s="166"/>
      <c r="BC238" s="166"/>
      <c r="BD238" s="166"/>
      <c r="BE238" s="166"/>
      <c r="BF238" s="166"/>
      <c r="BG238" s="166"/>
    </row>
  </sheetData>
  <sheetProtection algorithmName="SHA-512" hashValue="Em62bzyJsTA4Yji/9s/l5WxW9RFM/krlcahIMc23n3dXP3RlZ+yiTHc9ROBga2pG9TcIAhVLgNjlk9ej8ll/Cg==" saltValue="vLVc3/aOsv5ieSFnJb6pvw==" spinCount="100000" sheet="1" objects="1" scenarios="1"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showRowColHeaders="0" zoomScaleNormal="100" workbookViewId="0">
      <selection activeCell="B12" sqref="B12"/>
    </sheetView>
  </sheetViews>
  <sheetFormatPr defaultRowHeight="14.5" x14ac:dyDescent="0.35"/>
  <cols>
    <col min="1" max="1" width="22.36328125" customWidth="1"/>
    <col min="2" max="2" width="15.6328125" customWidth="1"/>
    <col min="3" max="16" width="12.6328125" customWidth="1"/>
    <col min="17" max="17" width="12.81640625" customWidth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44" t="s">
        <v>175</v>
      </c>
    </row>
    <row r="4" spans="1:4" ht="15" thickBot="1" x14ac:dyDescent="0.4">
      <c r="A4" s="57" t="s">
        <v>60</v>
      </c>
      <c r="B4" s="144" t="s">
        <v>139</v>
      </c>
    </row>
    <row r="5" spans="1:4" ht="15" thickBot="1" x14ac:dyDescent="0.4">
      <c r="A5" s="57" t="s">
        <v>61</v>
      </c>
      <c r="B5" s="144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57" t="s">
        <v>88</v>
      </c>
      <c r="B7" s="144" t="s">
        <v>90</v>
      </c>
      <c r="D7" t="str">
        <f>B7&amp;" per week"</f>
        <v>Minutes per week</v>
      </c>
    </row>
    <row r="28" spans="1:17" ht="18.5" x14ac:dyDescent="0.45">
      <c r="A28" s="89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1" t="str" cm="1">
        <f t="array" ref="B31">IF(B4="All "&amp;Setup!$B$15,INDEX(Setup!$A$20:$A$34,COLUMN(A1),1),B4)</f>
        <v>Caseload 1</v>
      </c>
      <c r="C31" s="78" t="str" cm="1">
        <f t="array" ref="C31">INDEX(Setup!$A$20:$A$34,COLUMN(B1),1)</f>
        <v>Caseload 2</v>
      </c>
      <c r="D31" s="78" t="str" cm="1">
        <f t="array" ref="D31">INDEX(Setup!$A$20:$A$34,COLUMN(C1),1)</f>
        <v>Caseload 3</v>
      </c>
      <c r="E31" s="78" t="str" cm="1">
        <f t="array" ref="E31">INDEX(Setup!$A$20:$A$34,COLUMN(D1),1)</f>
        <v>Caseload 4</v>
      </c>
      <c r="F31" s="78" t="str" cm="1">
        <f t="array" ref="F31">INDEX(Setup!$A$20:$A$34,COLUMN(E1),1)</f>
        <v>Caseload 5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7" t="str" cm="1">
        <f t="array" ref="P31">INDEX(Setup!$A$20:$A$34,COLUMN(O1),1)</f>
        <v>Caseload 15</v>
      </c>
    </row>
    <row r="32" spans="1:17" ht="15" thickBot="1" x14ac:dyDescent="0.4">
      <c r="A32" s="86" t="s">
        <v>103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/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/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/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/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/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/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/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/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/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/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/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/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/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/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/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6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/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/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/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/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/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/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/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/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/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/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/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/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/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/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/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78" t="str" cm="1">
        <f t="array" ref="B36">IF(B4="All "&amp;Setup!$B$15,INDEX(Setup!$A$20:$A$34,COLUMN(A6),1),B4)</f>
        <v>Caseload 1</v>
      </c>
      <c r="C36" s="78" t="str" cm="1">
        <f t="array" ref="C36">INDEX(Setup!$A$20:$A$34,COLUMN(B6),1)</f>
        <v>Caseload 2</v>
      </c>
      <c r="D36" s="78" t="str" cm="1">
        <f t="array" ref="D36">INDEX(Setup!$A$20:$A$34,COLUMN(C6),1)</f>
        <v>Caseload 3</v>
      </c>
      <c r="E36" s="78" t="str" cm="1">
        <f t="array" ref="E36">INDEX(Setup!$A$20:$A$34,COLUMN(D6),1)</f>
        <v>Caseload 4</v>
      </c>
      <c r="F36" s="78" t="str" cm="1">
        <f t="array" ref="F36">INDEX(Setup!$A$20:$A$34,COLUMN(E6),1)</f>
        <v>Caseload 5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8" t="str" cm="1">
        <f t="array" ref="P36">INDEX(Setup!$A$20:$A$34,COLUMN(O6),1)</f>
        <v>Caseload 15</v>
      </c>
      <c r="Q36" s="7"/>
    </row>
    <row r="37" spans="1:31" ht="15" thickBot="1" x14ac:dyDescent="0.4">
      <c r="A37" s="86" t="s">
        <v>176</v>
      </c>
      <c r="B37" s="17" t="str" cm="1">
        <f t="array" aca="1" ref="B37" ca="1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0.0 Minutes</v>
      </c>
      <c r="C37" s="17" t="str" cm="1">
        <f t="array" aca="1" ref="C37" ca="1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0.0 Minutes</v>
      </c>
      <c r="D37" s="28" t="str" cm="1">
        <f t="array" aca="1" ref="D37" ca="1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0.0 Minutes</v>
      </c>
      <c r="E37" s="28" t="str" cm="1">
        <f t="array" aca="1" ref="E37" ca="1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0.0 Minutes</v>
      </c>
      <c r="F37" s="28" t="str" cm="1">
        <f t="array" aca="1" ref="F37" ca="1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0.0 Minutes</v>
      </c>
      <c r="G37" s="28" t="str" cm="1">
        <f t="array" aca="1" ref="G37" ca="1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28" t="str" cm="1">
        <f t="array" aca="1" ref="H37" ca="1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28" t="str" cm="1">
        <f t="array" aca="1" ref="I37" ca="1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28" t="str" cm="1">
        <f t="array" aca="1" ref="J37" ca="1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28" t="str" cm="1">
        <f t="array" aca="1" ref="K37" ca="1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28" t="str" cm="1">
        <f t="array" aca="1" ref="L37" ca="1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28" t="str" cm="1">
        <f t="array" aca="1" ref="M37" ca="1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28" t="str" cm="1">
        <f t="array" aca="1" ref="N37" ca="1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28" t="str" cm="1">
        <f t="array" aca="1" ref="O37" ca="1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28" t="str" cm="1">
        <f t="array" aca="1" ref="P37" ca="1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6" t="s">
        <v>177</v>
      </c>
      <c r="B38" s="17" t="str" cm="1">
        <f t="array" aca="1" ref="B38" ca="1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Minutes</v>
      </c>
      <c r="C38" s="17" t="str" cm="1">
        <f t="array" aca="1" ref="C38" ca="1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36" t="str" cm="1">
        <f t="array" aca="1" ref="D38" ca="1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36" t="str" cm="1">
        <f t="array" aca="1" ref="E38" ca="1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36" t="str" cm="1">
        <f t="array" aca="1" ref="F38" ca="1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36" t="str" cm="1">
        <f t="array" aca="1" ref="G38" ca="1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36" t="str" cm="1">
        <f t="array" aca="1" ref="H38" ca="1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36" t="str" cm="1">
        <f t="array" aca="1" ref="I38" ca="1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36" t="str" cm="1">
        <f t="array" aca="1" ref="J38" ca="1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36" t="str" cm="1">
        <f t="array" aca="1" ref="K38" ca="1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36" t="str" cm="1">
        <f t="array" aca="1" ref="L38" ca="1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36" t="str" cm="1">
        <f t="array" aca="1" ref="M38" ca="1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36" t="str" cm="1">
        <f t="array" aca="1" ref="N38" ca="1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36" t="str" cm="1">
        <f t="array" aca="1" ref="O38" ca="1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aca="1" ref="P38" ca="1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179</v>
      </c>
    </row>
    <row r="43" spans="1:31" ht="15" thickBot="1" x14ac:dyDescent="0.4"/>
    <row r="44" spans="1:31" ht="15" thickBot="1" x14ac:dyDescent="0.4">
      <c r="A44" s="57" t="s">
        <v>60</v>
      </c>
      <c r="B44" s="144" t="s">
        <v>193</v>
      </c>
    </row>
    <row r="45" spans="1:31" ht="15" hidden="1" thickBot="1" x14ac:dyDescent="0.4">
      <c r="A45" s="57" t="s">
        <v>61</v>
      </c>
      <c r="B45" s="17" t="s">
        <v>62</v>
      </c>
    </row>
    <row r="68" spans="1:17" ht="15" thickBot="1" x14ac:dyDescent="0.4">
      <c r="A68" s="55" t="s">
        <v>102</v>
      </c>
    </row>
    <row r="69" spans="1:17" ht="29.5" thickBot="1" x14ac:dyDescent="0.4">
      <c r="B69" s="78" t="str" cm="1">
        <f t="array" ref="B69">IF(B4="All "&amp;Setup!$B$15,INDEX(Setup!$A$20:$A$34,COLUMN(A1),1),B4)</f>
        <v>Caseload 1</v>
      </c>
      <c r="C69" s="78" t="str" cm="1">
        <f t="array" ref="C69">INDEX(Setup!$A$20:$A$34,COLUMN(B39),1)</f>
        <v>Caseload 2</v>
      </c>
      <c r="D69" s="78" t="str" cm="1">
        <f t="array" ref="D69">INDEX(Setup!$A$20:$A$34,COLUMN(C39),1)</f>
        <v>Caseload 3</v>
      </c>
      <c r="E69" s="78" t="str" cm="1">
        <f t="array" ref="E69">INDEX(Setup!$A$20:$A$34,COLUMN(D39),1)</f>
        <v>Caseload 4</v>
      </c>
      <c r="F69" s="78" t="str" cm="1">
        <f t="array" ref="F69">INDEX(Setup!$A$20:$A$34,COLUMN(E39),1)</f>
        <v>Caseload 5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9" t="s">
        <v>181</v>
      </c>
    </row>
    <row r="70" spans="1:17" ht="15" thickBot="1" x14ac:dyDescent="0.4">
      <c r="A70" s="91" t="s">
        <v>190</v>
      </c>
      <c r="B70" s="107">
        <f>INDEX('Waiting List Config'!$C$5:$O$20,MATCH(Summary!B$69,'Waiting List Config'!$B$5:$B$20,0),2)</f>
        <v>0</v>
      </c>
      <c r="C70" s="107">
        <f>INDEX('Waiting List Config'!$C$5:$O$20,MATCH(Summary!C$69,'Waiting List Config'!$B$5:$B$20,0),2)</f>
        <v>0</v>
      </c>
      <c r="D70" s="107">
        <f>INDEX('Waiting List Config'!$C$5:$O$20,MATCH(Summary!D$69,'Waiting List Config'!$B$5:$B$20,0),2)</f>
        <v>0</v>
      </c>
      <c r="E70" s="107">
        <f>INDEX('Waiting List Config'!$C$5:$O$20,MATCH(Summary!E$69,'Waiting List Config'!$B$5:$B$20,0),2)</f>
        <v>0</v>
      </c>
      <c r="F70" s="107">
        <f>INDEX('Waiting List Config'!$C$5:$O$20,MATCH(Summary!F$69,'Waiting List Config'!$B$5:$B$20,0),2)</f>
        <v>0</v>
      </c>
      <c r="G70" s="107">
        <f>INDEX('Waiting List Config'!$C$5:$O$20,MATCH(Summary!G$69,'Waiting List Config'!$B$5:$B$20,0),2)</f>
        <v>0</v>
      </c>
      <c r="H70" s="107">
        <f>INDEX('Waiting List Config'!$C$5:$O$20,MATCH(Summary!H$69,'Waiting List Config'!$B$5:$B$20,0),2)</f>
        <v>0</v>
      </c>
      <c r="I70" s="107">
        <f>INDEX('Waiting List Config'!$C$5:$O$20,MATCH(Summary!I$69,'Waiting List Config'!$B$5:$B$20,0),2)</f>
        <v>0</v>
      </c>
      <c r="J70" s="107">
        <f>INDEX('Waiting List Config'!$C$5:$O$20,MATCH(Summary!J$69,'Waiting List Config'!$B$5:$B$20,0),2)</f>
        <v>0</v>
      </c>
      <c r="K70" s="107">
        <f>INDEX('Waiting List Config'!$C$5:$O$20,MATCH(Summary!K$69,'Waiting List Config'!$B$5:$B$20,0),2)</f>
        <v>0</v>
      </c>
      <c r="L70" s="107">
        <f>INDEX('Waiting List Config'!$C$5:$O$20,MATCH(Summary!L$69,'Waiting List Config'!$B$5:$B$20,0),2)</f>
        <v>0</v>
      </c>
      <c r="M70" s="107">
        <f>INDEX('Waiting List Config'!$C$5:$O$20,MATCH(Summary!M$69,'Waiting List Config'!$B$5:$B$20,0),2)</f>
        <v>0</v>
      </c>
      <c r="N70" s="107">
        <f>INDEX('Waiting List Config'!$C$5:$O$20,MATCH(Summary!N$69,'Waiting List Config'!$B$5:$B$20,0),2)</f>
        <v>0</v>
      </c>
      <c r="O70" s="107">
        <f>INDEX('Waiting List Config'!$C$5:$O$20,MATCH(Summary!O$69,'Waiting List Config'!$B$5:$B$20,0),2)</f>
        <v>0</v>
      </c>
      <c r="P70" s="107">
        <f>INDEX('Waiting List Config'!$C$5:$O$20,MATCH(Summary!P$69,'Waiting List Config'!$B$5:$B$20,0),2)</f>
        <v>0</v>
      </c>
      <c r="Q70" s="107">
        <f>INDEX('Waiting List Config'!$C$5:$O$20,MATCH(Summary!Q$69,'Waiting List Config'!$B$5:$B$20,0),2)</f>
        <v>0</v>
      </c>
    </row>
    <row r="71" spans="1:17" ht="15" thickBot="1" x14ac:dyDescent="0.4">
      <c r="A71" s="91" t="s">
        <v>189</v>
      </c>
      <c r="B71" s="107" t="str">
        <f>INDEX('Waiting List Config'!$C$5:$O$20,MATCH(Summary!B$69,'Waiting List Config'!$B$5:$B$20,0),7)</f>
        <v/>
      </c>
      <c r="C71" s="107" t="str">
        <f>INDEX('Waiting List Config'!$C$5:$O$20,MATCH(Summary!C$69,'Waiting List Config'!$B$5:$B$20,0),7)</f>
        <v/>
      </c>
      <c r="D71" s="107" t="str">
        <f>INDEX('Waiting List Config'!$C$5:$O$20,MATCH(Summary!D$69,'Waiting List Config'!$B$5:$B$20,0),7)</f>
        <v/>
      </c>
      <c r="E71" s="107" t="str">
        <f>INDEX('Waiting List Config'!$C$5:$O$20,MATCH(Summary!E$69,'Waiting List Config'!$B$5:$B$20,0),7)</f>
        <v/>
      </c>
      <c r="F71" s="107" t="str">
        <f>INDEX('Waiting List Config'!$C$5:$O$20,MATCH(Summary!F$69,'Waiting List Config'!$B$5:$B$20,0),7)</f>
        <v/>
      </c>
      <c r="G71" s="107" t="str">
        <f>INDEX('Waiting List Config'!$C$5:$O$20,MATCH(Summary!G$69,'Waiting List Config'!$B$5:$B$20,0),7)</f>
        <v/>
      </c>
      <c r="H71" s="107" t="str">
        <f>INDEX('Waiting List Config'!$C$5:$O$20,MATCH(Summary!H$69,'Waiting List Config'!$B$5:$B$20,0),7)</f>
        <v/>
      </c>
      <c r="I71" s="107" t="str">
        <f>INDEX('Waiting List Config'!$C$5:$O$20,MATCH(Summary!I$69,'Waiting List Config'!$B$5:$B$20,0),7)</f>
        <v/>
      </c>
      <c r="J71" s="107" t="str">
        <f>INDEX('Waiting List Config'!$C$5:$O$20,MATCH(Summary!J$69,'Waiting List Config'!$B$5:$B$20,0),7)</f>
        <v/>
      </c>
      <c r="K71" s="107" t="str">
        <f>INDEX('Waiting List Config'!$C$5:$O$20,MATCH(Summary!K$69,'Waiting List Config'!$B$5:$B$20,0),7)</f>
        <v/>
      </c>
      <c r="L71" s="107" t="str">
        <f>INDEX('Waiting List Config'!$C$5:$O$20,MATCH(Summary!L$69,'Waiting List Config'!$B$5:$B$20,0),7)</f>
        <v/>
      </c>
      <c r="M71" s="107" t="str">
        <f>INDEX('Waiting List Config'!$C$5:$O$20,MATCH(Summary!M$69,'Waiting List Config'!$B$5:$B$20,0),7)</f>
        <v/>
      </c>
      <c r="N71" s="107" t="str">
        <f>INDEX('Waiting List Config'!$C$5:$O$20,MATCH(Summary!N$69,'Waiting List Config'!$B$5:$B$20,0),7)</f>
        <v/>
      </c>
      <c r="O71" s="107" t="str">
        <f>INDEX('Waiting List Config'!$C$5:$O$20,MATCH(Summary!O$69,'Waiting List Config'!$B$5:$B$20,0),7)</f>
        <v/>
      </c>
      <c r="P71" s="107" t="str">
        <f>INDEX('Waiting List Config'!$C$5:$O$20,MATCH(Summary!P$69,'Waiting List Config'!$B$5:$B$20,0),7)</f>
        <v/>
      </c>
      <c r="Q71" s="107" t="str">
        <f>INDEX('Waiting List Config'!$C$5:$O$20,MATCH(Summary!Q$69,'Waiting List Config'!$B$5:$B$20,0),7)</f>
        <v/>
      </c>
    </row>
    <row r="72" spans="1:17" ht="29.5" thickBot="1" x14ac:dyDescent="0.4">
      <c r="A72" s="91" t="s">
        <v>191</v>
      </c>
      <c r="B72" s="107" t="str">
        <f>INDEX('Waiting List Config'!$C$5:$O$20,MATCH(Summary!B$69,'Waiting List Config'!$B$5:$B$20,0),13)</f>
        <v>0 - 0</v>
      </c>
      <c r="C72" s="107" t="str">
        <f>INDEX('Waiting List Config'!$C$5:$O$20,MATCH(Summary!C$69,'Waiting List Config'!$B$5:$B$20,0),13)</f>
        <v>0 - 0</v>
      </c>
      <c r="D72" s="107" t="str">
        <f>INDEX('Waiting List Config'!$C$5:$O$20,MATCH(Summary!D$69,'Waiting List Config'!$B$5:$B$20,0),13)</f>
        <v>0 - 0</v>
      </c>
      <c r="E72" s="107" t="str">
        <f>INDEX('Waiting List Config'!$C$5:$O$20,MATCH(Summary!E$69,'Waiting List Config'!$B$5:$B$20,0),13)</f>
        <v>0 - 0</v>
      </c>
      <c r="F72" s="107" t="str">
        <f>INDEX('Waiting List Config'!$C$5:$O$20,MATCH(Summary!F$69,'Waiting List Config'!$B$5:$B$20,0),13)</f>
        <v>0 - 0</v>
      </c>
      <c r="G72" s="107" t="str">
        <f>INDEX('Waiting List Config'!$C$5:$O$20,MATCH(Summary!G$69,'Waiting List Config'!$B$5:$B$20,0),13)</f>
        <v>0 - 0</v>
      </c>
      <c r="H72" s="107" t="str">
        <f>INDEX('Waiting List Config'!$C$5:$O$20,MATCH(Summary!H$69,'Waiting List Config'!$B$5:$B$20,0),13)</f>
        <v>0 - 0</v>
      </c>
      <c r="I72" s="107" t="str">
        <f>INDEX('Waiting List Config'!$C$5:$O$20,MATCH(Summary!I$69,'Waiting List Config'!$B$5:$B$20,0),13)</f>
        <v>0 - 0</v>
      </c>
      <c r="J72" s="107" t="str">
        <f>INDEX('Waiting List Config'!$C$5:$O$20,MATCH(Summary!J$69,'Waiting List Config'!$B$5:$B$20,0),13)</f>
        <v>0 - 0</v>
      </c>
      <c r="K72" s="107" t="str">
        <f>INDEX('Waiting List Config'!$C$5:$O$20,MATCH(Summary!K$69,'Waiting List Config'!$B$5:$B$20,0),13)</f>
        <v>0 - 0</v>
      </c>
      <c r="L72" s="107" t="str">
        <f>INDEX('Waiting List Config'!$C$5:$O$20,MATCH(Summary!L$69,'Waiting List Config'!$B$5:$B$20,0),13)</f>
        <v>0 - 0</v>
      </c>
      <c r="M72" s="107" t="str">
        <f>INDEX('Waiting List Config'!$C$5:$O$20,MATCH(Summary!M$69,'Waiting List Config'!$B$5:$B$20,0),13)</f>
        <v>0 - 0</v>
      </c>
      <c r="N72" s="107" t="str">
        <f>INDEX('Waiting List Config'!$C$5:$O$20,MATCH(Summary!N$69,'Waiting List Config'!$B$5:$B$20,0),13)</f>
        <v>0 - 0</v>
      </c>
      <c r="O72" s="107" t="str">
        <f>INDEX('Waiting List Config'!$C$5:$O$20,MATCH(Summary!O$69,'Waiting List Config'!$B$5:$B$20,0),13)</f>
        <v>0 - 0</v>
      </c>
      <c r="P72" s="107" t="str">
        <f>INDEX('Waiting List Config'!$C$5:$O$20,MATCH(Summary!P$69,'Waiting List Config'!$B$5:$B$20,0),13)</f>
        <v>0 - 0</v>
      </c>
      <c r="Q72" s="108" t="str">
        <f>INDEX('Waiting List Config'!$C$5:$O$20,MATCH(Summary!Q$69,'Waiting List Config'!$B$5:$B$20,0),13)</f>
        <v>0 - 0</v>
      </c>
    </row>
    <row r="73" spans="1:17" ht="44" thickBot="1" x14ac:dyDescent="0.4">
      <c r="A73" s="106" t="str">
        <f>"Estimated capacity to clear backlog - non-group sessions ("&amp;LOWER(B7)&amp;"):"</f>
        <v>Estimated capacity to clear backlog - non-group sessions (minutes):</v>
      </c>
      <c r="B73" s="108" t="str">
        <f>INDEX('Waiting List Config'!$B$5:$U$20,MATCH(Summary!B$69,'Waiting List Config'!$B$5:$B$20,0),19)</f>
        <v>0 - 0</v>
      </c>
      <c r="C73" s="108" t="str">
        <f>INDEX('Waiting List Config'!$B$5:$U$20,MATCH(Summary!C$69,'Waiting List Config'!$B$5:$B$20,0),19)</f>
        <v>0 - 0</v>
      </c>
      <c r="D73" s="108" t="str">
        <f>INDEX('Waiting List Config'!$B$5:$U$20,MATCH(Summary!D$69,'Waiting List Config'!$B$5:$B$20,0),19)</f>
        <v>0 - 0</v>
      </c>
      <c r="E73" s="108" t="str">
        <f>INDEX('Waiting List Config'!$B$5:$U$20,MATCH(Summary!E$69,'Waiting List Config'!$B$5:$B$20,0),19)</f>
        <v>0 - 0</v>
      </c>
      <c r="F73" s="108" t="str">
        <f>INDEX('Waiting List Config'!$B$5:$U$20,MATCH(Summary!F$69,'Waiting List Config'!$B$5:$B$20,0),19)</f>
        <v>0 - 0</v>
      </c>
      <c r="G73" s="108" t="str">
        <f>INDEX('Waiting List Config'!$B$5:$U$20,MATCH(Summary!G$69,'Waiting List Config'!$B$5:$B$20,0),19)</f>
        <v>0 - 0</v>
      </c>
      <c r="H73" s="108" t="str">
        <f>INDEX('Waiting List Config'!$B$5:$U$20,MATCH(Summary!H$69,'Waiting List Config'!$B$5:$B$20,0),19)</f>
        <v>0 - 0</v>
      </c>
      <c r="I73" s="108" t="str">
        <f>INDEX('Waiting List Config'!$B$5:$U$20,MATCH(Summary!I$69,'Waiting List Config'!$B$5:$B$20,0),19)</f>
        <v>0 - 0</v>
      </c>
      <c r="J73" s="108" t="str">
        <f>INDEX('Waiting List Config'!$B$5:$U$20,MATCH(Summary!J$69,'Waiting List Config'!$B$5:$B$20,0),19)</f>
        <v>0 - 0</v>
      </c>
      <c r="K73" s="108" t="str">
        <f>INDEX('Waiting List Config'!$B$5:$U$20,MATCH(Summary!K$69,'Waiting List Config'!$B$5:$B$20,0),19)</f>
        <v>0 - 0</v>
      </c>
      <c r="L73" s="108" t="str">
        <f>INDEX('Waiting List Config'!$B$5:$U$20,MATCH(Summary!L$69,'Waiting List Config'!$B$5:$B$20,0),19)</f>
        <v>0 - 0</v>
      </c>
      <c r="M73" s="108" t="str">
        <f>INDEX('Waiting List Config'!$B$5:$U$20,MATCH(Summary!M$69,'Waiting List Config'!$B$5:$B$20,0),19)</f>
        <v>0 - 0</v>
      </c>
      <c r="N73" s="108" t="str">
        <f>INDEX('Waiting List Config'!$B$5:$U$20,MATCH(Summary!N$69,'Waiting List Config'!$B$5:$B$20,0),19)</f>
        <v>0 - 0</v>
      </c>
      <c r="O73" s="108" t="str">
        <f>INDEX('Waiting List Config'!$B$5:$U$20,MATCH(Summary!O$69,'Waiting List Config'!$B$5:$B$20,0),19)</f>
        <v>0 - 0</v>
      </c>
      <c r="P73" s="108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1" t="str">
        <f>"Estimated capacity to clear backlog - group sessions ("&amp;LOWER(B7)&amp;"):"</f>
        <v>Estimated capacity to clear backlog - group sessions (minutes):</v>
      </c>
      <c r="B74" s="108" t="str">
        <f>INDEX('Waiting List Config'!$B$5:$U$20,MATCH(Summary!B$69,'Waiting List Config'!$B$5:$B$20,0),20)</f>
        <v>0 - 0</v>
      </c>
      <c r="C74" s="108" t="str">
        <f>INDEX('Waiting List Config'!$B$5:$U$20,MATCH(Summary!C$69,'Waiting List Config'!$B$5:$B$20,0),20)</f>
        <v>0 - 0</v>
      </c>
      <c r="D74" s="108" t="str">
        <f>INDEX('Waiting List Config'!$B$5:$U$20,MATCH(Summary!D$69,'Waiting List Config'!$B$5:$B$20,0),20)</f>
        <v>0 - 0</v>
      </c>
      <c r="E74" s="108" t="str">
        <f>INDEX('Waiting List Config'!$B$5:$U$20,MATCH(Summary!E$69,'Waiting List Config'!$B$5:$B$20,0),20)</f>
        <v>0 - 0</v>
      </c>
      <c r="F74" s="108" t="str">
        <f>INDEX('Waiting List Config'!$B$5:$U$20,MATCH(Summary!F$69,'Waiting List Config'!$B$5:$B$20,0),20)</f>
        <v>0 - 0</v>
      </c>
      <c r="G74" s="108" t="str">
        <f>INDEX('Waiting List Config'!$B$5:$U$20,MATCH(Summary!G$69,'Waiting List Config'!$B$5:$B$20,0),20)</f>
        <v>0 - 0</v>
      </c>
      <c r="H74" s="108" t="str">
        <f>INDEX('Waiting List Config'!$B$5:$U$20,MATCH(Summary!H$69,'Waiting List Config'!$B$5:$B$20,0),20)</f>
        <v>0 - 0</v>
      </c>
      <c r="I74" s="108" t="str">
        <f>INDEX('Waiting List Config'!$B$5:$U$20,MATCH(Summary!I$69,'Waiting List Config'!$B$5:$B$20,0),20)</f>
        <v>0 - 0</v>
      </c>
      <c r="J74" s="108" t="str">
        <f>INDEX('Waiting List Config'!$B$5:$U$20,MATCH(Summary!J$69,'Waiting List Config'!$B$5:$B$20,0),20)</f>
        <v>0 - 0</v>
      </c>
      <c r="K74" s="108" t="str">
        <f>INDEX('Waiting List Config'!$B$5:$U$20,MATCH(Summary!K$69,'Waiting List Config'!$B$5:$B$20,0),20)</f>
        <v>0 - 0</v>
      </c>
      <c r="L74" s="108" t="str">
        <f>INDEX('Waiting List Config'!$B$5:$U$20,MATCH(Summary!L$69,'Waiting List Config'!$B$5:$B$20,0),20)</f>
        <v>0 - 0</v>
      </c>
      <c r="M74" s="108" t="str">
        <f>INDEX('Waiting List Config'!$B$5:$U$20,MATCH(Summary!M$69,'Waiting List Config'!$B$5:$B$20,0),20)</f>
        <v>0 - 0</v>
      </c>
      <c r="N74" s="108" t="str">
        <f>INDEX('Waiting List Config'!$B$5:$U$20,MATCH(Summary!N$69,'Waiting List Config'!$B$5:$B$20,0),20)</f>
        <v>0 - 0</v>
      </c>
      <c r="O74" s="108" t="str">
        <f>INDEX('Waiting List Config'!$B$5:$U$20,MATCH(Summary!O$69,'Waiting List Config'!$B$5:$B$20,0),20)</f>
        <v>0 - 0</v>
      </c>
      <c r="P74" s="108" t="str">
        <f>INDEX('Waiting List Config'!$B$5:$U$20,MATCH(Summary!P$69,'Waiting List Config'!$B$5:$B$20,0),20)</f>
        <v>0 - 0</v>
      </c>
      <c r="Q74" s="77"/>
    </row>
  </sheetData>
  <sheetProtection algorithmName="SHA-512" hashValue="Nydj2EjdSv0VIOJ8cxwMG9X9+mFZRRRmafsThinA40odO2nIMGZ6mB0sQrUbvyUCwYS3pXKkvCZVHvlaZ59QsQ==" saltValue="cYZpTpj1tytLFBu0wFFQ/Q==" spinCount="100000" sheet="1" objects="1" scenarios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B2" sqref="B2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5" t="s">
        <v>141</v>
      </c>
      <c r="I1" s="55" t="s">
        <v>158</v>
      </c>
    </row>
    <row r="2" spans="1:16" ht="15" thickBot="1" x14ac:dyDescent="0.4">
      <c r="I2" s="99" t="s">
        <v>60</v>
      </c>
      <c r="J2" s="178" t="s">
        <v>205</v>
      </c>
      <c r="K2" s="5"/>
      <c r="L2" s="90" t="s">
        <v>61</v>
      </c>
      <c r="M2" s="179" t="s">
        <v>62</v>
      </c>
      <c r="N2" s="5"/>
      <c r="O2" s="90" t="s">
        <v>88</v>
      </c>
      <c r="P2" s="179" t="s">
        <v>91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7" t="str">
        <f>Setup!B15</f>
        <v>Caseloads</v>
      </c>
      <c r="B5" s="78" t="s">
        <v>142</v>
      </c>
      <c r="C5" s="78" t="s">
        <v>143</v>
      </c>
      <c r="D5" s="78" t="s">
        <v>144</v>
      </c>
      <c r="E5" s="78" t="s">
        <v>145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Caseload 1</v>
      </c>
      <c r="B6" s="74">
        <f>IFERROR(INDEX('Required Capacity (Hide)'!$B$5:$C$19,MATCH(Planning!$A6,'Required Capacity (Hide)'!$A$5:$A$19,0),1),0)</f>
        <v>0</v>
      </c>
      <c r="C6" s="117">
        <f>IFERROR(INDEX('Required Capacity (Hide)'!$B$5:$C$19,MATCH(Planning!$A6,'Required Capacity (Hide)'!$A$5:$A$19,0),2),0)</f>
        <v>0</v>
      </c>
      <c r="D6" s="168"/>
      <c r="E6" s="169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Caseload 2</v>
      </c>
      <c r="B7" s="75">
        <f>IFERROR(INDEX('Required Capacity (Hide)'!$B$5:$C$19,MATCH(Planning!$A7,'Required Capacity (Hide)'!$A$5:$A$19,0),1),0)</f>
        <v>0</v>
      </c>
      <c r="C7" s="118">
        <f>IFERROR(INDEX('Required Capacity (Hide)'!$B$5:$C$19,MATCH(Planning!$A7,'Required Capacity (Hide)'!$A$5:$A$19,0),2),0)</f>
        <v>0</v>
      </c>
      <c r="D7" s="170"/>
      <c r="E7" s="171"/>
      <c r="F7" s="69"/>
      <c r="G7" s="70"/>
    </row>
    <row r="8" spans="1:16" x14ac:dyDescent="0.35">
      <c r="A8" s="47" t="str">
        <f>Setup!A22</f>
        <v>Caseload 3</v>
      </c>
      <c r="B8" s="75">
        <f>IFERROR(INDEX('Required Capacity (Hide)'!$B$5:$C$19,MATCH(Planning!$A8,'Required Capacity (Hide)'!$A$5:$A$19,0),1),0)</f>
        <v>0</v>
      </c>
      <c r="C8" s="118">
        <f>IFERROR(INDEX('Required Capacity (Hide)'!$B$5:$C$19,MATCH(Planning!$A8,'Required Capacity (Hide)'!$A$5:$A$19,0),2),0)</f>
        <v>0</v>
      </c>
      <c r="D8" s="170"/>
      <c r="E8" s="171"/>
      <c r="F8" s="69"/>
      <c r="G8" s="70"/>
    </row>
    <row r="9" spans="1:16" x14ac:dyDescent="0.35">
      <c r="A9" s="47" t="str">
        <f>Setup!A23</f>
        <v>Caseload 4</v>
      </c>
      <c r="B9" s="75">
        <f>IFERROR(INDEX('Required Capacity (Hide)'!$B$5:$C$19,MATCH(Planning!$A9,'Required Capacity (Hide)'!$A$5:$A$19,0),1),0)</f>
        <v>0</v>
      </c>
      <c r="C9" s="118">
        <f>IFERROR(INDEX('Required Capacity (Hide)'!$B$5:$C$19,MATCH(Planning!$A9,'Required Capacity (Hide)'!$A$5:$A$19,0),2),0)</f>
        <v>0</v>
      </c>
      <c r="D9" s="170"/>
      <c r="E9" s="171"/>
      <c r="F9" s="69"/>
      <c r="G9" s="70"/>
    </row>
    <row r="10" spans="1:16" x14ac:dyDescent="0.35">
      <c r="A10" s="47" t="str">
        <f>Setup!A24</f>
        <v>Caseload 5</v>
      </c>
      <c r="B10" s="75">
        <f>IFERROR(INDEX('Required Capacity (Hide)'!$B$5:$C$19,MATCH(Planning!$A10,'Required Capacity (Hide)'!$A$5:$A$19,0),1),0)</f>
        <v>0</v>
      </c>
      <c r="C10" s="118">
        <f>IFERROR(INDEX('Required Capacity (Hide)'!$B$5:$C$19,MATCH(Planning!$A10,'Required Capacity (Hide)'!$A$5:$A$19,0),2),0)</f>
        <v>0</v>
      </c>
      <c r="D10" s="170"/>
      <c r="E10" s="171"/>
      <c r="F10" s="69"/>
      <c r="G10" s="70"/>
    </row>
    <row r="11" spans="1:16" x14ac:dyDescent="0.35">
      <c r="A11" s="47" t="str">
        <f>Setup!A25</f>
        <v>Caseload 6</v>
      </c>
      <c r="B11" s="75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0</v>
      </c>
      <c r="D11" s="170"/>
      <c r="E11" s="171"/>
      <c r="F11" s="35" t="e">
        <v>#DIV/0!</v>
      </c>
      <c r="G11" s="6">
        <v>1</v>
      </c>
    </row>
    <row r="12" spans="1:16" x14ac:dyDescent="0.35">
      <c r="A12" s="47" t="str">
        <f>Setup!A26</f>
        <v>Caseload 7</v>
      </c>
      <c r="B12" s="75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0</v>
      </c>
      <c r="D12" s="170"/>
      <c r="E12" s="171"/>
      <c r="F12" s="35" t="e">
        <v>#DIV/0!</v>
      </c>
      <c r="G12" s="6">
        <v>1</v>
      </c>
    </row>
    <row r="13" spans="1:16" x14ac:dyDescent="0.35">
      <c r="A13" s="47" t="str">
        <f>Setup!A27</f>
        <v>Caseload 8</v>
      </c>
      <c r="B13" s="75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0</v>
      </c>
      <c r="D13" s="170"/>
      <c r="E13" s="171"/>
      <c r="F13" s="35" t="e">
        <v>#DIV/0!</v>
      </c>
      <c r="G13" s="6">
        <v>1</v>
      </c>
    </row>
    <row r="14" spans="1:16" x14ac:dyDescent="0.35">
      <c r="A14" s="47" t="str">
        <f>Setup!A28</f>
        <v>Caseload 9</v>
      </c>
      <c r="B14" s="75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0</v>
      </c>
      <c r="D14" s="170"/>
      <c r="E14" s="171"/>
      <c r="F14" s="35" t="e">
        <v>#DIV/0!</v>
      </c>
      <c r="G14" s="6">
        <v>1</v>
      </c>
    </row>
    <row r="15" spans="1:16" x14ac:dyDescent="0.35">
      <c r="A15" s="47" t="str">
        <f>Setup!A29</f>
        <v>Caseload 10</v>
      </c>
      <c r="B15" s="75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0</v>
      </c>
      <c r="D15" s="170"/>
      <c r="E15" s="171"/>
      <c r="F15" s="35" t="e">
        <v>#DIV/0!</v>
      </c>
      <c r="G15" s="6">
        <v>1</v>
      </c>
    </row>
    <row r="16" spans="1:16" x14ac:dyDescent="0.35">
      <c r="A16" s="47" t="str">
        <f>Setup!A30</f>
        <v>Caseload 11</v>
      </c>
      <c r="B16" s="75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0</v>
      </c>
      <c r="D16" s="170"/>
      <c r="E16" s="171"/>
      <c r="F16" s="35" t="e">
        <v>#DIV/0!</v>
      </c>
      <c r="G16" s="6">
        <v>1</v>
      </c>
    </row>
    <row r="17" spans="1:7" x14ac:dyDescent="0.35">
      <c r="A17" s="47" t="str">
        <f>Setup!A31</f>
        <v>Caseload 12</v>
      </c>
      <c r="B17" s="75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0</v>
      </c>
      <c r="D17" s="170"/>
      <c r="E17" s="171"/>
      <c r="F17" s="35" t="e">
        <v>#DIV/0!</v>
      </c>
      <c r="G17" s="6">
        <v>1</v>
      </c>
    </row>
    <row r="18" spans="1:7" x14ac:dyDescent="0.35">
      <c r="A18" s="47" t="str">
        <f>Setup!A32</f>
        <v>Caseload 13</v>
      </c>
      <c r="B18" s="75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0</v>
      </c>
      <c r="D18" s="170"/>
      <c r="E18" s="171"/>
      <c r="F18" s="35" t="e">
        <v>#DIV/0!</v>
      </c>
      <c r="G18" s="6">
        <v>1</v>
      </c>
    </row>
    <row r="19" spans="1:7" x14ac:dyDescent="0.35">
      <c r="A19" s="47" t="str">
        <f>Setup!A33</f>
        <v>Caseload 14</v>
      </c>
      <c r="B19" s="75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0</v>
      </c>
      <c r="D19" s="170"/>
      <c r="E19" s="171"/>
      <c r="F19" s="35" t="e">
        <v>#DIV/0!</v>
      </c>
      <c r="G19" s="6">
        <v>1</v>
      </c>
    </row>
    <row r="20" spans="1:7" ht="15" thickBot="1" x14ac:dyDescent="0.4">
      <c r="A20" s="48" t="str">
        <f>Setup!A34</f>
        <v>Caseload 15</v>
      </c>
      <c r="B20" s="76">
        <f>IFERROR(INDEX('Required Capacity (Hide)'!$B$5:$C$19,MATCH(Planning!$A20,'Required Capacity (Hide)'!$A$5:$A$19,0),1),0)</f>
        <v>0</v>
      </c>
      <c r="C20" s="119">
        <f>IFERROR(INDEX('Required Capacity (Hide)'!$B$5:$C$19,MATCH(Planning!$A20,'Required Capacity (Hide)'!$A$5:$A$19,0),2),0)</f>
        <v>0</v>
      </c>
      <c r="D20" s="172"/>
      <c r="E20" s="173"/>
      <c r="F20" s="36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55" t="s">
        <v>148</v>
      </c>
    </row>
    <row r="23" spans="1:7" ht="15" thickBot="1" x14ac:dyDescent="0.4"/>
    <row r="24" spans="1:7" ht="58.5" thickBot="1" x14ac:dyDescent="0.4">
      <c r="A24" s="57" t="str">
        <f>Setup!B15</f>
        <v>Caseloads</v>
      </c>
      <c r="B24" s="78" t="s">
        <v>152</v>
      </c>
      <c r="C24" s="78" t="s">
        <v>188</v>
      </c>
      <c r="D24" s="78" t="s">
        <v>154</v>
      </c>
      <c r="E24" s="78" t="s">
        <v>155</v>
      </c>
      <c r="F24" s="64"/>
      <c r="G24" s="64"/>
    </row>
    <row r="25" spans="1:7" x14ac:dyDescent="0.35">
      <c r="A25" s="47" t="str">
        <f>Setup!A20</f>
        <v>Caseload 1</v>
      </c>
      <c r="B25" s="101">
        <f>INDEX('Planning Backing (Hide)'!$B$21:$C$35,MATCH(A25,'Planning Backing (Hide)'!$A$21:$A$35,0),1)</f>
        <v>0</v>
      </c>
      <c r="C25" s="120">
        <f>INDEX('Planning Backing (Hide)'!$B$21:$C$35,MATCH(A25,'Planning Backing (Hide)'!$A$21:$A$35,0),2)</f>
        <v>0</v>
      </c>
      <c r="D25" s="174"/>
      <c r="E25" s="175"/>
      <c r="F25" s="67"/>
      <c r="G25" s="68"/>
    </row>
    <row r="26" spans="1:7" x14ac:dyDescent="0.35">
      <c r="A26" s="47" t="str">
        <f>Setup!A21</f>
        <v>Caseload 2</v>
      </c>
      <c r="B26" s="102">
        <f>INDEX('Planning Backing (Hide)'!$B$21:$C$35,MATCH(A26,'Planning Backing (Hide)'!$A$21:$A$35,0),1)</f>
        <v>0</v>
      </c>
      <c r="C26" s="121">
        <f>INDEX('Planning Backing (Hide)'!$B$21:$C$35,MATCH(A26,'Planning Backing (Hide)'!$A$21:$A$35,0),2)</f>
        <v>0</v>
      </c>
      <c r="D26" s="176"/>
      <c r="E26" s="177"/>
      <c r="F26" s="69"/>
      <c r="G26" s="70"/>
    </row>
    <row r="27" spans="1:7" x14ac:dyDescent="0.35">
      <c r="A27" s="47" t="str">
        <f>Setup!A22</f>
        <v>Caseload 3</v>
      </c>
      <c r="B27" s="102">
        <f>INDEX('Planning Backing (Hide)'!$B$21:$C$35,MATCH(A27,'Planning Backing (Hide)'!$A$21:$A$35,0),1)</f>
        <v>0</v>
      </c>
      <c r="C27" s="121">
        <f>INDEX('Planning Backing (Hide)'!$B$21:$C$35,MATCH(A27,'Planning Backing (Hide)'!$A$21:$A$35,0),2)</f>
        <v>0</v>
      </c>
      <c r="D27" s="176"/>
      <c r="E27" s="177"/>
      <c r="F27" s="69"/>
      <c r="G27" s="70"/>
    </row>
    <row r="28" spans="1:7" x14ac:dyDescent="0.35">
      <c r="A28" s="47" t="str">
        <f>Setup!A23</f>
        <v>Caseload 4</v>
      </c>
      <c r="B28" s="102">
        <f>INDEX('Planning Backing (Hide)'!$B$21:$C$35,MATCH(A28,'Planning Backing (Hide)'!$A$21:$A$35,0),1)</f>
        <v>0</v>
      </c>
      <c r="C28" s="121">
        <f>INDEX('Planning Backing (Hide)'!$B$21:$C$35,MATCH(A28,'Planning Backing (Hide)'!$A$21:$A$35,0),2)</f>
        <v>0</v>
      </c>
      <c r="D28" s="176"/>
      <c r="E28" s="177"/>
      <c r="F28" s="69"/>
      <c r="G28" s="70"/>
    </row>
    <row r="29" spans="1:7" x14ac:dyDescent="0.35">
      <c r="A29" s="47" t="str">
        <f>Setup!A24</f>
        <v>Caseload 5</v>
      </c>
      <c r="B29" s="102">
        <f>INDEX('Planning Backing (Hide)'!$B$21:$C$35,MATCH(A29,'Planning Backing (Hide)'!$A$21:$A$35,0),1)</f>
        <v>0</v>
      </c>
      <c r="C29" s="121">
        <f>INDEX('Planning Backing (Hide)'!$B$21:$C$35,MATCH(A29,'Planning Backing (Hide)'!$A$21:$A$35,0),2)</f>
        <v>0</v>
      </c>
      <c r="D29" s="176"/>
      <c r="E29" s="177"/>
      <c r="F29" s="69"/>
      <c r="G29" s="70"/>
    </row>
    <row r="30" spans="1:7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8">
        <f>INDEX('Planning Backing (Hide)'!$B$21:$C$35,MATCH(A30,'Planning Backing (Hide)'!$A$21:$A$35,0),2)</f>
        <v>0</v>
      </c>
      <c r="D30" s="170"/>
      <c r="E30" s="171"/>
      <c r="F30" s="35"/>
      <c r="G30" s="6"/>
    </row>
    <row r="31" spans="1:7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8">
        <f>INDEX('Planning Backing (Hide)'!$B$21:$C$35,MATCH(A31,'Planning Backing (Hide)'!$A$21:$A$35,0),2)</f>
        <v>0</v>
      </c>
      <c r="D31" s="170"/>
      <c r="E31" s="171"/>
      <c r="F31" s="35"/>
      <c r="G31" s="6"/>
    </row>
    <row r="32" spans="1:7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8">
        <f>INDEX('Planning Backing (Hide)'!$B$21:$C$35,MATCH(A32,'Planning Backing (Hide)'!$A$21:$A$35,0),2)</f>
        <v>0</v>
      </c>
      <c r="D32" s="170"/>
      <c r="E32" s="171"/>
      <c r="F32" s="35"/>
      <c r="G32" s="6"/>
    </row>
    <row r="33" spans="1:7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8">
        <f>INDEX('Planning Backing (Hide)'!$B$21:$C$35,MATCH(A33,'Planning Backing (Hide)'!$A$21:$A$35,0),2)</f>
        <v>0</v>
      </c>
      <c r="D33" s="170"/>
      <c r="E33" s="171"/>
      <c r="F33" s="35"/>
      <c r="G33" s="6"/>
    </row>
    <row r="34" spans="1:7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8">
        <f>INDEX('Planning Backing (Hide)'!$B$21:$C$35,MATCH(A34,'Planning Backing (Hide)'!$A$21:$A$35,0),2)</f>
        <v>0</v>
      </c>
      <c r="D34" s="170"/>
      <c r="E34" s="171"/>
      <c r="F34" s="35"/>
      <c r="G34" s="6"/>
    </row>
    <row r="35" spans="1:7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8">
        <f>INDEX('Planning Backing (Hide)'!$B$21:$C$35,MATCH(A35,'Planning Backing (Hide)'!$A$21:$A$35,0),2)</f>
        <v>0</v>
      </c>
      <c r="D35" s="170"/>
      <c r="E35" s="171"/>
      <c r="F35" s="35"/>
      <c r="G35" s="6"/>
    </row>
    <row r="36" spans="1:7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8">
        <f>INDEX('Planning Backing (Hide)'!$B$21:$C$35,MATCH(A36,'Planning Backing (Hide)'!$A$21:$A$35,0),2)</f>
        <v>0</v>
      </c>
      <c r="D36" s="170"/>
      <c r="E36" s="171"/>
      <c r="F36" s="35"/>
      <c r="G36" s="6"/>
    </row>
    <row r="37" spans="1:7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8">
        <f>INDEX('Planning Backing (Hide)'!$B$21:$C$35,MATCH(A37,'Planning Backing (Hide)'!$A$21:$A$35,0),2)</f>
        <v>0</v>
      </c>
      <c r="D37" s="170"/>
      <c r="E37" s="171"/>
      <c r="F37" s="35"/>
      <c r="G37" s="6"/>
    </row>
    <row r="38" spans="1:7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8">
        <f>INDEX('Planning Backing (Hide)'!$B$21:$C$35,MATCH(A38,'Planning Backing (Hide)'!$A$21:$A$35,0),2)</f>
        <v>0</v>
      </c>
      <c r="D38" s="170"/>
      <c r="E38" s="171"/>
      <c r="F38" s="35"/>
      <c r="G38" s="6"/>
    </row>
    <row r="39" spans="1:7" ht="15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9">
        <f>INDEX('Planning Backing (Hide)'!$B$21:$C$35,MATCH(A39,'Planning Backing (Hide)'!$A$21:$A$35,0),2)</f>
        <v>0</v>
      </c>
      <c r="D39" s="172"/>
      <c r="E39" s="173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4" t="s">
        <v>184</v>
      </c>
      <c r="B41" s="5"/>
      <c r="C41" s="5"/>
      <c r="D41" s="5"/>
      <c r="E41" s="5"/>
    </row>
    <row r="42" spans="1:7" ht="15" thickBot="1" x14ac:dyDescent="0.4">
      <c r="A42" s="100" t="s">
        <v>185</v>
      </c>
      <c r="B42" s="5"/>
      <c r="C42" s="5"/>
      <c r="D42" s="5"/>
      <c r="E42" s="5"/>
    </row>
    <row r="43" spans="1:7" ht="29.5" thickBot="1" x14ac:dyDescent="0.4">
      <c r="A43" s="57" t="str">
        <f>Setup!B15</f>
        <v>Caseloads</v>
      </c>
      <c r="B43" s="78" t="s">
        <v>45</v>
      </c>
      <c r="C43" s="78" t="s">
        <v>182</v>
      </c>
      <c r="D43" s="78" t="s">
        <v>183</v>
      </c>
      <c r="E43" s="5"/>
    </row>
    <row r="44" spans="1:7" x14ac:dyDescent="0.35">
      <c r="A44" s="139"/>
      <c r="B44" s="139"/>
      <c r="C44" s="74" t="str" cm="1">
        <f t="array" ref="C44">IFERROR(INDEX(Service!$E$6:$E$30,MATCH(1,(Service!$B$6:$B$30=Planning!A44)*(Service!$C$6:$C$30=Planning!B44),0),1),"")</f>
        <v/>
      </c>
      <c r="D44" s="156"/>
      <c r="E44" s="5"/>
    </row>
    <row r="45" spans="1:7" x14ac:dyDescent="0.35">
      <c r="A45" s="140"/>
      <c r="B45" s="140"/>
      <c r="C45" s="75" t="str" cm="1">
        <f t="array" ref="C45">IFERROR(INDEX(Service!$E$6:$E$30,MATCH(1,(Service!$B$6:$B$30=Planning!A45)*(Service!$C$6:$C$30=Planning!B45),0),1),"")</f>
        <v/>
      </c>
      <c r="D45" s="159"/>
      <c r="E45" s="5"/>
    </row>
    <row r="46" spans="1:7" x14ac:dyDescent="0.35">
      <c r="A46" s="140"/>
      <c r="B46" s="140"/>
      <c r="C46" s="75" t="str" cm="1">
        <f t="array" ref="C46">IFERROR(INDEX(Service!$E$6:$E$30,MATCH(1,(Service!$B$6:$B$30=Planning!A46)*(Service!$C$6:$C$30=Planning!B46),0),1),"")</f>
        <v/>
      </c>
      <c r="D46" s="159"/>
      <c r="E46" s="5"/>
    </row>
    <row r="47" spans="1:7" x14ac:dyDescent="0.35">
      <c r="A47" s="140"/>
      <c r="B47" s="140"/>
      <c r="C47" s="75" t="str" cm="1">
        <f t="array" ref="C47">IFERROR(INDEX(Service!$E$6:$E$30,MATCH(1,(Service!$B$6:$B$30=Planning!A47)*(Service!$C$6:$C$30=Planning!B47),0),1),"")</f>
        <v/>
      </c>
      <c r="D47" s="159"/>
      <c r="E47" s="5"/>
    </row>
    <row r="48" spans="1:7" x14ac:dyDescent="0.35">
      <c r="A48" s="140"/>
      <c r="B48" s="140"/>
      <c r="C48" s="75" t="str" cm="1">
        <f t="array" ref="C48">IFERROR(INDEX(Service!$E$6:$E$30,MATCH(1,(Service!$B$6:$B$30=Planning!A48)*(Service!$C$6:$C$30=Planning!B48),0),1),"")</f>
        <v/>
      </c>
      <c r="D48" s="159"/>
      <c r="E48" s="5"/>
    </row>
    <row r="49" spans="1:7" x14ac:dyDescent="0.35">
      <c r="A49" s="140"/>
      <c r="B49" s="140"/>
      <c r="C49" s="75" t="str" cm="1">
        <f t="array" ref="C49">IFERROR(INDEX(Service!$E$6:$E$30,MATCH(1,(Service!$B$6:$B$30=Planning!A49)*(Service!$C$6:$C$30=Planning!B49),0),1),"")</f>
        <v/>
      </c>
      <c r="D49" s="159"/>
      <c r="E49" s="5"/>
    </row>
    <row r="50" spans="1:7" x14ac:dyDescent="0.35">
      <c r="A50" s="140"/>
      <c r="B50" s="140"/>
      <c r="C50" s="75" t="str" cm="1">
        <f t="array" ref="C50">IFERROR(INDEX(Service!$E$6:$E$30,MATCH(1,(Service!$B$6:$B$30=Planning!A50)*(Service!$C$6:$C$30=Planning!B50),0),1),"")</f>
        <v/>
      </c>
      <c r="D50" s="159"/>
      <c r="E50" s="5"/>
    </row>
    <row r="51" spans="1:7" x14ac:dyDescent="0.35">
      <c r="A51" s="140"/>
      <c r="B51" s="140"/>
      <c r="C51" s="75" t="str" cm="1">
        <f t="array" ref="C51">IFERROR(INDEX(Service!$E$6:$E$30,MATCH(1,(Service!$B$6:$B$30=Planning!A51)*(Service!$C$6:$C$30=Planning!B51),0),1),"")</f>
        <v/>
      </c>
      <c r="D51" s="159"/>
      <c r="E51" s="5"/>
    </row>
    <row r="52" spans="1:7" x14ac:dyDescent="0.35">
      <c r="A52" s="140"/>
      <c r="B52" s="140"/>
      <c r="C52" s="75" t="str" cm="1">
        <f t="array" ref="C52">IFERROR(INDEX(Service!$E$6:$E$30,MATCH(1,(Service!$B$6:$B$30=Planning!A52)*(Service!$C$6:$C$30=Planning!B52),0),1),"")</f>
        <v/>
      </c>
      <c r="D52" s="159"/>
      <c r="E52" s="5"/>
    </row>
    <row r="53" spans="1:7" x14ac:dyDescent="0.35">
      <c r="A53" s="140"/>
      <c r="B53" s="140"/>
      <c r="C53" s="75" t="str" cm="1">
        <f t="array" ref="C53">IFERROR(INDEX(Service!$E$6:$E$30,MATCH(1,(Service!$B$6:$B$30=Planning!A53)*(Service!$C$6:$C$30=Planning!B53),0),1),"")</f>
        <v/>
      </c>
      <c r="D53" s="159"/>
      <c r="E53" s="5"/>
    </row>
    <row r="54" spans="1:7" x14ac:dyDescent="0.35">
      <c r="A54" s="140"/>
      <c r="B54" s="140"/>
      <c r="C54" s="75" t="str" cm="1">
        <f t="array" ref="C54">IFERROR(INDEX(Service!$E$6:$E$30,MATCH(1,(Service!$B$6:$B$30=Planning!A54)*(Service!$C$6:$C$30=Planning!B54),0),1),"")</f>
        <v/>
      </c>
      <c r="D54" s="159"/>
      <c r="E54" s="5"/>
    </row>
    <row r="55" spans="1:7" x14ac:dyDescent="0.35">
      <c r="A55" s="140"/>
      <c r="B55" s="140"/>
      <c r="C55" s="75" t="str" cm="1">
        <f t="array" ref="C55">IFERROR(INDEX(Service!$E$6:$E$30,MATCH(1,(Service!$B$6:$B$30=Planning!A55)*(Service!$C$6:$C$30=Planning!B55),0),1),"")</f>
        <v/>
      </c>
      <c r="D55" s="159"/>
      <c r="E55" s="5"/>
    </row>
    <row r="56" spans="1:7" x14ac:dyDescent="0.35">
      <c r="A56" s="140"/>
      <c r="B56" s="140"/>
      <c r="C56" s="75" t="str" cm="1">
        <f t="array" ref="C56">IFERROR(INDEX(Service!$E$6:$E$30,MATCH(1,(Service!$B$6:$B$30=Planning!A56)*(Service!$C$6:$C$30=Planning!B56),0),1),"")</f>
        <v/>
      </c>
      <c r="D56" s="159"/>
      <c r="E56" s="5"/>
    </row>
    <row r="57" spans="1:7" x14ac:dyDescent="0.35">
      <c r="A57" s="140"/>
      <c r="B57" s="140"/>
      <c r="C57" s="75" t="str" cm="1">
        <f t="array" ref="C57">IFERROR(INDEX(Service!$E$6:$E$30,MATCH(1,(Service!$B$6:$B$30=Planning!A57)*(Service!$C$6:$C$30=Planning!B57),0),1),"")</f>
        <v/>
      </c>
      <c r="D57" s="159"/>
      <c r="E57" s="5"/>
    </row>
    <row r="58" spans="1:7" ht="15" thickBot="1" x14ac:dyDescent="0.4">
      <c r="A58" s="145"/>
      <c r="B58" s="145"/>
      <c r="C58" s="76" t="str" cm="1">
        <f t="array" ref="C58">IFERROR(INDEX(Service!$E$6:$E$30,MATCH(1,(Service!$B$6:$B$30=Planning!A58)*(Service!$C$6:$C$30=Planning!B58),0),1),"")</f>
        <v/>
      </c>
      <c r="D58" s="162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159</v>
      </c>
      <c r="F60" s="65"/>
      <c r="G60" s="65"/>
    </row>
    <row r="61" spans="1:7" ht="15" thickBot="1" x14ac:dyDescent="0.4"/>
    <row r="62" spans="1:7" ht="44" thickBot="1" x14ac:dyDescent="0.4">
      <c r="A62" s="57" t="str">
        <f>Setup!B15</f>
        <v>Caseloads</v>
      </c>
      <c r="B62" s="78" t="s">
        <v>149</v>
      </c>
      <c r="C62" s="78" t="s">
        <v>150</v>
      </c>
      <c r="D62" s="78" t="str">
        <f>"Edit Non-Group Capacity ("&amp;LOWER(Summary!B7)&amp;")"</f>
        <v>Edit Non-Group Capacity (minutes)</v>
      </c>
      <c r="E62" s="78" t="str">
        <f>"Edit Group Capacity ("&amp;LOWER(Summary!B7)&amp;")"</f>
        <v>Edit Group Capacity (minutes)</v>
      </c>
    </row>
    <row r="63" spans="1:7" x14ac:dyDescent="0.35">
      <c r="A63" s="47" t="str">
        <f>Setup!A20</f>
        <v>Caseload 1</v>
      </c>
      <c r="B63" s="101">
        <f ca="1">IFERROR(INDEX('Capacity Backing (Hide)'!$H$261:$J$275,MATCH(Planning!$A63,'Capacity Backing (Hide)'!$A$261:$A$275,0),1),0)</f>
        <v>0</v>
      </c>
      <c r="C63" s="101">
        <f ca="1">IFERROR(INDEX('Capacity Backing (Hide)'!$H$261:$J$275,MATCH(Planning!$A63,'Capacity Backing (Hide)'!$A$261:$A$275,0),2),0)</f>
        <v>0</v>
      </c>
      <c r="D63" s="139"/>
      <c r="E63" s="139"/>
    </row>
    <row r="64" spans="1:7" x14ac:dyDescent="0.35">
      <c r="A64" s="47" t="str">
        <f>Setup!A21</f>
        <v>Caseload 2</v>
      </c>
      <c r="B64" s="102">
        <f ca="1">IFERROR(INDEX('Capacity Backing (Hide)'!$H$261:$J$275,MATCH(Planning!$A64,'Capacity Backing (Hide)'!$A$261:$A$275,0),1),0)</f>
        <v>0</v>
      </c>
      <c r="C64" s="102">
        <f ca="1">IFERROR(INDEX('Capacity Backing (Hide)'!$H$261:$J$275,MATCH(Planning!$A64,'Capacity Backing (Hide)'!$A$261:$A$275,0),2),0)</f>
        <v>0</v>
      </c>
      <c r="D64" s="140"/>
      <c r="E64" s="140"/>
    </row>
    <row r="65" spans="1:5" x14ac:dyDescent="0.35">
      <c r="A65" s="47" t="str">
        <f>Setup!A22</f>
        <v>Caseload 3</v>
      </c>
      <c r="B65" s="102">
        <f ca="1">IFERROR(INDEX('Capacity Backing (Hide)'!$H$261:$J$275,MATCH(Planning!$A65,'Capacity Backing (Hide)'!$A$261:$A$275,0),1),0)</f>
        <v>0</v>
      </c>
      <c r="C65" s="102">
        <f ca="1">IFERROR(INDEX('Capacity Backing (Hide)'!$H$261:$J$275,MATCH(Planning!$A65,'Capacity Backing (Hide)'!$A$261:$A$275,0),2),0)</f>
        <v>0</v>
      </c>
      <c r="D65" s="140"/>
      <c r="E65" s="140"/>
    </row>
    <row r="66" spans="1:5" x14ac:dyDescent="0.35">
      <c r="A66" s="47" t="str">
        <f>Setup!A23</f>
        <v>Caseload 4</v>
      </c>
      <c r="B66" s="102">
        <f ca="1">IFERROR(INDEX('Capacity Backing (Hide)'!$H$261:$J$275,MATCH(Planning!$A66,'Capacity Backing (Hide)'!$A$261:$A$275,0),1),0)</f>
        <v>0</v>
      </c>
      <c r="C66" s="102">
        <f ca="1">IFERROR(INDEX('Capacity Backing (Hide)'!$H$261:$J$275,MATCH(Planning!$A66,'Capacity Backing (Hide)'!$A$261:$A$275,0),2),0)</f>
        <v>0</v>
      </c>
      <c r="D66" s="140"/>
      <c r="E66" s="140"/>
    </row>
    <row r="67" spans="1:5" x14ac:dyDescent="0.35">
      <c r="A67" s="47" t="str">
        <f>Setup!A24</f>
        <v>Caseload 5</v>
      </c>
      <c r="B67" s="102">
        <f ca="1">IFERROR(INDEX('Capacity Backing (Hide)'!$H$261:$J$275,MATCH(Planning!$A67,'Capacity Backing (Hide)'!$A$261:$A$275,0),1),0)</f>
        <v>0</v>
      </c>
      <c r="C67" s="102">
        <f ca="1">IFERROR(INDEX('Capacity Backing (Hide)'!$H$261:$J$275,MATCH(Planning!$A67,'Capacity Backing (Hide)'!$A$261:$A$275,0),2),0)</f>
        <v>0</v>
      </c>
      <c r="D67" s="140"/>
      <c r="E67" s="140"/>
    </row>
    <row r="68" spans="1:5" x14ac:dyDescent="0.35">
      <c r="A68" s="47" t="str">
        <f>Setup!A25</f>
        <v>Caseload 6</v>
      </c>
      <c r="B68" s="75">
        <f ca="1">IFERROR(INDEX('Capacity Backing (Hide)'!$H$261:$J$275,MATCH(Planning!$A68,'Capacity Backing (Hide)'!$A$261:$A$275,0),1),0)</f>
        <v>0</v>
      </c>
      <c r="C68" s="75">
        <f ca="1">IFERROR(INDEX('Capacity Backing (Hide)'!$H$261:$J$275,MATCH(Planning!$A68,'Capacity Backing (Hide)'!$A$261:$A$275,0),2),0)</f>
        <v>0</v>
      </c>
      <c r="D68" s="140"/>
      <c r="E68" s="140"/>
    </row>
    <row r="69" spans="1:5" x14ac:dyDescent="0.35">
      <c r="A69" s="47" t="str">
        <f>Setup!A26</f>
        <v>Caseload 7</v>
      </c>
      <c r="B69" s="75">
        <f ca="1">IFERROR(INDEX('Capacity Backing (Hide)'!$H$261:$J$275,MATCH(Planning!$A69,'Capacity Backing (Hide)'!$A$261:$A$275,0),1),0)</f>
        <v>0</v>
      </c>
      <c r="C69" s="75">
        <f ca="1">IFERROR(INDEX('Capacity Backing (Hide)'!$H$261:$J$275,MATCH(Planning!$A69,'Capacity Backing (Hide)'!$A$261:$A$275,0),2),0)</f>
        <v>0</v>
      </c>
      <c r="D69" s="140"/>
      <c r="E69" s="140"/>
    </row>
    <row r="70" spans="1:5" x14ac:dyDescent="0.35">
      <c r="A70" s="47" t="str">
        <f>Setup!A27</f>
        <v>Caseload 8</v>
      </c>
      <c r="B70" s="75">
        <f ca="1">IFERROR(INDEX('Capacity Backing (Hide)'!$H$261:$J$275,MATCH(Planning!$A70,'Capacity Backing (Hide)'!$A$261:$A$275,0),1),0)</f>
        <v>0</v>
      </c>
      <c r="C70" s="75">
        <f ca="1">IFERROR(INDEX('Capacity Backing (Hide)'!$H$261:$J$275,MATCH(Planning!$A70,'Capacity Backing (Hide)'!$A$261:$A$275,0),2),0)</f>
        <v>0</v>
      </c>
      <c r="D70" s="140"/>
      <c r="E70" s="140"/>
    </row>
    <row r="71" spans="1:5" x14ac:dyDescent="0.35">
      <c r="A71" s="47" t="str">
        <f>Setup!A28</f>
        <v>Caseload 9</v>
      </c>
      <c r="B71" s="75">
        <f ca="1">IFERROR(INDEX('Capacity Backing (Hide)'!$H$261:$J$275,MATCH(Planning!$A71,'Capacity Backing (Hide)'!$A$261:$A$275,0),1),0)</f>
        <v>0</v>
      </c>
      <c r="C71" s="75">
        <f ca="1">IFERROR(INDEX('Capacity Backing (Hide)'!$H$261:$J$275,MATCH(Planning!$A71,'Capacity Backing (Hide)'!$A$261:$A$275,0),2),0)</f>
        <v>0</v>
      </c>
      <c r="D71" s="140"/>
      <c r="E71" s="140"/>
    </row>
    <row r="72" spans="1:5" x14ac:dyDescent="0.35">
      <c r="A72" s="47" t="str">
        <f>Setup!A29</f>
        <v>Caseload 10</v>
      </c>
      <c r="B72" s="75">
        <f ca="1">IFERROR(INDEX('Capacity Backing (Hide)'!$H$261:$J$275,MATCH(Planning!$A72,'Capacity Backing (Hide)'!$A$261:$A$275,0),1),0)</f>
        <v>0</v>
      </c>
      <c r="C72" s="75">
        <f ca="1">IFERROR(INDEX('Capacity Backing (Hide)'!$H$261:$J$275,MATCH(Planning!$A72,'Capacity Backing (Hide)'!$A$261:$A$275,0),2),0)</f>
        <v>0</v>
      </c>
      <c r="D72" s="140"/>
      <c r="E72" s="140"/>
    </row>
    <row r="73" spans="1:5" x14ac:dyDescent="0.35">
      <c r="A73" s="47" t="str">
        <f>Setup!A30</f>
        <v>Caseload 11</v>
      </c>
      <c r="B73" s="75">
        <f ca="1">IFERROR(INDEX('Capacity Backing (Hide)'!$H$261:$J$275,MATCH(Planning!$A73,'Capacity Backing (Hide)'!$A$261:$A$275,0),1),0)</f>
        <v>0</v>
      </c>
      <c r="C73" s="75">
        <f ca="1">IFERROR(INDEX('Capacity Backing (Hide)'!$H$261:$J$275,MATCH(Planning!$A73,'Capacity Backing (Hide)'!$A$261:$A$275,0),2),0)</f>
        <v>0</v>
      </c>
      <c r="D73" s="140"/>
      <c r="E73" s="140"/>
    </row>
    <row r="74" spans="1:5" x14ac:dyDescent="0.35">
      <c r="A74" s="47" t="str">
        <f>Setup!A31</f>
        <v>Caseload 12</v>
      </c>
      <c r="B74" s="75">
        <f ca="1">IFERROR(INDEX('Capacity Backing (Hide)'!$H$261:$J$275,MATCH(Planning!$A74,'Capacity Backing (Hide)'!$A$261:$A$275,0),1),0)</f>
        <v>0</v>
      </c>
      <c r="C74" s="75">
        <f ca="1">IFERROR(INDEX('Capacity Backing (Hide)'!$H$261:$J$275,MATCH(Planning!$A74,'Capacity Backing (Hide)'!$A$261:$A$275,0),2),0)</f>
        <v>0</v>
      </c>
      <c r="D74" s="140"/>
      <c r="E74" s="140"/>
    </row>
    <row r="75" spans="1:5" x14ac:dyDescent="0.35">
      <c r="A75" s="47" t="str">
        <f>Setup!A32</f>
        <v>Caseload 13</v>
      </c>
      <c r="B75" s="75">
        <f ca="1">IFERROR(INDEX('Capacity Backing (Hide)'!$H$261:$J$275,MATCH(Planning!$A75,'Capacity Backing (Hide)'!$A$261:$A$275,0),1),0)</f>
        <v>0</v>
      </c>
      <c r="C75" s="75">
        <f ca="1">IFERROR(INDEX('Capacity Backing (Hide)'!$H$261:$J$275,MATCH(Planning!$A75,'Capacity Backing (Hide)'!$A$261:$A$275,0),2),0)</f>
        <v>0</v>
      </c>
      <c r="D75" s="140"/>
      <c r="E75" s="140"/>
    </row>
    <row r="76" spans="1:5" x14ac:dyDescent="0.35">
      <c r="A76" s="47" t="str">
        <f>Setup!A33</f>
        <v>Caseload 14</v>
      </c>
      <c r="B76" s="75">
        <f ca="1">IFERROR(INDEX('Capacity Backing (Hide)'!$H$261:$J$275,MATCH(Planning!$A76,'Capacity Backing (Hide)'!$A$261:$A$275,0),1),0)</f>
        <v>0</v>
      </c>
      <c r="C76" s="75">
        <f ca="1">IFERROR(INDEX('Capacity Backing (Hide)'!$H$261:$J$275,MATCH(Planning!$A76,'Capacity Backing (Hide)'!$A$261:$A$275,0),2),0)</f>
        <v>0</v>
      </c>
      <c r="D76" s="140"/>
      <c r="E76" s="140"/>
    </row>
    <row r="77" spans="1:5" ht="15" thickBot="1" x14ac:dyDescent="0.4">
      <c r="A77" s="48" t="str">
        <f>Setup!A34</f>
        <v>Caseload 15</v>
      </c>
      <c r="B77" s="76">
        <f ca="1">IFERROR(INDEX('Capacity Backing (Hide)'!$H$261:$J$275,MATCH(Planning!$A77,'Capacity Backing (Hide)'!$A$261:$A$275,0),1),0)</f>
        <v>0</v>
      </c>
      <c r="C77" s="76">
        <f ca="1">IFERROR(INDEX('Capacity Backing (Hide)'!$H$261:$J$275,MATCH(Planning!$A77,'Capacity Backing (Hide)'!$A$261:$A$275,0),2),0)</f>
        <v>0</v>
      </c>
      <c r="D77" s="145"/>
      <c r="E77" s="145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151</v>
      </c>
      <c r="I1" s="3" t="s">
        <v>55</v>
      </c>
      <c r="J1" t="str" cm="1">
        <f t="array" ref="J1">INDEX($A$4:$A$18,ROUNDUP(COLUMN(A1)/6,0),1)</f>
        <v>Caseload 1</v>
      </c>
      <c r="K1" t="str" cm="1">
        <f t="array" ref="K1">INDEX($A$4:$A$18,ROUNDUP(COLUMN(B1)/6,0),1)</f>
        <v>Caseload 1</v>
      </c>
      <c r="L1" t="str" cm="1">
        <f t="array" ref="L1">INDEX($A$4:$A$18,ROUNDUP(COLUMN(C1)/6,0),1)</f>
        <v>Caseload 1</v>
      </c>
      <c r="M1" t="str" cm="1">
        <f t="array" ref="M1">INDEX($A$4:$A$18,ROUNDUP(COLUMN(D1)/6,0),1)</f>
        <v>Caseload 1</v>
      </c>
      <c r="N1" t="str" cm="1">
        <f t="array" ref="N1">INDEX($A$4:$A$18,ROUNDUP(COLUMN(E1)/6,0),1)</f>
        <v>Caseload 1</v>
      </c>
      <c r="O1" t="str" cm="1">
        <f t="array" ref="O1">INDEX($A$4:$A$18,ROUNDUP(COLUMN(F1)/6,0),1)</f>
        <v>Caseload 1</v>
      </c>
      <c r="P1" t="str" cm="1">
        <f t="array" ref="P1">INDEX($A$4:$A$18,ROUNDUP(COLUMN(G1)/6,0),1)</f>
        <v>Caseload 2</v>
      </c>
      <c r="Q1" t="str" cm="1">
        <f t="array" ref="Q1">INDEX($A$4:$A$18,ROUNDUP(COLUMN(H1)/6,0),1)</f>
        <v>Caseload 2</v>
      </c>
      <c r="R1" t="str" cm="1">
        <f t="array" ref="R1">INDEX($A$4:$A$18,ROUNDUP(COLUMN(I1)/6,0),1)</f>
        <v>Caseload 2</v>
      </c>
      <c r="S1" t="str" cm="1">
        <f t="array" ref="S1">INDEX($A$4:$A$18,ROUNDUP(COLUMN(J1)/6,0),1)</f>
        <v>Caseload 2</v>
      </c>
      <c r="T1" t="str" cm="1">
        <f t="array" ref="T1">INDEX($A$4:$A$18,ROUNDUP(COLUMN(K1)/6,0),1)</f>
        <v>Caseload 2</v>
      </c>
      <c r="U1" t="str" cm="1">
        <f t="array" ref="U1">INDEX($A$4:$A$18,ROUNDUP(COLUMN(L1)/6,0),1)</f>
        <v>Caseload 2</v>
      </c>
      <c r="V1" t="str" cm="1">
        <f t="array" ref="V1">INDEX($A$4:$A$18,ROUNDUP(COLUMN(M1)/6,0),1)</f>
        <v>Caseload 3</v>
      </c>
      <c r="W1" t="str" cm="1">
        <f t="array" ref="W1">INDEX($A$4:$A$18,ROUNDUP(COLUMN(N1)/6,0),1)</f>
        <v>Caseload 3</v>
      </c>
      <c r="X1" t="str" cm="1">
        <f t="array" ref="X1">INDEX($A$4:$A$18,ROUNDUP(COLUMN(O1)/6,0),1)</f>
        <v>Caseload 3</v>
      </c>
      <c r="Y1" t="str" cm="1">
        <f t="array" ref="Y1">INDEX($A$4:$A$18,ROUNDUP(COLUMN(P1)/6,0),1)</f>
        <v>Caseload 3</v>
      </c>
      <c r="Z1" t="str" cm="1">
        <f t="array" ref="Z1">INDEX($A$4:$A$18,ROUNDUP(COLUMN(Q1)/6,0),1)</f>
        <v>Caseload 3</v>
      </c>
      <c r="AA1" t="str" cm="1">
        <f t="array" ref="AA1">INDEX($A$4:$A$18,ROUNDUP(COLUMN(R1)/6,0),1)</f>
        <v>Caseload 3</v>
      </c>
      <c r="AB1" t="str" cm="1">
        <f t="array" ref="AB1">INDEX($A$4:$A$18,ROUNDUP(COLUMN(S1)/6,0),1)</f>
        <v>Caseload 4</v>
      </c>
      <c r="AC1" t="str" cm="1">
        <f t="array" ref="AC1">INDEX($A$4:$A$18,ROUNDUP(COLUMN(T1)/6,0),1)</f>
        <v>Caseload 4</v>
      </c>
      <c r="AD1" t="str" cm="1">
        <f t="array" ref="AD1">INDEX($A$4:$A$18,ROUNDUP(COLUMN(U1)/6,0),1)</f>
        <v>Caseload 4</v>
      </c>
      <c r="AE1" t="str" cm="1">
        <f t="array" ref="AE1">INDEX($A$4:$A$18,ROUNDUP(COLUMN(V1)/6,0),1)</f>
        <v>Caseload 4</v>
      </c>
      <c r="AF1" t="str" cm="1">
        <f t="array" ref="AF1">INDEX($A$4:$A$18,ROUNDUP(COLUMN(W1)/6,0),1)</f>
        <v>Caseload 4</v>
      </c>
      <c r="AG1" t="str" cm="1">
        <f t="array" ref="AG1">INDEX($A$4:$A$18,ROUNDUP(COLUMN(X1)/6,0),1)</f>
        <v>Caseload 4</v>
      </c>
      <c r="AH1" t="str" cm="1">
        <f t="array" ref="AH1">INDEX($A$4:$A$18,ROUNDUP(COLUMN(Y1)/6,0),1)</f>
        <v>Caseload 5</v>
      </c>
      <c r="AI1" t="str" cm="1">
        <f t="array" ref="AI1">INDEX($A$4:$A$18,ROUNDUP(COLUMN(Z1)/6,0),1)</f>
        <v>Caseload 5</v>
      </c>
      <c r="AJ1" t="str" cm="1">
        <f t="array" ref="AJ1">INDEX($A$4:$A$18,ROUNDUP(COLUMN(AA1)/6,0),1)</f>
        <v>Caseload 5</v>
      </c>
      <c r="AK1" t="str" cm="1">
        <f t="array" ref="AK1">INDEX($A$4:$A$18,ROUNDUP(COLUMN(AB1)/6,0),1)</f>
        <v>Caseload 5</v>
      </c>
      <c r="AL1" t="str" cm="1">
        <f t="array" ref="AL1">INDEX($A$4:$A$18,ROUNDUP(COLUMN(AC1)/6,0),1)</f>
        <v>Caseload 5</v>
      </c>
      <c r="AM1" t="str" cm="1">
        <f t="array" ref="AM1">INDEX($A$4:$A$18,ROUNDUP(COLUMN(AD1)/6,0),1)</f>
        <v>Caseload 5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142</v>
      </c>
      <c r="C3" s="65" t="s">
        <v>143</v>
      </c>
      <c r="D3" s="65" t="s">
        <v>144</v>
      </c>
      <c r="E3" s="65" t="s">
        <v>145</v>
      </c>
      <c r="F3" s="65" t="s">
        <v>146</v>
      </c>
      <c r="G3" s="65" t="s">
        <v>147</v>
      </c>
      <c r="I3" s="7"/>
      <c r="J3" s="26">
        <f>INDEX($D$21:$E$35,MATCH(J$1,$A$21:$A$35,0),1)/IF(Summary!$B$7="Minutes",1,60)</f>
        <v>0</v>
      </c>
      <c r="K3" s="28"/>
      <c r="L3" s="26">
        <f>INDEX($D$21:$E$35,MATCH(J$1,$A$21:$A$35,0),2)/IF(Summary!$B$7="Minutes",1,60)</f>
        <v>0</v>
      </c>
      <c r="M3" s="28"/>
      <c r="N3" s="27"/>
      <c r="O3" s="28"/>
      <c r="P3" s="26">
        <f>INDEX($D$21:$E$35,MATCH(P$1,$A$21:$A$35,0),1)/IF(Summary!$B$7="Minutes",1,60)</f>
        <v>0</v>
      </c>
      <c r="Q3" s="28"/>
      <c r="R3" s="26">
        <f>INDEX($D$21:$E$35,MATCH(P$1,$A$21:$A$35,0),2)/IF(Summary!$B$7="Minutes",1,60)</f>
        <v>0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</v>
      </c>
      <c r="Y3" s="28"/>
      <c r="Z3" s="27"/>
      <c r="AA3" s="28"/>
      <c r="AB3" s="26">
        <f>INDEX($D$21:$E$35,MATCH(AB$1,$A$21:$A$35,0),1)/IF(Summary!$B$7="Minutes",1,60)</f>
        <v>0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0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Caseload 1</v>
      </c>
      <c r="B4" t="e">
        <f>INDEX('Required Capacity (Hide)'!$B$5:$C$19,MATCH('Planning Backing (Hide)'!$A4,'Required Capacity (Hide)'!$A$5:$A$19,0),1)</f>
        <v>#N/A</v>
      </c>
      <c r="C4" t="e">
        <f>INDEX('Required Capacity (Hide)'!$B$5:$C$19,MATCH('Planning Backing (Hide)'!$A4,'Required Capacity (Hide)'!$A$5:$A$19,0),2)</f>
        <v>#N/A</v>
      </c>
      <c r="D4" t="e">
        <f>IF(Planning!D6="",'Planning Backing (Hide)'!B4,Planning!D6)</f>
        <v>#N/A</v>
      </c>
      <c r="E4" t="e">
        <f>IF(Planning!E6="",'Planning Backing (Hide)'!C4,Planning!E6)</f>
        <v>#N/A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Caseload 2</v>
      </c>
      <c r="B5" t="e">
        <f>INDEX('Required Capacity (Hide)'!$B$5:$C$19,MATCH('Planning Backing (Hide)'!$A5,'Required Capacity (Hide)'!$A$5:$A$19,0),1)</f>
        <v>#N/A</v>
      </c>
      <c r="C5" t="e">
        <f>INDEX('Required Capacity (Hide)'!$B$5:$C$19,MATCH('Planning Backing (Hide)'!$A5,'Required Capacity (Hide)'!$A$5:$A$19,0),2)</f>
        <v>#N/A</v>
      </c>
      <c r="D5" t="e">
        <f>IF(Planning!D7="",'Planning Backing (Hide)'!B5,Planning!D7)</f>
        <v>#N/A</v>
      </c>
      <c r="E5" t="e">
        <f>IF(Planning!E7="",'Planning Backing (Hide)'!C5,Planning!E7)</f>
        <v>#N/A</v>
      </c>
      <c r="F5">
        <v>1</v>
      </c>
      <c r="G5">
        <v>1</v>
      </c>
      <c r="I5" s="12" t="e" vm="2">
        <f ca="1">'Required Capacity (Hide)'!E5</f>
        <v>#VALUE!</v>
      </c>
      <c r="J5" t="e">
        <f>INDEX($D$4:$E$18,MATCH(J$1,$A$4:$A$18,0),1)*J$3</f>
        <v>#N/A</v>
      </c>
      <c r="K5" t="e">
        <f>INDEX($D$4:$E$18,MATCH(J$1,$A$4:$A$18,0),2)*J$3</f>
        <v>#N/A</v>
      </c>
      <c r="L5" t="e">
        <f>INDEX($D$4:$E$18,MATCH(L$1,$A$4:$A$18,0),1)*L$3</f>
        <v>#N/A</v>
      </c>
      <c r="M5" t="e">
        <f>INDEX($D$4:$E$18,MATCH(L$1,$A$4:$A$18,0),2)*L$3</f>
        <v>#N/A</v>
      </c>
      <c r="N5" t="e">
        <f>SUMIF(J$4:M$4,N$4,J5:M5)</f>
        <v>#N/A</v>
      </c>
      <c r="O5" t="e">
        <f>SUMIF(J$4:M$4,O$4,J5:M5)</f>
        <v>#N/A</v>
      </c>
      <c r="P5" t="e">
        <f>INDEX($D$4:$E$18,MATCH(P$1,$A$4:$A$18,0),1)*P$3</f>
        <v>#N/A</v>
      </c>
      <c r="Q5" t="e">
        <f>INDEX($D$4:$E$18,MATCH(P$1,$A$4:$A$18,0),2)*P$3</f>
        <v>#N/A</v>
      </c>
      <c r="R5" t="e">
        <f>INDEX($D$4:$E$18,MATCH(R$1,$A$4:$A$18,0),1)*R$3</f>
        <v>#N/A</v>
      </c>
      <c r="S5" t="e">
        <f>INDEX($D$4:$E$18,MATCH(R$1,$A$4:$A$18,0),2)*R$3</f>
        <v>#N/A</v>
      </c>
      <c r="T5" t="e">
        <f>SUMIF(P$4:S$4,T$4,P5:S5)</f>
        <v>#N/A</v>
      </c>
      <c r="U5" t="e">
        <f>SUMIF(P$4:S$4,U$4,P5:S5)</f>
        <v>#N/A</v>
      </c>
      <c r="V5" t="e">
        <f>INDEX($D$4:$E$18,MATCH(V$1,$A$4:$A$18,0),1)*V$3</f>
        <v>#N/A</v>
      </c>
      <c r="W5" t="e">
        <f>INDEX($D$4:$E$18,MATCH(V$1,$A$4:$A$18,0),2)*V$3</f>
        <v>#N/A</v>
      </c>
      <c r="X5" t="e">
        <f>INDEX($D$4:$E$18,MATCH(X$1,$A$4:$A$18,0),1)*X$3</f>
        <v>#N/A</v>
      </c>
      <c r="Y5" t="e">
        <f>INDEX($D$4:$E$18,MATCH(X$1,$A$4:$A$18,0),2)*X$3</f>
        <v>#N/A</v>
      </c>
      <c r="Z5" t="e">
        <f>SUMIF(V$4:Y$4,Z$4,V5:Y5)</f>
        <v>#N/A</v>
      </c>
      <c r="AA5" t="e">
        <f>SUMIF(V$4:Y$4,AA$4,V5:Y5)</f>
        <v>#N/A</v>
      </c>
      <c r="AB5" t="e">
        <f>INDEX($D$4:$E$18,MATCH(AB$1,$A$4:$A$18,0),1)*AB$3</f>
        <v>#N/A</v>
      </c>
      <c r="AC5" t="e">
        <f>INDEX($D$4:$E$18,MATCH(AB$1,$A$4:$A$18,0),2)*AB$3</f>
        <v>#N/A</v>
      </c>
      <c r="AD5" t="e">
        <f>INDEX($D$4:$E$18,MATCH(AD$1,$A$4:$A$18,0),1)*AD$3</f>
        <v>#N/A</v>
      </c>
      <c r="AE5" t="e">
        <f>INDEX($D$4:$E$18,MATCH(AD$1,$A$4:$A$18,0),2)*AD$3</f>
        <v>#N/A</v>
      </c>
      <c r="AF5" t="e">
        <f>SUMIF(AB$4:AE$4,AF$4,AB5:AE5)</f>
        <v>#N/A</v>
      </c>
      <c r="AG5" t="e">
        <f>SUMIF(AB$4:AE$4,AG$4,AB5:AE5)</f>
        <v>#N/A</v>
      </c>
      <c r="AH5" t="e">
        <f>INDEX($D$4:$E$18,MATCH(AH$1,$A$4:$A$18,0),1)*AH$3</f>
        <v>#N/A</v>
      </c>
      <c r="AI5" t="e">
        <f>INDEX($D$4:$E$18,MATCH(AH$1,$A$4:$A$18,0),2)*AH$3</f>
        <v>#N/A</v>
      </c>
      <c r="AJ5" t="e">
        <f>INDEX($D$4:$E$18,MATCH(AJ$1,$A$4:$A$18,0),1)*AJ$3</f>
        <v>#N/A</v>
      </c>
      <c r="AK5" t="e">
        <f>INDEX($D$4:$E$18,MATCH(AJ$1,$A$4:$A$18,0),2)*AJ$3</f>
        <v>#N/A</v>
      </c>
      <c r="AL5" t="e">
        <f>SUMIF(AH$4:AK$4,AL$4,AH5:AK5)</f>
        <v>#N/A</v>
      </c>
      <c r="AM5" t="e">
        <f>SUMIF(AH$4:AK$4,AM$4,AH5:AK5)</f>
        <v>#N/A</v>
      </c>
      <c r="AN5" t="e">
        <f>INDEX($D$4:$E$18,MATCH(AN$1,$A$4:$A$18,0),1)*AN$3</f>
        <v>#N/A</v>
      </c>
      <c r="AO5" t="e">
        <f>INDEX($D$4:$E$18,MATCH(AN$1,$A$4:$A$18,0),2)*AN$3</f>
        <v>#N/A</v>
      </c>
      <c r="AP5" t="e">
        <f>INDEX($D$4:$E$18,MATCH(AP$1,$A$4:$A$18,0),1)*AP$3</f>
        <v>#N/A</v>
      </c>
      <c r="AQ5" t="e">
        <f>INDEX($D$4:$E$18,MATCH(AP$1,$A$4:$A$18,0),2)*AP$3</f>
        <v>#N/A</v>
      </c>
      <c r="AR5" t="e">
        <f>SUMIF(AN$4:AQ$4,AR$4,AN5:AQ5)</f>
        <v>#N/A</v>
      </c>
      <c r="AS5" t="e">
        <f>SUMIF(AN$4:AQ$4,AS$4,AN5:AQ5)</f>
        <v>#N/A</v>
      </c>
      <c r="AT5" t="e">
        <f>INDEX($D$4:$E$18,MATCH(AT$1,$A$4:$A$18,0),1)*AT$3</f>
        <v>#N/A</v>
      </c>
      <c r="AU5" t="e">
        <f>INDEX($D$4:$E$18,MATCH(AT$1,$A$4:$A$18,0),2)*AT$3</f>
        <v>#N/A</v>
      </c>
      <c r="AV5" t="e">
        <f>INDEX($D$4:$E$18,MATCH(AV$1,$A$4:$A$18,0),1)*AV$3</f>
        <v>#N/A</v>
      </c>
      <c r="AW5" t="e">
        <f>INDEX($D$4:$E$18,MATCH(AV$1,$A$4:$A$18,0),2)*AV$3</f>
        <v>#N/A</v>
      </c>
      <c r="AX5" t="e">
        <f>SUMIF(AT$4:AW$4,AX$4,AT5:AW5)</f>
        <v>#N/A</v>
      </c>
      <c r="AY5" t="e">
        <f>SUMIF(AT$4:AW$4,AY$4,AT5:AW5)</f>
        <v>#N/A</v>
      </c>
      <c r="AZ5" t="e">
        <f>INDEX($D$4:$E$18,MATCH(AZ$1,$A$4:$A$18,0),1)*AZ$3</f>
        <v>#N/A</v>
      </c>
      <c r="BA5" t="e">
        <f>INDEX($D$4:$E$18,MATCH(AZ$1,$A$4:$A$18,0),2)*AZ$3</f>
        <v>#N/A</v>
      </c>
      <c r="BB5" t="e">
        <f>INDEX($D$4:$E$18,MATCH(BB$1,$A$4:$A$18,0),1)*BB$3</f>
        <v>#N/A</v>
      </c>
      <c r="BC5" t="e">
        <f>INDEX($D$4:$E$18,MATCH(BB$1,$A$4:$A$18,0),2)*BB$3</f>
        <v>#N/A</v>
      </c>
      <c r="BD5" t="e">
        <f>SUMIF(AZ$4:BC$4,BD$4,AZ5:BC5)</f>
        <v>#N/A</v>
      </c>
      <c r="BE5" t="e">
        <f>SUMIF(AZ$4:BC$4,BE$4,AZ5:BC5)</f>
        <v>#N/A</v>
      </c>
      <c r="BF5" t="e">
        <f>INDEX($D$4:$E$18,MATCH(BF$1,$A$4:$A$18,0),1)*BF$3</f>
        <v>#N/A</v>
      </c>
      <c r="BG5" t="e">
        <f>INDEX($D$4:$E$18,MATCH(BF$1,$A$4:$A$18,0),2)*BF$3</f>
        <v>#N/A</v>
      </c>
      <c r="BH5" t="e">
        <f>INDEX($D$4:$E$18,MATCH(BH$1,$A$4:$A$18,0),1)*BH$3</f>
        <v>#N/A</v>
      </c>
      <c r="BI5" t="e">
        <f>INDEX($D$4:$E$18,MATCH(BH$1,$A$4:$A$18,0),2)*BH$3</f>
        <v>#N/A</v>
      </c>
      <c r="BJ5" t="e">
        <f>SUMIF(BF$4:BI$4,BJ$4,BF5:BI5)</f>
        <v>#N/A</v>
      </c>
      <c r="BK5" t="e">
        <f>SUMIF(BF$4:BI$4,BK$4,BF5:BI5)</f>
        <v>#N/A</v>
      </c>
      <c r="BL5" t="e">
        <f>INDEX($D$4:$E$18,MATCH(BL$1,$A$4:$A$18,0),1)*BL$3</f>
        <v>#N/A</v>
      </c>
      <c r="BM5" t="e">
        <f>INDEX($D$4:$E$18,MATCH(BL$1,$A$4:$A$18,0),2)*BL$3</f>
        <v>#N/A</v>
      </c>
      <c r="BN5" t="e">
        <f>INDEX($D$4:$E$18,MATCH(BN$1,$A$4:$A$18,0),1)*BN$3</f>
        <v>#N/A</v>
      </c>
      <c r="BO5" t="e">
        <f>INDEX($D$4:$E$18,MATCH(BN$1,$A$4:$A$18,0),2)*BN$3</f>
        <v>#N/A</v>
      </c>
      <c r="BP5" t="e">
        <f>SUMIF(BL$4:BO$4,BP$4,BL5:BO5)</f>
        <v>#N/A</v>
      </c>
      <c r="BQ5" t="e">
        <f>SUMIF(BL$4:BO$4,BQ$4,BL5:BO5)</f>
        <v>#N/A</v>
      </c>
      <c r="BR5" t="e">
        <f>INDEX($D$4:$E$18,MATCH(BR$1,$A$4:$A$18,0),1)*BR$3</f>
        <v>#N/A</v>
      </c>
      <c r="BS5" t="e">
        <f>INDEX($D$4:$E$18,MATCH(BR$1,$A$4:$A$18,0),2)*BR$3</f>
        <v>#N/A</v>
      </c>
      <c r="BT5" t="e">
        <f>INDEX($D$4:$E$18,MATCH(BT$1,$A$4:$A$18,0),1)*BT$3</f>
        <v>#N/A</v>
      </c>
      <c r="BU5" t="e">
        <f>INDEX($D$4:$E$18,MATCH(BT$1,$A$4:$A$18,0),2)*BT$3</f>
        <v>#N/A</v>
      </c>
      <c r="BV5" t="e">
        <f>SUMIF(BR$4:BU$4,BV$4,BR5:BU5)</f>
        <v>#N/A</v>
      </c>
      <c r="BW5" t="e">
        <f>SUMIF(BR$4:BU$4,BW$4,BR5:BU5)</f>
        <v>#N/A</v>
      </c>
      <c r="BX5" t="e">
        <f>INDEX($D$4:$E$18,MATCH(BX$1,$A$4:$A$18,0),1)*BX$3</f>
        <v>#N/A</v>
      </c>
      <c r="BY5" t="e">
        <f>INDEX($D$4:$E$18,MATCH(BX$1,$A$4:$A$18,0),2)*BX$3</f>
        <v>#N/A</v>
      </c>
      <c r="BZ5" t="e">
        <f>INDEX($D$4:$E$18,MATCH(BZ$1,$A$4:$A$18,0),1)*BZ$3</f>
        <v>#N/A</v>
      </c>
      <c r="CA5" t="e">
        <f>INDEX($D$4:$E$18,MATCH(BZ$1,$A$4:$A$18,0),2)*BZ$3</f>
        <v>#N/A</v>
      </c>
      <c r="CB5" t="e">
        <f>SUMIF(BX$4:CA$4,CB$4,BX5:CA5)</f>
        <v>#N/A</v>
      </c>
      <c r="CC5" t="e">
        <f>SUMIF(BX$4:CA$4,CC$4,BX5:CA5)</f>
        <v>#N/A</v>
      </c>
      <c r="CD5" t="e">
        <f>INDEX($D$4:$E$18,MATCH(CD$1,$A$4:$A$18,0),1)*CD$3</f>
        <v>#N/A</v>
      </c>
      <c r="CE5" t="e">
        <f>INDEX($D$4:$E$18,MATCH(CD$1,$A$4:$A$18,0),2)*CD$3</f>
        <v>#N/A</v>
      </c>
      <c r="CF5" t="e">
        <f>INDEX($D$4:$E$18,MATCH(CF$1,$A$4:$A$18,0),1)*CF$3</f>
        <v>#N/A</v>
      </c>
      <c r="CG5" t="e">
        <f>INDEX($D$4:$E$18,MATCH(CF$1,$A$4:$A$18,0),2)*CF$3</f>
        <v>#N/A</v>
      </c>
      <c r="CH5" t="e">
        <f>SUMIF(CD$4:CG$4,CH$4,CD5:CG5)</f>
        <v>#N/A</v>
      </c>
      <c r="CI5" t="e">
        <f>SUMIF(CD$4:CG$4,CI$4,CD5:CG5)</f>
        <v>#N/A</v>
      </c>
      <c r="CJ5" t="e">
        <f>INDEX($D$4:$E$18,MATCH(CJ$1,$A$4:$A$18,0),1)*CJ$3</f>
        <v>#N/A</v>
      </c>
      <c r="CK5" t="e">
        <f>INDEX($D$4:$E$18,MATCH(CJ$1,$A$4:$A$18,0),2)*CJ$3</f>
        <v>#N/A</v>
      </c>
      <c r="CL5" t="e">
        <f>INDEX($D$4:$E$18,MATCH(CL$1,$A$4:$A$18,0),1)*CL$3</f>
        <v>#N/A</v>
      </c>
      <c r="CM5" t="e">
        <f>INDEX($D$4:$E$18,MATCH(CL$1,$A$4:$A$18,0),2)*CL$3</f>
        <v>#N/A</v>
      </c>
      <c r="CN5" t="e">
        <f>SUMIF(CJ$4:CM$4,CN$4,CJ5:CM5)</f>
        <v>#N/A</v>
      </c>
      <c r="CO5" t="e">
        <f>SUMIF(CJ$4:CM$4,CO$4,CJ5:CM5)</f>
        <v>#N/A</v>
      </c>
      <c r="CP5" t="e">
        <f>INDEX($D$4:$E$18,MATCH(CP$1,$A$4:$A$18,0),1)*CP$3</f>
        <v>#N/A</v>
      </c>
      <c r="CQ5" t="e">
        <f>INDEX($D$4:$E$18,MATCH(CP$1,$A$4:$A$18,0),2)*CP$3</f>
        <v>#N/A</v>
      </c>
      <c r="CR5" t="e">
        <f>INDEX($D$4:$E$18,MATCH(CR$1,$A$4:$A$18,0),1)*CR$3</f>
        <v>#N/A</v>
      </c>
      <c r="CS5" t="e">
        <f>INDEX($D$4:$E$18,MATCH(CR$1,$A$4:$A$18,0),2)*CR$3</f>
        <v>#N/A</v>
      </c>
      <c r="CT5" t="e">
        <f>SUMIF(CP$4:CS$4,CT$4,CP5:CS5)</f>
        <v>#N/A</v>
      </c>
      <c r="CU5" t="e">
        <f>SUMIF(CP$4:CS$4,CU$4,CP5:CS5)</f>
        <v>#N/A</v>
      </c>
      <c r="CV5" t="e">
        <f t="shared" ref="CV5:CY5" si="0">SUMIFS($J5:$CU5,$J$2:$CU$2,CV$2,$J$4:$CU$4,CV$4)</f>
        <v>#N/A</v>
      </c>
      <c r="CW5" t="e">
        <f t="shared" si="0"/>
        <v>#N/A</v>
      </c>
      <c r="CX5" t="e">
        <f t="shared" si="0"/>
        <v>#N/A</v>
      </c>
      <c r="CY5" t="e">
        <f t="shared" si="0"/>
        <v>#N/A</v>
      </c>
      <c r="CZ5" t="e">
        <f>SUMIFS($J5:$CU5,$J$2:$CU$2,CZ$2,$J$4:$CU$4,CZ$4)</f>
        <v>#N/A</v>
      </c>
      <c r="DA5" t="e">
        <f>SUMIFS($J5:$CU5,$J$2:$CU$2,DA$2,$J$4:$CU$4,DA$4)</f>
        <v>#N/A</v>
      </c>
    </row>
    <row r="6" spans="1:105" x14ac:dyDescent="0.35">
      <c r="A6" t="str">
        <f>Setup!A22</f>
        <v>Caseload 3</v>
      </c>
      <c r="B6" t="e">
        <f>INDEX('Required Capacity (Hide)'!$B$5:$C$19,MATCH('Planning Backing (Hide)'!$A6,'Required Capacity (Hide)'!$A$5:$A$19,0),1)</f>
        <v>#N/A</v>
      </c>
      <c r="C6" t="e">
        <f>INDEX('Required Capacity (Hide)'!$B$5:$C$19,MATCH('Planning Backing (Hide)'!$A6,'Required Capacity (Hide)'!$A$5:$A$19,0),2)</f>
        <v>#N/A</v>
      </c>
      <c r="D6" t="e">
        <f>IF(Planning!D8="",'Planning Backing (Hide)'!B6,Planning!D8)</f>
        <v>#N/A</v>
      </c>
      <c r="E6" t="e">
        <f>IF(Planning!E8="",'Planning Backing (Hide)'!C6,Planning!E8)</f>
        <v>#N/A</v>
      </c>
      <c r="F6">
        <v>1</v>
      </c>
      <c r="G6">
        <v>1</v>
      </c>
      <c r="I6" s="12" t="e" vm="2">
        <f ca="1">'Required Capacity (Hide)'!E6</f>
        <v>#VALUE!</v>
      </c>
      <c r="J6" t="e">
        <f t="shared" ref="J6:J56" si="1">INDEX($D$4:$E$18,MATCH(J$1,$A$4:$A$18,0),1)*J$3</f>
        <v>#N/A</v>
      </c>
      <c r="K6" t="e">
        <f t="shared" ref="K6:K56" si="2">INDEX($D$4:$E$18,MATCH(J$1,$A$4:$A$18,0),2)*J$3</f>
        <v>#N/A</v>
      </c>
      <c r="L6" t="e">
        <f t="shared" ref="L6:L56" si="3">INDEX($D$4:$E$18,MATCH(L$1,$A$4:$A$18,0),1)*L$3</f>
        <v>#N/A</v>
      </c>
      <c r="M6" t="e">
        <f t="shared" ref="M6:M56" si="4">INDEX($D$4:$E$18,MATCH(L$1,$A$4:$A$18,0),2)*L$3</f>
        <v>#N/A</v>
      </c>
      <c r="N6" t="e">
        <f t="shared" ref="N6:N56" si="5">SUMIF(J$4:M$4,N$4,J6:M6)</f>
        <v>#N/A</v>
      </c>
      <c r="O6" t="e">
        <f t="shared" ref="O6:O56" si="6">SUMIF(J$4:M$4,O$4,J6:M6)</f>
        <v>#N/A</v>
      </c>
      <c r="P6" t="e">
        <f t="shared" ref="P6:P56" si="7">INDEX($D$4:$E$18,MATCH(P$1,$A$4:$A$18,0),1)*P$3</f>
        <v>#N/A</v>
      </c>
      <c r="Q6" t="e">
        <f t="shared" ref="Q6:Q56" si="8">INDEX($D$4:$E$18,MATCH(P$1,$A$4:$A$18,0),2)*P$3</f>
        <v>#N/A</v>
      </c>
      <c r="R6" t="e">
        <f t="shared" ref="R6:R56" si="9">INDEX($D$4:$E$18,MATCH(R$1,$A$4:$A$18,0),1)*R$3</f>
        <v>#N/A</v>
      </c>
      <c r="S6" t="e">
        <f t="shared" ref="S6:S56" si="10">INDEX($D$4:$E$18,MATCH(R$1,$A$4:$A$18,0),2)*R$3</f>
        <v>#N/A</v>
      </c>
      <c r="T6" t="e">
        <f t="shared" ref="T6:T56" si="11">SUMIF(P$4:S$4,T$4,P6:S6)</f>
        <v>#N/A</v>
      </c>
      <c r="U6" t="e">
        <f t="shared" ref="U6:U56" si="12">SUMIF(P$4:S$4,U$4,P6:S6)</f>
        <v>#N/A</v>
      </c>
      <c r="V6" t="e">
        <f t="shared" ref="V6:V56" si="13">INDEX($D$4:$E$18,MATCH(V$1,$A$4:$A$18,0),1)*V$3</f>
        <v>#N/A</v>
      </c>
      <c r="W6" t="e">
        <f t="shared" ref="W6:W56" si="14">INDEX($D$4:$E$18,MATCH(V$1,$A$4:$A$18,0),2)*V$3</f>
        <v>#N/A</v>
      </c>
      <c r="X6" t="e">
        <f t="shared" ref="X6:X56" si="15">INDEX($D$4:$E$18,MATCH(X$1,$A$4:$A$18,0),1)*X$3</f>
        <v>#N/A</v>
      </c>
      <c r="Y6" t="e">
        <f t="shared" ref="Y6:Y56" si="16">INDEX($D$4:$E$18,MATCH(X$1,$A$4:$A$18,0),2)*X$3</f>
        <v>#N/A</v>
      </c>
      <c r="Z6" t="e">
        <f t="shared" ref="Z6:Z56" si="17">SUMIF(V$4:Y$4,Z$4,V6:Y6)</f>
        <v>#N/A</v>
      </c>
      <c r="AA6" t="e">
        <f t="shared" ref="AA6:AA56" si="18">SUMIF(V$4:Y$4,AA$4,V6:Y6)</f>
        <v>#N/A</v>
      </c>
      <c r="AB6" t="e">
        <f t="shared" ref="AB6:AB56" si="19">INDEX($D$4:$E$18,MATCH(AB$1,$A$4:$A$18,0),1)*AB$3</f>
        <v>#N/A</v>
      </c>
      <c r="AC6" t="e">
        <f t="shared" ref="AC6:AC56" si="20">INDEX($D$4:$E$18,MATCH(AB$1,$A$4:$A$18,0),2)*AB$3</f>
        <v>#N/A</v>
      </c>
      <c r="AD6" t="e">
        <f t="shared" ref="AD6:AD56" si="21">INDEX($D$4:$E$18,MATCH(AD$1,$A$4:$A$18,0),1)*AD$3</f>
        <v>#N/A</v>
      </c>
      <c r="AE6" t="e">
        <f t="shared" ref="AE6:AE56" si="22">INDEX($D$4:$E$18,MATCH(AD$1,$A$4:$A$18,0),2)*AD$3</f>
        <v>#N/A</v>
      </c>
      <c r="AF6" t="e">
        <f t="shared" ref="AF6:AF56" si="23">SUMIF(AB$4:AE$4,AF$4,AB6:AE6)</f>
        <v>#N/A</v>
      </c>
      <c r="AG6" t="e">
        <f t="shared" ref="AG6:AG56" si="24">SUMIF(AB$4:AE$4,AG$4,AB6:AE6)</f>
        <v>#N/A</v>
      </c>
      <c r="AH6" t="e">
        <f t="shared" ref="AH6:AH56" si="25">INDEX($D$4:$E$18,MATCH(AH$1,$A$4:$A$18,0),1)*AH$3</f>
        <v>#N/A</v>
      </c>
      <c r="AI6" t="e">
        <f t="shared" ref="AI6:AI56" si="26">INDEX($D$4:$E$18,MATCH(AH$1,$A$4:$A$18,0),2)*AH$3</f>
        <v>#N/A</v>
      </c>
      <c r="AJ6" t="e">
        <f t="shared" ref="AJ6:AJ56" si="27">INDEX($D$4:$E$18,MATCH(AJ$1,$A$4:$A$18,0),1)*AJ$3</f>
        <v>#N/A</v>
      </c>
      <c r="AK6" t="e">
        <f t="shared" ref="AK6:AK56" si="28">INDEX($D$4:$E$18,MATCH(AJ$1,$A$4:$A$18,0),2)*AJ$3</f>
        <v>#N/A</v>
      </c>
      <c r="AL6" t="e">
        <f t="shared" ref="AL6:AL56" si="29">SUMIF(AH$4:AK$4,AL$4,AH6:AK6)</f>
        <v>#N/A</v>
      </c>
      <c r="AM6" t="e">
        <f t="shared" ref="AM6:AM56" si="30">SUMIF(AH$4:AK$4,AM$4,AH6:AK6)</f>
        <v>#N/A</v>
      </c>
      <c r="AN6" t="e">
        <f t="shared" ref="AN6:AN56" si="31">INDEX($D$4:$E$18,MATCH(AN$1,$A$4:$A$18,0),1)*AN$3</f>
        <v>#N/A</v>
      </c>
      <c r="AO6" t="e">
        <f t="shared" ref="AO6:AO56" si="32">INDEX($D$4:$E$18,MATCH(AN$1,$A$4:$A$18,0),2)*AN$3</f>
        <v>#N/A</v>
      </c>
      <c r="AP6" t="e">
        <f t="shared" ref="AP6:AP56" si="33">INDEX($D$4:$E$18,MATCH(AP$1,$A$4:$A$18,0),1)*AP$3</f>
        <v>#N/A</v>
      </c>
      <c r="AQ6" t="e">
        <f t="shared" ref="AQ6:AQ56" si="34">INDEX($D$4:$E$18,MATCH(AP$1,$A$4:$A$18,0),2)*AP$3</f>
        <v>#N/A</v>
      </c>
      <c r="AR6" t="e">
        <f t="shared" ref="AR6:AR56" si="35">SUMIF(AN$4:AQ$4,AR$4,AN6:AQ6)</f>
        <v>#N/A</v>
      </c>
      <c r="AS6" t="e">
        <f t="shared" ref="AS6:AS56" si="36">SUMIF(AN$4:AQ$4,AS$4,AN6:AQ6)</f>
        <v>#N/A</v>
      </c>
      <c r="AT6" t="e">
        <f t="shared" ref="AT6:AT56" si="37">INDEX($D$4:$E$18,MATCH(AT$1,$A$4:$A$18,0),1)*AT$3</f>
        <v>#N/A</v>
      </c>
      <c r="AU6" t="e">
        <f t="shared" ref="AU6:AU56" si="38">INDEX($D$4:$E$18,MATCH(AT$1,$A$4:$A$18,0),2)*AT$3</f>
        <v>#N/A</v>
      </c>
      <c r="AV6" t="e">
        <f t="shared" ref="AV6:AV56" si="39">INDEX($D$4:$E$18,MATCH(AV$1,$A$4:$A$18,0),1)*AV$3</f>
        <v>#N/A</v>
      </c>
      <c r="AW6" t="e">
        <f t="shared" ref="AW6:AW56" si="40">INDEX($D$4:$E$18,MATCH(AV$1,$A$4:$A$18,0),2)*AV$3</f>
        <v>#N/A</v>
      </c>
      <c r="AX6" t="e">
        <f t="shared" ref="AX6:AX56" si="41">SUMIF(AT$4:AW$4,AX$4,AT6:AW6)</f>
        <v>#N/A</v>
      </c>
      <c r="AY6" t="e">
        <f t="shared" ref="AY6:AY56" si="42">SUMIF(AT$4:AW$4,AY$4,AT6:AW6)</f>
        <v>#N/A</v>
      </c>
      <c r="AZ6" t="e">
        <f t="shared" ref="AZ6:AZ56" si="43">INDEX($D$4:$E$18,MATCH(AZ$1,$A$4:$A$18,0),1)*AZ$3</f>
        <v>#N/A</v>
      </c>
      <c r="BA6" t="e">
        <f t="shared" ref="BA6:BA56" si="44">INDEX($D$4:$E$18,MATCH(AZ$1,$A$4:$A$18,0),2)*AZ$3</f>
        <v>#N/A</v>
      </c>
      <c r="BB6" t="e">
        <f t="shared" ref="BB6:BB56" si="45">INDEX($D$4:$E$18,MATCH(BB$1,$A$4:$A$18,0),1)*BB$3</f>
        <v>#N/A</v>
      </c>
      <c r="BC6" t="e">
        <f t="shared" ref="BC6:BC56" si="46">INDEX($D$4:$E$18,MATCH(BB$1,$A$4:$A$18,0),2)*BB$3</f>
        <v>#N/A</v>
      </c>
      <c r="BD6" t="e">
        <f t="shared" ref="BD6:BD56" si="47">SUMIF(AZ$4:BC$4,BD$4,AZ6:BC6)</f>
        <v>#N/A</v>
      </c>
      <c r="BE6" t="e">
        <f t="shared" ref="BE6:BE56" si="48">SUMIF(AZ$4:BC$4,BE$4,AZ6:BC6)</f>
        <v>#N/A</v>
      </c>
      <c r="BF6" t="e">
        <f t="shared" ref="BF6:BF56" si="49">INDEX($D$4:$E$18,MATCH(BF$1,$A$4:$A$18,0),1)*BF$3</f>
        <v>#N/A</v>
      </c>
      <c r="BG6" t="e">
        <f t="shared" ref="BG6:BG56" si="50">INDEX($D$4:$E$18,MATCH(BF$1,$A$4:$A$18,0),2)*BF$3</f>
        <v>#N/A</v>
      </c>
      <c r="BH6" t="e">
        <f t="shared" ref="BH6:BH56" si="51">INDEX($D$4:$E$18,MATCH(BH$1,$A$4:$A$18,0),1)*BH$3</f>
        <v>#N/A</v>
      </c>
      <c r="BI6" t="e">
        <f t="shared" ref="BI6:BI56" si="52">INDEX($D$4:$E$18,MATCH(BH$1,$A$4:$A$18,0),2)*BH$3</f>
        <v>#N/A</v>
      </c>
      <c r="BJ6" t="e">
        <f t="shared" ref="BJ6:BJ56" si="53">SUMIF(BF$4:BI$4,BJ$4,BF6:BI6)</f>
        <v>#N/A</v>
      </c>
      <c r="BK6" t="e">
        <f t="shared" ref="BK6:BK56" si="54">SUMIF(BF$4:BI$4,BK$4,BF6:BI6)</f>
        <v>#N/A</v>
      </c>
      <c r="BL6" t="e">
        <f t="shared" ref="BL6:BL56" si="55">INDEX($D$4:$E$18,MATCH(BL$1,$A$4:$A$18,0),1)*BL$3</f>
        <v>#N/A</v>
      </c>
      <c r="BM6" t="e">
        <f t="shared" ref="BM6:BM56" si="56">INDEX($D$4:$E$18,MATCH(BL$1,$A$4:$A$18,0),2)*BL$3</f>
        <v>#N/A</v>
      </c>
      <c r="BN6" t="e">
        <f t="shared" ref="BN6:BN56" si="57">INDEX($D$4:$E$18,MATCH(BN$1,$A$4:$A$18,0),1)*BN$3</f>
        <v>#N/A</v>
      </c>
      <c r="BO6" t="e">
        <f t="shared" ref="BO6:BO56" si="58">INDEX($D$4:$E$18,MATCH(BN$1,$A$4:$A$18,0),2)*BN$3</f>
        <v>#N/A</v>
      </c>
      <c r="BP6" t="e">
        <f t="shared" ref="BP6:BP56" si="59">SUMIF(BL$4:BO$4,BP$4,BL6:BO6)</f>
        <v>#N/A</v>
      </c>
      <c r="BQ6" t="e">
        <f t="shared" ref="BQ6:BQ56" si="60">SUMIF(BL$4:BO$4,BQ$4,BL6:BO6)</f>
        <v>#N/A</v>
      </c>
      <c r="BR6" t="e">
        <f t="shared" ref="BR6:BR56" si="61">INDEX($D$4:$E$18,MATCH(BR$1,$A$4:$A$18,0),1)*BR$3</f>
        <v>#N/A</v>
      </c>
      <c r="BS6" t="e">
        <f t="shared" ref="BS6:BS56" si="62">INDEX($D$4:$E$18,MATCH(BR$1,$A$4:$A$18,0),2)*BR$3</f>
        <v>#N/A</v>
      </c>
      <c r="BT6" t="e">
        <f t="shared" ref="BT6:BT56" si="63">INDEX($D$4:$E$18,MATCH(BT$1,$A$4:$A$18,0),1)*BT$3</f>
        <v>#N/A</v>
      </c>
      <c r="BU6" t="e">
        <f t="shared" ref="BU6:BU56" si="64">INDEX($D$4:$E$18,MATCH(BT$1,$A$4:$A$18,0),2)*BT$3</f>
        <v>#N/A</v>
      </c>
      <c r="BV6" t="e">
        <f t="shared" ref="BV6:BV56" si="65">SUMIF(BR$4:BU$4,BV$4,BR6:BU6)</f>
        <v>#N/A</v>
      </c>
      <c r="BW6" t="e">
        <f t="shared" ref="BW6:BW56" si="66">SUMIF(BR$4:BU$4,BW$4,BR6:BU6)</f>
        <v>#N/A</v>
      </c>
      <c r="BX6" t="e">
        <f t="shared" ref="BX6:BX56" si="67">INDEX($D$4:$E$18,MATCH(BX$1,$A$4:$A$18,0),1)*BX$3</f>
        <v>#N/A</v>
      </c>
      <c r="BY6" t="e">
        <f t="shared" ref="BY6:BY56" si="68">INDEX($D$4:$E$18,MATCH(BX$1,$A$4:$A$18,0),2)*BX$3</f>
        <v>#N/A</v>
      </c>
      <c r="BZ6" t="e">
        <f t="shared" ref="BZ6:BZ56" si="69">INDEX($D$4:$E$18,MATCH(BZ$1,$A$4:$A$18,0),1)*BZ$3</f>
        <v>#N/A</v>
      </c>
      <c r="CA6" t="e">
        <f t="shared" ref="CA6:CA56" si="70">INDEX($D$4:$E$18,MATCH(BZ$1,$A$4:$A$18,0),2)*BZ$3</f>
        <v>#N/A</v>
      </c>
      <c r="CB6" t="e">
        <f t="shared" ref="CB6:CB56" si="71">SUMIF(BX$4:CA$4,CB$4,BX6:CA6)</f>
        <v>#N/A</v>
      </c>
      <c r="CC6" t="e">
        <f t="shared" ref="CC6:CC56" si="72">SUMIF(BX$4:CA$4,CC$4,BX6:CA6)</f>
        <v>#N/A</v>
      </c>
      <c r="CD6" t="e">
        <f t="shared" ref="CD6:CD56" si="73">INDEX($D$4:$E$18,MATCH(CD$1,$A$4:$A$18,0),1)*CD$3</f>
        <v>#N/A</v>
      </c>
      <c r="CE6" t="e">
        <f t="shared" ref="CE6:CE56" si="74">INDEX($D$4:$E$18,MATCH(CD$1,$A$4:$A$18,0),2)*CD$3</f>
        <v>#N/A</v>
      </c>
      <c r="CF6" t="e">
        <f t="shared" ref="CF6:CF56" si="75">INDEX($D$4:$E$18,MATCH(CF$1,$A$4:$A$18,0),1)*CF$3</f>
        <v>#N/A</v>
      </c>
      <c r="CG6" t="e">
        <f t="shared" ref="CG6:CG56" si="76">INDEX($D$4:$E$18,MATCH(CF$1,$A$4:$A$18,0),2)*CF$3</f>
        <v>#N/A</v>
      </c>
      <c r="CH6" t="e">
        <f t="shared" ref="CH6:CH56" si="77">SUMIF(CD$4:CG$4,CH$4,CD6:CG6)</f>
        <v>#N/A</v>
      </c>
      <c r="CI6" t="e">
        <f t="shared" ref="CI6:CI56" si="78">SUMIF(CD$4:CG$4,CI$4,CD6:CG6)</f>
        <v>#N/A</v>
      </c>
      <c r="CJ6" t="e">
        <f t="shared" ref="CJ6:CJ56" si="79">INDEX($D$4:$E$18,MATCH(CJ$1,$A$4:$A$18,0),1)*CJ$3</f>
        <v>#N/A</v>
      </c>
      <c r="CK6" t="e">
        <f t="shared" ref="CK6:CK56" si="80">INDEX($D$4:$E$18,MATCH(CJ$1,$A$4:$A$18,0),2)*CJ$3</f>
        <v>#N/A</v>
      </c>
      <c r="CL6" t="e">
        <f t="shared" ref="CL6:CL56" si="81">INDEX($D$4:$E$18,MATCH(CL$1,$A$4:$A$18,0),1)*CL$3</f>
        <v>#N/A</v>
      </c>
      <c r="CM6" t="e">
        <f t="shared" ref="CM6:CM56" si="82">INDEX($D$4:$E$18,MATCH(CL$1,$A$4:$A$18,0),2)*CL$3</f>
        <v>#N/A</v>
      </c>
      <c r="CN6" t="e">
        <f t="shared" ref="CN6:CN56" si="83">SUMIF(CJ$4:CM$4,CN$4,CJ6:CM6)</f>
        <v>#N/A</v>
      </c>
      <c r="CO6" t="e">
        <f t="shared" ref="CO6:CO56" si="84">SUMIF(CJ$4:CM$4,CO$4,CJ6:CM6)</f>
        <v>#N/A</v>
      </c>
      <c r="CP6" t="e">
        <f t="shared" ref="CP6:CP56" si="85">INDEX($D$4:$E$18,MATCH(CP$1,$A$4:$A$18,0),1)*CP$3</f>
        <v>#N/A</v>
      </c>
      <c r="CQ6" t="e">
        <f t="shared" ref="CQ6:CQ56" si="86">INDEX($D$4:$E$18,MATCH(CP$1,$A$4:$A$18,0),2)*CP$3</f>
        <v>#N/A</v>
      </c>
      <c r="CR6" t="e">
        <f t="shared" ref="CR6:CR56" si="87">INDEX($D$4:$E$18,MATCH(CR$1,$A$4:$A$18,0),1)*CR$3</f>
        <v>#N/A</v>
      </c>
      <c r="CS6" t="e">
        <f t="shared" ref="CS6:CS56" si="88">INDEX($D$4:$E$18,MATCH(CR$1,$A$4:$A$18,0),2)*CR$3</f>
        <v>#N/A</v>
      </c>
      <c r="CT6" t="e">
        <f t="shared" ref="CT6:CT56" si="89">SUMIF(CP$4:CS$4,CT$4,CP6:CS6)</f>
        <v>#N/A</v>
      </c>
      <c r="CU6" t="e">
        <f t="shared" ref="CU6:CU56" si="90">SUMIF(CP$4:CS$4,CU$4,CP6:CS6)</f>
        <v>#N/A</v>
      </c>
      <c r="CV6" t="e">
        <f t="shared" ref="CV6:CY56" si="91">SUMIFS($J6:$CS6,$J$2:$CS$2,CV$2,$J$4:$CS$4,CV$4)</f>
        <v>#N/A</v>
      </c>
      <c r="CW6" t="e">
        <f t="shared" si="91"/>
        <v>#N/A</v>
      </c>
      <c r="CX6" t="e">
        <f t="shared" ref="CX6:CY20" si="92">SUMIFS($J6:$CS6,$J$2:$CS$2,CX$2,$J$4:$CS$4,CX$4)</f>
        <v>#N/A</v>
      </c>
      <c r="CY6" t="e">
        <f t="shared" si="92"/>
        <v>#N/A</v>
      </c>
      <c r="CZ6" t="e">
        <f t="shared" ref="CZ6:DA56" si="93">SUMIFS($J6:$CU6,$J$2:$CU$2,CZ$2,$J$4:$CU$4,CZ$4)</f>
        <v>#N/A</v>
      </c>
      <c r="DA6" t="e">
        <f t="shared" si="93"/>
        <v>#N/A</v>
      </c>
    </row>
    <row r="7" spans="1:105" x14ac:dyDescent="0.35">
      <c r="A7" t="str">
        <f>Setup!A23</f>
        <v>Caseload 4</v>
      </c>
      <c r="B7" t="e">
        <f>INDEX('Required Capacity (Hide)'!$B$5:$C$19,MATCH('Planning Backing (Hide)'!$A7,'Required Capacity (Hide)'!$A$5:$A$19,0),1)</f>
        <v>#N/A</v>
      </c>
      <c r="C7" t="e">
        <f>INDEX('Required Capacity (Hide)'!$B$5:$C$19,MATCH('Planning Backing (Hide)'!$A7,'Required Capacity (Hide)'!$A$5:$A$19,0),2)</f>
        <v>#N/A</v>
      </c>
      <c r="D7" t="e">
        <f>IF(Planning!D9="",'Planning Backing (Hide)'!B7,Planning!D9)</f>
        <v>#N/A</v>
      </c>
      <c r="E7" t="e">
        <f>IF(Planning!E9="",'Planning Backing (Hide)'!C7,Planning!E9)</f>
        <v>#N/A</v>
      </c>
      <c r="F7">
        <v>1</v>
      </c>
      <c r="G7">
        <v>1</v>
      </c>
      <c r="I7" s="12" t="e" vm="2">
        <f ca="1">'Required Capacity (Hide)'!E7</f>
        <v>#VALUE!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  <c r="V7" t="e">
        <f t="shared" si="13"/>
        <v>#N/A</v>
      </c>
      <c r="W7" t="e">
        <f t="shared" si="14"/>
        <v>#N/A</v>
      </c>
      <c r="X7" t="e">
        <f t="shared" si="15"/>
        <v>#N/A</v>
      </c>
      <c r="Y7" t="e">
        <f t="shared" si="16"/>
        <v>#N/A</v>
      </c>
      <c r="Z7" t="e">
        <f t="shared" si="17"/>
        <v>#N/A</v>
      </c>
      <c r="AA7" t="e">
        <f t="shared" si="18"/>
        <v>#N/A</v>
      </c>
      <c r="AB7" t="e">
        <f t="shared" si="19"/>
        <v>#N/A</v>
      </c>
      <c r="AC7" t="e">
        <f t="shared" si="20"/>
        <v>#N/A</v>
      </c>
      <c r="AD7" t="e">
        <f t="shared" si="21"/>
        <v>#N/A</v>
      </c>
      <c r="AE7" t="e">
        <f t="shared" si="22"/>
        <v>#N/A</v>
      </c>
      <c r="AF7" t="e">
        <f t="shared" si="23"/>
        <v>#N/A</v>
      </c>
      <c r="AG7" t="e">
        <f t="shared" si="24"/>
        <v>#N/A</v>
      </c>
      <c r="AH7" t="e">
        <f t="shared" si="25"/>
        <v>#N/A</v>
      </c>
      <c r="AI7" t="e">
        <f t="shared" si="26"/>
        <v>#N/A</v>
      </c>
      <c r="AJ7" t="e">
        <f t="shared" si="27"/>
        <v>#N/A</v>
      </c>
      <c r="AK7" t="e">
        <f t="shared" si="28"/>
        <v>#N/A</v>
      </c>
      <c r="AL7" t="e">
        <f t="shared" si="29"/>
        <v>#N/A</v>
      </c>
      <c r="AM7" t="e">
        <f t="shared" si="30"/>
        <v>#N/A</v>
      </c>
      <c r="AN7" t="e">
        <f t="shared" si="31"/>
        <v>#N/A</v>
      </c>
      <c r="AO7" t="e">
        <f t="shared" si="32"/>
        <v>#N/A</v>
      </c>
      <c r="AP7" t="e">
        <f t="shared" si="33"/>
        <v>#N/A</v>
      </c>
      <c r="AQ7" t="e">
        <f t="shared" si="34"/>
        <v>#N/A</v>
      </c>
      <c r="AR7" t="e">
        <f t="shared" si="35"/>
        <v>#N/A</v>
      </c>
      <c r="AS7" t="e">
        <f t="shared" si="36"/>
        <v>#N/A</v>
      </c>
      <c r="AT7" t="e">
        <f t="shared" si="37"/>
        <v>#N/A</v>
      </c>
      <c r="AU7" t="e">
        <f t="shared" si="38"/>
        <v>#N/A</v>
      </c>
      <c r="AV7" t="e">
        <f t="shared" si="39"/>
        <v>#N/A</v>
      </c>
      <c r="AW7" t="e">
        <f t="shared" si="40"/>
        <v>#N/A</v>
      </c>
      <c r="AX7" t="e">
        <f t="shared" si="41"/>
        <v>#N/A</v>
      </c>
      <c r="AY7" t="e">
        <f t="shared" si="42"/>
        <v>#N/A</v>
      </c>
      <c r="AZ7" t="e">
        <f t="shared" si="43"/>
        <v>#N/A</v>
      </c>
      <c r="BA7" t="e">
        <f t="shared" si="44"/>
        <v>#N/A</v>
      </c>
      <c r="BB7" t="e">
        <f t="shared" si="45"/>
        <v>#N/A</v>
      </c>
      <c r="BC7" t="e">
        <f t="shared" si="46"/>
        <v>#N/A</v>
      </c>
      <c r="BD7" t="e">
        <f t="shared" si="47"/>
        <v>#N/A</v>
      </c>
      <c r="BE7" t="e">
        <f t="shared" si="48"/>
        <v>#N/A</v>
      </c>
      <c r="BF7" t="e">
        <f t="shared" si="49"/>
        <v>#N/A</v>
      </c>
      <c r="BG7" t="e">
        <f t="shared" si="50"/>
        <v>#N/A</v>
      </c>
      <c r="BH7" t="e">
        <f t="shared" si="51"/>
        <v>#N/A</v>
      </c>
      <c r="BI7" t="e">
        <f t="shared" si="52"/>
        <v>#N/A</v>
      </c>
      <c r="BJ7" t="e">
        <f t="shared" si="53"/>
        <v>#N/A</v>
      </c>
      <c r="BK7" t="e">
        <f t="shared" si="54"/>
        <v>#N/A</v>
      </c>
      <c r="BL7" t="e">
        <f t="shared" si="55"/>
        <v>#N/A</v>
      </c>
      <c r="BM7" t="e">
        <f t="shared" si="56"/>
        <v>#N/A</v>
      </c>
      <c r="BN7" t="e">
        <f t="shared" si="57"/>
        <v>#N/A</v>
      </c>
      <c r="BO7" t="e">
        <f t="shared" si="58"/>
        <v>#N/A</v>
      </c>
      <c r="BP7" t="e">
        <f t="shared" si="59"/>
        <v>#N/A</v>
      </c>
      <c r="BQ7" t="e">
        <f t="shared" si="60"/>
        <v>#N/A</v>
      </c>
      <c r="BR7" t="e">
        <f t="shared" si="61"/>
        <v>#N/A</v>
      </c>
      <c r="BS7" t="e">
        <f t="shared" si="62"/>
        <v>#N/A</v>
      </c>
      <c r="BT7" t="e">
        <f t="shared" si="63"/>
        <v>#N/A</v>
      </c>
      <c r="BU7" t="e">
        <f t="shared" si="64"/>
        <v>#N/A</v>
      </c>
      <c r="BV7" t="e">
        <f t="shared" si="65"/>
        <v>#N/A</v>
      </c>
      <c r="BW7" t="e">
        <f t="shared" si="66"/>
        <v>#N/A</v>
      </c>
      <c r="BX7" t="e">
        <f t="shared" si="67"/>
        <v>#N/A</v>
      </c>
      <c r="BY7" t="e">
        <f t="shared" si="68"/>
        <v>#N/A</v>
      </c>
      <c r="BZ7" t="e">
        <f t="shared" si="69"/>
        <v>#N/A</v>
      </c>
      <c r="CA7" t="e">
        <f t="shared" si="70"/>
        <v>#N/A</v>
      </c>
      <c r="CB7" t="e">
        <f t="shared" si="71"/>
        <v>#N/A</v>
      </c>
      <c r="CC7" t="e">
        <f t="shared" si="72"/>
        <v>#N/A</v>
      </c>
      <c r="CD7" t="e">
        <f t="shared" si="73"/>
        <v>#N/A</v>
      </c>
      <c r="CE7" t="e">
        <f t="shared" si="74"/>
        <v>#N/A</v>
      </c>
      <c r="CF7" t="e">
        <f t="shared" si="75"/>
        <v>#N/A</v>
      </c>
      <c r="CG7" t="e">
        <f t="shared" si="76"/>
        <v>#N/A</v>
      </c>
      <c r="CH7" t="e">
        <f t="shared" si="77"/>
        <v>#N/A</v>
      </c>
      <c r="CI7" t="e">
        <f t="shared" si="78"/>
        <v>#N/A</v>
      </c>
      <c r="CJ7" t="e">
        <f t="shared" si="79"/>
        <v>#N/A</v>
      </c>
      <c r="CK7" t="e">
        <f t="shared" si="80"/>
        <v>#N/A</v>
      </c>
      <c r="CL7" t="e">
        <f t="shared" si="81"/>
        <v>#N/A</v>
      </c>
      <c r="CM7" t="e">
        <f t="shared" si="82"/>
        <v>#N/A</v>
      </c>
      <c r="CN7" t="e">
        <f t="shared" si="83"/>
        <v>#N/A</v>
      </c>
      <c r="CO7" t="e">
        <f t="shared" si="84"/>
        <v>#N/A</v>
      </c>
      <c r="CP7" t="e">
        <f t="shared" si="85"/>
        <v>#N/A</v>
      </c>
      <c r="CQ7" t="e">
        <f t="shared" si="86"/>
        <v>#N/A</v>
      </c>
      <c r="CR7" t="e">
        <f t="shared" si="87"/>
        <v>#N/A</v>
      </c>
      <c r="CS7" t="e">
        <f t="shared" si="88"/>
        <v>#N/A</v>
      </c>
      <c r="CT7" t="e">
        <f t="shared" si="89"/>
        <v>#N/A</v>
      </c>
      <c r="CU7" t="e">
        <f t="shared" si="90"/>
        <v>#N/A</v>
      </c>
      <c r="CV7" t="e">
        <f t="shared" si="91"/>
        <v>#N/A</v>
      </c>
      <c r="CW7" t="e">
        <f t="shared" si="91"/>
        <v>#N/A</v>
      </c>
      <c r="CX7" t="e">
        <f t="shared" si="92"/>
        <v>#N/A</v>
      </c>
      <c r="CY7" t="e">
        <f t="shared" si="92"/>
        <v>#N/A</v>
      </c>
      <c r="CZ7" t="e">
        <f t="shared" si="93"/>
        <v>#N/A</v>
      </c>
      <c r="DA7" t="e">
        <f t="shared" si="93"/>
        <v>#N/A</v>
      </c>
    </row>
    <row r="8" spans="1:105" x14ac:dyDescent="0.35">
      <c r="A8" t="str">
        <f>Setup!A24</f>
        <v>Caseload 5</v>
      </c>
      <c r="B8" t="e">
        <f>INDEX('Required Capacity (Hide)'!$B$5:$C$19,MATCH('Planning Backing (Hide)'!$A8,'Required Capacity (Hide)'!$A$5:$A$19,0),1)</f>
        <v>#N/A</v>
      </c>
      <c r="C8" t="e">
        <f>INDEX('Required Capacity (Hide)'!$B$5:$C$19,MATCH('Planning Backing (Hide)'!$A8,'Required Capacity (Hide)'!$A$5:$A$19,0),2)</f>
        <v>#N/A</v>
      </c>
      <c r="D8" t="e">
        <f>IF(Planning!D10="",'Planning Backing (Hide)'!B8,Planning!D10)</f>
        <v>#N/A</v>
      </c>
      <c r="E8" t="e">
        <f>IF(Planning!E10="",'Planning Backing (Hide)'!C8,Planning!E10)</f>
        <v>#N/A</v>
      </c>
      <c r="F8">
        <v>1</v>
      </c>
      <c r="G8">
        <v>1</v>
      </c>
      <c r="I8" s="12" t="e" vm="2">
        <f ca="1">'Required Capacity (Hide)'!E8</f>
        <v>#VALUE!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  <c r="V8" t="e">
        <f t="shared" si="13"/>
        <v>#N/A</v>
      </c>
      <c r="W8" t="e">
        <f t="shared" si="14"/>
        <v>#N/A</v>
      </c>
      <c r="X8" t="e">
        <f t="shared" si="15"/>
        <v>#N/A</v>
      </c>
      <c r="Y8" t="e">
        <f t="shared" si="16"/>
        <v>#N/A</v>
      </c>
      <c r="Z8" t="e">
        <f t="shared" si="17"/>
        <v>#N/A</v>
      </c>
      <c r="AA8" t="e">
        <f t="shared" si="18"/>
        <v>#N/A</v>
      </c>
      <c r="AB8" t="e">
        <f t="shared" si="19"/>
        <v>#N/A</v>
      </c>
      <c r="AC8" t="e">
        <f t="shared" si="20"/>
        <v>#N/A</v>
      </c>
      <c r="AD8" t="e">
        <f t="shared" si="21"/>
        <v>#N/A</v>
      </c>
      <c r="AE8" t="e">
        <f t="shared" si="22"/>
        <v>#N/A</v>
      </c>
      <c r="AF8" t="e">
        <f t="shared" si="23"/>
        <v>#N/A</v>
      </c>
      <c r="AG8" t="e">
        <f t="shared" si="24"/>
        <v>#N/A</v>
      </c>
      <c r="AH8" t="e">
        <f t="shared" si="25"/>
        <v>#N/A</v>
      </c>
      <c r="AI8" t="e">
        <f t="shared" si="26"/>
        <v>#N/A</v>
      </c>
      <c r="AJ8" t="e">
        <f t="shared" si="27"/>
        <v>#N/A</v>
      </c>
      <c r="AK8" t="e">
        <f t="shared" si="28"/>
        <v>#N/A</v>
      </c>
      <c r="AL8" t="e">
        <f t="shared" si="29"/>
        <v>#N/A</v>
      </c>
      <c r="AM8" t="e">
        <f t="shared" si="30"/>
        <v>#N/A</v>
      </c>
      <c r="AN8" t="e">
        <f t="shared" si="31"/>
        <v>#N/A</v>
      </c>
      <c r="AO8" t="e">
        <f t="shared" si="32"/>
        <v>#N/A</v>
      </c>
      <c r="AP8" t="e">
        <f t="shared" si="33"/>
        <v>#N/A</v>
      </c>
      <c r="AQ8" t="e">
        <f t="shared" si="34"/>
        <v>#N/A</v>
      </c>
      <c r="AR8" t="e">
        <f t="shared" si="35"/>
        <v>#N/A</v>
      </c>
      <c r="AS8" t="e">
        <f t="shared" si="36"/>
        <v>#N/A</v>
      </c>
      <c r="AT8" t="e">
        <f t="shared" si="37"/>
        <v>#N/A</v>
      </c>
      <c r="AU8" t="e">
        <f t="shared" si="38"/>
        <v>#N/A</v>
      </c>
      <c r="AV8" t="e">
        <f t="shared" si="39"/>
        <v>#N/A</v>
      </c>
      <c r="AW8" t="e">
        <f t="shared" si="40"/>
        <v>#N/A</v>
      </c>
      <c r="AX8" t="e">
        <f t="shared" si="41"/>
        <v>#N/A</v>
      </c>
      <c r="AY8" t="e">
        <f t="shared" si="42"/>
        <v>#N/A</v>
      </c>
      <c r="AZ8" t="e">
        <f t="shared" si="43"/>
        <v>#N/A</v>
      </c>
      <c r="BA8" t="e">
        <f t="shared" si="44"/>
        <v>#N/A</v>
      </c>
      <c r="BB8" t="e">
        <f t="shared" si="45"/>
        <v>#N/A</v>
      </c>
      <c r="BC8" t="e">
        <f t="shared" si="46"/>
        <v>#N/A</v>
      </c>
      <c r="BD8" t="e">
        <f t="shared" si="47"/>
        <v>#N/A</v>
      </c>
      <c r="BE8" t="e">
        <f t="shared" si="48"/>
        <v>#N/A</v>
      </c>
      <c r="BF8" t="e">
        <f t="shared" si="49"/>
        <v>#N/A</v>
      </c>
      <c r="BG8" t="e">
        <f t="shared" si="50"/>
        <v>#N/A</v>
      </c>
      <c r="BH8" t="e">
        <f t="shared" si="51"/>
        <v>#N/A</v>
      </c>
      <c r="BI8" t="e">
        <f t="shared" si="52"/>
        <v>#N/A</v>
      </c>
      <c r="BJ8" t="e">
        <f t="shared" si="53"/>
        <v>#N/A</v>
      </c>
      <c r="BK8" t="e">
        <f t="shared" si="54"/>
        <v>#N/A</v>
      </c>
      <c r="BL8" t="e">
        <f t="shared" si="55"/>
        <v>#N/A</v>
      </c>
      <c r="BM8" t="e">
        <f t="shared" si="56"/>
        <v>#N/A</v>
      </c>
      <c r="BN8" t="e">
        <f t="shared" si="57"/>
        <v>#N/A</v>
      </c>
      <c r="BO8" t="e">
        <f t="shared" si="58"/>
        <v>#N/A</v>
      </c>
      <c r="BP8" t="e">
        <f t="shared" si="59"/>
        <v>#N/A</v>
      </c>
      <c r="BQ8" t="e">
        <f t="shared" si="60"/>
        <v>#N/A</v>
      </c>
      <c r="BR8" t="e">
        <f t="shared" si="61"/>
        <v>#N/A</v>
      </c>
      <c r="BS8" t="e">
        <f t="shared" si="62"/>
        <v>#N/A</v>
      </c>
      <c r="BT8" t="e">
        <f t="shared" si="63"/>
        <v>#N/A</v>
      </c>
      <c r="BU8" t="e">
        <f t="shared" si="64"/>
        <v>#N/A</v>
      </c>
      <c r="BV8" t="e">
        <f t="shared" si="65"/>
        <v>#N/A</v>
      </c>
      <c r="BW8" t="e">
        <f t="shared" si="66"/>
        <v>#N/A</v>
      </c>
      <c r="BX8" t="e">
        <f t="shared" si="67"/>
        <v>#N/A</v>
      </c>
      <c r="BY8" t="e">
        <f t="shared" si="68"/>
        <v>#N/A</v>
      </c>
      <c r="BZ8" t="e">
        <f t="shared" si="69"/>
        <v>#N/A</v>
      </c>
      <c r="CA8" t="e">
        <f t="shared" si="70"/>
        <v>#N/A</v>
      </c>
      <c r="CB8" t="e">
        <f t="shared" si="71"/>
        <v>#N/A</v>
      </c>
      <c r="CC8" t="e">
        <f t="shared" si="72"/>
        <v>#N/A</v>
      </c>
      <c r="CD8" t="e">
        <f t="shared" si="73"/>
        <v>#N/A</v>
      </c>
      <c r="CE8" t="e">
        <f t="shared" si="74"/>
        <v>#N/A</v>
      </c>
      <c r="CF8" t="e">
        <f t="shared" si="75"/>
        <v>#N/A</v>
      </c>
      <c r="CG8" t="e">
        <f t="shared" si="76"/>
        <v>#N/A</v>
      </c>
      <c r="CH8" t="e">
        <f t="shared" si="77"/>
        <v>#N/A</v>
      </c>
      <c r="CI8" t="e">
        <f t="shared" si="78"/>
        <v>#N/A</v>
      </c>
      <c r="CJ8" t="e">
        <f t="shared" si="79"/>
        <v>#N/A</v>
      </c>
      <c r="CK8" t="e">
        <f t="shared" si="80"/>
        <v>#N/A</v>
      </c>
      <c r="CL8" t="e">
        <f t="shared" si="81"/>
        <v>#N/A</v>
      </c>
      <c r="CM8" t="e">
        <f t="shared" si="82"/>
        <v>#N/A</v>
      </c>
      <c r="CN8" t="e">
        <f t="shared" si="83"/>
        <v>#N/A</v>
      </c>
      <c r="CO8" t="e">
        <f t="shared" si="84"/>
        <v>#N/A</v>
      </c>
      <c r="CP8" t="e">
        <f t="shared" si="85"/>
        <v>#N/A</v>
      </c>
      <c r="CQ8" t="e">
        <f t="shared" si="86"/>
        <v>#N/A</v>
      </c>
      <c r="CR8" t="e">
        <f t="shared" si="87"/>
        <v>#N/A</v>
      </c>
      <c r="CS8" t="e">
        <f t="shared" si="88"/>
        <v>#N/A</v>
      </c>
      <c r="CT8" t="e">
        <f t="shared" si="89"/>
        <v>#N/A</v>
      </c>
      <c r="CU8" t="e">
        <f t="shared" si="90"/>
        <v>#N/A</v>
      </c>
      <c r="CV8" t="e">
        <f t="shared" si="91"/>
        <v>#N/A</v>
      </c>
      <c r="CW8" t="e">
        <f t="shared" si="91"/>
        <v>#N/A</v>
      </c>
      <c r="CX8" t="e">
        <f t="shared" si="92"/>
        <v>#N/A</v>
      </c>
      <c r="CY8" t="e">
        <f t="shared" si="92"/>
        <v>#N/A</v>
      </c>
      <c r="CZ8" t="e">
        <f t="shared" si="93"/>
        <v>#N/A</v>
      </c>
      <c r="DA8" t="e">
        <f t="shared" si="93"/>
        <v>#N/A</v>
      </c>
    </row>
    <row r="9" spans="1:105" x14ac:dyDescent="0.35">
      <c r="A9" t="str">
        <f>Setup!A25</f>
        <v>Caseload 6</v>
      </c>
      <c r="B9" t="e">
        <f>INDEX('Required Capacity (Hide)'!$B$5:$C$19,MATCH('Planning Backing (Hide)'!$A9,'Required Capacity (Hide)'!$A$5:$A$19,0),1)</f>
        <v>#N/A</v>
      </c>
      <c r="C9" t="e">
        <f>INDEX('Required Capacity (Hide)'!$B$5:$C$19,MATCH('Planning Backing (Hide)'!$A9,'Required Capacity (Hide)'!$A$5:$A$19,0),2)</f>
        <v>#N/A</v>
      </c>
      <c r="D9" t="e">
        <f>IF(Planning!D11="",'Planning Backing (Hide)'!B9,Planning!D11)</f>
        <v>#N/A</v>
      </c>
      <c r="E9" t="e">
        <f>IF(Planning!E11="",'Planning Backing (Hide)'!C9,Planning!E11)</f>
        <v>#N/A</v>
      </c>
      <c r="F9">
        <v>1</v>
      </c>
      <c r="G9">
        <v>1</v>
      </c>
      <c r="I9" s="12" t="e" vm="2">
        <f ca="1">'Required Capacity (Hide)'!E9</f>
        <v>#VALUE!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  <c r="V9" t="e">
        <f t="shared" si="13"/>
        <v>#N/A</v>
      </c>
      <c r="W9" t="e">
        <f t="shared" si="14"/>
        <v>#N/A</v>
      </c>
      <c r="X9" t="e">
        <f t="shared" si="15"/>
        <v>#N/A</v>
      </c>
      <c r="Y9" t="e">
        <f t="shared" si="16"/>
        <v>#N/A</v>
      </c>
      <c r="Z9" t="e">
        <f t="shared" si="17"/>
        <v>#N/A</v>
      </c>
      <c r="AA9" t="e">
        <f t="shared" si="18"/>
        <v>#N/A</v>
      </c>
      <c r="AB9" t="e">
        <f t="shared" si="19"/>
        <v>#N/A</v>
      </c>
      <c r="AC9" t="e">
        <f t="shared" si="20"/>
        <v>#N/A</v>
      </c>
      <c r="AD9" t="e">
        <f t="shared" si="21"/>
        <v>#N/A</v>
      </c>
      <c r="AE9" t="e">
        <f t="shared" si="22"/>
        <v>#N/A</v>
      </c>
      <c r="AF9" t="e">
        <f t="shared" si="23"/>
        <v>#N/A</v>
      </c>
      <c r="AG9" t="e">
        <f t="shared" si="24"/>
        <v>#N/A</v>
      </c>
      <c r="AH9" t="e">
        <f t="shared" si="25"/>
        <v>#N/A</v>
      </c>
      <c r="AI9" t="e">
        <f t="shared" si="26"/>
        <v>#N/A</v>
      </c>
      <c r="AJ9" t="e">
        <f t="shared" si="27"/>
        <v>#N/A</v>
      </c>
      <c r="AK9" t="e">
        <f t="shared" si="28"/>
        <v>#N/A</v>
      </c>
      <c r="AL9" t="e">
        <f t="shared" si="29"/>
        <v>#N/A</v>
      </c>
      <c r="AM9" t="e">
        <f t="shared" si="30"/>
        <v>#N/A</v>
      </c>
      <c r="AN9" t="e">
        <f t="shared" si="31"/>
        <v>#N/A</v>
      </c>
      <c r="AO9" t="e">
        <f t="shared" si="32"/>
        <v>#N/A</v>
      </c>
      <c r="AP9" t="e">
        <f t="shared" si="33"/>
        <v>#N/A</v>
      </c>
      <c r="AQ9" t="e">
        <f t="shared" si="34"/>
        <v>#N/A</v>
      </c>
      <c r="AR9" t="e">
        <f t="shared" si="35"/>
        <v>#N/A</v>
      </c>
      <c r="AS9" t="e">
        <f t="shared" si="36"/>
        <v>#N/A</v>
      </c>
      <c r="AT9" t="e">
        <f t="shared" si="37"/>
        <v>#N/A</v>
      </c>
      <c r="AU9" t="e">
        <f t="shared" si="38"/>
        <v>#N/A</v>
      </c>
      <c r="AV9" t="e">
        <f t="shared" si="39"/>
        <v>#N/A</v>
      </c>
      <c r="AW9" t="e">
        <f t="shared" si="40"/>
        <v>#N/A</v>
      </c>
      <c r="AX9" t="e">
        <f t="shared" si="41"/>
        <v>#N/A</v>
      </c>
      <c r="AY9" t="e">
        <f t="shared" si="42"/>
        <v>#N/A</v>
      </c>
      <c r="AZ9" t="e">
        <f t="shared" si="43"/>
        <v>#N/A</v>
      </c>
      <c r="BA9" t="e">
        <f t="shared" si="44"/>
        <v>#N/A</v>
      </c>
      <c r="BB9" t="e">
        <f t="shared" si="45"/>
        <v>#N/A</v>
      </c>
      <c r="BC9" t="e">
        <f t="shared" si="46"/>
        <v>#N/A</v>
      </c>
      <c r="BD9" t="e">
        <f t="shared" si="47"/>
        <v>#N/A</v>
      </c>
      <c r="BE9" t="e">
        <f t="shared" si="48"/>
        <v>#N/A</v>
      </c>
      <c r="BF9" t="e">
        <f t="shared" si="49"/>
        <v>#N/A</v>
      </c>
      <c r="BG9" t="e">
        <f t="shared" si="50"/>
        <v>#N/A</v>
      </c>
      <c r="BH9" t="e">
        <f t="shared" si="51"/>
        <v>#N/A</v>
      </c>
      <c r="BI9" t="e">
        <f t="shared" si="52"/>
        <v>#N/A</v>
      </c>
      <c r="BJ9" t="e">
        <f t="shared" si="53"/>
        <v>#N/A</v>
      </c>
      <c r="BK9" t="e">
        <f t="shared" si="54"/>
        <v>#N/A</v>
      </c>
      <c r="BL9" t="e">
        <f t="shared" si="55"/>
        <v>#N/A</v>
      </c>
      <c r="BM9" t="e">
        <f t="shared" si="56"/>
        <v>#N/A</v>
      </c>
      <c r="BN9" t="e">
        <f t="shared" si="57"/>
        <v>#N/A</v>
      </c>
      <c r="BO9" t="e">
        <f t="shared" si="58"/>
        <v>#N/A</v>
      </c>
      <c r="BP9" t="e">
        <f t="shared" si="59"/>
        <v>#N/A</v>
      </c>
      <c r="BQ9" t="e">
        <f t="shared" si="60"/>
        <v>#N/A</v>
      </c>
      <c r="BR9" t="e">
        <f t="shared" si="61"/>
        <v>#N/A</v>
      </c>
      <c r="BS9" t="e">
        <f t="shared" si="62"/>
        <v>#N/A</v>
      </c>
      <c r="BT9" t="e">
        <f t="shared" si="63"/>
        <v>#N/A</v>
      </c>
      <c r="BU9" t="e">
        <f t="shared" si="64"/>
        <v>#N/A</v>
      </c>
      <c r="BV9" t="e">
        <f t="shared" si="65"/>
        <v>#N/A</v>
      </c>
      <c r="BW9" t="e">
        <f t="shared" si="66"/>
        <v>#N/A</v>
      </c>
      <c r="BX9" t="e">
        <f t="shared" si="67"/>
        <v>#N/A</v>
      </c>
      <c r="BY9" t="e">
        <f t="shared" si="68"/>
        <v>#N/A</v>
      </c>
      <c r="BZ9" t="e">
        <f t="shared" si="69"/>
        <v>#N/A</v>
      </c>
      <c r="CA9" t="e">
        <f t="shared" si="70"/>
        <v>#N/A</v>
      </c>
      <c r="CB9" t="e">
        <f t="shared" si="71"/>
        <v>#N/A</v>
      </c>
      <c r="CC9" t="e">
        <f t="shared" si="72"/>
        <v>#N/A</v>
      </c>
      <c r="CD9" t="e">
        <f t="shared" si="73"/>
        <v>#N/A</v>
      </c>
      <c r="CE9" t="e">
        <f t="shared" si="74"/>
        <v>#N/A</v>
      </c>
      <c r="CF9" t="e">
        <f t="shared" si="75"/>
        <v>#N/A</v>
      </c>
      <c r="CG9" t="e">
        <f t="shared" si="76"/>
        <v>#N/A</v>
      </c>
      <c r="CH9" t="e">
        <f t="shared" si="77"/>
        <v>#N/A</v>
      </c>
      <c r="CI9" t="e">
        <f t="shared" si="78"/>
        <v>#N/A</v>
      </c>
      <c r="CJ9" t="e">
        <f t="shared" si="79"/>
        <v>#N/A</v>
      </c>
      <c r="CK9" t="e">
        <f t="shared" si="80"/>
        <v>#N/A</v>
      </c>
      <c r="CL9" t="e">
        <f t="shared" si="81"/>
        <v>#N/A</v>
      </c>
      <c r="CM9" t="e">
        <f t="shared" si="82"/>
        <v>#N/A</v>
      </c>
      <c r="CN9" t="e">
        <f t="shared" si="83"/>
        <v>#N/A</v>
      </c>
      <c r="CO9" t="e">
        <f t="shared" si="84"/>
        <v>#N/A</v>
      </c>
      <c r="CP9" t="e">
        <f t="shared" si="85"/>
        <v>#N/A</v>
      </c>
      <c r="CQ9" t="e">
        <f t="shared" si="86"/>
        <v>#N/A</v>
      </c>
      <c r="CR9" t="e">
        <f t="shared" si="87"/>
        <v>#N/A</v>
      </c>
      <c r="CS9" t="e">
        <f t="shared" si="88"/>
        <v>#N/A</v>
      </c>
      <c r="CT9" t="e">
        <f t="shared" si="89"/>
        <v>#N/A</v>
      </c>
      <c r="CU9" t="e">
        <f t="shared" si="90"/>
        <v>#N/A</v>
      </c>
      <c r="CV9" t="e">
        <f t="shared" si="91"/>
        <v>#N/A</v>
      </c>
      <c r="CW9" t="e">
        <f t="shared" si="91"/>
        <v>#N/A</v>
      </c>
      <c r="CX9" t="e">
        <f t="shared" si="92"/>
        <v>#N/A</v>
      </c>
      <c r="CY9" t="e">
        <f t="shared" si="92"/>
        <v>#N/A</v>
      </c>
      <c r="CZ9" t="e">
        <f t="shared" si="93"/>
        <v>#N/A</v>
      </c>
      <c r="DA9" t="e">
        <f t="shared" si="93"/>
        <v>#N/A</v>
      </c>
    </row>
    <row r="10" spans="1:105" x14ac:dyDescent="0.35">
      <c r="A10" t="str">
        <f>Setup!A26</f>
        <v>Caseload 7</v>
      </c>
      <c r="B10" t="e">
        <f>INDEX('Required Capacity (Hide)'!$B$5:$C$19,MATCH('Planning Backing (Hide)'!$A10,'Required Capacity (Hide)'!$A$5:$A$19,0),1)</f>
        <v>#N/A</v>
      </c>
      <c r="C10" t="e">
        <f>INDEX('Required Capacity (Hide)'!$B$5:$C$19,MATCH('Planning Backing (Hide)'!$A10,'Required Capacity (Hide)'!$A$5:$A$19,0),2)</f>
        <v>#N/A</v>
      </c>
      <c r="D10" t="e">
        <f>IF(Planning!D12="",'Planning Backing (Hide)'!B10,Planning!D12)</f>
        <v>#N/A</v>
      </c>
      <c r="E10" t="e">
        <f>IF(Planning!E12="",'Planning Backing (Hide)'!C10,Planning!E12)</f>
        <v>#N/A</v>
      </c>
      <c r="F10">
        <v>1</v>
      </c>
      <c r="G10">
        <v>1</v>
      </c>
      <c r="I10" s="12" t="e" vm="2">
        <f ca="1">'Required Capacity (Hide)'!E10</f>
        <v>#VALUE!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  <c r="V10" t="e">
        <f t="shared" si="13"/>
        <v>#N/A</v>
      </c>
      <c r="W10" t="e">
        <f t="shared" si="14"/>
        <v>#N/A</v>
      </c>
      <c r="X10" t="e">
        <f t="shared" si="15"/>
        <v>#N/A</v>
      </c>
      <c r="Y10" t="e">
        <f t="shared" si="16"/>
        <v>#N/A</v>
      </c>
      <c r="Z10" t="e">
        <f t="shared" si="17"/>
        <v>#N/A</v>
      </c>
      <c r="AA10" t="e">
        <f t="shared" si="18"/>
        <v>#N/A</v>
      </c>
      <c r="AB10" t="e">
        <f t="shared" si="19"/>
        <v>#N/A</v>
      </c>
      <c r="AC10" t="e">
        <f t="shared" si="20"/>
        <v>#N/A</v>
      </c>
      <c r="AD10" t="e">
        <f t="shared" si="21"/>
        <v>#N/A</v>
      </c>
      <c r="AE10" t="e">
        <f t="shared" si="22"/>
        <v>#N/A</v>
      </c>
      <c r="AF10" t="e">
        <f t="shared" si="23"/>
        <v>#N/A</v>
      </c>
      <c r="AG10" t="e">
        <f t="shared" si="24"/>
        <v>#N/A</v>
      </c>
      <c r="AH10" t="e">
        <f t="shared" si="25"/>
        <v>#N/A</v>
      </c>
      <c r="AI10" t="e">
        <f t="shared" si="26"/>
        <v>#N/A</v>
      </c>
      <c r="AJ10" t="e">
        <f t="shared" si="27"/>
        <v>#N/A</v>
      </c>
      <c r="AK10" t="e">
        <f t="shared" si="28"/>
        <v>#N/A</v>
      </c>
      <c r="AL10" t="e">
        <f t="shared" si="29"/>
        <v>#N/A</v>
      </c>
      <c r="AM10" t="e">
        <f t="shared" si="30"/>
        <v>#N/A</v>
      </c>
      <c r="AN10" t="e">
        <f t="shared" si="31"/>
        <v>#N/A</v>
      </c>
      <c r="AO10" t="e">
        <f t="shared" si="32"/>
        <v>#N/A</v>
      </c>
      <c r="AP10" t="e">
        <f t="shared" si="33"/>
        <v>#N/A</v>
      </c>
      <c r="AQ10" t="e">
        <f t="shared" si="34"/>
        <v>#N/A</v>
      </c>
      <c r="AR10" t="e">
        <f t="shared" si="35"/>
        <v>#N/A</v>
      </c>
      <c r="AS10" t="e">
        <f t="shared" si="36"/>
        <v>#N/A</v>
      </c>
      <c r="AT10" t="e">
        <f t="shared" si="37"/>
        <v>#N/A</v>
      </c>
      <c r="AU10" t="e">
        <f t="shared" si="38"/>
        <v>#N/A</v>
      </c>
      <c r="AV10" t="e">
        <f t="shared" si="39"/>
        <v>#N/A</v>
      </c>
      <c r="AW10" t="e">
        <f t="shared" si="40"/>
        <v>#N/A</v>
      </c>
      <c r="AX10" t="e">
        <f t="shared" si="41"/>
        <v>#N/A</v>
      </c>
      <c r="AY10" t="e">
        <f t="shared" si="42"/>
        <v>#N/A</v>
      </c>
      <c r="AZ10" t="e">
        <f t="shared" si="43"/>
        <v>#N/A</v>
      </c>
      <c r="BA10" t="e">
        <f t="shared" si="44"/>
        <v>#N/A</v>
      </c>
      <c r="BB10" t="e">
        <f t="shared" si="45"/>
        <v>#N/A</v>
      </c>
      <c r="BC10" t="e">
        <f t="shared" si="46"/>
        <v>#N/A</v>
      </c>
      <c r="BD10" t="e">
        <f t="shared" si="47"/>
        <v>#N/A</v>
      </c>
      <c r="BE10" t="e">
        <f t="shared" si="48"/>
        <v>#N/A</v>
      </c>
      <c r="BF10" t="e">
        <f t="shared" si="49"/>
        <v>#N/A</v>
      </c>
      <c r="BG10" t="e">
        <f t="shared" si="50"/>
        <v>#N/A</v>
      </c>
      <c r="BH10" t="e">
        <f t="shared" si="51"/>
        <v>#N/A</v>
      </c>
      <c r="BI10" t="e">
        <f t="shared" si="52"/>
        <v>#N/A</v>
      </c>
      <c r="BJ10" t="e">
        <f t="shared" si="53"/>
        <v>#N/A</v>
      </c>
      <c r="BK10" t="e">
        <f t="shared" si="54"/>
        <v>#N/A</v>
      </c>
      <c r="BL10" t="e">
        <f t="shared" si="55"/>
        <v>#N/A</v>
      </c>
      <c r="BM10" t="e">
        <f t="shared" si="56"/>
        <v>#N/A</v>
      </c>
      <c r="BN10" t="e">
        <f t="shared" si="57"/>
        <v>#N/A</v>
      </c>
      <c r="BO10" t="e">
        <f t="shared" si="58"/>
        <v>#N/A</v>
      </c>
      <c r="BP10" t="e">
        <f t="shared" si="59"/>
        <v>#N/A</v>
      </c>
      <c r="BQ10" t="e">
        <f t="shared" si="60"/>
        <v>#N/A</v>
      </c>
      <c r="BR10" t="e">
        <f t="shared" si="61"/>
        <v>#N/A</v>
      </c>
      <c r="BS10" t="e">
        <f t="shared" si="62"/>
        <v>#N/A</v>
      </c>
      <c r="BT10" t="e">
        <f t="shared" si="63"/>
        <v>#N/A</v>
      </c>
      <c r="BU10" t="e">
        <f t="shared" si="64"/>
        <v>#N/A</v>
      </c>
      <c r="BV10" t="e">
        <f t="shared" si="65"/>
        <v>#N/A</v>
      </c>
      <c r="BW10" t="e">
        <f t="shared" si="66"/>
        <v>#N/A</v>
      </c>
      <c r="BX10" t="e">
        <f t="shared" si="67"/>
        <v>#N/A</v>
      </c>
      <c r="BY10" t="e">
        <f t="shared" si="68"/>
        <v>#N/A</v>
      </c>
      <c r="BZ10" t="e">
        <f t="shared" si="69"/>
        <v>#N/A</v>
      </c>
      <c r="CA10" t="e">
        <f t="shared" si="70"/>
        <v>#N/A</v>
      </c>
      <c r="CB10" t="e">
        <f t="shared" si="71"/>
        <v>#N/A</v>
      </c>
      <c r="CC10" t="e">
        <f t="shared" si="72"/>
        <v>#N/A</v>
      </c>
      <c r="CD10" t="e">
        <f t="shared" si="73"/>
        <v>#N/A</v>
      </c>
      <c r="CE10" t="e">
        <f t="shared" si="74"/>
        <v>#N/A</v>
      </c>
      <c r="CF10" t="e">
        <f t="shared" si="75"/>
        <v>#N/A</v>
      </c>
      <c r="CG10" t="e">
        <f t="shared" si="76"/>
        <v>#N/A</v>
      </c>
      <c r="CH10" t="e">
        <f t="shared" si="77"/>
        <v>#N/A</v>
      </c>
      <c r="CI10" t="e">
        <f t="shared" si="78"/>
        <v>#N/A</v>
      </c>
      <c r="CJ10" t="e">
        <f t="shared" si="79"/>
        <v>#N/A</v>
      </c>
      <c r="CK10" t="e">
        <f t="shared" si="80"/>
        <v>#N/A</v>
      </c>
      <c r="CL10" t="e">
        <f t="shared" si="81"/>
        <v>#N/A</v>
      </c>
      <c r="CM10" t="e">
        <f t="shared" si="82"/>
        <v>#N/A</v>
      </c>
      <c r="CN10" t="e">
        <f t="shared" si="83"/>
        <v>#N/A</v>
      </c>
      <c r="CO10" t="e">
        <f t="shared" si="84"/>
        <v>#N/A</v>
      </c>
      <c r="CP10" t="e">
        <f t="shared" si="85"/>
        <v>#N/A</v>
      </c>
      <c r="CQ10" t="e">
        <f t="shared" si="86"/>
        <v>#N/A</v>
      </c>
      <c r="CR10" t="e">
        <f t="shared" si="87"/>
        <v>#N/A</v>
      </c>
      <c r="CS10" t="e">
        <f t="shared" si="88"/>
        <v>#N/A</v>
      </c>
      <c r="CT10" t="e">
        <f t="shared" si="89"/>
        <v>#N/A</v>
      </c>
      <c r="CU10" t="e">
        <f t="shared" si="90"/>
        <v>#N/A</v>
      </c>
      <c r="CV10" t="e">
        <f t="shared" si="91"/>
        <v>#N/A</v>
      </c>
      <c r="CW10" t="e">
        <f t="shared" si="91"/>
        <v>#N/A</v>
      </c>
      <c r="CX10" t="e">
        <f t="shared" si="92"/>
        <v>#N/A</v>
      </c>
      <c r="CY10" t="e">
        <f t="shared" si="92"/>
        <v>#N/A</v>
      </c>
      <c r="CZ10" t="e">
        <f t="shared" si="93"/>
        <v>#N/A</v>
      </c>
      <c r="DA10" t="e">
        <f t="shared" si="93"/>
        <v>#N/A</v>
      </c>
    </row>
    <row r="11" spans="1:105" x14ac:dyDescent="0.35">
      <c r="A11" t="str">
        <f>Setup!A27</f>
        <v>Caseload 8</v>
      </c>
      <c r="B11" t="e">
        <f>INDEX('Required Capacity (Hide)'!$B$5:$C$19,MATCH('Planning Backing (Hide)'!$A11,'Required Capacity (Hide)'!$A$5:$A$19,0),1)</f>
        <v>#N/A</v>
      </c>
      <c r="C11" t="e">
        <f>INDEX('Required Capacity (Hide)'!$B$5:$C$19,MATCH('Planning Backing (Hide)'!$A11,'Required Capacity (Hide)'!$A$5:$A$19,0),2)</f>
        <v>#N/A</v>
      </c>
      <c r="D11" t="e">
        <f>IF(Planning!D13="",'Planning Backing (Hide)'!B11,Planning!D13)</f>
        <v>#N/A</v>
      </c>
      <c r="E11" t="e">
        <f>IF(Planning!E13="",'Planning Backing (Hide)'!C11,Planning!E13)</f>
        <v>#N/A</v>
      </c>
      <c r="F11">
        <v>1</v>
      </c>
      <c r="G11">
        <v>1</v>
      </c>
      <c r="I11" s="12" t="e" vm="2">
        <f ca="1">'Required Capacity (Hide)'!E11</f>
        <v>#VALUE!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  <c r="V11" t="e">
        <f t="shared" si="13"/>
        <v>#N/A</v>
      </c>
      <c r="W11" t="e">
        <f t="shared" si="14"/>
        <v>#N/A</v>
      </c>
      <c r="X11" t="e">
        <f t="shared" si="15"/>
        <v>#N/A</v>
      </c>
      <c r="Y11" t="e">
        <f t="shared" si="16"/>
        <v>#N/A</v>
      </c>
      <c r="Z11" t="e">
        <f t="shared" si="17"/>
        <v>#N/A</v>
      </c>
      <c r="AA11" t="e">
        <f t="shared" si="18"/>
        <v>#N/A</v>
      </c>
      <c r="AB11" t="e">
        <f t="shared" si="19"/>
        <v>#N/A</v>
      </c>
      <c r="AC11" t="e">
        <f t="shared" si="20"/>
        <v>#N/A</v>
      </c>
      <c r="AD11" t="e">
        <f t="shared" si="21"/>
        <v>#N/A</v>
      </c>
      <c r="AE11" t="e">
        <f t="shared" si="22"/>
        <v>#N/A</v>
      </c>
      <c r="AF11" t="e">
        <f t="shared" si="23"/>
        <v>#N/A</v>
      </c>
      <c r="AG11" t="e">
        <f t="shared" si="24"/>
        <v>#N/A</v>
      </c>
      <c r="AH11" t="e">
        <f t="shared" si="25"/>
        <v>#N/A</v>
      </c>
      <c r="AI11" t="e">
        <f t="shared" si="26"/>
        <v>#N/A</v>
      </c>
      <c r="AJ11" t="e">
        <f t="shared" si="27"/>
        <v>#N/A</v>
      </c>
      <c r="AK11" t="e">
        <f t="shared" si="28"/>
        <v>#N/A</v>
      </c>
      <c r="AL11" t="e">
        <f t="shared" si="29"/>
        <v>#N/A</v>
      </c>
      <c r="AM11" t="e">
        <f t="shared" si="30"/>
        <v>#N/A</v>
      </c>
      <c r="AN11" t="e">
        <f t="shared" si="31"/>
        <v>#N/A</v>
      </c>
      <c r="AO11" t="e">
        <f t="shared" si="32"/>
        <v>#N/A</v>
      </c>
      <c r="AP11" t="e">
        <f t="shared" si="33"/>
        <v>#N/A</v>
      </c>
      <c r="AQ11" t="e">
        <f t="shared" si="34"/>
        <v>#N/A</v>
      </c>
      <c r="AR11" t="e">
        <f t="shared" si="35"/>
        <v>#N/A</v>
      </c>
      <c r="AS11" t="e">
        <f t="shared" si="36"/>
        <v>#N/A</v>
      </c>
      <c r="AT11" t="e">
        <f t="shared" si="37"/>
        <v>#N/A</v>
      </c>
      <c r="AU11" t="e">
        <f t="shared" si="38"/>
        <v>#N/A</v>
      </c>
      <c r="AV11" t="e">
        <f t="shared" si="39"/>
        <v>#N/A</v>
      </c>
      <c r="AW11" t="e">
        <f t="shared" si="40"/>
        <v>#N/A</v>
      </c>
      <c r="AX11" t="e">
        <f t="shared" si="41"/>
        <v>#N/A</v>
      </c>
      <c r="AY11" t="e">
        <f t="shared" si="42"/>
        <v>#N/A</v>
      </c>
      <c r="AZ11" t="e">
        <f t="shared" si="43"/>
        <v>#N/A</v>
      </c>
      <c r="BA11" t="e">
        <f t="shared" si="44"/>
        <v>#N/A</v>
      </c>
      <c r="BB11" t="e">
        <f t="shared" si="45"/>
        <v>#N/A</v>
      </c>
      <c r="BC11" t="e">
        <f t="shared" si="46"/>
        <v>#N/A</v>
      </c>
      <c r="BD11" t="e">
        <f t="shared" si="47"/>
        <v>#N/A</v>
      </c>
      <c r="BE11" t="e">
        <f t="shared" si="48"/>
        <v>#N/A</v>
      </c>
      <c r="BF11" t="e">
        <f t="shared" si="49"/>
        <v>#N/A</v>
      </c>
      <c r="BG11" t="e">
        <f t="shared" si="50"/>
        <v>#N/A</v>
      </c>
      <c r="BH11" t="e">
        <f t="shared" si="51"/>
        <v>#N/A</v>
      </c>
      <c r="BI11" t="e">
        <f t="shared" si="52"/>
        <v>#N/A</v>
      </c>
      <c r="BJ11" t="e">
        <f t="shared" si="53"/>
        <v>#N/A</v>
      </c>
      <c r="BK11" t="e">
        <f t="shared" si="54"/>
        <v>#N/A</v>
      </c>
      <c r="BL11" t="e">
        <f t="shared" si="55"/>
        <v>#N/A</v>
      </c>
      <c r="BM11" t="e">
        <f t="shared" si="56"/>
        <v>#N/A</v>
      </c>
      <c r="BN11" t="e">
        <f t="shared" si="57"/>
        <v>#N/A</v>
      </c>
      <c r="BO11" t="e">
        <f t="shared" si="58"/>
        <v>#N/A</v>
      </c>
      <c r="BP11" t="e">
        <f t="shared" si="59"/>
        <v>#N/A</v>
      </c>
      <c r="BQ11" t="e">
        <f t="shared" si="60"/>
        <v>#N/A</v>
      </c>
      <c r="BR11" t="e">
        <f t="shared" si="61"/>
        <v>#N/A</v>
      </c>
      <c r="BS11" t="e">
        <f t="shared" si="62"/>
        <v>#N/A</v>
      </c>
      <c r="BT11" t="e">
        <f t="shared" si="63"/>
        <v>#N/A</v>
      </c>
      <c r="BU11" t="e">
        <f t="shared" si="64"/>
        <v>#N/A</v>
      </c>
      <c r="BV11" t="e">
        <f t="shared" si="65"/>
        <v>#N/A</v>
      </c>
      <c r="BW11" t="e">
        <f t="shared" si="66"/>
        <v>#N/A</v>
      </c>
      <c r="BX11" t="e">
        <f t="shared" si="67"/>
        <v>#N/A</v>
      </c>
      <c r="BY11" t="e">
        <f t="shared" si="68"/>
        <v>#N/A</v>
      </c>
      <c r="BZ11" t="e">
        <f t="shared" si="69"/>
        <v>#N/A</v>
      </c>
      <c r="CA11" t="e">
        <f t="shared" si="70"/>
        <v>#N/A</v>
      </c>
      <c r="CB11" t="e">
        <f t="shared" si="71"/>
        <v>#N/A</v>
      </c>
      <c r="CC11" t="e">
        <f t="shared" si="72"/>
        <v>#N/A</v>
      </c>
      <c r="CD11" t="e">
        <f t="shared" si="73"/>
        <v>#N/A</v>
      </c>
      <c r="CE11" t="e">
        <f t="shared" si="74"/>
        <v>#N/A</v>
      </c>
      <c r="CF11" t="e">
        <f t="shared" si="75"/>
        <v>#N/A</v>
      </c>
      <c r="CG11" t="e">
        <f t="shared" si="76"/>
        <v>#N/A</v>
      </c>
      <c r="CH11" t="e">
        <f t="shared" si="77"/>
        <v>#N/A</v>
      </c>
      <c r="CI11" t="e">
        <f t="shared" si="78"/>
        <v>#N/A</v>
      </c>
      <c r="CJ11" t="e">
        <f t="shared" si="79"/>
        <v>#N/A</v>
      </c>
      <c r="CK11" t="e">
        <f t="shared" si="80"/>
        <v>#N/A</v>
      </c>
      <c r="CL11" t="e">
        <f t="shared" si="81"/>
        <v>#N/A</v>
      </c>
      <c r="CM11" t="e">
        <f t="shared" si="82"/>
        <v>#N/A</v>
      </c>
      <c r="CN11" t="e">
        <f t="shared" si="83"/>
        <v>#N/A</v>
      </c>
      <c r="CO11" t="e">
        <f t="shared" si="84"/>
        <v>#N/A</v>
      </c>
      <c r="CP11" t="e">
        <f t="shared" si="85"/>
        <v>#N/A</v>
      </c>
      <c r="CQ11" t="e">
        <f t="shared" si="86"/>
        <v>#N/A</v>
      </c>
      <c r="CR11" t="e">
        <f t="shared" si="87"/>
        <v>#N/A</v>
      </c>
      <c r="CS11" t="e">
        <f t="shared" si="88"/>
        <v>#N/A</v>
      </c>
      <c r="CT11" t="e">
        <f t="shared" si="89"/>
        <v>#N/A</v>
      </c>
      <c r="CU11" t="e">
        <f t="shared" si="90"/>
        <v>#N/A</v>
      </c>
      <c r="CV11" t="e">
        <f t="shared" si="91"/>
        <v>#N/A</v>
      </c>
      <c r="CW11" t="e">
        <f t="shared" si="91"/>
        <v>#N/A</v>
      </c>
      <c r="CX11" t="e">
        <f t="shared" si="92"/>
        <v>#N/A</v>
      </c>
      <c r="CY11" t="e">
        <f t="shared" si="92"/>
        <v>#N/A</v>
      </c>
      <c r="CZ11" t="e">
        <f t="shared" si="93"/>
        <v>#N/A</v>
      </c>
      <c r="DA11" t="e">
        <f t="shared" si="93"/>
        <v>#N/A</v>
      </c>
    </row>
    <row r="12" spans="1:105" x14ac:dyDescent="0.35">
      <c r="A12" t="str">
        <f>Setup!A28</f>
        <v>Caseload 9</v>
      </c>
      <c r="B12" t="e">
        <f>INDEX('Required Capacity (Hide)'!$B$5:$C$19,MATCH('Planning Backing (Hide)'!$A12,'Required Capacity (Hide)'!$A$5:$A$19,0),1)</f>
        <v>#N/A</v>
      </c>
      <c r="C12" t="e">
        <f>INDEX('Required Capacity (Hide)'!$B$5:$C$19,MATCH('Planning Backing (Hide)'!$A12,'Required Capacity (Hide)'!$A$5:$A$19,0),2)</f>
        <v>#N/A</v>
      </c>
      <c r="D12" t="e">
        <f>IF(Planning!D14="",'Planning Backing (Hide)'!B12,Planning!D14)</f>
        <v>#N/A</v>
      </c>
      <c r="E12" t="e">
        <f>IF(Planning!E14="",'Planning Backing (Hide)'!C12,Planning!E14)</f>
        <v>#N/A</v>
      </c>
      <c r="F12">
        <v>1</v>
      </c>
      <c r="G12">
        <v>1</v>
      </c>
      <c r="I12" s="12" t="e" vm="2">
        <f ca="1">'Required Capacity (Hide)'!E12</f>
        <v>#VALUE!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  <c r="V12" t="e">
        <f t="shared" si="13"/>
        <v>#N/A</v>
      </c>
      <c r="W12" t="e">
        <f t="shared" si="14"/>
        <v>#N/A</v>
      </c>
      <c r="X12" t="e">
        <f t="shared" si="15"/>
        <v>#N/A</v>
      </c>
      <c r="Y12" t="e">
        <f t="shared" si="16"/>
        <v>#N/A</v>
      </c>
      <c r="Z12" t="e">
        <f t="shared" si="17"/>
        <v>#N/A</v>
      </c>
      <c r="AA12" t="e">
        <f t="shared" si="18"/>
        <v>#N/A</v>
      </c>
      <c r="AB12" t="e">
        <f t="shared" si="19"/>
        <v>#N/A</v>
      </c>
      <c r="AC12" t="e">
        <f t="shared" si="20"/>
        <v>#N/A</v>
      </c>
      <c r="AD12" t="e">
        <f t="shared" si="21"/>
        <v>#N/A</v>
      </c>
      <c r="AE12" t="e">
        <f t="shared" si="22"/>
        <v>#N/A</v>
      </c>
      <c r="AF12" t="e">
        <f t="shared" si="23"/>
        <v>#N/A</v>
      </c>
      <c r="AG12" t="e">
        <f t="shared" si="24"/>
        <v>#N/A</v>
      </c>
      <c r="AH12" t="e">
        <f t="shared" si="25"/>
        <v>#N/A</v>
      </c>
      <c r="AI12" t="e">
        <f t="shared" si="26"/>
        <v>#N/A</v>
      </c>
      <c r="AJ12" t="e">
        <f t="shared" si="27"/>
        <v>#N/A</v>
      </c>
      <c r="AK12" t="e">
        <f t="shared" si="28"/>
        <v>#N/A</v>
      </c>
      <c r="AL12" t="e">
        <f t="shared" si="29"/>
        <v>#N/A</v>
      </c>
      <c r="AM12" t="e">
        <f t="shared" si="30"/>
        <v>#N/A</v>
      </c>
      <c r="AN12" t="e">
        <f t="shared" si="31"/>
        <v>#N/A</v>
      </c>
      <c r="AO12" t="e">
        <f t="shared" si="32"/>
        <v>#N/A</v>
      </c>
      <c r="AP12" t="e">
        <f t="shared" si="33"/>
        <v>#N/A</v>
      </c>
      <c r="AQ12" t="e">
        <f t="shared" si="34"/>
        <v>#N/A</v>
      </c>
      <c r="AR12" t="e">
        <f t="shared" si="35"/>
        <v>#N/A</v>
      </c>
      <c r="AS12" t="e">
        <f t="shared" si="36"/>
        <v>#N/A</v>
      </c>
      <c r="AT12" t="e">
        <f t="shared" si="37"/>
        <v>#N/A</v>
      </c>
      <c r="AU12" t="e">
        <f t="shared" si="38"/>
        <v>#N/A</v>
      </c>
      <c r="AV12" t="e">
        <f t="shared" si="39"/>
        <v>#N/A</v>
      </c>
      <c r="AW12" t="e">
        <f t="shared" si="40"/>
        <v>#N/A</v>
      </c>
      <c r="AX12" t="e">
        <f t="shared" si="41"/>
        <v>#N/A</v>
      </c>
      <c r="AY12" t="e">
        <f t="shared" si="42"/>
        <v>#N/A</v>
      </c>
      <c r="AZ12" t="e">
        <f t="shared" si="43"/>
        <v>#N/A</v>
      </c>
      <c r="BA12" t="e">
        <f t="shared" si="44"/>
        <v>#N/A</v>
      </c>
      <c r="BB12" t="e">
        <f t="shared" si="45"/>
        <v>#N/A</v>
      </c>
      <c r="BC12" t="e">
        <f t="shared" si="46"/>
        <v>#N/A</v>
      </c>
      <c r="BD12" t="e">
        <f t="shared" si="47"/>
        <v>#N/A</v>
      </c>
      <c r="BE12" t="e">
        <f t="shared" si="48"/>
        <v>#N/A</v>
      </c>
      <c r="BF12" t="e">
        <f t="shared" si="49"/>
        <v>#N/A</v>
      </c>
      <c r="BG12" t="e">
        <f t="shared" si="50"/>
        <v>#N/A</v>
      </c>
      <c r="BH12" t="e">
        <f t="shared" si="51"/>
        <v>#N/A</v>
      </c>
      <c r="BI12" t="e">
        <f t="shared" si="52"/>
        <v>#N/A</v>
      </c>
      <c r="BJ12" t="e">
        <f t="shared" si="53"/>
        <v>#N/A</v>
      </c>
      <c r="BK12" t="e">
        <f t="shared" si="54"/>
        <v>#N/A</v>
      </c>
      <c r="BL12" t="e">
        <f t="shared" si="55"/>
        <v>#N/A</v>
      </c>
      <c r="BM12" t="e">
        <f t="shared" si="56"/>
        <v>#N/A</v>
      </c>
      <c r="BN12" t="e">
        <f t="shared" si="57"/>
        <v>#N/A</v>
      </c>
      <c r="BO12" t="e">
        <f t="shared" si="58"/>
        <v>#N/A</v>
      </c>
      <c r="BP12" t="e">
        <f t="shared" si="59"/>
        <v>#N/A</v>
      </c>
      <c r="BQ12" t="e">
        <f t="shared" si="60"/>
        <v>#N/A</v>
      </c>
      <c r="BR12" t="e">
        <f t="shared" si="61"/>
        <v>#N/A</v>
      </c>
      <c r="BS12" t="e">
        <f t="shared" si="62"/>
        <v>#N/A</v>
      </c>
      <c r="BT12" t="e">
        <f t="shared" si="63"/>
        <v>#N/A</v>
      </c>
      <c r="BU12" t="e">
        <f t="shared" si="64"/>
        <v>#N/A</v>
      </c>
      <c r="BV12" t="e">
        <f t="shared" si="65"/>
        <v>#N/A</v>
      </c>
      <c r="BW12" t="e">
        <f t="shared" si="66"/>
        <v>#N/A</v>
      </c>
      <c r="BX12" t="e">
        <f t="shared" si="67"/>
        <v>#N/A</v>
      </c>
      <c r="BY12" t="e">
        <f t="shared" si="68"/>
        <v>#N/A</v>
      </c>
      <c r="BZ12" t="e">
        <f t="shared" si="69"/>
        <v>#N/A</v>
      </c>
      <c r="CA12" t="e">
        <f t="shared" si="70"/>
        <v>#N/A</v>
      </c>
      <c r="CB12" t="e">
        <f t="shared" si="71"/>
        <v>#N/A</v>
      </c>
      <c r="CC12" t="e">
        <f t="shared" si="72"/>
        <v>#N/A</v>
      </c>
      <c r="CD12" t="e">
        <f t="shared" si="73"/>
        <v>#N/A</v>
      </c>
      <c r="CE12" t="e">
        <f t="shared" si="74"/>
        <v>#N/A</v>
      </c>
      <c r="CF12" t="e">
        <f t="shared" si="75"/>
        <v>#N/A</v>
      </c>
      <c r="CG12" t="e">
        <f t="shared" si="76"/>
        <v>#N/A</v>
      </c>
      <c r="CH12" t="e">
        <f t="shared" si="77"/>
        <v>#N/A</v>
      </c>
      <c r="CI12" t="e">
        <f t="shared" si="78"/>
        <v>#N/A</v>
      </c>
      <c r="CJ12" t="e">
        <f t="shared" si="79"/>
        <v>#N/A</v>
      </c>
      <c r="CK12" t="e">
        <f t="shared" si="80"/>
        <v>#N/A</v>
      </c>
      <c r="CL12" t="e">
        <f t="shared" si="81"/>
        <v>#N/A</v>
      </c>
      <c r="CM12" t="e">
        <f t="shared" si="82"/>
        <v>#N/A</v>
      </c>
      <c r="CN12" t="e">
        <f t="shared" si="83"/>
        <v>#N/A</v>
      </c>
      <c r="CO12" t="e">
        <f t="shared" si="84"/>
        <v>#N/A</v>
      </c>
      <c r="CP12" t="e">
        <f t="shared" si="85"/>
        <v>#N/A</v>
      </c>
      <c r="CQ12" t="e">
        <f t="shared" si="86"/>
        <v>#N/A</v>
      </c>
      <c r="CR12" t="e">
        <f t="shared" si="87"/>
        <v>#N/A</v>
      </c>
      <c r="CS12" t="e">
        <f t="shared" si="88"/>
        <v>#N/A</v>
      </c>
      <c r="CT12" t="e">
        <f t="shared" si="89"/>
        <v>#N/A</v>
      </c>
      <c r="CU12" t="e">
        <f t="shared" si="90"/>
        <v>#N/A</v>
      </c>
      <c r="CV12" t="e">
        <f t="shared" si="91"/>
        <v>#N/A</v>
      </c>
      <c r="CW12" t="e">
        <f t="shared" si="91"/>
        <v>#N/A</v>
      </c>
      <c r="CX12" t="e">
        <f t="shared" si="92"/>
        <v>#N/A</v>
      </c>
      <c r="CY12" t="e">
        <f t="shared" si="92"/>
        <v>#N/A</v>
      </c>
      <c r="CZ12" t="e">
        <f t="shared" si="93"/>
        <v>#N/A</v>
      </c>
      <c r="DA12" t="e">
        <f t="shared" si="93"/>
        <v>#N/A</v>
      </c>
    </row>
    <row r="13" spans="1:105" x14ac:dyDescent="0.35">
      <c r="A13" t="str">
        <f>Setup!A29</f>
        <v>Caseload 10</v>
      </c>
      <c r="B13" t="e">
        <f>INDEX('Required Capacity (Hide)'!$B$5:$C$19,MATCH('Planning Backing (Hide)'!$A13,'Required Capacity (Hide)'!$A$5:$A$19,0),1)</f>
        <v>#N/A</v>
      </c>
      <c r="C13" t="e">
        <f>INDEX('Required Capacity (Hide)'!$B$5:$C$19,MATCH('Planning Backing (Hide)'!$A13,'Required Capacity (Hide)'!$A$5:$A$19,0),2)</f>
        <v>#N/A</v>
      </c>
      <c r="D13" t="e">
        <f>IF(Planning!D15="",'Planning Backing (Hide)'!B13,Planning!D15)</f>
        <v>#N/A</v>
      </c>
      <c r="E13" t="e">
        <f>IF(Planning!E15="",'Planning Backing (Hide)'!C13,Planning!E15)</f>
        <v>#N/A</v>
      </c>
      <c r="F13">
        <v>1</v>
      </c>
      <c r="G13">
        <v>1</v>
      </c>
      <c r="I13" s="12" t="e" vm="2">
        <f ca="1">'Required Capacity (Hide)'!E13</f>
        <v>#VALUE!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  <c r="V13" t="e">
        <f t="shared" si="13"/>
        <v>#N/A</v>
      </c>
      <c r="W13" t="e">
        <f t="shared" si="14"/>
        <v>#N/A</v>
      </c>
      <c r="X13" t="e">
        <f t="shared" si="15"/>
        <v>#N/A</v>
      </c>
      <c r="Y13" t="e">
        <f t="shared" si="16"/>
        <v>#N/A</v>
      </c>
      <c r="Z13" t="e">
        <f t="shared" si="17"/>
        <v>#N/A</v>
      </c>
      <c r="AA13" t="e">
        <f t="shared" si="18"/>
        <v>#N/A</v>
      </c>
      <c r="AB13" t="e">
        <f t="shared" si="19"/>
        <v>#N/A</v>
      </c>
      <c r="AC13" t="e">
        <f t="shared" si="20"/>
        <v>#N/A</v>
      </c>
      <c r="AD13" t="e">
        <f t="shared" si="21"/>
        <v>#N/A</v>
      </c>
      <c r="AE13" t="e">
        <f t="shared" si="22"/>
        <v>#N/A</v>
      </c>
      <c r="AF13" t="e">
        <f t="shared" si="23"/>
        <v>#N/A</v>
      </c>
      <c r="AG13" t="e">
        <f t="shared" si="24"/>
        <v>#N/A</v>
      </c>
      <c r="AH13" t="e">
        <f t="shared" si="25"/>
        <v>#N/A</v>
      </c>
      <c r="AI13" t="e">
        <f t="shared" si="26"/>
        <v>#N/A</v>
      </c>
      <c r="AJ13" t="e">
        <f t="shared" si="27"/>
        <v>#N/A</v>
      </c>
      <c r="AK13" t="e">
        <f t="shared" si="28"/>
        <v>#N/A</v>
      </c>
      <c r="AL13" t="e">
        <f t="shared" si="29"/>
        <v>#N/A</v>
      </c>
      <c r="AM13" t="e">
        <f t="shared" si="30"/>
        <v>#N/A</v>
      </c>
      <c r="AN13" t="e">
        <f t="shared" si="31"/>
        <v>#N/A</v>
      </c>
      <c r="AO13" t="e">
        <f t="shared" si="32"/>
        <v>#N/A</v>
      </c>
      <c r="AP13" t="e">
        <f t="shared" si="33"/>
        <v>#N/A</v>
      </c>
      <c r="AQ13" t="e">
        <f t="shared" si="34"/>
        <v>#N/A</v>
      </c>
      <c r="AR13" t="e">
        <f t="shared" si="35"/>
        <v>#N/A</v>
      </c>
      <c r="AS13" t="e">
        <f t="shared" si="36"/>
        <v>#N/A</v>
      </c>
      <c r="AT13" t="e">
        <f t="shared" si="37"/>
        <v>#N/A</v>
      </c>
      <c r="AU13" t="e">
        <f t="shared" si="38"/>
        <v>#N/A</v>
      </c>
      <c r="AV13" t="e">
        <f t="shared" si="39"/>
        <v>#N/A</v>
      </c>
      <c r="AW13" t="e">
        <f t="shared" si="40"/>
        <v>#N/A</v>
      </c>
      <c r="AX13" t="e">
        <f t="shared" si="41"/>
        <v>#N/A</v>
      </c>
      <c r="AY13" t="e">
        <f t="shared" si="42"/>
        <v>#N/A</v>
      </c>
      <c r="AZ13" t="e">
        <f t="shared" si="43"/>
        <v>#N/A</v>
      </c>
      <c r="BA13" t="e">
        <f t="shared" si="44"/>
        <v>#N/A</v>
      </c>
      <c r="BB13" t="e">
        <f t="shared" si="45"/>
        <v>#N/A</v>
      </c>
      <c r="BC13" t="e">
        <f t="shared" si="46"/>
        <v>#N/A</v>
      </c>
      <c r="BD13" t="e">
        <f t="shared" si="47"/>
        <v>#N/A</v>
      </c>
      <c r="BE13" t="e">
        <f t="shared" si="48"/>
        <v>#N/A</v>
      </c>
      <c r="BF13" t="e">
        <f t="shared" si="49"/>
        <v>#N/A</v>
      </c>
      <c r="BG13" t="e">
        <f t="shared" si="50"/>
        <v>#N/A</v>
      </c>
      <c r="BH13" t="e">
        <f t="shared" si="51"/>
        <v>#N/A</v>
      </c>
      <c r="BI13" t="e">
        <f t="shared" si="52"/>
        <v>#N/A</v>
      </c>
      <c r="BJ13" t="e">
        <f t="shared" si="53"/>
        <v>#N/A</v>
      </c>
      <c r="BK13" t="e">
        <f t="shared" si="54"/>
        <v>#N/A</v>
      </c>
      <c r="BL13" t="e">
        <f t="shared" si="55"/>
        <v>#N/A</v>
      </c>
      <c r="BM13" t="e">
        <f t="shared" si="56"/>
        <v>#N/A</v>
      </c>
      <c r="BN13" t="e">
        <f t="shared" si="57"/>
        <v>#N/A</v>
      </c>
      <c r="BO13" t="e">
        <f t="shared" si="58"/>
        <v>#N/A</v>
      </c>
      <c r="BP13" t="e">
        <f t="shared" si="59"/>
        <v>#N/A</v>
      </c>
      <c r="BQ13" t="e">
        <f t="shared" si="60"/>
        <v>#N/A</v>
      </c>
      <c r="BR13" t="e">
        <f t="shared" si="61"/>
        <v>#N/A</v>
      </c>
      <c r="BS13" t="e">
        <f t="shared" si="62"/>
        <v>#N/A</v>
      </c>
      <c r="BT13" t="e">
        <f t="shared" si="63"/>
        <v>#N/A</v>
      </c>
      <c r="BU13" t="e">
        <f t="shared" si="64"/>
        <v>#N/A</v>
      </c>
      <c r="BV13" t="e">
        <f t="shared" si="65"/>
        <v>#N/A</v>
      </c>
      <c r="BW13" t="e">
        <f t="shared" si="66"/>
        <v>#N/A</v>
      </c>
      <c r="BX13" t="e">
        <f t="shared" si="67"/>
        <v>#N/A</v>
      </c>
      <c r="BY13" t="e">
        <f t="shared" si="68"/>
        <v>#N/A</v>
      </c>
      <c r="BZ13" t="e">
        <f t="shared" si="69"/>
        <v>#N/A</v>
      </c>
      <c r="CA13" t="e">
        <f t="shared" si="70"/>
        <v>#N/A</v>
      </c>
      <c r="CB13" t="e">
        <f t="shared" si="71"/>
        <v>#N/A</v>
      </c>
      <c r="CC13" t="e">
        <f t="shared" si="72"/>
        <v>#N/A</v>
      </c>
      <c r="CD13" t="e">
        <f t="shared" si="73"/>
        <v>#N/A</v>
      </c>
      <c r="CE13" t="e">
        <f t="shared" si="74"/>
        <v>#N/A</v>
      </c>
      <c r="CF13" t="e">
        <f t="shared" si="75"/>
        <v>#N/A</v>
      </c>
      <c r="CG13" t="e">
        <f t="shared" si="76"/>
        <v>#N/A</v>
      </c>
      <c r="CH13" t="e">
        <f t="shared" si="77"/>
        <v>#N/A</v>
      </c>
      <c r="CI13" t="e">
        <f t="shared" si="78"/>
        <v>#N/A</v>
      </c>
      <c r="CJ13" t="e">
        <f t="shared" si="79"/>
        <v>#N/A</v>
      </c>
      <c r="CK13" t="e">
        <f t="shared" si="80"/>
        <v>#N/A</v>
      </c>
      <c r="CL13" t="e">
        <f t="shared" si="81"/>
        <v>#N/A</v>
      </c>
      <c r="CM13" t="e">
        <f t="shared" si="82"/>
        <v>#N/A</v>
      </c>
      <c r="CN13" t="e">
        <f t="shared" si="83"/>
        <v>#N/A</v>
      </c>
      <c r="CO13" t="e">
        <f t="shared" si="84"/>
        <v>#N/A</v>
      </c>
      <c r="CP13" t="e">
        <f t="shared" si="85"/>
        <v>#N/A</v>
      </c>
      <c r="CQ13" t="e">
        <f t="shared" si="86"/>
        <v>#N/A</v>
      </c>
      <c r="CR13" t="e">
        <f t="shared" si="87"/>
        <v>#N/A</v>
      </c>
      <c r="CS13" t="e">
        <f t="shared" si="88"/>
        <v>#N/A</v>
      </c>
      <c r="CT13" t="e">
        <f t="shared" si="89"/>
        <v>#N/A</v>
      </c>
      <c r="CU13" t="e">
        <f t="shared" si="90"/>
        <v>#N/A</v>
      </c>
      <c r="CV13" t="e">
        <f t="shared" si="91"/>
        <v>#N/A</v>
      </c>
      <c r="CW13" t="e">
        <f t="shared" si="91"/>
        <v>#N/A</v>
      </c>
      <c r="CX13" t="e">
        <f t="shared" si="92"/>
        <v>#N/A</v>
      </c>
      <c r="CY13" t="e">
        <f t="shared" si="92"/>
        <v>#N/A</v>
      </c>
      <c r="CZ13" t="e">
        <f t="shared" si="93"/>
        <v>#N/A</v>
      </c>
      <c r="DA13" t="e">
        <f t="shared" si="93"/>
        <v>#N/A</v>
      </c>
    </row>
    <row r="14" spans="1:105" x14ac:dyDescent="0.35">
      <c r="A14" t="str">
        <f>Setup!A30</f>
        <v>Caseload 11</v>
      </c>
      <c r="B14" t="e">
        <f>INDEX('Required Capacity (Hide)'!$B$5:$C$19,MATCH('Planning Backing (Hide)'!$A14,'Required Capacity (Hide)'!$A$5:$A$19,0),1)</f>
        <v>#N/A</v>
      </c>
      <c r="C14" t="e">
        <f>INDEX('Required Capacity (Hide)'!$B$5:$C$19,MATCH('Planning Backing (Hide)'!$A14,'Required Capacity (Hide)'!$A$5:$A$19,0),2)</f>
        <v>#N/A</v>
      </c>
      <c r="D14" t="e">
        <f>IF(Planning!D16="",'Planning Backing (Hide)'!B14,Planning!D16)</f>
        <v>#N/A</v>
      </c>
      <c r="E14" t="e">
        <f>IF(Planning!E16="",'Planning Backing (Hide)'!C14,Planning!E16)</f>
        <v>#N/A</v>
      </c>
      <c r="F14">
        <v>1</v>
      </c>
      <c r="G14">
        <v>1</v>
      </c>
      <c r="I14" s="12" t="e" vm="2">
        <f ca="1">'Required Capacity (Hide)'!E14</f>
        <v>#VALUE!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  <c r="V14" t="e">
        <f t="shared" si="13"/>
        <v>#N/A</v>
      </c>
      <c r="W14" t="e">
        <f t="shared" si="14"/>
        <v>#N/A</v>
      </c>
      <c r="X14" t="e">
        <f t="shared" si="15"/>
        <v>#N/A</v>
      </c>
      <c r="Y14" t="e">
        <f t="shared" si="16"/>
        <v>#N/A</v>
      </c>
      <c r="Z14" t="e">
        <f t="shared" si="17"/>
        <v>#N/A</v>
      </c>
      <c r="AA14" t="e">
        <f t="shared" si="18"/>
        <v>#N/A</v>
      </c>
      <c r="AB14" t="e">
        <f t="shared" si="19"/>
        <v>#N/A</v>
      </c>
      <c r="AC14" t="e">
        <f t="shared" si="20"/>
        <v>#N/A</v>
      </c>
      <c r="AD14" t="e">
        <f t="shared" si="21"/>
        <v>#N/A</v>
      </c>
      <c r="AE14" t="e">
        <f t="shared" si="22"/>
        <v>#N/A</v>
      </c>
      <c r="AF14" t="e">
        <f t="shared" si="23"/>
        <v>#N/A</v>
      </c>
      <c r="AG14" t="e">
        <f t="shared" si="24"/>
        <v>#N/A</v>
      </c>
      <c r="AH14" t="e">
        <f t="shared" si="25"/>
        <v>#N/A</v>
      </c>
      <c r="AI14" t="e">
        <f t="shared" si="26"/>
        <v>#N/A</v>
      </c>
      <c r="AJ14" t="e">
        <f t="shared" si="27"/>
        <v>#N/A</v>
      </c>
      <c r="AK14" t="e">
        <f t="shared" si="28"/>
        <v>#N/A</v>
      </c>
      <c r="AL14" t="e">
        <f t="shared" si="29"/>
        <v>#N/A</v>
      </c>
      <c r="AM14" t="e">
        <f t="shared" si="30"/>
        <v>#N/A</v>
      </c>
      <c r="AN14" t="e">
        <f t="shared" si="31"/>
        <v>#N/A</v>
      </c>
      <c r="AO14" t="e">
        <f t="shared" si="32"/>
        <v>#N/A</v>
      </c>
      <c r="AP14" t="e">
        <f t="shared" si="33"/>
        <v>#N/A</v>
      </c>
      <c r="AQ14" t="e">
        <f t="shared" si="34"/>
        <v>#N/A</v>
      </c>
      <c r="AR14" t="e">
        <f t="shared" si="35"/>
        <v>#N/A</v>
      </c>
      <c r="AS14" t="e">
        <f t="shared" si="36"/>
        <v>#N/A</v>
      </c>
      <c r="AT14" t="e">
        <f t="shared" si="37"/>
        <v>#N/A</v>
      </c>
      <c r="AU14" t="e">
        <f t="shared" si="38"/>
        <v>#N/A</v>
      </c>
      <c r="AV14" t="e">
        <f t="shared" si="39"/>
        <v>#N/A</v>
      </c>
      <c r="AW14" t="e">
        <f t="shared" si="40"/>
        <v>#N/A</v>
      </c>
      <c r="AX14" t="e">
        <f t="shared" si="41"/>
        <v>#N/A</v>
      </c>
      <c r="AY14" t="e">
        <f t="shared" si="42"/>
        <v>#N/A</v>
      </c>
      <c r="AZ14" t="e">
        <f t="shared" si="43"/>
        <v>#N/A</v>
      </c>
      <c r="BA14" t="e">
        <f t="shared" si="44"/>
        <v>#N/A</v>
      </c>
      <c r="BB14" t="e">
        <f t="shared" si="45"/>
        <v>#N/A</v>
      </c>
      <c r="BC14" t="e">
        <f t="shared" si="46"/>
        <v>#N/A</v>
      </c>
      <c r="BD14" t="e">
        <f t="shared" si="47"/>
        <v>#N/A</v>
      </c>
      <c r="BE14" t="e">
        <f t="shared" si="48"/>
        <v>#N/A</v>
      </c>
      <c r="BF14" t="e">
        <f t="shared" si="49"/>
        <v>#N/A</v>
      </c>
      <c r="BG14" t="e">
        <f t="shared" si="50"/>
        <v>#N/A</v>
      </c>
      <c r="BH14" t="e">
        <f t="shared" si="51"/>
        <v>#N/A</v>
      </c>
      <c r="BI14" t="e">
        <f t="shared" si="52"/>
        <v>#N/A</v>
      </c>
      <c r="BJ14" t="e">
        <f t="shared" si="53"/>
        <v>#N/A</v>
      </c>
      <c r="BK14" t="e">
        <f t="shared" si="54"/>
        <v>#N/A</v>
      </c>
      <c r="BL14" t="e">
        <f t="shared" si="55"/>
        <v>#N/A</v>
      </c>
      <c r="BM14" t="e">
        <f t="shared" si="56"/>
        <v>#N/A</v>
      </c>
      <c r="BN14" t="e">
        <f t="shared" si="57"/>
        <v>#N/A</v>
      </c>
      <c r="BO14" t="e">
        <f t="shared" si="58"/>
        <v>#N/A</v>
      </c>
      <c r="BP14" t="e">
        <f t="shared" si="59"/>
        <v>#N/A</v>
      </c>
      <c r="BQ14" t="e">
        <f t="shared" si="60"/>
        <v>#N/A</v>
      </c>
      <c r="BR14" t="e">
        <f t="shared" si="61"/>
        <v>#N/A</v>
      </c>
      <c r="BS14" t="e">
        <f t="shared" si="62"/>
        <v>#N/A</v>
      </c>
      <c r="BT14" t="e">
        <f t="shared" si="63"/>
        <v>#N/A</v>
      </c>
      <c r="BU14" t="e">
        <f t="shared" si="64"/>
        <v>#N/A</v>
      </c>
      <c r="BV14" t="e">
        <f t="shared" si="65"/>
        <v>#N/A</v>
      </c>
      <c r="BW14" t="e">
        <f t="shared" si="66"/>
        <v>#N/A</v>
      </c>
      <c r="BX14" t="e">
        <f t="shared" si="67"/>
        <v>#N/A</v>
      </c>
      <c r="BY14" t="e">
        <f t="shared" si="68"/>
        <v>#N/A</v>
      </c>
      <c r="BZ14" t="e">
        <f t="shared" si="69"/>
        <v>#N/A</v>
      </c>
      <c r="CA14" t="e">
        <f t="shared" si="70"/>
        <v>#N/A</v>
      </c>
      <c r="CB14" t="e">
        <f t="shared" si="71"/>
        <v>#N/A</v>
      </c>
      <c r="CC14" t="e">
        <f t="shared" si="72"/>
        <v>#N/A</v>
      </c>
      <c r="CD14" t="e">
        <f t="shared" si="73"/>
        <v>#N/A</v>
      </c>
      <c r="CE14" t="e">
        <f t="shared" si="74"/>
        <v>#N/A</v>
      </c>
      <c r="CF14" t="e">
        <f t="shared" si="75"/>
        <v>#N/A</v>
      </c>
      <c r="CG14" t="e">
        <f t="shared" si="76"/>
        <v>#N/A</v>
      </c>
      <c r="CH14" t="e">
        <f t="shared" si="77"/>
        <v>#N/A</v>
      </c>
      <c r="CI14" t="e">
        <f t="shared" si="78"/>
        <v>#N/A</v>
      </c>
      <c r="CJ14" t="e">
        <f t="shared" si="79"/>
        <v>#N/A</v>
      </c>
      <c r="CK14" t="e">
        <f t="shared" si="80"/>
        <v>#N/A</v>
      </c>
      <c r="CL14" t="e">
        <f t="shared" si="81"/>
        <v>#N/A</v>
      </c>
      <c r="CM14" t="e">
        <f t="shared" si="82"/>
        <v>#N/A</v>
      </c>
      <c r="CN14" t="e">
        <f t="shared" si="83"/>
        <v>#N/A</v>
      </c>
      <c r="CO14" t="e">
        <f t="shared" si="84"/>
        <v>#N/A</v>
      </c>
      <c r="CP14" t="e">
        <f t="shared" si="85"/>
        <v>#N/A</v>
      </c>
      <c r="CQ14" t="e">
        <f t="shared" si="86"/>
        <v>#N/A</v>
      </c>
      <c r="CR14" t="e">
        <f t="shared" si="87"/>
        <v>#N/A</v>
      </c>
      <c r="CS14" t="e">
        <f t="shared" si="88"/>
        <v>#N/A</v>
      </c>
      <c r="CT14" t="e">
        <f t="shared" si="89"/>
        <v>#N/A</v>
      </c>
      <c r="CU14" t="e">
        <f t="shared" si="90"/>
        <v>#N/A</v>
      </c>
      <c r="CV14" t="e">
        <f t="shared" si="91"/>
        <v>#N/A</v>
      </c>
      <c r="CW14" t="e">
        <f t="shared" si="91"/>
        <v>#N/A</v>
      </c>
      <c r="CX14" t="e">
        <f t="shared" si="92"/>
        <v>#N/A</v>
      </c>
      <c r="CY14" t="e">
        <f t="shared" si="92"/>
        <v>#N/A</v>
      </c>
      <c r="CZ14" t="e">
        <f t="shared" si="93"/>
        <v>#N/A</v>
      </c>
      <c r="DA14" t="e">
        <f t="shared" si="93"/>
        <v>#N/A</v>
      </c>
    </row>
    <row r="15" spans="1:105" x14ac:dyDescent="0.35">
      <c r="A15" t="str">
        <f>Setup!A31</f>
        <v>Caseload 12</v>
      </c>
      <c r="B15" t="e">
        <f>INDEX('Required Capacity (Hide)'!$B$5:$C$19,MATCH('Planning Backing (Hide)'!$A15,'Required Capacity (Hide)'!$A$5:$A$19,0),1)</f>
        <v>#N/A</v>
      </c>
      <c r="C15" t="e">
        <f>INDEX('Required Capacity (Hide)'!$B$5:$C$19,MATCH('Planning Backing (Hide)'!$A15,'Required Capacity (Hide)'!$A$5:$A$19,0),2)</f>
        <v>#N/A</v>
      </c>
      <c r="D15" t="e">
        <f>IF(Planning!D17="",'Planning Backing (Hide)'!B15,Planning!D17)</f>
        <v>#N/A</v>
      </c>
      <c r="E15" t="e">
        <f>IF(Planning!E17="",'Planning Backing (Hide)'!C15,Planning!E17)</f>
        <v>#N/A</v>
      </c>
      <c r="F15">
        <v>1</v>
      </c>
      <c r="G15">
        <v>1</v>
      </c>
      <c r="I15" s="12" t="e" vm="2">
        <f ca="1">'Required Capacity (Hide)'!E15</f>
        <v>#VALUE!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  <c r="V15" t="e">
        <f t="shared" si="13"/>
        <v>#N/A</v>
      </c>
      <c r="W15" t="e">
        <f t="shared" si="14"/>
        <v>#N/A</v>
      </c>
      <c r="X15" t="e">
        <f t="shared" si="15"/>
        <v>#N/A</v>
      </c>
      <c r="Y15" t="e">
        <f t="shared" si="16"/>
        <v>#N/A</v>
      </c>
      <c r="Z15" t="e">
        <f t="shared" si="17"/>
        <v>#N/A</v>
      </c>
      <c r="AA15" t="e">
        <f t="shared" si="18"/>
        <v>#N/A</v>
      </c>
      <c r="AB15" t="e">
        <f t="shared" si="19"/>
        <v>#N/A</v>
      </c>
      <c r="AC15" t="e">
        <f t="shared" si="20"/>
        <v>#N/A</v>
      </c>
      <c r="AD15" t="e">
        <f t="shared" si="21"/>
        <v>#N/A</v>
      </c>
      <c r="AE15" t="e">
        <f t="shared" si="22"/>
        <v>#N/A</v>
      </c>
      <c r="AF15" t="e">
        <f t="shared" si="23"/>
        <v>#N/A</v>
      </c>
      <c r="AG15" t="e">
        <f t="shared" si="24"/>
        <v>#N/A</v>
      </c>
      <c r="AH15" t="e">
        <f t="shared" si="25"/>
        <v>#N/A</v>
      </c>
      <c r="AI15" t="e">
        <f t="shared" si="26"/>
        <v>#N/A</v>
      </c>
      <c r="AJ15" t="e">
        <f t="shared" si="27"/>
        <v>#N/A</v>
      </c>
      <c r="AK15" t="e">
        <f t="shared" si="28"/>
        <v>#N/A</v>
      </c>
      <c r="AL15" t="e">
        <f t="shared" si="29"/>
        <v>#N/A</v>
      </c>
      <c r="AM15" t="e">
        <f t="shared" si="30"/>
        <v>#N/A</v>
      </c>
      <c r="AN15" t="e">
        <f t="shared" si="31"/>
        <v>#N/A</v>
      </c>
      <c r="AO15" t="e">
        <f t="shared" si="32"/>
        <v>#N/A</v>
      </c>
      <c r="AP15" t="e">
        <f t="shared" si="33"/>
        <v>#N/A</v>
      </c>
      <c r="AQ15" t="e">
        <f t="shared" si="34"/>
        <v>#N/A</v>
      </c>
      <c r="AR15" t="e">
        <f t="shared" si="35"/>
        <v>#N/A</v>
      </c>
      <c r="AS15" t="e">
        <f t="shared" si="36"/>
        <v>#N/A</v>
      </c>
      <c r="AT15" t="e">
        <f t="shared" si="37"/>
        <v>#N/A</v>
      </c>
      <c r="AU15" t="e">
        <f t="shared" si="38"/>
        <v>#N/A</v>
      </c>
      <c r="AV15" t="e">
        <f t="shared" si="39"/>
        <v>#N/A</v>
      </c>
      <c r="AW15" t="e">
        <f t="shared" si="40"/>
        <v>#N/A</v>
      </c>
      <c r="AX15" t="e">
        <f t="shared" si="41"/>
        <v>#N/A</v>
      </c>
      <c r="AY15" t="e">
        <f t="shared" si="42"/>
        <v>#N/A</v>
      </c>
      <c r="AZ15" t="e">
        <f t="shared" si="43"/>
        <v>#N/A</v>
      </c>
      <c r="BA15" t="e">
        <f t="shared" si="44"/>
        <v>#N/A</v>
      </c>
      <c r="BB15" t="e">
        <f t="shared" si="45"/>
        <v>#N/A</v>
      </c>
      <c r="BC15" t="e">
        <f t="shared" si="46"/>
        <v>#N/A</v>
      </c>
      <c r="BD15" t="e">
        <f t="shared" si="47"/>
        <v>#N/A</v>
      </c>
      <c r="BE15" t="e">
        <f t="shared" si="48"/>
        <v>#N/A</v>
      </c>
      <c r="BF15" t="e">
        <f t="shared" si="49"/>
        <v>#N/A</v>
      </c>
      <c r="BG15" t="e">
        <f t="shared" si="50"/>
        <v>#N/A</v>
      </c>
      <c r="BH15" t="e">
        <f t="shared" si="51"/>
        <v>#N/A</v>
      </c>
      <c r="BI15" t="e">
        <f t="shared" si="52"/>
        <v>#N/A</v>
      </c>
      <c r="BJ15" t="e">
        <f t="shared" si="53"/>
        <v>#N/A</v>
      </c>
      <c r="BK15" t="e">
        <f t="shared" si="54"/>
        <v>#N/A</v>
      </c>
      <c r="BL15" t="e">
        <f t="shared" si="55"/>
        <v>#N/A</v>
      </c>
      <c r="BM15" t="e">
        <f t="shared" si="56"/>
        <v>#N/A</v>
      </c>
      <c r="BN15" t="e">
        <f t="shared" si="57"/>
        <v>#N/A</v>
      </c>
      <c r="BO15" t="e">
        <f t="shared" si="58"/>
        <v>#N/A</v>
      </c>
      <c r="BP15" t="e">
        <f t="shared" si="59"/>
        <v>#N/A</v>
      </c>
      <c r="BQ15" t="e">
        <f t="shared" si="60"/>
        <v>#N/A</v>
      </c>
      <c r="BR15" t="e">
        <f t="shared" si="61"/>
        <v>#N/A</v>
      </c>
      <c r="BS15" t="e">
        <f t="shared" si="62"/>
        <v>#N/A</v>
      </c>
      <c r="BT15" t="e">
        <f t="shared" si="63"/>
        <v>#N/A</v>
      </c>
      <c r="BU15" t="e">
        <f t="shared" si="64"/>
        <v>#N/A</v>
      </c>
      <c r="BV15" t="e">
        <f t="shared" si="65"/>
        <v>#N/A</v>
      </c>
      <c r="BW15" t="e">
        <f t="shared" si="66"/>
        <v>#N/A</v>
      </c>
      <c r="BX15" t="e">
        <f t="shared" si="67"/>
        <v>#N/A</v>
      </c>
      <c r="BY15" t="e">
        <f t="shared" si="68"/>
        <v>#N/A</v>
      </c>
      <c r="BZ15" t="e">
        <f t="shared" si="69"/>
        <v>#N/A</v>
      </c>
      <c r="CA15" t="e">
        <f t="shared" si="70"/>
        <v>#N/A</v>
      </c>
      <c r="CB15" t="e">
        <f t="shared" si="71"/>
        <v>#N/A</v>
      </c>
      <c r="CC15" t="e">
        <f t="shared" si="72"/>
        <v>#N/A</v>
      </c>
      <c r="CD15" t="e">
        <f t="shared" si="73"/>
        <v>#N/A</v>
      </c>
      <c r="CE15" t="e">
        <f t="shared" si="74"/>
        <v>#N/A</v>
      </c>
      <c r="CF15" t="e">
        <f t="shared" si="75"/>
        <v>#N/A</v>
      </c>
      <c r="CG15" t="e">
        <f t="shared" si="76"/>
        <v>#N/A</v>
      </c>
      <c r="CH15" t="e">
        <f t="shared" si="77"/>
        <v>#N/A</v>
      </c>
      <c r="CI15" t="e">
        <f t="shared" si="78"/>
        <v>#N/A</v>
      </c>
      <c r="CJ15" t="e">
        <f t="shared" si="79"/>
        <v>#N/A</v>
      </c>
      <c r="CK15" t="e">
        <f t="shared" si="80"/>
        <v>#N/A</v>
      </c>
      <c r="CL15" t="e">
        <f t="shared" si="81"/>
        <v>#N/A</v>
      </c>
      <c r="CM15" t="e">
        <f t="shared" si="82"/>
        <v>#N/A</v>
      </c>
      <c r="CN15" t="e">
        <f t="shared" si="83"/>
        <v>#N/A</v>
      </c>
      <c r="CO15" t="e">
        <f t="shared" si="84"/>
        <v>#N/A</v>
      </c>
      <c r="CP15" t="e">
        <f t="shared" si="85"/>
        <v>#N/A</v>
      </c>
      <c r="CQ15" t="e">
        <f t="shared" si="86"/>
        <v>#N/A</v>
      </c>
      <c r="CR15" t="e">
        <f t="shared" si="87"/>
        <v>#N/A</v>
      </c>
      <c r="CS15" t="e">
        <f t="shared" si="88"/>
        <v>#N/A</v>
      </c>
      <c r="CT15" t="e">
        <f t="shared" si="89"/>
        <v>#N/A</v>
      </c>
      <c r="CU15" t="e">
        <f t="shared" si="90"/>
        <v>#N/A</v>
      </c>
      <c r="CV15" t="e">
        <f t="shared" si="91"/>
        <v>#N/A</v>
      </c>
      <c r="CW15" t="e">
        <f t="shared" si="91"/>
        <v>#N/A</v>
      </c>
      <c r="CX15" t="e">
        <f t="shared" si="92"/>
        <v>#N/A</v>
      </c>
      <c r="CY15" t="e">
        <f t="shared" si="92"/>
        <v>#N/A</v>
      </c>
      <c r="CZ15" t="e">
        <f t="shared" si="93"/>
        <v>#N/A</v>
      </c>
      <c r="DA15" t="e">
        <f t="shared" si="93"/>
        <v>#N/A</v>
      </c>
    </row>
    <row r="16" spans="1:105" x14ac:dyDescent="0.35">
      <c r="A16" t="str">
        <f>Setup!A32</f>
        <v>Caseload 13</v>
      </c>
      <c r="B16" t="e">
        <f>INDEX('Required Capacity (Hide)'!$B$5:$C$19,MATCH('Planning Backing (Hide)'!$A16,'Required Capacity (Hide)'!$A$5:$A$19,0),1)</f>
        <v>#N/A</v>
      </c>
      <c r="C16" t="e">
        <f>INDEX('Required Capacity (Hide)'!$B$5:$C$19,MATCH('Planning Backing (Hide)'!$A16,'Required Capacity (Hide)'!$A$5:$A$19,0),2)</f>
        <v>#N/A</v>
      </c>
      <c r="D16" t="e">
        <f>IF(Planning!D18="",'Planning Backing (Hide)'!B16,Planning!D18)</f>
        <v>#N/A</v>
      </c>
      <c r="E16" t="e">
        <f>IF(Planning!E18="",'Planning Backing (Hide)'!C16,Planning!E18)</f>
        <v>#N/A</v>
      </c>
      <c r="F16">
        <v>1</v>
      </c>
      <c r="G16">
        <v>1</v>
      </c>
      <c r="I16" s="12" t="e" vm="2">
        <f ca="1">'Required Capacity (Hide)'!E16</f>
        <v>#VALUE!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  <c r="V16" t="e">
        <f t="shared" si="13"/>
        <v>#N/A</v>
      </c>
      <c r="W16" t="e">
        <f t="shared" si="14"/>
        <v>#N/A</v>
      </c>
      <c r="X16" t="e">
        <f t="shared" si="15"/>
        <v>#N/A</v>
      </c>
      <c r="Y16" t="e">
        <f t="shared" si="16"/>
        <v>#N/A</v>
      </c>
      <c r="Z16" t="e">
        <f t="shared" si="17"/>
        <v>#N/A</v>
      </c>
      <c r="AA16" t="e">
        <f t="shared" si="18"/>
        <v>#N/A</v>
      </c>
      <c r="AB16" t="e">
        <f t="shared" si="19"/>
        <v>#N/A</v>
      </c>
      <c r="AC16" t="e">
        <f t="shared" si="20"/>
        <v>#N/A</v>
      </c>
      <c r="AD16" t="e">
        <f t="shared" si="21"/>
        <v>#N/A</v>
      </c>
      <c r="AE16" t="e">
        <f t="shared" si="22"/>
        <v>#N/A</v>
      </c>
      <c r="AF16" t="e">
        <f t="shared" si="23"/>
        <v>#N/A</v>
      </c>
      <c r="AG16" t="e">
        <f t="shared" si="24"/>
        <v>#N/A</v>
      </c>
      <c r="AH16" t="e">
        <f t="shared" si="25"/>
        <v>#N/A</v>
      </c>
      <c r="AI16" t="e">
        <f t="shared" si="26"/>
        <v>#N/A</v>
      </c>
      <c r="AJ16" t="e">
        <f t="shared" si="27"/>
        <v>#N/A</v>
      </c>
      <c r="AK16" t="e">
        <f t="shared" si="28"/>
        <v>#N/A</v>
      </c>
      <c r="AL16" t="e">
        <f t="shared" si="29"/>
        <v>#N/A</v>
      </c>
      <c r="AM16" t="e">
        <f t="shared" si="30"/>
        <v>#N/A</v>
      </c>
      <c r="AN16" t="e">
        <f t="shared" si="31"/>
        <v>#N/A</v>
      </c>
      <c r="AO16" t="e">
        <f t="shared" si="32"/>
        <v>#N/A</v>
      </c>
      <c r="AP16" t="e">
        <f t="shared" si="33"/>
        <v>#N/A</v>
      </c>
      <c r="AQ16" t="e">
        <f t="shared" si="34"/>
        <v>#N/A</v>
      </c>
      <c r="AR16" t="e">
        <f t="shared" si="35"/>
        <v>#N/A</v>
      </c>
      <c r="AS16" t="e">
        <f t="shared" si="36"/>
        <v>#N/A</v>
      </c>
      <c r="AT16" t="e">
        <f t="shared" si="37"/>
        <v>#N/A</v>
      </c>
      <c r="AU16" t="e">
        <f t="shared" si="38"/>
        <v>#N/A</v>
      </c>
      <c r="AV16" t="e">
        <f t="shared" si="39"/>
        <v>#N/A</v>
      </c>
      <c r="AW16" t="e">
        <f t="shared" si="40"/>
        <v>#N/A</v>
      </c>
      <c r="AX16" t="e">
        <f t="shared" si="41"/>
        <v>#N/A</v>
      </c>
      <c r="AY16" t="e">
        <f t="shared" si="42"/>
        <v>#N/A</v>
      </c>
      <c r="AZ16" t="e">
        <f t="shared" si="43"/>
        <v>#N/A</v>
      </c>
      <c r="BA16" t="e">
        <f t="shared" si="44"/>
        <v>#N/A</v>
      </c>
      <c r="BB16" t="e">
        <f t="shared" si="45"/>
        <v>#N/A</v>
      </c>
      <c r="BC16" t="e">
        <f t="shared" si="46"/>
        <v>#N/A</v>
      </c>
      <c r="BD16" t="e">
        <f t="shared" si="47"/>
        <v>#N/A</v>
      </c>
      <c r="BE16" t="e">
        <f t="shared" si="48"/>
        <v>#N/A</v>
      </c>
      <c r="BF16" t="e">
        <f t="shared" si="49"/>
        <v>#N/A</v>
      </c>
      <c r="BG16" t="e">
        <f t="shared" si="50"/>
        <v>#N/A</v>
      </c>
      <c r="BH16" t="e">
        <f t="shared" si="51"/>
        <v>#N/A</v>
      </c>
      <c r="BI16" t="e">
        <f t="shared" si="52"/>
        <v>#N/A</v>
      </c>
      <c r="BJ16" t="e">
        <f t="shared" si="53"/>
        <v>#N/A</v>
      </c>
      <c r="BK16" t="e">
        <f t="shared" si="54"/>
        <v>#N/A</v>
      </c>
      <c r="BL16" t="e">
        <f t="shared" si="55"/>
        <v>#N/A</v>
      </c>
      <c r="BM16" t="e">
        <f t="shared" si="56"/>
        <v>#N/A</v>
      </c>
      <c r="BN16" t="e">
        <f t="shared" si="57"/>
        <v>#N/A</v>
      </c>
      <c r="BO16" t="e">
        <f t="shared" si="58"/>
        <v>#N/A</v>
      </c>
      <c r="BP16" t="e">
        <f t="shared" si="59"/>
        <v>#N/A</v>
      </c>
      <c r="BQ16" t="e">
        <f t="shared" si="60"/>
        <v>#N/A</v>
      </c>
      <c r="BR16" t="e">
        <f t="shared" si="61"/>
        <v>#N/A</v>
      </c>
      <c r="BS16" t="e">
        <f t="shared" si="62"/>
        <v>#N/A</v>
      </c>
      <c r="BT16" t="e">
        <f t="shared" si="63"/>
        <v>#N/A</v>
      </c>
      <c r="BU16" t="e">
        <f t="shared" si="64"/>
        <v>#N/A</v>
      </c>
      <c r="BV16" t="e">
        <f t="shared" si="65"/>
        <v>#N/A</v>
      </c>
      <c r="BW16" t="e">
        <f t="shared" si="66"/>
        <v>#N/A</v>
      </c>
      <c r="BX16" t="e">
        <f t="shared" si="67"/>
        <v>#N/A</v>
      </c>
      <c r="BY16" t="e">
        <f t="shared" si="68"/>
        <v>#N/A</v>
      </c>
      <c r="BZ16" t="e">
        <f t="shared" si="69"/>
        <v>#N/A</v>
      </c>
      <c r="CA16" t="e">
        <f t="shared" si="70"/>
        <v>#N/A</v>
      </c>
      <c r="CB16" t="e">
        <f t="shared" si="71"/>
        <v>#N/A</v>
      </c>
      <c r="CC16" t="e">
        <f t="shared" si="72"/>
        <v>#N/A</v>
      </c>
      <c r="CD16" t="e">
        <f t="shared" si="73"/>
        <v>#N/A</v>
      </c>
      <c r="CE16" t="e">
        <f t="shared" si="74"/>
        <v>#N/A</v>
      </c>
      <c r="CF16" t="e">
        <f t="shared" si="75"/>
        <v>#N/A</v>
      </c>
      <c r="CG16" t="e">
        <f t="shared" si="76"/>
        <v>#N/A</v>
      </c>
      <c r="CH16" t="e">
        <f t="shared" si="77"/>
        <v>#N/A</v>
      </c>
      <c r="CI16" t="e">
        <f t="shared" si="78"/>
        <v>#N/A</v>
      </c>
      <c r="CJ16" t="e">
        <f t="shared" si="79"/>
        <v>#N/A</v>
      </c>
      <c r="CK16" t="e">
        <f t="shared" si="80"/>
        <v>#N/A</v>
      </c>
      <c r="CL16" t="e">
        <f t="shared" si="81"/>
        <v>#N/A</v>
      </c>
      <c r="CM16" t="e">
        <f t="shared" si="82"/>
        <v>#N/A</v>
      </c>
      <c r="CN16" t="e">
        <f t="shared" si="83"/>
        <v>#N/A</v>
      </c>
      <c r="CO16" t="e">
        <f t="shared" si="84"/>
        <v>#N/A</v>
      </c>
      <c r="CP16" t="e">
        <f t="shared" si="85"/>
        <v>#N/A</v>
      </c>
      <c r="CQ16" t="e">
        <f t="shared" si="86"/>
        <v>#N/A</v>
      </c>
      <c r="CR16" t="e">
        <f t="shared" si="87"/>
        <v>#N/A</v>
      </c>
      <c r="CS16" t="e">
        <f t="shared" si="88"/>
        <v>#N/A</v>
      </c>
      <c r="CT16" t="e">
        <f t="shared" si="89"/>
        <v>#N/A</v>
      </c>
      <c r="CU16" t="e">
        <f t="shared" si="90"/>
        <v>#N/A</v>
      </c>
      <c r="CV16" t="e">
        <f t="shared" si="91"/>
        <v>#N/A</v>
      </c>
      <c r="CW16" t="e">
        <f t="shared" si="91"/>
        <v>#N/A</v>
      </c>
      <c r="CX16" t="e">
        <f t="shared" si="92"/>
        <v>#N/A</v>
      </c>
      <c r="CY16" t="e">
        <f t="shared" si="92"/>
        <v>#N/A</v>
      </c>
      <c r="CZ16" t="e">
        <f t="shared" si="93"/>
        <v>#N/A</v>
      </c>
      <c r="DA16" t="e">
        <f t="shared" si="93"/>
        <v>#N/A</v>
      </c>
    </row>
    <row r="17" spans="1:105" x14ac:dyDescent="0.35">
      <c r="A17" t="str">
        <f>Setup!A33</f>
        <v>Caseload 14</v>
      </c>
      <c r="B17" t="e">
        <f>INDEX('Required Capacity (Hide)'!$B$5:$C$19,MATCH('Planning Backing (Hide)'!$A17,'Required Capacity (Hide)'!$A$5:$A$19,0),1)</f>
        <v>#N/A</v>
      </c>
      <c r="C17" t="e">
        <f>INDEX('Required Capacity (Hide)'!$B$5:$C$19,MATCH('Planning Backing (Hide)'!$A17,'Required Capacity (Hide)'!$A$5:$A$19,0),2)</f>
        <v>#N/A</v>
      </c>
      <c r="D17" t="e">
        <f>IF(Planning!D19="",'Planning Backing (Hide)'!B17,Planning!D19)</f>
        <v>#N/A</v>
      </c>
      <c r="E17" t="e">
        <f>IF(Planning!E19="",'Planning Backing (Hide)'!C17,Planning!E19)</f>
        <v>#N/A</v>
      </c>
      <c r="F17">
        <v>1</v>
      </c>
      <c r="G17">
        <v>1</v>
      </c>
      <c r="I17" s="12" t="e" vm="2">
        <f ca="1">'Required Capacity (Hide)'!E17</f>
        <v>#VALUE!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  <c r="V17" t="e">
        <f t="shared" si="13"/>
        <v>#N/A</v>
      </c>
      <c r="W17" t="e">
        <f t="shared" si="14"/>
        <v>#N/A</v>
      </c>
      <c r="X17" t="e">
        <f t="shared" si="15"/>
        <v>#N/A</v>
      </c>
      <c r="Y17" t="e">
        <f t="shared" si="16"/>
        <v>#N/A</v>
      </c>
      <c r="Z17" t="e">
        <f t="shared" si="17"/>
        <v>#N/A</v>
      </c>
      <c r="AA17" t="e">
        <f t="shared" si="18"/>
        <v>#N/A</v>
      </c>
      <c r="AB17" t="e">
        <f t="shared" si="19"/>
        <v>#N/A</v>
      </c>
      <c r="AC17" t="e">
        <f t="shared" si="20"/>
        <v>#N/A</v>
      </c>
      <c r="AD17" t="e">
        <f t="shared" si="21"/>
        <v>#N/A</v>
      </c>
      <c r="AE17" t="e">
        <f t="shared" si="22"/>
        <v>#N/A</v>
      </c>
      <c r="AF17" t="e">
        <f t="shared" si="23"/>
        <v>#N/A</v>
      </c>
      <c r="AG17" t="e">
        <f t="shared" si="24"/>
        <v>#N/A</v>
      </c>
      <c r="AH17" t="e">
        <f t="shared" si="25"/>
        <v>#N/A</v>
      </c>
      <c r="AI17" t="e">
        <f t="shared" si="26"/>
        <v>#N/A</v>
      </c>
      <c r="AJ17" t="e">
        <f t="shared" si="27"/>
        <v>#N/A</v>
      </c>
      <c r="AK17" t="e">
        <f t="shared" si="28"/>
        <v>#N/A</v>
      </c>
      <c r="AL17" t="e">
        <f t="shared" si="29"/>
        <v>#N/A</v>
      </c>
      <c r="AM17" t="e">
        <f t="shared" si="30"/>
        <v>#N/A</v>
      </c>
      <c r="AN17" t="e">
        <f t="shared" si="31"/>
        <v>#N/A</v>
      </c>
      <c r="AO17" t="e">
        <f t="shared" si="32"/>
        <v>#N/A</v>
      </c>
      <c r="AP17" t="e">
        <f t="shared" si="33"/>
        <v>#N/A</v>
      </c>
      <c r="AQ17" t="e">
        <f t="shared" si="34"/>
        <v>#N/A</v>
      </c>
      <c r="AR17" t="e">
        <f t="shared" si="35"/>
        <v>#N/A</v>
      </c>
      <c r="AS17" t="e">
        <f t="shared" si="36"/>
        <v>#N/A</v>
      </c>
      <c r="AT17" t="e">
        <f t="shared" si="37"/>
        <v>#N/A</v>
      </c>
      <c r="AU17" t="e">
        <f t="shared" si="38"/>
        <v>#N/A</v>
      </c>
      <c r="AV17" t="e">
        <f t="shared" si="39"/>
        <v>#N/A</v>
      </c>
      <c r="AW17" t="e">
        <f t="shared" si="40"/>
        <v>#N/A</v>
      </c>
      <c r="AX17" t="e">
        <f t="shared" si="41"/>
        <v>#N/A</v>
      </c>
      <c r="AY17" t="e">
        <f t="shared" si="42"/>
        <v>#N/A</v>
      </c>
      <c r="AZ17" t="e">
        <f t="shared" si="43"/>
        <v>#N/A</v>
      </c>
      <c r="BA17" t="e">
        <f t="shared" si="44"/>
        <v>#N/A</v>
      </c>
      <c r="BB17" t="e">
        <f t="shared" si="45"/>
        <v>#N/A</v>
      </c>
      <c r="BC17" t="e">
        <f t="shared" si="46"/>
        <v>#N/A</v>
      </c>
      <c r="BD17" t="e">
        <f t="shared" si="47"/>
        <v>#N/A</v>
      </c>
      <c r="BE17" t="e">
        <f t="shared" si="48"/>
        <v>#N/A</v>
      </c>
      <c r="BF17" t="e">
        <f t="shared" si="49"/>
        <v>#N/A</v>
      </c>
      <c r="BG17" t="e">
        <f t="shared" si="50"/>
        <v>#N/A</v>
      </c>
      <c r="BH17" t="e">
        <f t="shared" si="51"/>
        <v>#N/A</v>
      </c>
      <c r="BI17" t="e">
        <f t="shared" si="52"/>
        <v>#N/A</v>
      </c>
      <c r="BJ17" t="e">
        <f t="shared" si="53"/>
        <v>#N/A</v>
      </c>
      <c r="BK17" t="e">
        <f t="shared" si="54"/>
        <v>#N/A</v>
      </c>
      <c r="BL17" t="e">
        <f t="shared" si="55"/>
        <v>#N/A</v>
      </c>
      <c r="BM17" t="e">
        <f t="shared" si="56"/>
        <v>#N/A</v>
      </c>
      <c r="BN17" t="e">
        <f t="shared" si="57"/>
        <v>#N/A</v>
      </c>
      <c r="BO17" t="e">
        <f t="shared" si="58"/>
        <v>#N/A</v>
      </c>
      <c r="BP17" t="e">
        <f t="shared" si="59"/>
        <v>#N/A</v>
      </c>
      <c r="BQ17" t="e">
        <f t="shared" si="60"/>
        <v>#N/A</v>
      </c>
      <c r="BR17" t="e">
        <f t="shared" si="61"/>
        <v>#N/A</v>
      </c>
      <c r="BS17" t="e">
        <f t="shared" si="62"/>
        <v>#N/A</v>
      </c>
      <c r="BT17" t="e">
        <f t="shared" si="63"/>
        <v>#N/A</v>
      </c>
      <c r="BU17" t="e">
        <f t="shared" si="64"/>
        <v>#N/A</v>
      </c>
      <c r="BV17" t="e">
        <f t="shared" si="65"/>
        <v>#N/A</v>
      </c>
      <c r="BW17" t="e">
        <f t="shared" si="66"/>
        <v>#N/A</v>
      </c>
      <c r="BX17" t="e">
        <f t="shared" si="67"/>
        <v>#N/A</v>
      </c>
      <c r="BY17" t="e">
        <f t="shared" si="68"/>
        <v>#N/A</v>
      </c>
      <c r="BZ17" t="e">
        <f t="shared" si="69"/>
        <v>#N/A</v>
      </c>
      <c r="CA17" t="e">
        <f t="shared" si="70"/>
        <v>#N/A</v>
      </c>
      <c r="CB17" t="e">
        <f t="shared" si="71"/>
        <v>#N/A</v>
      </c>
      <c r="CC17" t="e">
        <f t="shared" si="72"/>
        <v>#N/A</v>
      </c>
      <c r="CD17" t="e">
        <f t="shared" si="73"/>
        <v>#N/A</v>
      </c>
      <c r="CE17" t="e">
        <f t="shared" si="74"/>
        <v>#N/A</v>
      </c>
      <c r="CF17" t="e">
        <f t="shared" si="75"/>
        <v>#N/A</v>
      </c>
      <c r="CG17" t="e">
        <f t="shared" si="76"/>
        <v>#N/A</v>
      </c>
      <c r="CH17" t="e">
        <f t="shared" si="77"/>
        <v>#N/A</v>
      </c>
      <c r="CI17" t="e">
        <f t="shared" si="78"/>
        <v>#N/A</v>
      </c>
      <c r="CJ17" t="e">
        <f t="shared" si="79"/>
        <v>#N/A</v>
      </c>
      <c r="CK17" t="e">
        <f t="shared" si="80"/>
        <v>#N/A</v>
      </c>
      <c r="CL17" t="e">
        <f t="shared" si="81"/>
        <v>#N/A</v>
      </c>
      <c r="CM17" t="e">
        <f t="shared" si="82"/>
        <v>#N/A</v>
      </c>
      <c r="CN17" t="e">
        <f t="shared" si="83"/>
        <v>#N/A</v>
      </c>
      <c r="CO17" t="e">
        <f t="shared" si="84"/>
        <v>#N/A</v>
      </c>
      <c r="CP17" t="e">
        <f t="shared" si="85"/>
        <v>#N/A</v>
      </c>
      <c r="CQ17" t="e">
        <f t="shared" si="86"/>
        <v>#N/A</v>
      </c>
      <c r="CR17" t="e">
        <f t="shared" si="87"/>
        <v>#N/A</v>
      </c>
      <c r="CS17" t="e">
        <f t="shared" si="88"/>
        <v>#N/A</v>
      </c>
      <c r="CT17" t="e">
        <f t="shared" si="89"/>
        <v>#N/A</v>
      </c>
      <c r="CU17" t="e">
        <f t="shared" si="90"/>
        <v>#N/A</v>
      </c>
      <c r="CV17" t="e">
        <f t="shared" si="91"/>
        <v>#N/A</v>
      </c>
      <c r="CW17" t="e">
        <f t="shared" si="91"/>
        <v>#N/A</v>
      </c>
      <c r="CX17" t="e">
        <f t="shared" si="92"/>
        <v>#N/A</v>
      </c>
      <c r="CY17" t="e">
        <f t="shared" si="92"/>
        <v>#N/A</v>
      </c>
      <c r="CZ17" t="e">
        <f t="shared" si="93"/>
        <v>#N/A</v>
      </c>
      <c r="DA17" t="e">
        <f t="shared" si="93"/>
        <v>#N/A</v>
      </c>
    </row>
    <row r="18" spans="1:105" x14ac:dyDescent="0.35">
      <c r="A18" t="str">
        <f>Setup!A34</f>
        <v>Caseload 15</v>
      </c>
      <c r="B18" t="e">
        <f>INDEX('Required Capacity (Hide)'!$B$5:$C$19,MATCH('Planning Backing (Hide)'!$A18,'Required Capacity (Hide)'!$A$5:$A$19,0),1)</f>
        <v>#N/A</v>
      </c>
      <c r="C18" t="e">
        <f>INDEX('Required Capacity (Hide)'!$B$5:$C$19,MATCH('Planning Backing (Hide)'!$A18,'Required Capacity (Hide)'!$A$5:$A$19,0),2)</f>
        <v>#N/A</v>
      </c>
      <c r="D18" t="e">
        <f>IF(Planning!D20="",'Planning Backing (Hide)'!B18,Planning!D20)</f>
        <v>#N/A</v>
      </c>
      <c r="E18" t="e">
        <f>IF(Planning!E20="",'Planning Backing (Hide)'!C18,Planning!E20)</f>
        <v>#N/A</v>
      </c>
      <c r="F18">
        <v>1</v>
      </c>
      <c r="G18">
        <v>1</v>
      </c>
      <c r="I18" s="12" t="e" vm="2">
        <f ca="1">'Required Capacity (Hide)'!E18</f>
        <v>#VALUE!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  <c r="V18" t="e">
        <f t="shared" si="13"/>
        <v>#N/A</v>
      </c>
      <c r="W18" t="e">
        <f t="shared" si="14"/>
        <v>#N/A</v>
      </c>
      <c r="X18" t="e">
        <f t="shared" si="15"/>
        <v>#N/A</v>
      </c>
      <c r="Y18" t="e">
        <f t="shared" si="16"/>
        <v>#N/A</v>
      </c>
      <c r="Z18" t="e">
        <f t="shared" si="17"/>
        <v>#N/A</v>
      </c>
      <c r="AA18" t="e">
        <f t="shared" si="18"/>
        <v>#N/A</v>
      </c>
      <c r="AB18" t="e">
        <f t="shared" si="19"/>
        <v>#N/A</v>
      </c>
      <c r="AC18" t="e">
        <f t="shared" si="20"/>
        <v>#N/A</v>
      </c>
      <c r="AD18" t="e">
        <f t="shared" si="21"/>
        <v>#N/A</v>
      </c>
      <c r="AE18" t="e">
        <f t="shared" si="22"/>
        <v>#N/A</v>
      </c>
      <c r="AF18" t="e">
        <f t="shared" si="23"/>
        <v>#N/A</v>
      </c>
      <c r="AG18" t="e">
        <f t="shared" si="24"/>
        <v>#N/A</v>
      </c>
      <c r="AH18" t="e">
        <f t="shared" si="25"/>
        <v>#N/A</v>
      </c>
      <c r="AI18" t="e">
        <f t="shared" si="26"/>
        <v>#N/A</v>
      </c>
      <c r="AJ18" t="e">
        <f t="shared" si="27"/>
        <v>#N/A</v>
      </c>
      <c r="AK18" t="e">
        <f t="shared" si="28"/>
        <v>#N/A</v>
      </c>
      <c r="AL18" t="e">
        <f t="shared" si="29"/>
        <v>#N/A</v>
      </c>
      <c r="AM18" t="e">
        <f t="shared" si="30"/>
        <v>#N/A</v>
      </c>
      <c r="AN18" t="e">
        <f t="shared" si="31"/>
        <v>#N/A</v>
      </c>
      <c r="AO18" t="e">
        <f t="shared" si="32"/>
        <v>#N/A</v>
      </c>
      <c r="AP18" t="e">
        <f t="shared" si="33"/>
        <v>#N/A</v>
      </c>
      <c r="AQ18" t="e">
        <f t="shared" si="34"/>
        <v>#N/A</v>
      </c>
      <c r="AR18" t="e">
        <f t="shared" si="35"/>
        <v>#N/A</v>
      </c>
      <c r="AS18" t="e">
        <f t="shared" si="36"/>
        <v>#N/A</v>
      </c>
      <c r="AT18" t="e">
        <f t="shared" si="37"/>
        <v>#N/A</v>
      </c>
      <c r="AU18" t="e">
        <f t="shared" si="38"/>
        <v>#N/A</v>
      </c>
      <c r="AV18" t="e">
        <f t="shared" si="39"/>
        <v>#N/A</v>
      </c>
      <c r="AW18" t="e">
        <f t="shared" si="40"/>
        <v>#N/A</v>
      </c>
      <c r="AX18" t="e">
        <f t="shared" si="41"/>
        <v>#N/A</v>
      </c>
      <c r="AY18" t="e">
        <f t="shared" si="42"/>
        <v>#N/A</v>
      </c>
      <c r="AZ18" t="e">
        <f t="shared" si="43"/>
        <v>#N/A</v>
      </c>
      <c r="BA18" t="e">
        <f t="shared" si="44"/>
        <v>#N/A</v>
      </c>
      <c r="BB18" t="e">
        <f t="shared" si="45"/>
        <v>#N/A</v>
      </c>
      <c r="BC18" t="e">
        <f t="shared" si="46"/>
        <v>#N/A</v>
      </c>
      <c r="BD18" t="e">
        <f t="shared" si="47"/>
        <v>#N/A</v>
      </c>
      <c r="BE18" t="e">
        <f t="shared" si="48"/>
        <v>#N/A</v>
      </c>
      <c r="BF18" t="e">
        <f t="shared" si="49"/>
        <v>#N/A</v>
      </c>
      <c r="BG18" t="e">
        <f t="shared" si="50"/>
        <v>#N/A</v>
      </c>
      <c r="BH18" t="e">
        <f t="shared" si="51"/>
        <v>#N/A</v>
      </c>
      <c r="BI18" t="e">
        <f t="shared" si="52"/>
        <v>#N/A</v>
      </c>
      <c r="BJ18" t="e">
        <f t="shared" si="53"/>
        <v>#N/A</v>
      </c>
      <c r="BK18" t="e">
        <f t="shared" si="54"/>
        <v>#N/A</v>
      </c>
      <c r="BL18" t="e">
        <f t="shared" si="55"/>
        <v>#N/A</v>
      </c>
      <c r="BM18" t="e">
        <f t="shared" si="56"/>
        <v>#N/A</v>
      </c>
      <c r="BN18" t="e">
        <f t="shared" si="57"/>
        <v>#N/A</v>
      </c>
      <c r="BO18" t="e">
        <f t="shared" si="58"/>
        <v>#N/A</v>
      </c>
      <c r="BP18" t="e">
        <f t="shared" si="59"/>
        <v>#N/A</v>
      </c>
      <c r="BQ18" t="e">
        <f t="shared" si="60"/>
        <v>#N/A</v>
      </c>
      <c r="BR18" t="e">
        <f t="shared" si="61"/>
        <v>#N/A</v>
      </c>
      <c r="BS18" t="e">
        <f t="shared" si="62"/>
        <v>#N/A</v>
      </c>
      <c r="BT18" t="e">
        <f t="shared" si="63"/>
        <v>#N/A</v>
      </c>
      <c r="BU18" t="e">
        <f t="shared" si="64"/>
        <v>#N/A</v>
      </c>
      <c r="BV18" t="e">
        <f t="shared" si="65"/>
        <v>#N/A</v>
      </c>
      <c r="BW18" t="e">
        <f t="shared" si="66"/>
        <v>#N/A</v>
      </c>
      <c r="BX18" t="e">
        <f t="shared" si="67"/>
        <v>#N/A</v>
      </c>
      <c r="BY18" t="e">
        <f t="shared" si="68"/>
        <v>#N/A</v>
      </c>
      <c r="BZ18" t="e">
        <f t="shared" si="69"/>
        <v>#N/A</v>
      </c>
      <c r="CA18" t="e">
        <f t="shared" si="70"/>
        <v>#N/A</v>
      </c>
      <c r="CB18" t="e">
        <f t="shared" si="71"/>
        <v>#N/A</v>
      </c>
      <c r="CC18" t="e">
        <f t="shared" si="72"/>
        <v>#N/A</v>
      </c>
      <c r="CD18" t="e">
        <f t="shared" si="73"/>
        <v>#N/A</v>
      </c>
      <c r="CE18" t="e">
        <f t="shared" si="74"/>
        <v>#N/A</v>
      </c>
      <c r="CF18" t="e">
        <f t="shared" si="75"/>
        <v>#N/A</v>
      </c>
      <c r="CG18" t="e">
        <f t="shared" si="76"/>
        <v>#N/A</v>
      </c>
      <c r="CH18" t="e">
        <f t="shared" si="77"/>
        <v>#N/A</v>
      </c>
      <c r="CI18" t="e">
        <f t="shared" si="78"/>
        <v>#N/A</v>
      </c>
      <c r="CJ18" t="e">
        <f t="shared" si="79"/>
        <v>#N/A</v>
      </c>
      <c r="CK18" t="e">
        <f t="shared" si="80"/>
        <v>#N/A</v>
      </c>
      <c r="CL18" t="e">
        <f t="shared" si="81"/>
        <v>#N/A</v>
      </c>
      <c r="CM18" t="e">
        <f t="shared" si="82"/>
        <v>#N/A</v>
      </c>
      <c r="CN18" t="e">
        <f t="shared" si="83"/>
        <v>#N/A</v>
      </c>
      <c r="CO18" t="e">
        <f t="shared" si="84"/>
        <v>#N/A</v>
      </c>
      <c r="CP18" t="e">
        <f t="shared" si="85"/>
        <v>#N/A</v>
      </c>
      <c r="CQ18" t="e">
        <f t="shared" si="86"/>
        <v>#N/A</v>
      </c>
      <c r="CR18" t="e">
        <f t="shared" si="87"/>
        <v>#N/A</v>
      </c>
      <c r="CS18" t="e">
        <f t="shared" si="88"/>
        <v>#N/A</v>
      </c>
      <c r="CT18" t="e">
        <f t="shared" si="89"/>
        <v>#N/A</v>
      </c>
      <c r="CU18" t="e">
        <f t="shared" si="90"/>
        <v>#N/A</v>
      </c>
      <c r="CV18" t="e">
        <f t="shared" si="91"/>
        <v>#N/A</v>
      </c>
      <c r="CW18" t="e">
        <f t="shared" si="91"/>
        <v>#N/A</v>
      </c>
      <c r="CX18" t="e">
        <f t="shared" si="92"/>
        <v>#N/A</v>
      </c>
      <c r="CY18" t="e">
        <f t="shared" si="92"/>
        <v>#N/A</v>
      </c>
      <c r="CZ18" t="e">
        <f t="shared" si="93"/>
        <v>#N/A</v>
      </c>
      <c r="DA18" t="e">
        <f t="shared" si="93"/>
        <v>#N/A</v>
      </c>
    </row>
    <row r="19" spans="1:105" x14ac:dyDescent="0.35">
      <c r="I19" s="12" t="e" vm="2">
        <f ca="1">'Required Capacity (Hide)'!E19</f>
        <v>#VALUE!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  <c r="V19" t="e">
        <f t="shared" si="13"/>
        <v>#N/A</v>
      </c>
      <c r="W19" t="e">
        <f t="shared" si="14"/>
        <v>#N/A</v>
      </c>
      <c r="X19" t="e">
        <f t="shared" si="15"/>
        <v>#N/A</v>
      </c>
      <c r="Y19" t="e">
        <f t="shared" si="16"/>
        <v>#N/A</v>
      </c>
      <c r="Z19" t="e">
        <f t="shared" si="17"/>
        <v>#N/A</v>
      </c>
      <c r="AA19" t="e">
        <f t="shared" si="18"/>
        <v>#N/A</v>
      </c>
      <c r="AB19" t="e">
        <f t="shared" si="19"/>
        <v>#N/A</v>
      </c>
      <c r="AC19" t="e">
        <f t="shared" si="20"/>
        <v>#N/A</v>
      </c>
      <c r="AD19" t="e">
        <f t="shared" si="21"/>
        <v>#N/A</v>
      </c>
      <c r="AE19" t="e">
        <f t="shared" si="22"/>
        <v>#N/A</v>
      </c>
      <c r="AF19" t="e">
        <f t="shared" si="23"/>
        <v>#N/A</v>
      </c>
      <c r="AG19" t="e">
        <f t="shared" si="24"/>
        <v>#N/A</v>
      </c>
      <c r="AH19" t="e">
        <f t="shared" si="25"/>
        <v>#N/A</v>
      </c>
      <c r="AI19" t="e">
        <f t="shared" si="26"/>
        <v>#N/A</v>
      </c>
      <c r="AJ19" t="e">
        <f t="shared" si="27"/>
        <v>#N/A</v>
      </c>
      <c r="AK19" t="e">
        <f t="shared" si="28"/>
        <v>#N/A</v>
      </c>
      <c r="AL19" t="e">
        <f t="shared" si="29"/>
        <v>#N/A</v>
      </c>
      <c r="AM19" t="e">
        <f t="shared" si="30"/>
        <v>#N/A</v>
      </c>
      <c r="AN19" t="e">
        <f t="shared" si="31"/>
        <v>#N/A</v>
      </c>
      <c r="AO19" t="e">
        <f t="shared" si="32"/>
        <v>#N/A</v>
      </c>
      <c r="AP19" t="e">
        <f t="shared" si="33"/>
        <v>#N/A</v>
      </c>
      <c r="AQ19" t="e">
        <f t="shared" si="34"/>
        <v>#N/A</v>
      </c>
      <c r="AR19" t="e">
        <f t="shared" si="35"/>
        <v>#N/A</v>
      </c>
      <c r="AS19" t="e">
        <f t="shared" si="36"/>
        <v>#N/A</v>
      </c>
      <c r="AT19" t="e">
        <f t="shared" si="37"/>
        <v>#N/A</v>
      </c>
      <c r="AU19" t="e">
        <f t="shared" si="38"/>
        <v>#N/A</v>
      </c>
      <c r="AV19" t="e">
        <f t="shared" si="39"/>
        <v>#N/A</v>
      </c>
      <c r="AW19" t="e">
        <f t="shared" si="40"/>
        <v>#N/A</v>
      </c>
      <c r="AX19" t="e">
        <f t="shared" si="41"/>
        <v>#N/A</v>
      </c>
      <c r="AY19" t="e">
        <f t="shared" si="42"/>
        <v>#N/A</v>
      </c>
      <c r="AZ19" t="e">
        <f t="shared" si="43"/>
        <v>#N/A</v>
      </c>
      <c r="BA19" t="e">
        <f t="shared" si="44"/>
        <v>#N/A</v>
      </c>
      <c r="BB19" t="e">
        <f t="shared" si="45"/>
        <v>#N/A</v>
      </c>
      <c r="BC19" t="e">
        <f t="shared" si="46"/>
        <v>#N/A</v>
      </c>
      <c r="BD19" t="e">
        <f t="shared" si="47"/>
        <v>#N/A</v>
      </c>
      <c r="BE19" t="e">
        <f t="shared" si="48"/>
        <v>#N/A</v>
      </c>
      <c r="BF19" t="e">
        <f t="shared" si="49"/>
        <v>#N/A</v>
      </c>
      <c r="BG19" t="e">
        <f t="shared" si="50"/>
        <v>#N/A</v>
      </c>
      <c r="BH19" t="e">
        <f t="shared" si="51"/>
        <v>#N/A</v>
      </c>
      <c r="BI19" t="e">
        <f t="shared" si="52"/>
        <v>#N/A</v>
      </c>
      <c r="BJ19" t="e">
        <f t="shared" si="53"/>
        <v>#N/A</v>
      </c>
      <c r="BK19" t="e">
        <f t="shared" si="54"/>
        <v>#N/A</v>
      </c>
      <c r="BL19" t="e">
        <f t="shared" si="55"/>
        <v>#N/A</v>
      </c>
      <c r="BM19" t="e">
        <f t="shared" si="56"/>
        <v>#N/A</v>
      </c>
      <c r="BN19" t="e">
        <f t="shared" si="57"/>
        <v>#N/A</v>
      </c>
      <c r="BO19" t="e">
        <f t="shared" si="58"/>
        <v>#N/A</v>
      </c>
      <c r="BP19" t="e">
        <f t="shared" si="59"/>
        <v>#N/A</v>
      </c>
      <c r="BQ19" t="e">
        <f t="shared" si="60"/>
        <v>#N/A</v>
      </c>
      <c r="BR19" t="e">
        <f t="shared" si="61"/>
        <v>#N/A</v>
      </c>
      <c r="BS19" t="e">
        <f t="shared" si="62"/>
        <v>#N/A</v>
      </c>
      <c r="BT19" t="e">
        <f t="shared" si="63"/>
        <v>#N/A</v>
      </c>
      <c r="BU19" t="e">
        <f t="shared" si="64"/>
        <v>#N/A</v>
      </c>
      <c r="BV19" t="e">
        <f t="shared" si="65"/>
        <v>#N/A</v>
      </c>
      <c r="BW19" t="e">
        <f t="shared" si="66"/>
        <v>#N/A</v>
      </c>
      <c r="BX19" t="e">
        <f t="shared" si="67"/>
        <v>#N/A</v>
      </c>
      <c r="BY19" t="e">
        <f t="shared" si="68"/>
        <v>#N/A</v>
      </c>
      <c r="BZ19" t="e">
        <f t="shared" si="69"/>
        <v>#N/A</v>
      </c>
      <c r="CA19" t="e">
        <f t="shared" si="70"/>
        <v>#N/A</v>
      </c>
      <c r="CB19" t="e">
        <f t="shared" si="71"/>
        <v>#N/A</v>
      </c>
      <c r="CC19" t="e">
        <f t="shared" si="72"/>
        <v>#N/A</v>
      </c>
      <c r="CD19" t="e">
        <f t="shared" si="73"/>
        <v>#N/A</v>
      </c>
      <c r="CE19" t="e">
        <f t="shared" si="74"/>
        <v>#N/A</v>
      </c>
      <c r="CF19" t="e">
        <f t="shared" si="75"/>
        <v>#N/A</v>
      </c>
      <c r="CG19" t="e">
        <f t="shared" si="76"/>
        <v>#N/A</v>
      </c>
      <c r="CH19" t="e">
        <f t="shared" si="77"/>
        <v>#N/A</v>
      </c>
      <c r="CI19" t="e">
        <f t="shared" si="78"/>
        <v>#N/A</v>
      </c>
      <c r="CJ19" t="e">
        <f t="shared" si="79"/>
        <v>#N/A</v>
      </c>
      <c r="CK19" t="e">
        <f t="shared" si="80"/>
        <v>#N/A</v>
      </c>
      <c r="CL19" t="e">
        <f t="shared" si="81"/>
        <v>#N/A</v>
      </c>
      <c r="CM19" t="e">
        <f t="shared" si="82"/>
        <v>#N/A</v>
      </c>
      <c r="CN19" t="e">
        <f t="shared" si="83"/>
        <v>#N/A</v>
      </c>
      <c r="CO19" t="e">
        <f t="shared" si="84"/>
        <v>#N/A</v>
      </c>
      <c r="CP19" t="e">
        <f t="shared" si="85"/>
        <v>#N/A</v>
      </c>
      <c r="CQ19" t="e">
        <f t="shared" si="86"/>
        <v>#N/A</v>
      </c>
      <c r="CR19" t="e">
        <f t="shared" si="87"/>
        <v>#N/A</v>
      </c>
      <c r="CS19" t="e">
        <f t="shared" si="88"/>
        <v>#N/A</v>
      </c>
      <c r="CT19" t="e">
        <f t="shared" si="89"/>
        <v>#N/A</v>
      </c>
      <c r="CU19" t="e">
        <f t="shared" si="90"/>
        <v>#N/A</v>
      </c>
      <c r="CV19" t="e">
        <f t="shared" si="91"/>
        <v>#N/A</v>
      </c>
      <c r="CW19" t="e">
        <f t="shared" si="91"/>
        <v>#N/A</v>
      </c>
      <c r="CX19" t="e">
        <f t="shared" si="92"/>
        <v>#N/A</v>
      </c>
      <c r="CY19" t="e">
        <f t="shared" si="92"/>
        <v>#N/A</v>
      </c>
      <c r="CZ19" t="e">
        <f t="shared" si="93"/>
        <v>#N/A</v>
      </c>
      <c r="DA19" t="e">
        <f t="shared" si="93"/>
        <v>#N/A</v>
      </c>
    </row>
    <row r="20" spans="1:105" ht="87" x14ac:dyDescent="0.35">
      <c r="A20" t="s">
        <v>44</v>
      </c>
      <c r="B20" s="65" t="s">
        <v>152</v>
      </c>
      <c r="C20" s="65" t="s">
        <v>153</v>
      </c>
      <c r="D20" s="65" t="s">
        <v>154</v>
      </c>
      <c r="E20" s="65" t="s">
        <v>155</v>
      </c>
      <c r="F20" s="65" t="s">
        <v>156</v>
      </c>
      <c r="G20" s="65" t="s">
        <v>157</v>
      </c>
      <c r="I20" s="12" t="e" vm="2">
        <f ca="1">'Required Capacity (Hide)'!E20</f>
        <v>#VALUE!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  <c r="V20" t="e">
        <f t="shared" si="13"/>
        <v>#N/A</v>
      </c>
      <c r="W20" t="e">
        <f t="shared" si="14"/>
        <v>#N/A</v>
      </c>
      <c r="X20" t="e">
        <f t="shared" si="15"/>
        <v>#N/A</v>
      </c>
      <c r="Y20" t="e">
        <f t="shared" si="16"/>
        <v>#N/A</v>
      </c>
      <c r="Z20" t="e">
        <f t="shared" si="17"/>
        <v>#N/A</v>
      </c>
      <c r="AA20" t="e">
        <f t="shared" si="18"/>
        <v>#N/A</v>
      </c>
      <c r="AB20" t="e">
        <f t="shared" si="19"/>
        <v>#N/A</v>
      </c>
      <c r="AC20" t="e">
        <f t="shared" si="20"/>
        <v>#N/A</v>
      </c>
      <c r="AD20" t="e">
        <f t="shared" si="21"/>
        <v>#N/A</v>
      </c>
      <c r="AE20" t="e">
        <f t="shared" si="22"/>
        <v>#N/A</v>
      </c>
      <c r="AF20" t="e">
        <f t="shared" si="23"/>
        <v>#N/A</v>
      </c>
      <c r="AG20" t="e">
        <f t="shared" si="24"/>
        <v>#N/A</v>
      </c>
      <c r="AH20" t="e">
        <f t="shared" si="25"/>
        <v>#N/A</v>
      </c>
      <c r="AI20" t="e">
        <f t="shared" si="26"/>
        <v>#N/A</v>
      </c>
      <c r="AJ20" t="e">
        <f t="shared" si="27"/>
        <v>#N/A</v>
      </c>
      <c r="AK20" t="e">
        <f t="shared" si="28"/>
        <v>#N/A</v>
      </c>
      <c r="AL20" t="e">
        <f t="shared" si="29"/>
        <v>#N/A</v>
      </c>
      <c r="AM20" t="e">
        <f t="shared" si="30"/>
        <v>#N/A</v>
      </c>
      <c r="AN20" t="e">
        <f t="shared" si="31"/>
        <v>#N/A</v>
      </c>
      <c r="AO20" t="e">
        <f t="shared" si="32"/>
        <v>#N/A</v>
      </c>
      <c r="AP20" t="e">
        <f t="shared" si="33"/>
        <v>#N/A</v>
      </c>
      <c r="AQ20" t="e">
        <f t="shared" si="34"/>
        <v>#N/A</v>
      </c>
      <c r="AR20" t="e">
        <f t="shared" si="35"/>
        <v>#N/A</v>
      </c>
      <c r="AS20" t="e">
        <f t="shared" si="36"/>
        <v>#N/A</v>
      </c>
      <c r="AT20" t="e">
        <f t="shared" si="37"/>
        <v>#N/A</v>
      </c>
      <c r="AU20" t="e">
        <f t="shared" si="38"/>
        <v>#N/A</v>
      </c>
      <c r="AV20" t="e">
        <f t="shared" si="39"/>
        <v>#N/A</v>
      </c>
      <c r="AW20" t="e">
        <f t="shared" si="40"/>
        <v>#N/A</v>
      </c>
      <c r="AX20" t="e">
        <f t="shared" si="41"/>
        <v>#N/A</v>
      </c>
      <c r="AY20" t="e">
        <f t="shared" si="42"/>
        <v>#N/A</v>
      </c>
      <c r="AZ20" t="e">
        <f t="shared" si="43"/>
        <v>#N/A</v>
      </c>
      <c r="BA20" t="e">
        <f t="shared" si="44"/>
        <v>#N/A</v>
      </c>
      <c r="BB20" t="e">
        <f t="shared" si="45"/>
        <v>#N/A</v>
      </c>
      <c r="BC20" t="e">
        <f t="shared" si="46"/>
        <v>#N/A</v>
      </c>
      <c r="BD20" t="e">
        <f t="shared" si="47"/>
        <v>#N/A</v>
      </c>
      <c r="BE20" t="e">
        <f t="shared" si="48"/>
        <v>#N/A</v>
      </c>
      <c r="BF20" t="e">
        <f t="shared" si="49"/>
        <v>#N/A</v>
      </c>
      <c r="BG20" t="e">
        <f t="shared" si="50"/>
        <v>#N/A</v>
      </c>
      <c r="BH20" t="e">
        <f t="shared" si="51"/>
        <v>#N/A</v>
      </c>
      <c r="BI20" t="e">
        <f t="shared" si="52"/>
        <v>#N/A</v>
      </c>
      <c r="BJ20" t="e">
        <f t="shared" si="53"/>
        <v>#N/A</v>
      </c>
      <c r="BK20" t="e">
        <f t="shared" si="54"/>
        <v>#N/A</v>
      </c>
      <c r="BL20" t="e">
        <f t="shared" si="55"/>
        <v>#N/A</v>
      </c>
      <c r="BM20" t="e">
        <f t="shared" si="56"/>
        <v>#N/A</v>
      </c>
      <c r="BN20" t="e">
        <f t="shared" si="57"/>
        <v>#N/A</v>
      </c>
      <c r="BO20" t="e">
        <f t="shared" si="58"/>
        <v>#N/A</v>
      </c>
      <c r="BP20" t="e">
        <f t="shared" si="59"/>
        <v>#N/A</v>
      </c>
      <c r="BQ20" t="e">
        <f t="shared" si="60"/>
        <v>#N/A</v>
      </c>
      <c r="BR20" t="e">
        <f t="shared" si="61"/>
        <v>#N/A</v>
      </c>
      <c r="BS20" t="e">
        <f t="shared" si="62"/>
        <v>#N/A</v>
      </c>
      <c r="BT20" t="e">
        <f t="shared" si="63"/>
        <v>#N/A</v>
      </c>
      <c r="BU20" t="e">
        <f t="shared" si="64"/>
        <v>#N/A</v>
      </c>
      <c r="BV20" t="e">
        <f t="shared" si="65"/>
        <v>#N/A</v>
      </c>
      <c r="BW20" t="e">
        <f t="shared" si="66"/>
        <v>#N/A</v>
      </c>
      <c r="BX20" t="e">
        <f t="shared" si="67"/>
        <v>#N/A</v>
      </c>
      <c r="BY20" t="e">
        <f t="shared" si="68"/>
        <v>#N/A</v>
      </c>
      <c r="BZ20" t="e">
        <f t="shared" si="69"/>
        <v>#N/A</v>
      </c>
      <c r="CA20" t="e">
        <f t="shared" si="70"/>
        <v>#N/A</v>
      </c>
      <c r="CB20" t="e">
        <f t="shared" si="71"/>
        <v>#N/A</v>
      </c>
      <c r="CC20" t="e">
        <f t="shared" si="72"/>
        <v>#N/A</v>
      </c>
      <c r="CD20" t="e">
        <f t="shared" si="73"/>
        <v>#N/A</v>
      </c>
      <c r="CE20" t="e">
        <f t="shared" si="74"/>
        <v>#N/A</v>
      </c>
      <c r="CF20" t="e">
        <f t="shared" si="75"/>
        <v>#N/A</v>
      </c>
      <c r="CG20" t="e">
        <f t="shared" si="76"/>
        <v>#N/A</v>
      </c>
      <c r="CH20" t="e">
        <f t="shared" si="77"/>
        <v>#N/A</v>
      </c>
      <c r="CI20" t="e">
        <f t="shared" si="78"/>
        <v>#N/A</v>
      </c>
      <c r="CJ20" t="e">
        <f t="shared" si="79"/>
        <v>#N/A</v>
      </c>
      <c r="CK20" t="e">
        <f t="shared" si="80"/>
        <v>#N/A</v>
      </c>
      <c r="CL20" t="e">
        <f t="shared" si="81"/>
        <v>#N/A</v>
      </c>
      <c r="CM20" t="e">
        <f t="shared" si="82"/>
        <v>#N/A</v>
      </c>
      <c r="CN20" t="e">
        <f t="shared" si="83"/>
        <v>#N/A</v>
      </c>
      <c r="CO20" t="e">
        <f t="shared" si="84"/>
        <v>#N/A</v>
      </c>
      <c r="CP20" t="e">
        <f t="shared" si="85"/>
        <v>#N/A</v>
      </c>
      <c r="CQ20" t="e">
        <f t="shared" si="86"/>
        <v>#N/A</v>
      </c>
      <c r="CR20" t="e">
        <f t="shared" si="87"/>
        <v>#N/A</v>
      </c>
      <c r="CS20" t="e">
        <f t="shared" si="88"/>
        <v>#N/A</v>
      </c>
      <c r="CT20" t="e">
        <f t="shared" si="89"/>
        <v>#N/A</v>
      </c>
      <c r="CU20" t="e">
        <f t="shared" si="90"/>
        <v>#N/A</v>
      </c>
      <c r="CV20" t="e">
        <f t="shared" si="91"/>
        <v>#N/A</v>
      </c>
      <c r="CW20" t="e">
        <f t="shared" si="91"/>
        <v>#N/A</v>
      </c>
      <c r="CX20" t="e">
        <f t="shared" si="92"/>
        <v>#N/A</v>
      </c>
      <c r="CY20" t="e">
        <f t="shared" si="92"/>
        <v>#N/A</v>
      </c>
      <c r="CZ20" t="e">
        <f t="shared" si="93"/>
        <v>#N/A</v>
      </c>
      <c r="DA20" t="e">
        <f t="shared" si="93"/>
        <v>#N/A</v>
      </c>
    </row>
    <row r="21" spans="1:105" x14ac:dyDescent="0.35">
      <c r="A21" t="str">
        <f>Setup!A20</f>
        <v>Caseload 1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 t="e" vm="2">
        <f ca="1">'Required Capacity (Hide)'!E21</f>
        <v>#VALUE!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  <c r="V21" t="e">
        <f t="shared" si="13"/>
        <v>#N/A</v>
      </c>
      <c r="W21" t="e">
        <f t="shared" si="14"/>
        <v>#N/A</v>
      </c>
      <c r="X21" t="e">
        <f t="shared" si="15"/>
        <v>#N/A</v>
      </c>
      <c r="Y21" t="e">
        <f t="shared" si="16"/>
        <v>#N/A</v>
      </c>
      <c r="Z21" t="e">
        <f t="shared" si="17"/>
        <v>#N/A</v>
      </c>
      <c r="AA21" t="e">
        <f t="shared" si="18"/>
        <v>#N/A</v>
      </c>
      <c r="AB21" t="e">
        <f t="shared" si="19"/>
        <v>#N/A</v>
      </c>
      <c r="AC21" t="e">
        <f t="shared" si="20"/>
        <v>#N/A</v>
      </c>
      <c r="AD21" t="e">
        <f t="shared" si="21"/>
        <v>#N/A</v>
      </c>
      <c r="AE21" t="e">
        <f t="shared" si="22"/>
        <v>#N/A</v>
      </c>
      <c r="AF21" t="e">
        <f t="shared" si="23"/>
        <v>#N/A</v>
      </c>
      <c r="AG21" t="e">
        <f t="shared" si="24"/>
        <v>#N/A</v>
      </c>
      <c r="AH21" t="e">
        <f t="shared" si="25"/>
        <v>#N/A</v>
      </c>
      <c r="AI21" t="e">
        <f t="shared" si="26"/>
        <v>#N/A</v>
      </c>
      <c r="AJ21" t="e">
        <f t="shared" si="27"/>
        <v>#N/A</v>
      </c>
      <c r="AK21" t="e">
        <f t="shared" si="28"/>
        <v>#N/A</v>
      </c>
      <c r="AL21" t="e">
        <f t="shared" si="29"/>
        <v>#N/A</v>
      </c>
      <c r="AM21" t="e">
        <f t="shared" si="30"/>
        <v>#N/A</v>
      </c>
      <c r="AN21" t="e">
        <f t="shared" si="31"/>
        <v>#N/A</v>
      </c>
      <c r="AO21" t="e">
        <f t="shared" si="32"/>
        <v>#N/A</v>
      </c>
      <c r="AP21" t="e">
        <f t="shared" si="33"/>
        <v>#N/A</v>
      </c>
      <c r="AQ21" t="e">
        <f t="shared" si="34"/>
        <v>#N/A</v>
      </c>
      <c r="AR21" t="e">
        <f t="shared" si="35"/>
        <v>#N/A</v>
      </c>
      <c r="AS21" t="e">
        <f t="shared" si="36"/>
        <v>#N/A</v>
      </c>
      <c r="AT21" t="e">
        <f t="shared" si="37"/>
        <v>#N/A</v>
      </c>
      <c r="AU21" t="e">
        <f t="shared" si="38"/>
        <v>#N/A</v>
      </c>
      <c r="AV21" t="e">
        <f t="shared" si="39"/>
        <v>#N/A</v>
      </c>
      <c r="AW21" t="e">
        <f t="shared" si="40"/>
        <v>#N/A</v>
      </c>
      <c r="AX21" t="e">
        <f t="shared" si="41"/>
        <v>#N/A</v>
      </c>
      <c r="AY21" t="e">
        <f t="shared" si="42"/>
        <v>#N/A</v>
      </c>
      <c r="AZ21" t="e">
        <f t="shared" si="43"/>
        <v>#N/A</v>
      </c>
      <c r="BA21" t="e">
        <f t="shared" si="44"/>
        <v>#N/A</v>
      </c>
      <c r="BB21" t="e">
        <f t="shared" si="45"/>
        <v>#N/A</v>
      </c>
      <c r="BC21" t="e">
        <f t="shared" si="46"/>
        <v>#N/A</v>
      </c>
      <c r="BD21" t="e">
        <f t="shared" si="47"/>
        <v>#N/A</v>
      </c>
      <c r="BE21" t="e">
        <f t="shared" si="48"/>
        <v>#N/A</v>
      </c>
      <c r="BF21" t="e">
        <f t="shared" si="49"/>
        <v>#N/A</v>
      </c>
      <c r="BG21" t="e">
        <f t="shared" si="50"/>
        <v>#N/A</v>
      </c>
      <c r="BH21" t="e">
        <f t="shared" si="51"/>
        <v>#N/A</v>
      </c>
      <c r="BI21" t="e">
        <f t="shared" si="52"/>
        <v>#N/A</v>
      </c>
      <c r="BJ21" t="e">
        <f t="shared" si="53"/>
        <v>#N/A</v>
      </c>
      <c r="BK21" t="e">
        <f t="shared" si="54"/>
        <v>#N/A</v>
      </c>
      <c r="BL21" t="e">
        <f t="shared" si="55"/>
        <v>#N/A</v>
      </c>
      <c r="BM21" t="e">
        <f t="shared" si="56"/>
        <v>#N/A</v>
      </c>
      <c r="BN21" t="e">
        <f t="shared" si="57"/>
        <v>#N/A</v>
      </c>
      <c r="BO21" t="e">
        <f t="shared" si="58"/>
        <v>#N/A</v>
      </c>
      <c r="BP21" t="e">
        <f t="shared" si="59"/>
        <v>#N/A</v>
      </c>
      <c r="BQ21" t="e">
        <f t="shared" si="60"/>
        <v>#N/A</v>
      </c>
      <c r="BR21" t="e">
        <f t="shared" si="61"/>
        <v>#N/A</v>
      </c>
      <c r="BS21" t="e">
        <f t="shared" si="62"/>
        <v>#N/A</v>
      </c>
      <c r="BT21" t="e">
        <f t="shared" si="63"/>
        <v>#N/A</v>
      </c>
      <c r="BU21" t="e">
        <f t="shared" si="64"/>
        <v>#N/A</v>
      </c>
      <c r="BV21" t="e">
        <f t="shared" si="65"/>
        <v>#N/A</v>
      </c>
      <c r="BW21" t="e">
        <f t="shared" si="66"/>
        <v>#N/A</v>
      </c>
      <c r="BX21" t="e">
        <f t="shared" si="67"/>
        <v>#N/A</v>
      </c>
      <c r="BY21" t="e">
        <f t="shared" si="68"/>
        <v>#N/A</v>
      </c>
      <c r="BZ21" t="e">
        <f t="shared" si="69"/>
        <v>#N/A</v>
      </c>
      <c r="CA21" t="e">
        <f t="shared" si="70"/>
        <v>#N/A</v>
      </c>
      <c r="CB21" t="e">
        <f t="shared" si="71"/>
        <v>#N/A</v>
      </c>
      <c r="CC21" t="e">
        <f t="shared" si="72"/>
        <v>#N/A</v>
      </c>
      <c r="CD21" t="e">
        <f t="shared" si="73"/>
        <v>#N/A</v>
      </c>
      <c r="CE21" t="e">
        <f t="shared" si="74"/>
        <v>#N/A</v>
      </c>
      <c r="CF21" t="e">
        <f t="shared" si="75"/>
        <v>#N/A</v>
      </c>
      <c r="CG21" t="e">
        <f t="shared" si="76"/>
        <v>#N/A</v>
      </c>
      <c r="CH21" t="e">
        <f t="shared" si="77"/>
        <v>#N/A</v>
      </c>
      <c r="CI21" t="e">
        <f t="shared" si="78"/>
        <v>#N/A</v>
      </c>
      <c r="CJ21" t="e">
        <f t="shared" si="79"/>
        <v>#N/A</v>
      </c>
      <c r="CK21" t="e">
        <f t="shared" si="80"/>
        <v>#N/A</v>
      </c>
      <c r="CL21" t="e">
        <f t="shared" si="81"/>
        <v>#N/A</v>
      </c>
      <c r="CM21" t="e">
        <f t="shared" si="82"/>
        <v>#N/A</v>
      </c>
      <c r="CN21" t="e">
        <f t="shared" si="83"/>
        <v>#N/A</v>
      </c>
      <c r="CO21" t="e">
        <f t="shared" si="84"/>
        <v>#N/A</v>
      </c>
      <c r="CP21" t="e">
        <f t="shared" si="85"/>
        <v>#N/A</v>
      </c>
      <c r="CQ21" t="e">
        <f t="shared" si="86"/>
        <v>#N/A</v>
      </c>
      <c r="CR21" t="e">
        <f t="shared" si="87"/>
        <v>#N/A</v>
      </c>
      <c r="CS21" t="e">
        <f t="shared" si="88"/>
        <v>#N/A</v>
      </c>
      <c r="CT21" t="e">
        <f t="shared" si="89"/>
        <v>#N/A</v>
      </c>
      <c r="CU21" t="e">
        <f t="shared" si="90"/>
        <v>#N/A</v>
      </c>
      <c r="CV21" t="e">
        <f t="shared" si="91"/>
        <v>#N/A</v>
      </c>
      <c r="CW21" t="e">
        <f t="shared" si="91"/>
        <v>#N/A</v>
      </c>
      <c r="CX21" t="e">
        <f t="shared" si="91"/>
        <v>#N/A</v>
      </c>
      <c r="CY21" t="e">
        <f t="shared" si="91"/>
        <v>#N/A</v>
      </c>
      <c r="CZ21" t="e">
        <f t="shared" si="93"/>
        <v>#N/A</v>
      </c>
      <c r="DA21" t="e">
        <f t="shared" si="93"/>
        <v>#N/A</v>
      </c>
    </row>
    <row r="22" spans="1:105" x14ac:dyDescent="0.35">
      <c r="A22" t="str">
        <f>Setup!A21</f>
        <v>Caseload 2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 t="e" vm="2">
        <f ca="1">'Required Capacity (Hide)'!E22</f>
        <v>#VALUE!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  <c r="V22" t="e">
        <f t="shared" si="13"/>
        <v>#N/A</v>
      </c>
      <c r="W22" t="e">
        <f t="shared" si="14"/>
        <v>#N/A</v>
      </c>
      <c r="X22" t="e">
        <f t="shared" si="15"/>
        <v>#N/A</v>
      </c>
      <c r="Y22" t="e">
        <f t="shared" si="16"/>
        <v>#N/A</v>
      </c>
      <c r="Z22" t="e">
        <f t="shared" si="17"/>
        <v>#N/A</v>
      </c>
      <c r="AA22" t="e">
        <f t="shared" si="18"/>
        <v>#N/A</v>
      </c>
      <c r="AB22" t="e">
        <f t="shared" si="19"/>
        <v>#N/A</v>
      </c>
      <c r="AC22" t="e">
        <f t="shared" si="20"/>
        <v>#N/A</v>
      </c>
      <c r="AD22" t="e">
        <f t="shared" si="21"/>
        <v>#N/A</v>
      </c>
      <c r="AE22" t="e">
        <f t="shared" si="22"/>
        <v>#N/A</v>
      </c>
      <c r="AF22" t="e">
        <f t="shared" si="23"/>
        <v>#N/A</v>
      </c>
      <c r="AG22" t="e">
        <f t="shared" si="24"/>
        <v>#N/A</v>
      </c>
      <c r="AH22" t="e">
        <f t="shared" si="25"/>
        <v>#N/A</v>
      </c>
      <c r="AI22" t="e">
        <f t="shared" si="26"/>
        <v>#N/A</v>
      </c>
      <c r="AJ22" t="e">
        <f t="shared" si="27"/>
        <v>#N/A</v>
      </c>
      <c r="AK22" t="e">
        <f t="shared" si="28"/>
        <v>#N/A</v>
      </c>
      <c r="AL22" t="e">
        <f t="shared" si="29"/>
        <v>#N/A</v>
      </c>
      <c r="AM22" t="e">
        <f t="shared" si="30"/>
        <v>#N/A</v>
      </c>
      <c r="AN22" t="e">
        <f t="shared" si="31"/>
        <v>#N/A</v>
      </c>
      <c r="AO22" t="e">
        <f t="shared" si="32"/>
        <v>#N/A</v>
      </c>
      <c r="AP22" t="e">
        <f t="shared" si="33"/>
        <v>#N/A</v>
      </c>
      <c r="AQ22" t="e">
        <f t="shared" si="34"/>
        <v>#N/A</v>
      </c>
      <c r="AR22" t="e">
        <f t="shared" si="35"/>
        <v>#N/A</v>
      </c>
      <c r="AS22" t="e">
        <f t="shared" si="36"/>
        <v>#N/A</v>
      </c>
      <c r="AT22" t="e">
        <f t="shared" si="37"/>
        <v>#N/A</v>
      </c>
      <c r="AU22" t="e">
        <f t="shared" si="38"/>
        <v>#N/A</v>
      </c>
      <c r="AV22" t="e">
        <f t="shared" si="39"/>
        <v>#N/A</v>
      </c>
      <c r="AW22" t="e">
        <f t="shared" si="40"/>
        <v>#N/A</v>
      </c>
      <c r="AX22" t="e">
        <f t="shared" si="41"/>
        <v>#N/A</v>
      </c>
      <c r="AY22" t="e">
        <f t="shared" si="42"/>
        <v>#N/A</v>
      </c>
      <c r="AZ22" t="e">
        <f t="shared" si="43"/>
        <v>#N/A</v>
      </c>
      <c r="BA22" t="e">
        <f t="shared" si="44"/>
        <v>#N/A</v>
      </c>
      <c r="BB22" t="e">
        <f t="shared" si="45"/>
        <v>#N/A</v>
      </c>
      <c r="BC22" t="e">
        <f t="shared" si="46"/>
        <v>#N/A</v>
      </c>
      <c r="BD22" t="e">
        <f t="shared" si="47"/>
        <v>#N/A</v>
      </c>
      <c r="BE22" t="e">
        <f t="shared" si="48"/>
        <v>#N/A</v>
      </c>
      <c r="BF22" t="e">
        <f t="shared" si="49"/>
        <v>#N/A</v>
      </c>
      <c r="BG22" t="e">
        <f t="shared" si="50"/>
        <v>#N/A</v>
      </c>
      <c r="BH22" t="e">
        <f t="shared" si="51"/>
        <v>#N/A</v>
      </c>
      <c r="BI22" t="e">
        <f t="shared" si="52"/>
        <v>#N/A</v>
      </c>
      <c r="BJ22" t="e">
        <f t="shared" si="53"/>
        <v>#N/A</v>
      </c>
      <c r="BK22" t="e">
        <f t="shared" si="54"/>
        <v>#N/A</v>
      </c>
      <c r="BL22" t="e">
        <f t="shared" si="55"/>
        <v>#N/A</v>
      </c>
      <c r="BM22" t="e">
        <f t="shared" si="56"/>
        <v>#N/A</v>
      </c>
      <c r="BN22" t="e">
        <f t="shared" si="57"/>
        <v>#N/A</v>
      </c>
      <c r="BO22" t="e">
        <f t="shared" si="58"/>
        <v>#N/A</v>
      </c>
      <c r="BP22" t="e">
        <f t="shared" si="59"/>
        <v>#N/A</v>
      </c>
      <c r="BQ22" t="e">
        <f t="shared" si="60"/>
        <v>#N/A</v>
      </c>
      <c r="BR22" t="e">
        <f t="shared" si="61"/>
        <v>#N/A</v>
      </c>
      <c r="BS22" t="e">
        <f t="shared" si="62"/>
        <v>#N/A</v>
      </c>
      <c r="BT22" t="e">
        <f t="shared" si="63"/>
        <v>#N/A</v>
      </c>
      <c r="BU22" t="e">
        <f t="shared" si="64"/>
        <v>#N/A</v>
      </c>
      <c r="BV22" t="e">
        <f t="shared" si="65"/>
        <v>#N/A</v>
      </c>
      <c r="BW22" t="e">
        <f t="shared" si="66"/>
        <v>#N/A</v>
      </c>
      <c r="BX22" t="e">
        <f t="shared" si="67"/>
        <v>#N/A</v>
      </c>
      <c r="BY22" t="e">
        <f t="shared" si="68"/>
        <v>#N/A</v>
      </c>
      <c r="BZ22" t="e">
        <f t="shared" si="69"/>
        <v>#N/A</v>
      </c>
      <c r="CA22" t="e">
        <f t="shared" si="70"/>
        <v>#N/A</v>
      </c>
      <c r="CB22" t="e">
        <f t="shared" si="71"/>
        <v>#N/A</v>
      </c>
      <c r="CC22" t="e">
        <f t="shared" si="72"/>
        <v>#N/A</v>
      </c>
      <c r="CD22" t="e">
        <f t="shared" si="73"/>
        <v>#N/A</v>
      </c>
      <c r="CE22" t="e">
        <f t="shared" si="74"/>
        <v>#N/A</v>
      </c>
      <c r="CF22" t="e">
        <f t="shared" si="75"/>
        <v>#N/A</v>
      </c>
      <c r="CG22" t="e">
        <f t="shared" si="76"/>
        <v>#N/A</v>
      </c>
      <c r="CH22" t="e">
        <f t="shared" si="77"/>
        <v>#N/A</v>
      </c>
      <c r="CI22" t="e">
        <f t="shared" si="78"/>
        <v>#N/A</v>
      </c>
      <c r="CJ22" t="e">
        <f t="shared" si="79"/>
        <v>#N/A</v>
      </c>
      <c r="CK22" t="e">
        <f t="shared" si="80"/>
        <v>#N/A</v>
      </c>
      <c r="CL22" t="e">
        <f t="shared" si="81"/>
        <v>#N/A</v>
      </c>
      <c r="CM22" t="e">
        <f t="shared" si="82"/>
        <v>#N/A</v>
      </c>
      <c r="CN22" t="e">
        <f t="shared" si="83"/>
        <v>#N/A</v>
      </c>
      <c r="CO22" t="e">
        <f t="shared" si="84"/>
        <v>#N/A</v>
      </c>
      <c r="CP22" t="e">
        <f t="shared" si="85"/>
        <v>#N/A</v>
      </c>
      <c r="CQ22" t="e">
        <f t="shared" si="86"/>
        <v>#N/A</v>
      </c>
      <c r="CR22" t="e">
        <f t="shared" si="87"/>
        <v>#N/A</v>
      </c>
      <c r="CS22" t="e">
        <f t="shared" si="88"/>
        <v>#N/A</v>
      </c>
      <c r="CT22" t="e">
        <f t="shared" si="89"/>
        <v>#N/A</v>
      </c>
      <c r="CU22" t="e">
        <f t="shared" si="90"/>
        <v>#N/A</v>
      </c>
      <c r="CV22" t="e">
        <f t="shared" si="91"/>
        <v>#N/A</v>
      </c>
      <c r="CW22" t="e">
        <f t="shared" si="91"/>
        <v>#N/A</v>
      </c>
      <c r="CX22" t="e">
        <f t="shared" si="91"/>
        <v>#N/A</v>
      </c>
      <c r="CY22" t="e">
        <f t="shared" si="91"/>
        <v>#N/A</v>
      </c>
      <c r="CZ22" t="e">
        <f t="shared" si="93"/>
        <v>#N/A</v>
      </c>
      <c r="DA22" t="e">
        <f t="shared" si="93"/>
        <v>#N/A</v>
      </c>
    </row>
    <row r="23" spans="1:105" x14ac:dyDescent="0.35">
      <c r="A23" t="str">
        <f>Setup!A22</f>
        <v>Caseload 3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 t="e" vm="2">
        <f ca="1">'Required Capacity (Hide)'!E23</f>
        <v>#VALUE!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  <c r="V23" t="e">
        <f t="shared" si="13"/>
        <v>#N/A</v>
      </c>
      <c r="W23" t="e">
        <f t="shared" si="14"/>
        <v>#N/A</v>
      </c>
      <c r="X23" t="e">
        <f t="shared" si="15"/>
        <v>#N/A</v>
      </c>
      <c r="Y23" t="e">
        <f t="shared" si="16"/>
        <v>#N/A</v>
      </c>
      <c r="Z23" t="e">
        <f t="shared" si="17"/>
        <v>#N/A</v>
      </c>
      <c r="AA23" t="e">
        <f t="shared" si="18"/>
        <v>#N/A</v>
      </c>
      <c r="AB23" t="e">
        <f t="shared" si="19"/>
        <v>#N/A</v>
      </c>
      <c r="AC23" t="e">
        <f t="shared" si="20"/>
        <v>#N/A</v>
      </c>
      <c r="AD23" t="e">
        <f t="shared" si="21"/>
        <v>#N/A</v>
      </c>
      <c r="AE23" t="e">
        <f t="shared" si="22"/>
        <v>#N/A</v>
      </c>
      <c r="AF23" t="e">
        <f t="shared" si="23"/>
        <v>#N/A</v>
      </c>
      <c r="AG23" t="e">
        <f t="shared" si="24"/>
        <v>#N/A</v>
      </c>
      <c r="AH23" t="e">
        <f t="shared" si="25"/>
        <v>#N/A</v>
      </c>
      <c r="AI23" t="e">
        <f t="shared" si="26"/>
        <v>#N/A</v>
      </c>
      <c r="AJ23" t="e">
        <f t="shared" si="27"/>
        <v>#N/A</v>
      </c>
      <c r="AK23" t="e">
        <f t="shared" si="28"/>
        <v>#N/A</v>
      </c>
      <c r="AL23" t="e">
        <f t="shared" si="29"/>
        <v>#N/A</v>
      </c>
      <c r="AM23" t="e">
        <f t="shared" si="30"/>
        <v>#N/A</v>
      </c>
      <c r="AN23" t="e">
        <f t="shared" si="31"/>
        <v>#N/A</v>
      </c>
      <c r="AO23" t="e">
        <f t="shared" si="32"/>
        <v>#N/A</v>
      </c>
      <c r="AP23" t="e">
        <f t="shared" si="33"/>
        <v>#N/A</v>
      </c>
      <c r="AQ23" t="e">
        <f t="shared" si="34"/>
        <v>#N/A</v>
      </c>
      <c r="AR23" t="e">
        <f t="shared" si="35"/>
        <v>#N/A</v>
      </c>
      <c r="AS23" t="e">
        <f t="shared" si="36"/>
        <v>#N/A</v>
      </c>
      <c r="AT23" t="e">
        <f t="shared" si="37"/>
        <v>#N/A</v>
      </c>
      <c r="AU23" t="e">
        <f t="shared" si="38"/>
        <v>#N/A</v>
      </c>
      <c r="AV23" t="e">
        <f t="shared" si="39"/>
        <v>#N/A</v>
      </c>
      <c r="AW23" t="e">
        <f t="shared" si="40"/>
        <v>#N/A</v>
      </c>
      <c r="AX23" t="e">
        <f t="shared" si="41"/>
        <v>#N/A</v>
      </c>
      <c r="AY23" t="e">
        <f t="shared" si="42"/>
        <v>#N/A</v>
      </c>
      <c r="AZ23" t="e">
        <f t="shared" si="43"/>
        <v>#N/A</v>
      </c>
      <c r="BA23" t="e">
        <f t="shared" si="44"/>
        <v>#N/A</v>
      </c>
      <c r="BB23" t="e">
        <f t="shared" si="45"/>
        <v>#N/A</v>
      </c>
      <c r="BC23" t="e">
        <f t="shared" si="46"/>
        <v>#N/A</v>
      </c>
      <c r="BD23" t="e">
        <f t="shared" si="47"/>
        <v>#N/A</v>
      </c>
      <c r="BE23" t="e">
        <f t="shared" si="48"/>
        <v>#N/A</v>
      </c>
      <c r="BF23" t="e">
        <f t="shared" si="49"/>
        <v>#N/A</v>
      </c>
      <c r="BG23" t="e">
        <f t="shared" si="50"/>
        <v>#N/A</v>
      </c>
      <c r="BH23" t="e">
        <f t="shared" si="51"/>
        <v>#N/A</v>
      </c>
      <c r="BI23" t="e">
        <f t="shared" si="52"/>
        <v>#N/A</v>
      </c>
      <c r="BJ23" t="e">
        <f t="shared" si="53"/>
        <v>#N/A</v>
      </c>
      <c r="BK23" t="e">
        <f t="shared" si="54"/>
        <v>#N/A</v>
      </c>
      <c r="BL23" t="e">
        <f t="shared" si="55"/>
        <v>#N/A</v>
      </c>
      <c r="BM23" t="e">
        <f t="shared" si="56"/>
        <v>#N/A</v>
      </c>
      <c r="BN23" t="e">
        <f t="shared" si="57"/>
        <v>#N/A</v>
      </c>
      <c r="BO23" t="e">
        <f t="shared" si="58"/>
        <v>#N/A</v>
      </c>
      <c r="BP23" t="e">
        <f t="shared" si="59"/>
        <v>#N/A</v>
      </c>
      <c r="BQ23" t="e">
        <f t="shared" si="60"/>
        <v>#N/A</v>
      </c>
      <c r="BR23" t="e">
        <f t="shared" si="61"/>
        <v>#N/A</v>
      </c>
      <c r="BS23" t="e">
        <f t="shared" si="62"/>
        <v>#N/A</v>
      </c>
      <c r="BT23" t="e">
        <f t="shared" si="63"/>
        <v>#N/A</v>
      </c>
      <c r="BU23" t="e">
        <f t="shared" si="64"/>
        <v>#N/A</v>
      </c>
      <c r="BV23" t="e">
        <f t="shared" si="65"/>
        <v>#N/A</v>
      </c>
      <c r="BW23" t="e">
        <f t="shared" si="66"/>
        <v>#N/A</v>
      </c>
      <c r="BX23" t="e">
        <f t="shared" si="67"/>
        <v>#N/A</v>
      </c>
      <c r="BY23" t="e">
        <f t="shared" si="68"/>
        <v>#N/A</v>
      </c>
      <c r="BZ23" t="e">
        <f t="shared" si="69"/>
        <v>#N/A</v>
      </c>
      <c r="CA23" t="e">
        <f t="shared" si="70"/>
        <v>#N/A</v>
      </c>
      <c r="CB23" t="e">
        <f t="shared" si="71"/>
        <v>#N/A</v>
      </c>
      <c r="CC23" t="e">
        <f t="shared" si="72"/>
        <v>#N/A</v>
      </c>
      <c r="CD23" t="e">
        <f t="shared" si="73"/>
        <v>#N/A</v>
      </c>
      <c r="CE23" t="e">
        <f t="shared" si="74"/>
        <v>#N/A</v>
      </c>
      <c r="CF23" t="e">
        <f t="shared" si="75"/>
        <v>#N/A</v>
      </c>
      <c r="CG23" t="e">
        <f t="shared" si="76"/>
        <v>#N/A</v>
      </c>
      <c r="CH23" t="e">
        <f t="shared" si="77"/>
        <v>#N/A</v>
      </c>
      <c r="CI23" t="e">
        <f t="shared" si="78"/>
        <v>#N/A</v>
      </c>
      <c r="CJ23" t="e">
        <f t="shared" si="79"/>
        <v>#N/A</v>
      </c>
      <c r="CK23" t="e">
        <f t="shared" si="80"/>
        <v>#N/A</v>
      </c>
      <c r="CL23" t="e">
        <f t="shared" si="81"/>
        <v>#N/A</v>
      </c>
      <c r="CM23" t="e">
        <f t="shared" si="82"/>
        <v>#N/A</v>
      </c>
      <c r="CN23" t="e">
        <f t="shared" si="83"/>
        <v>#N/A</v>
      </c>
      <c r="CO23" t="e">
        <f t="shared" si="84"/>
        <v>#N/A</v>
      </c>
      <c r="CP23" t="e">
        <f t="shared" si="85"/>
        <v>#N/A</v>
      </c>
      <c r="CQ23" t="e">
        <f t="shared" si="86"/>
        <v>#N/A</v>
      </c>
      <c r="CR23" t="e">
        <f t="shared" si="87"/>
        <v>#N/A</v>
      </c>
      <c r="CS23" t="e">
        <f t="shared" si="88"/>
        <v>#N/A</v>
      </c>
      <c r="CT23" t="e">
        <f t="shared" si="89"/>
        <v>#N/A</v>
      </c>
      <c r="CU23" t="e">
        <f t="shared" si="90"/>
        <v>#N/A</v>
      </c>
      <c r="CV23" t="e">
        <f t="shared" si="91"/>
        <v>#N/A</v>
      </c>
      <c r="CW23" t="e">
        <f t="shared" si="91"/>
        <v>#N/A</v>
      </c>
      <c r="CX23" t="e">
        <f t="shared" si="91"/>
        <v>#N/A</v>
      </c>
      <c r="CY23" t="e">
        <f t="shared" si="91"/>
        <v>#N/A</v>
      </c>
      <c r="CZ23" t="e">
        <f t="shared" si="93"/>
        <v>#N/A</v>
      </c>
      <c r="DA23" t="e">
        <f t="shared" si="93"/>
        <v>#N/A</v>
      </c>
    </row>
    <row r="24" spans="1:105" x14ac:dyDescent="0.35">
      <c r="A24" t="str">
        <f>Setup!A23</f>
        <v>Caseload 4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 t="e" vm="2">
        <f ca="1">'Required Capacity (Hide)'!E24</f>
        <v>#VALUE!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  <c r="V24" t="e">
        <f t="shared" si="13"/>
        <v>#N/A</v>
      </c>
      <c r="W24" t="e">
        <f t="shared" si="14"/>
        <v>#N/A</v>
      </c>
      <c r="X24" t="e">
        <f t="shared" si="15"/>
        <v>#N/A</v>
      </c>
      <c r="Y24" t="e">
        <f t="shared" si="16"/>
        <v>#N/A</v>
      </c>
      <c r="Z24" t="e">
        <f t="shared" si="17"/>
        <v>#N/A</v>
      </c>
      <c r="AA24" t="e">
        <f t="shared" si="18"/>
        <v>#N/A</v>
      </c>
      <c r="AB24" t="e">
        <f t="shared" si="19"/>
        <v>#N/A</v>
      </c>
      <c r="AC24" t="e">
        <f t="shared" si="20"/>
        <v>#N/A</v>
      </c>
      <c r="AD24" t="e">
        <f t="shared" si="21"/>
        <v>#N/A</v>
      </c>
      <c r="AE24" t="e">
        <f t="shared" si="22"/>
        <v>#N/A</v>
      </c>
      <c r="AF24" t="e">
        <f t="shared" si="23"/>
        <v>#N/A</v>
      </c>
      <c r="AG24" t="e">
        <f t="shared" si="24"/>
        <v>#N/A</v>
      </c>
      <c r="AH24" t="e">
        <f t="shared" si="25"/>
        <v>#N/A</v>
      </c>
      <c r="AI24" t="e">
        <f t="shared" si="26"/>
        <v>#N/A</v>
      </c>
      <c r="AJ24" t="e">
        <f t="shared" si="27"/>
        <v>#N/A</v>
      </c>
      <c r="AK24" t="e">
        <f t="shared" si="28"/>
        <v>#N/A</v>
      </c>
      <c r="AL24" t="e">
        <f t="shared" si="29"/>
        <v>#N/A</v>
      </c>
      <c r="AM24" t="e">
        <f t="shared" si="30"/>
        <v>#N/A</v>
      </c>
      <c r="AN24" t="e">
        <f t="shared" si="31"/>
        <v>#N/A</v>
      </c>
      <c r="AO24" t="e">
        <f t="shared" si="32"/>
        <v>#N/A</v>
      </c>
      <c r="AP24" t="e">
        <f t="shared" si="33"/>
        <v>#N/A</v>
      </c>
      <c r="AQ24" t="e">
        <f t="shared" si="34"/>
        <v>#N/A</v>
      </c>
      <c r="AR24" t="e">
        <f t="shared" si="35"/>
        <v>#N/A</v>
      </c>
      <c r="AS24" t="e">
        <f t="shared" si="36"/>
        <v>#N/A</v>
      </c>
      <c r="AT24" t="e">
        <f t="shared" si="37"/>
        <v>#N/A</v>
      </c>
      <c r="AU24" t="e">
        <f t="shared" si="38"/>
        <v>#N/A</v>
      </c>
      <c r="AV24" t="e">
        <f t="shared" si="39"/>
        <v>#N/A</v>
      </c>
      <c r="AW24" t="e">
        <f t="shared" si="40"/>
        <v>#N/A</v>
      </c>
      <c r="AX24" t="e">
        <f t="shared" si="41"/>
        <v>#N/A</v>
      </c>
      <c r="AY24" t="e">
        <f t="shared" si="42"/>
        <v>#N/A</v>
      </c>
      <c r="AZ24" t="e">
        <f t="shared" si="43"/>
        <v>#N/A</v>
      </c>
      <c r="BA24" t="e">
        <f t="shared" si="44"/>
        <v>#N/A</v>
      </c>
      <c r="BB24" t="e">
        <f t="shared" si="45"/>
        <v>#N/A</v>
      </c>
      <c r="BC24" t="e">
        <f t="shared" si="46"/>
        <v>#N/A</v>
      </c>
      <c r="BD24" t="e">
        <f t="shared" si="47"/>
        <v>#N/A</v>
      </c>
      <c r="BE24" t="e">
        <f t="shared" si="48"/>
        <v>#N/A</v>
      </c>
      <c r="BF24" t="e">
        <f t="shared" si="49"/>
        <v>#N/A</v>
      </c>
      <c r="BG24" t="e">
        <f t="shared" si="50"/>
        <v>#N/A</v>
      </c>
      <c r="BH24" t="e">
        <f t="shared" si="51"/>
        <v>#N/A</v>
      </c>
      <c r="BI24" t="e">
        <f t="shared" si="52"/>
        <v>#N/A</v>
      </c>
      <c r="BJ24" t="e">
        <f t="shared" si="53"/>
        <v>#N/A</v>
      </c>
      <c r="BK24" t="e">
        <f t="shared" si="54"/>
        <v>#N/A</v>
      </c>
      <c r="BL24" t="e">
        <f t="shared" si="55"/>
        <v>#N/A</v>
      </c>
      <c r="BM24" t="e">
        <f t="shared" si="56"/>
        <v>#N/A</v>
      </c>
      <c r="BN24" t="e">
        <f t="shared" si="57"/>
        <v>#N/A</v>
      </c>
      <c r="BO24" t="e">
        <f t="shared" si="58"/>
        <v>#N/A</v>
      </c>
      <c r="BP24" t="e">
        <f t="shared" si="59"/>
        <v>#N/A</v>
      </c>
      <c r="BQ24" t="e">
        <f t="shared" si="60"/>
        <v>#N/A</v>
      </c>
      <c r="BR24" t="e">
        <f t="shared" si="61"/>
        <v>#N/A</v>
      </c>
      <c r="BS24" t="e">
        <f t="shared" si="62"/>
        <v>#N/A</v>
      </c>
      <c r="BT24" t="e">
        <f t="shared" si="63"/>
        <v>#N/A</v>
      </c>
      <c r="BU24" t="e">
        <f t="shared" si="64"/>
        <v>#N/A</v>
      </c>
      <c r="BV24" t="e">
        <f t="shared" si="65"/>
        <v>#N/A</v>
      </c>
      <c r="BW24" t="e">
        <f t="shared" si="66"/>
        <v>#N/A</v>
      </c>
      <c r="BX24" t="e">
        <f t="shared" si="67"/>
        <v>#N/A</v>
      </c>
      <c r="BY24" t="e">
        <f t="shared" si="68"/>
        <v>#N/A</v>
      </c>
      <c r="BZ24" t="e">
        <f t="shared" si="69"/>
        <v>#N/A</v>
      </c>
      <c r="CA24" t="e">
        <f t="shared" si="70"/>
        <v>#N/A</v>
      </c>
      <c r="CB24" t="e">
        <f t="shared" si="71"/>
        <v>#N/A</v>
      </c>
      <c r="CC24" t="e">
        <f t="shared" si="72"/>
        <v>#N/A</v>
      </c>
      <c r="CD24" t="e">
        <f t="shared" si="73"/>
        <v>#N/A</v>
      </c>
      <c r="CE24" t="e">
        <f t="shared" si="74"/>
        <v>#N/A</v>
      </c>
      <c r="CF24" t="e">
        <f t="shared" si="75"/>
        <v>#N/A</v>
      </c>
      <c r="CG24" t="e">
        <f t="shared" si="76"/>
        <v>#N/A</v>
      </c>
      <c r="CH24" t="e">
        <f t="shared" si="77"/>
        <v>#N/A</v>
      </c>
      <c r="CI24" t="e">
        <f t="shared" si="78"/>
        <v>#N/A</v>
      </c>
      <c r="CJ24" t="e">
        <f t="shared" si="79"/>
        <v>#N/A</v>
      </c>
      <c r="CK24" t="e">
        <f t="shared" si="80"/>
        <v>#N/A</v>
      </c>
      <c r="CL24" t="e">
        <f t="shared" si="81"/>
        <v>#N/A</v>
      </c>
      <c r="CM24" t="e">
        <f t="shared" si="82"/>
        <v>#N/A</v>
      </c>
      <c r="CN24" t="e">
        <f t="shared" si="83"/>
        <v>#N/A</v>
      </c>
      <c r="CO24" t="e">
        <f t="shared" si="84"/>
        <v>#N/A</v>
      </c>
      <c r="CP24" t="e">
        <f t="shared" si="85"/>
        <v>#N/A</v>
      </c>
      <c r="CQ24" t="e">
        <f t="shared" si="86"/>
        <v>#N/A</v>
      </c>
      <c r="CR24" t="e">
        <f t="shared" si="87"/>
        <v>#N/A</v>
      </c>
      <c r="CS24" t="e">
        <f t="shared" si="88"/>
        <v>#N/A</v>
      </c>
      <c r="CT24" t="e">
        <f t="shared" si="89"/>
        <v>#N/A</v>
      </c>
      <c r="CU24" t="e">
        <f t="shared" si="90"/>
        <v>#N/A</v>
      </c>
      <c r="CV24" t="e">
        <f t="shared" si="91"/>
        <v>#N/A</v>
      </c>
      <c r="CW24" t="e">
        <f t="shared" si="91"/>
        <v>#N/A</v>
      </c>
      <c r="CX24" t="e">
        <f t="shared" si="91"/>
        <v>#N/A</v>
      </c>
      <c r="CY24" t="e">
        <f t="shared" si="91"/>
        <v>#N/A</v>
      </c>
      <c r="CZ24" t="e">
        <f t="shared" si="93"/>
        <v>#N/A</v>
      </c>
      <c r="DA24" t="e">
        <f t="shared" si="93"/>
        <v>#N/A</v>
      </c>
    </row>
    <row r="25" spans="1:105" x14ac:dyDescent="0.35">
      <c r="A25" t="str">
        <f>Setup!A24</f>
        <v>Caseload 5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 t="e" vm="2">
        <f ca="1">'Required Capacity (Hide)'!E25</f>
        <v>#VALUE!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  <c r="V25" t="e">
        <f t="shared" si="13"/>
        <v>#N/A</v>
      </c>
      <c r="W25" t="e">
        <f t="shared" si="14"/>
        <v>#N/A</v>
      </c>
      <c r="X25" t="e">
        <f t="shared" si="15"/>
        <v>#N/A</v>
      </c>
      <c r="Y25" t="e">
        <f t="shared" si="16"/>
        <v>#N/A</v>
      </c>
      <c r="Z25" t="e">
        <f t="shared" si="17"/>
        <v>#N/A</v>
      </c>
      <c r="AA25" t="e">
        <f t="shared" si="18"/>
        <v>#N/A</v>
      </c>
      <c r="AB25" t="e">
        <f t="shared" si="19"/>
        <v>#N/A</v>
      </c>
      <c r="AC25" t="e">
        <f t="shared" si="20"/>
        <v>#N/A</v>
      </c>
      <c r="AD25" t="e">
        <f t="shared" si="21"/>
        <v>#N/A</v>
      </c>
      <c r="AE25" t="e">
        <f t="shared" si="22"/>
        <v>#N/A</v>
      </c>
      <c r="AF25" t="e">
        <f t="shared" si="23"/>
        <v>#N/A</v>
      </c>
      <c r="AG25" t="e">
        <f t="shared" si="24"/>
        <v>#N/A</v>
      </c>
      <c r="AH25" t="e">
        <f t="shared" si="25"/>
        <v>#N/A</v>
      </c>
      <c r="AI25" t="e">
        <f t="shared" si="26"/>
        <v>#N/A</v>
      </c>
      <c r="AJ25" t="e">
        <f t="shared" si="27"/>
        <v>#N/A</v>
      </c>
      <c r="AK25" t="e">
        <f t="shared" si="28"/>
        <v>#N/A</v>
      </c>
      <c r="AL25" t="e">
        <f t="shared" si="29"/>
        <v>#N/A</v>
      </c>
      <c r="AM25" t="e">
        <f t="shared" si="30"/>
        <v>#N/A</v>
      </c>
      <c r="AN25" t="e">
        <f t="shared" si="31"/>
        <v>#N/A</v>
      </c>
      <c r="AO25" t="e">
        <f t="shared" si="32"/>
        <v>#N/A</v>
      </c>
      <c r="AP25" t="e">
        <f t="shared" si="33"/>
        <v>#N/A</v>
      </c>
      <c r="AQ25" t="e">
        <f t="shared" si="34"/>
        <v>#N/A</v>
      </c>
      <c r="AR25" t="e">
        <f t="shared" si="35"/>
        <v>#N/A</v>
      </c>
      <c r="AS25" t="e">
        <f t="shared" si="36"/>
        <v>#N/A</v>
      </c>
      <c r="AT25" t="e">
        <f t="shared" si="37"/>
        <v>#N/A</v>
      </c>
      <c r="AU25" t="e">
        <f t="shared" si="38"/>
        <v>#N/A</v>
      </c>
      <c r="AV25" t="e">
        <f t="shared" si="39"/>
        <v>#N/A</v>
      </c>
      <c r="AW25" t="e">
        <f t="shared" si="40"/>
        <v>#N/A</v>
      </c>
      <c r="AX25" t="e">
        <f t="shared" si="41"/>
        <v>#N/A</v>
      </c>
      <c r="AY25" t="e">
        <f t="shared" si="42"/>
        <v>#N/A</v>
      </c>
      <c r="AZ25" t="e">
        <f t="shared" si="43"/>
        <v>#N/A</v>
      </c>
      <c r="BA25" t="e">
        <f t="shared" si="44"/>
        <v>#N/A</v>
      </c>
      <c r="BB25" t="e">
        <f t="shared" si="45"/>
        <v>#N/A</v>
      </c>
      <c r="BC25" t="e">
        <f t="shared" si="46"/>
        <v>#N/A</v>
      </c>
      <c r="BD25" t="e">
        <f t="shared" si="47"/>
        <v>#N/A</v>
      </c>
      <c r="BE25" t="e">
        <f t="shared" si="48"/>
        <v>#N/A</v>
      </c>
      <c r="BF25" t="e">
        <f t="shared" si="49"/>
        <v>#N/A</v>
      </c>
      <c r="BG25" t="e">
        <f t="shared" si="50"/>
        <v>#N/A</v>
      </c>
      <c r="BH25" t="e">
        <f t="shared" si="51"/>
        <v>#N/A</v>
      </c>
      <c r="BI25" t="e">
        <f t="shared" si="52"/>
        <v>#N/A</v>
      </c>
      <c r="BJ25" t="e">
        <f t="shared" si="53"/>
        <v>#N/A</v>
      </c>
      <c r="BK25" t="e">
        <f t="shared" si="54"/>
        <v>#N/A</v>
      </c>
      <c r="BL25" t="e">
        <f t="shared" si="55"/>
        <v>#N/A</v>
      </c>
      <c r="BM25" t="e">
        <f t="shared" si="56"/>
        <v>#N/A</v>
      </c>
      <c r="BN25" t="e">
        <f t="shared" si="57"/>
        <v>#N/A</v>
      </c>
      <c r="BO25" t="e">
        <f t="shared" si="58"/>
        <v>#N/A</v>
      </c>
      <c r="BP25" t="e">
        <f t="shared" si="59"/>
        <v>#N/A</v>
      </c>
      <c r="BQ25" t="e">
        <f t="shared" si="60"/>
        <v>#N/A</v>
      </c>
      <c r="BR25" t="e">
        <f t="shared" si="61"/>
        <v>#N/A</v>
      </c>
      <c r="BS25" t="e">
        <f t="shared" si="62"/>
        <v>#N/A</v>
      </c>
      <c r="BT25" t="e">
        <f t="shared" si="63"/>
        <v>#N/A</v>
      </c>
      <c r="BU25" t="e">
        <f t="shared" si="64"/>
        <v>#N/A</v>
      </c>
      <c r="BV25" t="e">
        <f t="shared" si="65"/>
        <v>#N/A</v>
      </c>
      <c r="BW25" t="e">
        <f t="shared" si="66"/>
        <v>#N/A</v>
      </c>
      <c r="BX25" t="e">
        <f t="shared" si="67"/>
        <v>#N/A</v>
      </c>
      <c r="BY25" t="e">
        <f t="shared" si="68"/>
        <v>#N/A</v>
      </c>
      <c r="BZ25" t="e">
        <f t="shared" si="69"/>
        <v>#N/A</v>
      </c>
      <c r="CA25" t="e">
        <f t="shared" si="70"/>
        <v>#N/A</v>
      </c>
      <c r="CB25" t="e">
        <f t="shared" si="71"/>
        <v>#N/A</v>
      </c>
      <c r="CC25" t="e">
        <f t="shared" si="72"/>
        <v>#N/A</v>
      </c>
      <c r="CD25" t="e">
        <f t="shared" si="73"/>
        <v>#N/A</v>
      </c>
      <c r="CE25" t="e">
        <f t="shared" si="74"/>
        <v>#N/A</v>
      </c>
      <c r="CF25" t="e">
        <f t="shared" si="75"/>
        <v>#N/A</v>
      </c>
      <c r="CG25" t="e">
        <f t="shared" si="76"/>
        <v>#N/A</v>
      </c>
      <c r="CH25" t="e">
        <f t="shared" si="77"/>
        <v>#N/A</v>
      </c>
      <c r="CI25" t="e">
        <f t="shared" si="78"/>
        <v>#N/A</v>
      </c>
      <c r="CJ25" t="e">
        <f t="shared" si="79"/>
        <v>#N/A</v>
      </c>
      <c r="CK25" t="e">
        <f t="shared" si="80"/>
        <v>#N/A</v>
      </c>
      <c r="CL25" t="e">
        <f t="shared" si="81"/>
        <v>#N/A</v>
      </c>
      <c r="CM25" t="e">
        <f t="shared" si="82"/>
        <v>#N/A</v>
      </c>
      <c r="CN25" t="e">
        <f t="shared" si="83"/>
        <v>#N/A</v>
      </c>
      <c r="CO25" t="e">
        <f t="shared" si="84"/>
        <v>#N/A</v>
      </c>
      <c r="CP25" t="e">
        <f t="shared" si="85"/>
        <v>#N/A</v>
      </c>
      <c r="CQ25" t="e">
        <f t="shared" si="86"/>
        <v>#N/A</v>
      </c>
      <c r="CR25" t="e">
        <f t="shared" si="87"/>
        <v>#N/A</v>
      </c>
      <c r="CS25" t="e">
        <f t="shared" si="88"/>
        <v>#N/A</v>
      </c>
      <c r="CT25" t="e">
        <f t="shared" si="89"/>
        <v>#N/A</v>
      </c>
      <c r="CU25" t="e">
        <f t="shared" si="90"/>
        <v>#N/A</v>
      </c>
      <c r="CV25" t="e">
        <f t="shared" si="91"/>
        <v>#N/A</v>
      </c>
      <c r="CW25" t="e">
        <f t="shared" si="91"/>
        <v>#N/A</v>
      </c>
      <c r="CX25" t="e">
        <f t="shared" si="91"/>
        <v>#N/A</v>
      </c>
      <c r="CY25" t="e">
        <f t="shared" si="91"/>
        <v>#N/A</v>
      </c>
      <c r="CZ25" t="e">
        <f t="shared" si="93"/>
        <v>#N/A</v>
      </c>
      <c r="DA25" t="e">
        <f t="shared" si="93"/>
        <v>#N/A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 t="e" vm="2">
        <f ca="1">'Required Capacity (Hide)'!E26</f>
        <v>#VALUE!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  <c r="V26" t="e">
        <f t="shared" si="13"/>
        <v>#N/A</v>
      </c>
      <c r="W26" t="e">
        <f t="shared" si="14"/>
        <v>#N/A</v>
      </c>
      <c r="X26" t="e">
        <f t="shared" si="15"/>
        <v>#N/A</v>
      </c>
      <c r="Y26" t="e">
        <f t="shared" si="16"/>
        <v>#N/A</v>
      </c>
      <c r="Z26" t="e">
        <f t="shared" si="17"/>
        <v>#N/A</v>
      </c>
      <c r="AA26" t="e">
        <f t="shared" si="18"/>
        <v>#N/A</v>
      </c>
      <c r="AB26" t="e">
        <f t="shared" si="19"/>
        <v>#N/A</v>
      </c>
      <c r="AC26" t="e">
        <f t="shared" si="20"/>
        <v>#N/A</v>
      </c>
      <c r="AD26" t="e">
        <f t="shared" si="21"/>
        <v>#N/A</v>
      </c>
      <c r="AE26" t="e">
        <f t="shared" si="22"/>
        <v>#N/A</v>
      </c>
      <c r="AF26" t="e">
        <f t="shared" si="23"/>
        <v>#N/A</v>
      </c>
      <c r="AG26" t="e">
        <f t="shared" si="24"/>
        <v>#N/A</v>
      </c>
      <c r="AH26" t="e">
        <f t="shared" si="25"/>
        <v>#N/A</v>
      </c>
      <c r="AI26" t="e">
        <f t="shared" si="26"/>
        <v>#N/A</v>
      </c>
      <c r="AJ26" t="e">
        <f t="shared" si="27"/>
        <v>#N/A</v>
      </c>
      <c r="AK26" t="e">
        <f t="shared" si="28"/>
        <v>#N/A</v>
      </c>
      <c r="AL26" t="e">
        <f t="shared" si="29"/>
        <v>#N/A</v>
      </c>
      <c r="AM26" t="e">
        <f t="shared" si="30"/>
        <v>#N/A</v>
      </c>
      <c r="AN26" t="e">
        <f t="shared" si="31"/>
        <v>#N/A</v>
      </c>
      <c r="AO26" t="e">
        <f t="shared" si="32"/>
        <v>#N/A</v>
      </c>
      <c r="AP26" t="e">
        <f t="shared" si="33"/>
        <v>#N/A</v>
      </c>
      <c r="AQ26" t="e">
        <f t="shared" si="34"/>
        <v>#N/A</v>
      </c>
      <c r="AR26" t="e">
        <f t="shared" si="35"/>
        <v>#N/A</v>
      </c>
      <c r="AS26" t="e">
        <f t="shared" si="36"/>
        <v>#N/A</v>
      </c>
      <c r="AT26" t="e">
        <f t="shared" si="37"/>
        <v>#N/A</v>
      </c>
      <c r="AU26" t="e">
        <f t="shared" si="38"/>
        <v>#N/A</v>
      </c>
      <c r="AV26" t="e">
        <f t="shared" si="39"/>
        <v>#N/A</v>
      </c>
      <c r="AW26" t="e">
        <f t="shared" si="40"/>
        <v>#N/A</v>
      </c>
      <c r="AX26" t="e">
        <f t="shared" si="41"/>
        <v>#N/A</v>
      </c>
      <c r="AY26" t="e">
        <f t="shared" si="42"/>
        <v>#N/A</v>
      </c>
      <c r="AZ26" t="e">
        <f t="shared" si="43"/>
        <v>#N/A</v>
      </c>
      <c r="BA26" t="e">
        <f t="shared" si="44"/>
        <v>#N/A</v>
      </c>
      <c r="BB26" t="e">
        <f t="shared" si="45"/>
        <v>#N/A</v>
      </c>
      <c r="BC26" t="e">
        <f t="shared" si="46"/>
        <v>#N/A</v>
      </c>
      <c r="BD26" t="e">
        <f t="shared" si="47"/>
        <v>#N/A</v>
      </c>
      <c r="BE26" t="e">
        <f t="shared" si="48"/>
        <v>#N/A</v>
      </c>
      <c r="BF26" t="e">
        <f t="shared" si="49"/>
        <v>#N/A</v>
      </c>
      <c r="BG26" t="e">
        <f t="shared" si="50"/>
        <v>#N/A</v>
      </c>
      <c r="BH26" t="e">
        <f t="shared" si="51"/>
        <v>#N/A</v>
      </c>
      <c r="BI26" t="e">
        <f t="shared" si="52"/>
        <v>#N/A</v>
      </c>
      <c r="BJ26" t="e">
        <f t="shared" si="53"/>
        <v>#N/A</v>
      </c>
      <c r="BK26" t="e">
        <f t="shared" si="54"/>
        <v>#N/A</v>
      </c>
      <c r="BL26" t="e">
        <f t="shared" si="55"/>
        <v>#N/A</v>
      </c>
      <c r="BM26" t="e">
        <f t="shared" si="56"/>
        <v>#N/A</v>
      </c>
      <c r="BN26" t="e">
        <f t="shared" si="57"/>
        <v>#N/A</v>
      </c>
      <c r="BO26" t="e">
        <f t="shared" si="58"/>
        <v>#N/A</v>
      </c>
      <c r="BP26" t="e">
        <f t="shared" si="59"/>
        <v>#N/A</v>
      </c>
      <c r="BQ26" t="e">
        <f t="shared" si="60"/>
        <v>#N/A</v>
      </c>
      <c r="BR26" t="e">
        <f t="shared" si="61"/>
        <v>#N/A</v>
      </c>
      <c r="BS26" t="e">
        <f t="shared" si="62"/>
        <v>#N/A</v>
      </c>
      <c r="BT26" t="e">
        <f t="shared" si="63"/>
        <v>#N/A</v>
      </c>
      <c r="BU26" t="e">
        <f t="shared" si="64"/>
        <v>#N/A</v>
      </c>
      <c r="BV26" t="e">
        <f t="shared" si="65"/>
        <v>#N/A</v>
      </c>
      <c r="BW26" t="e">
        <f t="shared" si="66"/>
        <v>#N/A</v>
      </c>
      <c r="BX26" t="e">
        <f t="shared" si="67"/>
        <v>#N/A</v>
      </c>
      <c r="BY26" t="e">
        <f t="shared" si="68"/>
        <v>#N/A</v>
      </c>
      <c r="BZ26" t="e">
        <f t="shared" si="69"/>
        <v>#N/A</v>
      </c>
      <c r="CA26" t="e">
        <f t="shared" si="70"/>
        <v>#N/A</v>
      </c>
      <c r="CB26" t="e">
        <f t="shared" si="71"/>
        <v>#N/A</v>
      </c>
      <c r="CC26" t="e">
        <f t="shared" si="72"/>
        <v>#N/A</v>
      </c>
      <c r="CD26" t="e">
        <f t="shared" si="73"/>
        <v>#N/A</v>
      </c>
      <c r="CE26" t="e">
        <f t="shared" si="74"/>
        <v>#N/A</v>
      </c>
      <c r="CF26" t="e">
        <f t="shared" si="75"/>
        <v>#N/A</v>
      </c>
      <c r="CG26" t="e">
        <f t="shared" si="76"/>
        <v>#N/A</v>
      </c>
      <c r="CH26" t="e">
        <f t="shared" si="77"/>
        <v>#N/A</v>
      </c>
      <c r="CI26" t="e">
        <f t="shared" si="78"/>
        <v>#N/A</v>
      </c>
      <c r="CJ26" t="e">
        <f t="shared" si="79"/>
        <v>#N/A</v>
      </c>
      <c r="CK26" t="e">
        <f t="shared" si="80"/>
        <v>#N/A</v>
      </c>
      <c r="CL26" t="e">
        <f t="shared" si="81"/>
        <v>#N/A</v>
      </c>
      <c r="CM26" t="e">
        <f t="shared" si="82"/>
        <v>#N/A</v>
      </c>
      <c r="CN26" t="e">
        <f t="shared" si="83"/>
        <v>#N/A</v>
      </c>
      <c r="CO26" t="e">
        <f t="shared" si="84"/>
        <v>#N/A</v>
      </c>
      <c r="CP26" t="e">
        <f t="shared" si="85"/>
        <v>#N/A</v>
      </c>
      <c r="CQ26" t="e">
        <f t="shared" si="86"/>
        <v>#N/A</v>
      </c>
      <c r="CR26" t="e">
        <f t="shared" si="87"/>
        <v>#N/A</v>
      </c>
      <c r="CS26" t="e">
        <f t="shared" si="88"/>
        <v>#N/A</v>
      </c>
      <c r="CT26" t="e">
        <f t="shared" si="89"/>
        <v>#N/A</v>
      </c>
      <c r="CU26" t="e">
        <f t="shared" si="90"/>
        <v>#N/A</v>
      </c>
      <c r="CV26" t="e">
        <f t="shared" si="91"/>
        <v>#N/A</v>
      </c>
      <c r="CW26" t="e">
        <f t="shared" si="91"/>
        <v>#N/A</v>
      </c>
      <c r="CX26" t="e">
        <f t="shared" si="91"/>
        <v>#N/A</v>
      </c>
      <c r="CY26" t="e">
        <f t="shared" si="91"/>
        <v>#N/A</v>
      </c>
      <c r="CZ26" t="e">
        <f t="shared" si="93"/>
        <v>#N/A</v>
      </c>
      <c r="DA26" t="e">
        <f t="shared" si="93"/>
        <v>#N/A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 t="e" vm="2">
        <f ca="1">'Required Capacity (Hide)'!E27</f>
        <v>#VALUE!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  <c r="V27" t="e">
        <f t="shared" si="13"/>
        <v>#N/A</v>
      </c>
      <c r="W27" t="e">
        <f t="shared" si="14"/>
        <v>#N/A</v>
      </c>
      <c r="X27" t="e">
        <f t="shared" si="15"/>
        <v>#N/A</v>
      </c>
      <c r="Y27" t="e">
        <f t="shared" si="16"/>
        <v>#N/A</v>
      </c>
      <c r="Z27" t="e">
        <f t="shared" si="17"/>
        <v>#N/A</v>
      </c>
      <c r="AA27" t="e">
        <f t="shared" si="18"/>
        <v>#N/A</v>
      </c>
      <c r="AB27" t="e">
        <f t="shared" si="19"/>
        <v>#N/A</v>
      </c>
      <c r="AC27" t="e">
        <f t="shared" si="20"/>
        <v>#N/A</v>
      </c>
      <c r="AD27" t="e">
        <f t="shared" si="21"/>
        <v>#N/A</v>
      </c>
      <c r="AE27" t="e">
        <f t="shared" si="22"/>
        <v>#N/A</v>
      </c>
      <c r="AF27" t="e">
        <f t="shared" si="23"/>
        <v>#N/A</v>
      </c>
      <c r="AG27" t="e">
        <f t="shared" si="24"/>
        <v>#N/A</v>
      </c>
      <c r="AH27" t="e">
        <f t="shared" si="25"/>
        <v>#N/A</v>
      </c>
      <c r="AI27" t="e">
        <f t="shared" si="26"/>
        <v>#N/A</v>
      </c>
      <c r="AJ27" t="e">
        <f t="shared" si="27"/>
        <v>#N/A</v>
      </c>
      <c r="AK27" t="e">
        <f t="shared" si="28"/>
        <v>#N/A</v>
      </c>
      <c r="AL27" t="e">
        <f t="shared" si="29"/>
        <v>#N/A</v>
      </c>
      <c r="AM27" t="e">
        <f t="shared" si="30"/>
        <v>#N/A</v>
      </c>
      <c r="AN27" t="e">
        <f t="shared" si="31"/>
        <v>#N/A</v>
      </c>
      <c r="AO27" t="e">
        <f t="shared" si="32"/>
        <v>#N/A</v>
      </c>
      <c r="AP27" t="e">
        <f t="shared" si="33"/>
        <v>#N/A</v>
      </c>
      <c r="AQ27" t="e">
        <f t="shared" si="34"/>
        <v>#N/A</v>
      </c>
      <c r="AR27" t="e">
        <f t="shared" si="35"/>
        <v>#N/A</v>
      </c>
      <c r="AS27" t="e">
        <f t="shared" si="36"/>
        <v>#N/A</v>
      </c>
      <c r="AT27" t="e">
        <f t="shared" si="37"/>
        <v>#N/A</v>
      </c>
      <c r="AU27" t="e">
        <f t="shared" si="38"/>
        <v>#N/A</v>
      </c>
      <c r="AV27" t="e">
        <f t="shared" si="39"/>
        <v>#N/A</v>
      </c>
      <c r="AW27" t="e">
        <f t="shared" si="40"/>
        <v>#N/A</v>
      </c>
      <c r="AX27" t="e">
        <f t="shared" si="41"/>
        <v>#N/A</v>
      </c>
      <c r="AY27" t="e">
        <f t="shared" si="42"/>
        <v>#N/A</v>
      </c>
      <c r="AZ27" t="e">
        <f t="shared" si="43"/>
        <v>#N/A</v>
      </c>
      <c r="BA27" t="e">
        <f t="shared" si="44"/>
        <v>#N/A</v>
      </c>
      <c r="BB27" t="e">
        <f t="shared" si="45"/>
        <v>#N/A</v>
      </c>
      <c r="BC27" t="e">
        <f t="shared" si="46"/>
        <v>#N/A</v>
      </c>
      <c r="BD27" t="e">
        <f t="shared" si="47"/>
        <v>#N/A</v>
      </c>
      <c r="BE27" t="e">
        <f t="shared" si="48"/>
        <v>#N/A</v>
      </c>
      <c r="BF27" t="e">
        <f t="shared" si="49"/>
        <v>#N/A</v>
      </c>
      <c r="BG27" t="e">
        <f t="shared" si="50"/>
        <v>#N/A</v>
      </c>
      <c r="BH27" t="e">
        <f t="shared" si="51"/>
        <v>#N/A</v>
      </c>
      <c r="BI27" t="e">
        <f t="shared" si="52"/>
        <v>#N/A</v>
      </c>
      <c r="BJ27" t="e">
        <f t="shared" si="53"/>
        <v>#N/A</v>
      </c>
      <c r="BK27" t="e">
        <f t="shared" si="54"/>
        <v>#N/A</v>
      </c>
      <c r="BL27" t="e">
        <f t="shared" si="55"/>
        <v>#N/A</v>
      </c>
      <c r="BM27" t="e">
        <f t="shared" si="56"/>
        <v>#N/A</v>
      </c>
      <c r="BN27" t="e">
        <f t="shared" si="57"/>
        <v>#N/A</v>
      </c>
      <c r="BO27" t="e">
        <f t="shared" si="58"/>
        <v>#N/A</v>
      </c>
      <c r="BP27" t="e">
        <f t="shared" si="59"/>
        <v>#N/A</v>
      </c>
      <c r="BQ27" t="e">
        <f t="shared" si="60"/>
        <v>#N/A</v>
      </c>
      <c r="BR27" t="e">
        <f t="shared" si="61"/>
        <v>#N/A</v>
      </c>
      <c r="BS27" t="e">
        <f t="shared" si="62"/>
        <v>#N/A</v>
      </c>
      <c r="BT27" t="e">
        <f t="shared" si="63"/>
        <v>#N/A</v>
      </c>
      <c r="BU27" t="e">
        <f t="shared" si="64"/>
        <v>#N/A</v>
      </c>
      <c r="BV27" t="e">
        <f t="shared" si="65"/>
        <v>#N/A</v>
      </c>
      <c r="BW27" t="e">
        <f t="shared" si="66"/>
        <v>#N/A</v>
      </c>
      <c r="BX27" t="e">
        <f t="shared" si="67"/>
        <v>#N/A</v>
      </c>
      <c r="BY27" t="e">
        <f t="shared" si="68"/>
        <v>#N/A</v>
      </c>
      <c r="BZ27" t="e">
        <f t="shared" si="69"/>
        <v>#N/A</v>
      </c>
      <c r="CA27" t="e">
        <f t="shared" si="70"/>
        <v>#N/A</v>
      </c>
      <c r="CB27" t="e">
        <f t="shared" si="71"/>
        <v>#N/A</v>
      </c>
      <c r="CC27" t="e">
        <f t="shared" si="72"/>
        <v>#N/A</v>
      </c>
      <c r="CD27" t="e">
        <f t="shared" si="73"/>
        <v>#N/A</v>
      </c>
      <c r="CE27" t="e">
        <f t="shared" si="74"/>
        <v>#N/A</v>
      </c>
      <c r="CF27" t="e">
        <f t="shared" si="75"/>
        <v>#N/A</v>
      </c>
      <c r="CG27" t="e">
        <f t="shared" si="76"/>
        <v>#N/A</v>
      </c>
      <c r="CH27" t="e">
        <f t="shared" si="77"/>
        <v>#N/A</v>
      </c>
      <c r="CI27" t="e">
        <f t="shared" si="78"/>
        <v>#N/A</v>
      </c>
      <c r="CJ27" t="e">
        <f t="shared" si="79"/>
        <v>#N/A</v>
      </c>
      <c r="CK27" t="e">
        <f t="shared" si="80"/>
        <v>#N/A</v>
      </c>
      <c r="CL27" t="e">
        <f t="shared" si="81"/>
        <v>#N/A</v>
      </c>
      <c r="CM27" t="e">
        <f t="shared" si="82"/>
        <v>#N/A</v>
      </c>
      <c r="CN27" t="e">
        <f t="shared" si="83"/>
        <v>#N/A</v>
      </c>
      <c r="CO27" t="e">
        <f t="shared" si="84"/>
        <v>#N/A</v>
      </c>
      <c r="CP27" t="e">
        <f t="shared" si="85"/>
        <v>#N/A</v>
      </c>
      <c r="CQ27" t="e">
        <f t="shared" si="86"/>
        <v>#N/A</v>
      </c>
      <c r="CR27" t="e">
        <f t="shared" si="87"/>
        <v>#N/A</v>
      </c>
      <c r="CS27" t="e">
        <f t="shared" si="88"/>
        <v>#N/A</v>
      </c>
      <c r="CT27" t="e">
        <f t="shared" si="89"/>
        <v>#N/A</v>
      </c>
      <c r="CU27" t="e">
        <f t="shared" si="90"/>
        <v>#N/A</v>
      </c>
      <c r="CV27" t="e">
        <f t="shared" si="91"/>
        <v>#N/A</v>
      </c>
      <c r="CW27" t="e">
        <f t="shared" si="91"/>
        <v>#N/A</v>
      </c>
      <c r="CX27" t="e">
        <f t="shared" si="91"/>
        <v>#N/A</v>
      </c>
      <c r="CY27" t="e">
        <f t="shared" si="91"/>
        <v>#N/A</v>
      </c>
      <c r="CZ27" t="e">
        <f t="shared" si="93"/>
        <v>#N/A</v>
      </c>
      <c r="DA27" t="e">
        <f t="shared" si="93"/>
        <v>#N/A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 t="e" vm="2">
        <f ca="1">'Required Capacity (Hide)'!E28</f>
        <v>#VALUE!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  <c r="V28" t="e">
        <f t="shared" si="13"/>
        <v>#N/A</v>
      </c>
      <c r="W28" t="e">
        <f t="shared" si="14"/>
        <v>#N/A</v>
      </c>
      <c r="X28" t="e">
        <f t="shared" si="15"/>
        <v>#N/A</v>
      </c>
      <c r="Y28" t="e">
        <f t="shared" si="16"/>
        <v>#N/A</v>
      </c>
      <c r="Z28" t="e">
        <f t="shared" si="17"/>
        <v>#N/A</v>
      </c>
      <c r="AA28" t="e">
        <f t="shared" si="18"/>
        <v>#N/A</v>
      </c>
      <c r="AB28" t="e">
        <f t="shared" si="19"/>
        <v>#N/A</v>
      </c>
      <c r="AC28" t="e">
        <f t="shared" si="20"/>
        <v>#N/A</v>
      </c>
      <c r="AD28" t="e">
        <f t="shared" si="21"/>
        <v>#N/A</v>
      </c>
      <c r="AE28" t="e">
        <f t="shared" si="22"/>
        <v>#N/A</v>
      </c>
      <c r="AF28" t="e">
        <f t="shared" si="23"/>
        <v>#N/A</v>
      </c>
      <c r="AG28" t="e">
        <f t="shared" si="24"/>
        <v>#N/A</v>
      </c>
      <c r="AH28" t="e">
        <f t="shared" si="25"/>
        <v>#N/A</v>
      </c>
      <c r="AI28" t="e">
        <f t="shared" si="26"/>
        <v>#N/A</v>
      </c>
      <c r="AJ28" t="e">
        <f t="shared" si="27"/>
        <v>#N/A</v>
      </c>
      <c r="AK28" t="e">
        <f t="shared" si="28"/>
        <v>#N/A</v>
      </c>
      <c r="AL28" t="e">
        <f t="shared" si="29"/>
        <v>#N/A</v>
      </c>
      <c r="AM28" t="e">
        <f t="shared" si="30"/>
        <v>#N/A</v>
      </c>
      <c r="AN28" t="e">
        <f t="shared" si="31"/>
        <v>#N/A</v>
      </c>
      <c r="AO28" t="e">
        <f t="shared" si="32"/>
        <v>#N/A</v>
      </c>
      <c r="AP28" t="e">
        <f t="shared" si="33"/>
        <v>#N/A</v>
      </c>
      <c r="AQ28" t="e">
        <f t="shared" si="34"/>
        <v>#N/A</v>
      </c>
      <c r="AR28" t="e">
        <f t="shared" si="35"/>
        <v>#N/A</v>
      </c>
      <c r="AS28" t="e">
        <f t="shared" si="36"/>
        <v>#N/A</v>
      </c>
      <c r="AT28" t="e">
        <f t="shared" si="37"/>
        <v>#N/A</v>
      </c>
      <c r="AU28" t="e">
        <f t="shared" si="38"/>
        <v>#N/A</v>
      </c>
      <c r="AV28" t="e">
        <f t="shared" si="39"/>
        <v>#N/A</v>
      </c>
      <c r="AW28" t="e">
        <f t="shared" si="40"/>
        <v>#N/A</v>
      </c>
      <c r="AX28" t="e">
        <f t="shared" si="41"/>
        <v>#N/A</v>
      </c>
      <c r="AY28" t="e">
        <f t="shared" si="42"/>
        <v>#N/A</v>
      </c>
      <c r="AZ28" t="e">
        <f t="shared" si="43"/>
        <v>#N/A</v>
      </c>
      <c r="BA28" t="e">
        <f t="shared" si="44"/>
        <v>#N/A</v>
      </c>
      <c r="BB28" t="e">
        <f t="shared" si="45"/>
        <v>#N/A</v>
      </c>
      <c r="BC28" t="e">
        <f t="shared" si="46"/>
        <v>#N/A</v>
      </c>
      <c r="BD28" t="e">
        <f t="shared" si="47"/>
        <v>#N/A</v>
      </c>
      <c r="BE28" t="e">
        <f t="shared" si="48"/>
        <v>#N/A</v>
      </c>
      <c r="BF28" t="e">
        <f t="shared" si="49"/>
        <v>#N/A</v>
      </c>
      <c r="BG28" t="e">
        <f t="shared" si="50"/>
        <v>#N/A</v>
      </c>
      <c r="BH28" t="e">
        <f t="shared" si="51"/>
        <v>#N/A</v>
      </c>
      <c r="BI28" t="e">
        <f t="shared" si="52"/>
        <v>#N/A</v>
      </c>
      <c r="BJ28" t="e">
        <f t="shared" si="53"/>
        <v>#N/A</v>
      </c>
      <c r="BK28" t="e">
        <f t="shared" si="54"/>
        <v>#N/A</v>
      </c>
      <c r="BL28" t="e">
        <f t="shared" si="55"/>
        <v>#N/A</v>
      </c>
      <c r="BM28" t="e">
        <f t="shared" si="56"/>
        <v>#N/A</v>
      </c>
      <c r="BN28" t="e">
        <f t="shared" si="57"/>
        <v>#N/A</v>
      </c>
      <c r="BO28" t="e">
        <f t="shared" si="58"/>
        <v>#N/A</v>
      </c>
      <c r="BP28" t="e">
        <f t="shared" si="59"/>
        <v>#N/A</v>
      </c>
      <c r="BQ28" t="e">
        <f t="shared" si="60"/>
        <v>#N/A</v>
      </c>
      <c r="BR28" t="e">
        <f t="shared" si="61"/>
        <v>#N/A</v>
      </c>
      <c r="BS28" t="e">
        <f t="shared" si="62"/>
        <v>#N/A</v>
      </c>
      <c r="BT28" t="e">
        <f t="shared" si="63"/>
        <v>#N/A</v>
      </c>
      <c r="BU28" t="e">
        <f t="shared" si="64"/>
        <v>#N/A</v>
      </c>
      <c r="BV28" t="e">
        <f t="shared" si="65"/>
        <v>#N/A</v>
      </c>
      <c r="BW28" t="e">
        <f t="shared" si="66"/>
        <v>#N/A</v>
      </c>
      <c r="BX28" t="e">
        <f t="shared" si="67"/>
        <v>#N/A</v>
      </c>
      <c r="BY28" t="e">
        <f t="shared" si="68"/>
        <v>#N/A</v>
      </c>
      <c r="BZ28" t="e">
        <f t="shared" si="69"/>
        <v>#N/A</v>
      </c>
      <c r="CA28" t="e">
        <f t="shared" si="70"/>
        <v>#N/A</v>
      </c>
      <c r="CB28" t="e">
        <f t="shared" si="71"/>
        <v>#N/A</v>
      </c>
      <c r="CC28" t="e">
        <f t="shared" si="72"/>
        <v>#N/A</v>
      </c>
      <c r="CD28" t="e">
        <f t="shared" si="73"/>
        <v>#N/A</v>
      </c>
      <c r="CE28" t="e">
        <f t="shared" si="74"/>
        <v>#N/A</v>
      </c>
      <c r="CF28" t="e">
        <f t="shared" si="75"/>
        <v>#N/A</v>
      </c>
      <c r="CG28" t="e">
        <f t="shared" si="76"/>
        <v>#N/A</v>
      </c>
      <c r="CH28" t="e">
        <f t="shared" si="77"/>
        <v>#N/A</v>
      </c>
      <c r="CI28" t="e">
        <f t="shared" si="78"/>
        <v>#N/A</v>
      </c>
      <c r="CJ28" t="e">
        <f t="shared" si="79"/>
        <v>#N/A</v>
      </c>
      <c r="CK28" t="e">
        <f t="shared" si="80"/>
        <v>#N/A</v>
      </c>
      <c r="CL28" t="e">
        <f t="shared" si="81"/>
        <v>#N/A</v>
      </c>
      <c r="CM28" t="e">
        <f t="shared" si="82"/>
        <v>#N/A</v>
      </c>
      <c r="CN28" t="e">
        <f t="shared" si="83"/>
        <v>#N/A</v>
      </c>
      <c r="CO28" t="e">
        <f t="shared" si="84"/>
        <v>#N/A</v>
      </c>
      <c r="CP28" t="e">
        <f t="shared" si="85"/>
        <v>#N/A</v>
      </c>
      <c r="CQ28" t="e">
        <f t="shared" si="86"/>
        <v>#N/A</v>
      </c>
      <c r="CR28" t="e">
        <f t="shared" si="87"/>
        <v>#N/A</v>
      </c>
      <c r="CS28" t="e">
        <f t="shared" si="88"/>
        <v>#N/A</v>
      </c>
      <c r="CT28" t="e">
        <f t="shared" si="89"/>
        <v>#N/A</v>
      </c>
      <c r="CU28" t="e">
        <f t="shared" si="90"/>
        <v>#N/A</v>
      </c>
      <c r="CV28" t="e">
        <f t="shared" si="91"/>
        <v>#N/A</v>
      </c>
      <c r="CW28" t="e">
        <f t="shared" si="91"/>
        <v>#N/A</v>
      </c>
      <c r="CX28" t="e">
        <f t="shared" si="91"/>
        <v>#N/A</v>
      </c>
      <c r="CY28" t="e">
        <f t="shared" si="91"/>
        <v>#N/A</v>
      </c>
      <c r="CZ28" t="e">
        <f t="shared" si="93"/>
        <v>#N/A</v>
      </c>
      <c r="DA28" t="e">
        <f t="shared" si="93"/>
        <v>#N/A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 t="e" vm="2">
        <f ca="1">'Required Capacity (Hide)'!E29</f>
        <v>#VALUE!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  <c r="V29" t="e">
        <f t="shared" si="13"/>
        <v>#N/A</v>
      </c>
      <c r="W29" t="e">
        <f t="shared" si="14"/>
        <v>#N/A</v>
      </c>
      <c r="X29" t="e">
        <f t="shared" si="15"/>
        <v>#N/A</v>
      </c>
      <c r="Y29" t="e">
        <f t="shared" si="16"/>
        <v>#N/A</v>
      </c>
      <c r="Z29" t="e">
        <f t="shared" si="17"/>
        <v>#N/A</v>
      </c>
      <c r="AA29" t="e">
        <f t="shared" si="18"/>
        <v>#N/A</v>
      </c>
      <c r="AB29" t="e">
        <f t="shared" si="19"/>
        <v>#N/A</v>
      </c>
      <c r="AC29" t="e">
        <f t="shared" si="20"/>
        <v>#N/A</v>
      </c>
      <c r="AD29" t="e">
        <f t="shared" si="21"/>
        <v>#N/A</v>
      </c>
      <c r="AE29" t="e">
        <f t="shared" si="22"/>
        <v>#N/A</v>
      </c>
      <c r="AF29" t="e">
        <f t="shared" si="23"/>
        <v>#N/A</v>
      </c>
      <c r="AG29" t="e">
        <f t="shared" si="24"/>
        <v>#N/A</v>
      </c>
      <c r="AH29" t="e">
        <f t="shared" si="25"/>
        <v>#N/A</v>
      </c>
      <c r="AI29" t="e">
        <f t="shared" si="26"/>
        <v>#N/A</v>
      </c>
      <c r="AJ29" t="e">
        <f t="shared" si="27"/>
        <v>#N/A</v>
      </c>
      <c r="AK29" t="e">
        <f t="shared" si="28"/>
        <v>#N/A</v>
      </c>
      <c r="AL29" t="e">
        <f t="shared" si="29"/>
        <v>#N/A</v>
      </c>
      <c r="AM29" t="e">
        <f t="shared" si="30"/>
        <v>#N/A</v>
      </c>
      <c r="AN29" t="e">
        <f t="shared" si="31"/>
        <v>#N/A</v>
      </c>
      <c r="AO29" t="e">
        <f t="shared" si="32"/>
        <v>#N/A</v>
      </c>
      <c r="AP29" t="e">
        <f t="shared" si="33"/>
        <v>#N/A</v>
      </c>
      <c r="AQ29" t="e">
        <f t="shared" si="34"/>
        <v>#N/A</v>
      </c>
      <c r="AR29" t="e">
        <f t="shared" si="35"/>
        <v>#N/A</v>
      </c>
      <c r="AS29" t="e">
        <f t="shared" si="36"/>
        <v>#N/A</v>
      </c>
      <c r="AT29" t="e">
        <f t="shared" si="37"/>
        <v>#N/A</v>
      </c>
      <c r="AU29" t="e">
        <f t="shared" si="38"/>
        <v>#N/A</v>
      </c>
      <c r="AV29" t="e">
        <f t="shared" si="39"/>
        <v>#N/A</v>
      </c>
      <c r="AW29" t="e">
        <f t="shared" si="40"/>
        <v>#N/A</v>
      </c>
      <c r="AX29" t="e">
        <f t="shared" si="41"/>
        <v>#N/A</v>
      </c>
      <c r="AY29" t="e">
        <f t="shared" si="42"/>
        <v>#N/A</v>
      </c>
      <c r="AZ29" t="e">
        <f t="shared" si="43"/>
        <v>#N/A</v>
      </c>
      <c r="BA29" t="e">
        <f t="shared" si="44"/>
        <v>#N/A</v>
      </c>
      <c r="BB29" t="e">
        <f t="shared" si="45"/>
        <v>#N/A</v>
      </c>
      <c r="BC29" t="e">
        <f t="shared" si="46"/>
        <v>#N/A</v>
      </c>
      <c r="BD29" t="e">
        <f t="shared" si="47"/>
        <v>#N/A</v>
      </c>
      <c r="BE29" t="e">
        <f t="shared" si="48"/>
        <v>#N/A</v>
      </c>
      <c r="BF29" t="e">
        <f t="shared" si="49"/>
        <v>#N/A</v>
      </c>
      <c r="BG29" t="e">
        <f t="shared" si="50"/>
        <v>#N/A</v>
      </c>
      <c r="BH29" t="e">
        <f t="shared" si="51"/>
        <v>#N/A</v>
      </c>
      <c r="BI29" t="e">
        <f t="shared" si="52"/>
        <v>#N/A</v>
      </c>
      <c r="BJ29" t="e">
        <f t="shared" si="53"/>
        <v>#N/A</v>
      </c>
      <c r="BK29" t="e">
        <f t="shared" si="54"/>
        <v>#N/A</v>
      </c>
      <c r="BL29" t="e">
        <f t="shared" si="55"/>
        <v>#N/A</v>
      </c>
      <c r="BM29" t="e">
        <f t="shared" si="56"/>
        <v>#N/A</v>
      </c>
      <c r="BN29" t="e">
        <f t="shared" si="57"/>
        <v>#N/A</v>
      </c>
      <c r="BO29" t="e">
        <f t="shared" si="58"/>
        <v>#N/A</v>
      </c>
      <c r="BP29" t="e">
        <f t="shared" si="59"/>
        <v>#N/A</v>
      </c>
      <c r="BQ29" t="e">
        <f t="shared" si="60"/>
        <v>#N/A</v>
      </c>
      <c r="BR29" t="e">
        <f t="shared" si="61"/>
        <v>#N/A</v>
      </c>
      <c r="BS29" t="e">
        <f t="shared" si="62"/>
        <v>#N/A</v>
      </c>
      <c r="BT29" t="e">
        <f t="shared" si="63"/>
        <v>#N/A</v>
      </c>
      <c r="BU29" t="e">
        <f t="shared" si="64"/>
        <v>#N/A</v>
      </c>
      <c r="BV29" t="e">
        <f t="shared" si="65"/>
        <v>#N/A</v>
      </c>
      <c r="BW29" t="e">
        <f t="shared" si="66"/>
        <v>#N/A</v>
      </c>
      <c r="BX29" t="e">
        <f t="shared" si="67"/>
        <v>#N/A</v>
      </c>
      <c r="BY29" t="e">
        <f t="shared" si="68"/>
        <v>#N/A</v>
      </c>
      <c r="BZ29" t="e">
        <f t="shared" si="69"/>
        <v>#N/A</v>
      </c>
      <c r="CA29" t="e">
        <f t="shared" si="70"/>
        <v>#N/A</v>
      </c>
      <c r="CB29" t="e">
        <f t="shared" si="71"/>
        <v>#N/A</v>
      </c>
      <c r="CC29" t="e">
        <f t="shared" si="72"/>
        <v>#N/A</v>
      </c>
      <c r="CD29" t="e">
        <f t="shared" si="73"/>
        <v>#N/A</v>
      </c>
      <c r="CE29" t="e">
        <f t="shared" si="74"/>
        <v>#N/A</v>
      </c>
      <c r="CF29" t="e">
        <f t="shared" si="75"/>
        <v>#N/A</v>
      </c>
      <c r="CG29" t="e">
        <f t="shared" si="76"/>
        <v>#N/A</v>
      </c>
      <c r="CH29" t="e">
        <f t="shared" si="77"/>
        <v>#N/A</v>
      </c>
      <c r="CI29" t="e">
        <f t="shared" si="78"/>
        <v>#N/A</v>
      </c>
      <c r="CJ29" t="e">
        <f t="shared" si="79"/>
        <v>#N/A</v>
      </c>
      <c r="CK29" t="e">
        <f t="shared" si="80"/>
        <v>#N/A</v>
      </c>
      <c r="CL29" t="e">
        <f t="shared" si="81"/>
        <v>#N/A</v>
      </c>
      <c r="CM29" t="e">
        <f t="shared" si="82"/>
        <v>#N/A</v>
      </c>
      <c r="CN29" t="e">
        <f t="shared" si="83"/>
        <v>#N/A</v>
      </c>
      <c r="CO29" t="e">
        <f t="shared" si="84"/>
        <v>#N/A</v>
      </c>
      <c r="CP29" t="e">
        <f t="shared" si="85"/>
        <v>#N/A</v>
      </c>
      <c r="CQ29" t="e">
        <f t="shared" si="86"/>
        <v>#N/A</v>
      </c>
      <c r="CR29" t="e">
        <f t="shared" si="87"/>
        <v>#N/A</v>
      </c>
      <c r="CS29" t="e">
        <f t="shared" si="88"/>
        <v>#N/A</v>
      </c>
      <c r="CT29" t="e">
        <f t="shared" si="89"/>
        <v>#N/A</v>
      </c>
      <c r="CU29" t="e">
        <f t="shared" si="90"/>
        <v>#N/A</v>
      </c>
      <c r="CV29" t="e">
        <f t="shared" si="91"/>
        <v>#N/A</v>
      </c>
      <c r="CW29" t="e">
        <f t="shared" si="91"/>
        <v>#N/A</v>
      </c>
      <c r="CX29" t="e">
        <f t="shared" si="91"/>
        <v>#N/A</v>
      </c>
      <c r="CY29" t="e">
        <f t="shared" si="91"/>
        <v>#N/A</v>
      </c>
      <c r="CZ29" t="e">
        <f t="shared" si="93"/>
        <v>#N/A</v>
      </c>
      <c r="DA29" t="e">
        <f t="shared" si="93"/>
        <v>#N/A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 t="e" vm="2">
        <f ca="1">'Required Capacity (Hide)'!E30</f>
        <v>#VALUE!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  <c r="V30" t="e">
        <f t="shared" si="13"/>
        <v>#N/A</v>
      </c>
      <c r="W30" t="e">
        <f t="shared" si="14"/>
        <v>#N/A</v>
      </c>
      <c r="X30" t="e">
        <f t="shared" si="15"/>
        <v>#N/A</v>
      </c>
      <c r="Y30" t="e">
        <f t="shared" si="16"/>
        <v>#N/A</v>
      </c>
      <c r="Z30" t="e">
        <f t="shared" si="17"/>
        <v>#N/A</v>
      </c>
      <c r="AA30" t="e">
        <f t="shared" si="18"/>
        <v>#N/A</v>
      </c>
      <c r="AB30" t="e">
        <f t="shared" si="19"/>
        <v>#N/A</v>
      </c>
      <c r="AC30" t="e">
        <f t="shared" si="20"/>
        <v>#N/A</v>
      </c>
      <c r="AD30" t="e">
        <f t="shared" si="21"/>
        <v>#N/A</v>
      </c>
      <c r="AE30" t="e">
        <f t="shared" si="22"/>
        <v>#N/A</v>
      </c>
      <c r="AF30" t="e">
        <f t="shared" si="23"/>
        <v>#N/A</v>
      </c>
      <c r="AG30" t="e">
        <f t="shared" si="24"/>
        <v>#N/A</v>
      </c>
      <c r="AH30" t="e">
        <f t="shared" si="25"/>
        <v>#N/A</v>
      </c>
      <c r="AI30" t="e">
        <f t="shared" si="26"/>
        <v>#N/A</v>
      </c>
      <c r="AJ30" t="e">
        <f t="shared" si="27"/>
        <v>#N/A</v>
      </c>
      <c r="AK30" t="e">
        <f t="shared" si="28"/>
        <v>#N/A</v>
      </c>
      <c r="AL30" t="e">
        <f t="shared" si="29"/>
        <v>#N/A</v>
      </c>
      <c r="AM30" t="e">
        <f t="shared" si="30"/>
        <v>#N/A</v>
      </c>
      <c r="AN30" t="e">
        <f t="shared" si="31"/>
        <v>#N/A</v>
      </c>
      <c r="AO30" t="e">
        <f t="shared" si="32"/>
        <v>#N/A</v>
      </c>
      <c r="AP30" t="e">
        <f t="shared" si="33"/>
        <v>#N/A</v>
      </c>
      <c r="AQ30" t="e">
        <f t="shared" si="34"/>
        <v>#N/A</v>
      </c>
      <c r="AR30" t="e">
        <f t="shared" si="35"/>
        <v>#N/A</v>
      </c>
      <c r="AS30" t="e">
        <f t="shared" si="36"/>
        <v>#N/A</v>
      </c>
      <c r="AT30" t="e">
        <f t="shared" si="37"/>
        <v>#N/A</v>
      </c>
      <c r="AU30" t="e">
        <f t="shared" si="38"/>
        <v>#N/A</v>
      </c>
      <c r="AV30" t="e">
        <f t="shared" si="39"/>
        <v>#N/A</v>
      </c>
      <c r="AW30" t="e">
        <f t="shared" si="40"/>
        <v>#N/A</v>
      </c>
      <c r="AX30" t="e">
        <f t="shared" si="41"/>
        <v>#N/A</v>
      </c>
      <c r="AY30" t="e">
        <f t="shared" si="42"/>
        <v>#N/A</v>
      </c>
      <c r="AZ30" t="e">
        <f t="shared" si="43"/>
        <v>#N/A</v>
      </c>
      <c r="BA30" t="e">
        <f t="shared" si="44"/>
        <v>#N/A</v>
      </c>
      <c r="BB30" t="e">
        <f t="shared" si="45"/>
        <v>#N/A</v>
      </c>
      <c r="BC30" t="e">
        <f t="shared" si="46"/>
        <v>#N/A</v>
      </c>
      <c r="BD30" t="e">
        <f t="shared" si="47"/>
        <v>#N/A</v>
      </c>
      <c r="BE30" t="e">
        <f t="shared" si="48"/>
        <v>#N/A</v>
      </c>
      <c r="BF30" t="e">
        <f t="shared" si="49"/>
        <v>#N/A</v>
      </c>
      <c r="BG30" t="e">
        <f t="shared" si="50"/>
        <v>#N/A</v>
      </c>
      <c r="BH30" t="e">
        <f t="shared" si="51"/>
        <v>#N/A</v>
      </c>
      <c r="BI30" t="e">
        <f t="shared" si="52"/>
        <v>#N/A</v>
      </c>
      <c r="BJ30" t="e">
        <f t="shared" si="53"/>
        <v>#N/A</v>
      </c>
      <c r="BK30" t="e">
        <f t="shared" si="54"/>
        <v>#N/A</v>
      </c>
      <c r="BL30" t="e">
        <f t="shared" si="55"/>
        <v>#N/A</v>
      </c>
      <c r="BM30" t="e">
        <f t="shared" si="56"/>
        <v>#N/A</v>
      </c>
      <c r="BN30" t="e">
        <f t="shared" si="57"/>
        <v>#N/A</v>
      </c>
      <c r="BO30" t="e">
        <f t="shared" si="58"/>
        <v>#N/A</v>
      </c>
      <c r="BP30" t="e">
        <f t="shared" si="59"/>
        <v>#N/A</v>
      </c>
      <c r="BQ30" t="e">
        <f t="shared" si="60"/>
        <v>#N/A</v>
      </c>
      <c r="BR30" t="e">
        <f t="shared" si="61"/>
        <v>#N/A</v>
      </c>
      <c r="BS30" t="e">
        <f t="shared" si="62"/>
        <v>#N/A</v>
      </c>
      <c r="BT30" t="e">
        <f t="shared" si="63"/>
        <v>#N/A</v>
      </c>
      <c r="BU30" t="e">
        <f t="shared" si="64"/>
        <v>#N/A</v>
      </c>
      <c r="BV30" t="e">
        <f t="shared" si="65"/>
        <v>#N/A</v>
      </c>
      <c r="BW30" t="e">
        <f t="shared" si="66"/>
        <v>#N/A</v>
      </c>
      <c r="BX30" t="e">
        <f t="shared" si="67"/>
        <v>#N/A</v>
      </c>
      <c r="BY30" t="e">
        <f t="shared" si="68"/>
        <v>#N/A</v>
      </c>
      <c r="BZ30" t="e">
        <f t="shared" si="69"/>
        <v>#N/A</v>
      </c>
      <c r="CA30" t="e">
        <f t="shared" si="70"/>
        <v>#N/A</v>
      </c>
      <c r="CB30" t="e">
        <f t="shared" si="71"/>
        <v>#N/A</v>
      </c>
      <c r="CC30" t="e">
        <f t="shared" si="72"/>
        <v>#N/A</v>
      </c>
      <c r="CD30" t="e">
        <f t="shared" si="73"/>
        <v>#N/A</v>
      </c>
      <c r="CE30" t="e">
        <f t="shared" si="74"/>
        <v>#N/A</v>
      </c>
      <c r="CF30" t="e">
        <f t="shared" si="75"/>
        <v>#N/A</v>
      </c>
      <c r="CG30" t="e">
        <f t="shared" si="76"/>
        <v>#N/A</v>
      </c>
      <c r="CH30" t="e">
        <f t="shared" si="77"/>
        <v>#N/A</v>
      </c>
      <c r="CI30" t="e">
        <f t="shared" si="78"/>
        <v>#N/A</v>
      </c>
      <c r="CJ30" t="e">
        <f t="shared" si="79"/>
        <v>#N/A</v>
      </c>
      <c r="CK30" t="e">
        <f t="shared" si="80"/>
        <v>#N/A</v>
      </c>
      <c r="CL30" t="e">
        <f t="shared" si="81"/>
        <v>#N/A</v>
      </c>
      <c r="CM30" t="e">
        <f t="shared" si="82"/>
        <v>#N/A</v>
      </c>
      <c r="CN30" t="e">
        <f t="shared" si="83"/>
        <v>#N/A</v>
      </c>
      <c r="CO30" t="e">
        <f t="shared" si="84"/>
        <v>#N/A</v>
      </c>
      <c r="CP30" t="e">
        <f t="shared" si="85"/>
        <v>#N/A</v>
      </c>
      <c r="CQ30" t="e">
        <f t="shared" si="86"/>
        <v>#N/A</v>
      </c>
      <c r="CR30" t="e">
        <f t="shared" si="87"/>
        <v>#N/A</v>
      </c>
      <c r="CS30" t="e">
        <f t="shared" si="88"/>
        <v>#N/A</v>
      </c>
      <c r="CT30" t="e">
        <f t="shared" si="89"/>
        <v>#N/A</v>
      </c>
      <c r="CU30" t="e">
        <f t="shared" si="90"/>
        <v>#N/A</v>
      </c>
      <c r="CV30" t="e">
        <f t="shared" si="91"/>
        <v>#N/A</v>
      </c>
      <c r="CW30" t="e">
        <f t="shared" si="91"/>
        <v>#N/A</v>
      </c>
      <c r="CX30" t="e">
        <f t="shared" si="91"/>
        <v>#N/A</v>
      </c>
      <c r="CY30" t="e">
        <f t="shared" si="91"/>
        <v>#N/A</v>
      </c>
      <c r="CZ30" t="e">
        <f t="shared" si="93"/>
        <v>#N/A</v>
      </c>
      <c r="DA30" t="e">
        <f t="shared" si="93"/>
        <v>#N/A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 t="e" vm="2">
        <f ca="1">'Required Capacity (Hide)'!E31</f>
        <v>#VALUE!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  <c r="V31" t="e">
        <f t="shared" si="13"/>
        <v>#N/A</v>
      </c>
      <c r="W31" t="e">
        <f t="shared" si="14"/>
        <v>#N/A</v>
      </c>
      <c r="X31" t="e">
        <f t="shared" si="15"/>
        <v>#N/A</v>
      </c>
      <c r="Y31" t="e">
        <f t="shared" si="16"/>
        <v>#N/A</v>
      </c>
      <c r="Z31" t="e">
        <f t="shared" si="17"/>
        <v>#N/A</v>
      </c>
      <c r="AA31" t="e">
        <f t="shared" si="18"/>
        <v>#N/A</v>
      </c>
      <c r="AB31" t="e">
        <f t="shared" si="19"/>
        <v>#N/A</v>
      </c>
      <c r="AC31" t="e">
        <f t="shared" si="20"/>
        <v>#N/A</v>
      </c>
      <c r="AD31" t="e">
        <f t="shared" si="21"/>
        <v>#N/A</v>
      </c>
      <c r="AE31" t="e">
        <f t="shared" si="22"/>
        <v>#N/A</v>
      </c>
      <c r="AF31" t="e">
        <f t="shared" si="23"/>
        <v>#N/A</v>
      </c>
      <c r="AG31" t="e">
        <f t="shared" si="24"/>
        <v>#N/A</v>
      </c>
      <c r="AH31" t="e">
        <f t="shared" si="25"/>
        <v>#N/A</v>
      </c>
      <c r="AI31" t="e">
        <f t="shared" si="26"/>
        <v>#N/A</v>
      </c>
      <c r="AJ31" t="e">
        <f t="shared" si="27"/>
        <v>#N/A</v>
      </c>
      <c r="AK31" t="e">
        <f t="shared" si="28"/>
        <v>#N/A</v>
      </c>
      <c r="AL31" t="e">
        <f t="shared" si="29"/>
        <v>#N/A</v>
      </c>
      <c r="AM31" t="e">
        <f t="shared" si="30"/>
        <v>#N/A</v>
      </c>
      <c r="AN31" t="e">
        <f t="shared" si="31"/>
        <v>#N/A</v>
      </c>
      <c r="AO31" t="e">
        <f t="shared" si="32"/>
        <v>#N/A</v>
      </c>
      <c r="AP31" t="e">
        <f t="shared" si="33"/>
        <v>#N/A</v>
      </c>
      <c r="AQ31" t="e">
        <f t="shared" si="34"/>
        <v>#N/A</v>
      </c>
      <c r="AR31" t="e">
        <f t="shared" si="35"/>
        <v>#N/A</v>
      </c>
      <c r="AS31" t="e">
        <f t="shared" si="36"/>
        <v>#N/A</v>
      </c>
      <c r="AT31" t="e">
        <f t="shared" si="37"/>
        <v>#N/A</v>
      </c>
      <c r="AU31" t="e">
        <f t="shared" si="38"/>
        <v>#N/A</v>
      </c>
      <c r="AV31" t="e">
        <f t="shared" si="39"/>
        <v>#N/A</v>
      </c>
      <c r="AW31" t="e">
        <f t="shared" si="40"/>
        <v>#N/A</v>
      </c>
      <c r="AX31" t="e">
        <f t="shared" si="41"/>
        <v>#N/A</v>
      </c>
      <c r="AY31" t="e">
        <f t="shared" si="42"/>
        <v>#N/A</v>
      </c>
      <c r="AZ31" t="e">
        <f t="shared" si="43"/>
        <v>#N/A</v>
      </c>
      <c r="BA31" t="e">
        <f t="shared" si="44"/>
        <v>#N/A</v>
      </c>
      <c r="BB31" t="e">
        <f t="shared" si="45"/>
        <v>#N/A</v>
      </c>
      <c r="BC31" t="e">
        <f t="shared" si="46"/>
        <v>#N/A</v>
      </c>
      <c r="BD31" t="e">
        <f t="shared" si="47"/>
        <v>#N/A</v>
      </c>
      <c r="BE31" t="e">
        <f t="shared" si="48"/>
        <v>#N/A</v>
      </c>
      <c r="BF31" t="e">
        <f t="shared" si="49"/>
        <v>#N/A</v>
      </c>
      <c r="BG31" t="e">
        <f t="shared" si="50"/>
        <v>#N/A</v>
      </c>
      <c r="BH31" t="e">
        <f t="shared" si="51"/>
        <v>#N/A</v>
      </c>
      <c r="BI31" t="e">
        <f t="shared" si="52"/>
        <v>#N/A</v>
      </c>
      <c r="BJ31" t="e">
        <f t="shared" si="53"/>
        <v>#N/A</v>
      </c>
      <c r="BK31" t="e">
        <f t="shared" si="54"/>
        <v>#N/A</v>
      </c>
      <c r="BL31" t="e">
        <f t="shared" si="55"/>
        <v>#N/A</v>
      </c>
      <c r="BM31" t="e">
        <f t="shared" si="56"/>
        <v>#N/A</v>
      </c>
      <c r="BN31" t="e">
        <f t="shared" si="57"/>
        <v>#N/A</v>
      </c>
      <c r="BO31" t="e">
        <f t="shared" si="58"/>
        <v>#N/A</v>
      </c>
      <c r="BP31" t="e">
        <f t="shared" si="59"/>
        <v>#N/A</v>
      </c>
      <c r="BQ31" t="e">
        <f t="shared" si="60"/>
        <v>#N/A</v>
      </c>
      <c r="BR31" t="e">
        <f t="shared" si="61"/>
        <v>#N/A</v>
      </c>
      <c r="BS31" t="e">
        <f t="shared" si="62"/>
        <v>#N/A</v>
      </c>
      <c r="BT31" t="e">
        <f t="shared" si="63"/>
        <v>#N/A</v>
      </c>
      <c r="BU31" t="e">
        <f t="shared" si="64"/>
        <v>#N/A</v>
      </c>
      <c r="BV31" t="e">
        <f t="shared" si="65"/>
        <v>#N/A</v>
      </c>
      <c r="BW31" t="e">
        <f t="shared" si="66"/>
        <v>#N/A</v>
      </c>
      <c r="BX31" t="e">
        <f t="shared" si="67"/>
        <v>#N/A</v>
      </c>
      <c r="BY31" t="e">
        <f t="shared" si="68"/>
        <v>#N/A</v>
      </c>
      <c r="BZ31" t="e">
        <f t="shared" si="69"/>
        <v>#N/A</v>
      </c>
      <c r="CA31" t="e">
        <f t="shared" si="70"/>
        <v>#N/A</v>
      </c>
      <c r="CB31" t="e">
        <f t="shared" si="71"/>
        <v>#N/A</v>
      </c>
      <c r="CC31" t="e">
        <f t="shared" si="72"/>
        <v>#N/A</v>
      </c>
      <c r="CD31" t="e">
        <f t="shared" si="73"/>
        <v>#N/A</v>
      </c>
      <c r="CE31" t="e">
        <f t="shared" si="74"/>
        <v>#N/A</v>
      </c>
      <c r="CF31" t="e">
        <f t="shared" si="75"/>
        <v>#N/A</v>
      </c>
      <c r="CG31" t="e">
        <f t="shared" si="76"/>
        <v>#N/A</v>
      </c>
      <c r="CH31" t="e">
        <f t="shared" si="77"/>
        <v>#N/A</v>
      </c>
      <c r="CI31" t="e">
        <f t="shared" si="78"/>
        <v>#N/A</v>
      </c>
      <c r="CJ31" t="e">
        <f t="shared" si="79"/>
        <v>#N/A</v>
      </c>
      <c r="CK31" t="e">
        <f t="shared" si="80"/>
        <v>#N/A</v>
      </c>
      <c r="CL31" t="e">
        <f t="shared" si="81"/>
        <v>#N/A</v>
      </c>
      <c r="CM31" t="e">
        <f t="shared" si="82"/>
        <v>#N/A</v>
      </c>
      <c r="CN31" t="e">
        <f t="shared" si="83"/>
        <v>#N/A</v>
      </c>
      <c r="CO31" t="e">
        <f t="shared" si="84"/>
        <v>#N/A</v>
      </c>
      <c r="CP31" t="e">
        <f t="shared" si="85"/>
        <v>#N/A</v>
      </c>
      <c r="CQ31" t="e">
        <f t="shared" si="86"/>
        <v>#N/A</v>
      </c>
      <c r="CR31" t="e">
        <f t="shared" si="87"/>
        <v>#N/A</v>
      </c>
      <c r="CS31" t="e">
        <f t="shared" si="88"/>
        <v>#N/A</v>
      </c>
      <c r="CT31" t="e">
        <f t="shared" si="89"/>
        <v>#N/A</v>
      </c>
      <c r="CU31" t="e">
        <f t="shared" si="90"/>
        <v>#N/A</v>
      </c>
      <c r="CV31" t="e">
        <f t="shared" si="91"/>
        <v>#N/A</v>
      </c>
      <c r="CW31" t="e">
        <f t="shared" si="91"/>
        <v>#N/A</v>
      </c>
      <c r="CX31" t="e">
        <f t="shared" si="91"/>
        <v>#N/A</v>
      </c>
      <c r="CY31" t="e">
        <f t="shared" si="91"/>
        <v>#N/A</v>
      </c>
      <c r="CZ31" t="e">
        <f t="shared" si="93"/>
        <v>#N/A</v>
      </c>
      <c r="DA31" t="e">
        <f t="shared" si="93"/>
        <v>#N/A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 t="e" vm="2">
        <f ca="1">'Required Capacity (Hide)'!E32</f>
        <v>#VALUE!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  <c r="V32" t="e">
        <f t="shared" si="13"/>
        <v>#N/A</v>
      </c>
      <c r="W32" t="e">
        <f t="shared" si="14"/>
        <v>#N/A</v>
      </c>
      <c r="X32" t="e">
        <f t="shared" si="15"/>
        <v>#N/A</v>
      </c>
      <c r="Y32" t="e">
        <f t="shared" si="16"/>
        <v>#N/A</v>
      </c>
      <c r="Z32" t="e">
        <f t="shared" si="17"/>
        <v>#N/A</v>
      </c>
      <c r="AA32" t="e">
        <f t="shared" si="18"/>
        <v>#N/A</v>
      </c>
      <c r="AB32" t="e">
        <f t="shared" si="19"/>
        <v>#N/A</v>
      </c>
      <c r="AC32" t="e">
        <f t="shared" si="20"/>
        <v>#N/A</v>
      </c>
      <c r="AD32" t="e">
        <f t="shared" si="21"/>
        <v>#N/A</v>
      </c>
      <c r="AE32" t="e">
        <f t="shared" si="22"/>
        <v>#N/A</v>
      </c>
      <c r="AF32" t="e">
        <f t="shared" si="23"/>
        <v>#N/A</v>
      </c>
      <c r="AG32" t="e">
        <f t="shared" si="24"/>
        <v>#N/A</v>
      </c>
      <c r="AH32" t="e">
        <f t="shared" si="25"/>
        <v>#N/A</v>
      </c>
      <c r="AI32" t="e">
        <f t="shared" si="26"/>
        <v>#N/A</v>
      </c>
      <c r="AJ32" t="e">
        <f t="shared" si="27"/>
        <v>#N/A</v>
      </c>
      <c r="AK32" t="e">
        <f t="shared" si="28"/>
        <v>#N/A</v>
      </c>
      <c r="AL32" t="e">
        <f t="shared" si="29"/>
        <v>#N/A</v>
      </c>
      <c r="AM32" t="e">
        <f t="shared" si="30"/>
        <v>#N/A</v>
      </c>
      <c r="AN32" t="e">
        <f t="shared" si="31"/>
        <v>#N/A</v>
      </c>
      <c r="AO32" t="e">
        <f t="shared" si="32"/>
        <v>#N/A</v>
      </c>
      <c r="AP32" t="e">
        <f t="shared" si="33"/>
        <v>#N/A</v>
      </c>
      <c r="AQ32" t="e">
        <f t="shared" si="34"/>
        <v>#N/A</v>
      </c>
      <c r="AR32" t="e">
        <f t="shared" si="35"/>
        <v>#N/A</v>
      </c>
      <c r="AS32" t="e">
        <f t="shared" si="36"/>
        <v>#N/A</v>
      </c>
      <c r="AT32" t="e">
        <f t="shared" si="37"/>
        <v>#N/A</v>
      </c>
      <c r="AU32" t="e">
        <f t="shared" si="38"/>
        <v>#N/A</v>
      </c>
      <c r="AV32" t="e">
        <f t="shared" si="39"/>
        <v>#N/A</v>
      </c>
      <c r="AW32" t="e">
        <f t="shared" si="40"/>
        <v>#N/A</v>
      </c>
      <c r="AX32" t="e">
        <f t="shared" si="41"/>
        <v>#N/A</v>
      </c>
      <c r="AY32" t="e">
        <f t="shared" si="42"/>
        <v>#N/A</v>
      </c>
      <c r="AZ32" t="e">
        <f t="shared" si="43"/>
        <v>#N/A</v>
      </c>
      <c r="BA32" t="e">
        <f t="shared" si="44"/>
        <v>#N/A</v>
      </c>
      <c r="BB32" t="e">
        <f t="shared" si="45"/>
        <v>#N/A</v>
      </c>
      <c r="BC32" t="e">
        <f t="shared" si="46"/>
        <v>#N/A</v>
      </c>
      <c r="BD32" t="e">
        <f t="shared" si="47"/>
        <v>#N/A</v>
      </c>
      <c r="BE32" t="e">
        <f t="shared" si="48"/>
        <v>#N/A</v>
      </c>
      <c r="BF32" t="e">
        <f t="shared" si="49"/>
        <v>#N/A</v>
      </c>
      <c r="BG32" t="e">
        <f t="shared" si="50"/>
        <v>#N/A</v>
      </c>
      <c r="BH32" t="e">
        <f t="shared" si="51"/>
        <v>#N/A</v>
      </c>
      <c r="BI32" t="e">
        <f t="shared" si="52"/>
        <v>#N/A</v>
      </c>
      <c r="BJ32" t="e">
        <f t="shared" si="53"/>
        <v>#N/A</v>
      </c>
      <c r="BK32" t="e">
        <f t="shared" si="54"/>
        <v>#N/A</v>
      </c>
      <c r="BL32" t="e">
        <f t="shared" si="55"/>
        <v>#N/A</v>
      </c>
      <c r="BM32" t="e">
        <f t="shared" si="56"/>
        <v>#N/A</v>
      </c>
      <c r="BN32" t="e">
        <f t="shared" si="57"/>
        <v>#N/A</v>
      </c>
      <c r="BO32" t="e">
        <f t="shared" si="58"/>
        <v>#N/A</v>
      </c>
      <c r="BP32" t="e">
        <f t="shared" si="59"/>
        <v>#N/A</v>
      </c>
      <c r="BQ32" t="e">
        <f t="shared" si="60"/>
        <v>#N/A</v>
      </c>
      <c r="BR32" t="e">
        <f t="shared" si="61"/>
        <v>#N/A</v>
      </c>
      <c r="BS32" t="e">
        <f t="shared" si="62"/>
        <v>#N/A</v>
      </c>
      <c r="BT32" t="e">
        <f t="shared" si="63"/>
        <v>#N/A</v>
      </c>
      <c r="BU32" t="e">
        <f t="shared" si="64"/>
        <v>#N/A</v>
      </c>
      <c r="BV32" t="e">
        <f t="shared" si="65"/>
        <v>#N/A</v>
      </c>
      <c r="BW32" t="e">
        <f t="shared" si="66"/>
        <v>#N/A</v>
      </c>
      <c r="BX32" t="e">
        <f t="shared" si="67"/>
        <v>#N/A</v>
      </c>
      <c r="BY32" t="e">
        <f t="shared" si="68"/>
        <v>#N/A</v>
      </c>
      <c r="BZ32" t="e">
        <f t="shared" si="69"/>
        <v>#N/A</v>
      </c>
      <c r="CA32" t="e">
        <f t="shared" si="70"/>
        <v>#N/A</v>
      </c>
      <c r="CB32" t="e">
        <f t="shared" si="71"/>
        <v>#N/A</v>
      </c>
      <c r="CC32" t="e">
        <f t="shared" si="72"/>
        <v>#N/A</v>
      </c>
      <c r="CD32" t="e">
        <f t="shared" si="73"/>
        <v>#N/A</v>
      </c>
      <c r="CE32" t="e">
        <f t="shared" si="74"/>
        <v>#N/A</v>
      </c>
      <c r="CF32" t="e">
        <f t="shared" si="75"/>
        <v>#N/A</v>
      </c>
      <c r="CG32" t="e">
        <f t="shared" si="76"/>
        <v>#N/A</v>
      </c>
      <c r="CH32" t="e">
        <f t="shared" si="77"/>
        <v>#N/A</v>
      </c>
      <c r="CI32" t="e">
        <f t="shared" si="78"/>
        <v>#N/A</v>
      </c>
      <c r="CJ32" t="e">
        <f t="shared" si="79"/>
        <v>#N/A</v>
      </c>
      <c r="CK32" t="e">
        <f t="shared" si="80"/>
        <v>#N/A</v>
      </c>
      <c r="CL32" t="e">
        <f t="shared" si="81"/>
        <v>#N/A</v>
      </c>
      <c r="CM32" t="e">
        <f t="shared" si="82"/>
        <v>#N/A</v>
      </c>
      <c r="CN32" t="e">
        <f t="shared" si="83"/>
        <v>#N/A</v>
      </c>
      <c r="CO32" t="e">
        <f t="shared" si="84"/>
        <v>#N/A</v>
      </c>
      <c r="CP32" t="e">
        <f t="shared" si="85"/>
        <v>#N/A</v>
      </c>
      <c r="CQ32" t="e">
        <f t="shared" si="86"/>
        <v>#N/A</v>
      </c>
      <c r="CR32" t="e">
        <f t="shared" si="87"/>
        <v>#N/A</v>
      </c>
      <c r="CS32" t="e">
        <f t="shared" si="88"/>
        <v>#N/A</v>
      </c>
      <c r="CT32" t="e">
        <f t="shared" si="89"/>
        <v>#N/A</v>
      </c>
      <c r="CU32" t="e">
        <f t="shared" si="90"/>
        <v>#N/A</v>
      </c>
      <c r="CV32" t="e">
        <f t="shared" si="91"/>
        <v>#N/A</v>
      </c>
      <c r="CW32" t="e">
        <f t="shared" si="91"/>
        <v>#N/A</v>
      </c>
      <c r="CX32" t="e">
        <f t="shared" si="91"/>
        <v>#N/A</v>
      </c>
      <c r="CY32" t="e">
        <f t="shared" si="91"/>
        <v>#N/A</v>
      </c>
      <c r="CZ32" t="e">
        <f t="shared" si="93"/>
        <v>#N/A</v>
      </c>
      <c r="DA32" t="e">
        <f t="shared" si="93"/>
        <v>#N/A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 t="e" vm="2">
        <f ca="1">'Required Capacity (Hide)'!E33</f>
        <v>#VALUE!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  <c r="V33" t="e">
        <f t="shared" si="13"/>
        <v>#N/A</v>
      </c>
      <c r="W33" t="e">
        <f t="shared" si="14"/>
        <v>#N/A</v>
      </c>
      <c r="X33" t="e">
        <f t="shared" si="15"/>
        <v>#N/A</v>
      </c>
      <c r="Y33" t="e">
        <f t="shared" si="16"/>
        <v>#N/A</v>
      </c>
      <c r="Z33" t="e">
        <f t="shared" si="17"/>
        <v>#N/A</v>
      </c>
      <c r="AA33" t="e">
        <f t="shared" si="18"/>
        <v>#N/A</v>
      </c>
      <c r="AB33" t="e">
        <f t="shared" si="19"/>
        <v>#N/A</v>
      </c>
      <c r="AC33" t="e">
        <f t="shared" si="20"/>
        <v>#N/A</v>
      </c>
      <c r="AD33" t="e">
        <f t="shared" si="21"/>
        <v>#N/A</v>
      </c>
      <c r="AE33" t="e">
        <f t="shared" si="22"/>
        <v>#N/A</v>
      </c>
      <c r="AF33" t="e">
        <f t="shared" si="23"/>
        <v>#N/A</v>
      </c>
      <c r="AG33" t="e">
        <f t="shared" si="24"/>
        <v>#N/A</v>
      </c>
      <c r="AH33" t="e">
        <f t="shared" si="25"/>
        <v>#N/A</v>
      </c>
      <c r="AI33" t="e">
        <f t="shared" si="26"/>
        <v>#N/A</v>
      </c>
      <c r="AJ33" t="e">
        <f t="shared" si="27"/>
        <v>#N/A</v>
      </c>
      <c r="AK33" t="e">
        <f t="shared" si="28"/>
        <v>#N/A</v>
      </c>
      <c r="AL33" t="e">
        <f t="shared" si="29"/>
        <v>#N/A</v>
      </c>
      <c r="AM33" t="e">
        <f t="shared" si="30"/>
        <v>#N/A</v>
      </c>
      <c r="AN33" t="e">
        <f t="shared" si="31"/>
        <v>#N/A</v>
      </c>
      <c r="AO33" t="e">
        <f t="shared" si="32"/>
        <v>#N/A</v>
      </c>
      <c r="AP33" t="e">
        <f t="shared" si="33"/>
        <v>#N/A</v>
      </c>
      <c r="AQ33" t="e">
        <f t="shared" si="34"/>
        <v>#N/A</v>
      </c>
      <c r="AR33" t="e">
        <f t="shared" si="35"/>
        <v>#N/A</v>
      </c>
      <c r="AS33" t="e">
        <f t="shared" si="36"/>
        <v>#N/A</v>
      </c>
      <c r="AT33" t="e">
        <f t="shared" si="37"/>
        <v>#N/A</v>
      </c>
      <c r="AU33" t="e">
        <f t="shared" si="38"/>
        <v>#N/A</v>
      </c>
      <c r="AV33" t="e">
        <f t="shared" si="39"/>
        <v>#N/A</v>
      </c>
      <c r="AW33" t="e">
        <f t="shared" si="40"/>
        <v>#N/A</v>
      </c>
      <c r="AX33" t="e">
        <f t="shared" si="41"/>
        <v>#N/A</v>
      </c>
      <c r="AY33" t="e">
        <f t="shared" si="42"/>
        <v>#N/A</v>
      </c>
      <c r="AZ33" t="e">
        <f t="shared" si="43"/>
        <v>#N/A</v>
      </c>
      <c r="BA33" t="e">
        <f t="shared" si="44"/>
        <v>#N/A</v>
      </c>
      <c r="BB33" t="e">
        <f t="shared" si="45"/>
        <v>#N/A</v>
      </c>
      <c r="BC33" t="e">
        <f t="shared" si="46"/>
        <v>#N/A</v>
      </c>
      <c r="BD33" t="e">
        <f t="shared" si="47"/>
        <v>#N/A</v>
      </c>
      <c r="BE33" t="e">
        <f t="shared" si="48"/>
        <v>#N/A</v>
      </c>
      <c r="BF33" t="e">
        <f t="shared" si="49"/>
        <v>#N/A</v>
      </c>
      <c r="BG33" t="e">
        <f t="shared" si="50"/>
        <v>#N/A</v>
      </c>
      <c r="BH33" t="e">
        <f t="shared" si="51"/>
        <v>#N/A</v>
      </c>
      <c r="BI33" t="e">
        <f t="shared" si="52"/>
        <v>#N/A</v>
      </c>
      <c r="BJ33" t="e">
        <f t="shared" si="53"/>
        <v>#N/A</v>
      </c>
      <c r="BK33" t="e">
        <f t="shared" si="54"/>
        <v>#N/A</v>
      </c>
      <c r="BL33" t="e">
        <f t="shared" si="55"/>
        <v>#N/A</v>
      </c>
      <c r="BM33" t="e">
        <f t="shared" si="56"/>
        <v>#N/A</v>
      </c>
      <c r="BN33" t="e">
        <f t="shared" si="57"/>
        <v>#N/A</v>
      </c>
      <c r="BO33" t="e">
        <f t="shared" si="58"/>
        <v>#N/A</v>
      </c>
      <c r="BP33" t="e">
        <f t="shared" si="59"/>
        <v>#N/A</v>
      </c>
      <c r="BQ33" t="e">
        <f t="shared" si="60"/>
        <v>#N/A</v>
      </c>
      <c r="BR33" t="e">
        <f t="shared" si="61"/>
        <v>#N/A</v>
      </c>
      <c r="BS33" t="e">
        <f t="shared" si="62"/>
        <v>#N/A</v>
      </c>
      <c r="BT33" t="e">
        <f t="shared" si="63"/>
        <v>#N/A</v>
      </c>
      <c r="BU33" t="e">
        <f t="shared" si="64"/>
        <v>#N/A</v>
      </c>
      <c r="BV33" t="e">
        <f t="shared" si="65"/>
        <v>#N/A</v>
      </c>
      <c r="BW33" t="e">
        <f t="shared" si="66"/>
        <v>#N/A</v>
      </c>
      <c r="BX33" t="e">
        <f t="shared" si="67"/>
        <v>#N/A</v>
      </c>
      <c r="BY33" t="e">
        <f t="shared" si="68"/>
        <v>#N/A</v>
      </c>
      <c r="BZ33" t="e">
        <f t="shared" si="69"/>
        <v>#N/A</v>
      </c>
      <c r="CA33" t="e">
        <f t="shared" si="70"/>
        <v>#N/A</v>
      </c>
      <c r="CB33" t="e">
        <f t="shared" si="71"/>
        <v>#N/A</v>
      </c>
      <c r="CC33" t="e">
        <f t="shared" si="72"/>
        <v>#N/A</v>
      </c>
      <c r="CD33" t="e">
        <f t="shared" si="73"/>
        <v>#N/A</v>
      </c>
      <c r="CE33" t="e">
        <f t="shared" si="74"/>
        <v>#N/A</v>
      </c>
      <c r="CF33" t="e">
        <f t="shared" si="75"/>
        <v>#N/A</v>
      </c>
      <c r="CG33" t="e">
        <f t="shared" si="76"/>
        <v>#N/A</v>
      </c>
      <c r="CH33" t="e">
        <f t="shared" si="77"/>
        <v>#N/A</v>
      </c>
      <c r="CI33" t="e">
        <f t="shared" si="78"/>
        <v>#N/A</v>
      </c>
      <c r="CJ33" t="e">
        <f t="shared" si="79"/>
        <v>#N/A</v>
      </c>
      <c r="CK33" t="e">
        <f t="shared" si="80"/>
        <v>#N/A</v>
      </c>
      <c r="CL33" t="e">
        <f t="shared" si="81"/>
        <v>#N/A</v>
      </c>
      <c r="CM33" t="e">
        <f t="shared" si="82"/>
        <v>#N/A</v>
      </c>
      <c r="CN33" t="e">
        <f t="shared" si="83"/>
        <v>#N/A</v>
      </c>
      <c r="CO33" t="e">
        <f t="shared" si="84"/>
        <v>#N/A</v>
      </c>
      <c r="CP33" t="e">
        <f t="shared" si="85"/>
        <v>#N/A</v>
      </c>
      <c r="CQ33" t="e">
        <f t="shared" si="86"/>
        <v>#N/A</v>
      </c>
      <c r="CR33" t="e">
        <f t="shared" si="87"/>
        <v>#N/A</v>
      </c>
      <c r="CS33" t="e">
        <f t="shared" si="88"/>
        <v>#N/A</v>
      </c>
      <c r="CT33" t="e">
        <f t="shared" si="89"/>
        <v>#N/A</v>
      </c>
      <c r="CU33" t="e">
        <f t="shared" si="90"/>
        <v>#N/A</v>
      </c>
      <c r="CV33" t="e">
        <f t="shared" si="91"/>
        <v>#N/A</v>
      </c>
      <c r="CW33" t="e">
        <f t="shared" si="91"/>
        <v>#N/A</v>
      </c>
      <c r="CX33" t="e">
        <f t="shared" si="91"/>
        <v>#N/A</v>
      </c>
      <c r="CY33" t="e">
        <f t="shared" si="91"/>
        <v>#N/A</v>
      </c>
      <c r="CZ33" t="e">
        <f t="shared" si="93"/>
        <v>#N/A</v>
      </c>
      <c r="DA33" t="e">
        <f t="shared" si="93"/>
        <v>#N/A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 t="e" vm="2">
        <f ca="1">'Required Capacity (Hide)'!E34</f>
        <v>#VALUE!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  <c r="V34" t="e">
        <f t="shared" si="13"/>
        <v>#N/A</v>
      </c>
      <c r="W34" t="e">
        <f t="shared" si="14"/>
        <v>#N/A</v>
      </c>
      <c r="X34" t="e">
        <f t="shared" si="15"/>
        <v>#N/A</v>
      </c>
      <c r="Y34" t="e">
        <f t="shared" si="16"/>
        <v>#N/A</v>
      </c>
      <c r="Z34" t="e">
        <f t="shared" si="17"/>
        <v>#N/A</v>
      </c>
      <c r="AA34" t="e">
        <f t="shared" si="18"/>
        <v>#N/A</v>
      </c>
      <c r="AB34" t="e">
        <f t="shared" si="19"/>
        <v>#N/A</v>
      </c>
      <c r="AC34" t="e">
        <f t="shared" si="20"/>
        <v>#N/A</v>
      </c>
      <c r="AD34" t="e">
        <f t="shared" si="21"/>
        <v>#N/A</v>
      </c>
      <c r="AE34" t="e">
        <f t="shared" si="22"/>
        <v>#N/A</v>
      </c>
      <c r="AF34" t="e">
        <f t="shared" si="23"/>
        <v>#N/A</v>
      </c>
      <c r="AG34" t="e">
        <f t="shared" si="24"/>
        <v>#N/A</v>
      </c>
      <c r="AH34" t="e">
        <f t="shared" si="25"/>
        <v>#N/A</v>
      </c>
      <c r="AI34" t="e">
        <f t="shared" si="26"/>
        <v>#N/A</v>
      </c>
      <c r="AJ34" t="e">
        <f t="shared" si="27"/>
        <v>#N/A</v>
      </c>
      <c r="AK34" t="e">
        <f t="shared" si="28"/>
        <v>#N/A</v>
      </c>
      <c r="AL34" t="e">
        <f t="shared" si="29"/>
        <v>#N/A</v>
      </c>
      <c r="AM34" t="e">
        <f t="shared" si="30"/>
        <v>#N/A</v>
      </c>
      <c r="AN34" t="e">
        <f t="shared" si="31"/>
        <v>#N/A</v>
      </c>
      <c r="AO34" t="e">
        <f t="shared" si="32"/>
        <v>#N/A</v>
      </c>
      <c r="AP34" t="e">
        <f t="shared" si="33"/>
        <v>#N/A</v>
      </c>
      <c r="AQ34" t="e">
        <f t="shared" si="34"/>
        <v>#N/A</v>
      </c>
      <c r="AR34" t="e">
        <f t="shared" si="35"/>
        <v>#N/A</v>
      </c>
      <c r="AS34" t="e">
        <f t="shared" si="36"/>
        <v>#N/A</v>
      </c>
      <c r="AT34" t="e">
        <f t="shared" si="37"/>
        <v>#N/A</v>
      </c>
      <c r="AU34" t="e">
        <f t="shared" si="38"/>
        <v>#N/A</v>
      </c>
      <c r="AV34" t="e">
        <f t="shared" si="39"/>
        <v>#N/A</v>
      </c>
      <c r="AW34" t="e">
        <f t="shared" si="40"/>
        <v>#N/A</v>
      </c>
      <c r="AX34" t="e">
        <f t="shared" si="41"/>
        <v>#N/A</v>
      </c>
      <c r="AY34" t="e">
        <f t="shared" si="42"/>
        <v>#N/A</v>
      </c>
      <c r="AZ34" t="e">
        <f t="shared" si="43"/>
        <v>#N/A</v>
      </c>
      <c r="BA34" t="e">
        <f t="shared" si="44"/>
        <v>#N/A</v>
      </c>
      <c r="BB34" t="e">
        <f t="shared" si="45"/>
        <v>#N/A</v>
      </c>
      <c r="BC34" t="e">
        <f t="shared" si="46"/>
        <v>#N/A</v>
      </c>
      <c r="BD34" t="e">
        <f t="shared" si="47"/>
        <v>#N/A</v>
      </c>
      <c r="BE34" t="e">
        <f t="shared" si="48"/>
        <v>#N/A</v>
      </c>
      <c r="BF34" t="e">
        <f t="shared" si="49"/>
        <v>#N/A</v>
      </c>
      <c r="BG34" t="e">
        <f t="shared" si="50"/>
        <v>#N/A</v>
      </c>
      <c r="BH34" t="e">
        <f t="shared" si="51"/>
        <v>#N/A</v>
      </c>
      <c r="BI34" t="e">
        <f t="shared" si="52"/>
        <v>#N/A</v>
      </c>
      <c r="BJ34" t="e">
        <f t="shared" si="53"/>
        <v>#N/A</v>
      </c>
      <c r="BK34" t="e">
        <f t="shared" si="54"/>
        <v>#N/A</v>
      </c>
      <c r="BL34" t="e">
        <f t="shared" si="55"/>
        <v>#N/A</v>
      </c>
      <c r="BM34" t="e">
        <f t="shared" si="56"/>
        <v>#N/A</v>
      </c>
      <c r="BN34" t="e">
        <f t="shared" si="57"/>
        <v>#N/A</v>
      </c>
      <c r="BO34" t="e">
        <f t="shared" si="58"/>
        <v>#N/A</v>
      </c>
      <c r="BP34" t="e">
        <f t="shared" si="59"/>
        <v>#N/A</v>
      </c>
      <c r="BQ34" t="e">
        <f t="shared" si="60"/>
        <v>#N/A</v>
      </c>
      <c r="BR34" t="e">
        <f t="shared" si="61"/>
        <v>#N/A</v>
      </c>
      <c r="BS34" t="e">
        <f t="shared" si="62"/>
        <v>#N/A</v>
      </c>
      <c r="BT34" t="e">
        <f t="shared" si="63"/>
        <v>#N/A</v>
      </c>
      <c r="BU34" t="e">
        <f t="shared" si="64"/>
        <v>#N/A</v>
      </c>
      <c r="BV34" t="e">
        <f t="shared" si="65"/>
        <v>#N/A</v>
      </c>
      <c r="BW34" t="e">
        <f t="shared" si="66"/>
        <v>#N/A</v>
      </c>
      <c r="BX34" t="e">
        <f t="shared" si="67"/>
        <v>#N/A</v>
      </c>
      <c r="BY34" t="e">
        <f t="shared" si="68"/>
        <v>#N/A</v>
      </c>
      <c r="BZ34" t="e">
        <f t="shared" si="69"/>
        <v>#N/A</v>
      </c>
      <c r="CA34" t="e">
        <f t="shared" si="70"/>
        <v>#N/A</v>
      </c>
      <c r="CB34" t="e">
        <f t="shared" si="71"/>
        <v>#N/A</v>
      </c>
      <c r="CC34" t="e">
        <f t="shared" si="72"/>
        <v>#N/A</v>
      </c>
      <c r="CD34" t="e">
        <f t="shared" si="73"/>
        <v>#N/A</v>
      </c>
      <c r="CE34" t="e">
        <f t="shared" si="74"/>
        <v>#N/A</v>
      </c>
      <c r="CF34" t="e">
        <f t="shared" si="75"/>
        <v>#N/A</v>
      </c>
      <c r="CG34" t="e">
        <f t="shared" si="76"/>
        <v>#N/A</v>
      </c>
      <c r="CH34" t="e">
        <f t="shared" si="77"/>
        <v>#N/A</v>
      </c>
      <c r="CI34" t="e">
        <f t="shared" si="78"/>
        <v>#N/A</v>
      </c>
      <c r="CJ34" t="e">
        <f t="shared" si="79"/>
        <v>#N/A</v>
      </c>
      <c r="CK34" t="e">
        <f t="shared" si="80"/>
        <v>#N/A</v>
      </c>
      <c r="CL34" t="e">
        <f t="shared" si="81"/>
        <v>#N/A</v>
      </c>
      <c r="CM34" t="e">
        <f t="shared" si="82"/>
        <v>#N/A</v>
      </c>
      <c r="CN34" t="e">
        <f t="shared" si="83"/>
        <v>#N/A</v>
      </c>
      <c r="CO34" t="e">
        <f t="shared" si="84"/>
        <v>#N/A</v>
      </c>
      <c r="CP34" t="e">
        <f t="shared" si="85"/>
        <v>#N/A</v>
      </c>
      <c r="CQ34" t="e">
        <f t="shared" si="86"/>
        <v>#N/A</v>
      </c>
      <c r="CR34" t="e">
        <f t="shared" si="87"/>
        <v>#N/A</v>
      </c>
      <c r="CS34" t="e">
        <f t="shared" si="88"/>
        <v>#N/A</v>
      </c>
      <c r="CT34" t="e">
        <f t="shared" si="89"/>
        <v>#N/A</v>
      </c>
      <c r="CU34" t="e">
        <f t="shared" si="90"/>
        <v>#N/A</v>
      </c>
      <c r="CV34" t="e">
        <f t="shared" si="91"/>
        <v>#N/A</v>
      </c>
      <c r="CW34" t="e">
        <f t="shared" si="91"/>
        <v>#N/A</v>
      </c>
      <c r="CX34" t="e">
        <f t="shared" si="91"/>
        <v>#N/A</v>
      </c>
      <c r="CY34" t="e">
        <f t="shared" si="91"/>
        <v>#N/A</v>
      </c>
      <c r="CZ34" t="e">
        <f t="shared" si="93"/>
        <v>#N/A</v>
      </c>
      <c r="DA34" t="e">
        <f t="shared" si="93"/>
        <v>#N/A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 t="e" vm="2">
        <f ca="1">'Required Capacity (Hide)'!E35</f>
        <v>#VALUE!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  <c r="V35" t="e">
        <f t="shared" si="13"/>
        <v>#N/A</v>
      </c>
      <c r="W35" t="e">
        <f t="shared" si="14"/>
        <v>#N/A</v>
      </c>
      <c r="X35" t="e">
        <f t="shared" si="15"/>
        <v>#N/A</v>
      </c>
      <c r="Y35" t="e">
        <f t="shared" si="16"/>
        <v>#N/A</v>
      </c>
      <c r="Z35" t="e">
        <f t="shared" si="17"/>
        <v>#N/A</v>
      </c>
      <c r="AA35" t="e">
        <f t="shared" si="18"/>
        <v>#N/A</v>
      </c>
      <c r="AB35" t="e">
        <f t="shared" si="19"/>
        <v>#N/A</v>
      </c>
      <c r="AC35" t="e">
        <f t="shared" si="20"/>
        <v>#N/A</v>
      </c>
      <c r="AD35" t="e">
        <f t="shared" si="21"/>
        <v>#N/A</v>
      </c>
      <c r="AE35" t="e">
        <f t="shared" si="22"/>
        <v>#N/A</v>
      </c>
      <c r="AF35" t="e">
        <f t="shared" si="23"/>
        <v>#N/A</v>
      </c>
      <c r="AG35" t="e">
        <f t="shared" si="24"/>
        <v>#N/A</v>
      </c>
      <c r="AH35" t="e">
        <f t="shared" si="25"/>
        <v>#N/A</v>
      </c>
      <c r="AI35" t="e">
        <f t="shared" si="26"/>
        <v>#N/A</v>
      </c>
      <c r="AJ35" t="e">
        <f t="shared" si="27"/>
        <v>#N/A</v>
      </c>
      <c r="AK35" t="e">
        <f t="shared" si="28"/>
        <v>#N/A</v>
      </c>
      <c r="AL35" t="e">
        <f t="shared" si="29"/>
        <v>#N/A</v>
      </c>
      <c r="AM35" t="e">
        <f t="shared" si="30"/>
        <v>#N/A</v>
      </c>
      <c r="AN35" t="e">
        <f t="shared" si="31"/>
        <v>#N/A</v>
      </c>
      <c r="AO35" t="e">
        <f t="shared" si="32"/>
        <v>#N/A</v>
      </c>
      <c r="AP35" t="e">
        <f t="shared" si="33"/>
        <v>#N/A</v>
      </c>
      <c r="AQ35" t="e">
        <f t="shared" si="34"/>
        <v>#N/A</v>
      </c>
      <c r="AR35" t="e">
        <f t="shared" si="35"/>
        <v>#N/A</v>
      </c>
      <c r="AS35" t="e">
        <f t="shared" si="36"/>
        <v>#N/A</v>
      </c>
      <c r="AT35" t="e">
        <f t="shared" si="37"/>
        <v>#N/A</v>
      </c>
      <c r="AU35" t="e">
        <f t="shared" si="38"/>
        <v>#N/A</v>
      </c>
      <c r="AV35" t="e">
        <f t="shared" si="39"/>
        <v>#N/A</v>
      </c>
      <c r="AW35" t="e">
        <f t="shared" si="40"/>
        <v>#N/A</v>
      </c>
      <c r="AX35" t="e">
        <f t="shared" si="41"/>
        <v>#N/A</v>
      </c>
      <c r="AY35" t="e">
        <f t="shared" si="42"/>
        <v>#N/A</v>
      </c>
      <c r="AZ35" t="e">
        <f t="shared" si="43"/>
        <v>#N/A</v>
      </c>
      <c r="BA35" t="e">
        <f t="shared" si="44"/>
        <v>#N/A</v>
      </c>
      <c r="BB35" t="e">
        <f t="shared" si="45"/>
        <v>#N/A</v>
      </c>
      <c r="BC35" t="e">
        <f t="shared" si="46"/>
        <v>#N/A</v>
      </c>
      <c r="BD35" t="e">
        <f t="shared" si="47"/>
        <v>#N/A</v>
      </c>
      <c r="BE35" t="e">
        <f t="shared" si="48"/>
        <v>#N/A</v>
      </c>
      <c r="BF35" t="e">
        <f t="shared" si="49"/>
        <v>#N/A</v>
      </c>
      <c r="BG35" t="e">
        <f t="shared" si="50"/>
        <v>#N/A</v>
      </c>
      <c r="BH35" t="e">
        <f t="shared" si="51"/>
        <v>#N/A</v>
      </c>
      <c r="BI35" t="e">
        <f t="shared" si="52"/>
        <v>#N/A</v>
      </c>
      <c r="BJ35" t="e">
        <f t="shared" si="53"/>
        <v>#N/A</v>
      </c>
      <c r="BK35" t="e">
        <f t="shared" si="54"/>
        <v>#N/A</v>
      </c>
      <c r="BL35" t="e">
        <f t="shared" si="55"/>
        <v>#N/A</v>
      </c>
      <c r="BM35" t="e">
        <f t="shared" si="56"/>
        <v>#N/A</v>
      </c>
      <c r="BN35" t="e">
        <f t="shared" si="57"/>
        <v>#N/A</v>
      </c>
      <c r="BO35" t="e">
        <f t="shared" si="58"/>
        <v>#N/A</v>
      </c>
      <c r="BP35" t="e">
        <f t="shared" si="59"/>
        <v>#N/A</v>
      </c>
      <c r="BQ35" t="e">
        <f t="shared" si="60"/>
        <v>#N/A</v>
      </c>
      <c r="BR35" t="e">
        <f t="shared" si="61"/>
        <v>#N/A</v>
      </c>
      <c r="BS35" t="e">
        <f t="shared" si="62"/>
        <v>#N/A</v>
      </c>
      <c r="BT35" t="e">
        <f t="shared" si="63"/>
        <v>#N/A</v>
      </c>
      <c r="BU35" t="e">
        <f t="shared" si="64"/>
        <v>#N/A</v>
      </c>
      <c r="BV35" t="e">
        <f t="shared" si="65"/>
        <v>#N/A</v>
      </c>
      <c r="BW35" t="e">
        <f t="shared" si="66"/>
        <v>#N/A</v>
      </c>
      <c r="BX35" t="e">
        <f t="shared" si="67"/>
        <v>#N/A</v>
      </c>
      <c r="BY35" t="e">
        <f t="shared" si="68"/>
        <v>#N/A</v>
      </c>
      <c r="BZ35" t="e">
        <f t="shared" si="69"/>
        <v>#N/A</v>
      </c>
      <c r="CA35" t="e">
        <f t="shared" si="70"/>
        <v>#N/A</v>
      </c>
      <c r="CB35" t="e">
        <f t="shared" si="71"/>
        <v>#N/A</v>
      </c>
      <c r="CC35" t="e">
        <f t="shared" si="72"/>
        <v>#N/A</v>
      </c>
      <c r="CD35" t="e">
        <f t="shared" si="73"/>
        <v>#N/A</v>
      </c>
      <c r="CE35" t="e">
        <f t="shared" si="74"/>
        <v>#N/A</v>
      </c>
      <c r="CF35" t="e">
        <f t="shared" si="75"/>
        <v>#N/A</v>
      </c>
      <c r="CG35" t="e">
        <f t="shared" si="76"/>
        <v>#N/A</v>
      </c>
      <c r="CH35" t="e">
        <f t="shared" si="77"/>
        <v>#N/A</v>
      </c>
      <c r="CI35" t="e">
        <f t="shared" si="78"/>
        <v>#N/A</v>
      </c>
      <c r="CJ35" t="e">
        <f t="shared" si="79"/>
        <v>#N/A</v>
      </c>
      <c r="CK35" t="e">
        <f t="shared" si="80"/>
        <v>#N/A</v>
      </c>
      <c r="CL35" t="e">
        <f t="shared" si="81"/>
        <v>#N/A</v>
      </c>
      <c r="CM35" t="e">
        <f t="shared" si="82"/>
        <v>#N/A</v>
      </c>
      <c r="CN35" t="e">
        <f t="shared" si="83"/>
        <v>#N/A</v>
      </c>
      <c r="CO35" t="e">
        <f t="shared" si="84"/>
        <v>#N/A</v>
      </c>
      <c r="CP35" t="e">
        <f t="shared" si="85"/>
        <v>#N/A</v>
      </c>
      <c r="CQ35" t="e">
        <f t="shared" si="86"/>
        <v>#N/A</v>
      </c>
      <c r="CR35" t="e">
        <f t="shared" si="87"/>
        <v>#N/A</v>
      </c>
      <c r="CS35" t="e">
        <f t="shared" si="88"/>
        <v>#N/A</v>
      </c>
      <c r="CT35" t="e">
        <f t="shared" si="89"/>
        <v>#N/A</v>
      </c>
      <c r="CU35" t="e">
        <f t="shared" si="90"/>
        <v>#N/A</v>
      </c>
      <c r="CV35" t="e">
        <f t="shared" si="91"/>
        <v>#N/A</v>
      </c>
      <c r="CW35" t="e">
        <f t="shared" si="91"/>
        <v>#N/A</v>
      </c>
      <c r="CX35" t="e">
        <f t="shared" si="91"/>
        <v>#N/A</v>
      </c>
      <c r="CY35" t="e">
        <f t="shared" si="91"/>
        <v>#N/A</v>
      </c>
      <c r="CZ35" t="e">
        <f t="shared" si="93"/>
        <v>#N/A</v>
      </c>
      <c r="DA35" t="e">
        <f t="shared" si="93"/>
        <v>#N/A</v>
      </c>
    </row>
    <row r="36" spans="1:105" x14ac:dyDescent="0.35">
      <c r="I36" s="12" t="e" vm="2">
        <f ca="1">'Required Capacity (Hide)'!E36</f>
        <v>#VALUE!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  <c r="V36" t="e">
        <f t="shared" si="13"/>
        <v>#N/A</v>
      </c>
      <c r="W36" t="e">
        <f t="shared" si="14"/>
        <v>#N/A</v>
      </c>
      <c r="X36" t="e">
        <f t="shared" si="15"/>
        <v>#N/A</v>
      </c>
      <c r="Y36" t="e">
        <f t="shared" si="16"/>
        <v>#N/A</v>
      </c>
      <c r="Z36" t="e">
        <f t="shared" si="17"/>
        <v>#N/A</v>
      </c>
      <c r="AA36" t="e">
        <f t="shared" si="18"/>
        <v>#N/A</v>
      </c>
      <c r="AB36" t="e">
        <f t="shared" si="19"/>
        <v>#N/A</v>
      </c>
      <c r="AC36" t="e">
        <f t="shared" si="20"/>
        <v>#N/A</v>
      </c>
      <c r="AD36" t="e">
        <f t="shared" si="21"/>
        <v>#N/A</v>
      </c>
      <c r="AE36" t="e">
        <f t="shared" si="22"/>
        <v>#N/A</v>
      </c>
      <c r="AF36" t="e">
        <f t="shared" si="23"/>
        <v>#N/A</v>
      </c>
      <c r="AG36" t="e">
        <f t="shared" si="24"/>
        <v>#N/A</v>
      </c>
      <c r="AH36" t="e">
        <f t="shared" si="25"/>
        <v>#N/A</v>
      </c>
      <c r="AI36" t="e">
        <f t="shared" si="26"/>
        <v>#N/A</v>
      </c>
      <c r="AJ36" t="e">
        <f t="shared" si="27"/>
        <v>#N/A</v>
      </c>
      <c r="AK36" t="e">
        <f t="shared" si="28"/>
        <v>#N/A</v>
      </c>
      <c r="AL36" t="e">
        <f t="shared" si="29"/>
        <v>#N/A</v>
      </c>
      <c r="AM36" t="e">
        <f t="shared" si="30"/>
        <v>#N/A</v>
      </c>
      <c r="AN36" t="e">
        <f t="shared" si="31"/>
        <v>#N/A</v>
      </c>
      <c r="AO36" t="e">
        <f t="shared" si="32"/>
        <v>#N/A</v>
      </c>
      <c r="AP36" t="e">
        <f t="shared" si="33"/>
        <v>#N/A</v>
      </c>
      <c r="AQ36" t="e">
        <f t="shared" si="34"/>
        <v>#N/A</v>
      </c>
      <c r="AR36" t="e">
        <f t="shared" si="35"/>
        <v>#N/A</v>
      </c>
      <c r="AS36" t="e">
        <f t="shared" si="36"/>
        <v>#N/A</v>
      </c>
      <c r="AT36" t="e">
        <f t="shared" si="37"/>
        <v>#N/A</v>
      </c>
      <c r="AU36" t="e">
        <f t="shared" si="38"/>
        <v>#N/A</v>
      </c>
      <c r="AV36" t="e">
        <f t="shared" si="39"/>
        <v>#N/A</v>
      </c>
      <c r="AW36" t="e">
        <f t="shared" si="40"/>
        <v>#N/A</v>
      </c>
      <c r="AX36" t="e">
        <f t="shared" si="41"/>
        <v>#N/A</v>
      </c>
      <c r="AY36" t="e">
        <f t="shared" si="42"/>
        <v>#N/A</v>
      </c>
      <c r="AZ36" t="e">
        <f t="shared" si="43"/>
        <v>#N/A</v>
      </c>
      <c r="BA36" t="e">
        <f t="shared" si="44"/>
        <v>#N/A</v>
      </c>
      <c r="BB36" t="e">
        <f t="shared" si="45"/>
        <v>#N/A</v>
      </c>
      <c r="BC36" t="e">
        <f t="shared" si="46"/>
        <v>#N/A</v>
      </c>
      <c r="BD36" t="e">
        <f t="shared" si="47"/>
        <v>#N/A</v>
      </c>
      <c r="BE36" t="e">
        <f t="shared" si="48"/>
        <v>#N/A</v>
      </c>
      <c r="BF36" t="e">
        <f t="shared" si="49"/>
        <v>#N/A</v>
      </c>
      <c r="BG36" t="e">
        <f t="shared" si="50"/>
        <v>#N/A</v>
      </c>
      <c r="BH36" t="e">
        <f t="shared" si="51"/>
        <v>#N/A</v>
      </c>
      <c r="BI36" t="e">
        <f t="shared" si="52"/>
        <v>#N/A</v>
      </c>
      <c r="BJ36" t="e">
        <f t="shared" si="53"/>
        <v>#N/A</v>
      </c>
      <c r="BK36" t="e">
        <f t="shared" si="54"/>
        <v>#N/A</v>
      </c>
      <c r="BL36" t="e">
        <f t="shared" si="55"/>
        <v>#N/A</v>
      </c>
      <c r="BM36" t="e">
        <f t="shared" si="56"/>
        <v>#N/A</v>
      </c>
      <c r="BN36" t="e">
        <f t="shared" si="57"/>
        <v>#N/A</v>
      </c>
      <c r="BO36" t="e">
        <f t="shared" si="58"/>
        <v>#N/A</v>
      </c>
      <c r="BP36" t="e">
        <f t="shared" si="59"/>
        <v>#N/A</v>
      </c>
      <c r="BQ36" t="e">
        <f t="shared" si="60"/>
        <v>#N/A</v>
      </c>
      <c r="BR36" t="e">
        <f t="shared" si="61"/>
        <v>#N/A</v>
      </c>
      <c r="BS36" t="e">
        <f t="shared" si="62"/>
        <v>#N/A</v>
      </c>
      <c r="BT36" t="e">
        <f t="shared" si="63"/>
        <v>#N/A</v>
      </c>
      <c r="BU36" t="e">
        <f t="shared" si="64"/>
        <v>#N/A</v>
      </c>
      <c r="BV36" t="e">
        <f t="shared" si="65"/>
        <v>#N/A</v>
      </c>
      <c r="BW36" t="e">
        <f t="shared" si="66"/>
        <v>#N/A</v>
      </c>
      <c r="BX36" t="e">
        <f t="shared" si="67"/>
        <v>#N/A</v>
      </c>
      <c r="BY36" t="e">
        <f t="shared" si="68"/>
        <v>#N/A</v>
      </c>
      <c r="BZ36" t="e">
        <f t="shared" si="69"/>
        <v>#N/A</v>
      </c>
      <c r="CA36" t="e">
        <f t="shared" si="70"/>
        <v>#N/A</v>
      </c>
      <c r="CB36" t="e">
        <f t="shared" si="71"/>
        <v>#N/A</v>
      </c>
      <c r="CC36" t="e">
        <f t="shared" si="72"/>
        <v>#N/A</v>
      </c>
      <c r="CD36" t="e">
        <f t="shared" si="73"/>
        <v>#N/A</v>
      </c>
      <c r="CE36" t="e">
        <f t="shared" si="74"/>
        <v>#N/A</v>
      </c>
      <c r="CF36" t="e">
        <f t="shared" si="75"/>
        <v>#N/A</v>
      </c>
      <c r="CG36" t="e">
        <f t="shared" si="76"/>
        <v>#N/A</v>
      </c>
      <c r="CH36" t="e">
        <f t="shared" si="77"/>
        <v>#N/A</v>
      </c>
      <c r="CI36" t="e">
        <f t="shared" si="78"/>
        <v>#N/A</v>
      </c>
      <c r="CJ36" t="e">
        <f t="shared" si="79"/>
        <v>#N/A</v>
      </c>
      <c r="CK36" t="e">
        <f t="shared" si="80"/>
        <v>#N/A</v>
      </c>
      <c r="CL36" t="e">
        <f t="shared" si="81"/>
        <v>#N/A</v>
      </c>
      <c r="CM36" t="e">
        <f t="shared" si="82"/>
        <v>#N/A</v>
      </c>
      <c r="CN36" t="e">
        <f t="shared" si="83"/>
        <v>#N/A</v>
      </c>
      <c r="CO36" t="e">
        <f t="shared" si="84"/>
        <v>#N/A</v>
      </c>
      <c r="CP36" t="e">
        <f t="shared" si="85"/>
        <v>#N/A</v>
      </c>
      <c r="CQ36" t="e">
        <f t="shared" si="86"/>
        <v>#N/A</v>
      </c>
      <c r="CR36" t="e">
        <f t="shared" si="87"/>
        <v>#N/A</v>
      </c>
      <c r="CS36" t="e">
        <f t="shared" si="88"/>
        <v>#N/A</v>
      </c>
      <c r="CT36" t="e">
        <f t="shared" si="89"/>
        <v>#N/A</v>
      </c>
      <c r="CU36" t="e">
        <f t="shared" si="90"/>
        <v>#N/A</v>
      </c>
      <c r="CV36" t="e">
        <f t="shared" si="91"/>
        <v>#N/A</v>
      </c>
      <c r="CW36" t="e">
        <f t="shared" si="91"/>
        <v>#N/A</v>
      </c>
      <c r="CX36" t="e">
        <f t="shared" si="91"/>
        <v>#N/A</v>
      </c>
      <c r="CY36" t="e">
        <f t="shared" si="91"/>
        <v>#N/A</v>
      </c>
      <c r="CZ36" t="e">
        <f t="shared" si="93"/>
        <v>#N/A</v>
      </c>
      <c r="DA36" t="e">
        <f t="shared" si="93"/>
        <v>#N/A</v>
      </c>
    </row>
    <row r="37" spans="1:105" x14ac:dyDescent="0.35">
      <c r="I37" s="12" t="e" vm="2">
        <f ca="1">'Required Capacity (Hide)'!E37</f>
        <v>#VALUE!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  <c r="V37" t="e">
        <f t="shared" si="13"/>
        <v>#N/A</v>
      </c>
      <c r="W37" t="e">
        <f t="shared" si="14"/>
        <v>#N/A</v>
      </c>
      <c r="X37" t="e">
        <f t="shared" si="15"/>
        <v>#N/A</v>
      </c>
      <c r="Y37" t="e">
        <f t="shared" si="16"/>
        <v>#N/A</v>
      </c>
      <c r="Z37" t="e">
        <f t="shared" si="17"/>
        <v>#N/A</v>
      </c>
      <c r="AA37" t="e">
        <f t="shared" si="18"/>
        <v>#N/A</v>
      </c>
      <c r="AB37" t="e">
        <f t="shared" si="19"/>
        <v>#N/A</v>
      </c>
      <c r="AC37" t="e">
        <f t="shared" si="20"/>
        <v>#N/A</v>
      </c>
      <c r="AD37" t="e">
        <f t="shared" si="21"/>
        <v>#N/A</v>
      </c>
      <c r="AE37" t="e">
        <f t="shared" si="22"/>
        <v>#N/A</v>
      </c>
      <c r="AF37" t="e">
        <f t="shared" si="23"/>
        <v>#N/A</v>
      </c>
      <c r="AG37" t="e">
        <f t="shared" si="24"/>
        <v>#N/A</v>
      </c>
      <c r="AH37" t="e">
        <f t="shared" si="25"/>
        <v>#N/A</v>
      </c>
      <c r="AI37" t="e">
        <f t="shared" si="26"/>
        <v>#N/A</v>
      </c>
      <c r="AJ37" t="e">
        <f t="shared" si="27"/>
        <v>#N/A</v>
      </c>
      <c r="AK37" t="e">
        <f t="shared" si="28"/>
        <v>#N/A</v>
      </c>
      <c r="AL37" t="e">
        <f t="shared" si="29"/>
        <v>#N/A</v>
      </c>
      <c r="AM37" t="e">
        <f t="shared" si="30"/>
        <v>#N/A</v>
      </c>
      <c r="AN37" t="e">
        <f t="shared" si="31"/>
        <v>#N/A</v>
      </c>
      <c r="AO37" t="e">
        <f t="shared" si="32"/>
        <v>#N/A</v>
      </c>
      <c r="AP37" t="e">
        <f t="shared" si="33"/>
        <v>#N/A</v>
      </c>
      <c r="AQ37" t="e">
        <f t="shared" si="34"/>
        <v>#N/A</v>
      </c>
      <c r="AR37" t="e">
        <f t="shared" si="35"/>
        <v>#N/A</v>
      </c>
      <c r="AS37" t="e">
        <f t="shared" si="36"/>
        <v>#N/A</v>
      </c>
      <c r="AT37" t="e">
        <f t="shared" si="37"/>
        <v>#N/A</v>
      </c>
      <c r="AU37" t="e">
        <f t="shared" si="38"/>
        <v>#N/A</v>
      </c>
      <c r="AV37" t="e">
        <f t="shared" si="39"/>
        <v>#N/A</v>
      </c>
      <c r="AW37" t="e">
        <f t="shared" si="40"/>
        <v>#N/A</v>
      </c>
      <c r="AX37" t="e">
        <f t="shared" si="41"/>
        <v>#N/A</v>
      </c>
      <c r="AY37" t="e">
        <f t="shared" si="42"/>
        <v>#N/A</v>
      </c>
      <c r="AZ37" t="e">
        <f t="shared" si="43"/>
        <v>#N/A</v>
      </c>
      <c r="BA37" t="e">
        <f t="shared" si="44"/>
        <v>#N/A</v>
      </c>
      <c r="BB37" t="e">
        <f t="shared" si="45"/>
        <v>#N/A</v>
      </c>
      <c r="BC37" t="e">
        <f t="shared" si="46"/>
        <v>#N/A</v>
      </c>
      <c r="BD37" t="e">
        <f t="shared" si="47"/>
        <v>#N/A</v>
      </c>
      <c r="BE37" t="e">
        <f t="shared" si="48"/>
        <v>#N/A</v>
      </c>
      <c r="BF37" t="e">
        <f t="shared" si="49"/>
        <v>#N/A</v>
      </c>
      <c r="BG37" t="e">
        <f t="shared" si="50"/>
        <v>#N/A</v>
      </c>
      <c r="BH37" t="e">
        <f t="shared" si="51"/>
        <v>#N/A</v>
      </c>
      <c r="BI37" t="e">
        <f t="shared" si="52"/>
        <v>#N/A</v>
      </c>
      <c r="BJ37" t="e">
        <f t="shared" si="53"/>
        <v>#N/A</v>
      </c>
      <c r="BK37" t="e">
        <f t="shared" si="54"/>
        <v>#N/A</v>
      </c>
      <c r="BL37" t="e">
        <f t="shared" si="55"/>
        <v>#N/A</v>
      </c>
      <c r="BM37" t="e">
        <f t="shared" si="56"/>
        <v>#N/A</v>
      </c>
      <c r="BN37" t="e">
        <f t="shared" si="57"/>
        <v>#N/A</v>
      </c>
      <c r="BO37" t="e">
        <f t="shared" si="58"/>
        <v>#N/A</v>
      </c>
      <c r="BP37" t="e">
        <f t="shared" si="59"/>
        <v>#N/A</v>
      </c>
      <c r="BQ37" t="e">
        <f t="shared" si="60"/>
        <v>#N/A</v>
      </c>
      <c r="BR37" t="e">
        <f t="shared" si="61"/>
        <v>#N/A</v>
      </c>
      <c r="BS37" t="e">
        <f t="shared" si="62"/>
        <v>#N/A</v>
      </c>
      <c r="BT37" t="e">
        <f t="shared" si="63"/>
        <v>#N/A</v>
      </c>
      <c r="BU37" t="e">
        <f t="shared" si="64"/>
        <v>#N/A</v>
      </c>
      <c r="BV37" t="e">
        <f t="shared" si="65"/>
        <v>#N/A</v>
      </c>
      <c r="BW37" t="e">
        <f t="shared" si="66"/>
        <v>#N/A</v>
      </c>
      <c r="BX37" t="e">
        <f t="shared" si="67"/>
        <v>#N/A</v>
      </c>
      <c r="BY37" t="e">
        <f t="shared" si="68"/>
        <v>#N/A</v>
      </c>
      <c r="BZ37" t="e">
        <f t="shared" si="69"/>
        <v>#N/A</v>
      </c>
      <c r="CA37" t="e">
        <f t="shared" si="70"/>
        <v>#N/A</v>
      </c>
      <c r="CB37" t="e">
        <f t="shared" si="71"/>
        <v>#N/A</v>
      </c>
      <c r="CC37" t="e">
        <f t="shared" si="72"/>
        <v>#N/A</v>
      </c>
      <c r="CD37" t="e">
        <f t="shared" si="73"/>
        <v>#N/A</v>
      </c>
      <c r="CE37" t="e">
        <f t="shared" si="74"/>
        <v>#N/A</v>
      </c>
      <c r="CF37" t="e">
        <f t="shared" si="75"/>
        <v>#N/A</v>
      </c>
      <c r="CG37" t="e">
        <f t="shared" si="76"/>
        <v>#N/A</v>
      </c>
      <c r="CH37" t="e">
        <f t="shared" si="77"/>
        <v>#N/A</v>
      </c>
      <c r="CI37" t="e">
        <f t="shared" si="78"/>
        <v>#N/A</v>
      </c>
      <c r="CJ37" t="e">
        <f t="shared" si="79"/>
        <v>#N/A</v>
      </c>
      <c r="CK37" t="e">
        <f t="shared" si="80"/>
        <v>#N/A</v>
      </c>
      <c r="CL37" t="e">
        <f t="shared" si="81"/>
        <v>#N/A</v>
      </c>
      <c r="CM37" t="e">
        <f t="shared" si="82"/>
        <v>#N/A</v>
      </c>
      <c r="CN37" t="e">
        <f t="shared" si="83"/>
        <v>#N/A</v>
      </c>
      <c r="CO37" t="e">
        <f t="shared" si="84"/>
        <v>#N/A</v>
      </c>
      <c r="CP37" t="e">
        <f t="shared" si="85"/>
        <v>#N/A</v>
      </c>
      <c r="CQ37" t="e">
        <f t="shared" si="86"/>
        <v>#N/A</v>
      </c>
      <c r="CR37" t="e">
        <f t="shared" si="87"/>
        <v>#N/A</v>
      </c>
      <c r="CS37" t="e">
        <f t="shared" si="88"/>
        <v>#N/A</v>
      </c>
      <c r="CT37" t="e">
        <f t="shared" si="89"/>
        <v>#N/A</v>
      </c>
      <c r="CU37" t="e">
        <f t="shared" si="90"/>
        <v>#N/A</v>
      </c>
      <c r="CV37" t="e">
        <f t="shared" si="91"/>
        <v>#N/A</v>
      </c>
      <c r="CW37" t="e">
        <f t="shared" si="91"/>
        <v>#N/A</v>
      </c>
      <c r="CX37" t="e">
        <f t="shared" si="91"/>
        <v>#N/A</v>
      </c>
      <c r="CY37" t="e">
        <f t="shared" si="91"/>
        <v>#N/A</v>
      </c>
      <c r="CZ37" t="e">
        <f t="shared" si="93"/>
        <v>#N/A</v>
      </c>
      <c r="DA37" t="e">
        <f t="shared" si="93"/>
        <v>#N/A</v>
      </c>
    </row>
    <row r="38" spans="1:105" x14ac:dyDescent="0.35">
      <c r="I38" s="12" t="e" vm="2">
        <f ca="1">'Required Capacity (Hide)'!E38</f>
        <v>#VALUE!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  <c r="V38" t="e">
        <f t="shared" si="13"/>
        <v>#N/A</v>
      </c>
      <c r="W38" t="e">
        <f t="shared" si="14"/>
        <v>#N/A</v>
      </c>
      <c r="X38" t="e">
        <f t="shared" si="15"/>
        <v>#N/A</v>
      </c>
      <c r="Y38" t="e">
        <f t="shared" si="16"/>
        <v>#N/A</v>
      </c>
      <c r="Z38" t="e">
        <f t="shared" si="17"/>
        <v>#N/A</v>
      </c>
      <c r="AA38" t="e">
        <f t="shared" si="18"/>
        <v>#N/A</v>
      </c>
      <c r="AB38" t="e">
        <f t="shared" si="19"/>
        <v>#N/A</v>
      </c>
      <c r="AC38" t="e">
        <f t="shared" si="20"/>
        <v>#N/A</v>
      </c>
      <c r="AD38" t="e">
        <f t="shared" si="21"/>
        <v>#N/A</v>
      </c>
      <c r="AE38" t="e">
        <f t="shared" si="22"/>
        <v>#N/A</v>
      </c>
      <c r="AF38" t="e">
        <f t="shared" si="23"/>
        <v>#N/A</v>
      </c>
      <c r="AG38" t="e">
        <f t="shared" si="24"/>
        <v>#N/A</v>
      </c>
      <c r="AH38" t="e">
        <f t="shared" si="25"/>
        <v>#N/A</v>
      </c>
      <c r="AI38" t="e">
        <f t="shared" si="26"/>
        <v>#N/A</v>
      </c>
      <c r="AJ38" t="e">
        <f t="shared" si="27"/>
        <v>#N/A</v>
      </c>
      <c r="AK38" t="e">
        <f t="shared" si="28"/>
        <v>#N/A</v>
      </c>
      <c r="AL38" t="e">
        <f t="shared" si="29"/>
        <v>#N/A</v>
      </c>
      <c r="AM38" t="e">
        <f t="shared" si="30"/>
        <v>#N/A</v>
      </c>
      <c r="AN38" t="e">
        <f t="shared" si="31"/>
        <v>#N/A</v>
      </c>
      <c r="AO38" t="e">
        <f t="shared" si="32"/>
        <v>#N/A</v>
      </c>
      <c r="AP38" t="e">
        <f t="shared" si="33"/>
        <v>#N/A</v>
      </c>
      <c r="AQ38" t="e">
        <f t="shared" si="34"/>
        <v>#N/A</v>
      </c>
      <c r="AR38" t="e">
        <f t="shared" si="35"/>
        <v>#N/A</v>
      </c>
      <c r="AS38" t="e">
        <f t="shared" si="36"/>
        <v>#N/A</v>
      </c>
      <c r="AT38" t="e">
        <f t="shared" si="37"/>
        <v>#N/A</v>
      </c>
      <c r="AU38" t="e">
        <f t="shared" si="38"/>
        <v>#N/A</v>
      </c>
      <c r="AV38" t="e">
        <f t="shared" si="39"/>
        <v>#N/A</v>
      </c>
      <c r="AW38" t="e">
        <f t="shared" si="40"/>
        <v>#N/A</v>
      </c>
      <c r="AX38" t="e">
        <f t="shared" si="41"/>
        <v>#N/A</v>
      </c>
      <c r="AY38" t="e">
        <f t="shared" si="42"/>
        <v>#N/A</v>
      </c>
      <c r="AZ38" t="e">
        <f t="shared" si="43"/>
        <v>#N/A</v>
      </c>
      <c r="BA38" t="e">
        <f t="shared" si="44"/>
        <v>#N/A</v>
      </c>
      <c r="BB38" t="e">
        <f t="shared" si="45"/>
        <v>#N/A</v>
      </c>
      <c r="BC38" t="e">
        <f t="shared" si="46"/>
        <v>#N/A</v>
      </c>
      <c r="BD38" t="e">
        <f t="shared" si="47"/>
        <v>#N/A</v>
      </c>
      <c r="BE38" t="e">
        <f t="shared" si="48"/>
        <v>#N/A</v>
      </c>
      <c r="BF38" t="e">
        <f t="shared" si="49"/>
        <v>#N/A</v>
      </c>
      <c r="BG38" t="e">
        <f t="shared" si="50"/>
        <v>#N/A</v>
      </c>
      <c r="BH38" t="e">
        <f t="shared" si="51"/>
        <v>#N/A</v>
      </c>
      <c r="BI38" t="e">
        <f t="shared" si="52"/>
        <v>#N/A</v>
      </c>
      <c r="BJ38" t="e">
        <f t="shared" si="53"/>
        <v>#N/A</v>
      </c>
      <c r="BK38" t="e">
        <f t="shared" si="54"/>
        <v>#N/A</v>
      </c>
      <c r="BL38" t="e">
        <f t="shared" si="55"/>
        <v>#N/A</v>
      </c>
      <c r="BM38" t="e">
        <f t="shared" si="56"/>
        <v>#N/A</v>
      </c>
      <c r="BN38" t="e">
        <f t="shared" si="57"/>
        <v>#N/A</v>
      </c>
      <c r="BO38" t="e">
        <f t="shared" si="58"/>
        <v>#N/A</v>
      </c>
      <c r="BP38" t="e">
        <f t="shared" si="59"/>
        <v>#N/A</v>
      </c>
      <c r="BQ38" t="e">
        <f t="shared" si="60"/>
        <v>#N/A</v>
      </c>
      <c r="BR38" t="e">
        <f t="shared" si="61"/>
        <v>#N/A</v>
      </c>
      <c r="BS38" t="e">
        <f t="shared" si="62"/>
        <v>#N/A</v>
      </c>
      <c r="BT38" t="e">
        <f t="shared" si="63"/>
        <v>#N/A</v>
      </c>
      <c r="BU38" t="e">
        <f t="shared" si="64"/>
        <v>#N/A</v>
      </c>
      <c r="BV38" t="e">
        <f t="shared" si="65"/>
        <v>#N/A</v>
      </c>
      <c r="BW38" t="e">
        <f t="shared" si="66"/>
        <v>#N/A</v>
      </c>
      <c r="BX38" t="e">
        <f t="shared" si="67"/>
        <v>#N/A</v>
      </c>
      <c r="BY38" t="e">
        <f t="shared" si="68"/>
        <v>#N/A</v>
      </c>
      <c r="BZ38" t="e">
        <f t="shared" si="69"/>
        <v>#N/A</v>
      </c>
      <c r="CA38" t="e">
        <f t="shared" si="70"/>
        <v>#N/A</v>
      </c>
      <c r="CB38" t="e">
        <f t="shared" si="71"/>
        <v>#N/A</v>
      </c>
      <c r="CC38" t="e">
        <f t="shared" si="72"/>
        <v>#N/A</v>
      </c>
      <c r="CD38" t="e">
        <f t="shared" si="73"/>
        <v>#N/A</v>
      </c>
      <c r="CE38" t="e">
        <f t="shared" si="74"/>
        <v>#N/A</v>
      </c>
      <c r="CF38" t="e">
        <f t="shared" si="75"/>
        <v>#N/A</v>
      </c>
      <c r="CG38" t="e">
        <f t="shared" si="76"/>
        <v>#N/A</v>
      </c>
      <c r="CH38" t="e">
        <f t="shared" si="77"/>
        <v>#N/A</v>
      </c>
      <c r="CI38" t="e">
        <f t="shared" si="78"/>
        <v>#N/A</v>
      </c>
      <c r="CJ38" t="e">
        <f t="shared" si="79"/>
        <v>#N/A</v>
      </c>
      <c r="CK38" t="e">
        <f t="shared" si="80"/>
        <v>#N/A</v>
      </c>
      <c r="CL38" t="e">
        <f t="shared" si="81"/>
        <v>#N/A</v>
      </c>
      <c r="CM38" t="e">
        <f t="shared" si="82"/>
        <v>#N/A</v>
      </c>
      <c r="CN38" t="e">
        <f t="shared" si="83"/>
        <v>#N/A</v>
      </c>
      <c r="CO38" t="e">
        <f t="shared" si="84"/>
        <v>#N/A</v>
      </c>
      <c r="CP38" t="e">
        <f t="shared" si="85"/>
        <v>#N/A</v>
      </c>
      <c r="CQ38" t="e">
        <f t="shared" si="86"/>
        <v>#N/A</v>
      </c>
      <c r="CR38" t="e">
        <f t="shared" si="87"/>
        <v>#N/A</v>
      </c>
      <c r="CS38" t="e">
        <f t="shared" si="88"/>
        <v>#N/A</v>
      </c>
      <c r="CT38" t="e">
        <f t="shared" si="89"/>
        <v>#N/A</v>
      </c>
      <c r="CU38" t="e">
        <f t="shared" si="90"/>
        <v>#N/A</v>
      </c>
      <c r="CV38" t="e">
        <f t="shared" si="91"/>
        <v>#N/A</v>
      </c>
      <c r="CW38" t="e">
        <f t="shared" si="91"/>
        <v>#N/A</v>
      </c>
      <c r="CX38" t="e">
        <f t="shared" si="91"/>
        <v>#N/A</v>
      </c>
      <c r="CY38" t="e">
        <f t="shared" si="91"/>
        <v>#N/A</v>
      </c>
      <c r="CZ38" t="e">
        <f t="shared" si="93"/>
        <v>#N/A</v>
      </c>
      <c r="DA38" t="e">
        <f t="shared" si="93"/>
        <v>#N/A</v>
      </c>
    </row>
    <row r="39" spans="1:105" x14ac:dyDescent="0.35">
      <c r="I39" s="12" t="e" vm="2">
        <f ca="1">'Required Capacity (Hide)'!E39</f>
        <v>#VALUE!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  <c r="V39" t="e">
        <f t="shared" si="13"/>
        <v>#N/A</v>
      </c>
      <c r="W39" t="e">
        <f t="shared" si="14"/>
        <v>#N/A</v>
      </c>
      <c r="X39" t="e">
        <f t="shared" si="15"/>
        <v>#N/A</v>
      </c>
      <c r="Y39" t="e">
        <f t="shared" si="16"/>
        <v>#N/A</v>
      </c>
      <c r="Z39" t="e">
        <f t="shared" si="17"/>
        <v>#N/A</v>
      </c>
      <c r="AA39" t="e">
        <f t="shared" si="18"/>
        <v>#N/A</v>
      </c>
      <c r="AB39" t="e">
        <f t="shared" si="19"/>
        <v>#N/A</v>
      </c>
      <c r="AC39" t="e">
        <f t="shared" si="20"/>
        <v>#N/A</v>
      </c>
      <c r="AD39" t="e">
        <f t="shared" si="21"/>
        <v>#N/A</v>
      </c>
      <c r="AE39" t="e">
        <f t="shared" si="22"/>
        <v>#N/A</v>
      </c>
      <c r="AF39" t="e">
        <f t="shared" si="23"/>
        <v>#N/A</v>
      </c>
      <c r="AG39" t="e">
        <f t="shared" si="24"/>
        <v>#N/A</v>
      </c>
      <c r="AH39" t="e">
        <f t="shared" si="25"/>
        <v>#N/A</v>
      </c>
      <c r="AI39" t="e">
        <f t="shared" si="26"/>
        <v>#N/A</v>
      </c>
      <c r="AJ39" t="e">
        <f t="shared" si="27"/>
        <v>#N/A</v>
      </c>
      <c r="AK39" t="e">
        <f t="shared" si="28"/>
        <v>#N/A</v>
      </c>
      <c r="AL39" t="e">
        <f t="shared" si="29"/>
        <v>#N/A</v>
      </c>
      <c r="AM39" t="e">
        <f t="shared" si="30"/>
        <v>#N/A</v>
      </c>
      <c r="AN39" t="e">
        <f t="shared" si="31"/>
        <v>#N/A</v>
      </c>
      <c r="AO39" t="e">
        <f t="shared" si="32"/>
        <v>#N/A</v>
      </c>
      <c r="AP39" t="e">
        <f t="shared" si="33"/>
        <v>#N/A</v>
      </c>
      <c r="AQ39" t="e">
        <f t="shared" si="34"/>
        <v>#N/A</v>
      </c>
      <c r="AR39" t="e">
        <f t="shared" si="35"/>
        <v>#N/A</v>
      </c>
      <c r="AS39" t="e">
        <f t="shared" si="36"/>
        <v>#N/A</v>
      </c>
      <c r="AT39" t="e">
        <f t="shared" si="37"/>
        <v>#N/A</v>
      </c>
      <c r="AU39" t="e">
        <f t="shared" si="38"/>
        <v>#N/A</v>
      </c>
      <c r="AV39" t="e">
        <f t="shared" si="39"/>
        <v>#N/A</v>
      </c>
      <c r="AW39" t="e">
        <f t="shared" si="40"/>
        <v>#N/A</v>
      </c>
      <c r="AX39" t="e">
        <f t="shared" si="41"/>
        <v>#N/A</v>
      </c>
      <c r="AY39" t="e">
        <f t="shared" si="42"/>
        <v>#N/A</v>
      </c>
      <c r="AZ39" t="e">
        <f t="shared" si="43"/>
        <v>#N/A</v>
      </c>
      <c r="BA39" t="e">
        <f t="shared" si="44"/>
        <v>#N/A</v>
      </c>
      <c r="BB39" t="e">
        <f t="shared" si="45"/>
        <v>#N/A</v>
      </c>
      <c r="BC39" t="e">
        <f t="shared" si="46"/>
        <v>#N/A</v>
      </c>
      <c r="BD39" t="e">
        <f t="shared" si="47"/>
        <v>#N/A</v>
      </c>
      <c r="BE39" t="e">
        <f t="shared" si="48"/>
        <v>#N/A</v>
      </c>
      <c r="BF39" t="e">
        <f t="shared" si="49"/>
        <v>#N/A</v>
      </c>
      <c r="BG39" t="e">
        <f t="shared" si="50"/>
        <v>#N/A</v>
      </c>
      <c r="BH39" t="e">
        <f t="shared" si="51"/>
        <v>#N/A</v>
      </c>
      <c r="BI39" t="e">
        <f t="shared" si="52"/>
        <v>#N/A</v>
      </c>
      <c r="BJ39" t="e">
        <f t="shared" si="53"/>
        <v>#N/A</v>
      </c>
      <c r="BK39" t="e">
        <f t="shared" si="54"/>
        <v>#N/A</v>
      </c>
      <c r="BL39" t="e">
        <f t="shared" si="55"/>
        <v>#N/A</v>
      </c>
      <c r="BM39" t="e">
        <f t="shared" si="56"/>
        <v>#N/A</v>
      </c>
      <c r="BN39" t="e">
        <f t="shared" si="57"/>
        <v>#N/A</v>
      </c>
      <c r="BO39" t="e">
        <f t="shared" si="58"/>
        <v>#N/A</v>
      </c>
      <c r="BP39" t="e">
        <f t="shared" si="59"/>
        <v>#N/A</v>
      </c>
      <c r="BQ39" t="e">
        <f t="shared" si="60"/>
        <v>#N/A</v>
      </c>
      <c r="BR39" t="e">
        <f t="shared" si="61"/>
        <v>#N/A</v>
      </c>
      <c r="BS39" t="e">
        <f t="shared" si="62"/>
        <v>#N/A</v>
      </c>
      <c r="BT39" t="e">
        <f t="shared" si="63"/>
        <v>#N/A</v>
      </c>
      <c r="BU39" t="e">
        <f t="shared" si="64"/>
        <v>#N/A</v>
      </c>
      <c r="BV39" t="e">
        <f t="shared" si="65"/>
        <v>#N/A</v>
      </c>
      <c r="BW39" t="e">
        <f t="shared" si="66"/>
        <v>#N/A</v>
      </c>
      <c r="BX39" t="e">
        <f t="shared" si="67"/>
        <v>#N/A</v>
      </c>
      <c r="BY39" t="e">
        <f t="shared" si="68"/>
        <v>#N/A</v>
      </c>
      <c r="BZ39" t="e">
        <f t="shared" si="69"/>
        <v>#N/A</v>
      </c>
      <c r="CA39" t="e">
        <f t="shared" si="70"/>
        <v>#N/A</v>
      </c>
      <c r="CB39" t="e">
        <f t="shared" si="71"/>
        <v>#N/A</v>
      </c>
      <c r="CC39" t="e">
        <f t="shared" si="72"/>
        <v>#N/A</v>
      </c>
      <c r="CD39" t="e">
        <f t="shared" si="73"/>
        <v>#N/A</v>
      </c>
      <c r="CE39" t="e">
        <f t="shared" si="74"/>
        <v>#N/A</v>
      </c>
      <c r="CF39" t="e">
        <f t="shared" si="75"/>
        <v>#N/A</v>
      </c>
      <c r="CG39" t="e">
        <f t="shared" si="76"/>
        <v>#N/A</v>
      </c>
      <c r="CH39" t="e">
        <f t="shared" si="77"/>
        <v>#N/A</v>
      </c>
      <c r="CI39" t="e">
        <f t="shared" si="78"/>
        <v>#N/A</v>
      </c>
      <c r="CJ39" t="e">
        <f t="shared" si="79"/>
        <v>#N/A</v>
      </c>
      <c r="CK39" t="e">
        <f t="shared" si="80"/>
        <v>#N/A</v>
      </c>
      <c r="CL39" t="e">
        <f t="shared" si="81"/>
        <v>#N/A</v>
      </c>
      <c r="CM39" t="e">
        <f t="shared" si="82"/>
        <v>#N/A</v>
      </c>
      <c r="CN39" t="e">
        <f t="shared" si="83"/>
        <v>#N/A</v>
      </c>
      <c r="CO39" t="e">
        <f t="shared" si="84"/>
        <v>#N/A</v>
      </c>
      <c r="CP39" t="e">
        <f t="shared" si="85"/>
        <v>#N/A</v>
      </c>
      <c r="CQ39" t="e">
        <f t="shared" si="86"/>
        <v>#N/A</v>
      </c>
      <c r="CR39" t="e">
        <f t="shared" si="87"/>
        <v>#N/A</v>
      </c>
      <c r="CS39" t="e">
        <f t="shared" si="88"/>
        <v>#N/A</v>
      </c>
      <c r="CT39" t="e">
        <f t="shared" si="89"/>
        <v>#N/A</v>
      </c>
      <c r="CU39" t="e">
        <f t="shared" si="90"/>
        <v>#N/A</v>
      </c>
      <c r="CV39" t="e">
        <f t="shared" si="91"/>
        <v>#N/A</v>
      </c>
      <c r="CW39" t="e">
        <f t="shared" si="91"/>
        <v>#N/A</v>
      </c>
      <c r="CX39" t="e">
        <f t="shared" si="91"/>
        <v>#N/A</v>
      </c>
      <c r="CY39" t="e">
        <f t="shared" si="91"/>
        <v>#N/A</v>
      </c>
      <c r="CZ39" t="e">
        <f t="shared" si="93"/>
        <v>#N/A</v>
      </c>
      <c r="DA39" t="e">
        <f t="shared" si="93"/>
        <v>#N/A</v>
      </c>
    </row>
    <row r="40" spans="1:105" x14ac:dyDescent="0.35">
      <c r="I40" s="12" t="e" vm="2">
        <f ca="1">'Required Capacity (Hide)'!E40</f>
        <v>#VALUE!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  <c r="V40" t="e">
        <f t="shared" si="13"/>
        <v>#N/A</v>
      </c>
      <c r="W40" t="e">
        <f t="shared" si="14"/>
        <v>#N/A</v>
      </c>
      <c r="X40" t="e">
        <f t="shared" si="15"/>
        <v>#N/A</v>
      </c>
      <c r="Y40" t="e">
        <f t="shared" si="16"/>
        <v>#N/A</v>
      </c>
      <c r="Z40" t="e">
        <f t="shared" si="17"/>
        <v>#N/A</v>
      </c>
      <c r="AA40" t="e">
        <f t="shared" si="18"/>
        <v>#N/A</v>
      </c>
      <c r="AB40" t="e">
        <f t="shared" si="19"/>
        <v>#N/A</v>
      </c>
      <c r="AC40" t="e">
        <f t="shared" si="20"/>
        <v>#N/A</v>
      </c>
      <c r="AD40" t="e">
        <f t="shared" si="21"/>
        <v>#N/A</v>
      </c>
      <c r="AE40" t="e">
        <f t="shared" si="22"/>
        <v>#N/A</v>
      </c>
      <c r="AF40" t="e">
        <f t="shared" si="23"/>
        <v>#N/A</v>
      </c>
      <c r="AG40" t="e">
        <f t="shared" si="24"/>
        <v>#N/A</v>
      </c>
      <c r="AH40" t="e">
        <f t="shared" si="25"/>
        <v>#N/A</v>
      </c>
      <c r="AI40" t="e">
        <f t="shared" si="26"/>
        <v>#N/A</v>
      </c>
      <c r="AJ40" t="e">
        <f t="shared" si="27"/>
        <v>#N/A</v>
      </c>
      <c r="AK40" t="e">
        <f t="shared" si="28"/>
        <v>#N/A</v>
      </c>
      <c r="AL40" t="e">
        <f t="shared" si="29"/>
        <v>#N/A</v>
      </c>
      <c r="AM40" t="e">
        <f t="shared" si="30"/>
        <v>#N/A</v>
      </c>
      <c r="AN40" t="e">
        <f t="shared" si="31"/>
        <v>#N/A</v>
      </c>
      <c r="AO40" t="e">
        <f t="shared" si="32"/>
        <v>#N/A</v>
      </c>
      <c r="AP40" t="e">
        <f t="shared" si="33"/>
        <v>#N/A</v>
      </c>
      <c r="AQ40" t="e">
        <f t="shared" si="34"/>
        <v>#N/A</v>
      </c>
      <c r="AR40" t="e">
        <f t="shared" si="35"/>
        <v>#N/A</v>
      </c>
      <c r="AS40" t="e">
        <f t="shared" si="36"/>
        <v>#N/A</v>
      </c>
      <c r="AT40" t="e">
        <f t="shared" si="37"/>
        <v>#N/A</v>
      </c>
      <c r="AU40" t="e">
        <f t="shared" si="38"/>
        <v>#N/A</v>
      </c>
      <c r="AV40" t="e">
        <f t="shared" si="39"/>
        <v>#N/A</v>
      </c>
      <c r="AW40" t="e">
        <f t="shared" si="40"/>
        <v>#N/A</v>
      </c>
      <c r="AX40" t="e">
        <f t="shared" si="41"/>
        <v>#N/A</v>
      </c>
      <c r="AY40" t="e">
        <f t="shared" si="42"/>
        <v>#N/A</v>
      </c>
      <c r="AZ40" t="e">
        <f t="shared" si="43"/>
        <v>#N/A</v>
      </c>
      <c r="BA40" t="e">
        <f t="shared" si="44"/>
        <v>#N/A</v>
      </c>
      <c r="BB40" t="e">
        <f t="shared" si="45"/>
        <v>#N/A</v>
      </c>
      <c r="BC40" t="e">
        <f t="shared" si="46"/>
        <v>#N/A</v>
      </c>
      <c r="BD40" t="e">
        <f t="shared" si="47"/>
        <v>#N/A</v>
      </c>
      <c r="BE40" t="e">
        <f t="shared" si="48"/>
        <v>#N/A</v>
      </c>
      <c r="BF40" t="e">
        <f t="shared" si="49"/>
        <v>#N/A</v>
      </c>
      <c r="BG40" t="e">
        <f t="shared" si="50"/>
        <v>#N/A</v>
      </c>
      <c r="BH40" t="e">
        <f t="shared" si="51"/>
        <v>#N/A</v>
      </c>
      <c r="BI40" t="e">
        <f t="shared" si="52"/>
        <v>#N/A</v>
      </c>
      <c r="BJ40" t="e">
        <f t="shared" si="53"/>
        <v>#N/A</v>
      </c>
      <c r="BK40" t="e">
        <f t="shared" si="54"/>
        <v>#N/A</v>
      </c>
      <c r="BL40" t="e">
        <f t="shared" si="55"/>
        <v>#N/A</v>
      </c>
      <c r="BM40" t="e">
        <f t="shared" si="56"/>
        <v>#N/A</v>
      </c>
      <c r="BN40" t="e">
        <f t="shared" si="57"/>
        <v>#N/A</v>
      </c>
      <c r="BO40" t="e">
        <f t="shared" si="58"/>
        <v>#N/A</v>
      </c>
      <c r="BP40" t="e">
        <f t="shared" si="59"/>
        <v>#N/A</v>
      </c>
      <c r="BQ40" t="e">
        <f t="shared" si="60"/>
        <v>#N/A</v>
      </c>
      <c r="BR40" t="e">
        <f t="shared" si="61"/>
        <v>#N/A</v>
      </c>
      <c r="BS40" t="e">
        <f t="shared" si="62"/>
        <v>#N/A</v>
      </c>
      <c r="BT40" t="e">
        <f t="shared" si="63"/>
        <v>#N/A</v>
      </c>
      <c r="BU40" t="e">
        <f t="shared" si="64"/>
        <v>#N/A</v>
      </c>
      <c r="BV40" t="e">
        <f t="shared" si="65"/>
        <v>#N/A</v>
      </c>
      <c r="BW40" t="e">
        <f t="shared" si="66"/>
        <v>#N/A</v>
      </c>
      <c r="BX40" t="e">
        <f t="shared" si="67"/>
        <v>#N/A</v>
      </c>
      <c r="BY40" t="e">
        <f t="shared" si="68"/>
        <v>#N/A</v>
      </c>
      <c r="BZ40" t="e">
        <f t="shared" si="69"/>
        <v>#N/A</v>
      </c>
      <c r="CA40" t="e">
        <f t="shared" si="70"/>
        <v>#N/A</v>
      </c>
      <c r="CB40" t="e">
        <f t="shared" si="71"/>
        <v>#N/A</v>
      </c>
      <c r="CC40" t="e">
        <f t="shared" si="72"/>
        <v>#N/A</v>
      </c>
      <c r="CD40" t="e">
        <f t="shared" si="73"/>
        <v>#N/A</v>
      </c>
      <c r="CE40" t="e">
        <f t="shared" si="74"/>
        <v>#N/A</v>
      </c>
      <c r="CF40" t="e">
        <f t="shared" si="75"/>
        <v>#N/A</v>
      </c>
      <c r="CG40" t="e">
        <f t="shared" si="76"/>
        <v>#N/A</v>
      </c>
      <c r="CH40" t="e">
        <f t="shared" si="77"/>
        <v>#N/A</v>
      </c>
      <c r="CI40" t="e">
        <f t="shared" si="78"/>
        <v>#N/A</v>
      </c>
      <c r="CJ40" t="e">
        <f t="shared" si="79"/>
        <v>#N/A</v>
      </c>
      <c r="CK40" t="e">
        <f t="shared" si="80"/>
        <v>#N/A</v>
      </c>
      <c r="CL40" t="e">
        <f t="shared" si="81"/>
        <v>#N/A</v>
      </c>
      <c r="CM40" t="e">
        <f t="shared" si="82"/>
        <v>#N/A</v>
      </c>
      <c r="CN40" t="e">
        <f t="shared" si="83"/>
        <v>#N/A</v>
      </c>
      <c r="CO40" t="e">
        <f t="shared" si="84"/>
        <v>#N/A</v>
      </c>
      <c r="CP40" t="e">
        <f t="shared" si="85"/>
        <v>#N/A</v>
      </c>
      <c r="CQ40" t="e">
        <f t="shared" si="86"/>
        <v>#N/A</v>
      </c>
      <c r="CR40" t="e">
        <f t="shared" si="87"/>
        <v>#N/A</v>
      </c>
      <c r="CS40" t="e">
        <f t="shared" si="88"/>
        <v>#N/A</v>
      </c>
      <c r="CT40" t="e">
        <f t="shared" si="89"/>
        <v>#N/A</v>
      </c>
      <c r="CU40" t="e">
        <f t="shared" si="90"/>
        <v>#N/A</v>
      </c>
      <c r="CV40" t="e">
        <f t="shared" si="91"/>
        <v>#N/A</v>
      </c>
      <c r="CW40" t="e">
        <f t="shared" si="91"/>
        <v>#N/A</v>
      </c>
      <c r="CX40" t="e">
        <f t="shared" si="91"/>
        <v>#N/A</v>
      </c>
      <c r="CY40" t="e">
        <f t="shared" si="91"/>
        <v>#N/A</v>
      </c>
      <c r="CZ40" t="e">
        <f t="shared" si="93"/>
        <v>#N/A</v>
      </c>
      <c r="DA40" t="e">
        <f t="shared" si="93"/>
        <v>#N/A</v>
      </c>
    </row>
    <row r="41" spans="1:105" x14ac:dyDescent="0.35">
      <c r="I41" s="12" t="e" vm="2">
        <f ca="1">'Required Capacity (Hide)'!E41</f>
        <v>#VALUE!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  <c r="V41" t="e">
        <f t="shared" si="13"/>
        <v>#N/A</v>
      </c>
      <c r="W41" t="e">
        <f t="shared" si="14"/>
        <v>#N/A</v>
      </c>
      <c r="X41" t="e">
        <f t="shared" si="15"/>
        <v>#N/A</v>
      </c>
      <c r="Y41" t="e">
        <f t="shared" si="16"/>
        <v>#N/A</v>
      </c>
      <c r="Z41" t="e">
        <f t="shared" si="17"/>
        <v>#N/A</v>
      </c>
      <c r="AA41" t="e">
        <f t="shared" si="18"/>
        <v>#N/A</v>
      </c>
      <c r="AB41" t="e">
        <f t="shared" si="19"/>
        <v>#N/A</v>
      </c>
      <c r="AC41" t="e">
        <f t="shared" si="20"/>
        <v>#N/A</v>
      </c>
      <c r="AD41" t="e">
        <f t="shared" si="21"/>
        <v>#N/A</v>
      </c>
      <c r="AE41" t="e">
        <f t="shared" si="22"/>
        <v>#N/A</v>
      </c>
      <c r="AF41" t="e">
        <f t="shared" si="23"/>
        <v>#N/A</v>
      </c>
      <c r="AG41" t="e">
        <f t="shared" si="24"/>
        <v>#N/A</v>
      </c>
      <c r="AH41" t="e">
        <f t="shared" si="25"/>
        <v>#N/A</v>
      </c>
      <c r="AI41" t="e">
        <f t="shared" si="26"/>
        <v>#N/A</v>
      </c>
      <c r="AJ41" t="e">
        <f t="shared" si="27"/>
        <v>#N/A</v>
      </c>
      <c r="AK41" t="e">
        <f t="shared" si="28"/>
        <v>#N/A</v>
      </c>
      <c r="AL41" t="e">
        <f t="shared" si="29"/>
        <v>#N/A</v>
      </c>
      <c r="AM41" t="e">
        <f t="shared" si="30"/>
        <v>#N/A</v>
      </c>
      <c r="AN41" t="e">
        <f t="shared" si="31"/>
        <v>#N/A</v>
      </c>
      <c r="AO41" t="e">
        <f t="shared" si="32"/>
        <v>#N/A</v>
      </c>
      <c r="AP41" t="e">
        <f t="shared" si="33"/>
        <v>#N/A</v>
      </c>
      <c r="AQ41" t="e">
        <f t="shared" si="34"/>
        <v>#N/A</v>
      </c>
      <c r="AR41" t="e">
        <f t="shared" si="35"/>
        <v>#N/A</v>
      </c>
      <c r="AS41" t="e">
        <f t="shared" si="36"/>
        <v>#N/A</v>
      </c>
      <c r="AT41" t="e">
        <f t="shared" si="37"/>
        <v>#N/A</v>
      </c>
      <c r="AU41" t="e">
        <f t="shared" si="38"/>
        <v>#N/A</v>
      </c>
      <c r="AV41" t="e">
        <f t="shared" si="39"/>
        <v>#N/A</v>
      </c>
      <c r="AW41" t="e">
        <f t="shared" si="40"/>
        <v>#N/A</v>
      </c>
      <c r="AX41" t="e">
        <f t="shared" si="41"/>
        <v>#N/A</v>
      </c>
      <c r="AY41" t="e">
        <f t="shared" si="42"/>
        <v>#N/A</v>
      </c>
      <c r="AZ41" t="e">
        <f t="shared" si="43"/>
        <v>#N/A</v>
      </c>
      <c r="BA41" t="e">
        <f t="shared" si="44"/>
        <v>#N/A</v>
      </c>
      <c r="BB41" t="e">
        <f t="shared" si="45"/>
        <v>#N/A</v>
      </c>
      <c r="BC41" t="e">
        <f t="shared" si="46"/>
        <v>#N/A</v>
      </c>
      <c r="BD41" t="e">
        <f t="shared" si="47"/>
        <v>#N/A</v>
      </c>
      <c r="BE41" t="e">
        <f t="shared" si="48"/>
        <v>#N/A</v>
      </c>
      <c r="BF41" t="e">
        <f t="shared" si="49"/>
        <v>#N/A</v>
      </c>
      <c r="BG41" t="e">
        <f t="shared" si="50"/>
        <v>#N/A</v>
      </c>
      <c r="BH41" t="e">
        <f t="shared" si="51"/>
        <v>#N/A</v>
      </c>
      <c r="BI41" t="e">
        <f t="shared" si="52"/>
        <v>#N/A</v>
      </c>
      <c r="BJ41" t="e">
        <f t="shared" si="53"/>
        <v>#N/A</v>
      </c>
      <c r="BK41" t="e">
        <f t="shared" si="54"/>
        <v>#N/A</v>
      </c>
      <c r="BL41" t="e">
        <f t="shared" si="55"/>
        <v>#N/A</v>
      </c>
      <c r="BM41" t="e">
        <f t="shared" si="56"/>
        <v>#N/A</v>
      </c>
      <c r="BN41" t="e">
        <f t="shared" si="57"/>
        <v>#N/A</v>
      </c>
      <c r="BO41" t="e">
        <f t="shared" si="58"/>
        <v>#N/A</v>
      </c>
      <c r="BP41" t="e">
        <f t="shared" si="59"/>
        <v>#N/A</v>
      </c>
      <c r="BQ41" t="e">
        <f t="shared" si="60"/>
        <v>#N/A</v>
      </c>
      <c r="BR41" t="e">
        <f t="shared" si="61"/>
        <v>#N/A</v>
      </c>
      <c r="BS41" t="e">
        <f t="shared" si="62"/>
        <v>#N/A</v>
      </c>
      <c r="BT41" t="e">
        <f t="shared" si="63"/>
        <v>#N/A</v>
      </c>
      <c r="BU41" t="e">
        <f t="shared" si="64"/>
        <v>#N/A</v>
      </c>
      <c r="BV41" t="e">
        <f t="shared" si="65"/>
        <v>#N/A</v>
      </c>
      <c r="BW41" t="e">
        <f t="shared" si="66"/>
        <v>#N/A</v>
      </c>
      <c r="BX41" t="e">
        <f t="shared" si="67"/>
        <v>#N/A</v>
      </c>
      <c r="BY41" t="e">
        <f t="shared" si="68"/>
        <v>#N/A</v>
      </c>
      <c r="BZ41" t="e">
        <f t="shared" si="69"/>
        <v>#N/A</v>
      </c>
      <c r="CA41" t="e">
        <f t="shared" si="70"/>
        <v>#N/A</v>
      </c>
      <c r="CB41" t="e">
        <f t="shared" si="71"/>
        <v>#N/A</v>
      </c>
      <c r="CC41" t="e">
        <f t="shared" si="72"/>
        <v>#N/A</v>
      </c>
      <c r="CD41" t="e">
        <f t="shared" si="73"/>
        <v>#N/A</v>
      </c>
      <c r="CE41" t="e">
        <f t="shared" si="74"/>
        <v>#N/A</v>
      </c>
      <c r="CF41" t="e">
        <f t="shared" si="75"/>
        <v>#N/A</v>
      </c>
      <c r="CG41" t="e">
        <f t="shared" si="76"/>
        <v>#N/A</v>
      </c>
      <c r="CH41" t="e">
        <f t="shared" si="77"/>
        <v>#N/A</v>
      </c>
      <c r="CI41" t="e">
        <f t="shared" si="78"/>
        <v>#N/A</v>
      </c>
      <c r="CJ41" t="e">
        <f t="shared" si="79"/>
        <v>#N/A</v>
      </c>
      <c r="CK41" t="e">
        <f t="shared" si="80"/>
        <v>#N/A</v>
      </c>
      <c r="CL41" t="e">
        <f t="shared" si="81"/>
        <v>#N/A</v>
      </c>
      <c r="CM41" t="e">
        <f t="shared" si="82"/>
        <v>#N/A</v>
      </c>
      <c r="CN41" t="e">
        <f t="shared" si="83"/>
        <v>#N/A</v>
      </c>
      <c r="CO41" t="e">
        <f t="shared" si="84"/>
        <v>#N/A</v>
      </c>
      <c r="CP41" t="e">
        <f t="shared" si="85"/>
        <v>#N/A</v>
      </c>
      <c r="CQ41" t="e">
        <f t="shared" si="86"/>
        <v>#N/A</v>
      </c>
      <c r="CR41" t="e">
        <f t="shared" si="87"/>
        <v>#N/A</v>
      </c>
      <c r="CS41" t="e">
        <f t="shared" si="88"/>
        <v>#N/A</v>
      </c>
      <c r="CT41" t="e">
        <f t="shared" si="89"/>
        <v>#N/A</v>
      </c>
      <c r="CU41" t="e">
        <f t="shared" si="90"/>
        <v>#N/A</v>
      </c>
      <c r="CV41" t="e">
        <f t="shared" si="91"/>
        <v>#N/A</v>
      </c>
      <c r="CW41" t="e">
        <f t="shared" si="91"/>
        <v>#N/A</v>
      </c>
      <c r="CX41" t="e">
        <f t="shared" si="91"/>
        <v>#N/A</v>
      </c>
      <c r="CY41" t="e">
        <f t="shared" si="91"/>
        <v>#N/A</v>
      </c>
      <c r="CZ41" t="e">
        <f t="shared" si="93"/>
        <v>#N/A</v>
      </c>
      <c r="DA41" t="e">
        <f t="shared" si="93"/>
        <v>#N/A</v>
      </c>
    </row>
    <row r="42" spans="1:105" x14ac:dyDescent="0.35">
      <c r="I42" s="12" t="e" vm="2">
        <f ca="1">'Required Capacity (Hide)'!E42</f>
        <v>#VALUE!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  <c r="V42" t="e">
        <f t="shared" si="13"/>
        <v>#N/A</v>
      </c>
      <c r="W42" t="e">
        <f t="shared" si="14"/>
        <v>#N/A</v>
      </c>
      <c r="X42" t="e">
        <f t="shared" si="15"/>
        <v>#N/A</v>
      </c>
      <c r="Y42" t="e">
        <f t="shared" si="16"/>
        <v>#N/A</v>
      </c>
      <c r="Z42" t="e">
        <f t="shared" si="17"/>
        <v>#N/A</v>
      </c>
      <c r="AA42" t="e">
        <f t="shared" si="18"/>
        <v>#N/A</v>
      </c>
      <c r="AB42" t="e">
        <f t="shared" si="19"/>
        <v>#N/A</v>
      </c>
      <c r="AC42" t="e">
        <f t="shared" si="20"/>
        <v>#N/A</v>
      </c>
      <c r="AD42" t="e">
        <f t="shared" si="21"/>
        <v>#N/A</v>
      </c>
      <c r="AE42" t="e">
        <f t="shared" si="22"/>
        <v>#N/A</v>
      </c>
      <c r="AF42" t="e">
        <f t="shared" si="23"/>
        <v>#N/A</v>
      </c>
      <c r="AG42" t="e">
        <f t="shared" si="24"/>
        <v>#N/A</v>
      </c>
      <c r="AH42" t="e">
        <f t="shared" si="25"/>
        <v>#N/A</v>
      </c>
      <c r="AI42" t="e">
        <f t="shared" si="26"/>
        <v>#N/A</v>
      </c>
      <c r="AJ42" t="e">
        <f t="shared" si="27"/>
        <v>#N/A</v>
      </c>
      <c r="AK42" t="e">
        <f t="shared" si="28"/>
        <v>#N/A</v>
      </c>
      <c r="AL42" t="e">
        <f t="shared" si="29"/>
        <v>#N/A</v>
      </c>
      <c r="AM42" t="e">
        <f t="shared" si="30"/>
        <v>#N/A</v>
      </c>
      <c r="AN42" t="e">
        <f t="shared" si="31"/>
        <v>#N/A</v>
      </c>
      <c r="AO42" t="e">
        <f t="shared" si="32"/>
        <v>#N/A</v>
      </c>
      <c r="AP42" t="e">
        <f t="shared" si="33"/>
        <v>#N/A</v>
      </c>
      <c r="AQ42" t="e">
        <f t="shared" si="34"/>
        <v>#N/A</v>
      </c>
      <c r="AR42" t="e">
        <f t="shared" si="35"/>
        <v>#N/A</v>
      </c>
      <c r="AS42" t="e">
        <f t="shared" si="36"/>
        <v>#N/A</v>
      </c>
      <c r="AT42" t="e">
        <f t="shared" si="37"/>
        <v>#N/A</v>
      </c>
      <c r="AU42" t="e">
        <f t="shared" si="38"/>
        <v>#N/A</v>
      </c>
      <c r="AV42" t="e">
        <f t="shared" si="39"/>
        <v>#N/A</v>
      </c>
      <c r="AW42" t="e">
        <f t="shared" si="40"/>
        <v>#N/A</v>
      </c>
      <c r="AX42" t="e">
        <f t="shared" si="41"/>
        <v>#N/A</v>
      </c>
      <c r="AY42" t="e">
        <f t="shared" si="42"/>
        <v>#N/A</v>
      </c>
      <c r="AZ42" t="e">
        <f t="shared" si="43"/>
        <v>#N/A</v>
      </c>
      <c r="BA42" t="e">
        <f t="shared" si="44"/>
        <v>#N/A</v>
      </c>
      <c r="BB42" t="e">
        <f t="shared" si="45"/>
        <v>#N/A</v>
      </c>
      <c r="BC42" t="e">
        <f t="shared" si="46"/>
        <v>#N/A</v>
      </c>
      <c r="BD42" t="e">
        <f t="shared" si="47"/>
        <v>#N/A</v>
      </c>
      <c r="BE42" t="e">
        <f t="shared" si="48"/>
        <v>#N/A</v>
      </c>
      <c r="BF42" t="e">
        <f t="shared" si="49"/>
        <v>#N/A</v>
      </c>
      <c r="BG42" t="e">
        <f t="shared" si="50"/>
        <v>#N/A</v>
      </c>
      <c r="BH42" t="e">
        <f t="shared" si="51"/>
        <v>#N/A</v>
      </c>
      <c r="BI42" t="e">
        <f t="shared" si="52"/>
        <v>#N/A</v>
      </c>
      <c r="BJ42" t="e">
        <f t="shared" si="53"/>
        <v>#N/A</v>
      </c>
      <c r="BK42" t="e">
        <f t="shared" si="54"/>
        <v>#N/A</v>
      </c>
      <c r="BL42" t="e">
        <f t="shared" si="55"/>
        <v>#N/A</v>
      </c>
      <c r="BM42" t="e">
        <f t="shared" si="56"/>
        <v>#N/A</v>
      </c>
      <c r="BN42" t="e">
        <f t="shared" si="57"/>
        <v>#N/A</v>
      </c>
      <c r="BO42" t="e">
        <f t="shared" si="58"/>
        <v>#N/A</v>
      </c>
      <c r="BP42" t="e">
        <f t="shared" si="59"/>
        <v>#N/A</v>
      </c>
      <c r="BQ42" t="e">
        <f t="shared" si="60"/>
        <v>#N/A</v>
      </c>
      <c r="BR42" t="e">
        <f t="shared" si="61"/>
        <v>#N/A</v>
      </c>
      <c r="BS42" t="e">
        <f t="shared" si="62"/>
        <v>#N/A</v>
      </c>
      <c r="BT42" t="e">
        <f t="shared" si="63"/>
        <v>#N/A</v>
      </c>
      <c r="BU42" t="e">
        <f t="shared" si="64"/>
        <v>#N/A</v>
      </c>
      <c r="BV42" t="e">
        <f t="shared" si="65"/>
        <v>#N/A</v>
      </c>
      <c r="BW42" t="e">
        <f t="shared" si="66"/>
        <v>#N/A</v>
      </c>
      <c r="BX42" t="e">
        <f t="shared" si="67"/>
        <v>#N/A</v>
      </c>
      <c r="BY42" t="e">
        <f t="shared" si="68"/>
        <v>#N/A</v>
      </c>
      <c r="BZ42" t="e">
        <f t="shared" si="69"/>
        <v>#N/A</v>
      </c>
      <c r="CA42" t="e">
        <f t="shared" si="70"/>
        <v>#N/A</v>
      </c>
      <c r="CB42" t="e">
        <f t="shared" si="71"/>
        <v>#N/A</v>
      </c>
      <c r="CC42" t="e">
        <f t="shared" si="72"/>
        <v>#N/A</v>
      </c>
      <c r="CD42" t="e">
        <f t="shared" si="73"/>
        <v>#N/A</v>
      </c>
      <c r="CE42" t="e">
        <f t="shared" si="74"/>
        <v>#N/A</v>
      </c>
      <c r="CF42" t="e">
        <f t="shared" si="75"/>
        <v>#N/A</v>
      </c>
      <c r="CG42" t="e">
        <f t="shared" si="76"/>
        <v>#N/A</v>
      </c>
      <c r="CH42" t="e">
        <f t="shared" si="77"/>
        <v>#N/A</v>
      </c>
      <c r="CI42" t="e">
        <f t="shared" si="78"/>
        <v>#N/A</v>
      </c>
      <c r="CJ42" t="e">
        <f t="shared" si="79"/>
        <v>#N/A</v>
      </c>
      <c r="CK42" t="e">
        <f t="shared" si="80"/>
        <v>#N/A</v>
      </c>
      <c r="CL42" t="e">
        <f t="shared" si="81"/>
        <v>#N/A</v>
      </c>
      <c r="CM42" t="e">
        <f t="shared" si="82"/>
        <v>#N/A</v>
      </c>
      <c r="CN42" t="e">
        <f t="shared" si="83"/>
        <v>#N/A</v>
      </c>
      <c r="CO42" t="e">
        <f t="shared" si="84"/>
        <v>#N/A</v>
      </c>
      <c r="CP42" t="e">
        <f t="shared" si="85"/>
        <v>#N/A</v>
      </c>
      <c r="CQ42" t="e">
        <f t="shared" si="86"/>
        <v>#N/A</v>
      </c>
      <c r="CR42" t="e">
        <f t="shared" si="87"/>
        <v>#N/A</v>
      </c>
      <c r="CS42" t="e">
        <f t="shared" si="88"/>
        <v>#N/A</v>
      </c>
      <c r="CT42" t="e">
        <f t="shared" si="89"/>
        <v>#N/A</v>
      </c>
      <c r="CU42" t="e">
        <f t="shared" si="90"/>
        <v>#N/A</v>
      </c>
      <c r="CV42" t="e">
        <f t="shared" si="91"/>
        <v>#N/A</v>
      </c>
      <c r="CW42" t="e">
        <f t="shared" si="91"/>
        <v>#N/A</v>
      </c>
      <c r="CX42" t="e">
        <f t="shared" si="91"/>
        <v>#N/A</v>
      </c>
      <c r="CY42" t="e">
        <f t="shared" si="91"/>
        <v>#N/A</v>
      </c>
      <c r="CZ42" t="e">
        <f t="shared" si="93"/>
        <v>#N/A</v>
      </c>
      <c r="DA42" t="e">
        <f t="shared" si="93"/>
        <v>#N/A</v>
      </c>
    </row>
    <row r="43" spans="1:105" x14ac:dyDescent="0.35">
      <c r="I43" s="12" t="e" vm="2">
        <f ca="1">'Required Capacity (Hide)'!E43</f>
        <v>#VALUE!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  <c r="V43" t="e">
        <f t="shared" si="13"/>
        <v>#N/A</v>
      </c>
      <c r="W43" t="e">
        <f t="shared" si="14"/>
        <v>#N/A</v>
      </c>
      <c r="X43" t="e">
        <f t="shared" si="15"/>
        <v>#N/A</v>
      </c>
      <c r="Y43" t="e">
        <f t="shared" si="16"/>
        <v>#N/A</v>
      </c>
      <c r="Z43" t="e">
        <f t="shared" si="17"/>
        <v>#N/A</v>
      </c>
      <c r="AA43" t="e">
        <f t="shared" si="18"/>
        <v>#N/A</v>
      </c>
      <c r="AB43" t="e">
        <f t="shared" si="19"/>
        <v>#N/A</v>
      </c>
      <c r="AC43" t="e">
        <f t="shared" si="20"/>
        <v>#N/A</v>
      </c>
      <c r="AD43" t="e">
        <f t="shared" si="21"/>
        <v>#N/A</v>
      </c>
      <c r="AE43" t="e">
        <f t="shared" si="22"/>
        <v>#N/A</v>
      </c>
      <c r="AF43" t="e">
        <f t="shared" si="23"/>
        <v>#N/A</v>
      </c>
      <c r="AG43" t="e">
        <f t="shared" si="24"/>
        <v>#N/A</v>
      </c>
      <c r="AH43" t="e">
        <f t="shared" si="25"/>
        <v>#N/A</v>
      </c>
      <c r="AI43" t="e">
        <f t="shared" si="26"/>
        <v>#N/A</v>
      </c>
      <c r="AJ43" t="e">
        <f t="shared" si="27"/>
        <v>#N/A</v>
      </c>
      <c r="AK43" t="e">
        <f t="shared" si="28"/>
        <v>#N/A</v>
      </c>
      <c r="AL43" t="e">
        <f t="shared" si="29"/>
        <v>#N/A</v>
      </c>
      <c r="AM43" t="e">
        <f t="shared" si="30"/>
        <v>#N/A</v>
      </c>
      <c r="AN43" t="e">
        <f t="shared" si="31"/>
        <v>#N/A</v>
      </c>
      <c r="AO43" t="e">
        <f t="shared" si="32"/>
        <v>#N/A</v>
      </c>
      <c r="AP43" t="e">
        <f t="shared" si="33"/>
        <v>#N/A</v>
      </c>
      <c r="AQ43" t="e">
        <f t="shared" si="34"/>
        <v>#N/A</v>
      </c>
      <c r="AR43" t="e">
        <f t="shared" si="35"/>
        <v>#N/A</v>
      </c>
      <c r="AS43" t="e">
        <f t="shared" si="36"/>
        <v>#N/A</v>
      </c>
      <c r="AT43" t="e">
        <f t="shared" si="37"/>
        <v>#N/A</v>
      </c>
      <c r="AU43" t="e">
        <f t="shared" si="38"/>
        <v>#N/A</v>
      </c>
      <c r="AV43" t="e">
        <f t="shared" si="39"/>
        <v>#N/A</v>
      </c>
      <c r="AW43" t="e">
        <f t="shared" si="40"/>
        <v>#N/A</v>
      </c>
      <c r="AX43" t="e">
        <f t="shared" si="41"/>
        <v>#N/A</v>
      </c>
      <c r="AY43" t="e">
        <f t="shared" si="42"/>
        <v>#N/A</v>
      </c>
      <c r="AZ43" t="e">
        <f t="shared" si="43"/>
        <v>#N/A</v>
      </c>
      <c r="BA43" t="e">
        <f t="shared" si="44"/>
        <v>#N/A</v>
      </c>
      <c r="BB43" t="e">
        <f t="shared" si="45"/>
        <v>#N/A</v>
      </c>
      <c r="BC43" t="e">
        <f t="shared" si="46"/>
        <v>#N/A</v>
      </c>
      <c r="BD43" t="e">
        <f t="shared" si="47"/>
        <v>#N/A</v>
      </c>
      <c r="BE43" t="e">
        <f t="shared" si="48"/>
        <v>#N/A</v>
      </c>
      <c r="BF43" t="e">
        <f t="shared" si="49"/>
        <v>#N/A</v>
      </c>
      <c r="BG43" t="e">
        <f t="shared" si="50"/>
        <v>#N/A</v>
      </c>
      <c r="BH43" t="e">
        <f t="shared" si="51"/>
        <v>#N/A</v>
      </c>
      <c r="BI43" t="e">
        <f t="shared" si="52"/>
        <v>#N/A</v>
      </c>
      <c r="BJ43" t="e">
        <f t="shared" si="53"/>
        <v>#N/A</v>
      </c>
      <c r="BK43" t="e">
        <f t="shared" si="54"/>
        <v>#N/A</v>
      </c>
      <c r="BL43" t="e">
        <f t="shared" si="55"/>
        <v>#N/A</v>
      </c>
      <c r="BM43" t="e">
        <f t="shared" si="56"/>
        <v>#N/A</v>
      </c>
      <c r="BN43" t="e">
        <f t="shared" si="57"/>
        <v>#N/A</v>
      </c>
      <c r="BO43" t="e">
        <f t="shared" si="58"/>
        <v>#N/A</v>
      </c>
      <c r="BP43" t="e">
        <f t="shared" si="59"/>
        <v>#N/A</v>
      </c>
      <c r="BQ43" t="e">
        <f t="shared" si="60"/>
        <v>#N/A</v>
      </c>
      <c r="BR43" t="e">
        <f t="shared" si="61"/>
        <v>#N/A</v>
      </c>
      <c r="BS43" t="e">
        <f t="shared" si="62"/>
        <v>#N/A</v>
      </c>
      <c r="BT43" t="e">
        <f t="shared" si="63"/>
        <v>#N/A</v>
      </c>
      <c r="BU43" t="e">
        <f t="shared" si="64"/>
        <v>#N/A</v>
      </c>
      <c r="BV43" t="e">
        <f t="shared" si="65"/>
        <v>#N/A</v>
      </c>
      <c r="BW43" t="e">
        <f t="shared" si="66"/>
        <v>#N/A</v>
      </c>
      <c r="BX43" t="e">
        <f t="shared" si="67"/>
        <v>#N/A</v>
      </c>
      <c r="BY43" t="e">
        <f t="shared" si="68"/>
        <v>#N/A</v>
      </c>
      <c r="BZ43" t="e">
        <f t="shared" si="69"/>
        <v>#N/A</v>
      </c>
      <c r="CA43" t="e">
        <f t="shared" si="70"/>
        <v>#N/A</v>
      </c>
      <c r="CB43" t="e">
        <f t="shared" si="71"/>
        <v>#N/A</v>
      </c>
      <c r="CC43" t="e">
        <f t="shared" si="72"/>
        <v>#N/A</v>
      </c>
      <c r="CD43" t="e">
        <f t="shared" si="73"/>
        <v>#N/A</v>
      </c>
      <c r="CE43" t="e">
        <f t="shared" si="74"/>
        <v>#N/A</v>
      </c>
      <c r="CF43" t="e">
        <f t="shared" si="75"/>
        <v>#N/A</v>
      </c>
      <c r="CG43" t="e">
        <f t="shared" si="76"/>
        <v>#N/A</v>
      </c>
      <c r="CH43" t="e">
        <f t="shared" si="77"/>
        <v>#N/A</v>
      </c>
      <c r="CI43" t="e">
        <f t="shared" si="78"/>
        <v>#N/A</v>
      </c>
      <c r="CJ43" t="e">
        <f t="shared" si="79"/>
        <v>#N/A</v>
      </c>
      <c r="CK43" t="e">
        <f t="shared" si="80"/>
        <v>#N/A</v>
      </c>
      <c r="CL43" t="e">
        <f t="shared" si="81"/>
        <v>#N/A</v>
      </c>
      <c r="CM43" t="e">
        <f t="shared" si="82"/>
        <v>#N/A</v>
      </c>
      <c r="CN43" t="e">
        <f t="shared" si="83"/>
        <v>#N/A</v>
      </c>
      <c r="CO43" t="e">
        <f t="shared" si="84"/>
        <v>#N/A</v>
      </c>
      <c r="CP43" t="e">
        <f t="shared" si="85"/>
        <v>#N/A</v>
      </c>
      <c r="CQ43" t="e">
        <f t="shared" si="86"/>
        <v>#N/A</v>
      </c>
      <c r="CR43" t="e">
        <f t="shared" si="87"/>
        <v>#N/A</v>
      </c>
      <c r="CS43" t="e">
        <f t="shared" si="88"/>
        <v>#N/A</v>
      </c>
      <c r="CT43" t="e">
        <f t="shared" si="89"/>
        <v>#N/A</v>
      </c>
      <c r="CU43" t="e">
        <f t="shared" si="90"/>
        <v>#N/A</v>
      </c>
      <c r="CV43" t="e">
        <f t="shared" si="91"/>
        <v>#N/A</v>
      </c>
      <c r="CW43" t="e">
        <f t="shared" si="91"/>
        <v>#N/A</v>
      </c>
      <c r="CX43" t="e">
        <f t="shared" si="91"/>
        <v>#N/A</v>
      </c>
      <c r="CY43" t="e">
        <f t="shared" si="91"/>
        <v>#N/A</v>
      </c>
      <c r="CZ43" t="e">
        <f t="shared" si="93"/>
        <v>#N/A</v>
      </c>
      <c r="DA43" t="e">
        <f t="shared" si="93"/>
        <v>#N/A</v>
      </c>
    </row>
    <row r="44" spans="1:105" x14ac:dyDescent="0.35">
      <c r="I44" s="12" t="e" vm="2">
        <f ca="1">'Required Capacity (Hide)'!E44</f>
        <v>#VALUE!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  <c r="V44" t="e">
        <f t="shared" si="13"/>
        <v>#N/A</v>
      </c>
      <c r="W44" t="e">
        <f t="shared" si="14"/>
        <v>#N/A</v>
      </c>
      <c r="X44" t="e">
        <f t="shared" si="15"/>
        <v>#N/A</v>
      </c>
      <c r="Y44" t="e">
        <f t="shared" si="16"/>
        <v>#N/A</v>
      </c>
      <c r="Z44" t="e">
        <f t="shared" si="17"/>
        <v>#N/A</v>
      </c>
      <c r="AA44" t="e">
        <f t="shared" si="18"/>
        <v>#N/A</v>
      </c>
      <c r="AB44" t="e">
        <f t="shared" si="19"/>
        <v>#N/A</v>
      </c>
      <c r="AC44" t="e">
        <f t="shared" si="20"/>
        <v>#N/A</v>
      </c>
      <c r="AD44" t="e">
        <f t="shared" si="21"/>
        <v>#N/A</v>
      </c>
      <c r="AE44" t="e">
        <f t="shared" si="22"/>
        <v>#N/A</v>
      </c>
      <c r="AF44" t="e">
        <f t="shared" si="23"/>
        <v>#N/A</v>
      </c>
      <c r="AG44" t="e">
        <f t="shared" si="24"/>
        <v>#N/A</v>
      </c>
      <c r="AH44" t="e">
        <f t="shared" si="25"/>
        <v>#N/A</v>
      </c>
      <c r="AI44" t="e">
        <f t="shared" si="26"/>
        <v>#N/A</v>
      </c>
      <c r="AJ44" t="e">
        <f t="shared" si="27"/>
        <v>#N/A</v>
      </c>
      <c r="AK44" t="e">
        <f t="shared" si="28"/>
        <v>#N/A</v>
      </c>
      <c r="AL44" t="e">
        <f t="shared" si="29"/>
        <v>#N/A</v>
      </c>
      <c r="AM44" t="e">
        <f t="shared" si="30"/>
        <v>#N/A</v>
      </c>
      <c r="AN44" t="e">
        <f t="shared" si="31"/>
        <v>#N/A</v>
      </c>
      <c r="AO44" t="e">
        <f t="shared" si="32"/>
        <v>#N/A</v>
      </c>
      <c r="AP44" t="e">
        <f t="shared" si="33"/>
        <v>#N/A</v>
      </c>
      <c r="AQ44" t="e">
        <f t="shared" si="34"/>
        <v>#N/A</v>
      </c>
      <c r="AR44" t="e">
        <f t="shared" si="35"/>
        <v>#N/A</v>
      </c>
      <c r="AS44" t="e">
        <f t="shared" si="36"/>
        <v>#N/A</v>
      </c>
      <c r="AT44" t="e">
        <f t="shared" si="37"/>
        <v>#N/A</v>
      </c>
      <c r="AU44" t="e">
        <f t="shared" si="38"/>
        <v>#N/A</v>
      </c>
      <c r="AV44" t="e">
        <f t="shared" si="39"/>
        <v>#N/A</v>
      </c>
      <c r="AW44" t="e">
        <f t="shared" si="40"/>
        <v>#N/A</v>
      </c>
      <c r="AX44" t="e">
        <f t="shared" si="41"/>
        <v>#N/A</v>
      </c>
      <c r="AY44" t="e">
        <f t="shared" si="42"/>
        <v>#N/A</v>
      </c>
      <c r="AZ44" t="e">
        <f t="shared" si="43"/>
        <v>#N/A</v>
      </c>
      <c r="BA44" t="e">
        <f t="shared" si="44"/>
        <v>#N/A</v>
      </c>
      <c r="BB44" t="e">
        <f t="shared" si="45"/>
        <v>#N/A</v>
      </c>
      <c r="BC44" t="e">
        <f t="shared" si="46"/>
        <v>#N/A</v>
      </c>
      <c r="BD44" t="e">
        <f t="shared" si="47"/>
        <v>#N/A</v>
      </c>
      <c r="BE44" t="e">
        <f t="shared" si="48"/>
        <v>#N/A</v>
      </c>
      <c r="BF44" t="e">
        <f t="shared" si="49"/>
        <v>#N/A</v>
      </c>
      <c r="BG44" t="e">
        <f t="shared" si="50"/>
        <v>#N/A</v>
      </c>
      <c r="BH44" t="e">
        <f t="shared" si="51"/>
        <v>#N/A</v>
      </c>
      <c r="BI44" t="e">
        <f t="shared" si="52"/>
        <v>#N/A</v>
      </c>
      <c r="BJ44" t="e">
        <f t="shared" si="53"/>
        <v>#N/A</v>
      </c>
      <c r="BK44" t="e">
        <f t="shared" si="54"/>
        <v>#N/A</v>
      </c>
      <c r="BL44" t="e">
        <f t="shared" si="55"/>
        <v>#N/A</v>
      </c>
      <c r="BM44" t="e">
        <f t="shared" si="56"/>
        <v>#N/A</v>
      </c>
      <c r="BN44" t="e">
        <f t="shared" si="57"/>
        <v>#N/A</v>
      </c>
      <c r="BO44" t="e">
        <f t="shared" si="58"/>
        <v>#N/A</v>
      </c>
      <c r="BP44" t="e">
        <f t="shared" si="59"/>
        <v>#N/A</v>
      </c>
      <c r="BQ44" t="e">
        <f t="shared" si="60"/>
        <v>#N/A</v>
      </c>
      <c r="BR44" t="e">
        <f t="shared" si="61"/>
        <v>#N/A</v>
      </c>
      <c r="BS44" t="e">
        <f t="shared" si="62"/>
        <v>#N/A</v>
      </c>
      <c r="BT44" t="e">
        <f t="shared" si="63"/>
        <v>#N/A</v>
      </c>
      <c r="BU44" t="e">
        <f t="shared" si="64"/>
        <v>#N/A</v>
      </c>
      <c r="BV44" t="e">
        <f t="shared" si="65"/>
        <v>#N/A</v>
      </c>
      <c r="BW44" t="e">
        <f t="shared" si="66"/>
        <v>#N/A</v>
      </c>
      <c r="BX44" t="e">
        <f t="shared" si="67"/>
        <v>#N/A</v>
      </c>
      <c r="BY44" t="e">
        <f t="shared" si="68"/>
        <v>#N/A</v>
      </c>
      <c r="BZ44" t="e">
        <f t="shared" si="69"/>
        <v>#N/A</v>
      </c>
      <c r="CA44" t="e">
        <f t="shared" si="70"/>
        <v>#N/A</v>
      </c>
      <c r="CB44" t="e">
        <f t="shared" si="71"/>
        <v>#N/A</v>
      </c>
      <c r="CC44" t="e">
        <f t="shared" si="72"/>
        <v>#N/A</v>
      </c>
      <c r="CD44" t="e">
        <f t="shared" si="73"/>
        <v>#N/A</v>
      </c>
      <c r="CE44" t="e">
        <f t="shared" si="74"/>
        <v>#N/A</v>
      </c>
      <c r="CF44" t="e">
        <f t="shared" si="75"/>
        <v>#N/A</v>
      </c>
      <c r="CG44" t="e">
        <f t="shared" si="76"/>
        <v>#N/A</v>
      </c>
      <c r="CH44" t="e">
        <f t="shared" si="77"/>
        <v>#N/A</v>
      </c>
      <c r="CI44" t="e">
        <f t="shared" si="78"/>
        <v>#N/A</v>
      </c>
      <c r="CJ44" t="e">
        <f t="shared" si="79"/>
        <v>#N/A</v>
      </c>
      <c r="CK44" t="e">
        <f t="shared" si="80"/>
        <v>#N/A</v>
      </c>
      <c r="CL44" t="e">
        <f t="shared" si="81"/>
        <v>#N/A</v>
      </c>
      <c r="CM44" t="e">
        <f t="shared" si="82"/>
        <v>#N/A</v>
      </c>
      <c r="CN44" t="e">
        <f t="shared" si="83"/>
        <v>#N/A</v>
      </c>
      <c r="CO44" t="e">
        <f t="shared" si="84"/>
        <v>#N/A</v>
      </c>
      <c r="CP44" t="e">
        <f t="shared" si="85"/>
        <v>#N/A</v>
      </c>
      <c r="CQ44" t="e">
        <f t="shared" si="86"/>
        <v>#N/A</v>
      </c>
      <c r="CR44" t="e">
        <f t="shared" si="87"/>
        <v>#N/A</v>
      </c>
      <c r="CS44" t="e">
        <f t="shared" si="88"/>
        <v>#N/A</v>
      </c>
      <c r="CT44" t="e">
        <f t="shared" si="89"/>
        <v>#N/A</v>
      </c>
      <c r="CU44" t="e">
        <f t="shared" si="90"/>
        <v>#N/A</v>
      </c>
      <c r="CV44" t="e">
        <f t="shared" si="91"/>
        <v>#N/A</v>
      </c>
      <c r="CW44" t="e">
        <f t="shared" si="91"/>
        <v>#N/A</v>
      </c>
      <c r="CX44" t="e">
        <f t="shared" si="91"/>
        <v>#N/A</v>
      </c>
      <c r="CY44" t="e">
        <f t="shared" si="91"/>
        <v>#N/A</v>
      </c>
      <c r="CZ44" t="e">
        <f t="shared" si="93"/>
        <v>#N/A</v>
      </c>
      <c r="DA44" t="e">
        <f t="shared" si="93"/>
        <v>#N/A</v>
      </c>
    </row>
    <row r="45" spans="1:105" x14ac:dyDescent="0.35">
      <c r="I45" s="12" t="e" vm="2">
        <f ca="1">'Required Capacity (Hide)'!E45</f>
        <v>#VALUE!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  <c r="V45" t="e">
        <f t="shared" si="13"/>
        <v>#N/A</v>
      </c>
      <c r="W45" t="e">
        <f t="shared" si="14"/>
        <v>#N/A</v>
      </c>
      <c r="X45" t="e">
        <f t="shared" si="15"/>
        <v>#N/A</v>
      </c>
      <c r="Y45" t="e">
        <f t="shared" si="16"/>
        <v>#N/A</v>
      </c>
      <c r="Z45" t="e">
        <f t="shared" si="17"/>
        <v>#N/A</v>
      </c>
      <c r="AA45" t="e">
        <f t="shared" si="18"/>
        <v>#N/A</v>
      </c>
      <c r="AB45" t="e">
        <f t="shared" si="19"/>
        <v>#N/A</v>
      </c>
      <c r="AC45" t="e">
        <f t="shared" si="20"/>
        <v>#N/A</v>
      </c>
      <c r="AD45" t="e">
        <f t="shared" si="21"/>
        <v>#N/A</v>
      </c>
      <c r="AE45" t="e">
        <f t="shared" si="22"/>
        <v>#N/A</v>
      </c>
      <c r="AF45" t="e">
        <f t="shared" si="23"/>
        <v>#N/A</v>
      </c>
      <c r="AG45" t="e">
        <f t="shared" si="24"/>
        <v>#N/A</v>
      </c>
      <c r="AH45" t="e">
        <f t="shared" si="25"/>
        <v>#N/A</v>
      </c>
      <c r="AI45" t="e">
        <f t="shared" si="26"/>
        <v>#N/A</v>
      </c>
      <c r="AJ45" t="e">
        <f t="shared" si="27"/>
        <v>#N/A</v>
      </c>
      <c r="AK45" t="e">
        <f t="shared" si="28"/>
        <v>#N/A</v>
      </c>
      <c r="AL45" t="e">
        <f t="shared" si="29"/>
        <v>#N/A</v>
      </c>
      <c r="AM45" t="e">
        <f t="shared" si="30"/>
        <v>#N/A</v>
      </c>
      <c r="AN45" t="e">
        <f t="shared" si="31"/>
        <v>#N/A</v>
      </c>
      <c r="AO45" t="e">
        <f t="shared" si="32"/>
        <v>#N/A</v>
      </c>
      <c r="AP45" t="e">
        <f t="shared" si="33"/>
        <v>#N/A</v>
      </c>
      <c r="AQ45" t="e">
        <f t="shared" si="34"/>
        <v>#N/A</v>
      </c>
      <c r="AR45" t="e">
        <f t="shared" si="35"/>
        <v>#N/A</v>
      </c>
      <c r="AS45" t="e">
        <f t="shared" si="36"/>
        <v>#N/A</v>
      </c>
      <c r="AT45" t="e">
        <f t="shared" si="37"/>
        <v>#N/A</v>
      </c>
      <c r="AU45" t="e">
        <f t="shared" si="38"/>
        <v>#N/A</v>
      </c>
      <c r="AV45" t="e">
        <f t="shared" si="39"/>
        <v>#N/A</v>
      </c>
      <c r="AW45" t="e">
        <f t="shared" si="40"/>
        <v>#N/A</v>
      </c>
      <c r="AX45" t="e">
        <f t="shared" si="41"/>
        <v>#N/A</v>
      </c>
      <c r="AY45" t="e">
        <f t="shared" si="42"/>
        <v>#N/A</v>
      </c>
      <c r="AZ45" t="e">
        <f t="shared" si="43"/>
        <v>#N/A</v>
      </c>
      <c r="BA45" t="e">
        <f t="shared" si="44"/>
        <v>#N/A</v>
      </c>
      <c r="BB45" t="e">
        <f t="shared" si="45"/>
        <v>#N/A</v>
      </c>
      <c r="BC45" t="e">
        <f t="shared" si="46"/>
        <v>#N/A</v>
      </c>
      <c r="BD45" t="e">
        <f t="shared" si="47"/>
        <v>#N/A</v>
      </c>
      <c r="BE45" t="e">
        <f t="shared" si="48"/>
        <v>#N/A</v>
      </c>
      <c r="BF45" t="e">
        <f t="shared" si="49"/>
        <v>#N/A</v>
      </c>
      <c r="BG45" t="e">
        <f t="shared" si="50"/>
        <v>#N/A</v>
      </c>
      <c r="BH45" t="e">
        <f t="shared" si="51"/>
        <v>#N/A</v>
      </c>
      <c r="BI45" t="e">
        <f t="shared" si="52"/>
        <v>#N/A</v>
      </c>
      <c r="BJ45" t="e">
        <f t="shared" si="53"/>
        <v>#N/A</v>
      </c>
      <c r="BK45" t="e">
        <f t="shared" si="54"/>
        <v>#N/A</v>
      </c>
      <c r="BL45" t="e">
        <f t="shared" si="55"/>
        <v>#N/A</v>
      </c>
      <c r="BM45" t="e">
        <f t="shared" si="56"/>
        <v>#N/A</v>
      </c>
      <c r="BN45" t="e">
        <f t="shared" si="57"/>
        <v>#N/A</v>
      </c>
      <c r="BO45" t="e">
        <f t="shared" si="58"/>
        <v>#N/A</v>
      </c>
      <c r="BP45" t="e">
        <f t="shared" si="59"/>
        <v>#N/A</v>
      </c>
      <c r="BQ45" t="e">
        <f t="shared" si="60"/>
        <v>#N/A</v>
      </c>
      <c r="BR45" t="e">
        <f t="shared" si="61"/>
        <v>#N/A</v>
      </c>
      <c r="BS45" t="e">
        <f t="shared" si="62"/>
        <v>#N/A</v>
      </c>
      <c r="BT45" t="e">
        <f t="shared" si="63"/>
        <v>#N/A</v>
      </c>
      <c r="BU45" t="e">
        <f t="shared" si="64"/>
        <v>#N/A</v>
      </c>
      <c r="BV45" t="e">
        <f t="shared" si="65"/>
        <v>#N/A</v>
      </c>
      <c r="BW45" t="e">
        <f t="shared" si="66"/>
        <v>#N/A</v>
      </c>
      <c r="BX45" t="e">
        <f t="shared" si="67"/>
        <v>#N/A</v>
      </c>
      <c r="BY45" t="e">
        <f t="shared" si="68"/>
        <v>#N/A</v>
      </c>
      <c r="BZ45" t="e">
        <f t="shared" si="69"/>
        <v>#N/A</v>
      </c>
      <c r="CA45" t="e">
        <f t="shared" si="70"/>
        <v>#N/A</v>
      </c>
      <c r="CB45" t="e">
        <f t="shared" si="71"/>
        <v>#N/A</v>
      </c>
      <c r="CC45" t="e">
        <f t="shared" si="72"/>
        <v>#N/A</v>
      </c>
      <c r="CD45" t="e">
        <f t="shared" si="73"/>
        <v>#N/A</v>
      </c>
      <c r="CE45" t="e">
        <f t="shared" si="74"/>
        <v>#N/A</v>
      </c>
      <c r="CF45" t="e">
        <f t="shared" si="75"/>
        <v>#N/A</v>
      </c>
      <c r="CG45" t="e">
        <f t="shared" si="76"/>
        <v>#N/A</v>
      </c>
      <c r="CH45" t="e">
        <f t="shared" si="77"/>
        <v>#N/A</v>
      </c>
      <c r="CI45" t="e">
        <f t="shared" si="78"/>
        <v>#N/A</v>
      </c>
      <c r="CJ45" t="e">
        <f t="shared" si="79"/>
        <v>#N/A</v>
      </c>
      <c r="CK45" t="e">
        <f t="shared" si="80"/>
        <v>#N/A</v>
      </c>
      <c r="CL45" t="e">
        <f t="shared" si="81"/>
        <v>#N/A</v>
      </c>
      <c r="CM45" t="e">
        <f t="shared" si="82"/>
        <v>#N/A</v>
      </c>
      <c r="CN45" t="e">
        <f t="shared" si="83"/>
        <v>#N/A</v>
      </c>
      <c r="CO45" t="e">
        <f t="shared" si="84"/>
        <v>#N/A</v>
      </c>
      <c r="CP45" t="e">
        <f t="shared" si="85"/>
        <v>#N/A</v>
      </c>
      <c r="CQ45" t="e">
        <f t="shared" si="86"/>
        <v>#N/A</v>
      </c>
      <c r="CR45" t="e">
        <f t="shared" si="87"/>
        <v>#N/A</v>
      </c>
      <c r="CS45" t="e">
        <f t="shared" si="88"/>
        <v>#N/A</v>
      </c>
      <c r="CT45" t="e">
        <f t="shared" si="89"/>
        <v>#N/A</v>
      </c>
      <c r="CU45" t="e">
        <f t="shared" si="90"/>
        <v>#N/A</v>
      </c>
      <c r="CV45" t="e">
        <f t="shared" si="91"/>
        <v>#N/A</v>
      </c>
      <c r="CW45" t="e">
        <f t="shared" si="91"/>
        <v>#N/A</v>
      </c>
      <c r="CX45" t="e">
        <f t="shared" si="91"/>
        <v>#N/A</v>
      </c>
      <c r="CY45" t="e">
        <f t="shared" si="91"/>
        <v>#N/A</v>
      </c>
      <c r="CZ45" t="e">
        <f t="shared" si="93"/>
        <v>#N/A</v>
      </c>
      <c r="DA45" t="e">
        <f t="shared" si="93"/>
        <v>#N/A</v>
      </c>
    </row>
    <row r="46" spans="1:105" x14ac:dyDescent="0.35">
      <c r="I46" s="12" t="e" vm="2">
        <f ca="1">'Required Capacity (Hide)'!E46</f>
        <v>#VALUE!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  <c r="V46" t="e">
        <f t="shared" si="13"/>
        <v>#N/A</v>
      </c>
      <c r="W46" t="e">
        <f t="shared" si="14"/>
        <v>#N/A</v>
      </c>
      <c r="X46" t="e">
        <f t="shared" si="15"/>
        <v>#N/A</v>
      </c>
      <c r="Y46" t="e">
        <f t="shared" si="16"/>
        <v>#N/A</v>
      </c>
      <c r="Z46" t="e">
        <f t="shared" si="17"/>
        <v>#N/A</v>
      </c>
      <c r="AA46" t="e">
        <f t="shared" si="18"/>
        <v>#N/A</v>
      </c>
      <c r="AB46" t="e">
        <f t="shared" si="19"/>
        <v>#N/A</v>
      </c>
      <c r="AC46" t="e">
        <f t="shared" si="20"/>
        <v>#N/A</v>
      </c>
      <c r="AD46" t="e">
        <f t="shared" si="21"/>
        <v>#N/A</v>
      </c>
      <c r="AE46" t="e">
        <f t="shared" si="22"/>
        <v>#N/A</v>
      </c>
      <c r="AF46" t="e">
        <f t="shared" si="23"/>
        <v>#N/A</v>
      </c>
      <c r="AG46" t="e">
        <f t="shared" si="24"/>
        <v>#N/A</v>
      </c>
      <c r="AH46" t="e">
        <f t="shared" si="25"/>
        <v>#N/A</v>
      </c>
      <c r="AI46" t="e">
        <f t="shared" si="26"/>
        <v>#N/A</v>
      </c>
      <c r="AJ46" t="e">
        <f t="shared" si="27"/>
        <v>#N/A</v>
      </c>
      <c r="AK46" t="e">
        <f t="shared" si="28"/>
        <v>#N/A</v>
      </c>
      <c r="AL46" t="e">
        <f t="shared" si="29"/>
        <v>#N/A</v>
      </c>
      <c r="AM46" t="e">
        <f t="shared" si="30"/>
        <v>#N/A</v>
      </c>
      <c r="AN46" t="e">
        <f t="shared" si="31"/>
        <v>#N/A</v>
      </c>
      <c r="AO46" t="e">
        <f t="shared" si="32"/>
        <v>#N/A</v>
      </c>
      <c r="AP46" t="e">
        <f t="shared" si="33"/>
        <v>#N/A</v>
      </c>
      <c r="AQ46" t="e">
        <f t="shared" si="34"/>
        <v>#N/A</v>
      </c>
      <c r="AR46" t="e">
        <f t="shared" si="35"/>
        <v>#N/A</v>
      </c>
      <c r="AS46" t="e">
        <f t="shared" si="36"/>
        <v>#N/A</v>
      </c>
      <c r="AT46" t="e">
        <f t="shared" si="37"/>
        <v>#N/A</v>
      </c>
      <c r="AU46" t="e">
        <f t="shared" si="38"/>
        <v>#N/A</v>
      </c>
      <c r="AV46" t="e">
        <f t="shared" si="39"/>
        <v>#N/A</v>
      </c>
      <c r="AW46" t="e">
        <f t="shared" si="40"/>
        <v>#N/A</v>
      </c>
      <c r="AX46" t="e">
        <f t="shared" si="41"/>
        <v>#N/A</v>
      </c>
      <c r="AY46" t="e">
        <f t="shared" si="42"/>
        <v>#N/A</v>
      </c>
      <c r="AZ46" t="e">
        <f t="shared" si="43"/>
        <v>#N/A</v>
      </c>
      <c r="BA46" t="e">
        <f t="shared" si="44"/>
        <v>#N/A</v>
      </c>
      <c r="BB46" t="e">
        <f t="shared" si="45"/>
        <v>#N/A</v>
      </c>
      <c r="BC46" t="e">
        <f t="shared" si="46"/>
        <v>#N/A</v>
      </c>
      <c r="BD46" t="e">
        <f t="shared" si="47"/>
        <v>#N/A</v>
      </c>
      <c r="BE46" t="e">
        <f t="shared" si="48"/>
        <v>#N/A</v>
      </c>
      <c r="BF46" t="e">
        <f t="shared" si="49"/>
        <v>#N/A</v>
      </c>
      <c r="BG46" t="e">
        <f t="shared" si="50"/>
        <v>#N/A</v>
      </c>
      <c r="BH46" t="e">
        <f t="shared" si="51"/>
        <v>#N/A</v>
      </c>
      <c r="BI46" t="e">
        <f t="shared" si="52"/>
        <v>#N/A</v>
      </c>
      <c r="BJ46" t="e">
        <f t="shared" si="53"/>
        <v>#N/A</v>
      </c>
      <c r="BK46" t="e">
        <f t="shared" si="54"/>
        <v>#N/A</v>
      </c>
      <c r="BL46" t="e">
        <f t="shared" si="55"/>
        <v>#N/A</v>
      </c>
      <c r="BM46" t="e">
        <f t="shared" si="56"/>
        <v>#N/A</v>
      </c>
      <c r="BN46" t="e">
        <f t="shared" si="57"/>
        <v>#N/A</v>
      </c>
      <c r="BO46" t="e">
        <f t="shared" si="58"/>
        <v>#N/A</v>
      </c>
      <c r="BP46" t="e">
        <f t="shared" si="59"/>
        <v>#N/A</v>
      </c>
      <c r="BQ46" t="e">
        <f t="shared" si="60"/>
        <v>#N/A</v>
      </c>
      <c r="BR46" t="e">
        <f t="shared" si="61"/>
        <v>#N/A</v>
      </c>
      <c r="BS46" t="e">
        <f t="shared" si="62"/>
        <v>#N/A</v>
      </c>
      <c r="BT46" t="e">
        <f t="shared" si="63"/>
        <v>#N/A</v>
      </c>
      <c r="BU46" t="e">
        <f t="shared" si="64"/>
        <v>#N/A</v>
      </c>
      <c r="BV46" t="e">
        <f t="shared" si="65"/>
        <v>#N/A</v>
      </c>
      <c r="BW46" t="e">
        <f t="shared" si="66"/>
        <v>#N/A</v>
      </c>
      <c r="BX46" t="e">
        <f t="shared" si="67"/>
        <v>#N/A</v>
      </c>
      <c r="BY46" t="e">
        <f t="shared" si="68"/>
        <v>#N/A</v>
      </c>
      <c r="BZ46" t="e">
        <f t="shared" si="69"/>
        <v>#N/A</v>
      </c>
      <c r="CA46" t="e">
        <f t="shared" si="70"/>
        <v>#N/A</v>
      </c>
      <c r="CB46" t="e">
        <f t="shared" si="71"/>
        <v>#N/A</v>
      </c>
      <c r="CC46" t="e">
        <f t="shared" si="72"/>
        <v>#N/A</v>
      </c>
      <c r="CD46" t="e">
        <f t="shared" si="73"/>
        <v>#N/A</v>
      </c>
      <c r="CE46" t="e">
        <f t="shared" si="74"/>
        <v>#N/A</v>
      </c>
      <c r="CF46" t="e">
        <f t="shared" si="75"/>
        <v>#N/A</v>
      </c>
      <c r="CG46" t="e">
        <f t="shared" si="76"/>
        <v>#N/A</v>
      </c>
      <c r="CH46" t="e">
        <f t="shared" si="77"/>
        <v>#N/A</v>
      </c>
      <c r="CI46" t="e">
        <f t="shared" si="78"/>
        <v>#N/A</v>
      </c>
      <c r="CJ46" t="e">
        <f t="shared" si="79"/>
        <v>#N/A</v>
      </c>
      <c r="CK46" t="e">
        <f t="shared" si="80"/>
        <v>#N/A</v>
      </c>
      <c r="CL46" t="e">
        <f t="shared" si="81"/>
        <v>#N/A</v>
      </c>
      <c r="CM46" t="e">
        <f t="shared" si="82"/>
        <v>#N/A</v>
      </c>
      <c r="CN46" t="e">
        <f t="shared" si="83"/>
        <v>#N/A</v>
      </c>
      <c r="CO46" t="e">
        <f t="shared" si="84"/>
        <v>#N/A</v>
      </c>
      <c r="CP46" t="e">
        <f t="shared" si="85"/>
        <v>#N/A</v>
      </c>
      <c r="CQ46" t="e">
        <f t="shared" si="86"/>
        <v>#N/A</v>
      </c>
      <c r="CR46" t="e">
        <f t="shared" si="87"/>
        <v>#N/A</v>
      </c>
      <c r="CS46" t="e">
        <f t="shared" si="88"/>
        <v>#N/A</v>
      </c>
      <c r="CT46" t="e">
        <f t="shared" si="89"/>
        <v>#N/A</v>
      </c>
      <c r="CU46" t="e">
        <f t="shared" si="90"/>
        <v>#N/A</v>
      </c>
      <c r="CV46" t="e">
        <f t="shared" si="91"/>
        <v>#N/A</v>
      </c>
      <c r="CW46" t="e">
        <f t="shared" si="91"/>
        <v>#N/A</v>
      </c>
      <c r="CX46" t="e">
        <f t="shared" si="91"/>
        <v>#N/A</v>
      </c>
      <c r="CY46" t="e">
        <f t="shared" si="91"/>
        <v>#N/A</v>
      </c>
      <c r="CZ46" t="e">
        <f t="shared" si="93"/>
        <v>#N/A</v>
      </c>
      <c r="DA46" t="e">
        <f t="shared" si="93"/>
        <v>#N/A</v>
      </c>
    </row>
    <row r="47" spans="1:105" x14ac:dyDescent="0.35">
      <c r="I47" s="12" t="e" vm="2">
        <f ca="1">'Required Capacity (Hide)'!E47</f>
        <v>#VALUE!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  <c r="V47" t="e">
        <f t="shared" si="13"/>
        <v>#N/A</v>
      </c>
      <c r="W47" t="e">
        <f t="shared" si="14"/>
        <v>#N/A</v>
      </c>
      <c r="X47" t="e">
        <f t="shared" si="15"/>
        <v>#N/A</v>
      </c>
      <c r="Y47" t="e">
        <f t="shared" si="16"/>
        <v>#N/A</v>
      </c>
      <c r="Z47" t="e">
        <f t="shared" si="17"/>
        <v>#N/A</v>
      </c>
      <c r="AA47" t="e">
        <f t="shared" si="18"/>
        <v>#N/A</v>
      </c>
      <c r="AB47" t="e">
        <f t="shared" si="19"/>
        <v>#N/A</v>
      </c>
      <c r="AC47" t="e">
        <f t="shared" si="20"/>
        <v>#N/A</v>
      </c>
      <c r="AD47" t="e">
        <f t="shared" si="21"/>
        <v>#N/A</v>
      </c>
      <c r="AE47" t="e">
        <f t="shared" si="22"/>
        <v>#N/A</v>
      </c>
      <c r="AF47" t="e">
        <f t="shared" si="23"/>
        <v>#N/A</v>
      </c>
      <c r="AG47" t="e">
        <f t="shared" si="24"/>
        <v>#N/A</v>
      </c>
      <c r="AH47" t="e">
        <f t="shared" si="25"/>
        <v>#N/A</v>
      </c>
      <c r="AI47" t="e">
        <f t="shared" si="26"/>
        <v>#N/A</v>
      </c>
      <c r="AJ47" t="e">
        <f t="shared" si="27"/>
        <v>#N/A</v>
      </c>
      <c r="AK47" t="e">
        <f t="shared" si="28"/>
        <v>#N/A</v>
      </c>
      <c r="AL47" t="e">
        <f t="shared" si="29"/>
        <v>#N/A</v>
      </c>
      <c r="AM47" t="e">
        <f t="shared" si="30"/>
        <v>#N/A</v>
      </c>
      <c r="AN47" t="e">
        <f t="shared" si="31"/>
        <v>#N/A</v>
      </c>
      <c r="AO47" t="e">
        <f t="shared" si="32"/>
        <v>#N/A</v>
      </c>
      <c r="AP47" t="e">
        <f t="shared" si="33"/>
        <v>#N/A</v>
      </c>
      <c r="AQ47" t="e">
        <f t="shared" si="34"/>
        <v>#N/A</v>
      </c>
      <c r="AR47" t="e">
        <f t="shared" si="35"/>
        <v>#N/A</v>
      </c>
      <c r="AS47" t="e">
        <f t="shared" si="36"/>
        <v>#N/A</v>
      </c>
      <c r="AT47" t="e">
        <f t="shared" si="37"/>
        <v>#N/A</v>
      </c>
      <c r="AU47" t="e">
        <f t="shared" si="38"/>
        <v>#N/A</v>
      </c>
      <c r="AV47" t="e">
        <f t="shared" si="39"/>
        <v>#N/A</v>
      </c>
      <c r="AW47" t="e">
        <f t="shared" si="40"/>
        <v>#N/A</v>
      </c>
      <c r="AX47" t="e">
        <f t="shared" si="41"/>
        <v>#N/A</v>
      </c>
      <c r="AY47" t="e">
        <f t="shared" si="42"/>
        <v>#N/A</v>
      </c>
      <c r="AZ47" t="e">
        <f t="shared" si="43"/>
        <v>#N/A</v>
      </c>
      <c r="BA47" t="e">
        <f t="shared" si="44"/>
        <v>#N/A</v>
      </c>
      <c r="BB47" t="e">
        <f t="shared" si="45"/>
        <v>#N/A</v>
      </c>
      <c r="BC47" t="e">
        <f t="shared" si="46"/>
        <v>#N/A</v>
      </c>
      <c r="BD47" t="e">
        <f t="shared" si="47"/>
        <v>#N/A</v>
      </c>
      <c r="BE47" t="e">
        <f t="shared" si="48"/>
        <v>#N/A</v>
      </c>
      <c r="BF47" t="e">
        <f t="shared" si="49"/>
        <v>#N/A</v>
      </c>
      <c r="BG47" t="e">
        <f t="shared" si="50"/>
        <v>#N/A</v>
      </c>
      <c r="BH47" t="e">
        <f t="shared" si="51"/>
        <v>#N/A</v>
      </c>
      <c r="BI47" t="e">
        <f t="shared" si="52"/>
        <v>#N/A</v>
      </c>
      <c r="BJ47" t="e">
        <f t="shared" si="53"/>
        <v>#N/A</v>
      </c>
      <c r="BK47" t="e">
        <f t="shared" si="54"/>
        <v>#N/A</v>
      </c>
      <c r="BL47" t="e">
        <f t="shared" si="55"/>
        <v>#N/A</v>
      </c>
      <c r="BM47" t="e">
        <f t="shared" si="56"/>
        <v>#N/A</v>
      </c>
      <c r="BN47" t="e">
        <f t="shared" si="57"/>
        <v>#N/A</v>
      </c>
      <c r="BO47" t="e">
        <f t="shared" si="58"/>
        <v>#N/A</v>
      </c>
      <c r="BP47" t="e">
        <f t="shared" si="59"/>
        <v>#N/A</v>
      </c>
      <c r="BQ47" t="e">
        <f t="shared" si="60"/>
        <v>#N/A</v>
      </c>
      <c r="BR47" t="e">
        <f t="shared" si="61"/>
        <v>#N/A</v>
      </c>
      <c r="BS47" t="e">
        <f t="shared" si="62"/>
        <v>#N/A</v>
      </c>
      <c r="BT47" t="e">
        <f t="shared" si="63"/>
        <v>#N/A</v>
      </c>
      <c r="BU47" t="e">
        <f t="shared" si="64"/>
        <v>#N/A</v>
      </c>
      <c r="BV47" t="e">
        <f t="shared" si="65"/>
        <v>#N/A</v>
      </c>
      <c r="BW47" t="e">
        <f t="shared" si="66"/>
        <v>#N/A</v>
      </c>
      <c r="BX47" t="e">
        <f t="shared" si="67"/>
        <v>#N/A</v>
      </c>
      <c r="BY47" t="e">
        <f t="shared" si="68"/>
        <v>#N/A</v>
      </c>
      <c r="BZ47" t="e">
        <f t="shared" si="69"/>
        <v>#N/A</v>
      </c>
      <c r="CA47" t="e">
        <f t="shared" si="70"/>
        <v>#N/A</v>
      </c>
      <c r="CB47" t="e">
        <f t="shared" si="71"/>
        <v>#N/A</v>
      </c>
      <c r="CC47" t="e">
        <f t="shared" si="72"/>
        <v>#N/A</v>
      </c>
      <c r="CD47" t="e">
        <f t="shared" si="73"/>
        <v>#N/A</v>
      </c>
      <c r="CE47" t="e">
        <f t="shared" si="74"/>
        <v>#N/A</v>
      </c>
      <c r="CF47" t="e">
        <f t="shared" si="75"/>
        <v>#N/A</v>
      </c>
      <c r="CG47" t="e">
        <f t="shared" si="76"/>
        <v>#N/A</v>
      </c>
      <c r="CH47" t="e">
        <f t="shared" si="77"/>
        <v>#N/A</v>
      </c>
      <c r="CI47" t="e">
        <f t="shared" si="78"/>
        <v>#N/A</v>
      </c>
      <c r="CJ47" t="e">
        <f t="shared" si="79"/>
        <v>#N/A</v>
      </c>
      <c r="CK47" t="e">
        <f t="shared" si="80"/>
        <v>#N/A</v>
      </c>
      <c r="CL47" t="e">
        <f t="shared" si="81"/>
        <v>#N/A</v>
      </c>
      <c r="CM47" t="e">
        <f t="shared" si="82"/>
        <v>#N/A</v>
      </c>
      <c r="CN47" t="e">
        <f t="shared" si="83"/>
        <v>#N/A</v>
      </c>
      <c r="CO47" t="e">
        <f t="shared" si="84"/>
        <v>#N/A</v>
      </c>
      <c r="CP47" t="e">
        <f t="shared" si="85"/>
        <v>#N/A</v>
      </c>
      <c r="CQ47" t="e">
        <f t="shared" si="86"/>
        <v>#N/A</v>
      </c>
      <c r="CR47" t="e">
        <f t="shared" si="87"/>
        <v>#N/A</v>
      </c>
      <c r="CS47" t="e">
        <f t="shared" si="88"/>
        <v>#N/A</v>
      </c>
      <c r="CT47" t="e">
        <f t="shared" si="89"/>
        <v>#N/A</v>
      </c>
      <c r="CU47" t="e">
        <f t="shared" si="90"/>
        <v>#N/A</v>
      </c>
      <c r="CV47" t="e">
        <f t="shared" si="91"/>
        <v>#N/A</v>
      </c>
      <c r="CW47" t="e">
        <f t="shared" si="91"/>
        <v>#N/A</v>
      </c>
      <c r="CX47" t="e">
        <f t="shared" si="91"/>
        <v>#N/A</v>
      </c>
      <c r="CY47" t="e">
        <f t="shared" si="91"/>
        <v>#N/A</v>
      </c>
      <c r="CZ47" t="e">
        <f t="shared" si="93"/>
        <v>#N/A</v>
      </c>
      <c r="DA47" t="e">
        <f t="shared" si="93"/>
        <v>#N/A</v>
      </c>
    </row>
    <row r="48" spans="1:105" x14ac:dyDescent="0.35">
      <c r="I48" s="12" t="e" vm="2">
        <f ca="1">'Required Capacity (Hide)'!E48</f>
        <v>#VALUE!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  <c r="V48" t="e">
        <f t="shared" si="13"/>
        <v>#N/A</v>
      </c>
      <c r="W48" t="e">
        <f t="shared" si="14"/>
        <v>#N/A</v>
      </c>
      <c r="X48" t="e">
        <f t="shared" si="15"/>
        <v>#N/A</v>
      </c>
      <c r="Y48" t="e">
        <f t="shared" si="16"/>
        <v>#N/A</v>
      </c>
      <c r="Z48" t="e">
        <f t="shared" si="17"/>
        <v>#N/A</v>
      </c>
      <c r="AA48" t="e">
        <f t="shared" si="18"/>
        <v>#N/A</v>
      </c>
      <c r="AB48" t="e">
        <f t="shared" si="19"/>
        <v>#N/A</v>
      </c>
      <c r="AC48" t="e">
        <f t="shared" si="20"/>
        <v>#N/A</v>
      </c>
      <c r="AD48" t="e">
        <f t="shared" si="21"/>
        <v>#N/A</v>
      </c>
      <c r="AE48" t="e">
        <f t="shared" si="22"/>
        <v>#N/A</v>
      </c>
      <c r="AF48" t="e">
        <f t="shared" si="23"/>
        <v>#N/A</v>
      </c>
      <c r="AG48" t="e">
        <f t="shared" si="24"/>
        <v>#N/A</v>
      </c>
      <c r="AH48" t="e">
        <f t="shared" si="25"/>
        <v>#N/A</v>
      </c>
      <c r="AI48" t="e">
        <f t="shared" si="26"/>
        <v>#N/A</v>
      </c>
      <c r="AJ48" t="e">
        <f t="shared" si="27"/>
        <v>#N/A</v>
      </c>
      <c r="AK48" t="e">
        <f t="shared" si="28"/>
        <v>#N/A</v>
      </c>
      <c r="AL48" t="e">
        <f t="shared" si="29"/>
        <v>#N/A</v>
      </c>
      <c r="AM48" t="e">
        <f t="shared" si="30"/>
        <v>#N/A</v>
      </c>
      <c r="AN48" t="e">
        <f t="shared" si="31"/>
        <v>#N/A</v>
      </c>
      <c r="AO48" t="e">
        <f t="shared" si="32"/>
        <v>#N/A</v>
      </c>
      <c r="AP48" t="e">
        <f t="shared" si="33"/>
        <v>#N/A</v>
      </c>
      <c r="AQ48" t="e">
        <f t="shared" si="34"/>
        <v>#N/A</v>
      </c>
      <c r="AR48" t="e">
        <f t="shared" si="35"/>
        <v>#N/A</v>
      </c>
      <c r="AS48" t="e">
        <f t="shared" si="36"/>
        <v>#N/A</v>
      </c>
      <c r="AT48" t="e">
        <f t="shared" si="37"/>
        <v>#N/A</v>
      </c>
      <c r="AU48" t="e">
        <f t="shared" si="38"/>
        <v>#N/A</v>
      </c>
      <c r="AV48" t="e">
        <f t="shared" si="39"/>
        <v>#N/A</v>
      </c>
      <c r="AW48" t="e">
        <f t="shared" si="40"/>
        <v>#N/A</v>
      </c>
      <c r="AX48" t="e">
        <f t="shared" si="41"/>
        <v>#N/A</v>
      </c>
      <c r="AY48" t="e">
        <f t="shared" si="42"/>
        <v>#N/A</v>
      </c>
      <c r="AZ48" t="e">
        <f t="shared" si="43"/>
        <v>#N/A</v>
      </c>
      <c r="BA48" t="e">
        <f t="shared" si="44"/>
        <v>#N/A</v>
      </c>
      <c r="BB48" t="e">
        <f t="shared" si="45"/>
        <v>#N/A</v>
      </c>
      <c r="BC48" t="e">
        <f t="shared" si="46"/>
        <v>#N/A</v>
      </c>
      <c r="BD48" t="e">
        <f t="shared" si="47"/>
        <v>#N/A</v>
      </c>
      <c r="BE48" t="e">
        <f t="shared" si="48"/>
        <v>#N/A</v>
      </c>
      <c r="BF48" t="e">
        <f t="shared" si="49"/>
        <v>#N/A</v>
      </c>
      <c r="BG48" t="e">
        <f t="shared" si="50"/>
        <v>#N/A</v>
      </c>
      <c r="BH48" t="e">
        <f t="shared" si="51"/>
        <v>#N/A</v>
      </c>
      <c r="BI48" t="e">
        <f t="shared" si="52"/>
        <v>#N/A</v>
      </c>
      <c r="BJ48" t="e">
        <f t="shared" si="53"/>
        <v>#N/A</v>
      </c>
      <c r="BK48" t="e">
        <f t="shared" si="54"/>
        <v>#N/A</v>
      </c>
      <c r="BL48" t="e">
        <f t="shared" si="55"/>
        <v>#N/A</v>
      </c>
      <c r="BM48" t="e">
        <f t="shared" si="56"/>
        <v>#N/A</v>
      </c>
      <c r="BN48" t="e">
        <f t="shared" si="57"/>
        <v>#N/A</v>
      </c>
      <c r="BO48" t="e">
        <f t="shared" si="58"/>
        <v>#N/A</v>
      </c>
      <c r="BP48" t="e">
        <f t="shared" si="59"/>
        <v>#N/A</v>
      </c>
      <c r="BQ48" t="e">
        <f t="shared" si="60"/>
        <v>#N/A</v>
      </c>
      <c r="BR48" t="e">
        <f t="shared" si="61"/>
        <v>#N/A</v>
      </c>
      <c r="BS48" t="e">
        <f t="shared" si="62"/>
        <v>#N/A</v>
      </c>
      <c r="BT48" t="e">
        <f t="shared" si="63"/>
        <v>#N/A</v>
      </c>
      <c r="BU48" t="e">
        <f t="shared" si="64"/>
        <v>#N/A</v>
      </c>
      <c r="BV48" t="e">
        <f t="shared" si="65"/>
        <v>#N/A</v>
      </c>
      <c r="BW48" t="e">
        <f t="shared" si="66"/>
        <v>#N/A</v>
      </c>
      <c r="BX48" t="e">
        <f t="shared" si="67"/>
        <v>#N/A</v>
      </c>
      <c r="BY48" t="e">
        <f t="shared" si="68"/>
        <v>#N/A</v>
      </c>
      <c r="BZ48" t="e">
        <f t="shared" si="69"/>
        <v>#N/A</v>
      </c>
      <c r="CA48" t="e">
        <f t="shared" si="70"/>
        <v>#N/A</v>
      </c>
      <c r="CB48" t="e">
        <f t="shared" si="71"/>
        <v>#N/A</v>
      </c>
      <c r="CC48" t="e">
        <f t="shared" si="72"/>
        <v>#N/A</v>
      </c>
      <c r="CD48" t="e">
        <f t="shared" si="73"/>
        <v>#N/A</v>
      </c>
      <c r="CE48" t="e">
        <f t="shared" si="74"/>
        <v>#N/A</v>
      </c>
      <c r="CF48" t="e">
        <f t="shared" si="75"/>
        <v>#N/A</v>
      </c>
      <c r="CG48" t="e">
        <f t="shared" si="76"/>
        <v>#N/A</v>
      </c>
      <c r="CH48" t="e">
        <f t="shared" si="77"/>
        <v>#N/A</v>
      </c>
      <c r="CI48" t="e">
        <f t="shared" si="78"/>
        <v>#N/A</v>
      </c>
      <c r="CJ48" t="e">
        <f t="shared" si="79"/>
        <v>#N/A</v>
      </c>
      <c r="CK48" t="e">
        <f t="shared" si="80"/>
        <v>#N/A</v>
      </c>
      <c r="CL48" t="e">
        <f t="shared" si="81"/>
        <v>#N/A</v>
      </c>
      <c r="CM48" t="e">
        <f t="shared" si="82"/>
        <v>#N/A</v>
      </c>
      <c r="CN48" t="e">
        <f t="shared" si="83"/>
        <v>#N/A</v>
      </c>
      <c r="CO48" t="e">
        <f t="shared" si="84"/>
        <v>#N/A</v>
      </c>
      <c r="CP48" t="e">
        <f t="shared" si="85"/>
        <v>#N/A</v>
      </c>
      <c r="CQ48" t="e">
        <f t="shared" si="86"/>
        <v>#N/A</v>
      </c>
      <c r="CR48" t="e">
        <f t="shared" si="87"/>
        <v>#N/A</v>
      </c>
      <c r="CS48" t="e">
        <f t="shared" si="88"/>
        <v>#N/A</v>
      </c>
      <c r="CT48" t="e">
        <f t="shared" si="89"/>
        <v>#N/A</v>
      </c>
      <c r="CU48" t="e">
        <f t="shared" si="90"/>
        <v>#N/A</v>
      </c>
      <c r="CV48" t="e">
        <f t="shared" si="91"/>
        <v>#N/A</v>
      </c>
      <c r="CW48" t="e">
        <f t="shared" si="91"/>
        <v>#N/A</v>
      </c>
      <c r="CX48" t="e">
        <f t="shared" si="91"/>
        <v>#N/A</v>
      </c>
      <c r="CY48" t="e">
        <f t="shared" si="91"/>
        <v>#N/A</v>
      </c>
      <c r="CZ48" t="e">
        <f t="shared" si="93"/>
        <v>#N/A</v>
      </c>
      <c r="DA48" t="e">
        <f t="shared" si="93"/>
        <v>#N/A</v>
      </c>
    </row>
    <row r="49" spans="8:105" x14ac:dyDescent="0.35">
      <c r="I49" s="12" t="e" vm="2">
        <f ca="1">'Required Capacity (Hide)'!E49</f>
        <v>#VALUE!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  <c r="V49" t="e">
        <f t="shared" si="13"/>
        <v>#N/A</v>
      </c>
      <c r="W49" t="e">
        <f t="shared" si="14"/>
        <v>#N/A</v>
      </c>
      <c r="X49" t="e">
        <f t="shared" si="15"/>
        <v>#N/A</v>
      </c>
      <c r="Y49" t="e">
        <f t="shared" si="16"/>
        <v>#N/A</v>
      </c>
      <c r="Z49" t="e">
        <f t="shared" si="17"/>
        <v>#N/A</v>
      </c>
      <c r="AA49" t="e">
        <f t="shared" si="18"/>
        <v>#N/A</v>
      </c>
      <c r="AB49" t="e">
        <f t="shared" si="19"/>
        <v>#N/A</v>
      </c>
      <c r="AC49" t="e">
        <f t="shared" si="20"/>
        <v>#N/A</v>
      </c>
      <c r="AD49" t="e">
        <f t="shared" si="21"/>
        <v>#N/A</v>
      </c>
      <c r="AE49" t="e">
        <f t="shared" si="22"/>
        <v>#N/A</v>
      </c>
      <c r="AF49" t="e">
        <f t="shared" si="23"/>
        <v>#N/A</v>
      </c>
      <c r="AG49" t="e">
        <f t="shared" si="24"/>
        <v>#N/A</v>
      </c>
      <c r="AH49" t="e">
        <f t="shared" si="25"/>
        <v>#N/A</v>
      </c>
      <c r="AI49" t="e">
        <f t="shared" si="26"/>
        <v>#N/A</v>
      </c>
      <c r="AJ49" t="e">
        <f t="shared" si="27"/>
        <v>#N/A</v>
      </c>
      <c r="AK49" t="e">
        <f t="shared" si="28"/>
        <v>#N/A</v>
      </c>
      <c r="AL49" t="e">
        <f t="shared" si="29"/>
        <v>#N/A</v>
      </c>
      <c r="AM49" t="e">
        <f t="shared" si="30"/>
        <v>#N/A</v>
      </c>
      <c r="AN49" t="e">
        <f t="shared" si="31"/>
        <v>#N/A</v>
      </c>
      <c r="AO49" t="e">
        <f t="shared" si="32"/>
        <v>#N/A</v>
      </c>
      <c r="AP49" t="e">
        <f t="shared" si="33"/>
        <v>#N/A</v>
      </c>
      <c r="AQ49" t="e">
        <f t="shared" si="34"/>
        <v>#N/A</v>
      </c>
      <c r="AR49" t="e">
        <f t="shared" si="35"/>
        <v>#N/A</v>
      </c>
      <c r="AS49" t="e">
        <f t="shared" si="36"/>
        <v>#N/A</v>
      </c>
      <c r="AT49" t="e">
        <f t="shared" si="37"/>
        <v>#N/A</v>
      </c>
      <c r="AU49" t="e">
        <f t="shared" si="38"/>
        <v>#N/A</v>
      </c>
      <c r="AV49" t="e">
        <f t="shared" si="39"/>
        <v>#N/A</v>
      </c>
      <c r="AW49" t="e">
        <f t="shared" si="40"/>
        <v>#N/A</v>
      </c>
      <c r="AX49" t="e">
        <f t="shared" si="41"/>
        <v>#N/A</v>
      </c>
      <c r="AY49" t="e">
        <f t="shared" si="42"/>
        <v>#N/A</v>
      </c>
      <c r="AZ49" t="e">
        <f t="shared" si="43"/>
        <v>#N/A</v>
      </c>
      <c r="BA49" t="e">
        <f t="shared" si="44"/>
        <v>#N/A</v>
      </c>
      <c r="BB49" t="e">
        <f t="shared" si="45"/>
        <v>#N/A</v>
      </c>
      <c r="BC49" t="e">
        <f t="shared" si="46"/>
        <v>#N/A</v>
      </c>
      <c r="BD49" t="e">
        <f t="shared" si="47"/>
        <v>#N/A</v>
      </c>
      <c r="BE49" t="e">
        <f t="shared" si="48"/>
        <v>#N/A</v>
      </c>
      <c r="BF49" t="e">
        <f t="shared" si="49"/>
        <v>#N/A</v>
      </c>
      <c r="BG49" t="e">
        <f t="shared" si="50"/>
        <v>#N/A</v>
      </c>
      <c r="BH49" t="e">
        <f t="shared" si="51"/>
        <v>#N/A</v>
      </c>
      <c r="BI49" t="e">
        <f t="shared" si="52"/>
        <v>#N/A</v>
      </c>
      <c r="BJ49" t="e">
        <f t="shared" si="53"/>
        <v>#N/A</v>
      </c>
      <c r="BK49" t="e">
        <f t="shared" si="54"/>
        <v>#N/A</v>
      </c>
      <c r="BL49" t="e">
        <f t="shared" si="55"/>
        <v>#N/A</v>
      </c>
      <c r="BM49" t="e">
        <f t="shared" si="56"/>
        <v>#N/A</v>
      </c>
      <c r="BN49" t="e">
        <f t="shared" si="57"/>
        <v>#N/A</v>
      </c>
      <c r="BO49" t="e">
        <f t="shared" si="58"/>
        <v>#N/A</v>
      </c>
      <c r="BP49" t="e">
        <f t="shared" si="59"/>
        <v>#N/A</v>
      </c>
      <c r="BQ49" t="e">
        <f t="shared" si="60"/>
        <v>#N/A</v>
      </c>
      <c r="BR49" t="e">
        <f t="shared" si="61"/>
        <v>#N/A</v>
      </c>
      <c r="BS49" t="e">
        <f t="shared" si="62"/>
        <v>#N/A</v>
      </c>
      <c r="BT49" t="e">
        <f t="shared" si="63"/>
        <v>#N/A</v>
      </c>
      <c r="BU49" t="e">
        <f t="shared" si="64"/>
        <v>#N/A</v>
      </c>
      <c r="BV49" t="e">
        <f t="shared" si="65"/>
        <v>#N/A</v>
      </c>
      <c r="BW49" t="e">
        <f t="shared" si="66"/>
        <v>#N/A</v>
      </c>
      <c r="BX49" t="e">
        <f t="shared" si="67"/>
        <v>#N/A</v>
      </c>
      <c r="BY49" t="e">
        <f t="shared" si="68"/>
        <v>#N/A</v>
      </c>
      <c r="BZ49" t="e">
        <f t="shared" si="69"/>
        <v>#N/A</v>
      </c>
      <c r="CA49" t="e">
        <f t="shared" si="70"/>
        <v>#N/A</v>
      </c>
      <c r="CB49" t="e">
        <f t="shared" si="71"/>
        <v>#N/A</v>
      </c>
      <c r="CC49" t="e">
        <f t="shared" si="72"/>
        <v>#N/A</v>
      </c>
      <c r="CD49" t="e">
        <f t="shared" si="73"/>
        <v>#N/A</v>
      </c>
      <c r="CE49" t="e">
        <f t="shared" si="74"/>
        <v>#N/A</v>
      </c>
      <c r="CF49" t="e">
        <f t="shared" si="75"/>
        <v>#N/A</v>
      </c>
      <c r="CG49" t="e">
        <f t="shared" si="76"/>
        <v>#N/A</v>
      </c>
      <c r="CH49" t="e">
        <f t="shared" si="77"/>
        <v>#N/A</v>
      </c>
      <c r="CI49" t="e">
        <f t="shared" si="78"/>
        <v>#N/A</v>
      </c>
      <c r="CJ49" t="e">
        <f t="shared" si="79"/>
        <v>#N/A</v>
      </c>
      <c r="CK49" t="e">
        <f t="shared" si="80"/>
        <v>#N/A</v>
      </c>
      <c r="CL49" t="e">
        <f t="shared" si="81"/>
        <v>#N/A</v>
      </c>
      <c r="CM49" t="e">
        <f t="shared" si="82"/>
        <v>#N/A</v>
      </c>
      <c r="CN49" t="e">
        <f t="shared" si="83"/>
        <v>#N/A</v>
      </c>
      <c r="CO49" t="e">
        <f t="shared" si="84"/>
        <v>#N/A</v>
      </c>
      <c r="CP49" t="e">
        <f t="shared" si="85"/>
        <v>#N/A</v>
      </c>
      <c r="CQ49" t="e">
        <f t="shared" si="86"/>
        <v>#N/A</v>
      </c>
      <c r="CR49" t="e">
        <f t="shared" si="87"/>
        <v>#N/A</v>
      </c>
      <c r="CS49" t="e">
        <f t="shared" si="88"/>
        <v>#N/A</v>
      </c>
      <c r="CT49" t="e">
        <f t="shared" si="89"/>
        <v>#N/A</v>
      </c>
      <c r="CU49" t="e">
        <f t="shared" si="90"/>
        <v>#N/A</v>
      </c>
      <c r="CV49" t="e">
        <f t="shared" si="91"/>
        <v>#N/A</v>
      </c>
      <c r="CW49" t="e">
        <f t="shared" si="91"/>
        <v>#N/A</v>
      </c>
      <c r="CX49" t="e">
        <f t="shared" si="91"/>
        <v>#N/A</v>
      </c>
      <c r="CY49" t="e">
        <f t="shared" si="91"/>
        <v>#N/A</v>
      </c>
      <c r="CZ49" t="e">
        <f t="shared" si="93"/>
        <v>#N/A</v>
      </c>
      <c r="DA49" t="e">
        <f t="shared" si="93"/>
        <v>#N/A</v>
      </c>
    </row>
    <row r="50" spans="8:105" x14ac:dyDescent="0.35">
      <c r="I50" s="12" t="e" vm="2">
        <f ca="1">'Required Capacity (Hide)'!E50</f>
        <v>#VALUE!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  <c r="V50" t="e">
        <f t="shared" si="13"/>
        <v>#N/A</v>
      </c>
      <c r="W50" t="e">
        <f t="shared" si="14"/>
        <v>#N/A</v>
      </c>
      <c r="X50" t="e">
        <f t="shared" si="15"/>
        <v>#N/A</v>
      </c>
      <c r="Y50" t="e">
        <f t="shared" si="16"/>
        <v>#N/A</v>
      </c>
      <c r="Z50" t="e">
        <f t="shared" si="17"/>
        <v>#N/A</v>
      </c>
      <c r="AA50" t="e">
        <f t="shared" si="18"/>
        <v>#N/A</v>
      </c>
      <c r="AB50" t="e">
        <f t="shared" si="19"/>
        <v>#N/A</v>
      </c>
      <c r="AC50" t="e">
        <f t="shared" si="20"/>
        <v>#N/A</v>
      </c>
      <c r="AD50" t="e">
        <f t="shared" si="21"/>
        <v>#N/A</v>
      </c>
      <c r="AE50" t="e">
        <f t="shared" si="22"/>
        <v>#N/A</v>
      </c>
      <c r="AF50" t="e">
        <f t="shared" si="23"/>
        <v>#N/A</v>
      </c>
      <c r="AG50" t="e">
        <f t="shared" si="24"/>
        <v>#N/A</v>
      </c>
      <c r="AH50" t="e">
        <f t="shared" si="25"/>
        <v>#N/A</v>
      </c>
      <c r="AI50" t="e">
        <f t="shared" si="26"/>
        <v>#N/A</v>
      </c>
      <c r="AJ50" t="e">
        <f t="shared" si="27"/>
        <v>#N/A</v>
      </c>
      <c r="AK50" t="e">
        <f t="shared" si="28"/>
        <v>#N/A</v>
      </c>
      <c r="AL50" t="e">
        <f t="shared" si="29"/>
        <v>#N/A</v>
      </c>
      <c r="AM50" t="e">
        <f t="shared" si="30"/>
        <v>#N/A</v>
      </c>
      <c r="AN50" t="e">
        <f t="shared" si="31"/>
        <v>#N/A</v>
      </c>
      <c r="AO50" t="e">
        <f t="shared" si="32"/>
        <v>#N/A</v>
      </c>
      <c r="AP50" t="e">
        <f t="shared" si="33"/>
        <v>#N/A</v>
      </c>
      <c r="AQ50" t="e">
        <f t="shared" si="34"/>
        <v>#N/A</v>
      </c>
      <c r="AR50" t="e">
        <f t="shared" si="35"/>
        <v>#N/A</v>
      </c>
      <c r="AS50" t="e">
        <f t="shared" si="36"/>
        <v>#N/A</v>
      </c>
      <c r="AT50" t="e">
        <f t="shared" si="37"/>
        <v>#N/A</v>
      </c>
      <c r="AU50" t="e">
        <f t="shared" si="38"/>
        <v>#N/A</v>
      </c>
      <c r="AV50" t="e">
        <f t="shared" si="39"/>
        <v>#N/A</v>
      </c>
      <c r="AW50" t="e">
        <f t="shared" si="40"/>
        <v>#N/A</v>
      </c>
      <c r="AX50" t="e">
        <f t="shared" si="41"/>
        <v>#N/A</v>
      </c>
      <c r="AY50" t="e">
        <f t="shared" si="42"/>
        <v>#N/A</v>
      </c>
      <c r="AZ50" t="e">
        <f t="shared" si="43"/>
        <v>#N/A</v>
      </c>
      <c r="BA50" t="e">
        <f t="shared" si="44"/>
        <v>#N/A</v>
      </c>
      <c r="BB50" t="e">
        <f t="shared" si="45"/>
        <v>#N/A</v>
      </c>
      <c r="BC50" t="e">
        <f t="shared" si="46"/>
        <v>#N/A</v>
      </c>
      <c r="BD50" t="e">
        <f t="shared" si="47"/>
        <v>#N/A</v>
      </c>
      <c r="BE50" t="e">
        <f t="shared" si="48"/>
        <v>#N/A</v>
      </c>
      <c r="BF50" t="e">
        <f t="shared" si="49"/>
        <v>#N/A</v>
      </c>
      <c r="BG50" t="e">
        <f t="shared" si="50"/>
        <v>#N/A</v>
      </c>
      <c r="BH50" t="e">
        <f t="shared" si="51"/>
        <v>#N/A</v>
      </c>
      <c r="BI50" t="e">
        <f t="shared" si="52"/>
        <v>#N/A</v>
      </c>
      <c r="BJ50" t="e">
        <f t="shared" si="53"/>
        <v>#N/A</v>
      </c>
      <c r="BK50" t="e">
        <f t="shared" si="54"/>
        <v>#N/A</v>
      </c>
      <c r="BL50" t="e">
        <f t="shared" si="55"/>
        <v>#N/A</v>
      </c>
      <c r="BM50" t="e">
        <f t="shared" si="56"/>
        <v>#N/A</v>
      </c>
      <c r="BN50" t="e">
        <f t="shared" si="57"/>
        <v>#N/A</v>
      </c>
      <c r="BO50" t="e">
        <f t="shared" si="58"/>
        <v>#N/A</v>
      </c>
      <c r="BP50" t="e">
        <f t="shared" si="59"/>
        <v>#N/A</v>
      </c>
      <c r="BQ50" t="e">
        <f t="shared" si="60"/>
        <v>#N/A</v>
      </c>
      <c r="BR50" t="e">
        <f t="shared" si="61"/>
        <v>#N/A</v>
      </c>
      <c r="BS50" t="e">
        <f t="shared" si="62"/>
        <v>#N/A</v>
      </c>
      <c r="BT50" t="e">
        <f t="shared" si="63"/>
        <v>#N/A</v>
      </c>
      <c r="BU50" t="e">
        <f t="shared" si="64"/>
        <v>#N/A</v>
      </c>
      <c r="BV50" t="e">
        <f t="shared" si="65"/>
        <v>#N/A</v>
      </c>
      <c r="BW50" t="e">
        <f t="shared" si="66"/>
        <v>#N/A</v>
      </c>
      <c r="BX50" t="e">
        <f t="shared" si="67"/>
        <v>#N/A</v>
      </c>
      <c r="BY50" t="e">
        <f t="shared" si="68"/>
        <v>#N/A</v>
      </c>
      <c r="BZ50" t="e">
        <f t="shared" si="69"/>
        <v>#N/A</v>
      </c>
      <c r="CA50" t="e">
        <f t="shared" si="70"/>
        <v>#N/A</v>
      </c>
      <c r="CB50" t="e">
        <f t="shared" si="71"/>
        <v>#N/A</v>
      </c>
      <c r="CC50" t="e">
        <f t="shared" si="72"/>
        <v>#N/A</v>
      </c>
      <c r="CD50" t="e">
        <f t="shared" si="73"/>
        <v>#N/A</v>
      </c>
      <c r="CE50" t="e">
        <f t="shared" si="74"/>
        <v>#N/A</v>
      </c>
      <c r="CF50" t="e">
        <f t="shared" si="75"/>
        <v>#N/A</v>
      </c>
      <c r="CG50" t="e">
        <f t="shared" si="76"/>
        <v>#N/A</v>
      </c>
      <c r="CH50" t="e">
        <f t="shared" si="77"/>
        <v>#N/A</v>
      </c>
      <c r="CI50" t="e">
        <f t="shared" si="78"/>
        <v>#N/A</v>
      </c>
      <c r="CJ50" t="e">
        <f t="shared" si="79"/>
        <v>#N/A</v>
      </c>
      <c r="CK50" t="e">
        <f t="shared" si="80"/>
        <v>#N/A</v>
      </c>
      <c r="CL50" t="e">
        <f t="shared" si="81"/>
        <v>#N/A</v>
      </c>
      <c r="CM50" t="e">
        <f t="shared" si="82"/>
        <v>#N/A</v>
      </c>
      <c r="CN50" t="e">
        <f t="shared" si="83"/>
        <v>#N/A</v>
      </c>
      <c r="CO50" t="e">
        <f t="shared" si="84"/>
        <v>#N/A</v>
      </c>
      <c r="CP50" t="e">
        <f t="shared" si="85"/>
        <v>#N/A</v>
      </c>
      <c r="CQ50" t="e">
        <f t="shared" si="86"/>
        <v>#N/A</v>
      </c>
      <c r="CR50" t="e">
        <f t="shared" si="87"/>
        <v>#N/A</v>
      </c>
      <c r="CS50" t="e">
        <f t="shared" si="88"/>
        <v>#N/A</v>
      </c>
      <c r="CT50" t="e">
        <f t="shared" si="89"/>
        <v>#N/A</v>
      </c>
      <c r="CU50" t="e">
        <f t="shared" si="90"/>
        <v>#N/A</v>
      </c>
      <c r="CV50" t="e">
        <f t="shared" si="91"/>
        <v>#N/A</v>
      </c>
      <c r="CW50" t="e">
        <f t="shared" si="91"/>
        <v>#N/A</v>
      </c>
      <c r="CX50" t="e">
        <f t="shared" si="91"/>
        <v>#N/A</v>
      </c>
      <c r="CY50" t="e">
        <f t="shared" si="91"/>
        <v>#N/A</v>
      </c>
      <c r="CZ50" t="e">
        <f t="shared" si="93"/>
        <v>#N/A</v>
      </c>
      <c r="DA50" t="e">
        <f t="shared" si="93"/>
        <v>#N/A</v>
      </c>
    </row>
    <row r="51" spans="8:105" x14ac:dyDescent="0.35">
      <c r="I51" s="12" t="e" vm="2">
        <f ca="1">'Required Capacity (Hide)'!E51</f>
        <v>#VALUE!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  <c r="V51" t="e">
        <f t="shared" si="13"/>
        <v>#N/A</v>
      </c>
      <c r="W51" t="e">
        <f t="shared" si="14"/>
        <v>#N/A</v>
      </c>
      <c r="X51" t="e">
        <f t="shared" si="15"/>
        <v>#N/A</v>
      </c>
      <c r="Y51" t="e">
        <f t="shared" si="16"/>
        <v>#N/A</v>
      </c>
      <c r="Z51" t="e">
        <f t="shared" si="17"/>
        <v>#N/A</v>
      </c>
      <c r="AA51" t="e">
        <f t="shared" si="18"/>
        <v>#N/A</v>
      </c>
      <c r="AB51" t="e">
        <f t="shared" si="19"/>
        <v>#N/A</v>
      </c>
      <c r="AC51" t="e">
        <f t="shared" si="20"/>
        <v>#N/A</v>
      </c>
      <c r="AD51" t="e">
        <f t="shared" si="21"/>
        <v>#N/A</v>
      </c>
      <c r="AE51" t="e">
        <f t="shared" si="22"/>
        <v>#N/A</v>
      </c>
      <c r="AF51" t="e">
        <f t="shared" si="23"/>
        <v>#N/A</v>
      </c>
      <c r="AG51" t="e">
        <f t="shared" si="24"/>
        <v>#N/A</v>
      </c>
      <c r="AH51" t="e">
        <f t="shared" si="25"/>
        <v>#N/A</v>
      </c>
      <c r="AI51" t="e">
        <f t="shared" si="26"/>
        <v>#N/A</v>
      </c>
      <c r="AJ51" t="e">
        <f t="shared" si="27"/>
        <v>#N/A</v>
      </c>
      <c r="AK51" t="e">
        <f t="shared" si="28"/>
        <v>#N/A</v>
      </c>
      <c r="AL51" t="e">
        <f t="shared" si="29"/>
        <v>#N/A</v>
      </c>
      <c r="AM51" t="e">
        <f t="shared" si="30"/>
        <v>#N/A</v>
      </c>
      <c r="AN51" t="e">
        <f t="shared" si="31"/>
        <v>#N/A</v>
      </c>
      <c r="AO51" t="e">
        <f t="shared" si="32"/>
        <v>#N/A</v>
      </c>
      <c r="AP51" t="e">
        <f t="shared" si="33"/>
        <v>#N/A</v>
      </c>
      <c r="AQ51" t="e">
        <f t="shared" si="34"/>
        <v>#N/A</v>
      </c>
      <c r="AR51" t="e">
        <f t="shared" si="35"/>
        <v>#N/A</v>
      </c>
      <c r="AS51" t="e">
        <f t="shared" si="36"/>
        <v>#N/A</v>
      </c>
      <c r="AT51" t="e">
        <f t="shared" si="37"/>
        <v>#N/A</v>
      </c>
      <c r="AU51" t="e">
        <f t="shared" si="38"/>
        <v>#N/A</v>
      </c>
      <c r="AV51" t="e">
        <f t="shared" si="39"/>
        <v>#N/A</v>
      </c>
      <c r="AW51" t="e">
        <f t="shared" si="40"/>
        <v>#N/A</v>
      </c>
      <c r="AX51" t="e">
        <f t="shared" si="41"/>
        <v>#N/A</v>
      </c>
      <c r="AY51" t="e">
        <f t="shared" si="42"/>
        <v>#N/A</v>
      </c>
      <c r="AZ51" t="e">
        <f t="shared" si="43"/>
        <v>#N/A</v>
      </c>
      <c r="BA51" t="e">
        <f t="shared" si="44"/>
        <v>#N/A</v>
      </c>
      <c r="BB51" t="e">
        <f t="shared" si="45"/>
        <v>#N/A</v>
      </c>
      <c r="BC51" t="e">
        <f t="shared" si="46"/>
        <v>#N/A</v>
      </c>
      <c r="BD51" t="e">
        <f t="shared" si="47"/>
        <v>#N/A</v>
      </c>
      <c r="BE51" t="e">
        <f t="shared" si="48"/>
        <v>#N/A</v>
      </c>
      <c r="BF51" t="e">
        <f t="shared" si="49"/>
        <v>#N/A</v>
      </c>
      <c r="BG51" t="e">
        <f t="shared" si="50"/>
        <v>#N/A</v>
      </c>
      <c r="BH51" t="e">
        <f t="shared" si="51"/>
        <v>#N/A</v>
      </c>
      <c r="BI51" t="e">
        <f t="shared" si="52"/>
        <v>#N/A</v>
      </c>
      <c r="BJ51" t="e">
        <f t="shared" si="53"/>
        <v>#N/A</v>
      </c>
      <c r="BK51" t="e">
        <f t="shared" si="54"/>
        <v>#N/A</v>
      </c>
      <c r="BL51" t="e">
        <f t="shared" si="55"/>
        <v>#N/A</v>
      </c>
      <c r="BM51" t="e">
        <f t="shared" si="56"/>
        <v>#N/A</v>
      </c>
      <c r="BN51" t="e">
        <f t="shared" si="57"/>
        <v>#N/A</v>
      </c>
      <c r="BO51" t="e">
        <f t="shared" si="58"/>
        <v>#N/A</v>
      </c>
      <c r="BP51" t="e">
        <f t="shared" si="59"/>
        <v>#N/A</v>
      </c>
      <c r="BQ51" t="e">
        <f t="shared" si="60"/>
        <v>#N/A</v>
      </c>
      <c r="BR51" t="e">
        <f t="shared" si="61"/>
        <v>#N/A</v>
      </c>
      <c r="BS51" t="e">
        <f t="shared" si="62"/>
        <v>#N/A</v>
      </c>
      <c r="BT51" t="e">
        <f t="shared" si="63"/>
        <v>#N/A</v>
      </c>
      <c r="BU51" t="e">
        <f t="shared" si="64"/>
        <v>#N/A</v>
      </c>
      <c r="BV51" t="e">
        <f t="shared" si="65"/>
        <v>#N/A</v>
      </c>
      <c r="BW51" t="e">
        <f t="shared" si="66"/>
        <v>#N/A</v>
      </c>
      <c r="BX51" t="e">
        <f t="shared" si="67"/>
        <v>#N/A</v>
      </c>
      <c r="BY51" t="e">
        <f t="shared" si="68"/>
        <v>#N/A</v>
      </c>
      <c r="BZ51" t="e">
        <f t="shared" si="69"/>
        <v>#N/A</v>
      </c>
      <c r="CA51" t="e">
        <f t="shared" si="70"/>
        <v>#N/A</v>
      </c>
      <c r="CB51" t="e">
        <f t="shared" si="71"/>
        <v>#N/A</v>
      </c>
      <c r="CC51" t="e">
        <f t="shared" si="72"/>
        <v>#N/A</v>
      </c>
      <c r="CD51" t="e">
        <f t="shared" si="73"/>
        <v>#N/A</v>
      </c>
      <c r="CE51" t="e">
        <f t="shared" si="74"/>
        <v>#N/A</v>
      </c>
      <c r="CF51" t="e">
        <f t="shared" si="75"/>
        <v>#N/A</v>
      </c>
      <c r="CG51" t="e">
        <f t="shared" si="76"/>
        <v>#N/A</v>
      </c>
      <c r="CH51" t="e">
        <f t="shared" si="77"/>
        <v>#N/A</v>
      </c>
      <c r="CI51" t="e">
        <f t="shared" si="78"/>
        <v>#N/A</v>
      </c>
      <c r="CJ51" t="e">
        <f t="shared" si="79"/>
        <v>#N/A</v>
      </c>
      <c r="CK51" t="e">
        <f t="shared" si="80"/>
        <v>#N/A</v>
      </c>
      <c r="CL51" t="e">
        <f t="shared" si="81"/>
        <v>#N/A</v>
      </c>
      <c r="CM51" t="e">
        <f t="shared" si="82"/>
        <v>#N/A</v>
      </c>
      <c r="CN51" t="e">
        <f t="shared" si="83"/>
        <v>#N/A</v>
      </c>
      <c r="CO51" t="e">
        <f t="shared" si="84"/>
        <v>#N/A</v>
      </c>
      <c r="CP51" t="e">
        <f t="shared" si="85"/>
        <v>#N/A</v>
      </c>
      <c r="CQ51" t="e">
        <f t="shared" si="86"/>
        <v>#N/A</v>
      </c>
      <c r="CR51" t="e">
        <f t="shared" si="87"/>
        <v>#N/A</v>
      </c>
      <c r="CS51" t="e">
        <f t="shared" si="88"/>
        <v>#N/A</v>
      </c>
      <c r="CT51" t="e">
        <f t="shared" si="89"/>
        <v>#N/A</v>
      </c>
      <c r="CU51" t="e">
        <f t="shared" si="90"/>
        <v>#N/A</v>
      </c>
      <c r="CV51" t="e">
        <f t="shared" si="91"/>
        <v>#N/A</v>
      </c>
      <c r="CW51" t="e">
        <f t="shared" si="91"/>
        <v>#N/A</v>
      </c>
      <c r="CX51" t="e">
        <f t="shared" si="91"/>
        <v>#N/A</v>
      </c>
      <c r="CY51" t="e">
        <f t="shared" si="91"/>
        <v>#N/A</v>
      </c>
      <c r="CZ51" t="e">
        <f t="shared" si="93"/>
        <v>#N/A</v>
      </c>
      <c r="DA51" t="e">
        <f t="shared" si="93"/>
        <v>#N/A</v>
      </c>
    </row>
    <row r="52" spans="8:105" x14ac:dyDescent="0.35">
      <c r="I52" s="12" t="e" vm="2">
        <f ca="1">'Required Capacity (Hide)'!E52</f>
        <v>#VALUE!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  <c r="V52" t="e">
        <f t="shared" si="13"/>
        <v>#N/A</v>
      </c>
      <c r="W52" t="e">
        <f t="shared" si="14"/>
        <v>#N/A</v>
      </c>
      <c r="X52" t="e">
        <f t="shared" si="15"/>
        <v>#N/A</v>
      </c>
      <c r="Y52" t="e">
        <f t="shared" si="16"/>
        <v>#N/A</v>
      </c>
      <c r="Z52" t="e">
        <f t="shared" si="17"/>
        <v>#N/A</v>
      </c>
      <c r="AA52" t="e">
        <f t="shared" si="18"/>
        <v>#N/A</v>
      </c>
      <c r="AB52" t="e">
        <f t="shared" si="19"/>
        <v>#N/A</v>
      </c>
      <c r="AC52" t="e">
        <f t="shared" si="20"/>
        <v>#N/A</v>
      </c>
      <c r="AD52" t="e">
        <f t="shared" si="21"/>
        <v>#N/A</v>
      </c>
      <c r="AE52" t="e">
        <f t="shared" si="22"/>
        <v>#N/A</v>
      </c>
      <c r="AF52" t="e">
        <f t="shared" si="23"/>
        <v>#N/A</v>
      </c>
      <c r="AG52" t="e">
        <f t="shared" si="24"/>
        <v>#N/A</v>
      </c>
      <c r="AH52" t="e">
        <f t="shared" si="25"/>
        <v>#N/A</v>
      </c>
      <c r="AI52" t="e">
        <f t="shared" si="26"/>
        <v>#N/A</v>
      </c>
      <c r="AJ52" t="e">
        <f t="shared" si="27"/>
        <v>#N/A</v>
      </c>
      <c r="AK52" t="e">
        <f t="shared" si="28"/>
        <v>#N/A</v>
      </c>
      <c r="AL52" t="e">
        <f t="shared" si="29"/>
        <v>#N/A</v>
      </c>
      <c r="AM52" t="e">
        <f t="shared" si="30"/>
        <v>#N/A</v>
      </c>
      <c r="AN52" t="e">
        <f t="shared" si="31"/>
        <v>#N/A</v>
      </c>
      <c r="AO52" t="e">
        <f t="shared" si="32"/>
        <v>#N/A</v>
      </c>
      <c r="AP52" t="e">
        <f t="shared" si="33"/>
        <v>#N/A</v>
      </c>
      <c r="AQ52" t="e">
        <f t="shared" si="34"/>
        <v>#N/A</v>
      </c>
      <c r="AR52" t="e">
        <f t="shared" si="35"/>
        <v>#N/A</v>
      </c>
      <c r="AS52" t="e">
        <f t="shared" si="36"/>
        <v>#N/A</v>
      </c>
      <c r="AT52" t="e">
        <f t="shared" si="37"/>
        <v>#N/A</v>
      </c>
      <c r="AU52" t="e">
        <f t="shared" si="38"/>
        <v>#N/A</v>
      </c>
      <c r="AV52" t="e">
        <f t="shared" si="39"/>
        <v>#N/A</v>
      </c>
      <c r="AW52" t="e">
        <f t="shared" si="40"/>
        <v>#N/A</v>
      </c>
      <c r="AX52" t="e">
        <f t="shared" si="41"/>
        <v>#N/A</v>
      </c>
      <c r="AY52" t="e">
        <f t="shared" si="42"/>
        <v>#N/A</v>
      </c>
      <c r="AZ52" t="e">
        <f t="shared" si="43"/>
        <v>#N/A</v>
      </c>
      <c r="BA52" t="e">
        <f t="shared" si="44"/>
        <v>#N/A</v>
      </c>
      <c r="BB52" t="e">
        <f t="shared" si="45"/>
        <v>#N/A</v>
      </c>
      <c r="BC52" t="e">
        <f t="shared" si="46"/>
        <v>#N/A</v>
      </c>
      <c r="BD52" t="e">
        <f t="shared" si="47"/>
        <v>#N/A</v>
      </c>
      <c r="BE52" t="e">
        <f t="shared" si="48"/>
        <v>#N/A</v>
      </c>
      <c r="BF52" t="e">
        <f t="shared" si="49"/>
        <v>#N/A</v>
      </c>
      <c r="BG52" t="e">
        <f t="shared" si="50"/>
        <v>#N/A</v>
      </c>
      <c r="BH52" t="e">
        <f t="shared" si="51"/>
        <v>#N/A</v>
      </c>
      <c r="BI52" t="e">
        <f t="shared" si="52"/>
        <v>#N/A</v>
      </c>
      <c r="BJ52" t="e">
        <f t="shared" si="53"/>
        <v>#N/A</v>
      </c>
      <c r="BK52" t="e">
        <f t="shared" si="54"/>
        <v>#N/A</v>
      </c>
      <c r="BL52" t="e">
        <f t="shared" si="55"/>
        <v>#N/A</v>
      </c>
      <c r="BM52" t="e">
        <f t="shared" si="56"/>
        <v>#N/A</v>
      </c>
      <c r="BN52" t="e">
        <f t="shared" si="57"/>
        <v>#N/A</v>
      </c>
      <c r="BO52" t="e">
        <f t="shared" si="58"/>
        <v>#N/A</v>
      </c>
      <c r="BP52" t="e">
        <f t="shared" si="59"/>
        <v>#N/A</v>
      </c>
      <c r="BQ52" t="e">
        <f t="shared" si="60"/>
        <v>#N/A</v>
      </c>
      <c r="BR52" t="e">
        <f t="shared" si="61"/>
        <v>#N/A</v>
      </c>
      <c r="BS52" t="e">
        <f t="shared" si="62"/>
        <v>#N/A</v>
      </c>
      <c r="BT52" t="e">
        <f t="shared" si="63"/>
        <v>#N/A</v>
      </c>
      <c r="BU52" t="e">
        <f t="shared" si="64"/>
        <v>#N/A</v>
      </c>
      <c r="BV52" t="e">
        <f t="shared" si="65"/>
        <v>#N/A</v>
      </c>
      <c r="BW52" t="e">
        <f t="shared" si="66"/>
        <v>#N/A</v>
      </c>
      <c r="BX52" t="e">
        <f t="shared" si="67"/>
        <v>#N/A</v>
      </c>
      <c r="BY52" t="e">
        <f t="shared" si="68"/>
        <v>#N/A</v>
      </c>
      <c r="BZ52" t="e">
        <f t="shared" si="69"/>
        <v>#N/A</v>
      </c>
      <c r="CA52" t="e">
        <f t="shared" si="70"/>
        <v>#N/A</v>
      </c>
      <c r="CB52" t="e">
        <f t="shared" si="71"/>
        <v>#N/A</v>
      </c>
      <c r="CC52" t="e">
        <f t="shared" si="72"/>
        <v>#N/A</v>
      </c>
      <c r="CD52" t="e">
        <f t="shared" si="73"/>
        <v>#N/A</v>
      </c>
      <c r="CE52" t="e">
        <f t="shared" si="74"/>
        <v>#N/A</v>
      </c>
      <c r="CF52" t="e">
        <f t="shared" si="75"/>
        <v>#N/A</v>
      </c>
      <c r="CG52" t="e">
        <f t="shared" si="76"/>
        <v>#N/A</v>
      </c>
      <c r="CH52" t="e">
        <f t="shared" si="77"/>
        <v>#N/A</v>
      </c>
      <c r="CI52" t="e">
        <f t="shared" si="78"/>
        <v>#N/A</v>
      </c>
      <c r="CJ52" t="e">
        <f t="shared" si="79"/>
        <v>#N/A</v>
      </c>
      <c r="CK52" t="e">
        <f t="shared" si="80"/>
        <v>#N/A</v>
      </c>
      <c r="CL52" t="e">
        <f t="shared" si="81"/>
        <v>#N/A</v>
      </c>
      <c r="CM52" t="e">
        <f t="shared" si="82"/>
        <v>#N/A</v>
      </c>
      <c r="CN52" t="e">
        <f t="shared" si="83"/>
        <v>#N/A</v>
      </c>
      <c r="CO52" t="e">
        <f t="shared" si="84"/>
        <v>#N/A</v>
      </c>
      <c r="CP52" t="e">
        <f t="shared" si="85"/>
        <v>#N/A</v>
      </c>
      <c r="CQ52" t="e">
        <f t="shared" si="86"/>
        <v>#N/A</v>
      </c>
      <c r="CR52" t="e">
        <f t="shared" si="87"/>
        <v>#N/A</v>
      </c>
      <c r="CS52" t="e">
        <f t="shared" si="88"/>
        <v>#N/A</v>
      </c>
      <c r="CT52" t="e">
        <f t="shared" si="89"/>
        <v>#N/A</v>
      </c>
      <c r="CU52" t="e">
        <f t="shared" si="90"/>
        <v>#N/A</v>
      </c>
      <c r="CV52" t="e">
        <f t="shared" si="91"/>
        <v>#N/A</v>
      </c>
      <c r="CW52" t="e">
        <f t="shared" si="91"/>
        <v>#N/A</v>
      </c>
      <c r="CX52" t="e">
        <f t="shared" si="91"/>
        <v>#N/A</v>
      </c>
      <c r="CY52" t="e">
        <f t="shared" si="91"/>
        <v>#N/A</v>
      </c>
      <c r="CZ52" t="e">
        <f t="shared" si="93"/>
        <v>#N/A</v>
      </c>
      <c r="DA52" t="e">
        <f t="shared" si="93"/>
        <v>#N/A</v>
      </c>
    </row>
    <row r="53" spans="8:105" x14ac:dyDescent="0.35">
      <c r="I53" s="12" t="e" vm="2">
        <f ca="1">'Required Capacity (Hide)'!E53</f>
        <v>#VALUE!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  <c r="V53" t="e">
        <f t="shared" si="13"/>
        <v>#N/A</v>
      </c>
      <c r="W53" t="e">
        <f t="shared" si="14"/>
        <v>#N/A</v>
      </c>
      <c r="X53" t="e">
        <f t="shared" si="15"/>
        <v>#N/A</v>
      </c>
      <c r="Y53" t="e">
        <f t="shared" si="16"/>
        <v>#N/A</v>
      </c>
      <c r="Z53" t="e">
        <f t="shared" si="17"/>
        <v>#N/A</v>
      </c>
      <c r="AA53" t="e">
        <f t="shared" si="18"/>
        <v>#N/A</v>
      </c>
      <c r="AB53" t="e">
        <f t="shared" si="19"/>
        <v>#N/A</v>
      </c>
      <c r="AC53" t="e">
        <f t="shared" si="20"/>
        <v>#N/A</v>
      </c>
      <c r="AD53" t="e">
        <f t="shared" si="21"/>
        <v>#N/A</v>
      </c>
      <c r="AE53" t="e">
        <f t="shared" si="22"/>
        <v>#N/A</v>
      </c>
      <c r="AF53" t="e">
        <f t="shared" si="23"/>
        <v>#N/A</v>
      </c>
      <c r="AG53" t="e">
        <f t="shared" si="24"/>
        <v>#N/A</v>
      </c>
      <c r="AH53" t="e">
        <f t="shared" si="25"/>
        <v>#N/A</v>
      </c>
      <c r="AI53" t="e">
        <f t="shared" si="26"/>
        <v>#N/A</v>
      </c>
      <c r="AJ53" t="e">
        <f t="shared" si="27"/>
        <v>#N/A</v>
      </c>
      <c r="AK53" t="e">
        <f t="shared" si="28"/>
        <v>#N/A</v>
      </c>
      <c r="AL53" t="e">
        <f t="shared" si="29"/>
        <v>#N/A</v>
      </c>
      <c r="AM53" t="e">
        <f t="shared" si="30"/>
        <v>#N/A</v>
      </c>
      <c r="AN53" t="e">
        <f t="shared" si="31"/>
        <v>#N/A</v>
      </c>
      <c r="AO53" t="e">
        <f t="shared" si="32"/>
        <v>#N/A</v>
      </c>
      <c r="AP53" t="e">
        <f t="shared" si="33"/>
        <v>#N/A</v>
      </c>
      <c r="AQ53" t="e">
        <f t="shared" si="34"/>
        <v>#N/A</v>
      </c>
      <c r="AR53" t="e">
        <f t="shared" si="35"/>
        <v>#N/A</v>
      </c>
      <c r="AS53" t="e">
        <f t="shared" si="36"/>
        <v>#N/A</v>
      </c>
      <c r="AT53" t="e">
        <f t="shared" si="37"/>
        <v>#N/A</v>
      </c>
      <c r="AU53" t="e">
        <f t="shared" si="38"/>
        <v>#N/A</v>
      </c>
      <c r="AV53" t="e">
        <f t="shared" si="39"/>
        <v>#N/A</v>
      </c>
      <c r="AW53" t="e">
        <f t="shared" si="40"/>
        <v>#N/A</v>
      </c>
      <c r="AX53" t="e">
        <f t="shared" si="41"/>
        <v>#N/A</v>
      </c>
      <c r="AY53" t="e">
        <f t="shared" si="42"/>
        <v>#N/A</v>
      </c>
      <c r="AZ53" t="e">
        <f t="shared" si="43"/>
        <v>#N/A</v>
      </c>
      <c r="BA53" t="e">
        <f t="shared" si="44"/>
        <v>#N/A</v>
      </c>
      <c r="BB53" t="e">
        <f t="shared" si="45"/>
        <v>#N/A</v>
      </c>
      <c r="BC53" t="e">
        <f t="shared" si="46"/>
        <v>#N/A</v>
      </c>
      <c r="BD53" t="e">
        <f t="shared" si="47"/>
        <v>#N/A</v>
      </c>
      <c r="BE53" t="e">
        <f t="shared" si="48"/>
        <v>#N/A</v>
      </c>
      <c r="BF53" t="e">
        <f t="shared" si="49"/>
        <v>#N/A</v>
      </c>
      <c r="BG53" t="e">
        <f t="shared" si="50"/>
        <v>#N/A</v>
      </c>
      <c r="BH53" t="e">
        <f t="shared" si="51"/>
        <v>#N/A</v>
      </c>
      <c r="BI53" t="e">
        <f t="shared" si="52"/>
        <v>#N/A</v>
      </c>
      <c r="BJ53" t="e">
        <f t="shared" si="53"/>
        <v>#N/A</v>
      </c>
      <c r="BK53" t="e">
        <f t="shared" si="54"/>
        <v>#N/A</v>
      </c>
      <c r="BL53" t="e">
        <f t="shared" si="55"/>
        <v>#N/A</v>
      </c>
      <c r="BM53" t="e">
        <f t="shared" si="56"/>
        <v>#N/A</v>
      </c>
      <c r="BN53" t="e">
        <f t="shared" si="57"/>
        <v>#N/A</v>
      </c>
      <c r="BO53" t="e">
        <f t="shared" si="58"/>
        <v>#N/A</v>
      </c>
      <c r="BP53" t="e">
        <f t="shared" si="59"/>
        <v>#N/A</v>
      </c>
      <c r="BQ53" t="e">
        <f t="shared" si="60"/>
        <v>#N/A</v>
      </c>
      <c r="BR53" t="e">
        <f t="shared" si="61"/>
        <v>#N/A</v>
      </c>
      <c r="BS53" t="e">
        <f t="shared" si="62"/>
        <v>#N/A</v>
      </c>
      <c r="BT53" t="e">
        <f t="shared" si="63"/>
        <v>#N/A</v>
      </c>
      <c r="BU53" t="e">
        <f t="shared" si="64"/>
        <v>#N/A</v>
      </c>
      <c r="BV53" t="e">
        <f t="shared" si="65"/>
        <v>#N/A</v>
      </c>
      <c r="BW53" t="e">
        <f t="shared" si="66"/>
        <v>#N/A</v>
      </c>
      <c r="BX53" t="e">
        <f t="shared" si="67"/>
        <v>#N/A</v>
      </c>
      <c r="BY53" t="e">
        <f t="shared" si="68"/>
        <v>#N/A</v>
      </c>
      <c r="BZ53" t="e">
        <f t="shared" si="69"/>
        <v>#N/A</v>
      </c>
      <c r="CA53" t="e">
        <f t="shared" si="70"/>
        <v>#N/A</v>
      </c>
      <c r="CB53" t="e">
        <f t="shared" si="71"/>
        <v>#N/A</v>
      </c>
      <c r="CC53" t="e">
        <f t="shared" si="72"/>
        <v>#N/A</v>
      </c>
      <c r="CD53" t="e">
        <f t="shared" si="73"/>
        <v>#N/A</v>
      </c>
      <c r="CE53" t="e">
        <f t="shared" si="74"/>
        <v>#N/A</v>
      </c>
      <c r="CF53" t="e">
        <f t="shared" si="75"/>
        <v>#N/A</v>
      </c>
      <c r="CG53" t="e">
        <f t="shared" si="76"/>
        <v>#N/A</v>
      </c>
      <c r="CH53" t="e">
        <f t="shared" si="77"/>
        <v>#N/A</v>
      </c>
      <c r="CI53" t="e">
        <f t="shared" si="78"/>
        <v>#N/A</v>
      </c>
      <c r="CJ53" t="e">
        <f t="shared" si="79"/>
        <v>#N/A</v>
      </c>
      <c r="CK53" t="e">
        <f t="shared" si="80"/>
        <v>#N/A</v>
      </c>
      <c r="CL53" t="e">
        <f t="shared" si="81"/>
        <v>#N/A</v>
      </c>
      <c r="CM53" t="e">
        <f t="shared" si="82"/>
        <v>#N/A</v>
      </c>
      <c r="CN53" t="e">
        <f t="shared" si="83"/>
        <v>#N/A</v>
      </c>
      <c r="CO53" t="e">
        <f t="shared" si="84"/>
        <v>#N/A</v>
      </c>
      <c r="CP53" t="e">
        <f t="shared" si="85"/>
        <v>#N/A</v>
      </c>
      <c r="CQ53" t="e">
        <f t="shared" si="86"/>
        <v>#N/A</v>
      </c>
      <c r="CR53" t="e">
        <f t="shared" si="87"/>
        <v>#N/A</v>
      </c>
      <c r="CS53" t="e">
        <f t="shared" si="88"/>
        <v>#N/A</v>
      </c>
      <c r="CT53" t="e">
        <f t="shared" si="89"/>
        <v>#N/A</v>
      </c>
      <c r="CU53" t="e">
        <f t="shared" si="90"/>
        <v>#N/A</v>
      </c>
      <c r="CV53" t="e">
        <f t="shared" si="91"/>
        <v>#N/A</v>
      </c>
      <c r="CW53" t="e">
        <f t="shared" si="91"/>
        <v>#N/A</v>
      </c>
      <c r="CX53" t="e">
        <f t="shared" si="91"/>
        <v>#N/A</v>
      </c>
      <c r="CY53" t="e">
        <f t="shared" si="91"/>
        <v>#N/A</v>
      </c>
      <c r="CZ53" t="e">
        <f t="shared" si="93"/>
        <v>#N/A</v>
      </c>
      <c r="DA53" t="e">
        <f t="shared" si="93"/>
        <v>#N/A</v>
      </c>
    </row>
    <row r="54" spans="8:105" x14ac:dyDescent="0.35">
      <c r="I54" s="12" t="e" vm="2">
        <f ca="1">'Required Capacity (Hide)'!E54</f>
        <v>#VALUE!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  <c r="V54" t="e">
        <f t="shared" si="13"/>
        <v>#N/A</v>
      </c>
      <c r="W54" t="e">
        <f t="shared" si="14"/>
        <v>#N/A</v>
      </c>
      <c r="X54" t="e">
        <f t="shared" si="15"/>
        <v>#N/A</v>
      </c>
      <c r="Y54" t="e">
        <f t="shared" si="16"/>
        <v>#N/A</v>
      </c>
      <c r="Z54" t="e">
        <f t="shared" si="17"/>
        <v>#N/A</v>
      </c>
      <c r="AA54" t="e">
        <f t="shared" si="18"/>
        <v>#N/A</v>
      </c>
      <c r="AB54" t="e">
        <f t="shared" si="19"/>
        <v>#N/A</v>
      </c>
      <c r="AC54" t="e">
        <f t="shared" si="20"/>
        <v>#N/A</v>
      </c>
      <c r="AD54" t="e">
        <f t="shared" si="21"/>
        <v>#N/A</v>
      </c>
      <c r="AE54" t="e">
        <f t="shared" si="22"/>
        <v>#N/A</v>
      </c>
      <c r="AF54" t="e">
        <f t="shared" si="23"/>
        <v>#N/A</v>
      </c>
      <c r="AG54" t="e">
        <f t="shared" si="24"/>
        <v>#N/A</v>
      </c>
      <c r="AH54" t="e">
        <f t="shared" si="25"/>
        <v>#N/A</v>
      </c>
      <c r="AI54" t="e">
        <f t="shared" si="26"/>
        <v>#N/A</v>
      </c>
      <c r="AJ54" t="e">
        <f t="shared" si="27"/>
        <v>#N/A</v>
      </c>
      <c r="AK54" t="e">
        <f t="shared" si="28"/>
        <v>#N/A</v>
      </c>
      <c r="AL54" t="e">
        <f t="shared" si="29"/>
        <v>#N/A</v>
      </c>
      <c r="AM54" t="e">
        <f t="shared" si="30"/>
        <v>#N/A</v>
      </c>
      <c r="AN54" t="e">
        <f t="shared" si="31"/>
        <v>#N/A</v>
      </c>
      <c r="AO54" t="e">
        <f t="shared" si="32"/>
        <v>#N/A</v>
      </c>
      <c r="AP54" t="e">
        <f t="shared" si="33"/>
        <v>#N/A</v>
      </c>
      <c r="AQ54" t="e">
        <f t="shared" si="34"/>
        <v>#N/A</v>
      </c>
      <c r="AR54" t="e">
        <f t="shared" si="35"/>
        <v>#N/A</v>
      </c>
      <c r="AS54" t="e">
        <f t="shared" si="36"/>
        <v>#N/A</v>
      </c>
      <c r="AT54" t="e">
        <f t="shared" si="37"/>
        <v>#N/A</v>
      </c>
      <c r="AU54" t="e">
        <f t="shared" si="38"/>
        <v>#N/A</v>
      </c>
      <c r="AV54" t="e">
        <f t="shared" si="39"/>
        <v>#N/A</v>
      </c>
      <c r="AW54" t="e">
        <f t="shared" si="40"/>
        <v>#N/A</v>
      </c>
      <c r="AX54" t="e">
        <f t="shared" si="41"/>
        <v>#N/A</v>
      </c>
      <c r="AY54" t="e">
        <f t="shared" si="42"/>
        <v>#N/A</v>
      </c>
      <c r="AZ54" t="e">
        <f t="shared" si="43"/>
        <v>#N/A</v>
      </c>
      <c r="BA54" t="e">
        <f t="shared" si="44"/>
        <v>#N/A</v>
      </c>
      <c r="BB54" t="e">
        <f t="shared" si="45"/>
        <v>#N/A</v>
      </c>
      <c r="BC54" t="e">
        <f t="shared" si="46"/>
        <v>#N/A</v>
      </c>
      <c r="BD54" t="e">
        <f t="shared" si="47"/>
        <v>#N/A</v>
      </c>
      <c r="BE54" t="e">
        <f t="shared" si="48"/>
        <v>#N/A</v>
      </c>
      <c r="BF54" t="e">
        <f t="shared" si="49"/>
        <v>#N/A</v>
      </c>
      <c r="BG54" t="e">
        <f t="shared" si="50"/>
        <v>#N/A</v>
      </c>
      <c r="BH54" t="e">
        <f t="shared" si="51"/>
        <v>#N/A</v>
      </c>
      <c r="BI54" t="e">
        <f t="shared" si="52"/>
        <v>#N/A</v>
      </c>
      <c r="BJ54" t="e">
        <f t="shared" si="53"/>
        <v>#N/A</v>
      </c>
      <c r="BK54" t="e">
        <f t="shared" si="54"/>
        <v>#N/A</v>
      </c>
      <c r="BL54" t="e">
        <f t="shared" si="55"/>
        <v>#N/A</v>
      </c>
      <c r="BM54" t="e">
        <f t="shared" si="56"/>
        <v>#N/A</v>
      </c>
      <c r="BN54" t="e">
        <f t="shared" si="57"/>
        <v>#N/A</v>
      </c>
      <c r="BO54" t="e">
        <f t="shared" si="58"/>
        <v>#N/A</v>
      </c>
      <c r="BP54" t="e">
        <f t="shared" si="59"/>
        <v>#N/A</v>
      </c>
      <c r="BQ54" t="e">
        <f t="shared" si="60"/>
        <v>#N/A</v>
      </c>
      <c r="BR54" t="e">
        <f t="shared" si="61"/>
        <v>#N/A</v>
      </c>
      <c r="BS54" t="e">
        <f t="shared" si="62"/>
        <v>#N/A</v>
      </c>
      <c r="BT54" t="e">
        <f t="shared" si="63"/>
        <v>#N/A</v>
      </c>
      <c r="BU54" t="e">
        <f t="shared" si="64"/>
        <v>#N/A</v>
      </c>
      <c r="BV54" t="e">
        <f t="shared" si="65"/>
        <v>#N/A</v>
      </c>
      <c r="BW54" t="e">
        <f t="shared" si="66"/>
        <v>#N/A</v>
      </c>
      <c r="BX54" t="e">
        <f t="shared" si="67"/>
        <v>#N/A</v>
      </c>
      <c r="BY54" t="e">
        <f t="shared" si="68"/>
        <v>#N/A</v>
      </c>
      <c r="BZ54" t="e">
        <f t="shared" si="69"/>
        <v>#N/A</v>
      </c>
      <c r="CA54" t="e">
        <f t="shared" si="70"/>
        <v>#N/A</v>
      </c>
      <c r="CB54" t="e">
        <f t="shared" si="71"/>
        <v>#N/A</v>
      </c>
      <c r="CC54" t="e">
        <f t="shared" si="72"/>
        <v>#N/A</v>
      </c>
      <c r="CD54" t="e">
        <f t="shared" si="73"/>
        <v>#N/A</v>
      </c>
      <c r="CE54" t="e">
        <f t="shared" si="74"/>
        <v>#N/A</v>
      </c>
      <c r="CF54" t="e">
        <f t="shared" si="75"/>
        <v>#N/A</v>
      </c>
      <c r="CG54" t="e">
        <f t="shared" si="76"/>
        <v>#N/A</v>
      </c>
      <c r="CH54" t="e">
        <f t="shared" si="77"/>
        <v>#N/A</v>
      </c>
      <c r="CI54" t="e">
        <f t="shared" si="78"/>
        <v>#N/A</v>
      </c>
      <c r="CJ54" t="e">
        <f t="shared" si="79"/>
        <v>#N/A</v>
      </c>
      <c r="CK54" t="e">
        <f t="shared" si="80"/>
        <v>#N/A</v>
      </c>
      <c r="CL54" t="e">
        <f t="shared" si="81"/>
        <v>#N/A</v>
      </c>
      <c r="CM54" t="e">
        <f t="shared" si="82"/>
        <v>#N/A</v>
      </c>
      <c r="CN54" t="e">
        <f t="shared" si="83"/>
        <v>#N/A</v>
      </c>
      <c r="CO54" t="e">
        <f t="shared" si="84"/>
        <v>#N/A</v>
      </c>
      <c r="CP54" t="e">
        <f t="shared" si="85"/>
        <v>#N/A</v>
      </c>
      <c r="CQ54" t="e">
        <f t="shared" si="86"/>
        <v>#N/A</v>
      </c>
      <c r="CR54" t="e">
        <f t="shared" si="87"/>
        <v>#N/A</v>
      </c>
      <c r="CS54" t="e">
        <f t="shared" si="88"/>
        <v>#N/A</v>
      </c>
      <c r="CT54" t="e">
        <f t="shared" si="89"/>
        <v>#N/A</v>
      </c>
      <c r="CU54" t="e">
        <f t="shared" si="90"/>
        <v>#N/A</v>
      </c>
      <c r="CV54" t="e">
        <f t="shared" si="91"/>
        <v>#N/A</v>
      </c>
      <c r="CW54" t="e">
        <f t="shared" si="91"/>
        <v>#N/A</v>
      </c>
      <c r="CX54" t="e">
        <f t="shared" si="91"/>
        <v>#N/A</v>
      </c>
      <c r="CY54" t="e">
        <f t="shared" si="91"/>
        <v>#N/A</v>
      </c>
      <c r="CZ54" t="e">
        <f t="shared" si="93"/>
        <v>#N/A</v>
      </c>
      <c r="DA54" t="e">
        <f t="shared" si="93"/>
        <v>#N/A</v>
      </c>
    </row>
    <row r="55" spans="8:105" x14ac:dyDescent="0.35">
      <c r="I55" s="12" t="e" vm="2">
        <f ca="1">'Required Capacity (Hide)'!E55</f>
        <v>#VALUE!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  <c r="V55" t="e">
        <f t="shared" si="13"/>
        <v>#N/A</v>
      </c>
      <c r="W55" t="e">
        <f t="shared" si="14"/>
        <v>#N/A</v>
      </c>
      <c r="X55" t="e">
        <f t="shared" si="15"/>
        <v>#N/A</v>
      </c>
      <c r="Y55" t="e">
        <f t="shared" si="16"/>
        <v>#N/A</v>
      </c>
      <c r="Z55" t="e">
        <f t="shared" si="17"/>
        <v>#N/A</v>
      </c>
      <c r="AA55" t="e">
        <f t="shared" si="18"/>
        <v>#N/A</v>
      </c>
      <c r="AB55" t="e">
        <f t="shared" si="19"/>
        <v>#N/A</v>
      </c>
      <c r="AC55" t="e">
        <f t="shared" si="20"/>
        <v>#N/A</v>
      </c>
      <c r="AD55" t="e">
        <f t="shared" si="21"/>
        <v>#N/A</v>
      </c>
      <c r="AE55" t="e">
        <f t="shared" si="22"/>
        <v>#N/A</v>
      </c>
      <c r="AF55" t="e">
        <f t="shared" si="23"/>
        <v>#N/A</v>
      </c>
      <c r="AG55" t="e">
        <f t="shared" si="24"/>
        <v>#N/A</v>
      </c>
      <c r="AH55" t="e">
        <f t="shared" si="25"/>
        <v>#N/A</v>
      </c>
      <c r="AI55" t="e">
        <f t="shared" si="26"/>
        <v>#N/A</v>
      </c>
      <c r="AJ55" t="e">
        <f t="shared" si="27"/>
        <v>#N/A</v>
      </c>
      <c r="AK55" t="e">
        <f t="shared" si="28"/>
        <v>#N/A</v>
      </c>
      <c r="AL55" t="e">
        <f t="shared" si="29"/>
        <v>#N/A</v>
      </c>
      <c r="AM55" t="e">
        <f t="shared" si="30"/>
        <v>#N/A</v>
      </c>
      <c r="AN55" t="e">
        <f t="shared" si="31"/>
        <v>#N/A</v>
      </c>
      <c r="AO55" t="e">
        <f t="shared" si="32"/>
        <v>#N/A</v>
      </c>
      <c r="AP55" t="e">
        <f t="shared" si="33"/>
        <v>#N/A</v>
      </c>
      <c r="AQ55" t="e">
        <f t="shared" si="34"/>
        <v>#N/A</v>
      </c>
      <c r="AR55" t="e">
        <f t="shared" si="35"/>
        <v>#N/A</v>
      </c>
      <c r="AS55" t="e">
        <f t="shared" si="36"/>
        <v>#N/A</v>
      </c>
      <c r="AT55" t="e">
        <f t="shared" si="37"/>
        <v>#N/A</v>
      </c>
      <c r="AU55" t="e">
        <f t="shared" si="38"/>
        <v>#N/A</v>
      </c>
      <c r="AV55" t="e">
        <f t="shared" si="39"/>
        <v>#N/A</v>
      </c>
      <c r="AW55" t="e">
        <f t="shared" si="40"/>
        <v>#N/A</v>
      </c>
      <c r="AX55" t="e">
        <f t="shared" si="41"/>
        <v>#N/A</v>
      </c>
      <c r="AY55" t="e">
        <f t="shared" si="42"/>
        <v>#N/A</v>
      </c>
      <c r="AZ55" t="e">
        <f t="shared" si="43"/>
        <v>#N/A</v>
      </c>
      <c r="BA55" t="e">
        <f t="shared" si="44"/>
        <v>#N/A</v>
      </c>
      <c r="BB55" t="e">
        <f t="shared" si="45"/>
        <v>#N/A</v>
      </c>
      <c r="BC55" t="e">
        <f t="shared" si="46"/>
        <v>#N/A</v>
      </c>
      <c r="BD55" t="e">
        <f t="shared" si="47"/>
        <v>#N/A</v>
      </c>
      <c r="BE55" t="e">
        <f t="shared" si="48"/>
        <v>#N/A</v>
      </c>
      <c r="BF55" t="e">
        <f t="shared" si="49"/>
        <v>#N/A</v>
      </c>
      <c r="BG55" t="e">
        <f t="shared" si="50"/>
        <v>#N/A</v>
      </c>
      <c r="BH55" t="e">
        <f t="shared" si="51"/>
        <v>#N/A</v>
      </c>
      <c r="BI55" t="e">
        <f t="shared" si="52"/>
        <v>#N/A</v>
      </c>
      <c r="BJ55" t="e">
        <f t="shared" si="53"/>
        <v>#N/A</v>
      </c>
      <c r="BK55" t="e">
        <f t="shared" si="54"/>
        <v>#N/A</v>
      </c>
      <c r="BL55" t="e">
        <f t="shared" si="55"/>
        <v>#N/A</v>
      </c>
      <c r="BM55" t="e">
        <f t="shared" si="56"/>
        <v>#N/A</v>
      </c>
      <c r="BN55" t="e">
        <f t="shared" si="57"/>
        <v>#N/A</v>
      </c>
      <c r="BO55" t="e">
        <f t="shared" si="58"/>
        <v>#N/A</v>
      </c>
      <c r="BP55" t="e">
        <f t="shared" si="59"/>
        <v>#N/A</v>
      </c>
      <c r="BQ55" t="e">
        <f t="shared" si="60"/>
        <v>#N/A</v>
      </c>
      <c r="BR55" t="e">
        <f t="shared" si="61"/>
        <v>#N/A</v>
      </c>
      <c r="BS55" t="e">
        <f t="shared" si="62"/>
        <v>#N/A</v>
      </c>
      <c r="BT55" t="e">
        <f t="shared" si="63"/>
        <v>#N/A</v>
      </c>
      <c r="BU55" t="e">
        <f t="shared" si="64"/>
        <v>#N/A</v>
      </c>
      <c r="BV55" t="e">
        <f t="shared" si="65"/>
        <v>#N/A</v>
      </c>
      <c r="BW55" t="e">
        <f t="shared" si="66"/>
        <v>#N/A</v>
      </c>
      <c r="BX55" t="e">
        <f t="shared" si="67"/>
        <v>#N/A</v>
      </c>
      <c r="BY55" t="e">
        <f t="shared" si="68"/>
        <v>#N/A</v>
      </c>
      <c r="BZ55" t="e">
        <f t="shared" si="69"/>
        <v>#N/A</v>
      </c>
      <c r="CA55" t="e">
        <f t="shared" si="70"/>
        <v>#N/A</v>
      </c>
      <c r="CB55" t="e">
        <f t="shared" si="71"/>
        <v>#N/A</v>
      </c>
      <c r="CC55" t="e">
        <f t="shared" si="72"/>
        <v>#N/A</v>
      </c>
      <c r="CD55" t="e">
        <f t="shared" si="73"/>
        <v>#N/A</v>
      </c>
      <c r="CE55" t="e">
        <f t="shared" si="74"/>
        <v>#N/A</v>
      </c>
      <c r="CF55" t="e">
        <f t="shared" si="75"/>
        <v>#N/A</v>
      </c>
      <c r="CG55" t="e">
        <f t="shared" si="76"/>
        <v>#N/A</v>
      </c>
      <c r="CH55" t="e">
        <f t="shared" si="77"/>
        <v>#N/A</v>
      </c>
      <c r="CI55" t="e">
        <f t="shared" si="78"/>
        <v>#N/A</v>
      </c>
      <c r="CJ55" t="e">
        <f t="shared" si="79"/>
        <v>#N/A</v>
      </c>
      <c r="CK55" t="e">
        <f t="shared" si="80"/>
        <v>#N/A</v>
      </c>
      <c r="CL55" t="e">
        <f t="shared" si="81"/>
        <v>#N/A</v>
      </c>
      <c r="CM55" t="e">
        <f t="shared" si="82"/>
        <v>#N/A</v>
      </c>
      <c r="CN55" t="e">
        <f t="shared" si="83"/>
        <v>#N/A</v>
      </c>
      <c r="CO55" t="e">
        <f t="shared" si="84"/>
        <v>#N/A</v>
      </c>
      <c r="CP55" t="e">
        <f t="shared" si="85"/>
        <v>#N/A</v>
      </c>
      <c r="CQ55" t="e">
        <f t="shared" si="86"/>
        <v>#N/A</v>
      </c>
      <c r="CR55" t="e">
        <f t="shared" si="87"/>
        <v>#N/A</v>
      </c>
      <c r="CS55" t="e">
        <f t="shared" si="88"/>
        <v>#N/A</v>
      </c>
      <c r="CT55" t="e">
        <f t="shared" si="89"/>
        <v>#N/A</v>
      </c>
      <c r="CU55" t="e">
        <f t="shared" si="90"/>
        <v>#N/A</v>
      </c>
      <c r="CV55" t="e">
        <f t="shared" si="91"/>
        <v>#N/A</v>
      </c>
      <c r="CW55" t="e">
        <f t="shared" si="91"/>
        <v>#N/A</v>
      </c>
      <c r="CX55" t="e">
        <f t="shared" si="91"/>
        <v>#N/A</v>
      </c>
      <c r="CY55" t="e">
        <f t="shared" si="91"/>
        <v>#N/A</v>
      </c>
      <c r="CZ55" t="e">
        <f t="shared" si="93"/>
        <v>#N/A</v>
      </c>
      <c r="DA55" t="e">
        <f t="shared" si="93"/>
        <v>#N/A</v>
      </c>
    </row>
    <row r="56" spans="8:105" ht="15" thickBot="1" x14ac:dyDescent="0.4">
      <c r="I56" s="13" t="e" vm="2">
        <f ca="1">'Required Capacity (Hide)'!E56</f>
        <v>#VALUE!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  <c r="V56" t="e">
        <f t="shared" si="13"/>
        <v>#N/A</v>
      </c>
      <c r="W56" t="e">
        <f t="shared" si="14"/>
        <v>#N/A</v>
      </c>
      <c r="X56" t="e">
        <f t="shared" si="15"/>
        <v>#N/A</v>
      </c>
      <c r="Y56" t="e">
        <f t="shared" si="16"/>
        <v>#N/A</v>
      </c>
      <c r="Z56" t="e">
        <f t="shared" si="17"/>
        <v>#N/A</v>
      </c>
      <c r="AA56" t="e">
        <f t="shared" si="18"/>
        <v>#N/A</v>
      </c>
      <c r="AB56" t="e">
        <f t="shared" si="19"/>
        <v>#N/A</v>
      </c>
      <c r="AC56" t="e">
        <f t="shared" si="20"/>
        <v>#N/A</v>
      </c>
      <c r="AD56" t="e">
        <f t="shared" si="21"/>
        <v>#N/A</v>
      </c>
      <c r="AE56" t="e">
        <f t="shared" si="22"/>
        <v>#N/A</v>
      </c>
      <c r="AF56" t="e">
        <f t="shared" si="23"/>
        <v>#N/A</v>
      </c>
      <c r="AG56" t="e">
        <f t="shared" si="24"/>
        <v>#N/A</v>
      </c>
      <c r="AH56" t="e">
        <f t="shared" si="25"/>
        <v>#N/A</v>
      </c>
      <c r="AI56" t="e">
        <f t="shared" si="26"/>
        <v>#N/A</v>
      </c>
      <c r="AJ56" t="e">
        <f t="shared" si="27"/>
        <v>#N/A</v>
      </c>
      <c r="AK56" t="e">
        <f t="shared" si="28"/>
        <v>#N/A</v>
      </c>
      <c r="AL56" t="e">
        <f t="shared" si="29"/>
        <v>#N/A</v>
      </c>
      <c r="AM56" t="e">
        <f t="shared" si="30"/>
        <v>#N/A</v>
      </c>
      <c r="AN56" t="e">
        <f t="shared" si="31"/>
        <v>#N/A</v>
      </c>
      <c r="AO56" t="e">
        <f t="shared" si="32"/>
        <v>#N/A</v>
      </c>
      <c r="AP56" t="e">
        <f t="shared" si="33"/>
        <v>#N/A</v>
      </c>
      <c r="AQ56" t="e">
        <f t="shared" si="34"/>
        <v>#N/A</v>
      </c>
      <c r="AR56" t="e">
        <f t="shared" si="35"/>
        <v>#N/A</v>
      </c>
      <c r="AS56" t="e">
        <f t="shared" si="36"/>
        <v>#N/A</v>
      </c>
      <c r="AT56" t="e">
        <f t="shared" si="37"/>
        <v>#N/A</v>
      </c>
      <c r="AU56" t="e">
        <f t="shared" si="38"/>
        <v>#N/A</v>
      </c>
      <c r="AV56" t="e">
        <f t="shared" si="39"/>
        <v>#N/A</v>
      </c>
      <c r="AW56" t="e">
        <f t="shared" si="40"/>
        <v>#N/A</v>
      </c>
      <c r="AX56" t="e">
        <f t="shared" si="41"/>
        <v>#N/A</v>
      </c>
      <c r="AY56" t="e">
        <f t="shared" si="42"/>
        <v>#N/A</v>
      </c>
      <c r="AZ56" t="e">
        <f t="shared" si="43"/>
        <v>#N/A</v>
      </c>
      <c r="BA56" t="e">
        <f t="shared" si="44"/>
        <v>#N/A</v>
      </c>
      <c r="BB56" t="e">
        <f t="shared" si="45"/>
        <v>#N/A</v>
      </c>
      <c r="BC56" t="e">
        <f t="shared" si="46"/>
        <v>#N/A</v>
      </c>
      <c r="BD56" t="e">
        <f t="shared" si="47"/>
        <v>#N/A</v>
      </c>
      <c r="BE56" t="e">
        <f t="shared" si="48"/>
        <v>#N/A</v>
      </c>
      <c r="BF56" t="e">
        <f t="shared" si="49"/>
        <v>#N/A</v>
      </c>
      <c r="BG56" t="e">
        <f t="shared" si="50"/>
        <v>#N/A</v>
      </c>
      <c r="BH56" t="e">
        <f t="shared" si="51"/>
        <v>#N/A</v>
      </c>
      <c r="BI56" t="e">
        <f t="shared" si="52"/>
        <v>#N/A</v>
      </c>
      <c r="BJ56" t="e">
        <f t="shared" si="53"/>
        <v>#N/A</v>
      </c>
      <c r="BK56" t="e">
        <f t="shared" si="54"/>
        <v>#N/A</v>
      </c>
      <c r="BL56" t="e">
        <f t="shared" si="55"/>
        <v>#N/A</v>
      </c>
      <c r="BM56" t="e">
        <f t="shared" si="56"/>
        <v>#N/A</v>
      </c>
      <c r="BN56" t="e">
        <f t="shared" si="57"/>
        <v>#N/A</v>
      </c>
      <c r="BO56" t="e">
        <f t="shared" si="58"/>
        <v>#N/A</v>
      </c>
      <c r="BP56" t="e">
        <f t="shared" si="59"/>
        <v>#N/A</v>
      </c>
      <c r="BQ56" t="e">
        <f t="shared" si="60"/>
        <v>#N/A</v>
      </c>
      <c r="BR56" t="e">
        <f t="shared" si="61"/>
        <v>#N/A</v>
      </c>
      <c r="BS56" t="e">
        <f t="shared" si="62"/>
        <v>#N/A</v>
      </c>
      <c r="BT56" t="e">
        <f t="shared" si="63"/>
        <v>#N/A</v>
      </c>
      <c r="BU56" t="e">
        <f t="shared" si="64"/>
        <v>#N/A</v>
      </c>
      <c r="BV56" t="e">
        <f t="shared" si="65"/>
        <v>#N/A</v>
      </c>
      <c r="BW56" t="e">
        <f t="shared" si="66"/>
        <v>#N/A</v>
      </c>
      <c r="BX56" t="e">
        <f t="shared" si="67"/>
        <v>#N/A</v>
      </c>
      <c r="BY56" t="e">
        <f t="shared" si="68"/>
        <v>#N/A</v>
      </c>
      <c r="BZ56" t="e">
        <f t="shared" si="69"/>
        <v>#N/A</v>
      </c>
      <c r="CA56" t="e">
        <f t="shared" si="70"/>
        <v>#N/A</v>
      </c>
      <c r="CB56" t="e">
        <f t="shared" si="71"/>
        <v>#N/A</v>
      </c>
      <c r="CC56" t="e">
        <f t="shared" si="72"/>
        <v>#N/A</v>
      </c>
      <c r="CD56" t="e">
        <f t="shared" si="73"/>
        <v>#N/A</v>
      </c>
      <c r="CE56" t="e">
        <f t="shared" si="74"/>
        <v>#N/A</v>
      </c>
      <c r="CF56" t="e">
        <f t="shared" si="75"/>
        <v>#N/A</v>
      </c>
      <c r="CG56" t="e">
        <f t="shared" si="76"/>
        <v>#N/A</v>
      </c>
      <c r="CH56" t="e">
        <f t="shared" si="77"/>
        <v>#N/A</v>
      </c>
      <c r="CI56" t="e">
        <f t="shared" si="78"/>
        <v>#N/A</v>
      </c>
      <c r="CJ56" t="e">
        <f t="shared" si="79"/>
        <v>#N/A</v>
      </c>
      <c r="CK56" t="e">
        <f t="shared" si="80"/>
        <v>#N/A</v>
      </c>
      <c r="CL56" t="e">
        <f t="shared" si="81"/>
        <v>#N/A</v>
      </c>
      <c r="CM56" t="e">
        <f t="shared" si="82"/>
        <v>#N/A</v>
      </c>
      <c r="CN56" t="e">
        <f t="shared" si="83"/>
        <v>#N/A</v>
      </c>
      <c r="CO56" t="e">
        <f t="shared" si="84"/>
        <v>#N/A</v>
      </c>
      <c r="CP56" t="e">
        <f t="shared" si="85"/>
        <v>#N/A</v>
      </c>
      <c r="CQ56" t="e">
        <f t="shared" si="86"/>
        <v>#N/A</v>
      </c>
      <c r="CR56" t="e">
        <f t="shared" si="87"/>
        <v>#N/A</v>
      </c>
      <c r="CS56" t="e">
        <f t="shared" si="88"/>
        <v>#N/A</v>
      </c>
      <c r="CT56" t="e">
        <f t="shared" si="89"/>
        <v>#N/A</v>
      </c>
      <c r="CU56" t="e">
        <f t="shared" si="90"/>
        <v>#N/A</v>
      </c>
      <c r="CV56" t="e">
        <f t="shared" si="91"/>
        <v>#N/A</v>
      </c>
      <c r="CW56" t="e">
        <f t="shared" si="91"/>
        <v>#N/A</v>
      </c>
      <c r="CX56" t="e">
        <f t="shared" si="91"/>
        <v>#N/A</v>
      </c>
      <c r="CY56" t="e">
        <f t="shared" si="91"/>
        <v>#N/A</v>
      </c>
      <c r="CZ56" t="e">
        <f t="shared" si="93"/>
        <v>#N/A</v>
      </c>
      <c r="DA56" t="e">
        <f t="shared" si="93"/>
        <v>#N/A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 t="e">
        <f>AVERAGE(J5:J56)</f>
        <v>#N/A</v>
      </c>
      <c r="K59" s="5" t="e">
        <f>AVERAGE(K5:K56)-J59</f>
        <v>#N/A</v>
      </c>
      <c r="L59" s="5" t="e">
        <f t="shared" ref="L59" si="96">AVERAGE(L5:L56)</f>
        <v>#N/A</v>
      </c>
      <c r="M59" s="5" t="e">
        <f t="shared" ref="M59" si="97">AVERAGE(M5:M56)-L59</f>
        <v>#N/A</v>
      </c>
      <c r="N59" s="5" t="e">
        <f t="shared" ref="N59" si="98">AVERAGE(N5:N56)</f>
        <v>#N/A</v>
      </c>
      <c r="O59" s="5" t="e">
        <f t="shared" ref="O59" si="99">AVERAGE(O5:O56)-N59</f>
        <v>#N/A</v>
      </c>
      <c r="P59" s="5" t="e">
        <f t="shared" ref="P59" si="100">AVERAGE(P5:P56)</f>
        <v>#N/A</v>
      </c>
      <c r="Q59" s="5" t="e">
        <f t="shared" ref="Q59" si="101">AVERAGE(Q5:Q56)-P59</f>
        <v>#N/A</v>
      </c>
      <c r="R59" s="5" t="e">
        <f t="shared" ref="R59" si="102">AVERAGE(R5:R56)</f>
        <v>#N/A</v>
      </c>
      <c r="S59" s="5" t="e">
        <f t="shared" ref="S59" si="103">AVERAGE(S5:S56)-R59</f>
        <v>#N/A</v>
      </c>
      <c r="T59" s="5" t="e">
        <f t="shared" ref="T59" si="104">AVERAGE(T5:T56)</f>
        <v>#N/A</v>
      </c>
      <c r="U59" s="5" t="e">
        <f t="shared" ref="U59" si="105">AVERAGE(U5:U56)-T59</f>
        <v>#N/A</v>
      </c>
      <c r="V59" s="5" t="e">
        <f t="shared" ref="V59" si="106">AVERAGE(V5:V56)</f>
        <v>#N/A</v>
      </c>
      <c r="W59" s="5" t="e">
        <f t="shared" ref="W59" si="107">AVERAGE(W5:W56)-V59</f>
        <v>#N/A</v>
      </c>
      <c r="X59" s="5" t="e">
        <f t="shared" ref="X59" si="108">AVERAGE(X5:X56)</f>
        <v>#N/A</v>
      </c>
      <c r="Y59" s="5" t="e">
        <f t="shared" ref="Y59" si="109">AVERAGE(Y5:Y56)-X59</f>
        <v>#N/A</v>
      </c>
      <c r="Z59" s="5" t="e">
        <f t="shared" ref="Z59" si="110">AVERAGE(Z5:Z56)</f>
        <v>#N/A</v>
      </c>
      <c r="AA59" s="5" t="e">
        <f t="shared" ref="AA59" si="111">AVERAGE(AA5:AA56)-Z59</f>
        <v>#N/A</v>
      </c>
      <c r="AB59" s="5" t="e">
        <f t="shared" ref="AB59" si="112">AVERAGE(AB5:AB56)</f>
        <v>#N/A</v>
      </c>
      <c r="AC59" s="5" t="e">
        <f t="shared" ref="AC59" si="113">AVERAGE(AC5:AC56)-AB59</f>
        <v>#N/A</v>
      </c>
      <c r="AD59" s="5" t="e">
        <f t="shared" ref="AD59" si="114">AVERAGE(AD5:AD56)</f>
        <v>#N/A</v>
      </c>
      <c r="AE59" s="5" t="e">
        <f t="shared" ref="AE59" si="115">AVERAGE(AE5:AE56)-AD59</f>
        <v>#N/A</v>
      </c>
      <c r="AF59" s="5" t="e">
        <f t="shared" ref="AF59" si="116">AVERAGE(AF5:AF56)</f>
        <v>#N/A</v>
      </c>
      <c r="AG59" s="5" t="e">
        <f t="shared" ref="AG59" si="117">AVERAGE(AG5:AG56)-AF59</f>
        <v>#N/A</v>
      </c>
      <c r="AH59" s="5" t="e">
        <f t="shared" ref="AH59" si="118">AVERAGE(AH5:AH56)</f>
        <v>#N/A</v>
      </c>
      <c r="AI59" s="5" t="e">
        <f t="shared" ref="AI59" si="119">AVERAGE(AI5:AI56)-AH59</f>
        <v>#N/A</v>
      </c>
      <c r="AJ59" s="5" t="e">
        <f t="shared" ref="AJ59" si="120">AVERAGE(AJ5:AJ56)</f>
        <v>#N/A</v>
      </c>
      <c r="AK59" s="5" t="e">
        <f t="shared" ref="AK59" si="121">AVERAGE(AK5:AK56)-AJ59</f>
        <v>#N/A</v>
      </c>
      <c r="AL59" s="5" t="e">
        <f t="shared" ref="AL59" si="122">AVERAGE(AL5:AL56)</f>
        <v>#N/A</v>
      </c>
      <c r="AM59" s="5" t="e">
        <f t="shared" ref="AM59" si="123">AVERAGE(AM5:AM56)-AL59</f>
        <v>#N/A</v>
      </c>
      <c r="AN59" s="5" t="e">
        <f t="shared" ref="AN59" si="124">AVERAGE(AN5:AN56)</f>
        <v>#N/A</v>
      </c>
      <c r="AO59" s="5" t="e">
        <f t="shared" ref="AO59" si="125">AVERAGE(AO5:AO56)-AN59</f>
        <v>#N/A</v>
      </c>
      <c r="AP59" s="5" t="e">
        <f t="shared" ref="AP59" si="126">AVERAGE(AP5:AP56)</f>
        <v>#N/A</v>
      </c>
      <c r="AQ59" s="5" t="e">
        <f t="shared" ref="AQ59" si="127">AVERAGE(AQ5:AQ56)-AP59</f>
        <v>#N/A</v>
      </c>
      <c r="AR59" s="5" t="e">
        <f t="shared" ref="AR59" si="128">AVERAGE(AR5:AR56)</f>
        <v>#N/A</v>
      </c>
      <c r="AS59" s="5" t="e">
        <f t="shared" ref="AS59" si="129">AVERAGE(AS5:AS56)-AR59</f>
        <v>#N/A</v>
      </c>
      <c r="AT59" s="5" t="e">
        <f t="shared" ref="AT59" si="130">AVERAGE(AT5:AT56)</f>
        <v>#N/A</v>
      </c>
      <c r="AU59" s="5" t="e">
        <f t="shared" ref="AU59" si="131">AVERAGE(AU5:AU56)-AT59</f>
        <v>#N/A</v>
      </c>
      <c r="AV59" s="5" t="e">
        <f t="shared" ref="AV59" si="132">AVERAGE(AV5:AV56)</f>
        <v>#N/A</v>
      </c>
      <c r="AW59" s="5" t="e">
        <f t="shared" ref="AW59" si="133">AVERAGE(AW5:AW56)-AV59</f>
        <v>#N/A</v>
      </c>
      <c r="AX59" s="5" t="e">
        <f t="shared" ref="AX59" si="134">AVERAGE(AX5:AX56)</f>
        <v>#N/A</v>
      </c>
      <c r="AY59" s="5" t="e">
        <f t="shared" ref="AY59" si="135">AVERAGE(AY5:AY56)-AX59</f>
        <v>#N/A</v>
      </c>
      <c r="AZ59" s="5" t="e">
        <f t="shared" ref="AZ59" si="136">AVERAGE(AZ5:AZ56)</f>
        <v>#N/A</v>
      </c>
      <c r="BA59" s="5" t="e">
        <f t="shared" ref="BA59" si="137">AVERAGE(BA5:BA56)-AZ59</f>
        <v>#N/A</v>
      </c>
      <c r="BB59" s="5" t="e">
        <f t="shared" ref="BB59" si="138">AVERAGE(BB5:BB56)</f>
        <v>#N/A</v>
      </c>
      <c r="BC59" s="5" t="e">
        <f t="shared" ref="BC59" si="139">AVERAGE(BC5:BC56)-BB59</f>
        <v>#N/A</v>
      </c>
      <c r="BD59" s="5" t="e">
        <f t="shared" ref="BD59" si="140">AVERAGE(BD5:BD56)</f>
        <v>#N/A</v>
      </c>
      <c r="BE59" s="5" t="e">
        <f t="shared" ref="BE59" si="141">AVERAGE(BE5:BE56)-BD59</f>
        <v>#N/A</v>
      </c>
      <c r="BF59" s="5" t="e">
        <f t="shared" ref="BF59" si="142">AVERAGE(BF5:BF56)</f>
        <v>#N/A</v>
      </c>
      <c r="BG59" s="5" t="e">
        <f t="shared" ref="BG59" si="143">AVERAGE(BG5:BG56)-BF59</f>
        <v>#N/A</v>
      </c>
      <c r="BH59" s="5" t="e">
        <f t="shared" ref="BH59" si="144">AVERAGE(BH5:BH56)</f>
        <v>#N/A</v>
      </c>
      <c r="BI59" s="5" t="e">
        <f t="shared" ref="BI59" si="145">AVERAGE(BI5:BI56)-BH59</f>
        <v>#N/A</v>
      </c>
      <c r="BJ59" s="5" t="e">
        <f t="shared" ref="BJ59" si="146">AVERAGE(BJ5:BJ56)</f>
        <v>#N/A</v>
      </c>
      <c r="BK59" s="5" t="e">
        <f t="shared" ref="BK59" si="147">AVERAGE(BK5:BK56)-BJ59</f>
        <v>#N/A</v>
      </c>
      <c r="BL59" s="5" t="e">
        <f t="shared" ref="BL59" si="148">AVERAGE(BL5:BL56)</f>
        <v>#N/A</v>
      </c>
      <c r="BM59" s="5" t="e">
        <f t="shared" ref="BM59" si="149">AVERAGE(BM5:BM56)-BL59</f>
        <v>#N/A</v>
      </c>
      <c r="BN59" s="5" t="e">
        <f t="shared" ref="BN59" si="150">AVERAGE(BN5:BN56)</f>
        <v>#N/A</v>
      </c>
      <c r="BO59" s="5" t="e">
        <f t="shared" ref="BO59" si="151">AVERAGE(BO5:BO56)-BN59</f>
        <v>#N/A</v>
      </c>
      <c r="BP59" s="5" t="e">
        <f t="shared" ref="BP59" si="152">AVERAGE(BP5:BP56)</f>
        <v>#N/A</v>
      </c>
      <c r="BQ59" s="5" t="e">
        <f t="shared" ref="BQ59" si="153">AVERAGE(BQ5:BQ56)-BP59</f>
        <v>#N/A</v>
      </c>
      <c r="BR59" s="5" t="e">
        <f t="shared" ref="BR59" si="154">AVERAGE(BR5:BR56)</f>
        <v>#N/A</v>
      </c>
      <c r="BS59" s="5" t="e">
        <f t="shared" ref="BS59" si="155">AVERAGE(BS5:BS56)-BR59</f>
        <v>#N/A</v>
      </c>
      <c r="BT59" s="5" t="e">
        <f t="shared" ref="BT59" si="156">AVERAGE(BT5:BT56)</f>
        <v>#N/A</v>
      </c>
      <c r="BU59" s="5" t="e">
        <f t="shared" ref="BU59" si="157">AVERAGE(BU5:BU56)-BT59</f>
        <v>#N/A</v>
      </c>
      <c r="BV59" s="5" t="e">
        <f t="shared" ref="BV59" si="158">AVERAGE(BV5:BV56)</f>
        <v>#N/A</v>
      </c>
      <c r="BW59" s="5" t="e">
        <f t="shared" ref="BW59" si="159">AVERAGE(BW5:BW56)-BV59</f>
        <v>#N/A</v>
      </c>
      <c r="BX59" s="5" t="e">
        <f t="shared" ref="BX59" si="160">AVERAGE(BX5:BX56)</f>
        <v>#N/A</v>
      </c>
      <c r="BY59" s="5" t="e">
        <f t="shared" ref="BY59" si="161">AVERAGE(BY5:BY56)-BX59</f>
        <v>#N/A</v>
      </c>
      <c r="BZ59" s="5" t="e">
        <f t="shared" ref="BZ59" si="162">AVERAGE(BZ5:BZ56)</f>
        <v>#N/A</v>
      </c>
      <c r="CA59" s="5" t="e">
        <f t="shared" ref="CA59" si="163">AVERAGE(CA5:CA56)-BZ59</f>
        <v>#N/A</v>
      </c>
      <c r="CB59" s="5" t="e">
        <f t="shared" ref="CB59" si="164">AVERAGE(CB5:CB56)</f>
        <v>#N/A</v>
      </c>
      <c r="CC59" s="5" t="e">
        <f t="shared" ref="CC59" si="165">AVERAGE(CC5:CC56)-CB59</f>
        <v>#N/A</v>
      </c>
      <c r="CD59" s="5" t="e">
        <f t="shared" ref="CD59" si="166">AVERAGE(CD5:CD56)</f>
        <v>#N/A</v>
      </c>
      <c r="CE59" s="5" t="e">
        <f t="shared" ref="CE59" si="167">AVERAGE(CE5:CE56)-CD59</f>
        <v>#N/A</v>
      </c>
      <c r="CF59" s="5" t="e">
        <f t="shared" ref="CF59" si="168">AVERAGE(CF5:CF56)</f>
        <v>#N/A</v>
      </c>
      <c r="CG59" s="5" t="e">
        <f t="shared" ref="CG59" si="169">AVERAGE(CG5:CG56)-CF59</f>
        <v>#N/A</v>
      </c>
      <c r="CH59" s="5" t="e">
        <f t="shared" ref="CH59" si="170">AVERAGE(CH5:CH56)</f>
        <v>#N/A</v>
      </c>
      <c r="CI59" s="5" t="e">
        <f t="shared" ref="CI59" si="171">AVERAGE(CI5:CI56)-CH59</f>
        <v>#N/A</v>
      </c>
      <c r="CJ59" s="5" t="e">
        <f t="shared" ref="CJ59" si="172">AVERAGE(CJ5:CJ56)</f>
        <v>#N/A</v>
      </c>
      <c r="CK59" s="5" t="e">
        <f t="shared" ref="CK59" si="173">AVERAGE(CK5:CK56)-CJ59</f>
        <v>#N/A</v>
      </c>
      <c r="CL59" s="5" t="e">
        <f t="shared" ref="CL59" si="174">AVERAGE(CL5:CL56)</f>
        <v>#N/A</v>
      </c>
      <c r="CM59" s="5" t="e">
        <f t="shared" ref="CM59" si="175">AVERAGE(CM5:CM56)-CL59</f>
        <v>#N/A</v>
      </c>
      <c r="CN59" s="5" t="e">
        <f t="shared" ref="CN59" si="176">AVERAGE(CN5:CN56)</f>
        <v>#N/A</v>
      </c>
      <c r="CO59" s="5" t="e">
        <f t="shared" ref="CO59" si="177">AVERAGE(CO5:CO56)-CN59</f>
        <v>#N/A</v>
      </c>
      <c r="CP59" s="5" t="e">
        <f t="shared" ref="CP59" si="178">AVERAGE(CP5:CP56)</f>
        <v>#N/A</v>
      </c>
      <c r="CQ59" s="5" t="e">
        <f t="shared" ref="CQ59" si="179">AVERAGE(CQ5:CQ56)-CP59</f>
        <v>#N/A</v>
      </c>
      <c r="CR59" s="5" t="e">
        <f t="shared" ref="CR59" si="180">AVERAGE(CR5:CR56)</f>
        <v>#N/A</v>
      </c>
      <c r="CS59" s="5" t="e">
        <f t="shared" ref="CS59" si="181">AVERAGE(CS5:CS56)-CR59</f>
        <v>#N/A</v>
      </c>
      <c r="CT59" s="5" t="e">
        <f t="shared" ref="CT59" si="182">AVERAGE(CT5:CT56)</f>
        <v>#N/A</v>
      </c>
      <c r="CU59" s="5" t="e">
        <f t="shared" ref="CU59" si="183">AVERAGE(CU5:CU56)-CT59</f>
        <v>#N/A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Caseload 1</v>
      </c>
      <c r="J63" s="5" t="e" cm="1">
        <f t="array" ref="J63">INDEX($J$59:$DA$60,1,MATCH(1,($I63=$J$1:$CU$1)*($J$62=$J$4:$CU$4)*(Planning!$M$2=$J$2:$CU$2),0))</f>
        <v>#N/A</v>
      </c>
      <c r="K63" s="5" t="e" cm="1">
        <f t="array" ref="K63">INDEX($J$59:$DA$60,1,MATCH(1,($I63=$J$1:$CU$1)*($K$62=$J$58:$CU$58)*(Planning!$M$2=$J$2:$CU$2),0))</f>
        <v>#N/A</v>
      </c>
    </row>
    <row r="64" spans="8:105" x14ac:dyDescent="0.35">
      <c r="I64" s="14" t="str">
        <f>'Data Validation (Hide)'!B3</f>
        <v>Caseload 2</v>
      </c>
      <c r="J64" s="5" t="e" cm="1">
        <f t="array" ref="J64">INDEX($J$59:$DA$60,1,MATCH(1,($I64=$J$1:$CU$1)*($J$62=$J$4:$CU$4)*(Planning!$M$2=$J$2:$CU$2),0))</f>
        <v>#N/A</v>
      </c>
      <c r="K64" s="5" t="e" cm="1">
        <f t="array" ref="K64">INDEX($J$59:$DA$60,1,MATCH(1,($I64=$J$1:$CU$1)*($K$62=$J$58:$CU$58)*(Planning!$M$2=$J$2:$CU$2),0))</f>
        <v>#N/A</v>
      </c>
    </row>
    <row r="65" spans="1:11" x14ac:dyDescent="0.35">
      <c r="I65" s="14" t="str">
        <f>'Data Validation (Hide)'!B4</f>
        <v>Caseload 3</v>
      </c>
      <c r="J65" s="5" t="e" cm="1">
        <f t="array" ref="J65">INDEX($J$59:$DA$60,1,MATCH(1,($I65=$J$1:$CU$1)*($J$62=$J$4:$CU$4)*(Planning!$M$2=$J$2:$CU$2),0))</f>
        <v>#N/A</v>
      </c>
      <c r="K65" s="5" t="e" cm="1">
        <f t="array" ref="K65">INDEX($J$59:$DA$60,1,MATCH(1,($I65=$J$1:$CU$1)*($K$62=$J$58:$CU$58)*(Planning!$M$2=$J$2:$CU$2),0))</f>
        <v>#N/A</v>
      </c>
    </row>
    <row r="66" spans="1:11" x14ac:dyDescent="0.35">
      <c r="I66" s="14" t="str">
        <f>'Data Validation (Hide)'!B5</f>
        <v>Caseload 4</v>
      </c>
      <c r="J66" s="5" t="e" cm="1">
        <f t="array" ref="J66">INDEX($J$59:$DA$60,1,MATCH(1,($I66=$J$1:$CU$1)*($J$62=$J$4:$CU$4)*(Planning!$M$2=$J$2:$CU$2),0))</f>
        <v>#N/A</v>
      </c>
      <c r="K66" s="5" t="e" cm="1">
        <f t="array" ref="K66">INDEX($J$59:$DA$60,1,MATCH(1,($I66=$J$1:$CU$1)*($K$62=$J$58:$CU$58)*(Planning!$M$2=$J$2:$CU$2),0))</f>
        <v>#N/A</v>
      </c>
    </row>
    <row r="67" spans="1:11" x14ac:dyDescent="0.35">
      <c r="I67" s="14" t="str">
        <f>'Data Validation (Hide)'!B6</f>
        <v>Caseload 5</v>
      </c>
      <c r="J67" s="5" t="e" cm="1">
        <f t="array" ref="J67">INDEX($J$59:$DA$60,1,MATCH(1,($I67=$J$1:$CU$1)*($J$62=$J$4:$CU$4)*(Planning!$M$2=$J$2:$CU$2),0))</f>
        <v>#N/A</v>
      </c>
      <c r="K67" s="5" t="e" cm="1">
        <f t="array" ref="K67">INDEX($J$59:$DA$60,1,MATCH(1,($I67=$J$1:$CU$1)*($K$62=$J$58:$CU$58)*(Planning!$M$2=$J$2:$CU$2),0))</f>
        <v>#N/A</v>
      </c>
    </row>
    <row r="68" spans="1:11" x14ac:dyDescent="0.35">
      <c r="I68" s="14" t="str">
        <f>'Data Validation (Hide)'!B7</f>
        <v>Caseload 6</v>
      </c>
      <c r="J68" t="e" cm="1">
        <f t="array" ref="J68">INDEX($J$59:$DA$60,1,MATCH(1,($I68=$J$1:$CU$1)*($J$62=$J$4:$CU$4)*(Planning!$M$2=$J$2:$CU$2),0))</f>
        <v>#N/A</v>
      </c>
      <c r="K68" s="5" t="e" cm="1">
        <f t="array" ref="K68">INDEX($J$59:$DA$60,1,MATCH(1,($I68=$J$1:$CU$1)*($K$62=$J$58:$CU$58)*(Planning!$M$2=$J$2:$CU$2),0))</f>
        <v>#N/A</v>
      </c>
    </row>
    <row r="69" spans="1:11" x14ac:dyDescent="0.35">
      <c r="I69" s="14" t="str">
        <f>'Data Validation (Hide)'!B8</f>
        <v>Caseload 7</v>
      </c>
      <c r="J69" t="e" cm="1">
        <f t="array" ref="J69">INDEX($J$59:$DA$60,1,MATCH(1,($I69=$J$1:$CU$1)*($J$62=$J$4:$CU$4)*(Planning!$M$2=$J$2:$CU$2),0))</f>
        <v>#N/A</v>
      </c>
      <c r="K69" s="5" t="e" cm="1">
        <f t="array" ref="K69">INDEX($J$59:$DA$60,1,MATCH(1,($I69=$J$1:$CU$1)*($K$62=$J$58:$CU$58)*(Planning!$M$2=$J$2:$CU$2),0))</f>
        <v>#N/A</v>
      </c>
    </row>
    <row r="70" spans="1:11" x14ac:dyDescent="0.35">
      <c r="I70" s="14" t="str">
        <f>'Data Validation (Hide)'!B9</f>
        <v>Caseload 8</v>
      </c>
      <c r="J70" t="e" cm="1">
        <f t="array" ref="J70">INDEX($J$59:$DA$60,1,MATCH(1,($I70=$J$1:$CU$1)*($J$62=$J$4:$CU$4)*(Planning!$M$2=$J$2:$CU$2),0))</f>
        <v>#N/A</v>
      </c>
      <c r="K70" s="5" t="e" cm="1">
        <f t="array" ref="K70">INDEX($J$59:$DA$60,1,MATCH(1,($I70=$J$1:$CU$1)*($K$62=$J$58:$CU$58)*(Planning!$M$2=$J$2:$CU$2),0))</f>
        <v>#N/A</v>
      </c>
    </row>
    <row r="71" spans="1:11" x14ac:dyDescent="0.35">
      <c r="I71" s="14" t="str">
        <f>'Data Validation (Hide)'!B10</f>
        <v>Caseload 9</v>
      </c>
      <c r="J71" t="e" cm="1">
        <f t="array" ref="J71">INDEX($J$59:$DA$60,1,MATCH(1,($I71=$J$1:$CU$1)*($J$62=$J$4:$CU$4)*(Planning!$M$2=$J$2:$CU$2),0))</f>
        <v>#N/A</v>
      </c>
      <c r="K71" s="5" t="e" cm="1">
        <f t="array" ref="K71">INDEX($J$59:$DA$60,1,MATCH(1,($I71=$J$1:$CU$1)*($K$62=$J$58:$CU$58)*(Planning!$M$2=$J$2:$CU$2),0))</f>
        <v>#N/A</v>
      </c>
    </row>
    <row r="72" spans="1:11" x14ac:dyDescent="0.35">
      <c r="I72" s="14" t="str">
        <f>'Data Validation (Hide)'!B11</f>
        <v>Caseload 10</v>
      </c>
      <c r="J72" t="e" cm="1">
        <f t="array" ref="J72">INDEX($J$59:$DA$60,1,MATCH(1,($I72=$J$1:$CU$1)*($J$62=$J$4:$CU$4)*(Planning!$M$2=$J$2:$CU$2),0))</f>
        <v>#N/A</v>
      </c>
      <c r="K72" s="5" t="e" cm="1">
        <f t="array" ref="K72">INDEX($J$59:$DA$60,1,MATCH(1,($I72=$J$1:$CU$1)*($K$62=$J$58:$CU$58)*(Planning!$M$2=$J$2:$CU$2),0))</f>
        <v>#N/A</v>
      </c>
    </row>
    <row r="73" spans="1:11" x14ac:dyDescent="0.35">
      <c r="I73" s="14" t="str">
        <f>'Data Validation (Hide)'!B12</f>
        <v>Caseload 11</v>
      </c>
      <c r="J73" t="e" cm="1">
        <f t="array" ref="J73">INDEX($J$59:$DA$60,1,MATCH(1,($I73=$J$1:$CU$1)*($J$62=$J$4:$CU$4)*(Planning!$M$2=$J$2:$CU$2),0))</f>
        <v>#N/A</v>
      </c>
      <c r="K73" s="5" t="e" cm="1">
        <f t="array" ref="K73">INDEX($J$59:$DA$60,1,MATCH(1,($I73=$J$1:$CU$1)*($K$62=$J$58:$CU$58)*(Planning!$M$2=$J$2:$CU$2),0))</f>
        <v>#N/A</v>
      </c>
    </row>
    <row r="74" spans="1:11" x14ac:dyDescent="0.35">
      <c r="I74" s="14" t="str">
        <f>'Data Validation (Hide)'!B13</f>
        <v>Caseload 12</v>
      </c>
      <c r="J74" t="e" cm="1">
        <f t="array" ref="J74">INDEX($J$59:$DA$60,1,MATCH(1,($I74=$J$1:$CU$1)*($J$62=$J$4:$CU$4)*(Planning!$M$2=$J$2:$CU$2),0))</f>
        <v>#N/A</v>
      </c>
      <c r="K74" s="5" t="e" cm="1">
        <f t="array" ref="K74">INDEX($J$59:$DA$60,1,MATCH(1,($I74=$J$1:$CU$1)*($K$62=$J$58:$CU$58)*(Planning!$M$2=$J$2:$CU$2),0))</f>
        <v>#N/A</v>
      </c>
    </row>
    <row r="75" spans="1:11" x14ac:dyDescent="0.35">
      <c r="I75" s="14" t="str">
        <f>'Data Validation (Hide)'!B14</f>
        <v>Caseload 13</v>
      </c>
      <c r="J75" t="e" cm="1">
        <f t="array" ref="J75">INDEX($J$59:$DA$60,1,MATCH(1,($I75=$J$1:$CU$1)*($J$62=$J$4:$CU$4)*(Planning!$M$2=$J$2:$CU$2),0))</f>
        <v>#N/A</v>
      </c>
      <c r="K75" s="5" t="e" cm="1">
        <f t="array" ref="K75">INDEX($J$59:$DA$60,1,MATCH(1,($I75=$J$1:$CU$1)*($K$62=$J$58:$CU$58)*(Planning!$M$2=$J$2:$CU$2),0))</f>
        <v>#N/A</v>
      </c>
    </row>
    <row r="76" spans="1:11" x14ac:dyDescent="0.35">
      <c r="I76" s="14" t="str">
        <f>'Data Validation (Hide)'!B15</f>
        <v>Caseload 14</v>
      </c>
      <c r="J76" t="e" cm="1">
        <f t="array" ref="J76">INDEX($J$59:$DA$60,1,MATCH(1,($I76=$J$1:$CU$1)*($J$62=$J$4:$CU$4)*(Planning!$M$2=$J$2:$CU$2),0))</f>
        <v>#N/A</v>
      </c>
      <c r="K76" s="5" t="e" cm="1">
        <f t="array" ref="K76">INDEX($J$59:$DA$60,1,MATCH(1,($I76=$J$1:$CU$1)*($K$62=$J$58:$CU$58)*(Planning!$M$2=$J$2:$CU$2),0))</f>
        <v>#N/A</v>
      </c>
    </row>
    <row r="77" spans="1:11" x14ac:dyDescent="0.35">
      <c r="I77" s="14" t="str">
        <f>'Data Validation (Hide)'!B16</f>
        <v>Caseload 15</v>
      </c>
      <c r="J77" t="e" cm="1">
        <f t="array" ref="J77">INDEX($J$59:$DA$60,1,MATCH(1,($I77=$J$1:$CU$1)*($J$62=$J$4:$CU$4)*(Planning!$M$2=$J$2:$CU$2),0))</f>
        <v>#N/A</v>
      </c>
      <c r="K77" s="5" t="e" cm="1">
        <f t="array" ref="K77">INDEX($J$59:$DA$60,1,MATCH(1,($I77=$J$1:$CU$1)*($K$62=$J$58:$CU$58)*(Planning!$M$2=$J$2:$CU$2),0))</f>
        <v>#N/A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149</v>
      </c>
      <c r="C81" t="s">
        <v>150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Caseload 1</v>
      </c>
      <c r="B82">
        <f ca="1">INDEX('Capacity Backing (Hide)'!$H$261:$J$275,MATCH(A82,'Capacity Backing (Hide)'!$A$261:$A$275,0),1)</f>
        <v>0</v>
      </c>
      <c r="C82">
        <f ca="1">INDEX('Capacity Backing (Hide)'!$H$261:$J$275,MATCH(A82,'Capacity Backing (Hide)'!$A$261:$A$275,0),2)</f>
        <v>0</v>
      </c>
      <c r="D82">
        <f ca="1">IF(Planning!D63="",'Planning Backing (Hide)'!B82,Planning!D63)</f>
        <v>0</v>
      </c>
      <c r="E82">
        <f ca="1">IF(Planning!E63="",'Planning Backing (Hide)'!C82,Planning!E63)</f>
        <v>0</v>
      </c>
      <c r="F82">
        <f ca="1">SUM(D82:E82)</f>
        <v>0</v>
      </c>
    </row>
    <row r="83" spans="1:6" x14ac:dyDescent="0.35">
      <c r="A83" t="str">
        <f>Setup!A21</f>
        <v>Caseload 2</v>
      </c>
      <c r="B83">
        <f ca="1">INDEX('Capacity Backing (Hide)'!$H$261:$J$275,MATCH(A83,'Capacity Backing (Hide)'!$A$261:$A$275,0),1)</f>
        <v>0</v>
      </c>
      <c r="C83">
        <f ca="1">INDEX('Capacity Backing (Hide)'!$H$261:$J$275,MATCH(A83,'Capacity Backing (Hide)'!$A$261:$A$275,0),2)</f>
        <v>0</v>
      </c>
      <c r="D83">
        <f ca="1">IF(Planning!D64="",'Planning Backing (Hide)'!B83,Planning!D64)</f>
        <v>0</v>
      </c>
      <c r="E83">
        <f ca="1">IF(Planning!E64="",'Planning Backing (Hide)'!C83,Planning!E64)</f>
        <v>0</v>
      </c>
      <c r="F83">
        <f t="shared" ref="F83:F96" ca="1" si="184">SUM(D83:E83)</f>
        <v>0</v>
      </c>
    </row>
    <row r="84" spans="1:6" x14ac:dyDescent="0.35">
      <c r="A84" t="str">
        <f>Setup!A22</f>
        <v>Caseload 3</v>
      </c>
      <c r="B84">
        <f ca="1">INDEX('Capacity Backing (Hide)'!$H$261:$J$275,MATCH(A84,'Capacity Backing (Hide)'!$A$261:$A$275,0),1)</f>
        <v>0</v>
      </c>
      <c r="C84">
        <f ca="1">INDEX('Capacity Backing (Hide)'!$H$261:$J$275,MATCH(A84,'Capacity Backing (Hide)'!$A$261:$A$275,0),2)</f>
        <v>0</v>
      </c>
      <c r="D84">
        <f ca="1">IF(Planning!D65="",'Planning Backing (Hide)'!B84,Planning!D65)</f>
        <v>0</v>
      </c>
      <c r="E84">
        <f ca="1">IF(Planning!E65="",'Planning Backing (Hide)'!C84,Planning!E65)</f>
        <v>0</v>
      </c>
      <c r="F84">
        <f t="shared" ca="1" si="184"/>
        <v>0</v>
      </c>
    </row>
    <row r="85" spans="1:6" x14ac:dyDescent="0.35">
      <c r="A85" t="str">
        <f>Setup!A23</f>
        <v>Caseload 4</v>
      </c>
      <c r="B85">
        <f ca="1">INDEX('Capacity Backing (Hide)'!$H$261:$J$275,MATCH(A85,'Capacity Backing (Hide)'!$A$261:$A$275,0),1)</f>
        <v>0</v>
      </c>
      <c r="C85">
        <f ca="1">INDEX('Capacity Backing (Hide)'!$H$261:$J$275,MATCH(A85,'Capacity Backing (Hide)'!$A$261:$A$275,0),2)</f>
        <v>0</v>
      </c>
      <c r="D85">
        <f ca="1">IF(Planning!D66="",'Planning Backing (Hide)'!B85,Planning!D66)</f>
        <v>0</v>
      </c>
      <c r="E85">
        <f ca="1">IF(Planning!E66="",'Planning Backing (Hide)'!C85,Planning!E66)</f>
        <v>0</v>
      </c>
      <c r="F85">
        <f t="shared" ca="1" si="184"/>
        <v>0</v>
      </c>
    </row>
    <row r="86" spans="1:6" x14ac:dyDescent="0.35">
      <c r="A86" t="str">
        <f>Setup!A24</f>
        <v>Caseload 5</v>
      </c>
      <c r="B86">
        <f ca="1">INDEX('Capacity Backing (Hide)'!$H$261:$J$275,MATCH(A86,'Capacity Backing (Hide)'!$A$261:$A$275,0),1)</f>
        <v>0</v>
      </c>
      <c r="C86">
        <f ca="1">INDEX('Capacity Backing (Hide)'!$H$261:$J$275,MATCH(A86,'Capacity Backing (Hide)'!$A$261:$A$275,0),2)</f>
        <v>0</v>
      </c>
      <c r="D86">
        <f ca="1">IF(Planning!D67="",'Planning Backing (Hide)'!B86,Planning!D67)</f>
        <v>0</v>
      </c>
      <c r="E86">
        <f ca="1">IF(Planning!E67="",'Planning Backing (Hide)'!C86,Planning!E67)</f>
        <v>0</v>
      </c>
      <c r="F86">
        <f t="shared" ca="1" si="184"/>
        <v>0</v>
      </c>
    </row>
    <row r="87" spans="1:6" x14ac:dyDescent="0.35">
      <c r="A87" t="str">
        <f>Setup!A25</f>
        <v>Caseload 6</v>
      </c>
      <c r="B87">
        <f ca="1">INDEX('Capacity Backing (Hide)'!$H$261:$J$275,MATCH(A87,'Capacity Backing (Hide)'!$A$261:$A$275,0),1)</f>
        <v>0</v>
      </c>
      <c r="C87">
        <f ca="1">INDEX('Capacity Backing (Hide)'!$H$261:$J$275,MATCH(A87,'Capacity Backing (Hide)'!$A$261:$A$275,0),2)</f>
        <v>0</v>
      </c>
      <c r="D87">
        <f ca="1">IF(Planning!D68="",'Planning Backing (Hide)'!B87,Planning!D68)</f>
        <v>0</v>
      </c>
      <c r="E87">
        <f ca="1">IF(Planning!E68="",'Planning Backing (Hide)'!C87,Planning!E68)</f>
        <v>0</v>
      </c>
      <c r="F87">
        <f t="shared" ca="1" si="184"/>
        <v>0</v>
      </c>
    </row>
    <row r="88" spans="1:6" x14ac:dyDescent="0.35">
      <c r="A88" t="str">
        <f>Setup!A26</f>
        <v>Caseload 7</v>
      </c>
      <c r="B88">
        <f ca="1">INDEX('Capacity Backing (Hide)'!$H$261:$J$275,MATCH(A88,'Capacity Backing (Hide)'!$A$261:$A$275,0),1)</f>
        <v>0</v>
      </c>
      <c r="C88">
        <f ca="1">INDEX('Capacity Backing (Hide)'!$H$261:$J$275,MATCH(A88,'Capacity Backing (Hide)'!$A$261:$A$275,0),2)</f>
        <v>0</v>
      </c>
      <c r="D88">
        <f ca="1">IF(Planning!D69="",'Planning Backing (Hide)'!B88,Planning!D69)</f>
        <v>0</v>
      </c>
      <c r="E88">
        <f ca="1">IF(Planning!E69="",'Planning Backing (Hide)'!C88,Planning!E69)</f>
        <v>0</v>
      </c>
      <c r="F88">
        <f t="shared" ca="1" si="184"/>
        <v>0</v>
      </c>
    </row>
    <row r="89" spans="1:6" x14ac:dyDescent="0.35">
      <c r="A89" t="str">
        <f>Setup!A27</f>
        <v>Caseload 8</v>
      </c>
      <c r="B89">
        <f ca="1">INDEX('Capacity Backing (Hide)'!$H$261:$J$275,MATCH(A89,'Capacity Backing (Hide)'!$A$261:$A$275,0),1)</f>
        <v>0</v>
      </c>
      <c r="C89">
        <f ca="1">INDEX('Capacity Backing (Hide)'!$H$261:$J$275,MATCH(A89,'Capacity Backing (Hide)'!$A$261:$A$275,0),2)</f>
        <v>0</v>
      </c>
      <c r="D89">
        <f ca="1">IF(Planning!D70="",'Planning Backing (Hide)'!B89,Planning!D70)</f>
        <v>0</v>
      </c>
      <c r="E89">
        <f ca="1">IF(Planning!E70="",'Planning Backing (Hide)'!C89,Planning!E70)</f>
        <v>0</v>
      </c>
      <c r="F89">
        <f t="shared" ca="1" si="184"/>
        <v>0</v>
      </c>
    </row>
    <row r="90" spans="1:6" x14ac:dyDescent="0.35">
      <c r="A90" t="str">
        <f>Setup!A28</f>
        <v>Caseload 9</v>
      </c>
      <c r="B90">
        <f ca="1">INDEX('Capacity Backing (Hide)'!$H$261:$J$275,MATCH(A90,'Capacity Backing (Hide)'!$A$261:$A$275,0),1)</f>
        <v>0</v>
      </c>
      <c r="C90">
        <f ca="1">INDEX('Capacity Backing (Hide)'!$H$261:$J$275,MATCH(A90,'Capacity Backing (Hide)'!$A$261:$A$275,0),2)</f>
        <v>0</v>
      </c>
      <c r="D90">
        <f ca="1">IF(Planning!D71="",'Planning Backing (Hide)'!B90,Planning!D71)</f>
        <v>0</v>
      </c>
      <c r="E90">
        <f ca="1">IF(Planning!E71="",'Planning Backing (Hide)'!C90,Planning!E71)</f>
        <v>0</v>
      </c>
      <c r="F90">
        <f t="shared" ca="1" si="184"/>
        <v>0</v>
      </c>
    </row>
    <row r="91" spans="1:6" x14ac:dyDescent="0.35">
      <c r="A91" t="str">
        <f>Setup!A29</f>
        <v>Caseload 10</v>
      </c>
      <c r="B91">
        <f ca="1">INDEX('Capacity Backing (Hide)'!$H$261:$J$275,MATCH(A91,'Capacity Backing (Hide)'!$A$261:$A$275,0),1)</f>
        <v>0</v>
      </c>
      <c r="C91">
        <f ca="1">INDEX('Capacity Backing (Hide)'!$H$261:$J$275,MATCH(A91,'Capacity Backing (Hide)'!$A$261:$A$275,0),2)</f>
        <v>0</v>
      </c>
      <c r="D91">
        <f ca="1">IF(Planning!D72="",'Planning Backing (Hide)'!B91,Planning!D72)</f>
        <v>0</v>
      </c>
      <c r="E91">
        <f ca="1">IF(Planning!E72="",'Planning Backing (Hide)'!C91,Planning!E72)</f>
        <v>0</v>
      </c>
      <c r="F91">
        <f t="shared" ca="1" si="184"/>
        <v>0</v>
      </c>
    </row>
    <row r="92" spans="1:6" x14ac:dyDescent="0.35">
      <c r="A92" t="str">
        <f>Setup!A30</f>
        <v>Caseload 11</v>
      </c>
      <c r="B92">
        <f ca="1">INDEX('Capacity Backing (Hide)'!$H$261:$J$275,MATCH(A92,'Capacity Backing (Hide)'!$A$261:$A$275,0),1)</f>
        <v>0</v>
      </c>
      <c r="C92">
        <f ca="1">INDEX('Capacity Backing (Hide)'!$H$261:$J$275,MATCH(A92,'Capacity Backing (Hide)'!$A$261:$A$275,0),2)</f>
        <v>0</v>
      </c>
      <c r="D92">
        <f ca="1">IF(Planning!D73="",'Planning Backing (Hide)'!B92,Planning!D73)</f>
        <v>0</v>
      </c>
      <c r="E92">
        <f ca="1">IF(Planning!E73="",'Planning Backing (Hide)'!C92,Planning!E73)</f>
        <v>0</v>
      </c>
      <c r="F92">
        <f t="shared" ca="1" si="184"/>
        <v>0</v>
      </c>
    </row>
    <row r="93" spans="1:6" x14ac:dyDescent="0.35">
      <c r="A93" t="str">
        <f>Setup!A31</f>
        <v>Caseload 12</v>
      </c>
      <c r="B93">
        <f ca="1">INDEX('Capacity Backing (Hide)'!$H$261:$J$275,MATCH(A93,'Capacity Backing (Hide)'!$A$261:$A$275,0),1)</f>
        <v>0</v>
      </c>
      <c r="C93">
        <f ca="1">INDEX('Capacity Backing (Hide)'!$H$261:$J$275,MATCH(A93,'Capacity Backing (Hide)'!$A$261:$A$275,0),2)</f>
        <v>0</v>
      </c>
      <c r="D93">
        <f ca="1">IF(Planning!D74="",'Planning Backing (Hide)'!B93,Planning!D74)</f>
        <v>0</v>
      </c>
      <c r="E93">
        <f ca="1">IF(Planning!E74="",'Planning Backing (Hide)'!C93,Planning!E74)</f>
        <v>0</v>
      </c>
      <c r="F93">
        <f t="shared" ca="1" si="184"/>
        <v>0</v>
      </c>
    </row>
    <row r="94" spans="1:6" x14ac:dyDescent="0.35">
      <c r="A94" t="str">
        <f>Setup!A32</f>
        <v>Caseload 13</v>
      </c>
      <c r="B94">
        <f ca="1">INDEX('Capacity Backing (Hide)'!$H$261:$J$275,MATCH(A94,'Capacity Backing (Hide)'!$A$261:$A$275,0),1)</f>
        <v>0</v>
      </c>
      <c r="C94">
        <f ca="1">INDEX('Capacity Backing (Hide)'!$H$261:$J$275,MATCH(A94,'Capacity Backing (Hide)'!$A$261:$A$275,0),2)</f>
        <v>0</v>
      </c>
      <c r="D94">
        <f ca="1">IF(Planning!D75="",'Planning Backing (Hide)'!B94,Planning!D75)</f>
        <v>0</v>
      </c>
      <c r="E94">
        <f ca="1">IF(Planning!E75="",'Planning Backing (Hide)'!C94,Planning!E75)</f>
        <v>0</v>
      </c>
      <c r="F94">
        <f t="shared" ca="1" si="184"/>
        <v>0</v>
      </c>
    </row>
    <row r="95" spans="1:6" x14ac:dyDescent="0.35">
      <c r="A95" t="str">
        <f>Setup!A33</f>
        <v>Caseload 14</v>
      </c>
      <c r="B95">
        <f ca="1">INDEX('Capacity Backing (Hide)'!$H$261:$J$275,MATCH(A95,'Capacity Backing (Hide)'!$A$261:$A$275,0),1)</f>
        <v>0</v>
      </c>
      <c r="C95">
        <f ca="1">INDEX('Capacity Backing (Hide)'!$H$261:$J$275,MATCH(A95,'Capacity Backing (Hide)'!$A$261:$A$275,0),2)</f>
        <v>0</v>
      </c>
      <c r="D95">
        <f ca="1">IF(Planning!D76="",'Planning Backing (Hide)'!B95,Planning!D76)</f>
        <v>0</v>
      </c>
      <c r="E95">
        <f ca="1">IF(Planning!E76="",'Planning Backing (Hide)'!C95,Planning!E76)</f>
        <v>0</v>
      </c>
      <c r="F95">
        <f t="shared" ca="1" si="184"/>
        <v>0</v>
      </c>
    </row>
    <row r="96" spans="1:6" x14ac:dyDescent="0.35">
      <c r="A96" t="str">
        <f>Setup!A34</f>
        <v>Caseload 15</v>
      </c>
      <c r="B96">
        <f ca="1">INDEX('Capacity Backing (Hide)'!$H$261:$J$275,MATCH(A96,'Capacity Backing (Hide)'!$A$261:$A$275,0),1)</f>
        <v>0</v>
      </c>
      <c r="C96">
        <f ca="1">INDEX('Capacity Backing (Hide)'!$H$261:$J$275,MATCH(A96,'Capacity Backing (Hide)'!$A$261:$A$275,0),2)</f>
        <v>0</v>
      </c>
      <c r="D96">
        <f ca="1">IF(Planning!D77="",'Planning Backing (Hide)'!B96,Planning!D77)</f>
        <v>0</v>
      </c>
      <c r="E96">
        <f ca="1">IF(Planning!E77="",'Planning Backing (Hide)'!C96,Planning!E77)</f>
        <v>0</v>
      </c>
      <c r="F96">
        <f t="shared" ca="1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Caseload 1</v>
      </c>
      <c r="B100">
        <f>Service!C6</f>
        <v>0</v>
      </c>
      <c r="C100">
        <f>Service!D6</f>
        <v>0</v>
      </c>
      <c r="D100" cm="1">
        <f t="array" ref="D100">IFERROR(INDEX(Planning!$D$44:$D$58,MATCH(1,(Planning!$A$44:$A$58='Planning Backing (Hide)'!A100)*(Planning!$B$44:$B$58='Planning Backing (Hide)'!B100),0),1),Service!E6)</f>
        <v>0</v>
      </c>
      <c r="E100">
        <f>Service!F6</f>
        <v>0</v>
      </c>
      <c r="F100" t="e">
        <f>Service!G6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Service!B7</f>
        <v>Caseload 1</v>
      </c>
      <c r="B101">
        <f>Service!C7</f>
        <v>0</v>
      </c>
      <c r="C101">
        <f>Service!D7</f>
        <v>0</v>
      </c>
      <c r="D101" cm="1">
        <f t="array" ref="D101">IFERROR(INDEX(Planning!$D$44:$D$58,MATCH(1,(Planning!$A$44:$A$58='Planning Backing (Hide)'!A101)*(Planning!$B$44:$B$58='Planning Backing (Hide)'!B101),0),1),Service!E7)</f>
        <v>0</v>
      </c>
      <c r="E101">
        <f>Service!F7</f>
        <v>0</v>
      </c>
      <c r="F101" t="e">
        <f>Service!G7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Service!B8</f>
        <v>Caseload 1</v>
      </c>
      <c r="B102">
        <f>Service!C8</f>
        <v>0</v>
      </c>
      <c r="C102">
        <f>Service!D8</f>
        <v>0</v>
      </c>
      <c r="D102" cm="1">
        <f t="array" ref="D102">IFERROR(INDEX(Planning!$D$44:$D$58,MATCH(1,(Planning!$A$44:$A$58='Planning Backing (Hide)'!A102)*(Planning!$B$44:$B$58='Planning Backing (Hide)'!B102),0),1),Service!E8)</f>
        <v>0</v>
      </c>
      <c r="E102">
        <f>Service!F8</f>
        <v>0</v>
      </c>
      <c r="F102" t="e">
        <f>Service!G8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Service!B9</f>
        <v>Caseload 1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Caseload 1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Caseload 2</v>
      </c>
      <c r="B105">
        <f>Service!C11</f>
        <v>0</v>
      </c>
      <c r="C105">
        <f>Service!D11</f>
        <v>0</v>
      </c>
      <c r="D105" cm="1">
        <f t="array" ref="D105">IFERROR(INDEX(Planning!$D$44:$D$58,MATCH(1,(Planning!$A$44:$A$58='Planning Backing (Hide)'!A105)*(Planning!$B$44:$B$58='Planning Backing (Hide)'!B105),0),1),Service!E11)</f>
        <v>0</v>
      </c>
      <c r="E105">
        <f>Service!F11</f>
        <v>0</v>
      </c>
      <c r="F105" t="e">
        <f>Service!G11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Service!B12</f>
        <v>Caseload 2</v>
      </c>
      <c r="B106">
        <f>Service!C12</f>
        <v>0</v>
      </c>
      <c r="C106">
        <f>Service!D12</f>
        <v>0</v>
      </c>
      <c r="D106" cm="1">
        <f t="array" ref="D106">IFERROR(INDEX(Planning!$D$44:$D$58,MATCH(1,(Planning!$A$44:$A$58='Planning Backing (Hide)'!A106)*(Planning!$B$44:$B$58='Planning Backing (Hide)'!B106),0),1),Service!E12)</f>
        <v>0</v>
      </c>
      <c r="E106">
        <f>Service!F12</f>
        <v>0</v>
      </c>
      <c r="F106" t="e">
        <f>Service!G12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Caseload 2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Caseload 2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Caseload 2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Caseload 3</v>
      </c>
      <c r="B110">
        <f>Service!C16</f>
        <v>0</v>
      </c>
      <c r="C110">
        <f>Service!D16</f>
        <v>0</v>
      </c>
      <c r="D110" cm="1">
        <f t="array" ref="D110">IFERROR(INDEX(Planning!$D$44:$D$58,MATCH(1,(Planning!$A$44:$A$58='Planning Backing (Hide)'!A110)*(Planning!$B$44:$B$58='Planning Backing (Hide)'!B110),0),1),Service!E16)</f>
        <v>0</v>
      </c>
      <c r="E110">
        <f>Service!F16</f>
        <v>0</v>
      </c>
      <c r="F110" t="e">
        <f>Service!G16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Service!B17</f>
        <v>Caseload 3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Caseload 3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Caseload 3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Caseload 3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Caseload 4</v>
      </c>
      <c r="B115">
        <f>Service!C21</f>
        <v>0</v>
      </c>
      <c r="C115">
        <f>Service!D21</f>
        <v>0</v>
      </c>
      <c r="D115" cm="1">
        <f t="array" ref="D115">IFERROR(INDEX(Planning!$D$44:$D$58,MATCH(1,(Planning!$A$44:$A$58='Planning Backing (Hide)'!A115)*(Planning!$B$44:$B$58='Planning Backing (Hide)'!B115),0),1),Service!E21)</f>
        <v>0</v>
      </c>
      <c r="E115">
        <f>Service!F21</f>
        <v>0</v>
      </c>
      <c r="F115" t="e">
        <f>Service!G21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Caseload 4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Caseload 4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Caseload 4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Caseload 4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Caseload 5</v>
      </c>
      <c r="B120">
        <f>Service!C26</f>
        <v>0</v>
      </c>
      <c r="C120">
        <f>Service!D26</f>
        <v>0</v>
      </c>
      <c r="D120" cm="1">
        <f t="array" ref="D120">IFERROR(INDEX(Planning!$D$44:$D$58,MATCH(1,(Planning!$A$44:$A$58='Planning Backing (Hide)'!A120)*(Planning!$B$44:$B$58='Planning Backing (Hide)'!B120),0),1),Service!E26)</f>
        <v>0</v>
      </c>
      <c r="E120">
        <f>Service!F26</f>
        <v>0</v>
      </c>
      <c r="F120" t="e">
        <f>Service!G26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Caseload 5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Caseload 5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Caseload 5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Caseload 5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2020-12-21T14:35:53Z</dcterms:modified>
</cp:coreProperties>
</file>