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irnhsft.local\monitor\Redirected\Paul.Bullard\Documents\GitHub\CaseloadModel\"/>
    </mc:Choice>
  </mc:AlternateContent>
  <xr:revisionPtr revIDLastSave="0" documentId="8_{AA480284-D616-4C10-8C73-F918EFE2B39A}" xr6:coauthVersionLast="45" xr6:coauthVersionMax="45" xr10:uidLastSave="{00000000-0000-0000-0000-000000000000}"/>
  <bookViews>
    <workbookView xWindow="-110" yWindow="-110" windowWidth="25820" windowHeight="14020" firstSheet="1" activeTab="1" xr2:uid="{2E52CBCF-1482-45F7-B7EA-65F9FD03DA29}"/>
  </bookViews>
  <sheets>
    <sheet name="Data Validation (Hide)" sheetId="3" state="hidden" r:id="rId1"/>
    <sheet name="Setup" sheetId="1" r:id="rId2"/>
    <sheet name="Demand" sheetId="2" r:id="rId3"/>
    <sheet name="SPC" sheetId="4" r:id="rId4"/>
    <sheet name="SPC Backing (Hide)" sheetId="5" state="hidden" r:id="rId5"/>
    <sheet name="Service" sheetId="6" r:id="rId6"/>
    <sheet name="Required Capacity (Hide)" sheetId="7" state="hidden" r:id="rId7"/>
    <sheet name="Capacity" sheetId="9" r:id="rId8"/>
    <sheet name="Capacity Backing (Hide)" sheetId="10" state="hidden" r:id="rId9"/>
    <sheet name="Capacity Summary" sheetId="11" r:id="rId10"/>
    <sheet name="Summary" sheetId="8" r:id="rId11"/>
  </sheets>
  <definedNames>
    <definedName name="CapacitySummary_AvailableCapacity">IF('Capacity Summary'!$B$4="Non-Group",INDEX('Capacity Backing (Hide)'!$B$75:$BA$90,MATCH('Capacity Summary'!$B$3,'Capacity Backing (Hide)'!$A$75:$A$90,0),1):INDEX('Capacity Backing (Hide)'!$B$75:$BA$90,MATCH('Capacity Summary'!$B$3,'Capacity Backing (Hide)'!$A$75:$A$90,0),52),IF('Capacity Summary'!$B$4="Group",INDEX('Capacity Backing (Hide)'!$B$93:$BA$108,MATCH('Capacity Summary'!$B$3,'Capacity Backing (Hide)'!$A$75:$A$90,0),1):INDEX('Capacity Backing (Hide)'!$B$93:$BA$108,MATCH('Capacity Summary'!$B$3,'Capacity Backing (Hide)'!$A$75:$A$90,0),52),INDEX('Capacity Backing (Hide)'!$B$111:$BA$126,MATCH('Capacity Summary'!$B$3,'Capacity Backing (Hide)'!$A$75:$A$90,0),1):INDEX('Capacity Backing (Hide)'!$B$111:$BA$126,MATCH('Capacity Summary'!$B$3,'Capacity Backing (Hide)'!$A$75:$A$90,0),52)))</definedName>
    <definedName name="SPC_Baseline">INDEX('SPC Backing (Hide)'!$R$4:$R$263,1,1):INDEX('SPC Backing (Hide)'!$R$4:$R$263,Demand!$A$5,1)</definedName>
    <definedName name="SPC_Dates">INDEX('SPC Backing (Hide)'!$B$4:$B$263,1,1):INDEX('SPC Backing (Hide)'!$B$4:$B$263,Demand!$A$5,1)</definedName>
    <definedName name="SPC_Dates_End">INDEX('SPC Backing (Hide)'!$B$4:$B$263,MATCH(SPC!$B$12,'SPC Backing (Hide)'!$B$4:$B$263,0)+1,1):INDEX('SPC Backing (Hide)'!$B$4:$B$263,Demand!$A$5,1)</definedName>
    <definedName name="SPC_LCL">INDEX('SPC Backing (Hide)'!$X$4:$X$263,1,1):INDEX('SPC Backing (Hide)'!$X$4:$X$263,Demand!$A$5,1)</definedName>
    <definedName name="SPC_LowerPercentile">INDEX('SPC Backing (Hide)'!$AK$4:$AK$263,1,1):INDEX('SPC Backing (Hide)'!$AK$4:$AK$263,Demand!$A$5,1)</definedName>
    <definedName name="SPC_Mean">INDEX('SPC Backing (Hide)'!$T$4:$T$263,1,1):INDEX('SPC Backing (Hide)'!$T$4:$T$263,Demand!$A$5,1)</definedName>
    <definedName name="SPC_Minus1Sigma">INDEX('SPC Backing (Hide)'!$Z$4:$Z$263,1,1):INDEX('SPC Backing (Hide)'!$Z$4:$Z$263,Demand!$A$5,1)</definedName>
    <definedName name="SPC_Minus2Sigma">INDEX('SPC Backing (Hide)'!$Y$4:$Y$263,1,1):INDEX('SPC Backing (Hide)'!$Y$4:$Y$263,Demand!$A$5,1)</definedName>
    <definedName name="SPC_Plus1Sigma">INDEX('SPC Backing (Hide)'!$AA$4:$AA$263,1,1):INDEX('SPC Backing (Hide)'!$AA$4:$AA$263,Demand!$A$5,1)</definedName>
    <definedName name="SPC_Plus2Sigma">INDEX('SPC Backing (Hide)'!$AB$4:$AB$263,1,1):INDEX('SPC Backing (Hide)'!$AB$4:$AB$263,Demand!$A$5,1)</definedName>
    <definedName name="SPC_Rule1">INDEX('SPC Backing (Hide)'!$AD$4:$AD$263,1,1):INDEX('SPC Backing (Hide)'!$AD$4:$AD$263,Demand!$A$5,1)</definedName>
    <definedName name="SPC_Rule2">INDEX('SPC Backing (Hide)'!$AF$4:$AF$263,1,1):INDEX('SPC Backing (Hide)'!$AF$4:$AF$263,Demand!$A$5,1)</definedName>
    <definedName name="SPC_Rule3">INDEX('SPC Backing (Hide)'!$AH$4:$AH$263,1,1):INDEX('SPC Backing (Hide)'!$AH$4:$AH$263,Demand!$A$5,1)</definedName>
    <definedName name="SPC_Rule4">INDEX('SPC Backing (Hide)'!$AJ$4:$AJ$263,1,1):INDEX('SPC Backing (Hide)'!$AJ$4:$AJ$263,Demand!$A$5,1)</definedName>
    <definedName name="SPC_UCL">INDEX('SPC Backing (Hide)'!$AC$4:$AC$263,1,1):INDEX('SPC Backing (Hide)'!$AC$4:$AC$263,Demand!$A$5,1)</definedName>
    <definedName name="SPC_UpperPercentile">INDEX('SPC Backing (Hide)'!$AM$4:$AM$263,1,1):INDEX('SPC Backing (Hide)'!$AM$4:$AM$263,Demand!$A$5,1)</definedName>
    <definedName name="SPC_Values">INDEX('SPC Backing (Hide)'!$S$4:$S$263,1,1):INDEX('SPC Backing (Hide)'!$S$4:$S$263,Demand!$A$5,1)</definedName>
    <definedName name="Summary_AvailableCapacity">IF(Summary!$B$3="Non-Group",INDEX('Capacity Backing (Hide)'!$B$75:$BA$90,MATCH(Summary!$B$2,'Capacity Backing (Hide)'!$A$75:$A$90,0),1):INDEX('Capacity Backing (Hide)'!$B$75:$BA$90,MATCH(Summary!$B$2,'Capacity Backing (Hide)'!$A$75:$A$90,0),52),IF(Summary!$B$3="Group",INDEX('Capacity Backing (Hide)'!$B$93:$BA$108,MATCH(Summary!$B$2,'Capacity Backing (Hide)'!$A$75:$A$90,0),1):INDEX('Capacity Backing (Hide)'!$B$93:$BA$108,MATCH(Summary!$B$2,'Capacity Backing (Hide)'!$A$75:$A$90,0),52),INDEX('Capacity Backing (Hide)'!$B$111:$BA$126,MATCH(Summary!$B$2,'Capacity Backing (Hide)'!$A$75:$A$90,0),1):INDEX('Capacity Backing (Hide)'!$B$111:$BA$126,MATCH(Summary!$B$2,'Capacity Backing (Hide)'!$A$75:$A$90,0),52)))</definedName>
    <definedName name="Summary_Difference">'Required Capacity (Hide)'!$DA$5:$DA$56</definedName>
    <definedName name="Summary_LowerBound">INDEX('Required Capacity (Hide)'!$F$5:$CW$56,1,MATCH(1,(Summary!$B$2 = 'Required Capacity (Hide)'!$F$1:$CW$1)*(Summary!$B$3='Required Capacity (Hide)'!$F$2:$CW$2)*('Required Capacity (Hide)'!$F$4:CW$4="Lower Bound"),0)):INDEX('Required Capacity (Hide)'!$F$5:$CW$56,52,MATCH(1,(Summary!$B$2 = 'Required Capacity (Hide)'!$F$1:$CW$1)*(Summary!$B$3='Required Capacity (Hide)'!$F$2:$CW$2)*('Required Capacity (Hide)'!$F$4:$CW$4="Lower Bound"),0))</definedName>
    <definedName name="Summary_UpperBound">INDEX('Required Capacity (Hide)'!$F$5:$CW$56,1,MATCH(1,(Summary!$B$2 = 'Required Capacity (Hide)'!$F$1:$CW$1)*(Summary!$B$3='Required Capacity (Hide)'!$F$2:$CW$2)*('Required Capacity (Hide)'!$F$4:CW$4="Upper Bound"),0)):INDEX('Required Capacity (Hide)'!$F$5:$CW$56,52,MATCH(1,(Summary!$B$2 = 'Required Capacity (Hide)'!$F$1:$CW$1)*(Summary!$B$3='Required Capacity (Hide)'!$F$2:$CW$2)*('Required Capacity (Hide)'!$F$4:$CW$4="Upper Bound"),0))</definedName>
    <definedName name="Validation_Caseloads">INDEX('Data Validation (Hide)'!$B$2:$B$16,1,1):INDEX('Data Validation (Hide)'!$B$2:$B$16,Setup!$B$13,1)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" i="8" l="1"/>
  <c r="E3" i="11" l="1"/>
  <c r="D5" i="10" a="1"/>
  <c r="D5" i="10" s="1"/>
  <c r="E5" i="10" a="1"/>
  <c r="E5" i="10" s="1"/>
  <c r="F5" i="10" a="1"/>
  <c r="F5" i="10" s="1"/>
  <c r="G5" i="10" a="1"/>
  <c r="G5" i="10" s="1"/>
  <c r="H5" i="10" a="1"/>
  <c r="H5" i="10" s="1"/>
  <c r="I5" i="10" a="1"/>
  <c r="I5" i="10" s="1"/>
  <c r="J5" i="10" a="1"/>
  <c r="J5" i="10" s="1"/>
  <c r="D6" i="10" a="1"/>
  <c r="D6" i="10" s="1"/>
  <c r="E6" i="10" a="1"/>
  <c r="E6" i="10" s="1"/>
  <c r="F6" i="10" a="1"/>
  <c r="F6" i="10" s="1"/>
  <c r="G6" i="10" a="1"/>
  <c r="G6" i="10" s="1"/>
  <c r="H6" i="10" a="1"/>
  <c r="H6" i="10" s="1"/>
  <c r="I6" i="10" a="1"/>
  <c r="I6" i="10" s="1"/>
  <c r="J6" i="10" a="1"/>
  <c r="J6" i="10" s="1"/>
  <c r="D7" i="10" a="1"/>
  <c r="D7" i="10" s="1"/>
  <c r="E7" i="10" a="1"/>
  <c r="E7" i="10" s="1"/>
  <c r="F7" i="10" a="1"/>
  <c r="F7" i="10" s="1"/>
  <c r="G7" i="10" a="1"/>
  <c r="G7" i="10" s="1"/>
  <c r="H7" i="10" a="1"/>
  <c r="H7" i="10" s="1"/>
  <c r="I7" i="10" a="1"/>
  <c r="I7" i="10" s="1"/>
  <c r="J7" i="10" a="1"/>
  <c r="J7" i="10" s="1"/>
  <c r="D8" i="10" a="1"/>
  <c r="D8" i="10" s="1"/>
  <c r="E8" i="10" a="1"/>
  <c r="E8" i="10" s="1"/>
  <c r="F8" i="10" a="1"/>
  <c r="F8" i="10" s="1"/>
  <c r="G8" i="10" a="1"/>
  <c r="G8" i="10" s="1"/>
  <c r="H8" i="10" a="1"/>
  <c r="H8" i="10"/>
  <c r="I8" i="10" a="1"/>
  <c r="I8" i="10" s="1"/>
  <c r="J8" i="10" a="1"/>
  <c r="J8" i="10" s="1"/>
  <c r="D9" i="10" a="1"/>
  <c r="D9" i="10" s="1"/>
  <c r="E9" i="10" a="1"/>
  <c r="E9" i="10" s="1"/>
  <c r="F9" i="10" a="1"/>
  <c r="F9" i="10" s="1"/>
  <c r="G9" i="10" a="1"/>
  <c r="G9" i="10" s="1"/>
  <c r="H9" i="10" a="1"/>
  <c r="H9" i="10" s="1"/>
  <c r="I9" i="10" a="1"/>
  <c r="I9" i="10" s="1"/>
  <c r="J9" i="10" a="1"/>
  <c r="J9" i="10" s="1"/>
  <c r="D10" i="10" a="1"/>
  <c r="D10" i="10" s="1"/>
  <c r="E10" i="10" a="1"/>
  <c r="E10" i="10" s="1"/>
  <c r="F10" i="10" a="1"/>
  <c r="F10" i="10" s="1"/>
  <c r="G10" i="10" a="1"/>
  <c r="G10" i="10" s="1"/>
  <c r="H10" i="10" a="1"/>
  <c r="H10" i="10" s="1"/>
  <c r="I10" i="10" a="1"/>
  <c r="I10" i="10" s="1"/>
  <c r="J10" i="10" a="1"/>
  <c r="J10" i="10" s="1"/>
  <c r="D11" i="10" a="1"/>
  <c r="D11" i="10" s="1"/>
  <c r="E11" i="10" a="1"/>
  <c r="E11" i="10" s="1"/>
  <c r="F11" i="10" a="1"/>
  <c r="F11" i="10" s="1"/>
  <c r="G11" i="10" a="1"/>
  <c r="G11" i="10" s="1"/>
  <c r="H11" i="10" a="1"/>
  <c r="H11" i="10" s="1"/>
  <c r="I11" i="10" a="1"/>
  <c r="I11" i="10" s="1"/>
  <c r="J11" i="10" a="1"/>
  <c r="J11" i="10" s="1"/>
  <c r="D12" i="10" a="1"/>
  <c r="D12" i="10" s="1"/>
  <c r="E12" i="10" a="1"/>
  <c r="E12" i="10" s="1"/>
  <c r="F12" i="10" a="1"/>
  <c r="F12" i="10" s="1"/>
  <c r="G12" i="10" a="1"/>
  <c r="G12" i="10" s="1"/>
  <c r="H12" i="10" a="1"/>
  <c r="H12" i="10" s="1"/>
  <c r="I12" i="10" a="1"/>
  <c r="I12" i="10" s="1"/>
  <c r="J12" i="10" a="1"/>
  <c r="J12" i="10" s="1"/>
  <c r="D13" i="10" a="1"/>
  <c r="D13" i="10" s="1"/>
  <c r="E13" i="10" a="1"/>
  <c r="E13" i="10" s="1"/>
  <c r="F13" i="10" a="1"/>
  <c r="F13" i="10" s="1"/>
  <c r="G13" i="10" a="1"/>
  <c r="G13" i="10" s="1"/>
  <c r="H13" i="10" a="1"/>
  <c r="H13" i="10" s="1"/>
  <c r="I13" i="10" a="1"/>
  <c r="I13" i="10" s="1"/>
  <c r="J13" i="10" a="1"/>
  <c r="J13" i="10" s="1"/>
  <c r="D14" i="10" a="1"/>
  <c r="D14" i="10" s="1"/>
  <c r="E14" i="10" a="1"/>
  <c r="E14" i="10" s="1"/>
  <c r="F14" i="10" a="1"/>
  <c r="F14" i="10" s="1"/>
  <c r="G14" i="10" a="1"/>
  <c r="G14" i="10" s="1"/>
  <c r="H14" i="10" a="1"/>
  <c r="H14" i="10" s="1"/>
  <c r="I14" i="10" a="1"/>
  <c r="I14" i="10" s="1"/>
  <c r="J14" i="10" a="1"/>
  <c r="J14" i="10" s="1"/>
  <c r="D15" i="10" a="1"/>
  <c r="D15" i="10" s="1"/>
  <c r="E15" i="10" a="1"/>
  <c r="E15" i="10" s="1"/>
  <c r="F15" i="10" a="1"/>
  <c r="F15" i="10" s="1"/>
  <c r="G15" i="10" a="1"/>
  <c r="G15" i="10" s="1"/>
  <c r="H15" i="10" a="1"/>
  <c r="H15" i="10" s="1"/>
  <c r="I15" i="10" a="1"/>
  <c r="I15" i="10" s="1"/>
  <c r="J15" i="10" a="1"/>
  <c r="J15" i="10" s="1"/>
  <c r="D16" i="10" a="1"/>
  <c r="D16" i="10" s="1"/>
  <c r="E16" i="10" a="1"/>
  <c r="E16" i="10" s="1"/>
  <c r="F16" i="10" a="1"/>
  <c r="F16" i="10" s="1"/>
  <c r="G16" i="10" a="1"/>
  <c r="G16" i="10" s="1"/>
  <c r="H16" i="10" a="1"/>
  <c r="H16" i="10" s="1"/>
  <c r="I16" i="10" a="1"/>
  <c r="I16" i="10" s="1"/>
  <c r="J16" i="10" a="1"/>
  <c r="J16" i="10" s="1"/>
  <c r="D17" i="10" a="1"/>
  <c r="D17" i="10" s="1"/>
  <c r="E17" i="10" a="1"/>
  <c r="E17" i="10" s="1"/>
  <c r="F17" i="10" a="1"/>
  <c r="F17" i="10" s="1"/>
  <c r="G17" i="10" a="1"/>
  <c r="G17" i="10" s="1"/>
  <c r="H17" i="10" a="1"/>
  <c r="H17" i="10" s="1"/>
  <c r="I17" i="10" a="1"/>
  <c r="I17" i="10" s="1"/>
  <c r="J17" i="10" a="1"/>
  <c r="J17" i="10" s="1"/>
  <c r="D18" i="10" a="1"/>
  <c r="D18" i="10" s="1"/>
  <c r="E18" i="10" a="1"/>
  <c r="E18" i="10" s="1"/>
  <c r="F18" i="10" a="1"/>
  <c r="F18" i="10" s="1"/>
  <c r="G18" i="10" a="1"/>
  <c r="G18" i="10" s="1"/>
  <c r="H18" i="10" a="1"/>
  <c r="H18" i="10" s="1"/>
  <c r="I18" i="10" a="1"/>
  <c r="I18" i="10" s="1"/>
  <c r="J18" i="10" a="1"/>
  <c r="J18" i="10" s="1"/>
  <c r="D19" i="10" a="1"/>
  <c r="D19" i="10" s="1"/>
  <c r="E19" i="10" a="1"/>
  <c r="E19" i="10" s="1"/>
  <c r="F19" i="10" a="1"/>
  <c r="F19" i="10" s="1"/>
  <c r="G19" i="10" a="1"/>
  <c r="G19" i="10" s="1"/>
  <c r="H19" i="10" a="1"/>
  <c r="H19" i="10" s="1"/>
  <c r="I19" i="10" a="1"/>
  <c r="I19" i="10" s="1"/>
  <c r="J19" i="10" a="1"/>
  <c r="J19" i="10" s="1"/>
  <c r="D20" i="10" a="1"/>
  <c r="D20" i="10" s="1"/>
  <c r="E20" i="10" a="1"/>
  <c r="E20" i="10" s="1"/>
  <c r="F20" i="10" a="1"/>
  <c r="F20" i="10" s="1"/>
  <c r="G20" i="10" a="1"/>
  <c r="G20" i="10" s="1"/>
  <c r="H20" i="10" a="1"/>
  <c r="H20" i="10" s="1"/>
  <c r="I20" i="10" a="1"/>
  <c r="I20" i="10" s="1"/>
  <c r="J20" i="10" a="1"/>
  <c r="J20" i="10" s="1"/>
  <c r="D21" i="10" a="1"/>
  <c r="D21" i="10" s="1"/>
  <c r="E21" i="10" a="1"/>
  <c r="E21" i="10" s="1"/>
  <c r="F21" i="10" a="1"/>
  <c r="F21" i="10" s="1"/>
  <c r="G21" i="10" a="1"/>
  <c r="G21" i="10" s="1"/>
  <c r="H21" i="10" a="1"/>
  <c r="H21" i="10" s="1"/>
  <c r="I21" i="10" a="1"/>
  <c r="I21" i="10" s="1"/>
  <c r="J21" i="10" a="1"/>
  <c r="J21" i="10" s="1"/>
  <c r="D22" i="10" a="1"/>
  <c r="D22" i="10" s="1"/>
  <c r="E22" i="10" a="1"/>
  <c r="E22" i="10" s="1"/>
  <c r="F22" i="10" a="1"/>
  <c r="F22" i="10" s="1"/>
  <c r="G22" i="10" a="1"/>
  <c r="G22" i="10" s="1"/>
  <c r="H22" i="10" a="1"/>
  <c r="H22" i="10" s="1"/>
  <c r="I22" i="10" a="1"/>
  <c r="I22" i="10" s="1"/>
  <c r="J22" i="10" a="1"/>
  <c r="J22" i="10" s="1"/>
  <c r="D23" i="10" a="1"/>
  <c r="D23" i="10" s="1"/>
  <c r="E23" i="10" a="1"/>
  <c r="E23" i="10" s="1"/>
  <c r="F23" i="10" a="1"/>
  <c r="F23" i="10" s="1"/>
  <c r="G23" i="10" a="1"/>
  <c r="G23" i="10" s="1"/>
  <c r="H23" i="10" a="1"/>
  <c r="H23" i="10" s="1"/>
  <c r="I23" i="10" a="1"/>
  <c r="I23" i="10" s="1"/>
  <c r="J23" i="10" a="1"/>
  <c r="J23" i="10" s="1"/>
  <c r="D24" i="10" a="1"/>
  <c r="D24" i="10" s="1"/>
  <c r="E24" i="10" a="1"/>
  <c r="E24" i="10" s="1"/>
  <c r="F24" i="10" a="1"/>
  <c r="F24" i="10" s="1"/>
  <c r="G24" i="10" a="1"/>
  <c r="G24" i="10" s="1"/>
  <c r="H24" i="10" a="1"/>
  <c r="H24" i="10" s="1"/>
  <c r="I24" i="10" a="1"/>
  <c r="I24" i="10" s="1"/>
  <c r="J24" i="10" a="1"/>
  <c r="J24" i="10" s="1"/>
  <c r="D25" i="10" a="1"/>
  <c r="D25" i="10" s="1"/>
  <c r="E25" i="10" a="1"/>
  <c r="E25" i="10" s="1"/>
  <c r="F25" i="10" a="1"/>
  <c r="F25" i="10" s="1"/>
  <c r="G25" i="10" a="1"/>
  <c r="G25" i="10" s="1"/>
  <c r="H25" i="10" a="1"/>
  <c r="H25" i="10" s="1"/>
  <c r="I25" i="10" a="1"/>
  <c r="I25" i="10" s="1"/>
  <c r="J25" i="10" a="1"/>
  <c r="J25" i="10" s="1"/>
  <c r="D26" i="10" a="1"/>
  <c r="D26" i="10" s="1"/>
  <c r="E26" i="10" a="1"/>
  <c r="E26" i="10" s="1"/>
  <c r="F26" i="10" a="1"/>
  <c r="F26" i="10" s="1"/>
  <c r="G26" i="10" a="1"/>
  <c r="G26" i="10" s="1"/>
  <c r="H26" i="10" a="1"/>
  <c r="H26" i="10" s="1"/>
  <c r="I26" i="10" a="1"/>
  <c r="I26" i="10" s="1"/>
  <c r="J26" i="10" a="1"/>
  <c r="J26" i="10" s="1"/>
  <c r="D27" i="10" a="1"/>
  <c r="D27" i="10" s="1"/>
  <c r="E27" i="10" a="1"/>
  <c r="E27" i="10" s="1"/>
  <c r="F27" i="10" a="1"/>
  <c r="F27" i="10" s="1"/>
  <c r="G27" i="10" a="1"/>
  <c r="G27" i="10" s="1"/>
  <c r="H27" i="10" a="1"/>
  <c r="H27" i="10" s="1"/>
  <c r="I27" i="10" a="1"/>
  <c r="I27" i="10" s="1"/>
  <c r="J27" i="10" a="1"/>
  <c r="J27" i="10" s="1"/>
  <c r="D28" i="10" a="1"/>
  <c r="D28" i="10" s="1"/>
  <c r="E28" i="10" a="1"/>
  <c r="E28" i="10" s="1"/>
  <c r="F28" i="10" a="1"/>
  <c r="F28" i="10" s="1"/>
  <c r="G28" i="10" a="1"/>
  <c r="G28" i="10" s="1"/>
  <c r="H28" i="10" a="1"/>
  <c r="H28" i="10" s="1"/>
  <c r="I28" i="10" a="1"/>
  <c r="I28" i="10" s="1"/>
  <c r="J28" i="10" a="1"/>
  <c r="J28" i="10" s="1"/>
  <c r="D29" i="10" a="1"/>
  <c r="D29" i="10" s="1"/>
  <c r="E29" i="10" a="1"/>
  <c r="E29" i="10" s="1"/>
  <c r="F29" i="10" a="1"/>
  <c r="F29" i="10" s="1"/>
  <c r="G29" i="10" a="1"/>
  <c r="G29" i="10" s="1"/>
  <c r="H29" i="10" a="1"/>
  <c r="H29" i="10" s="1"/>
  <c r="I29" i="10" a="1"/>
  <c r="I29" i="10" s="1"/>
  <c r="J29" i="10" a="1"/>
  <c r="J29" i="10" s="1"/>
  <c r="D30" i="10" a="1"/>
  <c r="D30" i="10" s="1"/>
  <c r="E30" i="10" a="1"/>
  <c r="E30" i="10" s="1"/>
  <c r="F30" i="10" a="1"/>
  <c r="F30" i="10" s="1"/>
  <c r="G30" i="10" a="1"/>
  <c r="G30" i="10" s="1"/>
  <c r="H30" i="10" a="1"/>
  <c r="H30" i="10" s="1"/>
  <c r="I30" i="10" a="1"/>
  <c r="I30" i="10" s="1"/>
  <c r="J30" i="10" a="1"/>
  <c r="J30" i="10" s="1"/>
  <c r="D31" i="10" a="1"/>
  <c r="D31" i="10" s="1"/>
  <c r="E31" i="10" a="1"/>
  <c r="E31" i="10" s="1"/>
  <c r="F31" i="10" a="1"/>
  <c r="F31" i="10" s="1"/>
  <c r="G31" i="10" a="1"/>
  <c r="G31" i="10" s="1"/>
  <c r="H31" i="10" a="1"/>
  <c r="H31" i="10" s="1"/>
  <c r="I31" i="10" a="1"/>
  <c r="I31" i="10" s="1"/>
  <c r="J31" i="10" a="1"/>
  <c r="J31" i="10" s="1"/>
  <c r="D32" i="10" a="1"/>
  <c r="D32" i="10" s="1"/>
  <c r="E32" i="10" a="1"/>
  <c r="E32" i="10" s="1"/>
  <c r="F32" i="10" a="1"/>
  <c r="F32" i="10" s="1"/>
  <c r="G32" i="10" a="1"/>
  <c r="G32" i="10" s="1"/>
  <c r="H32" i="10" a="1"/>
  <c r="H32" i="10" s="1"/>
  <c r="I32" i="10" a="1"/>
  <c r="I32" i="10" s="1"/>
  <c r="J32" i="10" a="1"/>
  <c r="J32" i="10" s="1"/>
  <c r="D33" i="10" a="1"/>
  <c r="D33" i="10" s="1"/>
  <c r="E33" i="10" a="1"/>
  <c r="E33" i="10" s="1"/>
  <c r="F33" i="10" a="1"/>
  <c r="F33" i="10" s="1"/>
  <c r="G33" i="10" a="1"/>
  <c r="G33" i="10" s="1"/>
  <c r="H33" i="10" a="1"/>
  <c r="H33" i="10" s="1"/>
  <c r="I33" i="10" a="1"/>
  <c r="I33" i="10" s="1"/>
  <c r="J33" i="10" a="1"/>
  <c r="J33" i="10" s="1"/>
  <c r="D34" i="10" a="1"/>
  <c r="D34" i="10" s="1"/>
  <c r="E34" i="10" a="1"/>
  <c r="E34" i="10" s="1"/>
  <c r="F34" i="10" a="1"/>
  <c r="F34" i="10" s="1"/>
  <c r="G34" i="10" a="1"/>
  <c r="G34" i="10" s="1"/>
  <c r="H34" i="10" a="1"/>
  <c r="H34" i="10" s="1"/>
  <c r="I34" i="10" a="1"/>
  <c r="I34" i="10" s="1"/>
  <c r="J34" i="10" a="1"/>
  <c r="J34" i="10" s="1"/>
  <c r="D35" i="10" a="1"/>
  <c r="D35" i="10" s="1"/>
  <c r="E35" i="10" a="1"/>
  <c r="E35" i="10" s="1"/>
  <c r="F35" i="10" a="1"/>
  <c r="F35" i="10" s="1"/>
  <c r="G35" i="10" a="1"/>
  <c r="G35" i="10" s="1"/>
  <c r="H35" i="10" a="1"/>
  <c r="H35" i="10" s="1"/>
  <c r="I35" i="10" a="1"/>
  <c r="I35" i="10" s="1"/>
  <c r="J35" i="10" a="1"/>
  <c r="J35" i="10" s="1"/>
  <c r="D36" i="10" a="1"/>
  <c r="D36" i="10" s="1"/>
  <c r="E36" i="10" a="1"/>
  <c r="E36" i="10" s="1"/>
  <c r="F36" i="10" a="1"/>
  <c r="F36" i="10" s="1"/>
  <c r="G36" i="10" a="1"/>
  <c r="G36" i="10" s="1"/>
  <c r="H36" i="10" a="1"/>
  <c r="H36" i="10" s="1"/>
  <c r="I36" i="10" a="1"/>
  <c r="I36" i="10" s="1"/>
  <c r="J36" i="10" a="1"/>
  <c r="J36" i="10" s="1"/>
  <c r="D37" i="10" a="1"/>
  <c r="D37" i="10" s="1"/>
  <c r="E37" i="10" a="1"/>
  <c r="E37" i="10" s="1"/>
  <c r="F37" i="10" a="1"/>
  <c r="F37" i="10" s="1"/>
  <c r="G37" i="10" a="1"/>
  <c r="G37" i="10" s="1"/>
  <c r="H37" i="10" a="1"/>
  <c r="H37" i="10" s="1"/>
  <c r="I37" i="10" a="1"/>
  <c r="I37" i="10" s="1"/>
  <c r="J37" i="10" a="1"/>
  <c r="J37" i="10" s="1"/>
  <c r="D38" i="10" a="1"/>
  <c r="D38" i="10" s="1"/>
  <c r="E38" i="10" a="1"/>
  <c r="E38" i="10" s="1"/>
  <c r="F38" i="10" a="1"/>
  <c r="F38" i="10" s="1"/>
  <c r="G38" i="10" a="1"/>
  <c r="G38" i="10" s="1"/>
  <c r="H38" i="10" a="1"/>
  <c r="H38" i="10" s="1"/>
  <c r="I38" i="10" a="1"/>
  <c r="I38" i="10" s="1"/>
  <c r="J38" i="10" a="1"/>
  <c r="J38" i="10" s="1"/>
  <c r="D39" i="10" a="1"/>
  <c r="D39" i="10" s="1"/>
  <c r="E39" i="10" a="1"/>
  <c r="E39" i="10" s="1"/>
  <c r="F39" i="10" a="1"/>
  <c r="F39" i="10" s="1"/>
  <c r="G39" i="10" a="1"/>
  <c r="G39" i="10" s="1"/>
  <c r="H39" i="10" a="1"/>
  <c r="H39" i="10" s="1"/>
  <c r="I39" i="10" a="1"/>
  <c r="I39" i="10" s="1"/>
  <c r="J39" i="10" a="1"/>
  <c r="J39" i="10" s="1"/>
  <c r="D40" i="10" a="1"/>
  <c r="D40" i="10" s="1"/>
  <c r="E40" i="10" a="1"/>
  <c r="E40" i="10" s="1"/>
  <c r="F40" i="10" a="1"/>
  <c r="F40" i="10" s="1"/>
  <c r="G40" i="10" a="1"/>
  <c r="G40" i="10" s="1"/>
  <c r="H40" i="10" a="1"/>
  <c r="H40" i="10" s="1"/>
  <c r="I40" i="10" a="1"/>
  <c r="I40" i="10" s="1"/>
  <c r="J40" i="10" a="1"/>
  <c r="J40" i="10" s="1"/>
  <c r="D41" i="10" a="1"/>
  <c r="D41" i="10" s="1"/>
  <c r="E41" i="10" a="1"/>
  <c r="E41" i="10" s="1"/>
  <c r="F41" i="10" a="1"/>
  <c r="F41" i="10" s="1"/>
  <c r="G41" i="10" a="1"/>
  <c r="G41" i="10" s="1"/>
  <c r="H41" i="10" a="1"/>
  <c r="H41" i="10" s="1"/>
  <c r="I41" i="10" a="1"/>
  <c r="I41" i="10" s="1"/>
  <c r="J41" i="10" a="1"/>
  <c r="J41" i="10" s="1"/>
  <c r="D42" i="10" a="1"/>
  <c r="D42" i="10" s="1"/>
  <c r="E42" i="10" a="1"/>
  <c r="E42" i="10" s="1"/>
  <c r="F42" i="10" a="1"/>
  <c r="F42" i="10" s="1"/>
  <c r="G42" i="10" a="1"/>
  <c r="G42" i="10" s="1"/>
  <c r="H42" i="10" a="1"/>
  <c r="H42" i="10" s="1"/>
  <c r="I42" i="10" a="1"/>
  <c r="I42" i="10" s="1"/>
  <c r="J42" i="10" a="1"/>
  <c r="J42" i="10" s="1"/>
  <c r="D43" i="10" a="1"/>
  <c r="D43" i="10" s="1"/>
  <c r="E43" i="10" a="1"/>
  <c r="E43" i="10" s="1"/>
  <c r="F43" i="10" a="1"/>
  <c r="F43" i="10" s="1"/>
  <c r="G43" i="10" a="1"/>
  <c r="G43" i="10" s="1"/>
  <c r="H43" i="10" a="1"/>
  <c r="H43" i="10" s="1"/>
  <c r="I43" i="10" a="1"/>
  <c r="I43" i="10" s="1"/>
  <c r="J43" i="10" a="1"/>
  <c r="J43" i="10" s="1"/>
  <c r="D44" i="10" a="1"/>
  <c r="D44" i="10" s="1"/>
  <c r="E44" i="10" a="1"/>
  <c r="E44" i="10" s="1"/>
  <c r="F44" i="10" a="1"/>
  <c r="F44" i="10" s="1"/>
  <c r="G44" i="10" a="1"/>
  <c r="G44" i="10" s="1"/>
  <c r="H44" i="10" a="1"/>
  <c r="H44" i="10" s="1"/>
  <c r="I44" i="10" a="1"/>
  <c r="I44" i="10" s="1"/>
  <c r="J44" i="10" a="1"/>
  <c r="J44" i="10" s="1"/>
  <c r="D45" i="10" a="1"/>
  <c r="D45" i="10" s="1"/>
  <c r="E45" i="10" a="1"/>
  <c r="E45" i="10" s="1"/>
  <c r="F45" i="10" a="1"/>
  <c r="F45" i="10" s="1"/>
  <c r="G45" i="10" a="1"/>
  <c r="G45" i="10" s="1"/>
  <c r="H45" i="10" a="1"/>
  <c r="H45" i="10" s="1"/>
  <c r="I45" i="10" a="1"/>
  <c r="I45" i="10" s="1"/>
  <c r="J45" i="10" a="1"/>
  <c r="J45" i="10" s="1"/>
  <c r="D46" i="10" a="1"/>
  <c r="D46" i="10" s="1"/>
  <c r="E46" i="10" a="1"/>
  <c r="E46" i="10" s="1"/>
  <c r="F46" i="10" a="1"/>
  <c r="F46" i="10" s="1"/>
  <c r="G46" i="10" a="1"/>
  <c r="G46" i="10" s="1"/>
  <c r="H46" i="10" a="1"/>
  <c r="H46" i="10" s="1"/>
  <c r="I46" i="10" a="1"/>
  <c r="I46" i="10" s="1"/>
  <c r="J46" i="10" a="1"/>
  <c r="J46" i="10" s="1"/>
  <c r="D47" i="10" a="1"/>
  <c r="D47" i="10" s="1"/>
  <c r="E47" i="10" a="1"/>
  <c r="E47" i="10" s="1"/>
  <c r="F47" i="10" a="1"/>
  <c r="F47" i="10" s="1"/>
  <c r="G47" i="10" a="1"/>
  <c r="G47" i="10" s="1"/>
  <c r="H47" i="10" a="1"/>
  <c r="H47" i="10" s="1"/>
  <c r="I47" i="10" a="1"/>
  <c r="I47" i="10" s="1"/>
  <c r="J47" i="10" a="1"/>
  <c r="J47" i="10" s="1"/>
  <c r="D48" i="10" a="1"/>
  <c r="D48" i="10" s="1"/>
  <c r="E48" i="10" a="1"/>
  <c r="E48" i="10" s="1"/>
  <c r="F48" i="10" a="1"/>
  <c r="F48" i="10" s="1"/>
  <c r="G48" i="10" a="1"/>
  <c r="G48" i="10" s="1"/>
  <c r="H48" i="10" a="1"/>
  <c r="H48" i="10" s="1"/>
  <c r="I48" i="10" a="1"/>
  <c r="I48" i="10" s="1"/>
  <c r="J48" i="10" a="1"/>
  <c r="J48" i="10" s="1"/>
  <c r="D49" i="10" a="1"/>
  <c r="D49" i="10" s="1"/>
  <c r="E49" i="10" a="1"/>
  <c r="E49" i="10" s="1"/>
  <c r="F49" i="10" a="1"/>
  <c r="F49" i="10" s="1"/>
  <c r="G49" i="10" a="1"/>
  <c r="G49" i="10" s="1"/>
  <c r="H49" i="10" a="1"/>
  <c r="H49" i="10" s="1"/>
  <c r="I49" i="10" a="1"/>
  <c r="I49" i="10" s="1"/>
  <c r="J49" i="10" a="1"/>
  <c r="J49" i="10" s="1"/>
  <c r="D50" i="10" a="1"/>
  <c r="D50" i="10" s="1"/>
  <c r="E50" i="10" a="1"/>
  <c r="E50" i="10" s="1"/>
  <c r="F50" i="10" a="1"/>
  <c r="F50" i="10" s="1"/>
  <c r="G50" i="10" a="1"/>
  <c r="G50" i="10" s="1"/>
  <c r="H50" i="10" a="1"/>
  <c r="H50" i="10" s="1"/>
  <c r="I50" i="10" a="1"/>
  <c r="I50" i="10" s="1"/>
  <c r="J50" i="10" a="1"/>
  <c r="J50" i="10" s="1"/>
  <c r="D51" i="10" a="1"/>
  <c r="D51" i="10" s="1"/>
  <c r="E51" i="10" a="1"/>
  <c r="E51" i="10" s="1"/>
  <c r="F51" i="10" a="1"/>
  <c r="F51" i="10" s="1"/>
  <c r="G51" i="10" a="1"/>
  <c r="G51" i="10" s="1"/>
  <c r="H51" i="10" a="1"/>
  <c r="H51" i="10" s="1"/>
  <c r="I51" i="10" a="1"/>
  <c r="I51" i="10" s="1"/>
  <c r="J51" i="10" a="1"/>
  <c r="J51" i="10" s="1"/>
  <c r="D52" i="10" a="1"/>
  <c r="D52" i="10" s="1"/>
  <c r="E52" i="10" a="1"/>
  <c r="E52" i="10" s="1"/>
  <c r="F52" i="10" a="1"/>
  <c r="F52" i="10" s="1"/>
  <c r="G52" i="10" a="1"/>
  <c r="G52" i="10" s="1"/>
  <c r="H52" i="10" a="1"/>
  <c r="H52" i="10" s="1"/>
  <c r="I52" i="10" a="1"/>
  <c r="I52" i="10" s="1"/>
  <c r="J52" i="10" a="1"/>
  <c r="J52" i="10" s="1"/>
  <c r="D53" i="10" a="1"/>
  <c r="D53" i="10" s="1"/>
  <c r="E53" i="10" a="1"/>
  <c r="E53" i="10" s="1"/>
  <c r="F53" i="10" a="1"/>
  <c r="F53" i="10" s="1"/>
  <c r="G53" i="10" a="1"/>
  <c r="G53" i="10" s="1"/>
  <c r="H53" i="10" a="1"/>
  <c r="H53" i="10" s="1"/>
  <c r="I53" i="10" a="1"/>
  <c r="I53" i="10" s="1"/>
  <c r="J53" i="10" a="1"/>
  <c r="J53" i="10" s="1"/>
  <c r="D54" i="10" a="1"/>
  <c r="D54" i="10" s="1"/>
  <c r="E54" i="10" a="1"/>
  <c r="E54" i="10" s="1"/>
  <c r="F54" i="10" a="1"/>
  <c r="F54" i="10" s="1"/>
  <c r="G54" i="10" a="1"/>
  <c r="G54" i="10" s="1"/>
  <c r="H54" i="10" a="1"/>
  <c r="H54" i="10" s="1"/>
  <c r="I54" i="10" a="1"/>
  <c r="I54" i="10" s="1"/>
  <c r="J54" i="10" a="1"/>
  <c r="J54" i="10" s="1"/>
  <c r="D55" i="10" a="1"/>
  <c r="D55" i="10" s="1"/>
  <c r="E55" i="10" a="1"/>
  <c r="E55" i="10" s="1"/>
  <c r="F55" i="10" a="1"/>
  <c r="F55" i="10" s="1"/>
  <c r="G55" i="10" a="1"/>
  <c r="G55" i="10" s="1"/>
  <c r="H55" i="10" a="1"/>
  <c r="H55" i="10" s="1"/>
  <c r="I55" i="10" a="1"/>
  <c r="I55" i="10" s="1"/>
  <c r="J55" i="10" a="1"/>
  <c r="J55" i="10" s="1"/>
  <c r="D4" i="10" a="1"/>
  <c r="D4" i="10" s="1"/>
  <c r="E4" i="10" a="1"/>
  <c r="E4" i="10" s="1"/>
  <c r="F4" i="10" a="1"/>
  <c r="F4" i="10" s="1"/>
  <c r="G4" i="10" a="1"/>
  <c r="G4" i="10" s="1"/>
  <c r="H4" i="10" a="1"/>
  <c r="H4" i="10" s="1"/>
  <c r="I4" i="10" a="1"/>
  <c r="I4" i="10" s="1"/>
  <c r="J4" i="10" a="1"/>
  <c r="J4" i="10" s="1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4" i="6"/>
  <c r="AK3" i="5" l="1"/>
  <c r="C2" i="10" l="1" a="1"/>
  <c r="C2" i="10" s="1"/>
  <c r="D2" i="10" a="1"/>
  <c r="D2" i="10" s="1"/>
  <c r="E2" i="10" a="1"/>
  <c r="E2" i="10" s="1"/>
  <c r="F2" i="10" a="1"/>
  <c r="F2" i="10" s="1"/>
  <c r="G2" i="10" a="1"/>
  <c r="G2" i="10" s="1"/>
  <c r="H2" i="10" a="1"/>
  <c r="H2" i="10" s="1"/>
  <c r="I2" i="10" a="1"/>
  <c r="I2" i="10" s="1"/>
  <c r="J2" i="10" a="1"/>
  <c r="J2" i="10" s="1"/>
  <c r="B2" i="10" a="1"/>
  <c r="B2" i="10" s="1"/>
  <c r="C1" i="10" a="1"/>
  <c r="C1" i="10" s="1"/>
  <c r="D1" i="10" a="1"/>
  <c r="D1" i="10" s="1"/>
  <c r="E1" i="10" a="1"/>
  <c r="E1" i="10" s="1"/>
  <c r="F1" i="10" a="1"/>
  <c r="F1" i="10" s="1"/>
  <c r="G1" i="10" a="1"/>
  <c r="G1" i="10" s="1"/>
  <c r="H1" i="10" a="1"/>
  <c r="H1" i="10" s="1"/>
  <c r="I1" i="10" a="1"/>
  <c r="I1" i="10" s="1"/>
  <c r="J1" i="10" a="1"/>
  <c r="J1" i="10" s="1"/>
  <c r="B1" i="10" a="1"/>
  <c r="B1" i="10" s="1"/>
  <c r="U5" i="9"/>
  <c r="V5" i="9" s="1"/>
  <c r="W5" i="9" s="1"/>
  <c r="U4" i="9"/>
  <c r="V4" i="9" s="1"/>
  <c r="W4" i="9" s="1"/>
  <c r="C18" i="10" l="1" a="1"/>
  <c r="C18" i="10" s="1"/>
  <c r="C19" i="10" a="1"/>
  <c r="C19" i="10" s="1"/>
  <c r="C25" i="10" a="1"/>
  <c r="C25" i="10" s="1"/>
  <c r="C29" i="10" a="1"/>
  <c r="C29" i="10" s="1"/>
  <c r="C30" i="10" a="1"/>
  <c r="C30" i="10" s="1"/>
  <c r="C35" i="10" a="1"/>
  <c r="C35" i="10" s="1"/>
  <c r="C41" i="10" a="1"/>
  <c r="C41" i="10" s="1"/>
  <c r="C45" i="10" a="1"/>
  <c r="C45" i="10" s="1"/>
  <c r="C49" i="10" a="1"/>
  <c r="C49" i="10" s="1"/>
  <c r="C53" i="10" a="1"/>
  <c r="C53" i="10" s="1"/>
  <c r="C4" i="10" a="1"/>
  <c r="C4" i="10" s="1"/>
  <c r="C10" i="10" a="1"/>
  <c r="C10" i="10" s="1"/>
  <c r="C11" i="10" a="1"/>
  <c r="C11" i="10" s="1"/>
  <c r="C5" i="10" a="1"/>
  <c r="C5" i="10" s="1"/>
  <c r="C6" i="10" a="1"/>
  <c r="C6" i="10" s="1"/>
  <c r="C7" i="10" a="1"/>
  <c r="C7" i="10" s="1"/>
  <c r="C8" i="10" a="1"/>
  <c r="C8" i="10" s="1"/>
  <c r="C20" i="10" a="1"/>
  <c r="C20" i="10" s="1"/>
  <c r="C21" i="10" a="1"/>
  <c r="C21" i="10" s="1"/>
  <c r="C22" i="10" a="1"/>
  <c r="C22" i="10" s="1"/>
  <c r="C23" i="10" a="1"/>
  <c r="C23" i="10" s="1"/>
  <c r="C31" i="10" a="1"/>
  <c r="C31" i="10" s="1"/>
  <c r="C36" i="10" a="1"/>
  <c r="C36" i="10" s="1"/>
  <c r="C37" i="10" a="1"/>
  <c r="C37" i="10" s="1"/>
  <c r="C38" i="10" a="1"/>
  <c r="C38" i="10" s="1"/>
  <c r="C42" i="10" a="1"/>
  <c r="C42" i="10" s="1"/>
  <c r="C46" i="10" a="1"/>
  <c r="C46" i="10" s="1"/>
  <c r="C50" i="10" a="1"/>
  <c r="C50" i="10" s="1"/>
  <c r="C17" i="10" a="1"/>
  <c r="C17" i="10" s="1"/>
  <c r="C24" i="10" a="1"/>
  <c r="C24" i="10" s="1"/>
  <c r="C28" i="10" a="1"/>
  <c r="C28" i="10" s="1"/>
  <c r="C44" i="10" a="1"/>
  <c r="C44" i="10" s="1"/>
  <c r="C48" i="10" a="1"/>
  <c r="C48" i="10" s="1"/>
  <c r="C52" i="10" a="1"/>
  <c r="C52" i="10" s="1"/>
  <c r="C55" i="10" a="1"/>
  <c r="C55" i="10" s="1"/>
  <c r="C9" i="10" a="1"/>
  <c r="C9" i="10" s="1"/>
  <c r="C26" i="10" a="1"/>
  <c r="C26" i="10" s="1"/>
  <c r="C27" i="10" a="1"/>
  <c r="C27" i="10" s="1"/>
  <c r="C32" i="10" a="1"/>
  <c r="C32" i="10" s="1"/>
  <c r="C39" i="10" a="1"/>
  <c r="C39" i="10" s="1"/>
  <c r="C43" i="10" a="1"/>
  <c r="C43" i="10" s="1"/>
  <c r="C47" i="10" a="1"/>
  <c r="C47" i="10" s="1"/>
  <c r="C51" i="10" a="1"/>
  <c r="C51" i="10" s="1"/>
  <c r="C54" i="10" a="1"/>
  <c r="C54" i="10" s="1"/>
  <c r="C12" i="10" a="1"/>
  <c r="C12" i="10" s="1"/>
  <c r="C13" i="10" a="1"/>
  <c r="C13" i="10" s="1"/>
  <c r="C14" i="10" a="1"/>
  <c r="C14" i="10" s="1"/>
  <c r="C15" i="10" a="1"/>
  <c r="C15" i="10" s="1"/>
  <c r="C16" i="10" a="1"/>
  <c r="C16" i="10" s="1"/>
  <c r="C33" i="10" a="1"/>
  <c r="C33" i="10" s="1"/>
  <c r="C34" i="10" a="1"/>
  <c r="C34" i="10" s="1"/>
  <c r="C40" i="10" a="1"/>
  <c r="C40" i="10" s="1"/>
  <c r="B19" i="10" a="1"/>
  <c r="B19" i="10" s="1"/>
  <c r="B20" i="10" a="1"/>
  <c r="B20" i="10" s="1"/>
  <c r="B23" i="10" a="1"/>
  <c r="B23" i="10" s="1"/>
  <c r="B24" i="10" a="1"/>
  <c r="B24" i="10" s="1"/>
  <c r="B25" i="10" a="1"/>
  <c r="B25" i="10" s="1"/>
  <c r="B26" i="10" a="1"/>
  <c r="B26" i="10" s="1"/>
  <c r="B35" i="10" a="1"/>
  <c r="B35" i="10" s="1"/>
  <c r="B36" i="10" a="1"/>
  <c r="B36" i="10" s="1"/>
  <c r="B42" i="10" a="1"/>
  <c r="B42" i="10" s="1"/>
  <c r="B45" i="10" a="1"/>
  <c r="B45" i="10" s="1"/>
  <c r="B50" i="10" a="1"/>
  <c r="B50" i="10" s="1"/>
  <c r="B53" i="10" a="1"/>
  <c r="B53" i="10" s="1"/>
  <c r="B7" i="10" a="1"/>
  <c r="B7" i="10" s="1"/>
  <c r="B14" i="10" a="1"/>
  <c r="B14" i="10" s="1"/>
  <c r="B29" i="10" a="1"/>
  <c r="B29" i="10" s="1"/>
  <c r="B46" i="10" a="1"/>
  <c r="B46" i="10" s="1"/>
  <c r="B5" i="10" a="1"/>
  <c r="B5" i="10" s="1"/>
  <c r="B6" i="10" a="1"/>
  <c r="B6" i="10" s="1"/>
  <c r="B8" i="10" a="1"/>
  <c r="B8" i="10" s="1"/>
  <c r="B12" i="10" a="1"/>
  <c r="B12" i="10" s="1"/>
  <c r="B15" i="10" a="1"/>
  <c r="B15" i="10" s="1"/>
  <c r="B16" i="10" a="1"/>
  <c r="B16" i="10" s="1"/>
  <c r="B18" i="10" a="1"/>
  <c r="B18" i="10" s="1"/>
  <c r="B21" i="10" a="1"/>
  <c r="B21" i="10" s="1"/>
  <c r="B27" i="10" a="1"/>
  <c r="B27" i="10" s="1"/>
  <c r="B28" i="10" a="1"/>
  <c r="B28" i="10" s="1"/>
  <c r="B37" i="10" a="1"/>
  <c r="B37" i="10" s="1"/>
  <c r="B38" i="10" a="1"/>
  <c r="B38" i="10" s="1"/>
  <c r="B40" i="10" a="1"/>
  <c r="B40" i="10" s="1"/>
  <c r="B43" i="10" a="1"/>
  <c r="B43" i="10" s="1"/>
  <c r="B48" i="10" a="1"/>
  <c r="B48" i="10" s="1"/>
  <c r="B51" i="10" a="1"/>
  <c r="B51" i="10" s="1"/>
  <c r="B4" i="10" a="1"/>
  <c r="B4" i="10" s="1"/>
  <c r="B9" i="10" a="1"/>
  <c r="B9" i="10" s="1"/>
  <c r="B10" i="10" a="1"/>
  <c r="B10" i="10" s="1"/>
  <c r="B11" i="10" a="1"/>
  <c r="B11" i="10" s="1"/>
  <c r="B13" i="10" a="1"/>
  <c r="B13" i="10" s="1"/>
  <c r="B17" i="10" a="1"/>
  <c r="B17" i="10" s="1"/>
  <c r="B41" i="10" a="1"/>
  <c r="B41" i="10" s="1"/>
  <c r="B49" i="10" a="1"/>
  <c r="B49" i="10" s="1"/>
  <c r="B54" i="10" a="1"/>
  <c r="B54" i="10" s="1"/>
  <c r="B22" i="10" a="1"/>
  <c r="B22" i="10" s="1"/>
  <c r="B31" i="10" a="1"/>
  <c r="B31" i="10" s="1"/>
  <c r="B32" i="10" a="1"/>
  <c r="B32" i="10" s="1"/>
  <c r="B33" i="10" a="1"/>
  <c r="B33" i="10" s="1"/>
  <c r="B34" i="10" a="1"/>
  <c r="B34" i="10" s="1"/>
  <c r="B39" i="10" a="1"/>
  <c r="B39" i="10" s="1"/>
  <c r="B44" i="10" a="1"/>
  <c r="B44" i="10" s="1"/>
  <c r="B47" i="10" a="1"/>
  <c r="B47" i="10" s="1"/>
  <c r="B52" i="10" a="1"/>
  <c r="B52" i="10" s="1"/>
  <c r="B55" i="10" a="1"/>
  <c r="B55" i="10" s="1"/>
  <c r="B30" i="10" a="1"/>
  <c r="B30" i="10" s="1"/>
  <c r="H5" i="6" l="1"/>
  <c r="J4" i="6" s="1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4" i="6"/>
  <c r="I4" i="6" s="1"/>
  <c r="J74" i="6"/>
  <c r="I74" i="6"/>
  <c r="J69" i="6"/>
  <c r="I69" i="6"/>
  <c r="J64" i="6"/>
  <c r="I64" i="6"/>
  <c r="J59" i="6"/>
  <c r="I59" i="6"/>
  <c r="J54" i="6"/>
  <c r="I54" i="6"/>
  <c r="J49" i="6"/>
  <c r="I49" i="6"/>
  <c r="J44" i="6"/>
  <c r="I44" i="6"/>
  <c r="J39" i="6"/>
  <c r="I39" i="6"/>
  <c r="J34" i="6"/>
  <c r="I34" i="6"/>
  <c r="J29" i="6"/>
  <c r="I29" i="6"/>
  <c r="J24" i="6"/>
  <c r="I24" i="6"/>
  <c r="J19" i="6"/>
  <c r="I19" i="6"/>
  <c r="J14" i="6"/>
  <c r="I14" i="6"/>
  <c r="J9" i="6"/>
  <c r="I9" i="6"/>
  <c r="T2" i="5" l="1"/>
  <c r="B79" i="5"/>
  <c r="B83" i="5"/>
  <c r="B87" i="5"/>
  <c r="B91" i="5"/>
  <c r="B95" i="5"/>
  <c r="B99" i="5"/>
  <c r="B103" i="5"/>
  <c r="B107" i="5"/>
  <c r="B111" i="5"/>
  <c r="B115" i="5"/>
  <c r="B119" i="5"/>
  <c r="B123" i="5"/>
  <c r="B127" i="5"/>
  <c r="B131" i="5"/>
  <c r="B135" i="5"/>
  <c r="B139" i="5"/>
  <c r="B143" i="5"/>
  <c r="B147" i="5"/>
  <c r="B151" i="5"/>
  <c r="B155" i="5"/>
  <c r="B159" i="5"/>
  <c r="B163" i="5"/>
  <c r="B167" i="5"/>
  <c r="B171" i="5"/>
  <c r="B175" i="5"/>
  <c r="B179" i="5"/>
  <c r="B183" i="5"/>
  <c r="B187" i="5"/>
  <c r="B191" i="5"/>
  <c r="B195" i="5"/>
  <c r="B199" i="5"/>
  <c r="B203" i="5"/>
  <c r="B207" i="5"/>
  <c r="B211" i="5"/>
  <c r="B215" i="5"/>
  <c r="B219" i="5"/>
  <c r="B223" i="5"/>
  <c r="B227" i="5"/>
  <c r="B231" i="5"/>
  <c r="B235" i="5"/>
  <c r="B239" i="5"/>
  <c r="B243" i="5"/>
  <c r="B247" i="5"/>
  <c r="B251" i="5"/>
  <c r="B255" i="5"/>
  <c r="B259" i="5"/>
  <c r="B263" i="5"/>
  <c r="A78" i="2"/>
  <c r="B78" i="2" s="1"/>
  <c r="B76" i="5" s="1"/>
  <c r="A79" i="2"/>
  <c r="B79" i="2" s="1"/>
  <c r="B77" i="5" s="1"/>
  <c r="A80" i="2"/>
  <c r="B80" i="2" s="1"/>
  <c r="B78" i="5" s="1"/>
  <c r="A81" i="2"/>
  <c r="B81" i="2" s="1"/>
  <c r="A82" i="2"/>
  <c r="B82" i="2" s="1"/>
  <c r="B80" i="5" s="1"/>
  <c r="A83" i="2"/>
  <c r="B83" i="2" s="1"/>
  <c r="B81" i="5" s="1"/>
  <c r="A84" i="2"/>
  <c r="B84" i="2" s="1"/>
  <c r="B82" i="5" s="1"/>
  <c r="A85" i="2"/>
  <c r="B85" i="2" s="1"/>
  <c r="A86" i="2"/>
  <c r="B86" i="2" s="1"/>
  <c r="B84" i="5" s="1"/>
  <c r="A87" i="2"/>
  <c r="B87" i="2" s="1"/>
  <c r="B85" i="5" s="1"/>
  <c r="A88" i="2"/>
  <c r="B88" i="2" s="1"/>
  <c r="B86" i="5" s="1"/>
  <c r="A89" i="2"/>
  <c r="B89" i="2" s="1"/>
  <c r="A90" i="2"/>
  <c r="B90" i="2" s="1"/>
  <c r="B88" i="5" s="1"/>
  <c r="A91" i="2"/>
  <c r="B91" i="2" s="1"/>
  <c r="B89" i="5" s="1"/>
  <c r="A92" i="2"/>
  <c r="B92" i="2" s="1"/>
  <c r="B90" i="5" s="1"/>
  <c r="A93" i="2"/>
  <c r="B93" i="2" s="1"/>
  <c r="A94" i="2"/>
  <c r="B94" i="2" s="1"/>
  <c r="B92" i="5" s="1"/>
  <c r="A95" i="2"/>
  <c r="B95" i="2" s="1"/>
  <c r="B93" i="5" s="1"/>
  <c r="A96" i="2"/>
  <c r="B96" i="2" s="1"/>
  <c r="B94" i="5" s="1"/>
  <c r="A97" i="2"/>
  <c r="B97" i="2" s="1"/>
  <c r="A98" i="2"/>
  <c r="B98" i="2" s="1"/>
  <c r="B96" i="5" s="1"/>
  <c r="A99" i="2"/>
  <c r="B99" i="2" s="1"/>
  <c r="B97" i="5" s="1"/>
  <c r="A100" i="2"/>
  <c r="B100" i="2" s="1"/>
  <c r="B98" i="5" s="1"/>
  <c r="A101" i="2"/>
  <c r="B101" i="2" s="1"/>
  <c r="A102" i="2"/>
  <c r="B102" i="2" s="1"/>
  <c r="B100" i="5" s="1"/>
  <c r="A103" i="2"/>
  <c r="B103" i="2" s="1"/>
  <c r="B101" i="5" s="1"/>
  <c r="A104" i="2"/>
  <c r="B104" i="2" s="1"/>
  <c r="B102" i="5" s="1"/>
  <c r="A105" i="2"/>
  <c r="B105" i="2" s="1"/>
  <c r="A106" i="2"/>
  <c r="B106" i="2" s="1"/>
  <c r="B104" i="5" s="1"/>
  <c r="A107" i="2"/>
  <c r="B107" i="2" s="1"/>
  <c r="B105" i="5" s="1"/>
  <c r="A108" i="2"/>
  <c r="B108" i="2" s="1"/>
  <c r="B106" i="5" s="1"/>
  <c r="A109" i="2"/>
  <c r="B109" i="2" s="1"/>
  <c r="A110" i="2"/>
  <c r="B110" i="2" s="1"/>
  <c r="B108" i="5" s="1"/>
  <c r="A111" i="2"/>
  <c r="B111" i="2" s="1"/>
  <c r="B109" i="5" s="1"/>
  <c r="A112" i="2"/>
  <c r="B112" i="2" s="1"/>
  <c r="B110" i="5" s="1"/>
  <c r="A113" i="2"/>
  <c r="B113" i="2" s="1"/>
  <c r="A114" i="2"/>
  <c r="B114" i="2" s="1"/>
  <c r="B112" i="5" s="1"/>
  <c r="A115" i="2"/>
  <c r="B115" i="2" s="1"/>
  <c r="B113" i="5" s="1"/>
  <c r="A116" i="2"/>
  <c r="B116" i="2" s="1"/>
  <c r="B114" i="5" s="1"/>
  <c r="A117" i="2"/>
  <c r="B117" i="2" s="1"/>
  <c r="A118" i="2"/>
  <c r="B118" i="2" s="1"/>
  <c r="B116" i="5" s="1"/>
  <c r="A119" i="2"/>
  <c r="B119" i="2" s="1"/>
  <c r="B117" i="5" s="1"/>
  <c r="A120" i="2"/>
  <c r="B120" i="2" s="1"/>
  <c r="B118" i="5" s="1"/>
  <c r="A121" i="2"/>
  <c r="B121" i="2" s="1"/>
  <c r="A122" i="2"/>
  <c r="B122" i="2" s="1"/>
  <c r="B120" i="5" s="1"/>
  <c r="A123" i="2"/>
  <c r="B123" i="2" s="1"/>
  <c r="B121" i="5" s="1"/>
  <c r="A124" i="2"/>
  <c r="B124" i="2" s="1"/>
  <c r="B122" i="5" s="1"/>
  <c r="A125" i="2"/>
  <c r="B125" i="2" s="1"/>
  <c r="A126" i="2"/>
  <c r="B126" i="2" s="1"/>
  <c r="B124" i="5" s="1"/>
  <c r="A127" i="2"/>
  <c r="B127" i="2" s="1"/>
  <c r="B125" i="5" s="1"/>
  <c r="A128" i="2"/>
  <c r="B128" i="2" s="1"/>
  <c r="B126" i="5" s="1"/>
  <c r="A129" i="2"/>
  <c r="B129" i="2" s="1"/>
  <c r="A130" i="2"/>
  <c r="B130" i="2" s="1"/>
  <c r="B128" i="5" s="1"/>
  <c r="A131" i="2"/>
  <c r="B131" i="2" s="1"/>
  <c r="B129" i="5" s="1"/>
  <c r="A132" i="2"/>
  <c r="B132" i="2" s="1"/>
  <c r="B130" i="5" s="1"/>
  <c r="A133" i="2"/>
  <c r="B133" i="2" s="1"/>
  <c r="A134" i="2"/>
  <c r="B134" i="2" s="1"/>
  <c r="B132" i="5" s="1"/>
  <c r="A135" i="2"/>
  <c r="B135" i="2" s="1"/>
  <c r="B133" i="5" s="1"/>
  <c r="A136" i="2"/>
  <c r="B136" i="2" s="1"/>
  <c r="B134" i="5" s="1"/>
  <c r="A137" i="2"/>
  <c r="B137" i="2" s="1"/>
  <c r="A138" i="2"/>
  <c r="B138" i="2" s="1"/>
  <c r="B136" i="5" s="1"/>
  <c r="A139" i="2"/>
  <c r="B139" i="2" s="1"/>
  <c r="B137" i="5" s="1"/>
  <c r="A140" i="2"/>
  <c r="B140" i="2" s="1"/>
  <c r="B138" i="5" s="1"/>
  <c r="A141" i="2"/>
  <c r="B141" i="2" s="1"/>
  <c r="A142" i="2"/>
  <c r="B142" i="2" s="1"/>
  <c r="B140" i="5" s="1"/>
  <c r="A143" i="2"/>
  <c r="B143" i="2" s="1"/>
  <c r="B141" i="5" s="1"/>
  <c r="A144" i="2"/>
  <c r="B144" i="2" s="1"/>
  <c r="B142" i="5" s="1"/>
  <c r="A145" i="2"/>
  <c r="B145" i="2" s="1"/>
  <c r="A146" i="2"/>
  <c r="B146" i="2" s="1"/>
  <c r="B144" i="5" s="1"/>
  <c r="A147" i="2"/>
  <c r="B147" i="2" s="1"/>
  <c r="B145" i="5" s="1"/>
  <c r="A148" i="2"/>
  <c r="B148" i="2" s="1"/>
  <c r="B146" i="5" s="1"/>
  <c r="A149" i="2"/>
  <c r="B149" i="2" s="1"/>
  <c r="A150" i="2"/>
  <c r="B150" i="2" s="1"/>
  <c r="B148" i="5" s="1"/>
  <c r="A151" i="2"/>
  <c r="B151" i="2" s="1"/>
  <c r="B149" i="5" s="1"/>
  <c r="A152" i="2"/>
  <c r="B152" i="2" s="1"/>
  <c r="B150" i="5" s="1"/>
  <c r="A153" i="2"/>
  <c r="B153" i="2" s="1"/>
  <c r="A154" i="2"/>
  <c r="B154" i="2" s="1"/>
  <c r="B152" i="5" s="1"/>
  <c r="A155" i="2"/>
  <c r="B155" i="2" s="1"/>
  <c r="B153" i="5" s="1"/>
  <c r="A156" i="2"/>
  <c r="B156" i="2" s="1"/>
  <c r="B154" i="5" s="1"/>
  <c r="A157" i="2"/>
  <c r="B157" i="2" s="1"/>
  <c r="A158" i="2"/>
  <c r="B158" i="2" s="1"/>
  <c r="B156" i="5" s="1"/>
  <c r="A159" i="2"/>
  <c r="B159" i="2" s="1"/>
  <c r="B157" i="5" s="1"/>
  <c r="A160" i="2"/>
  <c r="B160" i="2" s="1"/>
  <c r="B158" i="5" s="1"/>
  <c r="A161" i="2"/>
  <c r="B161" i="2" s="1"/>
  <c r="A162" i="2"/>
  <c r="B162" i="2" s="1"/>
  <c r="B160" i="5" s="1"/>
  <c r="A163" i="2"/>
  <c r="B163" i="2" s="1"/>
  <c r="B161" i="5" s="1"/>
  <c r="A164" i="2"/>
  <c r="B164" i="2" s="1"/>
  <c r="B162" i="5" s="1"/>
  <c r="A165" i="2"/>
  <c r="B165" i="2" s="1"/>
  <c r="A166" i="2"/>
  <c r="B166" i="2" s="1"/>
  <c r="B164" i="5" s="1"/>
  <c r="A167" i="2"/>
  <c r="B167" i="2" s="1"/>
  <c r="B165" i="5" s="1"/>
  <c r="A168" i="2"/>
  <c r="B168" i="2" s="1"/>
  <c r="B166" i="5" s="1"/>
  <c r="A169" i="2"/>
  <c r="B169" i="2" s="1"/>
  <c r="A170" i="2"/>
  <c r="B170" i="2" s="1"/>
  <c r="B168" i="5" s="1"/>
  <c r="A171" i="2"/>
  <c r="B171" i="2" s="1"/>
  <c r="B169" i="5" s="1"/>
  <c r="A172" i="2"/>
  <c r="B172" i="2" s="1"/>
  <c r="B170" i="5" s="1"/>
  <c r="A173" i="2"/>
  <c r="B173" i="2" s="1"/>
  <c r="A174" i="2"/>
  <c r="B174" i="2" s="1"/>
  <c r="B172" i="5" s="1"/>
  <c r="A175" i="2"/>
  <c r="B175" i="2" s="1"/>
  <c r="B173" i="5" s="1"/>
  <c r="A176" i="2"/>
  <c r="B176" i="2" s="1"/>
  <c r="B174" i="5" s="1"/>
  <c r="A177" i="2"/>
  <c r="B177" i="2" s="1"/>
  <c r="A178" i="2"/>
  <c r="B178" i="2" s="1"/>
  <c r="B176" i="5" s="1"/>
  <c r="A179" i="2"/>
  <c r="B179" i="2" s="1"/>
  <c r="B177" i="5" s="1"/>
  <c r="A180" i="2"/>
  <c r="B180" i="2" s="1"/>
  <c r="B178" i="5" s="1"/>
  <c r="A181" i="2"/>
  <c r="B181" i="2" s="1"/>
  <c r="A182" i="2"/>
  <c r="B182" i="2" s="1"/>
  <c r="B180" i="5" s="1"/>
  <c r="A183" i="2"/>
  <c r="B183" i="2" s="1"/>
  <c r="B181" i="5" s="1"/>
  <c r="A184" i="2"/>
  <c r="B184" i="2" s="1"/>
  <c r="B182" i="5" s="1"/>
  <c r="A185" i="2"/>
  <c r="B185" i="2" s="1"/>
  <c r="A186" i="2"/>
  <c r="B186" i="2" s="1"/>
  <c r="B184" i="5" s="1"/>
  <c r="A187" i="2"/>
  <c r="B187" i="2" s="1"/>
  <c r="B185" i="5" s="1"/>
  <c r="A188" i="2"/>
  <c r="B188" i="2" s="1"/>
  <c r="B186" i="5" s="1"/>
  <c r="A189" i="2"/>
  <c r="B189" i="2" s="1"/>
  <c r="A190" i="2"/>
  <c r="B190" i="2" s="1"/>
  <c r="B188" i="5" s="1"/>
  <c r="A191" i="2"/>
  <c r="B191" i="2" s="1"/>
  <c r="B189" i="5" s="1"/>
  <c r="A192" i="2"/>
  <c r="B192" i="2" s="1"/>
  <c r="B190" i="5" s="1"/>
  <c r="A193" i="2"/>
  <c r="B193" i="2" s="1"/>
  <c r="A194" i="2"/>
  <c r="B194" i="2" s="1"/>
  <c r="B192" i="5" s="1"/>
  <c r="A195" i="2"/>
  <c r="B195" i="2" s="1"/>
  <c r="B193" i="5" s="1"/>
  <c r="A196" i="2"/>
  <c r="B196" i="2" s="1"/>
  <c r="B194" i="5" s="1"/>
  <c r="A197" i="2"/>
  <c r="B197" i="2" s="1"/>
  <c r="A198" i="2"/>
  <c r="B198" i="2" s="1"/>
  <c r="B196" i="5" s="1"/>
  <c r="A199" i="2"/>
  <c r="B199" i="2" s="1"/>
  <c r="B197" i="5" s="1"/>
  <c r="A200" i="2"/>
  <c r="B200" i="2" s="1"/>
  <c r="B198" i="5" s="1"/>
  <c r="A201" i="2"/>
  <c r="B201" i="2" s="1"/>
  <c r="A202" i="2"/>
  <c r="B202" i="2" s="1"/>
  <c r="B200" i="5" s="1"/>
  <c r="A203" i="2"/>
  <c r="B203" i="2" s="1"/>
  <c r="B201" i="5" s="1"/>
  <c r="A204" i="2"/>
  <c r="B204" i="2" s="1"/>
  <c r="B202" i="5" s="1"/>
  <c r="A205" i="2"/>
  <c r="B205" i="2" s="1"/>
  <c r="A206" i="2"/>
  <c r="B206" i="2" s="1"/>
  <c r="B204" i="5" s="1"/>
  <c r="A207" i="2"/>
  <c r="B207" i="2" s="1"/>
  <c r="B205" i="5" s="1"/>
  <c r="A208" i="2"/>
  <c r="B208" i="2" s="1"/>
  <c r="B206" i="5" s="1"/>
  <c r="A209" i="2"/>
  <c r="B209" i="2" s="1"/>
  <c r="A210" i="2"/>
  <c r="B210" i="2" s="1"/>
  <c r="B208" i="5" s="1"/>
  <c r="A211" i="2"/>
  <c r="B211" i="2" s="1"/>
  <c r="B209" i="5" s="1"/>
  <c r="A212" i="2"/>
  <c r="B212" i="2" s="1"/>
  <c r="B210" i="5" s="1"/>
  <c r="A213" i="2"/>
  <c r="B213" i="2" s="1"/>
  <c r="A214" i="2"/>
  <c r="B214" i="2" s="1"/>
  <c r="B212" i="5" s="1"/>
  <c r="A215" i="2"/>
  <c r="B215" i="2" s="1"/>
  <c r="B213" i="5" s="1"/>
  <c r="A216" i="2"/>
  <c r="B216" i="2" s="1"/>
  <c r="B214" i="5" s="1"/>
  <c r="A217" i="2"/>
  <c r="B217" i="2" s="1"/>
  <c r="A218" i="2"/>
  <c r="B218" i="2" s="1"/>
  <c r="B216" i="5" s="1"/>
  <c r="A219" i="2"/>
  <c r="B219" i="2" s="1"/>
  <c r="B217" i="5" s="1"/>
  <c r="A220" i="2"/>
  <c r="B220" i="2" s="1"/>
  <c r="B218" i="5" s="1"/>
  <c r="A221" i="2"/>
  <c r="B221" i="2" s="1"/>
  <c r="A222" i="2"/>
  <c r="B222" i="2" s="1"/>
  <c r="B220" i="5" s="1"/>
  <c r="A223" i="2"/>
  <c r="B223" i="2" s="1"/>
  <c r="B221" i="5" s="1"/>
  <c r="A224" i="2"/>
  <c r="B224" i="2" s="1"/>
  <c r="B222" i="5" s="1"/>
  <c r="A225" i="2"/>
  <c r="B225" i="2" s="1"/>
  <c r="A226" i="2"/>
  <c r="B226" i="2" s="1"/>
  <c r="B224" i="5" s="1"/>
  <c r="A227" i="2"/>
  <c r="B227" i="2" s="1"/>
  <c r="B225" i="5" s="1"/>
  <c r="A228" i="2"/>
  <c r="B228" i="2" s="1"/>
  <c r="B226" i="5" s="1"/>
  <c r="A229" i="2"/>
  <c r="B229" i="2" s="1"/>
  <c r="A230" i="2"/>
  <c r="B230" i="2" s="1"/>
  <c r="B228" i="5" s="1"/>
  <c r="A231" i="2"/>
  <c r="B231" i="2" s="1"/>
  <c r="B229" i="5" s="1"/>
  <c r="A232" i="2"/>
  <c r="B232" i="2" s="1"/>
  <c r="B230" i="5" s="1"/>
  <c r="A233" i="2"/>
  <c r="B233" i="2" s="1"/>
  <c r="A234" i="2"/>
  <c r="B234" i="2" s="1"/>
  <c r="B232" i="5" s="1"/>
  <c r="A235" i="2"/>
  <c r="B235" i="2" s="1"/>
  <c r="B233" i="5" s="1"/>
  <c r="A236" i="2"/>
  <c r="B236" i="2" s="1"/>
  <c r="B234" i="5" s="1"/>
  <c r="A237" i="2"/>
  <c r="B237" i="2" s="1"/>
  <c r="A238" i="2"/>
  <c r="B238" i="2" s="1"/>
  <c r="B236" i="5" s="1"/>
  <c r="A239" i="2"/>
  <c r="B239" i="2" s="1"/>
  <c r="B237" i="5" s="1"/>
  <c r="A240" i="2"/>
  <c r="B240" i="2" s="1"/>
  <c r="B238" i="5" s="1"/>
  <c r="A241" i="2"/>
  <c r="B241" i="2" s="1"/>
  <c r="A242" i="2"/>
  <c r="B242" i="2" s="1"/>
  <c r="B240" i="5" s="1"/>
  <c r="A243" i="2"/>
  <c r="B243" i="2" s="1"/>
  <c r="B241" i="5" s="1"/>
  <c r="A244" i="2"/>
  <c r="B244" i="2" s="1"/>
  <c r="B242" i="5" s="1"/>
  <c r="A245" i="2"/>
  <c r="B245" i="2" s="1"/>
  <c r="A246" i="2"/>
  <c r="B246" i="2" s="1"/>
  <c r="B244" i="5" s="1"/>
  <c r="A247" i="2"/>
  <c r="B247" i="2" s="1"/>
  <c r="B245" i="5" s="1"/>
  <c r="A248" i="2"/>
  <c r="B248" i="2" s="1"/>
  <c r="B246" i="5" s="1"/>
  <c r="A249" i="2"/>
  <c r="B249" i="2" s="1"/>
  <c r="A250" i="2"/>
  <c r="B250" i="2" s="1"/>
  <c r="B248" i="5" s="1"/>
  <c r="A251" i="2"/>
  <c r="B251" i="2" s="1"/>
  <c r="B249" i="5" s="1"/>
  <c r="A252" i="2"/>
  <c r="B252" i="2" s="1"/>
  <c r="B250" i="5" s="1"/>
  <c r="A253" i="2"/>
  <c r="B253" i="2" s="1"/>
  <c r="A254" i="2"/>
  <c r="B254" i="2" s="1"/>
  <c r="B252" i="5" s="1"/>
  <c r="A255" i="2"/>
  <c r="B255" i="2" s="1"/>
  <c r="B253" i="5" s="1"/>
  <c r="A256" i="2"/>
  <c r="B256" i="2" s="1"/>
  <c r="B254" i="5" s="1"/>
  <c r="A257" i="2"/>
  <c r="B257" i="2" s="1"/>
  <c r="A258" i="2"/>
  <c r="B258" i="2" s="1"/>
  <c r="B256" i="5" s="1"/>
  <c r="A259" i="2"/>
  <c r="B259" i="2" s="1"/>
  <c r="B257" i="5" s="1"/>
  <c r="A260" i="2"/>
  <c r="B260" i="2" s="1"/>
  <c r="B258" i="5" s="1"/>
  <c r="A261" i="2"/>
  <c r="B261" i="2" s="1"/>
  <c r="A262" i="2"/>
  <c r="B262" i="2" s="1"/>
  <c r="B260" i="5" s="1"/>
  <c r="A263" i="2"/>
  <c r="B263" i="2" s="1"/>
  <c r="B261" i="5" s="1"/>
  <c r="A264" i="2"/>
  <c r="B264" i="2" s="1"/>
  <c r="B262" i="5" s="1"/>
  <c r="A265" i="2"/>
  <c r="B265" i="2" s="1"/>
  <c r="A6" i="2"/>
  <c r="B3" i="3"/>
  <c r="F5" i="2" s="1" a="1"/>
  <c r="F5" i="2" s="1"/>
  <c r="B4" i="3"/>
  <c r="B5" i="3"/>
  <c r="H5" i="2" s="1" a="1"/>
  <c r="H5" i="2" s="1"/>
  <c r="B6" i="3"/>
  <c r="I5" i="2" s="1" a="1"/>
  <c r="I5" i="2" s="1"/>
  <c r="B7" i="3"/>
  <c r="B8" i="3"/>
  <c r="B9" i="3"/>
  <c r="B10" i="3"/>
  <c r="M5" i="2" s="1" a="1"/>
  <c r="M5" i="2" s="1"/>
  <c r="B11" i="3"/>
  <c r="N5" i="2" s="1" a="1"/>
  <c r="N5" i="2" s="1"/>
  <c r="B12" i="3"/>
  <c r="B13" i="3"/>
  <c r="P5" i="2" s="1" a="1"/>
  <c r="P5" i="2" s="1"/>
  <c r="B14" i="3"/>
  <c r="Q5" i="2" s="1" a="1"/>
  <c r="Q5" i="2" s="1"/>
  <c r="B15" i="3"/>
  <c r="B16" i="3"/>
  <c r="B2" i="3"/>
  <c r="A111" i="10" l="1" a="1"/>
  <c r="A111" i="10" s="1"/>
  <c r="A58" i="10" a="1"/>
  <c r="A58" i="10" s="1"/>
  <c r="A93" i="10" a="1"/>
  <c r="A93" i="10" s="1"/>
  <c r="A75" i="10" a="1"/>
  <c r="A75" i="10" s="1"/>
  <c r="C3" i="9" a="1"/>
  <c r="C3" i="9" s="1"/>
  <c r="A5" i="7"/>
  <c r="B4" i="6"/>
  <c r="C3" i="5" a="1"/>
  <c r="C3" i="5" s="1"/>
  <c r="D3" i="5" a="1"/>
  <c r="D3" i="5" s="1"/>
  <c r="E5" i="2" a="1"/>
  <c r="E5" i="2" s="1"/>
  <c r="A19" i="7"/>
  <c r="B74" i="6"/>
  <c r="Q3" i="5" a="1"/>
  <c r="Q3" i="5" s="1"/>
  <c r="A15" i="7"/>
  <c r="B54" i="6"/>
  <c r="M3" i="5" a="1"/>
  <c r="M3" i="5" s="1"/>
  <c r="A11" i="7"/>
  <c r="B34" i="6"/>
  <c r="I3" i="5" a="1"/>
  <c r="I3" i="5" s="1"/>
  <c r="A7" i="7"/>
  <c r="B14" i="6"/>
  <c r="S5" i="2" a="1"/>
  <c r="S5" i="2" s="1"/>
  <c r="K5" i="2" a="1"/>
  <c r="K5" i="2" s="1"/>
  <c r="A18" i="7"/>
  <c r="P3" i="5" a="1"/>
  <c r="P3" i="5" s="1"/>
  <c r="B69" i="6"/>
  <c r="A14" i="7"/>
  <c r="L3" i="5" a="1"/>
  <c r="L3" i="5" s="1"/>
  <c r="B49" i="6"/>
  <c r="A10" i="7"/>
  <c r="H3" i="5" a="1"/>
  <c r="H3" i="5" s="1"/>
  <c r="B29" i="6"/>
  <c r="A6" i="7"/>
  <c r="B9" i="6"/>
  <c r="R5" i="2" a="1"/>
  <c r="R5" i="2" s="1"/>
  <c r="J5" i="2" a="1"/>
  <c r="J5" i="2" s="1"/>
  <c r="B59" i="6"/>
  <c r="N3" i="5" a="1"/>
  <c r="N3" i="5" s="1"/>
  <c r="A16" i="7"/>
  <c r="B39" i="6"/>
  <c r="A12" i="7"/>
  <c r="J3" i="5" a="1"/>
  <c r="J3" i="5" s="1"/>
  <c r="B19" i="6"/>
  <c r="F3" i="5" a="1"/>
  <c r="F3" i="5" s="1"/>
  <c r="A8" i="7"/>
  <c r="O3" i="5" a="1"/>
  <c r="O3" i="5" s="1"/>
  <c r="A17" i="7"/>
  <c r="B64" i="6"/>
  <c r="K3" i="5" a="1"/>
  <c r="K3" i="5" s="1"/>
  <c r="B44" i="6"/>
  <c r="A13" i="7"/>
  <c r="G3" i="5" a="1"/>
  <c r="G3" i="5" s="1"/>
  <c r="B24" i="6"/>
  <c r="A9" i="7"/>
  <c r="O5" i="2" a="1"/>
  <c r="O5" i="2" s="1"/>
  <c r="L5" i="2" a="1"/>
  <c r="L5" i="2" s="1"/>
  <c r="G5" i="2" a="1"/>
  <c r="G5" i="2" s="1"/>
  <c r="E3" i="5" a="1"/>
  <c r="E3" i="5" s="1"/>
  <c r="A107" i="10" a="1"/>
  <c r="A107" i="10" s="1"/>
  <c r="A125" i="10" a="1"/>
  <c r="A125" i="10" s="1"/>
  <c r="A89" i="10" a="1"/>
  <c r="A89" i="10" s="1"/>
  <c r="A72" i="10" a="1"/>
  <c r="A72" i="10" s="1"/>
  <c r="Q3" i="9" a="1"/>
  <c r="Q3" i="9" s="1"/>
  <c r="A124" i="10" a="1"/>
  <c r="A124" i="10" s="1"/>
  <c r="A106" i="10" a="1"/>
  <c r="A106" i="10" s="1"/>
  <c r="A88" i="10" a="1"/>
  <c r="A88" i="10" s="1"/>
  <c r="A71" i="10" a="1"/>
  <c r="A71" i="10" s="1"/>
  <c r="P3" i="9" a="1"/>
  <c r="P3" i="9" s="1"/>
  <c r="A123" i="10" a="1"/>
  <c r="A123" i="10" s="1"/>
  <c r="A87" i="10" a="1"/>
  <c r="A87" i="10" s="1"/>
  <c r="A70" i="10" a="1"/>
  <c r="A70" i="10" s="1"/>
  <c r="A105" i="10" a="1"/>
  <c r="A105" i="10" s="1"/>
  <c r="O3" i="9" a="1"/>
  <c r="O3" i="9" s="1"/>
  <c r="A69" i="10" a="1"/>
  <c r="A69" i="10" s="1"/>
  <c r="A122" i="10" a="1"/>
  <c r="A122" i="10" s="1"/>
  <c r="A86" i="10" a="1"/>
  <c r="A86" i="10" s="1"/>
  <c r="A104" i="10" a="1"/>
  <c r="A104" i="10" s="1"/>
  <c r="N3" i="9" a="1"/>
  <c r="N3" i="9" s="1"/>
  <c r="A103" i="10" a="1"/>
  <c r="A103" i="10" s="1"/>
  <c r="A121" i="10" a="1"/>
  <c r="A121" i="10" s="1"/>
  <c r="A85" i="10" a="1"/>
  <c r="A85" i="10" s="1"/>
  <c r="A68" i="10" a="1"/>
  <c r="A68" i="10" s="1"/>
  <c r="M3" i="9" a="1"/>
  <c r="M3" i="9" s="1"/>
  <c r="A120" i="10" a="1"/>
  <c r="A120" i="10" s="1"/>
  <c r="A84" i="10" a="1"/>
  <c r="A84" i="10" s="1"/>
  <c r="A67" i="10" a="1"/>
  <c r="A67" i="10" s="1"/>
  <c r="A102" i="10" a="1"/>
  <c r="A102" i="10" s="1"/>
  <c r="L3" i="9" a="1"/>
  <c r="L3" i="9" s="1"/>
  <c r="A119" i="10" a="1"/>
  <c r="A119" i="10" s="1"/>
  <c r="A83" i="10" a="1"/>
  <c r="A83" i="10" s="1"/>
  <c r="A66" i="10" a="1"/>
  <c r="A66" i="10" s="1"/>
  <c r="A101" i="10" a="1"/>
  <c r="A101" i="10" s="1"/>
  <c r="K3" i="9" a="1"/>
  <c r="K3" i="9" s="1"/>
  <c r="A65" i="10" a="1"/>
  <c r="A65" i="10" s="1"/>
  <c r="A100" i="10" a="1"/>
  <c r="A100" i="10" s="1"/>
  <c r="A118" i="10" a="1"/>
  <c r="A118" i="10" s="1"/>
  <c r="A82" i="10" a="1"/>
  <c r="A82" i="10" s="1"/>
  <c r="J3" i="9" a="1"/>
  <c r="J3" i="9" s="1"/>
  <c r="A99" i="10" a="1"/>
  <c r="A99" i="10" s="1"/>
  <c r="A117" i="10" a="1"/>
  <c r="A117" i="10" s="1"/>
  <c r="A81" i="10" a="1"/>
  <c r="A81" i="10" s="1"/>
  <c r="A64" i="10" a="1"/>
  <c r="A64" i="10" s="1"/>
  <c r="I3" i="9" a="1"/>
  <c r="I3" i="9" s="1"/>
  <c r="A116" i="10" a="1"/>
  <c r="A116" i="10" s="1"/>
  <c r="A80" i="10" a="1"/>
  <c r="A80" i="10" s="1"/>
  <c r="A98" i="10" a="1"/>
  <c r="A98" i="10" s="1"/>
  <c r="A63" i="10" a="1"/>
  <c r="A63" i="10" s="1"/>
  <c r="H3" i="9" a="1"/>
  <c r="H3" i="9" s="1"/>
  <c r="A62" i="10" a="1"/>
  <c r="A62" i="10" s="1"/>
  <c r="A79" i="10" a="1"/>
  <c r="A79" i="10" s="1"/>
  <c r="A97" i="10" a="1"/>
  <c r="A97" i="10" s="1"/>
  <c r="A115" i="10" a="1"/>
  <c r="A115" i="10" s="1"/>
  <c r="G3" i="9" a="1"/>
  <c r="G3" i="9" s="1"/>
  <c r="A61" i="10" a="1"/>
  <c r="A61" i="10" s="1"/>
  <c r="A96" i="10" a="1"/>
  <c r="A96" i="10" s="1"/>
  <c r="A114" i="10" a="1"/>
  <c r="A114" i="10" s="1"/>
  <c r="A78" i="10" a="1"/>
  <c r="A78" i="10" s="1"/>
  <c r="F3" i="9" a="1"/>
  <c r="F3" i="9" s="1"/>
  <c r="A95" i="10" a="1"/>
  <c r="A95" i="10" s="1"/>
  <c r="A77" i="10" a="1"/>
  <c r="A77" i="10" s="1"/>
  <c r="A113" i="10" a="1"/>
  <c r="A113" i="10" s="1"/>
  <c r="A60" i="10" a="1"/>
  <c r="A60" i="10" s="1"/>
  <c r="E3" i="9" a="1"/>
  <c r="E3" i="9" s="1"/>
  <c r="A112" i="10" a="1"/>
  <c r="A112" i="10" s="1"/>
  <c r="A59" i="10" a="1"/>
  <c r="A59" i="10" s="1"/>
  <c r="A94" i="10" a="1"/>
  <c r="A94" i="10" s="1"/>
  <c r="A76" i="10" a="1"/>
  <c r="A76" i="10" s="1"/>
  <c r="D3" i="9" a="1"/>
  <c r="D3" i="9" s="1"/>
  <c r="B6" i="2"/>
  <c r="A7" i="2"/>
  <c r="B4" i="5" l="1"/>
  <c r="H4" i="5"/>
  <c r="G4" i="5"/>
  <c r="O4" i="5"/>
  <c r="P4" i="5"/>
  <c r="Q4" i="5"/>
  <c r="J4" i="5"/>
  <c r="M4" i="5"/>
  <c r="C4" i="5"/>
  <c r="S4" i="5" s="1" a="1"/>
  <c r="S4" i="5" s="1"/>
  <c r="N4" i="5"/>
  <c r="K4" i="5"/>
  <c r="F4" i="5"/>
  <c r="L4" i="5"/>
  <c r="I4" i="5"/>
  <c r="G1" i="7" a="1"/>
  <c r="G1" i="7" s="1"/>
  <c r="J1" i="7" a="1"/>
  <c r="J1" i="7" s="1"/>
  <c r="I1" i="7" a="1"/>
  <c r="I1" i="7" s="1"/>
  <c r="H1" i="7" a="1"/>
  <c r="H1" i="7" s="1"/>
  <c r="K1" i="7" a="1"/>
  <c r="K1" i="7" s="1"/>
  <c r="F1" i="7" a="1"/>
  <c r="F1" i="7" s="1"/>
  <c r="J58" i="10" a="1"/>
  <c r="J58" i="10" s="1"/>
  <c r="I58" i="10" a="1"/>
  <c r="I58" i="10" s="1"/>
  <c r="B58" i="10" a="1"/>
  <c r="B58" i="10" s="1"/>
  <c r="D58" i="10" a="1"/>
  <c r="D58" i="10" s="1"/>
  <c r="E58" i="10" a="1"/>
  <c r="E58" i="10" s="1"/>
  <c r="G58" i="10" a="1"/>
  <c r="G58" i="10" s="1"/>
  <c r="F58" i="10" a="1"/>
  <c r="F58" i="10" s="1"/>
  <c r="C58" i="10" a="1"/>
  <c r="C58" i="10" s="1"/>
  <c r="H58" i="10" a="1"/>
  <c r="H58" i="10" s="1"/>
  <c r="AJ1" i="7" a="1"/>
  <c r="AJ1" i="7" s="1"/>
  <c r="AM1" i="7" a="1"/>
  <c r="AM1" i="7" s="1"/>
  <c r="AN1" i="7" a="1"/>
  <c r="AN1" i="7" s="1"/>
  <c r="AO1" i="7" a="1"/>
  <c r="AO1" i="7" s="1"/>
  <c r="AK1" i="7" a="1"/>
  <c r="AK1" i="7" s="1"/>
  <c r="AL1" i="7" a="1"/>
  <c r="AL1" i="7" s="1"/>
  <c r="BR1" i="7" a="1"/>
  <c r="BR1" i="7" s="1"/>
  <c r="BS1" i="7" a="1"/>
  <c r="BS1" i="7" s="1"/>
  <c r="BO1" i="7" a="1"/>
  <c r="BO1" i="7" s="1"/>
  <c r="BP1" i="7" a="1"/>
  <c r="BP1" i="7" s="1"/>
  <c r="BQ1" i="7" a="1"/>
  <c r="BQ1" i="7" s="1"/>
  <c r="BN1" i="7" a="1"/>
  <c r="BN1" i="7" s="1"/>
  <c r="BF1" i="7" a="1"/>
  <c r="BF1" i="7" s="1"/>
  <c r="BD1" i="7" a="1"/>
  <c r="BD1" i="7" s="1"/>
  <c r="BG1" i="7" a="1"/>
  <c r="BG1" i="7" s="1"/>
  <c r="BE1" i="7" a="1"/>
  <c r="BE1" i="7" s="1"/>
  <c r="BC1" i="7" a="1"/>
  <c r="BC1" i="7" s="1"/>
  <c r="BB1" i="7" a="1"/>
  <c r="BB1" i="7" s="1"/>
  <c r="CD1" i="7" a="1"/>
  <c r="CD1" i="7" s="1"/>
  <c r="CE1" i="7" a="1"/>
  <c r="CE1" i="7" s="1"/>
  <c r="CA1" i="7" a="1"/>
  <c r="CA1" i="7" s="1"/>
  <c r="CB1" i="7" a="1"/>
  <c r="CB1" i="7" s="1"/>
  <c r="CC1" i="7" a="1"/>
  <c r="CC1" i="7" s="1"/>
  <c r="BZ1" i="7" a="1"/>
  <c r="BZ1" i="7" s="1"/>
  <c r="BY1" i="7" a="1"/>
  <c r="BY1" i="7" s="1"/>
  <c r="BX1" i="7" a="1"/>
  <c r="BX1" i="7" s="1"/>
  <c r="BU1" i="7" a="1"/>
  <c r="BU1" i="7" s="1"/>
  <c r="BV1" i="7" a="1"/>
  <c r="BV1" i="7" s="1"/>
  <c r="BT1" i="7" a="1"/>
  <c r="BT1" i="7" s="1"/>
  <c r="BW1" i="7" a="1"/>
  <c r="BW1" i="7" s="1"/>
  <c r="M1" i="7" a="1"/>
  <c r="M1" i="7" s="1"/>
  <c r="Q1" i="7" a="1"/>
  <c r="Q1" i="7" s="1"/>
  <c r="N1" i="7" a="1"/>
  <c r="N1" i="7" s="1"/>
  <c r="L1" i="7" a="1"/>
  <c r="L1" i="7" s="1"/>
  <c r="P1" i="7" a="1"/>
  <c r="P1" i="7" s="1"/>
  <c r="O1" i="7" a="1"/>
  <c r="O1" i="7" s="1"/>
  <c r="AU1" i="7" a="1"/>
  <c r="AU1" i="7" s="1"/>
  <c r="AS1" i="7" a="1"/>
  <c r="AS1" i="7" s="1"/>
  <c r="AP1" i="7" a="1"/>
  <c r="AP1" i="7" s="1"/>
  <c r="AT1" i="7" a="1"/>
  <c r="AT1" i="7" s="1"/>
  <c r="AQ1" i="7" a="1"/>
  <c r="AQ1" i="7" s="1"/>
  <c r="AR1" i="7" a="1"/>
  <c r="AR1" i="7" s="1"/>
  <c r="AI1" i="7" a="1"/>
  <c r="AI1" i="7" s="1"/>
  <c r="AE1" i="7" a="1"/>
  <c r="AE1" i="7" s="1"/>
  <c r="AD1" i="7" a="1"/>
  <c r="AD1" i="7" s="1"/>
  <c r="AH1" i="7" a="1"/>
  <c r="AH1" i="7" s="1"/>
  <c r="AF1" i="7" a="1"/>
  <c r="AF1" i="7" s="1"/>
  <c r="AG1" i="7" a="1"/>
  <c r="AG1" i="7" s="1"/>
  <c r="CJ1" i="7" a="1"/>
  <c r="CJ1" i="7" s="1"/>
  <c r="CK1" i="7" a="1"/>
  <c r="CK1" i="7" s="1"/>
  <c r="CG1" i="7" a="1"/>
  <c r="CG1" i="7" s="1"/>
  <c r="CH1" i="7" a="1"/>
  <c r="CH1" i="7" s="1"/>
  <c r="CF1" i="7" a="1"/>
  <c r="CF1" i="7" s="1"/>
  <c r="CI1" i="7" a="1"/>
  <c r="CI1" i="7" s="1"/>
  <c r="V1" i="7" a="1"/>
  <c r="V1" i="7" s="1"/>
  <c r="R1" i="7" a="1"/>
  <c r="R1" i="7" s="1"/>
  <c r="U1" i="7" a="1"/>
  <c r="U1" i="7" s="1"/>
  <c r="W1" i="7" a="1"/>
  <c r="W1" i="7" s="1"/>
  <c r="S1" i="7" a="1"/>
  <c r="S1" i="7" s="1"/>
  <c r="T1" i="7" a="1"/>
  <c r="T1" i="7" s="1"/>
  <c r="AC1" i="7" a="1"/>
  <c r="AC1" i="7" s="1"/>
  <c r="Y1" i="7" a="1"/>
  <c r="Y1" i="7" s="1"/>
  <c r="AB1" i="7" a="1"/>
  <c r="AB1" i="7" s="1"/>
  <c r="Z1" i="7" a="1"/>
  <c r="Z1" i="7" s="1"/>
  <c r="AA1" i="7" a="1"/>
  <c r="AA1" i="7" s="1"/>
  <c r="X1" i="7" a="1"/>
  <c r="X1" i="7" s="1"/>
  <c r="AX1" i="7" a="1"/>
  <c r="AX1" i="7" s="1"/>
  <c r="AV1" i="7" a="1"/>
  <c r="AV1" i="7" s="1"/>
  <c r="AY1" i="7" a="1"/>
  <c r="AY1" i="7" s="1"/>
  <c r="BA1" i="7" a="1"/>
  <c r="BA1" i="7" s="1"/>
  <c r="AZ1" i="7" a="1"/>
  <c r="AZ1" i="7" s="1"/>
  <c r="AW1" i="7" a="1"/>
  <c r="AW1" i="7" s="1"/>
  <c r="BL1" i="7" a="1"/>
  <c r="BL1" i="7" s="1"/>
  <c r="BM1" i="7" a="1"/>
  <c r="BM1" i="7" s="1"/>
  <c r="BI1" i="7" a="1"/>
  <c r="BI1" i="7" s="1"/>
  <c r="BJ1" i="7" a="1"/>
  <c r="BJ1" i="7" s="1"/>
  <c r="BH1" i="7" a="1"/>
  <c r="BH1" i="7" s="1"/>
  <c r="BK1" i="7" a="1"/>
  <c r="BK1" i="7" s="1"/>
  <c r="CP1" i="7" a="1"/>
  <c r="CP1" i="7" s="1"/>
  <c r="CQ1" i="7" a="1"/>
  <c r="CQ1" i="7" s="1"/>
  <c r="CM1" i="7" a="1"/>
  <c r="CM1" i="7" s="1"/>
  <c r="CN1" i="7" a="1"/>
  <c r="CN1" i="7" s="1"/>
  <c r="CO1" i="7" a="1"/>
  <c r="CO1" i="7" s="1"/>
  <c r="CL1" i="7" a="1"/>
  <c r="CL1" i="7" s="1"/>
  <c r="C59" i="10" a="1"/>
  <c r="C59" i="10" s="1"/>
  <c r="G59" i="10" a="1"/>
  <c r="G59" i="10" s="1"/>
  <c r="J59" i="10" a="1"/>
  <c r="J59" i="10" s="1"/>
  <c r="F59" i="10" a="1"/>
  <c r="F59" i="10" s="1"/>
  <c r="B59" i="10" a="1"/>
  <c r="B59" i="10" s="1"/>
  <c r="D59" i="10" a="1"/>
  <c r="D59" i="10" s="1"/>
  <c r="H59" i="10" a="1"/>
  <c r="H59" i="10" s="1"/>
  <c r="E59" i="10" a="1"/>
  <c r="E59" i="10" s="1"/>
  <c r="I59" i="10" a="1"/>
  <c r="I59" i="10" s="1"/>
  <c r="F60" i="10" a="1"/>
  <c r="F60" i="10" s="1"/>
  <c r="E60" i="10" a="1"/>
  <c r="E60" i="10" s="1"/>
  <c r="I60" i="10" a="1"/>
  <c r="I60" i="10" s="1"/>
  <c r="C60" i="10" a="1"/>
  <c r="C60" i="10" s="1"/>
  <c r="B60" i="10" a="1"/>
  <c r="B60" i="10" s="1"/>
  <c r="H60" i="10" a="1"/>
  <c r="H60" i="10" s="1"/>
  <c r="D60" i="10" a="1"/>
  <c r="D60" i="10" s="1"/>
  <c r="G60" i="10" a="1"/>
  <c r="G60" i="10" s="1"/>
  <c r="J60" i="10" a="1"/>
  <c r="J60" i="10" s="1"/>
  <c r="H61" i="10" a="1"/>
  <c r="H61" i="10" s="1"/>
  <c r="C61" i="10" a="1"/>
  <c r="C61" i="10" s="1"/>
  <c r="E61" i="10" a="1"/>
  <c r="E61" i="10" s="1"/>
  <c r="J61" i="10" a="1"/>
  <c r="J61" i="10" s="1"/>
  <c r="D61" i="10" a="1"/>
  <c r="D61" i="10" s="1"/>
  <c r="B61" i="10" a="1"/>
  <c r="B61" i="10" s="1"/>
  <c r="G61" i="10" a="1"/>
  <c r="G61" i="10" s="1"/>
  <c r="F61" i="10" a="1"/>
  <c r="F61" i="10" s="1"/>
  <c r="I61" i="10" a="1"/>
  <c r="I61" i="10" s="1"/>
  <c r="E62" i="10" a="1"/>
  <c r="E62" i="10" s="1"/>
  <c r="D62" i="10" a="1"/>
  <c r="D62" i="10" s="1"/>
  <c r="I62" i="10" a="1"/>
  <c r="I62" i="10" s="1"/>
  <c r="B62" i="10" a="1"/>
  <c r="B62" i="10" s="1"/>
  <c r="J62" i="10" a="1"/>
  <c r="J62" i="10" s="1"/>
  <c r="F62" i="10" a="1"/>
  <c r="F62" i="10" s="1"/>
  <c r="H62" i="10" a="1"/>
  <c r="H62" i="10" s="1"/>
  <c r="C62" i="10" a="1"/>
  <c r="C62" i="10" s="1"/>
  <c r="G62" i="10" a="1"/>
  <c r="G62" i="10" s="1"/>
  <c r="D63" i="10" a="1"/>
  <c r="D63" i="10" s="1"/>
  <c r="I63" i="10" a="1"/>
  <c r="I63" i="10" s="1"/>
  <c r="B63" i="10" a="1"/>
  <c r="B63" i="10" s="1"/>
  <c r="G63" i="10" a="1"/>
  <c r="G63" i="10" s="1"/>
  <c r="F63" i="10" a="1"/>
  <c r="F63" i="10" s="1"/>
  <c r="H63" i="10" a="1"/>
  <c r="H63" i="10" s="1"/>
  <c r="J63" i="10" a="1"/>
  <c r="J63" i="10" s="1"/>
  <c r="C63" i="10" a="1"/>
  <c r="C63" i="10" s="1"/>
  <c r="E63" i="10" a="1"/>
  <c r="E63" i="10" s="1"/>
  <c r="B64" i="10" a="1"/>
  <c r="B64" i="10" s="1"/>
  <c r="I64" i="10" a="1"/>
  <c r="I64" i="10" s="1"/>
  <c r="J64" i="10" a="1"/>
  <c r="J64" i="10" s="1"/>
  <c r="C64" i="10" a="1"/>
  <c r="C64" i="10" s="1"/>
  <c r="H64" i="10" a="1"/>
  <c r="H64" i="10" s="1"/>
  <c r="F64" i="10" a="1"/>
  <c r="F64" i="10" s="1"/>
  <c r="G64" i="10" a="1"/>
  <c r="G64" i="10" s="1"/>
  <c r="E64" i="10" a="1"/>
  <c r="E64" i="10" s="1"/>
  <c r="D64" i="10" a="1"/>
  <c r="D64" i="10" s="1"/>
  <c r="I65" i="10" a="1"/>
  <c r="I65" i="10" s="1"/>
  <c r="D65" i="10" a="1"/>
  <c r="D65" i="10" s="1"/>
  <c r="F65" i="10" a="1"/>
  <c r="F65" i="10" s="1"/>
  <c r="J65" i="10" a="1"/>
  <c r="J65" i="10" s="1"/>
  <c r="C65" i="10" a="1"/>
  <c r="C65" i="10" s="1"/>
  <c r="B65" i="10" a="1"/>
  <c r="B65" i="10" s="1"/>
  <c r="H65" i="10" a="1"/>
  <c r="H65" i="10" s="1"/>
  <c r="G65" i="10" a="1"/>
  <c r="G65" i="10" s="1"/>
  <c r="E65" i="10" a="1"/>
  <c r="E65" i="10" s="1"/>
  <c r="D66" i="10" a="1"/>
  <c r="D66" i="10" s="1"/>
  <c r="F66" i="10" a="1"/>
  <c r="F66" i="10" s="1"/>
  <c r="H66" i="10" a="1"/>
  <c r="H66" i="10" s="1"/>
  <c r="E66" i="10" a="1"/>
  <c r="E66" i="10" s="1"/>
  <c r="G66" i="10" a="1"/>
  <c r="G66" i="10" s="1"/>
  <c r="C66" i="10" a="1"/>
  <c r="C66" i="10" s="1"/>
  <c r="B66" i="10" a="1"/>
  <c r="B66" i="10" s="1"/>
  <c r="I66" i="10" a="1"/>
  <c r="I66" i="10" s="1"/>
  <c r="J66" i="10" a="1"/>
  <c r="J66" i="10" s="1"/>
  <c r="C67" i="10" a="1"/>
  <c r="C67" i="10" s="1"/>
  <c r="G67" i="10" a="1"/>
  <c r="G67" i="10" s="1"/>
  <c r="B67" i="10" a="1"/>
  <c r="B67" i="10" s="1"/>
  <c r="E67" i="10" a="1"/>
  <c r="E67" i="10" s="1"/>
  <c r="I67" i="10" a="1"/>
  <c r="I67" i="10" s="1"/>
  <c r="J67" i="10" a="1"/>
  <c r="J67" i="10" s="1"/>
  <c r="F67" i="10" a="1"/>
  <c r="F67" i="10" s="1"/>
  <c r="H67" i="10" a="1"/>
  <c r="H67" i="10" s="1"/>
  <c r="D67" i="10" a="1"/>
  <c r="D67" i="10" s="1"/>
  <c r="F68" i="10" a="1"/>
  <c r="F68" i="10" s="1"/>
  <c r="C68" i="10" a="1"/>
  <c r="C68" i="10" s="1"/>
  <c r="B68" i="10" a="1"/>
  <c r="B68" i="10" s="1"/>
  <c r="H68" i="10" a="1"/>
  <c r="H68" i="10" s="1"/>
  <c r="I68" i="10" a="1"/>
  <c r="I68" i="10" s="1"/>
  <c r="G68" i="10" a="1"/>
  <c r="G68" i="10" s="1"/>
  <c r="J68" i="10" a="1"/>
  <c r="J68" i="10" s="1"/>
  <c r="D68" i="10" a="1"/>
  <c r="D68" i="10" s="1"/>
  <c r="E68" i="10" a="1"/>
  <c r="E68" i="10" s="1"/>
  <c r="B69" i="10" a="1"/>
  <c r="B69" i="10" s="1"/>
  <c r="D69" i="10" a="1"/>
  <c r="D69" i="10" s="1"/>
  <c r="H69" i="10" a="1"/>
  <c r="H69" i="10" s="1"/>
  <c r="G69" i="10" a="1"/>
  <c r="G69" i="10" s="1"/>
  <c r="C69" i="10" a="1"/>
  <c r="C69" i="10" s="1"/>
  <c r="F69" i="10" a="1"/>
  <c r="F69" i="10" s="1"/>
  <c r="J69" i="10" a="1"/>
  <c r="J69" i="10" s="1"/>
  <c r="E69" i="10" a="1"/>
  <c r="E69" i="10" s="1"/>
  <c r="I69" i="10" a="1"/>
  <c r="I69" i="10" s="1"/>
  <c r="E70" i="10" a="1"/>
  <c r="E70" i="10" s="1"/>
  <c r="J70" i="10" a="1"/>
  <c r="J70" i="10" s="1"/>
  <c r="B70" i="10" a="1"/>
  <c r="B70" i="10" s="1"/>
  <c r="I70" i="10" a="1"/>
  <c r="I70" i="10" s="1"/>
  <c r="G70" i="10" a="1"/>
  <c r="G70" i="10" s="1"/>
  <c r="C70" i="10" a="1"/>
  <c r="C70" i="10" s="1"/>
  <c r="H70" i="10" a="1"/>
  <c r="H70" i="10" s="1"/>
  <c r="F70" i="10" a="1"/>
  <c r="F70" i="10" s="1"/>
  <c r="D70" i="10" a="1"/>
  <c r="D70" i="10" s="1"/>
  <c r="B71" i="10" a="1"/>
  <c r="B71" i="10" s="1"/>
  <c r="F71" i="10" a="1"/>
  <c r="F71" i="10" s="1"/>
  <c r="D71" i="10" a="1"/>
  <c r="D71" i="10" s="1"/>
  <c r="G71" i="10" a="1"/>
  <c r="G71" i="10" s="1"/>
  <c r="J71" i="10" a="1"/>
  <c r="J71" i="10" s="1"/>
  <c r="C71" i="10" a="1"/>
  <c r="C71" i="10" s="1"/>
  <c r="E71" i="10" a="1"/>
  <c r="E71" i="10" s="1"/>
  <c r="H71" i="10" a="1"/>
  <c r="H71" i="10" s="1"/>
  <c r="I71" i="10" a="1"/>
  <c r="I71" i="10" s="1"/>
  <c r="G72" i="10" a="1"/>
  <c r="G72" i="10" s="1"/>
  <c r="H72" i="10" a="1"/>
  <c r="H72" i="10" s="1"/>
  <c r="C72" i="10" a="1"/>
  <c r="C72" i="10" s="1"/>
  <c r="J72" i="10" a="1"/>
  <c r="J72" i="10" s="1"/>
  <c r="F72" i="10" a="1"/>
  <c r="F72" i="10" s="1"/>
  <c r="B72" i="10" a="1"/>
  <c r="B72" i="10" s="1"/>
  <c r="D72" i="10" a="1"/>
  <c r="D72" i="10" s="1"/>
  <c r="I72" i="10" a="1"/>
  <c r="I72" i="10" s="1"/>
  <c r="E72" i="10" a="1"/>
  <c r="E72" i="10" s="1"/>
  <c r="A8" i="2"/>
  <c r="B7" i="2"/>
  <c r="B5" i="5" l="1"/>
  <c r="D4" i="5"/>
  <c r="E4" i="5"/>
  <c r="BH3" i="7"/>
  <c r="BJ3" i="7"/>
  <c r="BD3" i="7"/>
  <c r="BB3" i="7"/>
  <c r="CN3" i="7"/>
  <c r="CL3" i="7"/>
  <c r="AV3" i="7"/>
  <c r="AX3" i="7"/>
  <c r="CF3" i="7"/>
  <c r="CH3" i="7"/>
  <c r="AF3" i="7"/>
  <c r="AD3" i="7"/>
  <c r="AR3" i="7"/>
  <c r="AP3" i="7"/>
  <c r="BT3" i="7"/>
  <c r="BV3" i="7"/>
  <c r="AJ3" i="7"/>
  <c r="AL3" i="7"/>
  <c r="H3" i="7"/>
  <c r="F3" i="7"/>
  <c r="T3" i="7"/>
  <c r="R3" i="7"/>
  <c r="CB3" i="7"/>
  <c r="BZ3" i="7"/>
  <c r="BP3" i="7"/>
  <c r="BN3" i="7"/>
  <c r="X3" i="7"/>
  <c r="Z3" i="7"/>
  <c r="L3" i="7"/>
  <c r="N3" i="7"/>
  <c r="T75" i="10"/>
  <c r="K75" i="10"/>
  <c r="G93" i="10"/>
  <c r="AR93" i="10"/>
  <c r="D93" i="10"/>
  <c r="AC93" i="10"/>
  <c r="AW93" i="10"/>
  <c r="AK75" i="10"/>
  <c r="AF75" i="10"/>
  <c r="B75" i="10"/>
  <c r="L93" i="10"/>
  <c r="AD93" i="10"/>
  <c r="E75" i="10"/>
  <c r="AJ93" i="10"/>
  <c r="AO75" i="10"/>
  <c r="AI93" i="10"/>
  <c r="AN75" i="10"/>
  <c r="O93" i="10"/>
  <c r="AT93" i="10"/>
  <c r="P75" i="10"/>
  <c r="K93" i="10"/>
  <c r="E93" i="10"/>
  <c r="AQ93" i="10"/>
  <c r="AI75" i="10"/>
  <c r="AI111" i="10" s="1"/>
  <c r="BA75" i="10"/>
  <c r="AC75" i="10"/>
  <c r="AC111" i="10" s="1"/>
  <c r="W93" i="10"/>
  <c r="AS93" i="10"/>
  <c r="AA75" i="10"/>
  <c r="X75" i="10"/>
  <c r="AB75" i="10"/>
  <c r="I75" i="10"/>
  <c r="T93" i="10"/>
  <c r="P93" i="10"/>
  <c r="AX93" i="10"/>
  <c r="R93" i="10"/>
  <c r="W75" i="10"/>
  <c r="AO93" i="10"/>
  <c r="AE93" i="10"/>
  <c r="AD75" i="10"/>
  <c r="AD111" i="10" s="1"/>
  <c r="AY93" i="10"/>
  <c r="J93" i="10"/>
  <c r="J75" i="10"/>
  <c r="U93" i="10"/>
  <c r="AS75" i="10"/>
  <c r="V93" i="10"/>
  <c r="BA93" i="10"/>
  <c r="S75" i="10"/>
  <c r="AU75" i="10"/>
  <c r="Q75" i="10"/>
  <c r="AP93" i="10"/>
  <c r="N93" i="10"/>
  <c r="Y93" i="10"/>
  <c r="AQ75" i="10"/>
  <c r="Y75" i="10"/>
  <c r="AN93" i="10"/>
  <c r="AH75" i="10"/>
  <c r="M93" i="10"/>
  <c r="AL93" i="10"/>
  <c r="AZ75" i="10"/>
  <c r="C93" i="10"/>
  <c r="AT75" i="10"/>
  <c r="G75" i="10"/>
  <c r="G111" i="10" s="1"/>
  <c r="AV93" i="10"/>
  <c r="N75" i="10"/>
  <c r="AB93" i="10"/>
  <c r="AM75" i="10"/>
  <c r="F93" i="10"/>
  <c r="D75" i="10"/>
  <c r="D111" i="10" s="1"/>
  <c r="Z93" i="10"/>
  <c r="M75" i="10"/>
  <c r="R75" i="10"/>
  <c r="R111" i="10" s="1"/>
  <c r="AP75" i="10"/>
  <c r="AK93" i="10"/>
  <c r="F75" i="10"/>
  <c r="C75" i="10"/>
  <c r="AV75" i="10"/>
  <c r="AE75" i="10"/>
  <c r="L75" i="10"/>
  <c r="L111" i="10" s="1"/>
  <c r="S93" i="10"/>
  <c r="S111" i="10" s="1"/>
  <c r="H93" i="10"/>
  <c r="U75" i="10"/>
  <c r="Z75" i="10"/>
  <c r="AX75" i="10"/>
  <c r="AA93" i="10"/>
  <c r="AL75" i="10"/>
  <c r="AG75" i="10"/>
  <c r="AR75" i="10"/>
  <c r="AR111" i="10" s="1"/>
  <c r="X93" i="10"/>
  <c r="Q93" i="10"/>
  <c r="AF93" i="10"/>
  <c r="AM93" i="10"/>
  <c r="AJ75" i="10"/>
  <c r="B93" i="10"/>
  <c r="AW75" i="10"/>
  <c r="AW111" i="10" s="1"/>
  <c r="AG93" i="10"/>
  <c r="O75" i="10"/>
  <c r="H75" i="10"/>
  <c r="AU93" i="10"/>
  <c r="V75" i="10"/>
  <c r="AH93" i="10"/>
  <c r="I93" i="10"/>
  <c r="AY75" i="10"/>
  <c r="BA94" i="10"/>
  <c r="AZ93" i="10"/>
  <c r="U88" i="10"/>
  <c r="AQ86" i="10"/>
  <c r="AF84" i="10"/>
  <c r="M105" i="10"/>
  <c r="AX89" i="10"/>
  <c r="AR89" i="10"/>
  <c r="AD107" i="10"/>
  <c r="M107" i="10"/>
  <c r="AO107" i="10"/>
  <c r="AJ107" i="10"/>
  <c r="AG107" i="10"/>
  <c r="AV107" i="10"/>
  <c r="R89" i="10"/>
  <c r="AP89" i="10"/>
  <c r="B89" i="10"/>
  <c r="AS107" i="10"/>
  <c r="S89" i="10"/>
  <c r="G107" i="10"/>
  <c r="I89" i="10"/>
  <c r="Q89" i="10"/>
  <c r="BA107" i="10"/>
  <c r="AD89" i="10"/>
  <c r="T89" i="10"/>
  <c r="AU89" i="10"/>
  <c r="N107" i="10"/>
  <c r="AY107" i="10"/>
  <c r="AC89" i="10"/>
  <c r="W89" i="10"/>
  <c r="J107" i="10"/>
  <c r="C89" i="10"/>
  <c r="Y89" i="10"/>
  <c r="AG89" i="10"/>
  <c r="D89" i="10"/>
  <c r="AE89" i="10"/>
  <c r="AR107" i="10"/>
  <c r="AI107" i="10"/>
  <c r="X89" i="10"/>
  <c r="AW89" i="10"/>
  <c r="M89" i="10"/>
  <c r="AZ89" i="10"/>
  <c r="O89" i="10"/>
  <c r="S107" i="10"/>
  <c r="AM89" i="10"/>
  <c r="AQ107" i="10"/>
  <c r="AA107" i="10"/>
  <c r="Z89" i="10"/>
  <c r="P107" i="10"/>
  <c r="AO89" i="10"/>
  <c r="AL89" i="10"/>
  <c r="AH107" i="10"/>
  <c r="C107" i="10"/>
  <c r="I107" i="10"/>
  <c r="K107" i="10"/>
  <c r="N89" i="10"/>
  <c r="AI89" i="10"/>
  <c r="W107" i="10"/>
  <c r="J89" i="10"/>
  <c r="J125" i="10" s="1"/>
  <c r="AV89" i="10"/>
  <c r="Q107" i="10"/>
  <c r="K89" i="10"/>
  <c r="X107" i="10"/>
  <c r="O107" i="10"/>
  <c r="AM107" i="10"/>
  <c r="E107" i="10"/>
  <c r="AS89" i="10"/>
  <c r="AT107" i="10"/>
  <c r="G89" i="10"/>
  <c r="AB107" i="10"/>
  <c r="F89" i="10"/>
  <c r="AZ107" i="10"/>
  <c r="U107" i="10"/>
  <c r="H89" i="10"/>
  <c r="B107" i="10"/>
  <c r="AW107" i="10"/>
  <c r="AL107" i="10"/>
  <c r="AU107" i="10"/>
  <c r="AJ89" i="10"/>
  <c r="AB89" i="10"/>
  <c r="AH89" i="10"/>
  <c r="U89" i="10"/>
  <c r="AF89" i="10"/>
  <c r="AN107" i="10"/>
  <c r="D107" i="10"/>
  <c r="E89" i="10"/>
  <c r="E125" i="10" s="1"/>
  <c r="AN89" i="10"/>
  <c r="AT89" i="10"/>
  <c r="AT125" i="10" s="1"/>
  <c r="AA89" i="10"/>
  <c r="H107" i="10"/>
  <c r="AY89" i="10"/>
  <c r="L107" i="10"/>
  <c r="T107" i="10"/>
  <c r="V89" i="10"/>
  <c r="AX107" i="10"/>
  <c r="AX125" i="10" s="1"/>
  <c r="AP107" i="10"/>
  <c r="AP125" i="10" s="1"/>
  <c r="R107" i="10"/>
  <c r="F107" i="10"/>
  <c r="AE107" i="10"/>
  <c r="AC107" i="10"/>
  <c r="Z107" i="10"/>
  <c r="AK89" i="10"/>
  <c r="V107" i="10"/>
  <c r="AQ89" i="10"/>
  <c r="AK107" i="10"/>
  <c r="Y107" i="10"/>
  <c r="L89" i="10"/>
  <c r="AF107" i="10"/>
  <c r="BA89" i="10"/>
  <c r="P89" i="10"/>
  <c r="O88" i="10"/>
  <c r="AM106" i="10"/>
  <c r="E88" i="10"/>
  <c r="T106" i="10"/>
  <c r="G106" i="10"/>
  <c r="AZ88" i="10"/>
  <c r="M106" i="10"/>
  <c r="Z88" i="10"/>
  <c r="AL106" i="10"/>
  <c r="H106" i="10"/>
  <c r="AT88" i="10"/>
  <c r="P88" i="10"/>
  <c r="AK106" i="10"/>
  <c r="F106" i="10"/>
  <c r="BA88" i="10"/>
  <c r="W88" i="10"/>
  <c r="U106" i="10"/>
  <c r="Y106" i="10"/>
  <c r="AX106" i="10"/>
  <c r="AV106" i="10"/>
  <c r="N88" i="10"/>
  <c r="AG106" i="10"/>
  <c r="I88" i="10"/>
  <c r="G88" i="10"/>
  <c r="AL88" i="10"/>
  <c r="AL124" i="10" s="1"/>
  <c r="AU106" i="10"/>
  <c r="AH106" i="10"/>
  <c r="AF88" i="10"/>
  <c r="AZ106" i="10"/>
  <c r="I106" i="10"/>
  <c r="Z106" i="10"/>
  <c r="M88" i="10"/>
  <c r="AI106" i="10"/>
  <c r="E106" i="10"/>
  <c r="V88" i="10"/>
  <c r="R106" i="10"/>
  <c r="AK88" i="10"/>
  <c r="AK124" i="10" s="1"/>
  <c r="BA106" i="10"/>
  <c r="AP106" i="10"/>
  <c r="AW88" i="10"/>
  <c r="AR106" i="10"/>
  <c r="AM88" i="10"/>
  <c r="AM124" i="10" s="1"/>
  <c r="AE106" i="10"/>
  <c r="AD88" i="10"/>
  <c r="B88" i="10"/>
  <c r="AJ88" i="10"/>
  <c r="L106" i="10"/>
  <c r="C106" i="10"/>
  <c r="X88" i="10"/>
  <c r="AF106" i="10"/>
  <c r="D88" i="10"/>
  <c r="AS106" i="10"/>
  <c r="C88" i="10"/>
  <c r="AH88" i="10"/>
  <c r="AQ106" i="10"/>
  <c r="AD106" i="10"/>
  <c r="H88" i="10"/>
  <c r="AG88" i="10"/>
  <c r="AG124" i="10" s="1"/>
  <c r="T88" i="10"/>
  <c r="S106" i="10"/>
  <c r="AJ106" i="10"/>
  <c r="O106" i="10"/>
  <c r="AB88" i="10"/>
  <c r="AO106" i="10"/>
  <c r="AV88" i="10"/>
  <c r="AU88" i="10"/>
  <c r="AU124" i="10" s="1"/>
  <c r="W106" i="10"/>
  <c r="AP88" i="10"/>
  <c r="P106" i="10"/>
  <c r="AI88" i="10"/>
  <c r="AX88" i="10"/>
  <c r="AX124" i="10" s="1"/>
  <c r="AA106" i="10"/>
  <c r="AC106" i="10"/>
  <c r="AY106" i="10"/>
  <c r="L88" i="10"/>
  <c r="L124" i="10" s="1"/>
  <c r="AW106" i="10"/>
  <c r="AT106" i="10"/>
  <c r="Q88" i="10"/>
  <c r="K88" i="10"/>
  <c r="V106" i="10"/>
  <c r="AY88" i="10"/>
  <c r="Q106" i="10"/>
  <c r="AN106" i="10"/>
  <c r="AA88" i="10"/>
  <c r="AA124" i="10" s="1"/>
  <c r="Y88" i="10"/>
  <c r="J106" i="10"/>
  <c r="X106" i="10"/>
  <c r="J88" i="10"/>
  <c r="AC88" i="10"/>
  <c r="AC124" i="10" s="1"/>
  <c r="S88" i="10"/>
  <c r="R88" i="10"/>
  <c r="K106" i="10"/>
  <c r="AN88" i="10"/>
  <c r="D106" i="10"/>
  <c r="AQ88" i="10"/>
  <c r="AQ124" i="10" s="1"/>
  <c r="AO88" i="10"/>
  <c r="AO124" i="10" s="1"/>
  <c r="AB106" i="10"/>
  <c r="F88" i="10"/>
  <c r="F124" i="10" s="1"/>
  <c r="AE88" i="10"/>
  <c r="AE124" i="10" s="1"/>
  <c r="AS88" i="10"/>
  <c r="AS124" i="10" s="1"/>
  <c r="B106" i="10"/>
  <c r="N106" i="10"/>
  <c r="AR88" i="10"/>
  <c r="E105" i="10"/>
  <c r="X87" i="10"/>
  <c r="R87" i="10"/>
  <c r="L105" i="10"/>
  <c r="C87" i="10"/>
  <c r="W105" i="10"/>
  <c r="Z105" i="10"/>
  <c r="AQ87" i="10"/>
  <c r="AN105" i="10"/>
  <c r="AO87" i="10"/>
  <c r="F105" i="10"/>
  <c r="AN87" i="10"/>
  <c r="AS87" i="10"/>
  <c r="O105" i="10"/>
  <c r="Y105" i="10"/>
  <c r="AY87" i="10"/>
  <c r="J87" i="10"/>
  <c r="AK87" i="10"/>
  <c r="AX105" i="10"/>
  <c r="AK105" i="10"/>
  <c r="M87" i="10"/>
  <c r="I87" i="10"/>
  <c r="AY105" i="10"/>
  <c r="D87" i="10"/>
  <c r="X105" i="10"/>
  <c r="AM105" i="10"/>
  <c r="U87" i="10"/>
  <c r="AH105" i="10"/>
  <c r="U105" i="10"/>
  <c r="AC105" i="10"/>
  <c r="AT87" i="10"/>
  <c r="AP87" i="10"/>
  <c r="E87" i="10"/>
  <c r="E123" i="10" s="1"/>
  <c r="AR87" i="10"/>
  <c r="AC87" i="10"/>
  <c r="AS105" i="10"/>
  <c r="AM87" i="10"/>
  <c r="AU87" i="10"/>
  <c r="AF87" i="10"/>
  <c r="N87" i="10"/>
  <c r="S87" i="10"/>
  <c r="Z87" i="10"/>
  <c r="R105" i="10"/>
  <c r="AI87" i="10"/>
  <c r="AH87" i="10"/>
  <c r="AP105" i="10"/>
  <c r="W87" i="10"/>
  <c r="B87" i="10"/>
  <c r="AZ87" i="10"/>
  <c r="Y87" i="10"/>
  <c r="I105" i="10"/>
  <c r="T87" i="10"/>
  <c r="V87" i="10"/>
  <c r="AW87" i="10"/>
  <c r="T105" i="10"/>
  <c r="AW105" i="10"/>
  <c r="AX87" i="10"/>
  <c r="AJ105" i="10"/>
  <c r="G105" i="10"/>
  <c r="BA105" i="10"/>
  <c r="B105" i="10"/>
  <c r="J105" i="10"/>
  <c r="AQ105" i="10"/>
  <c r="S105" i="10"/>
  <c r="AL105" i="10"/>
  <c r="C105" i="10"/>
  <c r="BA87" i="10"/>
  <c r="AF105" i="10"/>
  <c r="O87" i="10"/>
  <c r="D105" i="10"/>
  <c r="AV87" i="10"/>
  <c r="AA105" i="10"/>
  <c r="AA87" i="10"/>
  <c r="H105" i="10"/>
  <c r="AV105" i="10"/>
  <c r="AT105" i="10"/>
  <c r="Q105" i="10"/>
  <c r="K105" i="10"/>
  <c r="AU105" i="10"/>
  <c r="AO105" i="10"/>
  <c r="F87" i="10"/>
  <c r="Q87" i="10"/>
  <c r="G87" i="10"/>
  <c r="G123" i="10" s="1"/>
  <c r="P105" i="10"/>
  <c r="P87" i="10"/>
  <c r="AE105" i="10"/>
  <c r="AG105" i="10"/>
  <c r="AB105" i="10"/>
  <c r="AR105" i="10"/>
  <c r="AE87" i="10"/>
  <c r="AE123" i="10" s="1"/>
  <c r="K87" i="10"/>
  <c r="AD87" i="10"/>
  <c r="V105" i="10"/>
  <c r="H87" i="10"/>
  <c r="H123" i="10" s="1"/>
  <c r="AL87" i="10"/>
  <c r="AG87" i="10"/>
  <c r="AD105" i="10"/>
  <c r="L87" i="10"/>
  <c r="AB87" i="10"/>
  <c r="N105" i="10"/>
  <c r="AJ87" i="10"/>
  <c r="AI105" i="10"/>
  <c r="AZ105" i="10"/>
  <c r="E86" i="10"/>
  <c r="AW86" i="10"/>
  <c r="AL104" i="10"/>
  <c r="K104" i="10"/>
  <c r="M86" i="10"/>
  <c r="AH86" i="10"/>
  <c r="F86" i="10"/>
  <c r="U104" i="10"/>
  <c r="I104" i="10"/>
  <c r="V104" i="10"/>
  <c r="AB86" i="10"/>
  <c r="U86" i="10"/>
  <c r="U122" i="10" s="1"/>
  <c r="AS104" i="10"/>
  <c r="AE86" i="10"/>
  <c r="Z104" i="10"/>
  <c r="AO104" i="10"/>
  <c r="T86" i="10"/>
  <c r="AY104" i="10"/>
  <c r="Q104" i="10"/>
  <c r="AN86" i="10"/>
  <c r="AN104" i="10"/>
  <c r="AO86" i="10"/>
  <c r="AZ86" i="10"/>
  <c r="AA86" i="10"/>
  <c r="T104" i="10"/>
  <c r="S104" i="10"/>
  <c r="D86" i="10"/>
  <c r="H104" i="10"/>
  <c r="AH104" i="10"/>
  <c r="AY86" i="10"/>
  <c r="AY122" i="10" s="1"/>
  <c r="AU104" i="10"/>
  <c r="W104" i="10"/>
  <c r="AP86" i="10"/>
  <c r="X86" i="10"/>
  <c r="AJ86" i="10"/>
  <c r="K86" i="10"/>
  <c r="K122" i="10" s="1"/>
  <c r="AZ104" i="10"/>
  <c r="C104" i="10"/>
  <c r="N86" i="10"/>
  <c r="AC104" i="10"/>
  <c r="AB104" i="10"/>
  <c r="O86" i="10"/>
  <c r="AX104" i="10"/>
  <c r="BA104" i="10"/>
  <c r="AG86" i="10"/>
  <c r="AR104" i="10"/>
  <c r="P86" i="10"/>
  <c r="F104" i="10"/>
  <c r="AQ104" i="10"/>
  <c r="AM104" i="10"/>
  <c r="V86" i="10"/>
  <c r="X104" i="10"/>
  <c r="AI86" i="10"/>
  <c r="R86" i="10"/>
  <c r="AF86" i="10"/>
  <c r="G86" i="10"/>
  <c r="AV104" i="10"/>
  <c r="S86" i="10"/>
  <c r="S122" i="10" s="1"/>
  <c r="AR86" i="10"/>
  <c r="AC86" i="10"/>
  <c r="AC122" i="10" s="1"/>
  <c r="B86" i="10"/>
  <c r="AK104" i="10"/>
  <c r="D104" i="10"/>
  <c r="D122" i="10" s="1"/>
  <c r="AJ104" i="10"/>
  <c r="AT104" i="10"/>
  <c r="AM86" i="10"/>
  <c r="AM122" i="10" s="1"/>
  <c r="H86" i="10"/>
  <c r="Y104" i="10"/>
  <c r="AU86" i="10"/>
  <c r="J104" i="10"/>
  <c r="AI104" i="10"/>
  <c r="E104" i="10"/>
  <c r="W86" i="10"/>
  <c r="AF104" i="10"/>
  <c r="L104" i="10"/>
  <c r="AK86" i="10"/>
  <c r="L86" i="10"/>
  <c r="O104" i="10"/>
  <c r="Q86" i="10"/>
  <c r="Q122" i="10" s="1"/>
  <c r="AS86" i="10"/>
  <c r="AP104" i="10"/>
  <c r="N104" i="10"/>
  <c r="AT86" i="10"/>
  <c r="C86" i="10"/>
  <c r="Z86" i="10"/>
  <c r="R104" i="10"/>
  <c r="AL86" i="10"/>
  <c r="AL122" i="10" s="1"/>
  <c r="AA104" i="10"/>
  <c r="G104" i="10"/>
  <c r="AD104" i="10"/>
  <c r="BA86" i="10"/>
  <c r="AV86" i="10"/>
  <c r="AW104" i="10"/>
  <c r="M104" i="10"/>
  <c r="J86" i="10"/>
  <c r="AD86" i="10"/>
  <c r="P104" i="10"/>
  <c r="AX86" i="10"/>
  <c r="Y86" i="10"/>
  <c r="AG104" i="10"/>
  <c r="I86" i="10"/>
  <c r="I122" i="10" s="1"/>
  <c r="B104" i="10"/>
  <c r="AE104" i="10"/>
  <c r="J103" i="10"/>
  <c r="Z103" i="10"/>
  <c r="AP103" i="10"/>
  <c r="K103" i="10"/>
  <c r="AF103" i="10"/>
  <c r="BA103" i="10"/>
  <c r="Q103" i="10"/>
  <c r="AM103" i="10"/>
  <c r="J85" i="10"/>
  <c r="J121" i="10" s="1"/>
  <c r="Z85" i="10"/>
  <c r="Z121" i="10" s="1"/>
  <c r="AP85" i="10"/>
  <c r="AP121" i="10" s="1"/>
  <c r="T103" i="10"/>
  <c r="D85" i="10"/>
  <c r="Y85" i="10"/>
  <c r="AU85" i="10"/>
  <c r="O103" i="10"/>
  <c r="X103" i="10"/>
  <c r="K85" i="10"/>
  <c r="AF85" i="10"/>
  <c r="BA85" i="10"/>
  <c r="AY103" i="10"/>
  <c r="AI85" i="10"/>
  <c r="AC85" i="10"/>
  <c r="AG85" i="10"/>
  <c r="AB85" i="10"/>
  <c r="AN85" i="10"/>
  <c r="N103" i="10"/>
  <c r="AD103" i="10"/>
  <c r="AT103" i="10"/>
  <c r="P103" i="10"/>
  <c r="AK103" i="10"/>
  <c r="B103" i="10"/>
  <c r="W103" i="10"/>
  <c r="AR103" i="10"/>
  <c r="N85" i="10"/>
  <c r="N121" i="10" s="1"/>
  <c r="AD85" i="10"/>
  <c r="AD121" i="10" s="1"/>
  <c r="AT85" i="10"/>
  <c r="AT121" i="10" s="1"/>
  <c r="AE103" i="10"/>
  <c r="I85" i="10"/>
  <c r="AE85" i="10"/>
  <c r="AZ85" i="10"/>
  <c r="AU103" i="10"/>
  <c r="AI103" i="10"/>
  <c r="P85" i="10"/>
  <c r="AK85" i="10"/>
  <c r="Y103" i="10"/>
  <c r="C85" i="10"/>
  <c r="AS85" i="10"/>
  <c r="AY85" i="10"/>
  <c r="AY121" i="10" s="1"/>
  <c r="S103" i="10"/>
  <c r="AM85" i="10"/>
  <c r="W85" i="10"/>
  <c r="AH103" i="10"/>
  <c r="U103" i="10"/>
  <c r="G103" i="10"/>
  <c r="AW103" i="10"/>
  <c r="AH85" i="10"/>
  <c r="AO103" i="10"/>
  <c r="AJ85" i="10"/>
  <c r="C103" i="10"/>
  <c r="U85" i="10"/>
  <c r="AJ103" i="10"/>
  <c r="AC103" i="10"/>
  <c r="G85" i="10"/>
  <c r="AR85" i="10"/>
  <c r="F103" i="10"/>
  <c r="AX103" i="10"/>
  <c r="AV103" i="10"/>
  <c r="F85" i="10"/>
  <c r="AX85" i="10"/>
  <c r="T85" i="10"/>
  <c r="M103" i="10"/>
  <c r="AQ85" i="10"/>
  <c r="X85" i="10"/>
  <c r="Q85" i="10"/>
  <c r="Q121" i="10" s="1"/>
  <c r="R103" i="10"/>
  <c r="E103" i="10"/>
  <c r="L103" i="10"/>
  <c r="R85" i="10"/>
  <c r="I103" i="10"/>
  <c r="AO85" i="10"/>
  <c r="AS103" i="10"/>
  <c r="AV85" i="10"/>
  <c r="H85" i="10"/>
  <c r="AW85" i="10"/>
  <c r="V103" i="10"/>
  <c r="AB103" i="10"/>
  <c r="AZ103" i="10"/>
  <c r="E85" i="10"/>
  <c r="E121" i="10" s="1"/>
  <c r="AN103" i="10"/>
  <c r="S85" i="10"/>
  <c r="AQ103" i="10"/>
  <c r="D103" i="10"/>
  <c r="M85" i="10"/>
  <c r="AL103" i="10"/>
  <c r="AG103" i="10"/>
  <c r="O85" i="10"/>
  <c r="AA85" i="10"/>
  <c r="L85" i="10"/>
  <c r="AA103" i="10"/>
  <c r="V85" i="10"/>
  <c r="B85" i="10"/>
  <c r="H103" i="10"/>
  <c r="AL85" i="10"/>
  <c r="AR102" i="10"/>
  <c r="AK84" i="10"/>
  <c r="D84" i="10"/>
  <c r="AG102" i="10"/>
  <c r="Z84" i="10"/>
  <c r="AV102" i="10"/>
  <c r="T84" i="10"/>
  <c r="AF102" i="10"/>
  <c r="E84" i="10"/>
  <c r="AI102" i="10"/>
  <c r="Q102" i="10"/>
  <c r="V84" i="10"/>
  <c r="AZ84" i="10"/>
  <c r="AH84" i="10"/>
  <c r="N102" i="10"/>
  <c r="AL84" i="10"/>
  <c r="C84" i="10"/>
  <c r="AY84" i="10"/>
  <c r="AR84" i="10"/>
  <c r="AS84" i="10"/>
  <c r="Z102" i="10"/>
  <c r="C102" i="10"/>
  <c r="AM102" i="10"/>
  <c r="AW102" i="10"/>
  <c r="AJ84" i="10"/>
  <c r="AD84" i="10"/>
  <c r="W84" i="10"/>
  <c r="AC84" i="10"/>
  <c r="D102" i="10"/>
  <c r="AO102" i="10"/>
  <c r="AU84" i="10"/>
  <c r="AV84" i="10"/>
  <c r="J84" i="10"/>
  <c r="AN84" i="10"/>
  <c r="BA84" i="10"/>
  <c r="AJ102" i="10"/>
  <c r="G84" i="10"/>
  <c r="M84" i="10"/>
  <c r="Y102" i="10"/>
  <c r="L84" i="10"/>
  <c r="AA102" i="10"/>
  <c r="O102" i="10"/>
  <c r="AU102" i="10"/>
  <c r="L102" i="10"/>
  <c r="N84" i="10"/>
  <c r="F84" i="10"/>
  <c r="Q84" i="10"/>
  <c r="Q120" i="10" s="1"/>
  <c r="AY102" i="10"/>
  <c r="AC102" i="10"/>
  <c r="X84" i="10"/>
  <c r="R84" i="10"/>
  <c r="Y84" i="10"/>
  <c r="H84" i="10"/>
  <c r="AK102" i="10"/>
  <c r="O84" i="10"/>
  <c r="AL102" i="10"/>
  <c r="K102" i="10"/>
  <c r="AT102" i="10"/>
  <c r="U84" i="10"/>
  <c r="AP84" i="10"/>
  <c r="X102" i="10"/>
  <c r="V102" i="10"/>
  <c r="AW84" i="10"/>
  <c r="J102" i="10"/>
  <c r="M102" i="10"/>
  <c r="AT84" i="10"/>
  <c r="AX102" i="10"/>
  <c r="AP102" i="10"/>
  <c r="BA102" i="10"/>
  <c r="W102" i="10"/>
  <c r="AZ102" i="10"/>
  <c r="H102" i="10"/>
  <c r="AQ84" i="10"/>
  <c r="AH102" i="10"/>
  <c r="AN102" i="10"/>
  <c r="R102" i="10"/>
  <c r="P84" i="10"/>
  <c r="AB102" i="10"/>
  <c r="AS102" i="10"/>
  <c r="AM84" i="10"/>
  <c r="I84" i="10"/>
  <c r="AE84" i="10"/>
  <c r="I102" i="10"/>
  <c r="K84" i="10"/>
  <c r="S84" i="10"/>
  <c r="AX84" i="10"/>
  <c r="AG84" i="10"/>
  <c r="AD102" i="10"/>
  <c r="AA84" i="10"/>
  <c r="AA120" i="10" s="1"/>
  <c r="AQ102" i="10"/>
  <c r="G102" i="10"/>
  <c r="T102" i="10"/>
  <c r="U102" i="10"/>
  <c r="B102" i="10"/>
  <c r="AB84" i="10"/>
  <c r="AO84" i="10"/>
  <c r="E102" i="10"/>
  <c r="F102" i="10"/>
  <c r="AI84" i="10"/>
  <c r="AE102" i="10"/>
  <c r="P102" i="10"/>
  <c r="B84" i="10"/>
  <c r="B120" i="10" s="1"/>
  <c r="S102" i="10"/>
  <c r="L101" i="10"/>
  <c r="AB101" i="10"/>
  <c r="AR101" i="10"/>
  <c r="K101" i="10"/>
  <c r="AG101" i="10"/>
  <c r="C83" i="10"/>
  <c r="S83" i="10"/>
  <c r="AI83" i="10"/>
  <c r="AY83" i="10"/>
  <c r="W101" i="10"/>
  <c r="AS101" i="10"/>
  <c r="L83" i="10"/>
  <c r="AB83" i="10"/>
  <c r="AR83" i="10"/>
  <c r="O101" i="10"/>
  <c r="I83" i="10"/>
  <c r="AO83" i="10"/>
  <c r="I101" i="10"/>
  <c r="AY101" i="10"/>
  <c r="AH83" i="10"/>
  <c r="AP101" i="10"/>
  <c r="AD83" i="10"/>
  <c r="N101" i="10"/>
  <c r="U83" i="10"/>
  <c r="AT101" i="10"/>
  <c r="M83" i="10"/>
  <c r="T101" i="10"/>
  <c r="AN101" i="10"/>
  <c r="Q101" i="10"/>
  <c r="AQ101" i="10"/>
  <c r="O83" i="10"/>
  <c r="O119" i="10" s="1"/>
  <c r="AM83" i="10"/>
  <c r="M101" i="10"/>
  <c r="AM101" i="10"/>
  <c r="P83" i="10"/>
  <c r="AJ83" i="10"/>
  <c r="E101" i="10"/>
  <c r="Q83" i="10"/>
  <c r="J101" i="10"/>
  <c r="AO101" i="10"/>
  <c r="AP83" i="10"/>
  <c r="AP119" i="10" s="1"/>
  <c r="Y101" i="10"/>
  <c r="V83" i="10"/>
  <c r="AK83" i="10"/>
  <c r="F83" i="10"/>
  <c r="D101" i="10"/>
  <c r="AF101" i="10"/>
  <c r="F101" i="10"/>
  <c r="AW101" i="10"/>
  <c r="AA83" i="10"/>
  <c r="G101" i="10"/>
  <c r="AX101" i="10"/>
  <c r="X83" i="10"/>
  <c r="AZ83" i="10"/>
  <c r="Y83" i="10"/>
  <c r="S101" i="10"/>
  <c r="Z83" i="10"/>
  <c r="N83" i="10"/>
  <c r="AI101" i="10"/>
  <c r="B101" i="10"/>
  <c r="H101" i="10"/>
  <c r="AJ101" i="10"/>
  <c r="V101" i="10"/>
  <c r="G83" i="10"/>
  <c r="AE83" i="10"/>
  <c r="R101" i="10"/>
  <c r="D83" i="10"/>
  <c r="AF83" i="10"/>
  <c r="Z101" i="10"/>
  <c r="AG83" i="10"/>
  <c r="AD101" i="10"/>
  <c r="AX83" i="10"/>
  <c r="AX119" i="10" s="1"/>
  <c r="AT83" i="10"/>
  <c r="AT119" i="10" s="1"/>
  <c r="E83" i="10"/>
  <c r="AL83" i="10"/>
  <c r="P101" i="10"/>
  <c r="AA101" i="10"/>
  <c r="AQ83" i="10"/>
  <c r="AQ119" i="10" s="1"/>
  <c r="H83" i="10"/>
  <c r="AK101" i="10"/>
  <c r="J83" i="10"/>
  <c r="C101" i="10"/>
  <c r="AS83" i="10"/>
  <c r="AV101" i="10"/>
  <c r="AC101" i="10"/>
  <c r="AW83" i="10"/>
  <c r="U101" i="10"/>
  <c r="W83" i="10"/>
  <c r="AH101" i="10"/>
  <c r="AE101" i="10"/>
  <c r="B83" i="10"/>
  <c r="X101" i="10"/>
  <c r="AL101" i="10"/>
  <c r="AU83" i="10"/>
  <c r="T83" i="10"/>
  <c r="T119" i="10" s="1"/>
  <c r="AU101" i="10"/>
  <c r="R83" i="10"/>
  <c r="AC83" i="10"/>
  <c r="K83" i="10"/>
  <c r="AN83" i="10"/>
  <c r="AN119" i="10" s="1"/>
  <c r="BA83" i="10"/>
  <c r="AZ101" i="10"/>
  <c r="AV83" i="10"/>
  <c r="BA101" i="10"/>
  <c r="K100" i="10"/>
  <c r="AA100" i="10"/>
  <c r="AQ100" i="10"/>
  <c r="I100" i="10"/>
  <c r="AD100" i="10"/>
  <c r="AZ100" i="10"/>
  <c r="R82" i="10"/>
  <c r="AH82" i="10"/>
  <c r="AX82" i="10"/>
  <c r="U100" i="10"/>
  <c r="AP100" i="10"/>
  <c r="C82" i="10"/>
  <c r="S82" i="10"/>
  <c r="AI82" i="10"/>
  <c r="AY82" i="10"/>
  <c r="AS100" i="10"/>
  <c r="AB82" i="10"/>
  <c r="R100" i="10"/>
  <c r="AB100" i="10"/>
  <c r="M82" i="10"/>
  <c r="AS82" i="10"/>
  <c r="AC100" i="10"/>
  <c r="AG82" i="10"/>
  <c r="P82" i="10"/>
  <c r="X82" i="10"/>
  <c r="V100" i="10"/>
  <c r="O100" i="10"/>
  <c r="AE100" i="10"/>
  <c r="AU100" i="10"/>
  <c r="N100" i="10"/>
  <c r="AJ100" i="10"/>
  <c r="F82" i="10"/>
  <c r="V82" i="10"/>
  <c r="AL82" i="10"/>
  <c r="E100" i="10"/>
  <c r="Z100" i="10"/>
  <c r="AV100" i="10"/>
  <c r="G82" i="10"/>
  <c r="W82" i="10"/>
  <c r="AM82" i="10"/>
  <c r="M100" i="10"/>
  <c r="D82" i="10"/>
  <c r="AJ82" i="10"/>
  <c r="AJ118" i="10" s="1"/>
  <c r="AN100" i="10"/>
  <c r="AL100" i="10"/>
  <c r="U82" i="10"/>
  <c r="U118" i="10" s="1"/>
  <c r="BA82" i="10"/>
  <c r="AX100" i="10"/>
  <c r="AW82" i="10"/>
  <c r="AV82" i="10"/>
  <c r="AN82" i="10"/>
  <c r="AF82" i="10"/>
  <c r="S100" i="10"/>
  <c r="AY100" i="10"/>
  <c r="AO100" i="10"/>
  <c r="Z82" i="10"/>
  <c r="Z118" i="10" s="1"/>
  <c r="J100" i="10"/>
  <c r="BA100" i="10"/>
  <c r="AA82" i="10"/>
  <c r="X100" i="10"/>
  <c r="AR82" i="10"/>
  <c r="AW100" i="10"/>
  <c r="B82" i="10"/>
  <c r="I82" i="10"/>
  <c r="I118" i="10" s="1"/>
  <c r="L100" i="10"/>
  <c r="W100" i="10"/>
  <c r="D100" i="10"/>
  <c r="AT100" i="10"/>
  <c r="AD82" i="10"/>
  <c r="AD118" i="10" s="1"/>
  <c r="P100" i="10"/>
  <c r="B100" i="10"/>
  <c r="AE82" i="10"/>
  <c r="AE118" i="10" s="1"/>
  <c r="AH100" i="10"/>
  <c r="AZ82" i="10"/>
  <c r="AZ118" i="10" s="1"/>
  <c r="E82" i="10"/>
  <c r="E118" i="10" s="1"/>
  <c r="H100" i="10"/>
  <c r="AO82" i="10"/>
  <c r="Y82" i="10"/>
  <c r="C100" i="10"/>
  <c r="T100" i="10"/>
  <c r="AP82" i="10"/>
  <c r="K82" i="10"/>
  <c r="L82" i="10"/>
  <c r="AC82" i="10"/>
  <c r="AR100" i="10"/>
  <c r="AI100" i="10"/>
  <c r="N82" i="10"/>
  <c r="O82" i="10"/>
  <c r="F100" i="10"/>
  <c r="Q82" i="10"/>
  <c r="AM100" i="10"/>
  <c r="AT82" i="10"/>
  <c r="AT118" i="10" s="1"/>
  <c r="AQ82" i="10"/>
  <c r="Q100" i="10"/>
  <c r="H82" i="10"/>
  <c r="AF100" i="10"/>
  <c r="AK82" i="10"/>
  <c r="T82" i="10"/>
  <c r="G100" i="10"/>
  <c r="AK100" i="10"/>
  <c r="AG100" i="10"/>
  <c r="Y100" i="10"/>
  <c r="AU82" i="10"/>
  <c r="J82" i="10"/>
  <c r="I99" i="10"/>
  <c r="AY99" i="10"/>
  <c r="S99" i="10"/>
  <c r="V99" i="10"/>
  <c r="J99" i="10"/>
  <c r="Y99" i="10"/>
  <c r="BA81" i="10"/>
  <c r="AL99" i="10"/>
  <c r="P81" i="10"/>
  <c r="AS99" i="10"/>
  <c r="D99" i="10"/>
  <c r="K81" i="10"/>
  <c r="U81" i="10"/>
  <c r="B81" i="10"/>
  <c r="AG81" i="10"/>
  <c r="AQ81" i="10"/>
  <c r="AN81" i="10"/>
  <c r="O81" i="10"/>
  <c r="J81" i="10"/>
  <c r="AC81" i="10"/>
  <c r="AA99" i="10"/>
  <c r="N99" i="10"/>
  <c r="AB81" i="10"/>
  <c r="AM99" i="10"/>
  <c r="AY81" i="10"/>
  <c r="AQ99" i="10"/>
  <c r="B99" i="10"/>
  <c r="S81" i="10"/>
  <c r="H81" i="10"/>
  <c r="AF99" i="10"/>
  <c r="AN99" i="10"/>
  <c r="M81" i="10"/>
  <c r="K99" i="10"/>
  <c r="BA99" i="10"/>
  <c r="AZ99" i="10"/>
  <c r="AX99" i="10"/>
  <c r="AZ81" i="10"/>
  <c r="AP81" i="10"/>
  <c r="AW99" i="10"/>
  <c r="AR81" i="10"/>
  <c r="AE81" i="10"/>
  <c r="AK81" i="10"/>
  <c r="U99" i="10"/>
  <c r="H99" i="10"/>
  <c r="AS81" i="10"/>
  <c r="X81" i="10"/>
  <c r="AC99" i="10"/>
  <c r="P99" i="10"/>
  <c r="AT81" i="10"/>
  <c r="AG99" i="10"/>
  <c r="AA81" i="10"/>
  <c r="AF81" i="10"/>
  <c r="G81" i="10"/>
  <c r="F81" i="10"/>
  <c r="Y81" i="10"/>
  <c r="W99" i="10"/>
  <c r="AH81" i="10"/>
  <c r="R99" i="10"/>
  <c r="AU81" i="10"/>
  <c r="AB99" i="10"/>
  <c r="AJ99" i="10"/>
  <c r="E81" i="10"/>
  <c r="F99" i="10"/>
  <c r="Z81" i="10"/>
  <c r="AX81" i="10"/>
  <c r="AV81" i="10"/>
  <c r="AW81" i="10"/>
  <c r="AW117" i="10" s="1"/>
  <c r="C81" i="10"/>
  <c r="AU99" i="10"/>
  <c r="AL81" i="10"/>
  <c r="AO81" i="10"/>
  <c r="G99" i="10"/>
  <c r="AI81" i="10"/>
  <c r="L99" i="10"/>
  <c r="O99" i="10"/>
  <c r="AJ81" i="10"/>
  <c r="AM81" i="10"/>
  <c r="AR99" i="10"/>
  <c r="AD81" i="10"/>
  <c r="AO99" i="10"/>
  <c r="AD99" i="10"/>
  <c r="T81" i="10"/>
  <c r="L81" i="10"/>
  <c r="AH99" i="10"/>
  <c r="AK99" i="10"/>
  <c r="E99" i="10"/>
  <c r="T99" i="10"/>
  <c r="M99" i="10"/>
  <c r="R81" i="10"/>
  <c r="X99" i="10"/>
  <c r="Q81" i="10"/>
  <c r="AE99" i="10"/>
  <c r="AV99" i="10"/>
  <c r="V81" i="10"/>
  <c r="I81" i="10"/>
  <c r="AP99" i="10"/>
  <c r="D81" i="10"/>
  <c r="AT99" i="10"/>
  <c r="W81" i="10"/>
  <c r="AI99" i="10"/>
  <c r="Z99" i="10"/>
  <c r="C99" i="10"/>
  <c r="N81" i="10"/>
  <c r="Q99" i="10"/>
  <c r="Q98" i="10"/>
  <c r="AG98" i="10"/>
  <c r="AW98" i="10"/>
  <c r="N98" i="10"/>
  <c r="AD98" i="10"/>
  <c r="AT98" i="10"/>
  <c r="W98" i="10"/>
  <c r="D80" i="10"/>
  <c r="T80" i="10"/>
  <c r="AJ80" i="10"/>
  <c r="AZ80" i="10"/>
  <c r="AF98" i="10"/>
  <c r="I80" i="10"/>
  <c r="Y80" i="10"/>
  <c r="AO80" i="10"/>
  <c r="D98" i="10"/>
  <c r="J80" i="10"/>
  <c r="AP80" i="10"/>
  <c r="AA98" i="10"/>
  <c r="S80" i="10"/>
  <c r="AY80" i="10"/>
  <c r="AI98" i="10"/>
  <c r="B80" i="10"/>
  <c r="AY98" i="10"/>
  <c r="C98" i="10"/>
  <c r="V80" i="10"/>
  <c r="E98" i="10"/>
  <c r="Y98" i="10"/>
  <c r="AS98" i="10"/>
  <c r="R98" i="10"/>
  <c r="AL98" i="10"/>
  <c r="O98" i="10"/>
  <c r="H80" i="10"/>
  <c r="AB80" i="10"/>
  <c r="AV80" i="10"/>
  <c r="AN98" i="10"/>
  <c r="Q80" i="10"/>
  <c r="Q116" i="10" s="1"/>
  <c r="AK80" i="10"/>
  <c r="T98" i="10"/>
  <c r="Z80" i="10"/>
  <c r="K98" i="10"/>
  <c r="AA80" i="10"/>
  <c r="AR98" i="10"/>
  <c r="AM80" i="10"/>
  <c r="N80" i="10"/>
  <c r="AE80" i="10"/>
  <c r="I98" i="10"/>
  <c r="AC98" i="10"/>
  <c r="BA98" i="10"/>
  <c r="V98" i="10"/>
  <c r="AP98" i="10"/>
  <c r="AE98" i="10"/>
  <c r="L80" i="10"/>
  <c r="AF80" i="10"/>
  <c r="H98" i="10"/>
  <c r="AV98" i="10"/>
  <c r="U80" i="10"/>
  <c r="AS80" i="10"/>
  <c r="AJ98" i="10"/>
  <c r="AH80" i="10"/>
  <c r="AQ98" i="10"/>
  <c r="AI80" i="10"/>
  <c r="AI116" i="10" s="1"/>
  <c r="B98" i="10"/>
  <c r="AU80" i="10"/>
  <c r="AD80" i="10"/>
  <c r="AD116" i="10" s="1"/>
  <c r="S98" i="10"/>
  <c r="M98" i="10"/>
  <c r="F98" i="10"/>
  <c r="AX98" i="10"/>
  <c r="P80" i="10"/>
  <c r="P98" i="10"/>
  <c r="AC80" i="10"/>
  <c r="AC116" i="10" s="1"/>
  <c r="AZ98" i="10"/>
  <c r="C80" i="10"/>
  <c r="G80" i="10"/>
  <c r="AT80" i="10"/>
  <c r="Z98" i="10"/>
  <c r="AM98" i="10"/>
  <c r="E80" i="10"/>
  <c r="E116" i="10" s="1"/>
  <c r="AX80" i="10"/>
  <c r="F80" i="10"/>
  <c r="AO98" i="10"/>
  <c r="AH98" i="10"/>
  <c r="AR80" i="10"/>
  <c r="M80" i="10"/>
  <c r="AB98" i="10"/>
  <c r="AL80" i="10"/>
  <c r="AL116" i="10" s="1"/>
  <c r="U98" i="10"/>
  <c r="J98" i="10"/>
  <c r="G98" i="10"/>
  <c r="X80" i="10"/>
  <c r="X98" i="10"/>
  <c r="AG80" i="10"/>
  <c r="R80" i="10"/>
  <c r="R116" i="10" s="1"/>
  <c r="K80" i="10"/>
  <c r="W80" i="10"/>
  <c r="O80" i="10"/>
  <c r="AK98" i="10"/>
  <c r="AN80" i="10"/>
  <c r="AW80" i="10"/>
  <c r="AQ80" i="10"/>
  <c r="AQ116" i="10" s="1"/>
  <c r="AU98" i="10"/>
  <c r="BA80" i="10"/>
  <c r="L98" i="10"/>
  <c r="AW79" i="10"/>
  <c r="AD97" i="10"/>
  <c r="AQ79" i="10"/>
  <c r="AR97" i="10"/>
  <c r="U79" i="10"/>
  <c r="K79" i="10"/>
  <c r="L97" i="10"/>
  <c r="AL79" i="10"/>
  <c r="V97" i="10"/>
  <c r="J97" i="10"/>
  <c r="AL97" i="10"/>
  <c r="AK79" i="10"/>
  <c r="T79" i="10"/>
  <c r="AI79" i="10"/>
  <c r="AW97" i="10"/>
  <c r="AJ97" i="10"/>
  <c r="AG79" i="10"/>
  <c r="AT79" i="10"/>
  <c r="Y97" i="10"/>
  <c r="AS79" i="10"/>
  <c r="AD79" i="10"/>
  <c r="E79" i="10"/>
  <c r="D79" i="10"/>
  <c r="S79" i="10"/>
  <c r="AG97" i="10"/>
  <c r="T97" i="10"/>
  <c r="N79" i="10"/>
  <c r="AQ97" i="10"/>
  <c r="AO97" i="10"/>
  <c r="Q79" i="10"/>
  <c r="AZ79" i="10"/>
  <c r="C79" i="10"/>
  <c r="D97" i="10"/>
  <c r="K97" i="10"/>
  <c r="AB97" i="10"/>
  <c r="G97" i="10"/>
  <c r="AI97" i="10"/>
  <c r="G79" i="10"/>
  <c r="U97" i="10"/>
  <c r="H97" i="10"/>
  <c r="B97" i="10"/>
  <c r="AY79" i="10"/>
  <c r="BA79" i="10"/>
  <c r="AP97" i="10"/>
  <c r="F79" i="10"/>
  <c r="X79" i="10"/>
  <c r="W79" i="10"/>
  <c r="E97" i="10"/>
  <c r="AX79" i="10"/>
  <c r="AH79" i="10"/>
  <c r="AE97" i="10"/>
  <c r="AC79" i="10"/>
  <c r="P79" i="10"/>
  <c r="AE79" i="10"/>
  <c r="AS97" i="10"/>
  <c r="AF97" i="10"/>
  <c r="AR79" i="10"/>
  <c r="AU97" i="10"/>
  <c r="Z97" i="10"/>
  <c r="W97" i="10"/>
  <c r="I97" i="10"/>
  <c r="N97" i="10"/>
  <c r="H79" i="10"/>
  <c r="AH97" i="10"/>
  <c r="AN97" i="10"/>
  <c r="L79" i="10"/>
  <c r="Z79" i="10"/>
  <c r="Z115" i="10" s="1"/>
  <c r="AJ79" i="10"/>
  <c r="AJ115" i="10" s="1"/>
  <c r="M79" i="10"/>
  <c r="BA97" i="10"/>
  <c r="B79" i="10"/>
  <c r="V79" i="10"/>
  <c r="AV79" i="10"/>
  <c r="AU79" i="10"/>
  <c r="AU115" i="10" s="1"/>
  <c r="AC97" i="10"/>
  <c r="AB79" i="10"/>
  <c r="X97" i="10"/>
  <c r="F97" i="10"/>
  <c r="O97" i="10"/>
  <c r="AX97" i="10"/>
  <c r="AV97" i="10"/>
  <c r="AZ97" i="10"/>
  <c r="AA79" i="10"/>
  <c r="AM79" i="10"/>
  <c r="Y79" i="10"/>
  <c r="AM97" i="10"/>
  <c r="S97" i="10"/>
  <c r="P97" i="10"/>
  <c r="AA97" i="10"/>
  <c r="AN79" i="10"/>
  <c r="AK97" i="10"/>
  <c r="R79" i="10"/>
  <c r="I79" i="10"/>
  <c r="I115" i="10" s="1"/>
  <c r="AP79" i="10"/>
  <c r="AT97" i="10"/>
  <c r="AF79" i="10"/>
  <c r="AF115" i="10" s="1"/>
  <c r="O79" i="10"/>
  <c r="M97" i="10"/>
  <c r="Q97" i="10"/>
  <c r="J79" i="10"/>
  <c r="C97" i="10"/>
  <c r="AO79" i="10"/>
  <c r="AY97" i="10"/>
  <c r="R97" i="10"/>
  <c r="G96" i="10"/>
  <c r="W96" i="10"/>
  <c r="AM96" i="10"/>
  <c r="D96" i="10"/>
  <c r="T96" i="10"/>
  <c r="AJ96" i="10"/>
  <c r="AZ96" i="10"/>
  <c r="AC96" i="10"/>
  <c r="F78" i="10"/>
  <c r="V78" i="10"/>
  <c r="AL78" i="10"/>
  <c r="F96" i="10"/>
  <c r="AL96" i="10"/>
  <c r="G78" i="10"/>
  <c r="W78" i="10"/>
  <c r="AM78" i="10"/>
  <c r="J96" i="10"/>
  <c r="C96" i="10"/>
  <c r="AA96" i="10"/>
  <c r="AU96" i="10"/>
  <c r="P96" i="10"/>
  <c r="AN96" i="10"/>
  <c r="M96" i="10"/>
  <c r="BA96" i="10"/>
  <c r="Z78" i="10"/>
  <c r="AT78" i="10"/>
  <c r="AD96" i="10"/>
  <c r="K78" i="10"/>
  <c r="AE78" i="10"/>
  <c r="AY78" i="10"/>
  <c r="P78" i="10"/>
  <c r="AV78" i="10"/>
  <c r="AW96" i="10"/>
  <c r="AG78" i="10"/>
  <c r="R96" i="10"/>
  <c r="AC78" i="10"/>
  <c r="AC114" i="10" s="1"/>
  <c r="AK78" i="10"/>
  <c r="D78" i="10"/>
  <c r="U78" i="10"/>
  <c r="S96" i="10"/>
  <c r="AY96" i="10"/>
  <c r="AB96" i="10"/>
  <c r="E96" i="10"/>
  <c r="J78" i="10"/>
  <c r="AH78" i="10"/>
  <c r="V96" i="10"/>
  <c r="O78" i="10"/>
  <c r="AQ78" i="10"/>
  <c r="H78" i="10"/>
  <c r="AH96" i="10"/>
  <c r="Q78" i="10"/>
  <c r="B78" i="10"/>
  <c r="AS78" i="10"/>
  <c r="AR78" i="10"/>
  <c r="AZ78" i="10"/>
  <c r="AZ114" i="10" s="1"/>
  <c r="AE96" i="10"/>
  <c r="H96" i="10"/>
  <c r="AF96" i="10"/>
  <c r="U96" i="10"/>
  <c r="N78" i="10"/>
  <c r="AP78" i="10"/>
  <c r="AT96" i="10"/>
  <c r="S78" i="10"/>
  <c r="AU78" i="10"/>
  <c r="AU114" i="10" s="1"/>
  <c r="X78" i="10"/>
  <c r="Q96" i="10"/>
  <c r="Y78" i="10"/>
  <c r="AX96" i="10"/>
  <c r="AO96" i="10"/>
  <c r="Y96" i="10"/>
  <c r="BA78" i="10"/>
  <c r="AI96" i="10"/>
  <c r="AR96" i="10"/>
  <c r="R78" i="10"/>
  <c r="B96" i="10"/>
  <c r="Z96" i="10"/>
  <c r="AG96" i="10"/>
  <c r="I96" i="10"/>
  <c r="T78" i="10"/>
  <c r="L96" i="10"/>
  <c r="AX78" i="10"/>
  <c r="AA78" i="10"/>
  <c r="AO78" i="10"/>
  <c r="AB78" i="10"/>
  <c r="O96" i="10"/>
  <c r="AS96" i="10"/>
  <c r="N96" i="10"/>
  <c r="AN78" i="10"/>
  <c r="L78" i="10"/>
  <c r="AQ96" i="10"/>
  <c r="AV96" i="10"/>
  <c r="AD78" i="10"/>
  <c r="C78" i="10"/>
  <c r="AP96" i="10"/>
  <c r="I78" i="10"/>
  <c r="M78" i="10"/>
  <c r="AJ78" i="10"/>
  <c r="K96" i="10"/>
  <c r="AK96" i="10"/>
  <c r="AF78" i="10"/>
  <c r="E78" i="10"/>
  <c r="X96" i="10"/>
  <c r="AI78" i="10"/>
  <c r="AW78" i="10"/>
  <c r="R95" i="10"/>
  <c r="AH95" i="10"/>
  <c r="AX95" i="10"/>
  <c r="O95" i="10"/>
  <c r="AE95" i="10"/>
  <c r="AU95" i="10"/>
  <c r="X95" i="10"/>
  <c r="B95" i="10"/>
  <c r="Q77" i="10"/>
  <c r="AG77" i="10"/>
  <c r="AW77" i="10"/>
  <c r="Y95" i="10"/>
  <c r="F77" i="10"/>
  <c r="V77" i="10"/>
  <c r="AL77" i="10"/>
  <c r="M95" i="10"/>
  <c r="K77" i="10"/>
  <c r="J95" i="10"/>
  <c r="AD95" i="10"/>
  <c r="C95" i="10"/>
  <c r="W95" i="10"/>
  <c r="AQ95" i="10"/>
  <c r="AF95" i="10"/>
  <c r="I77" i="10"/>
  <c r="AC77" i="10"/>
  <c r="BA77" i="10"/>
  <c r="AO95" i="10"/>
  <c r="R77" i="10"/>
  <c r="AP77" i="10"/>
  <c r="AS95" i="10"/>
  <c r="AI77" i="10"/>
  <c r="U95" i="10"/>
  <c r="AJ95" i="10"/>
  <c r="T77" i="10"/>
  <c r="AZ77" i="10"/>
  <c r="AF77" i="10"/>
  <c r="L95" i="10"/>
  <c r="AB95" i="10"/>
  <c r="O77" i="10"/>
  <c r="N95" i="10"/>
  <c r="AL95" i="10"/>
  <c r="G95" i="10"/>
  <c r="AA95" i="10"/>
  <c r="AY95" i="10"/>
  <c r="AN95" i="10"/>
  <c r="M77" i="10"/>
  <c r="AK77" i="10"/>
  <c r="I95" i="10"/>
  <c r="AW95" i="10"/>
  <c r="Z77" i="10"/>
  <c r="AT77" i="10"/>
  <c r="C77" i="10"/>
  <c r="C113" i="10" s="1"/>
  <c r="AQ77" i="10"/>
  <c r="BA95" i="10"/>
  <c r="AZ95" i="10"/>
  <c r="AB77" i="10"/>
  <c r="V95" i="10"/>
  <c r="K95" i="10"/>
  <c r="H95" i="10"/>
  <c r="U77" i="10"/>
  <c r="U113" i="10" s="1"/>
  <c r="Q95" i="10"/>
  <c r="AD77" i="10"/>
  <c r="S77" i="10"/>
  <c r="D95" i="10"/>
  <c r="AJ77" i="10"/>
  <c r="AJ113" i="10" s="1"/>
  <c r="P77" i="10"/>
  <c r="G77" i="10"/>
  <c r="AN77" i="10"/>
  <c r="AP95" i="10"/>
  <c r="AV95" i="10"/>
  <c r="J77" i="10"/>
  <c r="AY77" i="10"/>
  <c r="AY113" i="10" s="1"/>
  <c r="D77" i="10"/>
  <c r="X77" i="10"/>
  <c r="AM77" i="10"/>
  <c r="AT95" i="10"/>
  <c r="E77" i="10"/>
  <c r="AS77" i="10"/>
  <c r="AS113" i="10" s="1"/>
  <c r="AC95" i="10"/>
  <c r="B77" i="10"/>
  <c r="B113" i="10" s="1"/>
  <c r="AK95" i="10"/>
  <c r="AE77" i="10"/>
  <c r="Z95" i="10"/>
  <c r="S95" i="10"/>
  <c r="P95" i="10"/>
  <c r="Y77" i="10"/>
  <c r="AG95" i="10"/>
  <c r="AH77" i="10"/>
  <c r="AA77" i="10"/>
  <c r="T95" i="10"/>
  <c r="AR77" i="10"/>
  <c r="AV77" i="10"/>
  <c r="W77" i="10"/>
  <c r="W113" i="10" s="1"/>
  <c r="AR95" i="10"/>
  <c r="AI95" i="10"/>
  <c r="AO77" i="10"/>
  <c r="AX77" i="10"/>
  <c r="E95" i="10"/>
  <c r="AU77" i="10"/>
  <c r="F95" i="10"/>
  <c r="AM95" i="10"/>
  <c r="N77" i="10"/>
  <c r="L77" i="10"/>
  <c r="H77" i="10"/>
  <c r="AJ76" i="10"/>
  <c r="U76" i="10"/>
  <c r="AK94" i="10"/>
  <c r="AD76" i="10"/>
  <c r="X94" i="10"/>
  <c r="AX94" i="10"/>
  <c r="U94" i="10"/>
  <c r="BA76" i="10"/>
  <c r="E94" i="10"/>
  <c r="B76" i="10"/>
  <c r="J76" i="10"/>
  <c r="AE76" i="10"/>
  <c r="AE94" i="10"/>
  <c r="AB94" i="10"/>
  <c r="E76" i="10"/>
  <c r="AK76" i="10"/>
  <c r="H94" i="10"/>
  <c r="Q76" i="10"/>
  <c r="AD94" i="10"/>
  <c r="AT76" i="10"/>
  <c r="L94" i="10"/>
  <c r="Z94" i="10"/>
  <c r="B94" i="10"/>
  <c r="W94" i="10"/>
  <c r="P76" i="10"/>
  <c r="Q94" i="10"/>
  <c r="AS76" i="10"/>
  <c r="AP94" i="10"/>
  <c r="M94" i="10"/>
  <c r="AX76" i="10"/>
  <c r="AA76" i="10"/>
  <c r="T76" i="10"/>
  <c r="AM94" i="10"/>
  <c r="AY76" i="10"/>
  <c r="AV94" i="10"/>
  <c r="S94" i="10"/>
  <c r="AH76" i="10"/>
  <c r="M76" i="10"/>
  <c r="J94" i="10"/>
  <c r="D76" i="10"/>
  <c r="AH94" i="10"/>
  <c r="N94" i="10"/>
  <c r="O76" i="10"/>
  <c r="AS94" i="10"/>
  <c r="O94" i="10"/>
  <c r="AN94" i="10"/>
  <c r="T94" i="10"/>
  <c r="AW94" i="10"/>
  <c r="K76" i="10"/>
  <c r="AF94" i="10"/>
  <c r="AZ94" i="10"/>
  <c r="C76" i="10"/>
  <c r="G94" i="10"/>
  <c r="AR76" i="10"/>
  <c r="Z76" i="10"/>
  <c r="AO76" i="10"/>
  <c r="D94" i="10"/>
  <c r="AI94" i="10"/>
  <c r="F94" i="10"/>
  <c r="AG76" i="10"/>
  <c r="AB76" i="10"/>
  <c r="W76" i="10"/>
  <c r="AF76" i="10"/>
  <c r="R94" i="10"/>
  <c r="V76" i="10"/>
  <c r="N76" i="10"/>
  <c r="K94" i="10"/>
  <c r="AI76" i="10"/>
  <c r="G76" i="10"/>
  <c r="Y76" i="10"/>
  <c r="X76" i="10"/>
  <c r="V94" i="10"/>
  <c r="S76" i="10"/>
  <c r="AY94" i="10"/>
  <c r="R76" i="10"/>
  <c r="AJ94" i="10"/>
  <c r="C94" i="10"/>
  <c r="AA94" i="10"/>
  <c r="AT94" i="10"/>
  <c r="AQ76" i="10"/>
  <c r="AU76" i="10"/>
  <c r="AM76" i="10"/>
  <c r="AN76" i="10"/>
  <c r="AL94" i="10"/>
  <c r="AU94" i="10"/>
  <c r="AW76" i="10"/>
  <c r="AC76" i="10"/>
  <c r="AL76" i="10"/>
  <c r="I76" i="10"/>
  <c r="H76" i="10"/>
  <c r="AO94" i="10"/>
  <c r="AP76" i="10"/>
  <c r="AZ76" i="10"/>
  <c r="AV76" i="10"/>
  <c r="AQ94" i="10"/>
  <c r="AR94" i="10"/>
  <c r="F76" i="10"/>
  <c r="Y94" i="10"/>
  <c r="AG94" i="10"/>
  <c r="AC94" i="10"/>
  <c r="L76" i="10"/>
  <c r="P94" i="10"/>
  <c r="I94" i="10"/>
  <c r="B8" i="2"/>
  <c r="A9" i="2"/>
  <c r="AH121" i="10" l="1"/>
  <c r="AT120" i="10"/>
  <c r="B6" i="5"/>
  <c r="E5" i="5"/>
  <c r="D5" i="5"/>
  <c r="M5" i="5"/>
  <c r="N5" i="5"/>
  <c r="L5" i="5"/>
  <c r="I5" i="5"/>
  <c r="K5" i="5"/>
  <c r="J5" i="5"/>
  <c r="F5" i="5"/>
  <c r="O5" i="5"/>
  <c r="Q5" i="5"/>
  <c r="C5" i="5"/>
  <c r="H5" i="5"/>
  <c r="P5" i="5"/>
  <c r="G5" i="5"/>
  <c r="AS119" i="10"/>
  <c r="M123" i="10"/>
  <c r="AL111" i="10"/>
  <c r="AE111" i="10"/>
  <c r="AT111" i="10"/>
  <c r="AQ111" i="10"/>
  <c r="AF120" i="10"/>
  <c r="H111" i="10"/>
  <c r="U124" i="10"/>
  <c r="H113" i="10"/>
  <c r="AO113" i="10"/>
  <c r="M114" i="10"/>
  <c r="AD114" i="10"/>
  <c r="AW116" i="10"/>
  <c r="W116" i="10"/>
  <c r="O118" i="10"/>
  <c r="AI120" i="10"/>
  <c r="M122" i="10"/>
  <c r="AF113" i="10"/>
  <c r="AB115" i="10"/>
  <c r="AR116" i="10"/>
  <c r="S117" i="10"/>
  <c r="S121" i="10"/>
  <c r="AE113" i="10"/>
  <c r="G114" i="10"/>
  <c r="AP111" i="10"/>
  <c r="W111" i="10"/>
  <c r="AY114" i="10"/>
  <c r="AM114" i="10"/>
  <c r="AF119" i="10"/>
  <c r="L121" i="10"/>
  <c r="AQ122" i="10"/>
  <c r="AO115" i="10"/>
  <c r="AN115" i="10"/>
  <c r="C116" i="10"/>
  <c r="AS116" i="10"/>
  <c r="K118" i="10"/>
  <c r="AV118" i="10"/>
  <c r="AC119" i="10"/>
  <c r="AW119" i="10"/>
  <c r="E119" i="10"/>
  <c r="AG119" i="10"/>
  <c r="Q119" i="10"/>
  <c r="O121" i="10"/>
  <c r="AW121" i="10"/>
  <c r="F122" i="10"/>
  <c r="W123" i="10"/>
  <c r="AI124" i="10"/>
  <c r="AB120" i="10"/>
  <c r="G119" i="10"/>
  <c r="O120" i="10"/>
  <c r="P113" i="10"/>
  <c r="V113" i="10"/>
  <c r="AR114" i="10"/>
  <c r="AG114" i="10"/>
  <c r="X115" i="10"/>
  <c r="AI115" i="10"/>
  <c r="AV117" i="10"/>
  <c r="AK117" i="10"/>
  <c r="AL118" i="10"/>
  <c r="AA119" i="10"/>
  <c r="M119" i="10"/>
  <c r="H120" i="10"/>
  <c r="J120" i="10"/>
  <c r="AJ120" i="10"/>
  <c r="AQ121" i="10"/>
  <c r="K123" i="10"/>
  <c r="AC123" i="10"/>
  <c r="AD123" i="10"/>
  <c r="B123" i="10"/>
  <c r="AN123" i="10"/>
  <c r="R124" i="10"/>
  <c r="K124" i="10"/>
  <c r="T124" i="10"/>
  <c r="AI125" i="10"/>
  <c r="M125" i="10"/>
  <c r="P108" i="10"/>
  <c r="Y108" i="10"/>
  <c r="AA108" i="10"/>
  <c r="AY108" i="10"/>
  <c r="AI108" i="10"/>
  <c r="AF108" i="10"/>
  <c r="AN108" i="10"/>
  <c r="N108" i="10"/>
  <c r="Q108" i="10"/>
  <c r="Z108" i="10"/>
  <c r="AB108" i="10"/>
  <c r="AX108" i="10"/>
  <c r="U90" i="10"/>
  <c r="N113" i="10"/>
  <c r="Y113" i="10"/>
  <c r="X113" i="10"/>
  <c r="AD113" i="10"/>
  <c r="BA108" i="10"/>
  <c r="Z113" i="10"/>
  <c r="M113" i="10"/>
  <c r="AG113" i="10"/>
  <c r="AA114" i="10"/>
  <c r="R114" i="10"/>
  <c r="D114" i="10"/>
  <c r="AP115" i="10"/>
  <c r="L115" i="10"/>
  <c r="AE115" i="10"/>
  <c r="AH115" i="10"/>
  <c r="AY115" i="10"/>
  <c r="G115" i="10"/>
  <c r="Q115" i="10"/>
  <c r="E115" i="10"/>
  <c r="AT115" i="10"/>
  <c r="P116" i="10"/>
  <c r="AF116" i="10"/>
  <c r="AE116" i="10"/>
  <c r="AA116" i="10"/>
  <c r="AP116" i="10"/>
  <c r="Y116" i="10"/>
  <c r="AJ116" i="10"/>
  <c r="V117" i="10"/>
  <c r="T117" i="10"/>
  <c r="AL117" i="10"/>
  <c r="F117" i="10"/>
  <c r="AP117" i="10"/>
  <c r="O117" i="10"/>
  <c r="B117" i="10"/>
  <c r="T118" i="10"/>
  <c r="D118" i="10"/>
  <c r="G118" i="10"/>
  <c r="AU119" i="10"/>
  <c r="N119" i="10"/>
  <c r="AD119" i="10"/>
  <c r="AR119" i="10"/>
  <c r="S120" i="10"/>
  <c r="I120" i="10"/>
  <c r="AQ120" i="10"/>
  <c r="N120" i="10"/>
  <c r="G120" i="10"/>
  <c r="C120" i="10"/>
  <c r="AZ120" i="10"/>
  <c r="V121" i="10"/>
  <c r="AO121" i="10"/>
  <c r="F121" i="10"/>
  <c r="AR121" i="10"/>
  <c r="U121" i="10"/>
  <c r="AK121" i="10"/>
  <c r="AZ121" i="10"/>
  <c r="AB121" i="10"/>
  <c r="AD122" i="10"/>
  <c r="AV122" i="10"/>
  <c r="AS122" i="10"/>
  <c r="AK122" i="10"/>
  <c r="E122" i="10"/>
  <c r="G122" i="10"/>
  <c r="AN122" i="10"/>
  <c r="AB123" i="10"/>
  <c r="AL123" i="10"/>
  <c r="BA123" i="10"/>
  <c r="AF123" i="10"/>
  <c r="AT123" i="10"/>
  <c r="U123" i="10"/>
  <c r="S124" i="10"/>
  <c r="AH124" i="10"/>
  <c r="AJ124" i="10"/>
  <c r="AZ124" i="10"/>
  <c r="AQ125" i="10"/>
  <c r="AB125" i="10"/>
  <c r="AV125" i="10"/>
  <c r="N125" i="10"/>
  <c r="AE125" i="10"/>
  <c r="C125" i="10"/>
  <c r="AD125" i="10"/>
  <c r="AR125" i="10"/>
  <c r="H108" i="10"/>
  <c r="AX113" i="10"/>
  <c r="AA113" i="10"/>
  <c r="E114" i="10"/>
  <c r="Y115" i="10"/>
  <c r="M116" i="10"/>
  <c r="D117" i="10"/>
  <c r="AZ117" i="10"/>
  <c r="AQ118" i="10"/>
  <c r="AP118" i="10"/>
  <c r="AO118" i="10"/>
  <c r="J119" i="10"/>
  <c r="AO120" i="10"/>
  <c r="AV120" i="10"/>
  <c r="V122" i="10"/>
  <c r="L123" i="10"/>
  <c r="Q123" i="10"/>
  <c r="AR123" i="10"/>
  <c r="X123" i="10"/>
  <c r="AV124" i="10"/>
  <c r="C124" i="10"/>
  <c r="F125" i="10"/>
  <c r="AS125" i="10"/>
  <c r="O111" i="10"/>
  <c r="AJ111" i="10"/>
  <c r="V111" i="10"/>
  <c r="C111" i="10"/>
  <c r="N111" i="10"/>
  <c r="I111" i="10"/>
  <c r="P111" i="10"/>
  <c r="AK111" i="10"/>
  <c r="AY111" i="10"/>
  <c r="Z111" i="10"/>
  <c r="M111" i="10"/>
  <c r="Y111" i="10"/>
  <c r="AZ90" i="10"/>
  <c r="AJ90" i="10"/>
  <c r="AC108" i="10"/>
  <c r="AL108" i="10"/>
  <c r="R108" i="10"/>
  <c r="AW108" i="10"/>
  <c r="AN113" i="10"/>
  <c r="R113" i="10"/>
  <c r="AW114" i="10"/>
  <c r="N114" i="10"/>
  <c r="B114" i="10"/>
  <c r="J114" i="10"/>
  <c r="AV114" i="10"/>
  <c r="V115" i="10"/>
  <c r="AC115" i="10"/>
  <c r="C115" i="10"/>
  <c r="S115" i="10"/>
  <c r="AS115" i="10"/>
  <c r="AK115" i="10"/>
  <c r="AL115" i="10"/>
  <c r="AX116" i="10"/>
  <c r="AH116" i="10"/>
  <c r="Z116" i="10"/>
  <c r="AJ117" i="10"/>
  <c r="Z117" i="10"/>
  <c r="AC117" i="10"/>
  <c r="K117" i="10"/>
  <c r="J118" i="10"/>
  <c r="AM118" i="10"/>
  <c r="F118" i="10"/>
  <c r="M118" i="10"/>
  <c r="C118" i="10"/>
  <c r="AH118" i="10"/>
  <c r="W119" i="10"/>
  <c r="U119" i="10"/>
  <c r="AH119" i="10"/>
  <c r="L119" i="10"/>
  <c r="AI119" i="10"/>
  <c r="AG120" i="10"/>
  <c r="AW120" i="10"/>
  <c r="R120" i="10"/>
  <c r="W120" i="10"/>
  <c r="AV121" i="10"/>
  <c r="R121" i="10"/>
  <c r="T121" i="10"/>
  <c r="AJ121" i="10"/>
  <c r="AM121" i="10"/>
  <c r="C121" i="10"/>
  <c r="I121" i="10"/>
  <c r="AU121" i="10"/>
  <c r="AX122" i="10"/>
  <c r="AE122" i="10"/>
  <c r="AG108" i="10"/>
  <c r="B108" i="10"/>
  <c r="L113" i="10"/>
  <c r="AM113" i="10"/>
  <c r="AK113" i="10"/>
  <c r="AL113" i="10"/>
  <c r="AO114" i="10"/>
  <c r="T114" i="10"/>
  <c r="P114" i="10"/>
  <c r="AL114" i="10"/>
  <c r="AA115" i="10"/>
  <c r="B115" i="10"/>
  <c r="BA116" i="10"/>
  <c r="K116" i="10"/>
  <c r="I117" i="10"/>
  <c r="AA117" i="10"/>
  <c r="J117" i="10"/>
  <c r="AU118" i="10"/>
  <c r="L118" i="10"/>
  <c r="H119" i="10"/>
  <c r="B121" i="10"/>
  <c r="AA121" i="10"/>
  <c r="M121" i="10"/>
  <c r="K121" i="10"/>
  <c r="Z122" i="10"/>
  <c r="L122" i="10"/>
  <c r="AU122" i="10"/>
  <c r="AI122" i="10"/>
  <c r="AI123" i="10"/>
  <c r="AP123" i="10"/>
  <c r="D123" i="10"/>
  <c r="AR124" i="10"/>
  <c r="AB124" i="10"/>
  <c r="V124" i="10"/>
  <c r="AT124" i="10"/>
  <c r="BA125" i="10"/>
  <c r="AA125" i="10"/>
  <c r="G125" i="10"/>
  <c r="Y125" i="10"/>
  <c r="I125" i="10"/>
  <c r="B125" i="10"/>
  <c r="AV111" i="10"/>
  <c r="AH111" i="10"/>
  <c r="AU111" i="10"/>
  <c r="AS111" i="10"/>
  <c r="AA111" i="10"/>
  <c r="BA111" i="10"/>
  <c r="AN111" i="10"/>
  <c r="E111" i="10"/>
  <c r="AF111" i="10"/>
  <c r="T111" i="10"/>
  <c r="AZ111" i="10"/>
  <c r="AG111" i="10"/>
  <c r="F111" i="10"/>
  <c r="AM111" i="10"/>
  <c r="J111" i="10"/>
  <c r="AX111" i="10"/>
  <c r="AB111" i="10"/>
  <c r="AO111" i="10"/>
  <c r="U111" i="10"/>
  <c r="Q111" i="10"/>
  <c r="X111" i="10"/>
  <c r="B111" i="10"/>
  <c r="K111" i="10"/>
  <c r="AR108" i="10"/>
  <c r="V108" i="10"/>
  <c r="AS108" i="10"/>
  <c r="D90" i="10"/>
  <c r="S108" i="10"/>
  <c r="AP108" i="10"/>
  <c r="W108" i="10"/>
  <c r="AV113" i="10"/>
  <c r="AH113" i="10"/>
  <c r="AB113" i="10"/>
  <c r="I113" i="10"/>
  <c r="AF114" i="10"/>
  <c r="AN114" i="10"/>
  <c r="AB114" i="10"/>
  <c r="AQ114" i="10"/>
  <c r="K114" i="10"/>
  <c r="J115" i="10"/>
  <c r="R115" i="10"/>
  <c r="AM115" i="10"/>
  <c r="AT116" i="10"/>
  <c r="AU116" i="10"/>
  <c r="AM116" i="10"/>
  <c r="S116" i="10"/>
  <c r="D116" i="10"/>
  <c r="C117" i="10"/>
  <c r="AF117" i="10"/>
  <c r="AR117" i="10"/>
  <c r="I108" i="10"/>
  <c r="AQ108" i="10"/>
  <c r="AO108" i="10"/>
  <c r="AT108" i="10"/>
  <c r="K108" i="10"/>
  <c r="F108" i="10"/>
  <c r="T108" i="10"/>
  <c r="J108" i="10"/>
  <c r="AV108" i="10"/>
  <c r="AD108" i="10"/>
  <c r="AK108" i="10"/>
  <c r="AU113" i="10"/>
  <c r="AR113" i="10"/>
  <c r="J113" i="10"/>
  <c r="G113" i="10"/>
  <c r="S113" i="10"/>
  <c r="AT113" i="10"/>
  <c r="O113" i="10"/>
  <c r="AZ113" i="10"/>
  <c r="AI113" i="10"/>
  <c r="AW113" i="10"/>
  <c r="AI114" i="10"/>
  <c r="I114" i="10"/>
  <c r="BA114" i="10"/>
  <c r="Y114" i="10"/>
  <c r="S114" i="10"/>
  <c r="Q114" i="10"/>
  <c r="O114" i="10"/>
  <c r="U114" i="10"/>
  <c r="W114" i="10"/>
  <c r="H115" i="10"/>
  <c r="W115" i="10"/>
  <c r="BA115" i="10"/>
  <c r="AZ115" i="10"/>
  <c r="N115" i="10"/>
  <c r="T113" i="10"/>
  <c r="BA113" i="10"/>
  <c r="AT114" i="10"/>
  <c r="V114" i="10"/>
  <c r="K115" i="10"/>
  <c r="AK116" i="10"/>
  <c r="AB116" i="10"/>
  <c r="V116" i="10"/>
  <c r="E117" i="10"/>
  <c r="X117" i="10"/>
  <c r="Q118" i="10"/>
  <c r="Y118" i="10"/>
  <c r="AU108" i="10"/>
  <c r="C108" i="10"/>
  <c r="G108" i="10"/>
  <c r="O108" i="10"/>
  <c r="AH108" i="10"/>
  <c r="AM108" i="10"/>
  <c r="M108" i="10"/>
  <c r="L108" i="10"/>
  <c r="AE108" i="10"/>
  <c r="E108" i="10"/>
  <c r="X108" i="10"/>
  <c r="E113" i="10"/>
  <c r="D113" i="10"/>
  <c r="AQ113" i="10"/>
  <c r="AP113" i="10"/>
  <c r="AC113" i="10"/>
  <c r="K113" i="10"/>
  <c r="F113" i="10"/>
  <c r="Q113" i="10"/>
  <c r="AJ114" i="10"/>
  <c r="C114" i="10"/>
  <c r="L114" i="10"/>
  <c r="AX114" i="10"/>
  <c r="X114" i="10"/>
  <c r="AP114" i="10"/>
  <c r="AS114" i="10"/>
  <c r="H114" i="10"/>
  <c r="AH114" i="10"/>
  <c r="AK114" i="10"/>
  <c r="AE114" i="10"/>
  <c r="Z114" i="10"/>
  <c r="F114" i="10"/>
  <c r="O115" i="10"/>
  <c r="AV115" i="10"/>
  <c r="M115" i="10"/>
  <c r="AR115" i="10"/>
  <c r="P115" i="10"/>
  <c r="AX115" i="10"/>
  <c r="F115" i="10"/>
  <c r="AD115" i="10"/>
  <c r="D115" i="10"/>
  <c r="AQ115" i="10"/>
  <c r="AN116" i="10"/>
  <c r="X116" i="10"/>
  <c r="G116" i="10"/>
  <c r="AV116" i="10"/>
  <c r="B116" i="10"/>
  <c r="AO116" i="10"/>
  <c r="AZ116" i="10"/>
  <c r="N117" i="10"/>
  <c r="W117" i="10"/>
  <c r="Q117" i="10"/>
  <c r="L117" i="10"/>
  <c r="AD117" i="10"/>
  <c r="AO117" i="10"/>
  <c r="AU117" i="10"/>
  <c r="Y117" i="10"/>
  <c r="AB117" i="10"/>
  <c r="AG117" i="10"/>
  <c r="BA117" i="10"/>
  <c r="H118" i="10"/>
  <c r="N118" i="10"/>
  <c r="B118" i="10"/>
  <c r="AA118" i="10"/>
  <c r="AN118" i="10"/>
  <c r="BA118" i="10"/>
  <c r="W118" i="10"/>
  <c r="AG118" i="10"/>
  <c r="AY118" i="10"/>
  <c r="R118" i="10"/>
  <c r="AV119" i="10"/>
  <c r="K119" i="10"/>
  <c r="B119" i="10"/>
  <c r="AL119" i="10"/>
  <c r="D119" i="10"/>
  <c r="Y119" i="10"/>
  <c r="V119" i="10"/>
  <c r="P119" i="10"/>
  <c r="S119" i="10"/>
  <c r="AX120" i="10"/>
  <c r="AE120" i="10"/>
  <c r="X120" i="10"/>
  <c r="F120" i="10"/>
  <c r="M120" i="10"/>
  <c r="AN120" i="10"/>
  <c r="AD120" i="10"/>
  <c r="AY120" i="10"/>
  <c r="AH120" i="10"/>
  <c r="AK120" i="10"/>
  <c r="X121" i="10"/>
  <c r="AX121" i="10"/>
  <c r="AN121" i="10"/>
  <c r="AI121" i="10"/>
  <c r="Y121" i="10"/>
  <c r="W122" i="10"/>
  <c r="B122" i="10"/>
  <c r="AG122" i="10"/>
  <c r="AP122" i="10"/>
  <c r="T122" i="10"/>
  <c r="AG123" i="10"/>
  <c r="T123" i="10"/>
  <c r="N123" i="10"/>
  <c r="AY123" i="10"/>
  <c r="AQ123" i="10"/>
  <c r="D124" i="10"/>
  <c r="I124" i="10"/>
  <c r="BA124" i="10"/>
  <c r="E124" i="10"/>
  <c r="AH125" i="10"/>
  <c r="AM125" i="10"/>
  <c r="AC125" i="10"/>
  <c r="T125" i="10"/>
  <c r="AI118" i="10"/>
  <c r="AZ119" i="10"/>
  <c r="C119" i="10"/>
  <c r="P120" i="10"/>
  <c r="E120" i="10"/>
  <c r="Z120" i="10"/>
  <c r="D121" i="10"/>
  <c r="AA122" i="10"/>
  <c r="AV123" i="10"/>
  <c r="R123" i="10"/>
  <c r="Q124" i="10"/>
  <c r="Z125" i="10"/>
  <c r="AW125" i="10"/>
  <c r="AG115" i="10"/>
  <c r="T115" i="10"/>
  <c r="U115" i="10"/>
  <c r="AW115" i="10"/>
  <c r="O116" i="10"/>
  <c r="AG116" i="10"/>
  <c r="F116" i="10"/>
  <c r="U116" i="10"/>
  <c r="L116" i="10"/>
  <c r="N116" i="10"/>
  <c r="H116" i="10"/>
  <c r="AY116" i="10"/>
  <c r="J116" i="10"/>
  <c r="I116" i="10"/>
  <c r="T116" i="10"/>
  <c r="R117" i="10"/>
  <c r="AM117" i="10"/>
  <c r="AI117" i="10"/>
  <c r="AX117" i="10"/>
  <c r="AH117" i="10"/>
  <c r="G117" i="10"/>
  <c r="AT117" i="10"/>
  <c r="AS117" i="10"/>
  <c r="AE117" i="10"/>
  <c r="H117" i="10"/>
  <c r="AY117" i="10"/>
  <c r="AN117" i="10"/>
  <c r="U117" i="10"/>
  <c r="P117" i="10"/>
  <c r="AK118" i="10"/>
  <c r="AR118" i="10"/>
  <c r="AW118" i="10"/>
  <c r="V118" i="10"/>
  <c r="X118" i="10"/>
  <c r="AS118" i="10"/>
  <c r="AB118" i="10"/>
  <c r="S118" i="10"/>
  <c r="AX118" i="10"/>
  <c r="BA119" i="10"/>
  <c r="R119" i="10"/>
  <c r="AE119" i="10"/>
  <c r="Z119" i="10"/>
  <c r="X119" i="10"/>
  <c r="F119" i="10"/>
  <c r="AO119" i="10"/>
  <c r="AB119" i="10"/>
  <c r="AY119" i="10"/>
  <c r="T120" i="10"/>
  <c r="K120" i="10"/>
  <c r="AM120" i="10"/>
  <c r="AP120" i="10"/>
  <c r="Y120" i="10"/>
  <c r="L120" i="10"/>
  <c r="AC120" i="10"/>
  <c r="AS120" i="10"/>
  <c r="AL120" i="10"/>
  <c r="V120" i="10"/>
  <c r="AL121" i="10"/>
  <c r="H121" i="10"/>
  <c r="G121" i="10"/>
  <c r="W121" i="10"/>
  <c r="AS121" i="10"/>
  <c r="P121" i="10"/>
  <c r="AE121" i="10"/>
  <c r="AG121" i="10"/>
  <c r="BA121" i="10"/>
  <c r="Y122" i="10"/>
  <c r="J122" i="10"/>
  <c r="BA122" i="10"/>
  <c r="AT122" i="10"/>
  <c r="H122" i="10"/>
  <c r="AR122" i="10"/>
  <c r="AF122" i="10"/>
  <c r="P122" i="10"/>
  <c r="N122" i="10"/>
  <c r="AJ122" i="10"/>
  <c r="AZ122" i="10"/>
  <c r="AB122" i="10"/>
  <c r="AW123" i="10"/>
  <c r="Y123" i="10"/>
  <c r="Z123" i="10"/>
  <c r="AU123" i="10"/>
  <c r="I123" i="10"/>
  <c r="AK123" i="10"/>
  <c r="AO123" i="10"/>
  <c r="AN124" i="10"/>
  <c r="Y124" i="10"/>
  <c r="AY124" i="10"/>
  <c r="H124" i="10"/>
  <c r="X124" i="10"/>
  <c r="B124" i="10"/>
  <c r="N124" i="10"/>
  <c r="O124" i="10"/>
  <c r="L125" i="10"/>
  <c r="AY125" i="10"/>
  <c r="AN125" i="10"/>
  <c r="AF125" i="10"/>
  <c r="AJ125" i="10"/>
  <c r="AL125" i="10"/>
  <c r="O125" i="10"/>
  <c r="X125" i="10"/>
  <c r="D125" i="10"/>
  <c r="S125" i="10"/>
  <c r="R125" i="10"/>
  <c r="M117" i="10"/>
  <c r="AQ117" i="10"/>
  <c r="AC118" i="10"/>
  <c r="AF118" i="10"/>
  <c r="P118" i="10"/>
  <c r="AK119" i="10"/>
  <c r="AJ119" i="10"/>
  <c r="AM119" i="10"/>
  <c r="I119" i="10"/>
  <c r="U120" i="10"/>
  <c r="BA120" i="10"/>
  <c r="AU120" i="10"/>
  <c r="AR120" i="10"/>
  <c r="D120" i="10"/>
  <c r="AC121" i="10"/>
  <c r="AF121" i="10"/>
  <c r="R122" i="10"/>
  <c r="O122" i="10"/>
  <c r="C122" i="10"/>
  <c r="X122" i="10"/>
  <c r="AO122" i="10"/>
  <c r="AH122" i="10"/>
  <c r="AW122" i="10"/>
  <c r="AJ123" i="10"/>
  <c r="P123" i="10"/>
  <c r="F123" i="10"/>
  <c r="AA123" i="10"/>
  <c r="O123" i="10"/>
  <c r="AX123" i="10"/>
  <c r="V123" i="10"/>
  <c r="AZ123" i="10"/>
  <c r="AH123" i="10"/>
  <c r="S123" i="10"/>
  <c r="AM123" i="10"/>
  <c r="J123" i="10"/>
  <c r="AS123" i="10"/>
  <c r="C123" i="10"/>
  <c r="J124" i="10"/>
  <c r="AP124" i="10"/>
  <c r="AD124" i="10"/>
  <c r="AW124" i="10"/>
  <c r="M124" i="10"/>
  <c r="AF124" i="10"/>
  <c r="G124" i="10"/>
  <c r="W124" i="10"/>
  <c r="P124" i="10"/>
  <c r="Z124" i="10"/>
  <c r="P125" i="10"/>
  <c r="AK125" i="10"/>
  <c r="V125" i="10"/>
  <c r="U125" i="10"/>
  <c r="H125" i="10"/>
  <c r="K125" i="10"/>
  <c r="AO125" i="10"/>
  <c r="AZ125" i="10"/>
  <c r="AG125" i="10"/>
  <c r="W125" i="10"/>
  <c r="AU125" i="10"/>
  <c r="Q125" i="10"/>
  <c r="L112" i="10"/>
  <c r="L90" i="10"/>
  <c r="F112" i="10"/>
  <c r="F90" i="10"/>
  <c r="AV112" i="10"/>
  <c r="AV90" i="10"/>
  <c r="AP112" i="10"/>
  <c r="AP90" i="10"/>
  <c r="H112" i="10"/>
  <c r="H90" i="10"/>
  <c r="I112" i="10"/>
  <c r="I90" i="10"/>
  <c r="AL112" i="10"/>
  <c r="AL90" i="10"/>
  <c r="AC112" i="10"/>
  <c r="AC90" i="10"/>
  <c r="AW112" i="10"/>
  <c r="AW90" i="10"/>
  <c r="AN112" i="10"/>
  <c r="AN90" i="10"/>
  <c r="AM112" i="10"/>
  <c r="AM90" i="10"/>
  <c r="AU112" i="10"/>
  <c r="AU90" i="10"/>
  <c r="AQ112" i="10"/>
  <c r="AQ90" i="10"/>
  <c r="AJ112" i="10"/>
  <c r="AJ108" i="10"/>
  <c r="R112" i="10"/>
  <c r="R90" i="10"/>
  <c r="S112" i="10"/>
  <c r="S90" i="10"/>
  <c r="X112" i="10"/>
  <c r="X90" i="10"/>
  <c r="Y112" i="10"/>
  <c r="Y90" i="10"/>
  <c r="G112" i="10"/>
  <c r="G90" i="10"/>
  <c r="AI112" i="10"/>
  <c r="AI90" i="10"/>
  <c r="N112" i="10"/>
  <c r="N90" i="10"/>
  <c r="V112" i="10"/>
  <c r="V90" i="10"/>
  <c r="AF112" i="10"/>
  <c r="AF90" i="10"/>
  <c r="W112" i="10"/>
  <c r="W90" i="10"/>
  <c r="AB112" i="10"/>
  <c r="AB90" i="10"/>
  <c r="AG112" i="10"/>
  <c r="AG90" i="10"/>
  <c r="D112" i="10"/>
  <c r="D108" i="10"/>
  <c r="AO112" i="10"/>
  <c r="AO90" i="10"/>
  <c r="Z112" i="10"/>
  <c r="Z90" i="10"/>
  <c r="AR112" i="10"/>
  <c r="AR90" i="10"/>
  <c r="C112" i="10"/>
  <c r="C90" i="10"/>
  <c r="AZ112" i="10"/>
  <c r="AZ108" i="10"/>
  <c r="K112" i="10"/>
  <c r="K90" i="10"/>
  <c r="O112" i="10"/>
  <c r="O90" i="10"/>
  <c r="M112" i="10"/>
  <c r="M90" i="10"/>
  <c r="AH112" i="10"/>
  <c r="AH90" i="10"/>
  <c r="AY112" i="10"/>
  <c r="AY90" i="10"/>
  <c r="T112" i="10"/>
  <c r="T90" i="10"/>
  <c r="AA112" i="10"/>
  <c r="AA90" i="10"/>
  <c r="AX112" i="10"/>
  <c r="AX90" i="10"/>
  <c r="AS112" i="10"/>
  <c r="AS90" i="10"/>
  <c r="P112" i="10"/>
  <c r="P90" i="10"/>
  <c r="AT112" i="10"/>
  <c r="AT90" i="10"/>
  <c r="Q112" i="10"/>
  <c r="Q90" i="10"/>
  <c r="AK112" i="10"/>
  <c r="AK90" i="10"/>
  <c r="E112" i="10"/>
  <c r="E90" i="10"/>
  <c r="AE112" i="10"/>
  <c r="AE90" i="10"/>
  <c r="J112" i="10"/>
  <c r="J90" i="10"/>
  <c r="B112" i="10"/>
  <c r="B90" i="10"/>
  <c r="BA112" i="10"/>
  <c r="BA90" i="10"/>
  <c r="U112" i="10"/>
  <c r="U108" i="10"/>
  <c r="AD112" i="10"/>
  <c r="AD90" i="10"/>
  <c r="B9" i="2"/>
  <c r="A10" i="2"/>
  <c r="B7" i="5" l="1"/>
  <c r="U5" i="5" a="1"/>
  <c r="U5" i="5" s="1"/>
  <c r="S5" i="5" a="1"/>
  <c r="S5" i="5" s="1"/>
  <c r="E6" i="5"/>
  <c r="D6" i="5"/>
  <c r="J6" i="5"/>
  <c r="P6" i="5"/>
  <c r="F6" i="5"/>
  <c r="N6" i="5"/>
  <c r="K6" i="5"/>
  <c r="Q6" i="5"/>
  <c r="H6" i="5"/>
  <c r="G6" i="5"/>
  <c r="M6" i="5"/>
  <c r="L6" i="5"/>
  <c r="O6" i="5"/>
  <c r="C6" i="5"/>
  <c r="I6" i="5"/>
  <c r="E126" i="10"/>
  <c r="O126" i="10"/>
  <c r="W126" i="10"/>
  <c r="S126" i="10"/>
  <c r="AD126" i="10"/>
  <c r="BA126" i="10"/>
  <c r="J126" i="10"/>
  <c r="Q126" i="10"/>
  <c r="P126" i="10"/>
  <c r="AX126" i="10"/>
  <c r="T126" i="10"/>
  <c r="AH126" i="10"/>
  <c r="AZ126" i="10"/>
  <c r="AR126" i="10"/>
  <c r="AO126" i="10"/>
  <c r="AG126" i="10"/>
  <c r="V126" i="10"/>
  <c r="AI126" i="10"/>
  <c r="Y126" i="10"/>
  <c r="AJ126" i="10"/>
  <c r="AU126" i="10"/>
  <c r="AN126" i="10"/>
  <c r="AC126" i="10"/>
  <c r="I126" i="10"/>
  <c r="AP126" i="10"/>
  <c r="F126" i="10"/>
  <c r="AQ126" i="10"/>
  <c r="AS126" i="10"/>
  <c r="M126" i="10"/>
  <c r="X126" i="10"/>
  <c r="U126" i="10"/>
  <c r="B126" i="10"/>
  <c r="AE126" i="10"/>
  <c r="AK126" i="10"/>
  <c r="AT126" i="10"/>
  <c r="AA126" i="10"/>
  <c r="AY126" i="10"/>
  <c r="K126" i="10"/>
  <c r="C126" i="10"/>
  <c r="Z126" i="10"/>
  <c r="D126" i="10"/>
  <c r="AB126" i="10"/>
  <c r="AF126" i="10"/>
  <c r="N126" i="10"/>
  <c r="G126" i="10"/>
  <c r="R126" i="10"/>
  <c r="AM126" i="10"/>
  <c r="AW126" i="10"/>
  <c r="AL126" i="10"/>
  <c r="H126" i="10"/>
  <c r="AV126" i="10"/>
  <c r="L126" i="10"/>
  <c r="B10" i="2"/>
  <c r="A11" i="2"/>
  <c r="B8" i="5" l="1"/>
  <c r="U6" i="5" a="1"/>
  <c r="U6" i="5" s="1"/>
  <c r="S6" i="5" a="1"/>
  <c r="S6" i="5" s="1"/>
  <c r="E7" i="5"/>
  <c r="D7" i="5"/>
  <c r="F7" i="5"/>
  <c r="P7" i="5"/>
  <c r="Q7" i="5"/>
  <c r="I7" i="5"/>
  <c r="H7" i="5"/>
  <c r="O7" i="5"/>
  <c r="K7" i="5"/>
  <c r="L7" i="5"/>
  <c r="G7" i="5"/>
  <c r="C7" i="5"/>
  <c r="M7" i="5"/>
  <c r="N7" i="5"/>
  <c r="J7" i="5"/>
  <c r="AG4" i="5"/>
  <c r="A12" i="2"/>
  <c r="B11" i="2"/>
  <c r="B9" i="5" l="1"/>
  <c r="S7" i="5" a="1"/>
  <c r="S7" i="5" s="1"/>
  <c r="U7" i="5" a="1"/>
  <c r="U7" i="5" s="1"/>
  <c r="AG5" i="5"/>
  <c r="D8" i="5"/>
  <c r="E8" i="5"/>
  <c r="M8" i="5"/>
  <c r="N8" i="5"/>
  <c r="H8" i="5"/>
  <c r="P8" i="5"/>
  <c r="Q8" i="5"/>
  <c r="I8" i="5"/>
  <c r="K8" i="5"/>
  <c r="C8" i="5"/>
  <c r="J8" i="5"/>
  <c r="F8" i="5"/>
  <c r="G8" i="5"/>
  <c r="O8" i="5"/>
  <c r="L8" i="5"/>
  <c r="B12" i="2"/>
  <c r="B10" i="5" s="1"/>
  <c r="A13" i="2"/>
  <c r="S8" i="5" l="1" a="1"/>
  <c r="S8" i="5" s="1"/>
  <c r="U8" i="5" a="1"/>
  <c r="U8" i="5" s="1"/>
  <c r="AG6" i="5"/>
  <c r="D10" i="5"/>
  <c r="E10" i="5"/>
  <c r="O10" i="5"/>
  <c r="C10" i="5"/>
  <c r="G10" i="5"/>
  <c r="Q10" i="5"/>
  <c r="H10" i="5"/>
  <c r="P10" i="5"/>
  <c r="N10" i="5"/>
  <c r="F10" i="5"/>
  <c r="L10" i="5"/>
  <c r="K10" i="5"/>
  <c r="M10" i="5"/>
  <c r="I10" i="5"/>
  <c r="J10" i="5"/>
  <c r="D9" i="5"/>
  <c r="E9" i="5"/>
  <c r="K9" i="5"/>
  <c r="G9" i="5"/>
  <c r="F9" i="5"/>
  <c r="M9" i="5"/>
  <c r="C9" i="5"/>
  <c r="L9" i="5"/>
  <c r="I9" i="5"/>
  <c r="Q9" i="5"/>
  <c r="N9" i="5"/>
  <c r="H9" i="5"/>
  <c r="P9" i="5"/>
  <c r="O9" i="5"/>
  <c r="J9" i="5"/>
  <c r="B13" i="2"/>
  <c r="A14" i="2"/>
  <c r="B11" i="5" l="1"/>
  <c r="S9" i="5" a="1"/>
  <c r="S9" i="5" s="1"/>
  <c r="U9" i="5" a="1"/>
  <c r="U9" i="5" s="1"/>
  <c r="S10" i="5" a="1"/>
  <c r="S10" i="5" s="1"/>
  <c r="U10" i="5" a="1"/>
  <c r="U10" i="5" s="1"/>
  <c r="AG7" i="5"/>
  <c r="A15" i="2"/>
  <c r="B14" i="2"/>
  <c r="B12" i="5" s="1"/>
  <c r="AG9" i="5" l="1"/>
  <c r="E12" i="5"/>
  <c r="D12" i="5"/>
  <c r="F12" i="5"/>
  <c r="O12" i="5"/>
  <c r="K12" i="5"/>
  <c r="G12" i="5"/>
  <c r="H12" i="5"/>
  <c r="I12" i="5"/>
  <c r="C12" i="5"/>
  <c r="P12" i="5"/>
  <c r="Q12" i="5"/>
  <c r="L12" i="5"/>
  <c r="N12" i="5"/>
  <c r="M12" i="5"/>
  <c r="J12" i="5"/>
  <c r="AG8" i="5"/>
  <c r="AH4" i="5" s="1"/>
  <c r="D11" i="5"/>
  <c r="E11" i="5"/>
  <c r="H11" i="5"/>
  <c r="K11" i="5"/>
  <c r="M11" i="5"/>
  <c r="G11" i="5"/>
  <c r="P11" i="5"/>
  <c r="J11" i="5"/>
  <c r="Q11" i="5"/>
  <c r="N11" i="5"/>
  <c r="L11" i="5"/>
  <c r="I11" i="5"/>
  <c r="C11" i="5"/>
  <c r="O11" i="5"/>
  <c r="F11" i="5"/>
  <c r="A16" i="2"/>
  <c r="B15" i="2"/>
  <c r="B13" i="5" s="1"/>
  <c r="E13" i="5" l="1"/>
  <c r="D13" i="5"/>
  <c r="J13" i="5"/>
  <c r="L13" i="5"/>
  <c r="M13" i="5"/>
  <c r="N13" i="5"/>
  <c r="C13" i="5"/>
  <c r="O13" i="5"/>
  <c r="H13" i="5"/>
  <c r="K13" i="5"/>
  <c r="P13" i="5"/>
  <c r="F13" i="5"/>
  <c r="G13" i="5"/>
  <c r="I13" i="5"/>
  <c r="Q13" i="5"/>
  <c r="S11" i="5" a="1"/>
  <c r="S11" i="5" s="1"/>
  <c r="U11" i="5" a="1"/>
  <c r="U11" i="5" s="1"/>
  <c r="S12" i="5" a="1"/>
  <c r="S12" i="5" s="1"/>
  <c r="U12" i="5" a="1"/>
  <c r="U12" i="5" s="1"/>
  <c r="B16" i="2"/>
  <c r="B14" i="5" s="1"/>
  <c r="A17" i="2"/>
  <c r="AG11" i="5" l="1"/>
  <c r="S13" i="5" a="1"/>
  <c r="S13" i="5" s="1"/>
  <c r="U13" i="5" a="1"/>
  <c r="U13" i="5" s="1"/>
  <c r="E14" i="5"/>
  <c r="D14" i="5"/>
  <c r="P14" i="5"/>
  <c r="M14" i="5"/>
  <c r="F14" i="5"/>
  <c r="Q14" i="5"/>
  <c r="O14" i="5"/>
  <c r="L14" i="5"/>
  <c r="I14" i="5"/>
  <c r="N14" i="5"/>
  <c r="H14" i="5"/>
  <c r="C14" i="5"/>
  <c r="K14" i="5"/>
  <c r="J14" i="5"/>
  <c r="G14" i="5"/>
  <c r="AG10" i="5"/>
  <c r="B17" i="2"/>
  <c r="B15" i="5" s="1"/>
  <c r="A18" i="2"/>
  <c r="S14" i="5" l="1" a="1"/>
  <c r="S14" i="5" s="1"/>
  <c r="U14" i="5" a="1"/>
  <c r="U14" i="5" s="1"/>
  <c r="D15" i="5"/>
  <c r="E15" i="5"/>
  <c r="N15" i="5"/>
  <c r="I15" i="5"/>
  <c r="P15" i="5"/>
  <c r="H15" i="5"/>
  <c r="O15" i="5"/>
  <c r="F15" i="5"/>
  <c r="K15" i="5"/>
  <c r="C15" i="5"/>
  <c r="J15" i="5"/>
  <c r="G15" i="5"/>
  <c r="Q15" i="5"/>
  <c r="M15" i="5"/>
  <c r="L15" i="5"/>
  <c r="AG12" i="5"/>
  <c r="AH5" i="5"/>
  <c r="AH6" i="5"/>
  <c r="B18" i="2"/>
  <c r="B16" i="5" s="1"/>
  <c r="A19" i="2"/>
  <c r="S15" i="5" l="1" a="1"/>
  <c r="S15" i="5" s="1"/>
  <c r="U15" i="5" a="1"/>
  <c r="U15" i="5" s="1"/>
  <c r="AH7" i="5"/>
  <c r="D16" i="5"/>
  <c r="E16" i="5"/>
  <c r="L16" i="5"/>
  <c r="G16" i="5"/>
  <c r="P16" i="5"/>
  <c r="Q16" i="5"/>
  <c r="C16" i="5"/>
  <c r="I16" i="5"/>
  <c r="J16" i="5"/>
  <c r="M16" i="5"/>
  <c r="H16" i="5"/>
  <c r="N16" i="5"/>
  <c r="O16" i="5"/>
  <c r="F16" i="5"/>
  <c r="K16" i="5"/>
  <c r="AG13" i="5"/>
  <c r="A20" i="2"/>
  <c r="B19" i="2"/>
  <c r="B17" i="5" s="1"/>
  <c r="S16" i="5" l="1" a="1"/>
  <c r="S16" i="5" s="1"/>
  <c r="U16" i="5" a="1"/>
  <c r="U16" i="5" s="1"/>
  <c r="D17" i="5"/>
  <c r="E17" i="5"/>
  <c r="P17" i="5"/>
  <c r="F17" i="5"/>
  <c r="K17" i="5"/>
  <c r="N17" i="5"/>
  <c r="M17" i="5"/>
  <c r="C17" i="5"/>
  <c r="G17" i="5"/>
  <c r="L17" i="5"/>
  <c r="Q17" i="5"/>
  <c r="H17" i="5"/>
  <c r="O17" i="5"/>
  <c r="J17" i="5"/>
  <c r="I17" i="5"/>
  <c r="AH8" i="5"/>
  <c r="AG14" i="5"/>
  <c r="AH9" i="5" s="1"/>
  <c r="B20" i="2"/>
  <c r="B18" i="5" s="1"/>
  <c r="A21" i="2"/>
  <c r="D18" i="5" l="1"/>
  <c r="E18" i="5"/>
  <c r="N18" i="5"/>
  <c r="P18" i="5"/>
  <c r="G18" i="5"/>
  <c r="K18" i="5"/>
  <c r="J18" i="5"/>
  <c r="M18" i="5"/>
  <c r="Q18" i="5"/>
  <c r="C18" i="5"/>
  <c r="F18" i="5"/>
  <c r="L18" i="5"/>
  <c r="H18" i="5"/>
  <c r="O18" i="5"/>
  <c r="I18" i="5"/>
  <c r="S17" i="5" a="1"/>
  <c r="S17" i="5" s="1"/>
  <c r="U17" i="5" a="1"/>
  <c r="U17" i="5" s="1"/>
  <c r="AG15" i="5"/>
  <c r="B21" i="2"/>
  <c r="B19" i="5" s="1"/>
  <c r="A22" i="2"/>
  <c r="AG16" i="5" l="1"/>
  <c r="AH11" i="5" s="1"/>
  <c r="AH10" i="5"/>
  <c r="D19" i="5"/>
  <c r="E19" i="5"/>
  <c r="F19" i="5"/>
  <c r="L19" i="5"/>
  <c r="C19" i="5"/>
  <c r="O19" i="5"/>
  <c r="G19" i="5"/>
  <c r="P19" i="5"/>
  <c r="H19" i="5"/>
  <c r="N19" i="5"/>
  <c r="Q19" i="5"/>
  <c r="I19" i="5"/>
  <c r="K19" i="5"/>
  <c r="M19" i="5"/>
  <c r="J19" i="5"/>
  <c r="U18" i="5" a="1"/>
  <c r="U18" i="5" s="1"/>
  <c r="S18" i="5" a="1"/>
  <c r="S18" i="5" s="1"/>
  <c r="A23" i="2"/>
  <c r="B22" i="2"/>
  <c r="B20" i="5" s="1"/>
  <c r="S19" i="5" l="1" a="1"/>
  <c r="S19" i="5" s="1"/>
  <c r="U19" i="5" a="1"/>
  <c r="U19" i="5" s="1"/>
  <c r="E20" i="5"/>
  <c r="D20" i="5"/>
  <c r="P20" i="5"/>
  <c r="J20" i="5"/>
  <c r="H20" i="5"/>
  <c r="I20" i="5"/>
  <c r="C20" i="5"/>
  <c r="G20" i="5"/>
  <c r="K20" i="5"/>
  <c r="Q20" i="5"/>
  <c r="F20" i="5"/>
  <c r="N20" i="5"/>
  <c r="M20" i="5"/>
  <c r="O20" i="5"/>
  <c r="L20" i="5"/>
  <c r="AG17" i="5"/>
  <c r="A24" i="2"/>
  <c r="B23" i="2"/>
  <c r="B21" i="5" s="1"/>
  <c r="E21" i="5" l="1"/>
  <c r="D21" i="5"/>
  <c r="L21" i="5"/>
  <c r="N21" i="5"/>
  <c r="M21" i="5"/>
  <c r="I21" i="5"/>
  <c r="F21" i="5"/>
  <c r="C21" i="5"/>
  <c r="J21" i="5"/>
  <c r="G21" i="5"/>
  <c r="O21" i="5"/>
  <c r="H21" i="5"/>
  <c r="Q21" i="5"/>
  <c r="K21" i="5"/>
  <c r="P21" i="5"/>
  <c r="AH12" i="5"/>
  <c r="S20" i="5" a="1"/>
  <c r="S20" i="5" s="1"/>
  <c r="U20" i="5" a="1"/>
  <c r="U20" i="5" s="1"/>
  <c r="AG18" i="5"/>
  <c r="B24" i="2"/>
  <c r="B22" i="5" s="1"/>
  <c r="A25" i="2"/>
  <c r="S21" i="5" l="1" a="1"/>
  <c r="S21" i="5" s="1"/>
  <c r="U21" i="5" a="1"/>
  <c r="U21" i="5" s="1"/>
  <c r="E22" i="5"/>
  <c r="D22" i="5"/>
  <c r="L22" i="5"/>
  <c r="M22" i="5"/>
  <c r="K22" i="5"/>
  <c r="N22" i="5"/>
  <c r="J22" i="5"/>
  <c r="C22" i="5"/>
  <c r="O22" i="5"/>
  <c r="F22" i="5"/>
  <c r="I22" i="5"/>
  <c r="H22" i="5"/>
  <c r="Q22" i="5"/>
  <c r="G22" i="5"/>
  <c r="P22" i="5"/>
  <c r="AG19" i="5"/>
  <c r="AH13" i="5"/>
  <c r="B25" i="2"/>
  <c r="B23" i="5" s="1"/>
  <c r="A26" i="2"/>
  <c r="AG20" i="5" l="1"/>
  <c r="E23" i="5"/>
  <c r="D23" i="5"/>
  <c r="G23" i="5"/>
  <c r="M23" i="5"/>
  <c r="I23" i="5"/>
  <c r="H23" i="5"/>
  <c r="O23" i="5"/>
  <c r="J23" i="5"/>
  <c r="F23" i="5"/>
  <c r="K23" i="5"/>
  <c r="P23" i="5"/>
  <c r="C23" i="5"/>
  <c r="Q23" i="5"/>
  <c r="L23" i="5"/>
  <c r="N23" i="5"/>
  <c r="S22" i="5" a="1"/>
  <c r="S22" i="5" s="1"/>
  <c r="U22" i="5" a="1"/>
  <c r="U22" i="5" s="1"/>
  <c r="AH14" i="5"/>
  <c r="B26" i="2"/>
  <c r="B24" i="5" s="1"/>
  <c r="A27" i="2"/>
  <c r="S23" i="5" l="1" a="1"/>
  <c r="S23" i="5" s="1"/>
  <c r="U23" i="5" a="1"/>
  <c r="U23" i="5" s="1"/>
  <c r="D24" i="5"/>
  <c r="E24" i="5"/>
  <c r="L24" i="5"/>
  <c r="G24" i="5"/>
  <c r="P24" i="5"/>
  <c r="M24" i="5"/>
  <c r="Q24" i="5"/>
  <c r="N24" i="5"/>
  <c r="J24" i="5"/>
  <c r="F24" i="5"/>
  <c r="O24" i="5"/>
  <c r="K24" i="5"/>
  <c r="I24" i="5"/>
  <c r="C24" i="5"/>
  <c r="H24" i="5"/>
  <c r="AG21" i="5"/>
  <c r="AH15" i="5"/>
  <c r="A28" i="2"/>
  <c r="B27" i="2"/>
  <c r="B25" i="5" s="1"/>
  <c r="D25" i="5" l="1"/>
  <c r="E25" i="5"/>
  <c r="K25" i="5"/>
  <c r="F25" i="5"/>
  <c r="Q25" i="5"/>
  <c r="C25" i="5"/>
  <c r="G25" i="5"/>
  <c r="N25" i="5"/>
  <c r="M25" i="5"/>
  <c r="L25" i="5"/>
  <c r="O25" i="5"/>
  <c r="J25" i="5"/>
  <c r="I25" i="5"/>
  <c r="P25" i="5"/>
  <c r="H25" i="5"/>
  <c r="AH16" i="5"/>
  <c r="S24" i="5" a="1"/>
  <c r="S24" i="5" s="1"/>
  <c r="U24" i="5" a="1"/>
  <c r="U24" i="5" s="1"/>
  <c r="AG22" i="5"/>
  <c r="AH17" i="5" s="1"/>
  <c r="B28" i="2"/>
  <c r="B26" i="5" s="1"/>
  <c r="A29" i="2"/>
  <c r="S25" i="5" l="1" a="1"/>
  <c r="S25" i="5" s="1"/>
  <c r="U25" i="5" a="1"/>
  <c r="U25" i="5" s="1"/>
  <c r="D26" i="5"/>
  <c r="E26" i="5"/>
  <c r="Q26" i="5"/>
  <c r="H26" i="5"/>
  <c r="N26" i="5"/>
  <c r="C26" i="5"/>
  <c r="I26" i="5"/>
  <c r="M26" i="5"/>
  <c r="O26" i="5"/>
  <c r="J26" i="5"/>
  <c r="K26" i="5"/>
  <c r="P26" i="5"/>
  <c r="F26" i="5"/>
  <c r="G26" i="5"/>
  <c r="L26" i="5"/>
  <c r="AG23" i="5"/>
  <c r="AH18" i="5" s="1"/>
  <c r="B29" i="2"/>
  <c r="B27" i="5" s="1"/>
  <c r="A30" i="2"/>
  <c r="S26" i="5" l="1" a="1"/>
  <c r="S26" i="5" s="1"/>
  <c r="U26" i="5" a="1"/>
  <c r="U26" i="5" s="1"/>
  <c r="AG24" i="5"/>
  <c r="D27" i="5"/>
  <c r="E27" i="5"/>
  <c r="J27" i="5"/>
  <c r="G27" i="5"/>
  <c r="L27" i="5"/>
  <c r="P27" i="5"/>
  <c r="C27" i="5"/>
  <c r="K27" i="5"/>
  <c r="Q27" i="5"/>
  <c r="O27" i="5"/>
  <c r="M27" i="5"/>
  <c r="I27" i="5"/>
  <c r="F27" i="5"/>
  <c r="H27" i="5"/>
  <c r="N27" i="5"/>
  <c r="AH19" i="5"/>
  <c r="A31" i="2"/>
  <c r="B30" i="2"/>
  <c r="B28" i="5" s="1"/>
  <c r="S27" i="5" l="1" a="1"/>
  <c r="S27" i="5" s="1"/>
  <c r="U27" i="5" a="1"/>
  <c r="U27" i="5" s="1"/>
  <c r="E28" i="5"/>
  <c r="D28" i="5"/>
  <c r="J28" i="5"/>
  <c r="C28" i="5"/>
  <c r="H28" i="5"/>
  <c r="I28" i="5"/>
  <c r="G28" i="5"/>
  <c r="K28" i="5"/>
  <c r="P28" i="5"/>
  <c r="Q28" i="5"/>
  <c r="M28" i="5"/>
  <c r="O28" i="5"/>
  <c r="L28" i="5"/>
  <c r="N28" i="5"/>
  <c r="F28" i="5"/>
  <c r="AG25" i="5"/>
  <c r="A32" i="2"/>
  <c r="B31" i="2"/>
  <c r="B29" i="5" s="1"/>
  <c r="S28" i="5" l="1" a="1"/>
  <c r="S28" i="5" s="1"/>
  <c r="AG27" i="5" s="1"/>
  <c r="U28" i="5" a="1"/>
  <c r="U28" i="5" s="1"/>
  <c r="E29" i="5"/>
  <c r="D29" i="5"/>
  <c r="M29" i="5"/>
  <c r="N29" i="5"/>
  <c r="L29" i="5"/>
  <c r="I29" i="5"/>
  <c r="C29" i="5"/>
  <c r="F29" i="5"/>
  <c r="O29" i="5"/>
  <c r="J29" i="5"/>
  <c r="G29" i="5"/>
  <c r="K29" i="5"/>
  <c r="Q29" i="5"/>
  <c r="P29" i="5"/>
  <c r="H29" i="5"/>
  <c r="AH20" i="5"/>
  <c r="AG26" i="5"/>
  <c r="AH21" i="5" s="1"/>
  <c r="B32" i="2"/>
  <c r="B30" i="5" s="1"/>
  <c r="A33" i="2"/>
  <c r="D30" i="5" l="1"/>
  <c r="E30" i="5"/>
  <c r="I30" i="5"/>
  <c r="G30" i="5"/>
  <c r="H30" i="5"/>
  <c r="C30" i="5"/>
  <c r="J30" i="5"/>
  <c r="P30" i="5"/>
  <c r="N30" i="5"/>
  <c r="O30" i="5"/>
  <c r="M30" i="5"/>
  <c r="Q30" i="5"/>
  <c r="L30" i="5"/>
  <c r="F30" i="5"/>
  <c r="K30" i="5"/>
  <c r="AH22" i="5"/>
  <c r="S29" i="5" a="1"/>
  <c r="S29" i="5" s="1"/>
  <c r="U29" i="5" a="1"/>
  <c r="U29" i="5" s="1"/>
  <c r="B33" i="2"/>
  <c r="B31" i="5" s="1"/>
  <c r="A34" i="2"/>
  <c r="S30" i="5" l="1" a="1"/>
  <c r="S30" i="5" s="1"/>
  <c r="U30" i="5" a="1"/>
  <c r="U30" i="5" s="1"/>
  <c r="D31" i="5"/>
  <c r="E31" i="5"/>
  <c r="Q31" i="5"/>
  <c r="L31" i="5"/>
  <c r="H31" i="5"/>
  <c r="K31" i="5"/>
  <c r="I31" i="5"/>
  <c r="O31" i="5"/>
  <c r="G31" i="5"/>
  <c r="M31" i="5"/>
  <c r="C31" i="5"/>
  <c r="F31" i="5"/>
  <c r="J31" i="5"/>
  <c r="P31" i="5"/>
  <c r="N31" i="5"/>
  <c r="AG28" i="5"/>
  <c r="B34" i="2"/>
  <c r="B32" i="5" s="1"/>
  <c r="A35" i="2"/>
  <c r="AH23" i="5" l="1"/>
  <c r="D32" i="5"/>
  <c r="E32" i="5"/>
  <c r="L32" i="5"/>
  <c r="G32" i="5"/>
  <c r="M32" i="5"/>
  <c r="P32" i="5"/>
  <c r="Q32" i="5"/>
  <c r="H32" i="5"/>
  <c r="J32" i="5"/>
  <c r="F32" i="5"/>
  <c r="O32" i="5"/>
  <c r="I32" i="5"/>
  <c r="N32" i="5"/>
  <c r="K32" i="5"/>
  <c r="C32" i="5"/>
  <c r="S31" i="5" a="1"/>
  <c r="S31" i="5" s="1"/>
  <c r="U31" i="5" a="1"/>
  <c r="U31" i="5" s="1"/>
  <c r="AG29" i="5"/>
  <c r="A36" i="2"/>
  <c r="B35" i="2"/>
  <c r="B33" i="5" s="1"/>
  <c r="AH24" i="5" l="1"/>
  <c r="D33" i="5"/>
  <c r="E33" i="5"/>
  <c r="F33" i="5"/>
  <c r="K33" i="5"/>
  <c r="G33" i="5"/>
  <c r="C33" i="5"/>
  <c r="P33" i="5"/>
  <c r="N33" i="5"/>
  <c r="J33" i="5"/>
  <c r="Q33" i="5"/>
  <c r="I33" i="5"/>
  <c r="M33" i="5"/>
  <c r="H33" i="5"/>
  <c r="O33" i="5"/>
  <c r="L33" i="5"/>
  <c r="AG30" i="5"/>
  <c r="U32" i="5" a="1"/>
  <c r="U32" i="5" s="1"/>
  <c r="S32" i="5" a="1"/>
  <c r="S32" i="5" s="1"/>
  <c r="B36" i="2"/>
  <c r="B34" i="5" s="1"/>
  <c r="A37" i="2"/>
  <c r="D34" i="5" l="1"/>
  <c r="E34" i="5"/>
  <c r="I34" i="5"/>
  <c r="O34" i="5"/>
  <c r="J34" i="5"/>
  <c r="M34" i="5"/>
  <c r="K34" i="5"/>
  <c r="G34" i="5"/>
  <c r="C34" i="5"/>
  <c r="H34" i="5"/>
  <c r="N34" i="5"/>
  <c r="F34" i="5"/>
  <c r="L34" i="5"/>
  <c r="Q34" i="5"/>
  <c r="P34" i="5"/>
  <c r="AH25" i="5"/>
  <c r="AG31" i="5"/>
  <c r="S33" i="5" a="1"/>
  <c r="S33" i="5" s="1"/>
  <c r="U33" i="5" a="1"/>
  <c r="U33" i="5" s="1"/>
  <c r="B37" i="2"/>
  <c r="B35" i="5" s="1"/>
  <c r="A38" i="2"/>
  <c r="AH26" i="5" l="1"/>
  <c r="AG32" i="5"/>
  <c r="E35" i="5"/>
  <c r="D35" i="5"/>
  <c r="C35" i="5"/>
  <c r="J35" i="5"/>
  <c r="N35" i="5"/>
  <c r="I35" i="5"/>
  <c r="G35" i="5"/>
  <c r="P35" i="5"/>
  <c r="O35" i="5"/>
  <c r="Q35" i="5"/>
  <c r="F35" i="5"/>
  <c r="L35" i="5"/>
  <c r="M35" i="5"/>
  <c r="H35" i="5"/>
  <c r="K35" i="5"/>
  <c r="S34" i="5" a="1"/>
  <c r="S34" i="5" s="1"/>
  <c r="U34" i="5" a="1"/>
  <c r="U34" i="5" s="1"/>
  <c r="A39" i="2"/>
  <c r="B38" i="2"/>
  <c r="B36" i="5" s="1"/>
  <c r="AG33" i="5" l="1"/>
  <c r="AH27" i="5"/>
  <c r="E36" i="5"/>
  <c r="D36" i="5"/>
  <c r="P36" i="5"/>
  <c r="J36" i="5"/>
  <c r="H36" i="5"/>
  <c r="I36" i="5"/>
  <c r="G36" i="5"/>
  <c r="M36" i="5"/>
  <c r="O36" i="5"/>
  <c r="K36" i="5"/>
  <c r="L36" i="5"/>
  <c r="N36" i="5"/>
  <c r="Q36" i="5"/>
  <c r="C36" i="5"/>
  <c r="F36" i="5"/>
  <c r="AH28" i="5"/>
  <c r="S35" i="5" a="1"/>
  <c r="S35" i="5" s="1"/>
  <c r="U35" i="5" a="1"/>
  <c r="U35" i="5" s="1"/>
  <c r="A40" i="2"/>
  <c r="B39" i="2"/>
  <c r="B37" i="5" s="1"/>
  <c r="AG34" i="5" l="1"/>
  <c r="U36" i="5" a="1"/>
  <c r="U36" i="5" s="1"/>
  <c r="S36" i="5" a="1"/>
  <c r="S36" i="5" s="1"/>
  <c r="E37" i="5"/>
  <c r="D37" i="5"/>
  <c r="N37" i="5"/>
  <c r="I37" i="5"/>
  <c r="M37" i="5"/>
  <c r="L37" i="5"/>
  <c r="C37" i="5"/>
  <c r="O37" i="5"/>
  <c r="G37" i="5"/>
  <c r="F37" i="5"/>
  <c r="H37" i="5"/>
  <c r="Q37" i="5"/>
  <c r="P37" i="5"/>
  <c r="J37" i="5"/>
  <c r="K37" i="5"/>
  <c r="B40" i="2"/>
  <c r="B38" i="5" s="1"/>
  <c r="A41" i="2"/>
  <c r="AG35" i="5" l="1"/>
  <c r="D38" i="5"/>
  <c r="E38" i="5"/>
  <c r="F38" i="5"/>
  <c r="O38" i="5"/>
  <c r="P38" i="5"/>
  <c r="N38" i="5"/>
  <c r="I38" i="5"/>
  <c r="H38" i="5"/>
  <c r="G38" i="5"/>
  <c r="M38" i="5"/>
  <c r="K38" i="5"/>
  <c r="C38" i="5"/>
  <c r="Q38" i="5"/>
  <c r="L38" i="5"/>
  <c r="J38" i="5"/>
  <c r="S37" i="5" a="1"/>
  <c r="S37" i="5" s="1"/>
  <c r="U37" i="5" a="1"/>
  <c r="U37" i="5" s="1"/>
  <c r="AH29" i="5"/>
  <c r="B41" i="2"/>
  <c r="B39" i="5" s="1"/>
  <c r="A42" i="2"/>
  <c r="S38" i="5" l="1" a="1"/>
  <c r="S38" i="5" s="1"/>
  <c r="U38" i="5" a="1"/>
  <c r="U38" i="5" s="1"/>
  <c r="AG36" i="5"/>
  <c r="D39" i="5"/>
  <c r="E39" i="5"/>
  <c r="L39" i="5"/>
  <c r="F39" i="5"/>
  <c r="P39" i="5"/>
  <c r="I39" i="5"/>
  <c r="H39" i="5"/>
  <c r="K39" i="5"/>
  <c r="M39" i="5"/>
  <c r="Q39" i="5"/>
  <c r="O39" i="5"/>
  <c r="J39" i="5"/>
  <c r="C39" i="5"/>
  <c r="N39" i="5"/>
  <c r="G39" i="5"/>
  <c r="AH30" i="5"/>
  <c r="B42" i="2"/>
  <c r="B40" i="5" s="1"/>
  <c r="A43" i="2"/>
  <c r="D40" i="5" l="1"/>
  <c r="E40" i="5"/>
  <c r="J40" i="5"/>
  <c r="K40" i="5"/>
  <c r="O40" i="5"/>
  <c r="Q40" i="5"/>
  <c r="P40" i="5"/>
  <c r="M40" i="5"/>
  <c r="C40" i="5"/>
  <c r="N40" i="5"/>
  <c r="F40" i="5"/>
  <c r="L40" i="5"/>
  <c r="H40" i="5"/>
  <c r="G40" i="5"/>
  <c r="I40" i="5"/>
  <c r="AH31" i="5"/>
  <c r="S39" i="5" a="1"/>
  <c r="S39" i="5" s="1"/>
  <c r="U39" i="5" a="1"/>
  <c r="U39" i="5" s="1"/>
  <c r="AG37" i="5"/>
  <c r="AH32" i="5" s="1"/>
  <c r="A44" i="2"/>
  <c r="B43" i="2"/>
  <c r="B41" i="5" s="1"/>
  <c r="AG38" i="5" l="1"/>
  <c r="E41" i="5"/>
  <c r="D41" i="5"/>
  <c r="L41" i="5"/>
  <c r="Q41" i="5"/>
  <c r="F41" i="5"/>
  <c r="P41" i="5"/>
  <c r="M41" i="5"/>
  <c r="C41" i="5"/>
  <c r="O41" i="5"/>
  <c r="J41" i="5"/>
  <c r="N41" i="5"/>
  <c r="I41" i="5"/>
  <c r="K41" i="5"/>
  <c r="H41" i="5"/>
  <c r="G41" i="5"/>
  <c r="AH33" i="5"/>
  <c r="S40" i="5" a="1"/>
  <c r="S40" i="5" s="1"/>
  <c r="U40" i="5" a="1"/>
  <c r="U40" i="5" s="1"/>
  <c r="B44" i="2"/>
  <c r="B42" i="5" s="1"/>
  <c r="A45" i="2"/>
  <c r="AG39" i="5" l="1"/>
  <c r="D42" i="5"/>
  <c r="E42" i="5"/>
  <c r="L42" i="5"/>
  <c r="C42" i="5"/>
  <c r="Q42" i="5"/>
  <c r="H42" i="5"/>
  <c r="I42" i="5"/>
  <c r="O42" i="5"/>
  <c r="G42" i="5"/>
  <c r="N42" i="5"/>
  <c r="J42" i="5"/>
  <c r="F42" i="5"/>
  <c r="P42" i="5"/>
  <c r="M42" i="5"/>
  <c r="K42" i="5"/>
  <c r="U41" i="5" a="1"/>
  <c r="U41" i="5" s="1"/>
  <c r="S41" i="5" a="1"/>
  <c r="S41" i="5" s="1"/>
  <c r="B45" i="2"/>
  <c r="B43" i="5" s="1"/>
  <c r="A46" i="2"/>
  <c r="D43" i="5" l="1"/>
  <c r="E43" i="5"/>
  <c r="N43" i="5"/>
  <c r="I43" i="5"/>
  <c r="G43" i="5"/>
  <c r="H43" i="5"/>
  <c r="J43" i="5"/>
  <c r="Q43" i="5"/>
  <c r="C43" i="5"/>
  <c r="K43" i="5"/>
  <c r="P43" i="5"/>
  <c r="M43" i="5"/>
  <c r="F43" i="5"/>
  <c r="L43" i="5"/>
  <c r="O43" i="5"/>
  <c r="S42" i="5" a="1"/>
  <c r="S42" i="5" s="1"/>
  <c r="U42" i="5" a="1"/>
  <c r="U42" i="5" s="1"/>
  <c r="AG40" i="5"/>
  <c r="AH35" i="5" s="1"/>
  <c r="AH34" i="5"/>
  <c r="B46" i="2"/>
  <c r="B44" i="5" s="1"/>
  <c r="A47" i="2"/>
  <c r="S43" i="5" l="1" a="1"/>
  <c r="S43" i="5" s="1"/>
  <c r="U43" i="5" a="1"/>
  <c r="U43" i="5" s="1"/>
  <c r="AG41" i="5"/>
  <c r="E44" i="5"/>
  <c r="D44" i="5"/>
  <c r="K44" i="5"/>
  <c r="Q44" i="5"/>
  <c r="P44" i="5"/>
  <c r="I44" i="5"/>
  <c r="G44" i="5"/>
  <c r="H44" i="5"/>
  <c r="J44" i="5"/>
  <c r="C44" i="5"/>
  <c r="N44" i="5"/>
  <c r="M44" i="5"/>
  <c r="F44" i="5"/>
  <c r="O44" i="5"/>
  <c r="L44" i="5"/>
  <c r="A48" i="2"/>
  <c r="B47" i="2"/>
  <c r="B45" i="5" s="1"/>
  <c r="S44" i="5" l="1" a="1"/>
  <c r="S44" i="5" s="1"/>
  <c r="U44" i="5" a="1"/>
  <c r="U44" i="5" s="1"/>
  <c r="AH36" i="5"/>
  <c r="D45" i="5"/>
  <c r="E45" i="5"/>
  <c r="O45" i="5"/>
  <c r="N45" i="5"/>
  <c r="M45" i="5"/>
  <c r="C45" i="5"/>
  <c r="J45" i="5"/>
  <c r="P45" i="5"/>
  <c r="K45" i="5"/>
  <c r="G45" i="5"/>
  <c r="L45" i="5"/>
  <c r="I45" i="5"/>
  <c r="H45" i="5"/>
  <c r="F45" i="5"/>
  <c r="Q45" i="5"/>
  <c r="AG42" i="5"/>
  <c r="B48" i="2"/>
  <c r="B46" i="5" s="1"/>
  <c r="A49" i="2"/>
  <c r="S45" i="5" l="1" a="1"/>
  <c r="S45" i="5" s="1"/>
  <c r="U45" i="5" a="1"/>
  <c r="U45" i="5" s="1"/>
  <c r="AH37" i="5"/>
  <c r="E46" i="5"/>
  <c r="D46" i="5"/>
  <c r="M46" i="5"/>
  <c r="N46" i="5"/>
  <c r="F46" i="5"/>
  <c r="O46" i="5"/>
  <c r="P46" i="5"/>
  <c r="C46" i="5"/>
  <c r="K46" i="5"/>
  <c r="Q46" i="5"/>
  <c r="J46" i="5"/>
  <c r="H46" i="5"/>
  <c r="L46" i="5"/>
  <c r="G46" i="5"/>
  <c r="I46" i="5"/>
  <c r="AG43" i="5"/>
  <c r="B49" i="2"/>
  <c r="B47" i="5" s="1"/>
  <c r="A50" i="2"/>
  <c r="E47" i="5" l="1"/>
  <c r="D47" i="5"/>
  <c r="F47" i="5"/>
  <c r="I47" i="5"/>
  <c r="K47" i="5"/>
  <c r="O47" i="5"/>
  <c r="Q47" i="5"/>
  <c r="H47" i="5"/>
  <c r="C47" i="5"/>
  <c r="M47" i="5"/>
  <c r="J47" i="5"/>
  <c r="P47" i="5"/>
  <c r="L47" i="5"/>
  <c r="G47" i="5"/>
  <c r="N47" i="5"/>
  <c r="S46" i="5" a="1"/>
  <c r="S46" i="5" s="1"/>
  <c r="U46" i="5" a="1"/>
  <c r="U46" i="5" s="1"/>
  <c r="AG44" i="5"/>
  <c r="AH39" i="5" s="1"/>
  <c r="AH38" i="5"/>
  <c r="B50" i="2"/>
  <c r="B48" i="5" s="1"/>
  <c r="A51" i="2"/>
  <c r="U47" i="5" l="1" a="1"/>
  <c r="U47" i="5" s="1"/>
  <c r="S47" i="5" a="1"/>
  <c r="S47" i="5" s="1"/>
  <c r="D48" i="5"/>
  <c r="E48" i="5"/>
  <c r="J48" i="5"/>
  <c r="C48" i="5"/>
  <c r="S48" i="5" s="1" a="1"/>
  <c r="S48" i="5" s="1"/>
  <c r="I48" i="5"/>
  <c r="K48" i="5"/>
  <c r="M48" i="5"/>
  <c r="H48" i="5"/>
  <c r="Q48" i="5"/>
  <c r="O48" i="5"/>
  <c r="F48" i="5"/>
  <c r="L48" i="5"/>
  <c r="P48" i="5"/>
  <c r="G48" i="5"/>
  <c r="N48" i="5"/>
  <c r="AG45" i="5"/>
  <c r="A52" i="2"/>
  <c r="B51" i="2"/>
  <c r="B49" i="5" s="1"/>
  <c r="AG47" i="5" l="1"/>
  <c r="U48" i="5" a="1"/>
  <c r="U48" i="5" s="1"/>
  <c r="AG46" i="5"/>
  <c r="AH41" i="5" s="1"/>
  <c r="E49" i="5"/>
  <c r="D49" i="5"/>
  <c r="F49" i="5"/>
  <c r="L49" i="5"/>
  <c r="P49" i="5"/>
  <c r="C49" i="5"/>
  <c r="H49" i="5"/>
  <c r="O49" i="5"/>
  <c r="N49" i="5"/>
  <c r="M49" i="5"/>
  <c r="K49" i="5"/>
  <c r="G49" i="5"/>
  <c r="J49" i="5"/>
  <c r="I49" i="5"/>
  <c r="Q49" i="5"/>
  <c r="AH40" i="5"/>
  <c r="AH42" i="5"/>
  <c r="B52" i="2"/>
  <c r="B50" i="5" s="1"/>
  <c r="A53" i="2"/>
  <c r="D50" i="5" l="1"/>
  <c r="E50" i="5"/>
  <c r="O50" i="5"/>
  <c r="F50" i="5"/>
  <c r="K50" i="5"/>
  <c r="H50" i="5"/>
  <c r="G50" i="5"/>
  <c r="C50" i="5"/>
  <c r="Q50" i="5"/>
  <c r="P50" i="5"/>
  <c r="L50" i="5"/>
  <c r="N50" i="5"/>
  <c r="M50" i="5"/>
  <c r="I50" i="5"/>
  <c r="J50" i="5"/>
  <c r="S49" i="5" a="1"/>
  <c r="S49" i="5" s="1"/>
  <c r="U49" i="5" a="1"/>
  <c r="U49" i="5" s="1"/>
  <c r="B53" i="2"/>
  <c r="B51" i="5" s="1"/>
  <c r="A54" i="2"/>
  <c r="AG48" i="5" l="1"/>
  <c r="S50" i="5" a="1"/>
  <c r="S50" i="5" s="1"/>
  <c r="U50" i="5" a="1"/>
  <c r="U50" i="5" s="1"/>
  <c r="D51" i="5"/>
  <c r="E51" i="5"/>
  <c r="M51" i="5"/>
  <c r="P51" i="5"/>
  <c r="G51" i="5"/>
  <c r="H51" i="5"/>
  <c r="O51" i="5"/>
  <c r="Q51" i="5"/>
  <c r="N51" i="5"/>
  <c r="J51" i="5"/>
  <c r="K51" i="5"/>
  <c r="F51" i="5"/>
  <c r="L51" i="5"/>
  <c r="I51" i="5"/>
  <c r="C51" i="5"/>
  <c r="A55" i="2"/>
  <c r="B54" i="2"/>
  <c r="B52" i="5" s="1"/>
  <c r="E52" i="5" l="1"/>
  <c r="D52" i="5"/>
  <c r="C52" i="5"/>
  <c r="J52" i="5"/>
  <c r="G52" i="5"/>
  <c r="I52" i="5"/>
  <c r="H52" i="5"/>
  <c r="K52" i="5"/>
  <c r="M52" i="5"/>
  <c r="Q52" i="5"/>
  <c r="P52" i="5"/>
  <c r="F52" i="5"/>
  <c r="N52" i="5"/>
  <c r="O52" i="5"/>
  <c r="L52" i="5"/>
  <c r="AH43" i="5"/>
  <c r="U51" i="5" a="1"/>
  <c r="U51" i="5" s="1"/>
  <c r="S51" i="5" a="1"/>
  <c r="S51" i="5" s="1"/>
  <c r="AG49" i="5"/>
  <c r="AH44" i="5" s="1"/>
  <c r="A56" i="2"/>
  <c r="B55" i="2"/>
  <c r="B53" i="5" s="1"/>
  <c r="S52" i="5" l="1" a="1"/>
  <c r="S52" i="5" s="1"/>
  <c r="U52" i="5" a="1"/>
  <c r="U52" i="5" s="1"/>
  <c r="AG50" i="5"/>
  <c r="E53" i="5"/>
  <c r="D53" i="5"/>
  <c r="N53" i="5"/>
  <c r="I53" i="5"/>
  <c r="H53" i="5"/>
  <c r="G53" i="5"/>
  <c r="O53" i="5"/>
  <c r="M53" i="5"/>
  <c r="J53" i="5"/>
  <c r="P53" i="5"/>
  <c r="C53" i="5"/>
  <c r="L53" i="5"/>
  <c r="K53" i="5"/>
  <c r="Q53" i="5"/>
  <c r="F53" i="5"/>
  <c r="B56" i="2"/>
  <c r="B54" i="5" s="1"/>
  <c r="A57" i="2"/>
  <c r="S53" i="5" l="1" a="1"/>
  <c r="S53" i="5" s="1"/>
  <c r="U53" i="5" a="1"/>
  <c r="U53" i="5" s="1"/>
  <c r="AG51" i="5"/>
  <c r="D54" i="5"/>
  <c r="E54" i="5"/>
  <c r="K54" i="5"/>
  <c r="F54" i="5"/>
  <c r="Q54" i="5"/>
  <c r="I54" i="5"/>
  <c r="O54" i="5"/>
  <c r="M54" i="5"/>
  <c r="N54" i="5"/>
  <c r="J54" i="5"/>
  <c r="P54" i="5"/>
  <c r="L54" i="5"/>
  <c r="G54" i="5"/>
  <c r="C54" i="5"/>
  <c r="H54" i="5"/>
  <c r="AH45" i="5"/>
  <c r="B57" i="2"/>
  <c r="B55" i="5" s="1"/>
  <c r="A58" i="2"/>
  <c r="S54" i="5" l="1" a="1"/>
  <c r="S54" i="5" s="1"/>
  <c r="U54" i="5" a="1"/>
  <c r="U54" i="5" s="1"/>
  <c r="AH46" i="5"/>
  <c r="E55" i="5"/>
  <c r="D55" i="5"/>
  <c r="G55" i="5"/>
  <c r="C55" i="5"/>
  <c r="H55" i="5"/>
  <c r="I55" i="5"/>
  <c r="K55" i="5"/>
  <c r="P55" i="5"/>
  <c r="O55" i="5"/>
  <c r="F55" i="5"/>
  <c r="N55" i="5"/>
  <c r="M55" i="5"/>
  <c r="Q55" i="5"/>
  <c r="J55" i="5"/>
  <c r="L55" i="5"/>
  <c r="AG52" i="5"/>
  <c r="B58" i="2"/>
  <c r="B56" i="5" s="1"/>
  <c r="A59" i="2"/>
  <c r="D56" i="5" l="1"/>
  <c r="E56" i="5"/>
  <c r="Q56" i="5"/>
  <c r="C56" i="5"/>
  <c r="H56" i="5"/>
  <c r="I56" i="5"/>
  <c r="G56" i="5"/>
  <c r="N56" i="5"/>
  <c r="K56" i="5"/>
  <c r="M56" i="5"/>
  <c r="O56" i="5"/>
  <c r="P56" i="5"/>
  <c r="L56" i="5"/>
  <c r="J56" i="5"/>
  <c r="F56" i="5"/>
  <c r="S55" i="5" a="1"/>
  <c r="S55" i="5" s="1"/>
  <c r="U55" i="5" a="1"/>
  <c r="U55" i="5" s="1"/>
  <c r="AH47" i="5"/>
  <c r="AG53" i="5"/>
  <c r="AH48" i="5" s="1"/>
  <c r="A60" i="2"/>
  <c r="B59" i="2"/>
  <c r="B57" i="5" s="1"/>
  <c r="AG54" i="5" l="1"/>
  <c r="D57" i="5"/>
  <c r="E57" i="5"/>
  <c r="P57" i="5"/>
  <c r="I57" i="5"/>
  <c r="H57" i="5"/>
  <c r="J57" i="5"/>
  <c r="C57" i="5"/>
  <c r="K57" i="5"/>
  <c r="O57" i="5"/>
  <c r="N57" i="5"/>
  <c r="Q57" i="5"/>
  <c r="G57" i="5"/>
  <c r="M57" i="5"/>
  <c r="L57" i="5"/>
  <c r="F57" i="5"/>
  <c r="AH49" i="5"/>
  <c r="S56" i="5" a="1"/>
  <c r="S56" i="5" s="1"/>
  <c r="U56" i="5" a="1"/>
  <c r="U56" i="5" s="1"/>
  <c r="B60" i="2"/>
  <c r="B58" i="5" s="1"/>
  <c r="A61" i="2"/>
  <c r="AG55" i="5" l="1"/>
  <c r="S57" i="5" a="1"/>
  <c r="S57" i="5" s="1"/>
  <c r="U57" i="5" a="1"/>
  <c r="U57" i="5" s="1"/>
  <c r="D58" i="5"/>
  <c r="E58" i="5"/>
  <c r="C58" i="5"/>
  <c r="O58" i="5"/>
  <c r="K58" i="5"/>
  <c r="M58" i="5"/>
  <c r="Q58" i="5"/>
  <c r="P58" i="5"/>
  <c r="L58" i="5"/>
  <c r="F58" i="5"/>
  <c r="I58" i="5"/>
  <c r="H58" i="5"/>
  <c r="G58" i="5"/>
  <c r="J58" i="5"/>
  <c r="N58" i="5"/>
  <c r="B61" i="2"/>
  <c r="B59" i="5" s="1"/>
  <c r="A62" i="2"/>
  <c r="S58" i="5" l="1" a="1"/>
  <c r="S58" i="5" s="1"/>
  <c r="U58" i="5" a="1"/>
  <c r="U58" i="5" s="1"/>
  <c r="AG56" i="5"/>
  <c r="E59" i="5"/>
  <c r="D59" i="5"/>
  <c r="L59" i="5"/>
  <c r="J59" i="5"/>
  <c r="G59" i="5"/>
  <c r="F59" i="5"/>
  <c r="C59" i="5"/>
  <c r="P59" i="5"/>
  <c r="K59" i="5"/>
  <c r="Q59" i="5"/>
  <c r="N59" i="5"/>
  <c r="M59" i="5"/>
  <c r="I59" i="5"/>
  <c r="H59" i="5"/>
  <c r="O59" i="5"/>
  <c r="AH50" i="5"/>
  <c r="AH51" i="5"/>
  <c r="B62" i="2"/>
  <c r="B60" i="5" s="1"/>
  <c r="A63" i="2"/>
  <c r="S59" i="5" l="1" a="1"/>
  <c r="S59" i="5" s="1"/>
  <c r="U59" i="5" a="1"/>
  <c r="U59" i="5" s="1"/>
  <c r="E60" i="5"/>
  <c r="D60" i="5"/>
  <c r="J60" i="5"/>
  <c r="Q60" i="5"/>
  <c r="L60" i="5"/>
  <c r="F60" i="5"/>
  <c r="I60" i="5"/>
  <c r="H60" i="5"/>
  <c r="G60" i="5"/>
  <c r="C60" i="5"/>
  <c r="M60" i="5"/>
  <c r="O60" i="5"/>
  <c r="K60" i="5"/>
  <c r="N60" i="5"/>
  <c r="P60" i="5"/>
  <c r="AG57" i="5"/>
  <c r="A64" i="2"/>
  <c r="B63" i="2"/>
  <c r="B61" i="5" s="1"/>
  <c r="S60" i="5" l="1" a="1"/>
  <c r="S60" i="5" s="1"/>
  <c r="U60" i="5" a="1"/>
  <c r="U60" i="5" s="1"/>
  <c r="E61" i="5"/>
  <c r="D61" i="5"/>
  <c r="H61" i="5"/>
  <c r="I61" i="5"/>
  <c r="K61" i="5"/>
  <c r="J61" i="5"/>
  <c r="O61" i="5"/>
  <c r="M61" i="5"/>
  <c r="C61" i="5"/>
  <c r="G61" i="5"/>
  <c r="L61" i="5"/>
  <c r="Q61" i="5"/>
  <c r="F61" i="5"/>
  <c r="P61" i="5"/>
  <c r="N61" i="5"/>
  <c r="AH52" i="5"/>
  <c r="AG58" i="5"/>
  <c r="AH53" i="5" s="1"/>
  <c r="B64" i="2"/>
  <c r="B62" i="5" s="1"/>
  <c r="A65" i="2"/>
  <c r="AG59" i="5" l="1"/>
  <c r="S61" i="5" a="1"/>
  <c r="S61" i="5" s="1"/>
  <c r="U61" i="5" a="1"/>
  <c r="U61" i="5" s="1"/>
  <c r="D62" i="5"/>
  <c r="E62" i="5"/>
  <c r="P62" i="5"/>
  <c r="G62" i="5"/>
  <c r="H62" i="5"/>
  <c r="K62" i="5"/>
  <c r="I62" i="5"/>
  <c r="N62" i="5"/>
  <c r="O62" i="5"/>
  <c r="C62" i="5"/>
  <c r="Q62" i="5"/>
  <c r="M62" i="5"/>
  <c r="F62" i="5"/>
  <c r="J62" i="5"/>
  <c r="L62" i="5"/>
  <c r="B65" i="2"/>
  <c r="B63" i="5" s="1"/>
  <c r="A66" i="2"/>
  <c r="D63" i="5" l="1"/>
  <c r="E63" i="5"/>
  <c r="H63" i="5"/>
  <c r="I63" i="5"/>
  <c r="G63" i="5"/>
  <c r="P63" i="5"/>
  <c r="J63" i="5"/>
  <c r="O63" i="5"/>
  <c r="K63" i="5"/>
  <c r="N63" i="5"/>
  <c r="C63" i="5"/>
  <c r="Q63" i="5"/>
  <c r="M63" i="5"/>
  <c r="F63" i="5"/>
  <c r="L63" i="5"/>
  <c r="U62" i="5" a="1"/>
  <c r="U62" i="5" s="1"/>
  <c r="S62" i="5" a="1"/>
  <c r="S62" i="5" s="1"/>
  <c r="AH54" i="5"/>
  <c r="AG60" i="5"/>
  <c r="B66" i="2"/>
  <c r="B64" i="5" s="1"/>
  <c r="A67" i="2"/>
  <c r="D64" i="5" l="1"/>
  <c r="E64" i="5"/>
  <c r="K64" i="5"/>
  <c r="L64" i="5"/>
  <c r="G64" i="5"/>
  <c r="O64" i="5"/>
  <c r="P64" i="5"/>
  <c r="C64" i="5"/>
  <c r="H64" i="5"/>
  <c r="Q64" i="5"/>
  <c r="N64" i="5"/>
  <c r="F64" i="5"/>
  <c r="J64" i="5"/>
  <c r="M64" i="5"/>
  <c r="I64" i="5"/>
  <c r="AG61" i="5"/>
  <c r="S63" i="5" a="1"/>
  <c r="S63" i="5" s="1"/>
  <c r="U63" i="5" a="1"/>
  <c r="U63" i="5" s="1"/>
  <c r="AH55" i="5"/>
  <c r="A68" i="2"/>
  <c r="B67" i="2"/>
  <c r="B65" i="5" s="1"/>
  <c r="S64" i="5" l="1" a="1"/>
  <c r="S64" i="5" s="1"/>
  <c r="U64" i="5" a="1"/>
  <c r="U64" i="5" s="1"/>
  <c r="AG62" i="5"/>
  <c r="D65" i="5"/>
  <c r="E65" i="5"/>
  <c r="H65" i="5"/>
  <c r="O65" i="5"/>
  <c r="G65" i="5"/>
  <c r="J65" i="5"/>
  <c r="P65" i="5"/>
  <c r="N65" i="5"/>
  <c r="C65" i="5"/>
  <c r="I65" i="5"/>
  <c r="F65" i="5"/>
  <c r="Q65" i="5"/>
  <c r="K65" i="5"/>
  <c r="L65" i="5"/>
  <c r="M65" i="5"/>
  <c r="AH56" i="5"/>
  <c r="AH57" i="5"/>
  <c r="B68" i="2"/>
  <c r="B66" i="5" s="1"/>
  <c r="A69" i="2"/>
  <c r="S65" i="5" l="1" a="1"/>
  <c r="S65" i="5" s="1"/>
  <c r="U65" i="5" a="1"/>
  <c r="U65" i="5" s="1"/>
  <c r="D66" i="5"/>
  <c r="E66" i="5"/>
  <c r="G66" i="5"/>
  <c r="H66" i="5"/>
  <c r="K66" i="5"/>
  <c r="N66" i="5"/>
  <c r="O66" i="5"/>
  <c r="I66" i="5"/>
  <c r="M66" i="5"/>
  <c r="Q66" i="5"/>
  <c r="F66" i="5"/>
  <c r="L66" i="5"/>
  <c r="C66" i="5"/>
  <c r="P66" i="5"/>
  <c r="J66" i="5"/>
  <c r="AG63" i="5"/>
  <c r="AH58" i="5" s="1"/>
  <c r="B69" i="2"/>
  <c r="B67" i="5" s="1"/>
  <c r="A70" i="2"/>
  <c r="S66" i="5" l="1" a="1"/>
  <c r="S66" i="5" s="1"/>
  <c r="U66" i="5" a="1"/>
  <c r="U66" i="5" s="1"/>
  <c r="D67" i="5"/>
  <c r="E67" i="5"/>
  <c r="H67" i="5"/>
  <c r="I67" i="5"/>
  <c r="G67" i="5"/>
  <c r="K67" i="5"/>
  <c r="J67" i="5"/>
  <c r="O67" i="5"/>
  <c r="P67" i="5"/>
  <c r="Q67" i="5"/>
  <c r="C67" i="5"/>
  <c r="N67" i="5"/>
  <c r="M67" i="5"/>
  <c r="F67" i="5"/>
  <c r="L67" i="5"/>
  <c r="AG64" i="5"/>
  <c r="A71" i="2"/>
  <c r="B70" i="2"/>
  <c r="B68" i="5" s="1"/>
  <c r="S67" i="5" l="1" a="1"/>
  <c r="S67" i="5" s="1"/>
  <c r="U67" i="5" a="1"/>
  <c r="U67" i="5" s="1"/>
  <c r="E68" i="5"/>
  <c r="D68" i="5"/>
  <c r="I68" i="5"/>
  <c r="G68" i="5"/>
  <c r="P68" i="5"/>
  <c r="Q68" i="5"/>
  <c r="K68" i="5"/>
  <c r="J68" i="5"/>
  <c r="M68" i="5"/>
  <c r="F68" i="5"/>
  <c r="O68" i="5"/>
  <c r="H68" i="5"/>
  <c r="N68" i="5"/>
  <c r="C68" i="5"/>
  <c r="L68" i="5"/>
  <c r="AH59" i="5"/>
  <c r="AG65" i="5"/>
  <c r="A72" i="2"/>
  <c r="B71" i="2"/>
  <c r="B69" i="5" s="1"/>
  <c r="AG66" i="5" l="1"/>
  <c r="AH61" i="5" s="1"/>
  <c r="D69" i="5"/>
  <c r="E69" i="5"/>
  <c r="H69" i="5"/>
  <c r="I69" i="5"/>
  <c r="G69" i="5"/>
  <c r="K69" i="5"/>
  <c r="M69" i="5"/>
  <c r="N69" i="5"/>
  <c r="P69" i="5"/>
  <c r="O69" i="5"/>
  <c r="J69" i="5"/>
  <c r="Q69" i="5"/>
  <c r="C69" i="5"/>
  <c r="L69" i="5"/>
  <c r="F69" i="5"/>
  <c r="AH60" i="5"/>
  <c r="S68" i="5" a="1"/>
  <c r="S68" i="5" s="1"/>
  <c r="U68" i="5" a="1"/>
  <c r="U68" i="5" s="1"/>
  <c r="B72" i="2"/>
  <c r="B70" i="5" s="1"/>
  <c r="A73" i="2"/>
  <c r="S69" i="5" l="1" a="1"/>
  <c r="S69" i="5" s="1"/>
  <c r="U69" i="5" a="1"/>
  <c r="U69" i="5" s="1"/>
  <c r="AG67" i="5"/>
  <c r="D70" i="5"/>
  <c r="E70" i="5"/>
  <c r="I70" i="5"/>
  <c r="H70" i="5"/>
  <c r="Q70" i="5"/>
  <c r="G70" i="5"/>
  <c r="J70" i="5"/>
  <c r="O70" i="5"/>
  <c r="M70" i="5"/>
  <c r="K70" i="5"/>
  <c r="L70" i="5"/>
  <c r="N70" i="5"/>
  <c r="C70" i="5"/>
  <c r="P70" i="5"/>
  <c r="F70" i="5"/>
  <c r="B73" i="2"/>
  <c r="B71" i="5" s="1"/>
  <c r="A74" i="2"/>
  <c r="AH62" i="5" l="1"/>
  <c r="D71" i="5"/>
  <c r="E71" i="5"/>
  <c r="H71" i="5"/>
  <c r="G71" i="5"/>
  <c r="I71" i="5"/>
  <c r="O71" i="5"/>
  <c r="P71" i="5"/>
  <c r="J71" i="5"/>
  <c r="N71" i="5"/>
  <c r="K71" i="5"/>
  <c r="M71" i="5"/>
  <c r="Q71" i="5"/>
  <c r="L71" i="5"/>
  <c r="C71" i="5"/>
  <c r="F71" i="5"/>
  <c r="S70" i="5" a="1"/>
  <c r="S70" i="5" s="1"/>
  <c r="U70" i="5" a="1"/>
  <c r="U70" i="5" s="1"/>
  <c r="AG68" i="5"/>
  <c r="B74" i="2"/>
  <c r="B72" i="5" s="1"/>
  <c r="A75" i="2"/>
  <c r="AH63" i="5" l="1"/>
  <c r="S71" i="5" a="1"/>
  <c r="S71" i="5" s="1"/>
  <c r="U71" i="5" a="1"/>
  <c r="U71" i="5" s="1"/>
  <c r="D72" i="5"/>
  <c r="E72" i="5"/>
  <c r="N72" i="5"/>
  <c r="H72" i="5"/>
  <c r="I72" i="5"/>
  <c r="G72" i="5"/>
  <c r="K72" i="5"/>
  <c r="M72" i="5"/>
  <c r="O72" i="5"/>
  <c r="L72" i="5"/>
  <c r="F72" i="5"/>
  <c r="P72" i="5"/>
  <c r="J72" i="5"/>
  <c r="Q72" i="5"/>
  <c r="C72" i="5"/>
  <c r="AG69" i="5"/>
  <c r="A76" i="2"/>
  <c r="B75" i="2"/>
  <c r="B73" i="5" s="1"/>
  <c r="S72" i="5" l="1" a="1"/>
  <c r="S72" i="5" s="1"/>
  <c r="U72" i="5" a="1"/>
  <c r="U72" i="5" s="1"/>
  <c r="AG70" i="5"/>
  <c r="AH65" i="5" s="1"/>
  <c r="D73" i="5"/>
  <c r="E73" i="5"/>
  <c r="Q73" i="5"/>
  <c r="H73" i="5"/>
  <c r="G73" i="5"/>
  <c r="I73" i="5"/>
  <c r="O73" i="5"/>
  <c r="N73" i="5"/>
  <c r="K73" i="5"/>
  <c r="C73" i="5"/>
  <c r="M73" i="5"/>
  <c r="P73" i="5"/>
  <c r="J73" i="5"/>
  <c r="F73" i="5"/>
  <c r="L73" i="5"/>
  <c r="AH64" i="5"/>
  <c r="B76" i="2"/>
  <c r="B74" i="5" s="1"/>
  <c r="A77" i="2"/>
  <c r="A5" i="2" s="1"/>
  <c r="AG71" i="5" l="1"/>
  <c r="R5" i="5"/>
  <c r="R9" i="5"/>
  <c r="R13" i="5"/>
  <c r="R17" i="5"/>
  <c r="R21" i="5"/>
  <c r="R25" i="5"/>
  <c r="R29" i="5"/>
  <c r="R33" i="5"/>
  <c r="R37" i="5"/>
  <c r="R41" i="5"/>
  <c r="R45" i="5"/>
  <c r="R49" i="5"/>
  <c r="R53" i="5"/>
  <c r="R57" i="5"/>
  <c r="R61" i="5"/>
  <c r="R65" i="5"/>
  <c r="R69" i="5"/>
  <c r="R73" i="5"/>
  <c r="R77" i="5"/>
  <c r="R81" i="5"/>
  <c r="R85" i="5"/>
  <c r="R89" i="5"/>
  <c r="R93" i="5"/>
  <c r="R97" i="5"/>
  <c r="R101" i="5"/>
  <c r="R105" i="5"/>
  <c r="R109" i="5"/>
  <c r="R113" i="5"/>
  <c r="R117" i="5"/>
  <c r="R121" i="5"/>
  <c r="R125" i="5"/>
  <c r="R129" i="5"/>
  <c r="R133" i="5"/>
  <c r="R137" i="5"/>
  <c r="R141" i="5"/>
  <c r="R145" i="5"/>
  <c r="R149" i="5"/>
  <c r="R153" i="5"/>
  <c r="R157" i="5"/>
  <c r="R161" i="5"/>
  <c r="R165" i="5"/>
  <c r="R169" i="5"/>
  <c r="R173" i="5"/>
  <c r="R177" i="5"/>
  <c r="R181" i="5"/>
  <c r="R185" i="5"/>
  <c r="R189" i="5"/>
  <c r="R193" i="5"/>
  <c r="R197" i="5"/>
  <c r="R201" i="5"/>
  <c r="R205" i="5"/>
  <c r="R209" i="5"/>
  <c r="R213" i="5"/>
  <c r="R217" i="5"/>
  <c r="R221" i="5"/>
  <c r="R225" i="5"/>
  <c r="R229" i="5"/>
  <c r="R233" i="5"/>
  <c r="R237" i="5"/>
  <c r="R241" i="5"/>
  <c r="R245" i="5"/>
  <c r="R249" i="5"/>
  <c r="R253" i="5"/>
  <c r="R257" i="5"/>
  <c r="R261" i="5"/>
  <c r="R262" i="5"/>
  <c r="R11" i="5"/>
  <c r="R19" i="5"/>
  <c r="R27" i="5"/>
  <c r="R35" i="5"/>
  <c r="R39" i="5"/>
  <c r="R47" i="5"/>
  <c r="R55" i="5"/>
  <c r="R63" i="5"/>
  <c r="R71" i="5"/>
  <c r="R79" i="5"/>
  <c r="R83" i="5"/>
  <c r="R87" i="5"/>
  <c r="R91" i="5"/>
  <c r="R95" i="5"/>
  <c r="R99" i="5"/>
  <c r="R107" i="5"/>
  <c r="R111" i="5"/>
  <c r="R119" i="5"/>
  <c r="R131" i="5"/>
  <c r="R6" i="5"/>
  <c r="R10" i="5"/>
  <c r="R14" i="5"/>
  <c r="R18" i="5"/>
  <c r="R22" i="5"/>
  <c r="R26" i="5"/>
  <c r="R30" i="5"/>
  <c r="R34" i="5"/>
  <c r="R38" i="5"/>
  <c r="R42" i="5"/>
  <c r="R46" i="5"/>
  <c r="R50" i="5"/>
  <c r="R54" i="5"/>
  <c r="R58" i="5"/>
  <c r="R62" i="5"/>
  <c r="R66" i="5"/>
  <c r="R70" i="5"/>
  <c r="R74" i="5"/>
  <c r="R78" i="5"/>
  <c r="R82" i="5"/>
  <c r="R86" i="5"/>
  <c r="R90" i="5"/>
  <c r="R94" i="5"/>
  <c r="R98" i="5"/>
  <c r="R102" i="5"/>
  <c r="R106" i="5"/>
  <c r="R110" i="5"/>
  <c r="R114" i="5"/>
  <c r="R118" i="5"/>
  <c r="R122" i="5"/>
  <c r="R126" i="5"/>
  <c r="R130" i="5"/>
  <c r="R134" i="5"/>
  <c r="R138" i="5"/>
  <c r="R142" i="5"/>
  <c r="R146" i="5"/>
  <c r="R150" i="5"/>
  <c r="R154" i="5"/>
  <c r="R158" i="5"/>
  <c r="R162" i="5"/>
  <c r="R166" i="5"/>
  <c r="R170" i="5"/>
  <c r="R174" i="5"/>
  <c r="R178" i="5"/>
  <c r="R182" i="5"/>
  <c r="R186" i="5"/>
  <c r="R190" i="5"/>
  <c r="R194" i="5"/>
  <c r="R198" i="5"/>
  <c r="R202" i="5"/>
  <c r="R206" i="5"/>
  <c r="R210" i="5"/>
  <c r="R214" i="5"/>
  <c r="R218" i="5"/>
  <c r="R222" i="5"/>
  <c r="R226" i="5"/>
  <c r="R230" i="5"/>
  <c r="R234" i="5"/>
  <c r="R238" i="5"/>
  <c r="R242" i="5"/>
  <c r="R246" i="5"/>
  <c r="R250" i="5"/>
  <c r="R254" i="5"/>
  <c r="R258" i="5"/>
  <c r="R7" i="5"/>
  <c r="R15" i="5"/>
  <c r="R23" i="5"/>
  <c r="R31" i="5"/>
  <c r="R43" i="5"/>
  <c r="R51" i="5"/>
  <c r="R59" i="5"/>
  <c r="R67" i="5"/>
  <c r="R75" i="5"/>
  <c r="R103" i="5"/>
  <c r="R115" i="5"/>
  <c r="R123" i="5"/>
  <c r="R127" i="5"/>
  <c r="R135" i="5"/>
  <c r="R8" i="5"/>
  <c r="R24" i="5"/>
  <c r="R40" i="5"/>
  <c r="R56" i="5"/>
  <c r="R72" i="5"/>
  <c r="R88" i="5"/>
  <c r="R104" i="5"/>
  <c r="R120" i="5"/>
  <c r="R136" i="5"/>
  <c r="R144" i="5"/>
  <c r="R152" i="5"/>
  <c r="R160" i="5"/>
  <c r="R168" i="5"/>
  <c r="R176" i="5"/>
  <c r="R184" i="5"/>
  <c r="R192" i="5"/>
  <c r="R200" i="5"/>
  <c r="R208" i="5"/>
  <c r="R216" i="5"/>
  <c r="R224" i="5"/>
  <c r="R232" i="5"/>
  <c r="R240" i="5"/>
  <c r="R248" i="5"/>
  <c r="R256" i="5"/>
  <c r="R4" i="5"/>
  <c r="R259" i="5"/>
  <c r="R52" i="5"/>
  <c r="R84" i="5"/>
  <c r="R143" i="5"/>
  <c r="R175" i="5"/>
  <c r="R191" i="5"/>
  <c r="R215" i="5"/>
  <c r="R239" i="5"/>
  <c r="R255" i="5"/>
  <c r="R12" i="5"/>
  <c r="R28" i="5"/>
  <c r="R44" i="5"/>
  <c r="R60" i="5"/>
  <c r="R76" i="5"/>
  <c r="R92" i="5"/>
  <c r="R108" i="5"/>
  <c r="R124" i="5"/>
  <c r="R139" i="5"/>
  <c r="R147" i="5"/>
  <c r="R155" i="5"/>
  <c r="R163" i="5"/>
  <c r="R171" i="5"/>
  <c r="R179" i="5"/>
  <c r="R187" i="5"/>
  <c r="R195" i="5"/>
  <c r="R203" i="5"/>
  <c r="R211" i="5"/>
  <c r="R219" i="5"/>
  <c r="R227" i="5"/>
  <c r="R235" i="5"/>
  <c r="R243" i="5"/>
  <c r="R251" i="5"/>
  <c r="R36" i="5"/>
  <c r="R116" i="5"/>
  <c r="R151" i="5"/>
  <c r="R167" i="5"/>
  <c r="R199" i="5"/>
  <c r="R223" i="5"/>
  <c r="R247" i="5"/>
  <c r="R16" i="5"/>
  <c r="R32" i="5"/>
  <c r="R48" i="5"/>
  <c r="R64" i="5"/>
  <c r="R80" i="5"/>
  <c r="R96" i="5"/>
  <c r="R112" i="5"/>
  <c r="R128" i="5"/>
  <c r="R140" i="5"/>
  <c r="R148" i="5"/>
  <c r="R156" i="5"/>
  <c r="R164" i="5"/>
  <c r="R172" i="5"/>
  <c r="R180" i="5"/>
  <c r="R188" i="5"/>
  <c r="R196" i="5"/>
  <c r="R204" i="5"/>
  <c r="R212" i="5"/>
  <c r="R220" i="5"/>
  <c r="R228" i="5"/>
  <c r="R236" i="5"/>
  <c r="R244" i="5"/>
  <c r="R252" i="5"/>
  <c r="R260" i="5"/>
  <c r="R20" i="5"/>
  <c r="R68" i="5"/>
  <c r="R100" i="5"/>
  <c r="R132" i="5"/>
  <c r="R159" i="5"/>
  <c r="R183" i="5"/>
  <c r="R207" i="5"/>
  <c r="R231" i="5"/>
  <c r="R263" i="5"/>
  <c r="S73" i="5" a="1"/>
  <c r="S73" i="5" s="1"/>
  <c r="U73" i="5" a="1"/>
  <c r="U73" i="5" s="1"/>
  <c r="D74" i="5"/>
  <c r="E74" i="5"/>
  <c r="H74" i="5"/>
  <c r="G74" i="5"/>
  <c r="I74" i="5"/>
  <c r="K74" i="5"/>
  <c r="O74" i="5"/>
  <c r="P74" i="5"/>
  <c r="Q74" i="5"/>
  <c r="J74" i="5"/>
  <c r="M74" i="5"/>
  <c r="N74" i="5"/>
  <c r="C74" i="5"/>
  <c r="L74" i="5"/>
  <c r="F74" i="5"/>
  <c r="AH66" i="5"/>
  <c r="B77" i="2"/>
  <c r="E5" i="7" s="1" a="1"/>
  <c r="E5" i="7" s="1"/>
  <c r="E6" i="7" l="1"/>
  <c r="A4" i="10"/>
  <c r="AG72" i="5"/>
  <c r="B75" i="5"/>
  <c r="D243" i="5"/>
  <c r="D231" i="5"/>
  <c r="N76" i="5"/>
  <c r="D135" i="5"/>
  <c r="D225" i="5"/>
  <c r="D246" i="5"/>
  <c r="D79" i="5"/>
  <c r="E259" i="5"/>
  <c r="E108" i="5"/>
  <c r="E171" i="5"/>
  <c r="E225" i="5"/>
  <c r="D202" i="5"/>
  <c r="E195" i="5"/>
  <c r="D141" i="5"/>
  <c r="D260" i="5"/>
  <c r="E123" i="5"/>
  <c r="E111" i="5"/>
  <c r="E188" i="5"/>
  <c r="D109" i="5"/>
  <c r="E187" i="5"/>
  <c r="E139" i="5"/>
  <c r="D113" i="5"/>
  <c r="D173" i="5"/>
  <c r="D184" i="5"/>
  <c r="E118" i="5"/>
  <c r="D249" i="5"/>
  <c r="E222" i="5"/>
  <c r="E212" i="5"/>
  <c r="D81" i="5"/>
  <c r="E199" i="5"/>
  <c r="D111" i="5"/>
  <c r="E245" i="5"/>
  <c r="D181" i="5"/>
  <c r="D263" i="5"/>
  <c r="E165" i="5"/>
  <c r="E119" i="5"/>
  <c r="K191" i="5"/>
  <c r="D248" i="5"/>
  <c r="D85" i="5"/>
  <c r="H86" i="5"/>
  <c r="E201" i="5"/>
  <c r="E260" i="5"/>
  <c r="D84" i="5"/>
  <c r="G80" i="5"/>
  <c r="D238" i="5"/>
  <c r="D185" i="5"/>
  <c r="D134" i="5"/>
  <c r="E213" i="5"/>
  <c r="E169" i="5"/>
  <c r="E262" i="5"/>
  <c r="E129" i="5"/>
  <c r="E263" i="5"/>
  <c r="D152" i="5"/>
  <c r="D242" i="5"/>
  <c r="D136" i="5"/>
  <c r="D101" i="5"/>
  <c r="D95" i="5"/>
  <c r="E203" i="5"/>
  <c r="D235" i="5"/>
  <c r="D215" i="5"/>
  <c r="D110" i="5"/>
  <c r="E117" i="5"/>
  <c r="E95" i="5"/>
  <c r="E244" i="5"/>
  <c r="E121" i="5"/>
  <c r="E149" i="5"/>
  <c r="D219" i="5"/>
  <c r="E146" i="5"/>
  <c r="D155" i="5"/>
  <c r="D127" i="5"/>
  <c r="E81" i="5"/>
  <c r="F190" i="5"/>
  <c r="D107" i="5"/>
  <c r="D147" i="5"/>
  <c r="E94" i="5"/>
  <c r="E257" i="5"/>
  <c r="D191" i="5"/>
  <c r="E193" i="5"/>
  <c r="E86" i="5"/>
  <c r="E224" i="5"/>
  <c r="D125" i="5"/>
  <c r="E227" i="5"/>
  <c r="E253" i="5"/>
  <c r="D221" i="5"/>
  <c r="E239" i="5"/>
  <c r="E186" i="5"/>
  <c r="E205" i="5"/>
  <c r="E162" i="5"/>
  <c r="E189" i="5"/>
  <c r="E246" i="5"/>
  <c r="E98" i="5"/>
  <c r="E76" i="5"/>
  <c r="D122" i="5"/>
  <c r="E168" i="5"/>
  <c r="E144" i="5"/>
  <c r="E232" i="5"/>
  <c r="E258" i="5"/>
  <c r="E160" i="5"/>
  <c r="D247" i="5"/>
  <c r="E176" i="5"/>
  <c r="E120" i="5"/>
  <c r="D241" i="5"/>
  <c r="D149" i="5"/>
  <c r="D233" i="5"/>
  <c r="D103" i="5"/>
  <c r="E235" i="5"/>
  <c r="D171" i="5"/>
  <c r="D209" i="5"/>
  <c r="E151" i="5"/>
  <c r="D82" i="5"/>
  <c r="D194" i="5"/>
  <c r="E238" i="5"/>
  <c r="E138" i="5"/>
  <c r="D131" i="5"/>
  <c r="D234" i="5"/>
  <c r="D253" i="5"/>
  <c r="D169" i="5"/>
  <c r="E254" i="5"/>
  <c r="D204" i="5"/>
  <c r="D130" i="5"/>
  <c r="E134" i="5"/>
  <c r="E155" i="5"/>
  <c r="E109" i="5"/>
  <c r="E77" i="5"/>
  <c r="E220" i="5"/>
  <c r="E140" i="5"/>
  <c r="E132" i="5"/>
  <c r="E182" i="5"/>
  <c r="D98" i="5"/>
  <c r="E223" i="5"/>
  <c r="E209" i="5"/>
  <c r="E173" i="5"/>
  <c r="E261" i="5"/>
  <c r="D254" i="5"/>
  <c r="D174" i="5"/>
  <c r="E105" i="5"/>
  <c r="E255" i="5"/>
  <c r="E150" i="5"/>
  <c r="E231" i="5"/>
  <c r="D77" i="5"/>
  <c r="D210" i="5"/>
  <c r="D255" i="5"/>
  <c r="E147" i="5"/>
  <c r="G79" i="5"/>
  <c r="E248" i="5"/>
  <c r="E172" i="5"/>
  <c r="D230" i="5"/>
  <c r="E174" i="5"/>
  <c r="D121" i="5"/>
  <c r="E128" i="5"/>
  <c r="E110" i="5"/>
  <c r="D240" i="5"/>
  <c r="D117" i="5"/>
  <c r="D236" i="5"/>
  <c r="D86" i="5"/>
  <c r="E170" i="5"/>
  <c r="D163" i="5"/>
  <c r="D237" i="5"/>
  <c r="D139" i="5"/>
  <c r="E141" i="5"/>
  <c r="E131" i="5"/>
  <c r="D190" i="5"/>
  <c r="D106" i="5"/>
  <c r="E194" i="5"/>
  <c r="E152" i="5"/>
  <c r="E183" i="5"/>
  <c r="D123" i="5"/>
  <c r="D227" i="5"/>
  <c r="E157" i="5"/>
  <c r="E125" i="5"/>
  <c r="E112" i="5"/>
  <c r="D220" i="5"/>
  <c r="D76" i="5"/>
  <c r="D161" i="5"/>
  <c r="D105" i="5"/>
  <c r="D126" i="5"/>
  <c r="E116" i="5"/>
  <c r="E198" i="5"/>
  <c r="D104" i="5"/>
  <c r="D261" i="5"/>
  <c r="E207" i="5"/>
  <c r="D192" i="5"/>
  <c r="D166" i="5"/>
  <c r="E230" i="5"/>
  <c r="D170" i="5"/>
  <c r="E153" i="5"/>
  <c r="D168" i="5"/>
  <c r="D223" i="5"/>
  <c r="E156" i="5"/>
  <c r="D156" i="5"/>
  <c r="E252" i="5"/>
  <c r="E89" i="5"/>
  <c r="D203" i="5"/>
  <c r="E101" i="5"/>
  <c r="E200" i="5"/>
  <c r="E130" i="5"/>
  <c r="D120" i="5"/>
  <c r="E161" i="5"/>
  <c r="E180" i="5"/>
  <c r="E90" i="5"/>
  <c r="E97" i="5"/>
  <c r="E79" i="5"/>
  <c r="E243" i="5"/>
  <c r="D119" i="5"/>
  <c r="E104" i="5"/>
  <c r="E215" i="5"/>
  <c r="D99" i="5"/>
  <c r="D167" i="5"/>
  <c r="J255" i="5"/>
  <c r="D118" i="5"/>
  <c r="E185" i="5"/>
  <c r="D89" i="5"/>
  <c r="E102" i="5"/>
  <c r="E233" i="5"/>
  <c r="D195" i="5"/>
  <c r="D172" i="5"/>
  <c r="D217" i="5"/>
  <c r="E196" i="5"/>
  <c r="E218" i="5"/>
  <c r="E106" i="5"/>
  <c r="D116" i="5"/>
  <c r="D151" i="5"/>
  <c r="E154" i="5"/>
  <c r="D207" i="5"/>
  <c r="D245" i="5"/>
  <c r="E236" i="5"/>
  <c r="D251" i="5"/>
  <c r="E204" i="5"/>
  <c r="E175" i="5"/>
  <c r="D97" i="5"/>
  <c r="E158" i="5"/>
  <c r="D212" i="5"/>
  <c r="D162" i="5"/>
  <c r="D216" i="5"/>
  <c r="E167" i="5"/>
  <c r="D226" i="5"/>
  <c r="D159" i="5"/>
  <c r="E242" i="5"/>
  <c r="E178" i="5"/>
  <c r="E113" i="5"/>
  <c r="D239" i="5"/>
  <c r="D179" i="5"/>
  <c r="D132" i="5"/>
  <c r="E91" i="5"/>
  <c r="E202" i="5"/>
  <c r="E190" i="5"/>
  <c r="D197" i="5"/>
  <c r="E107" i="5"/>
  <c r="D164" i="5"/>
  <c r="D257" i="5"/>
  <c r="D214" i="5"/>
  <c r="E197" i="5"/>
  <c r="E88" i="5"/>
  <c r="D183" i="5"/>
  <c r="E206" i="5"/>
  <c r="D94" i="5"/>
  <c r="D148" i="5"/>
  <c r="E142" i="5"/>
  <c r="D193" i="5"/>
  <c r="E177" i="5"/>
  <c r="E84" i="5"/>
  <c r="D100" i="5"/>
  <c r="D78" i="5"/>
  <c r="D259" i="5"/>
  <c r="D211" i="5"/>
  <c r="E219" i="5"/>
  <c r="E234" i="5"/>
  <c r="E100" i="5"/>
  <c r="D228" i="5"/>
  <c r="D143" i="5"/>
  <c r="E136" i="5"/>
  <c r="D250" i="5"/>
  <c r="D157" i="5"/>
  <c r="E126" i="5"/>
  <c r="E164" i="5"/>
  <c r="D196" i="5"/>
  <c r="D140" i="5"/>
  <c r="E179" i="5"/>
  <c r="D158" i="5"/>
  <c r="D115" i="5"/>
  <c r="E191" i="5"/>
  <c r="E115" i="5"/>
  <c r="D188" i="5"/>
  <c r="D87" i="5"/>
  <c r="E216" i="5"/>
  <c r="D108" i="5"/>
  <c r="D91" i="5"/>
  <c r="D165" i="5"/>
  <c r="E163" i="5"/>
  <c r="D182" i="5"/>
  <c r="E159" i="5"/>
  <c r="D137" i="5"/>
  <c r="D142" i="5"/>
  <c r="D187" i="5"/>
  <c r="D154" i="5"/>
  <c r="D262" i="5"/>
  <c r="E85" i="5"/>
  <c r="D186" i="5"/>
  <c r="D200" i="5"/>
  <c r="D88" i="5"/>
  <c r="D206" i="5"/>
  <c r="D153" i="5"/>
  <c r="D129" i="5"/>
  <c r="D124" i="5"/>
  <c r="E92" i="5"/>
  <c r="D201" i="5"/>
  <c r="D189" i="5"/>
  <c r="D178" i="5"/>
  <c r="E249" i="5"/>
  <c r="E83" i="5"/>
  <c r="D90" i="5"/>
  <c r="E143" i="5"/>
  <c r="D133" i="5"/>
  <c r="E148" i="5"/>
  <c r="E127" i="5"/>
  <c r="E124" i="5"/>
  <c r="D150" i="5"/>
  <c r="E241" i="5"/>
  <c r="D114" i="5"/>
  <c r="D180" i="5"/>
  <c r="D244" i="5"/>
  <c r="D80" i="5"/>
  <c r="D224" i="5"/>
  <c r="E211" i="5"/>
  <c r="D232" i="5"/>
  <c r="E133" i="5"/>
  <c r="D208" i="5"/>
  <c r="E114" i="5"/>
  <c r="E184" i="5"/>
  <c r="E87" i="5"/>
  <c r="E93" i="5"/>
  <c r="D218" i="5"/>
  <c r="G136" i="5"/>
  <c r="D177" i="5"/>
  <c r="M137" i="5"/>
  <c r="H136" i="5"/>
  <c r="J188" i="5"/>
  <c r="F152" i="5"/>
  <c r="C139" i="5"/>
  <c r="I207" i="5"/>
  <c r="Q179" i="5"/>
  <c r="O153" i="5"/>
  <c r="O83" i="5"/>
  <c r="C138" i="5"/>
  <c r="L231" i="5"/>
  <c r="N90" i="5"/>
  <c r="J106" i="5"/>
  <c r="O179" i="5"/>
  <c r="P214" i="5"/>
  <c r="M76" i="5"/>
  <c r="H142" i="5"/>
  <c r="M106" i="5"/>
  <c r="O169" i="5"/>
  <c r="I156" i="5"/>
  <c r="J242" i="5"/>
  <c r="K116" i="5"/>
  <c r="H83" i="5"/>
  <c r="L159" i="5"/>
  <c r="M232" i="5"/>
  <c r="J225" i="5"/>
  <c r="J217" i="5"/>
  <c r="E256" i="5"/>
  <c r="E103" i="5"/>
  <c r="N141" i="5"/>
  <c r="H242" i="5"/>
  <c r="O85" i="5"/>
  <c r="I253" i="5"/>
  <c r="C193" i="5"/>
  <c r="Q192" i="5"/>
  <c r="C150" i="5"/>
  <c r="G134" i="5"/>
  <c r="F105" i="5"/>
  <c r="L149" i="5"/>
  <c r="Q110" i="5"/>
  <c r="H159" i="5"/>
  <c r="O110" i="5"/>
  <c r="J173" i="5"/>
  <c r="C225" i="5"/>
  <c r="O199" i="5"/>
  <c r="H134" i="5"/>
  <c r="J235" i="5"/>
  <c r="I216" i="5"/>
  <c r="C114" i="5"/>
  <c r="H157" i="5"/>
  <c r="D145" i="5"/>
  <c r="F172" i="5"/>
  <c r="J162" i="5"/>
  <c r="H122" i="5"/>
  <c r="I103" i="5"/>
  <c r="F262" i="5"/>
  <c r="P195" i="5"/>
  <c r="C98" i="5"/>
  <c r="F255" i="5"/>
  <c r="O90" i="5"/>
  <c r="O79" i="5"/>
  <c r="Q132" i="5"/>
  <c r="Q220" i="5"/>
  <c r="F242" i="5"/>
  <c r="O246" i="5"/>
  <c r="C162" i="5"/>
  <c r="M149" i="5"/>
  <c r="L89" i="5"/>
  <c r="F88" i="5"/>
  <c r="K235" i="5"/>
  <c r="N215" i="5"/>
  <c r="G259" i="5"/>
  <c r="O88" i="5"/>
  <c r="L165" i="5"/>
  <c r="L142" i="5"/>
  <c r="G170" i="5"/>
  <c r="I202" i="5"/>
  <c r="M207" i="5"/>
  <c r="Q233" i="5"/>
  <c r="Q252" i="5"/>
  <c r="M246" i="5"/>
  <c r="C106" i="5"/>
  <c r="Q231" i="5"/>
  <c r="F94" i="5"/>
  <c r="P189" i="5"/>
  <c r="F131" i="5"/>
  <c r="Q162" i="5"/>
  <c r="C230" i="5"/>
  <c r="S230" i="5" s="1" a="1"/>
  <c r="S230" i="5" s="1"/>
  <c r="L79" i="5"/>
  <c r="L197" i="5"/>
  <c r="L175" i="5"/>
  <c r="F147" i="5"/>
  <c r="J168" i="5"/>
  <c r="N126" i="5"/>
  <c r="N150" i="5"/>
  <c r="P232" i="5"/>
  <c r="G234" i="5"/>
  <c r="G115" i="5"/>
  <c r="M242" i="5"/>
  <c r="H180" i="5"/>
  <c r="K142" i="5"/>
  <c r="J175" i="5"/>
  <c r="C84" i="5"/>
  <c r="Q79" i="5"/>
  <c r="F216" i="5"/>
  <c r="N169" i="5"/>
  <c r="M119" i="5"/>
  <c r="F92" i="5"/>
  <c r="M120" i="5"/>
  <c r="F228" i="5"/>
  <c r="I115" i="5"/>
  <c r="I210" i="5"/>
  <c r="C165" i="5"/>
  <c r="O144" i="5"/>
  <c r="C205" i="5"/>
  <c r="H232" i="5"/>
  <c r="I165" i="5"/>
  <c r="I219" i="5"/>
  <c r="F143" i="5"/>
  <c r="P138" i="5"/>
  <c r="C247" i="5"/>
  <c r="F220" i="5"/>
  <c r="G164" i="5"/>
  <c r="F241" i="5"/>
  <c r="J109" i="5"/>
  <c r="K208" i="5"/>
  <c r="O219" i="5"/>
  <c r="D102" i="5"/>
  <c r="N95" i="5"/>
  <c r="H200" i="5"/>
  <c r="K172" i="5"/>
  <c r="P216" i="5"/>
  <c r="I112" i="5"/>
  <c r="O123" i="5"/>
  <c r="P252" i="5"/>
  <c r="H240" i="5"/>
  <c r="Q221" i="5"/>
  <c r="G203" i="5"/>
  <c r="Q129" i="5"/>
  <c r="O125" i="5"/>
  <c r="I206" i="5"/>
  <c r="P212" i="5"/>
  <c r="L164" i="5"/>
  <c r="K238" i="5"/>
  <c r="F259" i="5"/>
  <c r="L143" i="5"/>
  <c r="F238" i="5"/>
  <c r="J241" i="5"/>
  <c r="M176" i="5"/>
  <c r="C261" i="5"/>
  <c r="O146" i="5"/>
  <c r="L239" i="5"/>
  <c r="E99" i="5"/>
  <c r="C235" i="5"/>
  <c r="F134" i="5"/>
  <c r="K85" i="5"/>
  <c r="K160" i="5"/>
  <c r="Q196" i="5"/>
  <c r="L170" i="5"/>
  <c r="J126" i="5"/>
  <c r="P100" i="5"/>
  <c r="F207" i="5"/>
  <c r="F219" i="5"/>
  <c r="C152" i="5"/>
  <c r="O192" i="5"/>
  <c r="Q148" i="5"/>
  <c r="N203" i="5"/>
  <c r="O245" i="5"/>
  <c r="K154" i="5"/>
  <c r="J153" i="5"/>
  <c r="F144" i="5"/>
  <c r="O263" i="5"/>
  <c r="J200" i="5"/>
  <c r="G240" i="5"/>
  <c r="C186" i="5"/>
  <c r="H109" i="5"/>
  <c r="I102" i="5"/>
  <c r="P178" i="5"/>
  <c r="F104" i="5"/>
  <c r="K94" i="5"/>
  <c r="Q157" i="5"/>
  <c r="E210" i="5"/>
  <c r="L188" i="5"/>
  <c r="P166" i="5"/>
  <c r="M160" i="5"/>
  <c r="G186" i="5"/>
  <c r="C228" i="5"/>
  <c r="L258" i="5"/>
  <c r="P198" i="5"/>
  <c r="F210" i="5"/>
  <c r="P171" i="5"/>
  <c r="F168" i="5"/>
  <c r="N258" i="5"/>
  <c r="M241" i="5"/>
  <c r="G90" i="5"/>
  <c r="K261" i="5"/>
  <c r="J136" i="5"/>
  <c r="K252" i="5"/>
  <c r="P92" i="5"/>
  <c r="Q135" i="5"/>
  <c r="N201" i="5"/>
  <c r="K178" i="5"/>
  <c r="I111" i="5"/>
  <c r="J90" i="5"/>
  <c r="I142" i="5"/>
  <c r="M263" i="5"/>
  <c r="J104" i="5"/>
  <c r="C234" i="5"/>
  <c r="S234" i="5" s="1" a="1"/>
  <c r="S234" i="5" s="1"/>
  <c r="G208" i="5"/>
  <c r="O105" i="5"/>
  <c r="N134" i="5"/>
  <c r="N113" i="5"/>
  <c r="J250" i="5"/>
  <c r="G215" i="5"/>
  <c r="L237" i="5"/>
  <c r="P93" i="5"/>
  <c r="L198" i="5"/>
  <c r="H244" i="5"/>
  <c r="H145" i="5"/>
  <c r="I153" i="5"/>
  <c r="P218" i="5"/>
  <c r="K205" i="5"/>
  <c r="G128" i="5"/>
  <c r="M254" i="5"/>
  <c r="D229" i="5"/>
  <c r="K115" i="5"/>
  <c r="O114" i="5"/>
  <c r="Q114" i="5"/>
  <c r="P242" i="5"/>
  <c r="G84" i="5"/>
  <c r="C200" i="5"/>
  <c r="P136" i="5"/>
  <c r="G166" i="5"/>
  <c r="C181" i="5"/>
  <c r="P234" i="5"/>
  <c r="I255" i="5"/>
  <c r="N135" i="5"/>
  <c r="L77" i="5"/>
  <c r="C191" i="5"/>
  <c r="G226" i="5"/>
  <c r="Q214" i="5"/>
  <c r="L209" i="5"/>
  <c r="N188" i="5"/>
  <c r="P124" i="5"/>
  <c r="I212" i="5"/>
  <c r="N192" i="5"/>
  <c r="I228" i="5"/>
  <c r="H185" i="5"/>
  <c r="H191" i="5"/>
  <c r="H223" i="5"/>
  <c r="P99" i="5"/>
  <c r="K159" i="5"/>
  <c r="M105" i="5"/>
  <c r="Q218" i="5"/>
  <c r="L95" i="5"/>
  <c r="L192" i="5"/>
  <c r="G192" i="5"/>
  <c r="I215" i="5"/>
  <c r="Q151" i="5"/>
  <c r="J77" i="5"/>
  <c r="Q169" i="5"/>
  <c r="I173" i="5"/>
  <c r="Q142" i="5"/>
  <c r="I120" i="5"/>
  <c r="K137" i="5"/>
  <c r="K189" i="5"/>
  <c r="P173" i="5"/>
  <c r="J234" i="5"/>
  <c r="H76" i="5"/>
  <c r="M124" i="5"/>
  <c r="L213" i="5"/>
  <c r="M235" i="5"/>
  <c r="G241" i="5"/>
  <c r="P217" i="5"/>
  <c r="I158" i="5"/>
  <c r="G173" i="5"/>
  <c r="C107" i="5"/>
  <c r="C131" i="5"/>
  <c r="K152" i="5"/>
  <c r="P168" i="5"/>
  <c r="D175" i="5"/>
  <c r="J259" i="5"/>
  <c r="C237" i="5"/>
  <c r="M226" i="5"/>
  <c r="P161" i="5"/>
  <c r="P237" i="5"/>
  <c r="Q249" i="5"/>
  <c r="C263" i="5"/>
  <c r="O166" i="5"/>
  <c r="L99" i="5"/>
  <c r="L191" i="5"/>
  <c r="K201" i="5"/>
  <c r="H250" i="5"/>
  <c r="J206" i="5"/>
  <c r="F173" i="5"/>
  <c r="E247" i="5"/>
  <c r="L215" i="5"/>
  <c r="N152" i="5"/>
  <c r="L81" i="5"/>
  <c r="J245" i="5"/>
  <c r="I199" i="5"/>
  <c r="P262" i="5"/>
  <c r="K162" i="5"/>
  <c r="M155" i="5"/>
  <c r="O82" i="5"/>
  <c r="N167" i="5"/>
  <c r="H210" i="5"/>
  <c r="H85" i="5"/>
  <c r="G260" i="5"/>
  <c r="G149" i="5"/>
  <c r="K174" i="5"/>
  <c r="J239" i="5"/>
  <c r="O248" i="5"/>
  <c r="H81" i="5"/>
  <c r="J260" i="5"/>
  <c r="Q92" i="5"/>
  <c r="I168" i="5"/>
  <c r="G250" i="5"/>
  <c r="G160" i="5"/>
  <c r="O193" i="5"/>
  <c r="J177" i="5"/>
  <c r="J137" i="5"/>
  <c r="H248" i="5"/>
  <c r="H229" i="5"/>
  <c r="D96" i="5"/>
  <c r="J113" i="5"/>
  <c r="D252" i="5"/>
  <c r="F122" i="5"/>
  <c r="C158" i="5"/>
  <c r="K249" i="5"/>
  <c r="Q139" i="5"/>
  <c r="C166" i="5"/>
  <c r="G180" i="5"/>
  <c r="H199" i="5"/>
  <c r="K260" i="5"/>
  <c r="I149" i="5"/>
  <c r="K86" i="5"/>
  <c r="J171" i="5"/>
  <c r="Q158" i="5"/>
  <c r="C133" i="5"/>
  <c r="Q238" i="5"/>
  <c r="C86" i="5"/>
  <c r="F233" i="5"/>
  <c r="F153" i="5"/>
  <c r="L263" i="5"/>
  <c r="O141" i="5"/>
  <c r="O132" i="5"/>
  <c r="E221" i="5"/>
  <c r="M181" i="5"/>
  <c r="C80" i="5"/>
  <c r="K206" i="5"/>
  <c r="F183" i="5"/>
  <c r="O239" i="5"/>
  <c r="I225" i="5"/>
  <c r="Q122" i="5"/>
  <c r="N146" i="5"/>
  <c r="P120" i="5"/>
  <c r="E82" i="5"/>
  <c r="C259" i="5"/>
  <c r="O103" i="5"/>
  <c r="L157" i="5"/>
  <c r="P181" i="5"/>
  <c r="P256" i="5"/>
  <c r="O165" i="5"/>
  <c r="H138" i="5"/>
  <c r="G256" i="5"/>
  <c r="I98" i="5"/>
  <c r="P80" i="5"/>
  <c r="K81" i="5"/>
  <c r="M92" i="5"/>
  <c r="I189" i="5"/>
  <c r="C81" i="5"/>
  <c r="Q127" i="5"/>
  <c r="O93" i="5"/>
  <c r="M97" i="5"/>
  <c r="H261" i="5"/>
  <c r="C254" i="5"/>
  <c r="N101" i="5"/>
  <c r="G258" i="5"/>
  <c r="M218" i="5"/>
  <c r="O129" i="5"/>
  <c r="K105" i="5"/>
  <c r="M103" i="5"/>
  <c r="C85" i="5"/>
  <c r="H239" i="5"/>
  <c r="G262" i="5"/>
  <c r="G251" i="5"/>
  <c r="F148" i="5"/>
  <c r="I220" i="5"/>
  <c r="M81" i="5"/>
  <c r="Q172" i="5"/>
  <c r="Q174" i="5"/>
  <c r="O191" i="5"/>
  <c r="J108" i="5"/>
  <c r="O135" i="5"/>
  <c r="L83" i="5"/>
  <c r="C147" i="5"/>
  <c r="N216" i="5"/>
  <c r="N234" i="5"/>
  <c r="I79" i="5"/>
  <c r="O136" i="5"/>
  <c r="L211" i="5"/>
  <c r="H111" i="5"/>
  <c r="F237" i="5"/>
  <c r="K134" i="5"/>
  <c r="J180" i="5"/>
  <c r="F222" i="5"/>
  <c r="P151" i="5"/>
  <c r="I126" i="5"/>
  <c r="O252" i="5"/>
  <c r="F189" i="5"/>
  <c r="O210" i="5"/>
  <c r="P126" i="5"/>
  <c r="N97" i="5"/>
  <c r="M185" i="5"/>
  <c r="H97" i="5"/>
  <c r="C174" i="5"/>
  <c r="G189" i="5"/>
  <c r="O167" i="5"/>
  <c r="Q251" i="5"/>
  <c r="M225" i="5"/>
  <c r="F141" i="5"/>
  <c r="K80" i="5"/>
  <c r="N242" i="5"/>
  <c r="G159" i="5"/>
  <c r="P185" i="5"/>
  <c r="P259" i="5"/>
  <c r="I172" i="5"/>
  <c r="N96" i="5"/>
  <c r="O108" i="5"/>
  <c r="O178" i="5"/>
  <c r="C168" i="5"/>
  <c r="O202" i="5"/>
  <c r="I184" i="5"/>
  <c r="C122" i="5"/>
  <c r="I248" i="5"/>
  <c r="M93" i="5"/>
  <c r="K233" i="5"/>
  <c r="L261" i="5"/>
  <c r="E135" i="5"/>
  <c r="K241" i="5"/>
  <c r="G110" i="5"/>
  <c r="G235" i="5"/>
  <c r="M196" i="5"/>
  <c r="G143" i="5"/>
  <c r="J254" i="5"/>
  <c r="L225" i="5"/>
  <c r="K140" i="5"/>
  <c r="M183" i="5"/>
  <c r="H217" i="5"/>
  <c r="N77" i="5"/>
  <c r="G220" i="5"/>
  <c r="H241" i="5"/>
  <c r="H104" i="5"/>
  <c r="H238" i="5"/>
  <c r="P134" i="5"/>
  <c r="O183" i="5"/>
  <c r="K200" i="5"/>
  <c r="O159" i="5"/>
  <c r="D222" i="5"/>
  <c r="P253" i="5"/>
  <c r="E226" i="5"/>
  <c r="M114" i="5"/>
  <c r="I82" i="5"/>
  <c r="I166" i="5"/>
  <c r="O257" i="5"/>
  <c r="M112" i="5"/>
  <c r="L129" i="5"/>
  <c r="H252" i="5"/>
  <c r="N153" i="5"/>
  <c r="F80" i="5"/>
  <c r="I151" i="5"/>
  <c r="I174" i="5"/>
  <c r="P82" i="5"/>
  <c r="C195" i="5"/>
  <c r="I218" i="5"/>
  <c r="I170" i="5"/>
  <c r="H80" i="5"/>
  <c r="I238" i="5"/>
  <c r="I257" i="5"/>
  <c r="C164" i="5"/>
  <c r="L137" i="5"/>
  <c r="O218" i="5"/>
  <c r="J210" i="5"/>
  <c r="C194" i="5"/>
  <c r="J117" i="5"/>
  <c r="J184" i="5"/>
  <c r="K98" i="5"/>
  <c r="O189" i="5"/>
  <c r="J161" i="5"/>
  <c r="Q104" i="5"/>
  <c r="N223" i="5"/>
  <c r="Q121" i="5"/>
  <c r="Q219" i="5"/>
  <c r="I136" i="5"/>
  <c r="O160" i="5"/>
  <c r="C187" i="5"/>
  <c r="L136" i="5"/>
  <c r="N221" i="5"/>
  <c r="O94" i="5"/>
  <c r="G209" i="5"/>
  <c r="G137" i="5"/>
  <c r="P199" i="5"/>
  <c r="J164" i="5"/>
  <c r="C203" i="5"/>
  <c r="L256" i="5"/>
  <c r="L150" i="5"/>
  <c r="F151" i="5"/>
  <c r="F170" i="5"/>
  <c r="I150" i="5"/>
  <c r="K190" i="5"/>
  <c r="P196" i="5"/>
  <c r="D256" i="5"/>
  <c r="Q141" i="5"/>
  <c r="N176" i="5"/>
  <c r="I148" i="5"/>
  <c r="F182" i="5"/>
  <c r="P203" i="5"/>
  <c r="N143" i="5"/>
  <c r="I110" i="5"/>
  <c r="M172" i="5"/>
  <c r="K247" i="5"/>
  <c r="G187" i="5"/>
  <c r="N159" i="5"/>
  <c r="P164" i="5"/>
  <c r="L171" i="5"/>
  <c r="P103" i="5"/>
  <c r="O78" i="5"/>
  <c r="I90" i="5"/>
  <c r="M128" i="5"/>
  <c r="F249" i="5"/>
  <c r="G206" i="5"/>
  <c r="C82" i="5"/>
  <c r="G141" i="5"/>
  <c r="C192" i="5"/>
  <c r="F97" i="5"/>
  <c r="N246" i="5"/>
  <c r="O121" i="5"/>
  <c r="G231" i="5"/>
  <c r="H193" i="5"/>
  <c r="F195" i="5"/>
  <c r="E217" i="5"/>
  <c r="N177" i="5"/>
  <c r="H123" i="5"/>
  <c r="H150" i="5"/>
  <c r="H162" i="5"/>
  <c r="J146" i="5"/>
  <c r="N173" i="5"/>
  <c r="G223" i="5"/>
  <c r="M198" i="5"/>
  <c r="F162" i="5"/>
  <c r="L184" i="5"/>
  <c r="Q146" i="5"/>
  <c r="C76" i="5"/>
  <c r="D112" i="5"/>
  <c r="O149" i="5"/>
  <c r="P187" i="5"/>
  <c r="Q239" i="5"/>
  <c r="C177" i="5"/>
  <c r="I180" i="5"/>
  <c r="H161" i="5"/>
  <c r="N241" i="5"/>
  <c r="M132" i="5"/>
  <c r="Q117" i="5"/>
  <c r="K101" i="5"/>
  <c r="G168" i="5"/>
  <c r="K113" i="5"/>
  <c r="L214" i="5"/>
  <c r="K91" i="5"/>
  <c r="C244" i="5"/>
  <c r="O163" i="5"/>
  <c r="I139" i="5"/>
  <c r="K150" i="5"/>
  <c r="N121" i="5"/>
  <c r="M206" i="5"/>
  <c r="L155" i="5"/>
  <c r="K253" i="5"/>
  <c r="F110" i="5"/>
  <c r="M251" i="5"/>
  <c r="K145" i="5"/>
  <c r="G87" i="5"/>
  <c r="M237" i="5"/>
  <c r="O231" i="5"/>
  <c r="G191" i="5"/>
  <c r="M174" i="5"/>
  <c r="D146" i="5"/>
  <c r="C207" i="5"/>
  <c r="O260" i="5"/>
  <c r="O127" i="5"/>
  <c r="K218" i="5"/>
  <c r="C105" i="5"/>
  <c r="K155" i="5"/>
  <c r="H130" i="5"/>
  <c r="L262" i="5"/>
  <c r="K157" i="5"/>
  <c r="M236" i="5"/>
  <c r="P190" i="5"/>
  <c r="P107" i="5"/>
  <c r="J152" i="5"/>
  <c r="I188" i="5"/>
  <c r="I252" i="5"/>
  <c r="I217" i="5"/>
  <c r="K213" i="5"/>
  <c r="M110" i="5"/>
  <c r="G119" i="5"/>
  <c r="C182" i="5"/>
  <c r="Q94" i="5"/>
  <c r="O155" i="5"/>
  <c r="N117" i="5"/>
  <c r="K92" i="5"/>
  <c r="K236" i="5"/>
  <c r="H82" i="5"/>
  <c r="J84" i="5"/>
  <c r="C143" i="5"/>
  <c r="H173" i="5"/>
  <c r="D93" i="5"/>
  <c r="Q230" i="5"/>
  <c r="H181" i="5"/>
  <c r="I241" i="5"/>
  <c r="I125" i="5"/>
  <c r="C108" i="5"/>
  <c r="P121" i="5"/>
  <c r="H98" i="5"/>
  <c r="Q113" i="5"/>
  <c r="J236" i="5"/>
  <c r="L251" i="5"/>
  <c r="P112" i="5"/>
  <c r="G184" i="5"/>
  <c r="I256" i="5"/>
  <c r="L218" i="5"/>
  <c r="Q250" i="5"/>
  <c r="Q153" i="5"/>
  <c r="L226" i="5"/>
  <c r="J187" i="5"/>
  <c r="K158" i="5"/>
  <c r="P249" i="5"/>
  <c r="I116" i="5"/>
  <c r="P167" i="5"/>
  <c r="H151" i="5"/>
  <c r="M193" i="5"/>
  <c r="J128" i="5"/>
  <c r="K103" i="5"/>
  <c r="C211" i="5"/>
  <c r="E122" i="5"/>
  <c r="K136" i="5"/>
  <c r="O205" i="5"/>
  <c r="F245" i="5"/>
  <c r="K223" i="5"/>
  <c r="M90" i="5"/>
  <c r="N220" i="5"/>
  <c r="O154" i="5"/>
  <c r="O217" i="5"/>
  <c r="G179" i="5"/>
  <c r="J189" i="5"/>
  <c r="H164" i="5"/>
  <c r="O100" i="5"/>
  <c r="G212" i="5"/>
  <c r="O157" i="5"/>
  <c r="O255" i="5"/>
  <c r="H127" i="5"/>
  <c r="F155" i="5"/>
  <c r="G103" i="5"/>
  <c r="L196" i="5"/>
  <c r="K256" i="5"/>
  <c r="F198" i="5"/>
  <c r="Q173" i="5"/>
  <c r="H197" i="5"/>
  <c r="C173" i="5"/>
  <c r="D160" i="5"/>
  <c r="J97" i="5"/>
  <c r="L117" i="5"/>
  <c r="M85" i="5"/>
  <c r="P224" i="5"/>
  <c r="M161" i="5"/>
  <c r="M131" i="5"/>
  <c r="N130" i="5"/>
  <c r="O197" i="5"/>
  <c r="J158" i="5"/>
  <c r="J166" i="5"/>
  <c r="M259" i="5"/>
  <c r="L161" i="5"/>
  <c r="P128" i="5"/>
  <c r="H96" i="5"/>
  <c r="P160" i="5"/>
  <c r="Q133" i="5"/>
  <c r="M140" i="5"/>
  <c r="N145" i="5"/>
  <c r="H93" i="5"/>
  <c r="N184" i="5"/>
  <c r="O161" i="5"/>
  <c r="P188" i="5"/>
  <c r="E228" i="5"/>
  <c r="P176" i="5"/>
  <c r="J133" i="5"/>
  <c r="G196" i="5"/>
  <c r="J154" i="5"/>
  <c r="I104" i="5"/>
  <c r="N217" i="5"/>
  <c r="N127" i="5"/>
  <c r="C229" i="5"/>
  <c r="K79" i="5"/>
  <c r="G171" i="5"/>
  <c r="P175" i="5"/>
  <c r="F193" i="5"/>
  <c r="J227" i="5"/>
  <c r="M89" i="5"/>
  <c r="P186" i="5"/>
  <c r="L183" i="5"/>
  <c r="K254" i="5"/>
  <c r="F246" i="5"/>
  <c r="M203" i="5"/>
  <c r="L248" i="5"/>
  <c r="C90" i="5"/>
  <c r="G252" i="5"/>
  <c r="C179" i="5"/>
  <c r="N181" i="5"/>
  <c r="G222" i="5"/>
  <c r="M243" i="5"/>
  <c r="G99" i="5"/>
  <c r="N243" i="5"/>
  <c r="J89" i="5"/>
  <c r="Q160" i="5"/>
  <c r="M173" i="5"/>
  <c r="G82" i="5"/>
  <c r="F159" i="5"/>
  <c r="O196" i="5"/>
  <c r="K165" i="5"/>
  <c r="P139" i="5"/>
  <c r="M214" i="5"/>
  <c r="G243" i="5"/>
  <c r="C197" i="5"/>
  <c r="O91" i="5"/>
  <c r="K217" i="5"/>
  <c r="F146" i="5"/>
  <c r="O242" i="5"/>
  <c r="H115" i="5"/>
  <c r="K229" i="5"/>
  <c r="N165" i="5"/>
  <c r="G182" i="5"/>
  <c r="H222" i="5"/>
  <c r="Q86" i="5"/>
  <c r="J170" i="5"/>
  <c r="N131" i="5"/>
  <c r="N178" i="5"/>
  <c r="H146" i="5"/>
  <c r="H189" i="5"/>
  <c r="O250" i="5"/>
  <c r="I187" i="5"/>
  <c r="O152" i="5"/>
  <c r="Q167" i="5"/>
  <c r="O148" i="5"/>
  <c r="P147" i="5"/>
  <c r="F118" i="5"/>
  <c r="L125" i="5"/>
  <c r="L109" i="5"/>
  <c r="O194" i="5"/>
  <c r="F149" i="5"/>
  <c r="N99" i="5"/>
  <c r="H196" i="5"/>
  <c r="H230" i="5"/>
  <c r="H206" i="5"/>
  <c r="N142" i="5"/>
  <c r="J98" i="5"/>
  <c r="M171" i="5"/>
  <c r="J258" i="5"/>
  <c r="L162" i="5"/>
  <c r="L100" i="5"/>
  <c r="C157" i="5"/>
  <c r="H108" i="5"/>
  <c r="P149" i="5"/>
  <c r="P202" i="5"/>
  <c r="F234" i="5"/>
  <c r="J120" i="5"/>
  <c r="P239" i="5"/>
  <c r="M201" i="5"/>
  <c r="J116" i="5"/>
  <c r="O216" i="5"/>
  <c r="N125" i="5"/>
  <c r="L163" i="5"/>
  <c r="I194" i="5"/>
  <c r="M138" i="5"/>
  <c r="H133" i="5"/>
  <c r="F177" i="5"/>
  <c r="G213" i="5"/>
  <c r="N255" i="5"/>
  <c r="H190" i="5"/>
  <c r="L93" i="5"/>
  <c r="J221" i="5"/>
  <c r="G181" i="5"/>
  <c r="P135" i="5"/>
  <c r="F116" i="5"/>
  <c r="J185" i="5"/>
  <c r="G88" i="5"/>
  <c r="M231" i="5"/>
  <c r="F232" i="5"/>
  <c r="D144" i="5"/>
  <c r="O134" i="5"/>
  <c r="C256" i="5"/>
  <c r="E251" i="5"/>
  <c r="P172" i="5"/>
  <c r="G129" i="5"/>
  <c r="H147" i="5"/>
  <c r="M158" i="5"/>
  <c r="H186" i="5"/>
  <c r="J95" i="5"/>
  <c r="L241" i="5"/>
  <c r="O101" i="5"/>
  <c r="C218" i="5"/>
  <c r="G158" i="5"/>
  <c r="N193" i="5"/>
  <c r="F121" i="5"/>
  <c r="K186" i="5"/>
  <c r="O168" i="5"/>
  <c r="G193" i="5"/>
  <c r="O109" i="5"/>
  <c r="G117" i="5"/>
  <c r="K224" i="5"/>
  <c r="H155" i="5"/>
  <c r="M143" i="5"/>
  <c r="G107" i="5"/>
  <c r="J96" i="5"/>
  <c r="K257" i="5"/>
  <c r="G95" i="5"/>
  <c r="N144" i="5"/>
  <c r="O145" i="5"/>
  <c r="G175" i="5"/>
  <c r="G124" i="5"/>
  <c r="I213" i="5"/>
  <c r="N210" i="5"/>
  <c r="C171" i="5"/>
  <c r="N233" i="5"/>
  <c r="H158" i="5"/>
  <c r="H234" i="5"/>
  <c r="G130" i="5"/>
  <c r="I230" i="5"/>
  <c r="P238" i="5"/>
  <c r="K161" i="5"/>
  <c r="N202" i="5"/>
  <c r="J172" i="5"/>
  <c r="E181" i="5"/>
  <c r="G105" i="5"/>
  <c r="H192" i="5"/>
  <c r="I100" i="5"/>
  <c r="C142" i="5"/>
  <c r="E166" i="5"/>
  <c r="C130" i="5"/>
  <c r="K250" i="5"/>
  <c r="C169" i="5"/>
  <c r="C239" i="5"/>
  <c r="I143" i="5"/>
  <c r="P127" i="5"/>
  <c r="K194" i="5"/>
  <c r="J111" i="5"/>
  <c r="F240" i="5"/>
  <c r="K104" i="5"/>
  <c r="P111" i="5"/>
  <c r="L118" i="5"/>
  <c r="P153" i="5"/>
  <c r="L130" i="5"/>
  <c r="L219" i="5"/>
  <c r="P241" i="5"/>
  <c r="L202" i="5"/>
  <c r="G150" i="5"/>
  <c r="G165" i="5"/>
  <c r="Q163" i="5"/>
  <c r="I262" i="5"/>
  <c r="K246" i="5"/>
  <c r="N226" i="5"/>
  <c r="I134" i="5"/>
  <c r="C212" i="5"/>
  <c r="J140" i="5"/>
  <c r="G91" i="5"/>
  <c r="J256" i="5"/>
  <c r="N197" i="5"/>
  <c r="O201" i="5"/>
  <c r="L172" i="5"/>
  <c r="M94" i="5"/>
  <c r="C144" i="5"/>
  <c r="J100" i="5"/>
  <c r="I229" i="5"/>
  <c r="N183" i="5"/>
  <c r="L166" i="5"/>
  <c r="J208" i="5"/>
  <c r="P165" i="5"/>
  <c r="M250" i="5"/>
  <c r="C141" i="5"/>
  <c r="H188" i="5"/>
  <c r="M115" i="5"/>
  <c r="H251" i="5"/>
  <c r="G246" i="5"/>
  <c r="J232" i="5"/>
  <c r="K221" i="5"/>
  <c r="O261" i="5"/>
  <c r="C112" i="5"/>
  <c r="C241" i="5"/>
  <c r="Q96" i="5"/>
  <c r="I140" i="5"/>
  <c r="G199" i="5"/>
  <c r="F89" i="5"/>
  <c r="J247" i="5"/>
  <c r="M146" i="5"/>
  <c r="P257" i="5"/>
  <c r="F126" i="5"/>
  <c r="N222" i="5"/>
  <c r="K181" i="5"/>
  <c r="L243" i="5"/>
  <c r="L91" i="5"/>
  <c r="C113" i="5"/>
  <c r="K243" i="5"/>
  <c r="O107" i="5"/>
  <c r="J214" i="5"/>
  <c r="H259" i="5"/>
  <c r="C172" i="5"/>
  <c r="Q259" i="5"/>
  <c r="H207" i="5"/>
  <c r="H144" i="5"/>
  <c r="P244" i="5"/>
  <c r="I160" i="5"/>
  <c r="H214" i="5"/>
  <c r="O86" i="5"/>
  <c r="G228" i="5"/>
  <c r="K214" i="5"/>
  <c r="F218" i="5"/>
  <c r="P85" i="5"/>
  <c r="Q236" i="5"/>
  <c r="P221" i="5"/>
  <c r="F247" i="5"/>
  <c r="M123" i="5"/>
  <c r="F99" i="5"/>
  <c r="O156" i="5"/>
  <c r="I244" i="5"/>
  <c r="O181" i="5"/>
  <c r="N80" i="5"/>
  <c r="P191" i="5"/>
  <c r="L123" i="5"/>
  <c r="N206" i="5"/>
  <c r="G100" i="5"/>
  <c r="H135" i="5"/>
  <c r="F106" i="5"/>
  <c r="Q201" i="5"/>
  <c r="M116" i="5"/>
  <c r="N84" i="5"/>
  <c r="O150" i="5"/>
  <c r="I128" i="5"/>
  <c r="P231" i="5"/>
  <c r="I211" i="5"/>
  <c r="Q126" i="5"/>
  <c r="Q261" i="5"/>
  <c r="M249" i="5"/>
  <c r="P143" i="5"/>
  <c r="G77" i="5"/>
  <c r="N123" i="5"/>
  <c r="I201" i="5"/>
  <c r="N112" i="5"/>
  <c r="N225" i="5"/>
  <c r="E214" i="5"/>
  <c r="P102" i="5"/>
  <c r="H177" i="5"/>
  <c r="O124" i="5"/>
  <c r="L144" i="5"/>
  <c r="F221" i="5"/>
  <c r="J186" i="5"/>
  <c r="M83" i="5"/>
  <c r="K227" i="5"/>
  <c r="H187" i="5"/>
  <c r="L179" i="5"/>
  <c r="G139" i="5"/>
  <c r="L156" i="5"/>
  <c r="Q237" i="5"/>
  <c r="H247" i="5"/>
  <c r="O128" i="5"/>
  <c r="M166" i="5"/>
  <c r="F127" i="5"/>
  <c r="M104" i="5"/>
  <c r="Q209" i="5"/>
  <c r="Q189" i="5"/>
  <c r="N161" i="5"/>
  <c r="I258" i="5"/>
  <c r="D138" i="5"/>
  <c r="K109" i="5"/>
  <c r="G211" i="5"/>
  <c r="K88" i="5"/>
  <c r="G236" i="5"/>
  <c r="K149" i="5"/>
  <c r="N219" i="5"/>
  <c r="Q191" i="5"/>
  <c r="J178" i="5"/>
  <c r="Q128" i="5"/>
  <c r="E80" i="5"/>
  <c r="G133" i="5"/>
  <c r="I195" i="5"/>
  <c r="P77" i="5"/>
  <c r="G263" i="5"/>
  <c r="J83" i="5"/>
  <c r="H166" i="5"/>
  <c r="Q206" i="5"/>
  <c r="C159" i="5"/>
  <c r="L201" i="5"/>
  <c r="O241" i="5"/>
  <c r="I191" i="5"/>
  <c r="J102" i="5"/>
  <c r="Q178" i="5"/>
  <c r="I129" i="5"/>
  <c r="O240" i="5"/>
  <c r="L186" i="5"/>
  <c r="Q203" i="5"/>
  <c r="H212" i="5"/>
  <c r="K231" i="5"/>
  <c r="G174" i="5"/>
  <c r="J252" i="5"/>
  <c r="K108" i="5"/>
  <c r="J197" i="5"/>
  <c r="N164" i="5"/>
  <c r="N163" i="5"/>
  <c r="P179" i="5"/>
  <c r="H237" i="5"/>
  <c r="I94" i="5"/>
  <c r="I86" i="5"/>
  <c r="C115" i="5"/>
  <c r="N180" i="5"/>
  <c r="K203" i="5"/>
  <c r="J212" i="5"/>
  <c r="N194" i="5"/>
  <c r="L120" i="5"/>
  <c r="H243" i="5"/>
  <c r="M260" i="5"/>
  <c r="Q223" i="5"/>
  <c r="G81" i="5"/>
  <c r="N232" i="5"/>
  <c r="G153" i="5"/>
  <c r="M136" i="5"/>
  <c r="Q87" i="5"/>
  <c r="O116" i="5"/>
  <c r="H236" i="5"/>
  <c r="O186" i="5"/>
  <c r="J181" i="5"/>
  <c r="F129" i="5"/>
  <c r="O251" i="5"/>
  <c r="Q210" i="5"/>
  <c r="J139" i="5"/>
  <c r="Q180" i="5"/>
  <c r="P132" i="5"/>
  <c r="M212" i="5"/>
  <c r="Q106" i="5"/>
  <c r="N136" i="5"/>
  <c r="K263" i="5"/>
  <c r="P119" i="5"/>
  <c r="C116" i="5"/>
  <c r="N179" i="5"/>
  <c r="H117" i="5"/>
  <c r="C88" i="5"/>
  <c r="N79" i="5"/>
  <c r="F139" i="5"/>
  <c r="H168" i="5"/>
  <c r="C151" i="5"/>
  <c r="F133" i="5"/>
  <c r="L151" i="5"/>
  <c r="M223" i="5"/>
  <c r="I200" i="5"/>
  <c r="J230" i="5"/>
  <c r="C208" i="5"/>
  <c r="L253" i="5"/>
  <c r="K87" i="5"/>
  <c r="J253" i="5"/>
  <c r="J224" i="5"/>
  <c r="L84" i="5"/>
  <c r="Q170" i="5"/>
  <c r="M222" i="5"/>
  <c r="N100" i="5"/>
  <c r="K242" i="5"/>
  <c r="Q184" i="5"/>
  <c r="H221" i="5"/>
  <c r="I246" i="5"/>
  <c r="G148" i="5"/>
  <c r="P116" i="5"/>
  <c r="P236" i="5"/>
  <c r="N263" i="5"/>
  <c r="J119" i="5"/>
  <c r="F229" i="5"/>
  <c r="I196" i="5"/>
  <c r="E250" i="5"/>
  <c r="F174" i="5"/>
  <c r="N107" i="5"/>
  <c r="G144" i="5"/>
  <c r="Q243" i="5"/>
  <c r="I242" i="5"/>
  <c r="J219" i="5"/>
  <c r="Q222" i="5"/>
  <c r="C175" i="5"/>
  <c r="H258" i="5"/>
  <c r="I144" i="5"/>
  <c r="G202" i="5"/>
  <c r="C91" i="5"/>
  <c r="I224" i="5"/>
  <c r="C236" i="5"/>
  <c r="N256" i="5"/>
  <c r="I203" i="5"/>
  <c r="G120" i="5"/>
  <c r="J262" i="5"/>
  <c r="P104" i="5"/>
  <c r="P192" i="5"/>
  <c r="N230" i="5"/>
  <c r="I233" i="5"/>
  <c r="O139" i="5"/>
  <c r="L222" i="5"/>
  <c r="M179" i="5"/>
  <c r="G85" i="5"/>
  <c r="O147" i="5"/>
  <c r="M156" i="5"/>
  <c r="C100" i="5"/>
  <c r="O170" i="5"/>
  <c r="G78" i="5"/>
  <c r="H255" i="5"/>
  <c r="H78" i="5"/>
  <c r="Q241" i="5"/>
  <c r="N175" i="5"/>
  <c r="J182" i="5"/>
  <c r="J144" i="5"/>
  <c r="H165" i="5"/>
  <c r="I177" i="5"/>
  <c r="F160" i="5"/>
  <c r="K228" i="5"/>
  <c r="J91" i="5"/>
  <c r="G155" i="5"/>
  <c r="I155" i="5"/>
  <c r="L212" i="5"/>
  <c r="O174" i="5"/>
  <c r="F145" i="5"/>
  <c r="Q242" i="5"/>
  <c r="O80" i="5"/>
  <c r="I131" i="5"/>
  <c r="H119" i="5"/>
  <c r="J86" i="5"/>
  <c r="N109" i="5"/>
  <c r="H260" i="5"/>
  <c r="N129" i="5"/>
  <c r="I122" i="5"/>
  <c r="N249" i="5"/>
  <c r="H124" i="5"/>
  <c r="O188" i="5"/>
  <c r="G161" i="5"/>
  <c r="Q125" i="5"/>
  <c r="E78" i="5"/>
  <c r="H88" i="5"/>
  <c r="Q224" i="5"/>
  <c r="G125" i="5"/>
  <c r="I208" i="5"/>
  <c r="Q235" i="5"/>
  <c r="H254" i="5"/>
  <c r="Q140" i="5"/>
  <c r="M108" i="5"/>
  <c r="K259" i="5"/>
  <c r="K112" i="5"/>
  <c r="G178" i="5"/>
  <c r="M253" i="5"/>
  <c r="I190" i="5"/>
  <c r="F192" i="5"/>
  <c r="N160" i="5"/>
  <c r="G217" i="5"/>
  <c r="K215" i="5"/>
  <c r="I231" i="5"/>
  <c r="J94" i="5"/>
  <c r="K99" i="5"/>
  <c r="C136" i="5"/>
  <c r="I183" i="5"/>
  <c r="H91" i="5"/>
  <c r="I133" i="5"/>
  <c r="H99" i="5"/>
  <c r="C146" i="5"/>
  <c r="I108" i="5"/>
  <c r="O190" i="5"/>
  <c r="O206" i="5"/>
  <c r="G96" i="5"/>
  <c r="J201" i="5"/>
  <c r="C215" i="5"/>
  <c r="H209" i="5"/>
  <c r="H118" i="5"/>
  <c r="C255" i="5"/>
  <c r="K121" i="5"/>
  <c r="I141" i="5"/>
  <c r="P159" i="5"/>
  <c r="L199" i="5"/>
  <c r="K226" i="5"/>
  <c r="L78" i="5"/>
  <c r="F208" i="5"/>
  <c r="G221" i="5"/>
  <c r="O256" i="5"/>
  <c r="Q165" i="5"/>
  <c r="H167" i="5"/>
  <c r="I236" i="5"/>
  <c r="M252" i="5"/>
  <c r="H121" i="5"/>
  <c r="N124" i="5"/>
  <c r="I132" i="5"/>
  <c r="M95" i="5"/>
  <c r="I106" i="5"/>
  <c r="N199" i="5"/>
  <c r="M227" i="5"/>
  <c r="C188" i="5"/>
  <c r="L108" i="5"/>
  <c r="P228" i="5"/>
  <c r="I185" i="5"/>
  <c r="K204" i="5"/>
  <c r="I234" i="5"/>
  <c r="F111" i="5"/>
  <c r="N86" i="5"/>
  <c r="J135" i="5"/>
  <c r="H220" i="5"/>
  <c r="F201" i="5"/>
  <c r="P229" i="5"/>
  <c r="K197" i="5"/>
  <c r="G201" i="5"/>
  <c r="P205" i="5"/>
  <c r="H213" i="5"/>
  <c r="N237" i="5"/>
  <c r="N248" i="5"/>
  <c r="F102" i="5"/>
  <c r="K110" i="5"/>
  <c r="G126" i="5"/>
  <c r="P182" i="5"/>
  <c r="H131" i="5"/>
  <c r="Q260" i="5"/>
  <c r="H204" i="5"/>
  <c r="C245" i="5"/>
  <c r="I251" i="5"/>
  <c r="N138" i="5"/>
  <c r="L169" i="5"/>
  <c r="P94" i="5"/>
  <c r="N108" i="5"/>
  <c r="K125" i="5"/>
  <c r="M118" i="5"/>
  <c r="N118" i="5"/>
  <c r="O118" i="5"/>
  <c r="K209" i="5"/>
  <c r="L105" i="5"/>
  <c r="C118" i="5"/>
  <c r="N172" i="5"/>
  <c r="N120" i="5"/>
  <c r="J193" i="5"/>
  <c r="F87" i="5"/>
  <c r="M175" i="5"/>
  <c r="H263" i="5"/>
  <c r="C101" i="5"/>
  <c r="I178" i="5"/>
  <c r="M78" i="5"/>
  <c r="J213" i="5"/>
  <c r="G127" i="5"/>
  <c r="F191" i="5"/>
  <c r="N151" i="5"/>
  <c r="J195" i="5"/>
  <c r="K164" i="5"/>
  <c r="C258" i="5"/>
  <c r="I223" i="5"/>
  <c r="M134" i="5"/>
  <c r="Q82" i="5"/>
  <c r="L250" i="5"/>
  <c r="I197" i="5"/>
  <c r="N229" i="5"/>
  <c r="G185" i="5"/>
  <c r="N166" i="5"/>
  <c r="P235" i="5"/>
  <c r="H172" i="5"/>
  <c r="F136" i="5"/>
  <c r="J93" i="5"/>
  <c r="O249" i="5"/>
  <c r="M208" i="5"/>
  <c r="Q232" i="5"/>
  <c r="J198" i="5"/>
  <c r="Q80" i="5"/>
  <c r="C149" i="5"/>
  <c r="Q248" i="5"/>
  <c r="K187" i="5"/>
  <c r="H183" i="5"/>
  <c r="M217" i="5"/>
  <c r="M100" i="5"/>
  <c r="I237" i="5"/>
  <c r="H195" i="5"/>
  <c r="M221" i="5"/>
  <c r="I254" i="5"/>
  <c r="O222" i="5"/>
  <c r="H245" i="5"/>
  <c r="M135" i="5"/>
  <c r="K171" i="5"/>
  <c r="I159" i="5"/>
  <c r="P174" i="5"/>
  <c r="G207" i="5"/>
  <c r="C124" i="5"/>
  <c r="L87" i="5"/>
  <c r="I181" i="5"/>
  <c r="Q225" i="5"/>
  <c r="J79" i="5"/>
  <c r="G169" i="5"/>
  <c r="P263" i="5"/>
  <c r="I175" i="5"/>
  <c r="P148" i="5"/>
  <c r="Q111" i="5"/>
  <c r="O158" i="5"/>
  <c r="O77" i="5"/>
  <c r="J238" i="5"/>
  <c r="I227" i="5"/>
  <c r="O234" i="5"/>
  <c r="L147" i="5"/>
  <c r="Q102" i="5"/>
  <c r="M162" i="5"/>
  <c r="J130" i="5"/>
  <c r="F256" i="5"/>
  <c r="L126" i="5"/>
  <c r="L236" i="5"/>
  <c r="H184" i="5"/>
  <c r="K102" i="5"/>
  <c r="O142" i="5"/>
  <c r="M145" i="5"/>
  <c r="P200" i="5"/>
  <c r="Q199" i="5"/>
  <c r="F186" i="5"/>
  <c r="H211" i="5"/>
  <c r="J131" i="5"/>
  <c r="F114" i="5"/>
  <c r="K77" i="5"/>
  <c r="J107" i="5"/>
  <c r="G135" i="5"/>
  <c r="M144" i="5"/>
  <c r="L92" i="5"/>
  <c r="I135" i="5"/>
  <c r="O131" i="5"/>
  <c r="O258" i="5"/>
  <c r="E96" i="5"/>
  <c r="I118" i="5"/>
  <c r="M190" i="5"/>
  <c r="J209" i="5"/>
  <c r="G121" i="5"/>
  <c r="G98" i="5"/>
  <c r="G190" i="5"/>
  <c r="H87" i="5"/>
  <c r="K183" i="5"/>
  <c r="M111" i="5"/>
  <c r="K255" i="5"/>
  <c r="N189" i="5"/>
  <c r="K199" i="5"/>
  <c r="K188" i="5"/>
  <c r="M177" i="5"/>
  <c r="G205" i="5"/>
  <c r="I243" i="5"/>
  <c r="C253" i="5"/>
  <c r="I93" i="5"/>
  <c r="G242" i="5"/>
  <c r="G142" i="5"/>
  <c r="Q194" i="5"/>
  <c r="L235" i="5"/>
  <c r="M153" i="5"/>
  <c r="E208" i="5"/>
  <c r="J223" i="5"/>
  <c r="J147" i="5"/>
  <c r="H176" i="5"/>
  <c r="E137" i="5"/>
  <c r="N204" i="5"/>
  <c r="J229" i="5"/>
  <c r="H79" i="5"/>
  <c r="I250" i="5"/>
  <c r="J190" i="5"/>
  <c r="J121" i="5"/>
  <c r="K225" i="5"/>
  <c r="K245" i="5"/>
  <c r="H156" i="5"/>
  <c r="J246" i="5"/>
  <c r="N212" i="5"/>
  <c r="Q112" i="5"/>
  <c r="H141" i="5"/>
  <c r="H174" i="5"/>
  <c r="G152" i="5"/>
  <c r="I247" i="5"/>
  <c r="N104" i="5"/>
  <c r="N195" i="5"/>
  <c r="Q123" i="5"/>
  <c r="C201" i="5"/>
  <c r="P144" i="5"/>
  <c r="G89" i="5"/>
  <c r="H228" i="5"/>
  <c r="I239" i="5"/>
  <c r="C214" i="5"/>
  <c r="Q226" i="5"/>
  <c r="I204" i="5"/>
  <c r="Q255" i="5"/>
  <c r="L127" i="5"/>
  <c r="Q115" i="5"/>
  <c r="M168" i="5"/>
  <c r="O213" i="5"/>
  <c r="O187" i="5"/>
  <c r="Q91" i="5"/>
  <c r="I119" i="5"/>
  <c r="G104" i="5"/>
  <c r="M169" i="5"/>
  <c r="F227" i="5"/>
  <c r="P194" i="5"/>
  <c r="H139" i="5"/>
  <c r="C221" i="5"/>
  <c r="C93" i="5"/>
  <c r="C110" i="5"/>
  <c r="H170" i="5"/>
  <c r="Q130" i="5"/>
  <c r="K89" i="5"/>
  <c r="J204" i="5"/>
  <c r="K126" i="5"/>
  <c r="Q88" i="5"/>
  <c r="N85" i="5"/>
  <c r="Q227" i="5"/>
  <c r="K131" i="5"/>
  <c r="P208" i="5"/>
  <c r="I193" i="5"/>
  <c r="F212" i="5"/>
  <c r="I123" i="5"/>
  <c r="N132" i="5"/>
  <c r="H106" i="5"/>
  <c r="M139" i="5"/>
  <c r="J151" i="5"/>
  <c r="I107" i="5"/>
  <c r="M255" i="5"/>
  <c r="P123" i="5"/>
  <c r="F158" i="5"/>
  <c r="F167" i="5"/>
  <c r="P150" i="5"/>
  <c r="Q168" i="5"/>
  <c r="G132" i="5"/>
  <c r="G198" i="5"/>
  <c r="H77" i="5"/>
  <c r="G238" i="5"/>
  <c r="K156" i="5"/>
  <c r="O232" i="5"/>
  <c r="G114" i="5"/>
  <c r="H107" i="5"/>
  <c r="L229" i="5"/>
  <c r="Q150" i="5"/>
  <c r="I117" i="5"/>
  <c r="I121" i="5"/>
  <c r="Q77" i="5"/>
  <c r="J249" i="5"/>
  <c r="P246" i="5"/>
  <c r="J251" i="5"/>
  <c r="G172" i="5"/>
  <c r="L113" i="5"/>
  <c r="J222" i="5"/>
  <c r="F100" i="5"/>
  <c r="Q134" i="5"/>
  <c r="F244" i="5"/>
  <c r="N114" i="5"/>
  <c r="N139" i="5"/>
  <c r="H89" i="5"/>
  <c r="I109" i="5"/>
  <c r="C180" i="5"/>
  <c r="Q76" i="5"/>
  <c r="H120" i="5"/>
  <c r="M178" i="5"/>
  <c r="D198" i="5"/>
  <c r="D83" i="5"/>
  <c r="D213" i="5"/>
  <c r="N93" i="5"/>
  <c r="H154" i="5"/>
  <c r="I186" i="5"/>
  <c r="I245" i="5"/>
  <c r="K169" i="5"/>
  <c r="C128" i="5"/>
  <c r="P87" i="5"/>
  <c r="J199" i="5"/>
  <c r="I169" i="5"/>
  <c r="G157" i="5"/>
  <c r="H149" i="5"/>
  <c r="N155" i="5"/>
  <c r="P137" i="5"/>
  <c r="C109" i="5"/>
  <c r="Q99" i="5"/>
  <c r="P88" i="5"/>
  <c r="J233" i="5"/>
  <c r="M202" i="5"/>
  <c r="M239" i="5"/>
  <c r="J159" i="5"/>
  <c r="C145" i="5"/>
  <c r="C219" i="5"/>
  <c r="J85" i="5"/>
  <c r="G261" i="5"/>
  <c r="F109" i="5"/>
  <c r="N251" i="5"/>
  <c r="C102" i="5"/>
  <c r="Q183" i="5"/>
  <c r="L121" i="5"/>
  <c r="N87" i="5"/>
  <c r="L240" i="5"/>
  <c r="O228" i="5"/>
  <c r="J123" i="5"/>
  <c r="K93" i="5"/>
  <c r="C216" i="5"/>
  <c r="N191" i="5"/>
  <c r="J149" i="5"/>
  <c r="K111" i="5"/>
  <c r="I78" i="5"/>
  <c r="K146" i="5"/>
  <c r="P133" i="5"/>
  <c r="M197" i="5"/>
  <c r="J261" i="5"/>
  <c r="P248" i="5"/>
  <c r="F77" i="5"/>
  <c r="P261" i="5"/>
  <c r="E229" i="5"/>
  <c r="I77" i="5"/>
  <c r="O122" i="5"/>
  <c r="H114" i="5"/>
  <c r="O207" i="5"/>
  <c r="I81" i="5"/>
  <c r="L252" i="5"/>
  <c r="O176" i="5"/>
  <c r="F157" i="5"/>
  <c r="P98" i="5"/>
  <c r="C232" i="5"/>
  <c r="C87" i="5"/>
  <c r="L102" i="5"/>
  <c r="F235" i="5"/>
  <c r="C79" i="5"/>
  <c r="I124" i="5"/>
  <c r="L88" i="5"/>
  <c r="K127" i="5"/>
  <c r="P201" i="5"/>
  <c r="I145" i="5"/>
  <c r="I91" i="5"/>
  <c r="I130" i="5"/>
  <c r="Q85" i="5"/>
  <c r="C213" i="5"/>
  <c r="Q131" i="5"/>
  <c r="M147" i="5"/>
  <c r="N149" i="5"/>
  <c r="I171" i="5"/>
  <c r="G97" i="5"/>
  <c r="C92" i="5"/>
  <c r="N119" i="5"/>
  <c r="Q208" i="5"/>
  <c r="M121" i="5"/>
  <c r="Q109" i="5"/>
  <c r="G204" i="5"/>
  <c r="O211" i="5"/>
  <c r="I76" i="5"/>
  <c r="C250" i="5"/>
  <c r="K100" i="5"/>
  <c r="Q228" i="5"/>
  <c r="O180" i="5"/>
  <c r="G83" i="5"/>
  <c r="F257" i="5"/>
  <c r="O76" i="5"/>
  <c r="N262" i="5"/>
  <c r="Q97" i="5"/>
  <c r="N98" i="5"/>
  <c r="J142" i="5"/>
  <c r="I83" i="5"/>
  <c r="I198" i="5"/>
  <c r="I249" i="5"/>
  <c r="O198" i="5"/>
  <c r="C95" i="5"/>
  <c r="H257" i="5"/>
  <c r="L146" i="5"/>
  <c r="K90" i="5"/>
  <c r="O173" i="5"/>
  <c r="I221" i="5"/>
  <c r="C121" i="5"/>
  <c r="O244" i="5"/>
  <c r="L189" i="5"/>
  <c r="L207" i="5"/>
  <c r="F230" i="5"/>
  <c r="L223" i="5"/>
  <c r="O106" i="5"/>
  <c r="Q217" i="5"/>
  <c r="M205" i="5"/>
  <c r="I99" i="5"/>
  <c r="I114" i="5"/>
  <c r="P79" i="5"/>
  <c r="M157" i="5"/>
  <c r="G151" i="5"/>
  <c r="O226" i="5"/>
  <c r="K237" i="5"/>
  <c r="I147" i="5"/>
  <c r="F76" i="5"/>
  <c r="J240" i="5"/>
  <c r="K133" i="5"/>
  <c r="P245" i="5"/>
  <c r="Q156" i="5"/>
  <c r="F211" i="5"/>
  <c r="F108" i="5"/>
  <c r="P114" i="5"/>
  <c r="C94" i="5"/>
  <c r="G118" i="5"/>
  <c r="F95" i="5"/>
  <c r="E240" i="5"/>
  <c r="P84" i="5"/>
  <c r="L133" i="5"/>
  <c r="M240" i="5"/>
  <c r="G123" i="5"/>
  <c r="H84" i="5"/>
  <c r="Q144" i="5"/>
  <c r="I232" i="5"/>
  <c r="H153" i="5"/>
  <c r="M80" i="5"/>
  <c r="P162" i="5"/>
  <c r="H216" i="5"/>
  <c r="I167" i="5"/>
  <c r="I260" i="5"/>
  <c r="Q204" i="5"/>
  <c r="M152" i="5"/>
  <c r="G140" i="5"/>
  <c r="I80" i="5"/>
  <c r="I137" i="5"/>
  <c r="Q119" i="5"/>
  <c r="H95" i="5"/>
  <c r="Q101" i="5"/>
  <c r="K173" i="5"/>
  <c r="F243" i="5"/>
  <c r="G147" i="5"/>
  <c r="M82" i="5"/>
  <c r="M101" i="5"/>
  <c r="J112" i="5"/>
  <c r="C198" i="5"/>
  <c r="I163" i="5"/>
  <c r="G183" i="5"/>
  <c r="G188" i="5"/>
  <c r="G108" i="5"/>
  <c r="C224" i="5"/>
  <c r="E237" i="5"/>
  <c r="G145" i="5"/>
  <c r="H198" i="5"/>
  <c r="K258" i="5"/>
  <c r="Q145" i="5"/>
  <c r="C249" i="5"/>
  <c r="O162" i="5"/>
  <c r="G245" i="5"/>
  <c r="I162" i="5"/>
  <c r="L204" i="5"/>
  <c r="H94" i="5"/>
  <c r="Q89" i="5"/>
  <c r="L152" i="5"/>
  <c r="J228" i="5"/>
  <c r="H143" i="5"/>
  <c r="O115" i="5"/>
  <c r="O238" i="5"/>
  <c r="H205" i="5"/>
  <c r="F209" i="5"/>
  <c r="C160" i="5"/>
  <c r="K198" i="5"/>
  <c r="K244" i="5"/>
  <c r="M247" i="5"/>
  <c r="N162" i="5"/>
  <c r="L257" i="5"/>
  <c r="M256" i="5"/>
  <c r="J205" i="5"/>
  <c r="Q198" i="5"/>
  <c r="I240" i="5"/>
  <c r="C129" i="5"/>
  <c r="P247" i="5"/>
  <c r="H148" i="5"/>
  <c r="G197" i="5"/>
  <c r="Q152" i="5"/>
  <c r="Q137" i="5"/>
  <c r="P170" i="5"/>
  <c r="H215" i="5"/>
  <c r="H262" i="5"/>
  <c r="G253" i="5"/>
  <c r="L154" i="5"/>
  <c r="Q90" i="5"/>
  <c r="P219" i="5"/>
  <c r="Q244" i="5"/>
  <c r="I146" i="5"/>
  <c r="N224" i="5"/>
  <c r="P108" i="5"/>
  <c r="G214" i="5"/>
  <c r="N187" i="5"/>
  <c r="J103" i="5"/>
  <c r="L200" i="5"/>
  <c r="C231" i="5"/>
  <c r="P215" i="5"/>
  <c r="J155" i="5"/>
  <c r="G177" i="5"/>
  <c r="C104" i="5"/>
  <c r="J80" i="5"/>
  <c r="J99" i="5"/>
  <c r="H171" i="5"/>
  <c r="H203" i="5"/>
  <c r="C120" i="5"/>
  <c r="I259" i="5"/>
  <c r="Q118" i="5"/>
  <c r="H235" i="5"/>
  <c r="J101" i="5"/>
  <c r="C83" i="5"/>
  <c r="M261" i="5"/>
  <c r="L103" i="5"/>
  <c r="O227" i="5"/>
  <c r="G255" i="5"/>
  <c r="F253" i="5"/>
  <c r="N133" i="5"/>
  <c r="L177" i="5"/>
  <c r="M184" i="5"/>
  <c r="M86" i="5"/>
  <c r="P118" i="5"/>
  <c r="M204" i="5"/>
  <c r="F140" i="5"/>
  <c r="O140" i="5"/>
  <c r="M209" i="5"/>
  <c r="H92" i="5"/>
  <c r="J226" i="5"/>
  <c r="G146" i="5"/>
  <c r="L260" i="5"/>
  <c r="L194" i="5"/>
  <c r="J157" i="5"/>
  <c r="H178" i="5"/>
  <c r="G229" i="5"/>
  <c r="N158" i="5"/>
  <c r="F224" i="5"/>
  <c r="M194" i="5"/>
  <c r="D176" i="5"/>
  <c r="P260" i="5"/>
  <c r="G138" i="5"/>
  <c r="H112" i="5"/>
  <c r="K196" i="5"/>
  <c r="G86" i="5"/>
  <c r="F98" i="5"/>
  <c r="L138" i="5"/>
  <c r="Q186" i="5"/>
  <c r="L246" i="5"/>
  <c r="C148" i="5"/>
  <c r="H126" i="5"/>
  <c r="M133" i="5"/>
  <c r="J78" i="5"/>
  <c r="I85" i="5"/>
  <c r="I176" i="5"/>
  <c r="G112" i="5"/>
  <c r="P211" i="5"/>
  <c r="Q100" i="5"/>
  <c r="P110" i="5"/>
  <c r="H103" i="5"/>
  <c r="C155" i="5"/>
  <c r="H201" i="5"/>
  <c r="G106" i="5"/>
  <c r="J202" i="5"/>
  <c r="F107" i="5"/>
  <c r="H101" i="5"/>
  <c r="F115" i="5"/>
  <c r="F185" i="5"/>
  <c r="J156" i="5"/>
  <c r="P117" i="5"/>
  <c r="K118" i="5"/>
  <c r="P210" i="5"/>
  <c r="C240" i="5"/>
  <c r="G109" i="5"/>
  <c r="G194" i="5"/>
  <c r="N236" i="5"/>
  <c r="H132" i="5"/>
  <c r="Q207" i="5"/>
  <c r="I138" i="5"/>
  <c r="D205" i="5"/>
  <c r="O215" i="5"/>
  <c r="H116" i="5"/>
  <c r="P146" i="5"/>
  <c r="O247" i="5"/>
  <c r="P152" i="5"/>
  <c r="H253" i="5"/>
  <c r="C161" i="5"/>
  <c r="F169" i="5"/>
  <c r="L110" i="5"/>
  <c r="F215" i="5"/>
  <c r="M187" i="5"/>
  <c r="I182" i="5"/>
  <c r="K202" i="5"/>
  <c r="H137" i="5"/>
  <c r="C246" i="5"/>
  <c r="P251" i="5"/>
  <c r="L216" i="5"/>
  <c r="G162" i="5"/>
  <c r="E145" i="5"/>
  <c r="Q83" i="5"/>
  <c r="L158" i="5"/>
  <c r="G94" i="5"/>
  <c r="P125" i="5"/>
  <c r="C89" i="5"/>
  <c r="G244" i="5"/>
  <c r="M228" i="5"/>
  <c r="K240" i="5"/>
  <c r="G210" i="5"/>
  <c r="J167" i="5"/>
  <c r="J125" i="5"/>
  <c r="Q175" i="5"/>
  <c r="O204" i="5"/>
  <c r="N250" i="5"/>
  <c r="F200" i="5"/>
  <c r="M170" i="5"/>
  <c r="N94" i="5"/>
  <c r="L122" i="5"/>
  <c r="E192" i="5"/>
  <c r="N157" i="5"/>
  <c r="K139" i="5"/>
  <c r="H100" i="5"/>
  <c r="M220" i="5"/>
  <c r="G254" i="5"/>
  <c r="N122" i="5"/>
  <c r="L148" i="5"/>
  <c r="C206" i="5"/>
  <c r="M211" i="5"/>
  <c r="D258" i="5"/>
  <c r="I157" i="5"/>
  <c r="J174" i="5"/>
  <c r="L132" i="5"/>
  <c r="F261" i="5"/>
  <c r="K163" i="5"/>
  <c r="F156" i="5"/>
  <c r="P184" i="5"/>
  <c r="H227" i="5"/>
  <c r="M84" i="5"/>
  <c r="N260" i="5"/>
  <c r="L206" i="5"/>
  <c r="F250" i="5"/>
  <c r="L182" i="5"/>
  <c r="C99" i="5"/>
  <c r="K148" i="5"/>
  <c r="G93" i="5"/>
  <c r="G230" i="5"/>
  <c r="H152" i="5"/>
  <c r="J191" i="5"/>
  <c r="P76" i="5"/>
  <c r="M87" i="5"/>
  <c r="O225" i="5"/>
  <c r="M122" i="5"/>
  <c r="G113" i="5"/>
  <c r="Q84" i="5"/>
  <c r="G249" i="5"/>
  <c r="H105" i="5"/>
  <c r="Q202" i="5"/>
  <c r="P115" i="5"/>
  <c r="M107" i="5"/>
  <c r="J183" i="5"/>
  <c r="C210" i="5"/>
  <c r="H219" i="5"/>
  <c r="K185" i="5"/>
  <c r="I105" i="5"/>
  <c r="K117" i="5"/>
  <c r="C123" i="5"/>
  <c r="K211" i="5"/>
  <c r="M96" i="5"/>
  <c r="O221" i="5"/>
  <c r="O113" i="5"/>
  <c r="F117" i="5"/>
  <c r="K114" i="5"/>
  <c r="C127" i="5"/>
  <c r="M79" i="5"/>
  <c r="Q171" i="5"/>
  <c r="F226" i="5"/>
  <c r="H175" i="5"/>
  <c r="P193" i="5"/>
  <c r="F175" i="5"/>
  <c r="O87" i="5"/>
  <c r="Q95" i="5"/>
  <c r="I113" i="5"/>
  <c r="N88" i="5"/>
  <c r="M117" i="5"/>
  <c r="H224" i="5"/>
  <c r="Q211" i="5"/>
  <c r="J141" i="5"/>
  <c r="Q124" i="5"/>
  <c r="N102" i="5"/>
  <c r="H169" i="5"/>
  <c r="G156" i="5"/>
  <c r="D92" i="5"/>
  <c r="F90" i="5"/>
  <c r="N240" i="5"/>
  <c r="O119" i="5"/>
  <c r="O98" i="5"/>
  <c r="P226" i="5"/>
  <c r="N209" i="5"/>
  <c r="M199" i="5"/>
  <c r="J192" i="5"/>
  <c r="N227" i="5"/>
  <c r="G233" i="5"/>
  <c r="I192" i="5"/>
  <c r="G219" i="5"/>
  <c r="N261" i="5"/>
  <c r="K153" i="5"/>
  <c r="Q212" i="5"/>
  <c r="F91" i="5"/>
  <c r="G111" i="5"/>
  <c r="K96" i="5"/>
  <c r="J176" i="5"/>
  <c r="F83" i="5"/>
  <c r="L115" i="5"/>
  <c r="P131" i="5"/>
  <c r="M163" i="5"/>
  <c r="K232" i="5"/>
  <c r="H110" i="5"/>
  <c r="J218" i="5"/>
  <c r="N83" i="5"/>
  <c r="P240" i="5"/>
  <c r="G232" i="5"/>
  <c r="L141" i="5"/>
  <c r="O130" i="5"/>
  <c r="L185" i="5"/>
  <c r="F171" i="5"/>
  <c r="N105" i="5"/>
  <c r="M262" i="5"/>
  <c r="M126" i="5"/>
  <c r="K220" i="5"/>
  <c r="H129" i="5"/>
  <c r="N228" i="5"/>
  <c r="M224" i="5"/>
  <c r="F124" i="5"/>
  <c r="L227" i="5"/>
  <c r="D128" i="5"/>
  <c r="L94" i="5"/>
  <c r="J87" i="5"/>
  <c r="L176" i="5"/>
  <c r="Q93" i="5"/>
  <c r="N148" i="5"/>
  <c r="K222" i="5"/>
  <c r="F79" i="5"/>
  <c r="L140" i="5"/>
  <c r="Q190" i="5"/>
  <c r="I179" i="5"/>
  <c r="O120" i="5"/>
  <c r="K129" i="5"/>
  <c r="K97" i="5"/>
  <c r="H182" i="5"/>
  <c r="C220" i="5"/>
  <c r="H256" i="5"/>
  <c r="F180" i="5"/>
  <c r="N231" i="5"/>
  <c r="P157" i="5"/>
  <c r="N245" i="5"/>
  <c r="O137" i="5"/>
  <c r="J81" i="5"/>
  <c r="L167" i="5"/>
  <c r="F112" i="5"/>
  <c r="O95" i="5"/>
  <c r="G163" i="5"/>
  <c r="N147" i="5"/>
  <c r="I226" i="5"/>
  <c r="M188" i="5"/>
  <c r="O262" i="5"/>
  <c r="H160" i="5"/>
  <c r="C226" i="5"/>
  <c r="N190" i="5"/>
  <c r="L259" i="5"/>
  <c r="O102" i="5"/>
  <c r="P145" i="5"/>
  <c r="N185" i="5"/>
  <c r="Q108" i="5"/>
  <c r="I164" i="5"/>
  <c r="K177" i="5"/>
  <c r="I101" i="5"/>
  <c r="O143" i="5"/>
  <c r="P106" i="5"/>
  <c r="J163" i="5"/>
  <c r="M230" i="5"/>
  <c r="D199" i="5"/>
  <c r="J203" i="5"/>
  <c r="K193" i="5"/>
  <c r="N254" i="5"/>
  <c r="L153" i="5"/>
  <c r="N128" i="5"/>
  <c r="F166" i="5"/>
  <c r="F179" i="5"/>
  <c r="K248" i="5"/>
  <c r="F258" i="5"/>
  <c r="N186" i="5"/>
  <c r="H246" i="5"/>
  <c r="F101" i="5"/>
  <c r="C176" i="5"/>
  <c r="O233" i="5"/>
  <c r="M233" i="5"/>
  <c r="O151" i="5"/>
  <c r="L238" i="5"/>
  <c r="Q229" i="5"/>
  <c r="F205" i="5"/>
  <c r="O208" i="5"/>
  <c r="Q166" i="5"/>
  <c r="I261" i="5"/>
  <c r="P204" i="5"/>
  <c r="F82" i="5"/>
  <c r="Q247" i="5"/>
  <c r="C204" i="5"/>
  <c r="K216" i="5"/>
  <c r="K151" i="5"/>
  <c r="M215" i="5"/>
  <c r="M102" i="5"/>
  <c r="G257" i="5"/>
  <c r="K184" i="5"/>
  <c r="P154" i="5"/>
  <c r="M213" i="5"/>
  <c r="G92" i="5"/>
  <c r="L85" i="5"/>
  <c r="F184" i="5"/>
  <c r="C78" i="5"/>
  <c r="G218" i="5"/>
  <c r="F199" i="5"/>
  <c r="L135" i="5"/>
  <c r="Q105" i="5"/>
  <c r="C223" i="5"/>
  <c r="L131" i="5"/>
  <c r="C178" i="5"/>
  <c r="C103" i="5"/>
  <c r="M195" i="5"/>
  <c r="L242" i="5"/>
  <c r="L80" i="5"/>
  <c r="Q116" i="5"/>
  <c r="I88" i="5"/>
  <c r="P169" i="5"/>
  <c r="F81" i="5"/>
  <c r="F142" i="5"/>
  <c r="F137" i="5"/>
  <c r="P258" i="5"/>
  <c r="N247" i="5"/>
  <c r="Q253" i="5"/>
  <c r="O92" i="5"/>
  <c r="F113" i="5"/>
  <c r="L145" i="5"/>
  <c r="O237" i="5"/>
  <c r="I87" i="5"/>
  <c r="Q149" i="5"/>
  <c r="P183" i="5"/>
  <c r="M258" i="5"/>
  <c r="N154" i="5"/>
  <c r="O89" i="5"/>
  <c r="J211" i="5"/>
  <c r="L228" i="5"/>
  <c r="Q164" i="5"/>
  <c r="C209" i="5"/>
  <c r="P222" i="5"/>
  <c r="M142" i="5"/>
  <c r="H218" i="5"/>
  <c r="L174" i="5"/>
  <c r="M192" i="5"/>
  <c r="M257" i="5"/>
  <c r="L90" i="5"/>
  <c r="Q195" i="5"/>
  <c r="O99" i="5"/>
  <c r="J132" i="5"/>
  <c r="M219" i="5"/>
  <c r="P220" i="5"/>
  <c r="L173" i="5"/>
  <c r="N82" i="5"/>
  <c r="J143" i="5"/>
  <c r="C132" i="5"/>
  <c r="C242" i="5"/>
  <c r="Q205" i="5"/>
  <c r="P230" i="5"/>
  <c r="P89" i="5"/>
  <c r="K144" i="5"/>
  <c r="I127" i="5"/>
  <c r="F120" i="5"/>
  <c r="G239" i="5"/>
  <c r="O171" i="5"/>
  <c r="I214" i="5"/>
  <c r="L195" i="5"/>
  <c r="I209" i="5"/>
  <c r="Q120" i="5"/>
  <c r="Q215" i="5"/>
  <c r="Q103" i="5"/>
  <c r="H225" i="5"/>
  <c r="K192" i="5"/>
  <c r="K138" i="5"/>
  <c r="G216" i="5"/>
  <c r="C77" i="5"/>
  <c r="P250" i="5"/>
  <c r="L210" i="5"/>
  <c r="M167" i="5"/>
  <c r="L230" i="5"/>
  <c r="F86" i="5"/>
  <c r="M91" i="5"/>
  <c r="F154" i="5"/>
  <c r="J129" i="5"/>
  <c r="N103" i="5"/>
  <c r="L224" i="5"/>
  <c r="M238" i="5"/>
  <c r="L234" i="5"/>
  <c r="P91" i="5"/>
  <c r="N137" i="5"/>
  <c r="P243" i="5"/>
  <c r="I235" i="5"/>
  <c r="C96" i="5"/>
  <c r="K107" i="5"/>
  <c r="L193" i="5"/>
  <c r="Q262" i="5"/>
  <c r="F254" i="5"/>
  <c r="K170" i="5"/>
  <c r="L181" i="5"/>
  <c r="F125" i="5"/>
  <c r="M248" i="5"/>
  <c r="P140" i="5"/>
  <c r="P122" i="5"/>
  <c r="M148" i="5"/>
  <c r="P81" i="5"/>
  <c r="J263" i="5"/>
  <c r="P90" i="5"/>
  <c r="L208" i="5"/>
  <c r="L178" i="5"/>
  <c r="P255" i="5"/>
  <c r="J122" i="5"/>
  <c r="O236" i="5"/>
  <c r="N116" i="5"/>
  <c r="J148" i="5"/>
  <c r="C262" i="5"/>
  <c r="M125" i="5"/>
  <c r="K143" i="5"/>
  <c r="I92" i="5"/>
  <c r="F214" i="5"/>
  <c r="O84" i="5"/>
  <c r="H113" i="5"/>
  <c r="P101" i="5"/>
  <c r="J138" i="5"/>
  <c r="L139" i="5"/>
  <c r="P180" i="5"/>
  <c r="L97" i="5"/>
  <c r="M210" i="5"/>
  <c r="Q197" i="5"/>
  <c r="P223" i="5"/>
  <c r="K195" i="5"/>
  <c r="P213" i="5"/>
  <c r="M113" i="5"/>
  <c r="G248" i="5"/>
  <c r="H102" i="5"/>
  <c r="J118" i="5"/>
  <c r="L106" i="5"/>
  <c r="P109" i="5"/>
  <c r="F181" i="5"/>
  <c r="H194" i="5"/>
  <c r="G167" i="5"/>
  <c r="N218" i="5"/>
  <c r="Q182" i="5"/>
  <c r="Q245" i="5"/>
  <c r="Q234" i="5"/>
  <c r="K176" i="5"/>
  <c r="L116" i="5"/>
  <c r="H163" i="5"/>
  <c r="K141" i="5"/>
  <c r="F163" i="5"/>
  <c r="L205" i="5"/>
  <c r="G195" i="5"/>
  <c r="N78" i="5"/>
  <c r="N200" i="5"/>
  <c r="N205" i="5"/>
  <c r="J88" i="5"/>
  <c r="M109" i="5"/>
  <c r="K132" i="5"/>
  <c r="F263" i="5"/>
  <c r="M127" i="5"/>
  <c r="M129" i="5"/>
  <c r="C251" i="5"/>
  <c r="L217" i="5"/>
  <c r="N115" i="5"/>
  <c r="K120" i="5"/>
  <c r="P177" i="5"/>
  <c r="K123" i="5"/>
  <c r="I154" i="5"/>
  <c r="J169" i="5"/>
  <c r="J127" i="5"/>
  <c r="M229" i="5"/>
  <c r="C170" i="5"/>
  <c r="H125" i="5"/>
  <c r="O203" i="5"/>
  <c r="O112" i="5"/>
  <c r="O177" i="5"/>
  <c r="C199" i="5"/>
  <c r="L254" i="5"/>
  <c r="G247" i="5"/>
  <c r="O229" i="5"/>
  <c r="K175" i="5"/>
  <c r="P83" i="5"/>
  <c r="L255" i="5"/>
  <c r="O185" i="5"/>
  <c r="F132" i="5"/>
  <c r="M191" i="5"/>
  <c r="C154" i="5"/>
  <c r="J145" i="5"/>
  <c r="F239" i="5"/>
  <c r="I152" i="5"/>
  <c r="L76" i="5"/>
  <c r="O175" i="5"/>
  <c r="J76" i="5"/>
  <c r="N174" i="5"/>
  <c r="N207" i="5"/>
  <c r="C163" i="5"/>
  <c r="F123" i="5"/>
  <c r="O254" i="5"/>
  <c r="F206" i="5"/>
  <c r="O138" i="5"/>
  <c r="H202" i="5"/>
  <c r="G224" i="5"/>
  <c r="K83" i="5"/>
  <c r="C134" i="5"/>
  <c r="H140" i="5"/>
  <c r="L114" i="5"/>
  <c r="C185" i="5"/>
  <c r="L160" i="5"/>
  <c r="H179" i="5"/>
  <c r="O97" i="5"/>
  <c r="Q181" i="5"/>
  <c r="C140" i="5"/>
  <c r="M88" i="5"/>
  <c r="L128" i="5"/>
  <c r="M150" i="5"/>
  <c r="K147" i="5"/>
  <c r="P78" i="5"/>
  <c r="P225" i="5"/>
  <c r="I161" i="5"/>
  <c r="F213" i="5"/>
  <c r="G227" i="5"/>
  <c r="K122" i="5"/>
  <c r="Q136" i="5"/>
  <c r="M159" i="5"/>
  <c r="K210" i="5"/>
  <c r="O212" i="5"/>
  <c r="O235" i="5"/>
  <c r="O220" i="5"/>
  <c r="Q263" i="5"/>
  <c r="Q154" i="5"/>
  <c r="H128" i="5"/>
  <c r="M141" i="5"/>
  <c r="G102" i="5"/>
  <c r="L134" i="5"/>
  <c r="N111" i="5"/>
  <c r="O223" i="5"/>
  <c r="G176" i="5"/>
  <c r="M154" i="5"/>
  <c r="P233" i="5"/>
  <c r="N252" i="5"/>
  <c r="K128" i="5"/>
  <c r="K251" i="5"/>
  <c r="F202" i="5"/>
  <c r="C135" i="5"/>
  <c r="L124" i="5"/>
  <c r="Q188" i="5"/>
  <c r="I89" i="5"/>
  <c r="P96" i="5"/>
  <c r="J179" i="5"/>
  <c r="L187" i="5"/>
  <c r="L244" i="5"/>
  <c r="N171" i="5"/>
  <c r="M216" i="5"/>
  <c r="N140" i="5"/>
  <c r="P141" i="5"/>
  <c r="O195" i="5"/>
  <c r="L96" i="5"/>
  <c r="F217" i="5"/>
  <c r="F236" i="5"/>
  <c r="C125" i="5"/>
  <c r="J220" i="5"/>
  <c r="F196" i="5"/>
  <c r="K219" i="5"/>
  <c r="J248" i="5"/>
  <c r="G101" i="5"/>
  <c r="H226" i="5"/>
  <c r="P207" i="5"/>
  <c r="P163" i="5"/>
  <c r="Q138" i="5"/>
  <c r="C97" i="5"/>
  <c r="L245" i="5"/>
  <c r="G237" i="5"/>
  <c r="Q78" i="5"/>
  <c r="L98" i="5"/>
  <c r="C189" i="5"/>
  <c r="G116" i="5"/>
  <c r="I95" i="5"/>
  <c r="M234" i="5"/>
  <c r="F223" i="5"/>
  <c r="G122" i="5"/>
  <c r="N92" i="5"/>
  <c r="K119" i="5"/>
  <c r="Q216" i="5"/>
  <c r="N214" i="5"/>
  <c r="K180" i="5"/>
  <c r="N239" i="5"/>
  <c r="G154" i="5"/>
  <c r="H233" i="5"/>
  <c r="P113" i="5"/>
  <c r="O209" i="5"/>
  <c r="K212" i="5"/>
  <c r="C222" i="5"/>
  <c r="F225" i="5"/>
  <c r="C238" i="5"/>
  <c r="C167" i="5"/>
  <c r="G225" i="5"/>
  <c r="P155" i="5"/>
  <c r="K76" i="5"/>
  <c r="O133" i="5"/>
  <c r="N198" i="5"/>
  <c r="C252" i="5"/>
  <c r="J196" i="5"/>
  <c r="J165" i="5"/>
  <c r="F135" i="5"/>
  <c r="C196" i="5"/>
  <c r="O117" i="5"/>
  <c r="K124" i="5"/>
  <c r="P86" i="5"/>
  <c r="C153" i="5"/>
  <c r="L232" i="5"/>
  <c r="I96" i="5"/>
  <c r="J243" i="5"/>
  <c r="L107" i="5"/>
  <c r="P95" i="5"/>
  <c r="Q155" i="5"/>
  <c r="N196" i="5"/>
  <c r="K239" i="5"/>
  <c r="O253" i="5"/>
  <c r="H208" i="5"/>
  <c r="H90" i="5"/>
  <c r="Q81" i="5"/>
  <c r="I263" i="5"/>
  <c r="K95" i="5"/>
  <c r="Q143" i="5"/>
  <c r="F119" i="5"/>
  <c r="N208" i="5"/>
  <c r="J82" i="5"/>
  <c r="K179" i="5"/>
  <c r="O259" i="5"/>
  <c r="N110" i="5"/>
  <c r="P142" i="5"/>
  <c r="L104" i="5"/>
  <c r="C156" i="5"/>
  <c r="L168" i="5"/>
  <c r="Q187" i="5"/>
  <c r="K135" i="5"/>
  <c r="Q240" i="5"/>
  <c r="C119" i="5"/>
  <c r="K82" i="5"/>
  <c r="F84" i="5"/>
  <c r="L119" i="5"/>
  <c r="L111" i="5"/>
  <c r="K106" i="5"/>
  <c r="N259" i="5"/>
  <c r="O81" i="5"/>
  <c r="M244" i="5"/>
  <c r="N168" i="5"/>
  <c r="J231" i="5"/>
  <c r="F85" i="5"/>
  <c r="O126" i="5"/>
  <c r="N106" i="5"/>
  <c r="H249" i="5"/>
  <c r="K167" i="5"/>
  <c r="K78" i="5"/>
  <c r="M77" i="5"/>
  <c r="C227" i="5"/>
  <c r="P97" i="5"/>
  <c r="L247" i="5"/>
  <c r="Q256" i="5"/>
  <c r="F231" i="5"/>
  <c r="F252" i="5"/>
  <c r="Q147" i="5"/>
  <c r="P197" i="5"/>
  <c r="N91" i="5"/>
  <c r="L86" i="5"/>
  <c r="J110" i="5"/>
  <c r="F138" i="5"/>
  <c r="J92" i="5"/>
  <c r="N211" i="5"/>
  <c r="O184" i="5"/>
  <c r="F204" i="5"/>
  <c r="G200" i="5"/>
  <c r="C233" i="5"/>
  <c r="O230" i="5"/>
  <c r="M186" i="5"/>
  <c r="Q177" i="5"/>
  <c r="L112" i="5"/>
  <c r="I222" i="5"/>
  <c r="H231" i="5"/>
  <c r="M164" i="5"/>
  <c r="F96" i="5"/>
  <c r="P105" i="5"/>
  <c r="J215" i="5"/>
  <c r="O111" i="5"/>
  <c r="O182" i="5"/>
  <c r="N81" i="5"/>
  <c r="L249" i="5"/>
  <c r="G76" i="5"/>
  <c r="C111" i="5"/>
  <c r="L180" i="5"/>
  <c r="C243" i="5"/>
  <c r="J160" i="5"/>
  <c r="M130" i="5"/>
  <c r="N182" i="5"/>
  <c r="Q193" i="5"/>
  <c r="O104" i="5"/>
  <c r="G131" i="5"/>
  <c r="O164" i="5"/>
  <c r="K262" i="5"/>
  <c r="P130" i="5"/>
  <c r="F188" i="5"/>
  <c r="K130" i="5"/>
  <c r="M189" i="5"/>
  <c r="P209" i="5"/>
  <c r="C184" i="5"/>
  <c r="K166" i="5"/>
  <c r="L82" i="5"/>
  <c r="J105" i="5"/>
  <c r="P206" i="5"/>
  <c r="F176" i="5"/>
  <c r="M98" i="5"/>
  <c r="M165" i="5"/>
  <c r="C137" i="5"/>
  <c r="M200" i="5"/>
  <c r="C260" i="5"/>
  <c r="F165" i="5"/>
  <c r="N257" i="5"/>
  <c r="N235" i="5"/>
  <c r="Q159" i="5"/>
  <c r="F248" i="5"/>
  <c r="I97" i="5"/>
  <c r="J134" i="5"/>
  <c r="L190" i="5"/>
  <c r="P158" i="5"/>
  <c r="O224" i="5"/>
  <c r="P129" i="5"/>
  <c r="Q258" i="5"/>
  <c r="C248" i="5"/>
  <c r="F78" i="5"/>
  <c r="F128" i="5"/>
  <c r="F164" i="5"/>
  <c r="F178" i="5"/>
  <c r="Q161" i="5"/>
  <c r="I84" i="5"/>
  <c r="O200" i="5"/>
  <c r="N244" i="5"/>
  <c r="J207" i="5"/>
  <c r="P254" i="5"/>
  <c r="F93" i="5"/>
  <c r="O243" i="5"/>
  <c r="N253" i="5"/>
  <c r="L101" i="5"/>
  <c r="N213" i="5"/>
  <c r="M182" i="5"/>
  <c r="J244" i="5"/>
  <c r="K207" i="5"/>
  <c r="C217" i="5"/>
  <c r="J194" i="5"/>
  <c r="I205" i="5"/>
  <c r="J257" i="5"/>
  <c r="Q107" i="5"/>
  <c r="C183" i="5"/>
  <c r="J114" i="5"/>
  <c r="Q200" i="5"/>
  <c r="F251" i="5"/>
  <c r="Q185" i="5"/>
  <c r="N156" i="5"/>
  <c r="P227" i="5"/>
  <c r="Q246" i="5"/>
  <c r="N170" i="5"/>
  <c r="M245" i="5"/>
  <c r="F203" i="5"/>
  <c r="C117" i="5"/>
  <c r="C190" i="5"/>
  <c r="Q213" i="5"/>
  <c r="Q98" i="5"/>
  <c r="J216" i="5"/>
  <c r="C126" i="5"/>
  <c r="M99" i="5"/>
  <c r="C257" i="5"/>
  <c r="Q257" i="5"/>
  <c r="P156" i="5"/>
  <c r="F187" i="5"/>
  <c r="N89" i="5"/>
  <c r="K168" i="5"/>
  <c r="F194" i="5"/>
  <c r="L203" i="5"/>
  <c r="K182" i="5"/>
  <c r="O172" i="5"/>
  <c r="J237" i="5"/>
  <c r="L221" i="5"/>
  <c r="J150" i="5"/>
  <c r="K234" i="5"/>
  <c r="M180" i="5"/>
  <c r="O96" i="5"/>
  <c r="N238" i="5"/>
  <c r="F197" i="5"/>
  <c r="J124" i="5"/>
  <c r="F130" i="5"/>
  <c r="K84" i="5"/>
  <c r="F150" i="5"/>
  <c r="C202" i="5"/>
  <c r="Q254" i="5"/>
  <c r="F161" i="5"/>
  <c r="K230" i="5"/>
  <c r="Q176" i="5"/>
  <c r="F103" i="5"/>
  <c r="M151" i="5"/>
  <c r="F260" i="5"/>
  <c r="L220" i="5"/>
  <c r="O214" i="5"/>
  <c r="J115" i="5"/>
  <c r="L233" i="5"/>
  <c r="S74" i="5" a="1"/>
  <c r="S74" i="5" s="1"/>
  <c r="AL115" i="5" s="1"/>
  <c r="U74" i="5" a="1"/>
  <c r="U74" i="5" s="1"/>
  <c r="V211" i="5" s="1"/>
  <c r="W211" i="5" s="1"/>
  <c r="V14" i="5"/>
  <c r="W14" i="5" s="1"/>
  <c r="V261" i="5"/>
  <c r="W261" i="5" s="1"/>
  <c r="V238" i="5"/>
  <c r="W238" i="5" s="1"/>
  <c r="V75" i="5"/>
  <c r="W75" i="5" s="1"/>
  <c r="V158" i="5"/>
  <c r="W158" i="5" s="1"/>
  <c r="V153" i="5"/>
  <c r="W153" i="5" s="1"/>
  <c r="V232" i="5"/>
  <c r="W232" i="5" s="1"/>
  <c r="V250" i="5"/>
  <c r="W250" i="5" s="1"/>
  <c r="V83" i="5"/>
  <c r="W83" i="5" s="1"/>
  <c r="V4" i="5" l="1"/>
  <c r="W4" i="5" s="1"/>
  <c r="V69" i="5"/>
  <c r="W69" i="5" s="1"/>
  <c r="V222" i="5"/>
  <c r="W222" i="5" s="1"/>
  <c r="V203" i="5"/>
  <c r="W203" i="5" s="1"/>
  <c r="V123" i="5"/>
  <c r="W123" i="5" s="1"/>
  <c r="V127" i="5"/>
  <c r="W127" i="5" s="1"/>
  <c r="V186" i="5"/>
  <c r="W186" i="5" s="1"/>
  <c r="V252" i="5"/>
  <c r="W252" i="5" s="1"/>
  <c r="V95" i="5"/>
  <c r="W95" i="5" s="1"/>
  <c r="AL213" i="5"/>
  <c r="V90" i="5"/>
  <c r="W90" i="5" s="1"/>
  <c r="V99" i="5"/>
  <c r="W99" i="5" s="1"/>
  <c r="V212" i="5"/>
  <c r="W212" i="5" s="1"/>
  <c r="V241" i="5"/>
  <c r="W241" i="5" s="1"/>
  <c r="V239" i="5"/>
  <c r="W239" i="5" s="1"/>
  <c r="V104" i="5"/>
  <c r="W104" i="5" s="1"/>
  <c r="V132" i="5"/>
  <c r="W132" i="5" s="1"/>
  <c r="V240" i="5"/>
  <c r="W240" i="5" s="1"/>
  <c r="V84" i="5"/>
  <c r="W84" i="5" s="1"/>
  <c r="V136" i="5"/>
  <c r="W136" i="5" s="1"/>
  <c r="V218" i="5"/>
  <c r="W218" i="5" s="1"/>
  <c r="V160" i="5"/>
  <c r="W160" i="5" s="1"/>
  <c r="V125" i="5"/>
  <c r="W125" i="5" s="1"/>
  <c r="V245" i="5"/>
  <c r="W245" i="5" s="1"/>
  <c r="V137" i="5"/>
  <c r="W137" i="5" s="1"/>
  <c r="V6" i="5"/>
  <c r="W6" i="5" s="1"/>
  <c r="V121" i="5"/>
  <c r="W121" i="5" s="1"/>
  <c r="V230" i="5"/>
  <c r="W230" i="5" s="1"/>
  <c r="V231" i="5"/>
  <c r="W231" i="5" s="1"/>
  <c r="V25" i="5"/>
  <c r="W25" i="5" s="1"/>
  <c r="V225" i="5"/>
  <c r="W225" i="5" s="1"/>
  <c r="AL87" i="5"/>
  <c r="AL103" i="5"/>
  <c r="V15" i="5"/>
  <c r="W15" i="5" s="1"/>
  <c r="V42" i="5"/>
  <c r="W42" i="5" s="1"/>
  <c r="AL257" i="5"/>
  <c r="V223" i="5"/>
  <c r="W223" i="5" s="1"/>
  <c r="AL29" i="5"/>
  <c r="V111" i="5"/>
  <c r="W111" i="5" s="1"/>
  <c r="V66" i="5"/>
  <c r="W66" i="5" s="1"/>
  <c r="V149" i="5"/>
  <c r="W149" i="5" s="1"/>
  <c r="V167" i="5"/>
  <c r="W167" i="5" s="1"/>
  <c r="V166" i="5"/>
  <c r="W166" i="5" s="1"/>
  <c r="V21" i="5"/>
  <c r="W21" i="5" s="1"/>
  <c r="V192" i="5"/>
  <c r="W192" i="5" s="1"/>
  <c r="V210" i="5"/>
  <c r="W210" i="5" s="1"/>
  <c r="V51" i="5"/>
  <c r="W51" i="5" s="1"/>
  <c r="V120" i="5"/>
  <c r="W120" i="5" s="1"/>
  <c r="V57" i="5"/>
  <c r="W57" i="5" s="1"/>
  <c r="V79" i="5"/>
  <c r="W79" i="5" s="1"/>
  <c r="V196" i="5"/>
  <c r="W196" i="5" s="1"/>
  <c r="V35" i="5"/>
  <c r="W35" i="5" s="1"/>
  <c r="V48" i="5"/>
  <c r="W48" i="5" s="1"/>
  <c r="V85" i="5"/>
  <c r="W85" i="5" s="1"/>
  <c r="V100" i="5"/>
  <c r="W100" i="5" s="1"/>
  <c r="V254" i="5"/>
  <c r="W254" i="5" s="1"/>
  <c r="V262" i="5"/>
  <c r="W262" i="5" s="1"/>
  <c r="V116" i="5"/>
  <c r="W116" i="5" s="1"/>
  <c r="V204" i="5"/>
  <c r="W204" i="5" s="1"/>
  <c r="V215" i="5"/>
  <c r="W215" i="5" s="1"/>
  <c r="V233" i="5"/>
  <c r="W233" i="5" s="1"/>
  <c r="V248" i="5"/>
  <c r="W248" i="5" s="1"/>
  <c r="V143" i="5"/>
  <c r="W143" i="5" s="1"/>
  <c r="V114" i="5"/>
  <c r="W114" i="5" s="1"/>
  <c r="V32" i="5"/>
  <c r="W32" i="5" s="1"/>
  <c r="V61" i="5"/>
  <c r="W61" i="5" s="1"/>
  <c r="V8" i="5"/>
  <c r="W8" i="5" s="1"/>
  <c r="V131" i="5"/>
  <c r="W131" i="5" s="1"/>
  <c r="V113" i="5"/>
  <c r="W113" i="5" s="1"/>
  <c r="V263" i="5"/>
  <c r="W263" i="5" s="1"/>
  <c r="V151" i="5"/>
  <c r="W151" i="5" s="1"/>
  <c r="AL201" i="5"/>
  <c r="AL148" i="5"/>
  <c r="AL217" i="5"/>
  <c r="AL233" i="5"/>
  <c r="V242" i="5"/>
  <c r="W242" i="5" s="1"/>
  <c r="V224" i="5"/>
  <c r="W224" i="5" s="1"/>
  <c r="AL140" i="5"/>
  <c r="V183" i="5"/>
  <c r="W183" i="5" s="1"/>
  <c r="AL218" i="5"/>
  <c r="V221" i="5"/>
  <c r="W221" i="5" s="1"/>
  <c r="V73" i="5"/>
  <c r="W73" i="5" s="1"/>
  <c r="V178" i="5"/>
  <c r="W178" i="5" s="1"/>
  <c r="V139" i="5"/>
  <c r="W139" i="5" s="1"/>
  <c r="V68" i="5"/>
  <c r="W68" i="5" s="1"/>
  <c r="V235" i="5"/>
  <c r="W235" i="5" s="1"/>
  <c r="V97" i="5"/>
  <c r="W97" i="5" s="1"/>
  <c r="V108" i="5"/>
  <c r="W108" i="5" s="1"/>
  <c r="V154" i="5"/>
  <c r="W154" i="5" s="1"/>
  <c r="V36" i="5"/>
  <c r="W36" i="5" s="1"/>
  <c r="V59" i="5"/>
  <c r="W59" i="5" s="1"/>
  <c r="V156" i="5"/>
  <c r="W156" i="5" s="1"/>
  <c r="V129" i="5"/>
  <c r="W129" i="5" s="1"/>
  <c r="V98" i="5"/>
  <c r="W98" i="5" s="1"/>
  <c r="V133" i="5"/>
  <c r="W133" i="5" s="1"/>
  <c r="V161" i="5"/>
  <c r="W161" i="5" s="1"/>
  <c r="AL49" i="5"/>
  <c r="V256" i="5"/>
  <c r="W256" i="5" s="1"/>
  <c r="AL66" i="5"/>
  <c r="V251" i="5"/>
  <c r="W251" i="5" s="1"/>
  <c r="V82" i="5"/>
  <c r="W82" i="5" s="1"/>
  <c r="V228" i="5"/>
  <c r="W228" i="5" s="1"/>
  <c r="V31" i="5"/>
  <c r="W31" i="5" s="1"/>
  <c r="V243" i="5"/>
  <c r="W243" i="5" s="1"/>
  <c r="AL181" i="5"/>
  <c r="V124" i="5"/>
  <c r="W124" i="5" s="1"/>
  <c r="V142" i="5"/>
  <c r="W142" i="5" s="1"/>
  <c r="V170" i="5"/>
  <c r="W170" i="5" s="1"/>
  <c r="V150" i="5"/>
  <c r="W150" i="5" s="1"/>
  <c r="AL235" i="5"/>
  <c r="V91" i="5"/>
  <c r="W91" i="5" s="1"/>
  <c r="V27" i="5"/>
  <c r="W27" i="5" s="1"/>
  <c r="V105" i="5"/>
  <c r="W105" i="5" s="1"/>
  <c r="V168" i="5"/>
  <c r="W168" i="5" s="1"/>
  <c r="V253" i="5"/>
  <c r="W253" i="5" s="1"/>
  <c r="V18" i="5"/>
  <c r="W18" i="5" s="1"/>
  <c r="V115" i="5"/>
  <c r="W115" i="5" s="1"/>
  <c r="V164" i="5"/>
  <c r="W164" i="5" s="1"/>
  <c r="V128" i="5"/>
  <c r="W128" i="5" s="1"/>
  <c r="AL133" i="5"/>
  <c r="V226" i="5"/>
  <c r="W226" i="5" s="1"/>
  <c r="V78" i="5"/>
  <c r="W78" i="5" s="1"/>
  <c r="V106" i="5"/>
  <c r="W106" i="5" s="1"/>
  <c r="V86" i="5"/>
  <c r="W86" i="5" s="1"/>
  <c r="AL251" i="5"/>
  <c r="V257" i="5"/>
  <c r="W257" i="5" s="1"/>
  <c r="V176" i="5"/>
  <c r="W176" i="5" s="1"/>
  <c r="V145" i="5"/>
  <c r="W145" i="5" s="1"/>
  <c r="V13" i="5"/>
  <c r="W13" i="5" s="1"/>
  <c r="V258" i="5"/>
  <c r="W258" i="5" s="1"/>
  <c r="V94" i="5"/>
  <c r="W94" i="5" s="1"/>
  <c r="V122" i="5"/>
  <c r="W122" i="5" s="1"/>
  <c r="V102" i="5"/>
  <c r="W102" i="5" s="1"/>
  <c r="AL247" i="5"/>
  <c r="V101" i="5"/>
  <c r="W101" i="5" s="1"/>
  <c r="V169" i="5"/>
  <c r="W169" i="5" s="1"/>
  <c r="V22" i="5"/>
  <c r="W22" i="5" s="1"/>
  <c r="AL203" i="5"/>
  <c r="V126" i="5"/>
  <c r="W126" i="5" s="1"/>
  <c r="V134" i="5"/>
  <c r="W134" i="5" s="1"/>
  <c r="AL63" i="5"/>
  <c r="AL131" i="5"/>
  <c r="AL114" i="5"/>
  <c r="V112" i="5"/>
  <c r="W112" i="5" s="1"/>
  <c r="V7" i="5"/>
  <c r="W7" i="5" s="1"/>
  <c r="AL134" i="5"/>
  <c r="AL224" i="5"/>
  <c r="AL86" i="5"/>
  <c r="AL240" i="5"/>
  <c r="AL236" i="5"/>
  <c r="AL256" i="5"/>
  <c r="AL52" i="5"/>
  <c r="AL98" i="5"/>
  <c r="V103" i="5"/>
  <c r="W103" i="5" s="1"/>
  <c r="V237" i="5"/>
  <c r="W237" i="5" s="1"/>
  <c r="V165" i="5"/>
  <c r="W165" i="5" s="1"/>
  <c r="V47" i="5"/>
  <c r="W47" i="5" s="1"/>
  <c r="V220" i="5"/>
  <c r="W220" i="5" s="1"/>
  <c r="V193" i="5"/>
  <c r="W193" i="5" s="1"/>
  <c r="V45" i="5"/>
  <c r="W45" i="5" s="1"/>
  <c r="AL189" i="5"/>
  <c r="V17" i="5"/>
  <c r="W17" i="5" s="1"/>
  <c r="V9" i="5"/>
  <c r="W9" i="5" s="1"/>
  <c r="AL156" i="5"/>
  <c r="V135" i="5"/>
  <c r="W135" i="5" s="1"/>
  <c r="AL234" i="5"/>
  <c r="V89" i="5"/>
  <c r="W89" i="5" s="1"/>
  <c r="V207" i="5"/>
  <c r="W207" i="5" s="1"/>
  <c r="V119" i="5"/>
  <c r="W119" i="5" s="1"/>
  <c r="AL230" i="5"/>
  <c r="V201" i="5"/>
  <c r="W201" i="5" s="1"/>
  <c r="AL250" i="5"/>
  <c r="V72" i="5"/>
  <c r="W72" i="5" s="1"/>
  <c r="AL46" i="5"/>
  <c r="AL168" i="5"/>
  <c r="V96" i="5"/>
  <c r="W96" i="5" s="1"/>
  <c r="AL204" i="5"/>
  <c r="AL198" i="5"/>
  <c r="AL9" i="5"/>
  <c r="AL26" i="5"/>
  <c r="AL253" i="5"/>
  <c r="AL197" i="5"/>
  <c r="AL150" i="5"/>
  <c r="AL25" i="5"/>
  <c r="AL59" i="5"/>
  <c r="AL21" i="5"/>
  <c r="AL38" i="5"/>
  <c r="AL41" i="5"/>
  <c r="AL11" i="5"/>
  <c r="AL116" i="5"/>
  <c r="AL110" i="5"/>
  <c r="AL258" i="5"/>
  <c r="AL210" i="5"/>
  <c r="AL33" i="5"/>
  <c r="AL259" i="5"/>
  <c r="AL209" i="5"/>
  <c r="AL12" i="5"/>
  <c r="AL53" i="5"/>
  <c r="AL6" i="5"/>
  <c r="AL262" i="5"/>
  <c r="AL215" i="5"/>
  <c r="AL96" i="5"/>
  <c r="AL73" i="5"/>
  <c r="AL90" i="5"/>
  <c r="AL107" i="5"/>
  <c r="AL20" i="5"/>
  <c r="AL61" i="5"/>
  <c r="AL14" i="5"/>
  <c r="AL28" i="5"/>
  <c r="AL5" i="5"/>
  <c r="AL261" i="5"/>
  <c r="AL214" i="5"/>
  <c r="AL231" i="5"/>
  <c r="AL112" i="5"/>
  <c r="AL89" i="5"/>
  <c r="AL106" i="5"/>
  <c r="AL123" i="5"/>
  <c r="AL108" i="5"/>
  <c r="AL85" i="5"/>
  <c r="AL102" i="5"/>
  <c r="AL119" i="5"/>
  <c r="AL128" i="5"/>
  <c r="AL105" i="5"/>
  <c r="AL122" i="5"/>
  <c r="AL75" i="5"/>
  <c r="V81" i="5"/>
  <c r="W81" i="5" s="1"/>
  <c r="V255" i="5"/>
  <c r="W255" i="5" s="1"/>
  <c r="V172" i="5"/>
  <c r="W172" i="5" s="1"/>
  <c r="AL180" i="5"/>
  <c r="AL157" i="5"/>
  <c r="AL174" i="5"/>
  <c r="AL191" i="5"/>
  <c r="V77" i="5"/>
  <c r="W77" i="5" s="1"/>
  <c r="AL211" i="5"/>
  <c r="V157" i="5"/>
  <c r="W157" i="5" s="1"/>
  <c r="AL163" i="5"/>
  <c r="V92" i="5"/>
  <c r="W92" i="5" s="1"/>
  <c r="AL34" i="5"/>
  <c r="AL67" i="5"/>
  <c r="V202" i="5"/>
  <c r="W202" i="5" s="1"/>
  <c r="AL65" i="5"/>
  <c r="AL142" i="5"/>
  <c r="V182" i="5"/>
  <c r="W182" i="5" s="1"/>
  <c r="AL162" i="5"/>
  <c r="AL245" i="5"/>
  <c r="AL151" i="5"/>
  <c r="AL32" i="5"/>
  <c r="AL43" i="5"/>
  <c r="AL212" i="5"/>
  <c r="AL220" i="5"/>
  <c r="AL167" i="5"/>
  <c r="AL48" i="5"/>
  <c r="AL42" i="5"/>
  <c r="AL44" i="5"/>
  <c r="AL55" i="5"/>
  <c r="AL64" i="5"/>
  <c r="AL58" i="5"/>
  <c r="AL93" i="5"/>
  <c r="AL127" i="5"/>
  <c r="AL81" i="5"/>
  <c r="AL207" i="5"/>
  <c r="AL4" i="5"/>
  <c r="AL76" i="5"/>
  <c r="AL117" i="5"/>
  <c r="AL70" i="5"/>
  <c r="AL23" i="5"/>
  <c r="AL160" i="5"/>
  <c r="AL137" i="5"/>
  <c r="AL154" i="5"/>
  <c r="AL171" i="5"/>
  <c r="AL84" i="5"/>
  <c r="AL125" i="5"/>
  <c r="AL92" i="5"/>
  <c r="AL69" i="5"/>
  <c r="AL22" i="5"/>
  <c r="AL39" i="5"/>
  <c r="AL176" i="5"/>
  <c r="AL153" i="5"/>
  <c r="AL170" i="5"/>
  <c r="AL187" i="5"/>
  <c r="AL172" i="5"/>
  <c r="AL149" i="5"/>
  <c r="AL166" i="5"/>
  <c r="AL183" i="5"/>
  <c r="AL192" i="5"/>
  <c r="AL169" i="5"/>
  <c r="AL186" i="5"/>
  <c r="AL139" i="5"/>
  <c r="AL244" i="5"/>
  <c r="AL221" i="5"/>
  <c r="AL238" i="5"/>
  <c r="AL255" i="5"/>
  <c r="AL136" i="5"/>
  <c r="AL248" i="5"/>
  <c r="AL88" i="5"/>
  <c r="AL243" i="5"/>
  <c r="AL200" i="5"/>
  <c r="AL232" i="5"/>
  <c r="AL159" i="5"/>
  <c r="AL129" i="5"/>
  <c r="V236" i="5"/>
  <c r="W236" i="5" s="1"/>
  <c r="V244" i="5"/>
  <c r="W244" i="5" s="1"/>
  <c r="V110" i="5"/>
  <c r="W110" i="5" s="1"/>
  <c r="V216" i="5"/>
  <c r="W216" i="5" s="1"/>
  <c r="V54" i="5"/>
  <c r="W54" i="5" s="1"/>
  <c r="S137" i="5" a="1"/>
  <c r="S137" i="5" s="1"/>
  <c r="U137" i="5" a="1"/>
  <c r="U137" i="5" s="1"/>
  <c r="S184" i="5" a="1"/>
  <c r="S184" i="5" s="1"/>
  <c r="U184" i="5" a="1"/>
  <c r="U184" i="5" s="1"/>
  <c r="S111" i="5" a="1"/>
  <c r="S111" i="5" s="1"/>
  <c r="U111" i="5" a="1"/>
  <c r="U111" i="5" s="1"/>
  <c r="U234" i="5" a="1"/>
  <c r="U234" i="5" s="1"/>
  <c r="S233" i="5" a="1"/>
  <c r="S233" i="5" s="1"/>
  <c r="AG233" i="5" s="1"/>
  <c r="U233" i="5" a="1"/>
  <c r="U233" i="5" s="1"/>
  <c r="S156" i="5" a="1"/>
  <c r="S156" i="5" s="1"/>
  <c r="U156" i="5" a="1"/>
  <c r="U156" i="5" s="1"/>
  <c r="S153" i="5" a="1"/>
  <c r="S153" i="5" s="1"/>
  <c r="U153" i="5" a="1"/>
  <c r="U153" i="5" s="1"/>
  <c r="S196" i="5" a="1"/>
  <c r="S196" i="5" s="1"/>
  <c r="U196" i="5" a="1"/>
  <c r="U196" i="5" s="1"/>
  <c r="S252" i="5" a="1"/>
  <c r="S252" i="5" s="1"/>
  <c r="U252" i="5" a="1"/>
  <c r="U252" i="5" s="1"/>
  <c r="U199" i="5" a="1"/>
  <c r="U199" i="5" s="1"/>
  <c r="S199" i="5" a="1"/>
  <c r="S199" i="5" s="1"/>
  <c r="U77" i="5" a="1"/>
  <c r="U77" i="5" s="1"/>
  <c r="S77" i="5" a="1"/>
  <c r="S77" i="5" s="1"/>
  <c r="S132" i="5" a="1"/>
  <c r="S132" i="5" s="1"/>
  <c r="U132" i="5" a="1"/>
  <c r="U132" i="5" s="1"/>
  <c r="S209" i="5" a="1"/>
  <c r="S209" i="5" s="1"/>
  <c r="U209" i="5" a="1"/>
  <c r="U209" i="5" s="1"/>
  <c r="S127" i="5" a="1"/>
  <c r="S127" i="5" s="1"/>
  <c r="U127" i="5" a="1"/>
  <c r="U127" i="5" s="1"/>
  <c r="S210" i="5" a="1"/>
  <c r="S210" i="5" s="1"/>
  <c r="U210" i="5" a="1"/>
  <c r="U210" i="5" s="1"/>
  <c r="S89" i="5" a="1"/>
  <c r="S89" i="5" s="1"/>
  <c r="U89" i="5" a="1"/>
  <c r="U89" i="5" s="1"/>
  <c r="S104" i="5" a="1"/>
  <c r="S104" i="5" s="1"/>
  <c r="U104" i="5" a="1"/>
  <c r="U104" i="5" s="1"/>
  <c r="S231" i="5" a="1"/>
  <c r="S231" i="5" s="1"/>
  <c r="U231" i="5" a="1"/>
  <c r="U231" i="5" s="1"/>
  <c r="S198" i="5" a="1"/>
  <c r="S198" i="5" s="1"/>
  <c r="U198" i="5" a="1"/>
  <c r="U198" i="5" s="1"/>
  <c r="S121" i="5" a="1"/>
  <c r="S121" i="5" s="1"/>
  <c r="U121" i="5" a="1"/>
  <c r="U121" i="5" s="1"/>
  <c r="U79" i="5" a="1"/>
  <c r="U79" i="5" s="1"/>
  <c r="S79" i="5" a="1"/>
  <c r="S79" i="5" s="1"/>
  <c r="U232" i="5" a="1"/>
  <c r="U232" i="5" s="1"/>
  <c r="S232" i="5" a="1"/>
  <c r="S232" i="5" s="1"/>
  <c r="S145" i="5" a="1"/>
  <c r="S145" i="5" s="1"/>
  <c r="U145" i="5" a="1"/>
  <c r="U145" i="5" s="1"/>
  <c r="S221" i="5" a="1"/>
  <c r="S221" i="5" s="1"/>
  <c r="U221" i="5" a="1"/>
  <c r="U221" i="5" s="1"/>
  <c r="S214" i="5" a="1"/>
  <c r="S214" i="5" s="1"/>
  <c r="U214" i="5" a="1"/>
  <c r="U214" i="5" s="1"/>
  <c r="S253" i="5" a="1"/>
  <c r="S253" i="5" s="1"/>
  <c r="U253" i="5" a="1"/>
  <c r="U253" i="5" s="1"/>
  <c r="S258" i="5" a="1"/>
  <c r="S258" i="5" s="1"/>
  <c r="U258" i="5" a="1"/>
  <c r="U258" i="5" s="1"/>
  <c r="U118" i="5" a="1"/>
  <c r="U118" i="5" s="1"/>
  <c r="S118" i="5" a="1"/>
  <c r="S118" i="5" s="1"/>
  <c r="S245" i="5" a="1"/>
  <c r="S245" i="5" s="1"/>
  <c r="U245" i="5" a="1"/>
  <c r="U245" i="5" s="1"/>
  <c r="S136" i="5" a="1"/>
  <c r="S136" i="5" s="1"/>
  <c r="U136" i="5" a="1"/>
  <c r="U136" i="5" s="1"/>
  <c r="S116" i="5" a="1"/>
  <c r="S116" i="5" s="1"/>
  <c r="U116" i="5" a="1"/>
  <c r="U116" i="5" s="1"/>
  <c r="S113" i="5" a="1"/>
  <c r="S113" i="5" s="1"/>
  <c r="U113" i="5" a="1"/>
  <c r="U113" i="5" s="1"/>
  <c r="S169" i="5" a="1"/>
  <c r="S169" i="5" s="1"/>
  <c r="U169" i="5" a="1"/>
  <c r="U169" i="5" s="1"/>
  <c r="S142" i="5" a="1"/>
  <c r="S142" i="5" s="1"/>
  <c r="U142" i="5" a="1"/>
  <c r="U142" i="5" s="1"/>
  <c r="S218" i="5" a="1"/>
  <c r="S218" i="5" s="1"/>
  <c r="U218" i="5" a="1"/>
  <c r="U218" i="5" s="1"/>
  <c r="S157" i="5" a="1"/>
  <c r="S157" i="5" s="1"/>
  <c r="U157" i="5" a="1"/>
  <c r="U157" i="5" s="1"/>
  <c r="U230" i="5" a="1"/>
  <c r="U230" i="5" s="1"/>
  <c r="S229" i="5" a="1"/>
  <c r="S229" i="5" s="1"/>
  <c r="AG229" i="5" s="1"/>
  <c r="U229" i="5" a="1"/>
  <c r="U229" i="5" s="1"/>
  <c r="S173" i="5" a="1"/>
  <c r="S173" i="5" s="1"/>
  <c r="U173" i="5" a="1"/>
  <c r="U173" i="5" s="1"/>
  <c r="S168" i="5" a="1"/>
  <c r="S168" i="5" s="1"/>
  <c r="U168" i="5" a="1"/>
  <c r="U168" i="5" s="1"/>
  <c r="S85" i="5" a="1"/>
  <c r="S85" i="5" s="1"/>
  <c r="U85" i="5" a="1"/>
  <c r="U85" i="5" s="1"/>
  <c r="S81" i="5" a="1"/>
  <c r="S81" i="5" s="1"/>
  <c r="U81" i="5" a="1"/>
  <c r="U81" i="5" s="1"/>
  <c r="S133" i="5" a="1"/>
  <c r="S133" i="5" s="1"/>
  <c r="U133" i="5" a="1"/>
  <c r="U133" i="5" s="1"/>
  <c r="U166" i="5" a="1"/>
  <c r="U166" i="5" s="1"/>
  <c r="S166" i="5" a="1"/>
  <c r="S166" i="5" s="1"/>
  <c r="S263" i="5" a="1"/>
  <c r="S263" i="5" s="1"/>
  <c r="U263" i="5" a="1"/>
  <c r="U263" i="5" s="1"/>
  <c r="U152" i="5" a="1"/>
  <c r="U152" i="5" s="1"/>
  <c r="S152" i="5" a="1"/>
  <c r="S152" i="5" s="1"/>
  <c r="S225" i="5" a="1"/>
  <c r="S225" i="5" s="1"/>
  <c r="U225" i="5" a="1"/>
  <c r="U225" i="5" s="1"/>
  <c r="S150" i="5" a="1"/>
  <c r="S150" i="5" s="1"/>
  <c r="U150" i="5" a="1"/>
  <c r="U150" i="5" s="1"/>
  <c r="V247" i="5"/>
  <c r="W247" i="5" s="1"/>
  <c r="V189" i="5"/>
  <c r="W189" i="5" s="1"/>
  <c r="V229" i="5"/>
  <c r="W229" i="5" s="1"/>
  <c r="V217" i="5"/>
  <c r="W217" i="5" s="1"/>
  <c r="V260" i="5"/>
  <c r="W260" i="5" s="1"/>
  <c r="V148" i="5"/>
  <c r="W148" i="5" s="1"/>
  <c r="V197" i="5"/>
  <c r="W197" i="5" s="1"/>
  <c r="V163" i="5"/>
  <c r="W163" i="5" s="1"/>
  <c r="AL124" i="5"/>
  <c r="AL37" i="5"/>
  <c r="AL246" i="5"/>
  <c r="AL199" i="5"/>
  <c r="V41" i="5"/>
  <c r="W41" i="5" s="1"/>
  <c r="V206" i="5"/>
  <c r="W206" i="5" s="1"/>
  <c r="V234" i="5"/>
  <c r="W234" i="5" s="1"/>
  <c r="V214" i="5"/>
  <c r="W214" i="5" s="1"/>
  <c r="AL208" i="5"/>
  <c r="AL121" i="5"/>
  <c r="AL74" i="5"/>
  <c r="AL27" i="5"/>
  <c r="V11" i="5"/>
  <c r="W11" i="5" s="1"/>
  <c r="V144" i="5"/>
  <c r="W144" i="5" s="1"/>
  <c r="V53" i="5"/>
  <c r="W53" i="5" s="1"/>
  <c r="AL68" i="5"/>
  <c r="AL237" i="5"/>
  <c r="AL190" i="5"/>
  <c r="AL143" i="5"/>
  <c r="AL19" i="5"/>
  <c r="V173" i="5"/>
  <c r="W173" i="5" s="1"/>
  <c r="AL227" i="5"/>
  <c r="AL51" i="5"/>
  <c r="AL223" i="5"/>
  <c r="V67" i="5"/>
  <c r="W67" i="5" s="1"/>
  <c r="V138" i="5"/>
  <c r="W138" i="5" s="1"/>
  <c r="V37" i="5"/>
  <c r="W37" i="5" s="1"/>
  <c r="V185" i="5"/>
  <c r="W185" i="5" s="1"/>
  <c r="S202" i="5" a="1"/>
  <c r="S202" i="5" s="1"/>
  <c r="U202" i="5" a="1"/>
  <c r="U202" i="5" s="1"/>
  <c r="S126" i="5" a="1"/>
  <c r="S126" i="5" s="1"/>
  <c r="U126" i="5" a="1"/>
  <c r="U126" i="5" s="1"/>
  <c r="U190" i="5" a="1"/>
  <c r="U190" i="5" s="1"/>
  <c r="S190" i="5" a="1"/>
  <c r="S190" i="5" s="1"/>
  <c r="S183" i="5" a="1"/>
  <c r="S183" i="5" s="1"/>
  <c r="U183" i="5" a="1"/>
  <c r="U183" i="5" s="1"/>
  <c r="S248" i="5" a="1"/>
  <c r="S248" i="5" s="1"/>
  <c r="U248" i="5" a="1"/>
  <c r="U248" i="5" s="1"/>
  <c r="S227" i="5" a="1"/>
  <c r="S227" i="5" s="1"/>
  <c r="U227" i="5" a="1"/>
  <c r="U227" i="5" s="1"/>
  <c r="S222" i="5" a="1"/>
  <c r="S222" i="5" s="1"/>
  <c r="U222" i="5" a="1"/>
  <c r="U222" i="5" s="1"/>
  <c r="S125" i="5" a="1"/>
  <c r="S125" i="5" s="1"/>
  <c r="U125" i="5" a="1"/>
  <c r="U125" i="5" s="1"/>
  <c r="S135" i="5" a="1"/>
  <c r="S135" i="5" s="1"/>
  <c r="U135" i="5" a="1"/>
  <c r="U135" i="5" s="1"/>
  <c r="S140" i="5" a="1"/>
  <c r="S140" i="5" s="1"/>
  <c r="U140" i="5" a="1"/>
  <c r="U140" i="5" s="1"/>
  <c r="S134" i="5" a="1"/>
  <c r="S134" i="5" s="1"/>
  <c r="U134" i="5" a="1"/>
  <c r="U134" i="5" s="1"/>
  <c r="S163" i="5" a="1"/>
  <c r="S163" i="5" s="1"/>
  <c r="U163" i="5" a="1"/>
  <c r="U163" i="5" s="1"/>
  <c r="S170" i="5" a="1"/>
  <c r="S170" i="5" s="1"/>
  <c r="U170" i="5" a="1"/>
  <c r="U170" i="5" s="1"/>
  <c r="S262" i="5" a="1"/>
  <c r="S262" i="5" s="1"/>
  <c r="U262" i="5" a="1"/>
  <c r="U262" i="5" s="1"/>
  <c r="S223" i="5" a="1"/>
  <c r="S223" i="5" s="1"/>
  <c r="U223" i="5" a="1"/>
  <c r="U223" i="5" s="1"/>
  <c r="S246" i="5" a="1"/>
  <c r="S246" i="5" s="1"/>
  <c r="U246" i="5" a="1"/>
  <c r="U246" i="5" s="1"/>
  <c r="S161" i="5" a="1"/>
  <c r="S161" i="5" s="1"/>
  <c r="U161" i="5" a="1"/>
  <c r="U161" i="5" s="1"/>
  <c r="S129" i="5" a="1"/>
  <c r="S129" i="5" s="1"/>
  <c r="U129" i="5" a="1"/>
  <c r="U129" i="5" s="1"/>
  <c r="U249" i="5" a="1"/>
  <c r="U249" i="5" s="1"/>
  <c r="S249" i="5" a="1"/>
  <c r="S249" i="5" s="1"/>
  <c r="S250" i="5" a="1"/>
  <c r="S250" i="5" s="1"/>
  <c r="U250" i="5" a="1"/>
  <c r="U250" i="5" s="1"/>
  <c r="U92" i="5" a="1"/>
  <c r="U92" i="5" s="1"/>
  <c r="S92" i="5" a="1"/>
  <c r="S92" i="5" s="1"/>
  <c r="S201" i="5" a="1"/>
  <c r="S201" i="5" s="1"/>
  <c r="U201" i="5" a="1"/>
  <c r="U201" i="5" s="1"/>
  <c r="S124" i="5" a="1"/>
  <c r="S124" i="5" s="1"/>
  <c r="U124" i="5" a="1"/>
  <c r="U124" i="5" s="1"/>
  <c r="S101" i="5" a="1"/>
  <c r="S101" i="5" s="1"/>
  <c r="U101" i="5" a="1"/>
  <c r="U101" i="5" s="1"/>
  <c r="S188" i="5" a="1"/>
  <c r="S188" i="5" s="1"/>
  <c r="U188" i="5" a="1"/>
  <c r="U188" i="5" s="1"/>
  <c r="S215" i="5" a="1"/>
  <c r="S215" i="5" s="1"/>
  <c r="U215" i="5" a="1"/>
  <c r="U215" i="5" s="1"/>
  <c r="U236" i="5" a="1"/>
  <c r="U236" i="5" s="1"/>
  <c r="S236" i="5" a="1"/>
  <c r="S236" i="5" s="1"/>
  <c r="S151" i="5" a="1"/>
  <c r="S151" i="5" s="1"/>
  <c r="U151" i="5" a="1"/>
  <c r="U151" i="5" s="1"/>
  <c r="S88" i="5" a="1"/>
  <c r="S88" i="5" s="1"/>
  <c r="U88" i="5" a="1"/>
  <c r="U88" i="5" s="1"/>
  <c r="U115" i="5" a="1"/>
  <c r="U115" i="5" s="1"/>
  <c r="S115" i="5" a="1"/>
  <c r="S115" i="5" s="1"/>
  <c r="S241" i="5" a="1"/>
  <c r="S241" i="5" s="1"/>
  <c r="U241" i="5" a="1"/>
  <c r="U241" i="5" s="1"/>
  <c r="S197" i="5" a="1"/>
  <c r="S197" i="5" s="1"/>
  <c r="U197" i="5" a="1"/>
  <c r="U197" i="5" s="1"/>
  <c r="S179" i="5" a="1"/>
  <c r="S179" i="5" s="1"/>
  <c r="U179" i="5" a="1"/>
  <c r="U179" i="5" s="1"/>
  <c r="S211" i="5" a="1"/>
  <c r="S211" i="5" s="1"/>
  <c r="U211" i="5" a="1"/>
  <c r="U211" i="5" s="1"/>
  <c r="S105" i="5" a="1"/>
  <c r="S105" i="5" s="1"/>
  <c r="U105" i="5" a="1"/>
  <c r="U105" i="5" s="1"/>
  <c r="S207" i="5" a="1"/>
  <c r="S207" i="5" s="1"/>
  <c r="U207" i="5" a="1"/>
  <c r="U207" i="5" s="1"/>
  <c r="S177" i="5" a="1"/>
  <c r="S177" i="5" s="1"/>
  <c r="U177" i="5" a="1"/>
  <c r="U177" i="5" s="1"/>
  <c r="S192" i="5" a="1"/>
  <c r="S192" i="5" s="1"/>
  <c r="U192" i="5" a="1"/>
  <c r="U192" i="5" s="1"/>
  <c r="S195" i="5" a="1"/>
  <c r="S195" i="5" s="1"/>
  <c r="U195" i="5" a="1"/>
  <c r="U195" i="5" s="1"/>
  <c r="S122" i="5" a="1"/>
  <c r="S122" i="5" s="1"/>
  <c r="U122" i="5" a="1"/>
  <c r="U122" i="5" s="1"/>
  <c r="S259" i="5" a="1"/>
  <c r="S259" i="5" s="1"/>
  <c r="U259" i="5" a="1"/>
  <c r="U259" i="5" s="1"/>
  <c r="S237" i="5" a="1"/>
  <c r="S237" i="5" s="1"/>
  <c r="U237" i="5" a="1"/>
  <c r="U237" i="5" s="1"/>
  <c r="S191" i="5" a="1"/>
  <c r="S191" i="5" s="1"/>
  <c r="U191" i="5" a="1"/>
  <c r="U191" i="5" s="1"/>
  <c r="S200" i="5" a="1"/>
  <c r="S200" i="5" s="1"/>
  <c r="U200" i="5" a="1"/>
  <c r="U200" i="5" s="1"/>
  <c r="U228" i="5" a="1"/>
  <c r="U228" i="5" s="1"/>
  <c r="S228" i="5" a="1"/>
  <c r="S228" i="5" s="1"/>
  <c r="S186" i="5" a="1"/>
  <c r="S186" i="5" s="1"/>
  <c r="U186" i="5" a="1"/>
  <c r="U186" i="5" s="1"/>
  <c r="S205" i="5" a="1"/>
  <c r="S205" i="5" s="1"/>
  <c r="U205" i="5" a="1"/>
  <c r="U205" i="5" s="1"/>
  <c r="S84" i="5" a="1"/>
  <c r="S84" i="5" s="1"/>
  <c r="U84" i="5" a="1"/>
  <c r="U84" i="5" s="1"/>
  <c r="V107" i="5"/>
  <c r="W107" i="5" s="1"/>
  <c r="V10" i="5"/>
  <c r="W10" i="5" s="1"/>
  <c r="V184" i="5"/>
  <c r="W184" i="5" s="1"/>
  <c r="V93" i="5"/>
  <c r="W93" i="5" s="1"/>
  <c r="V64" i="5"/>
  <c r="W64" i="5" s="1"/>
  <c r="V33" i="5"/>
  <c r="W33" i="5" s="1"/>
  <c r="V71" i="5"/>
  <c r="W71" i="5" s="1"/>
  <c r="V44" i="5"/>
  <c r="W44" i="5" s="1"/>
  <c r="AL188" i="5"/>
  <c r="AL101" i="5"/>
  <c r="AL54" i="5"/>
  <c r="AL7" i="5"/>
  <c r="AL263" i="5"/>
  <c r="V195" i="5"/>
  <c r="W195" i="5" s="1"/>
  <c r="V180" i="5"/>
  <c r="W180" i="5" s="1"/>
  <c r="V109" i="5"/>
  <c r="W109" i="5" s="1"/>
  <c r="AL16" i="5"/>
  <c r="AL185" i="5"/>
  <c r="AL138" i="5"/>
  <c r="AL91" i="5"/>
  <c r="V205" i="5"/>
  <c r="W205" i="5" s="1"/>
  <c r="V141" i="5"/>
  <c r="W141" i="5" s="1"/>
  <c r="V219" i="5"/>
  <c r="W219" i="5" s="1"/>
  <c r="AL132" i="5"/>
  <c r="AL45" i="5"/>
  <c r="AL254" i="5"/>
  <c r="V174" i="5"/>
  <c r="W174" i="5" s="1"/>
  <c r="V177" i="5"/>
  <c r="W177" i="5" s="1"/>
  <c r="V74" i="5"/>
  <c r="W74" i="5" s="1"/>
  <c r="AL206" i="5"/>
  <c r="AL8" i="5"/>
  <c r="AL216" i="5"/>
  <c r="V171" i="5"/>
  <c r="W171" i="5" s="1"/>
  <c r="V16" i="5"/>
  <c r="W16" i="5" s="1"/>
  <c r="V208" i="5"/>
  <c r="W208" i="5" s="1"/>
  <c r="V162" i="5"/>
  <c r="W162" i="5" s="1"/>
  <c r="V191" i="5"/>
  <c r="W191" i="5" s="1"/>
  <c r="V88" i="5"/>
  <c r="W88" i="5" s="1"/>
  <c r="V117" i="5"/>
  <c r="W117" i="5" s="1"/>
  <c r="S117" i="5" a="1"/>
  <c r="S117" i="5" s="1"/>
  <c r="U117" i="5" a="1"/>
  <c r="U117" i="5" s="1"/>
  <c r="S217" i="5" a="1"/>
  <c r="S217" i="5" s="1"/>
  <c r="U217" i="5" a="1"/>
  <c r="U217" i="5" s="1"/>
  <c r="S260" i="5" a="1"/>
  <c r="S260" i="5" s="1"/>
  <c r="U260" i="5" a="1"/>
  <c r="U260" i="5" s="1"/>
  <c r="S243" i="5" a="1"/>
  <c r="S243" i="5" s="1"/>
  <c r="U243" i="5" a="1"/>
  <c r="U243" i="5" s="1"/>
  <c r="U167" i="5" a="1"/>
  <c r="U167" i="5" s="1"/>
  <c r="S167" i="5" a="1"/>
  <c r="S167" i="5" s="1"/>
  <c r="S189" i="5" a="1"/>
  <c r="S189" i="5" s="1"/>
  <c r="U189" i="5" a="1"/>
  <c r="U189" i="5" s="1"/>
  <c r="S185" i="5" a="1"/>
  <c r="S185" i="5" s="1"/>
  <c r="U185" i="5" a="1"/>
  <c r="U185" i="5" s="1"/>
  <c r="S154" i="5" a="1"/>
  <c r="S154" i="5" s="1"/>
  <c r="U154" i="5" a="1"/>
  <c r="U154" i="5" s="1"/>
  <c r="S103" i="5" a="1"/>
  <c r="S103" i="5" s="1"/>
  <c r="U103" i="5" a="1"/>
  <c r="U103" i="5" s="1"/>
  <c r="S78" i="5" a="1"/>
  <c r="S78" i="5" s="1"/>
  <c r="U78" i="5" a="1"/>
  <c r="U78" i="5" s="1"/>
  <c r="S204" i="5" a="1"/>
  <c r="S204" i="5" s="1"/>
  <c r="U204" i="5" a="1"/>
  <c r="U204" i="5" s="1"/>
  <c r="S226" i="5" a="1"/>
  <c r="S226" i="5" s="1"/>
  <c r="U226" i="5" a="1"/>
  <c r="U226" i="5" s="1"/>
  <c r="S99" i="5" a="1"/>
  <c r="S99" i="5" s="1"/>
  <c r="U99" i="5" a="1"/>
  <c r="U99" i="5" s="1"/>
  <c r="U206" i="5" a="1"/>
  <c r="U206" i="5" s="1"/>
  <c r="S206" i="5" a="1"/>
  <c r="S206" i="5" s="1"/>
  <c r="S148" i="5" a="1"/>
  <c r="S148" i="5" s="1"/>
  <c r="U148" i="5" a="1"/>
  <c r="U148" i="5" s="1"/>
  <c r="S83" i="5" a="1"/>
  <c r="S83" i="5" s="1"/>
  <c r="U83" i="5" a="1"/>
  <c r="U83" i="5" s="1"/>
  <c r="S95" i="5" a="1"/>
  <c r="S95" i="5" s="1"/>
  <c r="U95" i="5" a="1"/>
  <c r="U95" i="5" s="1"/>
  <c r="S216" i="5" a="1"/>
  <c r="S216" i="5" s="1"/>
  <c r="U216" i="5" a="1"/>
  <c r="U216" i="5" s="1"/>
  <c r="S102" i="5" a="1"/>
  <c r="S102" i="5" s="1"/>
  <c r="U102" i="5" a="1"/>
  <c r="U102" i="5" s="1"/>
  <c r="S110" i="5" a="1"/>
  <c r="S110" i="5" s="1"/>
  <c r="U110" i="5" a="1"/>
  <c r="U110" i="5" s="1"/>
  <c r="S149" i="5" a="1"/>
  <c r="S149" i="5" s="1"/>
  <c r="U149" i="5" a="1"/>
  <c r="U149" i="5" s="1"/>
  <c r="S255" i="5" a="1"/>
  <c r="S255" i="5" s="1"/>
  <c r="U255" i="5" a="1"/>
  <c r="U255" i="5" s="1"/>
  <c r="S100" i="5" a="1"/>
  <c r="S100" i="5" s="1"/>
  <c r="U100" i="5" a="1"/>
  <c r="U100" i="5" s="1"/>
  <c r="S112" i="5" a="1"/>
  <c r="S112" i="5" s="1"/>
  <c r="U112" i="5" a="1"/>
  <c r="U112" i="5" s="1"/>
  <c r="S141" i="5" a="1"/>
  <c r="S141" i="5" s="1"/>
  <c r="U141" i="5" a="1"/>
  <c r="U141" i="5" s="1"/>
  <c r="S144" i="5" a="1"/>
  <c r="S144" i="5" s="1"/>
  <c r="U144" i="5" a="1"/>
  <c r="U144" i="5" s="1"/>
  <c r="U212" i="5" a="1"/>
  <c r="U212" i="5" s="1"/>
  <c r="S212" i="5" a="1"/>
  <c r="S212" i="5" s="1"/>
  <c r="S130" i="5" a="1"/>
  <c r="S130" i="5" s="1"/>
  <c r="U130" i="5" a="1"/>
  <c r="U130" i="5" s="1"/>
  <c r="S171" i="5" a="1"/>
  <c r="S171" i="5" s="1"/>
  <c r="U171" i="5" a="1"/>
  <c r="U171" i="5" s="1"/>
  <c r="S256" i="5" a="1"/>
  <c r="S256" i="5" s="1"/>
  <c r="U256" i="5" a="1"/>
  <c r="U256" i="5" s="1"/>
  <c r="S143" i="5" a="1"/>
  <c r="S143" i="5" s="1"/>
  <c r="U143" i="5" a="1"/>
  <c r="U143" i="5" s="1"/>
  <c r="S182" i="5" a="1"/>
  <c r="S182" i="5" s="1"/>
  <c r="U182" i="5" a="1"/>
  <c r="U182" i="5" s="1"/>
  <c r="S244" i="5" a="1"/>
  <c r="S244" i="5" s="1"/>
  <c r="U244" i="5" a="1"/>
  <c r="U244" i="5" s="1"/>
  <c r="S76" i="5" a="1"/>
  <c r="S76" i="5" s="1"/>
  <c r="S80" i="5" a="1"/>
  <c r="S80" i="5" s="1"/>
  <c r="U80" i="5" a="1"/>
  <c r="U80" i="5" s="1"/>
  <c r="S86" i="5" a="1"/>
  <c r="S86" i="5" s="1"/>
  <c r="U86" i="5" a="1"/>
  <c r="U86" i="5" s="1"/>
  <c r="U131" i="5" a="1"/>
  <c r="U131" i="5" s="1"/>
  <c r="S131" i="5" a="1"/>
  <c r="S131" i="5" s="1"/>
  <c r="S181" i="5" a="1"/>
  <c r="S181" i="5" s="1"/>
  <c r="U181" i="5" a="1"/>
  <c r="U181" i="5" s="1"/>
  <c r="S235" i="5" a="1"/>
  <c r="S235" i="5" s="1"/>
  <c r="U235" i="5" a="1"/>
  <c r="U235" i="5" s="1"/>
  <c r="S261" i="5" a="1"/>
  <c r="S261" i="5" s="1"/>
  <c r="U261" i="5" a="1"/>
  <c r="U261" i="5" s="1"/>
  <c r="S106" i="5" a="1"/>
  <c r="S106" i="5" s="1"/>
  <c r="U106" i="5" a="1"/>
  <c r="U106" i="5" s="1"/>
  <c r="S162" i="5" a="1"/>
  <c r="S162" i="5" s="1"/>
  <c r="U162" i="5" a="1"/>
  <c r="U162" i="5" s="1"/>
  <c r="S98" i="5" a="1"/>
  <c r="S98" i="5" s="1"/>
  <c r="U98" i="5" a="1"/>
  <c r="U98" i="5" s="1"/>
  <c r="S193" i="5" a="1"/>
  <c r="S193" i="5" s="1"/>
  <c r="U193" i="5" a="1"/>
  <c r="U193" i="5" s="1"/>
  <c r="U138" i="5" a="1"/>
  <c r="U138" i="5" s="1"/>
  <c r="S138" i="5" a="1"/>
  <c r="S138" i="5" s="1"/>
  <c r="D75" i="5"/>
  <c r="E75" i="5"/>
  <c r="K75" i="5"/>
  <c r="I75" i="5"/>
  <c r="H75" i="5"/>
  <c r="G75" i="5"/>
  <c r="N75" i="5"/>
  <c r="P75" i="5"/>
  <c r="O75" i="5"/>
  <c r="Q75" i="5"/>
  <c r="J75" i="5"/>
  <c r="M75" i="5"/>
  <c r="F75" i="5"/>
  <c r="C75" i="5"/>
  <c r="L75" i="5"/>
  <c r="C11" i="7"/>
  <c r="B12" i="7"/>
  <c r="C18" i="7"/>
  <c r="C14" i="7"/>
  <c r="C17" i="7"/>
  <c r="B14" i="7"/>
  <c r="C15" i="7"/>
  <c r="C9" i="7"/>
  <c r="C13" i="7"/>
  <c r="B10" i="7"/>
  <c r="C7" i="7"/>
  <c r="C8" i="7"/>
  <c r="B6" i="7"/>
  <c r="B15" i="7"/>
  <c r="C12" i="7"/>
  <c r="B7" i="7"/>
  <c r="C5" i="7"/>
  <c r="B19" i="7"/>
  <c r="B18" i="7"/>
  <c r="B16" i="7"/>
  <c r="C19" i="7"/>
  <c r="C10" i="7"/>
  <c r="B13" i="7"/>
  <c r="C16" i="7"/>
  <c r="B8" i="7"/>
  <c r="B9" i="7"/>
  <c r="B11" i="7"/>
  <c r="B5" i="7"/>
  <c r="B17" i="7"/>
  <c r="C6" i="7"/>
  <c r="V52" i="5"/>
  <c r="W52" i="5" s="1"/>
  <c r="V227" i="5"/>
  <c r="W227" i="5" s="1"/>
  <c r="V60" i="5"/>
  <c r="W60" i="5" s="1"/>
  <c r="V188" i="5"/>
  <c r="W188" i="5" s="1"/>
  <c r="V130" i="5"/>
  <c r="W130" i="5" s="1"/>
  <c r="V30" i="5"/>
  <c r="W30" i="5" s="1"/>
  <c r="V58" i="5"/>
  <c r="W58" i="5" s="1"/>
  <c r="V38" i="5"/>
  <c r="W38" i="5" s="1"/>
  <c r="AL252" i="5"/>
  <c r="AL165" i="5"/>
  <c r="AL118" i="5"/>
  <c r="AL71" i="5"/>
  <c r="V200" i="5"/>
  <c r="W200" i="5" s="1"/>
  <c r="V249" i="5"/>
  <c r="W249" i="5" s="1"/>
  <c r="V213" i="5"/>
  <c r="W213" i="5" s="1"/>
  <c r="AL80" i="5"/>
  <c r="AL249" i="5"/>
  <c r="AL202" i="5"/>
  <c r="AL155" i="5"/>
  <c r="V179" i="5"/>
  <c r="W179" i="5" s="1"/>
  <c r="V76" i="5"/>
  <c r="W76" i="5" s="1"/>
  <c r="V28" i="5"/>
  <c r="W28" i="5" s="1"/>
  <c r="V87" i="5"/>
  <c r="W87" i="5" s="1"/>
  <c r="AL196" i="5"/>
  <c r="AL109" i="5"/>
  <c r="AL62" i="5"/>
  <c r="AL15" i="5"/>
  <c r="V246" i="5"/>
  <c r="W246" i="5" s="1"/>
  <c r="AL152" i="5"/>
  <c r="V63" i="5"/>
  <c r="W63" i="5" s="1"/>
  <c r="V118" i="5"/>
  <c r="W118" i="5" s="1"/>
  <c r="AL177" i="5"/>
  <c r="AL35" i="5"/>
  <c r="V34" i="5"/>
  <c r="W34" i="5" s="1"/>
  <c r="AH67" i="5"/>
  <c r="V190" i="5"/>
  <c r="W190" i="5" s="1"/>
  <c r="V155" i="5"/>
  <c r="W155" i="5" s="1"/>
  <c r="B92" i="10" a="1"/>
  <c r="B92" i="10" s="1"/>
  <c r="B110" i="10" a="1"/>
  <c r="B110" i="10" s="1"/>
  <c r="B74" i="10" a="1"/>
  <c r="B74" i="10" s="1"/>
  <c r="V12" i="5"/>
  <c r="W12" i="5" s="1"/>
  <c r="V49" i="5"/>
  <c r="W49" i="5" s="1"/>
  <c r="V23" i="5"/>
  <c r="W23" i="5" s="1"/>
  <c r="V147" i="5"/>
  <c r="W147" i="5" s="1"/>
  <c r="V19" i="5"/>
  <c r="W19" i="5" s="1"/>
  <c r="V175" i="5"/>
  <c r="W175" i="5" s="1"/>
  <c r="V40" i="5"/>
  <c r="W40" i="5" s="1"/>
  <c r="V181" i="5"/>
  <c r="W181" i="5" s="1"/>
  <c r="V29" i="5"/>
  <c r="W29" i="5" s="1"/>
  <c r="V65" i="5"/>
  <c r="W65" i="5" s="1"/>
  <c r="V55" i="5"/>
  <c r="W55" i="5" s="1"/>
  <c r="AG73" i="5"/>
  <c r="AL78" i="5"/>
  <c r="AL100" i="5"/>
  <c r="AL77" i="5"/>
  <c r="AL158" i="5"/>
  <c r="AL47" i="5"/>
  <c r="AL239" i="5"/>
  <c r="AL147" i="5"/>
  <c r="AL56" i="5"/>
  <c r="AL24" i="5"/>
  <c r="AL193" i="5"/>
  <c r="AL161" i="5"/>
  <c r="AL104" i="5"/>
  <c r="AL179" i="5"/>
  <c r="AL242" i="5"/>
  <c r="AL164" i="5"/>
  <c r="AL13" i="5"/>
  <c r="AL205" i="5"/>
  <c r="AL94" i="5"/>
  <c r="AL175" i="5"/>
  <c r="AL72" i="5"/>
  <c r="AL194" i="5"/>
  <c r="AL178" i="5"/>
  <c r="AL146" i="5"/>
  <c r="AL17" i="5"/>
  <c r="AL226" i="5"/>
  <c r="AL184" i="5"/>
  <c r="AL36" i="5"/>
  <c r="AL228" i="5"/>
  <c r="AL141" i="5"/>
  <c r="AL30" i="5"/>
  <c r="AL222" i="5"/>
  <c r="AL111" i="5"/>
  <c r="AL241" i="5"/>
  <c r="AL99" i="5"/>
  <c r="V209" i="5"/>
  <c r="W209" i="5" s="1"/>
  <c r="V140" i="5"/>
  <c r="W140" i="5" s="1"/>
  <c r="V46" i="5"/>
  <c r="W46" i="5" s="1"/>
  <c r="AL31" i="5"/>
  <c r="AL130" i="5"/>
  <c r="AL82" i="5"/>
  <c r="AL195" i="5"/>
  <c r="AL40" i="5"/>
  <c r="S257" i="5" a="1"/>
  <c r="S257" i="5" s="1"/>
  <c r="U257" i="5" a="1"/>
  <c r="U257" i="5" s="1"/>
  <c r="S119" i="5" a="1"/>
  <c r="S119" i="5" s="1"/>
  <c r="U119" i="5" a="1"/>
  <c r="U119" i="5" s="1"/>
  <c r="S238" i="5" a="1"/>
  <c r="S238" i="5" s="1"/>
  <c r="U238" i="5" a="1"/>
  <c r="U238" i="5" s="1"/>
  <c r="U97" i="5" a="1"/>
  <c r="U97" i="5" s="1"/>
  <c r="S97" i="5" a="1"/>
  <c r="S97" i="5" s="1"/>
  <c r="S251" i="5" a="1"/>
  <c r="S251" i="5" s="1"/>
  <c r="U251" i="5" a="1"/>
  <c r="U251" i="5" s="1"/>
  <c r="S96" i="5" a="1"/>
  <c r="S96" i="5" s="1"/>
  <c r="U96" i="5" a="1"/>
  <c r="U96" i="5" s="1"/>
  <c r="S242" i="5" a="1"/>
  <c r="S242" i="5" s="1"/>
  <c r="U242" i="5" a="1"/>
  <c r="U242" i="5" s="1"/>
  <c r="S178" i="5" a="1"/>
  <c r="S178" i="5" s="1"/>
  <c r="U178" i="5" a="1"/>
  <c r="U178" i="5" s="1"/>
  <c r="S176" i="5" a="1"/>
  <c r="S176" i="5" s="1"/>
  <c r="U176" i="5" a="1"/>
  <c r="U176" i="5" s="1"/>
  <c r="S220" i="5" a="1"/>
  <c r="S220" i="5" s="1"/>
  <c r="U220" i="5" a="1"/>
  <c r="U220" i="5" s="1"/>
  <c r="S123" i="5" a="1"/>
  <c r="S123" i="5" s="1"/>
  <c r="U123" i="5" a="1"/>
  <c r="U123" i="5" s="1"/>
  <c r="U240" i="5" a="1"/>
  <c r="U240" i="5" s="1"/>
  <c r="S240" i="5" a="1"/>
  <c r="S240" i="5" s="1"/>
  <c r="U155" i="5" a="1"/>
  <c r="U155" i="5" s="1"/>
  <c r="S155" i="5" a="1"/>
  <c r="S155" i="5" s="1"/>
  <c r="S120" i="5" a="1"/>
  <c r="S120" i="5" s="1"/>
  <c r="U120" i="5" a="1"/>
  <c r="U120" i="5" s="1"/>
  <c r="S160" i="5" a="1"/>
  <c r="S160" i="5" s="1"/>
  <c r="U160" i="5" a="1"/>
  <c r="U160" i="5" s="1"/>
  <c r="S224" i="5" a="1"/>
  <c r="S224" i="5" s="1"/>
  <c r="U224" i="5" a="1"/>
  <c r="U224" i="5" s="1"/>
  <c r="U94" i="5" a="1"/>
  <c r="U94" i="5" s="1"/>
  <c r="S94" i="5" a="1"/>
  <c r="S94" i="5" s="1"/>
  <c r="S213" i="5" a="1"/>
  <c r="S213" i="5" s="1"/>
  <c r="U213" i="5" a="1"/>
  <c r="U213" i="5" s="1"/>
  <c r="S87" i="5" a="1"/>
  <c r="S87" i="5" s="1"/>
  <c r="U87" i="5" a="1"/>
  <c r="U87" i="5" s="1"/>
  <c r="S219" i="5" a="1"/>
  <c r="S219" i="5" s="1"/>
  <c r="U219" i="5" a="1"/>
  <c r="U219" i="5" s="1"/>
  <c r="S109" i="5" a="1"/>
  <c r="S109" i="5" s="1"/>
  <c r="U109" i="5" a="1"/>
  <c r="U109" i="5" s="1"/>
  <c r="S128" i="5" a="1"/>
  <c r="S128" i="5" s="1"/>
  <c r="U128" i="5" a="1"/>
  <c r="U128" i="5" s="1"/>
  <c r="S180" i="5" a="1"/>
  <c r="S180" i="5" s="1"/>
  <c r="U180" i="5" a="1"/>
  <c r="U180" i="5" s="1"/>
  <c r="S93" i="5" a="1"/>
  <c r="S93" i="5" s="1"/>
  <c r="U93" i="5" a="1"/>
  <c r="U93" i="5" s="1"/>
  <c r="U146" i="5" a="1"/>
  <c r="U146" i="5" s="1"/>
  <c r="S146" i="5" a="1"/>
  <c r="S146" i="5" s="1"/>
  <c r="S91" i="5" a="1"/>
  <c r="S91" i="5" s="1"/>
  <c r="U91" i="5" a="1"/>
  <c r="U91" i="5" s="1"/>
  <c r="S175" i="5" a="1"/>
  <c r="S175" i="5" s="1"/>
  <c r="U175" i="5" a="1"/>
  <c r="U175" i="5" s="1"/>
  <c r="S208" i="5" a="1"/>
  <c r="S208" i="5" s="1"/>
  <c r="U208" i="5" a="1"/>
  <c r="U208" i="5" s="1"/>
  <c r="S159" i="5" a="1"/>
  <c r="S159" i="5" s="1"/>
  <c r="U159" i="5" a="1"/>
  <c r="U159" i="5" s="1"/>
  <c r="U172" i="5" a="1"/>
  <c r="U172" i="5" s="1"/>
  <c r="S172" i="5" a="1"/>
  <c r="S172" i="5" s="1"/>
  <c r="S239" i="5" a="1"/>
  <c r="S239" i="5" s="1"/>
  <c r="U239" i="5" a="1"/>
  <c r="U239" i="5" s="1"/>
  <c r="S90" i="5" a="1"/>
  <c r="S90" i="5" s="1"/>
  <c r="U90" i="5" a="1"/>
  <c r="U90" i="5" s="1"/>
  <c r="S108" i="5" a="1"/>
  <c r="S108" i="5" s="1"/>
  <c r="U108" i="5" a="1"/>
  <c r="U108" i="5" s="1"/>
  <c r="S82" i="5" a="1"/>
  <c r="S82" i="5" s="1"/>
  <c r="U82" i="5" a="1"/>
  <c r="U82" i="5" s="1"/>
  <c r="S203" i="5" a="1"/>
  <c r="S203" i="5" s="1"/>
  <c r="U203" i="5" a="1"/>
  <c r="U203" i="5" s="1"/>
  <c r="S187" i="5" a="1"/>
  <c r="S187" i="5" s="1"/>
  <c r="U187" i="5" a="1"/>
  <c r="U187" i="5" s="1"/>
  <c r="S194" i="5" a="1"/>
  <c r="S194" i="5" s="1"/>
  <c r="U194" i="5" a="1"/>
  <c r="U194" i="5" s="1"/>
  <c r="S164" i="5" a="1"/>
  <c r="S164" i="5" s="1"/>
  <c r="U164" i="5" a="1"/>
  <c r="U164" i="5" s="1"/>
  <c r="S174" i="5" a="1"/>
  <c r="S174" i="5" s="1"/>
  <c r="U174" i="5" a="1"/>
  <c r="U174" i="5" s="1"/>
  <c r="S147" i="5" a="1"/>
  <c r="S147" i="5" s="1"/>
  <c r="U147" i="5" a="1"/>
  <c r="U147" i="5" s="1"/>
  <c r="S254" i="5" a="1"/>
  <c r="S254" i="5" s="1"/>
  <c r="U254" i="5" a="1"/>
  <c r="U254" i="5" s="1"/>
  <c r="S158" i="5" a="1"/>
  <c r="S158" i="5" s="1"/>
  <c r="U158" i="5" a="1"/>
  <c r="U158" i="5" s="1"/>
  <c r="S107" i="5" a="1"/>
  <c r="S107" i="5" s="1"/>
  <c r="U107" i="5" a="1"/>
  <c r="U107" i="5" s="1"/>
  <c r="S247" i="5" a="1"/>
  <c r="S247" i="5" s="1"/>
  <c r="U247" i="5" a="1"/>
  <c r="U247" i="5" s="1"/>
  <c r="S165" i="5" a="1"/>
  <c r="S165" i="5" s="1"/>
  <c r="U165" i="5" a="1"/>
  <c r="U165" i="5" s="1"/>
  <c r="S114" i="5" a="1"/>
  <c r="S114" i="5" s="1"/>
  <c r="U114" i="5" a="1"/>
  <c r="U114" i="5" s="1"/>
  <c r="S139" i="5" a="1"/>
  <c r="S139" i="5" s="1"/>
  <c r="U139" i="5" a="1"/>
  <c r="U139" i="5" s="1"/>
  <c r="V80" i="5"/>
  <c r="W80" i="5" s="1"/>
  <c r="V198" i="5"/>
  <c r="W198" i="5" s="1"/>
  <c r="V43" i="5"/>
  <c r="W43" i="5" s="1"/>
  <c r="V50" i="5"/>
  <c r="W50" i="5" s="1"/>
  <c r="V146" i="5"/>
  <c r="W146" i="5" s="1"/>
  <c r="V159" i="5"/>
  <c r="W159" i="5" s="1"/>
  <c r="V259" i="5"/>
  <c r="W259" i="5" s="1"/>
  <c r="V187" i="5"/>
  <c r="W187" i="5" s="1"/>
  <c r="AL60" i="5"/>
  <c r="AL229" i="5"/>
  <c r="AL182" i="5"/>
  <c r="AL135" i="5"/>
  <c r="V152" i="5"/>
  <c r="W152" i="5" s="1"/>
  <c r="V5" i="5"/>
  <c r="W5" i="5" s="1"/>
  <c r="V56" i="5"/>
  <c r="W56" i="5" s="1"/>
  <c r="V20" i="5"/>
  <c r="W20" i="5" s="1"/>
  <c r="AL144" i="5"/>
  <c r="AL57" i="5"/>
  <c r="AL10" i="5"/>
  <c r="AL219" i="5"/>
  <c r="V194" i="5"/>
  <c r="W194" i="5" s="1"/>
  <c r="V62" i="5"/>
  <c r="W62" i="5" s="1"/>
  <c r="V26" i="5"/>
  <c r="W26" i="5" s="1"/>
  <c r="V70" i="5"/>
  <c r="W70" i="5" s="1"/>
  <c r="AL260" i="5"/>
  <c r="AL173" i="5"/>
  <c r="AL126" i="5"/>
  <c r="AL79" i="5"/>
  <c r="AL113" i="5"/>
  <c r="AL97" i="5"/>
  <c r="AL18" i="5"/>
  <c r="AL120" i="5"/>
  <c r="AL145" i="5"/>
  <c r="AL225" i="5"/>
  <c r="AL95" i="5"/>
  <c r="V24" i="5"/>
  <c r="W24" i="5" s="1"/>
  <c r="AL83" i="5"/>
  <c r="V39" i="5"/>
  <c r="W39" i="5" s="1"/>
  <c r="AL50" i="5"/>
  <c r="V199" i="5"/>
  <c r="W199" i="5" s="1"/>
  <c r="E7" i="7"/>
  <c r="A5" i="10"/>
  <c r="AG246" i="5" l="1"/>
  <c r="AG163" i="5"/>
  <c r="AG89" i="5"/>
  <c r="AG90" i="5"/>
  <c r="AG119" i="5"/>
  <c r="AF7" i="7"/>
  <c r="AD37" i="7"/>
  <c r="AF53" i="7"/>
  <c r="AD50" i="7"/>
  <c r="AD34" i="7"/>
  <c r="AD9" i="7"/>
  <c r="AD12" i="7"/>
  <c r="AD31" i="7"/>
  <c r="AD33" i="7"/>
  <c r="AD7" i="7"/>
  <c r="AD35" i="7"/>
  <c r="AD22" i="7"/>
  <c r="AD53" i="7"/>
  <c r="AD24" i="7"/>
  <c r="AF30" i="7"/>
  <c r="AD29" i="7"/>
  <c r="AD6" i="7"/>
  <c r="AF25" i="7"/>
  <c r="AF35" i="7"/>
  <c r="AF29" i="7"/>
  <c r="AD11" i="7"/>
  <c r="AD26" i="7"/>
  <c r="AD21" i="7"/>
  <c r="AD43" i="7"/>
  <c r="AD41" i="7"/>
  <c r="AD8" i="7"/>
  <c r="AD13" i="7"/>
  <c r="AD27" i="7"/>
  <c r="AD18" i="7"/>
  <c r="AD46" i="7"/>
  <c r="AD45" i="7"/>
  <c r="AD16" i="7"/>
  <c r="AF18" i="7"/>
  <c r="AF13" i="7"/>
  <c r="AF47" i="7"/>
  <c r="AF37" i="7"/>
  <c r="AF27" i="7"/>
  <c r="AF52" i="7"/>
  <c r="AF31" i="7"/>
  <c r="AF20" i="7"/>
  <c r="AD5" i="7"/>
  <c r="AD51" i="7"/>
  <c r="AF41" i="7"/>
  <c r="AF46" i="7"/>
  <c r="AF34" i="7"/>
  <c r="AF56" i="7"/>
  <c r="AF15" i="7"/>
  <c r="AF9" i="7"/>
  <c r="AF22" i="7"/>
  <c r="AD28" i="7"/>
  <c r="AD49" i="7"/>
  <c r="AD20" i="7"/>
  <c r="AH20" i="7" s="1"/>
  <c r="AD38" i="7"/>
  <c r="AD10" i="7"/>
  <c r="AD40" i="7"/>
  <c r="AD36" i="7"/>
  <c r="AF23" i="7"/>
  <c r="AF33" i="7"/>
  <c r="AF45" i="7"/>
  <c r="AF8" i="7"/>
  <c r="AF36" i="7"/>
  <c r="AF21" i="7"/>
  <c r="AF24" i="7"/>
  <c r="AF5" i="7"/>
  <c r="AD15" i="7"/>
  <c r="AD54" i="7"/>
  <c r="AD56" i="7"/>
  <c r="AF51" i="7"/>
  <c r="AF40" i="7"/>
  <c r="AF55" i="7"/>
  <c r="AF6" i="7"/>
  <c r="AD42" i="7"/>
  <c r="AF32" i="7"/>
  <c r="AF44" i="7"/>
  <c r="AF19" i="7"/>
  <c r="AF39" i="7"/>
  <c r="AD55" i="7"/>
  <c r="AD17" i="7"/>
  <c r="AD44" i="7"/>
  <c r="AD52" i="7"/>
  <c r="AD14" i="7"/>
  <c r="AD47" i="7"/>
  <c r="AD32" i="7"/>
  <c r="AH32" i="7" s="1"/>
  <c r="AD30" i="7"/>
  <c r="AD48" i="7"/>
  <c r="AD19" i="7"/>
  <c r="AD25" i="7"/>
  <c r="AF48" i="7"/>
  <c r="AF43" i="7"/>
  <c r="AF12" i="7"/>
  <c r="AF17" i="7"/>
  <c r="AF42" i="7"/>
  <c r="AF50" i="7"/>
  <c r="AF28" i="7"/>
  <c r="AF49" i="7"/>
  <c r="AF14" i="7"/>
  <c r="AF16" i="7"/>
  <c r="AF54" i="7"/>
  <c r="AD39" i="7"/>
  <c r="AF11" i="7"/>
  <c r="AF38" i="7"/>
  <c r="AF26" i="7"/>
  <c r="AD23" i="7"/>
  <c r="AH23" i="7" s="1"/>
  <c r="AF10" i="7"/>
  <c r="BP25" i="7"/>
  <c r="BP14" i="7"/>
  <c r="BP29" i="7"/>
  <c r="BP19" i="7"/>
  <c r="BP6" i="7"/>
  <c r="BP56" i="7"/>
  <c r="BN26" i="7"/>
  <c r="BN52" i="7"/>
  <c r="BP11" i="7"/>
  <c r="BP9" i="7"/>
  <c r="BP17" i="7"/>
  <c r="BP52" i="7"/>
  <c r="BP48" i="7"/>
  <c r="BP33" i="7"/>
  <c r="BP35" i="7"/>
  <c r="BN19" i="7"/>
  <c r="BR19" i="7" s="1"/>
  <c r="BN47" i="7"/>
  <c r="BP34" i="7"/>
  <c r="BP26" i="7"/>
  <c r="BN6" i="7"/>
  <c r="BN39" i="7"/>
  <c r="BN29" i="7"/>
  <c r="BN34" i="7"/>
  <c r="BP21" i="7"/>
  <c r="BP51" i="7"/>
  <c r="BP22" i="7"/>
  <c r="BP50" i="7"/>
  <c r="BP7" i="7"/>
  <c r="BN9" i="7"/>
  <c r="BN50" i="7"/>
  <c r="BN30" i="7"/>
  <c r="BP32" i="7"/>
  <c r="BP27" i="7"/>
  <c r="BP40" i="7"/>
  <c r="BP31" i="7"/>
  <c r="BN12" i="7"/>
  <c r="BN42" i="7"/>
  <c r="BN5" i="7"/>
  <c r="BN16" i="7"/>
  <c r="BN15" i="7"/>
  <c r="BN38" i="7"/>
  <c r="BN45" i="7"/>
  <c r="BN14" i="7"/>
  <c r="BN37" i="7"/>
  <c r="BP53" i="7"/>
  <c r="BN24" i="7"/>
  <c r="BN27" i="7"/>
  <c r="BR27" i="7" s="1"/>
  <c r="BP5" i="7"/>
  <c r="BP47" i="7"/>
  <c r="BN44" i="7"/>
  <c r="BN31" i="7"/>
  <c r="BR31" i="7" s="1"/>
  <c r="BN7" i="7"/>
  <c r="BR7" i="7" s="1"/>
  <c r="BP44" i="7"/>
  <c r="BN43" i="7"/>
  <c r="BP37" i="7"/>
  <c r="BP30" i="7"/>
  <c r="BP13" i="7"/>
  <c r="BP16" i="7"/>
  <c r="BP15" i="7"/>
  <c r="BP20" i="7"/>
  <c r="BN8" i="7"/>
  <c r="BN28" i="7"/>
  <c r="BN32" i="7"/>
  <c r="BP54" i="7"/>
  <c r="BP43" i="7"/>
  <c r="BP49" i="7"/>
  <c r="BN36" i="7"/>
  <c r="BN33" i="7"/>
  <c r="BN53" i="7"/>
  <c r="BR53" i="7" s="1"/>
  <c r="BN13" i="7"/>
  <c r="BN55" i="7"/>
  <c r="BP46" i="7"/>
  <c r="BP28" i="7"/>
  <c r="BP23" i="7"/>
  <c r="BN22" i="7"/>
  <c r="BN41" i="7"/>
  <c r="BN25" i="7"/>
  <c r="BR25" i="7" s="1"/>
  <c r="BP39" i="7"/>
  <c r="BN46" i="7"/>
  <c r="BP36" i="7"/>
  <c r="BP42" i="7"/>
  <c r="BP8" i="7"/>
  <c r="BP55" i="7"/>
  <c r="BN51" i="7"/>
  <c r="BN17" i="7"/>
  <c r="BN48" i="7"/>
  <c r="BN40" i="7"/>
  <c r="BN35" i="7"/>
  <c r="BN21" i="7"/>
  <c r="BP41" i="7"/>
  <c r="BP12" i="7"/>
  <c r="BP38" i="7"/>
  <c r="BP45" i="7"/>
  <c r="BP24" i="7"/>
  <c r="BN23" i="7"/>
  <c r="BN11" i="7"/>
  <c r="BN56" i="7"/>
  <c r="BN18" i="7"/>
  <c r="BN20" i="7"/>
  <c r="BN10" i="7"/>
  <c r="BN54" i="7"/>
  <c r="BP10" i="7"/>
  <c r="BP18" i="7"/>
  <c r="BN49" i="7"/>
  <c r="AV6" i="7"/>
  <c r="AV34" i="7"/>
  <c r="AV8" i="7"/>
  <c r="AV33" i="7"/>
  <c r="AV20" i="7"/>
  <c r="AV49" i="7"/>
  <c r="AV51" i="7"/>
  <c r="AV54" i="7"/>
  <c r="AV44" i="7"/>
  <c r="AV30" i="7"/>
  <c r="AV9" i="7"/>
  <c r="AX7" i="7"/>
  <c r="AV37" i="7"/>
  <c r="AV18" i="7"/>
  <c r="AV16" i="7"/>
  <c r="AX42" i="7"/>
  <c r="AX26" i="7"/>
  <c r="AX19" i="7"/>
  <c r="AX27" i="7"/>
  <c r="AX21" i="7"/>
  <c r="AV14" i="7"/>
  <c r="AV23" i="7"/>
  <c r="AV55" i="7"/>
  <c r="AV31" i="7"/>
  <c r="AV52" i="7"/>
  <c r="AV47" i="7"/>
  <c r="AV43" i="7"/>
  <c r="AV26" i="7"/>
  <c r="AV32" i="7"/>
  <c r="AV11" i="7"/>
  <c r="AX5" i="7"/>
  <c r="AV21" i="7"/>
  <c r="AZ21" i="7" s="1"/>
  <c r="AX22" i="7"/>
  <c r="AV28" i="7"/>
  <c r="AV39" i="7"/>
  <c r="AV42" i="7"/>
  <c r="AZ42" i="7" s="1"/>
  <c r="AX40" i="7"/>
  <c r="AX51" i="7"/>
  <c r="AX37" i="7"/>
  <c r="AV46" i="7"/>
  <c r="AV22" i="7"/>
  <c r="AZ22" i="7" s="1"/>
  <c r="AV7" i="7"/>
  <c r="AV48" i="7"/>
  <c r="AV36" i="7"/>
  <c r="AV27" i="7"/>
  <c r="AX20" i="7"/>
  <c r="AV38" i="7"/>
  <c r="AV24" i="7"/>
  <c r="AX39" i="7"/>
  <c r="AX14" i="7"/>
  <c r="AV25" i="7"/>
  <c r="AV35" i="7"/>
  <c r="AV53" i="7"/>
  <c r="AV29" i="7"/>
  <c r="AV12" i="7"/>
  <c r="AV13" i="7"/>
  <c r="AX12" i="7"/>
  <c r="AX50" i="7"/>
  <c r="AX38" i="7"/>
  <c r="AX49" i="7"/>
  <c r="AX41" i="7"/>
  <c r="AX31" i="7"/>
  <c r="AX43" i="7"/>
  <c r="AX17" i="7"/>
  <c r="AX34" i="7"/>
  <c r="AX35" i="7"/>
  <c r="AX47" i="7"/>
  <c r="AX36" i="7"/>
  <c r="AV19" i="7"/>
  <c r="AX28" i="7"/>
  <c r="AV50" i="7"/>
  <c r="AV56" i="7"/>
  <c r="AX55" i="7"/>
  <c r="AX56" i="7"/>
  <c r="AX16" i="7"/>
  <c r="AX44" i="7"/>
  <c r="AX11" i="7"/>
  <c r="AX18" i="7"/>
  <c r="AX33" i="7"/>
  <c r="AX24" i="7"/>
  <c r="AX52" i="7"/>
  <c r="AV5" i="7"/>
  <c r="AV45" i="7"/>
  <c r="AX10" i="7"/>
  <c r="AV41" i="7"/>
  <c r="AZ41" i="7" s="1"/>
  <c r="AV10" i="7"/>
  <c r="AX8" i="7"/>
  <c r="AX13" i="7"/>
  <c r="AX15" i="7"/>
  <c r="AX46" i="7"/>
  <c r="AX32" i="7"/>
  <c r="AX45" i="7"/>
  <c r="AX23" i="7"/>
  <c r="AX9" i="7"/>
  <c r="AX30" i="7"/>
  <c r="AX29" i="7"/>
  <c r="AV15" i="7"/>
  <c r="AZ15" i="7" s="1"/>
  <c r="AV40" i="7"/>
  <c r="AX54" i="7"/>
  <c r="AV17" i="7"/>
  <c r="AZ17" i="7" s="1"/>
  <c r="AX6" i="7"/>
  <c r="AX53" i="7"/>
  <c r="AX48" i="7"/>
  <c r="AX25" i="7"/>
  <c r="AG161" i="5"/>
  <c r="AG85" i="5"/>
  <c r="AG111" i="5"/>
  <c r="AG93" i="5"/>
  <c r="AG154" i="5"/>
  <c r="C92" i="10" a="1"/>
  <c r="C92" i="10" s="1"/>
  <c r="C74" i="10" a="1"/>
  <c r="C74" i="10" s="1"/>
  <c r="C110" i="10" a="1"/>
  <c r="C110" i="10" s="1"/>
  <c r="AG138" i="5"/>
  <c r="AG164" i="5"/>
  <c r="AG106" i="5"/>
  <c r="AG253" i="5"/>
  <c r="AG173" i="5"/>
  <c r="AG193" i="5"/>
  <c r="AG202" i="5"/>
  <c r="AG107" i="5"/>
  <c r="AG238" i="5"/>
  <c r="AG158" i="5"/>
  <c r="AG174" i="5"/>
  <c r="AG179" i="5"/>
  <c r="AG108" i="5"/>
  <c r="AG86" i="5"/>
  <c r="AG159" i="5"/>
  <c r="AG122" i="5"/>
  <c r="AG175" i="5"/>
  <c r="AG241" i="5"/>
  <c r="AG250" i="5"/>
  <c r="AG237" i="5"/>
  <c r="AG256" i="5"/>
  <c r="AH68" i="5"/>
  <c r="F55" i="7"/>
  <c r="F10" i="7"/>
  <c r="F36" i="7"/>
  <c r="F30" i="7"/>
  <c r="F27" i="7"/>
  <c r="F43" i="7"/>
  <c r="F11" i="7"/>
  <c r="F47" i="7"/>
  <c r="F26" i="7"/>
  <c r="F52" i="7"/>
  <c r="F54" i="7"/>
  <c r="F20" i="7"/>
  <c r="H22" i="7"/>
  <c r="F22" i="7"/>
  <c r="F45" i="7"/>
  <c r="F51" i="7"/>
  <c r="F29" i="7"/>
  <c r="F16" i="7"/>
  <c r="F18" i="7"/>
  <c r="F33" i="7"/>
  <c r="F31" i="7"/>
  <c r="F12" i="7"/>
  <c r="F5" i="7"/>
  <c r="F34" i="7"/>
  <c r="F17" i="7"/>
  <c r="H15" i="7"/>
  <c r="H45" i="7"/>
  <c r="H41" i="7"/>
  <c r="H34" i="7"/>
  <c r="H19" i="7"/>
  <c r="H31" i="7"/>
  <c r="H13" i="7"/>
  <c r="H56" i="7"/>
  <c r="H9" i="7"/>
  <c r="H8" i="7"/>
  <c r="H53" i="7"/>
  <c r="H10" i="7"/>
  <c r="H28" i="7"/>
  <c r="H44" i="7"/>
  <c r="F6" i="7"/>
  <c r="F21" i="7"/>
  <c r="F48" i="7"/>
  <c r="F19" i="7"/>
  <c r="H43" i="7"/>
  <c r="H30" i="7"/>
  <c r="H52" i="7"/>
  <c r="H20" i="7"/>
  <c r="H11" i="7"/>
  <c r="H18" i="7"/>
  <c r="H21" i="7"/>
  <c r="H29" i="7"/>
  <c r="H51" i="7"/>
  <c r="H37" i="7"/>
  <c r="H26" i="7"/>
  <c r="H6" i="7"/>
  <c r="H12" i="7"/>
  <c r="F38" i="7"/>
  <c r="F39" i="7"/>
  <c r="F14" i="7"/>
  <c r="F37" i="7"/>
  <c r="F9" i="7"/>
  <c r="F42" i="7"/>
  <c r="F44" i="7"/>
  <c r="F28" i="7"/>
  <c r="F25" i="7"/>
  <c r="H46" i="7"/>
  <c r="H24" i="7"/>
  <c r="H48" i="7"/>
  <c r="H40" i="7"/>
  <c r="H42" i="7"/>
  <c r="H36" i="7"/>
  <c r="H25" i="7"/>
  <c r="H7" i="7"/>
  <c r="H38" i="7"/>
  <c r="H49" i="7"/>
  <c r="H47" i="7"/>
  <c r="H14" i="7"/>
  <c r="F24" i="7"/>
  <c r="F35" i="7"/>
  <c r="F32" i="7"/>
  <c r="F49" i="7"/>
  <c r="H23" i="7"/>
  <c r="H39" i="7"/>
  <c r="H17" i="7"/>
  <c r="F50" i="7"/>
  <c r="F15" i="7"/>
  <c r="F13" i="7"/>
  <c r="H50" i="7"/>
  <c r="H54" i="7"/>
  <c r="F8" i="7"/>
  <c r="F41" i="7"/>
  <c r="H27" i="7"/>
  <c r="H16" i="7"/>
  <c r="H33" i="7"/>
  <c r="H5" i="7"/>
  <c r="F23" i="7"/>
  <c r="F7" i="7"/>
  <c r="F40" i="7"/>
  <c r="F46" i="7"/>
  <c r="H35" i="7"/>
  <c r="H32" i="7"/>
  <c r="F53" i="7"/>
  <c r="F56" i="7"/>
  <c r="H55" i="7"/>
  <c r="BU18" i="7"/>
  <c r="BU13" i="7"/>
  <c r="BW5" i="7"/>
  <c r="BU52" i="7"/>
  <c r="BU39" i="7"/>
  <c r="BU32" i="7"/>
  <c r="BW43" i="7"/>
  <c r="BW48" i="7"/>
  <c r="BU14" i="7"/>
  <c r="BW56" i="7"/>
  <c r="BW34" i="7"/>
  <c r="BU38" i="7"/>
  <c r="BU8" i="7"/>
  <c r="BU50" i="7"/>
  <c r="BU19" i="7"/>
  <c r="BU23" i="7"/>
  <c r="BU34" i="7"/>
  <c r="BU37" i="7"/>
  <c r="BU17" i="7"/>
  <c r="BU45" i="7"/>
  <c r="BU31" i="7"/>
  <c r="BW9" i="7"/>
  <c r="BU55" i="7"/>
  <c r="BU51" i="7"/>
  <c r="BU44" i="7"/>
  <c r="BU10" i="7"/>
  <c r="BU7" i="7"/>
  <c r="BW8" i="7"/>
  <c r="BW39" i="7"/>
  <c r="BW41" i="7"/>
  <c r="BW51" i="7"/>
  <c r="BU43" i="7"/>
  <c r="BU16" i="7"/>
  <c r="BW11" i="7"/>
  <c r="BW7" i="7"/>
  <c r="BU46" i="7"/>
  <c r="BU56" i="7"/>
  <c r="BW13" i="7"/>
  <c r="BW30" i="7"/>
  <c r="BU53" i="7"/>
  <c r="BU54" i="7"/>
  <c r="BU26" i="7"/>
  <c r="BU35" i="7"/>
  <c r="BW21" i="7"/>
  <c r="BW12" i="7"/>
  <c r="BW50" i="7"/>
  <c r="BU28" i="7"/>
  <c r="BU41" i="7"/>
  <c r="BU6" i="7"/>
  <c r="BU25" i="7"/>
  <c r="BW20" i="7"/>
  <c r="BW31" i="7"/>
  <c r="BW53" i="7"/>
  <c r="BW22" i="7"/>
  <c r="BW55" i="7"/>
  <c r="BW35" i="7"/>
  <c r="BW10" i="7"/>
  <c r="BW6" i="7"/>
  <c r="BW14" i="7"/>
  <c r="BU22" i="7"/>
  <c r="BU49" i="7"/>
  <c r="BW26" i="7"/>
  <c r="BW33" i="7"/>
  <c r="BU40" i="7"/>
  <c r="BW23" i="7"/>
  <c r="BW42" i="7"/>
  <c r="BU48" i="7"/>
  <c r="BU12" i="7"/>
  <c r="BU30" i="7"/>
  <c r="BW32" i="7"/>
  <c r="BW19" i="7"/>
  <c r="BW37" i="7"/>
  <c r="BW27" i="7"/>
  <c r="BW38" i="7"/>
  <c r="BW28" i="7"/>
  <c r="BW49" i="7"/>
  <c r="BW17" i="7"/>
  <c r="BU21" i="7"/>
  <c r="BU29" i="7"/>
  <c r="BW45" i="7"/>
  <c r="BY45" i="7" s="1"/>
  <c r="BW15" i="7"/>
  <c r="BW44" i="7"/>
  <c r="BU33" i="7"/>
  <c r="BY33" i="7" s="1"/>
  <c r="BW16" i="7"/>
  <c r="BU15" i="7"/>
  <c r="BY15" i="7" s="1"/>
  <c r="BU9" i="7"/>
  <c r="BY9" i="7" s="1"/>
  <c r="BU47" i="7"/>
  <c r="BU5" i="7"/>
  <c r="BU20" i="7"/>
  <c r="BU27" i="7"/>
  <c r="BU36" i="7"/>
  <c r="BW52" i="7"/>
  <c r="BW40" i="7"/>
  <c r="BW18" i="7"/>
  <c r="BW25" i="7"/>
  <c r="BW47" i="7"/>
  <c r="BW36" i="7"/>
  <c r="BW54" i="7"/>
  <c r="BW29" i="7"/>
  <c r="BU24" i="7"/>
  <c r="BU11" i="7"/>
  <c r="BU42" i="7"/>
  <c r="BY42" i="7" s="1"/>
  <c r="BW46" i="7"/>
  <c r="BW24" i="7"/>
  <c r="BT26" i="7"/>
  <c r="BV11" i="7"/>
  <c r="BT36" i="7"/>
  <c r="BT15" i="7"/>
  <c r="BT16" i="7"/>
  <c r="BT56" i="7"/>
  <c r="BV26" i="7"/>
  <c r="BT43" i="7"/>
  <c r="BT9" i="7"/>
  <c r="BV9" i="7"/>
  <c r="BV6" i="7"/>
  <c r="BV16" i="7"/>
  <c r="BT14" i="7"/>
  <c r="BT21" i="7"/>
  <c r="BT8" i="7"/>
  <c r="BT30" i="7"/>
  <c r="BT42" i="7"/>
  <c r="BT34" i="7"/>
  <c r="BT19" i="7"/>
  <c r="BT25" i="7"/>
  <c r="BT7" i="7"/>
  <c r="BT45" i="7"/>
  <c r="BV45" i="7"/>
  <c r="BV22" i="7"/>
  <c r="BV43" i="7"/>
  <c r="BT53" i="7"/>
  <c r="BT50" i="7"/>
  <c r="BT38" i="7"/>
  <c r="BV19" i="7"/>
  <c r="BV21" i="7"/>
  <c r="BV48" i="7"/>
  <c r="BT52" i="7"/>
  <c r="BT11" i="7"/>
  <c r="BT44" i="7"/>
  <c r="BT35" i="7"/>
  <c r="BV12" i="7"/>
  <c r="BV33" i="7"/>
  <c r="BV15" i="7"/>
  <c r="BV53" i="7"/>
  <c r="BT46" i="7"/>
  <c r="BV23" i="7"/>
  <c r="BT10" i="7"/>
  <c r="BV52" i="7"/>
  <c r="BT37" i="7"/>
  <c r="BT28" i="7"/>
  <c r="BT20" i="7"/>
  <c r="BT18" i="7"/>
  <c r="BT31" i="7"/>
  <c r="BT47" i="7"/>
  <c r="BT54" i="7"/>
  <c r="BV24" i="7"/>
  <c r="BV44" i="7"/>
  <c r="BV18" i="7"/>
  <c r="BV17" i="7"/>
  <c r="BV37" i="7"/>
  <c r="BV32" i="7"/>
  <c r="BV25" i="7"/>
  <c r="BV56" i="7"/>
  <c r="BX56" i="7" s="1"/>
  <c r="BT39" i="7"/>
  <c r="BV7" i="7"/>
  <c r="BV50" i="7"/>
  <c r="BV27" i="7"/>
  <c r="BT40" i="7"/>
  <c r="BT5" i="7"/>
  <c r="BT51" i="7"/>
  <c r="BT12" i="7"/>
  <c r="BT24" i="7"/>
  <c r="BX24" i="7" s="1"/>
  <c r="BT27" i="7"/>
  <c r="BT29" i="7"/>
  <c r="BT22" i="7"/>
  <c r="BV36" i="7"/>
  <c r="BV55" i="7"/>
  <c r="BV41" i="7"/>
  <c r="BV42" i="7"/>
  <c r="BV31" i="7"/>
  <c r="BV39" i="7"/>
  <c r="BV13" i="7"/>
  <c r="BV40" i="7"/>
  <c r="BT13" i="7"/>
  <c r="BT49" i="7"/>
  <c r="BV29" i="7"/>
  <c r="BV28" i="7"/>
  <c r="BV8" i="7"/>
  <c r="BV46" i="7"/>
  <c r="BT33" i="7"/>
  <c r="BX33" i="7" s="1"/>
  <c r="BT48" i="7"/>
  <c r="BT6" i="7"/>
  <c r="BX6" i="7" s="1"/>
  <c r="BT55" i="7"/>
  <c r="BX55" i="7" s="1"/>
  <c r="BT17" i="7"/>
  <c r="BT23" i="7"/>
  <c r="BV5" i="7"/>
  <c r="BV30" i="7"/>
  <c r="BV54" i="7"/>
  <c r="BV38" i="7"/>
  <c r="BV51" i="7"/>
  <c r="BV49" i="7"/>
  <c r="BV20" i="7"/>
  <c r="BV34" i="7"/>
  <c r="BT41" i="7"/>
  <c r="BT32" i="7"/>
  <c r="BX32" i="7" s="1"/>
  <c r="BV47" i="7"/>
  <c r="BV14" i="7"/>
  <c r="BV10" i="7"/>
  <c r="BV35" i="7"/>
  <c r="R51" i="7"/>
  <c r="R6" i="7"/>
  <c r="T45" i="7"/>
  <c r="R55" i="7"/>
  <c r="T18" i="7"/>
  <c r="R35" i="7"/>
  <c r="T9" i="7"/>
  <c r="R46" i="7"/>
  <c r="R16" i="7"/>
  <c r="T51" i="7"/>
  <c r="T34" i="7"/>
  <c r="T43" i="7"/>
  <c r="T16" i="7"/>
  <c r="R21" i="7"/>
  <c r="T37" i="7"/>
  <c r="T36" i="7"/>
  <c r="T46" i="7"/>
  <c r="T26" i="7"/>
  <c r="R19" i="7"/>
  <c r="R15" i="7"/>
  <c r="R56" i="7"/>
  <c r="T47" i="7"/>
  <c r="T44" i="7"/>
  <c r="T32" i="7"/>
  <c r="T19" i="7"/>
  <c r="T13" i="7"/>
  <c r="T38" i="7"/>
  <c r="R47" i="7"/>
  <c r="R10" i="7"/>
  <c r="R30" i="7"/>
  <c r="R24" i="7"/>
  <c r="R25" i="7"/>
  <c r="T28" i="7"/>
  <c r="T27" i="7"/>
  <c r="T48" i="7"/>
  <c r="R13" i="7"/>
  <c r="R36" i="7"/>
  <c r="R38" i="7"/>
  <c r="R40" i="7"/>
  <c r="T23" i="7"/>
  <c r="T53" i="7"/>
  <c r="R9" i="7"/>
  <c r="R18" i="7"/>
  <c r="T54" i="7"/>
  <c r="R27" i="7"/>
  <c r="R28" i="7"/>
  <c r="T42" i="7"/>
  <c r="R33" i="7"/>
  <c r="R14" i="7"/>
  <c r="R50" i="7"/>
  <c r="R12" i="7"/>
  <c r="T17" i="7"/>
  <c r="R11" i="7"/>
  <c r="R42" i="7"/>
  <c r="T30" i="7"/>
  <c r="T7" i="7"/>
  <c r="T20" i="7"/>
  <c r="R20" i="7"/>
  <c r="R26" i="7"/>
  <c r="T39" i="7"/>
  <c r="T25" i="7"/>
  <c r="T5" i="7"/>
  <c r="R5" i="7"/>
  <c r="R34" i="7"/>
  <c r="R37" i="7"/>
  <c r="T12" i="7"/>
  <c r="T24" i="7"/>
  <c r="T6" i="7"/>
  <c r="R48" i="7"/>
  <c r="T15" i="7"/>
  <c r="T31" i="7"/>
  <c r="R54" i="7"/>
  <c r="V54" i="7" s="1"/>
  <c r="T10" i="7"/>
  <c r="R41" i="7"/>
  <c r="R23" i="7"/>
  <c r="T56" i="7"/>
  <c r="R32" i="7"/>
  <c r="R52" i="7"/>
  <c r="R49" i="7"/>
  <c r="R44" i="7"/>
  <c r="T22" i="7"/>
  <c r="T33" i="7"/>
  <c r="R45" i="7"/>
  <c r="V45" i="7" s="1"/>
  <c r="T55" i="7"/>
  <c r="T52" i="7"/>
  <c r="T41" i="7"/>
  <c r="R29" i="7"/>
  <c r="T11" i="7"/>
  <c r="T29" i="7"/>
  <c r="T8" i="7"/>
  <c r="R17" i="7"/>
  <c r="R7" i="7"/>
  <c r="V7" i="7" s="1"/>
  <c r="R43" i="7"/>
  <c r="T40" i="7"/>
  <c r="T35" i="7"/>
  <c r="T14" i="7"/>
  <c r="T21" i="7"/>
  <c r="R8" i="7"/>
  <c r="V8" i="7" s="1"/>
  <c r="R53" i="7"/>
  <c r="R39" i="7"/>
  <c r="V39" i="7" s="1"/>
  <c r="R31" i="7"/>
  <c r="T49" i="7"/>
  <c r="R22" i="7"/>
  <c r="T50" i="7"/>
  <c r="AA44" i="7"/>
  <c r="Y46" i="7"/>
  <c r="Y13" i="7"/>
  <c r="Y12" i="7"/>
  <c r="Y32" i="7"/>
  <c r="Y34" i="7"/>
  <c r="Y19" i="7"/>
  <c r="AA34" i="7"/>
  <c r="Y28" i="7"/>
  <c r="Y51" i="7"/>
  <c r="Y45" i="7"/>
  <c r="Y48" i="7"/>
  <c r="Y6" i="7"/>
  <c r="AA53" i="7"/>
  <c r="Y14" i="7"/>
  <c r="Y54" i="7"/>
  <c r="AA7" i="7"/>
  <c r="Y24" i="7"/>
  <c r="Y55" i="7"/>
  <c r="Y17" i="7"/>
  <c r="Y30" i="7"/>
  <c r="AA33" i="7"/>
  <c r="Y44" i="7"/>
  <c r="Y43" i="7"/>
  <c r="AA36" i="7"/>
  <c r="Y18" i="7"/>
  <c r="Y35" i="7"/>
  <c r="Y21" i="7"/>
  <c r="Y8" i="7"/>
  <c r="AA14" i="7"/>
  <c r="AA40" i="7"/>
  <c r="AA52" i="7"/>
  <c r="Y31" i="7"/>
  <c r="Y15" i="7"/>
  <c r="Y11" i="7"/>
  <c r="Y56" i="7"/>
  <c r="AA42" i="7"/>
  <c r="Y26" i="7"/>
  <c r="Y50" i="7"/>
  <c r="AA19" i="7"/>
  <c r="AA30" i="7"/>
  <c r="AC30" i="7" s="1"/>
  <c r="AA45" i="7"/>
  <c r="AA49" i="7"/>
  <c r="AA43" i="7"/>
  <c r="AA31" i="7"/>
  <c r="AA37" i="7"/>
  <c r="Y25" i="7"/>
  <c r="Y36" i="7"/>
  <c r="Y27" i="7"/>
  <c r="Y29" i="7"/>
  <c r="AA24" i="7"/>
  <c r="AA26" i="7"/>
  <c r="AA46" i="7"/>
  <c r="AA13" i="7"/>
  <c r="AA11" i="7"/>
  <c r="AA15" i="7"/>
  <c r="Y38" i="7"/>
  <c r="Y20" i="7"/>
  <c r="Y16" i="7"/>
  <c r="Y22" i="7"/>
  <c r="AA27" i="7"/>
  <c r="AA18" i="7"/>
  <c r="AA47" i="7"/>
  <c r="AA22" i="7"/>
  <c r="AA8" i="7"/>
  <c r="AC8" i="7" s="1"/>
  <c r="AA25" i="7"/>
  <c r="AA51" i="7"/>
  <c r="AA23" i="7"/>
  <c r="AA56" i="7"/>
  <c r="AA20" i="7"/>
  <c r="Y40" i="7"/>
  <c r="AC40" i="7" s="1"/>
  <c r="Y23" i="7"/>
  <c r="AC23" i="7" s="1"/>
  <c r="Y7" i="7"/>
  <c r="AC7" i="7" s="1"/>
  <c r="Y41" i="7"/>
  <c r="Y10" i="7"/>
  <c r="AA48" i="7"/>
  <c r="AA32" i="7"/>
  <c r="Y39" i="7"/>
  <c r="Y42" i="7"/>
  <c r="Y53" i="7"/>
  <c r="Y33" i="7"/>
  <c r="Y52" i="7"/>
  <c r="Y37" i="7"/>
  <c r="AA38" i="7"/>
  <c r="AA54" i="7"/>
  <c r="AA17" i="7"/>
  <c r="AA28" i="7"/>
  <c r="AA35" i="7"/>
  <c r="AA39" i="7"/>
  <c r="AA10" i="7"/>
  <c r="AA16" i="7"/>
  <c r="AA21" i="7"/>
  <c r="AA6" i="7"/>
  <c r="AA50" i="7"/>
  <c r="AA12" i="7"/>
  <c r="AA41" i="7"/>
  <c r="Y9" i="7"/>
  <c r="Y49" i="7"/>
  <c r="Y47" i="7"/>
  <c r="AC47" i="7" s="1"/>
  <c r="AA29" i="7"/>
  <c r="Y5" i="7"/>
  <c r="AA9" i="7"/>
  <c r="AA55" i="7"/>
  <c r="AA5" i="7"/>
  <c r="AG32" i="7"/>
  <c r="AE10" i="7"/>
  <c r="AG9" i="7"/>
  <c r="AG7" i="7"/>
  <c r="AE28" i="7"/>
  <c r="AG5" i="7"/>
  <c r="AG41" i="7"/>
  <c r="AE16" i="7"/>
  <c r="AG10" i="7"/>
  <c r="AE49" i="7"/>
  <c r="AG11" i="7"/>
  <c r="AG38" i="7"/>
  <c r="AG55" i="7"/>
  <c r="AG14" i="7"/>
  <c r="AG47" i="7"/>
  <c r="AG53" i="7"/>
  <c r="AE22" i="7"/>
  <c r="AG35" i="7"/>
  <c r="AG46" i="7"/>
  <c r="AG13" i="7"/>
  <c r="AE51" i="7"/>
  <c r="AE15" i="7"/>
  <c r="AE19" i="7"/>
  <c r="AE44" i="7"/>
  <c r="AE56" i="7"/>
  <c r="AE6" i="7"/>
  <c r="AE47" i="7"/>
  <c r="AI47" i="7" s="1"/>
  <c r="AG25" i="7"/>
  <c r="AG27" i="7"/>
  <c r="AG6" i="7"/>
  <c r="AG28" i="7"/>
  <c r="AG21" i="7"/>
  <c r="AG33" i="7"/>
  <c r="AG39" i="7"/>
  <c r="AG19" i="7"/>
  <c r="AE34" i="7"/>
  <c r="AG24" i="7"/>
  <c r="AG17" i="7"/>
  <c r="AG50" i="7"/>
  <c r="AE40" i="7"/>
  <c r="AE24" i="7"/>
  <c r="AI24" i="7" s="1"/>
  <c r="AE45" i="7"/>
  <c r="AE54" i="7"/>
  <c r="AE18" i="7"/>
  <c r="AG51" i="7"/>
  <c r="AG15" i="7"/>
  <c r="AG20" i="7"/>
  <c r="AG30" i="7"/>
  <c r="AE36" i="7"/>
  <c r="AE12" i="7"/>
  <c r="AE52" i="7"/>
  <c r="AE29" i="7"/>
  <c r="AE25" i="7"/>
  <c r="AE11" i="7"/>
  <c r="AE31" i="7"/>
  <c r="AE46" i="7"/>
  <c r="AE14" i="7"/>
  <c r="AE21" i="7"/>
  <c r="AE7" i="7"/>
  <c r="AE5" i="7"/>
  <c r="AE20" i="7"/>
  <c r="AG37" i="7"/>
  <c r="AG36" i="7"/>
  <c r="AG8" i="7"/>
  <c r="AG54" i="7"/>
  <c r="AG45" i="7"/>
  <c r="AG48" i="7"/>
  <c r="AG26" i="7"/>
  <c r="AG40" i="7"/>
  <c r="AG52" i="7"/>
  <c r="AE38" i="7"/>
  <c r="AE13" i="7"/>
  <c r="AI13" i="7" s="1"/>
  <c r="AE48" i="7"/>
  <c r="AG29" i="7"/>
  <c r="AG44" i="7"/>
  <c r="AE42" i="7"/>
  <c r="AE32" i="7"/>
  <c r="AI32" i="7" s="1"/>
  <c r="AE43" i="7"/>
  <c r="AE17" i="7"/>
  <c r="AE9" i="7"/>
  <c r="AE8" i="7"/>
  <c r="AE39" i="7"/>
  <c r="AI39" i="7" s="1"/>
  <c r="AE26" i="7"/>
  <c r="AE41" i="7"/>
  <c r="AE33" i="7"/>
  <c r="AI33" i="7" s="1"/>
  <c r="AE53" i="7"/>
  <c r="AG31" i="7"/>
  <c r="AG56" i="7"/>
  <c r="AG18" i="7"/>
  <c r="AG23" i="7"/>
  <c r="AG12" i="7"/>
  <c r="AG43" i="7"/>
  <c r="AG42" i="7"/>
  <c r="AG49" i="7"/>
  <c r="AE37" i="7"/>
  <c r="AE30" i="7"/>
  <c r="AI30" i="7" s="1"/>
  <c r="AE55" i="7"/>
  <c r="AI55" i="7" s="1"/>
  <c r="AE23" i="7"/>
  <c r="AI23" i="7" s="1"/>
  <c r="AE27" i="7"/>
  <c r="AE50" i="7"/>
  <c r="AE35" i="7"/>
  <c r="AG16" i="7"/>
  <c r="AG22" i="7"/>
  <c r="AG34" i="7"/>
  <c r="BI14" i="7"/>
  <c r="BI51" i="7"/>
  <c r="BI27" i="7"/>
  <c r="BI6" i="7"/>
  <c r="BI24" i="7"/>
  <c r="BI21" i="7"/>
  <c r="BI34" i="7"/>
  <c r="BI13" i="7"/>
  <c r="BI9" i="7"/>
  <c r="BK52" i="7"/>
  <c r="BK22" i="7"/>
  <c r="BI26" i="7"/>
  <c r="BI44" i="7"/>
  <c r="BI12" i="7"/>
  <c r="BI56" i="7"/>
  <c r="BI43" i="7"/>
  <c r="BK36" i="7"/>
  <c r="BI55" i="7"/>
  <c r="BI41" i="7"/>
  <c r="BK53" i="7"/>
  <c r="BK55" i="7"/>
  <c r="BI42" i="7"/>
  <c r="BI5" i="7"/>
  <c r="BI49" i="7"/>
  <c r="BI30" i="7"/>
  <c r="BI8" i="7"/>
  <c r="BI7" i="7"/>
  <c r="BI48" i="7"/>
  <c r="BI22" i="7"/>
  <c r="BI38" i="7"/>
  <c r="BI37" i="7"/>
  <c r="BI50" i="7"/>
  <c r="BI45" i="7"/>
  <c r="BI25" i="7"/>
  <c r="BI17" i="7"/>
  <c r="BI31" i="7"/>
  <c r="BK38" i="7"/>
  <c r="BK28" i="7"/>
  <c r="BK30" i="7"/>
  <c r="BK48" i="7"/>
  <c r="BK46" i="7"/>
  <c r="BK12" i="7"/>
  <c r="BK21" i="7"/>
  <c r="BK16" i="7"/>
  <c r="BK23" i="7"/>
  <c r="BK41" i="7"/>
  <c r="BI11" i="7"/>
  <c r="BI32" i="7"/>
  <c r="BK7" i="7"/>
  <c r="BK20" i="7"/>
  <c r="BK25" i="7"/>
  <c r="BK6" i="7"/>
  <c r="BI19" i="7"/>
  <c r="BI33" i="7"/>
  <c r="BI52" i="7"/>
  <c r="BI47" i="7"/>
  <c r="BI54" i="7"/>
  <c r="BI15" i="7"/>
  <c r="BI29" i="7"/>
  <c r="BI23" i="7"/>
  <c r="BK31" i="7"/>
  <c r="BK19" i="7"/>
  <c r="BK9" i="7"/>
  <c r="BK37" i="7"/>
  <c r="BK44" i="7"/>
  <c r="BK10" i="7"/>
  <c r="BK27" i="7"/>
  <c r="BK54" i="7"/>
  <c r="BK24" i="7"/>
  <c r="BK14" i="7"/>
  <c r="BK29" i="7"/>
  <c r="BK56" i="7"/>
  <c r="BK35" i="7"/>
  <c r="BI36" i="7"/>
  <c r="BI40" i="7"/>
  <c r="BK51" i="7"/>
  <c r="BK39" i="7"/>
  <c r="BK32" i="7"/>
  <c r="BK45" i="7"/>
  <c r="BI16" i="7"/>
  <c r="BM16" i="7" s="1"/>
  <c r="BI53" i="7"/>
  <c r="BI35" i="7"/>
  <c r="BI20" i="7"/>
  <c r="BI28" i="7"/>
  <c r="BI46" i="7"/>
  <c r="BM46" i="7" s="1"/>
  <c r="BK26" i="7"/>
  <c r="BK42" i="7"/>
  <c r="BK34" i="7"/>
  <c r="BK40" i="7"/>
  <c r="BK5" i="7"/>
  <c r="BK8" i="7"/>
  <c r="BK33" i="7"/>
  <c r="BK17" i="7"/>
  <c r="BK50" i="7"/>
  <c r="BK49" i="7"/>
  <c r="BK11" i="7"/>
  <c r="BI10" i="7"/>
  <c r="BI39" i="7"/>
  <c r="BI18" i="7"/>
  <c r="BK15" i="7"/>
  <c r="BK18" i="7"/>
  <c r="BK13" i="7"/>
  <c r="BK47" i="7"/>
  <c r="BK43" i="7"/>
  <c r="AG97" i="5"/>
  <c r="AG105" i="5"/>
  <c r="AG234" i="5"/>
  <c r="AG79" i="5"/>
  <c r="AG243" i="5"/>
  <c r="AG142" i="5"/>
  <c r="AG170" i="5"/>
  <c r="AG140" i="5"/>
  <c r="AG99" i="5"/>
  <c r="AG148" i="5"/>
  <c r="AG101" i="5"/>
  <c r="AG94" i="5"/>
  <c r="AG147" i="5"/>
  <c r="AG98" i="5"/>
  <c r="AG203" i="5"/>
  <c r="AG102" i="5"/>
  <c r="AG184" i="5"/>
  <c r="AG116" i="5"/>
  <c r="AG204" i="5"/>
  <c r="AG190" i="5"/>
  <c r="AG259" i="5"/>
  <c r="AG258" i="5"/>
  <c r="AG195" i="5"/>
  <c r="AG194" i="5"/>
  <c r="AG176" i="5"/>
  <c r="AG104" i="5"/>
  <c r="AG178" i="5"/>
  <c r="AG240" i="5"/>
  <c r="AG88" i="5"/>
  <c r="AG87" i="5"/>
  <c r="AG187" i="5"/>
  <c r="AG123" i="5"/>
  <c r="AG160" i="5"/>
  <c r="AG222" i="5"/>
  <c r="AG169" i="5"/>
  <c r="AG133" i="5"/>
  <c r="AG134" i="5"/>
  <c r="AG221" i="5"/>
  <c r="AG247" i="5"/>
  <c r="AG201" i="5"/>
  <c r="AG224" i="5"/>
  <c r="AG151" i="5"/>
  <c r="AG80" i="5"/>
  <c r="AG167" i="5"/>
  <c r="AG228" i="5"/>
  <c r="AG78" i="5"/>
  <c r="AG76" i="5"/>
  <c r="AG110" i="5"/>
  <c r="AG136" i="5"/>
  <c r="AG113" i="5"/>
  <c r="AG157" i="5"/>
  <c r="AG186" i="5"/>
  <c r="AG92" i="5"/>
  <c r="AG212" i="5"/>
  <c r="O34" i="7"/>
  <c r="O27" i="7"/>
  <c r="M5" i="7"/>
  <c r="M31" i="7"/>
  <c r="M50" i="7"/>
  <c r="O39" i="7"/>
  <c r="M18" i="7"/>
  <c r="O5" i="7"/>
  <c r="M34" i="7"/>
  <c r="Q34" i="7" s="1"/>
  <c r="M27" i="7"/>
  <c r="Q27" i="7" s="1"/>
  <c r="M56" i="7"/>
  <c r="M6" i="7"/>
  <c r="M46" i="7"/>
  <c r="O50" i="7"/>
  <c r="O45" i="7"/>
  <c r="O23" i="7"/>
  <c r="O40" i="7"/>
  <c r="O41" i="7"/>
  <c r="O36" i="7"/>
  <c r="O37" i="7"/>
  <c r="O42" i="7"/>
  <c r="O14" i="7"/>
  <c r="O30" i="7"/>
  <c r="O26" i="7"/>
  <c r="O46" i="7"/>
  <c r="M51" i="7"/>
  <c r="M40" i="7"/>
  <c r="M49" i="7"/>
  <c r="M11" i="7"/>
  <c r="M54" i="7"/>
  <c r="O48" i="7"/>
  <c r="O21" i="7"/>
  <c r="O53" i="7"/>
  <c r="M10" i="7"/>
  <c r="M8" i="7"/>
  <c r="O13" i="7"/>
  <c r="M35" i="7"/>
  <c r="M43" i="7"/>
  <c r="M22" i="7"/>
  <c r="M13" i="7"/>
  <c r="Q13" i="7" s="1"/>
  <c r="O15" i="7"/>
  <c r="O32" i="7"/>
  <c r="O29" i="7"/>
  <c r="M20" i="7"/>
  <c r="O6" i="7"/>
  <c r="M7" i="7"/>
  <c r="O12" i="7"/>
  <c r="O56" i="7"/>
  <c r="O22" i="7"/>
  <c r="O38" i="7"/>
  <c r="M37" i="7"/>
  <c r="M28" i="7"/>
  <c r="M26" i="7"/>
  <c r="O7" i="7"/>
  <c r="O54" i="7"/>
  <c r="O17" i="7"/>
  <c r="M21" i="7"/>
  <c r="M44" i="7"/>
  <c r="M32" i="7"/>
  <c r="M25" i="7"/>
  <c r="M45" i="7"/>
  <c r="O31" i="7"/>
  <c r="O9" i="7"/>
  <c r="O18" i="7"/>
  <c r="M16" i="7"/>
  <c r="M38" i="7"/>
  <c r="Q38" i="7" s="1"/>
  <c r="O49" i="7"/>
  <c r="M17" i="7"/>
  <c r="M52" i="7"/>
  <c r="O11" i="7"/>
  <c r="O28" i="7"/>
  <c r="O55" i="7"/>
  <c r="O24" i="7"/>
  <c r="O43" i="7"/>
  <c r="M55" i="7"/>
  <c r="O35" i="7"/>
  <c r="O10" i="7"/>
  <c r="O51" i="7"/>
  <c r="O33" i="7"/>
  <c r="O19" i="7"/>
  <c r="M48" i="7"/>
  <c r="M24" i="7"/>
  <c r="M15" i="7"/>
  <c r="M53" i="7"/>
  <c r="M41" i="7"/>
  <c r="O44" i="7"/>
  <c r="O47" i="7"/>
  <c r="O8" i="7"/>
  <c r="M36" i="7"/>
  <c r="M33" i="7"/>
  <c r="M14" i="7"/>
  <c r="M23" i="7"/>
  <c r="Q23" i="7" s="1"/>
  <c r="M19" i="7"/>
  <c r="M9" i="7"/>
  <c r="M47" i="7"/>
  <c r="Q47" i="7" s="1"/>
  <c r="M12" i="7"/>
  <c r="M42" i="7"/>
  <c r="Q42" i="7" s="1"/>
  <c r="O25" i="7"/>
  <c r="O52" i="7"/>
  <c r="O20" i="7"/>
  <c r="M30" i="7"/>
  <c r="M39" i="7"/>
  <c r="Q39" i="7" s="1"/>
  <c r="O16" i="7"/>
  <c r="M29" i="7"/>
  <c r="CL14" i="7"/>
  <c r="CL44" i="7"/>
  <c r="CN8" i="7"/>
  <c r="CL46" i="7"/>
  <c r="CN21" i="7"/>
  <c r="CN11" i="7"/>
  <c r="CN47" i="7"/>
  <c r="CN56" i="7"/>
  <c r="CL39" i="7"/>
  <c r="CL37" i="7"/>
  <c r="CL45" i="7"/>
  <c r="CL20" i="7"/>
  <c r="CL22" i="7"/>
  <c r="CN34" i="7"/>
  <c r="CN33" i="7"/>
  <c r="CN5" i="7"/>
  <c r="CN12" i="7"/>
  <c r="CN17" i="7"/>
  <c r="CN40" i="7"/>
  <c r="CN31" i="7"/>
  <c r="CN15" i="7"/>
  <c r="CN7" i="7"/>
  <c r="CL7" i="7"/>
  <c r="CL49" i="7"/>
  <c r="CL33" i="7"/>
  <c r="CL31" i="7"/>
  <c r="CL18" i="7"/>
  <c r="CL12" i="7"/>
  <c r="CL15" i="7"/>
  <c r="CP15" i="7" s="1"/>
  <c r="CL13" i="7"/>
  <c r="CL17" i="7"/>
  <c r="CN38" i="7"/>
  <c r="CL29" i="7"/>
  <c r="CN36" i="7"/>
  <c r="CN44" i="7"/>
  <c r="CN54" i="7"/>
  <c r="CN9" i="7"/>
  <c r="CN22" i="7"/>
  <c r="CN32" i="7"/>
  <c r="CN27" i="7"/>
  <c r="CL36" i="7"/>
  <c r="CL50" i="7"/>
  <c r="CL27" i="7"/>
  <c r="CL52" i="7"/>
  <c r="CL54" i="7"/>
  <c r="CL8" i="7"/>
  <c r="CL30" i="7"/>
  <c r="CL51" i="7"/>
  <c r="CL11" i="7"/>
  <c r="CN53" i="7"/>
  <c r="CN35" i="7"/>
  <c r="CN6" i="7"/>
  <c r="CN46" i="7"/>
  <c r="CN13" i="7"/>
  <c r="CL23" i="7"/>
  <c r="CL41" i="7"/>
  <c r="CL53" i="7"/>
  <c r="CL56" i="7"/>
  <c r="CL6" i="7"/>
  <c r="CL16" i="7"/>
  <c r="CN25" i="7"/>
  <c r="CN23" i="7"/>
  <c r="CN52" i="7"/>
  <c r="CN50" i="7"/>
  <c r="CN18" i="7"/>
  <c r="CL25" i="7"/>
  <c r="CN10" i="7"/>
  <c r="CL26" i="7"/>
  <c r="CL24" i="7"/>
  <c r="CN37" i="7"/>
  <c r="CN28" i="7"/>
  <c r="CN24" i="7"/>
  <c r="CN49" i="7"/>
  <c r="CN19" i="7"/>
  <c r="CN20" i="7"/>
  <c r="CL42" i="7"/>
  <c r="CL35" i="7"/>
  <c r="CL34" i="7"/>
  <c r="CP34" i="7" s="1"/>
  <c r="CL48" i="7"/>
  <c r="CL32" i="7"/>
  <c r="CL19" i="7"/>
  <c r="CL38" i="7"/>
  <c r="CN39" i="7"/>
  <c r="CN51" i="7"/>
  <c r="CN16" i="7"/>
  <c r="CN45" i="7"/>
  <c r="CL21" i="7"/>
  <c r="CN55" i="7"/>
  <c r="CL47" i="7"/>
  <c r="CN43" i="7"/>
  <c r="CN29" i="7"/>
  <c r="CN30" i="7"/>
  <c r="CN41" i="7"/>
  <c r="CN42" i="7"/>
  <c r="CL55" i="7"/>
  <c r="CL40" i="7"/>
  <c r="CL5" i="7"/>
  <c r="CL43" i="7"/>
  <c r="CP43" i="7" s="1"/>
  <c r="CN14" i="7"/>
  <c r="CN48" i="7"/>
  <c r="CN26" i="7"/>
  <c r="CL9" i="7"/>
  <c r="CL28" i="7"/>
  <c r="CP28" i="7" s="1"/>
  <c r="CL10" i="7"/>
  <c r="AL7" i="7"/>
  <c r="AJ56" i="7"/>
  <c r="AL45" i="7"/>
  <c r="AJ44" i="7"/>
  <c r="AJ34" i="7"/>
  <c r="AL10" i="7"/>
  <c r="AL50" i="7"/>
  <c r="AJ28" i="7"/>
  <c r="AJ50" i="7"/>
  <c r="AL25" i="7"/>
  <c r="AJ31" i="7"/>
  <c r="AL29" i="7"/>
  <c r="AJ36" i="7"/>
  <c r="AJ9" i="7"/>
  <c r="AL26" i="7"/>
  <c r="AJ26" i="7"/>
  <c r="AL27" i="7"/>
  <c r="AJ29" i="7"/>
  <c r="AL41" i="7"/>
  <c r="AJ16" i="7"/>
  <c r="AJ55" i="7"/>
  <c r="AJ40" i="7"/>
  <c r="AJ53" i="7"/>
  <c r="AL35" i="7"/>
  <c r="AJ7" i="7"/>
  <c r="AN7" i="7" s="1"/>
  <c r="AJ24" i="7"/>
  <c r="AJ37" i="7"/>
  <c r="AJ15" i="7"/>
  <c r="AL46" i="7"/>
  <c r="AJ43" i="7"/>
  <c r="AJ41" i="7"/>
  <c r="AN41" i="7" s="1"/>
  <c r="AJ42" i="7"/>
  <c r="AJ5" i="7"/>
  <c r="AJ10" i="7"/>
  <c r="AN10" i="7" s="1"/>
  <c r="AJ38" i="7"/>
  <c r="AJ30" i="7"/>
  <c r="AJ49" i="7"/>
  <c r="AL44" i="7"/>
  <c r="AJ27" i="7"/>
  <c r="AL49" i="7"/>
  <c r="AL18" i="7"/>
  <c r="AL34" i="7"/>
  <c r="AL8" i="7"/>
  <c r="AL48" i="7"/>
  <c r="AL23" i="7"/>
  <c r="AL30" i="7"/>
  <c r="AJ52" i="7"/>
  <c r="AJ51" i="7"/>
  <c r="AL36" i="7"/>
  <c r="AL13" i="7"/>
  <c r="AL16" i="7"/>
  <c r="AL47" i="7"/>
  <c r="AL17" i="7"/>
  <c r="AL33" i="7"/>
  <c r="AJ20" i="7"/>
  <c r="AJ8" i="7"/>
  <c r="AJ11" i="7"/>
  <c r="AJ45" i="7"/>
  <c r="AJ47" i="7"/>
  <c r="AJ6" i="7"/>
  <c r="AJ23" i="7"/>
  <c r="AN23" i="7" s="1"/>
  <c r="AJ25" i="7"/>
  <c r="AN25" i="7" s="1"/>
  <c r="AJ35" i="7"/>
  <c r="AJ17" i="7"/>
  <c r="AL20" i="7"/>
  <c r="AL52" i="7"/>
  <c r="AJ46" i="7"/>
  <c r="AL31" i="7"/>
  <c r="AL6" i="7"/>
  <c r="AL39" i="7"/>
  <c r="AL14" i="7"/>
  <c r="AL54" i="7"/>
  <c r="AL38" i="7"/>
  <c r="AL51" i="7"/>
  <c r="AL24" i="7"/>
  <c r="AJ22" i="7"/>
  <c r="AL43" i="7"/>
  <c r="AL56" i="7"/>
  <c r="AL40" i="7"/>
  <c r="AJ32" i="7"/>
  <c r="AJ13" i="7"/>
  <c r="AJ54" i="7"/>
  <c r="AJ14" i="7"/>
  <c r="AN14" i="7" s="1"/>
  <c r="AJ48" i="7"/>
  <c r="AN48" i="7" s="1"/>
  <c r="AJ19" i="7"/>
  <c r="AL15" i="7"/>
  <c r="AJ12" i="7"/>
  <c r="AL9" i="7"/>
  <c r="AL42" i="7"/>
  <c r="AL28" i="7"/>
  <c r="AL5" i="7"/>
  <c r="AL22" i="7"/>
  <c r="AL11" i="7"/>
  <c r="AL19" i="7"/>
  <c r="AL21" i="7"/>
  <c r="AL37" i="7"/>
  <c r="AL53" i="7"/>
  <c r="AL12" i="7"/>
  <c r="AJ21" i="7"/>
  <c r="AN21" i="7" s="1"/>
  <c r="AJ33" i="7"/>
  <c r="AJ18" i="7"/>
  <c r="AN18" i="7" s="1"/>
  <c r="AJ39" i="7"/>
  <c r="AN39" i="7" s="1"/>
  <c r="AL32" i="7"/>
  <c r="AL55" i="7"/>
  <c r="AG260" i="5"/>
  <c r="AG143" i="5"/>
  <c r="AG145" i="5"/>
  <c r="E8" i="7"/>
  <c r="A6" i="10"/>
  <c r="AG171" i="5"/>
  <c r="AG239" i="5"/>
  <c r="AG96" i="5"/>
  <c r="AR50" i="7"/>
  <c r="AR19" i="7"/>
  <c r="AR25" i="7"/>
  <c r="AR26" i="7"/>
  <c r="AP56" i="7"/>
  <c r="AR47" i="7"/>
  <c r="AR32" i="7"/>
  <c r="AR42" i="7"/>
  <c r="AR8" i="7"/>
  <c r="AR56" i="7"/>
  <c r="AR55" i="7"/>
  <c r="AR24" i="7"/>
  <c r="AP48" i="7"/>
  <c r="AR16" i="7"/>
  <c r="AP12" i="7"/>
  <c r="AR17" i="7"/>
  <c r="AR51" i="7"/>
  <c r="AR23" i="7"/>
  <c r="AR54" i="7"/>
  <c r="AP18" i="7"/>
  <c r="AR39" i="7"/>
  <c r="AR49" i="7"/>
  <c r="AR15" i="7"/>
  <c r="AR36" i="7"/>
  <c r="AP32" i="7"/>
  <c r="AR27" i="7"/>
  <c r="AR41" i="7"/>
  <c r="AR9" i="7"/>
  <c r="AR21" i="7"/>
  <c r="AR38" i="7"/>
  <c r="AR40" i="7"/>
  <c r="AP37" i="7"/>
  <c r="AR18" i="7"/>
  <c r="AR29" i="7"/>
  <c r="AR10" i="7"/>
  <c r="AR22" i="7"/>
  <c r="AR14" i="7"/>
  <c r="AR11" i="7"/>
  <c r="AR33" i="7"/>
  <c r="AR35" i="7"/>
  <c r="AP23" i="7"/>
  <c r="AP8" i="7"/>
  <c r="AP45" i="7"/>
  <c r="AP7" i="7"/>
  <c r="AR6" i="7"/>
  <c r="AR20" i="7"/>
  <c r="AP38" i="7"/>
  <c r="AP42" i="7"/>
  <c r="AT42" i="7" s="1"/>
  <c r="AP52" i="7"/>
  <c r="AP43" i="7"/>
  <c r="AP11" i="7"/>
  <c r="AP26" i="7"/>
  <c r="AT26" i="7" s="1"/>
  <c r="AP20" i="7"/>
  <c r="AP13" i="7"/>
  <c r="AP17" i="7"/>
  <c r="AR30" i="7"/>
  <c r="AP44" i="7"/>
  <c r="AP30" i="7"/>
  <c r="AR37" i="7"/>
  <c r="AR44" i="7"/>
  <c r="AR34" i="7"/>
  <c r="AR48" i="7"/>
  <c r="AR53" i="7"/>
  <c r="AR46" i="7"/>
  <c r="AP14" i="7"/>
  <c r="AT14" i="7" s="1"/>
  <c r="AP49" i="7"/>
  <c r="AT49" i="7" s="1"/>
  <c r="AP33" i="7"/>
  <c r="AT33" i="7" s="1"/>
  <c r="AP40" i="7"/>
  <c r="AP51" i="7"/>
  <c r="AT51" i="7" s="1"/>
  <c r="AP25" i="7"/>
  <c r="AP55" i="7"/>
  <c r="AP35" i="7"/>
  <c r="AT35" i="7" s="1"/>
  <c r="AR52" i="7"/>
  <c r="AP6" i="7"/>
  <c r="AP16" i="7"/>
  <c r="AP54" i="7"/>
  <c r="AP10" i="7"/>
  <c r="AR13" i="7"/>
  <c r="AR31" i="7"/>
  <c r="AR45" i="7"/>
  <c r="AP46" i="7"/>
  <c r="AP36" i="7"/>
  <c r="AR28" i="7"/>
  <c r="AR43" i="7"/>
  <c r="AP47" i="7"/>
  <c r="AP5" i="7"/>
  <c r="AP22" i="7"/>
  <c r="AP53" i="7"/>
  <c r="AP27" i="7"/>
  <c r="AP24" i="7"/>
  <c r="AP41" i="7"/>
  <c r="AT41" i="7" s="1"/>
  <c r="AR12" i="7"/>
  <c r="AP21" i="7"/>
  <c r="AT21" i="7" s="1"/>
  <c r="AP34" i="7"/>
  <c r="AP50" i="7"/>
  <c r="AP29" i="7"/>
  <c r="AP15" i="7"/>
  <c r="AP9" i="7"/>
  <c r="AR7" i="7"/>
  <c r="AR5" i="7"/>
  <c r="AP28" i="7"/>
  <c r="AP19" i="7"/>
  <c r="AT19" i="7" s="1"/>
  <c r="AP39" i="7"/>
  <c r="AP31" i="7"/>
  <c r="BB16" i="7"/>
  <c r="BB42" i="7"/>
  <c r="BB50" i="7"/>
  <c r="BB19" i="7"/>
  <c r="BB47" i="7"/>
  <c r="BD10" i="7"/>
  <c r="BB54" i="7"/>
  <c r="BB17" i="7"/>
  <c r="BB12" i="7"/>
  <c r="BB34" i="7"/>
  <c r="BB22" i="7"/>
  <c r="BD21" i="7"/>
  <c r="BB38" i="7"/>
  <c r="BB30" i="7"/>
  <c r="BB27" i="7"/>
  <c r="BB49" i="7"/>
  <c r="BD29" i="7"/>
  <c r="BD56" i="7"/>
  <c r="BB37" i="7"/>
  <c r="BB46" i="7"/>
  <c r="BB31" i="7"/>
  <c r="BB8" i="7"/>
  <c r="BB6" i="7"/>
  <c r="BB41" i="7"/>
  <c r="BB13" i="7"/>
  <c r="BB11" i="7"/>
  <c r="BB20" i="7"/>
  <c r="BD40" i="7"/>
  <c r="BD15" i="7"/>
  <c r="BD25" i="7"/>
  <c r="BD38" i="7"/>
  <c r="BD20" i="7"/>
  <c r="BD8" i="7"/>
  <c r="BD27" i="7"/>
  <c r="BD44" i="7"/>
  <c r="BD5" i="7"/>
  <c r="BB14" i="7"/>
  <c r="BB7" i="7"/>
  <c r="BB5" i="7"/>
  <c r="BD52" i="7"/>
  <c r="BD36" i="7"/>
  <c r="BD35" i="7"/>
  <c r="BD50" i="7"/>
  <c r="BF50" i="7" s="1"/>
  <c r="BB26" i="7"/>
  <c r="BB32" i="7"/>
  <c r="BB18" i="7"/>
  <c r="BB51" i="7"/>
  <c r="BB52" i="7"/>
  <c r="BF52" i="7" s="1"/>
  <c r="BB9" i="7"/>
  <c r="BB28" i="7"/>
  <c r="BB10" i="7"/>
  <c r="BD26" i="7"/>
  <c r="BD9" i="7"/>
  <c r="BD22" i="7"/>
  <c r="BD42" i="7"/>
  <c r="BD31" i="7"/>
  <c r="BD47" i="7"/>
  <c r="BD6" i="7"/>
  <c r="BD13" i="7"/>
  <c r="BD30" i="7"/>
  <c r="BD54" i="7"/>
  <c r="BD55" i="7"/>
  <c r="BD45" i="7"/>
  <c r="BB45" i="7"/>
  <c r="BB29" i="7"/>
  <c r="BF29" i="7" s="1"/>
  <c r="BB25" i="7"/>
  <c r="BF25" i="7" s="1"/>
  <c r="BB15" i="7"/>
  <c r="BD53" i="7"/>
  <c r="BD43" i="7"/>
  <c r="BD24" i="7"/>
  <c r="BD11" i="7"/>
  <c r="BD19" i="7"/>
  <c r="BB36" i="7"/>
  <c r="BF36" i="7" s="1"/>
  <c r="BB35" i="7"/>
  <c r="BF35" i="7" s="1"/>
  <c r="BD46" i="7"/>
  <c r="BB24" i="7"/>
  <c r="BB39" i="7"/>
  <c r="BB43" i="7"/>
  <c r="BB40" i="7"/>
  <c r="BB53" i="7"/>
  <c r="BF53" i="7" s="1"/>
  <c r="BB21" i="7"/>
  <c r="BB48" i="7"/>
  <c r="BB44" i="7"/>
  <c r="BF44" i="7" s="1"/>
  <c r="BD39" i="7"/>
  <c r="BD37" i="7"/>
  <c r="BD48" i="7"/>
  <c r="BD17" i="7"/>
  <c r="BD12" i="7"/>
  <c r="BD7" i="7"/>
  <c r="BD51" i="7"/>
  <c r="BD33" i="7"/>
  <c r="BD32" i="7"/>
  <c r="BD34" i="7"/>
  <c r="BD18" i="7"/>
  <c r="BD28" i="7"/>
  <c r="BB55" i="7"/>
  <c r="BB56" i="7"/>
  <c r="BB23" i="7"/>
  <c r="BB33" i="7"/>
  <c r="BF33" i="7" s="1"/>
  <c r="BD41" i="7"/>
  <c r="BD16" i="7"/>
  <c r="BD49" i="7"/>
  <c r="BD23" i="7"/>
  <c r="BD14" i="7"/>
  <c r="CH46" i="7"/>
  <c r="CF43" i="7"/>
  <c r="CH9" i="7"/>
  <c r="CH19" i="7"/>
  <c r="CH30" i="7"/>
  <c r="CH5" i="7"/>
  <c r="CF32" i="7"/>
  <c r="CF41" i="7"/>
  <c r="CH12" i="7"/>
  <c r="CH37" i="7"/>
  <c r="CH56" i="7"/>
  <c r="CH42" i="7"/>
  <c r="CH36" i="7"/>
  <c r="CF38" i="7"/>
  <c r="CF30" i="7"/>
  <c r="CH28" i="7"/>
  <c r="CH11" i="7"/>
  <c r="CF5" i="7"/>
  <c r="CJ5" i="7" s="1"/>
  <c r="CF39" i="7"/>
  <c r="CH24" i="7"/>
  <c r="CH33" i="7"/>
  <c r="CF28" i="7"/>
  <c r="CF14" i="7"/>
  <c r="CF42" i="7"/>
  <c r="CJ42" i="7" s="1"/>
  <c r="CH45" i="7"/>
  <c r="CH15" i="7"/>
  <c r="CH53" i="7"/>
  <c r="CH26" i="7"/>
  <c r="CH25" i="7"/>
  <c r="CH50" i="7"/>
  <c r="CH32" i="7"/>
  <c r="CH31" i="7"/>
  <c r="CF12" i="7"/>
  <c r="CJ12" i="7" s="1"/>
  <c r="CF15" i="7"/>
  <c r="CJ15" i="7" s="1"/>
  <c r="CF6" i="7"/>
  <c r="CH49" i="7"/>
  <c r="CH48" i="7"/>
  <c r="CF31" i="7"/>
  <c r="CF26" i="7"/>
  <c r="CF45" i="7"/>
  <c r="CH17" i="7"/>
  <c r="CH38" i="7"/>
  <c r="CH39" i="7"/>
  <c r="CF53" i="7"/>
  <c r="CF11" i="7"/>
  <c r="CJ11" i="7" s="1"/>
  <c r="CF55" i="7"/>
  <c r="CF20" i="7"/>
  <c r="CF29" i="7"/>
  <c r="CH6" i="7"/>
  <c r="CH29" i="7"/>
  <c r="CH16" i="7"/>
  <c r="CH51" i="7"/>
  <c r="CH21" i="7"/>
  <c r="CH41" i="7"/>
  <c r="CH14" i="7"/>
  <c r="CH35" i="7"/>
  <c r="CH55" i="7"/>
  <c r="CH43" i="7"/>
  <c r="CF8" i="7"/>
  <c r="CF13" i="7"/>
  <c r="CF9" i="7"/>
  <c r="CF7" i="7"/>
  <c r="CF40" i="7"/>
  <c r="CF52" i="7"/>
  <c r="CH44" i="7"/>
  <c r="CH23" i="7"/>
  <c r="CH18" i="7"/>
  <c r="CH52" i="7"/>
  <c r="CF17" i="7"/>
  <c r="CJ17" i="7" s="1"/>
  <c r="CF18" i="7"/>
  <c r="CF24" i="7"/>
  <c r="CF44" i="7"/>
  <c r="CH20" i="7"/>
  <c r="CF21" i="7"/>
  <c r="CF33" i="7"/>
  <c r="CH10" i="7"/>
  <c r="CH34" i="7"/>
  <c r="CF37" i="7"/>
  <c r="CJ37" i="7" s="1"/>
  <c r="CF23" i="7"/>
  <c r="CF36" i="7"/>
  <c r="CF51" i="7"/>
  <c r="CF47" i="7"/>
  <c r="CH47" i="7"/>
  <c r="CH22" i="7"/>
  <c r="CF56" i="7"/>
  <c r="CF25" i="7"/>
  <c r="CH27" i="7"/>
  <c r="CH13" i="7"/>
  <c r="CH8" i="7"/>
  <c r="CF35" i="7"/>
  <c r="CH40" i="7"/>
  <c r="CF34" i="7"/>
  <c r="CF19" i="7"/>
  <c r="CF49" i="7"/>
  <c r="CH54" i="7"/>
  <c r="CF27" i="7"/>
  <c r="CF46" i="7"/>
  <c r="CJ46" i="7" s="1"/>
  <c r="CF22" i="7"/>
  <c r="CF48" i="7"/>
  <c r="CF10" i="7"/>
  <c r="CJ10" i="7" s="1"/>
  <c r="CF50" i="7"/>
  <c r="CF16" i="7"/>
  <c r="CH7" i="7"/>
  <c r="CF54" i="7"/>
  <c r="AW14" i="7"/>
  <c r="AW47" i="7"/>
  <c r="AW18" i="7"/>
  <c r="AW37" i="7"/>
  <c r="AW39" i="7"/>
  <c r="AW10" i="7"/>
  <c r="AW35" i="7"/>
  <c r="AW54" i="7"/>
  <c r="AW48" i="7"/>
  <c r="AW17" i="7"/>
  <c r="AW53" i="7"/>
  <c r="AW36" i="7"/>
  <c r="AW12" i="7"/>
  <c r="AW50" i="7"/>
  <c r="AW28" i="7"/>
  <c r="AW15" i="7"/>
  <c r="AW6" i="7"/>
  <c r="AW22" i="7"/>
  <c r="AY34" i="7"/>
  <c r="AW31" i="7"/>
  <c r="AW43" i="7"/>
  <c r="AY15" i="7"/>
  <c r="AW8" i="7"/>
  <c r="AW23" i="7"/>
  <c r="AW25" i="7"/>
  <c r="AW11" i="7"/>
  <c r="AW44" i="7"/>
  <c r="AW33" i="7"/>
  <c r="AW27" i="7"/>
  <c r="AY48" i="7"/>
  <c r="AY54" i="7"/>
  <c r="AY28" i="7"/>
  <c r="AW46" i="7"/>
  <c r="AW42" i="7"/>
  <c r="AY16" i="7"/>
  <c r="AY52" i="7"/>
  <c r="AY18" i="7"/>
  <c r="AW19" i="7"/>
  <c r="AW16" i="7"/>
  <c r="BA16" i="7" s="1"/>
  <c r="AW29" i="7"/>
  <c r="AW21" i="7"/>
  <c r="AW49" i="7"/>
  <c r="AW55" i="7"/>
  <c r="AW40" i="7"/>
  <c r="AW20" i="7"/>
  <c r="AW51" i="7"/>
  <c r="AW30" i="7"/>
  <c r="AW24" i="7"/>
  <c r="AW13" i="7"/>
  <c r="AW56" i="7"/>
  <c r="AY38" i="7"/>
  <c r="AY20" i="7"/>
  <c r="AY26" i="7"/>
  <c r="AW32" i="7"/>
  <c r="AW52" i="7"/>
  <c r="AW5" i="7"/>
  <c r="AY17" i="7"/>
  <c r="AY47" i="7"/>
  <c r="AY43" i="7"/>
  <c r="AY25" i="7"/>
  <c r="AY5" i="7"/>
  <c r="AY31" i="7"/>
  <c r="AY14" i="7"/>
  <c r="AY6" i="7"/>
  <c r="AY33" i="7"/>
  <c r="AY56" i="7"/>
  <c r="AY35" i="7"/>
  <c r="AY40" i="7"/>
  <c r="AY9" i="7"/>
  <c r="AY37" i="7"/>
  <c r="AW34" i="7"/>
  <c r="BA34" i="7" s="1"/>
  <c r="AY55" i="7"/>
  <c r="AY36" i="7"/>
  <c r="AW26" i="7"/>
  <c r="AW45" i="7"/>
  <c r="AW7" i="7"/>
  <c r="AY8" i="7"/>
  <c r="AY30" i="7"/>
  <c r="AY49" i="7"/>
  <c r="AY44" i="7"/>
  <c r="AY50" i="7"/>
  <c r="AY10" i="7"/>
  <c r="AY11" i="7"/>
  <c r="AY29" i="7"/>
  <c r="AY51" i="7"/>
  <c r="AY7" i="7"/>
  <c r="AY19" i="7"/>
  <c r="AY39" i="7"/>
  <c r="AY23" i="7"/>
  <c r="AY53" i="7"/>
  <c r="AY13" i="7"/>
  <c r="AW38" i="7"/>
  <c r="AW41" i="7"/>
  <c r="AW9" i="7"/>
  <c r="AY24" i="7"/>
  <c r="AY45" i="7"/>
  <c r="AY22" i="7"/>
  <c r="AY12" i="7"/>
  <c r="AY21" i="7"/>
  <c r="AY41" i="7"/>
  <c r="AY46" i="7"/>
  <c r="AY42" i="7"/>
  <c r="AY32" i="7"/>
  <c r="AY27" i="7"/>
  <c r="S53" i="7"/>
  <c r="S21" i="7"/>
  <c r="S48" i="7"/>
  <c r="S17" i="7"/>
  <c r="S36" i="7"/>
  <c r="S29" i="7"/>
  <c r="U28" i="7"/>
  <c r="S56" i="7"/>
  <c r="S8" i="7"/>
  <c r="S52" i="7"/>
  <c r="S54" i="7"/>
  <c r="S27" i="7"/>
  <c r="S43" i="7"/>
  <c r="S55" i="7"/>
  <c r="U33" i="7"/>
  <c r="S19" i="7"/>
  <c r="U43" i="7"/>
  <c r="U34" i="7"/>
  <c r="U14" i="7"/>
  <c r="S44" i="7"/>
  <c r="S18" i="7"/>
  <c r="U41" i="7"/>
  <c r="S50" i="7"/>
  <c r="S40" i="7"/>
  <c r="U26" i="7"/>
  <c r="U20" i="7"/>
  <c r="U53" i="7"/>
  <c r="U17" i="7"/>
  <c r="S24" i="7"/>
  <c r="U7" i="7"/>
  <c r="U56" i="7"/>
  <c r="S51" i="7"/>
  <c r="U36" i="7"/>
  <c r="S6" i="7"/>
  <c r="U37" i="7"/>
  <c r="S32" i="7"/>
  <c r="S37" i="7"/>
  <c r="U55" i="7"/>
  <c r="U32" i="7"/>
  <c r="U27" i="7"/>
  <c r="U44" i="7"/>
  <c r="U15" i="7"/>
  <c r="U42" i="7"/>
  <c r="S12" i="7"/>
  <c r="S41" i="7"/>
  <c r="S31" i="7"/>
  <c r="U19" i="7"/>
  <c r="U24" i="7"/>
  <c r="U31" i="7"/>
  <c r="U5" i="7"/>
  <c r="S33" i="7"/>
  <c r="W33" i="7" s="1"/>
  <c r="S13" i="7"/>
  <c r="S7" i="7"/>
  <c r="S35" i="7"/>
  <c r="S14" i="7"/>
  <c r="W14" i="7" s="1"/>
  <c r="U39" i="7"/>
  <c r="U9" i="7"/>
  <c r="U12" i="7"/>
  <c r="U18" i="7"/>
  <c r="U48" i="7"/>
  <c r="U8" i="7"/>
  <c r="S38" i="7"/>
  <c r="U30" i="7"/>
  <c r="U38" i="7"/>
  <c r="S45" i="7"/>
  <c r="U23" i="7"/>
  <c r="U46" i="7"/>
  <c r="U51" i="7"/>
  <c r="S46" i="7"/>
  <c r="S20" i="7"/>
  <c r="W20" i="7" s="1"/>
  <c r="S26" i="7"/>
  <c r="S11" i="7"/>
  <c r="S22" i="7"/>
  <c r="S34" i="7"/>
  <c r="W34" i="7" s="1"/>
  <c r="S5" i="7"/>
  <c r="U16" i="7"/>
  <c r="U11" i="7"/>
  <c r="U10" i="7"/>
  <c r="S10" i="7"/>
  <c r="U40" i="7"/>
  <c r="U49" i="7"/>
  <c r="U6" i="7"/>
  <c r="S30" i="7"/>
  <c r="W30" i="7" s="1"/>
  <c r="S25" i="7"/>
  <c r="S15" i="7"/>
  <c r="S49" i="7"/>
  <c r="S23" i="7"/>
  <c r="U35" i="7"/>
  <c r="U52" i="7"/>
  <c r="U21" i="7"/>
  <c r="S39" i="7"/>
  <c r="S9" i="7"/>
  <c r="S47" i="7"/>
  <c r="U29" i="7"/>
  <c r="U13" i="7"/>
  <c r="U25" i="7"/>
  <c r="U50" i="7"/>
  <c r="U45" i="7"/>
  <c r="S28" i="7"/>
  <c r="W28" i="7" s="1"/>
  <c r="U54" i="7"/>
  <c r="U22" i="7"/>
  <c r="S42" i="7"/>
  <c r="S16" i="7"/>
  <c r="U47" i="7"/>
  <c r="BO46" i="7"/>
  <c r="BQ23" i="7"/>
  <c r="BQ35" i="7"/>
  <c r="BQ34" i="7"/>
  <c r="BO52" i="7"/>
  <c r="BO25" i="7"/>
  <c r="BQ12" i="7"/>
  <c r="BQ22" i="7"/>
  <c r="BO45" i="7"/>
  <c r="BO9" i="7"/>
  <c r="BQ30" i="7"/>
  <c r="BO44" i="7"/>
  <c r="BQ28" i="7"/>
  <c r="BQ49" i="7"/>
  <c r="BO10" i="7"/>
  <c r="BO17" i="7"/>
  <c r="BQ10" i="7"/>
  <c r="BQ56" i="7"/>
  <c r="BO26" i="7"/>
  <c r="BQ8" i="7"/>
  <c r="BQ17" i="7"/>
  <c r="BQ37" i="7"/>
  <c r="BQ40" i="7"/>
  <c r="BQ46" i="7"/>
  <c r="BQ51" i="7"/>
  <c r="BO34" i="7"/>
  <c r="BO29" i="7"/>
  <c r="BO38" i="7"/>
  <c r="BQ16" i="7"/>
  <c r="BQ44" i="7"/>
  <c r="BO11" i="7"/>
  <c r="BO19" i="7"/>
  <c r="BO35" i="7"/>
  <c r="BO33" i="7"/>
  <c r="BO36" i="7"/>
  <c r="BO18" i="7"/>
  <c r="BQ7" i="7"/>
  <c r="BQ36" i="7"/>
  <c r="BQ24" i="7"/>
  <c r="BO20" i="7"/>
  <c r="BQ29" i="7"/>
  <c r="BQ19" i="7"/>
  <c r="BO53" i="7"/>
  <c r="BO15" i="7"/>
  <c r="BO27" i="7"/>
  <c r="BQ13" i="7"/>
  <c r="BQ6" i="7"/>
  <c r="BO47" i="7"/>
  <c r="BQ52" i="7"/>
  <c r="BQ20" i="7"/>
  <c r="BO6" i="7"/>
  <c r="BS6" i="7" s="1"/>
  <c r="BQ47" i="7"/>
  <c r="BQ27" i="7"/>
  <c r="BQ25" i="7"/>
  <c r="BQ15" i="7"/>
  <c r="BO40" i="7"/>
  <c r="BO5" i="7"/>
  <c r="BO28" i="7"/>
  <c r="BQ14" i="7"/>
  <c r="BQ5" i="7"/>
  <c r="BQ33" i="7"/>
  <c r="BQ21" i="7"/>
  <c r="BO8" i="7"/>
  <c r="BO7" i="7"/>
  <c r="BO22" i="7"/>
  <c r="BO51" i="7"/>
  <c r="BO13" i="7"/>
  <c r="BO30" i="7"/>
  <c r="BO50" i="7"/>
  <c r="BQ53" i="7"/>
  <c r="BO39" i="7"/>
  <c r="BQ18" i="7"/>
  <c r="BO37" i="7"/>
  <c r="BO16" i="7"/>
  <c r="BQ39" i="7"/>
  <c r="BO48" i="7"/>
  <c r="BQ55" i="7"/>
  <c r="BQ26" i="7"/>
  <c r="BQ50" i="7"/>
  <c r="BO32" i="7"/>
  <c r="BQ32" i="7"/>
  <c r="BO55" i="7"/>
  <c r="BQ11" i="7"/>
  <c r="BQ45" i="7"/>
  <c r="BQ41" i="7"/>
  <c r="BQ48" i="7"/>
  <c r="BQ31" i="7"/>
  <c r="BO49" i="7"/>
  <c r="BQ54" i="7"/>
  <c r="BQ43" i="7"/>
  <c r="BO42" i="7"/>
  <c r="BO56" i="7"/>
  <c r="BO54" i="7"/>
  <c r="BS54" i="7" s="1"/>
  <c r="BO12" i="7"/>
  <c r="BO31" i="7"/>
  <c r="BS31" i="7" s="1"/>
  <c r="BO24" i="7"/>
  <c r="BQ9" i="7"/>
  <c r="BO41" i="7"/>
  <c r="BO21" i="7"/>
  <c r="BQ42" i="7"/>
  <c r="BQ38" i="7"/>
  <c r="BO43" i="7"/>
  <c r="BS43" i="7" s="1"/>
  <c r="BO23" i="7"/>
  <c r="BO14" i="7"/>
  <c r="CI40" i="7"/>
  <c r="CI32" i="7"/>
  <c r="CI47" i="7"/>
  <c r="CG41" i="7"/>
  <c r="CG22" i="7"/>
  <c r="CG20" i="7"/>
  <c r="CG46" i="7"/>
  <c r="CI10" i="7"/>
  <c r="CI30" i="7"/>
  <c r="CI48" i="7"/>
  <c r="CI45" i="7"/>
  <c r="CI18" i="7"/>
  <c r="CI7" i="7"/>
  <c r="CG39" i="7"/>
  <c r="CG48" i="7"/>
  <c r="CG36" i="7"/>
  <c r="CG51" i="7"/>
  <c r="CG14" i="7"/>
  <c r="CG7" i="7"/>
  <c r="CG24" i="7"/>
  <c r="CG43" i="7"/>
  <c r="CI20" i="7"/>
  <c r="CI50" i="7"/>
  <c r="CI39" i="7"/>
  <c r="CI55" i="7"/>
  <c r="CG50" i="7"/>
  <c r="CG40" i="7"/>
  <c r="CG19" i="7"/>
  <c r="CI16" i="7"/>
  <c r="CI27" i="7"/>
  <c r="CI15" i="7"/>
  <c r="CG11" i="7"/>
  <c r="CG33" i="7"/>
  <c r="CG44" i="7"/>
  <c r="CG21" i="7"/>
  <c r="CI29" i="7"/>
  <c r="CI38" i="7"/>
  <c r="CI5" i="7"/>
  <c r="CI12" i="7"/>
  <c r="CI6" i="7"/>
  <c r="CI51" i="7"/>
  <c r="CG53" i="7"/>
  <c r="CG29" i="7"/>
  <c r="CG12" i="7"/>
  <c r="CG9" i="7"/>
  <c r="CG35" i="7"/>
  <c r="CG55" i="7"/>
  <c r="CG31" i="7"/>
  <c r="CI56" i="7"/>
  <c r="CI11" i="7"/>
  <c r="CI23" i="7"/>
  <c r="CI31" i="7"/>
  <c r="CI37" i="7"/>
  <c r="CG16" i="7"/>
  <c r="CG56" i="7"/>
  <c r="CI21" i="7"/>
  <c r="CG17" i="7"/>
  <c r="CG25" i="7"/>
  <c r="CI34" i="7"/>
  <c r="CI52" i="7"/>
  <c r="CI13" i="7"/>
  <c r="CI25" i="7"/>
  <c r="CI36" i="7"/>
  <c r="CG32" i="7"/>
  <c r="CG49" i="7"/>
  <c r="CG47" i="7"/>
  <c r="CI28" i="7"/>
  <c r="CI22" i="7"/>
  <c r="CI35" i="7"/>
  <c r="CG28" i="7"/>
  <c r="CI14" i="7"/>
  <c r="CI44" i="7"/>
  <c r="CG45" i="7"/>
  <c r="CI19" i="7"/>
  <c r="CG18" i="7"/>
  <c r="CI17" i="7"/>
  <c r="CG10" i="7"/>
  <c r="CG6" i="7"/>
  <c r="CI53" i="7"/>
  <c r="CG23" i="7"/>
  <c r="CI9" i="7"/>
  <c r="CG13" i="7"/>
  <c r="CI26" i="7"/>
  <c r="CG8" i="7"/>
  <c r="CG34" i="7"/>
  <c r="CG15" i="7"/>
  <c r="CG26" i="7"/>
  <c r="CK26" i="7" s="1"/>
  <c r="CI43" i="7"/>
  <c r="CI33" i="7"/>
  <c r="CG37" i="7"/>
  <c r="CG5" i="7"/>
  <c r="CI46" i="7"/>
  <c r="CI54" i="7"/>
  <c r="CG52" i="7"/>
  <c r="CI24" i="7"/>
  <c r="CI42" i="7"/>
  <c r="CG54" i="7"/>
  <c r="CK54" i="7" s="1"/>
  <c r="CG30" i="7"/>
  <c r="CI49" i="7"/>
  <c r="CG38" i="7"/>
  <c r="CI41" i="7"/>
  <c r="CI8" i="7"/>
  <c r="CG27" i="7"/>
  <c r="CG42" i="7"/>
  <c r="CK42" i="7" s="1"/>
  <c r="S75" i="5" a="1"/>
  <c r="S75" i="5" s="1"/>
  <c r="U75" i="5" a="1"/>
  <c r="U75" i="5" s="1"/>
  <c r="T179" i="5"/>
  <c r="T218" i="5"/>
  <c r="T18" i="5"/>
  <c r="T224" i="5"/>
  <c r="AI224" i="5" s="1"/>
  <c r="T149" i="5"/>
  <c r="T232" i="5"/>
  <c r="AI232" i="5" s="1"/>
  <c r="T36" i="5"/>
  <c r="T248" i="5"/>
  <c r="AI248" i="5" s="1"/>
  <c r="T256" i="5"/>
  <c r="T4" i="5"/>
  <c r="T176" i="5"/>
  <c r="T152" i="5"/>
  <c r="AI152" i="5" s="1"/>
  <c r="T160" i="5"/>
  <c r="T168" i="5"/>
  <c r="T61" i="5"/>
  <c r="T20" i="5"/>
  <c r="T188" i="5"/>
  <c r="AI188" i="5" s="1"/>
  <c r="T141" i="5"/>
  <c r="T79" i="5"/>
  <c r="T30" i="5"/>
  <c r="T157" i="5"/>
  <c r="T197" i="5"/>
  <c r="T173" i="5"/>
  <c r="T181" i="5"/>
  <c r="AI181" i="5" s="1"/>
  <c r="T189" i="5"/>
  <c r="T89" i="5"/>
  <c r="T57" i="5"/>
  <c r="T67" i="5"/>
  <c r="T78" i="5"/>
  <c r="T105" i="5"/>
  <c r="T260" i="5"/>
  <c r="T140" i="5"/>
  <c r="AB140" i="5" s="1"/>
  <c r="T230" i="5"/>
  <c r="T21" i="5"/>
  <c r="T143" i="5"/>
  <c r="T210" i="5"/>
  <c r="T60" i="5"/>
  <c r="T80" i="5"/>
  <c r="T68" i="5"/>
  <c r="T72" i="5"/>
  <c r="T76" i="5"/>
  <c r="T24" i="5"/>
  <c r="T8" i="5"/>
  <c r="T13" i="5"/>
  <c r="T19" i="5"/>
  <c r="T22" i="5"/>
  <c r="T10" i="5"/>
  <c r="AC10" i="5" s="1"/>
  <c r="T169" i="5"/>
  <c r="AI169" i="5" s="1"/>
  <c r="T192" i="5"/>
  <c r="T63" i="5"/>
  <c r="T108" i="5"/>
  <c r="T217" i="5"/>
  <c r="T171" i="5"/>
  <c r="T227" i="5"/>
  <c r="AI227" i="5" s="1"/>
  <c r="T11" i="5"/>
  <c r="T247" i="5"/>
  <c r="AC247" i="5" s="1"/>
  <c r="T255" i="5"/>
  <c r="T263" i="5"/>
  <c r="T262" i="5"/>
  <c r="T250" i="5"/>
  <c r="T254" i="5"/>
  <c r="AI254" i="5" s="1"/>
  <c r="T258" i="5"/>
  <c r="T214" i="5"/>
  <c r="T202" i="5"/>
  <c r="AI202" i="5" s="1"/>
  <c r="T142" i="5"/>
  <c r="T26" i="5"/>
  <c r="T145" i="5"/>
  <c r="T212" i="5"/>
  <c r="AI212" i="5" s="1"/>
  <c r="T87" i="5"/>
  <c r="T109" i="5"/>
  <c r="T223" i="5"/>
  <c r="T177" i="5"/>
  <c r="AI177" i="5" s="1"/>
  <c r="T144" i="5"/>
  <c r="T135" i="5"/>
  <c r="T209" i="5"/>
  <c r="T261" i="5"/>
  <c r="T132" i="5"/>
  <c r="T92" i="5"/>
  <c r="T225" i="5"/>
  <c r="T154" i="5"/>
  <c r="T219" i="5"/>
  <c r="T249" i="5"/>
  <c r="AI249" i="5" s="1"/>
  <c r="T253" i="5"/>
  <c r="AI253" i="5" s="1"/>
  <c r="T85" i="5"/>
  <c r="T111" i="5"/>
  <c r="T95" i="5"/>
  <c r="T101" i="5"/>
  <c r="T106" i="5"/>
  <c r="T44" i="5"/>
  <c r="T23" i="5"/>
  <c r="T31" i="5"/>
  <c r="T37" i="5"/>
  <c r="T112" i="5"/>
  <c r="T100" i="5"/>
  <c r="T35" i="5"/>
  <c r="T48" i="5"/>
  <c r="T251" i="5"/>
  <c r="T146" i="5"/>
  <c r="T40" i="5"/>
  <c r="T34" i="5"/>
  <c r="T54" i="5"/>
  <c r="T42" i="5"/>
  <c r="T46" i="5"/>
  <c r="T50" i="5"/>
  <c r="T6" i="5"/>
  <c r="T153" i="5"/>
  <c r="T73" i="5"/>
  <c r="T94" i="5"/>
  <c r="AI94" i="5" s="1"/>
  <c r="T126" i="5"/>
  <c r="T208" i="5"/>
  <c r="T184" i="5"/>
  <c r="T33" i="5"/>
  <c r="T49" i="5"/>
  <c r="T82" i="5"/>
  <c r="T86" i="5"/>
  <c r="T166" i="5"/>
  <c r="AI166" i="5" s="1"/>
  <c r="T226" i="5"/>
  <c r="T246" i="5"/>
  <c r="AI246" i="5" s="1"/>
  <c r="T234" i="5"/>
  <c r="T238" i="5"/>
  <c r="T242" i="5"/>
  <c r="T198" i="5"/>
  <c r="T186" i="5"/>
  <c r="T190" i="5"/>
  <c r="T194" i="5"/>
  <c r="T150" i="5"/>
  <c r="T138" i="5"/>
  <c r="AI138" i="5" s="1"/>
  <c r="T58" i="5"/>
  <c r="T128" i="5"/>
  <c r="T164" i="5"/>
  <c r="T180" i="5"/>
  <c r="T220" i="5"/>
  <c r="T196" i="5"/>
  <c r="T204" i="5"/>
  <c r="T119" i="5"/>
  <c r="T98" i="5"/>
  <c r="T243" i="5"/>
  <c r="AI243" i="5" s="1"/>
  <c r="T139" i="5"/>
  <c r="AI139" i="5" s="1"/>
  <c r="T51" i="5"/>
  <c r="T159" i="5"/>
  <c r="T114" i="5"/>
  <c r="T5" i="5"/>
  <c r="T257" i="5"/>
  <c r="T110" i="5"/>
  <c r="AI110" i="5" s="1"/>
  <c r="T136" i="5"/>
  <c r="T45" i="5"/>
  <c r="T29" i="5"/>
  <c r="T59" i="5"/>
  <c r="T148" i="5"/>
  <c r="AI148" i="5" s="1"/>
  <c r="T240" i="5"/>
  <c r="AI240" i="5" s="1"/>
  <c r="T165" i="5"/>
  <c r="T81" i="5"/>
  <c r="T107" i="5"/>
  <c r="T91" i="5"/>
  <c r="T97" i="5"/>
  <c r="T102" i="5"/>
  <c r="T39" i="5"/>
  <c r="T17" i="5"/>
  <c r="T25" i="5"/>
  <c r="T32" i="5"/>
  <c r="T187" i="5"/>
  <c r="T155" i="5"/>
  <c r="T206" i="5"/>
  <c r="T222" i="5"/>
  <c r="AI222" i="5" s="1"/>
  <c r="T172" i="5"/>
  <c r="T90" i="5"/>
  <c r="T38" i="5"/>
  <c r="T162" i="5"/>
  <c r="T182" i="5"/>
  <c r="AI182" i="5" s="1"/>
  <c r="T170" i="5"/>
  <c r="T174" i="5"/>
  <c r="T178" i="5"/>
  <c r="T133" i="5"/>
  <c r="T117" i="5"/>
  <c r="T122" i="5"/>
  <c r="AI122" i="5" s="1"/>
  <c r="T127" i="5"/>
  <c r="AI127" i="5" s="1"/>
  <c r="T69" i="5"/>
  <c r="T52" i="5"/>
  <c r="T104" i="5"/>
  <c r="T200" i="5"/>
  <c r="T27" i="5"/>
  <c r="T207" i="5"/>
  <c r="T70" i="5"/>
  <c r="T12" i="5"/>
  <c r="T77" i="5"/>
  <c r="AI77" i="5" s="1"/>
  <c r="T41" i="5"/>
  <c r="T55" i="5"/>
  <c r="T66" i="5"/>
  <c r="T215" i="5"/>
  <c r="T199" i="5"/>
  <c r="AI199" i="5" s="1"/>
  <c r="T203" i="5"/>
  <c r="T211" i="5"/>
  <c r="T147" i="5"/>
  <c r="T134" i="5"/>
  <c r="T53" i="5"/>
  <c r="T259" i="5"/>
  <c r="AI259" i="5" s="1"/>
  <c r="T93" i="5"/>
  <c r="T125" i="5"/>
  <c r="T233" i="5"/>
  <c r="T237" i="5"/>
  <c r="AI237" i="5" s="1"/>
  <c r="T84" i="5"/>
  <c r="T245" i="5"/>
  <c r="T235" i="5"/>
  <c r="T151" i="5"/>
  <c r="T71" i="5"/>
  <c r="T216" i="5"/>
  <c r="T201" i="5"/>
  <c r="T43" i="5"/>
  <c r="T241" i="5"/>
  <c r="T15" i="5"/>
  <c r="T28" i="5"/>
  <c r="T252" i="5"/>
  <c r="AI252" i="5" s="1"/>
  <c r="T228" i="5"/>
  <c r="T236" i="5"/>
  <c r="AI236" i="5" s="1"/>
  <c r="T244" i="5"/>
  <c r="T156" i="5"/>
  <c r="T130" i="5"/>
  <c r="T231" i="5"/>
  <c r="T62" i="5"/>
  <c r="T64" i="5"/>
  <c r="T116" i="5"/>
  <c r="T74" i="5"/>
  <c r="T163" i="5"/>
  <c r="T195" i="5"/>
  <c r="T175" i="5"/>
  <c r="T183" i="5"/>
  <c r="T191" i="5"/>
  <c r="T129" i="5"/>
  <c r="AI129" i="5" s="1"/>
  <c r="T113" i="5"/>
  <c r="T118" i="5"/>
  <c r="AI118" i="5" s="1"/>
  <c r="T123" i="5"/>
  <c r="T65" i="5"/>
  <c r="AA65" i="5" s="1"/>
  <c r="T47" i="5"/>
  <c r="T167" i="5"/>
  <c r="AI167" i="5" s="1"/>
  <c r="T103" i="5"/>
  <c r="T56" i="5"/>
  <c r="T75" i="5"/>
  <c r="T158" i="5"/>
  <c r="AI158" i="5" s="1"/>
  <c r="T83" i="5"/>
  <c r="T193" i="5"/>
  <c r="T137" i="5"/>
  <c r="T161" i="5"/>
  <c r="T185" i="5"/>
  <c r="T229" i="5"/>
  <c r="AI229" i="5" s="1"/>
  <c r="T205" i="5"/>
  <c r="T213" i="5"/>
  <c r="T221" i="5"/>
  <c r="T131" i="5"/>
  <c r="T99" i="5"/>
  <c r="T7" i="5"/>
  <c r="T115" i="5"/>
  <c r="T120" i="5"/>
  <c r="T121" i="5"/>
  <c r="T239" i="5"/>
  <c r="T124" i="5"/>
  <c r="T16" i="5"/>
  <c r="T9" i="5"/>
  <c r="T96" i="5"/>
  <c r="AI96" i="5" s="1"/>
  <c r="T88" i="5"/>
  <c r="T14" i="5"/>
  <c r="U76" i="5" a="1"/>
  <c r="U76" i="5" s="1"/>
  <c r="AG205" i="5"/>
  <c r="AG114" i="5"/>
  <c r="AG218" i="5"/>
  <c r="AG217" i="5"/>
  <c r="AG168" i="5"/>
  <c r="AG115" i="5"/>
  <c r="AG244" i="5"/>
  <c r="AI245" i="5"/>
  <c r="AI258" i="5"/>
  <c r="AG257" i="5"/>
  <c r="AG214" i="5"/>
  <c r="AG213" i="5"/>
  <c r="AG144" i="5"/>
  <c r="AG197" i="5"/>
  <c r="AG103" i="5"/>
  <c r="AG209" i="5"/>
  <c r="AG208" i="5"/>
  <c r="AG251" i="5"/>
  <c r="AI153" i="5"/>
  <c r="AG152" i="5"/>
  <c r="AG232" i="5"/>
  <c r="AG109" i="5"/>
  <c r="AG215" i="5"/>
  <c r="AG82" i="5"/>
  <c r="AG225" i="5"/>
  <c r="AG77" i="5"/>
  <c r="AG153" i="5"/>
  <c r="AG188" i="5"/>
  <c r="AG242" i="5"/>
  <c r="AG216" i="5"/>
  <c r="AG83" i="5"/>
  <c r="AG185" i="5"/>
  <c r="AI200" i="5"/>
  <c r="AG199" i="5"/>
  <c r="AG236" i="5"/>
  <c r="AG121" i="5"/>
  <c r="AG191" i="5"/>
  <c r="AG206" i="5"/>
  <c r="AG210" i="5"/>
  <c r="AG196" i="5"/>
  <c r="AG150" i="5"/>
  <c r="AG100" i="5"/>
  <c r="AG200" i="5"/>
  <c r="AG249" i="5"/>
  <c r="AG128" i="5"/>
  <c r="AG245" i="5"/>
  <c r="AG261" i="5"/>
  <c r="AG162" i="5"/>
  <c r="AG139" i="5"/>
  <c r="AG124" i="5"/>
  <c r="AG226" i="5"/>
  <c r="AG182" i="5"/>
  <c r="AG125" i="5"/>
  <c r="AI150" i="5"/>
  <c r="AG149" i="5"/>
  <c r="AG263" i="5"/>
  <c r="AH263" i="5" s="1"/>
  <c r="AI263" i="5"/>
  <c r="AJ263" i="5" s="1"/>
  <c r="AG262" i="5"/>
  <c r="AG132" i="5"/>
  <c r="AG84" i="5"/>
  <c r="AG172" i="5"/>
  <c r="AG117" i="5"/>
  <c r="AG231" i="5"/>
  <c r="AG198" i="5"/>
  <c r="AG183" i="5"/>
  <c r="AG146" i="5"/>
  <c r="AG81" i="5"/>
  <c r="AI82" i="5"/>
  <c r="AG207" i="5"/>
  <c r="AG127" i="5"/>
  <c r="AG223" i="5"/>
  <c r="AG219" i="5"/>
  <c r="AG177" i="5"/>
  <c r="AG95" i="5"/>
  <c r="AG118" i="5"/>
  <c r="AK41" i="7"/>
  <c r="AK30" i="7"/>
  <c r="AK5" i="7"/>
  <c r="AK39" i="7"/>
  <c r="AM23" i="7"/>
  <c r="AM13" i="7"/>
  <c r="AK29" i="7"/>
  <c r="AK15" i="7"/>
  <c r="AK24" i="7"/>
  <c r="AK16" i="7"/>
  <c r="AK21" i="7"/>
  <c r="AK54" i="7"/>
  <c r="AK43" i="7"/>
  <c r="AK22" i="7"/>
  <c r="AK10" i="7"/>
  <c r="AK38" i="7"/>
  <c r="AK27" i="7"/>
  <c r="AK56" i="7"/>
  <c r="AK42" i="7"/>
  <c r="AM35" i="7"/>
  <c r="AK13" i="7"/>
  <c r="AK9" i="7"/>
  <c r="AK26" i="7"/>
  <c r="AK40" i="7"/>
  <c r="AK50" i="7"/>
  <c r="AK28" i="7"/>
  <c r="AM15" i="7"/>
  <c r="AM19" i="7"/>
  <c r="AM6" i="7"/>
  <c r="AM29" i="7"/>
  <c r="AM22" i="7"/>
  <c r="AM52" i="7"/>
  <c r="AM12" i="7"/>
  <c r="AM9" i="7"/>
  <c r="AM11" i="7"/>
  <c r="AM54" i="7"/>
  <c r="AM33" i="7"/>
  <c r="AM36" i="7"/>
  <c r="AM30" i="7"/>
  <c r="AK32" i="7"/>
  <c r="AK6" i="7"/>
  <c r="AO6" i="7" s="1"/>
  <c r="AK11" i="7"/>
  <c r="AK33" i="7"/>
  <c r="AM5" i="7"/>
  <c r="AM32" i="7"/>
  <c r="AM50" i="7"/>
  <c r="AK25" i="7"/>
  <c r="AK52" i="7"/>
  <c r="AO52" i="7" s="1"/>
  <c r="AM44" i="7"/>
  <c r="AK34" i="7"/>
  <c r="AK35" i="7"/>
  <c r="AK36" i="7"/>
  <c r="AK53" i="7"/>
  <c r="AK18" i="7"/>
  <c r="AM18" i="7"/>
  <c r="AM39" i="7"/>
  <c r="AM7" i="7"/>
  <c r="AM8" i="7"/>
  <c r="AM48" i="7"/>
  <c r="AM38" i="7"/>
  <c r="AM17" i="7"/>
  <c r="AM47" i="7"/>
  <c r="AM53" i="7"/>
  <c r="AM46" i="7"/>
  <c r="AM31" i="7"/>
  <c r="AM25" i="7"/>
  <c r="AM24" i="7"/>
  <c r="AK12" i="7"/>
  <c r="AK45" i="7"/>
  <c r="AM34" i="7"/>
  <c r="AM16" i="7"/>
  <c r="AM45" i="7"/>
  <c r="AM43" i="7"/>
  <c r="AK19" i="7"/>
  <c r="AK49" i="7"/>
  <c r="AK20" i="7"/>
  <c r="AK48" i="7"/>
  <c r="AK14" i="7"/>
  <c r="AK55" i="7"/>
  <c r="AK44" i="7"/>
  <c r="AK46" i="7"/>
  <c r="AK31" i="7"/>
  <c r="AK8" i="7"/>
  <c r="AK7" i="7"/>
  <c r="AK51" i="7"/>
  <c r="AM26" i="7"/>
  <c r="AM14" i="7"/>
  <c r="AK37" i="7"/>
  <c r="AM28" i="7"/>
  <c r="AM10" i="7"/>
  <c r="AM21" i="7"/>
  <c r="AM55" i="7"/>
  <c r="AM20" i="7"/>
  <c r="AM42" i="7"/>
  <c r="AM40" i="7"/>
  <c r="AK23" i="7"/>
  <c r="AM56" i="7"/>
  <c r="AK47" i="7"/>
  <c r="AO47" i="7" s="1"/>
  <c r="AK17" i="7"/>
  <c r="AM27" i="7"/>
  <c r="AM37" i="7"/>
  <c r="AM51" i="7"/>
  <c r="AM49" i="7"/>
  <c r="AM41" i="7"/>
  <c r="BH25" i="7"/>
  <c r="BJ45" i="7"/>
  <c r="BH31" i="7"/>
  <c r="BH17" i="7"/>
  <c r="BJ30" i="7"/>
  <c r="BH33" i="7"/>
  <c r="BH7" i="7"/>
  <c r="BH50" i="7"/>
  <c r="BJ51" i="7"/>
  <c r="BH41" i="7"/>
  <c r="BH49" i="7"/>
  <c r="BH51" i="7"/>
  <c r="BH11" i="7"/>
  <c r="BH46" i="7"/>
  <c r="BH21" i="7"/>
  <c r="BH27" i="7"/>
  <c r="BH6" i="7"/>
  <c r="BH37" i="7"/>
  <c r="BH56" i="7"/>
  <c r="BH16" i="7"/>
  <c r="BH26" i="7"/>
  <c r="BH53" i="7"/>
  <c r="BH36" i="7"/>
  <c r="BJ12" i="7"/>
  <c r="BJ56" i="7"/>
  <c r="BJ25" i="7"/>
  <c r="BH24" i="7"/>
  <c r="BJ44" i="7"/>
  <c r="BH14" i="7"/>
  <c r="BH12" i="7"/>
  <c r="BH45" i="7"/>
  <c r="BH35" i="7"/>
  <c r="BH15" i="7"/>
  <c r="BH9" i="7"/>
  <c r="BJ47" i="7"/>
  <c r="BJ55" i="7"/>
  <c r="BJ50" i="7"/>
  <c r="BJ22" i="7"/>
  <c r="BJ10" i="7"/>
  <c r="BJ32" i="7"/>
  <c r="BJ19" i="7"/>
  <c r="BJ14" i="7"/>
  <c r="BJ21" i="7"/>
  <c r="BJ23" i="7"/>
  <c r="BJ24" i="7"/>
  <c r="BJ11" i="7"/>
  <c r="BJ7" i="7"/>
  <c r="BJ39" i="7"/>
  <c r="BH55" i="7"/>
  <c r="BH5" i="7"/>
  <c r="BH23" i="7"/>
  <c r="BH42" i="7"/>
  <c r="BJ18" i="7"/>
  <c r="BJ41" i="7"/>
  <c r="BL41" i="7" s="1"/>
  <c r="BJ48" i="7"/>
  <c r="BH39" i="7"/>
  <c r="BL39" i="7" s="1"/>
  <c r="BH34" i="7"/>
  <c r="BH32" i="7"/>
  <c r="BH38" i="7"/>
  <c r="BH22" i="7"/>
  <c r="BH30" i="7"/>
  <c r="BL30" i="7" s="1"/>
  <c r="BH43" i="7"/>
  <c r="BH28" i="7"/>
  <c r="BJ52" i="7"/>
  <c r="BJ6" i="7"/>
  <c r="BJ16" i="7"/>
  <c r="BJ38" i="7"/>
  <c r="BJ49" i="7"/>
  <c r="BJ9" i="7"/>
  <c r="BJ53" i="7"/>
  <c r="BJ54" i="7"/>
  <c r="BJ28" i="7"/>
  <c r="BH54" i="7"/>
  <c r="BH8" i="7"/>
  <c r="BJ46" i="7"/>
  <c r="BJ27" i="7"/>
  <c r="BJ17" i="7"/>
  <c r="BJ42" i="7"/>
  <c r="BJ35" i="7"/>
  <c r="BH40" i="7"/>
  <c r="BH19" i="7"/>
  <c r="BL19" i="7" s="1"/>
  <c r="BH44" i="7"/>
  <c r="BH20" i="7"/>
  <c r="BH13" i="7"/>
  <c r="BH47" i="7"/>
  <c r="BH18" i="7"/>
  <c r="BH10" i="7"/>
  <c r="BL10" i="7" s="1"/>
  <c r="BH29" i="7"/>
  <c r="BJ13" i="7"/>
  <c r="BJ5" i="7"/>
  <c r="BJ29" i="7"/>
  <c r="BJ8" i="7"/>
  <c r="BJ43" i="7"/>
  <c r="BJ33" i="7"/>
  <c r="BJ20" i="7"/>
  <c r="BJ31" i="7"/>
  <c r="BJ37" i="7"/>
  <c r="BJ26" i="7"/>
  <c r="BJ15" i="7"/>
  <c r="BH48" i="7"/>
  <c r="BH52" i="7"/>
  <c r="BJ40" i="7"/>
  <c r="BJ34" i="7"/>
  <c r="BJ36" i="7"/>
  <c r="AG192" i="5"/>
  <c r="AG180" i="5"/>
  <c r="AG181" i="5"/>
  <c r="AG255" i="5"/>
  <c r="AG129" i="5"/>
  <c r="AG254" i="5"/>
  <c r="BZ51" i="7"/>
  <c r="BZ29" i="7"/>
  <c r="BZ31" i="7"/>
  <c r="BZ6" i="7"/>
  <c r="BZ50" i="7"/>
  <c r="BZ37" i="7"/>
  <c r="BZ13" i="7"/>
  <c r="BZ8" i="7"/>
  <c r="BZ53" i="7"/>
  <c r="BZ30" i="7"/>
  <c r="BZ35" i="7"/>
  <c r="BZ42" i="7"/>
  <c r="BZ46" i="7"/>
  <c r="BZ24" i="7"/>
  <c r="CB7" i="7"/>
  <c r="CB24" i="7"/>
  <c r="CB33" i="7"/>
  <c r="BZ15" i="7"/>
  <c r="BZ56" i="7"/>
  <c r="BZ45" i="7"/>
  <c r="BZ34" i="7"/>
  <c r="BZ54" i="7"/>
  <c r="CB52" i="7"/>
  <c r="BZ47" i="7"/>
  <c r="BZ5" i="7"/>
  <c r="BZ26" i="7"/>
  <c r="CB45" i="7"/>
  <c r="CB19" i="7"/>
  <c r="CB35" i="7"/>
  <c r="BZ18" i="7"/>
  <c r="BZ25" i="7"/>
  <c r="BZ22" i="7"/>
  <c r="BZ55" i="7"/>
  <c r="BZ38" i="7"/>
  <c r="CB31" i="7"/>
  <c r="CB51" i="7"/>
  <c r="BZ44" i="7"/>
  <c r="BZ28" i="7"/>
  <c r="CB18" i="7"/>
  <c r="CB28" i="7"/>
  <c r="CB26" i="7"/>
  <c r="CB50" i="7"/>
  <c r="CB17" i="7"/>
  <c r="CB30" i="7"/>
  <c r="BZ48" i="7"/>
  <c r="BZ7" i="7"/>
  <c r="BZ36" i="7"/>
  <c r="BZ49" i="7"/>
  <c r="CB34" i="7"/>
  <c r="CB21" i="7"/>
  <c r="CB47" i="7"/>
  <c r="CB11" i="7"/>
  <c r="CB55" i="7"/>
  <c r="CB39" i="7"/>
  <c r="BZ40" i="7"/>
  <c r="BZ20" i="7"/>
  <c r="CB48" i="7"/>
  <c r="CB15" i="7"/>
  <c r="CB16" i="7"/>
  <c r="CB14" i="7"/>
  <c r="CB43" i="7"/>
  <c r="BZ33" i="7"/>
  <c r="BZ32" i="7"/>
  <c r="BZ14" i="7"/>
  <c r="CD14" i="7" s="1"/>
  <c r="CB10" i="7"/>
  <c r="CB13" i="7"/>
  <c r="BZ52" i="7"/>
  <c r="CD52" i="7" s="1"/>
  <c r="BZ19" i="7"/>
  <c r="CD19" i="7" s="1"/>
  <c r="BZ12" i="7"/>
  <c r="BZ39" i="7"/>
  <c r="CD39" i="7" s="1"/>
  <c r="CB5" i="7"/>
  <c r="CB56" i="7"/>
  <c r="CB32" i="7"/>
  <c r="CB12" i="7"/>
  <c r="CB41" i="7"/>
  <c r="BZ11" i="7"/>
  <c r="CD11" i="7" s="1"/>
  <c r="BZ10" i="7"/>
  <c r="CD10" i="7" s="1"/>
  <c r="CB54" i="7"/>
  <c r="BZ16" i="7"/>
  <c r="CD16" i="7" s="1"/>
  <c r="BZ41" i="7"/>
  <c r="CB27" i="7"/>
  <c r="CB38" i="7"/>
  <c r="CB23" i="7"/>
  <c r="CB6" i="7"/>
  <c r="CD6" i="7" s="1"/>
  <c r="CB29" i="7"/>
  <c r="CB8" i="7"/>
  <c r="CB49" i="7"/>
  <c r="CB53" i="7"/>
  <c r="CB25" i="7"/>
  <c r="CB40" i="7"/>
  <c r="CB22" i="7"/>
  <c r="BZ27" i="7"/>
  <c r="BZ43" i="7"/>
  <c r="CD43" i="7" s="1"/>
  <c r="BZ17" i="7"/>
  <c r="CB37" i="7"/>
  <c r="CB46" i="7"/>
  <c r="CB9" i="7"/>
  <c r="CB44" i="7"/>
  <c r="CB42" i="7"/>
  <c r="BZ9" i="7"/>
  <c r="BZ21" i="7"/>
  <c r="BZ23" i="7"/>
  <c r="CB20" i="7"/>
  <c r="CB36" i="7"/>
  <c r="Z41" i="7"/>
  <c r="Z20" i="7"/>
  <c r="X34" i="7"/>
  <c r="Z46" i="7"/>
  <c r="X10" i="7"/>
  <c r="X33" i="7"/>
  <c r="X56" i="7"/>
  <c r="Z5" i="7"/>
  <c r="X8" i="7"/>
  <c r="X32" i="7"/>
  <c r="X22" i="7"/>
  <c r="X39" i="7"/>
  <c r="Z56" i="7"/>
  <c r="X19" i="7"/>
  <c r="X14" i="7"/>
  <c r="X25" i="7"/>
  <c r="X38" i="7"/>
  <c r="X18" i="7"/>
  <c r="Z53" i="7"/>
  <c r="X44" i="7"/>
  <c r="X45" i="7"/>
  <c r="X5" i="7"/>
  <c r="Z28" i="7"/>
  <c r="X48" i="7"/>
  <c r="Z45" i="7"/>
  <c r="X42" i="7"/>
  <c r="X12" i="7"/>
  <c r="Z27" i="7"/>
  <c r="X51" i="7"/>
  <c r="X36" i="7"/>
  <c r="X54" i="7"/>
  <c r="X46" i="7"/>
  <c r="AB46" i="7" s="1"/>
  <c r="X53" i="7"/>
  <c r="Z11" i="7"/>
  <c r="X13" i="7"/>
  <c r="X23" i="7"/>
  <c r="Z48" i="7"/>
  <c r="X30" i="7"/>
  <c r="X16" i="7"/>
  <c r="X35" i="7"/>
  <c r="Z8" i="7"/>
  <c r="X52" i="7"/>
  <c r="X47" i="7"/>
  <c r="X24" i="7"/>
  <c r="X9" i="7"/>
  <c r="X55" i="7"/>
  <c r="Z49" i="7"/>
  <c r="X28" i="7"/>
  <c r="X37" i="7"/>
  <c r="X49" i="7"/>
  <c r="X7" i="7"/>
  <c r="Z40" i="7"/>
  <c r="Z38" i="7"/>
  <c r="Z37" i="7"/>
  <c r="Z44" i="7"/>
  <c r="Z51" i="7"/>
  <c r="Z15" i="7"/>
  <c r="Z23" i="7"/>
  <c r="Z39" i="7"/>
  <c r="Z22" i="7"/>
  <c r="Z12" i="7"/>
  <c r="Z33" i="7"/>
  <c r="Z10" i="7"/>
  <c r="X40" i="7"/>
  <c r="AB40" i="7" s="1"/>
  <c r="X26" i="7"/>
  <c r="X20" i="7"/>
  <c r="AB20" i="7" s="1"/>
  <c r="X50" i="7"/>
  <c r="Z24" i="7"/>
  <c r="X29" i="7"/>
  <c r="X11" i="7"/>
  <c r="AB11" i="7" s="1"/>
  <c r="Z19" i="7"/>
  <c r="X31" i="7"/>
  <c r="X6" i="7"/>
  <c r="Z18" i="7"/>
  <c r="Z25" i="7"/>
  <c r="Z13" i="7"/>
  <c r="Z55" i="7"/>
  <c r="Z16" i="7"/>
  <c r="Z9" i="7"/>
  <c r="Z52" i="7"/>
  <c r="Z43" i="7"/>
  <c r="Z29" i="7"/>
  <c r="Z54" i="7"/>
  <c r="Z47" i="7"/>
  <c r="Z21" i="7"/>
  <c r="Z30" i="7"/>
  <c r="Z35" i="7"/>
  <c r="X41" i="7"/>
  <c r="X15" i="7"/>
  <c r="AB15" i="7" s="1"/>
  <c r="Z31" i="7"/>
  <c r="X17" i="7"/>
  <c r="Z32" i="7"/>
  <c r="Z26" i="7"/>
  <c r="Z6" i="7"/>
  <c r="Z50" i="7"/>
  <c r="Z36" i="7"/>
  <c r="Z14" i="7"/>
  <c r="X27" i="7"/>
  <c r="X43" i="7"/>
  <c r="Z7" i="7"/>
  <c r="Z17" i="7"/>
  <c r="Z34" i="7"/>
  <c r="Z42" i="7"/>
  <c r="X21" i="7"/>
  <c r="CO40" i="7"/>
  <c r="CM47" i="7"/>
  <c r="CO21" i="7"/>
  <c r="CO49" i="7"/>
  <c r="CO10" i="7"/>
  <c r="CO56" i="7"/>
  <c r="CO37" i="7"/>
  <c r="CM12" i="7"/>
  <c r="CM17" i="7"/>
  <c r="CM55" i="7"/>
  <c r="CM45" i="7"/>
  <c r="CM9" i="7"/>
  <c r="CM39" i="7"/>
  <c r="CM13" i="7"/>
  <c r="CM32" i="7"/>
  <c r="CO8" i="7"/>
  <c r="CM20" i="7"/>
  <c r="CO52" i="7"/>
  <c r="CO30" i="7"/>
  <c r="CO26" i="7"/>
  <c r="CO44" i="7"/>
  <c r="CM42" i="7"/>
  <c r="CM31" i="7"/>
  <c r="CM56" i="7"/>
  <c r="CO31" i="7"/>
  <c r="CO17" i="7"/>
  <c r="CO23" i="7"/>
  <c r="CO25" i="7"/>
  <c r="CO5" i="7"/>
  <c r="CO55" i="7"/>
  <c r="CO27" i="7"/>
  <c r="CM46" i="7"/>
  <c r="CM27" i="7"/>
  <c r="CM44" i="7"/>
  <c r="CM41" i="7"/>
  <c r="CO34" i="7"/>
  <c r="CO32" i="7"/>
  <c r="CO12" i="7"/>
  <c r="CO48" i="7"/>
  <c r="CO35" i="7"/>
  <c r="CM50" i="7"/>
  <c r="CM10" i="7"/>
  <c r="CM54" i="7"/>
  <c r="CM18" i="7"/>
  <c r="CM23" i="7"/>
  <c r="CM15" i="7"/>
  <c r="CM30" i="7"/>
  <c r="CQ30" i="7" s="1"/>
  <c r="CM14" i="7"/>
  <c r="CO22" i="7"/>
  <c r="CO51" i="7"/>
  <c r="CO28" i="7"/>
  <c r="CO24" i="7"/>
  <c r="CO7" i="7"/>
  <c r="CO45" i="7"/>
  <c r="CO54" i="7"/>
  <c r="CO9" i="7"/>
  <c r="CM6" i="7"/>
  <c r="CM19" i="7"/>
  <c r="CM38" i="7"/>
  <c r="CO19" i="7"/>
  <c r="CO16" i="7"/>
  <c r="CO36" i="7"/>
  <c r="CO43" i="7"/>
  <c r="CO53" i="7"/>
  <c r="CM11" i="7"/>
  <c r="CM33" i="7"/>
  <c r="CM35" i="7"/>
  <c r="CM43" i="7"/>
  <c r="CM36" i="7"/>
  <c r="CM7" i="7"/>
  <c r="CO50" i="7"/>
  <c r="CO33" i="7"/>
  <c r="CO39" i="7"/>
  <c r="CO14" i="7"/>
  <c r="CM53" i="7"/>
  <c r="CM25" i="7"/>
  <c r="CQ25" i="7" s="1"/>
  <c r="CM51" i="7"/>
  <c r="CM52" i="7"/>
  <c r="CQ52" i="7" s="1"/>
  <c r="CO42" i="7"/>
  <c r="CM5" i="7"/>
  <c r="CM48" i="7"/>
  <c r="CO20" i="7"/>
  <c r="CO47" i="7"/>
  <c r="CO38" i="7"/>
  <c r="CO46" i="7"/>
  <c r="CM28" i="7"/>
  <c r="CM40" i="7"/>
  <c r="CM8" i="7"/>
  <c r="CQ8" i="7" s="1"/>
  <c r="CM34" i="7"/>
  <c r="CM49" i="7"/>
  <c r="CM24" i="7"/>
  <c r="CM29" i="7"/>
  <c r="CM21" i="7"/>
  <c r="CO29" i="7"/>
  <c r="CO6" i="7"/>
  <c r="CO18" i="7"/>
  <c r="CM22" i="7"/>
  <c r="CQ22" i="7" s="1"/>
  <c r="CM26" i="7"/>
  <c r="CO41" i="7"/>
  <c r="CO11" i="7"/>
  <c r="CM37" i="7"/>
  <c r="CM16" i="7"/>
  <c r="CO15" i="7"/>
  <c r="CO13" i="7"/>
  <c r="G24" i="7"/>
  <c r="I45" i="7"/>
  <c r="G56" i="7"/>
  <c r="G6" i="7"/>
  <c r="G44" i="7"/>
  <c r="I24" i="7"/>
  <c r="I44" i="7"/>
  <c r="I26" i="7"/>
  <c r="G41" i="7"/>
  <c r="G47" i="7"/>
  <c r="I39" i="7"/>
  <c r="I13" i="7"/>
  <c r="I55" i="7"/>
  <c r="G21" i="7"/>
  <c r="G36" i="7"/>
  <c r="I11" i="7"/>
  <c r="I23" i="7"/>
  <c r="I30" i="7"/>
  <c r="G30" i="7"/>
  <c r="G33" i="7"/>
  <c r="I16" i="7"/>
  <c r="I38" i="7"/>
  <c r="I9" i="7"/>
  <c r="I20" i="7"/>
  <c r="I35" i="7"/>
  <c r="G39" i="7"/>
  <c r="G55" i="7"/>
  <c r="G53" i="7"/>
  <c r="G20" i="7"/>
  <c r="I34" i="7"/>
  <c r="I29" i="7"/>
  <c r="I36" i="7"/>
  <c r="G50" i="7"/>
  <c r="G40" i="7"/>
  <c r="I18" i="7"/>
  <c r="I31" i="7"/>
  <c r="I42" i="7"/>
  <c r="G35" i="7"/>
  <c r="G18" i="7"/>
  <c r="I37" i="7"/>
  <c r="I25" i="7"/>
  <c r="I40" i="7"/>
  <c r="G9" i="7"/>
  <c r="G10" i="7"/>
  <c r="I28" i="7"/>
  <c r="I52" i="7"/>
  <c r="I51" i="7"/>
  <c r="I21" i="7"/>
  <c r="G23" i="7"/>
  <c r="I41" i="7"/>
  <c r="G54" i="7"/>
  <c r="I33" i="7"/>
  <c r="I22" i="7"/>
  <c r="G27" i="7"/>
  <c r="G25" i="7"/>
  <c r="G46" i="7"/>
  <c r="G38" i="7"/>
  <c r="I32" i="7"/>
  <c r="I46" i="7"/>
  <c r="I12" i="7"/>
  <c r="G16" i="7"/>
  <c r="G34" i="7"/>
  <c r="I10" i="7"/>
  <c r="I49" i="7"/>
  <c r="G48" i="7"/>
  <c r="G8" i="7"/>
  <c r="G17" i="7"/>
  <c r="I15" i="7"/>
  <c r="I8" i="7"/>
  <c r="G32" i="7"/>
  <c r="G37" i="7"/>
  <c r="G19" i="7"/>
  <c r="I43" i="7"/>
  <c r="I14" i="7"/>
  <c r="G28" i="7"/>
  <c r="G26" i="7"/>
  <c r="I27" i="7"/>
  <c r="G42" i="7"/>
  <c r="I6" i="7"/>
  <c r="G15" i="7"/>
  <c r="G52" i="7"/>
  <c r="I17" i="7"/>
  <c r="I56" i="7"/>
  <c r="I50" i="7"/>
  <c r="G14" i="7"/>
  <c r="I54" i="7"/>
  <c r="G12" i="7"/>
  <c r="G31" i="7"/>
  <c r="I19" i="7"/>
  <c r="G7" i="7"/>
  <c r="G11" i="7"/>
  <c r="G45" i="7"/>
  <c r="I48" i="7"/>
  <c r="G51" i="7"/>
  <c r="G22" i="7"/>
  <c r="I47" i="7"/>
  <c r="I5" i="7"/>
  <c r="G5" i="7"/>
  <c r="G49" i="7"/>
  <c r="I53" i="7"/>
  <c r="G43" i="7"/>
  <c r="G29" i="7"/>
  <c r="I7" i="7"/>
  <c r="G13" i="7"/>
  <c r="L16" i="7"/>
  <c r="L8" i="7"/>
  <c r="L36" i="7"/>
  <c r="L6" i="7"/>
  <c r="N38" i="7"/>
  <c r="L27" i="7"/>
  <c r="L34" i="7"/>
  <c r="L56" i="7"/>
  <c r="L28" i="7"/>
  <c r="N48" i="7"/>
  <c r="N17" i="7"/>
  <c r="N49" i="7"/>
  <c r="N22" i="7"/>
  <c r="L7" i="7"/>
  <c r="N50" i="7"/>
  <c r="N21" i="7"/>
  <c r="N31" i="7"/>
  <c r="L26" i="7"/>
  <c r="N23" i="7"/>
  <c r="N8" i="7"/>
  <c r="N19" i="7"/>
  <c r="L29" i="7"/>
  <c r="L54" i="7"/>
  <c r="L40" i="7"/>
  <c r="L18" i="7"/>
  <c r="L15" i="7"/>
  <c r="L53" i="7"/>
  <c r="L33" i="7"/>
  <c r="L22" i="7"/>
  <c r="P22" i="7" s="1"/>
  <c r="L25" i="7"/>
  <c r="N40" i="7"/>
  <c r="N37" i="7"/>
  <c r="N32" i="7"/>
  <c r="L11" i="7"/>
  <c r="N36" i="7"/>
  <c r="N56" i="7"/>
  <c r="L48" i="7"/>
  <c r="N26" i="7"/>
  <c r="N16" i="7"/>
  <c r="N24" i="7"/>
  <c r="L49" i="7"/>
  <c r="L21" i="7"/>
  <c r="L32" i="7"/>
  <c r="L55" i="7"/>
  <c r="L20" i="7"/>
  <c r="N34" i="7"/>
  <c r="N35" i="7"/>
  <c r="N55" i="7"/>
  <c r="N27" i="7"/>
  <c r="N54" i="7"/>
  <c r="N43" i="7"/>
  <c r="N33" i="7"/>
  <c r="N52" i="7"/>
  <c r="L14" i="7"/>
  <c r="N18" i="7"/>
  <c r="N6" i="7"/>
  <c r="N13" i="7"/>
  <c r="N39" i="7"/>
  <c r="L43" i="7"/>
  <c r="P43" i="7" s="1"/>
  <c r="N14" i="7"/>
  <c r="L35" i="7"/>
  <c r="L5" i="7"/>
  <c r="N29" i="7"/>
  <c r="N41" i="7"/>
  <c r="N46" i="7"/>
  <c r="N20" i="7"/>
  <c r="N9" i="7"/>
  <c r="L12" i="7"/>
  <c r="L37" i="7"/>
  <c r="N42" i="7"/>
  <c r="L38" i="7"/>
  <c r="L42" i="7"/>
  <c r="L41" i="7"/>
  <c r="L23" i="7"/>
  <c r="N7" i="7"/>
  <c r="L44" i="7"/>
  <c r="L10" i="7"/>
  <c r="N30" i="7"/>
  <c r="L31" i="7"/>
  <c r="L19" i="7"/>
  <c r="N28" i="7"/>
  <c r="N44" i="7"/>
  <c r="N51" i="7"/>
  <c r="N45" i="7"/>
  <c r="N15" i="7"/>
  <c r="N11" i="7"/>
  <c r="N12" i="7"/>
  <c r="L24" i="7"/>
  <c r="P24" i="7" s="1"/>
  <c r="L52" i="7"/>
  <c r="P52" i="7" s="1"/>
  <c r="N25" i="7"/>
  <c r="N47" i="7"/>
  <c r="L13" i="7"/>
  <c r="L39" i="7"/>
  <c r="L47" i="7"/>
  <c r="N53" i="7"/>
  <c r="L45" i="7"/>
  <c r="P45" i="7" s="1"/>
  <c r="L17" i="7"/>
  <c r="N5" i="7"/>
  <c r="L51" i="7"/>
  <c r="P51" i="7" s="1"/>
  <c r="N10" i="7"/>
  <c r="L50" i="7"/>
  <c r="L30" i="7"/>
  <c r="P30" i="7" s="1"/>
  <c r="L46" i="7"/>
  <c r="L9" i="7"/>
  <c r="BC38" i="7"/>
  <c r="BC19" i="7"/>
  <c r="BC50" i="7"/>
  <c r="BC51" i="7"/>
  <c r="BE9" i="7"/>
  <c r="BC27" i="7"/>
  <c r="BC8" i="7"/>
  <c r="BE41" i="7"/>
  <c r="BC41" i="7"/>
  <c r="BC7" i="7"/>
  <c r="BC46" i="7"/>
  <c r="BC52" i="7"/>
  <c r="BC37" i="7"/>
  <c r="BC25" i="7"/>
  <c r="BC39" i="7"/>
  <c r="BC21" i="7"/>
  <c r="BC20" i="7"/>
  <c r="BC34" i="7"/>
  <c r="BC10" i="7"/>
  <c r="BC18" i="7"/>
  <c r="BE13" i="7"/>
  <c r="BE51" i="7"/>
  <c r="BE30" i="7"/>
  <c r="BE15" i="7"/>
  <c r="BE24" i="7"/>
  <c r="BE14" i="7"/>
  <c r="BE6" i="7"/>
  <c r="BE7" i="7"/>
  <c r="BE11" i="7"/>
  <c r="BE42" i="7"/>
  <c r="BE46" i="7"/>
  <c r="BE16" i="7"/>
  <c r="BE29" i="7"/>
  <c r="BE22" i="7"/>
  <c r="BE32" i="7"/>
  <c r="BE33" i="7"/>
  <c r="BC23" i="7"/>
  <c r="BC47" i="7"/>
  <c r="BC54" i="7"/>
  <c r="BC17" i="7"/>
  <c r="BC30" i="7"/>
  <c r="BE39" i="7"/>
  <c r="BE20" i="7"/>
  <c r="BE18" i="7"/>
  <c r="BC31" i="7"/>
  <c r="BC6" i="7"/>
  <c r="BC9" i="7"/>
  <c r="BC35" i="7"/>
  <c r="BC24" i="7"/>
  <c r="BG24" i="7" s="1"/>
  <c r="BC49" i="7"/>
  <c r="BC42" i="7"/>
  <c r="BC28" i="7"/>
  <c r="BC36" i="7"/>
  <c r="BC11" i="7"/>
  <c r="BC56" i="7"/>
  <c r="BE43" i="7"/>
  <c r="BE50" i="7"/>
  <c r="BE25" i="7"/>
  <c r="BE54" i="7"/>
  <c r="BE34" i="7"/>
  <c r="BE23" i="7"/>
  <c r="BE21" i="7"/>
  <c r="BE10" i="7"/>
  <c r="BE48" i="7"/>
  <c r="BE17" i="7"/>
  <c r="BE53" i="7"/>
  <c r="BE55" i="7"/>
  <c r="BC29" i="7"/>
  <c r="BC5" i="7"/>
  <c r="BC33" i="7"/>
  <c r="BE36" i="7"/>
  <c r="BE5" i="7"/>
  <c r="BE26" i="7"/>
  <c r="BC40" i="7"/>
  <c r="BC22" i="7"/>
  <c r="BC32" i="7"/>
  <c r="BC45" i="7"/>
  <c r="BC12" i="7"/>
  <c r="BC16" i="7"/>
  <c r="BC53" i="7"/>
  <c r="BC48" i="7"/>
  <c r="BC13" i="7"/>
  <c r="BC44" i="7"/>
  <c r="BC15" i="7"/>
  <c r="BG15" i="7" s="1"/>
  <c r="BE28" i="7"/>
  <c r="BE44" i="7"/>
  <c r="BE31" i="7"/>
  <c r="BE37" i="7"/>
  <c r="BE45" i="7"/>
  <c r="BE40" i="7"/>
  <c r="BE8" i="7"/>
  <c r="BE12" i="7"/>
  <c r="BE49" i="7"/>
  <c r="BE27" i="7"/>
  <c r="BE35" i="7"/>
  <c r="BE38" i="7"/>
  <c r="BE19" i="7"/>
  <c r="BC43" i="7"/>
  <c r="BC55" i="7"/>
  <c r="BG55" i="7" s="1"/>
  <c r="BC26" i="7"/>
  <c r="BC14" i="7"/>
  <c r="BE52" i="7"/>
  <c r="BE47" i="7"/>
  <c r="BE56" i="7"/>
  <c r="CA51" i="7"/>
  <c r="CA42" i="7"/>
  <c r="CA44" i="7"/>
  <c r="CA40" i="7"/>
  <c r="CA21" i="7"/>
  <c r="CA26" i="7"/>
  <c r="CA22" i="7"/>
  <c r="CA18" i="7"/>
  <c r="CA55" i="7"/>
  <c r="CA17" i="7"/>
  <c r="CA43" i="7"/>
  <c r="CA6" i="7"/>
  <c r="CA34" i="7"/>
  <c r="CA48" i="7"/>
  <c r="CA36" i="7"/>
  <c r="CA35" i="7"/>
  <c r="CA46" i="7"/>
  <c r="CA19" i="7"/>
  <c r="CA23" i="7"/>
  <c r="CA47" i="7"/>
  <c r="CA27" i="7"/>
  <c r="CA15" i="7"/>
  <c r="CA45" i="7"/>
  <c r="CA50" i="7"/>
  <c r="CA25" i="7"/>
  <c r="CA5" i="7"/>
  <c r="CC32" i="7"/>
  <c r="CC7" i="7"/>
  <c r="CC38" i="7"/>
  <c r="CC20" i="7"/>
  <c r="CA28" i="7"/>
  <c r="CA37" i="7"/>
  <c r="CA54" i="7"/>
  <c r="CA7" i="7"/>
  <c r="CC18" i="7"/>
  <c r="CC12" i="7"/>
  <c r="CC14" i="7"/>
  <c r="CC27" i="7"/>
  <c r="CA49" i="7"/>
  <c r="CC13" i="7"/>
  <c r="CA11" i="7"/>
  <c r="CA10" i="7"/>
  <c r="CA52" i="7"/>
  <c r="CA16" i="7"/>
  <c r="CA39" i="7"/>
  <c r="CA38" i="7"/>
  <c r="CC24" i="7"/>
  <c r="CC36" i="7"/>
  <c r="CC34" i="7"/>
  <c r="CC29" i="7"/>
  <c r="CA31" i="7"/>
  <c r="CC33" i="7"/>
  <c r="CC31" i="7"/>
  <c r="CC22" i="7"/>
  <c r="CC8" i="7"/>
  <c r="CC19" i="7"/>
  <c r="CC5" i="7"/>
  <c r="CC44" i="7"/>
  <c r="CC25" i="7"/>
  <c r="CC51" i="7"/>
  <c r="CC53" i="7"/>
  <c r="CA13" i="7"/>
  <c r="CA30" i="7"/>
  <c r="CC55" i="7"/>
  <c r="CC17" i="7"/>
  <c r="CA20" i="7"/>
  <c r="CE20" i="7" s="1"/>
  <c r="CA9" i="7"/>
  <c r="CA56" i="7"/>
  <c r="CC16" i="7"/>
  <c r="CC23" i="7"/>
  <c r="CC54" i="7"/>
  <c r="CC39" i="7"/>
  <c r="CC6" i="7"/>
  <c r="CA41" i="7"/>
  <c r="CA8" i="7"/>
  <c r="CE8" i="7" s="1"/>
  <c r="CC11" i="7"/>
  <c r="CC28" i="7"/>
  <c r="CC45" i="7"/>
  <c r="CC42" i="7"/>
  <c r="CC47" i="7"/>
  <c r="CC46" i="7"/>
  <c r="CE46" i="7" s="1"/>
  <c r="CC40" i="7"/>
  <c r="CC10" i="7"/>
  <c r="CC37" i="7"/>
  <c r="CC50" i="7"/>
  <c r="CA32" i="7"/>
  <c r="CA24" i="7"/>
  <c r="CE24" i="7" s="1"/>
  <c r="CA12" i="7"/>
  <c r="CE12" i="7" s="1"/>
  <c r="CA53" i="7"/>
  <c r="CE53" i="7" s="1"/>
  <c r="CA33" i="7"/>
  <c r="CA29" i="7"/>
  <c r="CC41" i="7"/>
  <c r="CC35" i="7"/>
  <c r="CC26" i="7"/>
  <c r="CC56" i="7"/>
  <c r="CC21" i="7"/>
  <c r="CC30" i="7"/>
  <c r="CC52" i="7"/>
  <c r="CC43" i="7"/>
  <c r="CE43" i="7" s="1"/>
  <c r="CC15" i="7"/>
  <c r="CC49" i="7"/>
  <c r="CC48" i="7"/>
  <c r="CA14" i="7"/>
  <c r="CC9" i="7"/>
  <c r="AS25" i="7"/>
  <c r="AS13" i="7"/>
  <c r="AQ54" i="7"/>
  <c r="AQ47" i="7"/>
  <c r="AS24" i="7"/>
  <c r="AS46" i="7"/>
  <c r="AQ56" i="7"/>
  <c r="AS9" i="7"/>
  <c r="AS20" i="7"/>
  <c r="AS35" i="7"/>
  <c r="AS29" i="7"/>
  <c r="AS37" i="7"/>
  <c r="AS28" i="7"/>
  <c r="AS41" i="7"/>
  <c r="AQ20" i="7"/>
  <c r="AQ32" i="7"/>
  <c r="AS38" i="7"/>
  <c r="AS36" i="7"/>
  <c r="AS14" i="7"/>
  <c r="AS26" i="7"/>
  <c r="AS40" i="7"/>
  <c r="AS19" i="7"/>
  <c r="AS53" i="7"/>
  <c r="AS56" i="7"/>
  <c r="AS55" i="7"/>
  <c r="AS42" i="7"/>
  <c r="AS6" i="7"/>
  <c r="AQ51" i="7"/>
  <c r="AQ27" i="7"/>
  <c r="AQ25" i="7"/>
  <c r="AS45" i="7"/>
  <c r="AS32" i="7"/>
  <c r="AS23" i="7"/>
  <c r="AS22" i="7"/>
  <c r="AS44" i="7"/>
  <c r="AS15" i="7"/>
  <c r="AS17" i="7"/>
  <c r="AS11" i="7"/>
  <c r="AS27" i="7"/>
  <c r="AS18" i="7"/>
  <c r="AQ37" i="7"/>
  <c r="AQ8" i="7"/>
  <c r="AQ6" i="7"/>
  <c r="AU6" i="7" s="1"/>
  <c r="AQ15" i="7"/>
  <c r="AU15" i="7" s="1"/>
  <c r="AQ24" i="7"/>
  <c r="AU24" i="7" s="1"/>
  <c r="AQ9" i="7"/>
  <c r="AQ14" i="7"/>
  <c r="AU14" i="7" s="1"/>
  <c r="AS33" i="7"/>
  <c r="AQ28" i="7"/>
  <c r="AU28" i="7" s="1"/>
  <c r="AQ29" i="7"/>
  <c r="AQ16" i="7"/>
  <c r="AQ46" i="7"/>
  <c r="AQ44" i="7"/>
  <c r="AQ53" i="7"/>
  <c r="AQ10" i="7"/>
  <c r="AQ49" i="7"/>
  <c r="AS7" i="7"/>
  <c r="AQ52" i="7"/>
  <c r="AQ19" i="7"/>
  <c r="AS50" i="7"/>
  <c r="AQ33" i="7"/>
  <c r="AS51" i="7"/>
  <c r="AS12" i="7"/>
  <c r="AS8" i="7"/>
  <c r="AQ12" i="7"/>
  <c r="AQ39" i="7"/>
  <c r="AQ43" i="7"/>
  <c r="AQ5" i="7"/>
  <c r="AQ34" i="7"/>
  <c r="AQ42" i="7"/>
  <c r="AU42" i="7" s="1"/>
  <c r="AS34" i="7"/>
  <c r="AS31" i="7"/>
  <c r="AQ36" i="7"/>
  <c r="AQ23" i="7"/>
  <c r="AS10" i="7"/>
  <c r="AQ17" i="7"/>
  <c r="AQ7" i="7"/>
  <c r="AU7" i="7" s="1"/>
  <c r="AQ26" i="7"/>
  <c r="AQ48" i="7"/>
  <c r="AQ22" i="7"/>
  <c r="AQ50" i="7"/>
  <c r="AQ11" i="7"/>
  <c r="AU11" i="7" s="1"/>
  <c r="AS21" i="7"/>
  <c r="AS5" i="7"/>
  <c r="AS43" i="7"/>
  <c r="AS16" i="7"/>
  <c r="AQ21" i="7"/>
  <c r="AU21" i="7" s="1"/>
  <c r="AQ45" i="7"/>
  <c r="AQ31" i="7"/>
  <c r="AS47" i="7"/>
  <c r="AS48" i="7"/>
  <c r="AS54" i="7"/>
  <c r="AQ35" i="7"/>
  <c r="AQ18" i="7"/>
  <c r="AQ41" i="7"/>
  <c r="AQ55" i="7"/>
  <c r="AS39" i="7"/>
  <c r="AS52" i="7"/>
  <c r="AS49" i="7"/>
  <c r="AQ13" i="7"/>
  <c r="AS30" i="7"/>
  <c r="AQ40" i="7"/>
  <c r="AQ30" i="7"/>
  <c r="AQ38" i="7"/>
  <c r="AG137" i="5"/>
  <c r="AI131" i="5"/>
  <c r="AG130" i="5"/>
  <c r="AG211" i="5"/>
  <c r="AG166" i="5"/>
  <c r="AG227" i="5"/>
  <c r="AG235" i="5"/>
  <c r="AI92" i="5"/>
  <c r="AG91" i="5"/>
  <c r="AG248" i="5"/>
  <c r="AG189" i="5"/>
  <c r="AI190" i="5"/>
  <c r="AG165" i="5"/>
  <c r="AG156" i="5"/>
  <c r="AG141" i="5"/>
  <c r="AG112" i="5"/>
  <c r="AG135" i="5"/>
  <c r="AG252" i="5"/>
  <c r="AG220" i="5"/>
  <c r="AG120" i="5"/>
  <c r="AI231" i="5"/>
  <c r="AG230" i="5"/>
  <c r="AG126" i="5"/>
  <c r="AG131" i="5"/>
  <c r="AG155" i="5"/>
  <c r="BY5" i="7" l="1"/>
  <c r="AI41" i="7"/>
  <c r="AI9" i="7"/>
  <c r="V44" i="7"/>
  <c r="BX48" i="7"/>
  <c r="AT39" i="7"/>
  <c r="AT50" i="7"/>
  <c r="AC49" i="7"/>
  <c r="V9" i="7"/>
  <c r="AZ12" i="7"/>
  <c r="AZ39" i="7"/>
  <c r="AZ50" i="7"/>
  <c r="AZ51" i="7"/>
  <c r="BR23" i="7"/>
  <c r="BR40" i="7"/>
  <c r="BR22" i="7"/>
  <c r="BR14" i="7"/>
  <c r="BR16" i="7"/>
  <c r="BR34" i="7"/>
  <c r="AH25" i="7"/>
  <c r="AH44" i="7"/>
  <c r="AH56" i="7"/>
  <c r="AH13" i="7"/>
  <c r="AH156" i="5"/>
  <c r="AH235" i="5"/>
  <c r="AH236" i="5"/>
  <c r="AT55" i="7"/>
  <c r="BR56" i="7"/>
  <c r="CK18" i="7"/>
  <c r="CK29" i="7"/>
  <c r="BS8" i="7"/>
  <c r="AZ45" i="7"/>
  <c r="BR20" i="7"/>
  <c r="BR46" i="7"/>
  <c r="BR32" i="7"/>
  <c r="AH120" i="5"/>
  <c r="BR54" i="7"/>
  <c r="BR21" i="7"/>
  <c r="AH230" i="5"/>
  <c r="AU31" i="7"/>
  <c r="AU50" i="7"/>
  <c r="AU33" i="7"/>
  <c r="AU37" i="7"/>
  <c r="AI140" i="5"/>
  <c r="CK27" i="7"/>
  <c r="CK5" i="7"/>
  <c r="CK48" i="7"/>
  <c r="BS23" i="7"/>
  <c r="BS21" i="7"/>
  <c r="BS13" i="7"/>
  <c r="BS53" i="7"/>
  <c r="BS36" i="7"/>
  <c r="W23" i="7"/>
  <c r="W10" i="7"/>
  <c r="W5" i="7"/>
  <c r="BA49" i="7"/>
  <c r="BF10" i="7"/>
  <c r="AT16" i="7"/>
  <c r="AH91" i="5"/>
  <c r="AH255" i="5"/>
  <c r="CK21" i="7"/>
  <c r="BS42" i="7"/>
  <c r="BS26" i="7"/>
  <c r="W16" i="7"/>
  <c r="W39" i="7"/>
  <c r="AT22" i="7"/>
  <c r="AT17" i="7"/>
  <c r="AT45" i="7"/>
  <c r="AI50" i="7"/>
  <c r="AI46" i="7"/>
  <c r="V34" i="7"/>
  <c r="BX37" i="7"/>
  <c r="BX52" i="7"/>
  <c r="BY43" i="7"/>
  <c r="BM23" i="7"/>
  <c r="BM31" i="7"/>
  <c r="AI40" i="7"/>
  <c r="CP47" i="7"/>
  <c r="CP35" i="7"/>
  <c r="Q30" i="7"/>
  <c r="Q36" i="7"/>
  <c r="AI27" i="7"/>
  <c r="AC42" i="7"/>
  <c r="V53" i="7"/>
  <c r="BY14" i="7"/>
  <c r="AI42" i="7"/>
  <c r="AC36" i="7"/>
  <c r="CP10" i="7"/>
  <c r="CP40" i="7"/>
  <c r="CP32" i="7"/>
  <c r="Q29" i="7"/>
  <c r="BM36" i="7"/>
  <c r="BX23" i="7"/>
  <c r="BY18" i="7"/>
  <c r="AZ9" i="7"/>
  <c r="AH220" i="5"/>
  <c r="AH112" i="5"/>
  <c r="AH165" i="5"/>
  <c r="AU41" i="7"/>
  <c r="AU19" i="7"/>
  <c r="CE29" i="7"/>
  <c r="CE42" i="7"/>
  <c r="AT9" i="7"/>
  <c r="AT24" i="7"/>
  <c r="AT36" i="7"/>
  <c r="BM47" i="7"/>
  <c r="AI44" i="7"/>
  <c r="BX5" i="7"/>
  <c r="AH168" i="5"/>
  <c r="CK10" i="7"/>
  <c r="CK17" i="7"/>
  <c r="CK43" i="7"/>
  <c r="CK22" i="7"/>
  <c r="BS22" i="7"/>
  <c r="BS5" i="7"/>
  <c r="BS45" i="7"/>
  <c r="BS46" i="7"/>
  <c r="W47" i="7"/>
  <c r="W24" i="7"/>
  <c r="BA41" i="7"/>
  <c r="BA27" i="7"/>
  <c r="BA25" i="7"/>
  <c r="BA6" i="7"/>
  <c r="BA39" i="7"/>
  <c r="CJ19" i="7"/>
  <c r="CJ51" i="7"/>
  <c r="BF21" i="7"/>
  <c r="BF39" i="7"/>
  <c r="BF32" i="7"/>
  <c r="BF14" i="7"/>
  <c r="AT46" i="7"/>
  <c r="AT44" i="7"/>
  <c r="CE6" i="7"/>
  <c r="P41" i="7"/>
  <c r="P37" i="7"/>
  <c r="P49" i="7"/>
  <c r="CQ34" i="7"/>
  <c r="CD46" i="7"/>
  <c r="CD53" i="7"/>
  <c r="CD51" i="7"/>
  <c r="AI11" i="7"/>
  <c r="AU16" i="7"/>
  <c r="CE52" i="7"/>
  <c r="CE45" i="7"/>
  <c r="CE22" i="7"/>
  <c r="CE44" i="7"/>
  <c r="BG44" i="7"/>
  <c r="BG22" i="7"/>
  <c r="BG42" i="7"/>
  <c r="BG39" i="7"/>
  <c r="P54" i="7"/>
  <c r="P34" i="7"/>
  <c r="CQ45" i="7"/>
  <c r="AB16" i="7"/>
  <c r="AB34" i="7"/>
  <c r="CD40" i="7"/>
  <c r="CD13" i="7"/>
  <c r="AO19" i="7"/>
  <c r="AH162" i="5"/>
  <c r="AH128" i="5"/>
  <c r="AH199" i="5"/>
  <c r="AH77" i="5"/>
  <c r="AH214" i="5"/>
  <c r="AH244" i="5"/>
  <c r="CK56" i="7"/>
  <c r="CK55" i="7"/>
  <c r="CK40" i="7"/>
  <c r="CK7" i="7"/>
  <c r="CK46" i="7"/>
  <c r="BS29" i="7"/>
  <c r="BS10" i="7"/>
  <c r="W26" i="7"/>
  <c r="W50" i="7"/>
  <c r="W54" i="7"/>
  <c r="W48" i="7"/>
  <c r="BA45" i="7"/>
  <c r="BA52" i="7"/>
  <c r="BA55" i="7"/>
  <c r="BA44" i="7"/>
  <c r="BA8" i="7"/>
  <c r="BA28" i="7"/>
  <c r="BA53" i="7"/>
  <c r="BA18" i="7"/>
  <c r="CJ48" i="7"/>
  <c r="CJ23" i="7"/>
  <c r="CJ33" i="7"/>
  <c r="CJ24" i="7"/>
  <c r="CJ8" i="7"/>
  <c r="CJ20" i="7"/>
  <c r="CJ26" i="7"/>
  <c r="CJ6" i="7"/>
  <c r="CJ30" i="7"/>
  <c r="BF40" i="7"/>
  <c r="BF15" i="7"/>
  <c r="BF51" i="7"/>
  <c r="BF5" i="7"/>
  <c r="BF20" i="7"/>
  <c r="BF6" i="7"/>
  <c r="BF37" i="7"/>
  <c r="BF27" i="7"/>
  <c r="BF22" i="7"/>
  <c r="BF54" i="7"/>
  <c r="AT11" i="7"/>
  <c r="AT38" i="7"/>
  <c r="AT12" i="7"/>
  <c r="AH136" i="5"/>
  <c r="AZ25" i="7"/>
  <c r="AZ55" i="7"/>
  <c r="BR36" i="7"/>
  <c r="BR30" i="7"/>
  <c r="AH39" i="7"/>
  <c r="AH40" i="7"/>
  <c r="AH155" i="5"/>
  <c r="BL52" i="7"/>
  <c r="BL55" i="7"/>
  <c r="AO46" i="7"/>
  <c r="AO45" i="7"/>
  <c r="AO27" i="7"/>
  <c r="AO41" i="7"/>
  <c r="AH177" i="5"/>
  <c r="AH127" i="5"/>
  <c r="AH146" i="5"/>
  <c r="CK52" i="7"/>
  <c r="CK6" i="7"/>
  <c r="BS34" i="7"/>
  <c r="CJ22" i="7"/>
  <c r="CJ49" i="7"/>
  <c r="CJ35" i="7"/>
  <c r="CJ31" i="7"/>
  <c r="CJ28" i="7"/>
  <c r="AI18" i="7"/>
  <c r="AC56" i="7"/>
  <c r="AC54" i="7"/>
  <c r="AC12" i="7"/>
  <c r="V25" i="7"/>
  <c r="V46" i="7"/>
  <c r="BX31" i="7"/>
  <c r="BX25" i="7"/>
  <c r="BX43" i="7"/>
  <c r="BY12" i="7"/>
  <c r="BY40" i="7"/>
  <c r="BY53" i="7"/>
  <c r="BY51" i="7"/>
  <c r="BY23" i="7"/>
  <c r="AZ7" i="7"/>
  <c r="AH185" i="5"/>
  <c r="AH152" i="5"/>
  <c r="AH208" i="5"/>
  <c r="BF31" i="7"/>
  <c r="BF12" i="7"/>
  <c r="AN50" i="7"/>
  <c r="CP33" i="7"/>
  <c r="Q48" i="7"/>
  <c r="Q45" i="7"/>
  <c r="BM18" i="7"/>
  <c r="AC44" i="7"/>
  <c r="V22" i="7"/>
  <c r="V18" i="7"/>
  <c r="BX41" i="7"/>
  <c r="AZ44" i="7"/>
  <c r="BR38" i="7"/>
  <c r="AH48" i="7"/>
  <c r="AH14" i="7"/>
  <c r="AH5" i="7"/>
  <c r="AH126" i="5"/>
  <c r="AH135" i="5"/>
  <c r="AH254" i="5"/>
  <c r="AO35" i="7"/>
  <c r="AO5" i="7"/>
  <c r="AH117" i="5"/>
  <c r="AH100" i="5"/>
  <c r="AH83" i="5"/>
  <c r="AN32" i="7"/>
  <c r="AN8" i="7"/>
  <c r="AN16" i="7"/>
  <c r="AN26" i="7"/>
  <c r="CP52" i="7"/>
  <c r="CP20" i="7"/>
  <c r="Q12" i="7"/>
  <c r="Q28" i="7"/>
  <c r="Q49" i="7"/>
  <c r="AH104" i="5"/>
  <c r="BM39" i="7"/>
  <c r="BM35" i="7"/>
  <c r="BM38" i="7"/>
  <c r="BM55" i="7"/>
  <c r="AI10" i="7"/>
  <c r="AC39" i="7"/>
  <c r="V52" i="7"/>
  <c r="V20" i="7"/>
  <c r="V28" i="7"/>
  <c r="V21" i="7"/>
  <c r="V51" i="7"/>
  <c r="BX54" i="7"/>
  <c r="BX20" i="7"/>
  <c r="BY27" i="7"/>
  <c r="BY10" i="7"/>
  <c r="AU35" i="7"/>
  <c r="AU36" i="7"/>
  <c r="AU34" i="7"/>
  <c r="AU12" i="7"/>
  <c r="AU44" i="7"/>
  <c r="AU27" i="7"/>
  <c r="CE39" i="7"/>
  <c r="CE11" i="7"/>
  <c r="CE54" i="7"/>
  <c r="CE25" i="7"/>
  <c r="CE27" i="7"/>
  <c r="CE55" i="7"/>
  <c r="CE21" i="7"/>
  <c r="BG14" i="7"/>
  <c r="BG48" i="7"/>
  <c r="BG5" i="7"/>
  <c r="BG36" i="7"/>
  <c r="BG31" i="7"/>
  <c r="BG30" i="7"/>
  <c r="BG20" i="7"/>
  <c r="BG37" i="7"/>
  <c r="BG41" i="7"/>
  <c r="BG38" i="7"/>
  <c r="P50" i="7"/>
  <c r="P17" i="7"/>
  <c r="P39" i="7"/>
  <c r="P10" i="7"/>
  <c r="P35" i="7"/>
  <c r="P20" i="7"/>
  <c r="P48" i="7"/>
  <c r="P18" i="7"/>
  <c r="CU48" i="7"/>
  <c r="CU27" i="7"/>
  <c r="CU8" i="7"/>
  <c r="CU22" i="7"/>
  <c r="CU42" i="7"/>
  <c r="CQ37" i="7"/>
  <c r="CQ21" i="7"/>
  <c r="CQ48" i="7"/>
  <c r="CQ51" i="7"/>
  <c r="CQ36" i="7"/>
  <c r="CQ11" i="7"/>
  <c r="CQ6" i="7"/>
  <c r="CQ23" i="7"/>
  <c r="CQ50" i="7"/>
  <c r="CQ27" i="7"/>
  <c r="CQ20" i="7"/>
  <c r="CQ17" i="7"/>
  <c r="AB6" i="7"/>
  <c r="AB29" i="7"/>
  <c r="AB37" i="7"/>
  <c r="AB9" i="7"/>
  <c r="AB53" i="7"/>
  <c r="AB51" i="7"/>
  <c r="AB10" i="7"/>
  <c r="CD21" i="7"/>
  <c r="CD29" i="7"/>
  <c r="CD12" i="7"/>
  <c r="CD35" i="7"/>
  <c r="AU13" i="7"/>
  <c r="AU45" i="7"/>
  <c r="AU22" i="7"/>
  <c r="AU49" i="7"/>
  <c r="AU46" i="7"/>
  <c r="AU51" i="7"/>
  <c r="AU47" i="7"/>
  <c r="CE56" i="7"/>
  <c r="CE18" i="7"/>
  <c r="BG53" i="7"/>
  <c r="BG32" i="7"/>
  <c r="BG35" i="7"/>
  <c r="BG21" i="7"/>
  <c r="BG52" i="7"/>
  <c r="BG51" i="7"/>
  <c r="P9" i="7"/>
  <c r="P44" i="7"/>
  <c r="P42" i="7"/>
  <c r="P12" i="7"/>
  <c r="P40" i="7"/>
  <c r="CQ29" i="7"/>
  <c r="CQ43" i="7"/>
  <c r="CQ14" i="7"/>
  <c r="CQ56" i="7"/>
  <c r="CQ12" i="7"/>
  <c r="AB31" i="7"/>
  <c r="AB28" i="7"/>
  <c r="BL45" i="7"/>
  <c r="AO8" i="7"/>
  <c r="AO25" i="7"/>
  <c r="AO26" i="7"/>
  <c r="AO42" i="7"/>
  <c r="AO10" i="7"/>
  <c r="AO29" i="7"/>
  <c r="AH21" i="7"/>
  <c r="AN17" i="7"/>
  <c r="AN6" i="7"/>
  <c r="AN42" i="7"/>
  <c r="CP26" i="7"/>
  <c r="CP16" i="7"/>
  <c r="CP41" i="7"/>
  <c r="CP12" i="7"/>
  <c r="CP49" i="7"/>
  <c r="CP46" i="7"/>
  <c r="Q53" i="7"/>
  <c r="Q6" i="7"/>
  <c r="CD5" i="7"/>
  <c r="CD50" i="7"/>
  <c r="BL47" i="7"/>
  <c r="BL54" i="7"/>
  <c r="BL34" i="7"/>
  <c r="BL15" i="7"/>
  <c r="BL14" i="7"/>
  <c r="BL26" i="7"/>
  <c r="BL11" i="7"/>
  <c r="BL25" i="7"/>
  <c r="AO51" i="7"/>
  <c r="AO48" i="7"/>
  <c r="AO53" i="7"/>
  <c r="AO50" i="7"/>
  <c r="AO13" i="7"/>
  <c r="AO24" i="7"/>
  <c r="BS37" i="7"/>
  <c r="W15" i="7"/>
  <c r="W45" i="7"/>
  <c r="W7" i="7"/>
  <c r="W41" i="7"/>
  <c r="BA12" i="7"/>
  <c r="BA48" i="7"/>
  <c r="CJ50" i="7"/>
  <c r="BF56" i="7"/>
  <c r="AT27" i="7"/>
  <c r="AT47" i="7"/>
  <c r="AT20" i="7"/>
  <c r="AT23" i="7"/>
  <c r="AT48" i="7"/>
  <c r="AT56" i="7"/>
  <c r="AN46" i="7"/>
  <c r="AN27" i="7"/>
  <c r="CP21" i="7"/>
  <c r="Q15" i="7"/>
  <c r="Q40" i="7"/>
  <c r="BM15" i="7"/>
  <c r="BM33" i="7"/>
  <c r="BM25" i="7"/>
  <c r="BM8" i="7"/>
  <c r="BM42" i="7"/>
  <c r="BM21" i="7"/>
  <c r="BM51" i="7"/>
  <c r="AI53" i="7"/>
  <c r="AI43" i="7"/>
  <c r="AI21" i="7"/>
  <c r="AI12" i="7"/>
  <c r="AC52" i="7"/>
  <c r="AC41" i="7"/>
  <c r="AC29" i="7"/>
  <c r="AC26" i="7"/>
  <c r="AC15" i="7"/>
  <c r="AC24" i="7"/>
  <c r="AC51" i="7"/>
  <c r="AC34" i="7"/>
  <c r="V42" i="7"/>
  <c r="V50" i="7"/>
  <c r="V38" i="7"/>
  <c r="V30" i="7"/>
  <c r="V35" i="7"/>
  <c r="V6" i="7"/>
  <c r="BX22" i="7"/>
  <c r="BX12" i="7"/>
  <c r="BX10" i="7"/>
  <c r="BX53" i="7"/>
  <c r="BY21" i="7"/>
  <c r="BY38" i="7"/>
  <c r="BY25" i="7"/>
  <c r="BY37" i="7"/>
  <c r="AZ19" i="7"/>
  <c r="AZ53" i="7"/>
  <c r="AZ14" i="7"/>
  <c r="AZ20" i="7"/>
  <c r="BR8" i="7"/>
  <c r="BR9" i="7"/>
  <c r="BR39" i="7"/>
  <c r="AH55" i="7"/>
  <c r="AH53" i="7"/>
  <c r="AB35" i="7"/>
  <c r="AB23" i="7"/>
  <c r="AB44" i="7"/>
  <c r="AB25" i="7"/>
  <c r="AB39" i="7"/>
  <c r="CD41" i="7"/>
  <c r="CD20" i="7"/>
  <c r="CD49" i="7"/>
  <c r="CD22" i="7"/>
  <c r="CD47" i="7"/>
  <c r="CD45" i="7"/>
  <c r="CD8" i="7"/>
  <c r="BL48" i="7"/>
  <c r="BL29" i="7"/>
  <c r="BL40" i="7"/>
  <c r="BL22" i="7"/>
  <c r="BL42" i="7"/>
  <c r="BL35" i="7"/>
  <c r="BL16" i="7"/>
  <c r="AO36" i="7"/>
  <c r="CK32" i="7"/>
  <c r="BS56" i="7"/>
  <c r="BS49" i="7"/>
  <c r="BS48" i="7"/>
  <c r="BF55" i="7"/>
  <c r="BF24" i="7"/>
  <c r="AT29" i="7"/>
  <c r="AN54" i="7"/>
  <c r="AN45" i="7"/>
  <c r="AN43" i="7"/>
  <c r="AN24" i="7"/>
  <c r="AN40" i="7"/>
  <c r="AN29" i="7"/>
  <c r="AN9" i="7"/>
  <c r="CP9" i="7"/>
  <c r="CP38" i="7"/>
  <c r="CP25" i="7"/>
  <c r="CP56" i="7"/>
  <c r="CP8" i="7"/>
  <c r="CP50" i="7"/>
  <c r="CP31" i="7"/>
  <c r="CP44" i="7"/>
  <c r="Q9" i="7"/>
  <c r="Q33" i="7"/>
  <c r="Q24" i="7"/>
  <c r="Q10" i="7"/>
  <c r="Q54" i="7"/>
  <c r="Q50" i="7"/>
  <c r="BM22" i="7"/>
  <c r="AI48" i="7"/>
  <c r="AI20" i="7"/>
  <c r="V31" i="7"/>
  <c r="V48" i="7"/>
  <c r="V37" i="7"/>
  <c r="BX26" i="7"/>
  <c r="BY20" i="7"/>
  <c r="BY17" i="7"/>
  <c r="BY30" i="7"/>
  <c r="BY34" i="7"/>
  <c r="AZ56" i="7"/>
  <c r="BR49" i="7"/>
  <c r="BR10" i="7"/>
  <c r="BR33" i="7"/>
  <c r="AH52" i="7"/>
  <c r="AH37" i="7"/>
  <c r="CS38" i="7"/>
  <c r="K38" i="7"/>
  <c r="CU25" i="7"/>
  <c r="CU16" i="7"/>
  <c r="CQ39" i="7"/>
  <c r="X205" i="5"/>
  <c r="Y205" i="5"/>
  <c r="Z205" i="5"/>
  <c r="AB205" i="5"/>
  <c r="AA205" i="5"/>
  <c r="AC205" i="5"/>
  <c r="AI113" i="5"/>
  <c r="Z113" i="5"/>
  <c r="X113" i="5"/>
  <c r="Y113" i="5"/>
  <c r="AA113" i="5"/>
  <c r="AC113" i="5"/>
  <c r="AB113" i="5"/>
  <c r="Z228" i="5"/>
  <c r="Y228" i="5"/>
  <c r="X228" i="5"/>
  <c r="AC228" i="5"/>
  <c r="AA228" i="5"/>
  <c r="AB228" i="5"/>
  <c r="AE228" i="5" s="1"/>
  <c r="AI93" i="5"/>
  <c r="X93" i="5"/>
  <c r="Y93" i="5"/>
  <c r="Z93" i="5"/>
  <c r="AA93" i="5"/>
  <c r="AC93" i="5"/>
  <c r="AD93" i="5" s="1"/>
  <c r="AB93" i="5"/>
  <c r="AE93" i="5" s="1"/>
  <c r="Z27" i="5"/>
  <c r="AC27" i="5"/>
  <c r="Y27" i="5"/>
  <c r="AB27" i="5"/>
  <c r="X27" i="5"/>
  <c r="AA27" i="5"/>
  <c r="AI27" i="5"/>
  <c r="X172" i="5"/>
  <c r="AC172" i="5"/>
  <c r="AD172" i="5" s="1"/>
  <c r="AB172" i="5"/>
  <c r="Z172" i="5"/>
  <c r="AA172" i="5"/>
  <c r="Y172" i="5"/>
  <c r="AI107" i="5"/>
  <c r="Y107" i="5"/>
  <c r="AC107" i="5"/>
  <c r="Z107" i="5"/>
  <c r="AB107" i="5"/>
  <c r="X107" i="5"/>
  <c r="AA107" i="5"/>
  <c r="AI114" i="5"/>
  <c r="X114" i="5"/>
  <c r="Y114" i="5"/>
  <c r="AC114" i="5"/>
  <c r="AA114" i="5"/>
  <c r="AB114" i="5"/>
  <c r="Z114" i="5"/>
  <c r="AI128" i="5"/>
  <c r="X128" i="5"/>
  <c r="Z128" i="5"/>
  <c r="AA128" i="5"/>
  <c r="AC128" i="5"/>
  <c r="Y128" i="5"/>
  <c r="AB128" i="5"/>
  <c r="AI126" i="5"/>
  <c r="X126" i="5"/>
  <c r="AB126" i="5"/>
  <c r="Y126" i="5"/>
  <c r="Z126" i="5"/>
  <c r="AC126" i="5"/>
  <c r="AD126" i="5" s="1"/>
  <c r="AA126" i="5"/>
  <c r="Z251" i="5"/>
  <c r="Y251" i="5"/>
  <c r="X251" i="5"/>
  <c r="AA251" i="5"/>
  <c r="AC251" i="5"/>
  <c r="AB251" i="5"/>
  <c r="AE251" i="5" s="1"/>
  <c r="AI144" i="5"/>
  <c r="Y144" i="5"/>
  <c r="X144" i="5"/>
  <c r="AB144" i="5"/>
  <c r="Z144" i="5"/>
  <c r="AC144" i="5"/>
  <c r="AA144" i="5"/>
  <c r="Y60" i="5"/>
  <c r="X60" i="5"/>
  <c r="AC60" i="5"/>
  <c r="AD60" i="5" s="1"/>
  <c r="Z60" i="5"/>
  <c r="AB60" i="5"/>
  <c r="AE60" i="5" s="1"/>
  <c r="AA60" i="5"/>
  <c r="AI60" i="5"/>
  <c r="AU32" i="7"/>
  <c r="CE51" i="7"/>
  <c r="CE16" i="7"/>
  <c r="CE47" i="7"/>
  <c r="BG29" i="7"/>
  <c r="BG17" i="7"/>
  <c r="P13" i="7"/>
  <c r="P33" i="7"/>
  <c r="CU47" i="7"/>
  <c r="K45" i="7"/>
  <c r="CS45" i="7"/>
  <c r="K31" i="7"/>
  <c r="CS31" i="7"/>
  <c r="K26" i="7"/>
  <c r="CS26" i="7"/>
  <c r="CU49" i="7"/>
  <c r="CU21" i="7"/>
  <c r="K10" i="7"/>
  <c r="CS10" i="7"/>
  <c r="CU31" i="7"/>
  <c r="CU11" i="7"/>
  <c r="CU13" i="7"/>
  <c r="CQ5" i="7"/>
  <c r="CQ18" i="7"/>
  <c r="CQ9" i="7"/>
  <c r="AB21" i="7"/>
  <c r="AB48" i="7"/>
  <c r="CD27" i="7"/>
  <c r="AH181" i="5"/>
  <c r="AU30" i="7"/>
  <c r="AU10" i="7"/>
  <c r="AU56" i="7"/>
  <c r="CE14" i="7"/>
  <c r="CE9" i="7"/>
  <c r="CE49" i="7"/>
  <c r="CE28" i="7"/>
  <c r="CE36" i="7"/>
  <c r="BG10" i="7"/>
  <c r="BG46" i="7"/>
  <c r="BG50" i="7"/>
  <c r="P31" i="7"/>
  <c r="P32" i="7"/>
  <c r="P53" i="7"/>
  <c r="P36" i="7"/>
  <c r="K49" i="7"/>
  <c r="CS49" i="7"/>
  <c r="CU56" i="7"/>
  <c r="CU6" i="7"/>
  <c r="K28" i="7"/>
  <c r="CS28" i="7"/>
  <c r="CS37" i="7"/>
  <c r="K37" i="7"/>
  <c r="K17" i="7"/>
  <c r="CS17" i="7"/>
  <c r="CU46" i="7"/>
  <c r="CS25" i="7"/>
  <c r="K25" i="7"/>
  <c r="K54" i="7"/>
  <c r="CS54" i="7"/>
  <c r="CU18" i="7"/>
  <c r="CU9" i="7"/>
  <c r="K30" i="7"/>
  <c r="CS30" i="7"/>
  <c r="K36" i="7"/>
  <c r="CS36" i="7"/>
  <c r="CU44" i="7"/>
  <c r="CQ24" i="7"/>
  <c r="CQ53" i="7"/>
  <c r="CQ35" i="7"/>
  <c r="CQ38" i="7"/>
  <c r="CQ54" i="7"/>
  <c r="CQ31" i="7"/>
  <c r="AB43" i="7"/>
  <c r="AB17" i="7"/>
  <c r="AB50" i="7"/>
  <c r="AB7" i="7"/>
  <c r="AB13" i="7"/>
  <c r="AB12" i="7"/>
  <c r="AB14" i="7"/>
  <c r="AB56" i="7"/>
  <c r="CD56" i="7"/>
  <c r="BL28" i="7"/>
  <c r="BL38" i="7"/>
  <c r="BL24" i="7"/>
  <c r="BL56" i="7"/>
  <c r="BL49" i="7"/>
  <c r="BL31" i="7"/>
  <c r="AH262" i="5"/>
  <c r="AH226" i="5"/>
  <c r="AH242" i="5"/>
  <c r="AH114" i="5"/>
  <c r="AI124" i="5"/>
  <c r="X124" i="5"/>
  <c r="AB124" i="5"/>
  <c r="Z124" i="5"/>
  <c r="Y124" i="5"/>
  <c r="AA124" i="5"/>
  <c r="AC124" i="5"/>
  <c r="Y115" i="5"/>
  <c r="AC115" i="5"/>
  <c r="X115" i="5"/>
  <c r="AB115" i="5"/>
  <c r="Z115" i="5"/>
  <c r="AA115" i="5"/>
  <c r="Z185" i="5"/>
  <c r="Y185" i="5"/>
  <c r="X185" i="5"/>
  <c r="AC185" i="5"/>
  <c r="AA185" i="5"/>
  <c r="AB185" i="5"/>
  <c r="AE185" i="5" s="1"/>
  <c r="AI83" i="5"/>
  <c r="Z83" i="5"/>
  <c r="X83" i="5"/>
  <c r="Y83" i="5"/>
  <c r="AA83" i="5"/>
  <c r="AC83" i="5"/>
  <c r="AB83" i="5"/>
  <c r="Y103" i="5"/>
  <c r="X103" i="5"/>
  <c r="AA103" i="5"/>
  <c r="Z103" i="5"/>
  <c r="AB103" i="5"/>
  <c r="AE103" i="5" s="1"/>
  <c r="AC103" i="5"/>
  <c r="AD103" i="5" s="1"/>
  <c r="X123" i="5"/>
  <c r="Z123" i="5"/>
  <c r="Y123" i="5"/>
  <c r="AA123" i="5"/>
  <c r="AC123" i="5"/>
  <c r="AD123" i="5" s="1"/>
  <c r="AB123" i="5"/>
  <c r="X191" i="5"/>
  <c r="AC191" i="5"/>
  <c r="Z191" i="5"/>
  <c r="Y191" i="5"/>
  <c r="AA191" i="5"/>
  <c r="AB191" i="5"/>
  <c r="AC163" i="5"/>
  <c r="Z163" i="5"/>
  <c r="Y163" i="5"/>
  <c r="X163" i="5"/>
  <c r="AB163" i="5"/>
  <c r="AA163" i="5"/>
  <c r="X62" i="5"/>
  <c r="Z62" i="5"/>
  <c r="Y62" i="5"/>
  <c r="AB62" i="5"/>
  <c r="AC62" i="5"/>
  <c r="AD62" i="5" s="1"/>
  <c r="AA62" i="5"/>
  <c r="AI62" i="5"/>
  <c r="AI244" i="5"/>
  <c r="Z244" i="5"/>
  <c r="Y244" i="5"/>
  <c r="X244" i="5"/>
  <c r="AC244" i="5"/>
  <c r="AB244" i="5"/>
  <c r="AA244" i="5"/>
  <c r="AI28" i="5"/>
  <c r="Z28" i="5"/>
  <c r="AA28" i="5"/>
  <c r="Y28" i="5"/>
  <c r="X28" i="5"/>
  <c r="AC28" i="5"/>
  <c r="AB28" i="5"/>
  <c r="AI201" i="5"/>
  <c r="Z201" i="5"/>
  <c r="AB201" i="5"/>
  <c r="AA201" i="5"/>
  <c r="X201" i="5"/>
  <c r="AC201" i="5"/>
  <c r="Y201" i="5"/>
  <c r="Y235" i="5"/>
  <c r="AC235" i="5"/>
  <c r="AB235" i="5"/>
  <c r="X235" i="5"/>
  <c r="AA235" i="5"/>
  <c r="Z235" i="5"/>
  <c r="Y233" i="5"/>
  <c r="AB233" i="5"/>
  <c r="Z233" i="5"/>
  <c r="AC233" i="5"/>
  <c r="X233" i="5"/>
  <c r="AA233" i="5"/>
  <c r="AI53" i="5"/>
  <c r="Z53" i="5"/>
  <c r="Y53" i="5"/>
  <c r="X53" i="5"/>
  <c r="AB53" i="5"/>
  <c r="AA53" i="5"/>
  <c r="AC53" i="5"/>
  <c r="AI203" i="5"/>
  <c r="AA203" i="5"/>
  <c r="Z203" i="5"/>
  <c r="Y203" i="5"/>
  <c r="AB203" i="5"/>
  <c r="AC203" i="5"/>
  <c r="X203" i="5"/>
  <c r="AI55" i="5"/>
  <c r="Z55" i="5"/>
  <c r="AB55" i="5"/>
  <c r="Y55" i="5"/>
  <c r="X55" i="5"/>
  <c r="AA55" i="5"/>
  <c r="AC55" i="5"/>
  <c r="Z70" i="5"/>
  <c r="AB70" i="5"/>
  <c r="X70" i="5"/>
  <c r="AC70" i="5"/>
  <c r="Y70" i="5"/>
  <c r="AA70" i="5"/>
  <c r="AI70" i="5"/>
  <c r="AI104" i="5"/>
  <c r="X104" i="5"/>
  <c r="AB104" i="5"/>
  <c r="Z104" i="5"/>
  <c r="Y104" i="5"/>
  <c r="AC104" i="5"/>
  <c r="AD104" i="5" s="1"/>
  <c r="AA104" i="5"/>
  <c r="X122" i="5"/>
  <c r="AC122" i="5"/>
  <c r="Z122" i="5"/>
  <c r="Y122" i="5"/>
  <c r="AB122" i="5"/>
  <c r="AA122" i="5"/>
  <c r="AI38" i="5"/>
  <c r="Z38" i="5"/>
  <c r="Y38" i="5"/>
  <c r="X38" i="5"/>
  <c r="AC38" i="5"/>
  <c r="AA38" i="5"/>
  <c r="AB38" i="5"/>
  <c r="AE38" i="5" s="1"/>
  <c r="AI206" i="5"/>
  <c r="AB206" i="5"/>
  <c r="X206" i="5"/>
  <c r="Z206" i="5"/>
  <c r="AC206" i="5"/>
  <c r="AA206" i="5"/>
  <c r="Y206" i="5"/>
  <c r="AI25" i="5"/>
  <c r="AB25" i="5"/>
  <c r="X25" i="5"/>
  <c r="Z25" i="5"/>
  <c r="Y25" i="5"/>
  <c r="AC25" i="5"/>
  <c r="AA25" i="5"/>
  <c r="AI97" i="5"/>
  <c r="Z97" i="5"/>
  <c r="X97" i="5"/>
  <c r="AB97" i="5"/>
  <c r="Y97" i="5"/>
  <c r="AC97" i="5"/>
  <c r="AA97" i="5"/>
  <c r="AI165" i="5"/>
  <c r="X165" i="5"/>
  <c r="Z165" i="5"/>
  <c r="AB165" i="5"/>
  <c r="AC165" i="5"/>
  <c r="Y165" i="5"/>
  <c r="AA165" i="5"/>
  <c r="AI29" i="5"/>
  <c r="Y29" i="5"/>
  <c r="Z29" i="5"/>
  <c r="AC29" i="5"/>
  <c r="X29" i="5"/>
  <c r="AA29" i="5"/>
  <c r="AB29" i="5"/>
  <c r="Z257" i="5"/>
  <c r="AC257" i="5"/>
  <c r="Y257" i="5"/>
  <c r="AB257" i="5"/>
  <c r="AA257" i="5"/>
  <c r="X257" i="5"/>
  <c r="Z51" i="5"/>
  <c r="Y51" i="5"/>
  <c r="X51" i="5"/>
  <c r="AC51" i="5"/>
  <c r="AA51" i="5"/>
  <c r="AB51" i="5"/>
  <c r="AE51" i="5" s="1"/>
  <c r="AI51" i="5"/>
  <c r="AI119" i="5"/>
  <c r="AB119" i="5"/>
  <c r="X119" i="5"/>
  <c r="Y119" i="5"/>
  <c r="AC119" i="5"/>
  <c r="AA119" i="5"/>
  <c r="Z119" i="5"/>
  <c r="AI180" i="5"/>
  <c r="X180" i="5"/>
  <c r="Z180" i="5"/>
  <c r="Y180" i="5"/>
  <c r="AC180" i="5"/>
  <c r="AA180" i="5"/>
  <c r="AB180" i="5"/>
  <c r="Z138" i="5"/>
  <c r="AC138" i="5"/>
  <c r="Y138" i="5"/>
  <c r="X138" i="5"/>
  <c r="AA138" i="5"/>
  <c r="AB138" i="5"/>
  <c r="X186" i="5"/>
  <c r="Z186" i="5"/>
  <c r="Y186" i="5"/>
  <c r="AC186" i="5"/>
  <c r="AB186" i="5"/>
  <c r="AA186" i="5"/>
  <c r="AI234" i="5"/>
  <c r="Y234" i="5"/>
  <c r="AB234" i="5"/>
  <c r="Z234" i="5"/>
  <c r="X234" i="5"/>
  <c r="AA234" i="5"/>
  <c r="AC234" i="5"/>
  <c r="AI86" i="5"/>
  <c r="Y86" i="5"/>
  <c r="X86" i="5"/>
  <c r="Z86" i="5"/>
  <c r="AC86" i="5"/>
  <c r="AA86" i="5"/>
  <c r="AB86" i="5"/>
  <c r="AI184" i="5"/>
  <c r="X184" i="5"/>
  <c r="Z184" i="5"/>
  <c r="Y184" i="5"/>
  <c r="AC184" i="5"/>
  <c r="AB184" i="5"/>
  <c r="AA184" i="5"/>
  <c r="X73" i="5"/>
  <c r="AA73" i="5"/>
  <c r="Z73" i="5"/>
  <c r="Y73" i="5"/>
  <c r="AB73" i="5"/>
  <c r="AC73" i="5"/>
  <c r="AI73" i="5"/>
  <c r="AA46" i="5"/>
  <c r="X46" i="5"/>
  <c r="Z46" i="5"/>
  <c r="AC46" i="5"/>
  <c r="Y46" i="5"/>
  <c r="AB46" i="5"/>
  <c r="AI46" i="5"/>
  <c r="AA40" i="5"/>
  <c r="AB40" i="5"/>
  <c r="Y40" i="5"/>
  <c r="X40" i="5"/>
  <c r="AC40" i="5"/>
  <c r="Z40" i="5"/>
  <c r="AI40" i="5"/>
  <c r="AI35" i="5"/>
  <c r="Z35" i="5"/>
  <c r="Y35" i="5"/>
  <c r="X35" i="5"/>
  <c r="AC35" i="5"/>
  <c r="AB35" i="5"/>
  <c r="AA35" i="5"/>
  <c r="AI31" i="5"/>
  <c r="X31" i="5"/>
  <c r="Y31" i="5"/>
  <c r="Z31" i="5"/>
  <c r="AA31" i="5"/>
  <c r="AB31" i="5"/>
  <c r="AC31" i="5"/>
  <c r="AI101" i="5"/>
  <c r="Z101" i="5"/>
  <c r="Y101" i="5"/>
  <c r="AB101" i="5"/>
  <c r="AC101" i="5"/>
  <c r="X101" i="5"/>
  <c r="AA101" i="5"/>
  <c r="Z253" i="5"/>
  <c r="AB253" i="5"/>
  <c r="X253" i="5"/>
  <c r="AC253" i="5"/>
  <c r="Y253" i="5"/>
  <c r="AA253" i="5"/>
  <c r="AI225" i="5"/>
  <c r="X225" i="5"/>
  <c r="AC225" i="5"/>
  <c r="Z225" i="5"/>
  <c r="Y225" i="5"/>
  <c r="AB225" i="5"/>
  <c r="AA225" i="5"/>
  <c r="AI209" i="5"/>
  <c r="X209" i="5"/>
  <c r="AA209" i="5"/>
  <c r="AB209" i="5"/>
  <c r="Z209" i="5"/>
  <c r="Y209" i="5"/>
  <c r="AC209" i="5"/>
  <c r="AI223" i="5"/>
  <c r="Z223" i="5"/>
  <c r="Y223" i="5"/>
  <c r="AC223" i="5"/>
  <c r="X223" i="5"/>
  <c r="AB223" i="5"/>
  <c r="AA223" i="5"/>
  <c r="AI145" i="5"/>
  <c r="Y145" i="5"/>
  <c r="AA145" i="5"/>
  <c r="Z145" i="5"/>
  <c r="X145" i="5"/>
  <c r="AC145" i="5"/>
  <c r="AB145" i="5"/>
  <c r="AI214" i="5"/>
  <c r="X214" i="5"/>
  <c r="AB214" i="5"/>
  <c r="Z214" i="5"/>
  <c r="AC214" i="5"/>
  <c r="Y214" i="5"/>
  <c r="AA214" i="5"/>
  <c r="Z262" i="5"/>
  <c r="AA262" i="5"/>
  <c r="Y262" i="5"/>
  <c r="X262" i="5"/>
  <c r="AB262" i="5"/>
  <c r="AC262" i="5"/>
  <c r="AI11" i="5"/>
  <c r="X11" i="5"/>
  <c r="Z11" i="5"/>
  <c r="Y11" i="5"/>
  <c r="AC11" i="5"/>
  <c r="AB11" i="5"/>
  <c r="AA11" i="5"/>
  <c r="X108" i="5"/>
  <c r="AA108" i="5"/>
  <c r="Z108" i="5"/>
  <c r="Y108" i="5"/>
  <c r="AB108" i="5"/>
  <c r="AC108" i="5"/>
  <c r="Y10" i="5"/>
  <c r="Z10" i="5"/>
  <c r="X10" i="5"/>
  <c r="AD10" i="5" s="1"/>
  <c r="AB10" i="5"/>
  <c r="AA10" i="5"/>
  <c r="AI10" i="5"/>
  <c r="AI8" i="5"/>
  <c r="AC8" i="5"/>
  <c r="X8" i="5"/>
  <c r="Z8" i="5"/>
  <c r="Y8" i="5"/>
  <c r="AA8" i="5"/>
  <c r="AB8" i="5"/>
  <c r="AI68" i="5"/>
  <c r="X68" i="5"/>
  <c r="Z68" i="5"/>
  <c r="AA68" i="5"/>
  <c r="Y68" i="5"/>
  <c r="AC68" i="5"/>
  <c r="AD68" i="5" s="1"/>
  <c r="AB68" i="5"/>
  <c r="AI143" i="5"/>
  <c r="X143" i="5"/>
  <c r="AC143" i="5"/>
  <c r="AA143" i="5"/>
  <c r="Z143" i="5"/>
  <c r="Y143" i="5"/>
  <c r="AB143" i="5"/>
  <c r="Z260" i="5"/>
  <c r="AC260" i="5"/>
  <c r="Y260" i="5"/>
  <c r="X260" i="5"/>
  <c r="AB260" i="5"/>
  <c r="AA260" i="5"/>
  <c r="AI57" i="5"/>
  <c r="Z57" i="5"/>
  <c r="Y57" i="5"/>
  <c r="AB57" i="5"/>
  <c r="AE57" i="5" s="1"/>
  <c r="X57" i="5"/>
  <c r="AC57" i="5"/>
  <c r="AA57" i="5"/>
  <c r="AI173" i="5"/>
  <c r="Y173" i="5"/>
  <c r="Z173" i="5"/>
  <c r="X173" i="5"/>
  <c r="AB173" i="5"/>
  <c r="AC173" i="5"/>
  <c r="AA173" i="5"/>
  <c r="X79" i="5"/>
  <c r="Y79" i="5"/>
  <c r="AB79" i="5"/>
  <c r="Z79" i="5"/>
  <c r="AC79" i="5"/>
  <c r="AD79" i="5" s="1"/>
  <c r="AA79" i="5"/>
  <c r="AI61" i="5"/>
  <c r="X61" i="5"/>
  <c r="Y61" i="5"/>
  <c r="AB61" i="5"/>
  <c r="Z61" i="5"/>
  <c r="AC61" i="5"/>
  <c r="AD61" i="5" s="1"/>
  <c r="AA61" i="5"/>
  <c r="X176" i="5"/>
  <c r="Z176" i="5"/>
  <c r="Y176" i="5"/>
  <c r="AC176" i="5"/>
  <c r="AB176" i="5"/>
  <c r="AA176" i="5"/>
  <c r="Z36" i="5"/>
  <c r="AB36" i="5"/>
  <c r="Y36" i="5"/>
  <c r="AA36" i="5"/>
  <c r="X36" i="5"/>
  <c r="AC36" i="5"/>
  <c r="AI36" i="5"/>
  <c r="AI18" i="5"/>
  <c r="X18" i="5"/>
  <c r="AB18" i="5"/>
  <c r="Z18" i="5"/>
  <c r="AC18" i="5"/>
  <c r="AA18" i="5"/>
  <c r="Y18" i="5"/>
  <c r="AI75" i="5"/>
  <c r="AG74" i="5"/>
  <c r="AK222" i="5"/>
  <c r="AM222" i="5" s="1"/>
  <c r="AK142" i="5"/>
  <c r="AM142" i="5" s="1"/>
  <c r="AK84" i="5"/>
  <c r="AM84" i="5" s="1"/>
  <c r="AK69" i="5"/>
  <c r="AM69" i="5" s="1"/>
  <c r="AK217" i="5"/>
  <c r="AM217" i="5" s="1"/>
  <c r="AK106" i="5"/>
  <c r="AM106" i="5" s="1"/>
  <c r="AK48" i="5"/>
  <c r="AM48" i="5" s="1"/>
  <c r="AK128" i="5"/>
  <c r="AM128" i="5" s="1"/>
  <c r="AK191" i="5"/>
  <c r="AM191" i="5" s="1"/>
  <c r="AK246" i="5"/>
  <c r="AM246" i="5" s="1"/>
  <c r="AK7" i="5"/>
  <c r="AM7" i="5" s="1"/>
  <c r="AK209" i="5"/>
  <c r="AM209" i="5" s="1"/>
  <c r="AK107" i="5"/>
  <c r="AM107" i="5" s="1"/>
  <c r="AK162" i="5"/>
  <c r="AM162" i="5" s="1"/>
  <c r="AK17" i="5"/>
  <c r="AM17" i="5" s="1"/>
  <c r="AK166" i="5"/>
  <c r="AM166" i="5" s="1"/>
  <c r="AK21" i="5"/>
  <c r="AM21" i="5" s="1"/>
  <c r="AK233" i="5"/>
  <c r="AM233" i="5" s="1"/>
  <c r="AK232" i="5"/>
  <c r="AM232" i="5" s="1"/>
  <c r="AK153" i="5"/>
  <c r="AM153" i="5" s="1"/>
  <c r="AK78" i="5"/>
  <c r="AM78" i="5" s="1"/>
  <c r="AK24" i="5"/>
  <c r="AM24" i="5" s="1"/>
  <c r="AK177" i="5"/>
  <c r="AM177" i="5" s="1"/>
  <c r="AK95" i="5"/>
  <c r="AM95" i="5" s="1"/>
  <c r="AK150" i="5"/>
  <c r="AM150" i="5" s="1"/>
  <c r="AK5" i="5"/>
  <c r="AM5" i="5" s="1"/>
  <c r="AK169" i="5"/>
  <c r="AM169" i="5" s="1"/>
  <c r="AK200" i="5"/>
  <c r="AM200" i="5" s="1"/>
  <c r="AK117" i="5"/>
  <c r="AM117" i="5" s="1"/>
  <c r="AK83" i="5"/>
  <c r="AM83" i="5" s="1"/>
  <c r="AK8" i="5"/>
  <c r="AM8" i="5" s="1"/>
  <c r="AK228" i="5"/>
  <c r="AM228" i="5" s="1"/>
  <c r="AK66" i="5"/>
  <c r="AM66" i="5" s="1"/>
  <c r="AK216" i="5"/>
  <c r="AM216" i="5" s="1"/>
  <c r="AK138" i="5"/>
  <c r="AM138" i="5" s="1"/>
  <c r="AK47" i="5"/>
  <c r="AM47" i="5" s="1"/>
  <c r="AK14" i="5"/>
  <c r="AM14" i="5" s="1"/>
  <c r="AK110" i="5"/>
  <c r="AM110" i="5" s="1"/>
  <c r="AK132" i="5"/>
  <c r="AM132" i="5" s="1"/>
  <c r="AK250" i="5"/>
  <c r="AM250" i="5" s="1"/>
  <c r="AK241" i="5"/>
  <c r="AM241" i="5" s="1"/>
  <c r="AK58" i="5"/>
  <c r="AM58" i="5" s="1"/>
  <c r="AK180" i="5"/>
  <c r="AM180" i="5" s="1"/>
  <c r="AK243" i="5"/>
  <c r="AM243" i="5" s="1"/>
  <c r="AK53" i="5"/>
  <c r="AM53" i="5" s="1"/>
  <c r="AK59" i="5"/>
  <c r="AM59" i="5" s="1"/>
  <c r="AK261" i="5"/>
  <c r="AM261" i="5" s="1"/>
  <c r="AK127" i="5"/>
  <c r="AM127" i="5" s="1"/>
  <c r="AK182" i="5"/>
  <c r="AM182" i="5" s="1"/>
  <c r="AK37" i="5"/>
  <c r="AM37" i="5" s="1"/>
  <c r="AK4" i="5"/>
  <c r="AM4" i="5" s="1"/>
  <c r="AK193" i="5"/>
  <c r="AM193" i="5" s="1"/>
  <c r="AK98" i="5"/>
  <c r="AM98" i="5" s="1"/>
  <c r="AK40" i="5"/>
  <c r="AM40" i="5" s="1"/>
  <c r="AK102" i="5"/>
  <c r="AM102" i="5" s="1"/>
  <c r="AK44" i="5"/>
  <c r="AM44" i="5" s="1"/>
  <c r="AK156" i="5"/>
  <c r="AM156" i="5" s="1"/>
  <c r="AK219" i="5"/>
  <c r="AM219" i="5" s="1"/>
  <c r="AK220" i="5"/>
  <c r="AM220" i="5" s="1"/>
  <c r="AK35" i="5"/>
  <c r="AM35" i="5" s="1"/>
  <c r="AK245" i="5"/>
  <c r="AM245" i="5" s="1"/>
  <c r="AK240" i="5"/>
  <c r="AM240" i="5" s="1"/>
  <c r="AK161" i="5"/>
  <c r="AM161" i="5" s="1"/>
  <c r="AK86" i="5"/>
  <c r="AM86" i="5" s="1"/>
  <c r="AK28" i="5"/>
  <c r="AM28" i="5" s="1"/>
  <c r="AK140" i="5"/>
  <c r="AM140" i="5" s="1"/>
  <c r="AK203" i="5"/>
  <c r="AM203" i="5" s="1"/>
  <c r="AK258" i="5"/>
  <c r="AM258" i="5" s="1"/>
  <c r="AK19" i="5"/>
  <c r="AM19" i="5" s="1"/>
  <c r="AK80" i="5"/>
  <c r="AM80" i="5" s="1"/>
  <c r="AK223" i="5"/>
  <c r="AM223" i="5" s="1"/>
  <c r="AK194" i="5"/>
  <c r="AM194" i="5" s="1"/>
  <c r="AK174" i="5"/>
  <c r="AM174" i="5" s="1"/>
  <c r="AK152" i="5"/>
  <c r="AM152" i="5" s="1"/>
  <c r="AK263" i="5"/>
  <c r="AM263" i="5" s="1"/>
  <c r="AK147" i="5"/>
  <c r="AM147" i="5" s="1"/>
  <c r="AK27" i="5"/>
  <c r="AM27" i="5" s="1"/>
  <c r="AK46" i="5"/>
  <c r="AM46" i="5" s="1"/>
  <c r="AK109" i="5"/>
  <c r="AM109" i="5" s="1"/>
  <c r="AK122" i="5"/>
  <c r="AM122" i="5" s="1"/>
  <c r="AK89" i="5"/>
  <c r="AM89" i="5" s="1"/>
  <c r="AK104" i="5"/>
  <c r="AM104" i="5" s="1"/>
  <c r="AK30" i="5"/>
  <c r="AM30" i="5" s="1"/>
  <c r="AK238" i="5"/>
  <c r="AM238" i="5" s="1"/>
  <c r="AK157" i="5"/>
  <c r="AM157" i="5" s="1"/>
  <c r="AK135" i="5"/>
  <c r="AM135" i="5" s="1"/>
  <c r="AK45" i="5"/>
  <c r="AM45" i="5" s="1"/>
  <c r="AK116" i="5"/>
  <c r="AM116" i="5" s="1"/>
  <c r="AK179" i="5"/>
  <c r="AM179" i="5" s="1"/>
  <c r="AK234" i="5"/>
  <c r="AM234" i="5" s="1"/>
  <c r="AK42" i="5"/>
  <c r="AM42" i="5" s="1"/>
  <c r="AK101" i="5"/>
  <c r="AM101" i="5" s="1"/>
  <c r="AK253" i="5"/>
  <c r="AM253" i="5" s="1"/>
  <c r="AK118" i="5"/>
  <c r="AM118" i="5" s="1"/>
  <c r="AK60" i="5"/>
  <c r="AM60" i="5" s="1"/>
  <c r="AK172" i="5"/>
  <c r="AM172" i="5" s="1"/>
  <c r="AK235" i="5"/>
  <c r="AM235" i="5" s="1"/>
  <c r="AK252" i="5"/>
  <c r="AM252" i="5" s="1"/>
  <c r="AK51" i="5"/>
  <c r="AM51" i="5" s="1"/>
  <c r="AK55" i="5"/>
  <c r="AM55" i="5" s="1"/>
  <c r="AK92" i="5"/>
  <c r="AM92" i="5" s="1"/>
  <c r="AK155" i="5"/>
  <c r="AM155" i="5" s="1"/>
  <c r="AK210" i="5"/>
  <c r="AM210" i="5" s="1"/>
  <c r="AK18" i="5"/>
  <c r="AM18" i="5" s="1"/>
  <c r="AK160" i="5"/>
  <c r="AM160" i="5" s="1"/>
  <c r="AK39" i="5"/>
  <c r="AM39" i="5" s="1"/>
  <c r="AK139" i="5"/>
  <c r="AM139" i="5" s="1"/>
  <c r="AK212" i="5"/>
  <c r="AM212" i="5" s="1"/>
  <c r="AK79" i="5"/>
  <c r="AM79" i="5" s="1"/>
  <c r="AK201" i="5"/>
  <c r="AM201" i="5" s="1"/>
  <c r="AK133" i="5"/>
  <c r="AM133" i="5" s="1"/>
  <c r="AK88" i="5"/>
  <c r="AM88" i="5" s="1"/>
  <c r="AK199" i="5"/>
  <c r="AM199" i="5" s="1"/>
  <c r="AK195" i="5"/>
  <c r="AM195" i="5" s="1"/>
  <c r="AK167" i="5"/>
  <c r="AM167" i="5" s="1"/>
  <c r="AK87" i="5"/>
  <c r="AM87" i="5" s="1"/>
  <c r="AK190" i="5"/>
  <c r="AM190" i="5" s="1"/>
  <c r="AK225" i="5"/>
  <c r="AM225" i="5" s="1"/>
  <c r="AK115" i="5"/>
  <c r="AM115" i="5" s="1"/>
  <c r="AK170" i="5"/>
  <c r="AM170" i="5" s="1"/>
  <c r="AK25" i="5"/>
  <c r="AM25" i="5" s="1"/>
  <c r="AK192" i="5"/>
  <c r="AM192" i="5" s="1"/>
  <c r="AK255" i="5"/>
  <c r="AM255" i="5" s="1"/>
  <c r="AK97" i="5"/>
  <c r="AM97" i="5" s="1"/>
  <c r="AK71" i="5"/>
  <c r="AM71" i="5" s="1"/>
  <c r="AK108" i="5"/>
  <c r="AM108" i="5" s="1"/>
  <c r="AK171" i="5"/>
  <c r="AM171" i="5" s="1"/>
  <c r="AK226" i="5"/>
  <c r="AM226" i="5" s="1"/>
  <c r="AK34" i="5"/>
  <c r="AM34" i="5" s="1"/>
  <c r="AK230" i="5"/>
  <c r="AM230" i="5" s="1"/>
  <c r="AK38" i="5"/>
  <c r="AM38" i="5" s="1"/>
  <c r="AK165" i="5"/>
  <c r="AM165" i="5" s="1"/>
  <c r="AK91" i="5"/>
  <c r="AM91" i="5" s="1"/>
  <c r="AK146" i="5"/>
  <c r="AM146" i="5" s="1"/>
  <c r="AK16" i="5"/>
  <c r="AM16" i="5" s="1"/>
  <c r="AK96" i="5"/>
  <c r="AM96" i="5" s="1"/>
  <c r="AK159" i="5"/>
  <c r="AM159" i="5" s="1"/>
  <c r="AK214" i="5"/>
  <c r="AM214" i="5" s="1"/>
  <c r="AK22" i="5"/>
  <c r="AM22" i="5" s="1"/>
  <c r="AK129" i="5"/>
  <c r="AM129" i="5" s="1"/>
  <c r="AK65" i="5"/>
  <c r="AM65" i="5" s="1"/>
  <c r="AK130" i="5"/>
  <c r="AM130" i="5" s="1"/>
  <c r="AK72" i="5"/>
  <c r="AM72" i="5" s="1"/>
  <c r="AK247" i="5"/>
  <c r="AM247" i="5" s="1"/>
  <c r="AK178" i="5"/>
  <c r="AM178" i="5" s="1"/>
  <c r="AK262" i="5"/>
  <c r="AM262" i="5" s="1"/>
  <c r="AK196" i="5"/>
  <c r="AM196" i="5" s="1"/>
  <c r="AK229" i="5"/>
  <c r="AM229" i="5" s="1"/>
  <c r="AK211" i="5"/>
  <c r="AM211" i="5" s="1"/>
  <c r="AK215" i="5"/>
  <c r="AM215" i="5" s="1"/>
  <c r="AK242" i="5"/>
  <c r="AM242" i="5" s="1"/>
  <c r="AK125" i="5"/>
  <c r="AM125" i="5" s="1"/>
  <c r="AK41" i="5"/>
  <c r="AM41" i="5" s="1"/>
  <c r="AK145" i="5"/>
  <c r="AM145" i="5" s="1"/>
  <c r="AK52" i="5"/>
  <c r="AM52" i="5" s="1"/>
  <c r="AK251" i="5"/>
  <c r="AM251" i="5" s="1"/>
  <c r="AK137" i="5"/>
  <c r="AM137" i="5" s="1"/>
  <c r="AK136" i="5"/>
  <c r="AM136" i="5" s="1"/>
  <c r="AK168" i="5"/>
  <c r="AM168" i="5" s="1"/>
  <c r="AK173" i="5"/>
  <c r="AM173" i="5" s="1"/>
  <c r="AK176" i="5"/>
  <c r="AM176" i="5" s="1"/>
  <c r="AK218" i="5"/>
  <c r="AM218" i="5" s="1"/>
  <c r="AK119" i="5"/>
  <c r="AM119" i="5" s="1"/>
  <c r="AK112" i="5"/>
  <c r="AM112" i="5" s="1"/>
  <c r="AK236" i="5"/>
  <c r="AM236" i="5" s="1"/>
  <c r="AK93" i="5"/>
  <c r="AM93" i="5" s="1"/>
  <c r="AK74" i="5"/>
  <c r="AM74" i="5" s="1"/>
  <c r="AK75" i="5"/>
  <c r="AM75" i="5" s="1"/>
  <c r="AK10" i="5"/>
  <c r="AM10" i="5" s="1"/>
  <c r="AK227" i="5"/>
  <c r="AM227" i="5" s="1"/>
  <c r="AK70" i="5"/>
  <c r="AM70" i="5" s="1"/>
  <c r="AK205" i="5"/>
  <c r="AM205" i="5" s="1"/>
  <c r="AK163" i="5"/>
  <c r="AM163" i="5" s="1"/>
  <c r="AK126" i="5"/>
  <c r="AM126" i="5" s="1"/>
  <c r="AK231" i="5"/>
  <c r="AM231" i="5" s="1"/>
  <c r="AK186" i="5"/>
  <c r="AM186" i="5" s="1"/>
  <c r="AK33" i="5"/>
  <c r="AM33" i="5" s="1"/>
  <c r="AK123" i="5"/>
  <c r="AM123" i="5" s="1"/>
  <c r="AK207" i="5"/>
  <c r="AM207" i="5" s="1"/>
  <c r="AK94" i="5"/>
  <c r="AM94" i="5" s="1"/>
  <c r="AK187" i="5"/>
  <c r="AM187" i="5" s="1"/>
  <c r="AK208" i="5"/>
  <c r="AM208" i="5" s="1"/>
  <c r="AK254" i="5"/>
  <c r="AM254" i="5" s="1"/>
  <c r="AK244" i="5"/>
  <c r="AM244" i="5" s="1"/>
  <c r="AK256" i="5"/>
  <c r="AM256" i="5" s="1"/>
  <c r="AK249" i="5"/>
  <c r="AM249" i="5" s="1"/>
  <c r="AK144" i="5"/>
  <c r="AM144" i="5" s="1"/>
  <c r="AK184" i="5"/>
  <c r="AM184" i="5" s="1"/>
  <c r="AK113" i="5"/>
  <c r="AM113" i="5" s="1"/>
  <c r="AK124" i="5"/>
  <c r="AM124" i="5" s="1"/>
  <c r="AK189" i="5"/>
  <c r="AM189" i="5" s="1"/>
  <c r="AK11" i="5"/>
  <c r="AM11" i="5" s="1"/>
  <c r="AK149" i="5"/>
  <c r="AM149" i="5" s="1"/>
  <c r="AK67" i="5"/>
  <c r="AM67" i="5" s="1"/>
  <c r="AK76" i="5"/>
  <c r="AM76" i="5" s="1"/>
  <c r="AK134" i="5"/>
  <c r="AM134" i="5" s="1"/>
  <c r="AK259" i="5"/>
  <c r="AM259" i="5" s="1"/>
  <c r="AK202" i="5"/>
  <c r="AM202" i="5" s="1"/>
  <c r="AK100" i="5"/>
  <c r="AM100" i="5" s="1"/>
  <c r="AK224" i="5"/>
  <c r="AM224" i="5" s="1"/>
  <c r="AK239" i="5"/>
  <c r="AM239" i="5" s="1"/>
  <c r="AK248" i="5"/>
  <c r="AM248" i="5" s="1"/>
  <c r="AK57" i="5"/>
  <c r="AM57" i="5" s="1"/>
  <c r="AK63" i="5"/>
  <c r="AM63" i="5" s="1"/>
  <c r="AK197" i="5"/>
  <c r="AM197" i="5" s="1"/>
  <c r="AK175" i="5"/>
  <c r="AM175" i="5" s="1"/>
  <c r="AK185" i="5"/>
  <c r="AM185" i="5" s="1"/>
  <c r="AK183" i="5"/>
  <c r="AM183" i="5" s="1"/>
  <c r="AK120" i="5"/>
  <c r="AM120" i="5" s="1"/>
  <c r="AK29" i="5"/>
  <c r="AM29" i="5" s="1"/>
  <c r="AK181" i="5"/>
  <c r="AM181" i="5" s="1"/>
  <c r="AK56" i="5"/>
  <c r="AM56" i="5" s="1"/>
  <c r="AK114" i="5"/>
  <c r="AM114" i="5" s="1"/>
  <c r="AK198" i="5"/>
  <c r="AM198" i="5" s="1"/>
  <c r="AK50" i="5"/>
  <c r="AM50" i="5" s="1"/>
  <c r="AK81" i="5"/>
  <c r="AM81" i="5" s="1"/>
  <c r="AK31" i="5"/>
  <c r="AM31" i="5" s="1"/>
  <c r="AK188" i="5"/>
  <c r="AM188" i="5" s="1"/>
  <c r="AK32" i="5"/>
  <c r="AM32" i="5" s="1"/>
  <c r="AK121" i="5"/>
  <c r="AM121" i="5" s="1"/>
  <c r="AK13" i="5"/>
  <c r="AM13" i="5" s="1"/>
  <c r="AK26" i="5"/>
  <c r="AM26" i="5" s="1"/>
  <c r="AK15" i="5"/>
  <c r="AM15" i="5" s="1"/>
  <c r="AK23" i="5"/>
  <c r="AM23" i="5" s="1"/>
  <c r="AK64" i="5"/>
  <c r="AM64" i="5" s="1"/>
  <c r="AK105" i="5"/>
  <c r="AM105" i="5" s="1"/>
  <c r="AK12" i="5"/>
  <c r="AM12" i="5" s="1"/>
  <c r="AK54" i="5"/>
  <c r="AM54" i="5" s="1"/>
  <c r="AK131" i="5"/>
  <c r="AM131" i="5" s="1"/>
  <c r="AK151" i="5"/>
  <c r="AM151" i="5" s="1"/>
  <c r="AK62" i="5"/>
  <c r="AM62" i="5" s="1"/>
  <c r="AK85" i="5"/>
  <c r="AM85" i="5" s="1"/>
  <c r="AK73" i="5"/>
  <c r="AM73" i="5" s="1"/>
  <c r="AK148" i="5"/>
  <c r="AM148" i="5" s="1"/>
  <c r="AK260" i="5"/>
  <c r="AM260" i="5" s="1"/>
  <c r="AK9" i="5"/>
  <c r="AM9" i="5" s="1"/>
  <c r="AK154" i="5"/>
  <c r="AM154" i="5" s="1"/>
  <c r="AK68" i="5"/>
  <c r="AM68" i="5" s="1"/>
  <c r="AK103" i="5"/>
  <c r="AM103" i="5" s="1"/>
  <c r="AK221" i="5"/>
  <c r="AM221" i="5" s="1"/>
  <c r="AK90" i="5"/>
  <c r="AM90" i="5" s="1"/>
  <c r="AK164" i="5"/>
  <c r="AM164" i="5" s="1"/>
  <c r="AK61" i="5"/>
  <c r="AM61" i="5" s="1"/>
  <c r="AK43" i="5"/>
  <c r="AM43" i="5" s="1"/>
  <c r="AK257" i="5"/>
  <c r="AM257" i="5" s="1"/>
  <c r="AK20" i="5"/>
  <c r="AM20" i="5" s="1"/>
  <c r="AK49" i="5"/>
  <c r="AM49" i="5" s="1"/>
  <c r="AK206" i="5"/>
  <c r="AM206" i="5" s="1"/>
  <c r="AK204" i="5"/>
  <c r="AM204" i="5" s="1"/>
  <c r="AK237" i="5"/>
  <c r="AM237" i="5" s="1"/>
  <c r="AK143" i="5"/>
  <c r="AM143" i="5" s="1"/>
  <c r="AK36" i="5"/>
  <c r="AM36" i="5" s="1"/>
  <c r="AK82" i="5"/>
  <c r="AM82" i="5" s="1"/>
  <c r="AK6" i="5"/>
  <c r="AM6" i="5" s="1"/>
  <c r="AK77" i="5"/>
  <c r="AM77" i="5" s="1"/>
  <c r="AK111" i="5"/>
  <c r="AM111" i="5" s="1"/>
  <c r="AK99" i="5"/>
  <c r="AM99" i="5" s="1"/>
  <c r="AK141" i="5"/>
  <c r="AM141" i="5" s="1"/>
  <c r="AK158" i="5"/>
  <c r="AM158" i="5" s="1"/>
  <c r="AK213" i="5"/>
  <c r="AM213" i="5" s="1"/>
  <c r="CK34" i="7"/>
  <c r="CK45" i="7"/>
  <c r="CK49" i="7"/>
  <c r="CK9" i="7"/>
  <c r="CK33" i="7"/>
  <c r="CK51" i="7"/>
  <c r="BS50" i="7"/>
  <c r="BS27" i="7"/>
  <c r="BS35" i="7"/>
  <c r="BS52" i="7"/>
  <c r="W22" i="7"/>
  <c r="W46" i="7"/>
  <c r="W37" i="7"/>
  <c r="W18" i="7"/>
  <c r="W43" i="7"/>
  <c r="W8" i="7"/>
  <c r="W36" i="7"/>
  <c r="W53" i="7"/>
  <c r="BA13" i="7"/>
  <c r="BA21" i="7"/>
  <c r="BA46" i="7"/>
  <c r="BA43" i="7"/>
  <c r="BA14" i="7"/>
  <c r="CJ56" i="7"/>
  <c r="CJ9" i="7"/>
  <c r="BF9" i="7"/>
  <c r="BF13" i="7"/>
  <c r="BF38" i="7"/>
  <c r="BF47" i="7"/>
  <c r="BF16" i="7"/>
  <c r="AT28" i="7"/>
  <c r="AT15" i="7"/>
  <c r="AT10" i="7"/>
  <c r="AT52" i="7"/>
  <c r="AT32" i="7"/>
  <c r="AG75" i="5"/>
  <c r="AH75" i="5" s="1"/>
  <c r="AN33" i="7"/>
  <c r="AN22" i="7"/>
  <c r="AN51" i="7"/>
  <c r="AN30" i="7"/>
  <c r="AN15" i="7"/>
  <c r="AN28" i="7"/>
  <c r="AN44" i="7"/>
  <c r="CP42" i="7"/>
  <c r="CP51" i="7"/>
  <c r="Q25" i="7"/>
  <c r="Q17" i="7"/>
  <c r="Q20" i="7"/>
  <c r="Q31" i="7"/>
  <c r="AH186" i="5"/>
  <c r="AI79" i="5"/>
  <c r="AH167" i="5"/>
  <c r="AH80" i="5"/>
  <c r="AH224" i="5"/>
  <c r="AH133" i="5"/>
  <c r="AH169" i="5"/>
  <c r="AH87" i="5"/>
  <c r="AI260" i="5"/>
  <c r="AH184" i="5"/>
  <c r="AI103" i="5"/>
  <c r="AH94" i="5"/>
  <c r="AH140" i="5"/>
  <c r="AH170" i="5"/>
  <c r="AH234" i="5"/>
  <c r="AH105" i="5"/>
  <c r="BM28" i="7"/>
  <c r="BM32" i="7"/>
  <c r="BM50" i="7"/>
  <c r="BM48" i="7"/>
  <c r="BM43" i="7"/>
  <c r="BM26" i="7"/>
  <c r="BM13" i="7"/>
  <c r="BM6" i="7"/>
  <c r="AI5" i="7"/>
  <c r="AI29" i="7"/>
  <c r="AI34" i="7"/>
  <c r="AI16" i="7"/>
  <c r="AC53" i="7"/>
  <c r="AC22" i="7"/>
  <c r="AC21" i="7"/>
  <c r="AC43" i="7"/>
  <c r="AC17" i="7"/>
  <c r="AC48" i="7"/>
  <c r="V33" i="7"/>
  <c r="V13" i="7"/>
  <c r="V47" i="7"/>
  <c r="V15" i="7"/>
  <c r="V55" i="7"/>
  <c r="BX49" i="7"/>
  <c r="BX27" i="7"/>
  <c r="BX44" i="7"/>
  <c r="BX46" i="7"/>
  <c r="BX38" i="7"/>
  <c r="BX30" i="7"/>
  <c r="BX15" i="7"/>
  <c r="BY24" i="7"/>
  <c r="BY22" i="7"/>
  <c r="BY41" i="7"/>
  <c r="BY52" i="7"/>
  <c r="J55" i="7"/>
  <c r="CT55" i="7"/>
  <c r="CT35" i="7"/>
  <c r="J23" i="7"/>
  <c r="CR23" i="7"/>
  <c r="CT27" i="7"/>
  <c r="CT50" i="7"/>
  <c r="CT17" i="7"/>
  <c r="J32" i="7"/>
  <c r="CR32" i="7"/>
  <c r="CT47" i="7"/>
  <c r="J25" i="7"/>
  <c r="CT25" i="7"/>
  <c r="CT48" i="7"/>
  <c r="J28" i="7"/>
  <c r="CR28" i="7"/>
  <c r="J37" i="7"/>
  <c r="CR37" i="7"/>
  <c r="CT12" i="7"/>
  <c r="CT51" i="7"/>
  <c r="CT11" i="7"/>
  <c r="CT43" i="7"/>
  <c r="J6" i="7"/>
  <c r="CR6" i="7"/>
  <c r="CT53" i="7"/>
  <c r="CT13" i="7"/>
  <c r="CT41" i="7"/>
  <c r="J34" i="7"/>
  <c r="CR34" i="7"/>
  <c r="J33" i="7"/>
  <c r="CR33" i="7"/>
  <c r="J51" i="7"/>
  <c r="CR51" i="7"/>
  <c r="J20" i="7"/>
  <c r="CR20" i="7"/>
  <c r="J47" i="7"/>
  <c r="CR47" i="7"/>
  <c r="J30" i="7"/>
  <c r="CR30" i="7"/>
  <c r="AH256" i="5"/>
  <c r="AH86" i="5"/>
  <c r="AH158" i="5"/>
  <c r="AH173" i="5"/>
  <c r="AH154" i="5"/>
  <c r="AH93" i="5"/>
  <c r="AH161" i="5"/>
  <c r="AZ27" i="7"/>
  <c r="AZ32" i="7"/>
  <c r="AZ52" i="7"/>
  <c r="AZ37" i="7"/>
  <c r="AZ6" i="7"/>
  <c r="BR17" i="7"/>
  <c r="BR42" i="7"/>
  <c r="BR47" i="7"/>
  <c r="AH15" i="7"/>
  <c r="AH38" i="7"/>
  <c r="AH18" i="7"/>
  <c r="AH41" i="7"/>
  <c r="AH11" i="7"/>
  <c r="AH6" i="7"/>
  <c r="AH33" i="7"/>
  <c r="AH34" i="7"/>
  <c r="AH119" i="5"/>
  <c r="BG45" i="7"/>
  <c r="P28" i="7"/>
  <c r="K43" i="7"/>
  <c r="CS43" i="7"/>
  <c r="K23" i="7"/>
  <c r="CS23" i="7"/>
  <c r="K50" i="7"/>
  <c r="CS50" i="7"/>
  <c r="K20" i="7"/>
  <c r="CS20" i="7"/>
  <c r="CU55" i="7"/>
  <c r="AB26" i="7"/>
  <c r="AB45" i="7"/>
  <c r="AB8" i="7"/>
  <c r="CD55" i="7"/>
  <c r="CD34" i="7"/>
  <c r="AH192" i="5"/>
  <c r="AH196" i="5"/>
  <c r="AH232" i="5"/>
  <c r="AH251" i="5"/>
  <c r="AH144" i="5"/>
  <c r="AI9" i="5"/>
  <c r="Z9" i="5"/>
  <c r="Y9" i="5"/>
  <c r="AC9" i="5"/>
  <c r="AA9" i="5"/>
  <c r="AB9" i="5"/>
  <c r="X9" i="5"/>
  <c r="AI99" i="5"/>
  <c r="AA99" i="5"/>
  <c r="Z99" i="5"/>
  <c r="Y99" i="5"/>
  <c r="X99" i="5"/>
  <c r="AB99" i="5"/>
  <c r="AC99" i="5"/>
  <c r="Y75" i="5"/>
  <c r="X75" i="5"/>
  <c r="AB75" i="5"/>
  <c r="Z75" i="5"/>
  <c r="AC75" i="5"/>
  <c r="AA75" i="5"/>
  <c r="AI175" i="5"/>
  <c r="Y175" i="5"/>
  <c r="Z175" i="5"/>
  <c r="AC175" i="5"/>
  <c r="X175" i="5"/>
  <c r="AB175" i="5"/>
  <c r="AE175" i="5" s="1"/>
  <c r="AA175" i="5"/>
  <c r="AI130" i="5"/>
  <c r="X130" i="5"/>
  <c r="Z130" i="5"/>
  <c r="AB130" i="5"/>
  <c r="AC130" i="5"/>
  <c r="AA130" i="5"/>
  <c r="Y130" i="5"/>
  <c r="AI71" i="5"/>
  <c r="X71" i="5"/>
  <c r="AB71" i="5"/>
  <c r="AC71" i="5"/>
  <c r="Z71" i="5"/>
  <c r="Y71" i="5"/>
  <c r="AA71" i="5"/>
  <c r="AI147" i="5"/>
  <c r="Z147" i="5"/>
  <c r="X147" i="5"/>
  <c r="Y147" i="5"/>
  <c r="AC147" i="5"/>
  <c r="AA147" i="5"/>
  <c r="AB147" i="5"/>
  <c r="Z77" i="5"/>
  <c r="Y77" i="5"/>
  <c r="AB77" i="5"/>
  <c r="X77" i="5"/>
  <c r="AC77" i="5"/>
  <c r="AA77" i="5"/>
  <c r="AI133" i="5"/>
  <c r="X133" i="5"/>
  <c r="Z133" i="5"/>
  <c r="AB133" i="5"/>
  <c r="Y133" i="5"/>
  <c r="AA133" i="5"/>
  <c r="AC133" i="5"/>
  <c r="AI187" i="5"/>
  <c r="Y187" i="5"/>
  <c r="X187" i="5"/>
  <c r="AC187" i="5"/>
  <c r="AA187" i="5"/>
  <c r="Z187" i="5"/>
  <c r="AB187" i="5"/>
  <c r="AI136" i="5"/>
  <c r="Z136" i="5"/>
  <c r="Y136" i="5"/>
  <c r="X136" i="5"/>
  <c r="AA136" i="5"/>
  <c r="AC136" i="5"/>
  <c r="AB136" i="5"/>
  <c r="AE136" i="5" s="1"/>
  <c r="AI196" i="5"/>
  <c r="X196" i="5"/>
  <c r="AB196" i="5"/>
  <c r="Z196" i="5"/>
  <c r="AC196" i="5"/>
  <c r="Y196" i="5"/>
  <c r="AA196" i="5"/>
  <c r="Z242" i="5"/>
  <c r="AC242" i="5"/>
  <c r="Y242" i="5"/>
  <c r="X242" i="5"/>
  <c r="AA242" i="5"/>
  <c r="AB242" i="5"/>
  <c r="AI226" i="5"/>
  <c r="AC226" i="5"/>
  <c r="AA226" i="5"/>
  <c r="Z226" i="5"/>
  <c r="Y226" i="5"/>
  <c r="AB226" i="5"/>
  <c r="X226" i="5"/>
  <c r="Y6" i="5"/>
  <c r="X6" i="5"/>
  <c r="AA6" i="5"/>
  <c r="Z6" i="5"/>
  <c r="AB6" i="5"/>
  <c r="AE6" i="5" s="1"/>
  <c r="AC6" i="5"/>
  <c r="AD6" i="5" s="1"/>
  <c r="AI6" i="5"/>
  <c r="AA112" i="5"/>
  <c r="Z112" i="5"/>
  <c r="Y112" i="5"/>
  <c r="X112" i="5"/>
  <c r="AC112" i="5"/>
  <c r="AB112" i="5"/>
  <c r="AI111" i="5"/>
  <c r="AB111" i="5"/>
  <c r="AA111" i="5"/>
  <c r="X111" i="5"/>
  <c r="Y111" i="5"/>
  <c r="AC111" i="5"/>
  <c r="Z111" i="5"/>
  <c r="AI132" i="5"/>
  <c r="X132" i="5"/>
  <c r="Y132" i="5"/>
  <c r="AC132" i="5"/>
  <c r="AA132" i="5"/>
  <c r="AB132" i="5"/>
  <c r="Z132" i="5"/>
  <c r="X142" i="5"/>
  <c r="AC142" i="5"/>
  <c r="Z142" i="5"/>
  <c r="Y142" i="5"/>
  <c r="AB142" i="5"/>
  <c r="AA142" i="5"/>
  <c r="AI255" i="5"/>
  <c r="Z255" i="5"/>
  <c r="AA255" i="5"/>
  <c r="Y255" i="5"/>
  <c r="AB255" i="5"/>
  <c r="X255" i="5"/>
  <c r="AC255" i="5"/>
  <c r="AI192" i="5"/>
  <c r="X192" i="5"/>
  <c r="Z192" i="5"/>
  <c r="AB192" i="5"/>
  <c r="AC192" i="5"/>
  <c r="Y192" i="5"/>
  <c r="AA192" i="5"/>
  <c r="AI76" i="5"/>
  <c r="X76" i="5"/>
  <c r="AB76" i="5"/>
  <c r="AA76" i="5"/>
  <c r="Z76" i="5"/>
  <c r="Y76" i="5"/>
  <c r="AC76" i="5"/>
  <c r="AI189" i="5"/>
  <c r="X189" i="5"/>
  <c r="Y189" i="5"/>
  <c r="Z189" i="5"/>
  <c r="AB189" i="5"/>
  <c r="AA189" i="5"/>
  <c r="AC189" i="5"/>
  <c r="AH252" i="5"/>
  <c r="AH248" i="5"/>
  <c r="AI228" i="5"/>
  <c r="AU38" i="7"/>
  <c r="AU55" i="7"/>
  <c r="AU17" i="7"/>
  <c r="AU5" i="7"/>
  <c r="CE37" i="7"/>
  <c r="CE50" i="7"/>
  <c r="CE35" i="7"/>
  <c r="BG26" i="7"/>
  <c r="BG28" i="7"/>
  <c r="BG18" i="7"/>
  <c r="P19" i="7"/>
  <c r="P55" i="7"/>
  <c r="P56" i="7"/>
  <c r="P6" i="7"/>
  <c r="K13" i="7"/>
  <c r="CS13" i="7"/>
  <c r="CU53" i="7"/>
  <c r="CU50" i="7"/>
  <c r="K15" i="7"/>
  <c r="CS15" i="7"/>
  <c r="K19" i="7"/>
  <c r="CS19" i="7"/>
  <c r="CU15" i="7"/>
  <c r="CU12" i="7"/>
  <c r="CS46" i="7"/>
  <c r="CW46" i="7" s="1"/>
  <c r="K46" i="7"/>
  <c r="CU33" i="7"/>
  <c r="CU37" i="7"/>
  <c r="CU36" i="7"/>
  <c r="K53" i="7"/>
  <c r="CS53" i="7"/>
  <c r="CU20" i="7"/>
  <c r="K33" i="7"/>
  <c r="CS33" i="7"/>
  <c r="CU26" i="7"/>
  <c r="K6" i="7"/>
  <c r="CS6" i="7"/>
  <c r="CQ46" i="7"/>
  <c r="AB41" i="7"/>
  <c r="AB24" i="7"/>
  <c r="CD9" i="7"/>
  <c r="AH180" i="5"/>
  <c r="BL13" i="7"/>
  <c r="BL27" i="7"/>
  <c r="BL51" i="7"/>
  <c r="BL50" i="7"/>
  <c r="BL17" i="7"/>
  <c r="AO23" i="7"/>
  <c r="AO37" i="7"/>
  <c r="AO7" i="7"/>
  <c r="AO44" i="7"/>
  <c r="AO20" i="7"/>
  <c r="AO12" i="7"/>
  <c r="AI142" i="5"/>
  <c r="AH189" i="5"/>
  <c r="AU48" i="7"/>
  <c r="AU43" i="7"/>
  <c r="AU20" i="7"/>
  <c r="AU54" i="7"/>
  <c r="CE30" i="7"/>
  <c r="CE31" i="7"/>
  <c r="BG16" i="7"/>
  <c r="BG56" i="7"/>
  <c r="BG9" i="7"/>
  <c r="BG54" i="7"/>
  <c r="BG8" i="7"/>
  <c r="P46" i="7"/>
  <c r="P38" i="7"/>
  <c r="P16" i="7"/>
  <c r="CU7" i="7"/>
  <c r="K22" i="7"/>
  <c r="CS22" i="7"/>
  <c r="CW22" i="7" s="1"/>
  <c r="K11" i="7"/>
  <c r="CS11" i="7"/>
  <c r="K12" i="7"/>
  <c r="CS12" i="7"/>
  <c r="CU10" i="7"/>
  <c r="CU51" i="7"/>
  <c r="K9" i="7"/>
  <c r="CS9" i="7"/>
  <c r="K18" i="7"/>
  <c r="CS18" i="7"/>
  <c r="CU29" i="7"/>
  <c r="K55" i="7"/>
  <c r="CS55" i="7"/>
  <c r="CU39" i="7"/>
  <c r="K56" i="7"/>
  <c r="CS56" i="7"/>
  <c r="CW56" i="7" s="1"/>
  <c r="CQ40" i="7"/>
  <c r="CQ41" i="7"/>
  <c r="CQ32" i="7"/>
  <c r="AB47" i="7"/>
  <c r="AB54" i="7"/>
  <c r="AB22" i="7"/>
  <c r="CD42" i="7"/>
  <c r="CD32" i="7"/>
  <c r="CD36" i="7"/>
  <c r="CD25" i="7"/>
  <c r="CD31" i="7"/>
  <c r="BL20" i="7"/>
  <c r="BL23" i="7"/>
  <c r="BL36" i="7"/>
  <c r="BL21" i="7"/>
  <c r="BL7" i="7"/>
  <c r="AO17" i="7"/>
  <c r="AO55" i="7"/>
  <c r="AO49" i="7"/>
  <c r="AO33" i="7"/>
  <c r="AO21" i="7"/>
  <c r="AH223" i="5"/>
  <c r="AH182" i="5"/>
  <c r="AH261" i="5"/>
  <c r="AH245" i="5"/>
  <c r="AH249" i="5"/>
  <c r="AH206" i="5"/>
  <c r="AH188" i="5"/>
  <c r="AH103" i="5"/>
  <c r="AH215" i="5"/>
  <c r="AH217" i="5"/>
  <c r="AI88" i="5"/>
  <c r="Z88" i="5"/>
  <c r="AC88" i="5"/>
  <c r="Y88" i="5"/>
  <c r="X88" i="5"/>
  <c r="AA88" i="5"/>
  <c r="AB88" i="5"/>
  <c r="AI221" i="5"/>
  <c r="Z221" i="5"/>
  <c r="AA221" i="5"/>
  <c r="X221" i="5"/>
  <c r="AC221" i="5"/>
  <c r="Y221" i="5"/>
  <c r="AB221" i="5"/>
  <c r="AI174" i="5"/>
  <c r="X174" i="5"/>
  <c r="AB174" i="5"/>
  <c r="Z174" i="5"/>
  <c r="Y174" i="5"/>
  <c r="AC174" i="5"/>
  <c r="AD174" i="5" s="1"/>
  <c r="AA174" i="5"/>
  <c r="AH131" i="5"/>
  <c r="AH141" i="5"/>
  <c r="AH229" i="5"/>
  <c r="AH166" i="5"/>
  <c r="AH211" i="5"/>
  <c r="AH130" i="5"/>
  <c r="AH137" i="5"/>
  <c r="AU40" i="7"/>
  <c r="AU18" i="7"/>
  <c r="AU26" i="7"/>
  <c r="AU23" i="7"/>
  <c r="AU39" i="7"/>
  <c r="AU52" i="7"/>
  <c r="AU53" i="7"/>
  <c r="AU29" i="7"/>
  <c r="AU9" i="7"/>
  <c r="AU8" i="7"/>
  <c r="AU25" i="7"/>
  <c r="CE33" i="7"/>
  <c r="CE32" i="7"/>
  <c r="CE40" i="7"/>
  <c r="CE41" i="7"/>
  <c r="CE23" i="7"/>
  <c r="CE13" i="7"/>
  <c r="CE38" i="7"/>
  <c r="CE10" i="7"/>
  <c r="CE7" i="7"/>
  <c r="CE5" i="7"/>
  <c r="CE15" i="7"/>
  <c r="CE19" i="7"/>
  <c r="CE48" i="7"/>
  <c r="CE17" i="7"/>
  <c r="CE26" i="7"/>
  <c r="BG43" i="7"/>
  <c r="BG13" i="7"/>
  <c r="BG12" i="7"/>
  <c r="BG40" i="7"/>
  <c r="BG33" i="7"/>
  <c r="BG11" i="7"/>
  <c r="BG49" i="7"/>
  <c r="BG6" i="7"/>
  <c r="BG47" i="7"/>
  <c r="BG34" i="7"/>
  <c r="BG25" i="7"/>
  <c r="BG7" i="7"/>
  <c r="BG27" i="7"/>
  <c r="BG19" i="7"/>
  <c r="P47" i="7"/>
  <c r="P23" i="7"/>
  <c r="P5" i="7"/>
  <c r="P14" i="7"/>
  <c r="P21" i="7"/>
  <c r="P11" i="7"/>
  <c r="P25" i="7"/>
  <c r="P15" i="7"/>
  <c r="P29" i="7"/>
  <c r="P26" i="7"/>
  <c r="P7" i="7"/>
  <c r="P27" i="7"/>
  <c r="P8" i="7"/>
  <c r="K29" i="7"/>
  <c r="CS29" i="7"/>
  <c r="K5" i="7"/>
  <c r="CZ7" i="7" s="1" a="1"/>
  <c r="CZ7" i="7" s="1"/>
  <c r="CZ25" i="7" a="1"/>
  <c r="CZ25" i="7" s="1"/>
  <c r="CZ6" i="7" a="1"/>
  <c r="CZ6" i="7" s="1"/>
  <c r="CZ16" i="7" a="1"/>
  <c r="CZ16" i="7" s="1"/>
  <c r="CZ27" i="7" a="1"/>
  <c r="CZ27" i="7" s="1"/>
  <c r="CS5" i="7"/>
  <c r="CZ14" i="7" a="1"/>
  <c r="CZ14" i="7" s="1"/>
  <c r="CZ50" i="7" a="1"/>
  <c r="CZ50" i="7" s="1"/>
  <c r="CZ31" i="7" a="1"/>
  <c r="CZ31" i="7" s="1"/>
  <c r="CZ8" i="7" a="1"/>
  <c r="CZ8" i="7" s="1"/>
  <c r="CZ52" i="7" a="1"/>
  <c r="CZ52" i="7" s="1"/>
  <c r="CZ39" i="7" a="1"/>
  <c r="CZ39" i="7" s="1"/>
  <c r="CZ40" i="7" a="1"/>
  <c r="CZ40" i="7" s="1"/>
  <c r="CZ10" i="7" a="1"/>
  <c r="CZ10" i="7" s="1"/>
  <c r="CZ45" i="7" a="1"/>
  <c r="CZ45" i="7" s="1"/>
  <c r="K51" i="7"/>
  <c r="CS51" i="7"/>
  <c r="CW51" i="7" s="1"/>
  <c r="K7" i="7"/>
  <c r="CS7" i="7"/>
  <c r="CU54" i="7"/>
  <c r="CU17" i="7"/>
  <c r="K42" i="7"/>
  <c r="CS42" i="7"/>
  <c r="CU14" i="7"/>
  <c r="K32" i="7"/>
  <c r="CS32" i="7"/>
  <c r="K8" i="7"/>
  <c r="CS8" i="7"/>
  <c r="K34" i="7"/>
  <c r="CS34" i="7"/>
  <c r="CU32" i="7"/>
  <c r="CS27" i="7"/>
  <c r="K27" i="7"/>
  <c r="CU41" i="7"/>
  <c r="CU52" i="7"/>
  <c r="CU40" i="7"/>
  <c r="K35" i="7"/>
  <c r="CS35" i="7"/>
  <c r="K40" i="7"/>
  <c r="CS40" i="7"/>
  <c r="CW40" i="7" s="1"/>
  <c r="CU34" i="7"/>
  <c r="K39" i="7"/>
  <c r="CS39" i="7"/>
  <c r="CU38" i="7"/>
  <c r="CU30" i="7"/>
  <c r="K21" i="7"/>
  <c r="CS21" i="7"/>
  <c r="K47" i="7"/>
  <c r="CS47" i="7"/>
  <c r="CU24" i="7"/>
  <c r="CU45" i="7"/>
  <c r="CQ16" i="7"/>
  <c r="CQ26" i="7"/>
  <c r="CQ49" i="7"/>
  <c r="CQ28" i="7"/>
  <c r="CQ7" i="7"/>
  <c r="CQ33" i="7"/>
  <c r="CQ19" i="7"/>
  <c r="CQ15" i="7"/>
  <c r="CQ10" i="7"/>
  <c r="CQ44" i="7"/>
  <c r="CQ42" i="7"/>
  <c r="CQ13" i="7"/>
  <c r="CQ55" i="7"/>
  <c r="CQ47" i="7"/>
  <c r="AB27" i="7"/>
  <c r="AB49" i="7"/>
  <c r="AB55" i="7"/>
  <c r="AB52" i="7"/>
  <c r="AB30" i="7"/>
  <c r="AB36" i="7"/>
  <c r="AB42" i="7"/>
  <c r="AB5" i="7"/>
  <c r="AB18" i="7"/>
  <c r="AB19" i="7"/>
  <c r="AB32" i="7"/>
  <c r="AB33" i="7"/>
  <c r="CD23" i="7"/>
  <c r="CD44" i="7"/>
  <c r="CD17" i="7"/>
  <c r="CD33" i="7"/>
  <c r="CD7" i="7"/>
  <c r="CD28" i="7"/>
  <c r="CD38" i="7"/>
  <c r="CD18" i="7"/>
  <c r="CD26" i="7"/>
  <c r="CD54" i="7"/>
  <c r="CD15" i="7"/>
  <c r="CD24" i="7"/>
  <c r="CD30" i="7"/>
  <c r="CD37" i="7"/>
  <c r="AH129" i="5"/>
  <c r="BL18" i="7"/>
  <c r="BL44" i="7"/>
  <c r="BL8" i="7"/>
  <c r="BL43" i="7"/>
  <c r="BL32" i="7"/>
  <c r="BL5" i="7"/>
  <c r="BL9" i="7"/>
  <c r="BL12" i="7"/>
  <c r="BL53" i="7"/>
  <c r="BL37" i="7"/>
  <c r="BL46" i="7"/>
  <c r="BL33" i="7"/>
  <c r="AO31" i="7"/>
  <c r="AO14" i="7"/>
  <c r="AO18" i="7"/>
  <c r="AO34" i="7"/>
  <c r="AO11" i="7"/>
  <c r="AO28" i="7"/>
  <c r="AO9" i="7"/>
  <c r="AO56" i="7"/>
  <c r="AO22" i="7"/>
  <c r="AO16" i="7"/>
  <c r="AO30" i="7"/>
  <c r="AH219" i="5"/>
  <c r="AH172" i="5"/>
  <c r="AH132" i="5"/>
  <c r="AH149" i="5"/>
  <c r="AH125" i="5"/>
  <c r="AH139" i="5"/>
  <c r="AI163" i="5"/>
  <c r="AI262" i="5"/>
  <c r="AJ262" i="5" s="1"/>
  <c r="AH210" i="5"/>
  <c r="AH216" i="5"/>
  <c r="AH225" i="5"/>
  <c r="AH209" i="5"/>
  <c r="AH213" i="5"/>
  <c r="AH257" i="5"/>
  <c r="AH115" i="5"/>
  <c r="AH218" i="5"/>
  <c r="AI115" i="5"/>
  <c r="AH205" i="5"/>
  <c r="X96" i="5"/>
  <c r="Z96" i="5"/>
  <c r="AC96" i="5"/>
  <c r="AB96" i="5"/>
  <c r="Y96" i="5"/>
  <c r="AA96" i="5"/>
  <c r="AI239" i="5"/>
  <c r="X239" i="5"/>
  <c r="Y239" i="5"/>
  <c r="Z239" i="5"/>
  <c r="AB239" i="5"/>
  <c r="AC239" i="5"/>
  <c r="AD239" i="5" s="1"/>
  <c r="AA239" i="5"/>
  <c r="AI7" i="5"/>
  <c r="Y7" i="5"/>
  <c r="AB7" i="5"/>
  <c r="Z7" i="5"/>
  <c r="AA7" i="5"/>
  <c r="X7" i="5"/>
  <c r="AC7" i="5"/>
  <c r="AI213" i="5"/>
  <c r="AC213" i="5"/>
  <c r="Z213" i="5"/>
  <c r="X213" i="5"/>
  <c r="AA213" i="5"/>
  <c r="AB213" i="5"/>
  <c r="Y213" i="5"/>
  <c r="AI161" i="5"/>
  <c r="AA161" i="5"/>
  <c r="X161" i="5"/>
  <c r="Z161" i="5"/>
  <c r="Y161" i="5"/>
  <c r="AB161" i="5"/>
  <c r="AC161" i="5"/>
  <c r="AD161" i="5" s="1"/>
  <c r="Y158" i="5"/>
  <c r="X158" i="5"/>
  <c r="Z158" i="5"/>
  <c r="AA158" i="5"/>
  <c r="AC158" i="5"/>
  <c r="AB158" i="5"/>
  <c r="X167" i="5"/>
  <c r="AA167" i="5"/>
  <c r="Z167" i="5"/>
  <c r="AB167" i="5"/>
  <c r="AC167" i="5"/>
  <c r="AD167" i="5" s="1"/>
  <c r="Y167" i="5"/>
  <c r="Z118" i="5"/>
  <c r="X118" i="5"/>
  <c r="Y118" i="5"/>
  <c r="AC118" i="5"/>
  <c r="AA118" i="5"/>
  <c r="AB118" i="5"/>
  <c r="AI183" i="5"/>
  <c r="AC183" i="5"/>
  <c r="Z183" i="5"/>
  <c r="Y183" i="5"/>
  <c r="X183" i="5"/>
  <c r="AB183" i="5"/>
  <c r="AA183" i="5"/>
  <c r="AI74" i="5"/>
  <c r="AB74" i="5"/>
  <c r="X74" i="5"/>
  <c r="Z74" i="5"/>
  <c r="AC74" i="5"/>
  <c r="AA74" i="5"/>
  <c r="Y74" i="5"/>
  <c r="Y231" i="5"/>
  <c r="X231" i="5"/>
  <c r="AA231" i="5"/>
  <c r="Z231" i="5"/>
  <c r="AB231" i="5"/>
  <c r="AE231" i="5" s="1"/>
  <c r="AC231" i="5"/>
  <c r="AD231" i="5" s="1"/>
  <c r="Z236" i="5"/>
  <c r="Y236" i="5"/>
  <c r="X236" i="5"/>
  <c r="AB236" i="5"/>
  <c r="AA236" i="5"/>
  <c r="AI15" i="5"/>
  <c r="Y15" i="5"/>
  <c r="X15" i="5"/>
  <c r="Z15" i="5"/>
  <c r="AC15" i="5"/>
  <c r="AB15" i="5"/>
  <c r="AE15" i="5" s="1"/>
  <c r="AA15" i="5"/>
  <c r="AI216" i="5"/>
  <c r="AA216" i="5"/>
  <c r="Z216" i="5"/>
  <c r="Y216" i="5"/>
  <c r="AB216" i="5"/>
  <c r="X216" i="5"/>
  <c r="AC216" i="5"/>
  <c r="Z245" i="5"/>
  <c r="Y245" i="5"/>
  <c r="X245" i="5"/>
  <c r="AC245" i="5"/>
  <c r="AB245" i="5"/>
  <c r="AA245" i="5"/>
  <c r="AI125" i="5"/>
  <c r="AA125" i="5"/>
  <c r="Z125" i="5"/>
  <c r="X125" i="5"/>
  <c r="AB125" i="5"/>
  <c r="Y125" i="5"/>
  <c r="AC125" i="5"/>
  <c r="X134" i="5"/>
  <c r="Z134" i="5"/>
  <c r="AB134" i="5"/>
  <c r="AC134" i="5"/>
  <c r="Y134" i="5"/>
  <c r="AA134" i="5"/>
  <c r="Z199" i="5"/>
  <c r="Y199" i="5"/>
  <c r="AA199" i="5"/>
  <c r="X199" i="5"/>
  <c r="AC199" i="5"/>
  <c r="AB199" i="5"/>
  <c r="AE199" i="5" s="1"/>
  <c r="AC41" i="5"/>
  <c r="X41" i="5"/>
  <c r="Z41" i="5"/>
  <c r="AB41" i="5"/>
  <c r="AA41" i="5"/>
  <c r="Y41" i="5"/>
  <c r="AI41" i="5"/>
  <c r="AI207" i="5"/>
  <c r="Z207" i="5"/>
  <c r="AB207" i="5"/>
  <c r="Y207" i="5"/>
  <c r="X207" i="5"/>
  <c r="AA207" i="5"/>
  <c r="AC207" i="5"/>
  <c r="AI52" i="5"/>
  <c r="Y52" i="5"/>
  <c r="AC52" i="5"/>
  <c r="Z52" i="5"/>
  <c r="AA52" i="5"/>
  <c r="AB52" i="5"/>
  <c r="AE52" i="5" s="1"/>
  <c r="X52" i="5"/>
  <c r="AI117" i="5"/>
  <c r="Y117" i="5"/>
  <c r="X117" i="5"/>
  <c r="AA117" i="5"/>
  <c r="Z117" i="5"/>
  <c r="AC117" i="5"/>
  <c r="AB117" i="5"/>
  <c r="AI170" i="5"/>
  <c r="X170" i="5"/>
  <c r="AC170" i="5"/>
  <c r="Z170" i="5"/>
  <c r="Y170" i="5"/>
  <c r="AB170" i="5"/>
  <c r="AA170" i="5"/>
  <c r="Z90" i="5"/>
  <c r="Y90" i="5"/>
  <c r="AB90" i="5"/>
  <c r="AC90" i="5"/>
  <c r="X90" i="5"/>
  <c r="AA90" i="5"/>
  <c r="X155" i="5"/>
  <c r="AA155" i="5"/>
  <c r="Z155" i="5"/>
  <c r="Y155" i="5"/>
  <c r="AC155" i="5"/>
  <c r="AD155" i="5" s="1"/>
  <c r="AB155" i="5"/>
  <c r="AI17" i="5"/>
  <c r="X17" i="5"/>
  <c r="Z17" i="5"/>
  <c r="Y17" i="5"/>
  <c r="AA17" i="5"/>
  <c r="AC17" i="5"/>
  <c r="AD17" i="5" s="1"/>
  <c r="AB17" i="5"/>
  <c r="AI91" i="5"/>
  <c r="Z91" i="5"/>
  <c r="Y91" i="5"/>
  <c r="X91" i="5"/>
  <c r="AC91" i="5"/>
  <c r="AB91" i="5"/>
  <c r="AA91" i="5"/>
  <c r="Y240" i="5"/>
  <c r="X240" i="5"/>
  <c r="Z240" i="5"/>
  <c r="AC240" i="5"/>
  <c r="AA240" i="5"/>
  <c r="AB240" i="5"/>
  <c r="AC45" i="5"/>
  <c r="Y45" i="5"/>
  <c r="X45" i="5"/>
  <c r="Z45" i="5"/>
  <c r="AA45" i="5"/>
  <c r="AB45" i="5"/>
  <c r="AE45" i="5" s="1"/>
  <c r="AI45" i="5"/>
  <c r="AC5" i="5"/>
  <c r="AA5" i="5"/>
  <c r="X5" i="5"/>
  <c r="Z5" i="5"/>
  <c r="Y5" i="5"/>
  <c r="AB5" i="5"/>
  <c r="AI5" i="5"/>
  <c r="Y139" i="5"/>
  <c r="X139" i="5"/>
  <c r="Z139" i="5"/>
  <c r="AC139" i="5"/>
  <c r="AA139" i="5"/>
  <c r="AB139" i="5"/>
  <c r="AI204" i="5"/>
  <c r="AB204" i="5"/>
  <c r="Y204" i="5"/>
  <c r="X204" i="5"/>
  <c r="Z204" i="5"/>
  <c r="AC204" i="5"/>
  <c r="AA204" i="5"/>
  <c r="AC164" i="5"/>
  <c r="AB164" i="5"/>
  <c r="Z164" i="5"/>
  <c r="Y164" i="5"/>
  <c r="X164" i="5"/>
  <c r="AA164" i="5"/>
  <c r="Y150" i="5"/>
  <c r="X150" i="5"/>
  <c r="AC150" i="5"/>
  <c r="AA150" i="5"/>
  <c r="AB150" i="5"/>
  <c r="AE150" i="5" s="1"/>
  <c r="Z150" i="5"/>
  <c r="AI198" i="5"/>
  <c r="X198" i="5"/>
  <c r="Z198" i="5"/>
  <c r="Y198" i="5"/>
  <c r="AB198" i="5"/>
  <c r="AC198" i="5"/>
  <c r="AD198" i="5" s="1"/>
  <c r="AA198" i="5"/>
  <c r="Y246" i="5"/>
  <c r="AC246" i="5"/>
  <c r="X246" i="5"/>
  <c r="Z246" i="5"/>
  <c r="AA246" i="5"/>
  <c r="AB246" i="5"/>
  <c r="Z82" i="5"/>
  <c r="X82" i="5"/>
  <c r="Y82" i="5"/>
  <c r="AA82" i="5"/>
  <c r="AC82" i="5"/>
  <c r="AB82" i="5"/>
  <c r="AI208" i="5"/>
  <c r="X208" i="5"/>
  <c r="AB208" i="5"/>
  <c r="Z208" i="5"/>
  <c r="Y208" i="5"/>
  <c r="AC208" i="5"/>
  <c r="AA208" i="5"/>
  <c r="AA153" i="5"/>
  <c r="Y153" i="5"/>
  <c r="X153" i="5"/>
  <c r="AB153" i="5"/>
  <c r="AC153" i="5"/>
  <c r="Z153" i="5"/>
  <c r="AI42" i="5"/>
  <c r="X42" i="5"/>
  <c r="Z42" i="5"/>
  <c r="Y42" i="5"/>
  <c r="AB42" i="5"/>
  <c r="AC42" i="5"/>
  <c r="AD42" i="5" s="1"/>
  <c r="AA42" i="5"/>
  <c r="Y146" i="5"/>
  <c r="X146" i="5"/>
  <c r="Z146" i="5"/>
  <c r="AB146" i="5"/>
  <c r="AA146" i="5"/>
  <c r="AC146" i="5"/>
  <c r="AD146" i="5" s="1"/>
  <c r="AI100" i="5"/>
  <c r="Z100" i="5"/>
  <c r="AC100" i="5"/>
  <c r="Y100" i="5"/>
  <c r="X100" i="5"/>
  <c r="AA100" i="5"/>
  <c r="AB100" i="5"/>
  <c r="AI23" i="5"/>
  <c r="X23" i="5"/>
  <c r="AB23" i="5"/>
  <c r="AE23" i="5" s="1"/>
  <c r="AA23" i="5"/>
  <c r="Z23" i="5"/>
  <c r="Y23" i="5"/>
  <c r="AC23" i="5"/>
  <c r="AI95" i="5"/>
  <c r="Z95" i="5"/>
  <c r="AB95" i="5"/>
  <c r="X95" i="5"/>
  <c r="Y95" i="5"/>
  <c r="AC95" i="5"/>
  <c r="AA95" i="5"/>
  <c r="X249" i="5"/>
  <c r="Z249" i="5"/>
  <c r="Y249" i="5"/>
  <c r="AC249" i="5"/>
  <c r="AB249" i="5"/>
  <c r="AA249" i="5"/>
  <c r="X92" i="5"/>
  <c r="AC92" i="5"/>
  <c r="Z92" i="5"/>
  <c r="Y92" i="5"/>
  <c r="AA92" i="5"/>
  <c r="AB92" i="5"/>
  <c r="AI135" i="5"/>
  <c r="X135" i="5"/>
  <c r="AC135" i="5"/>
  <c r="Y135" i="5"/>
  <c r="Z135" i="5"/>
  <c r="AA135" i="5"/>
  <c r="AB135" i="5"/>
  <c r="AI109" i="5"/>
  <c r="AB109" i="5"/>
  <c r="X109" i="5"/>
  <c r="Z109" i="5"/>
  <c r="Y109" i="5"/>
  <c r="AC109" i="5"/>
  <c r="AA109" i="5"/>
  <c r="Z26" i="5"/>
  <c r="AB26" i="5"/>
  <c r="X26" i="5"/>
  <c r="Y26" i="5"/>
  <c r="AC26" i="5"/>
  <c r="AA26" i="5"/>
  <c r="AI26" i="5"/>
  <c r="Y258" i="5"/>
  <c r="X258" i="5"/>
  <c r="Z258" i="5"/>
  <c r="AC258" i="5"/>
  <c r="AA258" i="5"/>
  <c r="AB258" i="5"/>
  <c r="X263" i="5"/>
  <c r="AC263" i="5"/>
  <c r="Y263" i="5"/>
  <c r="Z263" i="5"/>
  <c r="AB263" i="5"/>
  <c r="AA263" i="5"/>
  <c r="Y227" i="5"/>
  <c r="X227" i="5"/>
  <c r="Z227" i="5"/>
  <c r="AB227" i="5"/>
  <c r="AC227" i="5"/>
  <c r="AA227" i="5"/>
  <c r="AI63" i="5"/>
  <c r="Z63" i="5"/>
  <c r="AC63" i="5"/>
  <c r="AB63" i="5"/>
  <c r="X63" i="5"/>
  <c r="Y63" i="5"/>
  <c r="AA63" i="5"/>
  <c r="AI22" i="5"/>
  <c r="X22" i="5"/>
  <c r="AC22" i="5"/>
  <c r="Z22" i="5"/>
  <c r="Y22" i="5"/>
  <c r="AB22" i="5"/>
  <c r="AE22" i="5" s="1"/>
  <c r="AA22" i="5"/>
  <c r="AI24" i="5"/>
  <c r="AC24" i="5"/>
  <c r="X24" i="5"/>
  <c r="Z24" i="5"/>
  <c r="Y24" i="5"/>
  <c r="AA24" i="5"/>
  <c r="AB24" i="5"/>
  <c r="AI80" i="5"/>
  <c r="Y80" i="5"/>
  <c r="Z80" i="5"/>
  <c r="X80" i="5"/>
  <c r="AA80" i="5"/>
  <c r="AB80" i="5"/>
  <c r="AC80" i="5"/>
  <c r="AI21" i="5"/>
  <c r="X21" i="5"/>
  <c r="AB21" i="5"/>
  <c r="Y21" i="5"/>
  <c r="Z21" i="5"/>
  <c r="AC21" i="5"/>
  <c r="AA21" i="5"/>
  <c r="AI105" i="5"/>
  <c r="X105" i="5"/>
  <c r="Z105" i="5"/>
  <c r="Y105" i="5"/>
  <c r="AA105" i="5"/>
  <c r="AB105" i="5"/>
  <c r="AC105" i="5"/>
  <c r="AI89" i="5"/>
  <c r="X89" i="5"/>
  <c r="Z89" i="5"/>
  <c r="AC89" i="5"/>
  <c r="AB89" i="5"/>
  <c r="Y89" i="5"/>
  <c r="AA89" i="5"/>
  <c r="AI197" i="5"/>
  <c r="AC197" i="5"/>
  <c r="X197" i="5"/>
  <c r="Z197" i="5"/>
  <c r="AB197" i="5"/>
  <c r="AA197" i="5"/>
  <c r="Y197" i="5"/>
  <c r="AA141" i="5"/>
  <c r="Y141" i="5"/>
  <c r="Z141" i="5"/>
  <c r="X141" i="5"/>
  <c r="AB141" i="5"/>
  <c r="AC141" i="5"/>
  <c r="Z168" i="5"/>
  <c r="AB168" i="5"/>
  <c r="Y168" i="5"/>
  <c r="X168" i="5"/>
  <c r="AC168" i="5"/>
  <c r="AA168" i="5"/>
  <c r="AI4" i="5"/>
  <c r="Y4" i="5"/>
  <c r="X4" i="5"/>
  <c r="AA4" i="5"/>
  <c r="Z4" i="5"/>
  <c r="AB4" i="5"/>
  <c r="AE4" i="5" s="1"/>
  <c r="AC4" i="5"/>
  <c r="AD4" i="5" s="1"/>
  <c r="AB232" i="5"/>
  <c r="Z232" i="5"/>
  <c r="Y232" i="5"/>
  <c r="X232" i="5"/>
  <c r="AC232" i="5"/>
  <c r="AA232" i="5"/>
  <c r="AI218" i="5"/>
  <c r="Z218" i="5"/>
  <c r="Y218" i="5"/>
  <c r="X218" i="5"/>
  <c r="AC218" i="5"/>
  <c r="AA218" i="5"/>
  <c r="AB218" i="5"/>
  <c r="AE218" i="5" s="1"/>
  <c r="CK38" i="7"/>
  <c r="CK8" i="7"/>
  <c r="CK23" i="7"/>
  <c r="CK31" i="7"/>
  <c r="CK12" i="7"/>
  <c r="CK11" i="7"/>
  <c r="CK19" i="7"/>
  <c r="CK24" i="7"/>
  <c r="CK36" i="7"/>
  <c r="CK41" i="7"/>
  <c r="BS14" i="7"/>
  <c r="BS24" i="7"/>
  <c r="BS32" i="7"/>
  <c r="BS30" i="7"/>
  <c r="BS7" i="7"/>
  <c r="BS40" i="7"/>
  <c r="BS47" i="7"/>
  <c r="BS15" i="7"/>
  <c r="BS20" i="7"/>
  <c r="BS18" i="7"/>
  <c r="BS19" i="7"/>
  <c r="BS38" i="7"/>
  <c r="BS17" i="7"/>
  <c r="BS44" i="7"/>
  <c r="W9" i="7"/>
  <c r="W25" i="7"/>
  <c r="W11" i="7"/>
  <c r="W13" i="7"/>
  <c r="W12" i="7"/>
  <c r="W32" i="7"/>
  <c r="W51" i="7"/>
  <c r="W40" i="7"/>
  <c r="W44" i="7"/>
  <c r="W19" i="7"/>
  <c r="W27" i="7"/>
  <c r="W56" i="7"/>
  <c r="W17" i="7"/>
  <c r="BA38" i="7"/>
  <c r="BA7" i="7"/>
  <c r="BA5" i="7"/>
  <c r="BA20" i="7"/>
  <c r="BA24" i="7"/>
  <c r="BA40" i="7"/>
  <c r="BA29" i="7"/>
  <c r="BA33" i="7"/>
  <c r="BA23" i="7"/>
  <c r="BA31" i="7"/>
  <c r="BA15" i="7"/>
  <c r="BA36" i="7"/>
  <c r="BA54" i="7"/>
  <c r="BA37" i="7"/>
  <c r="CJ54" i="7"/>
  <c r="CJ27" i="7"/>
  <c r="CJ34" i="7"/>
  <c r="CJ36" i="7"/>
  <c r="CJ44" i="7"/>
  <c r="CJ52" i="7"/>
  <c r="CJ13" i="7"/>
  <c r="CJ29" i="7"/>
  <c r="CJ53" i="7"/>
  <c r="CJ45" i="7"/>
  <c r="CJ41" i="7"/>
  <c r="BF45" i="7"/>
  <c r="BF26" i="7"/>
  <c r="BF41" i="7"/>
  <c r="BF46" i="7"/>
  <c r="BF49" i="7"/>
  <c r="BF17" i="7"/>
  <c r="BF19" i="7"/>
  <c r="AT31" i="7"/>
  <c r="AT53" i="7"/>
  <c r="AT54" i="7"/>
  <c r="AT40" i="7"/>
  <c r="AT7" i="7"/>
  <c r="AT37" i="7"/>
  <c r="AT18" i="7"/>
  <c r="AH239" i="5"/>
  <c r="AH171" i="5"/>
  <c r="AH143" i="5"/>
  <c r="AN12" i="7"/>
  <c r="AN35" i="7"/>
  <c r="AN47" i="7"/>
  <c r="AN20" i="7"/>
  <c r="AN52" i="7"/>
  <c r="AN38" i="7"/>
  <c r="AN37" i="7"/>
  <c r="AN53" i="7"/>
  <c r="AN31" i="7"/>
  <c r="CP55" i="7"/>
  <c r="CP48" i="7"/>
  <c r="CP6" i="7"/>
  <c r="CP23" i="7"/>
  <c r="CP30" i="7"/>
  <c r="CP27" i="7"/>
  <c r="CP17" i="7"/>
  <c r="CP18" i="7"/>
  <c r="CP7" i="7"/>
  <c r="CP45" i="7"/>
  <c r="Q14" i="7"/>
  <c r="Q55" i="7"/>
  <c r="Q32" i="7"/>
  <c r="Q37" i="7"/>
  <c r="Q22" i="7"/>
  <c r="Q8" i="7"/>
  <c r="Q56" i="7"/>
  <c r="Q18" i="7"/>
  <c r="Q5" i="7"/>
  <c r="AH92" i="5"/>
  <c r="AH110" i="5"/>
  <c r="AH76" i="5"/>
  <c r="AH78" i="5"/>
  <c r="AH228" i="5"/>
  <c r="AI168" i="5"/>
  <c r="AH233" i="5"/>
  <c r="AH151" i="5"/>
  <c r="AH201" i="5"/>
  <c r="AH221" i="5"/>
  <c r="AH134" i="5"/>
  <c r="AI134" i="5"/>
  <c r="AH123" i="5"/>
  <c r="AH187" i="5"/>
  <c r="AH88" i="5"/>
  <c r="AH176" i="5"/>
  <c r="AH194" i="5"/>
  <c r="AH258" i="5"/>
  <c r="AH116" i="5"/>
  <c r="AH98" i="5"/>
  <c r="AH147" i="5"/>
  <c r="AH148" i="5"/>
  <c r="AH99" i="5"/>
  <c r="AI141" i="5"/>
  <c r="AH79" i="5"/>
  <c r="AI235" i="5"/>
  <c r="BM49" i="7"/>
  <c r="BM20" i="7"/>
  <c r="BM40" i="7"/>
  <c r="BM29" i="7"/>
  <c r="BM52" i="7"/>
  <c r="BM11" i="7"/>
  <c r="BM17" i="7"/>
  <c r="BM37" i="7"/>
  <c r="BM7" i="7"/>
  <c r="BM5" i="7"/>
  <c r="BM41" i="7"/>
  <c r="BM56" i="7"/>
  <c r="BM34" i="7"/>
  <c r="BM27" i="7"/>
  <c r="AI37" i="7"/>
  <c r="AI26" i="7"/>
  <c r="AI17" i="7"/>
  <c r="AI38" i="7"/>
  <c r="AI7" i="7"/>
  <c r="AI31" i="7"/>
  <c r="AI52" i="7"/>
  <c r="AI54" i="7"/>
  <c r="AI19" i="7"/>
  <c r="AC37" i="7"/>
  <c r="AC10" i="7"/>
  <c r="AC16" i="7"/>
  <c r="AC25" i="7"/>
  <c r="AC50" i="7"/>
  <c r="AC11" i="7"/>
  <c r="AC35" i="7"/>
  <c r="AC55" i="7"/>
  <c r="AC14" i="7"/>
  <c r="AC45" i="7"/>
  <c r="AC19" i="7"/>
  <c r="AC13" i="7"/>
  <c r="V17" i="7"/>
  <c r="V29" i="7"/>
  <c r="V49" i="7"/>
  <c r="V23" i="7"/>
  <c r="V5" i="7"/>
  <c r="V26" i="7"/>
  <c r="V12" i="7"/>
  <c r="V40" i="7"/>
  <c r="V24" i="7"/>
  <c r="V19" i="7"/>
  <c r="BX13" i="7"/>
  <c r="BX40" i="7"/>
  <c r="BX39" i="7"/>
  <c r="BX18" i="7"/>
  <c r="BX35" i="7"/>
  <c r="BX50" i="7"/>
  <c r="BX45" i="7"/>
  <c r="BX19" i="7"/>
  <c r="BX8" i="7"/>
  <c r="BX36" i="7"/>
  <c r="BY46" i="7"/>
  <c r="BY36" i="7"/>
  <c r="BY47" i="7"/>
  <c r="BY29" i="7"/>
  <c r="BY48" i="7"/>
  <c r="BY28" i="7"/>
  <c r="BY35" i="7"/>
  <c r="BY7" i="7"/>
  <c r="BY55" i="7"/>
  <c r="BY19" i="7"/>
  <c r="J56" i="7"/>
  <c r="CR56" i="7"/>
  <c r="J46" i="7"/>
  <c r="CR46" i="7"/>
  <c r="CT5" i="7"/>
  <c r="J41" i="7"/>
  <c r="CR41" i="7"/>
  <c r="J13" i="7"/>
  <c r="CR13" i="7"/>
  <c r="CT39" i="7"/>
  <c r="J35" i="7"/>
  <c r="CR35" i="7"/>
  <c r="CT49" i="7"/>
  <c r="CT36" i="7"/>
  <c r="CT24" i="7"/>
  <c r="J44" i="7"/>
  <c r="CR44" i="7"/>
  <c r="J14" i="7"/>
  <c r="CR14" i="7"/>
  <c r="CT6" i="7"/>
  <c r="CT29" i="7"/>
  <c r="CT20" i="7"/>
  <c r="J19" i="7"/>
  <c r="CR19" i="7"/>
  <c r="CT44" i="7"/>
  <c r="CT8" i="7"/>
  <c r="CT31" i="7"/>
  <c r="CT45" i="7"/>
  <c r="J5" i="7"/>
  <c r="CR5" i="7"/>
  <c r="J18" i="7"/>
  <c r="CR18" i="7"/>
  <c r="J45" i="7"/>
  <c r="CR45" i="7"/>
  <c r="J54" i="7"/>
  <c r="CR54" i="7"/>
  <c r="J11" i="7"/>
  <c r="CR11" i="7"/>
  <c r="J36" i="7"/>
  <c r="CR36" i="7"/>
  <c r="AI251" i="5"/>
  <c r="AI242" i="5"/>
  <c r="AI176" i="5"/>
  <c r="AH122" i="5"/>
  <c r="AH159" i="5"/>
  <c r="AH174" i="5"/>
  <c r="AH193" i="5"/>
  <c r="AH138" i="5"/>
  <c r="AI155" i="5"/>
  <c r="AH111" i="5"/>
  <c r="AH85" i="5"/>
  <c r="AZ13" i="7"/>
  <c r="AZ35" i="7"/>
  <c r="AZ24" i="7"/>
  <c r="AZ36" i="7"/>
  <c r="AZ46" i="7"/>
  <c r="AZ26" i="7"/>
  <c r="AZ31" i="7"/>
  <c r="AZ54" i="7"/>
  <c r="AZ33" i="7"/>
  <c r="BR11" i="7"/>
  <c r="BR35" i="7"/>
  <c r="BR51" i="7"/>
  <c r="BR41" i="7"/>
  <c r="BR37" i="7"/>
  <c r="BR15" i="7"/>
  <c r="BR12" i="7"/>
  <c r="BR6" i="7"/>
  <c r="BR52" i="7"/>
  <c r="AH30" i="7"/>
  <c r="AH42" i="7"/>
  <c r="AH36" i="7"/>
  <c r="AH16" i="7"/>
  <c r="AH27" i="7"/>
  <c r="AH43" i="7"/>
  <c r="AH29" i="7"/>
  <c r="AH22" i="7"/>
  <c r="AH31" i="7"/>
  <c r="AH50" i="7"/>
  <c r="AH89" i="5"/>
  <c r="AH163" i="5"/>
  <c r="AH246" i="5"/>
  <c r="AH227" i="5"/>
  <c r="CE34" i="7"/>
  <c r="BG23" i="7"/>
  <c r="CU5" i="7"/>
  <c r="CU19" i="7"/>
  <c r="K14" i="7"/>
  <c r="CS14" i="7"/>
  <c r="CW14" i="7" s="1"/>
  <c r="K52" i="7"/>
  <c r="CS52" i="7"/>
  <c r="CU43" i="7"/>
  <c r="K48" i="7"/>
  <c r="CS48" i="7"/>
  <c r="CW48" i="7" s="1"/>
  <c r="K16" i="7"/>
  <c r="CS16" i="7"/>
  <c r="CU28" i="7"/>
  <c r="CU35" i="7"/>
  <c r="CU23" i="7"/>
  <c r="K41" i="7"/>
  <c r="CS41" i="7"/>
  <c r="K44" i="7"/>
  <c r="CS44" i="7"/>
  <c r="K24" i="7"/>
  <c r="CS24" i="7"/>
  <c r="AB38" i="7"/>
  <c r="CD48" i="7"/>
  <c r="BL6" i="7"/>
  <c r="AO43" i="7"/>
  <c r="AI121" i="5"/>
  <c r="Y121" i="5"/>
  <c r="X121" i="5"/>
  <c r="Z121" i="5"/>
  <c r="AB121" i="5"/>
  <c r="AA121" i="5"/>
  <c r="AC121" i="5"/>
  <c r="AI137" i="5"/>
  <c r="Y137" i="5"/>
  <c r="X137" i="5"/>
  <c r="Z137" i="5"/>
  <c r="AA137" i="5"/>
  <c r="AC137" i="5"/>
  <c r="AB137" i="5"/>
  <c r="X47" i="5"/>
  <c r="AC47" i="5"/>
  <c r="Z47" i="5"/>
  <c r="Y47" i="5"/>
  <c r="AA47" i="5"/>
  <c r="AB47" i="5"/>
  <c r="AI47" i="5"/>
  <c r="AI116" i="5"/>
  <c r="Y116" i="5"/>
  <c r="X116" i="5"/>
  <c r="AC116" i="5"/>
  <c r="Z116" i="5"/>
  <c r="AB116" i="5"/>
  <c r="AE116" i="5" s="1"/>
  <c r="AA116" i="5"/>
  <c r="AI241" i="5"/>
  <c r="Y241" i="5"/>
  <c r="Z241" i="5"/>
  <c r="X241" i="5"/>
  <c r="AC241" i="5"/>
  <c r="AB241" i="5"/>
  <c r="AE241" i="5" s="1"/>
  <c r="AA241" i="5"/>
  <c r="AI84" i="5"/>
  <c r="Z84" i="5"/>
  <c r="Y84" i="5"/>
  <c r="AB84" i="5"/>
  <c r="X84" i="5"/>
  <c r="AA84" i="5"/>
  <c r="AC84" i="5"/>
  <c r="AI215" i="5"/>
  <c r="X215" i="5"/>
  <c r="Z215" i="5"/>
  <c r="AB215" i="5"/>
  <c r="Y215" i="5"/>
  <c r="AA215" i="5"/>
  <c r="AC215" i="5"/>
  <c r="AI69" i="5"/>
  <c r="AA69" i="5"/>
  <c r="AB69" i="5"/>
  <c r="X69" i="5"/>
  <c r="Y69" i="5"/>
  <c r="AC69" i="5"/>
  <c r="Z69" i="5"/>
  <c r="AC182" i="5"/>
  <c r="X182" i="5"/>
  <c r="Z182" i="5"/>
  <c r="Y182" i="5"/>
  <c r="AA182" i="5"/>
  <c r="AB182" i="5"/>
  <c r="AI39" i="5"/>
  <c r="AA39" i="5"/>
  <c r="Z39" i="5"/>
  <c r="X39" i="5"/>
  <c r="AC39" i="5"/>
  <c r="AB39" i="5"/>
  <c r="Y39" i="5"/>
  <c r="Z148" i="5"/>
  <c r="AC148" i="5"/>
  <c r="Y148" i="5"/>
  <c r="AB148" i="5"/>
  <c r="X148" i="5"/>
  <c r="AA148" i="5"/>
  <c r="Y243" i="5"/>
  <c r="X243" i="5"/>
  <c r="Z243" i="5"/>
  <c r="AA243" i="5"/>
  <c r="AC243" i="5"/>
  <c r="AB243" i="5"/>
  <c r="AI194" i="5"/>
  <c r="Z194" i="5"/>
  <c r="Y194" i="5"/>
  <c r="AA194" i="5"/>
  <c r="AB194" i="5"/>
  <c r="X194" i="5"/>
  <c r="AC194" i="5"/>
  <c r="X49" i="5"/>
  <c r="Y49" i="5"/>
  <c r="Z49" i="5"/>
  <c r="AA49" i="5"/>
  <c r="AC49" i="5"/>
  <c r="AB49" i="5"/>
  <c r="AE49" i="5" s="1"/>
  <c r="AI49" i="5"/>
  <c r="Y54" i="5"/>
  <c r="X54" i="5"/>
  <c r="Z54" i="5"/>
  <c r="AB54" i="5"/>
  <c r="AC54" i="5"/>
  <c r="AA54" i="5"/>
  <c r="AI54" i="5"/>
  <c r="AI44" i="5"/>
  <c r="Y44" i="5"/>
  <c r="AC44" i="5"/>
  <c r="AB44" i="5"/>
  <c r="AE44" i="5" s="1"/>
  <c r="X44" i="5"/>
  <c r="AA44" i="5"/>
  <c r="Z44" i="5"/>
  <c r="AC219" i="5"/>
  <c r="Z219" i="5"/>
  <c r="Y219" i="5"/>
  <c r="AB219" i="5"/>
  <c r="X219" i="5"/>
  <c r="AA219" i="5"/>
  <c r="AI87" i="5"/>
  <c r="Z87" i="5"/>
  <c r="AC87" i="5"/>
  <c r="Y87" i="5"/>
  <c r="AA87" i="5"/>
  <c r="AB87" i="5"/>
  <c r="X87" i="5"/>
  <c r="Z254" i="5"/>
  <c r="Y254" i="5"/>
  <c r="AB254" i="5"/>
  <c r="X254" i="5"/>
  <c r="AA254" i="5"/>
  <c r="AC254" i="5"/>
  <c r="AI171" i="5"/>
  <c r="Y171" i="5"/>
  <c r="AA171" i="5"/>
  <c r="X171" i="5"/>
  <c r="Z171" i="5"/>
  <c r="AC171" i="5"/>
  <c r="AB171" i="5"/>
  <c r="AI19" i="5"/>
  <c r="Z19" i="5"/>
  <c r="AC19" i="5"/>
  <c r="Y19" i="5"/>
  <c r="X19" i="5"/>
  <c r="AB19" i="5"/>
  <c r="AA19" i="5"/>
  <c r="AI230" i="5"/>
  <c r="Z230" i="5"/>
  <c r="Y230" i="5"/>
  <c r="X230" i="5"/>
  <c r="AC230" i="5"/>
  <c r="AB230" i="5"/>
  <c r="AA230" i="5"/>
  <c r="AI78" i="5"/>
  <c r="Y78" i="5"/>
  <c r="AA78" i="5"/>
  <c r="AB78" i="5"/>
  <c r="X78" i="5"/>
  <c r="AC78" i="5"/>
  <c r="Z78" i="5"/>
  <c r="AI157" i="5"/>
  <c r="Z157" i="5"/>
  <c r="AA157" i="5"/>
  <c r="X157" i="5"/>
  <c r="Y157" i="5"/>
  <c r="AC157" i="5"/>
  <c r="AB157" i="5"/>
  <c r="Z188" i="5"/>
  <c r="Y188" i="5"/>
  <c r="X188" i="5"/>
  <c r="AC188" i="5"/>
  <c r="AA188" i="5"/>
  <c r="AB188" i="5"/>
  <c r="AE188" i="5" s="1"/>
  <c r="AI160" i="5"/>
  <c r="Y160" i="5"/>
  <c r="X160" i="5"/>
  <c r="AB160" i="5"/>
  <c r="AA160" i="5"/>
  <c r="Z160" i="5"/>
  <c r="AC160" i="5"/>
  <c r="AD160" i="5" s="1"/>
  <c r="AI256" i="5"/>
  <c r="Y256" i="5"/>
  <c r="X256" i="5"/>
  <c r="AA256" i="5"/>
  <c r="Z256" i="5"/>
  <c r="AB256" i="5"/>
  <c r="AE256" i="5" s="1"/>
  <c r="AC256" i="5"/>
  <c r="AD256" i="5" s="1"/>
  <c r="Z149" i="5"/>
  <c r="X149" i="5"/>
  <c r="Y149" i="5"/>
  <c r="AA149" i="5"/>
  <c r="AB149" i="5"/>
  <c r="AC149" i="5"/>
  <c r="AD149" i="5" s="1"/>
  <c r="Y179" i="5"/>
  <c r="X179" i="5"/>
  <c r="AB179" i="5"/>
  <c r="Z179" i="5"/>
  <c r="AC179" i="5"/>
  <c r="AA179" i="5"/>
  <c r="BS39" i="7"/>
  <c r="BS11" i="7"/>
  <c r="BA35" i="7"/>
  <c r="CJ40" i="7"/>
  <c r="CJ14" i="7"/>
  <c r="CJ39" i="7"/>
  <c r="CJ32" i="7"/>
  <c r="AH96" i="5"/>
  <c r="AI172" i="5"/>
  <c r="D110" i="10" a="1"/>
  <c r="D110" i="10" s="1"/>
  <c r="D92" i="10" a="1"/>
  <c r="D92" i="10" s="1"/>
  <c r="D74" i="10" a="1"/>
  <c r="D74" i="10" s="1"/>
  <c r="AH145" i="5"/>
  <c r="AN56" i="7"/>
  <c r="CP13" i="7"/>
  <c r="CP37" i="7"/>
  <c r="Q44" i="7"/>
  <c r="Q7" i="7"/>
  <c r="Q43" i="7"/>
  <c r="Q51" i="7"/>
  <c r="AH212" i="5"/>
  <c r="AH247" i="5"/>
  <c r="AH160" i="5"/>
  <c r="AH178" i="5"/>
  <c r="AH195" i="5"/>
  <c r="AH190" i="5"/>
  <c r="AI205" i="5"/>
  <c r="AH203" i="5"/>
  <c r="AI149" i="5"/>
  <c r="AH243" i="5"/>
  <c r="BM12" i="7"/>
  <c r="AI45" i="7"/>
  <c r="AI6" i="7"/>
  <c r="AI15" i="7"/>
  <c r="AI49" i="7"/>
  <c r="AC20" i="7"/>
  <c r="AC18" i="7"/>
  <c r="V41" i="7"/>
  <c r="BX34" i="7"/>
  <c r="BX21" i="7"/>
  <c r="BY26" i="7"/>
  <c r="BY50" i="7"/>
  <c r="BY32" i="7"/>
  <c r="BY13" i="7"/>
  <c r="J53" i="7"/>
  <c r="CR53" i="7"/>
  <c r="CV53" i="7" s="1"/>
  <c r="J40" i="7"/>
  <c r="CR40" i="7"/>
  <c r="CT33" i="7"/>
  <c r="J8" i="7"/>
  <c r="CR8" i="7"/>
  <c r="J15" i="7"/>
  <c r="CR15" i="7"/>
  <c r="CT23" i="7"/>
  <c r="J24" i="7"/>
  <c r="CR24" i="7"/>
  <c r="CT38" i="7"/>
  <c r="J42" i="7"/>
  <c r="CT42" i="7"/>
  <c r="CT46" i="7"/>
  <c r="CR42" i="7"/>
  <c r="J39" i="7"/>
  <c r="CR39" i="7"/>
  <c r="CT26" i="7"/>
  <c r="CT21" i="7"/>
  <c r="CT52" i="7"/>
  <c r="CR48" i="7"/>
  <c r="CV48" i="7" s="1"/>
  <c r="J48" i="7"/>
  <c r="CT28" i="7"/>
  <c r="CT9" i="7"/>
  <c r="CT19" i="7"/>
  <c r="CT15" i="7"/>
  <c r="J12" i="7"/>
  <c r="CR12" i="7"/>
  <c r="J16" i="7"/>
  <c r="CR16" i="7"/>
  <c r="J22" i="7"/>
  <c r="CR22" i="7"/>
  <c r="J52" i="7"/>
  <c r="CR52" i="7"/>
  <c r="J43" i="7"/>
  <c r="CR43" i="7"/>
  <c r="J10" i="7"/>
  <c r="CR10" i="7"/>
  <c r="AH250" i="5"/>
  <c r="AH241" i="5"/>
  <c r="AH175" i="5"/>
  <c r="AI123" i="5"/>
  <c r="AH179" i="5"/>
  <c r="AH107" i="5"/>
  <c r="AH202" i="5"/>
  <c r="AH164" i="5"/>
  <c r="AI112" i="5"/>
  <c r="AZ38" i="7"/>
  <c r="AZ48" i="7"/>
  <c r="AZ43" i="7"/>
  <c r="AZ16" i="7"/>
  <c r="AZ8" i="7"/>
  <c r="BR55" i="7"/>
  <c r="BR26" i="7"/>
  <c r="AH49" i="7"/>
  <c r="AH45" i="7"/>
  <c r="AH35" i="7"/>
  <c r="AH12" i="7"/>
  <c r="AH90" i="5"/>
  <c r="AI90" i="5"/>
  <c r="AI164" i="5"/>
  <c r="AO32" i="7"/>
  <c r="AO40" i="7"/>
  <c r="AO38" i="7"/>
  <c r="AO54" i="7"/>
  <c r="AO15" i="7"/>
  <c r="AO39" i="7"/>
  <c r="AH118" i="5"/>
  <c r="AH95" i="5"/>
  <c r="AH207" i="5"/>
  <c r="AH81" i="5"/>
  <c r="AH183" i="5"/>
  <c r="AH198" i="5"/>
  <c r="AH231" i="5"/>
  <c r="AH82" i="5"/>
  <c r="AH84" i="5"/>
  <c r="AH124" i="5"/>
  <c r="AH200" i="5"/>
  <c r="AH150" i="5"/>
  <c r="AH191" i="5"/>
  <c r="AH121" i="5"/>
  <c r="AI186" i="5"/>
  <c r="AH153" i="5"/>
  <c r="AH109" i="5"/>
  <c r="AI233" i="5"/>
  <c r="AH197" i="5"/>
  <c r="Y14" i="5"/>
  <c r="Z14" i="5"/>
  <c r="AB14" i="5"/>
  <c r="X14" i="5"/>
  <c r="AC14" i="5"/>
  <c r="AA14" i="5"/>
  <c r="AI14" i="5"/>
  <c r="Z16" i="5"/>
  <c r="X16" i="5"/>
  <c r="AB16" i="5"/>
  <c r="AC16" i="5"/>
  <c r="Y16" i="5"/>
  <c r="AA16" i="5"/>
  <c r="AI16" i="5"/>
  <c r="AI120" i="5"/>
  <c r="Y120" i="5"/>
  <c r="X120" i="5"/>
  <c r="Z120" i="5"/>
  <c r="AB120" i="5"/>
  <c r="AA120" i="5"/>
  <c r="AC120" i="5"/>
  <c r="Z131" i="5"/>
  <c r="Y131" i="5"/>
  <c r="X131" i="5"/>
  <c r="AC131" i="5"/>
  <c r="AB131" i="5"/>
  <c r="AA131" i="5"/>
  <c r="X229" i="5"/>
  <c r="Z229" i="5"/>
  <c r="AB229" i="5"/>
  <c r="AA229" i="5"/>
  <c r="Y229" i="5"/>
  <c r="AC229" i="5"/>
  <c r="AI193" i="5"/>
  <c r="Z193" i="5"/>
  <c r="Y193" i="5"/>
  <c r="X193" i="5"/>
  <c r="AA193" i="5"/>
  <c r="AC193" i="5"/>
  <c r="AB193" i="5"/>
  <c r="AE193" i="5" s="1"/>
  <c r="AI56" i="5"/>
  <c r="X56" i="5"/>
  <c r="AC56" i="5"/>
  <c r="Z56" i="5"/>
  <c r="Y56" i="5"/>
  <c r="AA56" i="5"/>
  <c r="AB56" i="5"/>
  <c r="AI65" i="5"/>
  <c r="X65" i="5"/>
  <c r="Z65" i="5"/>
  <c r="Y65" i="5"/>
  <c r="AB65" i="5"/>
  <c r="AC65" i="5"/>
  <c r="AD65" i="5" s="1"/>
  <c r="AC129" i="5"/>
  <c r="AB129" i="5"/>
  <c r="Y129" i="5"/>
  <c r="Z129" i="5"/>
  <c r="X129" i="5"/>
  <c r="AA129" i="5"/>
  <c r="AI195" i="5"/>
  <c r="AC195" i="5"/>
  <c r="Z195" i="5"/>
  <c r="X195" i="5"/>
  <c r="Y195" i="5"/>
  <c r="AB195" i="5"/>
  <c r="AA195" i="5"/>
  <c r="AI64" i="5"/>
  <c r="Y64" i="5"/>
  <c r="Z64" i="5"/>
  <c r="AA64" i="5"/>
  <c r="AB64" i="5"/>
  <c r="X64" i="5"/>
  <c r="AC64" i="5"/>
  <c r="AI156" i="5"/>
  <c r="Y156" i="5"/>
  <c r="X156" i="5"/>
  <c r="AA156" i="5"/>
  <c r="AC156" i="5"/>
  <c r="Z156" i="5"/>
  <c r="AB156" i="5"/>
  <c r="X252" i="5"/>
  <c r="Z252" i="5"/>
  <c r="AB252" i="5"/>
  <c r="AA252" i="5"/>
  <c r="AC252" i="5"/>
  <c r="AD252" i="5" s="1"/>
  <c r="Y252" i="5"/>
  <c r="AI43" i="5"/>
  <c r="Y43" i="5"/>
  <c r="AA43" i="5"/>
  <c r="X43" i="5"/>
  <c r="AC43" i="5"/>
  <c r="AB43" i="5"/>
  <c r="AE43" i="5" s="1"/>
  <c r="Z43" i="5"/>
  <c r="AI151" i="5"/>
  <c r="Z151" i="5"/>
  <c r="Y151" i="5"/>
  <c r="X151" i="5"/>
  <c r="AB151" i="5"/>
  <c r="AA151" i="5"/>
  <c r="AC151" i="5"/>
  <c r="Y237" i="5"/>
  <c r="AC237" i="5"/>
  <c r="Z237" i="5"/>
  <c r="X237" i="5"/>
  <c r="AA237" i="5"/>
  <c r="AB237" i="5"/>
  <c r="Z259" i="5"/>
  <c r="AC259" i="5"/>
  <c r="Y259" i="5"/>
  <c r="X259" i="5"/>
  <c r="AA259" i="5"/>
  <c r="AB259" i="5"/>
  <c r="AI211" i="5"/>
  <c r="Y211" i="5"/>
  <c r="Z211" i="5"/>
  <c r="X211" i="5"/>
  <c r="AA211" i="5"/>
  <c r="AB211" i="5"/>
  <c r="AE211" i="5" s="1"/>
  <c r="AC211" i="5"/>
  <c r="AI66" i="5"/>
  <c r="Z66" i="5"/>
  <c r="X66" i="5"/>
  <c r="AB66" i="5"/>
  <c r="AC66" i="5"/>
  <c r="Y66" i="5"/>
  <c r="AA66" i="5"/>
  <c r="Y12" i="5"/>
  <c r="AC12" i="5"/>
  <c r="X12" i="5"/>
  <c r="Z12" i="5"/>
  <c r="AA12" i="5"/>
  <c r="AB12" i="5"/>
  <c r="AI12" i="5"/>
  <c r="AA200" i="5"/>
  <c r="Y200" i="5"/>
  <c r="X200" i="5"/>
  <c r="AC200" i="5"/>
  <c r="Z200" i="5"/>
  <c r="AB200" i="5"/>
  <c r="Y127" i="5"/>
  <c r="Z127" i="5"/>
  <c r="AB127" i="5"/>
  <c r="X127" i="5"/>
  <c r="AC127" i="5"/>
  <c r="AA127" i="5"/>
  <c r="AI178" i="5"/>
  <c r="X178" i="5"/>
  <c r="Z178" i="5"/>
  <c r="AC178" i="5"/>
  <c r="Y178" i="5"/>
  <c r="AA178" i="5"/>
  <c r="AB178" i="5"/>
  <c r="AI162" i="5"/>
  <c r="AC162" i="5"/>
  <c r="AB162" i="5"/>
  <c r="Z162" i="5"/>
  <c r="Y162" i="5"/>
  <c r="AA162" i="5"/>
  <c r="X162" i="5"/>
  <c r="X222" i="5"/>
  <c r="Z222" i="5"/>
  <c r="AB222" i="5"/>
  <c r="AC222" i="5"/>
  <c r="Y222" i="5"/>
  <c r="AA222" i="5"/>
  <c r="AI32" i="5"/>
  <c r="X32" i="5"/>
  <c r="Y32" i="5"/>
  <c r="AB32" i="5"/>
  <c r="AA32" i="5"/>
  <c r="AC32" i="5"/>
  <c r="AD32" i="5" s="1"/>
  <c r="Z32" i="5"/>
  <c r="AI102" i="5"/>
  <c r="Z102" i="5"/>
  <c r="AC102" i="5"/>
  <c r="X102" i="5"/>
  <c r="Y102" i="5"/>
  <c r="AB102" i="5"/>
  <c r="AA102" i="5"/>
  <c r="AI81" i="5"/>
  <c r="X81" i="5"/>
  <c r="Z81" i="5"/>
  <c r="AC81" i="5"/>
  <c r="AA81" i="5"/>
  <c r="AB81" i="5"/>
  <c r="Y81" i="5"/>
  <c r="AI59" i="5"/>
  <c r="Z59" i="5"/>
  <c r="X59" i="5"/>
  <c r="Y59" i="5"/>
  <c r="AB59" i="5"/>
  <c r="AA59" i="5"/>
  <c r="AC59" i="5"/>
  <c r="AD59" i="5" s="1"/>
  <c r="X110" i="5"/>
  <c r="Y110" i="5"/>
  <c r="Z110" i="5"/>
  <c r="AC110" i="5"/>
  <c r="AA110" i="5"/>
  <c r="AB110" i="5"/>
  <c r="AE110" i="5" s="1"/>
  <c r="Z159" i="5"/>
  <c r="AA159" i="5"/>
  <c r="X159" i="5"/>
  <c r="AB159" i="5"/>
  <c r="Y159" i="5"/>
  <c r="AI98" i="5"/>
  <c r="Z98" i="5"/>
  <c r="AA98" i="5"/>
  <c r="Y98" i="5"/>
  <c r="AB98" i="5"/>
  <c r="X98" i="5"/>
  <c r="AC98" i="5"/>
  <c r="AI220" i="5"/>
  <c r="Z220" i="5"/>
  <c r="Y220" i="5"/>
  <c r="X220" i="5"/>
  <c r="AC220" i="5"/>
  <c r="AB220" i="5"/>
  <c r="AA220" i="5"/>
  <c r="AI58" i="5"/>
  <c r="Z58" i="5"/>
  <c r="Y58" i="5"/>
  <c r="X58" i="5"/>
  <c r="AB58" i="5"/>
  <c r="AA58" i="5"/>
  <c r="AC58" i="5"/>
  <c r="Z190" i="5"/>
  <c r="AB190" i="5"/>
  <c r="AA190" i="5"/>
  <c r="Y190" i="5"/>
  <c r="X190" i="5"/>
  <c r="AC190" i="5"/>
  <c r="AI238" i="5"/>
  <c r="Z238" i="5"/>
  <c r="Y238" i="5"/>
  <c r="AC238" i="5"/>
  <c r="X238" i="5"/>
  <c r="AA238" i="5"/>
  <c r="AB238" i="5"/>
  <c r="X166" i="5"/>
  <c r="AB166" i="5"/>
  <c r="Z166" i="5"/>
  <c r="AC166" i="5"/>
  <c r="Y166" i="5"/>
  <c r="AA166" i="5"/>
  <c r="AI33" i="5"/>
  <c r="AA33" i="5"/>
  <c r="Y33" i="5"/>
  <c r="Z33" i="5"/>
  <c r="AB33" i="5"/>
  <c r="X33" i="5"/>
  <c r="AC33" i="5"/>
  <c r="Y94" i="5"/>
  <c r="AA94" i="5"/>
  <c r="AB94" i="5"/>
  <c r="X94" i="5"/>
  <c r="Z94" i="5"/>
  <c r="AC94" i="5"/>
  <c r="AI50" i="5"/>
  <c r="X50" i="5"/>
  <c r="AC50" i="5"/>
  <c r="Z50" i="5"/>
  <c r="Y50" i="5"/>
  <c r="AB50" i="5"/>
  <c r="AA50" i="5"/>
  <c r="AI34" i="5"/>
  <c r="Z34" i="5"/>
  <c r="AB34" i="5"/>
  <c r="Y34" i="5"/>
  <c r="X34" i="5"/>
  <c r="AA34" i="5"/>
  <c r="AC34" i="5"/>
  <c r="AI48" i="5"/>
  <c r="Y48" i="5"/>
  <c r="Z48" i="5"/>
  <c r="X48" i="5"/>
  <c r="AA48" i="5"/>
  <c r="AB48" i="5"/>
  <c r="AE48" i="5" s="1"/>
  <c r="AC48" i="5"/>
  <c r="AI37" i="5"/>
  <c r="Z37" i="5"/>
  <c r="AB37" i="5"/>
  <c r="X37" i="5"/>
  <c r="AC37" i="5"/>
  <c r="AA37" i="5"/>
  <c r="Y37" i="5"/>
  <c r="AI106" i="5"/>
  <c r="X106" i="5"/>
  <c r="Z106" i="5"/>
  <c r="Y106" i="5"/>
  <c r="AB106" i="5"/>
  <c r="AC106" i="5"/>
  <c r="AD106" i="5" s="1"/>
  <c r="AA106" i="5"/>
  <c r="AI85" i="5"/>
  <c r="Y85" i="5"/>
  <c r="Z85" i="5"/>
  <c r="AA85" i="5"/>
  <c r="X85" i="5"/>
  <c r="AB85" i="5"/>
  <c r="AE85" i="5" s="1"/>
  <c r="AC85" i="5"/>
  <c r="AI154" i="5"/>
  <c r="Y154" i="5"/>
  <c r="X154" i="5"/>
  <c r="Z154" i="5"/>
  <c r="AC154" i="5"/>
  <c r="AA154" i="5"/>
  <c r="AB154" i="5"/>
  <c r="AI261" i="5"/>
  <c r="X261" i="5"/>
  <c r="Z261" i="5"/>
  <c r="AB261" i="5"/>
  <c r="Y261" i="5"/>
  <c r="AA261" i="5"/>
  <c r="AC261" i="5"/>
  <c r="X177" i="5"/>
  <c r="Z177" i="5"/>
  <c r="AB177" i="5"/>
  <c r="AC177" i="5"/>
  <c r="Y177" i="5"/>
  <c r="AA177" i="5"/>
  <c r="AB212" i="5"/>
  <c r="Z212" i="5"/>
  <c r="Y212" i="5"/>
  <c r="X212" i="5"/>
  <c r="AA212" i="5"/>
  <c r="AC212" i="5"/>
  <c r="Y202" i="5"/>
  <c r="X202" i="5"/>
  <c r="AB202" i="5"/>
  <c r="Z202" i="5"/>
  <c r="AA202" i="5"/>
  <c r="AC202" i="5"/>
  <c r="AD202" i="5" s="1"/>
  <c r="AI250" i="5"/>
  <c r="X250" i="5"/>
  <c r="AB250" i="5"/>
  <c r="Z250" i="5"/>
  <c r="AA250" i="5"/>
  <c r="Y250" i="5"/>
  <c r="AC250" i="5"/>
  <c r="AI247" i="5"/>
  <c r="AA247" i="5"/>
  <c r="AB247" i="5"/>
  <c r="Z247" i="5"/>
  <c r="X247" i="5"/>
  <c r="AD247" i="5" s="1"/>
  <c r="Y247" i="5"/>
  <c r="AI217" i="5"/>
  <c r="X217" i="5"/>
  <c r="AB217" i="5"/>
  <c r="Z217" i="5"/>
  <c r="Y217" i="5"/>
  <c r="AA217" i="5"/>
  <c r="AC217" i="5"/>
  <c r="AC169" i="5"/>
  <c r="Y169" i="5"/>
  <c r="Z169" i="5"/>
  <c r="AA169" i="5"/>
  <c r="AB169" i="5"/>
  <c r="X169" i="5"/>
  <c r="AI13" i="5"/>
  <c r="Z13" i="5"/>
  <c r="AC13" i="5"/>
  <c r="AB13" i="5"/>
  <c r="Y13" i="5"/>
  <c r="AA13" i="5"/>
  <c r="X13" i="5"/>
  <c r="AI72" i="5"/>
  <c r="Y72" i="5"/>
  <c r="X72" i="5"/>
  <c r="Z72" i="5"/>
  <c r="AB72" i="5"/>
  <c r="AA72" i="5"/>
  <c r="AC72" i="5"/>
  <c r="AD72" i="5" s="1"/>
  <c r="AI210" i="5"/>
  <c r="X210" i="5"/>
  <c r="AB210" i="5"/>
  <c r="AC210" i="5"/>
  <c r="Z210" i="5"/>
  <c r="Y210" i="5"/>
  <c r="AA210" i="5"/>
  <c r="Y140" i="5"/>
  <c r="AE140" i="5" s="1"/>
  <c r="X140" i="5"/>
  <c r="Z140" i="5"/>
  <c r="AA140" i="5"/>
  <c r="AC140" i="5"/>
  <c r="Y67" i="5"/>
  <c r="AA67" i="5"/>
  <c r="Z67" i="5"/>
  <c r="X67" i="5"/>
  <c r="AB67" i="5"/>
  <c r="AE67" i="5" s="1"/>
  <c r="AC67" i="5"/>
  <c r="AI67" i="5"/>
  <c r="Z181" i="5"/>
  <c r="X181" i="5"/>
  <c r="AC181" i="5"/>
  <c r="Y181" i="5"/>
  <c r="AA181" i="5"/>
  <c r="AB181" i="5"/>
  <c r="AI30" i="5"/>
  <c r="X30" i="5"/>
  <c r="Z30" i="5"/>
  <c r="Y30" i="5"/>
  <c r="AA30" i="5"/>
  <c r="AC30" i="5"/>
  <c r="AD30" i="5" s="1"/>
  <c r="AB30" i="5"/>
  <c r="AI20" i="5"/>
  <c r="Z20" i="5"/>
  <c r="Y20" i="5"/>
  <c r="X20" i="5"/>
  <c r="AC20" i="5"/>
  <c r="AB20" i="5"/>
  <c r="AA20" i="5"/>
  <c r="Z152" i="5"/>
  <c r="Y152" i="5"/>
  <c r="X152" i="5"/>
  <c r="AC152" i="5"/>
  <c r="AB152" i="5"/>
  <c r="AA152" i="5"/>
  <c r="AB248" i="5"/>
  <c r="AA248" i="5"/>
  <c r="X248" i="5"/>
  <c r="Z248" i="5"/>
  <c r="Y248" i="5"/>
  <c r="AC248" i="5"/>
  <c r="Y224" i="5"/>
  <c r="AC224" i="5"/>
  <c r="X224" i="5"/>
  <c r="Z224" i="5"/>
  <c r="AB224" i="5"/>
  <c r="AE224" i="5" s="1"/>
  <c r="AA224" i="5"/>
  <c r="CK30" i="7"/>
  <c r="CK37" i="7"/>
  <c r="CK15" i="7"/>
  <c r="CK13" i="7"/>
  <c r="CK28" i="7"/>
  <c r="CK47" i="7"/>
  <c r="CK25" i="7"/>
  <c r="CK16" i="7"/>
  <c r="CK35" i="7"/>
  <c r="CK53" i="7"/>
  <c r="CK44" i="7"/>
  <c r="CK50" i="7"/>
  <c r="CK14" i="7"/>
  <c r="CK39" i="7"/>
  <c r="CK20" i="7"/>
  <c r="BS41" i="7"/>
  <c r="BS12" i="7"/>
  <c r="BS55" i="7"/>
  <c r="BS16" i="7"/>
  <c r="BS51" i="7"/>
  <c r="BS28" i="7"/>
  <c r="BS33" i="7"/>
  <c r="BS9" i="7"/>
  <c r="BS25" i="7"/>
  <c r="W42" i="7"/>
  <c r="W49" i="7"/>
  <c r="W38" i="7"/>
  <c r="W35" i="7"/>
  <c r="W31" i="7"/>
  <c r="W6" i="7"/>
  <c r="W55" i="7"/>
  <c r="W52" i="7"/>
  <c r="W29" i="7"/>
  <c r="W21" i="7"/>
  <c r="BA9" i="7"/>
  <c r="BA30" i="7"/>
  <c r="BA26" i="7"/>
  <c r="BA32" i="7"/>
  <c r="BA56" i="7"/>
  <c r="BA51" i="7"/>
  <c r="BA19" i="7"/>
  <c r="BA42" i="7"/>
  <c r="BA11" i="7"/>
  <c r="BA22" i="7"/>
  <c r="BA50" i="7"/>
  <c r="BA17" i="7"/>
  <c r="BA10" i="7"/>
  <c r="BA47" i="7"/>
  <c r="CJ16" i="7"/>
  <c r="CJ25" i="7"/>
  <c r="CJ47" i="7"/>
  <c r="CJ21" i="7"/>
  <c r="CJ18" i="7"/>
  <c r="CJ7" i="7"/>
  <c r="CJ55" i="7"/>
  <c r="CJ38" i="7"/>
  <c r="CJ43" i="7"/>
  <c r="BF23" i="7"/>
  <c r="BF48" i="7"/>
  <c r="BF43" i="7"/>
  <c r="BF28" i="7"/>
  <c r="BF18" i="7"/>
  <c r="BF7" i="7"/>
  <c r="BF11" i="7"/>
  <c r="BF8" i="7"/>
  <c r="BF30" i="7"/>
  <c r="BF34" i="7"/>
  <c r="BF42" i="7"/>
  <c r="AT34" i="7"/>
  <c r="AT5" i="7"/>
  <c r="AT6" i="7"/>
  <c r="AT25" i="7"/>
  <c r="AT30" i="7"/>
  <c r="AT13" i="7"/>
  <c r="AT43" i="7"/>
  <c r="AT8" i="7"/>
  <c r="AC159" i="5"/>
  <c r="E9" i="7"/>
  <c r="A7" i="10"/>
  <c r="AI146" i="5"/>
  <c r="AH260" i="5"/>
  <c r="AN19" i="7"/>
  <c r="AN13" i="7"/>
  <c r="AN11" i="7"/>
  <c r="AN49" i="7"/>
  <c r="AN5" i="7"/>
  <c r="AN55" i="7"/>
  <c r="AN36" i="7"/>
  <c r="AN34" i="7"/>
  <c r="CP5" i="7"/>
  <c r="CP19" i="7"/>
  <c r="CP24" i="7"/>
  <c r="CP53" i="7"/>
  <c r="CP11" i="7"/>
  <c r="CP54" i="7"/>
  <c r="CP36" i="7"/>
  <c r="CP29" i="7"/>
  <c r="CP22" i="7"/>
  <c r="CP39" i="7"/>
  <c r="CP14" i="7"/>
  <c r="Q19" i="7"/>
  <c r="Q41" i="7"/>
  <c r="Q52" i="7"/>
  <c r="Q16" i="7"/>
  <c r="Q21" i="7"/>
  <c r="Q26" i="7"/>
  <c r="Q35" i="7"/>
  <c r="Q11" i="7"/>
  <c r="Q46" i="7"/>
  <c r="AH157" i="5"/>
  <c r="AH113" i="5"/>
  <c r="AC236" i="5"/>
  <c r="AH222" i="5"/>
  <c r="AH240" i="5"/>
  <c r="AI179" i="5"/>
  <c r="AH259" i="5"/>
  <c r="AI191" i="5"/>
  <c r="AH204" i="5"/>
  <c r="AI185" i="5"/>
  <c r="AH102" i="5"/>
  <c r="AH101" i="5"/>
  <c r="AH142" i="5"/>
  <c r="AH97" i="5"/>
  <c r="BM10" i="7"/>
  <c r="BM53" i="7"/>
  <c r="BM54" i="7"/>
  <c r="BM19" i="7"/>
  <c r="BM45" i="7"/>
  <c r="BM30" i="7"/>
  <c r="BM44" i="7"/>
  <c r="BM9" i="7"/>
  <c r="BM24" i="7"/>
  <c r="BM14" i="7"/>
  <c r="AI35" i="7"/>
  <c r="AI8" i="7"/>
  <c r="AI14" i="7"/>
  <c r="AI25" i="7"/>
  <c r="AI36" i="7"/>
  <c r="AI56" i="7"/>
  <c r="AI51" i="7"/>
  <c r="AI22" i="7"/>
  <c r="AI28" i="7"/>
  <c r="AC5" i="7"/>
  <c r="AC9" i="7"/>
  <c r="AC33" i="7"/>
  <c r="AC38" i="7"/>
  <c r="AC46" i="7"/>
  <c r="AC27" i="7"/>
  <c r="AC31" i="7"/>
  <c r="AC6" i="7"/>
  <c r="AC28" i="7"/>
  <c r="AC32" i="7"/>
  <c r="V43" i="7"/>
  <c r="V32" i="7"/>
  <c r="V11" i="7"/>
  <c r="V14" i="7"/>
  <c r="V27" i="7"/>
  <c r="V36" i="7"/>
  <c r="V10" i="7"/>
  <c r="V56" i="7"/>
  <c r="V16" i="7"/>
  <c r="BX17" i="7"/>
  <c r="BX29" i="7"/>
  <c r="BX51" i="7"/>
  <c r="BX47" i="7"/>
  <c r="BX28" i="7"/>
  <c r="BX11" i="7"/>
  <c r="BX7" i="7"/>
  <c r="BX42" i="7"/>
  <c r="BX14" i="7"/>
  <c r="BX9" i="7"/>
  <c r="BX16" i="7"/>
  <c r="BY11" i="7"/>
  <c r="BY49" i="7"/>
  <c r="BY6" i="7"/>
  <c r="BY54" i="7"/>
  <c r="BY56" i="7"/>
  <c r="BY16" i="7"/>
  <c r="BY44" i="7"/>
  <c r="BY31" i="7"/>
  <c r="BY8" i="7"/>
  <c r="BY39" i="7"/>
  <c r="CT32" i="7"/>
  <c r="J7" i="7"/>
  <c r="CR7" i="7"/>
  <c r="CT16" i="7"/>
  <c r="CT54" i="7"/>
  <c r="J50" i="7"/>
  <c r="CR50" i="7"/>
  <c r="CR49" i="7"/>
  <c r="J49" i="7"/>
  <c r="CT14" i="7"/>
  <c r="CT7" i="7"/>
  <c r="CT40" i="7"/>
  <c r="CR25" i="7"/>
  <c r="CV25" i="7" s="1"/>
  <c r="J9" i="7"/>
  <c r="CR9" i="7"/>
  <c r="J38" i="7"/>
  <c r="CR38" i="7"/>
  <c r="CT37" i="7"/>
  <c r="CT18" i="7"/>
  <c r="CT30" i="7"/>
  <c r="CR21" i="7"/>
  <c r="J21" i="7"/>
  <c r="CT10" i="7"/>
  <c r="CT56" i="7"/>
  <c r="CT34" i="7"/>
  <c r="J17" i="7"/>
  <c r="CR17" i="7"/>
  <c r="CV17" i="7" s="1"/>
  <c r="J31" i="7"/>
  <c r="CR31" i="7"/>
  <c r="CV31" i="7" s="1"/>
  <c r="J29" i="7"/>
  <c r="CR29" i="7"/>
  <c r="CT22" i="7"/>
  <c r="J26" i="7"/>
  <c r="CR26" i="7"/>
  <c r="CV26" i="7" s="1"/>
  <c r="J27" i="7"/>
  <c r="CR27" i="7"/>
  <c r="CR55" i="7"/>
  <c r="AI257" i="5"/>
  <c r="AH237" i="5"/>
  <c r="AH108" i="5"/>
  <c r="AI159" i="5"/>
  <c r="AH238" i="5"/>
  <c r="AI108" i="5"/>
  <c r="AH253" i="5"/>
  <c r="AH106" i="5"/>
  <c r="AZ40" i="7"/>
  <c r="AZ10" i="7"/>
  <c r="AZ5" i="7"/>
  <c r="AZ29" i="7"/>
  <c r="AZ28" i="7"/>
  <c r="AZ11" i="7"/>
  <c r="AZ47" i="7"/>
  <c r="AZ23" i="7"/>
  <c r="AZ18" i="7"/>
  <c r="AZ30" i="7"/>
  <c r="AZ49" i="7"/>
  <c r="AZ34" i="7"/>
  <c r="BR18" i="7"/>
  <c r="BR48" i="7"/>
  <c r="BR13" i="7"/>
  <c r="BR28" i="7"/>
  <c r="BR43" i="7"/>
  <c r="BR44" i="7"/>
  <c r="BR24" i="7"/>
  <c r="BR45" i="7"/>
  <c r="BR5" i="7"/>
  <c r="BR50" i="7"/>
  <c r="BR29" i="7"/>
  <c r="AH19" i="7"/>
  <c r="AH47" i="7"/>
  <c r="AH17" i="7"/>
  <c r="AH54" i="7"/>
  <c r="AH10" i="7"/>
  <c r="AH28" i="7"/>
  <c r="AH51" i="7"/>
  <c r="AH46" i="7"/>
  <c r="AH8" i="7"/>
  <c r="AH26" i="7"/>
  <c r="AH24" i="7"/>
  <c r="AH7" i="7"/>
  <c r="AH9" i="7"/>
  <c r="AI219" i="5"/>
  <c r="CY5" i="7" l="1" a="1"/>
  <c r="AJ219" i="5"/>
  <c r="AJ220" i="5"/>
  <c r="CZ51" i="7" a="1"/>
  <c r="CZ51" i="7" s="1"/>
  <c r="CZ26" i="7" a="1"/>
  <c r="CZ26" i="7" s="1"/>
  <c r="CZ29" i="7" a="1"/>
  <c r="CZ29" i="7" s="1"/>
  <c r="CZ32" i="7" a="1"/>
  <c r="CZ32" i="7" s="1"/>
  <c r="CZ35" i="7" a="1"/>
  <c r="CZ35" i="7" s="1"/>
  <c r="CZ37" i="7" a="1"/>
  <c r="CZ37" i="7" s="1"/>
  <c r="CZ56" i="7" a="1"/>
  <c r="CZ56" i="7" s="1"/>
  <c r="CZ36" i="7" a="1"/>
  <c r="CZ36" i="7" s="1"/>
  <c r="CZ23" i="7" a="1"/>
  <c r="CZ23" i="7" s="1"/>
  <c r="CZ54" i="7" a="1"/>
  <c r="CZ54" i="7" s="1"/>
  <c r="CZ49" i="7" a="1"/>
  <c r="CZ49" i="7" s="1"/>
  <c r="CZ15" i="7" a="1"/>
  <c r="CZ15" i="7" s="1"/>
  <c r="CZ34" i="7" a="1"/>
  <c r="CZ34" i="7" s="1"/>
  <c r="CZ53" i="7" a="1"/>
  <c r="CZ53" i="7" s="1"/>
  <c r="CZ20" i="7" a="1"/>
  <c r="CZ20" i="7" s="1"/>
  <c r="CZ47" i="7" a="1"/>
  <c r="CZ47" i="7" s="1"/>
  <c r="CZ11" i="7" a="1"/>
  <c r="CZ11" i="7" s="1"/>
  <c r="CZ30" i="7" a="1"/>
  <c r="CZ30" i="7" s="1"/>
  <c r="CZ44" i="7" a="1"/>
  <c r="CZ44" i="7" s="1"/>
  <c r="CZ33" i="7" a="1"/>
  <c r="CZ33" i="7" s="1"/>
  <c r="CZ22" i="7" a="1"/>
  <c r="CZ22" i="7" s="1"/>
  <c r="CZ41" i="7" a="1"/>
  <c r="CZ41" i="7" s="1"/>
  <c r="CZ9" i="7" a="1"/>
  <c r="CZ9" i="7" s="1"/>
  <c r="CZ12" i="7" a="1"/>
  <c r="CZ12" i="7" s="1"/>
  <c r="CZ48" i="7" a="1"/>
  <c r="CZ48" i="7" s="1"/>
  <c r="CZ24" i="7" a="1"/>
  <c r="CZ24" i="7" s="1"/>
  <c r="CZ42" i="7" a="1"/>
  <c r="CZ42" i="7" s="1"/>
  <c r="CZ38" i="7" a="1"/>
  <c r="CZ38" i="7" s="1"/>
  <c r="CZ5" i="7" a="1"/>
  <c r="CZ5" i="7" s="1"/>
  <c r="CZ21" i="7" a="1"/>
  <c r="CZ21" i="7" s="1"/>
  <c r="CZ18" i="7" a="1"/>
  <c r="CZ18" i="7" s="1"/>
  <c r="CZ17" i="7" a="1"/>
  <c r="CZ17" i="7" s="1"/>
  <c r="CZ13" i="7" a="1"/>
  <c r="CZ13" i="7" s="1"/>
  <c r="CZ28" i="7" a="1"/>
  <c r="CZ28" i="7" s="1"/>
  <c r="CZ19" i="7" a="1"/>
  <c r="CZ19" i="7" s="1"/>
  <c r="CZ46" i="7" a="1"/>
  <c r="CZ46" i="7" s="1"/>
  <c r="CZ55" i="7" a="1"/>
  <c r="CZ55" i="7" s="1"/>
  <c r="CZ43" i="7" a="1"/>
  <c r="CZ43" i="7" s="1"/>
  <c r="AE238" i="5"/>
  <c r="AD49" i="5"/>
  <c r="CW13" i="7"/>
  <c r="AE200" i="5"/>
  <c r="AD21" i="5"/>
  <c r="CV9" i="7"/>
  <c r="CW16" i="7"/>
  <c r="CW39" i="7"/>
  <c r="CW42" i="7"/>
  <c r="CW7" i="7"/>
  <c r="CV50" i="7"/>
  <c r="CW8" i="7"/>
  <c r="CW44" i="7"/>
  <c r="CV35" i="7"/>
  <c r="CV12" i="7"/>
  <c r="CV41" i="7"/>
  <c r="AJ257" i="5"/>
  <c r="AD20" i="5"/>
  <c r="AD50" i="5"/>
  <c r="AE166" i="5"/>
  <c r="AJ238" i="5"/>
  <c r="AD220" i="5"/>
  <c r="AD127" i="5"/>
  <c r="AE12" i="5"/>
  <c r="AF43" i="5"/>
  <c r="AE156" i="5"/>
  <c r="AJ195" i="5"/>
  <c r="AE65" i="5"/>
  <c r="AJ181" i="5"/>
  <c r="AE205" i="5"/>
  <c r="AJ259" i="5"/>
  <c r="CW52" i="7"/>
  <c r="AD76" i="5"/>
  <c r="AE76" i="5"/>
  <c r="AE255" i="5"/>
  <c r="AE132" i="5"/>
  <c r="AE112" i="5"/>
  <c r="AD187" i="5"/>
  <c r="AD77" i="5"/>
  <c r="AE71" i="5"/>
  <c r="AE75" i="5"/>
  <c r="CV47" i="7"/>
  <c r="AD173" i="5"/>
  <c r="AE262" i="5"/>
  <c r="AE104" i="5"/>
  <c r="AE235" i="5"/>
  <c r="AE163" i="5"/>
  <c r="CV29" i="7"/>
  <c r="AE232" i="5"/>
  <c r="AE63" i="5"/>
  <c r="AD26" i="5"/>
  <c r="AD95" i="5"/>
  <c r="AD5" i="5"/>
  <c r="AE155" i="5"/>
  <c r="AE134" i="5"/>
  <c r="AE239" i="5"/>
  <c r="AD96" i="5"/>
  <c r="AE176" i="5"/>
  <c r="AD260" i="5"/>
  <c r="AE8" i="5"/>
  <c r="AE11" i="5"/>
  <c r="AD262" i="5"/>
  <c r="AE209" i="5"/>
  <c r="AD46" i="5"/>
  <c r="AE184" i="5"/>
  <c r="AD86" i="5"/>
  <c r="AE119" i="5"/>
  <c r="AD235" i="5"/>
  <c r="CW25" i="7"/>
  <c r="CW47" i="7"/>
  <c r="CW29" i="7"/>
  <c r="CW11" i="7"/>
  <c r="CW33" i="7"/>
  <c r="CW24" i="7"/>
  <c r="CW41" i="7"/>
  <c r="CW27" i="7"/>
  <c r="CW55" i="7"/>
  <c r="CV27" i="7"/>
  <c r="CV24" i="7"/>
  <c r="CW21" i="7"/>
  <c r="CW9" i="7"/>
  <c r="AD18" i="5"/>
  <c r="AE223" i="5"/>
  <c r="AD101" i="5"/>
  <c r="AE40" i="5"/>
  <c r="AD53" i="5"/>
  <c r="AD83" i="5"/>
  <c r="AD115" i="5"/>
  <c r="CW15" i="7"/>
  <c r="CV15" i="7"/>
  <c r="AJ240" i="5"/>
  <c r="CW5" i="7"/>
  <c r="AJ224" i="5"/>
  <c r="AE79" i="5"/>
  <c r="AE145" i="5"/>
  <c r="AE253" i="5"/>
  <c r="AE257" i="5"/>
  <c r="AE29" i="5"/>
  <c r="AE70" i="5"/>
  <c r="AD201" i="5"/>
  <c r="AD163" i="5"/>
  <c r="AD185" i="5"/>
  <c r="AE202" i="5"/>
  <c r="AE212" i="5"/>
  <c r="AD154" i="5"/>
  <c r="AE178" i="5"/>
  <c r="AD66" i="5"/>
  <c r="AD259" i="5"/>
  <c r="AE168" i="5"/>
  <c r="AD80" i="5"/>
  <c r="AD24" i="5"/>
  <c r="AE135" i="5"/>
  <c r="AD246" i="5"/>
  <c r="AD90" i="5"/>
  <c r="AD117" i="5"/>
  <c r="AD158" i="5"/>
  <c r="AE221" i="5"/>
  <c r="AJ146" i="5"/>
  <c r="AE181" i="5"/>
  <c r="AE177" i="5"/>
  <c r="AE157" i="5"/>
  <c r="AJ229" i="5"/>
  <c r="AD69" i="5"/>
  <c r="AD157" i="5"/>
  <c r="AD19" i="5"/>
  <c r="AD171" i="5"/>
  <c r="AE194" i="5"/>
  <c r="AD84" i="5"/>
  <c r="AJ116" i="5"/>
  <c r="AE137" i="5"/>
  <c r="AD218" i="5"/>
  <c r="AD105" i="5"/>
  <c r="AD22" i="5"/>
  <c r="AD263" i="5"/>
  <c r="AE109" i="5"/>
  <c r="AD23" i="5"/>
  <c r="AE216" i="5"/>
  <c r="AE161" i="5"/>
  <c r="AD251" i="5"/>
  <c r="AE169" i="5"/>
  <c r="AJ249" i="5"/>
  <c r="AJ69" i="5"/>
  <c r="AJ253" i="5"/>
  <c r="AD120" i="5"/>
  <c r="AJ90" i="5"/>
  <c r="AD169" i="5"/>
  <c r="AJ154" i="5"/>
  <c r="AJ48" i="5"/>
  <c r="AJ66" i="5"/>
  <c r="AE215" i="5"/>
  <c r="AE80" i="5"/>
  <c r="AE217" i="5"/>
  <c r="AE190" i="5"/>
  <c r="AD81" i="5"/>
  <c r="AE162" i="5"/>
  <c r="AD16" i="5"/>
  <c r="AE14" i="5"/>
  <c r="AJ123" i="5"/>
  <c r="CV46" i="7"/>
  <c r="AE227" i="5"/>
  <c r="AD109" i="5"/>
  <c r="AE146" i="5"/>
  <c r="AE82" i="5"/>
  <c r="AE204" i="5"/>
  <c r="AJ169" i="5"/>
  <c r="AD41" i="5"/>
  <c r="AE74" i="5"/>
  <c r="AF74" i="5" s="1"/>
  <c r="AJ212" i="5"/>
  <c r="AJ228" i="5"/>
  <c r="AJ131" i="5"/>
  <c r="AD242" i="5"/>
  <c r="AE191" i="5"/>
  <c r="AD224" i="5"/>
  <c r="AJ210" i="5"/>
  <c r="AJ81" i="5"/>
  <c r="AD12" i="5"/>
  <c r="AE259" i="5"/>
  <c r="AD151" i="5"/>
  <c r="AD179" i="5"/>
  <c r="AJ160" i="5"/>
  <c r="AJ77" i="5"/>
  <c r="AJ54" i="5"/>
  <c r="AJ158" i="5"/>
  <c r="AD210" i="5"/>
  <c r="AJ261" i="5"/>
  <c r="AD34" i="5"/>
  <c r="AE58" i="5"/>
  <c r="AF56" i="5" s="1"/>
  <c r="AE66" i="5"/>
  <c r="AE56" i="5"/>
  <c r="AD193" i="5"/>
  <c r="AJ120" i="5"/>
  <c r="CV49" i="7"/>
  <c r="AD248" i="5"/>
  <c r="AD152" i="5"/>
  <c r="AJ67" i="5"/>
  <c r="AE210" i="5"/>
  <c r="AF210" i="5" s="1"/>
  <c r="AD250" i="5"/>
  <c r="AE250" i="5"/>
  <c r="AE261" i="5"/>
  <c r="AE154" i="5"/>
  <c r="AE106" i="5"/>
  <c r="AJ106" i="5"/>
  <c r="AD48" i="5"/>
  <c r="AJ50" i="5"/>
  <c r="AD166" i="5"/>
  <c r="AD159" i="5"/>
  <c r="AE102" i="5"/>
  <c r="AF102" i="5" s="1"/>
  <c r="AJ32" i="5"/>
  <c r="AD162" i="5"/>
  <c r="AJ178" i="5"/>
  <c r="AE237" i="5"/>
  <c r="AD129" i="5"/>
  <c r="AE131" i="5"/>
  <c r="AJ227" i="5"/>
  <c r="CV39" i="7"/>
  <c r="AJ200" i="5"/>
  <c r="AE230" i="5"/>
  <c r="AF230" i="5" s="1"/>
  <c r="AD54" i="5"/>
  <c r="AD194" i="5"/>
  <c r="AD243" i="5"/>
  <c r="AE39" i="5"/>
  <c r="AD47" i="5"/>
  <c r="AJ137" i="5"/>
  <c r="AJ258" i="5"/>
  <c r="CV11" i="7"/>
  <c r="AJ167" i="5"/>
  <c r="AE105" i="5"/>
  <c r="AE24" i="5"/>
  <c r="AE263" i="5"/>
  <c r="AF263" i="5" s="1"/>
  <c r="AE26" i="5"/>
  <c r="AE92" i="5"/>
  <c r="AE95" i="5"/>
  <c r="AE153" i="5"/>
  <c r="AE208" i="5"/>
  <c r="AE164" i="5"/>
  <c r="AD45" i="5"/>
  <c r="AE41" i="5"/>
  <c r="AE236" i="5"/>
  <c r="AD74" i="5"/>
  <c r="AE167" i="5"/>
  <c r="AD221" i="5"/>
  <c r="AJ221" i="5"/>
  <c r="CW53" i="7"/>
  <c r="AE192" i="5"/>
  <c r="AD255" i="5"/>
  <c r="AE142" i="5"/>
  <c r="AD132" i="5"/>
  <c r="AD112" i="5"/>
  <c r="AE77" i="5"/>
  <c r="AE130" i="5"/>
  <c r="AD75" i="5"/>
  <c r="AD36" i="5"/>
  <c r="AE36" i="5"/>
  <c r="AD176" i="5"/>
  <c r="AD8" i="5"/>
  <c r="AE10" i="5"/>
  <c r="AD108" i="5"/>
  <c r="AD11" i="5"/>
  <c r="AD223" i="5"/>
  <c r="AD209" i="5"/>
  <c r="AE225" i="5"/>
  <c r="AD253" i="5"/>
  <c r="AE31" i="5"/>
  <c r="AD35" i="5"/>
  <c r="AD73" i="5"/>
  <c r="AD184" i="5"/>
  <c r="AE234" i="5"/>
  <c r="AF234" i="5" s="1"/>
  <c r="AD51" i="5"/>
  <c r="AD25" i="5"/>
  <c r="AE25" i="5"/>
  <c r="AD122" i="5"/>
  <c r="AD70" i="5"/>
  <c r="AE55" i="5"/>
  <c r="AF55" i="5" s="1"/>
  <c r="AD203" i="5"/>
  <c r="AE28" i="5"/>
  <c r="AE244" i="5"/>
  <c r="AD124" i="5"/>
  <c r="CW49" i="7"/>
  <c r="AE144" i="5"/>
  <c r="AF144" i="5" s="1"/>
  <c r="AD228" i="5"/>
  <c r="AE113" i="5"/>
  <c r="CV5" i="7"/>
  <c r="AD232" i="5"/>
  <c r="AJ22" i="5"/>
  <c r="AE258" i="5"/>
  <c r="AD135" i="5"/>
  <c r="AJ23" i="5"/>
  <c r="AE42" i="5"/>
  <c r="AF42" i="5" s="1"/>
  <c r="AE246" i="5"/>
  <c r="AE198" i="5"/>
  <c r="AD150" i="5"/>
  <c r="AE139" i="5"/>
  <c r="AE240" i="5"/>
  <c r="AD91" i="5"/>
  <c r="AJ91" i="5"/>
  <c r="AD170" i="5"/>
  <c r="AD199" i="5"/>
  <c r="AD245" i="5"/>
  <c r="AD216" i="5"/>
  <c r="AJ239" i="5"/>
  <c r="AJ166" i="5"/>
  <c r="CV32" i="7"/>
  <c r="AE128" i="5"/>
  <c r="AE172" i="5"/>
  <c r="AD27" i="5"/>
  <c r="AD13" i="5"/>
  <c r="AJ65" i="5"/>
  <c r="AE94" i="5"/>
  <c r="AE222" i="5"/>
  <c r="AE127" i="5"/>
  <c r="AD237" i="5"/>
  <c r="AE151" i="5"/>
  <c r="AJ151" i="5"/>
  <c r="AD156" i="5"/>
  <c r="AJ193" i="5"/>
  <c r="AE16" i="5"/>
  <c r="AF14" i="5" s="1"/>
  <c r="AJ153" i="5"/>
  <c r="AJ202" i="5"/>
  <c r="AJ194" i="5"/>
  <c r="AJ251" i="5"/>
  <c r="AJ198" i="5"/>
  <c r="AJ52" i="5"/>
  <c r="AJ37" i="5"/>
  <c r="AJ41" i="5"/>
  <c r="AD236" i="5"/>
  <c r="AJ76" i="5"/>
  <c r="AJ133" i="5"/>
  <c r="AJ71" i="5"/>
  <c r="AH74" i="5"/>
  <c r="AH72" i="5"/>
  <c r="AH69" i="5"/>
  <c r="AH73" i="5"/>
  <c r="AH71" i="5"/>
  <c r="AH70" i="5"/>
  <c r="AJ18" i="5"/>
  <c r="AJ61" i="5"/>
  <c r="AJ57" i="5"/>
  <c r="AJ68" i="5"/>
  <c r="AJ209" i="5"/>
  <c r="AJ101" i="5"/>
  <c r="AJ234" i="5"/>
  <c r="AJ97" i="5"/>
  <c r="AJ55" i="5"/>
  <c r="AJ28" i="5"/>
  <c r="AJ124" i="5"/>
  <c r="AJ126" i="5"/>
  <c r="AJ20" i="5"/>
  <c r="AJ27" i="5"/>
  <c r="CW38" i="7"/>
  <c r="AJ250" i="5"/>
  <c r="E10" i="7"/>
  <c r="A8" i="10"/>
  <c r="AJ13" i="5"/>
  <c r="AE229" i="5"/>
  <c r="AF229" i="5" s="1"/>
  <c r="AJ16" i="5"/>
  <c r="AJ186" i="5"/>
  <c r="AJ139" i="5"/>
  <c r="CV42" i="7"/>
  <c r="AJ149" i="5"/>
  <c r="AD87" i="5"/>
  <c r="AD219" i="5"/>
  <c r="AJ150" i="5"/>
  <c r="AJ138" i="5"/>
  <c r="AJ155" i="5"/>
  <c r="CV56" i="7"/>
  <c r="AJ105" i="5"/>
  <c r="AJ42" i="5"/>
  <c r="AD208" i="5"/>
  <c r="AD164" i="5"/>
  <c r="AJ115" i="5"/>
  <c r="AJ245" i="5"/>
  <c r="AJ246" i="5"/>
  <c r="CV37" i="7"/>
  <c r="AJ152" i="5"/>
  <c r="AJ108" i="5"/>
  <c r="CV7" i="7"/>
  <c r="AJ191" i="5"/>
  <c r="AE248" i="5"/>
  <c r="AE20" i="5"/>
  <c r="AJ30" i="5"/>
  <c r="AD181" i="5"/>
  <c r="AD67" i="5"/>
  <c r="AE72" i="5"/>
  <c r="AJ72" i="5"/>
  <c r="AE13" i="5"/>
  <c r="AJ217" i="5"/>
  <c r="AE247" i="5"/>
  <c r="AD212" i="5"/>
  <c r="AD177" i="5"/>
  <c r="AD261" i="5"/>
  <c r="AD85" i="5"/>
  <c r="AJ85" i="5"/>
  <c r="AE37" i="5"/>
  <c r="AJ34" i="5"/>
  <c r="AD94" i="5"/>
  <c r="AE33" i="5"/>
  <c r="AJ33" i="5"/>
  <c r="AD58" i="5"/>
  <c r="AE220" i="5"/>
  <c r="AE98" i="5"/>
  <c r="AJ98" i="5"/>
  <c r="AD110" i="5"/>
  <c r="AE81" i="5"/>
  <c r="AE32" i="5"/>
  <c r="AJ162" i="5"/>
  <c r="AD178" i="5"/>
  <c r="AD200" i="5"/>
  <c r="AJ10" i="5"/>
  <c r="AJ12" i="5"/>
  <c r="AJ211" i="5"/>
  <c r="AD64" i="5"/>
  <c r="AE195" i="5"/>
  <c r="AD195" i="5"/>
  <c r="AJ56" i="5"/>
  <c r="AD229" i="5"/>
  <c r="AD131" i="5"/>
  <c r="AD14" i="5"/>
  <c r="AJ233" i="5"/>
  <c r="AJ156" i="5"/>
  <c r="AJ164" i="5"/>
  <c r="CV10" i="7"/>
  <c r="CV52" i="7"/>
  <c r="CV16" i="7"/>
  <c r="CV40" i="7"/>
  <c r="AJ222" i="5"/>
  <c r="AJ172" i="5"/>
  <c r="AJ256" i="5"/>
  <c r="AE160" i="5"/>
  <c r="AJ157" i="5"/>
  <c r="AE78" i="5"/>
  <c r="AE19" i="5"/>
  <c r="AJ171" i="5"/>
  <c r="AE254" i="5"/>
  <c r="AE87" i="5"/>
  <c r="AE219" i="5"/>
  <c r="AD44" i="5"/>
  <c r="AE243" i="5"/>
  <c r="AE148" i="5"/>
  <c r="AD182" i="5"/>
  <c r="AD215" i="5"/>
  <c r="AD241" i="5"/>
  <c r="AJ241" i="5"/>
  <c r="AD116" i="5"/>
  <c r="AJ47" i="5"/>
  <c r="AD137" i="5"/>
  <c r="AE121" i="5"/>
  <c r="AJ121" i="5"/>
  <c r="CV36" i="7"/>
  <c r="CV54" i="7"/>
  <c r="CV18" i="7"/>
  <c r="CV44" i="7"/>
  <c r="CV13" i="7"/>
  <c r="AJ141" i="5"/>
  <c r="AJ134" i="5"/>
  <c r="AD168" i="5"/>
  <c r="AD197" i="5"/>
  <c r="AE89" i="5"/>
  <c r="AJ89" i="5"/>
  <c r="AE21" i="5"/>
  <c r="AF21" i="5" s="1"/>
  <c r="AJ24" i="5"/>
  <c r="AD63" i="5"/>
  <c r="AD227" i="5"/>
  <c r="AJ95" i="5"/>
  <c r="AE100" i="5"/>
  <c r="AD100" i="5"/>
  <c r="AJ208" i="5"/>
  <c r="AJ45" i="5"/>
  <c r="AE17" i="5"/>
  <c r="AE90" i="5"/>
  <c r="AE170" i="5"/>
  <c r="AJ117" i="5"/>
  <c r="AD207" i="5"/>
  <c r="AE207" i="5"/>
  <c r="AE125" i="5"/>
  <c r="AJ125" i="5"/>
  <c r="AD15" i="5"/>
  <c r="AJ15" i="5"/>
  <c r="AE183" i="5"/>
  <c r="AF183" i="5" s="1"/>
  <c r="AD183" i="5"/>
  <c r="AD118" i="5"/>
  <c r="AE213" i="5"/>
  <c r="AD213" i="5"/>
  <c r="AJ7" i="5"/>
  <c r="AJ127" i="5"/>
  <c r="AJ174" i="5"/>
  <c r="AE88" i="5"/>
  <c r="AD88" i="5"/>
  <c r="CW18" i="7"/>
  <c r="AJ236" i="5"/>
  <c r="AE189" i="5"/>
  <c r="AJ189" i="5"/>
  <c r="AD111" i="5"/>
  <c r="AE111" i="5"/>
  <c r="AF110" i="5" s="1"/>
  <c r="AJ6" i="5"/>
  <c r="AE226" i="5"/>
  <c r="AF226" i="5" s="1"/>
  <c r="AD226" i="5"/>
  <c r="AE196" i="5"/>
  <c r="AD136" i="5"/>
  <c r="AJ187" i="5"/>
  <c r="AE133" i="5"/>
  <c r="AD147" i="5"/>
  <c r="AJ147" i="5"/>
  <c r="AD71" i="5"/>
  <c r="AD99" i="5"/>
  <c r="AE9" i="5"/>
  <c r="CW50" i="7"/>
  <c r="CW43" i="7"/>
  <c r="CV51" i="7"/>
  <c r="CV34" i="7"/>
  <c r="CV23" i="7"/>
  <c r="AJ102" i="5"/>
  <c r="AJ103" i="5"/>
  <c r="AJ75" i="5"/>
  <c r="AJ36" i="5"/>
  <c r="AE61" i="5"/>
  <c r="AE173" i="5"/>
  <c r="AJ173" i="5"/>
  <c r="AJ143" i="5"/>
  <c r="AE214" i="5"/>
  <c r="AD145" i="5"/>
  <c r="AJ223" i="5"/>
  <c r="AD225" i="5"/>
  <c r="AE101" i="5"/>
  <c r="AD31" i="5"/>
  <c r="AE35" i="5"/>
  <c r="AD40" i="5"/>
  <c r="AJ73" i="5"/>
  <c r="AJ86" i="5"/>
  <c r="AE180" i="5"/>
  <c r="AD165" i="5"/>
  <c r="AJ165" i="5"/>
  <c r="AE97" i="5"/>
  <c r="AE206" i="5"/>
  <c r="AD38" i="5"/>
  <c r="AJ38" i="5"/>
  <c r="AD233" i="5"/>
  <c r="AJ201" i="5"/>
  <c r="AD191" i="5"/>
  <c r="AJ83" i="5"/>
  <c r="CW30" i="7"/>
  <c r="CW54" i="7"/>
  <c r="CW37" i="7"/>
  <c r="CW31" i="7"/>
  <c r="AE114" i="5"/>
  <c r="AE107" i="5"/>
  <c r="AJ107" i="5"/>
  <c r="AJ93" i="5"/>
  <c r="AD113" i="5"/>
  <c r="AJ232" i="5"/>
  <c r="AJ248" i="5"/>
  <c r="AF65" i="5"/>
  <c r="AJ237" i="5"/>
  <c r="CV8" i="7"/>
  <c r="AJ205" i="5"/>
  <c r="AJ177" i="5"/>
  <c r="AJ214" i="5"/>
  <c r="AE179" i="5"/>
  <c r="AE149" i="5"/>
  <c r="AJ19" i="5"/>
  <c r="AD254" i="5"/>
  <c r="AJ87" i="5"/>
  <c r="AE182" i="5"/>
  <c r="AF182" i="5" s="1"/>
  <c r="AE69" i="5"/>
  <c r="AJ84" i="5"/>
  <c r="AE47" i="5"/>
  <c r="AF47" i="5" s="1"/>
  <c r="AJ170" i="5"/>
  <c r="AJ176" i="5"/>
  <c r="CV19" i="7"/>
  <c r="AJ218" i="5"/>
  <c r="AD141" i="5"/>
  <c r="AE197" i="5"/>
  <c r="AJ197" i="5"/>
  <c r="AD89" i="5"/>
  <c r="AJ80" i="5"/>
  <c r="AD258" i="5"/>
  <c r="AJ26" i="5"/>
  <c r="AJ135" i="5"/>
  <c r="AE249" i="5"/>
  <c r="AD153" i="5"/>
  <c r="AD139" i="5"/>
  <c r="AD240" i="5"/>
  <c r="AD52" i="5"/>
  <c r="AJ142" i="5"/>
  <c r="CW19" i="7"/>
  <c r="AJ231" i="5"/>
  <c r="AJ255" i="5"/>
  <c r="AJ111" i="5"/>
  <c r="AJ226" i="5"/>
  <c r="AJ136" i="5"/>
  <c r="AJ175" i="5"/>
  <c r="AE99" i="5"/>
  <c r="AJ9" i="5"/>
  <c r="AJ122" i="5"/>
  <c r="AJ140" i="5"/>
  <c r="CV6" i="7"/>
  <c r="CV28" i="7"/>
  <c r="AE18" i="5"/>
  <c r="AE260" i="5"/>
  <c r="AE68" i="5"/>
  <c r="AF66" i="5" s="1"/>
  <c r="AJ11" i="5"/>
  <c r="AJ145" i="5"/>
  <c r="AJ35" i="5"/>
  <c r="AJ46" i="5"/>
  <c r="AJ184" i="5"/>
  <c r="AD234" i="5"/>
  <c r="AE186" i="5"/>
  <c r="AF184" i="5" s="1"/>
  <c r="AD119" i="5"/>
  <c r="AD257" i="5"/>
  <c r="AJ29" i="5"/>
  <c r="AE165" i="5"/>
  <c r="AD206" i="5"/>
  <c r="AJ206" i="5"/>
  <c r="AJ104" i="5"/>
  <c r="AD55" i="5"/>
  <c r="AE53" i="5"/>
  <c r="AJ53" i="5"/>
  <c r="AE115" i="5"/>
  <c r="AE124" i="5"/>
  <c r="CW17" i="7"/>
  <c r="CW28" i="7"/>
  <c r="AJ59" i="5"/>
  <c r="AJ60" i="5"/>
  <c r="AD144" i="5"/>
  <c r="AE126" i="5"/>
  <c r="AJ114" i="5"/>
  <c r="AJ113" i="5"/>
  <c r="AJ82" i="5"/>
  <c r="AJ254" i="5"/>
  <c r="AJ188" i="5"/>
  <c r="AD204" i="5"/>
  <c r="AJ5" i="5"/>
  <c r="AJ216" i="5"/>
  <c r="AJ183" i="5"/>
  <c r="AJ213" i="5"/>
  <c r="AJ163" i="5"/>
  <c r="AJ159" i="5"/>
  <c r="CV55" i="7"/>
  <c r="CV21" i="7"/>
  <c r="CV38" i="7"/>
  <c r="AJ185" i="5"/>
  <c r="AJ179" i="5"/>
  <c r="E110" i="10" a="1"/>
  <c r="E110" i="10" s="1"/>
  <c r="E74" i="10" a="1"/>
  <c r="E74" i="10" s="1"/>
  <c r="E92" i="10" a="1"/>
  <c r="E92" i="10" s="1"/>
  <c r="AE152" i="5"/>
  <c r="AE30" i="5"/>
  <c r="AD140" i="5"/>
  <c r="AD217" i="5"/>
  <c r="AJ247" i="5"/>
  <c r="AD37" i="5"/>
  <c r="AE34" i="5"/>
  <c r="AE50" i="5"/>
  <c r="AF50" i="5" s="1"/>
  <c r="AD33" i="5"/>
  <c r="AD238" i="5"/>
  <c r="AD190" i="5"/>
  <c r="AJ58" i="5"/>
  <c r="AD98" i="5"/>
  <c r="AE159" i="5"/>
  <c r="AE59" i="5"/>
  <c r="AD102" i="5"/>
  <c r="AD222" i="5"/>
  <c r="AD211" i="5"/>
  <c r="AD43" i="5"/>
  <c r="AJ43" i="5"/>
  <c r="AE252" i="5"/>
  <c r="AE64" i="5"/>
  <c r="AJ64" i="5"/>
  <c r="AE129" i="5"/>
  <c r="AF129" i="5" s="1"/>
  <c r="AD56" i="5"/>
  <c r="AE120" i="5"/>
  <c r="AJ14" i="5"/>
  <c r="AJ252" i="5"/>
  <c r="AJ118" i="5"/>
  <c r="AJ112" i="5"/>
  <c r="CV43" i="7"/>
  <c r="CV22" i="7"/>
  <c r="AD188" i="5"/>
  <c r="AD78" i="5"/>
  <c r="AD230" i="5"/>
  <c r="AJ230" i="5"/>
  <c r="AE171" i="5"/>
  <c r="AJ44" i="5"/>
  <c r="AE54" i="5"/>
  <c r="AJ49" i="5"/>
  <c r="AD148" i="5"/>
  <c r="AD39" i="5"/>
  <c r="AJ39" i="5"/>
  <c r="AJ215" i="5"/>
  <c r="AE84" i="5"/>
  <c r="AD121" i="5"/>
  <c r="AJ110" i="5"/>
  <c r="AJ182" i="5"/>
  <c r="AJ242" i="5"/>
  <c r="CV45" i="7"/>
  <c r="CY5" i="7"/>
  <c r="CY55" i="7"/>
  <c r="CY16" i="7"/>
  <c r="DA16" i="7" s="1"/>
  <c r="CY15" i="7"/>
  <c r="DA15" i="7" s="1"/>
  <c r="CY39" i="7"/>
  <c r="DA39" i="7" s="1"/>
  <c r="CY50" i="7"/>
  <c r="DA50" i="7" s="1"/>
  <c r="CY32" i="7"/>
  <c r="DA32" i="7" s="1"/>
  <c r="CY48" i="7"/>
  <c r="CY19" i="7"/>
  <c r="DA19" i="7" s="1"/>
  <c r="CY44" i="7"/>
  <c r="DA44" i="7" s="1"/>
  <c r="CY54" i="7"/>
  <c r="DA54" i="7" s="1"/>
  <c r="CY23" i="7"/>
  <c r="CY6" i="7"/>
  <c r="DA6" i="7" s="1"/>
  <c r="CY33" i="7"/>
  <c r="DA33" i="7" s="1"/>
  <c r="CY40" i="7"/>
  <c r="DA40" i="7" s="1"/>
  <c r="CY9" i="7"/>
  <c r="DA9" i="7" s="1"/>
  <c r="CY24" i="7"/>
  <c r="DA24" i="7" s="1"/>
  <c r="CY43" i="7"/>
  <c r="CY13" i="7"/>
  <c r="CY7" i="7"/>
  <c r="DA7" i="7" s="1"/>
  <c r="CY18" i="7"/>
  <c r="DA18" i="7" s="1"/>
  <c r="CY28" i="7"/>
  <c r="CY34" i="7"/>
  <c r="CY36" i="7"/>
  <c r="DA36" i="7" s="1"/>
  <c r="CY42" i="7"/>
  <c r="DA42" i="7" s="1"/>
  <c r="CY38" i="7"/>
  <c r="CY17" i="7"/>
  <c r="CY49" i="7"/>
  <c r="DA49" i="7" s="1"/>
  <c r="CY21" i="7"/>
  <c r="DA21" i="7" s="1"/>
  <c r="CY27" i="7"/>
  <c r="DA27" i="7" s="1"/>
  <c r="CY46" i="7"/>
  <c r="CY26" i="7"/>
  <c r="DA26" i="7" s="1"/>
  <c r="CY51" i="7"/>
  <c r="DA51" i="7" s="1"/>
  <c r="CY8" i="7"/>
  <c r="DA8" i="7" s="1"/>
  <c r="CY52" i="7"/>
  <c r="DA52" i="7" s="1"/>
  <c r="CY25" i="7"/>
  <c r="DA25" i="7" s="1"/>
  <c r="CY11" i="7"/>
  <c r="DA11" i="7" s="1"/>
  <c r="CY30" i="7"/>
  <c r="DA30" i="7" s="1"/>
  <c r="CY45" i="7"/>
  <c r="DA45" i="7" s="1"/>
  <c r="CY29" i="7"/>
  <c r="DA29" i="7" s="1"/>
  <c r="CY53" i="7"/>
  <c r="DA53" i="7" s="1"/>
  <c r="CY14" i="7"/>
  <c r="DA14" i="7" s="1"/>
  <c r="CY37" i="7"/>
  <c r="DA37" i="7" s="1"/>
  <c r="CY22" i="7"/>
  <c r="CY31" i="7"/>
  <c r="DA31" i="7" s="1"/>
  <c r="CY35" i="7"/>
  <c r="CY12" i="7"/>
  <c r="DA12" i="7" s="1"/>
  <c r="CY10" i="7"/>
  <c r="DA10" i="7" s="1"/>
  <c r="CY56" i="7"/>
  <c r="DA56" i="7" s="1"/>
  <c r="CY41" i="7"/>
  <c r="DA41" i="7" s="1"/>
  <c r="CY20" i="7"/>
  <c r="DA20" i="7" s="1"/>
  <c r="CY47" i="7"/>
  <c r="DA47" i="7" s="1"/>
  <c r="CV14" i="7"/>
  <c r="AJ235" i="5"/>
  <c r="AJ168" i="5"/>
  <c r="AJ4" i="5"/>
  <c r="AE141" i="5"/>
  <c r="AJ21" i="5"/>
  <c r="AJ63" i="5"/>
  <c r="AJ109" i="5"/>
  <c r="AD92" i="5"/>
  <c r="AD249" i="5"/>
  <c r="AJ100" i="5"/>
  <c r="AD82" i="5"/>
  <c r="AJ204" i="5"/>
  <c r="AE5" i="5"/>
  <c r="AE91" i="5"/>
  <c r="AJ17" i="5"/>
  <c r="AE117" i="5"/>
  <c r="AJ207" i="5"/>
  <c r="AD134" i="5"/>
  <c r="AD125" i="5"/>
  <c r="AE245" i="5"/>
  <c r="AJ74" i="5"/>
  <c r="AE118" i="5"/>
  <c r="AE158" i="5"/>
  <c r="AJ161" i="5"/>
  <c r="AD7" i="5"/>
  <c r="AE7" i="5"/>
  <c r="AE96" i="5"/>
  <c r="AJ129" i="5"/>
  <c r="CW35" i="7"/>
  <c r="CW34" i="7"/>
  <c r="CW32" i="7"/>
  <c r="AE174" i="5"/>
  <c r="AF174" i="5" s="1"/>
  <c r="AJ88" i="5"/>
  <c r="CW12" i="7"/>
  <c r="CW6" i="7"/>
  <c r="AJ190" i="5"/>
  <c r="AD189" i="5"/>
  <c r="AD192" i="5"/>
  <c r="AJ192" i="5"/>
  <c r="AD142" i="5"/>
  <c r="AJ132" i="5"/>
  <c r="AE242" i="5"/>
  <c r="AD196" i="5"/>
  <c r="AJ196" i="5"/>
  <c r="AE187" i="5"/>
  <c r="AD133" i="5"/>
  <c r="AE147" i="5"/>
  <c r="AD130" i="5"/>
  <c r="AJ130" i="5"/>
  <c r="AD175" i="5"/>
  <c r="AJ99" i="5"/>
  <c r="AD9" i="5"/>
  <c r="AJ119" i="5"/>
  <c r="AJ199" i="5"/>
  <c r="CW20" i="7"/>
  <c r="CW23" i="7"/>
  <c r="CV30" i="7"/>
  <c r="CV20" i="7"/>
  <c r="CV33" i="7"/>
  <c r="AJ260" i="5"/>
  <c r="AJ78" i="5"/>
  <c r="AJ79" i="5"/>
  <c r="AD57" i="5"/>
  <c r="AE143" i="5"/>
  <c r="AD143" i="5"/>
  <c r="AJ8" i="5"/>
  <c r="AE108" i="5"/>
  <c r="AD214" i="5"/>
  <c r="AJ225" i="5"/>
  <c r="AJ31" i="5"/>
  <c r="AJ40" i="5"/>
  <c r="AE46" i="5"/>
  <c r="AE73" i="5"/>
  <c r="AE86" i="5"/>
  <c r="AD186" i="5"/>
  <c r="AE138" i="5"/>
  <c r="AD138" i="5"/>
  <c r="AD180" i="5"/>
  <c r="AJ180" i="5"/>
  <c r="AJ51" i="5"/>
  <c r="AD29" i="5"/>
  <c r="AD97" i="5"/>
  <c r="AJ25" i="5"/>
  <c r="AF38" i="5"/>
  <c r="AE122" i="5"/>
  <c r="AJ62" i="5"/>
  <c r="AJ70" i="5"/>
  <c r="AE203" i="5"/>
  <c r="AJ203" i="5"/>
  <c r="AE233" i="5"/>
  <c r="AE201" i="5"/>
  <c r="AD28" i="5"/>
  <c r="AD244" i="5"/>
  <c r="AJ244" i="5"/>
  <c r="AE62" i="5"/>
  <c r="AE123" i="5"/>
  <c r="AE83" i="5"/>
  <c r="CW36" i="7"/>
  <c r="AJ92" i="5"/>
  <c r="CW10" i="7"/>
  <c r="CW26" i="7"/>
  <c r="CW45" i="7"/>
  <c r="AJ144" i="5"/>
  <c r="AD128" i="5"/>
  <c r="AJ128" i="5"/>
  <c r="AD114" i="5"/>
  <c r="AD107" i="5"/>
  <c r="AE27" i="5"/>
  <c r="AD205" i="5"/>
  <c r="AJ96" i="5"/>
  <c r="AJ243" i="5"/>
  <c r="AJ94" i="5"/>
  <c r="AJ148" i="5"/>
  <c r="AF78" i="5" l="1"/>
  <c r="AF206" i="5"/>
  <c r="DA5" i="7"/>
  <c r="DA28" i="7"/>
  <c r="DA43" i="7"/>
  <c r="AF149" i="5"/>
  <c r="AF154" i="5"/>
  <c r="AF108" i="5"/>
  <c r="DA22" i="7"/>
  <c r="DA23" i="7"/>
  <c r="DA46" i="7"/>
  <c r="DA34" i="7"/>
  <c r="DA35" i="7"/>
  <c r="DA38" i="7"/>
  <c r="DA55" i="7"/>
  <c r="AF159" i="5"/>
  <c r="AF99" i="5"/>
  <c r="AF197" i="5"/>
  <c r="AF69" i="5"/>
  <c r="AF101" i="5"/>
  <c r="AF10" i="5"/>
  <c r="AF167" i="5"/>
  <c r="AF175" i="5"/>
  <c r="AF147" i="5"/>
  <c r="DA48" i="7"/>
  <c r="DA17" i="7"/>
  <c r="DA13" i="7"/>
  <c r="AF75" i="5"/>
  <c r="AF155" i="5"/>
  <c r="AF80" i="5"/>
  <c r="AF18" i="5"/>
  <c r="AF207" i="5"/>
  <c r="AF254" i="5"/>
  <c r="AF198" i="5"/>
  <c r="AF225" i="5"/>
  <c r="AF86" i="5"/>
  <c r="AF73" i="5"/>
  <c r="AF187" i="5"/>
  <c r="AF160" i="5"/>
  <c r="AF193" i="5"/>
  <c r="AF119" i="5"/>
  <c r="AF83" i="5"/>
  <c r="AF46" i="5"/>
  <c r="AF52" i="5"/>
  <c r="AF62" i="5"/>
  <c r="AF31" i="5"/>
  <c r="AF192" i="5"/>
  <c r="AF217" i="5"/>
  <c r="AF134" i="5"/>
  <c r="AF6" i="5"/>
  <c r="AF11" i="5"/>
  <c r="AF252" i="5"/>
  <c r="AF70" i="5"/>
  <c r="AF237" i="5"/>
  <c r="AF242" i="5"/>
  <c r="AF7" i="5"/>
  <c r="AF208" i="5"/>
  <c r="AF209" i="5"/>
  <c r="AF235" i="5"/>
  <c r="AF135" i="5"/>
  <c r="AF222" i="5"/>
  <c r="AF161" i="5"/>
  <c r="AF165" i="5"/>
  <c r="AF176" i="5"/>
  <c r="AF133" i="5"/>
  <c r="AF239" i="5"/>
  <c r="AF223" i="5"/>
  <c r="AF216" i="5"/>
  <c r="AF255" i="5"/>
  <c r="AF23" i="5"/>
  <c r="AF191" i="5"/>
  <c r="AF221" i="5"/>
  <c r="AF104" i="5"/>
  <c r="AF12" i="5"/>
  <c r="AF22" i="5"/>
  <c r="AF171" i="5"/>
  <c r="AF59" i="5"/>
  <c r="AF132" i="5"/>
  <c r="AF109" i="5"/>
  <c r="AF178" i="5"/>
  <c r="AF164" i="5"/>
  <c r="AF58" i="5"/>
  <c r="AF138" i="5"/>
  <c r="AF64" i="5"/>
  <c r="AF190" i="5"/>
  <c r="AF152" i="5"/>
  <c r="AF205" i="5"/>
  <c r="AF9" i="5"/>
  <c r="AF93" i="5"/>
  <c r="AF153" i="5"/>
  <c r="AF27" i="5"/>
  <c r="AF123" i="5"/>
  <c r="AF203" i="5"/>
  <c r="AF143" i="5"/>
  <c r="AF260" i="5"/>
  <c r="AF106" i="5"/>
  <c r="AF214" i="5"/>
  <c r="AF219" i="5"/>
  <c r="AF220" i="5"/>
  <c r="AF5" i="5"/>
  <c r="AF126" i="5"/>
  <c r="AF103" i="5"/>
  <c r="AF180" i="5"/>
  <c r="AF256" i="5"/>
  <c r="AF112" i="5"/>
  <c r="AF36" i="5"/>
  <c r="AF40" i="5"/>
  <c r="AF130" i="5"/>
  <c r="AF233" i="5"/>
  <c r="AF236" i="5"/>
  <c r="AF91" i="5"/>
  <c r="AF13" i="5"/>
  <c r="AF166" i="5"/>
  <c r="AF215" i="5"/>
  <c r="AF34" i="5"/>
  <c r="AF224" i="5"/>
  <c r="AF249" i="5"/>
  <c r="AF35" i="5"/>
  <c r="AF189" i="5"/>
  <c r="AF246" i="5"/>
  <c r="AF257" i="5"/>
  <c r="AF24" i="5"/>
  <c r="AF117" i="5"/>
  <c r="AF96" i="5"/>
  <c r="AF158" i="5"/>
  <c r="AF41" i="5"/>
  <c r="AF105" i="5"/>
  <c r="AF150" i="5"/>
  <c r="AF76" i="5"/>
  <c r="AF227" i="5"/>
  <c r="AF8" i="5"/>
  <c r="AF111" i="5"/>
  <c r="AF39" i="5"/>
  <c r="AF238" i="5"/>
  <c r="AF201" i="5"/>
  <c r="AF92" i="5"/>
  <c r="AF245" i="5"/>
  <c r="AF141" i="5"/>
  <c r="AF54" i="5"/>
  <c r="AF30" i="5"/>
  <c r="AF228" i="5"/>
  <c r="AF204" i="5"/>
  <c r="AF37" i="5"/>
  <c r="AF262" i="5"/>
  <c r="AF261" i="5"/>
  <c r="AF162" i="5"/>
  <c r="AF118" i="5"/>
  <c r="AF95" i="5"/>
  <c r="AF116" i="5"/>
  <c r="AF140" i="5"/>
  <c r="AF115" i="5"/>
  <c r="AF28" i="5"/>
  <c r="AF25" i="5"/>
  <c r="AF68" i="5"/>
  <c r="AF179" i="5"/>
  <c r="AF156" i="5"/>
  <c r="AF114" i="5"/>
  <c r="AF173" i="5"/>
  <c r="AF88" i="5"/>
  <c r="AF125" i="5"/>
  <c r="AF170" i="5"/>
  <c r="AF19" i="5"/>
  <c r="AF195" i="5"/>
  <c r="AF32" i="5"/>
  <c r="AF98" i="5"/>
  <c r="AF33" i="5"/>
  <c r="AF63" i="5"/>
  <c r="AF194" i="5"/>
  <c r="AF177" i="5"/>
  <c r="AF29" i="5"/>
  <c r="AF77" i="5"/>
  <c r="AF139" i="5"/>
  <c r="AF258" i="5"/>
  <c r="AF241" i="5"/>
  <c r="AF26" i="5"/>
  <c r="AF84" i="5"/>
  <c r="AF157" i="5"/>
  <c r="AF200" i="5"/>
  <c r="AF185" i="5"/>
  <c r="AF186" i="5"/>
  <c r="AF172" i="5"/>
  <c r="AF128" i="5"/>
  <c r="AF61" i="5"/>
  <c r="AF196" i="5"/>
  <c r="AF213" i="5"/>
  <c r="AF90" i="5"/>
  <c r="AF121" i="5"/>
  <c r="AF148" i="5"/>
  <c r="AF87" i="5"/>
  <c r="AF81" i="5"/>
  <c r="AF231" i="5"/>
  <c r="F92" i="10" a="1"/>
  <c r="F92" i="10" s="1"/>
  <c r="F74" i="10" a="1"/>
  <c r="F74" i="10" s="1"/>
  <c r="F110" i="10" a="1"/>
  <c r="F110" i="10" s="1"/>
  <c r="AF113" i="5"/>
  <c r="AF251" i="5"/>
  <c r="AF163" i="5"/>
  <c r="AF145" i="5"/>
  <c r="AF79" i="5"/>
  <c r="AF168" i="5"/>
  <c r="AF94" i="5"/>
  <c r="AF202" i="5"/>
  <c r="AF120" i="5"/>
  <c r="AF82" i="5"/>
  <c r="AF53" i="5"/>
  <c r="AF97" i="5"/>
  <c r="AF57" i="5"/>
  <c r="AF17" i="5"/>
  <c r="AF100" i="5"/>
  <c r="AF89" i="5"/>
  <c r="AF243" i="5"/>
  <c r="AF247" i="5"/>
  <c r="AF72" i="5"/>
  <c r="AF20" i="5"/>
  <c r="AF232" i="5"/>
  <c r="AF85" i="5"/>
  <c r="E11" i="7"/>
  <c r="A9" i="10"/>
  <c r="AF169" i="5"/>
  <c r="AF51" i="5"/>
  <c r="AF253" i="5"/>
  <c r="AF136" i="5"/>
  <c r="AF218" i="5"/>
  <c r="AF49" i="5"/>
  <c r="AF16" i="5"/>
  <c r="AF211" i="5"/>
  <c r="AF199" i="5"/>
  <c r="AF122" i="5"/>
  <c r="AF124" i="5"/>
  <c r="AF244" i="5"/>
  <c r="AF71" i="5"/>
  <c r="AF45" i="5"/>
  <c r="AF146" i="5"/>
  <c r="AF4" i="5"/>
  <c r="AF212" i="5"/>
  <c r="AF107" i="5"/>
  <c r="AF188" i="5"/>
  <c r="AF48" i="5"/>
  <c r="AF248" i="5"/>
  <c r="AF240" i="5"/>
  <c r="AF137" i="5"/>
  <c r="AF259" i="5"/>
  <c r="AF181" i="5"/>
  <c r="AF60" i="5"/>
  <c r="AF142" i="5"/>
  <c r="AF15" i="5"/>
  <c r="AF44" i="5"/>
  <c r="AF131" i="5"/>
  <c r="AF151" i="5"/>
  <c r="AF127" i="5"/>
  <c r="AF250" i="5"/>
  <c r="AF67" i="5"/>
  <c r="G92" i="10" l="1" a="1"/>
  <c r="G92" i="10" s="1"/>
  <c r="G74" i="10" a="1"/>
  <c r="G74" i="10" s="1"/>
  <c r="G110" i="10" a="1"/>
  <c r="G110" i="10" s="1"/>
  <c r="E12" i="7"/>
  <c r="A10" i="10"/>
  <c r="E13" i="7" l="1"/>
  <c r="A11" i="10"/>
  <c r="H74" i="10" a="1"/>
  <c r="H74" i="10" s="1"/>
  <c r="H92" i="10" a="1"/>
  <c r="H92" i="10" s="1"/>
  <c r="H110" i="10" a="1"/>
  <c r="H110" i="10" s="1"/>
  <c r="I92" i="10" l="1" a="1"/>
  <c r="I92" i="10" s="1"/>
  <c r="I74" i="10" a="1"/>
  <c r="I74" i="10" s="1"/>
  <c r="I110" i="10" a="1"/>
  <c r="I110" i="10" s="1"/>
  <c r="E14" i="7"/>
  <c r="A12" i="10"/>
  <c r="E15" i="7" l="1"/>
  <c r="A13" i="10"/>
  <c r="J110" i="10" a="1"/>
  <c r="J110" i="10" s="1"/>
  <c r="J92" i="10" a="1"/>
  <c r="J92" i="10" s="1"/>
  <c r="J74" i="10" a="1"/>
  <c r="J74" i="10" s="1"/>
  <c r="K74" i="10" l="1" a="1"/>
  <c r="K74" i="10" s="1"/>
  <c r="K92" i="10" a="1"/>
  <c r="K92" i="10" s="1"/>
  <c r="K110" i="10" a="1"/>
  <c r="K110" i="10" s="1"/>
  <c r="E16" i="7"/>
  <c r="A14" i="10"/>
  <c r="E17" i="7" l="1"/>
  <c r="A15" i="10"/>
  <c r="L92" i="10" a="1"/>
  <c r="L92" i="10" s="1"/>
  <c r="L74" i="10" a="1"/>
  <c r="L74" i="10" s="1"/>
  <c r="L110" i="10" a="1"/>
  <c r="L110" i="10" s="1"/>
  <c r="M74" i="10" l="1" a="1"/>
  <c r="M74" i="10" s="1"/>
  <c r="M92" i="10" a="1"/>
  <c r="M92" i="10" s="1"/>
  <c r="M110" i="10" a="1"/>
  <c r="M110" i="10" s="1"/>
  <c r="E18" i="7"/>
  <c r="A16" i="10"/>
  <c r="E19" i="7" l="1"/>
  <c r="A17" i="10"/>
  <c r="N110" i="10" a="1"/>
  <c r="N110" i="10" s="1"/>
  <c r="N92" i="10" a="1"/>
  <c r="N92" i="10" s="1"/>
  <c r="N74" i="10" a="1"/>
  <c r="N74" i="10" s="1"/>
  <c r="O74" i="10" l="1" a="1"/>
  <c r="O74" i="10" s="1"/>
  <c r="O92" i="10" a="1"/>
  <c r="O92" i="10" s="1"/>
  <c r="O110" i="10" a="1"/>
  <c r="O110" i="10" s="1"/>
  <c r="E20" i="7"/>
  <c r="A18" i="10"/>
  <c r="E21" i="7" l="1"/>
  <c r="A19" i="10"/>
  <c r="P110" i="10" a="1"/>
  <c r="P110" i="10" s="1"/>
  <c r="P92" i="10" a="1"/>
  <c r="P92" i="10" s="1"/>
  <c r="P74" i="10" a="1"/>
  <c r="P74" i="10" s="1"/>
  <c r="Q74" i="10" l="1" a="1"/>
  <c r="Q74" i="10" s="1"/>
  <c r="Q92" i="10" a="1"/>
  <c r="Q92" i="10" s="1"/>
  <c r="Q110" i="10" a="1"/>
  <c r="Q110" i="10" s="1"/>
  <c r="E22" i="7"/>
  <c r="A20" i="10"/>
  <c r="E23" i="7" l="1"/>
  <c r="A21" i="10"/>
  <c r="R110" i="10" a="1"/>
  <c r="R110" i="10" s="1"/>
  <c r="R92" i="10" a="1"/>
  <c r="R92" i="10" s="1"/>
  <c r="R74" i="10" a="1"/>
  <c r="R74" i="10" s="1"/>
  <c r="S92" i="10" l="1" a="1"/>
  <c r="S92" i="10" s="1"/>
  <c r="S110" i="10" a="1"/>
  <c r="S110" i="10" s="1"/>
  <c r="S74" i="10" a="1"/>
  <c r="S74" i="10" s="1"/>
  <c r="E24" i="7"/>
  <c r="A22" i="10"/>
  <c r="E25" i="7" l="1"/>
  <c r="A23" i="10"/>
  <c r="T110" i="10" a="1"/>
  <c r="T110" i="10" s="1"/>
  <c r="T92" i="10" a="1"/>
  <c r="T92" i="10" s="1"/>
  <c r="T74" i="10" a="1"/>
  <c r="T74" i="10" s="1"/>
  <c r="U110" i="10" l="1" a="1"/>
  <c r="U110" i="10" s="1"/>
  <c r="U74" i="10" a="1"/>
  <c r="U74" i="10" s="1"/>
  <c r="U92" i="10" a="1"/>
  <c r="U92" i="10" s="1"/>
  <c r="E26" i="7"/>
  <c r="A24" i="10"/>
  <c r="E27" i="7" l="1"/>
  <c r="A25" i="10"/>
  <c r="V110" i="10" a="1"/>
  <c r="V110" i="10" s="1"/>
  <c r="V92" i="10" a="1"/>
  <c r="V92" i="10" s="1"/>
  <c r="V74" i="10" a="1"/>
  <c r="V74" i="10" s="1"/>
  <c r="W110" i="10" l="1" a="1"/>
  <c r="W110" i="10" s="1"/>
  <c r="W92" i="10" a="1"/>
  <c r="W92" i="10" s="1"/>
  <c r="W74" i="10" a="1"/>
  <c r="W74" i="10" s="1"/>
  <c r="E28" i="7"/>
  <c r="A26" i="10"/>
  <c r="E29" i="7" l="1"/>
  <c r="A27" i="10"/>
  <c r="X74" i="10" a="1"/>
  <c r="X74" i="10" s="1"/>
  <c r="X92" i="10" a="1"/>
  <c r="X92" i="10" s="1"/>
  <c r="X110" i="10" a="1"/>
  <c r="X110" i="10" s="1"/>
  <c r="Y92" i="10" l="1" a="1"/>
  <c r="Y92" i="10" s="1"/>
  <c r="Y74" i="10" a="1"/>
  <c r="Y74" i="10" s="1"/>
  <c r="Y110" i="10" a="1"/>
  <c r="Y110" i="10" s="1"/>
  <c r="E30" i="7"/>
  <c r="A28" i="10"/>
  <c r="E31" i="7" l="1"/>
  <c r="A29" i="10"/>
  <c r="Z74" i="10" a="1"/>
  <c r="Z74" i="10" s="1"/>
  <c r="Z92" i="10" a="1"/>
  <c r="Z92" i="10" s="1"/>
  <c r="Z110" i="10" a="1"/>
  <c r="Z110" i="10" s="1"/>
  <c r="AA92" i="10" l="1" a="1"/>
  <c r="AA92" i="10" s="1"/>
  <c r="AA110" i="10" a="1"/>
  <c r="AA110" i="10" s="1"/>
  <c r="AA74" i="10" a="1"/>
  <c r="AA74" i="10" s="1"/>
  <c r="E32" i="7"/>
  <c r="A30" i="10"/>
  <c r="E33" i="7" l="1"/>
  <c r="A31" i="10"/>
  <c r="AB110" i="10" a="1"/>
  <c r="AB110" i="10" s="1"/>
  <c r="AB74" i="10" a="1"/>
  <c r="AB74" i="10" s="1"/>
  <c r="AB92" i="10" a="1"/>
  <c r="AB92" i="10" s="1"/>
  <c r="AC74" i="10" l="1" a="1"/>
  <c r="AC74" i="10" s="1"/>
  <c r="AC92" i="10" a="1"/>
  <c r="AC92" i="10" s="1"/>
  <c r="AC110" i="10" a="1"/>
  <c r="AC110" i="10" s="1"/>
  <c r="E34" i="7"/>
  <c r="A32" i="10"/>
  <c r="E35" i="7" l="1"/>
  <c r="A33" i="10"/>
  <c r="AD74" i="10" a="1"/>
  <c r="AD74" i="10" s="1"/>
  <c r="AD92" i="10" a="1"/>
  <c r="AD92" i="10" s="1"/>
  <c r="AD110" i="10" a="1"/>
  <c r="AD110" i="10" s="1"/>
  <c r="AE110" i="10" l="1" a="1"/>
  <c r="AE110" i="10" s="1"/>
  <c r="AE92" i="10" a="1"/>
  <c r="AE92" i="10" s="1"/>
  <c r="AE74" i="10" a="1"/>
  <c r="AE74" i="10" s="1"/>
  <c r="E36" i="7"/>
  <c r="A34" i="10"/>
  <c r="E37" i="7" l="1"/>
  <c r="A35" i="10"/>
  <c r="AF110" i="10" a="1"/>
  <c r="AF110" i="10" s="1"/>
  <c r="AF92" i="10" a="1"/>
  <c r="AF92" i="10" s="1"/>
  <c r="AF74" i="10" a="1"/>
  <c r="AF74" i="10" s="1"/>
  <c r="AG110" i="10" l="1" a="1"/>
  <c r="AG110" i="10" s="1"/>
  <c r="AG74" i="10" a="1"/>
  <c r="AG74" i="10" s="1"/>
  <c r="AG92" i="10" a="1"/>
  <c r="AG92" i="10" s="1"/>
  <c r="E38" i="7"/>
  <c r="A36" i="10"/>
  <c r="E39" i="7" l="1"/>
  <c r="A37" i="10"/>
  <c r="AH92" i="10" a="1"/>
  <c r="AH92" i="10" s="1"/>
  <c r="AH110" i="10" a="1"/>
  <c r="AH110" i="10" s="1"/>
  <c r="AH74" i="10" a="1"/>
  <c r="AH74" i="10" s="1"/>
  <c r="AI110" i="10" l="1" a="1"/>
  <c r="AI110" i="10" s="1"/>
  <c r="AI92" i="10" a="1"/>
  <c r="AI92" i="10" s="1"/>
  <c r="AI74" i="10" a="1"/>
  <c r="AI74" i="10" s="1"/>
  <c r="E40" i="7"/>
  <c r="A38" i="10"/>
  <c r="E41" i="7" l="1"/>
  <c r="A39" i="10"/>
  <c r="AJ110" i="10" a="1"/>
  <c r="AJ110" i="10" s="1"/>
  <c r="AJ92" i="10" a="1"/>
  <c r="AJ92" i="10" s="1"/>
  <c r="AJ74" i="10" a="1"/>
  <c r="AJ74" i="10" s="1"/>
  <c r="AK74" i="10" l="1" a="1"/>
  <c r="AK74" i="10" s="1"/>
  <c r="AK110" i="10" a="1"/>
  <c r="AK110" i="10" s="1"/>
  <c r="AK92" i="10" a="1"/>
  <c r="AK92" i="10" s="1"/>
  <c r="E42" i="7"/>
  <c r="A40" i="10"/>
  <c r="E43" i="7" l="1"/>
  <c r="A41" i="10"/>
  <c r="AL110" i="10" a="1"/>
  <c r="AL110" i="10" s="1"/>
  <c r="AL92" i="10" a="1"/>
  <c r="AL92" i="10" s="1"/>
  <c r="AL74" i="10" a="1"/>
  <c r="AL74" i="10" s="1"/>
  <c r="AM92" i="10" l="1" a="1"/>
  <c r="AM92" i="10" s="1"/>
  <c r="AM74" i="10" a="1"/>
  <c r="AM74" i="10" s="1"/>
  <c r="AM110" i="10" a="1"/>
  <c r="AM110" i="10" s="1"/>
  <c r="E44" i="7"/>
  <c r="A42" i="10"/>
  <c r="AN110" i="10" l="1" a="1"/>
  <c r="AN110" i="10" s="1"/>
  <c r="AN92" i="10" a="1"/>
  <c r="AN92" i="10" s="1"/>
  <c r="AN74" i="10" a="1"/>
  <c r="AN74" i="10" s="1"/>
  <c r="E45" i="7"/>
  <c r="A43" i="10"/>
  <c r="E46" i="7" l="1"/>
  <c r="A44" i="10"/>
  <c r="AO110" i="10" a="1"/>
  <c r="AO110" i="10" s="1"/>
  <c r="AO74" i="10" a="1"/>
  <c r="AO74" i="10" s="1"/>
  <c r="AO92" i="10" a="1"/>
  <c r="AO92" i="10" s="1"/>
  <c r="AP74" i="10" l="1" a="1"/>
  <c r="AP74" i="10" s="1"/>
  <c r="AP92" i="10" a="1"/>
  <c r="AP92" i="10" s="1"/>
  <c r="AP110" i="10" a="1"/>
  <c r="AP110" i="10" s="1"/>
  <c r="E47" i="7"/>
  <c r="A45" i="10"/>
  <c r="E48" i="7" l="1"/>
  <c r="A46" i="10"/>
  <c r="AQ74" i="10" a="1"/>
  <c r="AQ74" i="10" s="1"/>
  <c r="AQ92" i="10" a="1"/>
  <c r="AQ92" i="10" s="1"/>
  <c r="AQ110" i="10" a="1"/>
  <c r="AQ110" i="10" s="1"/>
  <c r="AR74" i="10" l="1" a="1"/>
  <c r="AR74" i="10" s="1"/>
  <c r="AR92" i="10" a="1"/>
  <c r="AR92" i="10" s="1"/>
  <c r="AR110" i="10" a="1"/>
  <c r="AR110" i="10" s="1"/>
  <c r="E49" i="7"/>
  <c r="A47" i="10"/>
  <c r="E50" i="7" l="1"/>
  <c r="A48" i="10"/>
  <c r="AS92" i="10" a="1"/>
  <c r="AS92" i="10" s="1"/>
  <c r="AS74" i="10" a="1"/>
  <c r="AS74" i="10" s="1"/>
  <c r="AS110" i="10" a="1"/>
  <c r="AS110" i="10" s="1"/>
  <c r="AT110" i="10" l="1" a="1"/>
  <c r="AT110" i="10" s="1"/>
  <c r="AT92" i="10" a="1"/>
  <c r="AT92" i="10" s="1"/>
  <c r="AT74" i="10" a="1"/>
  <c r="AT74" i="10" s="1"/>
  <c r="E51" i="7"/>
  <c r="A49" i="10"/>
  <c r="E52" i="7" l="1"/>
  <c r="A50" i="10"/>
  <c r="AU92" i="10" a="1"/>
  <c r="AU92" i="10" s="1"/>
  <c r="AU74" i="10" a="1"/>
  <c r="AU74" i="10" s="1"/>
  <c r="AU110" i="10" a="1"/>
  <c r="AU110" i="10" s="1"/>
  <c r="AV74" i="10" l="1" a="1"/>
  <c r="AV74" i="10" s="1"/>
  <c r="AV92" i="10" a="1"/>
  <c r="AV92" i="10" s="1"/>
  <c r="AV110" i="10" a="1"/>
  <c r="AV110" i="10" s="1"/>
  <c r="E53" i="7"/>
  <c r="A51" i="10"/>
  <c r="E54" i="7" l="1"/>
  <c r="A52" i="10"/>
  <c r="AW74" i="10" a="1"/>
  <c r="AW74" i="10" s="1"/>
  <c r="AW92" i="10" a="1"/>
  <c r="AW92" i="10" s="1"/>
  <c r="AW110" i="10" a="1"/>
  <c r="AW110" i="10" s="1"/>
  <c r="AX110" i="10" l="1" a="1"/>
  <c r="AX110" i="10" s="1"/>
  <c r="AX92" i="10" a="1"/>
  <c r="AX92" i="10" s="1"/>
  <c r="AX74" i="10" a="1"/>
  <c r="AX74" i="10" s="1"/>
  <c r="E55" i="7"/>
  <c r="A53" i="10"/>
  <c r="E56" i="7" l="1"/>
  <c r="A55" i="10" s="1"/>
  <c r="A54" i="10"/>
  <c r="AY110" i="10" a="1"/>
  <c r="AY110" i="10" s="1"/>
  <c r="AY92" i="10" a="1"/>
  <c r="AY92" i="10" s="1"/>
  <c r="AY74" i="10" a="1"/>
  <c r="AY74" i="10" s="1"/>
  <c r="AZ110" i="10" l="1" a="1"/>
  <c r="AZ110" i="10" s="1"/>
  <c r="AZ92" i="10" a="1"/>
  <c r="AZ92" i="10" s="1"/>
  <c r="AZ74" i="10" a="1"/>
  <c r="AZ74" i="10" s="1"/>
  <c r="BA92" i="10" a="1"/>
  <c r="BA92" i="10" s="1"/>
  <c r="BA110" i="10" a="1"/>
  <c r="BA110" i="10" s="1"/>
  <c r="BA74" i="10" a="1"/>
  <c r="BA74" i="1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<sst xmlns="http://schemas.openxmlformats.org/spreadsheetml/2006/main" count="355" uniqueCount="128">
  <si>
    <t>Organisation Name</t>
  </si>
  <si>
    <t>Service Name</t>
  </si>
  <si>
    <t>Number of caseloads:</t>
  </si>
  <si>
    <t>Caseload 5</t>
  </si>
  <si>
    <t>Caseload 6</t>
  </si>
  <si>
    <t>Caseload 7</t>
  </si>
  <si>
    <t>Caseload 8</t>
  </si>
  <si>
    <t>Caseload 9</t>
  </si>
  <si>
    <t>Caseload 10</t>
  </si>
  <si>
    <t>Caseload 11</t>
  </si>
  <si>
    <t>Caseload 12</t>
  </si>
  <si>
    <t>Caseload 13</t>
  </si>
  <si>
    <t>Caseload 14</t>
  </si>
  <si>
    <t>Caseload 15</t>
  </si>
  <si>
    <t>Caseloads</t>
  </si>
  <si>
    <t>Name:</t>
  </si>
  <si>
    <t>Caseload:</t>
  </si>
  <si>
    <t>Start Date</t>
  </si>
  <si>
    <t>Date</t>
  </si>
  <si>
    <t>Main Data</t>
  </si>
  <si>
    <t>Dynamic key values</t>
  </si>
  <si>
    <t>Caseload Selection:</t>
  </si>
  <si>
    <t>View caseload:</t>
  </si>
  <si>
    <t>Mean:</t>
  </si>
  <si>
    <t>MRA:</t>
  </si>
  <si>
    <t>Moving Range</t>
  </si>
  <si>
    <t>Sigma:</t>
  </si>
  <si>
    <t>LCL:</t>
  </si>
  <si>
    <t>UCL:</t>
  </si>
  <si>
    <t>-2 Sigma</t>
  </si>
  <si>
    <t>-1 Sigma</t>
  </si>
  <si>
    <t>+1 Sigma</t>
  </si>
  <si>
    <t>+2 Sigma</t>
  </si>
  <si>
    <t>SPC Rules</t>
  </si>
  <si>
    <t>Rule 1</t>
  </si>
  <si>
    <t>Value:</t>
  </si>
  <si>
    <t>Rule 2 (helper)</t>
  </si>
  <si>
    <t>Rule 2</t>
  </si>
  <si>
    <t>Rule 3 (helper)</t>
  </si>
  <si>
    <t>Rule 3</t>
  </si>
  <si>
    <t>Rule 4 (helper)</t>
  </si>
  <si>
    <t>Rule 4</t>
  </si>
  <si>
    <t>1. A data point is more than 3 sigma () from the mean</t>
  </si>
  <si>
    <t>2. 2 out of 3 data points are more than 2 sigma from the mean, with all 3 on the same side of the mean</t>
  </si>
  <si>
    <t>3. 6 consecutively rising or falling points</t>
  </si>
  <si>
    <t>4. A run of 9 or more points on the same side of the mean</t>
  </si>
  <si>
    <t>Percentiles</t>
  </si>
  <si>
    <t>Difference</t>
  </si>
  <si>
    <t>Caseload</t>
  </si>
  <si>
    <t>Treatment Name</t>
  </si>
  <si>
    <t>Length of appointment</t>
  </si>
  <si>
    <t>Group size</t>
  </si>
  <si>
    <t>Frequency converted</t>
  </si>
  <si>
    <t>Minutes per week required per patient</t>
  </si>
  <si>
    <t>Minutes per week required per patient per caseload - group sessions</t>
  </si>
  <si>
    <t>Minutes per week required per patient per caseload - Non-group sessions</t>
  </si>
  <si>
    <t>Appointment frequency</t>
  </si>
  <si>
    <t>Single</t>
  </si>
  <si>
    <t>Group</t>
  </si>
  <si>
    <t>Lower Bound</t>
  </si>
  <si>
    <t>Non-Group</t>
  </si>
  <si>
    <t>Percentile Table</t>
  </si>
  <si>
    <t>Lower bound value:</t>
  </si>
  <si>
    <t>Upper bound value</t>
  </si>
  <si>
    <t>Service Table</t>
  </si>
  <si>
    <t>Date:</t>
  </si>
  <si>
    <t>Non-group</t>
  </si>
  <si>
    <t>Lower bound</t>
  </si>
  <si>
    <t>Upper Bound</t>
  </si>
  <si>
    <t>View:</t>
  </si>
  <si>
    <t>Session Type:</t>
  </si>
  <si>
    <t>Total</t>
  </si>
  <si>
    <t>Chart Display</t>
  </si>
  <si>
    <t>Group Session?</t>
  </si>
  <si>
    <t>Weeks per year</t>
  </si>
  <si>
    <t>Minutes per week</t>
  </si>
  <si>
    <t>Total Minutes</t>
  </si>
  <si>
    <t>Avg. per week</t>
  </si>
  <si>
    <t>Avg. per intensity level</t>
  </si>
  <si>
    <t>x</t>
  </si>
  <si>
    <t>N</t>
  </si>
  <si>
    <t>Y</t>
  </si>
  <si>
    <t>Group Flag:</t>
  </si>
  <si>
    <t>Clinic Name:</t>
  </si>
  <si>
    <t>Caseload Flags</t>
  </si>
  <si>
    <t>Caseload Number</t>
  </si>
  <si>
    <t>Caseload Names:</t>
  </si>
  <si>
    <t>Session Type Selection</t>
  </si>
  <si>
    <t>Intermediate Complexity Model</t>
  </si>
  <si>
    <t>v0.1</t>
  </si>
  <si>
    <t>Percentile Lower Bound:</t>
  </si>
  <si>
    <t>Lower Bound Percentile</t>
  </si>
  <si>
    <t>65th</t>
  </si>
  <si>
    <t>70th</t>
  </si>
  <si>
    <t>75th</t>
  </si>
  <si>
    <t>80th</t>
  </si>
  <si>
    <t>Appointment Frequency</t>
  </si>
  <si>
    <t>Twice a week</t>
  </si>
  <si>
    <t>Once a week</t>
  </si>
  <si>
    <t>Once a fortnight</t>
  </si>
  <si>
    <t>Once a month</t>
  </si>
  <si>
    <t>Twice a year</t>
  </si>
  <si>
    <t>Once a year</t>
  </si>
  <si>
    <t>Units:</t>
  </si>
  <si>
    <t>Units</t>
  </si>
  <si>
    <t>Minutes</t>
  </si>
  <si>
    <t>Hours</t>
  </si>
  <si>
    <t>Caseload Description:</t>
  </si>
  <si>
    <t>Chart Display:</t>
  </si>
  <si>
    <t>Inner Control Limits</t>
  </si>
  <si>
    <t>Control Limits</t>
  </si>
  <si>
    <t>Yes</t>
  </si>
  <si>
    <t>Set baseline</t>
  </si>
  <si>
    <t>Start Date:</t>
  </si>
  <si>
    <t>End Date:</t>
  </si>
  <si>
    <t>Use last 52 weeks?</t>
  </si>
  <si>
    <t>Selection</t>
  </si>
  <si>
    <t>Medium</t>
  </si>
  <si>
    <t>low</t>
  </si>
  <si>
    <t>very low</t>
  </si>
  <si>
    <t>Clinic / Resource / Session Name</t>
  </si>
  <si>
    <t>Band 5</t>
  </si>
  <si>
    <t>band 6</t>
  </si>
  <si>
    <t>Suitable Caseloads</t>
  </si>
  <si>
    <t>Caseload 1</t>
  </si>
  <si>
    <t>Wound Care specialist</t>
  </si>
  <si>
    <t>Band 5 - C1 - High</t>
  </si>
  <si>
    <t>Band 5 - C1 - Medium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</si>
</sst>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2">
    <xf numFmtId="0" fontId="0" fillId="0" borderId="0" xfId="0"/>
    <xf numFmtId="0" fontId="0" fillId="2" borderId="0" xfId="0" applyFill="1"/>
    <xf numFmtId="1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0" fillId="0" borderId="6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14" fontId="0" fillId="0" borderId="11" xfId="0" applyNumberFormat="1" applyBorder="1"/>
    <xf numFmtId="14" fontId="0" fillId="0" borderId="12" xfId="0" applyNumberFormat="1" applyBorder="1"/>
    <xf numFmtId="14" fontId="0" fillId="0" borderId="0" xfId="0" applyNumberFormat="1" applyBorder="1"/>
    <xf numFmtId="0" fontId="0" fillId="0" borderId="4" xfId="0" applyBorder="1"/>
    <xf numFmtId="0" fontId="0" fillId="0" borderId="0" xfId="0" quotePrefix="1"/>
    <xf numFmtId="0" fontId="0" fillId="0" borderId="1" xfId="0" applyBorder="1"/>
    <xf numFmtId="0" fontId="0" fillId="0" borderId="3" xfId="0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2" fontId="0" fillId="0" borderId="0" xfId="0" applyNumberFormat="1" applyBorder="1"/>
    <xf numFmtId="0" fontId="0" fillId="0" borderId="6" xfId="0" applyFill="1" applyBorder="1"/>
    <xf numFmtId="0" fontId="0" fillId="0" borderId="13" xfId="0" applyFill="1" applyBorder="1"/>
    <xf numFmtId="0" fontId="0" fillId="0" borderId="14" xfId="0" applyFill="1" applyBorder="1"/>
    <xf numFmtId="0" fontId="0" fillId="0" borderId="15" xfId="0" applyFill="1" applyBorder="1"/>
    <xf numFmtId="0" fontId="2" fillId="0" borderId="0" xfId="0" applyFont="1"/>
    <xf numFmtId="0" fontId="4" fillId="0" borderId="0" xfId="0" applyFont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0" xfId="0" applyAlignment="1">
      <alignment horizontal="center"/>
    </xf>
    <xf numFmtId="2" fontId="0" fillId="0" borderId="6" xfId="0" applyNumberFormat="1" applyBorder="1"/>
    <xf numFmtId="2" fontId="0" fillId="0" borderId="8" xfId="0" applyNumberFormat="1" applyBorder="1"/>
    <xf numFmtId="2" fontId="0" fillId="0" borderId="9" xfId="0" applyNumberFormat="1" applyBorder="1"/>
    <xf numFmtId="14" fontId="0" fillId="0" borderId="14" xfId="0" applyNumberFormat="1" applyBorder="1"/>
    <xf numFmtId="0" fontId="0" fillId="7" borderId="1" xfId="0" applyFill="1" applyBorder="1"/>
    <xf numFmtId="0" fontId="0" fillId="7" borderId="15" xfId="0" applyFill="1" applyBorder="1"/>
    <xf numFmtId="0" fontId="0" fillId="0" borderId="1" xfId="0" applyBorder="1" applyAlignment="1">
      <alignment horizontal="center"/>
    </xf>
    <xf numFmtId="0" fontId="0" fillId="0" borderId="11" xfId="0" applyBorder="1"/>
    <xf numFmtId="0" fontId="0" fillId="0" borderId="12" xfId="0" applyBorder="1"/>
    <xf numFmtId="0" fontId="0" fillId="7" borderId="10" xfId="0" applyFill="1" applyBorder="1"/>
    <xf numFmtId="14" fontId="0" fillId="7" borderId="11" xfId="0" applyNumberFormat="1" applyFill="1" applyBorder="1"/>
    <xf numFmtId="14" fontId="0" fillId="7" borderId="12" xfId="0" applyNumberFormat="1" applyFill="1" applyBorder="1"/>
    <xf numFmtId="0" fontId="0" fillId="7" borderId="14" xfId="0" applyFill="1" applyBorder="1"/>
    <xf numFmtId="0" fontId="0" fillId="7" borderId="14" xfId="0" applyFill="1" applyBorder="1" applyAlignment="1">
      <alignment horizontal="center" vertical="center" wrapText="1"/>
    </xf>
    <xf numFmtId="0" fontId="0" fillId="7" borderId="14" xfId="0" applyFill="1" applyBorder="1" applyAlignment="1">
      <alignment horizontal="center" wrapText="1"/>
    </xf>
    <xf numFmtId="0" fontId="0" fillId="7" borderId="15" xfId="0" applyFill="1" applyBorder="1" applyAlignment="1">
      <alignment horizontal="center" wrapText="1"/>
    </xf>
    <xf numFmtId="14" fontId="0" fillId="0" borderId="1" xfId="0" applyNumberFormat="1" applyBorder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1" xfId="0" applyFill="1" applyBorder="1"/>
    <xf numFmtId="0" fontId="0" fillId="7" borderId="12" xfId="0" applyFill="1" applyBorder="1"/>
    <xf numFmtId="0" fontId="0" fillId="0" borderId="5" xfId="0" applyFill="1" applyBorder="1"/>
    <xf numFmtId="0" fontId="0" fillId="0" borderId="1" xfId="0" applyBorder="1" applyAlignment="1">
      <alignment wrapText="1"/>
    </xf>
    <xf numFmtId="0" fontId="1" fillId="7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0" fillId="7" borderId="3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7" borderId="0" xfId="0" applyFill="1" applyBorder="1" applyAlignment="1">
      <alignment horizontal="center" vertical="center"/>
    </xf>
    <xf numFmtId="0" fontId="0" fillId="7" borderId="8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7" borderId="6" xfId="0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/>
    </xf>
  </cellXfs>
  <cellStyles count="1">
    <cellStyle name="Normal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Demand (Caseload Size) SPC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12"/>
          <c:order val="0"/>
          <c:tx>
            <c:v>Lower Percentile</c:v>
          </c:tx>
          <c:spPr>
            <a:noFill/>
            <a:ln>
              <a:noFill/>
            </a:ln>
            <a:effectLst/>
          </c:spPr>
          <c:val>
            <c:numRef>
              <c:f>[0]!SPC_LowerPercentile</c:f>
              <c:numCache>
                <c:formatCode>General</c:formatCode>
                <c:ptCount val="72"/>
                <c:pt idx="0">
                  <c:v>254</c:v>
                </c:pt>
                <c:pt idx="1">
                  <c:v>254</c:v>
                </c:pt>
                <c:pt idx="2">
                  <c:v>254</c:v>
                </c:pt>
                <c:pt idx="3">
                  <c:v>254</c:v>
                </c:pt>
                <c:pt idx="4">
                  <c:v>254</c:v>
                </c:pt>
                <c:pt idx="5">
                  <c:v>254</c:v>
                </c:pt>
                <c:pt idx="6">
                  <c:v>254</c:v>
                </c:pt>
                <c:pt idx="7">
                  <c:v>254</c:v>
                </c:pt>
                <c:pt idx="8">
                  <c:v>254</c:v>
                </c:pt>
                <c:pt idx="9">
                  <c:v>254</c:v>
                </c:pt>
                <c:pt idx="10">
                  <c:v>254</c:v>
                </c:pt>
                <c:pt idx="11">
                  <c:v>254</c:v>
                </c:pt>
                <c:pt idx="12">
                  <c:v>254</c:v>
                </c:pt>
                <c:pt idx="13">
                  <c:v>254</c:v>
                </c:pt>
                <c:pt idx="14">
                  <c:v>254</c:v>
                </c:pt>
                <c:pt idx="15">
                  <c:v>254</c:v>
                </c:pt>
                <c:pt idx="16">
                  <c:v>254</c:v>
                </c:pt>
                <c:pt idx="17">
                  <c:v>254</c:v>
                </c:pt>
                <c:pt idx="18">
                  <c:v>254</c:v>
                </c:pt>
                <c:pt idx="19">
                  <c:v>254</c:v>
                </c:pt>
                <c:pt idx="20">
                  <c:v>254</c:v>
                </c:pt>
                <c:pt idx="21">
                  <c:v>254</c:v>
                </c:pt>
                <c:pt idx="22">
                  <c:v>254</c:v>
                </c:pt>
                <c:pt idx="23">
                  <c:v>254</c:v>
                </c:pt>
                <c:pt idx="24">
                  <c:v>254</c:v>
                </c:pt>
                <c:pt idx="25">
                  <c:v>254</c:v>
                </c:pt>
                <c:pt idx="26">
                  <c:v>254</c:v>
                </c:pt>
                <c:pt idx="27">
                  <c:v>254</c:v>
                </c:pt>
                <c:pt idx="28">
                  <c:v>254</c:v>
                </c:pt>
                <c:pt idx="29">
                  <c:v>254</c:v>
                </c:pt>
                <c:pt idx="30">
                  <c:v>254</c:v>
                </c:pt>
                <c:pt idx="31">
                  <c:v>254</c:v>
                </c:pt>
                <c:pt idx="32">
                  <c:v>254</c:v>
                </c:pt>
                <c:pt idx="33">
                  <c:v>254</c:v>
                </c:pt>
                <c:pt idx="34">
                  <c:v>254</c:v>
                </c:pt>
                <c:pt idx="35">
                  <c:v>254</c:v>
                </c:pt>
                <c:pt idx="36">
                  <c:v>254</c:v>
                </c:pt>
                <c:pt idx="37">
                  <c:v>254</c:v>
                </c:pt>
                <c:pt idx="38">
                  <c:v>254</c:v>
                </c:pt>
                <c:pt idx="39">
                  <c:v>254</c:v>
                </c:pt>
                <c:pt idx="40">
                  <c:v>254</c:v>
                </c:pt>
                <c:pt idx="41">
                  <c:v>254</c:v>
                </c:pt>
                <c:pt idx="42">
                  <c:v>254</c:v>
                </c:pt>
                <c:pt idx="43">
                  <c:v>254</c:v>
                </c:pt>
                <c:pt idx="44">
                  <c:v>254</c:v>
                </c:pt>
                <c:pt idx="45">
                  <c:v>254</c:v>
                </c:pt>
                <c:pt idx="46">
                  <c:v>254</c:v>
                </c:pt>
                <c:pt idx="47">
                  <c:v>254</c:v>
                </c:pt>
                <c:pt idx="48">
                  <c:v>254</c:v>
                </c:pt>
                <c:pt idx="49">
                  <c:v>254</c:v>
                </c:pt>
                <c:pt idx="50">
                  <c:v>254</c:v>
                </c:pt>
                <c:pt idx="51">
                  <c:v>254</c:v>
                </c:pt>
                <c:pt idx="52">
                  <c:v>254</c:v>
                </c:pt>
                <c:pt idx="53">
                  <c:v>254</c:v>
                </c:pt>
                <c:pt idx="54">
                  <c:v>254</c:v>
                </c:pt>
                <c:pt idx="55">
                  <c:v>254</c:v>
                </c:pt>
                <c:pt idx="56">
                  <c:v>254</c:v>
                </c:pt>
                <c:pt idx="57">
                  <c:v>254</c:v>
                </c:pt>
                <c:pt idx="58">
                  <c:v>254</c:v>
                </c:pt>
                <c:pt idx="59">
                  <c:v>254</c:v>
                </c:pt>
                <c:pt idx="60">
                  <c:v>254</c:v>
                </c:pt>
                <c:pt idx="61">
                  <c:v>254</c:v>
                </c:pt>
                <c:pt idx="62">
                  <c:v>254</c:v>
                </c:pt>
                <c:pt idx="63">
                  <c:v>254</c:v>
                </c:pt>
                <c:pt idx="64">
                  <c:v>254</c:v>
                </c:pt>
                <c:pt idx="65">
                  <c:v>254</c:v>
                </c:pt>
                <c:pt idx="66">
                  <c:v>254</c:v>
                </c:pt>
                <c:pt idx="67">
                  <c:v>254</c:v>
                </c:pt>
                <c:pt idx="68">
                  <c:v>254</c:v>
                </c:pt>
                <c:pt idx="69">
                  <c:v>254</c:v>
                </c:pt>
                <c:pt idx="70">
                  <c:v>254</c:v>
                </c:pt>
                <c:pt idx="71">
                  <c:v>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C57-4155-8CC7-7BEBFE00C53C}"/>
            </c:ext>
          </c:extLst>
        </c:ser>
        <c:ser>
          <c:idx val="13"/>
          <c:order val="1"/>
          <c:tx>
            <c:v>Percentile Range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val>
            <c:numRef>
              <c:f>[0]!SPC_UpperPercentile</c:f>
              <c:numCache>
                <c:formatCode>General</c:formatCode>
                <c:ptCount val="72"/>
                <c:pt idx="0">
                  <c:v>14.699999999999989</c:v>
                </c:pt>
                <c:pt idx="1">
                  <c:v>14.699999999999989</c:v>
                </c:pt>
                <c:pt idx="2">
                  <c:v>14.699999999999989</c:v>
                </c:pt>
                <c:pt idx="3">
                  <c:v>14.699999999999989</c:v>
                </c:pt>
                <c:pt idx="4">
                  <c:v>14.699999999999989</c:v>
                </c:pt>
                <c:pt idx="5">
                  <c:v>14.699999999999989</c:v>
                </c:pt>
                <c:pt idx="6">
                  <c:v>14.699999999999989</c:v>
                </c:pt>
                <c:pt idx="7">
                  <c:v>14.699999999999989</c:v>
                </c:pt>
                <c:pt idx="8">
                  <c:v>14.699999999999989</c:v>
                </c:pt>
                <c:pt idx="9">
                  <c:v>14.699999999999989</c:v>
                </c:pt>
                <c:pt idx="10">
                  <c:v>14.699999999999989</c:v>
                </c:pt>
                <c:pt idx="11">
                  <c:v>14.699999999999989</c:v>
                </c:pt>
                <c:pt idx="12">
                  <c:v>14.699999999999989</c:v>
                </c:pt>
                <c:pt idx="13">
                  <c:v>14.699999999999989</c:v>
                </c:pt>
                <c:pt idx="14">
                  <c:v>14.699999999999989</c:v>
                </c:pt>
                <c:pt idx="15">
                  <c:v>14.699999999999989</c:v>
                </c:pt>
                <c:pt idx="16">
                  <c:v>14.699999999999989</c:v>
                </c:pt>
                <c:pt idx="17">
                  <c:v>14.699999999999989</c:v>
                </c:pt>
                <c:pt idx="18">
                  <c:v>14.699999999999989</c:v>
                </c:pt>
                <c:pt idx="19">
                  <c:v>14.699999999999989</c:v>
                </c:pt>
                <c:pt idx="20">
                  <c:v>14.699999999999989</c:v>
                </c:pt>
                <c:pt idx="21">
                  <c:v>14.699999999999989</c:v>
                </c:pt>
                <c:pt idx="22">
                  <c:v>14.699999999999989</c:v>
                </c:pt>
                <c:pt idx="23">
                  <c:v>14.699999999999989</c:v>
                </c:pt>
                <c:pt idx="24">
                  <c:v>14.699999999999989</c:v>
                </c:pt>
                <c:pt idx="25">
                  <c:v>14.699999999999989</c:v>
                </c:pt>
                <c:pt idx="26">
                  <c:v>14.699999999999989</c:v>
                </c:pt>
                <c:pt idx="27">
                  <c:v>14.699999999999989</c:v>
                </c:pt>
                <c:pt idx="28">
                  <c:v>14.699999999999989</c:v>
                </c:pt>
                <c:pt idx="29">
                  <c:v>14.699999999999989</c:v>
                </c:pt>
                <c:pt idx="30">
                  <c:v>14.699999999999989</c:v>
                </c:pt>
                <c:pt idx="31">
                  <c:v>14.699999999999989</c:v>
                </c:pt>
                <c:pt idx="32">
                  <c:v>14.699999999999989</c:v>
                </c:pt>
                <c:pt idx="33">
                  <c:v>14.699999999999989</c:v>
                </c:pt>
                <c:pt idx="34">
                  <c:v>14.699999999999989</c:v>
                </c:pt>
                <c:pt idx="35">
                  <c:v>14.699999999999989</c:v>
                </c:pt>
                <c:pt idx="36">
                  <c:v>14.699999999999989</c:v>
                </c:pt>
                <c:pt idx="37">
                  <c:v>14.699999999999989</c:v>
                </c:pt>
                <c:pt idx="38">
                  <c:v>14.699999999999989</c:v>
                </c:pt>
                <c:pt idx="39">
                  <c:v>14.699999999999989</c:v>
                </c:pt>
                <c:pt idx="40">
                  <c:v>14.699999999999989</c:v>
                </c:pt>
                <c:pt idx="41">
                  <c:v>14.699999999999989</c:v>
                </c:pt>
                <c:pt idx="42">
                  <c:v>14.699999999999989</c:v>
                </c:pt>
                <c:pt idx="43">
                  <c:v>14.699999999999989</c:v>
                </c:pt>
                <c:pt idx="44">
                  <c:v>14.699999999999989</c:v>
                </c:pt>
                <c:pt idx="45">
                  <c:v>14.699999999999989</c:v>
                </c:pt>
                <c:pt idx="46">
                  <c:v>14.699999999999989</c:v>
                </c:pt>
                <c:pt idx="47">
                  <c:v>14.699999999999989</c:v>
                </c:pt>
                <c:pt idx="48">
                  <c:v>14.699999999999989</c:v>
                </c:pt>
                <c:pt idx="49">
                  <c:v>14.699999999999989</c:v>
                </c:pt>
                <c:pt idx="50">
                  <c:v>14.699999999999989</c:v>
                </c:pt>
                <c:pt idx="51">
                  <c:v>14.699999999999989</c:v>
                </c:pt>
                <c:pt idx="52">
                  <c:v>14.699999999999989</c:v>
                </c:pt>
                <c:pt idx="53">
                  <c:v>14.699999999999989</c:v>
                </c:pt>
                <c:pt idx="54">
                  <c:v>14.699999999999989</c:v>
                </c:pt>
                <c:pt idx="55">
                  <c:v>14.699999999999989</c:v>
                </c:pt>
                <c:pt idx="56">
                  <c:v>14.699999999999989</c:v>
                </c:pt>
                <c:pt idx="57">
                  <c:v>14.699999999999989</c:v>
                </c:pt>
                <c:pt idx="58">
                  <c:v>14.699999999999989</c:v>
                </c:pt>
                <c:pt idx="59">
                  <c:v>14.699999999999989</c:v>
                </c:pt>
                <c:pt idx="60">
                  <c:v>14.699999999999989</c:v>
                </c:pt>
                <c:pt idx="61">
                  <c:v>14.699999999999989</c:v>
                </c:pt>
                <c:pt idx="62">
                  <c:v>14.699999999999989</c:v>
                </c:pt>
                <c:pt idx="63">
                  <c:v>14.699999999999989</c:v>
                </c:pt>
                <c:pt idx="64">
                  <c:v>14.699999999999989</c:v>
                </c:pt>
                <c:pt idx="65">
                  <c:v>14.699999999999989</c:v>
                </c:pt>
                <c:pt idx="66">
                  <c:v>14.699999999999989</c:v>
                </c:pt>
                <c:pt idx="67">
                  <c:v>14.699999999999989</c:v>
                </c:pt>
                <c:pt idx="68">
                  <c:v>14.699999999999989</c:v>
                </c:pt>
                <c:pt idx="69">
                  <c:v>14.699999999999989</c:v>
                </c:pt>
                <c:pt idx="70">
                  <c:v>14.699999999999989</c:v>
                </c:pt>
                <c:pt idx="71">
                  <c:v>14.699999999999989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C57-4155-8CC7-7BEBFE00C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756872"/>
        <c:axId val="640757200"/>
      </c:areaChart>
      <c:barChart>
        <c:barDir val="col"/>
        <c:grouping val="stacked"/>
        <c:varyColors val="0"/>
        <c:ser>
          <c:idx val="14"/>
          <c:order val="2"/>
          <c:tx>
            <c:v>Baseline</c:v>
          </c:tx>
          <c:spPr>
            <a:solidFill>
              <a:schemeClr val="accent1">
                <a:lumMod val="20000"/>
                <a:lumOff val="80000"/>
                <a:alpha val="34000"/>
              </a:schemeClr>
            </a:solidFill>
            <a:ln>
              <a:noFill/>
            </a:ln>
            <a:effectLst/>
          </c:spPr>
          <c:invertIfNegative val="0"/>
          <c:cat>
            <c:numRef>
              <c:f>[0]!SPC_Dates</c:f>
              <c:numCache>
                <c:formatCode>m/d/yyyy</c:formatCode>
                <c:ptCount val="72"/>
                <c:pt idx="0">
                  <c:v>43617</c:v>
                </c:pt>
                <c:pt idx="1">
                  <c:v>43624</c:v>
                </c:pt>
                <c:pt idx="2">
                  <c:v>43631</c:v>
                </c:pt>
                <c:pt idx="3">
                  <c:v>43638</c:v>
                </c:pt>
                <c:pt idx="4">
                  <c:v>43645</c:v>
                </c:pt>
                <c:pt idx="5">
                  <c:v>43652</c:v>
                </c:pt>
                <c:pt idx="6">
                  <c:v>43659</c:v>
                </c:pt>
                <c:pt idx="7">
                  <c:v>43666</c:v>
                </c:pt>
                <c:pt idx="8">
                  <c:v>43673</c:v>
                </c:pt>
                <c:pt idx="9">
                  <c:v>43680</c:v>
                </c:pt>
                <c:pt idx="10">
                  <c:v>43687</c:v>
                </c:pt>
                <c:pt idx="11">
                  <c:v>43694</c:v>
                </c:pt>
                <c:pt idx="12">
                  <c:v>43701</c:v>
                </c:pt>
                <c:pt idx="13">
                  <c:v>43708</c:v>
                </c:pt>
                <c:pt idx="14">
                  <c:v>43715</c:v>
                </c:pt>
                <c:pt idx="15">
                  <c:v>43722</c:v>
                </c:pt>
                <c:pt idx="16">
                  <c:v>43729</c:v>
                </c:pt>
                <c:pt idx="17">
                  <c:v>43736</c:v>
                </c:pt>
                <c:pt idx="18">
                  <c:v>43743</c:v>
                </c:pt>
                <c:pt idx="19">
                  <c:v>43750</c:v>
                </c:pt>
                <c:pt idx="20">
                  <c:v>43757</c:v>
                </c:pt>
                <c:pt idx="21">
                  <c:v>43764</c:v>
                </c:pt>
                <c:pt idx="22">
                  <c:v>43771</c:v>
                </c:pt>
                <c:pt idx="23">
                  <c:v>43778</c:v>
                </c:pt>
                <c:pt idx="24">
                  <c:v>43785</c:v>
                </c:pt>
                <c:pt idx="25">
                  <c:v>43792</c:v>
                </c:pt>
                <c:pt idx="26">
                  <c:v>43799</c:v>
                </c:pt>
                <c:pt idx="27">
                  <c:v>43806</c:v>
                </c:pt>
                <c:pt idx="28">
                  <c:v>43813</c:v>
                </c:pt>
                <c:pt idx="29">
                  <c:v>43820</c:v>
                </c:pt>
                <c:pt idx="30">
                  <c:v>43827</c:v>
                </c:pt>
                <c:pt idx="31">
                  <c:v>43834</c:v>
                </c:pt>
                <c:pt idx="32">
                  <c:v>43841</c:v>
                </c:pt>
                <c:pt idx="33">
                  <c:v>43848</c:v>
                </c:pt>
                <c:pt idx="34">
                  <c:v>43855</c:v>
                </c:pt>
                <c:pt idx="35">
                  <c:v>43862</c:v>
                </c:pt>
                <c:pt idx="36">
                  <c:v>43869</c:v>
                </c:pt>
                <c:pt idx="37">
                  <c:v>43876</c:v>
                </c:pt>
                <c:pt idx="38">
                  <c:v>43883</c:v>
                </c:pt>
                <c:pt idx="39">
                  <c:v>43890</c:v>
                </c:pt>
                <c:pt idx="40">
                  <c:v>43897</c:v>
                </c:pt>
                <c:pt idx="41">
                  <c:v>43904</c:v>
                </c:pt>
                <c:pt idx="42">
                  <c:v>43911</c:v>
                </c:pt>
                <c:pt idx="43">
                  <c:v>43918</c:v>
                </c:pt>
                <c:pt idx="44">
                  <c:v>43925</c:v>
                </c:pt>
                <c:pt idx="45">
                  <c:v>43932</c:v>
                </c:pt>
                <c:pt idx="46">
                  <c:v>43939</c:v>
                </c:pt>
                <c:pt idx="47">
                  <c:v>43946</c:v>
                </c:pt>
                <c:pt idx="48">
                  <c:v>43953</c:v>
                </c:pt>
                <c:pt idx="49">
                  <c:v>43960</c:v>
                </c:pt>
                <c:pt idx="50">
                  <c:v>43967</c:v>
                </c:pt>
                <c:pt idx="51">
                  <c:v>43974</c:v>
                </c:pt>
                <c:pt idx="52">
                  <c:v>43981</c:v>
                </c:pt>
                <c:pt idx="53">
                  <c:v>43988</c:v>
                </c:pt>
                <c:pt idx="54">
                  <c:v>43995</c:v>
                </c:pt>
                <c:pt idx="55">
                  <c:v>44002</c:v>
                </c:pt>
                <c:pt idx="56">
                  <c:v>44009</c:v>
                </c:pt>
                <c:pt idx="57">
                  <c:v>44016</c:v>
                </c:pt>
                <c:pt idx="58">
                  <c:v>44023</c:v>
                </c:pt>
                <c:pt idx="59">
                  <c:v>44030</c:v>
                </c:pt>
                <c:pt idx="60">
                  <c:v>44037</c:v>
                </c:pt>
                <c:pt idx="61">
                  <c:v>44044</c:v>
                </c:pt>
                <c:pt idx="62">
                  <c:v>44051</c:v>
                </c:pt>
                <c:pt idx="63">
                  <c:v>44058</c:v>
                </c:pt>
                <c:pt idx="64">
                  <c:v>44065</c:v>
                </c:pt>
                <c:pt idx="65">
                  <c:v>44072</c:v>
                </c:pt>
                <c:pt idx="66">
                  <c:v>44079</c:v>
                </c:pt>
                <c:pt idx="67">
                  <c:v>44086</c:v>
                </c:pt>
                <c:pt idx="68">
                  <c:v>44093</c:v>
                </c:pt>
                <c:pt idx="69">
                  <c:v>44100</c:v>
                </c:pt>
                <c:pt idx="70">
                  <c:v>44107</c:v>
                </c:pt>
                <c:pt idx="71">
                  <c:v>44114</c:v>
                </c:pt>
              </c:numCache>
            </c:numRef>
          </c:cat>
          <c:val>
            <c:numRef>
              <c:f>[0]!SPC_Baseline</c:f>
              <c:numCache>
                <c:formatCode>General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9F-4EF2-9D15-BAE71C86A3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32698280"/>
        <c:axId val="732819968"/>
      </c:barChart>
      <c:lineChart>
        <c:grouping val="standard"/>
        <c:varyColors val="0"/>
        <c:ser>
          <c:idx val="0"/>
          <c:order val="3"/>
          <c:tx>
            <c:v>Mean</c:v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[0]!SPC_Dates</c:f>
              <c:numCache>
                <c:formatCode>m/d/yyyy</c:formatCode>
                <c:ptCount val="72"/>
                <c:pt idx="0">
                  <c:v>43617</c:v>
                </c:pt>
                <c:pt idx="1">
                  <c:v>43624</c:v>
                </c:pt>
                <c:pt idx="2">
                  <c:v>43631</c:v>
                </c:pt>
                <c:pt idx="3">
                  <c:v>43638</c:v>
                </c:pt>
                <c:pt idx="4">
                  <c:v>43645</c:v>
                </c:pt>
                <c:pt idx="5">
                  <c:v>43652</c:v>
                </c:pt>
                <c:pt idx="6">
                  <c:v>43659</c:v>
                </c:pt>
                <c:pt idx="7">
                  <c:v>43666</c:v>
                </c:pt>
                <c:pt idx="8">
                  <c:v>43673</c:v>
                </c:pt>
                <c:pt idx="9">
                  <c:v>43680</c:v>
                </c:pt>
                <c:pt idx="10">
                  <c:v>43687</c:v>
                </c:pt>
                <c:pt idx="11">
                  <c:v>43694</c:v>
                </c:pt>
                <c:pt idx="12">
                  <c:v>43701</c:v>
                </c:pt>
                <c:pt idx="13">
                  <c:v>43708</c:v>
                </c:pt>
                <c:pt idx="14">
                  <c:v>43715</c:v>
                </c:pt>
                <c:pt idx="15">
                  <c:v>43722</c:v>
                </c:pt>
                <c:pt idx="16">
                  <c:v>43729</c:v>
                </c:pt>
                <c:pt idx="17">
                  <c:v>43736</c:v>
                </c:pt>
                <c:pt idx="18">
                  <c:v>43743</c:v>
                </c:pt>
                <c:pt idx="19">
                  <c:v>43750</c:v>
                </c:pt>
                <c:pt idx="20">
                  <c:v>43757</c:v>
                </c:pt>
                <c:pt idx="21">
                  <c:v>43764</c:v>
                </c:pt>
                <c:pt idx="22">
                  <c:v>43771</c:v>
                </c:pt>
                <c:pt idx="23">
                  <c:v>43778</c:v>
                </c:pt>
                <c:pt idx="24">
                  <c:v>43785</c:v>
                </c:pt>
                <c:pt idx="25">
                  <c:v>43792</c:v>
                </c:pt>
                <c:pt idx="26">
                  <c:v>43799</c:v>
                </c:pt>
                <c:pt idx="27">
                  <c:v>43806</c:v>
                </c:pt>
                <c:pt idx="28">
                  <c:v>43813</c:v>
                </c:pt>
                <c:pt idx="29">
                  <c:v>43820</c:v>
                </c:pt>
                <c:pt idx="30">
                  <c:v>43827</c:v>
                </c:pt>
                <c:pt idx="31">
                  <c:v>43834</c:v>
                </c:pt>
                <c:pt idx="32">
                  <c:v>43841</c:v>
                </c:pt>
                <c:pt idx="33">
                  <c:v>43848</c:v>
                </c:pt>
                <c:pt idx="34">
                  <c:v>43855</c:v>
                </c:pt>
                <c:pt idx="35">
                  <c:v>43862</c:v>
                </c:pt>
                <c:pt idx="36">
                  <c:v>43869</c:v>
                </c:pt>
                <c:pt idx="37">
                  <c:v>43876</c:v>
                </c:pt>
                <c:pt idx="38">
                  <c:v>43883</c:v>
                </c:pt>
                <c:pt idx="39">
                  <c:v>43890</c:v>
                </c:pt>
                <c:pt idx="40">
                  <c:v>43897</c:v>
                </c:pt>
                <c:pt idx="41">
                  <c:v>43904</c:v>
                </c:pt>
                <c:pt idx="42">
                  <c:v>43911</c:v>
                </c:pt>
                <c:pt idx="43">
                  <c:v>43918</c:v>
                </c:pt>
                <c:pt idx="44">
                  <c:v>43925</c:v>
                </c:pt>
                <c:pt idx="45">
                  <c:v>43932</c:v>
                </c:pt>
                <c:pt idx="46">
                  <c:v>43939</c:v>
                </c:pt>
                <c:pt idx="47">
                  <c:v>43946</c:v>
                </c:pt>
                <c:pt idx="48">
                  <c:v>43953</c:v>
                </c:pt>
                <c:pt idx="49">
                  <c:v>43960</c:v>
                </c:pt>
                <c:pt idx="50">
                  <c:v>43967</c:v>
                </c:pt>
                <c:pt idx="51">
                  <c:v>43974</c:v>
                </c:pt>
                <c:pt idx="52">
                  <c:v>43981</c:v>
                </c:pt>
                <c:pt idx="53">
                  <c:v>43988</c:v>
                </c:pt>
                <c:pt idx="54">
                  <c:v>43995</c:v>
                </c:pt>
                <c:pt idx="55">
                  <c:v>44002</c:v>
                </c:pt>
                <c:pt idx="56">
                  <c:v>44009</c:v>
                </c:pt>
                <c:pt idx="57">
                  <c:v>44016</c:v>
                </c:pt>
                <c:pt idx="58">
                  <c:v>44023</c:v>
                </c:pt>
                <c:pt idx="59">
                  <c:v>44030</c:v>
                </c:pt>
                <c:pt idx="60">
                  <c:v>44037</c:v>
                </c:pt>
                <c:pt idx="61">
                  <c:v>44044</c:v>
                </c:pt>
                <c:pt idx="62">
                  <c:v>44051</c:v>
                </c:pt>
                <c:pt idx="63">
                  <c:v>44058</c:v>
                </c:pt>
                <c:pt idx="64">
                  <c:v>44065</c:v>
                </c:pt>
                <c:pt idx="65">
                  <c:v>44072</c:v>
                </c:pt>
                <c:pt idx="66">
                  <c:v>44079</c:v>
                </c:pt>
                <c:pt idx="67">
                  <c:v>44086</c:v>
                </c:pt>
                <c:pt idx="68">
                  <c:v>44093</c:v>
                </c:pt>
                <c:pt idx="69">
                  <c:v>44100</c:v>
                </c:pt>
                <c:pt idx="70">
                  <c:v>44107</c:v>
                </c:pt>
                <c:pt idx="71">
                  <c:v>44114</c:v>
                </c:pt>
              </c:numCache>
            </c:numRef>
          </c:cat>
          <c:val>
            <c:numRef>
              <c:f>[0]!SPC_Mean</c:f>
              <c:numCache>
                <c:formatCode>General</c:formatCode>
                <c:ptCount val="72"/>
                <c:pt idx="0">
                  <c:v>231.24528301886792</c:v>
                </c:pt>
                <c:pt idx="1">
                  <c:v>231.24528301886792</c:v>
                </c:pt>
                <c:pt idx="2">
                  <c:v>231.24528301886792</c:v>
                </c:pt>
                <c:pt idx="3">
                  <c:v>231.24528301886792</c:v>
                </c:pt>
                <c:pt idx="4">
                  <c:v>231.24528301886792</c:v>
                </c:pt>
                <c:pt idx="5">
                  <c:v>231.24528301886792</c:v>
                </c:pt>
                <c:pt idx="6">
                  <c:v>231.24528301886792</c:v>
                </c:pt>
                <c:pt idx="7">
                  <c:v>231.24528301886792</c:v>
                </c:pt>
                <c:pt idx="8">
                  <c:v>231.24528301886792</c:v>
                </c:pt>
                <c:pt idx="9">
                  <c:v>231.24528301886792</c:v>
                </c:pt>
                <c:pt idx="10">
                  <c:v>231.24528301886792</c:v>
                </c:pt>
                <c:pt idx="11">
                  <c:v>231.24528301886792</c:v>
                </c:pt>
                <c:pt idx="12">
                  <c:v>231.24528301886792</c:v>
                </c:pt>
                <c:pt idx="13">
                  <c:v>231.24528301886792</c:v>
                </c:pt>
                <c:pt idx="14">
                  <c:v>231.24528301886792</c:v>
                </c:pt>
                <c:pt idx="15">
                  <c:v>231.24528301886792</c:v>
                </c:pt>
                <c:pt idx="16">
                  <c:v>231.24528301886792</c:v>
                </c:pt>
                <c:pt idx="17">
                  <c:v>231.24528301886792</c:v>
                </c:pt>
                <c:pt idx="18">
                  <c:v>231.24528301886792</c:v>
                </c:pt>
                <c:pt idx="19">
                  <c:v>231.24528301886792</c:v>
                </c:pt>
                <c:pt idx="20">
                  <c:v>231.24528301886792</c:v>
                </c:pt>
                <c:pt idx="21">
                  <c:v>231.24528301886792</c:v>
                </c:pt>
                <c:pt idx="22">
                  <c:v>231.24528301886792</c:v>
                </c:pt>
                <c:pt idx="23">
                  <c:v>231.24528301886792</c:v>
                </c:pt>
                <c:pt idx="24">
                  <c:v>231.24528301886792</c:v>
                </c:pt>
                <c:pt idx="25">
                  <c:v>231.24528301886792</c:v>
                </c:pt>
                <c:pt idx="26">
                  <c:v>231.24528301886792</c:v>
                </c:pt>
                <c:pt idx="27">
                  <c:v>231.24528301886792</c:v>
                </c:pt>
                <c:pt idx="28">
                  <c:v>231.24528301886792</c:v>
                </c:pt>
                <c:pt idx="29">
                  <c:v>231.24528301886792</c:v>
                </c:pt>
                <c:pt idx="30">
                  <c:v>231.24528301886792</c:v>
                </c:pt>
                <c:pt idx="31">
                  <c:v>231.24528301886792</c:v>
                </c:pt>
                <c:pt idx="32">
                  <c:v>231.24528301886792</c:v>
                </c:pt>
                <c:pt idx="33">
                  <c:v>231.24528301886792</c:v>
                </c:pt>
                <c:pt idx="34">
                  <c:v>231.24528301886792</c:v>
                </c:pt>
                <c:pt idx="35">
                  <c:v>231.24528301886792</c:v>
                </c:pt>
                <c:pt idx="36">
                  <c:v>231.24528301886792</c:v>
                </c:pt>
                <c:pt idx="37">
                  <c:v>231.24528301886792</c:v>
                </c:pt>
                <c:pt idx="38">
                  <c:v>231.24528301886792</c:v>
                </c:pt>
                <c:pt idx="39">
                  <c:v>231.24528301886792</c:v>
                </c:pt>
                <c:pt idx="40">
                  <c:v>231.24528301886792</c:v>
                </c:pt>
                <c:pt idx="41">
                  <c:v>231.24528301886792</c:v>
                </c:pt>
                <c:pt idx="42">
                  <c:v>231.24528301886792</c:v>
                </c:pt>
                <c:pt idx="43">
                  <c:v>231.24528301886792</c:v>
                </c:pt>
                <c:pt idx="44">
                  <c:v>231.24528301886792</c:v>
                </c:pt>
                <c:pt idx="45">
                  <c:v>231.24528301886792</c:v>
                </c:pt>
                <c:pt idx="46">
                  <c:v>231.24528301886792</c:v>
                </c:pt>
                <c:pt idx="47">
                  <c:v>231.24528301886792</c:v>
                </c:pt>
                <c:pt idx="48">
                  <c:v>231.24528301886792</c:v>
                </c:pt>
                <c:pt idx="49">
                  <c:v>231.24528301886792</c:v>
                </c:pt>
                <c:pt idx="50">
                  <c:v>231.24528301886792</c:v>
                </c:pt>
                <c:pt idx="51">
                  <c:v>231.24528301886792</c:v>
                </c:pt>
                <c:pt idx="52">
                  <c:v>231.24528301886792</c:v>
                </c:pt>
                <c:pt idx="53">
                  <c:v>231.24528301886792</c:v>
                </c:pt>
                <c:pt idx="54">
                  <c:v>231.24528301886792</c:v>
                </c:pt>
                <c:pt idx="55">
                  <c:v>231.24528301886792</c:v>
                </c:pt>
                <c:pt idx="56">
                  <c:v>231.24528301886792</c:v>
                </c:pt>
                <c:pt idx="57">
                  <c:v>231.24528301886792</c:v>
                </c:pt>
                <c:pt idx="58">
                  <c:v>231.24528301886792</c:v>
                </c:pt>
                <c:pt idx="59">
                  <c:v>231.24528301886792</c:v>
                </c:pt>
                <c:pt idx="60">
                  <c:v>231.24528301886792</c:v>
                </c:pt>
                <c:pt idx="61">
                  <c:v>231.24528301886792</c:v>
                </c:pt>
                <c:pt idx="62">
                  <c:v>231.24528301886792</c:v>
                </c:pt>
                <c:pt idx="63">
                  <c:v>231.24528301886792</c:v>
                </c:pt>
                <c:pt idx="64">
                  <c:v>231.24528301886792</c:v>
                </c:pt>
                <c:pt idx="65">
                  <c:v>231.24528301886792</c:v>
                </c:pt>
                <c:pt idx="66">
                  <c:v>231.24528301886792</c:v>
                </c:pt>
                <c:pt idx="67">
                  <c:v>231.24528301886792</c:v>
                </c:pt>
                <c:pt idx="68">
                  <c:v>231.24528301886792</c:v>
                </c:pt>
                <c:pt idx="69">
                  <c:v>231.24528301886792</c:v>
                </c:pt>
                <c:pt idx="70">
                  <c:v>231.24528301886792</c:v>
                </c:pt>
                <c:pt idx="71">
                  <c:v>231.24528301886792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57-4155-8CC7-7BEBFE00C53C}"/>
            </c:ext>
          </c:extLst>
        </c:ser>
        <c:ser>
          <c:idx val="3"/>
          <c:order val="4"/>
          <c:tx>
            <c:v>Historic caseload size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[0]!SPC_Dates</c:f>
              <c:numCache>
                <c:formatCode>m/d/yyyy</c:formatCode>
                <c:ptCount val="72"/>
                <c:pt idx="0">
                  <c:v>43617</c:v>
                </c:pt>
                <c:pt idx="1">
                  <c:v>43624</c:v>
                </c:pt>
                <c:pt idx="2">
                  <c:v>43631</c:v>
                </c:pt>
                <c:pt idx="3">
                  <c:v>43638</c:v>
                </c:pt>
                <c:pt idx="4">
                  <c:v>43645</c:v>
                </c:pt>
                <c:pt idx="5">
                  <c:v>43652</c:v>
                </c:pt>
                <c:pt idx="6">
                  <c:v>43659</c:v>
                </c:pt>
                <c:pt idx="7">
                  <c:v>43666</c:v>
                </c:pt>
                <c:pt idx="8">
                  <c:v>43673</c:v>
                </c:pt>
                <c:pt idx="9">
                  <c:v>43680</c:v>
                </c:pt>
                <c:pt idx="10">
                  <c:v>43687</c:v>
                </c:pt>
                <c:pt idx="11">
                  <c:v>43694</c:v>
                </c:pt>
                <c:pt idx="12">
                  <c:v>43701</c:v>
                </c:pt>
                <c:pt idx="13">
                  <c:v>43708</c:v>
                </c:pt>
                <c:pt idx="14">
                  <c:v>43715</c:v>
                </c:pt>
                <c:pt idx="15">
                  <c:v>43722</c:v>
                </c:pt>
                <c:pt idx="16">
                  <c:v>43729</c:v>
                </c:pt>
                <c:pt idx="17">
                  <c:v>43736</c:v>
                </c:pt>
                <c:pt idx="18">
                  <c:v>43743</c:v>
                </c:pt>
                <c:pt idx="19">
                  <c:v>43750</c:v>
                </c:pt>
                <c:pt idx="20">
                  <c:v>43757</c:v>
                </c:pt>
                <c:pt idx="21">
                  <c:v>43764</c:v>
                </c:pt>
                <c:pt idx="22">
                  <c:v>43771</c:v>
                </c:pt>
                <c:pt idx="23">
                  <c:v>43778</c:v>
                </c:pt>
                <c:pt idx="24">
                  <c:v>43785</c:v>
                </c:pt>
                <c:pt idx="25">
                  <c:v>43792</c:v>
                </c:pt>
                <c:pt idx="26">
                  <c:v>43799</c:v>
                </c:pt>
                <c:pt idx="27">
                  <c:v>43806</c:v>
                </c:pt>
                <c:pt idx="28">
                  <c:v>43813</c:v>
                </c:pt>
                <c:pt idx="29">
                  <c:v>43820</c:v>
                </c:pt>
                <c:pt idx="30">
                  <c:v>43827</c:v>
                </c:pt>
                <c:pt idx="31">
                  <c:v>43834</c:v>
                </c:pt>
                <c:pt idx="32">
                  <c:v>43841</c:v>
                </c:pt>
                <c:pt idx="33">
                  <c:v>43848</c:v>
                </c:pt>
                <c:pt idx="34">
                  <c:v>43855</c:v>
                </c:pt>
                <c:pt idx="35">
                  <c:v>43862</c:v>
                </c:pt>
                <c:pt idx="36">
                  <c:v>43869</c:v>
                </c:pt>
                <c:pt idx="37">
                  <c:v>43876</c:v>
                </c:pt>
                <c:pt idx="38">
                  <c:v>43883</c:v>
                </c:pt>
                <c:pt idx="39">
                  <c:v>43890</c:v>
                </c:pt>
                <c:pt idx="40">
                  <c:v>43897</c:v>
                </c:pt>
                <c:pt idx="41">
                  <c:v>43904</c:v>
                </c:pt>
                <c:pt idx="42">
                  <c:v>43911</c:v>
                </c:pt>
                <c:pt idx="43">
                  <c:v>43918</c:v>
                </c:pt>
                <c:pt idx="44">
                  <c:v>43925</c:v>
                </c:pt>
                <c:pt idx="45">
                  <c:v>43932</c:v>
                </c:pt>
                <c:pt idx="46">
                  <c:v>43939</c:v>
                </c:pt>
                <c:pt idx="47">
                  <c:v>43946</c:v>
                </c:pt>
                <c:pt idx="48">
                  <c:v>43953</c:v>
                </c:pt>
                <c:pt idx="49">
                  <c:v>43960</c:v>
                </c:pt>
                <c:pt idx="50">
                  <c:v>43967</c:v>
                </c:pt>
                <c:pt idx="51">
                  <c:v>43974</c:v>
                </c:pt>
                <c:pt idx="52">
                  <c:v>43981</c:v>
                </c:pt>
                <c:pt idx="53">
                  <c:v>43988</c:v>
                </c:pt>
                <c:pt idx="54">
                  <c:v>43995</c:v>
                </c:pt>
                <c:pt idx="55">
                  <c:v>44002</c:v>
                </c:pt>
                <c:pt idx="56">
                  <c:v>44009</c:v>
                </c:pt>
                <c:pt idx="57">
                  <c:v>44016</c:v>
                </c:pt>
                <c:pt idx="58">
                  <c:v>44023</c:v>
                </c:pt>
                <c:pt idx="59">
                  <c:v>44030</c:v>
                </c:pt>
                <c:pt idx="60">
                  <c:v>44037</c:v>
                </c:pt>
                <c:pt idx="61">
                  <c:v>44044</c:v>
                </c:pt>
                <c:pt idx="62">
                  <c:v>44051</c:v>
                </c:pt>
                <c:pt idx="63">
                  <c:v>44058</c:v>
                </c:pt>
                <c:pt idx="64">
                  <c:v>44065</c:v>
                </c:pt>
                <c:pt idx="65">
                  <c:v>44072</c:v>
                </c:pt>
                <c:pt idx="66">
                  <c:v>44079</c:v>
                </c:pt>
                <c:pt idx="67">
                  <c:v>44086</c:v>
                </c:pt>
                <c:pt idx="68">
                  <c:v>44093</c:v>
                </c:pt>
                <c:pt idx="69">
                  <c:v>44100</c:v>
                </c:pt>
                <c:pt idx="70">
                  <c:v>44107</c:v>
                </c:pt>
                <c:pt idx="71">
                  <c:v>44114</c:v>
                </c:pt>
              </c:numCache>
            </c:numRef>
          </c:cat>
          <c:val>
            <c:numRef>
              <c:f>[0]!SPC_Values</c:f>
              <c:numCache>
                <c:formatCode>General</c:formatCode>
                <c:ptCount val="72"/>
                <c:pt idx="0">
                  <c:v>260</c:v>
                </c:pt>
                <c:pt idx="1">
                  <c:v>312</c:v>
                </c:pt>
                <c:pt idx="2">
                  <c:v>250</c:v>
                </c:pt>
                <c:pt idx="3">
                  <c:v>220</c:v>
                </c:pt>
                <c:pt idx="4">
                  <c:v>158</c:v>
                </c:pt>
                <c:pt idx="5">
                  <c:v>152</c:v>
                </c:pt>
                <c:pt idx="6">
                  <c:v>204</c:v>
                </c:pt>
                <c:pt idx="7">
                  <c:v>228</c:v>
                </c:pt>
                <c:pt idx="8">
                  <c:v>252</c:v>
                </c:pt>
                <c:pt idx="9">
                  <c:v>246</c:v>
                </c:pt>
                <c:pt idx="10">
                  <c:v>256</c:v>
                </c:pt>
                <c:pt idx="11">
                  <c:v>184</c:v>
                </c:pt>
                <c:pt idx="12">
                  <c:v>190</c:v>
                </c:pt>
                <c:pt idx="13">
                  <c:v>232</c:v>
                </c:pt>
                <c:pt idx="14">
                  <c:v>232</c:v>
                </c:pt>
                <c:pt idx="15">
                  <c:v>222</c:v>
                </c:pt>
                <c:pt idx="16">
                  <c:v>230</c:v>
                </c:pt>
                <c:pt idx="17">
                  <c:v>242</c:v>
                </c:pt>
                <c:pt idx="18">
                  <c:v>320</c:v>
                </c:pt>
                <c:pt idx="19">
                  <c:v>338</c:v>
                </c:pt>
                <c:pt idx="20">
                  <c:v>270</c:v>
                </c:pt>
                <c:pt idx="21">
                  <c:v>216</c:v>
                </c:pt>
                <c:pt idx="22">
                  <c:v>220</c:v>
                </c:pt>
                <c:pt idx="23">
                  <c:v>216</c:v>
                </c:pt>
                <c:pt idx="24">
                  <c:v>208</c:v>
                </c:pt>
                <c:pt idx="25">
                  <c:v>140</c:v>
                </c:pt>
                <c:pt idx="26">
                  <c:v>178</c:v>
                </c:pt>
                <c:pt idx="27">
                  <c:v>260</c:v>
                </c:pt>
                <c:pt idx="28">
                  <c:v>258</c:v>
                </c:pt>
                <c:pt idx="29">
                  <c:v>192</c:v>
                </c:pt>
                <c:pt idx="30">
                  <c:v>188</c:v>
                </c:pt>
                <c:pt idx="31">
                  <c:v>244</c:v>
                </c:pt>
                <c:pt idx="32">
                  <c:v>254</c:v>
                </c:pt>
                <c:pt idx="33">
                  <c:v>158</c:v>
                </c:pt>
                <c:pt idx="34">
                  <c:v>152</c:v>
                </c:pt>
                <c:pt idx="35">
                  <c:v>196</c:v>
                </c:pt>
                <c:pt idx="36">
                  <c:v>244</c:v>
                </c:pt>
                <c:pt idx="37">
                  <c:v>258</c:v>
                </c:pt>
                <c:pt idx="38">
                  <c:v>262</c:v>
                </c:pt>
                <c:pt idx="39">
                  <c:v>380</c:v>
                </c:pt>
                <c:pt idx="40">
                  <c:v>394</c:v>
                </c:pt>
                <c:pt idx="41">
                  <c:v>170</c:v>
                </c:pt>
                <c:pt idx="42">
                  <c:v>30</c:v>
                </c:pt>
                <c:pt idx="43">
                  <c:v>100</c:v>
                </c:pt>
                <c:pt idx="44">
                  <c:v>246</c:v>
                </c:pt>
                <c:pt idx="45">
                  <c:v>254</c:v>
                </c:pt>
                <c:pt idx="46">
                  <c:v>256</c:v>
                </c:pt>
                <c:pt idx="47">
                  <c:v>266</c:v>
                </c:pt>
                <c:pt idx="48">
                  <c:v>248</c:v>
                </c:pt>
                <c:pt idx="49">
                  <c:v>198</c:v>
                </c:pt>
                <c:pt idx="50">
                  <c:v>182</c:v>
                </c:pt>
                <c:pt idx="51">
                  <c:v>246</c:v>
                </c:pt>
                <c:pt idx="52">
                  <c:v>296</c:v>
                </c:pt>
                <c:pt idx="53">
                  <c:v>346</c:v>
                </c:pt>
                <c:pt idx="54">
                  <c:v>230</c:v>
                </c:pt>
                <c:pt idx="55">
                  <c:v>146</c:v>
                </c:pt>
                <c:pt idx="56">
                  <c:v>140</c:v>
                </c:pt>
                <c:pt idx="57">
                  <c:v>182</c:v>
                </c:pt>
                <c:pt idx="58">
                  <c:v>260</c:v>
                </c:pt>
                <c:pt idx="59">
                  <c:v>282</c:v>
                </c:pt>
                <c:pt idx="60">
                  <c:v>204</c:v>
                </c:pt>
                <c:pt idx="61">
                  <c:v>242</c:v>
                </c:pt>
                <c:pt idx="62">
                  <c:v>268</c:v>
                </c:pt>
                <c:pt idx="63">
                  <c:v>298</c:v>
                </c:pt>
                <c:pt idx="64">
                  <c:v>214</c:v>
                </c:pt>
                <c:pt idx="65">
                  <c:v>204</c:v>
                </c:pt>
                <c:pt idx="66">
                  <c:v>254</c:v>
                </c:pt>
                <c:pt idx="67">
                  <c:v>246</c:v>
                </c:pt>
                <c:pt idx="68">
                  <c:v>244</c:v>
                </c:pt>
                <c:pt idx="69">
                  <c:v>244</c:v>
                </c:pt>
                <c:pt idx="70">
                  <c:v>230</c:v>
                </c:pt>
                <c:pt idx="71">
                  <c:v>304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C57-4155-8CC7-7BEBFE00C53C}"/>
            </c:ext>
          </c:extLst>
        </c:ser>
        <c:ser>
          <c:idx val="1"/>
          <c:order val="5"/>
          <c:tx>
            <c:v>UCL</c:v>
          </c:tx>
          <c:spPr>
            <a:ln w="28575" cap="rnd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[0]!SPC_Dates</c:f>
              <c:numCache>
                <c:formatCode>m/d/yyyy</c:formatCode>
                <c:ptCount val="72"/>
                <c:pt idx="0">
                  <c:v>43617</c:v>
                </c:pt>
                <c:pt idx="1">
                  <c:v>43624</c:v>
                </c:pt>
                <c:pt idx="2">
                  <c:v>43631</c:v>
                </c:pt>
                <c:pt idx="3">
                  <c:v>43638</c:v>
                </c:pt>
                <c:pt idx="4">
                  <c:v>43645</c:v>
                </c:pt>
                <c:pt idx="5">
                  <c:v>43652</c:v>
                </c:pt>
                <c:pt idx="6">
                  <c:v>43659</c:v>
                </c:pt>
                <c:pt idx="7">
                  <c:v>43666</c:v>
                </c:pt>
                <c:pt idx="8">
                  <c:v>43673</c:v>
                </c:pt>
                <c:pt idx="9">
                  <c:v>43680</c:v>
                </c:pt>
                <c:pt idx="10">
                  <c:v>43687</c:v>
                </c:pt>
                <c:pt idx="11">
                  <c:v>43694</c:v>
                </c:pt>
                <c:pt idx="12">
                  <c:v>43701</c:v>
                </c:pt>
                <c:pt idx="13">
                  <c:v>43708</c:v>
                </c:pt>
                <c:pt idx="14">
                  <c:v>43715</c:v>
                </c:pt>
                <c:pt idx="15">
                  <c:v>43722</c:v>
                </c:pt>
                <c:pt idx="16">
                  <c:v>43729</c:v>
                </c:pt>
                <c:pt idx="17">
                  <c:v>43736</c:v>
                </c:pt>
                <c:pt idx="18">
                  <c:v>43743</c:v>
                </c:pt>
                <c:pt idx="19">
                  <c:v>43750</c:v>
                </c:pt>
                <c:pt idx="20">
                  <c:v>43757</c:v>
                </c:pt>
                <c:pt idx="21">
                  <c:v>43764</c:v>
                </c:pt>
                <c:pt idx="22">
                  <c:v>43771</c:v>
                </c:pt>
                <c:pt idx="23">
                  <c:v>43778</c:v>
                </c:pt>
                <c:pt idx="24">
                  <c:v>43785</c:v>
                </c:pt>
                <c:pt idx="25">
                  <c:v>43792</c:v>
                </c:pt>
                <c:pt idx="26">
                  <c:v>43799</c:v>
                </c:pt>
                <c:pt idx="27">
                  <c:v>43806</c:v>
                </c:pt>
                <c:pt idx="28">
                  <c:v>43813</c:v>
                </c:pt>
                <c:pt idx="29">
                  <c:v>43820</c:v>
                </c:pt>
                <c:pt idx="30">
                  <c:v>43827</c:v>
                </c:pt>
                <c:pt idx="31">
                  <c:v>43834</c:v>
                </c:pt>
                <c:pt idx="32">
                  <c:v>43841</c:v>
                </c:pt>
                <c:pt idx="33">
                  <c:v>43848</c:v>
                </c:pt>
                <c:pt idx="34">
                  <c:v>43855</c:v>
                </c:pt>
                <c:pt idx="35">
                  <c:v>43862</c:v>
                </c:pt>
                <c:pt idx="36">
                  <c:v>43869</c:v>
                </c:pt>
                <c:pt idx="37">
                  <c:v>43876</c:v>
                </c:pt>
                <c:pt idx="38">
                  <c:v>43883</c:v>
                </c:pt>
                <c:pt idx="39">
                  <c:v>43890</c:v>
                </c:pt>
                <c:pt idx="40">
                  <c:v>43897</c:v>
                </c:pt>
                <c:pt idx="41">
                  <c:v>43904</c:v>
                </c:pt>
                <c:pt idx="42">
                  <c:v>43911</c:v>
                </c:pt>
                <c:pt idx="43">
                  <c:v>43918</c:v>
                </c:pt>
                <c:pt idx="44">
                  <c:v>43925</c:v>
                </c:pt>
                <c:pt idx="45">
                  <c:v>43932</c:v>
                </c:pt>
                <c:pt idx="46">
                  <c:v>43939</c:v>
                </c:pt>
                <c:pt idx="47">
                  <c:v>43946</c:v>
                </c:pt>
                <c:pt idx="48">
                  <c:v>43953</c:v>
                </c:pt>
                <c:pt idx="49">
                  <c:v>43960</c:v>
                </c:pt>
                <c:pt idx="50">
                  <c:v>43967</c:v>
                </c:pt>
                <c:pt idx="51">
                  <c:v>43974</c:v>
                </c:pt>
                <c:pt idx="52">
                  <c:v>43981</c:v>
                </c:pt>
                <c:pt idx="53">
                  <c:v>43988</c:v>
                </c:pt>
                <c:pt idx="54">
                  <c:v>43995</c:v>
                </c:pt>
                <c:pt idx="55">
                  <c:v>44002</c:v>
                </c:pt>
                <c:pt idx="56">
                  <c:v>44009</c:v>
                </c:pt>
                <c:pt idx="57">
                  <c:v>44016</c:v>
                </c:pt>
                <c:pt idx="58">
                  <c:v>44023</c:v>
                </c:pt>
                <c:pt idx="59">
                  <c:v>44030</c:v>
                </c:pt>
                <c:pt idx="60">
                  <c:v>44037</c:v>
                </c:pt>
                <c:pt idx="61">
                  <c:v>44044</c:v>
                </c:pt>
                <c:pt idx="62">
                  <c:v>44051</c:v>
                </c:pt>
                <c:pt idx="63">
                  <c:v>44058</c:v>
                </c:pt>
                <c:pt idx="64">
                  <c:v>44065</c:v>
                </c:pt>
                <c:pt idx="65">
                  <c:v>44072</c:v>
                </c:pt>
                <c:pt idx="66">
                  <c:v>44079</c:v>
                </c:pt>
                <c:pt idx="67">
                  <c:v>44086</c:v>
                </c:pt>
                <c:pt idx="68">
                  <c:v>44093</c:v>
                </c:pt>
                <c:pt idx="69">
                  <c:v>44100</c:v>
                </c:pt>
                <c:pt idx="70">
                  <c:v>44107</c:v>
                </c:pt>
                <c:pt idx="71">
                  <c:v>44114</c:v>
                </c:pt>
              </c:numCache>
            </c:numRef>
          </c:cat>
          <c:val>
            <c:numRef>
              <c:f>[0]!SPC_UCL</c:f>
              <c:numCache>
                <c:formatCode>General</c:formatCode>
                <c:ptCount val="72"/>
                <c:pt idx="0">
                  <c:v>353.68606985146528</c:v>
                </c:pt>
                <c:pt idx="1">
                  <c:v>353.68606985146528</c:v>
                </c:pt>
                <c:pt idx="2">
                  <c:v>353.68606985146528</c:v>
                </c:pt>
                <c:pt idx="3">
                  <c:v>353.68606985146528</c:v>
                </c:pt>
                <c:pt idx="4">
                  <c:v>353.68606985146528</c:v>
                </c:pt>
                <c:pt idx="5">
                  <c:v>353.68606985146528</c:v>
                </c:pt>
                <c:pt idx="6">
                  <c:v>353.68606985146528</c:v>
                </c:pt>
                <c:pt idx="7">
                  <c:v>353.68606985146528</c:v>
                </c:pt>
                <c:pt idx="8">
                  <c:v>353.68606985146528</c:v>
                </c:pt>
                <c:pt idx="9">
                  <c:v>353.68606985146528</c:v>
                </c:pt>
                <c:pt idx="10">
                  <c:v>353.68606985146528</c:v>
                </c:pt>
                <c:pt idx="11">
                  <c:v>353.68606985146528</c:v>
                </c:pt>
                <c:pt idx="12">
                  <c:v>353.68606985146528</c:v>
                </c:pt>
                <c:pt idx="13">
                  <c:v>353.68606985146528</c:v>
                </c:pt>
                <c:pt idx="14">
                  <c:v>353.68606985146528</c:v>
                </c:pt>
                <c:pt idx="15">
                  <c:v>353.68606985146528</c:v>
                </c:pt>
                <c:pt idx="16">
                  <c:v>353.68606985146528</c:v>
                </c:pt>
                <c:pt idx="17">
                  <c:v>353.68606985146528</c:v>
                </c:pt>
                <c:pt idx="18">
                  <c:v>353.68606985146528</c:v>
                </c:pt>
                <c:pt idx="19">
                  <c:v>353.68606985146528</c:v>
                </c:pt>
                <c:pt idx="20">
                  <c:v>353.68606985146528</c:v>
                </c:pt>
                <c:pt idx="21">
                  <c:v>353.68606985146528</c:v>
                </c:pt>
                <c:pt idx="22">
                  <c:v>353.68606985146528</c:v>
                </c:pt>
                <c:pt idx="23">
                  <c:v>353.68606985146528</c:v>
                </c:pt>
                <c:pt idx="24">
                  <c:v>353.68606985146528</c:v>
                </c:pt>
                <c:pt idx="25">
                  <c:v>353.68606985146528</c:v>
                </c:pt>
                <c:pt idx="26">
                  <c:v>353.68606985146528</c:v>
                </c:pt>
                <c:pt idx="27">
                  <c:v>353.68606985146528</c:v>
                </c:pt>
                <c:pt idx="28">
                  <c:v>353.68606985146528</c:v>
                </c:pt>
                <c:pt idx="29">
                  <c:v>353.68606985146528</c:v>
                </c:pt>
                <c:pt idx="30">
                  <c:v>353.68606985146528</c:v>
                </c:pt>
                <c:pt idx="31">
                  <c:v>353.68606985146528</c:v>
                </c:pt>
                <c:pt idx="32">
                  <c:v>353.68606985146528</c:v>
                </c:pt>
                <c:pt idx="33">
                  <c:v>353.68606985146528</c:v>
                </c:pt>
                <c:pt idx="34">
                  <c:v>353.68606985146528</c:v>
                </c:pt>
                <c:pt idx="35">
                  <c:v>353.68606985146528</c:v>
                </c:pt>
                <c:pt idx="36">
                  <c:v>353.68606985146528</c:v>
                </c:pt>
                <c:pt idx="37">
                  <c:v>353.68606985146528</c:v>
                </c:pt>
                <c:pt idx="38">
                  <c:v>353.68606985146528</c:v>
                </c:pt>
                <c:pt idx="39">
                  <c:v>353.68606985146528</c:v>
                </c:pt>
                <c:pt idx="40">
                  <c:v>353.68606985146528</c:v>
                </c:pt>
                <c:pt idx="41">
                  <c:v>353.68606985146528</c:v>
                </c:pt>
                <c:pt idx="42">
                  <c:v>353.68606985146528</c:v>
                </c:pt>
                <c:pt idx="43">
                  <c:v>353.68606985146528</c:v>
                </c:pt>
                <c:pt idx="44">
                  <c:v>353.68606985146528</c:v>
                </c:pt>
                <c:pt idx="45">
                  <c:v>353.68606985146528</c:v>
                </c:pt>
                <c:pt idx="46">
                  <c:v>353.68606985146528</c:v>
                </c:pt>
                <c:pt idx="47">
                  <c:v>353.68606985146528</c:v>
                </c:pt>
                <c:pt idx="48">
                  <c:v>353.68606985146528</c:v>
                </c:pt>
                <c:pt idx="49">
                  <c:v>353.68606985146528</c:v>
                </c:pt>
                <c:pt idx="50">
                  <c:v>353.68606985146528</c:v>
                </c:pt>
                <c:pt idx="51">
                  <c:v>353.68606985146528</c:v>
                </c:pt>
                <c:pt idx="52">
                  <c:v>353.68606985146528</c:v>
                </c:pt>
                <c:pt idx="53">
                  <c:v>353.68606985146528</c:v>
                </c:pt>
                <c:pt idx="54">
                  <c:v>353.68606985146528</c:v>
                </c:pt>
                <c:pt idx="55">
                  <c:v>353.68606985146528</c:v>
                </c:pt>
                <c:pt idx="56">
                  <c:v>353.68606985146528</c:v>
                </c:pt>
                <c:pt idx="57">
                  <c:v>353.68606985146528</c:v>
                </c:pt>
                <c:pt idx="58">
                  <c:v>353.68606985146528</c:v>
                </c:pt>
                <c:pt idx="59">
                  <c:v>353.68606985146528</c:v>
                </c:pt>
                <c:pt idx="60">
                  <c:v>353.68606985146528</c:v>
                </c:pt>
                <c:pt idx="61">
                  <c:v>353.68606985146528</c:v>
                </c:pt>
                <c:pt idx="62">
                  <c:v>353.68606985146528</c:v>
                </c:pt>
                <c:pt idx="63">
                  <c:v>353.68606985146528</c:v>
                </c:pt>
                <c:pt idx="64">
                  <c:v>353.68606985146528</c:v>
                </c:pt>
                <c:pt idx="65">
                  <c:v>353.68606985146528</c:v>
                </c:pt>
                <c:pt idx="66">
                  <c:v>353.68606985146528</c:v>
                </c:pt>
                <c:pt idx="67">
                  <c:v>353.68606985146528</c:v>
                </c:pt>
                <c:pt idx="68">
                  <c:v>353.68606985146528</c:v>
                </c:pt>
                <c:pt idx="69">
                  <c:v>353.68606985146528</c:v>
                </c:pt>
                <c:pt idx="70">
                  <c:v>353.68606985146528</c:v>
                </c:pt>
                <c:pt idx="71">
                  <c:v>353.68606985146528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57-4155-8CC7-7BEBFE00C53C}"/>
            </c:ext>
          </c:extLst>
        </c:ser>
        <c:ser>
          <c:idx val="2"/>
          <c:order val="6"/>
          <c:tx>
            <c:v>LCL</c:v>
          </c:tx>
          <c:spPr>
            <a:ln w="28575" cap="rnd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[0]!SPC_Dates</c:f>
              <c:numCache>
                <c:formatCode>m/d/yyyy</c:formatCode>
                <c:ptCount val="72"/>
                <c:pt idx="0">
                  <c:v>43617</c:v>
                </c:pt>
                <c:pt idx="1">
                  <c:v>43624</c:v>
                </c:pt>
                <c:pt idx="2">
                  <c:v>43631</c:v>
                </c:pt>
                <c:pt idx="3">
                  <c:v>43638</c:v>
                </c:pt>
                <c:pt idx="4">
                  <c:v>43645</c:v>
                </c:pt>
                <c:pt idx="5">
                  <c:v>43652</c:v>
                </c:pt>
                <c:pt idx="6">
                  <c:v>43659</c:v>
                </c:pt>
                <c:pt idx="7">
                  <c:v>43666</c:v>
                </c:pt>
                <c:pt idx="8">
                  <c:v>43673</c:v>
                </c:pt>
                <c:pt idx="9">
                  <c:v>43680</c:v>
                </c:pt>
                <c:pt idx="10">
                  <c:v>43687</c:v>
                </c:pt>
                <c:pt idx="11">
                  <c:v>43694</c:v>
                </c:pt>
                <c:pt idx="12">
                  <c:v>43701</c:v>
                </c:pt>
                <c:pt idx="13">
                  <c:v>43708</c:v>
                </c:pt>
                <c:pt idx="14">
                  <c:v>43715</c:v>
                </c:pt>
                <c:pt idx="15">
                  <c:v>43722</c:v>
                </c:pt>
                <c:pt idx="16">
                  <c:v>43729</c:v>
                </c:pt>
                <c:pt idx="17">
                  <c:v>43736</c:v>
                </c:pt>
                <c:pt idx="18">
                  <c:v>43743</c:v>
                </c:pt>
                <c:pt idx="19">
                  <c:v>43750</c:v>
                </c:pt>
                <c:pt idx="20">
                  <c:v>43757</c:v>
                </c:pt>
                <c:pt idx="21">
                  <c:v>43764</c:v>
                </c:pt>
                <c:pt idx="22">
                  <c:v>43771</c:v>
                </c:pt>
                <c:pt idx="23">
                  <c:v>43778</c:v>
                </c:pt>
                <c:pt idx="24">
                  <c:v>43785</c:v>
                </c:pt>
                <c:pt idx="25">
                  <c:v>43792</c:v>
                </c:pt>
                <c:pt idx="26">
                  <c:v>43799</c:v>
                </c:pt>
                <c:pt idx="27">
                  <c:v>43806</c:v>
                </c:pt>
                <c:pt idx="28">
                  <c:v>43813</c:v>
                </c:pt>
                <c:pt idx="29">
                  <c:v>43820</c:v>
                </c:pt>
                <c:pt idx="30">
                  <c:v>43827</c:v>
                </c:pt>
                <c:pt idx="31">
                  <c:v>43834</c:v>
                </c:pt>
                <c:pt idx="32">
                  <c:v>43841</c:v>
                </c:pt>
                <c:pt idx="33">
                  <c:v>43848</c:v>
                </c:pt>
                <c:pt idx="34">
                  <c:v>43855</c:v>
                </c:pt>
                <c:pt idx="35">
                  <c:v>43862</c:v>
                </c:pt>
                <c:pt idx="36">
                  <c:v>43869</c:v>
                </c:pt>
                <c:pt idx="37">
                  <c:v>43876</c:v>
                </c:pt>
                <c:pt idx="38">
                  <c:v>43883</c:v>
                </c:pt>
                <c:pt idx="39">
                  <c:v>43890</c:v>
                </c:pt>
                <c:pt idx="40">
                  <c:v>43897</c:v>
                </c:pt>
                <c:pt idx="41">
                  <c:v>43904</c:v>
                </c:pt>
                <c:pt idx="42">
                  <c:v>43911</c:v>
                </c:pt>
                <c:pt idx="43">
                  <c:v>43918</c:v>
                </c:pt>
                <c:pt idx="44">
                  <c:v>43925</c:v>
                </c:pt>
                <c:pt idx="45">
                  <c:v>43932</c:v>
                </c:pt>
                <c:pt idx="46">
                  <c:v>43939</c:v>
                </c:pt>
                <c:pt idx="47">
                  <c:v>43946</c:v>
                </c:pt>
                <c:pt idx="48">
                  <c:v>43953</c:v>
                </c:pt>
                <c:pt idx="49">
                  <c:v>43960</c:v>
                </c:pt>
                <c:pt idx="50">
                  <c:v>43967</c:v>
                </c:pt>
                <c:pt idx="51">
                  <c:v>43974</c:v>
                </c:pt>
                <c:pt idx="52">
                  <c:v>43981</c:v>
                </c:pt>
                <c:pt idx="53">
                  <c:v>43988</c:v>
                </c:pt>
                <c:pt idx="54">
                  <c:v>43995</c:v>
                </c:pt>
                <c:pt idx="55">
                  <c:v>44002</c:v>
                </c:pt>
                <c:pt idx="56">
                  <c:v>44009</c:v>
                </c:pt>
                <c:pt idx="57">
                  <c:v>44016</c:v>
                </c:pt>
                <c:pt idx="58">
                  <c:v>44023</c:v>
                </c:pt>
                <c:pt idx="59">
                  <c:v>44030</c:v>
                </c:pt>
                <c:pt idx="60">
                  <c:v>44037</c:v>
                </c:pt>
                <c:pt idx="61">
                  <c:v>44044</c:v>
                </c:pt>
                <c:pt idx="62">
                  <c:v>44051</c:v>
                </c:pt>
                <c:pt idx="63">
                  <c:v>44058</c:v>
                </c:pt>
                <c:pt idx="64">
                  <c:v>44065</c:v>
                </c:pt>
                <c:pt idx="65">
                  <c:v>44072</c:v>
                </c:pt>
                <c:pt idx="66">
                  <c:v>44079</c:v>
                </c:pt>
                <c:pt idx="67">
                  <c:v>44086</c:v>
                </c:pt>
                <c:pt idx="68">
                  <c:v>44093</c:v>
                </c:pt>
                <c:pt idx="69">
                  <c:v>44100</c:v>
                </c:pt>
                <c:pt idx="70">
                  <c:v>44107</c:v>
                </c:pt>
                <c:pt idx="71">
                  <c:v>44114</c:v>
                </c:pt>
              </c:numCache>
            </c:numRef>
          </c:cat>
          <c:val>
            <c:numRef>
              <c:f>[0]!SPC_LCL</c:f>
              <c:numCache>
                <c:formatCode>General</c:formatCode>
                <c:ptCount val="72"/>
                <c:pt idx="0">
                  <c:v>108.80449618627055</c:v>
                </c:pt>
                <c:pt idx="1">
                  <c:v>108.80449618627055</c:v>
                </c:pt>
                <c:pt idx="2">
                  <c:v>108.80449618627055</c:v>
                </c:pt>
                <c:pt idx="3">
                  <c:v>108.80449618627055</c:v>
                </c:pt>
                <c:pt idx="4">
                  <c:v>108.80449618627055</c:v>
                </c:pt>
                <c:pt idx="5">
                  <c:v>108.80449618627055</c:v>
                </c:pt>
                <c:pt idx="6">
                  <c:v>108.80449618627055</c:v>
                </c:pt>
                <c:pt idx="7">
                  <c:v>108.80449618627055</c:v>
                </c:pt>
                <c:pt idx="8">
                  <c:v>108.80449618627055</c:v>
                </c:pt>
                <c:pt idx="9">
                  <c:v>108.80449618627055</c:v>
                </c:pt>
                <c:pt idx="10">
                  <c:v>108.80449618627055</c:v>
                </c:pt>
                <c:pt idx="11">
                  <c:v>108.80449618627055</c:v>
                </c:pt>
                <c:pt idx="12">
                  <c:v>108.80449618627055</c:v>
                </c:pt>
                <c:pt idx="13">
                  <c:v>108.80449618627055</c:v>
                </c:pt>
                <c:pt idx="14">
                  <c:v>108.80449618627055</c:v>
                </c:pt>
                <c:pt idx="15">
                  <c:v>108.80449618627055</c:v>
                </c:pt>
                <c:pt idx="16">
                  <c:v>108.80449618627055</c:v>
                </c:pt>
                <c:pt idx="17">
                  <c:v>108.80449618627055</c:v>
                </c:pt>
                <c:pt idx="18">
                  <c:v>108.80449618627055</c:v>
                </c:pt>
                <c:pt idx="19">
                  <c:v>108.80449618627055</c:v>
                </c:pt>
                <c:pt idx="20">
                  <c:v>108.80449618627055</c:v>
                </c:pt>
                <c:pt idx="21">
                  <c:v>108.80449618627055</c:v>
                </c:pt>
                <c:pt idx="22">
                  <c:v>108.80449618627055</c:v>
                </c:pt>
                <c:pt idx="23">
                  <c:v>108.80449618627055</c:v>
                </c:pt>
                <c:pt idx="24">
                  <c:v>108.80449618627055</c:v>
                </c:pt>
                <c:pt idx="25">
                  <c:v>108.80449618627055</c:v>
                </c:pt>
                <c:pt idx="26">
                  <c:v>108.80449618627055</c:v>
                </c:pt>
                <c:pt idx="27">
                  <c:v>108.80449618627055</c:v>
                </c:pt>
                <c:pt idx="28">
                  <c:v>108.80449618627055</c:v>
                </c:pt>
                <c:pt idx="29">
                  <c:v>108.80449618627055</c:v>
                </c:pt>
                <c:pt idx="30">
                  <c:v>108.80449618627055</c:v>
                </c:pt>
                <c:pt idx="31">
                  <c:v>108.80449618627055</c:v>
                </c:pt>
                <c:pt idx="32">
                  <c:v>108.80449618627055</c:v>
                </c:pt>
                <c:pt idx="33">
                  <c:v>108.80449618627055</c:v>
                </c:pt>
                <c:pt idx="34">
                  <c:v>108.80449618627055</c:v>
                </c:pt>
                <c:pt idx="35">
                  <c:v>108.80449618627055</c:v>
                </c:pt>
                <c:pt idx="36">
                  <c:v>108.80449618627055</c:v>
                </c:pt>
                <c:pt idx="37">
                  <c:v>108.80449618627055</c:v>
                </c:pt>
                <c:pt idx="38">
                  <c:v>108.80449618627055</c:v>
                </c:pt>
                <c:pt idx="39">
                  <c:v>108.80449618627055</c:v>
                </c:pt>
                <c:pt idx="40">
                  <c:v>108.80449618627055</c:v>
                </c:pt>
                <c:pt idx="41">
                  <c:v>108.80449618627055</c:v>
                </c:pt>
                <c:pt idx="42">
                  <c:v>108.80449618627055</c:v>
                </c:pt>
                <c:pt idx="43">
                  <c:v>108.80449618627055</c:v>
                </c:pt>
                <c:pt idx="44">
                  <c:v>108.80449618627055</c:v>
                </c:pt>
                <c:pt idx="45">
                  <c:v>108.80449618627055</c:v>
                </c:pt>
                <c:pt idx="46">
                  <c:v>108.80449618627055</c:v>
                </c:pt>
                <c:pt idx="47">
                  <c:v>108.80449618627055</c:v>
                </c:pt>
                <c:pt idx="48">
                  <c:v>108.80449618627055</c:v>
                </c:pt>
                <c:pt idx="49">
                  <c:v>108.80449618627055</c:v>
                </c:pt>
                <c:pt idx="50">
                  <c:v>108.80449618627055</c:v>
                </c:pt>
                <c:pt idx="51">
                  <c:v>108.80449618627055</c:v>
                </c:pt>
                <c:pt idx="52">
                  <c:v>108.80449618627055</c:v>
                </c:pt>
                <c:pt idx="53">
                  <c:v>108.80449618627055</c:v>
                </c:pt>
                <c:pt idx="54">
                  <c:v>108.80449618627055</c:v>
                </c:pt>
                <c:pt idx="55">
                  <c:v>108.80449618627055</c:v>
                </c:pt>
                <c:pt idx="56">
                  <c:v>108.80449618627055</c:v>
                </c:pt>
                <c:pt idx="57">
                  <c:v>108.80449618627055</c:v>
                </c:pt>
                <c:pt idx="58">
                  <c:v>108.80449618627055</c:v>
                </c:pt>
                <c:pt idx="59">
                  <c:v>108.80449618627055</c:v>
                </c:pt>
                <c:pt idx="60">
                  <c:v>108.80449618627055</c:v>
                </c:pt>
                <c:pt idx="61">
                  <c:v>108.80449618627055</c:v>
                </c:pt>
                <c:pt idx="62">
                  <c:v>108.80449618627055</c:v>
                </c:pt>
                <c:pt idx="63">
                  <c:v>108.80449618627055</c:v>
                </c:pt>
                <c:pt idx="64">
                  <c:v>108.80449618627055</c:v>
                </c:pt>
                <c:pt idx="65">
                  <c:v>108.80449618627055</c:v>
                </c:pt>
                <c:pt idx="66">
                  <c:v>108.80449618627055</c:v>
                </c:pt>
                <c:pt idx="67">
                  <c:v>108.80449618627055</c:v>
                </c:pt>
                <c:pt idx="68">
                  <c:v>108.80449618627055</c:v>
                </c:pt>
                <c:pt idx="69">
                  <c:v>108.80449618627055</c:v>
                </c:pt>
                <c:pt idx="70">
                  <c:v>108.80449618627055</c:v>
                </c:pt>
                <c:pt idx="71">
                  <c:v>108.80449618627055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C57-4155-8CC7-7BEBFE00C53C}"/>
            </c:ext>
          </c:extLst>
        </c:ser>
        <c:ser>
          <c:idx val="4"/>
          <c:order val="7"/>
          <c:tx>
            <c:v>Rule 1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val>
            <c:numRef>
              <c:f>[0]!SPC_Rule1</c:f>
              <c:numCache>
                <c:formatCode>General</c:formatCode>
                <c:ptCount val="7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380</c:v>
                </c:pt>
                <c:pt idx="40">
                  <c:v>394</c:v>
                </c:pt>
                <c:pt idx="41">
                  <c:v>#N/A</c:v>
                </c:pt>
                <c:pt idx="42">
                  <c:v>30</c:v>
                </c:pt>
                <c:pt idx="43">
                  <c:v>100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C57-4155-8CC7-7BEBFE00C53C}"/>
            </c:ext>
          </c:extLst>
        </c:ser>
        <c:ser>
          <c:idx val="5"/>
          <c:order val="8"/>
          <c:tx>
            <c:v>Rule 2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noFill/>
              </a:ln>
              <a:effectLst/>
            </c:spPr>
          </c:marker>
          <c:val>
            <c:numRef>
              <c:f>[0]!SPC_Rule2</c:f>
              <c:numCache>
                <c:formatCode>General</c:formatCode>
                <c:ptCount val="7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242</c:v>
                </c:pt>
                <c:pt idx="18">
                  <c:v>320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262</c:v>
                </c:pt>
                <c:pt idx="39">
                  <c:v>#N/A</c:v>
                </c:pt>
                <c:pt idx="40">
                  <c:v>#N/A</c:v>
                </c:pt>
                <c:pt idx="41">
                  <c:v>170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230</c:v>
                </c:pt>
                <c:pt idx="55">
                  <c:v>146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C57-4155-8CC7-7BEBFE00C53C}"/>
            </c:ext>
          </c:extLst>
        </c:ser>
        <c:ser>
          <c:idx val="6"/>
          <c:order val="9"/>
          <c:tx>
            <c:v>Rule 3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val>
            <c:numRef>
              <c:f>[0]!SPC_Rule3</c:f>
              <c:numCache>
                <c:formatCode>General</c:formatCode>
                <c:ptCount val="7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152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C57-4155-8CC7-7BEBFE00C53C}"/>
            </c:ext>
          </c:extLst>
        </c:ser>
        <c:ser>
          <c:idx val="7"/>
          <c:order val="10"/>
          <c:tx>
            <c:v>Rule 4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noFill/>
              </a:ln>
              <a:effectLst/>
            </c:spPr>
          </c:marker>
          <c:val>
            <c:numRef>
              <c:f>[0]!SPC_Rule4</c:f>
              <c:numCache>
                <c:formatCode>General</c:formatCode>
                <c:ptCount val="7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C57-4155-8CC7-7BEBFE00C53C}"/>
            </c:ext>
          </c:extLst>
        </c:ser>
        <c:ser>
          <c:idx val="8"/>
          <c:order val="11"/>
          <c:tx>
            <c:v>-2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[0]!SPC_Minus2Sigma</c:f>
              <c:numCache>
                <c:formatCode>General</c:formatCode>
                <c:ptCount val="72"/>
                <c:pt idx="0">
                  <c:v>149.61809179713634</c:v>
                </c:pt>
                <c:pt idx="1">
                  <c:v>149.61809179713634</c:v>
                </c:pt>
                <c:pt idx="2">
                  <c:v>149.61809179713634</c:v>
                </c:pt>
                <c:pt idx="3">
                  <c:v>149.61809179713634</c:v>
                </c:pt>
                <c:pt idx="4">
                  <c:v>149.61809179713634</c:v>
                </c:pt>
                <c:pt idx="5">
                  <c:v>149.61809179713634</c:v>
                </c:pt>
                <c:pt idx="6">
                  <c:v>149.61809179713634</c:v>
                </c:pt>
                <c:pt idx="7">
                  <c:v>149.61809179713634</c:v>
                </c:pt>
                <c:pt idx="8">
                  <c:v>149.61809179713634</c:v>
                </c:pt>
                <c:pt idx="9">
                  <c:v>149.61809179713634</c:v>
                </c:pt>
                <c:pt idx="10">
                  <c:v>149.61809179713634</c:v>
                </c:pt>
                <c:pt idx="11">
                  <c:v>149.61809179713634</c:v>
                </c:pt>
                <c:pt idx="12">
                  <c:v>149.61809179713634</c:v>
                </c:pt>
                <c:pt idx="13">
                  <c:v>149.61809179713634</c:v>
                </c:pt>
                <c:pt idx="14">
                  <c:v>149.61809179713634</c:v>
                </c:pt>
                <c:pt idx="15">
                  <c:v>149.61809179713634</c:v>
                </c:pt>
                <c:pt idx="16">
                  <c:v>149.61809179713634</c:v>
                </c:pt>
                <c:pt idx="17">
                  <c:v>149.61809179713634</c:v>
                </c:pt>
                <c:pt idx="18">
                  <c:v>149.61809179713634</c:v>
                </c:pt>
                <c:pt idx="19">
                  <c:v>149.61809179713634</c:v>
                </c:pt>
                <c:pt idx="20">
                  <c:v>149.61809179713634</c:v>
                </c:pt>
                <c:pt idx="21">
                  <c:v>149.61809179713634</c:v>
                </c:pt>
                <c:pt idx="22">
                  <c:v>149.61809179713634</c:v>
                </c:pt>
                <c:pt idx="23">
                  <c:v>149.61809179713634</c:v>
                </c:pt>
                <c:pt idx="24">
                  <c:v>149.61809179713634</c:v>
                </c:pt>
                <c:pt idx="25">
                  <c:v>149.61809179713634</c:v>
                </c:pt>
                <c:pt idx="26">
                  <c:v>149.61809179713634</c:v>
                </c:pt>
                <c:pt idx="27">
                  <c:v>149.61809179713634</c:v>
                </c:pt>
                <c:pt idx="28">
                  <c:v>149.61809179713634</c:v>
                </c:pt>
                <c:pt idx="29">
                  <c:v>149.61809179713634</c:v>
                </c:pt>
                <c:pt idx="30">
                  <c:v>149.61809179713634</c:v>
                </c:pt>
                <c:pt idx="31">
                  <c:v>149.61809179713634</c:v>
                </c:pt>
                <c:pt idx="32">
                  <c:v>149.61809179713634</c:v>
                </c:pt>
                <c:pt idx="33">
                  <c:v>149.61809179713634</c:v>
                </c:pt>
                <c:pt idx="34">
                  <c:v>149.61809179713634</c:v>
                </c:pt>
                <c:pt idx="35">
                  <c:v>149.61809179713634</c:v>
                </c:pt>
                <c:pt idx="36">
                  <c:v>149.61809179713634</c:v>
                </c:pt>
                <c:pt idx="37">
                  <c:v>149.61809179713634</c:v>
                </c:pt>
                <c:pt idx="38">
                  <c:v>149.61809179713634</c:v>
                </c:pt>
                <c:pt idx="39">
                  <c:v>149.61809179713634</c:v>
                </c:pt>
                <c:pt idx="40">
                  <c:v>149.61809179713634</c:v>
                </c:pt>
                <c:pt idx="41">
                  <c:v>149.61809179713634</c:v>
                </c:pt>
                <c:pt idx="42">
                  <c:v>149.61809179713634</c:v>
                </c:pt>
                <c:pt idx="43">
                  <c:v>149.61809179713634</c:v>
                </c:pt>
                <c:pt idx="44">
                  <c:v>149.61809179713634</c:v>
                </c:pt>
                <c:pt idx="45">
                  <c:v>149.61809179713634</c:v>
                </c:pt>
                <c:pt idx="46">
                  <c:v>149.61809179713634</c:v>
                </c:pt>
                <c:pt idx="47">
                  <c:v>149.61809179713634</c:v>
                </c:pt>
                <c:pt idx="48">
                  <c:v>149.61809179713634</c:v>
                </c:pt>
                <c:pt idx="49">
                  <c:v>149.61809179713634</c:v>
                </c:pt>
                <c:pt idx="50">
                  <c:v>149.61809179713634</c:v>
                </c:pt>
                <c:pt idx="51">
                  <c:v>149.61809179713634</c:v>
                </c:pt>
                <c:pt idx="52">
                  <c:v>149.61809179713634</c:v>
                </c:pt>
                <c:pt idx="53">
                  <c:v>149.61809179713634</c:v>
                </c:pt>
                <c:pt idx="54">
                  <c:v>149.61809179713634</c:v>
                </c:pt>
                <c:pt idx="55">
                  <c:v>149.61809179713634</c:v>
                </c:pt>
                <c:pt idx="56">
                  <c:v>149.61809179713634</c:v>
                </c:pt>
                <c:pt idx="57">
                  <c:v>149.61809179713634</c:v>
                </c:pt>
                <c:pt idx="58">
                  <c:v>149.61809179713634</c:v>
                </c:pt>
                <c:pt idx="59">
                  <c:v>149.61809179713634</c:v>
                </c:pt>
                <c:pt idx="60">
                  <c:v>149.61809179713634</c:v>
                </c:pt>
                <c:pt idx="61">
                  <c:v>149.61809179713634</c:v>
                </c:pt>
                <c:pt idx="62">
                  <c:v>149.61809179713634</c:v>
                </c:pt>
                <c:pt idx="63">
                  <c:v>149.61809179713634</c:v>
                </c:pt>
                <c:pt idx="64">
                  <c:v>149.61809179713634</c:v>
                </c:pt>
                <c:pt idx="65">
                  <c:v>149.61809179713634</c:v>
                </c:pt>
                <c:pt idx="66">
                  <c:v>149.61809179713634</c:v>
                </c:pt>
                <c:pt idx="67">
                  <c:v>149.61809179713634</c:v>
                </c:pt>
                <c:pt idx="68">
                  <c:v>149.61809179713634</c:v>
                </c:pt>
                <c:pt idx="69">
                  <c:v>149.61809179713634</c:v>
                </c:pt>
                <c:pt idx="70">
                  <c:v>149.61809179713634</c:v>
                </c:pt>
                <c:pt idx="71">
                  <c:v>149.61809179713634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C57-4155-8CC7-7BEBFE00C53C}"/>
            </c:ext>
          </c:extLst>
        </c:ser>
        <c:ser>
          <c:idx val="9"/>
          <c:order val="12"/>
          <c:tx>
            <c:v>-1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[0]!SPC_Minus1Sigma</c:f>
              <c:numCache>
                <c:formatCode>General</c:formatCode>
                <c:ptCount val="72"/>
                <c:pt idx="0">
                  <c:v>190.43168740800212</c:v>
                </c:pt>
                <c:pt idx="1">
                  <c:v>190.43168740800212</c:v>
                </c:pt>
                <c:pt idx="2">
                  <c:v>190.43168740800212</c:v>
                </c:pt>
                <c:pt idx="3">
                  <c:v>190.43168740800212</c:v>
                </c:pt>
                <c:pt idx="4">
                  <c:v>190.43168740800212</c:v>
                </c:pt>
                <c:pt idx="5">
                  <c:v>190.43168740800212</c:v>
                </c:pt>
                <c:pt idx="6">
                  <c:v>190.43168740800212</c:v>
                </c:pt>
                <c:pt idx="7">
                  <c:v>190.43168740800212</c:v>
                </c:pt>
                <c:pt idx="8">
                  <c:v>190.43168740800212</c:v>
                </c:pt>
                <c:pt idx="9">
                  <c:v>190.43168740800212</c:v>
                </c:pt>
                <c:pt idx="10">
                  <c:v>190.43168740800212</c:v>
                </c:pt>
                <c:pt idx="11">
                  <c:v>190.43168740800212</c:v>
                </c:pt>
                <c:pt idx="12">
                  <c:v>190.43168740800212</c:v>
                </c:pt>
                <c:pt idx="13">
                  <c:v>190.43168740800212</c:v>
                </c:pt>
                <c:pt idx="14">
                  <c:v>190.43168740800212</c:v>
                </c:pt>
                <c:pt idx="15">
                  <c:v>190.43168740800212</c:v>
                </c:pt>
                <c:pt idx="16">
                  <c:v>190.43168740800212</c:v>
                </c:pt>
                <c:pt idx="17">
                  <c:v>190.43168740800212</c:v>
                </c:pt>
                <c:pt idx="18">
                  <c:v>190.43168740800212</c:v>
                </c:pt>
                <c:pt idx="19">
                  <c:v>190.43168740800212</c:v>
                </c:pt>
                <c:pt idx="20">
                  <c:v>190.43168740800212</c:v>
                </c:pt>
                <c:pt idx="21">
                  <c:v>190.43168740800212</c:v>
                </c:pt>
                <c:pt idx="22">
                  <c:v>190.43168740800212</c:v>
                </c:pt>
                <c:pt idx="23">
                  <c:v>190.43168740800212</c:v>
                </c:pt>
                <c:pt idx="24">
                  <c:v>190.43168740800212</c:v>
                </c:pt>
                <c:pt idx="25">
                  <c:v>190.43168740800212</c:v>
                </c:pt>
                <c:pt idx="26">
                  <c:v>190.43168740800212</c:v>
                </c:pt>
                <c:pt idx="27">
                  <c:v>190.43168740800212</c:v>
                </c:pt>
                <c:pt idx="28">
                  <c:v>190.43168740800212</c:v>
                </c:pt>
                <c:pt idx="29">
                  <c:v>190.43168740800212</c:v>
                </c:pt>
                <c:pt idx="30">
                  <c:v>190.43168740800212</c:v>
                </c:pt>
                <c:pt idx="31">
                  <c:v>190.43168740800212</c:v>
                </c:pt>
                <c:pt idx="32">
                  <c:v>190.43168740800212</c:v>
                </c:pt>
                <c:pt idx="33">
                  <c:v>190.43168740800212</c:v>
                </c:pt>
                <c:pt idx="34">
                  <c:v>190.43168740800212</c:v>
                </c:pt>
                <c:pt idx="35">
                  <c:v>190.43168740800212</c:v>
                </c:pt>
                <c:pt idx="36">
                  <c:v>190.43168740800212</c:v>
                </c:pt>
                <c:pt idx="37">
                  <c:v>190.43168740800212</c:v>
                </c:pt>
                <c:pt idx="38">
                  <c:v>190.43168740800212</c:v>
                </c:pt>
                <c:pt idx="39">
                  <c:v>190.43168740800212</c:v>
                </c:pt>
                <c:pt idx="40">
                  <c:v>190.43168740800212</c:v>
                </c:pt>
                <c:pt idx="41">
                  <c:v>190.43168740800212</c:v>
                </c:pt>
                <c:pt idx="42">
                  <c:v>190.43168740800212</c:v>
                </c:pt>
                <c:pt idx="43">
                  <c:v>190.43168740800212</c:v>
                </c:pt>
                <c:pt idx="44">
                  <c:v>190.43168740800212</c:v>
                </c:pt>
                <c:pt idx="45">
                  <c:v>190.43168740800212</c:v>
                </c:pt>
                <c:pt idx="46">
                  <c:v>190.43168740800212</c:v>
                </c:pt>
                <c:pt idx="47">
                  <c:v>190.43168740800212</c:v>
                </c:pt>
                <c:pt idx="48">
                  <c:v>190.43168740800212</c:v>
                </c:pt>
                <c:pt idx="49">
                  <c:v>190.43168740800212</c:v>
                </c:pt>
                <c:pt idx="50">
                  <c:v>190.43168740800212</c:v>
                </c:pt>
                <c:pt idx="51">
                  <c:v>190.43168740800212</c:v>
                </c:pt>
                <c:pt idx="52">
                  <c:v>190.43168740800212</c:v>
                </c:pt>
                <c:pt idx="53">
                  <c:v>190.43168740800212</c:v>
                </c:pt>
                <c:pt idx="54">
                  <c:v>190.43168740800212</c:v>
                </c:pt>
                <c:pt idx="55">
                  <c:v>190.43168740800212</c:v>
                </c:pt>
                <c:pt idx="56">
                  <c:v>190.43168740800212</c:v>
                </c:pt>
                <c:pt idx="57">
                  <c:v>190.43168740800212</c:v>
                </c:pt>
                <c:pt idx="58">
                  <c:v>190.43168740800212</c:v>
                </c:pt>
                <c:pt idx="59">
                  <c:v>190.43168740800212</c:v>
                </c:pt>
                <c:pt idx="60">
                  <c:v>190.43168740800212</c:v>
                </c:pt>
                <c:pt idx="61">
                  <c:v>190.43168740800212</c:v>
                </c:pt>
                <c:pt idx="62">
                  <c:v>190.43168740800212</c:v>
                </c:pt>
                <c:pt idx="63">
                  <c:v>190.43168740800212</c:v>
                </c:pt>
                <c:pt idx="64">
                  <c:v>190.43168740800212</c:v>
                </c:pt>
                <c:pt idx="65">
                  <c:v>190.43168740800212</c:v>
                </c:pt>
                <c:pt idx="66">
                  <c:v>190.43168740800212</c:v>
                </c:pt>
                <c:pt idx="67">
                  <c:v>190.43168740800212</c:v>
                </c:pt>
                <c:pt idx="68">
                  <c:v>190.43168740800212</c:v>
                </c:pt>
                <c:pt idx="69">
                  <c:v>190.43168740800212</c:v>
                </c:pt>
                <c:pt idx="70">
                  <c:v>190.43168740800212</c:v>
                </c:pt>
                <c:pt idx="71">
                  <c:v>190.43168740800212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DC57-4155-8CC7-7BEBFE00C53C}"/>
            </c:ext>
          </c:extLst>
        </c:ser>
        <c:ser>
          <c:idx val="10"/>
          <c:order val="13"/>
          <c:tx>
            <c:v>+1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[0]!SPC_Plus1Sigma</c:f>
              <c:numCache>
                <c:formatCode>General</c:formatCode>
                <c:ptCount val="72"/>
                <c:pt idx="0">
                  <c:v>272.05887862973373</c:v>
                </c:pt>
                <c:pt idx="1">
                  <c:v>272.05887862973373</c:v>
                </c:pt>
                <c:pt idx="2">
                  <c:v>272.05887862973373</c:v>
                </c:pt>
                <c:pt idx="3">
                  <c:v>272.05887862973373</c:v>
                </c:pt>
                <c:pt idx="4">
                  <c:v>272.05887862973373</c:v>
                </c:pt>
                <c:pt idx="5">
                  <c:v>272.05887862973373</c:v>
                </c:pt>
                <c:pt idx="6">
                  <c:v>272.05887862973373</c:v>
                </c:pt>
                <c:pt idx="7">
                  <c:v>272.05887862973373</c:v>
                </c:pt>
                <c:pt idx="8">
                  <c:v>272.05887862973373</c:v>
                </c:pt>
                <c:pt idx="9">
                  <c:v>272.05887862973373</c:v>
                </c:pt>
                <c:pt idx="10">
                  <c:v>272.05887862973373</c:v>
                </c:pt>
                <c:pt idx="11">
                  <c:v>272.05887862973373</c:v>
                </c:pt>
                <c:pt idx="12">
                  <c:v>272.05887862973373</c:v>
                </c:pt>
                <c:pt idx="13">
                  <c:v>272.05887862973373</c:v>
                </c:pt>
                <c:pt idx="14">
                  <c:v>272.05887862973373</c:v>
                </c:pt>
                <c:pt idx="15">
                  <c:v>272.05887862973373</c:v>
                </c:pt>
                <c:pt idx="16">
                  <c:v>272.05887862973373</c:v>
                </c:pt>
                <c:pt idx="17">
                  <c:v>272.05887862973373</c:v>
                </c:pt>
                <c:pt idx="18">
                  <c:v>272.05887862973373</c:v>
                </c:pt>
                <c:pt idx="19">
                  <c:v>272.05887862973373</c:v>
                </c:pt>
                <c:pt idx="20">
                  <c:v>272.05887862973373</c:v>
                </c:pt>
                <c:pt idx="21">
                  <c:v>272.05887862973373</c:v>
                </c:pt>
                <c:pt idx="22">
                  <c:v>272.05887862973373</c:v>
                </c:pt>
                <c:pt idx="23">
                  <c:v>272.05887862973373</c:v>
                </c:pt>
                <c:pt idx="24">
                  <c:v>272.05887862973373</c:v>
                </c:pt>
                <c:pt idx="25">
                  <c:v>272.05887862973373</c:v>
                </c:pt>
                <c:pt idx="26">
                  <c:v>272.05887862973373</c:v>
                </c:pt>
                <c:pt idx="27">
                  <c:v>272.05887862973373</c:v>
                </c:pt>
                <c:pt idx="28">
                  <c:v>272.05887862973373</c:v>
                </c:pt>
                <c:pt idx="29">
                  <c:v>272.05887862973373</c:v>
                </c:pt>
                <c:pt idx="30">
                  <c:v>272.05887862973373</c:v>
                </c:pt>
                <c:pt idx="31">
                  <c:v>272.05887862973373</c:v>
                </c:pt>
                <c:pt idx="32">
                  <c:v>272.05887862973373</c:v>
                </c:pt>
                <c:pt idx="33">
                  <c:v>272.05887862973373</c:v>
                </c:pt>
                <c:pt idx="34">
                  <c:v>272.05887862973373</c:v>
                </c:pt>
                <c:pt idx="35">
                  <c:v>272.05887862973373</c:v>
                </c:pt>
                <c:pt idx="36">
                  <c:v>272.05887862973373</c:v>
                </c:pt>
                <c:pt idx="37">
                  <c:v>272.05887862973373</c:v>
                </c:pt>
                <c:pt idx="38">
                  <c:v>272.05887862973373</c:v>
                </c:pt>
                <c:pt idx="39">
                  <c:v>272.05887862973373</c:v>
                </c:pt>
                <c:pt idx="40">
                  <c:v>272.05887862973373</c:v>
                </c:pt>
                <c:pt idx="41">
                  <c:v>272.05887862973373</c:v>
                </c:pt>
                <c:pt idx="42">
                  <c:v>272.05887862973373</c:v>
                </c:pt>
                <c:pt idx="43">
                  <c:v>272.05887862973373</c:v>
                </c:pt>
                <c:pt idx="44">
                  <c:v>272.05887862973373</c:v>
                </c:pt>
                <c:pt idx="45">
                  <c:v>272.05887862973373</c:v>
                </c:pt>
                <c:pt idx="46">
                  <c:v>272.05887862973373</c:v>
                </c:pt>
                <c:pt idx="47">
                  <c:v>272.05887862973373</c:v>
                </c:pt>
                <c:pt idx="48">
                  <c:v>272.05887862973373</c:v>
                </c:pt>
                <c:pt idx="49">
                  <c:v>272.05887862973373</c:v>
                </c:pt>
                <c:pt idx="50">
                  <c:v>272.05887862973373</c:v>
                </c:pt>
                <c:pt idx="51">
                  <c:v>272.05887862973373</c:v>
                </c:pt>
                <c:pt idx="52">
                  <c:v>272.05887862973373</c:v>
                </c:pt>
                <c:pt idx="53">
                  <c:v>272.05887862973373</c:v>
                </c:pt>
                <c:pt idx="54">
                  <c:v>272.05887862973373</c:v>
                </c:pt>
                <c:pt idx="55">
                  <c:v>272.05887862973373</c:v>
                </c:pt>
                <c:pt idx="56">
                  <c:v>272.05887862973373</c:v>
                </c:pt>
                <c:pt idx="57">
                  <c:v>272.05887862973373</c:v>
                </c:pt>
                <c:pt idx="58">
                  <c:v>272.05887862973373</c:v>
                </c:pt>
                <c:pt idx="59">
                  <c:v>272.05887862973373</c:v>
                </c:pt>
                <c:pt idx="60">
                  <c:v>272.05887862973373</c:v>
                </c:pt>
                <c:pt idx="61">
                  <c:v>272.05887862973373</c:v>
                </c:pt>
                <c:pt idx="62">
                  <c:v>272.05887862973373</c:v>
                </c:pt>
                <c:pt idx="63">
                  <c:v>272.05887862973373</c:v>
                </c:pt>
                <c:pt idx="64">
                  <c:v>272.05887862973373</c:v>
                </c:pt>
                <c:pt idx="65">
                  <c:v>272.05887862973373</c:v>
                </c:pt>
                <c:pt idx="66">
                  <c:v>272.05887862973373</c:v>
                </c:pt>
                <c:pt idx="67">
                  <c:v>272.05887862973373</c:v>
                </c:pt>
                <c:pt idx="68">
                  <c:v>272.05887862973373</c:v>
                </c:pt>
                <c:pt idx="69">
                  <c:v>272.05887862973373</c:v>
                </c:pt>
                <c:pt idx="70">
                  <c:v>272.05887862973373</c:v>
                </c:pt>
                <c:pt idx="71">
                  <c:v>272.05887862973373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DC57-4155-8CC7-7BEBFE00C53C}"/>
            </c:ext>
          </c:extLst>
        </c:ser>
        <c:ser>
          <c:idx val="11"/>
          <c:order val="14"/>
          <c:tx>
            <c:v>+2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[0]!SPC_Plus2Sigma</c:f>
              <c:numCache>
                <c:formatCode>General</c:formatCode>
                <c:ptCount val="72"/>
                <c:pt idx="0">
                  <c:v>312.8724742405995</c:v>
                </c:pt>
                <c:pt idx="1">
                  <c:v>312.8724742405995</c:v>
                </c:pt>
                <c:pt idx="2">
                  <c:v>312.8724742405995</c:v>
                </c:pt>
                <c:pt idx="3">
                  <c:v>312.8724742405995</c:v>
                </c:pt>
                <c:pt idx="4">
                  <c:v>312.8724742405995</c:v>
                </c:pt>
                <c:pt idx="5">
                  <c:v>312.8724742405995</c:v>
                </c:pt>
                <c:pt idx="6">
                  <c:v>312.8724742405995</c:v>
                </c:pt>
                <c:pt idx="7">
                  <c:v>312.8724742405995</c:v>
                </c:pt>
                <c:pt idx="8">
                  <c:v>312.8724742405995</c:v>
                </c:pt>
                <c:pt idx="9">
                  <c:v>312.8724742405995</c:v>
                </c:pt>
                <c:pt idx="10">
                  <c:v>312.8724742405995</c:v>
                </c:pt>
                <c:pt idx="11">
                  <c:v>312.8724742405995</c:v>
                </c:pt>
                <c:pt idx="12">
                  <c:v>312.8724742405995</c:v>
                </c:pt>
                <c:pt idx="13">
                  <c:v>312.8724742405995</c:v>
                </c:pt>
                <c:pt idx="14">
                  <c:v>312.8724742405995</c:v>
                </c:pt>
                <c:pt idx="15">
                  <c:v>312.8724742405995</c:v>
                </c:pt>
                <c:pt idx="16">
                  <c:v>312.8724742405995</c:v>
                </c:pt>
                <c:pt idx="17">
                  <c:v>312.8724742405995</c:v>
                </c:pt>
                <c:pt idx="18">
                  <c:v>312.8724742405995</c:v>
                </c:pt>
                <c:pt idx="19">
                  <c:v>312.8724742405995</c:v>
                </c:pt>
                <c:pt idx="20">
                  <c:v>312.8724742405995</c:v>
                </c:pt>
                <c:pt idx="21">
                  <c:v>312.8724742405995</c:v>
                </c:pt>
                <c:pt idx="22">
                  <c:v>312.8724742405995</c:v>
                </c:pt>
                <c:pt idx="23">
                  <c:v>312.8724742405995</c:v>
                </c:pt>
                <c:pt idx="24">
                  <c:v>312.8724742405995</c:v>
                </c:pt>
                <c:pt idx="25">
                  <c:v>312.8724742405995</c:v>
                </c:pt>
                <c:pt idx="26">
                  <c:v>312.8724742405995</c:v>
                </c:pt>
                <c:pt idx="27">
                  <c:v>312.8724742405995</c:v>
                </c:pt>
                <c:pt idx="28">
                  <c:v>312.8724742405995</c:v>
                </c:pt>
                <c:pt idx="29">
                  <c:v>312.8724742405995</c:v>
                </c:pt>
                <c:pt idx="30">
                  <c:v>312.8724742405995</c:v>
                </c:pt>
                <c:pt idx="31">
                  <c:v>312.8724742405995</c:v>
                </c:pt>
                <c:pt idx="32">
                  <c:v>312.8724742405995</c:v>
                </c:pt>
                <c:pt idx="33">
                  <c:v>312.8724742405995</c:v>
                </c:pt>
                <c:pt idx="34">
                  <c:v>312.8724742405995</c:v>
                </c:pt>
                <c:pt idx="35">
                  <c:v>312.8724742405995</c:v>
                </c:pt>
                <c:pt idx="36">
                  <c:v>312.8724742405995</c:v>
                </c:pt>
                <c:pt idx="37">
                  <c:v>312.8724742405995</c:v>
                </c:pt>
                <c:pt idx="38">
                  <c:v>312.8724742405995</c:v>
                </c:pt>
                <c:pt idx="39">
                  <c:v>312.8724742405995</c:v>
                </c:pt>
                <c:pt idx="40">
                  <c:v>312.8724742405995</c:v>
                </c:pt>
                <c:pt idx="41">
                  <c:v>312.8724742405995</c:v>
                </c:pt>
                <c:pt idx="42">
                  <c:v>312.8724742405995</c:v>
                </c:pt>
                <c:pt idx="43">
                  <c:v>312.8724742405995</c:v>
                </c:pt>
                <c:pt idx="44">
                  <c:v>312.8724742405995</c:v>
                </c:pt>
                <c:pt idx="45">
                  <c:v>312.8724742405995</c:v>
                </c:pt>
                <c:pt idx="46">
                  <c:v>312.8724742405995</c:v>
                </c:pt>
                <c:pt idx="47">
                  <c:v>312.8724742405995</c:v>
                </c:pt>
                <c:pt idx="48">
                  <c:v>312.8724742405995</c:v>
                </c:pt>
                <c:pt idx="49">
                  <c:v>312.8724742405995</c:v>
                </c:pt>
                <c:pt idx="50">
                  <c:v>312.8724742405995</c:v>
                </c:pt>
                <c:pt idx="51">
                  <c:v>312.8724742405995</c:v>
                </c:pt>
                <c:pt idx="52">
                  <c:v>312.8724742405995</c:v>
                </c:pt>
                <c:pt idx="53">
                  <c:v>312.8724742405995</c:v>
                </c:pt>
                <c:pt idx="54">
                  <c:v>312.8724742405995</c:v>
                </c:pt>
                <c:pt idx="55">
                  <c:v>312.8724742405995</c:v>
                </c:pt>
                <c:pt idx="56">
                  <c:v>312.8724742405995</c:v>
                </c:pt>
                <c:pt idx="57">
                  <c:v>312.8724742405995</c:v>
                </c:pt>
                <c:pt idx="58">
                  <c:v>312.8724742405995</c:v>
                </c:pt>
                <c:pt idx="59">
                  <c:v>312.8724742405995</c:v>
                </c:pt>
                <c:pt idx="60">
                  <c:v>312.8724742405995</c:v>
                </c:pt>
                <c:pt idx="61">
                  <c:v>312.8724742405995</c:v>
                </c:pt>
                <c:pt idx="62">
                  <c:v>312.8724742405995</c:v>
                </c:pt>
                <c:pt idx="63">
                  <c:v>312.8724742405995</c:v>
                </c:pt>
                <c:pt idx="64">
                  <c:v>312.8724742405995</c:v>
                </c:pt>
                <c:pt idx="65">
                  <c:v>312.8724742405995</c:v>
                </c:pt>
                <c:pt idx="66">
                  <c:v>312.8724742405995</c:v>
                </c:pt>
                <c:pt idx="67">
                  <c:v>312.8724742405995</c:v>
                </c:pt>
                <c:pt idx="68">
                  <c:v>312.8724742405995</c:v>
                </c:pt>
                <c:pt idx="69">
                  <c:v>312.8724742405995</c:v>
                </c:pt>
                <c:pt idx="70">
                  <c:v>312.8724742405995</c:v>
                </c:pt>
                <c:pt idx="71">
                  <c:v>312.8724742405995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DC57-4155-8CC7-7BEBFE00C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0756872"/>
        <c:axId val="640757200"/>
      </c:lineChart>
      <c:catAx>
        <c:axId val="640756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757200"/>
        <c:crosses val="autoZero"/>
        <c:auto val="0"/>
        <c:lblAlgn val="ctr"/>
        <c:lblOffset val="100"/>
        <c:noMultiLvlLbl val="1"/>
      </c:catAx>
      <c:valAx>
        <c:axId val="640757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Caseload Size (Patients)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756872"/>
        <c:crosses val="autoZero"/>
        <c:crossBetween val="between"/>
      </c:valAx>
      <c:valAx>
        <c:axId val="732819968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698280"/>
        <c:crosses val="max"/>
        <c:crossBetween val="between"/>
      </c:valAx>
      <c:dateAx>
        <c:axId val="73269828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73281996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'Capacity Summary'!$E$3</c:f>
          <c:strCache>
            <c:ptCount val="1"/>
            <c:pt idx="0">
              <c:v>Capacity summary (Hours)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'Capacity Backing (Hide)'!$B$74:$BA$74</c:f>
              <c:numCache>
                <c:formatCode>m/d/yyyy</c:formatCode>
                <c:ptCount val="52"/>
                <c:pt idx="0">
                  <c:v>44121</c:v>
                </c:pt>
                <c:pt idx="1">
                  <c:v>44128</c:v>
                </c:pt>
                <c:pt idx="2">
                  <c:v>44135</c:v>
                </c:pt>
                <c:pt idx="3">
                  <c:v>44142</c:v>
                </c:pt>
                <c:pt idx="4">
                  <c:v>44149</c:v>
                </c:pt>
                <c:pt idx="5">
                  <c:v>44156</c:v>
                </c:pt>
                <c:pt idx="6">
                  <c:v>44163</c:v>
                </c:pt>
                <c:pt idx="7">
                  <c:v>44170</c:v>
                </c:pt>
                <c:pt idx="8">
                  <c:v>44177</c:v>
                </c:pt>
                <c:pt idx="9">
                  <c:v>44184</c:v>
                </c:pt>
                <c:pt idx="10">
                  <c:v>44191</c:v>
                </c:pt>
                <c:pt idx="11">
                  <c:v>44198</c:v>
                </c:pt>
                <c:pt idx="12">
                  <c:v>44205</c:v>
                </c:pt>
                <c:pt idx="13">
                  <c:v>44212</c:v>
                </c:pt>
                <c:pt idx="14">
                  <c:v>44219</c:v>
                </c:pt>
                <c:pt idx="15">
                  <c:v>44226</c:v>
                </c:pt>
                <c:pt idx="16">
                  <c:v>44233</c:v>
                </c:pt>
                <c:pt idx="17">
                  <c:v>44240</c:v>
                </c:pt>
                <c:pt idx="18">
                  <c:v>44247</c:v>
                </c:pt>
                <c:pt idx="19">
                  <c:v>44254</c:v>
                </c:pt>
                <c:pt idx="20">
                  <c:v>44261</c:v>
                </c:pt>
                <c:pt idx="21">
                  <c:v>44268</c:v>
                </c:pt>
                <c:pt idx="22">
                  <c:v>44275</c:v>
                </c:pt>
                <c:pt idx="23">
                  <c:v>44282</c:v>
                </c:pt>
                <c:pt idx="24">
                  <c:v>44289</c:v>
                </c:pt>
                <c:pt idx="25">
                  <c:v>44296</c:v>
                </c:pt>
                <c:pt idx="26">
                  <c:v>44303</c:v>
                </c:pt>
                <c:pt idx="27">
                  <c:v>44310</c:v>
                </c:pt>
                <c:pt idx="28">
                  <c:v>44317</c:v>
                </c:pt>
                <c:pt idx="29">
                  <c:v>44324</c:v>
                </c:pt>
                <c:pt idx="30">
                  <c:v>44331</c:v>
                </c:pt>
                <c:pt idx="31">
                  <c:v>44338</c:v>
                </c:pt>
                <c:pt idx="32">
                  <c:v>44345</c:v>
                </c:pt>
                <c:pt idx="33">
                  <c:v>44352</c:v>
                </c:pt>
                <c:pt idx="34">
                  <c:v>44359</c:v>
                </c:pt>
                <c:pt idx="35">
                  <c:v>44366</c:v>
                </c:pt>
                <c:pt idx="36">
                  <c:v>44373</c:v>
                </c:pt>
                <c:pt idx="37">
                  <c:v>44380</c:v>
                </c:pt>
                <c:pt idx="38">
                  <c:v>44387</c:v>
                </c:pt>
                <c:pt idx="39">
                  <c:v>44394</c:v>
                </c:pt>
                <c:pt idx="40">
                  <c:v>44401</c:v>
                </c:pt>
                <c:pt idx="41">
                  <c:v>44408</c:v>
                </c:pt>
                <c:pt idx="42">
                  <c:v>44415</c:v>
                </c:pt>
                <c:pt idx="43">
                  <c:v>44422</c:v>
                </c:pt>
                <c:pt idx="44">
                  <c:v>44429</c:v>
                </c:pt>
                <c:pt idx="45">
                  <c:v>44436</c:v>
                </c:pt>
                <c:pt idx="46">
                  <c:v>44443</c:v>
                </c:pt>
                <c:pt idx="47">
                  <c:v>44450</c:v>
                </c:pt>
                <c:pt idx="48">
                  <c:v>44457</c:v>
                </c:pt>
                <c:pt idx="49">
                  <c:v>44464</c:v>
                </c:pt>
                <c:pt idx="50">
                  <c:v>44471</c:v>
                </c:pt>
                <c:pt idx="51">
                  <c:v>44478</c:v>
                </c:pt>
              </c:numCache>
            </c:numRef>
          </c:cat>
          <c:val>
            <c:numRef>
              <c:f>[0]!CapacitySummary_AvailableCapacity</c:f>
              <c:numCache>
                <c:formatCode>General</c:formatCode>
                <c:ptCount val="52"/>
                <c:pt idx="0">
                  <c:v>61</c:v>
                </c:pt>
                <c:pt idx="1">
                  <c:v>61</c:v>
                </c:pt>
                <c:pt idx="2">
                  <c:v>61</c:v>
                </c:pt>
                <c:pt idx="3">
                  <c:v>61</c:v>
                </c:pt>
                <c:pt idx="4">
                  <c:v>61</c:v>
                </c:pt>
                <c:pt idx="5">
                  <c:v>61</c:v>
                </c:pt>
                <c:pt idx="6">
                  <c:v>61</c:v>
                </c:pt>
                <c:pt idx="7">
                  <c:v>61</c:v>
                </c:pt>
                <c:pt idx="8">
                  <c:v>61</c:v>
                </c:pt>
                <c:pt idx="9">
                  <c:v>61</c:v>
                </c:pt>
                <c:pt idx="10">
                  <c:v>61</c:v>
                </c:pt>
                <c:pt idx="11">
                  <c:v>61</c:v>
                </c:pt>
                <c:pt idx="12">
                  <c:v>61</c:v>
                </c:pt>
                <c:pt idx="13">
                  <c:v>61</c:v>
                </c:pt>
                <c:pt idx="14">
                  <c:v>61</c:v>
                </c:pt>
                <c:pt idx="15">
                  <c:v>61</c:v>
                </c:pt>
                <c:pt idx="16">
                  <c:v>61</c:v>
                </c:pt>
                <c:pt idx="17">
                  <c:v>61</c:v>
                </c:pt>
                <c:pt idx="18">
                  <c:v>61</c:v>
                </c:pt>
                <c:pt idx="19">
                  <c:v>61</c:v>
                </c:pt>
                <c:pt idx="20">
                  <c:v>61</c:v>
                </c:pt>
                <c:pt idx="21">
                  <c:v>61</c:v>
                </c:pt>
                <c:pt idx="22">
                  <c:v>61</c:v>
                </c:pt>
                <c:pt idx="23">
                  <c:v>61</c:v>
                </c:pt>
                <c:pt idx="24">
                  <c:v>61</c:v>
                </c:pt>
                <c:pt idx="25">
                  <c:v>61</c:v>
                </c:pt>
                <c:pt idx="26">
                  <c:v>61</c:v>
                </c:pt>
                <c:pt idx="27">
                  <c:v>61</c:v>
                </c:pt>
                <c:pt idx="28">
                  <c:v>61</c:v>
                </c:pt>
                <c:pt idx="29">
                  <c:v>61</c:v>
                </c:pt>
                <c:pt idx="30">
                  <c:v>61</c:v>
                </c:pt>
                <c:pt idx="31">
                  <c:v>61</c:v>
                </c:pt>
                <c:pt idx="32">
                  <c:v>61</c:v>
                </c:pt>
                <c:pt idx="33">
                  <c:v>61</c:v>
                </c:pt>
                <c:pt idx="34">
                  <c:v>61</c:v>
                </c:pt>
                <c:pt idx="35">
                  <c:v>61</c:v>
                </c:pt>
                <c:pt idx="36">
                  <c:v>61</c:v>
                </c:pt>
                <c:pt idx="37">
                  <c:v>61</c:v>
                </c:pt>
                <c:pt idx="38">
                  <c:v>61</c:v>
                </c:pt>
                <c:pt idx="39">
                  <c:v>61</c:v>
                </c:pt>
                <c:pt idx="40">
                  <c:v>61</c:v>
                </c:pt>
                <c:pt idx="41">
                  <c:v>61</c:v>
                </c:pt>
                <c:pt idx="42">
                  <c:v>61</c:v>
                </c:pt>
                <c:pt idx="43">
                  <c:v>61</c:v>
                </c:pt>
                <c:pt idx="44">
                  <c:v>61</c:v>
                </c:pt>
                <c:pt idx="45">
                  <c:v>61</c:v>
                </c:pt>
                <c:pt idx="46">
                  <c:v>61</c:v>
                </c:pt>
                <c:pt idx="47">
                  <c:v>61</c:v>
                </c:pt>
                <c:pt idx="48">
                  <c:v>61</c:v>
                </c:pt>
                <c:pt idx="49">
                  <c:v>61</c:v>
                </c:pt>
                <c:pt idx="50">
                  <c:v>61</c:v>
                </c:pt>
                <c:pt idx="51">
                  <c:v>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20-4FA5-9A78-4583E0C0AA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475530760"/>
        <c:axId val="1475533056"/>
      </c:barChart>
      <c:catAx>
        <c:axId val="1475530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5533056"/>
        <c:crosses val="autoZero"/>
        <c:auto val="0"/>
        <c:lblAlgn val="ctr"/>
        <c:lblOffset val="100"/>
        <c:noMultiLvlLbl val="0"/>
      </c:catAx>
      <c:valAx>
        <c:axId val="1475533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Summary!$B$5</c:f>
              <c:strCache>
                <c:ptCount val="1"/>
                <c:pt idx="0">
                  <c:v>Hours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5530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Summary!$D$3</c:f>
          <c:strCache>
            <c:ptCount val="1"/>
            <c:pt idx="0">
              <c:v>Required vs available Capacity for Caseload 1, all session types (hours)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v>Lower Bound</c:v>
          </c:tx>
          <c:spPr>
            <a:noFill/>
            <a:ln>
              <a:noFill/>
            </a:ln>
            <a:effectLst/>
          </c:spPr>
          <c:cat>
            <c:numRef>
              <c:f>'Capacity Backing (Hide)'!$B$74:$BA$74</c:f>
              <c:numCache>
                <c:formatCode>m/d/yyyy</c:formatCode>
                <c:ptCount val="52"/>
                <c:pt idx="0">
                  <c:v>44121</c:v>
                </c:pt>
                <c:pt idx="1">
                  <c:v>44128</c:v>
                </c:pt>
                <c:pt idx="2">
                  <c:v>44135</c:v>
                </c:pt>
                <c:pt idx="3">
                  <c:v>44142</c:v>
                </c:pt>
                <c:pt idx="4">
                  <c:v>44149</c:v>
                </c:pt>
                <c:pt idx="5">
                  <c:v>44156</c:v>
                </c:pt>
                <c:pt idx="6">
                  <c:v>44163</c:v>
                </c:pt>
                <c:pt idx="7">
                  <c:v>44170</c:v>
                </c:pt>
                <c:pt idx="8">
                  <c:v>44177</c:v>
                </c:pt>
                <c:pt idx="9">
                  <c:v>44184</c:v>
                </c:pt>
                <c:pt idx="10">
                  <c:v>44191</c:v>
                </c:pt>
                <c:pt idx="11">
                  <c:v>44198</c:v>
                </c:pt>
                <c:pt idx="12">
                  <c:v>44205</c:v>
                </c:pt>
                <c:pt idx="13">
                  <c:v>44212</c:v>
                </c:pt>
                <c:pt idx="14">
                  <c:v>44219</c:v>
                </c:pt>
                <c:pt idx="15">
                  <c:v>44226</c:v>
                </c:pt>
                <c:pt idx="16">
                  <c:v>44233</c:v>
                </c:pt>
                <c:pt idx="17">
                  <c:v>44240</c:v>
                </c:pt>
                <c:pt idx="18">
                  <c:v>44247</c:v>
                </c:pt>
                <c:pt idx="19">
                  <c:v>44254</c:v>
                </c:pt>
                <c:pt idx="20">
                  <c:v>44261</c:v>
                </c:pt>
                <c:pt idx="21">
                  <c:v>44268</c:v>
                </c:pt>
                <c:pt idx="22">
                  <c:v>44275</c:v>
                </c:pt>
                <c:pt idx="23">
                  <c:v>44282</c:v>
                </c:pt>
                <c:pt idx="24">
                  <c:v>44289</c:v>
                </c:pt>
                <c:pt idx="25">
                  <c:v>44296</c:v>
                </c:pt>
                <c:pt idx="26">
                  <c:v>44303</c:v>
                </c:pt>
                <c:pt idx="27">
                  <c:v>44310</c:v>
                </c:pt>
                <c:pt idx="28">
                  <c:v>44317</c:v>
                </c:pt>
                <c:pt idx="29">
                  <c:v>44324</c:v>
                </c:pt>
                <c:pt idx="30">
                  <c:v>44331</c:v>
                </c:pt>
                <c:pt idx="31">
                  <c:v>44338</c:v>
                </c:pt>
                <c:pt idx="32">
                  <c:v>44345</c:v>
                </c:pt>
                <c:pt idx="33">
                  <c:v>44352</c:v>
                </c:pt>
                <c:pt idx="34">
                  <c:v>44359</c:v>
                </c:pt>
                <c:pt idx="35">
                  <c:v>44366</c:v>
                </c:pt>
                <c:pt idx="36">
                  <c:v>44373</c:v>
                </c:pt>
                <c:pt idx="37">
                  <c:v>44380</c:v>
                </c:pt>
                <c:pt idx="38">
                  <c:v>44387</c:v>
                </c:pt>
                <c:pt idx="39">
                  <c:v>44394</c:v>
                </c:pt>
                <c:pt idx="40">
                  <c:v>44401</c:v>
                </c:pt>
                <c:pt idx="41">
                  <c:v>44408</c:v>
                </c:pt>
                <c:pt idx="42">
                  <c:v>44415</c:v>
                </c:pt>
                <c:pt idx="43">
                  <c:v>44422</c:v>
                </c:pt>
                <c:pt idx="44">
                  <c:v>44429</c:v>
                </c:pt>
                <c:pt idx="45">
                  <c:v>44436</c:v>
                </c:pt>
                <c:pt idx="46">
                  <c:v>44443</c:v>
                </c:pt>
                <c:pt idx="47">
                  <c:v>44450</c:v>
                </c:pt>
                <c:pt idx="48">
                  <c:v>44457</c:v>
                </c:pt>
                <c:pt idx="49">
                  <c:v>44464</c:v>
                </c:pt>
                <c:pt idx="50">
                  <c:v>44471</c:v>
                </c:pt>
                <c:pt idx="51">
                  <c:v>44478</c:v>
                </c:pt>
              </c:numCache>
            </c:numRef>
          </c:cat>
          <c:val>
            <c:numRef>
              <c:f>[0]!Summary_LowerBound</c:f>
              <c:numCache>
                <c:formatCode>General</c:formatCode>
                <c:ptCount val="52"/>
                <c:pt idx="0">
                  <c:v>57.802499999999995</c:v>
                </c:pt>
                <c:pt idx="1">
                  <c:v>57.802499999999995</c:v>
                </c:pt>
                <c:pt idx="2">
                  <c:v>57.802499999999995</c:v>
                </c:pt>
                <c:pt idx="3">
                  <c:v>57.802499999999995</c:v>
                </c:pt>
                <c:pt idx="4">
                  <c:v>57.802499999999995</c:v>
                </c:pt>
                <c:pt idx="5">
                  <c:v>57.802499999999995</c:v>
                </c:pt>
                <c:pt idx="6">
                  <c:v>57.802499999999995</c:v>
                </c:pt>
                <c:pt idx="7">
                  <c:v>57.802499999999995</c:v>
                </c:pt>
                <c:pt idx="8">
                  <c:v>57.802499999999995</c:v>
                </c:pt>
                <c:pt idx="9">
                  <c:v>57.802499999999995</c:v>
                </c:pt>
                <c:pt idx="10">
                  <c:v>57.802499999999995</c:v>
                </c:pt>
                <c:pt idx="11">
                  <c:v>57.802499999999995</c:v>
                </c:pt>
                <c:pt idx="12">
                  <c:v>57.802499999999995</c:v>
                </c:pt>
                <c:pt idx="13">
                  <c:v>57.802499999999995</c:v>
                </c:pt>
                <c:pt idx="14">
                  <c:v>57.802499999999995</c:v>
                </c:pt>
                <c:pt idx="15">
                  <c:v>57.802499999999995</c:v>
                </c:pt>
                <c:pt idx="16">
                  <c:v>57.802499999999995</c:v>
                </c:pt>
                <c:pt idx="17">
                  <c:v>57.802499999999995</c:v>
                </c:pt>
                <c:pt idx="18">
                  <c:v>57.802499999999995</c:v>
                </c:pt>
                <c:pt idx="19">
                  <c:v>57.802499999999995</c:v>
                </c:pt>
                <c:pt idx="20">
                  <c:v>57.802499999999995</c:v>
                </c:pt>
                <c:pt idx="21">
                  <c:v>57.802499999999995</c:v>
                </c:pt>
                <c:pt idx="22">
                  <c:v>57.802499999999995</c:v>
                </c:pt>
                <c:pt idx="23">
                  <c:v>57.802499999999995</c:v>
                </c:pt>
                <c:pt idx="24">
                  <c:v>57.802499999999995</c:v>
                </c:pt>
                <c:pt idx="25">
                  <c:v>57.802499999999995</c:v>
                </c:pt>
                <c:pt idx="26">
                  <c:v>57.802499999999995</c:v>
                </c:pt>
                <c:pt idx="27">
                  <c:v>57.802499999999995</c:v>
                </c:pt>
                <c:pt idx="28">
                  <c:v>57.802499999999995</c:v>
                </c:pt>
                <c:pt idx="29">
                  <c:v>57.802499999999995</c:v>
                </c:pt>
                <c:pt idx="30">
                  <c:v>57.802499999999995</c:v>
                </c:pt>
                <c:pt idx="31">
                  <c:v>57.802499999999995</c:v>
                </c:pt>
                <c:pt idx="32">
                  <c:v>57.802499999999995</c:v>
                </c:pt>
                <c:pt idx="33">
                  <c:v>57.802499999999995</c:v>
                </c:pt>
                <c:pt idx="34">
                  <c:v>57.802499999999995</c:v>
                </c:pt>
                <c:pt idx="35">
                  <c:v>57.802499999999995</c:v>
                </c:pt>
                <c:pt idx="36">
                  <c:v>57.802499999999995</c:v>
                </c:pt>
                <c:pt idx="37">
                  <c:v>57.802499999999995</c:v>
                </c:pt>
                <c:pt idx="38">
                  <c:v>57.802499999999995</c:v>
                </c:pt>
                <c:pt idx="39">
                  <c:v>57.802499999999995</c:v>
                </c:pt>
                <c:pt idx="40">
                  <c:v>57.802499999999995</c:v>
                </c:pt>
                <c:pt idx="41">
                  <c:v>57.802499999999995</c:v>
                </c:pt>
                <c:pt idx="42">
                  <c:v>57.802499999999995</c:v>
                </c:pt>
                <c:pt idx="43">
                  <c:v>57.802499999999995</c:v>
                </c:pt>
                <c:pt idx="44">
                  <c:v>57.802499999999995</c:v>
                </c:pt>
                <c:pt idx="45">
                  <c:v>57.802499999999995</c:v>
                </c:pt>
                <c:pt idx="46">
                  <c:v>57.802499999999995</c:v>
                </c:pt>
                <c:pt idx="47">
                  <c:v>57.802499999999995</c:v>
                </c:pt>
                <c:pt idx="48">
                  <c:v>57.802499999999995</c:v>
                </c:pt>
                <c:pt idx="49">
                  <c:v>57.802499999999995</c:v>
                </c:pt>
                <c:pt idx="50">
                  <c:v>57.802499999999995</c:v>
                </c:pt>
                <c:pt idx="51">
                  <c:v>57.802499999999995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4-44B1-880B-35DE4645C2EF}"/>
            </c:ext>
          </c:extLst>
        </c:ser>
        <c:ser>
          <c:idx val="1"/>
          <c:order val="1"/>
          <c:tx>
            <c:v>Required Capacity</c:v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'Capacity Backing (Hide)'!$B$74:$BA$74</c:f>
              <c:numCache>
                <c:formatCode>m/d/yyyy</c:formatCode>
                <c:ptCount val="52"/>
                <c:pt idx="0">
                  <c:v>44121</c:v>
                </c:pt>
                <c:pt idx="1">
                  <c:v>44128</c:v>
                </c:pt>
                <c:pt idx="2">
                  <c:v>44135</c:v>
                </c:pt>
                <c:pt idx="3">
                  <c:v>44142</c:v>
                </c:pt>
                <c:pt idx="4">
                  <c:v>44149</c:v>
                </c:pt>
                <c:pt idx="5">
                  <c:v>44156</c:v>
                </c:pt>
                <c:pt idx="6">
                  <c:v>44163</c:v>
                </c:pt>
                <c:pt idx="7">
                  <c:v>44170</c:v>
                </c:pt>
                <c:pt idx="8">
                  <c:v>44177</c:v>
                </c:pt>
                <c:pt idx="9">
                  <c:v>44184</c:v>
                </c:pt>
                <c:pt idx="10">
                  <c:v>44191</c:v>
                </c:pt>
                <c:pt idx="11">
                  <c:v>44198</c:v>
                </c:pt>
                <c:pt idx="12">
                  <c:v>44205</c:v>
                </c:pt>
                <c:pt idx="13">
                  <c:v>44212</c:v>
                </c:pt>
                <c:pt idx="14">
                  <c:v>44219</c:v>
                </c:pt>
                <c:pt idx="15">
                  <c:v>44226</c:v>
                </c:pt>
                <c:pt idx="16">
                  <c:v>44233</c:v>
                </c:pt>
                <c:pt idx="17">
                  <c:v>44240</c:v>
                </c:pt>
                <c:pt idx="18">
                  <c:v>44247</c:v>
                </c:pt>
                <c:pt idx="19">
                  <c:v>44254</c:v>
                </c:pt>
                <c:pt idx="20">
                  <c:v>44261</c:v>
                </c:pt>
                <c:pt idx="21">
                  <c:v>44268</c:v>
                </c:pt>
                <c:pt idx="22">
                  <c:v>44275</c:v>
                </c:pt>
                <c:pt idx="23">
                  <c:v>44282</c:v>
                </c:pt>
                <c:pt idx="24">
                  <c:v>44289</c:v>
                </c:pt>
                <c:pt idx="25">
                  <c:v>44296</c:v>
                </c:pt>
                <c:pt idx="26">
                  <c:v>44303</c:v>
                </c:pt>
                <c:pt idx="27">
                  <c:v>44310</c:v>
                </c:pt>
                <c:pt idx="28">
                  <c:v>44317</c:v>
                </c:pt>
                <c:pt idx="29">
                  <c:v>44324</c:v>
                </c:pt>
                <c:pt idx="30">
                  <c:v>44331</c:v>
                </c:pt>
                <c:pt idx="31">
                  <c:v>44338</c:v>
                </c:pt>
                <c:pt idx="32">
                  <c:v>44345</c:v>
                </c:pt>
                <c:pt idx="33">
                  <c:v>44352</c:v>
                </c:pt>
                <c:pt idx="34">
                  <c:v>44359</c:v>
                </c:pt>
                <c:pt idx="35">
                  <c:v>44366</c:v>
                </c:pt>
                <c:pt idx="36">
                  <c:v>44373</c:v>
                </c:pt>
                <c:pt idx="37">
                  <c:v>44380</c:v>
                </c:pt>
                <c:pt idx="38">
                  <c:v>44387</c:v>
                </c:pt>
                <c:pt idx="39">
                  <c:v>44394</c:v>
                </c:pt>
                <c:pt idx="40">
                  <c:v>44401</c:v>
                </c:pt>
                <c:pt idx="41">
                  <c:v>44408</c:v>
                </c:pt>
                <c:pt idx="42">
                  <c:v>44415</c:v>
                </c:pt>
                <c:pt idx="43">
                  <c:v>44422</c:v>
                </c:pt>
                <c:pt idx="44">
                  <c:v>44429</c:v>
                </c:pt>
                <c:pt idx="45">
                  <c:v>44436</c:v>
                </c:pt>
                <c:pt idx="46">
                  <c:v>44443</c:v>
                </c:pt>
                <c:pt idx="47">
                  <c:v>44450</c:v>
                </c:pt>
                <c:pt idx="48">
                  <c:v>44457</c:v>
                </c:pt>
                <c:pt idx="49">
                  <c:v>44464</c:v>
                </c:pt>
                <c:pt idx="50">
                  <c:v>44471</c:v>
                </c:pt>
                <c:pt idx="51">
                  <c:v>44478</c:v>
                </c:pt>
              </c:numCache>
            </c:numRef>
          </c:cat>
          <c:val>
            <c:numRef>
              <c:f>[0]!Summary_Difference</c:f>
              <c:numCache>
                <c:formatCode>General</c:formatCode>
                <c:ptCount val="52"/>
                <c:pt idx="0">
                  <c:v>3.329999999999977</c:v>
                </c:pt>
                <c:pt idx="1">
                  <c:v>3.329999999999977</c:v>
                </c:pt>
                <c:pt idx="2">
                  <c:v>3.329999999999977</c:v>
                </c:pt>
                <c:pt idx="3">
                  <c:v>3.329999999999977</c:v>
                </c:pt>
                <c:pt idx="4">
                  <c:v>3.329999999999977</c:v>
                </c:pt>
                <c:pt idx="5">
                  <c:v>3.329999999999977</c:v>
                </c:pt>
                <c:pt idx="6">
                  <c:v>3.329999999999977</c:v>
                </c:pt>
                <c:pt idx="7">
                  <c:v>3.329999999999977</c:v>
                </c:pt>
                <c:pt idx="8">
                  <c:v>3.329999999999977</c:v>
                </c:pt>
                <c:pt idx="9">
                  <c:v>3.329999999999977</c:v>
                </c:pt>
                <c:pt idx="10">
                  <c:v>3.329999999999977</c:v>
                </c:pt>
                <c:pt idx="11">
                  <c:v>3.329999999999977</c:v>
                </c:pt>
                <c:pt idx="12">
                  <c:v>3.329999999999977</c:v>
                </c:pt>
                <c:pt idx="13">
                  <c:v>3.329999999999977</c:v>
                </c:pt>
                <c:pt idx="14">
                  <c:v>3.329999999999977</c:v>
                </c:pt>
                <c:pt idx="15">
                  <c:v>3.329999999999977</c:v>
                </c:pt>
                <c:pt idx="16">
                  <c:v>3.329999999999977</c:v>
                </c:pt>
                <c:pt idx="17">
                  <c:v>3.329999999999977</c:v>
                </c:pt>
                <c:pt idx="18">
                  <c:v>3.329999999999977</c:v>
                </c:pt>
                <c:pt idx="19">
                  <c:v>3.329999999999977</c:v>
                </c:pt>
                <c:pt idx="20">
                  <c:v>3.329999999999977</c:v>
                </c:pt>
                <c:pt idx="21">
                  <c:v>3.329999999999977</c:v>
                </c:pt>
                <c:pt idx="22">
                  <c:v>3.329999999999977</c:v>
                </c:pt>
                <c:pt idx="23">
                  <c:v>3.329999999999977</c:v>
                </c:pt>
                <c:pt idx="24">
                  <c:v>3.329999999999977</c:v>
                </c:pt>
                <c:pt idx="25">
                  <c:v>3.329999999999977</c:v>
                </c:pt>
                <c:pt idx="26">
                  <c:v>3.329999999999977</c:v>
                </c:pt>
                <c:pt idx="27">
                  <c:v>3.329999999999977</c:v>
                </c:pt>
                <c:pt idx="28">
                  <c:v>3.329999999999977</c:v>
                </c:pt>
                <c:pt idx="29">
                  <c:v>3.329999999999977</c:v>
                </c:pt>
                <c:pt idx="30">
                  <c:v>3.329999999999977</c:v>
                </c:pt>
                <c:pt idx="31">
                  <c:v>3.329999999999977</c:v>
                </c:pt>
                <c:pt idx="32">
                  <c:v>3.329999999999977</c:v>
                </c:pt>
                <c:pt idx="33">
                  <c:v>3.329999999999977</c:v>
                </c:pt>
                <c:pt idx="34">
                  <c:v>3.329999999999977</c:v>
                </c:pt>
                <c:pt idx="35">
                  <c:v>3.329999999999977</c:v>
                </c:pt>
                <c:pt idx="36">
                  <c:v>3.329999999999977</c:v>
                </c:pt>
                <c:pt idx="37">
                  <c:v>3.329999999999977</c:v>
                </c:pt>
                <c:pt idx="38">
                  <c:v>3.329999999999977</c:v>
                </c:pt>
                <c:pt idx="39">
                  <c:v>3.329999999999977</c:v>
                </c:pt>
                <c:pt idx="40">
                  <c:v>3.329999999999977</c:v>
                </c:pt>
                <c:pt idx="41">
                  <c:v>3.329999999999977</c:v>
                </c:pt>
                <c:pt idx="42">
                  <c:v>3.329999999999977</c:v>
                </c:pt>
                <c:pt idx="43">
                  <c:v>3.329999999999977</c:v>
                </c:pt>
                <c:pt idx="44">
                  <c:v>3.329999999999977</c:v>
                </c:pt>
                <c:pt idx="45">
                  <c:v>3.329999999999977</c:v>
                </c:pt>
                <c:pt idx="46">
                  <c:v>3.329999999999977</c:v>
                </c:pt>
                <c:pt idx="47">
                  <c:v>3.329999999999977</c:v>
                </c:pt>
                <c:pt idx="48">
                  <c:v>3.329999999999977</c:v>
                </c:pt>
                <c:pt idx="49">
                  <c:v>3.329999999999977</c:v>
                </c:pt>
                <c:pt idx="50">
                  <c:v>3.329999999999977</c:v>
                </c:pt>
                <c:pt idx="51">
                  <c:v>3.329999999999977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4-44B1-880B-35DE4645C2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798064"/>
        <c:axId val="791800688"/>
      </c:areaChart>
      <c:lineChart>
        <c:grouping val="standard"/>
        <c:varyColors val="0"/>
        <c:ser>
          <c:idx val="2"/>
          <c:order val="2"/>
          <c:tx>
            <c:v>Available Capacity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[0]!Summary_AvailableCapacity</c:f>
              <c:numCache>
                <c:formatCode>General</c:formatCode>
                <c:ptCount val="52"/>
                <c:pt idx="0">
                  <c:v>61</c:v>
                </c:pt>
                <c:pt idx="1">
                  <c:v>61</c:v>
                </c:pt>
                <c:pt idx="2">
                  <c:v>61</c:v>
                </c:pt>
                <c:pt idx="3">
                  <c:v>61</c:v>
                </c:pt>
                <c:pt idx="4">
                  <c:v>61</c:v>
                </c:pt>
                <c:pt idx="5">
                  <c:v>61</c:v>
                </c:pt>
                <c:pt idx="6">
                  <c:v>61</c:v>
                </c:pt>
                <c:pt idx="7">
                  <c:v>61</c:v>
                </c:pt>
                <c:pt idx="8">
                  <c:v>61</c:v>
                </c:pt>
                <c:pt idx="9">
                  <c:v>61</c:v>
                </c:pt>
                <c:pt idx="10">
                  <c:v>61</c:v>
                </c:pt>
                <c:pt idx="11">
                  <c:v>61</c:v>
                </c:pt>
                <c:pt idx="12">
                  <c:v>61</c:v>
                </c:pt>
                <c:pt idx="13">
                  <c:v>61</c:v>
                </c:pt>
                <c:pt idx="14">
                  <c:v>61</c:v>
                </c:pt>
                <c:pt idx="15">
                  <c:v>61</c:v>
                </c:pt>
                <c:pt idx="16">
                  <c:v>61</c:v>
                </c:pt>
                <c:pt idx="17">
                  <c:v>61</c:v>
                </c:pt>
                <c:pt idx="18">
                  <c:v>61</c:v>
                </c:pt>
                <c:pt idx="19">
                  <c:v>61</c:v>
                </c:pt>
                <c:pt idx="20">
                  <c:v>61</c:v>
                </c:pt>
                <c:pt idx="21">
                  <c:v>61</c:v>
                </c:pt>
                <c:pt idx="22">
                  <c:v>61</c:v>
                </c:pt>
                <c:pt idx="23">
                  <c:v>61</c:v>
                </c:pt>
                <c:pt idx="24">
                  <c:v>61</c:v>
                </c:pt>
                <c:pt idx="25">
                  <c:v>61</c:v>
                </c:pt>
                <c:pt idx="26">
                  <c:v>61</c:v>
                </c:pt>
                <c:pt idx="27">
                  <c:v>61</c:v>
                </c:pt>
                <c:pt idx="28">
                  <c:v>61</c:v>
                </c:pt>
                <c:pt idx="29">
                  <c:v>61</c:v>
                </c:pt>
                <c:pt idx="30">
                  <c:v>61</c:v>
                </c:pt>
                <c:pt idx="31">
                  <c:v>61</c:v>
                </c:pt>
                <c:pt idx="32">
                  <c:v>61</c:v>
                </c:pt>
                <c:pt idx="33">
                  <c:v>61</c:v>
                </c:pt>
                <c:pt idx="34">
                  <c:v>61</c:v>
                </c:pt>
                <c:pt idx="35">
                  <c:v>61</c:v>
                </c:pt>
                <c:pt idx="36">
                  <c:v>61</c:v>
                </c:pt>
                <c:pt idx="37">
                  <c:v>61</c:v>
                </c:pt>
                <c:pt idx="38">
                  <c:v>61</c:v>
                </c:pt>
                <c:pt idx="39">
                  <c:v>61</c:v>
                </c:pt>
                <c:pt idx="40">
                  <c:v>61</c:v>
                </c:pt>
                <c:pt idx="41">
                  <c:v>61</c:v>
                </c:pt>
                <c:pt idx="42">
                  <c:v>61</c:v>
                </c:pt>
                <c:pt idx="43">
                  <c:v>61</c:v>
                </c:pt>
                <c:pt idx="44">
                  <c:v>61</c:v>
                </c:pt>
                <c:pt idx="45">
                  <c:v>61</c:v>
                </c:pt>
                <c:pt idx="46">
                  <c:v>61</c:v>
                </c:pt>
                <c:pt idx="47">
                  <c:v>61</c:v>
                </c:pt>
                <c:pt idx="48">
                  <c:v>61</c:v>
                </c:pt>
                <c:pt idx="49">
                  <c:v>61</c:v>
                </c:pt>
                <c:pt idx="50">
                  <c:v>61</c:v>
                </c:pt>
                <c:pt idx="51">
                  <c:v>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C64-44B1-880B-35DE4645C2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1798064"/>
        <c:axId val="791800688"/>
      </c:lineChart>
      <c:dateAx>
        <c:axId val="7917980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800688"/>
        <c:crosses val="autoZero"/>
        <c:auto val="1"/>
        <c:lblOffset val="100"/>
        <c:baseTimeUnit val="days"/>
      </c:dateAx>
      <c:valAx>
        <c:axId val="7918006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Summary!$B$5</c:f>
              <c:strCache>
                <c:ptCount val="1"/>
                <c:pt idx="0">
                  <c:v>Hours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798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589892</xdr:colOff>
      <xdr:row>0</xdr:row>
      <xdr:rowOff>188567</xdr:rowOff>
    </xdr:from>
    <xdr:to>
      <xdr:col>19</xdr:col>
      <xdr:colOff>1381</xdr:colOff>
      <xdr:row>25</xdr:row>
      <xdr:rowOff>1932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A43FF3E-CEA6-44C9-ACFB-427371812E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609599</xdr:colOff>
      <xdr:row>1</xdr:row>
      <xdr:rowOff>182562</xdr:rowOff>
    </xdr:from>
    <xdr:to>
      <xdr:col>22</xdr:col>
      <xdr:colOff>9524</xdr:colOff>
      <xdr:row>29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390F83D-7EAD-4126-BBD8-3A12AE7ED7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606425</xdr:colOff>
      <xdr:row>1</xdr:row>
      <xdr:rowOff>1586</xdr:rowOff>
    </xdr:from>
    <xdr:to>
      <xdr:col>22</xdr:col>
      <xdr:colOff>28575</xdr:colOff>
      <xdr:row>23</xdr:row>
      <xdr:rowOff>161924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D342A21-816B-498E-928A-64550A9B25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2F836-1F43-4B49-B5A8-A0C69206BC64}">
  <sheetPr codeName="Sheet1"/>
  <dimension ref="A1:N16"/>
  <sheetViews>
    <sheetView workbookViewId="0">
      <selection activeCell="N4" sqref="N4"/>
    </sheetView>
  </sheetViews>
  <sheetFormatPr defaultRowHeight="14.5" x14ac:dyDescent="0.35"/>
  <cols>
    <col min="1" max="1" width="9.1796875" bestFit="1" customWidth="1"/>
    <col min="2" max="2" width="10.81640625" bestFit="1" customWidth="1"/>
  </cols>
  <sheetData>
    <row r="1" spans="1:14" x14ac:dyDescent="0.35">
      <c r="A1" t="s">
        <v>14</v>
      </c>
      <c r="B1" t="s">
        <v>15</v>
      </c>
      <c r="D1" t="s">
        <v>85</v>
      </c>
      <c r="F1" t="s">
        <v>87</v>
      </c>
      <c r="H1" t="s">
        <v>91</v>
      </c>
      <c r="K1" t="s">
        <v>96</v>
      </c>
      <c r="N1" t="s">
        <v>104</v>
      </c>
    </row>
    <row r="2" spans="1:14" x14ac:dyDescent="0.35">
      <c r="B2" t="str">
        <f>Setup!A16</f>
        <v>Caseload 1</v>
      </c>
      <c r="D2">
        <v>1</v>
      </c>
      <c r="F2" t="s">
        <v>66</v>
      </c>
      <c r="H2" t="s">
        <v>92</v>
      </c>
      <c r="I2">
        <v>0.65</v>
      </c>
      <c r="K2" t="s">
        <v>97</v>
      </c>
      <c r="L2">
        <v>2</v>
      </c>
      <c r="N2" t="s">
        <v>105</v>
      </c>
    </row>
    <row r="3" spans="1:14" x14ac:dyDescent="0.35">
      <c r="B3" t="str">
        <f>Setup!A17</f>
        <v>Medium</v>
      </c>
      <c r="D3">
        <v>2</v>
      </c>
      <c r="F3" t="s">
        <v>58</v>
      </c>
      <c r="H3" t="s">
        <v>93</v>
      </c>
      <c r="I3">
        <v>0.7</v>
      </c>
      <c r="K3" t="s">
        <v>98</v>
      </c>
      <c r="L3">
        <v>1</v>
      </c>
      <c r="N3" t="s">
        <v>106</v>
      </c>
    </row>
    <row r="4" spans="1:14" x14ac:dyDescent="0.35">
      <c r="B4" t="str">
        <f>Setup!A18</f>
        <v>low</v>
      </c>
      <c r="D4">
        <v>3</v>
      </c>
      <c r="F4" t="s">
        <v>71</v>
      </c>
      <c r="H4" t="s">
        <v>94</v>
      </c>
      <c r="I4">
        <v>0.75</v>
      </c>
      <c r="K4" t="s">
        <v>99</v>
      </c>
      <c r="L4">
        <v>0.5</v>
      </c>
    </row>
    <row r="5" spans="1:14" x14ac:dyDescent="0.35">
      <c r="B5" t="str">
        <f>Setup!A19</f>
        <v>very low</v>
      </c>
      <c r="D5">
        <v>4</v>
      </c>
      <c r="H5" t="s">
        <v>95</v>
      </c>
      <c r="I5">
        <v>0.8</v>
      </c>
      <c r="K5" t="s">
        <v>100</v>
      </c>
      <c r="L5">
        <v>0.25</v>
      </c>
    </row>
    <row r="6" spans="1:14" x14ac:dyDescent="0.35">
      <c r="B6" t="str">
        <f>Setup!A20</f>
        <v>Caseload 5</v>
      </c>
      <c r="D6">
        <v>5</v>
      </c>
      <c r="K6" t="s">
        <v>101</v>
      </c>
      <c r="L6">
        <v>3.7999999999999999E-2</v>
      </c>
    </row>
    <row r="7" spans="1:14" x14ac:dyDescent="0.35">
      <c r="B7" t="str">
        <f>Setup!A21</f>
        <v>Caseload 6</v>
      </c>
      <c r="D7">
        <v>6</v>
      </c>
      <c r="K7" t="s">
        <v>102</v>
      </c>
      <c r="L7">
        <v>1.9E-2</v>
      </c>
    </row>
    <row r="8" spans="1:14" x14ac:dyDescent="0.35">
      <c r="B8" t="str">
        <f>Setup!A22</f>
        <v>Caseload 7</v>
      </c>
      <c r="D8">
        <v>7</v>
      </c>
    </row>
    <row r="9" spans="1:14" x14ac:dyDescent="0.35">
      <c r="B9" t="str">
        <f>Setup!A23</f>
        <v>Caseload 8</v>
      </c>
      <c r="D9">
        <v>8</v>
      </c>
    </row>
    <row r="10" spans="1:14" x14ac:dyDescent="0.35">
      <c r="B10" t="str">
        <f>Setup!A24</f>
        <v>Caseload 9</v>
      </c>
      <c r="D10">
        <v>9</v>
      </c>
    </row>
    <row r="11" spans="1:14" x14ac:dyDescent="0.35">
      <c r="B11" t="str">
        <f>Setup!A25</f>
        <v>Caseload 10</v>
      </c>
      <c r="D11">
        <v>10</v>
      </c>
    </row>
    <row r="12" spans="1:14" x14ac:dyDescent="0.35">
      <c r="B12" t="str">
        <f>Setup!A26</f>
        <v>Caseload 11</v>
      </c>
      <c r="D12">
        <v>11</v>
      </c>
    </row>
    <row r="13" spans="1:14" x14ac:dyDescent="0.35">
      <c r="B13" t="str">
        <f>Setup!A27</f>
        <v>Caseload 12</v>
      </c>
      <c r="D13">
        <v>12</v>
      </c>
    </row>
    <row r="14" spans="1:14" x14ac:dyDescent="0.35">
      <c r="B14" t="str">
        <f>Setup!A28</f>
        <v>Caseload 13</v>
      </c>
      <c r="D14">
        <v>13</v>
      </c>
    </row>
    <row r="15" spans="1:14" x14ac:dyDescent="0.35">
      <c r="B15" t="str">
        <f>Setup!A29</f>
        <v>Caseload 14</v>
      </c>
      <c r="D15">
        <v>14</v>
      </c>
    </row>
    <row r="16" spans="1:14" x14ac:dyDescent="0.35">
      <c r="B16" t="str">
        <f>Setup!A30</f>
        <v>Caseload 15</v>
      </c>
      <c r="D16">
        <v>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F1532-A4C7-4728-B053-E54973C7D2A2}">
  <sheetPr codeName="Sheet2"/>
  <dimension ref="A1:S32"/>
  <sheetViews>
    <sheetView showGridLines="0" tabSelected="1" workbookViewId="0">
      <selection activeCell="D35" sqref="D35"/>
    </sheetView>
  </sheetViews>
  <sheetFormatPr defaultRowHeight="14.5" x14ac:dyDescent="0.35"/>
  <cols>
    <col min="1" max="1" width="22.7265625" customWidth="1"/>
    <col min="2" max="2" width="19.453125" bestFit="1" customWidth="1"/>
  </cols>
  <sheetData>
    <row r="1" spans="1:19" ht="23.5" x14ac:dyDescent="0.55000000000000004">
      <c r="A1" s="28" t="s">
        <v>88</v>
      </c>
    </row>
    <row r="2" spans="1:19" x14ac:dyDescent="0.35">
      <c r="A2" t="s">
        <v>89</v>
      </c>
    </row>
    <row r="3" spans="1:19" x14ac:dyDescent="0.3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15" thickBot="1" x14ac:dyDescent="0.4"/>
    <row r="5" spans="1:19" ht="15" thickBot="1" x14ac:dyDescent="0.4">
      <c r="A5" s="37" t="s">
        <v>0</v>
      </c>
      <c r="B5" s="17"/>
    </row>
    <row r="6" spans="1:19" ht="15" thickBot="1" x14ac:dyDescent="0.4"/>
    <row r="7" spans="1:19" ht="15" thickBot="1" x14ac:dyDescent="0.4">
      <c r="A7" s="37" t="s">
        <v>1</v>
      </c>
      <c r="B7" s="17"/>
    </row>
    <row r="9" spans="1:19" x14ac:dyDescent="0.3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15" thickBot="1" x14ac:dyDescent="0.4"/>
    <row r="11" spans="1:19" ht="15" thickBot="1" x14ac:dyDescent="0.4">
      <c r="A11" s="37" t="s">
        <v>90</v>
      </c>
      <c r="B11" s="39" t="s">
        <v>92</v>
      </c>
    </row>
    <row r="12" spans="1:19" ht="15" thickBot="1" x14ac:dyDescent="0.4"/>
    <row r="13" spans="1:19" ht="15" thickBot="1" x14ac:dyDescent="0.4">
      <c r="A13" s="37" t="s">
        <v>2</v>
      </c>
      <c r="B13" s="39">
        <v>1</v>
      </c>
    </row>
    <row r="14" spans="1:19" ht="15" thickBot="1" x14ac:dyDescent="0.4"/>
    <row r="15" spans="1:19" ht="15" thickBot="1" x14ac:dyDescent="0.4">
      <c r="A15" s="37" t="s">
        <v>86</v>
      </c>
      <c r="B15" s="38" t="s">
        <v>107</v>
      </c>
    </row>
    <row r="16" spans="1:19" x14ac:dyDescent="0.35">
      <c r="A16" s="11" t="s">
        <v>124</v>
      </c>
      <c r="B16" s="11"/>
    </row>
    <row r="17" spans="1:19" hidden="1" x14ac:dyDescent="0.35">
      <c r="A17" s="40" t="s">
        <v>117</v>
      </c>
      <c r="B17" s="40"/>
    </row>
    <row r="18" spans="1:19" hidden="1" x14ac:dyDescent="0.35">
      <c r="A18" s="40" t="s">
        <v>118</v>
      </c>
      <c r="B18" s="40"/>
    </row>
    <row r="19" spans="1:19" hidden="1" x14ac:dyDescent="0.35">
      <c r="A19" s="40" t="s">
        <v>119</v>
      </c>
      <c r="B19" s="40"/>
    </row>
    <row r="20" spans="1:19" hidden="1" x14ac:dyDescent="0.35">
      <c r="A20" s="40" t="s">
        <v>3</v>
      </c>
      <c r="B20" s="40"/>
    </row>
    <row r="21" spans="1:19" hidden="1" x14ac:dyDescent="0.35">
      <c r="A21" s="40" t="s">
        <v>4</v>
      </c>
      <c r="B21" s="40"/>
    </row>
    <row r="22" spans="1:19" hidden="1" x14ac:dyDescent="0.35">
      <c r="A22" s="40" t="s">
        <v>5</v>
      </c>
      <c r="B22" s="40"/>
    </row>
    <row r="23" spans="1:19" hidden="1" x14ac:dyDescent="0.35">
      <c r="A23" s="40" t="s">
        <v>6</v>
      </c>
      <c r="B23" s="40"/>
    </row>
    <row r="24" spans="1:19" hidden="1" x14ac:dyDescent="0.35">
      <c r="A24" s="40" t="s">
        <v>7</v>
      </c>
      <c r="B24" s="40"/>
    </row>
    <row r="25" spans="1:19" hidden="1" x14ac:dyDescent="0.35">
      <c r="A25" s="40" t="s">
        <v>8</v>
      </c>
      <c r="B25" s="40"/>
    </row>
    <row r="26" spans="1:19" hidden="1" x14ac:dyDescent="0.35">
      <c r="A26" s="40" t="s">
        <v>9</v>
      </c>
      <c r="B26" s="40"/>
    </row>
    <row r="27" spans="1:19" hidden="1" x14ac:dyDescent="0.35">
      <c r="A27" s="40" t="s">
        <v>10</v>
      </c>
      <c r="B27" s="40"/>
    </row>
    <row r="28" spans="1:19" hidden="1" x14ac:dyDescent="0.35">
      <c r="A28" s="40" t="s">
        <v>11</v>
      </c>
      <c r="B28" s="40"/>
    </row>
    <row r="29" spans="1:19" hidden="1" x14ac:dyDescent="0.35">
      <c r="A29" s="40" t="s">
        <v>12</v>
      </c>
      <c r="B29" s="40"/>
    </row>
    <row r="30" spans="1:19" ht="15" hidden="1" thickBot="1" x14ac:dyDescent="0.4">
      <c r="A30" s="41" t="s">
        <v>13</v>
      </c>
      <c r="B30" s="41"/>
    </row>
    <row r="32" spans="1:19" x14ac:dyDescent="0.3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</sheetData>
  <phoneticPr fontId="3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6E48A2A-FFE5-4087-B466-2C54376D4611}">
          <x14:formula1>
            <xm:f>'Data Validation (Hide)'!$D$2:$D$16</xm:f>
          </x14:formula1>
          <xm:sqref>B13</xm:sqref>
        </x14:dataValidation>
        <x14:dataValidation type="list" allowBlank="1" showInputMessage="1" showErrorMessage="1" xr:uid="{F47D1436-D41C-46E2-B2E4-BF967AEA37B3}">
          <x14:formula1>
            <xm:f>'Data Validation (Hide)'!$H$2:$H$5</xm:f>
          </x14:formula1>
          <xm:sqref>B11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AB6137-B8B3-4691-A52A-E91FDD37FC26}">
  <sheetPr codeName="Sheet3"/>
  <dimension ref="A2:T265"/>
  <sheetViews>
    <sheetView showGridLines="0" workbookViewId="0">
      <selection activeCell="E6" sqref="E6"/>
    </sheetView>
  </sheetViews>
  <sheetFormatPr defaultRowHeight="14.5" x14ac:dyDescent="0.35"/>
  <cols>
    <col min="1" max="1" width="9.08984375" bestFit="1" customWidth="1"/>
    <col min="2" max="2" width="11.7265625" customWidth="1"/>
    <col min="3" max="4" width="0" hidden="1" customWidth="1"/>
    <col min="5" max="5" width="8.81640625" customWidth="1"/>
    <col min="6" max="19" width="8.7265625" hidden="1" customWidth="1"/>
  </cols>
  <sheetData>
    <row r="2" spans="1:20" ht="15" thickBot="1" x14ac:dyDescent="0.4"/>
    <row r="3" spans="1:20" ht="15" thickBot="1" x14ac:dyDescent="0.4">
      <c r="A3" s="37" t="s">
        <v>17</v>
      </c>
      <c r="B3" s="49">
        <v>43617</v>
      </c>
    </row>
    <row r="4" spans="1:20" ht="15" thickBot="1" x14ac:dyDescent="0.4"/>
    <row r="5" spans="1:20" ht="28.5" customHeight="1" thickBot="1" x14ac:dyDescent="0.4">
      <c r="A5" s="27">
        <f>MAX(A6:A265)</f>
        <v>72</v>
      </c>
      <c r="B5" s="37" t="s">
        <v>18</v>
      </c>
      <c r="C5" s="45"/>
      <c r="D5" s="45"/>
      <c r="E5" s="46" t="str" cm="1">
        <f t="array" ref="E5">INDEX('Data Validation (Hide)'!$B$2:$B$16,COLUMN(A1),1)</f>
        <v>Caseload 1</v>
      </c>
      <c r="F5" s="46" t="str" cm="1">
        <f t="array" ref="F5">INDEX('Data Validation (Hide)'!$B$2:$B$16,COLUMN(B1),1)</f>
        <v>Medium</v>
      </c>
      <c r="G5" s="46" t="str" cm="1">
        <f t="array" ref="G5">INDEX('Data Validation (Hide)'!$B$2:$B$16,COLUMN(C1),1)</f>
        <v>low</v>
      </c>
      <c r="H5" s="46" t="str" cm="1">
        <f t="array" ref="H5">INDEX('Data Validation (Hide)'!$B$2:$B$16,COLUMN(D1),1)</f>
        <v>very low</v>
      </c>
      <c r="I5" s="47" t="str" cm="1">
        <f t="array" ref="I5">INDEX('Data Validation (Hide)'!$B$2:$B$16,COLUMN(E1),1)</f>
        <v>Caseload 5</v>
      </c>
      <c r="J5" s="47" t="str" cm="1">
        <f t="array" ref="J5">INDEX('Data Validation (Hide)'!$B$2:$B$16,COLUMN(F1),1)</f>
        <v>Caseload 6</v>
      </c>
      <c r="K5" s="47" t="str" cm="1">
        <f t="array" ref="K5">INDEX('Data Validation (Hide)'!$B$2:$B$16,COLUMN(G1),1)</f>
        <v>Caseload 7</v>
      </c>
      <c r="L5" s="47" t="str" cm="1">
        <f t="array" ref="L5">INDEX('Data Validation (Hide)'!$B$2:$B$16,COLUMN(H1),1)</f>
        <v>Caseload 8</v>
      </c>
      <c r="M5" s="47" t="str" cm="1">
        <f t="array" ref="M5">INDEX('Data Validation (Hide)'!$B$2:$B$16,COLUMN(I1),1)</f>
        <v>Caseload 9</v>
      </c>
      <c r="N5" s="47" t="str" cm="1">
        <f t="array" ref="N5">INDEX('Data Validation (Hide)'!$B$2:$B$16,COLUMN(J1),1)</f>
        <v>Caseload 10</v>
      </c>
      <c r="O5" s="47" t="str" cm="1">
        <f t="array" ref="O5">INDEX('Data Validation (Hide)'!$B$2:$B$16,COLUMN(K1),1)</f>
        <v>Caseload 11</v>
      </c>
      <c r="P5" s="47" t="str" cm="1">
        <f t="array" ref="P5">INDEX('Data Validation (Hide)'!$B$2:$B$16,COLUMN(L1),1)</f>
        <v>Caseload 12</v>
      </c>
      <c r="Q5" s="47" t="str" cm="1">
        <f t="array" ref="Q5">INDEX('Data Validation (Hide)'!$B$2:$B$16,COLUMN(M1),1)</f>
        <v>Caseload 13</v>
      </c>
      <c r="R5" s="47" t="str" cm="1">
        <f t="array" ref="R5">INDEX('Data Validation (Hide)'!$B$2:$B$16,COLUMN(N1),1)</f>
        <v>Caseload 14</v>
      </c>
      <c r="S5" s="48" t="str" cm="1">
        <f t="array" ref="S5">INDEX('Data Validation (Hide)'!$B$2:$B$16,COLUMN(O1),1)</f>
        <v>Caseload 15</v>
      </c>
      <c r="T5" s="7"/>
    </row>
    <row r="6" spans="1:20" x14ac:dyDescent="0.35">
      <c r="A6" s="27">
        <f>IF(COUNTBLANK(E6:S6)=15,"",1)</f>
        <v>1</v>
      </c>
      <c r="B6" s="43">
        <f>IF(A6="","",B3)</f>
        <v>43617</v>
      </c>
      <c r="C6" s="5"/>
      <c r="D6" s="5"/>
      <c r="E6" s="5">
        <v>260</v>
      </c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7"/>
    </row>
    <row r="7" spans="1:20" x14ac:dyDescent="0.35">
      <c r="A7" s="27">
        <f t="shared" ref="A7:A71" si="0">IF(COUNTBLANK(E7:S7)=15,"",A6+1)</f>
        <v>2</v>
      </c>
      <c r="B7" s="43">
        <f>IF(A7="","",B6+7)</f>
        <v>43624</v>
      </c>
      <c r="C7" s="5"/>
      <c r="D7" s="5"/>
      <c r="E7" s="5">
        <v>312</v>
      </c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7"/>
    </row>
    <row r="8" spans="1:20" x14ac:dyDescent="0.35">
      <c r="A8" s="27">
        <f t="shared" si="0"/>
        <v>3</v>
      </c>
      <c r="B8" s="43">
        <f t="shared" ref="B8:B71" si="1">IF(A8="","",B7+7)</f>
        <v>43631</v>
      </c>
      <c r="C8" s="5"/>
      <c r="D8" s="5"/>
      <c r="E8" s="5">
        <v>250</v>
      </c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7"/>
    </row>
    <row r="9" spans="1:20" x14ac:dyDescent="0.35">
      <c r="A9" s="27">
        <f t="shared" si="0"/>
        <v>4</v>
      </c>
      <c r="B9" s="43">
        <f t="shared" si="1"/>
        <v>43638</v>
      </c>
      <c r="C9" s="5"/>
      <c r="D9" s="5"/>
      <c r="E9" s="5">
        <v>220</v>
      </c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7"/>
    </row>
    <row r="10" spans="1:20" x14ac:dyDescent="0.35">
      <c r="A10" s="27">
        <f t="shared" si="0"/>
        <v>5</v>
      </c>
      <c r="B10" s="43">
        <f t="shared" si="1"/>
        <v>43645</v>
      </c>
      <c r="C10" s="5"/>
      <c r="D10" s="5"/>
      <c r="E10" s="5">
        <v>158</v>
      </c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7"/>
    </row>
    <row r="11" spans="1:20" x14ac:dyDescent="0.35">
      <c r="A11" s="27">
        <f t="shared" si="0"/>
        <v>6</v>
      </c>
      <c r="B11" s="43">
        <f t="shared" si="1"/>
        <v>43652</v>
      </c>
      <c r="C11" s="5"/>
      <c r="D11" s="5"/>
      <c r="E11" s="5">
        <v>152</v>
      </c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7"/>
    </row>
    <row r="12" spans="1:20" x14ac:dyDescent="0.35">
      <c r="A12" s="27">
        <f t="shared" si="0"/>
        <v>7</v>
      </c>
      <c r="B12" s="43">
        <f t="shared" si="1"/>
        <v>43659</v>
      </c>
      <c r="C12" s="5"/>
      <c r="D12" s="5"/>
      <c r="E12" s="5">
        <v>204</v>
      </c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7"/>
    </row>
    <row r="13" spans="1:20" x14ac:dyDescent="0.35">
      <c r="A13" s="27">
        <f t="shared" si="0"/>
        <v>8</v>
      </c>
      <c r="B13" s="43">
        <f t="shared" si="1"/>
        <v>43666</v>
      </c>
      <c r="C13" s="5"/>
      <c r="D13" s="5"/>
      <c r="E13" s="5">
        <v>228</v>
      </c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7"/>
    </row>
    <row r="14" spans="1:20" x14ac:dyDescent="0.35">
      <c r="A14" s="27">
        <f t="shared" si="0"/>
        <v>9</v>
      </c>
      <c r="B14" s="43">
        <f t="shared" si="1"/>
        <v>43673</v>
      </c>
      <c r="C14" s="5"/>
      <c r="D14" s="5"/>
      <c r="E14" s="5">
        <v>252</v>
      </c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7"/>
    </row>
    <row r="15" spans="1:20" x14ac:dyDescent="0.35">
      <c r="A15" s="27">
        <f t="shared" si="0"/>
        <v>10</v>
      </c>
      <c r="B15" s="43">
        <f t="shared" si="1"/>
        <v>43680</v>
      </c>
      <c r="C15" s="5"/>
      <c r="D15" s="5"/>
      <c r="E15" s="5">
        <v>246</v>
      </c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7"/>
    </row>
    <row r="16" spans="1:20" x14ac:dyDescent="0.35">
      <c r="A16" s="27">
        <f t="shared" si="0"/>
        <v>11</v>
      </c>
      <c r="B16" s="43">
        <f t="shared" si="1"/>
        <v>43687</v>
      </c>
      <c r="C16" s="5"/>
      <c r="D16" s="5"/>
      <c r="E16" s="5">
        <v>256</v>
      </c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7"/>
    </row>
    <row r="17" spans="1:20" x14ac:dyDescent="0.35">
      <c r="A17" s="27">
        <f t="shared" si="0"/>
        <v>12</v>
      </c>
      <c r="B17" s="43">
        <f t="shared" si="1"/>
        <v>43694</v>
      </c>
      <c r="C17" s="5"/>
      <c r="D17" s="5"/>
      <c r="E17" s="5">
        <v>184</v>
      </c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7"/>
    </row>
    <row r="18" spans="1:20" x14ac:dyDescent="0.35">
      <c r="A18" s="27">
        <f t="shared" si="0"/>
        <v>13</v>
      </c>
      <c r="B18" s="43">
        <f t="shared" si="1"/>
        <v>43701</v>
      </c>
      <c r="C18" s="5"/>
      <c r="D18" s="5"/>
      <c r="E18" s="5">
        <v>190</v>
      </c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7"/>
    </row>
    <row r="19" spans="1:20" x14ac:dyDescent="0.35">
      <c r="A19" s="27">
        <f t="shared" si="0"/>
        <v>14</v>
      </c>
      <c r="B19" s="43">
        <f t="shared" si="1"/>
        <v>43708</v>
      </c>
      <c r="C19" s="5"/>
      <c r="D19" s="5"/>
      <c r="E19" s="5">
        <v>232</v>
      </c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7"/>
    </row>
    <row r="20" spans="1:20" x14ac:dyDescent="0.35">
      <c r="A20" s="27">
        <f t="shared" si="0"/>
        <v>15</v>
      </c>
      <c r="B20" s="43">
        <f t="shared" si="1"/>
        <v>43715</v>
      </c>
      <c r="C20" s="5"/>
      <c r="D20" s="5"/>
      <c r="E20" s="5">
        <v>232</v>
      </c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7"/>
    </row>
    <row r="21" spans="1:20" x14ac:dyDescent="0.35">
      <c r="A21" s="27">
        <f t="shared" si="0"/>
        <v>16</v>
      </c>
      <c r="B21" s="43">
        <f t="shared" si="1"/>
        <v>43722</v>
      </c>
      <c r="C21" s="5"/>
      <c r="D21" s="5"/>
      <c r="E21" s="5">
        <v>222</v>
      </c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7"/>
    </row>
    <row r="22" spans="1:20" x14ac:dyDescent="0.35">
      <c r="A22" s="27">
        <f t="shared" si="0"/>
        <v>17</v>
      </c>
      <c r="B22" s="43">
        <f t="shared" si="1"/>
        <v>43729</v>
      </c>
      <c r="C22" s="5"/>
      <c r="D22" s="5"/>
      <c r="E22" s="5">
        <v>230</v>
      </c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7"/>
    </row>
    <row r="23" spans="1:20" x14ac:dyDescent="0.35">
      <c r="A23" s="27">
        <f t="shared" si="0"/>
        <v>18</v>
      </c>
      <c r="B23" s="43">
        <f t="shared" si="1"/>
        <v>43736</v>
      </c>
      <c r="C23" s="5"/>
      <c r="D23" s="5"/>
      <c r="E23" s="5">
        <v>242</v>
      </c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7"/>
    </row>
    <row r="24" spans="1:20" x14ac:dyDescent="0.35">
      <c r="A24" s="27">
        <f t="shared" si="0"/>
        <v>19</v>
      </c>
      <c r="B24" s="43">
        <f t="shared" si="1"/>
        <v>43743</v>
      </c>
      <c r="C24" s="5"/>
      <c r="D24" s="5"/>
      <c r="E24" s="5">
        <v>320</v>
      </c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7"/>
    </row>
    <row r="25" spans="1:20" x14ac:dyDescent="0.35">
      <c r="A25" s="27">
        <f t="shared" si="0"/>
        <v>20</v>
      </c>
      <c r="B25" s="43">
        <f t="shared" si="1"/>
        <v>43750</v>
      </c>
      <c r="C25" s="5"/>
      <c r="D25" s="5"/>
      <c r="E25" s="5">
        <v>338</v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7"/>
    </row>
    <row r="26" spans="1:20" x14ac:dyDescent="0.35">
      <c r="A26" s="27">
        <f t="shared" si="0"/>
        <v>21</v>
      </c>
      <c r="B26" s="43">
        <f t="shared" si="1"/>
        <v>43757</v>
      </c>
      <c r="C26" s="5"/>
      <c r="D26" s="5"/>
      <c r="E26" s="5">
        <v>270</v>
      </c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7"/>
    </row>
    <row r="27" spans="1:20" x14ac:dyDescent="0.35">
      <c r="A27" s="27">
        <f t="shared" si="0"/>
        <v>22</v>
      </c>
      <c r="B27" s="43">
        <f t="shared" si="1"/>
        <v>43764</v>
      </c>
      <c r="C27" s="5"/>
      <c r="D27" s="5"/>
      <c r="E27" s="5">
        <v>216</v>
      </c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7"/>
    </row>
    <row r="28" spans="1:20" x14ac:dyDescent="0.35">
      <c r="A28" s="27">
        <f t="shared" si="0"/>
        <v>23</v>
      </c>
      <c r="B28" s="43">
        <f t="shared" si="1"/>
        <v>43771</v>
      </c>
      <c r="C28" s="5"/>
      <c r="D28" s="5"/>
      <c r="E28" s="5">
        <v>220</v>
      </c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7"/>
    </row>
    <row r="29" spans="1:20" x14ac:dyDescent="0.35">
      <c r="A29" s="27">
        <f t="shared" si="0"/>
        <v>24</v>
      </c>
      <c r="B29" s="43">
        <f t="shared" si="1"/>
        <v>43778</v>
      </c>
      <c r="C29" s="5"/>
      <c r="D29" s="5"/>
      <c r="E29" s="5">
        <v>216</v>
      </c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7"/>
    </row>
    <row r="30" spans="1:20" x14ac:dyDescent="0.35">
      <c r="A30" s="27">
        <f t="shared" si="0"/>
        <v>25</v>
      </c>
      <c r="B30" s="43">
        <f t="shared" si="1"/>
        <v>43785</v>
      </c>
      <c r="C30" s="5"/>
      <c r="D30" s="5"/>
      <c r="E30" s="5">
        <v>208</v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7"/>
    </row>
    <row r="31" spans="1:20" x14ac:dyDescent="0.35">
      <c r="A31" s="27">
        <f t="shared" si="0"/>
        <v>26</v>
      </c>
      <c r="B31" s="43">
        <f t="shared" si="1"/>
        <v>43792</v>
      </c>
      <c r="C31" s="5"/>
      <c r="D31" s="5"/>
      <c r="E31" s="5">
        <v>140</v>
      </c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7"/>
    </row>
    <row r="32" spans="1:20" x14ac:dyDescent="0.35">
      <c r="A32" s="27">
        <f t="shared" si="0"/>
        <v>27</v>
      </c>
      <c r="B32" s="43">
        <f t="shared" si="1"/>
        <v>43799</v>
      </c>
      <c r="C32" s="5"/>
      <c r="D32" s="5"/>
      <c r="E32" s="5">
        <v>178</v>
      </c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7"/>
    </row>
    <row r="33" spans="1:20" x14ac:dyDescent="0.35">
      <c r="A33" s="27">
        <f t="shared" si="0"/>
        <v>28</v>
      </c>
      <c r="B33" s="43">
        <f t="shared" si="1"/>
        <v>43806</v>
      </c>
      <c r="C33" s="5"/>
      <c r="D33" s="5"/>
      <c r="E33" s="5">
        <v>260</v>
      </c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7"/>
    </row>
    <row r="34" spans="1:20" x14ac:dyDescent="0.35">
      <c r="A34" s="27">
        <f t="shared" si="0"/>
        <v>29</v>
      </c>
      <c r="B34" s="43">
        <f t="shared" si="1"/>
        <v>43813</v>
      </c>
      <c r="C34" s="5"/>
      <c r="D34" s="5"/>
      <c r="E34" s="5">
        <v>258</v>
      </c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7"/>
    </row>
    <row r="35" spans="1:20" x14ac:dyDescent="0.35">
      <c r="A35" s="27">
        <f t="shared" si="0"/>
        <v>30</v>
      </c>
      <c r="B35" s="43">
        <f t="shared" si="1"/>
        <v>43820</v>
      </c>
      <c r="C35" s="5"/>
      <c r="D35" s="5"/>
      <c r="E35" s="5">
        <v>192</v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7"/>
    </row>
    <row r="36" spans="1:20" x14ac:dyDescent="0.35">
      <c r="A36" s="27">
        <f t="shared" si="0"/>
        <v>31</v>
      </c>
      <c r="B36" s="43">
        <f t="shared" si="1"/>
        <v>43827</v>
      </c>
      <c r="C36" s="5"/>
      <c r="D36" s="5"/>
      <c r="E36" s="5">
        <v>188</v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7"/>
    </row>
    <row r="37" spans="1:20" x14ac:dyDescent="0.35">
      <c r="A37" s="27">
        <f t="shared" si="0"/>
        <v>32</v>
      </c>
      <c r="B37" s="43">
        <f t="shared" si="1"/>
        <v>43834</v>
      </c>
      <c r="C37" s="5"/>
      <c r="D37" s="5"/>
      <c r="E37" s="5">
        <v>244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7"/>
    </row>
    <row r="38" spans="1:20" x14ac:dyDescent="0.35">
      <c r="A38" s="27">
        <f t="shared" si="0"/>
        <v>33</v>
      </c>
      <c r="B38" s="43">
        <f t="shared" si="1"/>
        <v>43841</v>
      </c>
      <c r="C38" s="5"/>
      <c r="D38" s="5"/>
      <c r="E38" s="5">
        <v>254</v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7"/>
    </row>
    <row r="39" spans="1:20" x14ac:dyDescent="0.35">
      <c r="A39" s="27">
        <f t="shared" si="0"/>
        <v>34</v>
      </c>
      <c r="B39" s="43">
        <f t="shared" si="1"/>
        <v>43848</v>
      </c>
      <c r="C39" s="5"/>
      <c r="D39" s="5"/>
      <c r="E39" s="5">
        <v>158</v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7"/>
    </row>
    <row r="40" spans="1:20" x14ac:dyDescent="0.35">
      <c r="A40" s="27">
        <f t="shared" si="0"/>
        <v>35</v>
      </c>
      <c r="B40" s="43">
        <f t="shared" si="1"/>
        <v>43855</v>
      </c>
      <c r="C40" s="5"/>
      <c r="D40" s="5"/>
      <c r="E40" s="5">
        <v>152</v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7"/>
    </row>
    <row r="41" spans="1:20" x14ac:dyDescent="0.35">
      <c r="A41" s="27">
        <f t="shared" si="0"/>
        <v>36</v>
      </c>
      <c r="B41" s="43">
        <f t="shared" si="1"/>
        <v>43862</v>
      </c>
      <c r="C41" s="5"/>
      <c r="D41" s="5"/>
      <c r="E41" s="5">
        <v>196</v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7"/>
    </row>
    <row r="42" spans="1:20" x14ac:dyDescent="0.35">
      <c r="A42" s="27">
        <f t="shared" si="0"/>
        <v>37</v>
      </c>
      <c r="B42" s="43">
        <f t="shared" si="1"/>
        <v>43869</v>
      </c>
      <c r="C42" s="5"/>
      <c r="D42" s="5"/>
      <c r="E42" s="5">
        <v>244</v>
      </c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7"/>
    </row>
    <row r="43" spans="1:20" x14ac:dyDescent="0.35">
      <c r="A43" s="27">
        <f t="shared" si="0"/>
        <v>38</v>
      </c>
      <c r="B43" s="43">
        <f t="shared" si="1"/>
        <v>43876</v>
      </c>
      <c r="C43" s="5"/>
      <c r="D43" s="5"/>
      <c r="E43" s="5">
        <v>258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7"/>
    </row>
    <row r="44" spans="1:20" x14ac:dyDescent="0.35">
      <c r="A44" s="27">
        <f t="shared" si="0"/>
        <v>39</v>
      </c>
      <c r="B44" s="43">
        <f t="shared" si="1"/>
        <v>43883</v>
      </c>
      <c r="C44" s="5"/>
      <c r="D44" s="5"/>
      <c r="E44" s="5">
        <v>262</v>
      </c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7"/>
    </row>
    <row r="45" spans="1:20" x14ac:dyDescent="0.35">
      <c r="A45" s="27">
        <f t="shared" si="0"/>
        <v>40</v>
      </c>
      <c r="B45" s="43">
        <f t="shared" si="1"/>
        <v>43890</v>
      </c>
      <c r="C45" s="5"/>
      <c r="D45" s="5"/>
      <c r="E45" s="5">
        <v>380</v>
      </c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7"/>
    </row>
    <row r="46" spans="1:20" x14ac:dyDescent="0.35">
      <c r="A46" s="27">
        <f t="shared" si="0"/>
        <v>41</v>
      </c>
      <c r="B46" s="43">
        <f t="shared" si="1"/>
        <v>43897</v>
      </c>
      <c r="C46" s="5"/>
      <c r="D46" s="5"/>
      <c r="E46" s="5">
        <v>394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7"/>
    </row>
    <row r="47" spans="1:20" x14ac:dyDescent="0.35">
      <c r="A47" s="27">
        <f t="shared" si="0"/>
        <v>42</v>
      </c>
      <c r="B47" s="43">
        <f t="shared" si="1"/>
        <v>43904</v>
      </c>
      <c r="C47" s="5"/>
      <c r="D47" s="5"/>
      <c r="E47" s="5">
        <v>170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7"/>
    </row>
    <row r="48" spans="1:20" x14ac:dyDescent="0.35">
      <c r="A48" s="27">
        <f t="shared" si="0"/>
        <v>43</v>
      </c>
      <c r="B48" s="43">
        <f t="shared" si="1"/>
        <v>43911</v>
      </c>
      <c r="C48" s="5"/>
      <c r="D48" s="5"/>
      <c r="E48" s="5">
        <v>30</v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7"/>
    </row>
    <row r="49" spans="1:20" x14ac:dyDescent="0.35">
      <c r="A49" s="27">
        <f t="shared" si="0"/>
        <v>44</v>
      </c>
      <c r="B49" s="43">
        <f t="shared" si="1"/>
        <v>43918</v>
      </c>
      <c r="C49" s="5"/>
      <c r="D49" s="5"/>
      <c r="E49" s="5">
        <v>100</v>
      </c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7"/>
    </row>
    <row r="50" spans="1:20" x14ac:dyDescent="0.35">
      <c r="A50" s="27">
        <f t="shared" si="0"/>
        <v>45</v>
      </c>
      <c r="B50" s="43">
        <f t="shared" si="1"/>
        <v>43925</v>
      </c>
      <c r="C50" s="5"/>
      <c r="D50" s="5"/>
      <c r="E50" s="5">
        <v>246</v>
      </c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7"/>
    </row>
    <row r="51" spans="1:20" x14ac:dyDescent="0.35">
      <c r="A51" s="27">
        <f t="shared" si="0"/>
        <v>46</v>
      </c>
      <c r="B51" s="43">
        <f t="shared" si="1"/>
        <v>43932</v>
      </c>
      <c r="C51" s="5"/>
      <c r="D51" s="5"/>
      <c r="E51" s="5">
        <v>254</v>
      </c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7"/>
    </row>
    <row r="52" spans="1:20" x14ac:dyDescent="0.35">
      <c r="A52" s="27">
        <f t="shared" si="0"/>
        <v>47</v>
      </c>
      <c r="B52" s="43">
        <f t="shared" si="1"/>
        <v>43939</v>
      </c>
      <c r="C52" s="5"/>
      <c r="D52" s="5"/>
      <c r="E52" s="5">
        <v>256</v>
      </c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7"/>
    </row>
    <row r="53" spans="1:20" x14ac:dyDescent="0.35">
      <c r="A53" s="27">
        <f t="shared" si="0"/>
        <v>48</v>
      </c>
      <c r="B53" s="43">
        <f t="shared" si="1"/>
        <v>43946</v>
      </c>
      <c r="C53" s="5"/>
      <c r="D53" s="5"/>
      <c r="E53" s="5">
        <v>266</v>
      </c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7"/>
    </row>
    <row r="54" spans="1:20" x14ac:dyDescent="0.35">
      <c r="A54" s="27">
        <f t="shared" si="0"/>
        <v>49</v>
      </c>
      <c r="B54" s="43">
        <f t="shared" si="1"/>
        <v>43953</v>
      </c>
      <c r="C54" s="5"/>
      <c r="D54" s="5"/>
      <c r="E54" s="5">
        <v>248</v>
      </c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7"/>
    </row>
    <row r="55" spans="1:20" x14ac:dyDescent="0.35">
      <c r="A55" s="27">
        <f t="shared" si="0"/>
        <v>50</v>
      </c>
      <c r="B55" s="43">
        <f t="shared" si="1"/>
        <v>43960</v>
      </c>
      <c r="C55" s="5"/>
      <c r="D55" s="5"/>
      <c r="E55" s="5">
        <v>198</v>
      </c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7"/>
    </row>
    <row r="56" spans="1:20" x14ac:dyDescent="0.35">
      <c r="A56" s="27">
        <f t="shared" si="0"/>
        <v>51</v>
      </c>
      <c r="B56" s="43">
        <f t="shared" si="1"/>
        <v>43967</v>
      </c>
      <c r="C56" s="5"/>
      <c r="D56" s="5"/>
      <c r="E56" s="5">
        <v>182</v>
      </c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7"/>
    </row>
    <row r="57" spans="1:20" x14ac:dyDescent="0.35">
      <c r="A57" s="27">
        <f t="shared" si="0"/>
        <v>52</v>
      </c>
      <c r="B57" s="43">
        <f t="shared" si="1"/>
        <v>43974</v>
      </c>
      <c r="C57" s="5"/>
      <c r="D57" s="5"/>
      <c r="E57" s="5">
        <v>246</v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7"/>
    </row>
    <row r="58" spans="1:20" x14ac:dyDescent="0.35">
      <c r="A58" s="27">
        <f t="shared" si="0"/>
        <v>53</v>
      </c>
      <c r="B58" s="43">
        <f t="shared" si="1"/>
        <v>43981</v>
      </c>
      <c r="C58" s="5"/>
      <c r="D58" s="5"/>
      <c r="E58" s="5">
        <v>296</v>
      </c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7"/>
    </row>
    <row r="59" spans="1:20" x14ac:dyDescent="0.35">
      <c r="A59" s="27">
        <f t="shared" si="0"/>
        <v>54</v>
      </c>
      <c r="B59" s="43">
        <f t="shared" si="1"/>
        <v>43988</v>
      </c>
      <c r="C59" s="5"/>
      <c r="D59" s="5"/>
      <c r="E59" s="5">
        <v>346</v>
      </c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7"/>
    </row>
    <row r="60" spans="1:20" x14ac:dyDescent="0.35">
      <c r="A60" s="27">
        <f t="shared" si="0"/>
        <v>55</v>
      </c>
      <c r="B60" s="43">
        <f t="shared" si="1"/>
        <v>43995</v>
      </c>
      <c r="C60" s="5"/>
      <c r="D60" s="5"/>
      <c r="E60" s="5">
        <v>230</v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7"/>
    </row>
    <row r="61" spans="1:20" x14ac:dyDescent="0.35">
      <c r="A61" s="27">
        <f t="shared" si="0"/>
        <v>56</v>
      </c>
      <c r="B61" s="43">
        <f t="shared" si="1"/>
        <v>44002</v>
      </c>
      <c r="C61" s="5"/>
      <c r="D61" s="5"/>
      <c r="E61" s="5">
        <v>146</v>
      </c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7"/>
    </row>
    <row r="62" spans="1:20" x14ac:dyDescent="0.35">
      <c r="A62" s="27">
        <f t="shared" si="0"/>
        <v>57</v>
      </c>
      <c r="B62" s="43">
        <f t="shared" si="1"/>
        <v>44009</v>
      </c>
      <c r="C62" s="5"/>
      <c r="D62" s="5"/>
      <c r="E62" s="5">
        <v>140</v>
      </c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7"/>
    </row>
    <row r="63" spans="1:20" x14ac:dyDescent="0.35">
      <c r="A63" s="27">
        <f t="shared" si="0"/>
        <v>58</v>
      </c>
      <c r="B63" s="43">
        <f t="shared" si="1"/>
        <v>44016</v>
      </c>
      <c r="C63" s="5"/>
      <c r="D63" s="5"/>
      <c r="E63" s="5">
        <v>182</v>
      </c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7"/>
    </row>
    <row r="64" spans="1:20" x14ac:dyDescent="0.35">
      <c r="A64" s="27">
        <f t="shared" si="0"/>
        <v>59</v>
      </c>
      <c r="B64" s="43">
        <f t="shared" si="1"/>
        <v>44023</v>
      </c>
      <c r="C64" s="5"/>
      <c r="D64" s="5"/>
      <c r="E64" s="5">
        <v>260</v>
      </c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7"/>
    </row>
    <row r="65" spans="1:20" x14ac:dyDescent="0.35">
      <c r="A65" s="27">
        <f t="shared" si="0"/>
        <v>60</v>
      </c>
      <c r="B65" s="43">
        <f t="shared" si="1"/>
        <v>44030</v>
      </c>
      <c r="C65" s="5"/>
      <c r="D65" s="5"/>
      <c r="E65" s="5">
        <v>282</v>
      </c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7"/>
    </row>
    <row r="66" spans="1:20" x14ac:dyDescent="0.35">
      <c r="A66" s="27">
        <f t="shared" si="0"/>
        <v>61</v>
      </c>
      <c r="B66" s="43">
        <f t="shared" si="1"/>
        <v>44037</v>
      </c>
      <c r="C66" s="5"/>
      <c r="D66" s="5"/>
      <c r="E66" s="5">
        <v>204</v>
      </c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7"/>
    </row>
    <row r="67" spans="1:20" x14ac:dyDescent="0.35">
      <c r="A67" s="27">
        <f t="shared" si="0"/>
        <v>62</v>
      </c>
      <c r="B67" s="43">
        <f t="shared" si="1"/>
        <v>44044</v>
      </c>
      <c r="C67" s="5"/>
      <c r="D67" s="5"/>
      <c r="E67" s="5">
        <v>242</v>
      </c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7"/>
    </row>
    <row r="68" spans="1:20" x14ac:dyDescent="0.35">
      <c r="A68" s="27">
        <f t="shared" si="0"/>
        <v>63</v>
      </c>
      <c r="B68" s="43">
        <f t="shared" si="1"/>
        <v>44051</v>
      </c>
      <c r="C68" s="5"/>
      <c r="D68" s="5"/>
      <c r="E68" s="5">
        <v>268</v>
      </c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7"/>
    </row>
    <row r="69" spans="1:20" x14ac:dyDescent="0.35">
      <c r="A69" s="27">
        <f t="shared" si="0"/>
        <v>64</v>
      </c>
      <c r="B69" s="43">
        <f t="shared" si="1"/>
        <v>44058</v>
      </c>
      <c r="C69" s="5"/>
      <c r="D69" s="5"/>
      <c r="E69" s="5">
        <v>298</v>
      </c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7"/>
    </row>
    <row r="70" spans="1:20" x14ac:dyDescent="0.35">
      <c r="A70" s="27">
        <f t="shared" si="0"/>
        <v>65</v>
      </c>
      <c r="B70" s="43">
        <f t="shared" si="1"/>
        <v>44065</v>
      </c>
      <c r="C70" s="5"/>
      <c r="D70" s="5"/>
      <c r="E70" s="5">
        <v>214</v>
      </c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7"/>
    </row>
    <row r="71" spans="1:20" x14ac:dyDescent="0.35">
      <c r="A71" s="27">
        <f t="shared" si="0"/>
        <v>66</v>
      </c>
      <c r="B71" s="43">
        <f t="shared" si="1"/>
        <v>44072</v>
      </c>
      <c r="C71" s="5"/>
      <c r="D71" s="5"/>
      <c r="E71" s="5">
        <v>204</v>
      </c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7"/>
    </row>
    <row r="72" spans="1:20" x14ac:dyDescent="0.35">
      <c r="A72" s="27">
        <f t="shared" ref="A72:A135" si="2">IF(COUNTBLANK(E72:S72)=15,"",A71+1)</f>
        <v>67</v>
      </c>
      <c r="B72" s="43">
        <f t="shared" ref="B72:B135" si="3">IF(A72="","",B71+7)</f>
        <v>44079</v>
      </c>
      <c r="C72" s="5"/>
      <c r="D72" s="5"/>
      <c r="E72" s="5">
        <v>254</v>
      </c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7"/>
    </row>
    <row r="73" spans="1:20" x14ac:dyDescent="0.35">
      <c r="A73" s="27">
        <f t="shared" si="2"/>
        <v>68</v>
      </c>
      <c r="B73" s="43">
        <f t="shared" si="3"/>
        <v>44086</v>
      </c>
      <c r="C73" s="5"/>
      <c r="D73" s="5"/>
      <c r="E73" s="5">
        <v>246</v>
      </c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7"/>
    </row>
    <row r="74" spans="1:20" x14ac:dyDescent="0.35">
      <c r="A74" s="27">
        <f t="shared" si="2"/>
        <v>69</v>
      </c>
      <c r="B74" s="43">
        <f t="shared" si="3"/>
        <v>44093</v>
      </c>
      <c r="C74" s="5"/>
      <c r="D74" s="5"/>
      <c r="E74" s="5">
        <v>244</v>
      </c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7"/>
    </row>
    <row r="75" spans="1:20" x14ac:dyDescent="0.35">
      <c r="A75" s="27">
        <f t="shared" si="2"/>
        <v>70</v>
      </c>
      <c r="B75" s="43">
        <f t="shared" si="3"/>
        <v>44100</v>
      </c>
      <c r="C75" s="5"/>
      <c r="D75" s="5"/>
      <c r="E75" s="5">
        <v>244</v>
      </c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7"/>
    </row>
    <row r="76" spans="1:20" x14ac:dyDescent="0.35">
      <c r="A76" s="27">
        <f t="shared" si="2"/>
        <v>71</v>
      </c>
      <c r="B76" s="43">
        <f t="shared" si="3"/>
        <v>44107</v>
      </c>
      <c r="C76" s="5"/>
      <c r="D76" s="5"/>
      <c r="E76" s="5">
        <v>230</v>
      </c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7"/>
    </row>
    <row r="77" spans="1:20" x14ac:dyDescent="0.35">
      <c r="A77" s="27">
        <f t="shared" si="2"/>
        <v>72</v>
      </c>
      <c r="B77" s="43">
        <f t="shared" si="3"/>
        <v>44114</v>
      </c>
      <c r="C77" s="5"/>
      <c r="D77" s="5"/>
      <c r="E77" s="5">
        <v>304</v>
      </c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7"/>
    </row>
    <row r="78" spans="1:20" x14ac:dyDescent="0.35">
      <c r="A78" s="27" t="str">
        <f t="shared" si="2"/>
        <v/>
      </c>
      <c r="B78" s="43" t="str">
        <f t="shared" si="3"/>
        <v/>
      </c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7"/>
    </row>
    <row r="79" spans="1:20" x14ac:dyDescent="0.35">
      <c r="A79" s="27" t="str">
        <f t="shared" si="2"/>
        <v/>
      </c>
      <c r="B79" s="43" t="str">
        <f t="shared" si="3"/>
        <v/>
      </c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7"/>
    </row>
    <row r="80" spans="1:20" x14ac:dyDescent="0.35">
      <c r="A80" s="27" t="str">
        <f t="shared" si="2"/>
        <v/>
      </c>
      <c r="B80" s="43" t="str">
        <f t="shared" si="3"/>
        <v/>
      </c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7"/>
    </row>
    <row r="81" spans="1:20" x14ac:dyDescent="0.35">
      <c r="A81" s="27" t="str">
        <f t="shared" si="2"/>
        <v/>
      </c>
      <c r="B81" s="43" t="str">
        <f t="shared" si="3"/>
        <v/>
      </c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7"/>
    </row>
    <row r="82" spans="1:20" x14ac:dyDescent="0.35">
      <c r="A82" s="27" t="str">
        <f t="shared" si="2"/>
        <v/>
      </c>
      <c r="B82" s="43" t="str">
        <f t="shared" si="3"/>
        <v/>
      </c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7"/>
    </row>
    <row r="83" spans="1:20" x14ac:dyDescent="0.35">
      <c r="A83" s="27" t="str">
        <f t="shared" si="2"/>
        <v/>
      </c>
      <c r="B83" s="43" t="str">
        <f t="shared" si="3"/>
        <v/>
      </c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7"/>
    </row>
    <row r="84" spans="1:20" x14ac:dyDescent="0.35">
      <c r="A84" s="27" t="str">
        <f t="shared" si="2"/>
        <v/>
      </c>
      <c r="B84" s="43" t="str">
        <f t="shared" si="3"/>
        <v/>
      </c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7"/>
    </row>
    <row r="85" spans="1:20" x14ac:dyDescent="0.35">
      <c r="A85" s="27" t="str">
        <f t="shared" si="2"/>
        <v/>
      </c>
      <c r="B85" s="43" t="str">
        <f t="shared" si="3"/>
        <v/>
      </c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7"/>
    </row>
    <row r="86" spans="1:20" x14ac:dyDescent="0.35">
      <c r="A86" s="27" t="str">
        <f t="shared" si="2"/>
        <v/>
      </c>
      <c r="B86" s="43" t="str">
        <f t="shared" si="3"/>
        <v/>
      </c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7"/>
    </row>
    <row r="87" spans="1:20" x14ac:dyDescent="0.35">
      <c r="A87" s="27" t="str">
        <f t="shared" si="2"/>
        <v/>
      </c>
      <c r="B87" s="43" t="str">
        <f t="shared" si="3"/>
        <v/>
      </c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7"/>
    </row>
    <row r="88" spans="1:20" x14ac:dyDescent="0.35">
      <c r="A88" s="27" t="str">
        <f t="shared" si="2"/>
        <v/>
      </c>
      <c r="B88" s="43" t="str">
        <f t="shared" si="3"/>
        <v/>
      </c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7"/>
    </row>
    <row r="89" spans="1:20" x14ac:dyDescent="0.35">
      <c r="A89" s="27" t="str">
        <f t="shared" si="2"/>
        <v/>
      </c>
      <c r="B89" s="43" t="str">
        <f t="shared" si="3"/>
        <v/>
      </c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7"/>
    </row>
    <row r="90" spans="1:20" x14ac:dyDescent="0.35">
      <c r="A90" s="27" t="str">
        <f t="shared" si="2"/>
        <v/>
      </c>
      <c r="B90" s="43" t="str">
        <f t="shared" si="3"/>
        <v/>
      </c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7"/>
    </row>
    <row r="91" spans="1:20" x14ac:dyDescent="0.35">
      <c r="A91" s="27" t="str">
        <f t="shared" si="2"/>
        <v/>
      </c>
      <c r="B91" s="43" t="str">
        <f t="shared" si="3"/>
        <v/>
      </c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7"/>
    </row>
    <row r="92" spans="1:20" x14ac:dyDescent="0.35">
      <c r="A92" s="27" t="str">
        <f t="shared" si="2"/>
        <v/>
      </c>
      <c r="B92" s="43" t="str">
        <f t="shared" si="3"/>
        <v/>
      </c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7"/>
    </row>
    <row r="93" spans="1:20" x14ac:dyDescent="0.35">
      <c r="A93" s="27" t="str">
        <f t="shared" si="2"/>
        <v/>
      </c>
      <c r="B93" s="43" t="str">
        <f t="shared" si="3"/>
        <v/>
      </c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7"/>
    </row>
    <row r="94" spans="1:20" x14ac:dyDescent="0.35">
      <c r="A94" s="27" t="str">
        <f t="shared" si="2"/>
        <v/>
      </c>
      <c r="B94" s="43" t="str">
        <f t="shared" si="3"/>
        <v/>
      </c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7"/>
    </row>
    <row r="95" spans="1:20" x14ac:dyDescent="0.35">
      <c r="A95" s="27" t="str">
        <f t="shared" si="2"/>
        <v/>
      </c>
      <c r="B95" s="43" t="str">
        <f t="shared" si="3"/>
        <v/>
      </c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7"/>
    </row>
    <row r="96" spans="1:20" x14ac:dyDescent="0.35">
      <c r="A96" s="27" t="str">
        <f t="shared" si="2"/>
        <v/>
      </c>
      <c r="B96" s="43" t="str">
        <f t="shared" si="3"/>
        <v/>
      </c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7"/>
    </row>
    <row r="97" spans="1:20" x14ac:dyDescent="0.35">
      <c r="A97" s="27" t="str">
        <f t="shared" si="2"/>
        <v/>
      </c>
      <c r="B97" s="43" t="str">
        <f t="shared" si="3"/>
        <v/>
      </c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7"/>
    </row>
    <row r="98" spans="1:20" x14ac:dyDescent="0.35">
      <c r="A98" s="27" t="str">
        <f t="shared" si="2"/>
        <v/>
      </c>
      <c r="B98" s="43" t="str">
        <f t="shared" si="3"/>
        <v/>
      </c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7"/>
    </row>
    <row r="99" spans="1:20" x14ac:dyDescent="0.35">
      <c r="A99" s="27" t="str">
        <f t="shared" si="2"/>
        <v/>
      </c>
      <c r="B99" s="43" t="str">
        <f t="shared" si="3"/>
        <v/>
      </c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7"/>
    </row>
    <row r="100" spans="1:20" x14ac:dyDescent="0.35">
      <c r="A100" s="27" t="str">
        <f t="shared" si="2"/>
        <v/>
      </c>
      <c r="B100" s="43" t="str">
        <f t="shared" si="3"/>
        <v/>
      </c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7"/>
    </row>
    <row r="101" spans="1:20" x14ac:dyDescent="0.35">
      <c r="A101" s="27" t="str">
        <f t="shared" si="2"/>
        <v/>
      </c>
      <c r="B101" s="43" t="str">
        <f t="shared" si="3"/>
        <v/>
      </c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7"/>
    </row>
    <row r="102" spans="1:20" x14ac:dyDescent="0.35">
      <c r="A102" s="27" t="str">
        <f t="shared" si="2"/>
        <v/>
      </c>
      <c r="B102" s="43" t="str">
        <f t="shared" si="3"/>
        <v/>
      </c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7"/>
    </row>
    <row r="103" spans="1:20" x14ac:dyDescent="0.35">
      <c r="A103" s="27" t="str">
        <f t="shared" si="2"/>
        <v/>
      </c>
      <c r="B103" s="43" t="str">
        <f t="shared" si="3"/>
        <v/>
      </c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7"/>
    </row>
    <row r="104" spans="1:20" x14ac:dyDescent="0.35">
      <c r="A104" s="27" t="str">
        <f t="shared" si="2"/>
        <v/>
      </c>
      <c r="B104" s="43" t="str">
        <f t="shared" si="3"/>
        <v/>
      </c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7"/>
    </row>
    <row r="105" spans="1:20" x14ac:dyDescent="0.35">
      <c r="A105" s="27" t="str">
        <f t="shared" si="2"/>
        <v/>
      </c>
      <c r="B105" s="43" t="str">
        <f t="shared" si="3"/>
        <v/>
      </c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7"/>
    </row>
    <row r="106" spans="1:20" x14ac:dyDescent="0.35">
      <c r="A106" s="27" t="str">
        <f t="shared" si="2"/>
        <v/>
      </c>
      <c r="B106" s="43" t="str">
        <f t="shared" si="3"/>
        <v/>
      </c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7"/>
    </row>
    <row r="107" spans="1:20" x14ac:dyDescent="0.35">
      <c r="A107" s="27" t="str">
        <f t="shared" si="2"/>
        <v/>
      </c>
      <c r="B107" s="43" t="str">
        <f t="shared" si="3"/>
        <v/>
      </c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7"/>
    </row>
    <row r="108" spans="1:20" x14ac:dyDescent="0.35">
      <c r="A108" s="27" t="str">
        <f t="shared" si="2"/>
        <v/>
      </c>
      <c r="B108" s="43" t="str">
        <f t="shared" si="3"/>
        <v/>
      </c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7"/>
    </row>
    <row r="109" spans="1:20" x14ac:dyDescent="0.35">
      <c r="A109" s="27" t="str">
        <f t="shared" si="2"/>
        <v/>
      </c>
      <c r="B109" s="43" t="str">
        <f t="shared" si="3"/>
        <v/>
      </c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7"/>
    </row>
    <row r="110" spans="1:20" x14ac:dyDescent="0.35">
      <c r="A110" s="27" t="str">
        <f t="shared" si="2"/>
        <v/>
      </c>
      <c r="B110" s="43" t="str">
        <f t="shared" si="3"/>
        <v/>
      </c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7"/>
    </row>
    <row r="111" spans="1:20" x14ac:dyDescent="0.35">
      <c r="A111" s="27" t="str">
        <f t="shared" si="2"/>
        <v/>
      </c>
      <c r="B111" s="43" t="str">
        <f t="shared" si="3"/>
        <v/>
      </c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7"/>
    </row>
    <row r="112" spans="1:20" x14ac:dyDescent="0.35">
      <c r="A112" s="27" t="str">
        <f t="shared" si="2"/>
        <v/>
      </c>
      <c r="B112" s="43" t="str">
        <f t="shared" si="3"/>
        <v/>
      </c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7"/>
    </row>
    <row r="113" spans="1:20" x14ac:dyDescent="0.35">
      <c r="A113" s="27" t="str">
        <f t="shared" si="2"/>
        <v/>
      </c>
      <c r="B113" s="43" t="str">
        <f t="shared" si="3"/>
        <v/>
      </c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7"/>
    </row>
    <row r="114" spans="1:20" x14ac:dyDescent="0.35">
      <c r="A114" s="27" t="str">
        <f t="shared" si="2"/>
        <v/>
      </c>
      <c r="B114" s="43" t="str">
        <f t="shared" si="3"/>
        <v/>
      </c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7"/>
    </row>
    <row r="115" spans="1:20" x14ac:dyDescent="0.35">
      <c r="A115" s="27" t="str">
        <f t="shared" si="2"/>
        <v/>
      </c>
      <c r="B115" s="43" t="str">
        <f t="shared" si="3"/>
        <v/>
      </c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7"/>
    </row>
    <row r="116" spans="1:20" x14ac:dyDescent="0.35">
      <c r="A116" s="27" t="str">
        <f t="shared" si="2"/>
        <v/>
      </c>
      <c r="B116" s="43" t="str">
        <f t="shared" si="3"/>
        <v/>
      </c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7"/>
    </row>
    <row r="117" spans="1:20" x14ac:dyDescent="0.35">
      <c r="A117" s="27" t="str">
        <f t="shared" si="2"/>
        <v/>
      </c>
      <c r="B117" s="43" t="str">
        <f t="shared" si="3"/>
        <v/>
      </c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7"/>
    </row>
    <row r="118" spans="1:20" x14ac:dyDescent="0.35">
      <c r="A118" s="27" t="str">
        <f t="shared" si="2"/>
        <v/>
      </c>
      <c r="B118" s="43" t="str">
        <f t="shared" si="3"/>
        <v/>
      </c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7"/>
    </row>
    <row r="119" spans="1:20" x14ac:dyDescent="0.35">
      <c r="A119" s="27" t="str">
        <f t="shared" si="2"/>
        <v/>
      </c>
      <c r="B119" s="43" t="str">
        <f t="shared" si="3"/>
        <v/>
      </c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7"/>
    </row>
    <row r="120" spans="1:20" x14ac:dyDescent="0.35">
      <c r="A120" s="27" t="str">
        <f t="shared" si="2"/>
        <v/>
      </c>
      <c r="B120" s="43" t="str">
        <f t="shared" si="3"/>
        <v/>
      </c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7"/>
    </row>
    <row r="121" spans="1:20" x14ac:dyDescent="0.35">
      <c r="A121" s="27" t="str">
        <f t="shared" si="2"/>
        <v/>
      </c>
      <c r="B121" s="43" t="str">
        <f t="shared" si="3"/>
        <v/>
      </c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7"/>
    </row>
    <row r="122" spans="1:20" x14ac:dyDescent="0.35">
      <c r="A122" s="27" t="str">
        <f t="shared" si="2"/>
        <v/>
      </c>
      <c r="B122" s="43" t="str">
        <f t="shared" si="3"/>
        <v/>
      </c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7"/>
    </row>
    <row r="123" spans="1:20" x14ac:dyDescent="0.35">
      <c r="A123" s="27" t="str">
        <f t="shared" si="2"/>
        <v/>
      </c>
      <c r="B123" s="43" t="str">
        <f t="shared" si="3"/>
        <v/>
      </c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7"/>
    </row>
    <row r="124" spans="1:20" x14ac:dyDescent="0.35">
      <c r="A124" s="27" t="str">
        <f t="shared" si="2"/>
        <v/>
      </c>
      <c r="B124" s="43" t="str">
        <f t="shared" si="3"/>
        <v/>
      </c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7"/>
    </row>
    <row r="125" spans="1:20" x14ac:dyDescent="0.35">
      <c r="A125" s="27" t="str">
        <f t="shared" si="2"/>
        <v/>
      </c>
      <c r="B125" s="43" t="str">
        <f t="shared" si="3"/>
        <v/>
      </c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7"/>
    </row>
    <row r="126" spans="1:20" x14ac:dyDescent="0.35">
      <c r="A126" s="27" t="str">
        <f t="shared" si="2"/>
        <v/>
      </c>
      <c r="B126" s="43" t="str">
        <f t="shared" si="3"/>
        <v/>
      </c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7"/>
    </row>
    <row r="127" spans="1:20" x14ac:dyDescent="0.35">
      <c r="A127" s="27" t="str">
        <f t="shared" si="2"/>
        <v/>
      </c>
      <c r="B127" s="43" t="str">
        <f t="shared" si="3"/>
        <v/>
      </c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7"/>
    </row>
    <row r="128" spans="1:20" x14ac:dyDescent="0.35">
      <c r="A128" s="27" t="str">
        <f t="shared" si="2"/>
        <v/>
      </c>
      <c r="B128" s="43" t="str">
        <f t="shared" si="3"/>
        <v/>
      </c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7"/>
    </row>
    <row r="129" spans="1:20" x14ac:dyDescent="0.35">
      <c r="A129" s="27" t="str">
        <f t="shared" si="2"/>
        <v/>
      </c>
      <c r="B129" s="43" t="str">
        <f t="shared" si="3"/>
        <v/>
      </c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7"/>
    </row>
    <row r="130" spans="1:20" x14ac:dyDescent="0.35">
      <c r="A130" s="27" t="str">
        <f t="shared" si="2"/>
        <v/>
      </c>
      <c r="B130" s="43" t="str">
        <f t="shared" si="3"/>
        <v/>
      </c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7"/>
    </row>
    <row r="131" spans="1:20" x14ac:dyDescent="0.35">
      <c r="A131" s="27" t="str">
        <f t="shared" si="2"/>
        <v/>
      </c>
      <c r="B131" s="43" t="str">
        <f t="shared" si="3"/>
        <v/>
      </c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7"/>
    </row>
    <row r="132" spans="1:20" x14ac:dyDescent="0.35">
      <c r="A132" s="27" t="str">
        <f t="shared" si="2"/>
        <v/>
      </c>
      <c r="B132" s="43" t="str">
        <f t="shared" si="3"/>
        <v/>
      </c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7"/>
    </row>
    <row r="133" spans="1:20" x14ac:dyDescent="0.35">
      <c r="A133" s="27" t="str">
        <f t="shared" si="2"/>
        <v/>
      </c>
      <c r="B133" s="43" t="str">
        <f t="shared" si="3"/>
        <v/>
      </c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7"/>
    </row>
    <row r="134" spans="1:20" x14ac:dyDescent="0.35">
      <c r="A134" s="27" t="str">
        <f t="shared" si="2"/>
        <v/>
      </c>
      <c r="B134" s="43" t="str">
        <f t="shared" si="3"/>
        <v/>
      </c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7"/>
    </row>
    <row r="135" spans="1:20" x14ac:dyDescent="0.35">
      <c r="A135" s="27" t="str">
        <f t="shared" si="2"/>
        <v/>
      </c>
      <c r="B135" s="43" t="str">
        <f t="shared" si="3"/>
        <v/>
      </c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7"/>
    </row>
    <row r="136" spans="1:20" x14ac:dyDescent="0.35">
      <c r="A136" s="27" t="str">
        <f t="shared" ref="A136:A199" si="4">IF(COUNTBLANK(E136:S136)=15,"",A135+1)</f>
        <v/>
      </c>
      <c r="B136" s="43" t="str">
        <f t="shared" ref="B136:B199" si="5">IF(A136="","",B135+7)</f>
        <v/>
      </c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7"/>
    </row>
    <row r="137" spans="1:20" x14ac:dyDescent="0.35">
      <c r="A137" s="27" t="str">
        <f t="shared" si="4"/>
        <v/>
      </c>
      <c r="B137" s="43" t="str">
        <f t="shared" si="5"/>
        <v/>
      </c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7"/>
    </row>
    <row r="138" spans="1:20" x14ac:dyDescent="0.35">
      <c r="A138" s="27" t="str">
        <f t="shared" si="4"/>
        <v/>
      </c>
      <c r="B138" s="43" t="str">
        <f t="shared" si="5"/>
        <v/>
      </c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7"/>
    </row>
    <row r="139" spans="1:20" x14ac:dyDescent="0.35">
      <c r="A139" s="27" t="str">
        <f t="shared" si="4"/>
        <v/>
      </c>
      <c r="B139" s="43" t="str">
        <f t="shared" si="5"/>
        <v/>
      </c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7"/>
    </row>
    <row r="140" spans="1:20" x14ac:dyDescent="0.35">
      <c r="A140" s="27" t="str">
        <f t="shared" si="4"/>
        <v/>
      </c>
      <c r="B140" s="43" t="str">
        <f t="shared" si="5"/>
        <v/>
      </c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7"/>
    </row>
    <row r="141" spans="1:20" x14ac:dyDescent="0.35">
      <c r="A141" s="27" t="str">
        <f t="shared" si="4"/>
        <v/>
      </c>
      <c r="B141" s="43" t="str">
        <f t="shared" si="5"/>
        <v/>
      </c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7"/>
    </row>
    <row r="142" spans="1:20" x14ac:dyDescent="0.35">
      <c r="A142" s="27" t="str">
        <f t="shared" si="4"/>
        <v/>
      </c>
      <c r="B142" s="43" t="str">
        <f t="shared" si="5"/>
        <v/>
      </c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7"/>
    </row>
    <row r="143" spans="1:20" x14ac:dyDescent="0.35">
      <c r="A143" s="27" t="str">
        <f t="shared" si="4"/>
        <v/>
      </c>
      <c r="B143" s="43" t="str">
        <f t="shared" si="5"/>
        <v/>
      </c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7"/>
    </row>
    <row r="144" spans="1:20" x14ac:dyDescent="0.35">
      <c r="A144" s="27" t="str">
        <f t="shared" si="4"/>
        <v/>
      </c>
      <c r="B144" s="43" t="str">
        <f t="shared" si="5"/>
        <v/>
      </c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7"/>
    </row>
    <row r="145" spans="1:20" x14ac:dyDescent="0.35">
      <c r="A145" s="27" t="str">
        <f t="shared" si="4"/>
        <v/>
      </c>
      <c r="B145" s="43" t="str">
        <f t="shared" si="5"/>
        <v/>
      </c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7"/>
    </row>
    <row r="146" spans="1:20" x14ac:dyDescent="0.35">
      <c r="A146" s="27" t="str">
        <f t="shared" si="4"/>
        <v/>
      </c>
      <c r="B146" s="43" t="str">
        <f t="shared" si="5"/>
        <v/>
      </c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7"/>
    </row>
    <row r="147" spans="1:20" x14ac:dyDescent="0.35">
      <c r="A147" s="27" t="str">
        <f t="shared" si="4"/>
        <v/>
      </c>
      <c r="B147" s="43" t="str">
        <f t="shared" si="5"/>
        <v/>
      </c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7"/>
    </row>
    <row r="148" spans="1:20" x14ac:dyDescent="0.35">
      <c r="A148" s="27" t="str">
        <f t="shared" si="4"/>
        <v/>
      </c>
      <c r="B148" s="43" t="str">
        <f t="shared" si="5"/>
        <v/>
      </c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7"/>
    </row>
    <row r="149" spans="1:20" x14ac:dyDescent="0.35">
      <c r="A149" s="27" t="str">
        <f t="shared" si="4"/>
        <v/>
      </c>
      <c r="B149" s="43" t="str">
        <f t="shared" si="5"/>
        <v/>
      </c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7"/>
    </row>
    <row r="150" spans="1:20" x14ac:dyDescent="0.35">
      <c r="A150" s="27" t="str">
        <f t="shared" si="4"/>
        <v/>
      </c>
      <c r="B150" s="43" t="str">
        <f t="shared" si="5"/>
        <v/>
      </c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7"/>
    </row>
    <row r="151" spans="1:20" x14ac:dyDescent="0.35">
      <c r="A151" s="27" t="str">
        <f t="shared" si="4"/>
        <v/>
      </c>
      <c r="B151" s="43" t="str">
        <f t="shared" si="5"/>
        <v/>
      </c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7"/>
    </row>
    <row r="152" spans="1:20" x14ac:dyDescent="0.35">
      <c r="A152" s="27" t="str">
        <f t="shared" si="4"/>
        <v/>
      </c>
      <c r="B152" s="43" t="str">
        <f t="shared" si="5"/>
        <v/>
      </c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7"/>
    </row>
    <row r="153" spans="1:20" x14ac:dyDescent="0.35">
      <c r="A153" s="27" t="str">
        <f t="shared" si="4"/>
        <v/>
      </c>
      <c r="B153" s="43" t="str">
        <f t="shared" si="5"/>
        <v/>
      </c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7"/>
    </row>
    <row r="154" spans="1:20" x14ac:dyDescent="0.35">
      <c r="A154" s="27" t="str">
        <f t="shared" si="4"/>
        <v/>
      </c>
      <c r="B154" s="43" t="str">
        <f t="shared" si="5"/>
        <v/>
      </c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7"/>
    </row>
    <row r="155" spans="1:20" x14ac:dyDescent="0.35">
      <c r="A155" s="27" t="str">
        <f t="shared" si="4"/>
        <v/>
      </c>
      <c r="B155" s="43" t="str">
        <f t="shared" si="5"/>
        <v/>
      </c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7"/>
    </row>
    <row r="156" spans="1:20" x14ac:dyDescent="0.35">
      <c r="A156" s="27" t="str">
        <f t="shared" si="4"/>
        <v/>
      </c>
      <c r="B156" s="43" t="str">
        <f t="shared" si="5"/>
        <v/>
      </c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7"/>
    </row>
    <row r="157" spans="1:20" x14ac:dyDescent="0.35">
      <c r="A157" s="27" t="str">
        <f t="shared" si="4"/>
        <v/>
      </c>
      <c r="B157" s="43" t="str">
        <f t="shared" si="5"/>
        <v/>
      </c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7"/>
    </row>
    <row r="158" spans="1:20" x14ac:dyDescent="0.35">
      <c r="A158" s="27" t="str">
        <f t="shared" si="4"/>
        <v/>
      </c>
      <c r="B158" s="43" t="str">
        <f t="shared" si="5"/>
        <v/>
      </c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7"/>
    </row>
    <row r="159" spans="1:20" x14ac:dyDescent="0.35">
      <c r="A159" s="27" t="str">
        <f t="shared" si="4"/>
        <v/>
      </c>
      <c r="B159" s="43" t="str">
        <f t="shared" si="5"/>
        <v/>
      </c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7"/>
    </row>
    <row r="160" spans="1:20" x14ac:dyDescent="0.35">
      <c r="A160" s="27" t="str">
        <f t="shared" si="4"/>
        <v/>
      </c>
      <c r="B160" s="43" t="str">
        <f t="shared" si="5"/>
        <v/>
      </c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7"/>
    </row>
    <row r="161" spans="1:20" x14ac:dyDescent="0.35">
      <c r="A161" s="27" t="str">
        <f t="shared" si="4"/>
        <v/>
      </c>
      <c r="B161" s="43" t="str">
        <f t="shared" si="5"/>
        <v/>
      </c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7"/>
    </row>
    <row r="162" spans="1:20" x14ac:dyDescent="0.35">
      <c r="A162" s="27" t="str">
        <f t="shared" si="4"/>
        <v/>
      </c>
      <c r="B162" s="43" t="str">
        <f t="shared" si="5"/>
        <v/>
      </c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7"/>
    </row>
    <row r="163" spans="1:20" x14ac:dyDescent="0.35">
      <c r="A163" s="27" t="str">
        <f t="shared" si="4"/>
        <v/>
      </c>
      <c r="B163" s="43" t="str">
        <f t="shared" si="5"/>
        <v/>
      </c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7"/>
    </row>
    <row r="164" spans="1:20" x14ac:dyDescent="0.35">
      <c r="A164" s="27" t="str">
        <f t="shared" si="4"/>
        <v/>
      </c>
      <c r="B164" s="43" t="str">
        <f t="shared" si="5"/>
        <v/>
      </c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7"/>
    </row>
    <row r="165" spans="1:20" x14ac:dyDescent="0.35">
      <c r="A165" s="27" t="str">
        <f t="shared" si="4"/>
        <v/>
      </c>
      <c r="B165" s="43" t="str">
        <f t="shared" si="5"/>
        <v/>
      </c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7"/>
    </row>
    <row r="166" spans="1:20" x14ac:dyDescent="0.35">
      <c r="A166" s="27" t="str">
        <f t="shared" si="4"/>
        <v/>
      </c>
      <c r="B166" s="43" t="str">
        <f t="shared" si="5"/>
        <v/>
      </c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7"/>
    </row>
    <row r="167" spans="1:20" x14ac:dyDescent="0.35">
      <c r="A167" s="27" t="str">
        <f t="shared" si="4"/>
        <v/>
      </c>
      <c r="B167" s="43" t="str">
        <f t="shared" si="5"/>
        <v/>
      </c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7"/>
    </row>
    <row r="168" spans="1:20" x14ac:dyDescent="0.35">
      <c r="A168" s="27" t="str">
        <f t="shared" si="4"/>
        <v/>
      </c>
      <c r="B168" s="43" t="str">
        <f t="shared" si="5"/>
        <v/>
      </c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7"/>
    </row>
    <row r="169" spans="1:20" x14ac:dyDescent="0.35">
      <c r="A169" s="27" t="str">
        <f t="shared" si="4"/>
        <v/>
      </c>
      <c r="B169" s="43" t="str">
        <f t="shared" si="5"/>
        <v/>
      </c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7"/>
    </row>
    <row r="170" spans="1:20" x14ac:dyDescent="0.35">
      <c r="A170" s="27" t="str">
        <f t="shared" si="4"/>
        <v/>
      </c>
      <c r="B170" s="43" t="str">
        <f t="shared" si="5"/>
        <v/>
      </c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7"/>
    </row>
    <row r="171" spans="1:20" x14ac:dyDescent="0.35">
      <c r="A171" s="27" t="str">
        <f t="shared" si="4"/>
        <v/>
      </c>
      <c r="B171" s="43" t="str">
        <f t="shared" si="5"/>
        <v/>
      </c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7"/>
    </row>
    <row r="172" spans="1:20" x14ac:dyDescent="0.35">
      <c r="A172" s="27" t="str">
        <f t="shared" si="4"/>
        <v/>
      </c>
      <c r="B172" s="43" t="str">
        <f t="shared" si="5"/>
        <v/>
      </c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7"/>
    </row>
    <row r="173" spans="1:20" x14ac:dyDescent="0.35">
      <c r="A173" s="27" t="str">
        <f t="shared" si="4"/>
        <v/>
      </c>
      <c r="B173" s="43" t="str">
        <f t="shared" si="5"/>
        <v/>
      </c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7"/>
    </row>
    <row r="174" spans="1:20" x14ac:dyDescent="0.35">
      <c r="A174" s="27" t="str">
        <f t="shared" si="4"/>
        <v/>
      </c>
      <c r="B174" s="43" t="str">
        <f t="shared" si="5"/>
        <v/>
      </c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7"/>
    </row>
    <row r="175" spans="1:20" x14ac:dyDescent="0.35">
      <c r="A175" s="27" t="str">
        <f t="shared" si="4"/>
        <v/>
      </c>
      <c r="B175" s="43" t="str">
        <f t="shared" si="5"/>
        <v/>
      </c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7"/>
    </row>
    <row r="176" spans="1:20" x14ac:dyDescent="0.35">
      <c r="A176" s="27" t="str">
        <f t="shared" si="4"/>
        <v/>
      </c>
      <c r="B176" s="43" t="str">
        <f t="shared" si="5"/>
        <v/>
      </c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7"/>
    </row>
    <row r="177" spans="1:20" x14ac:dyDescent="0.35">
      <c r="A177" s="27" t="str">
        <f t="shared" si="4"/>
        <v/>
      </c>
      <c r="B177" s="43" t="str">
        <f t="shared" si="5"/>
        <v/>
      </c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7"/>
    </row>
    <row r="178" spans="1:20" x14ac:dyDescent="0.35">
      <c r="A178" s="27" t="str">
        <f t="shared" si="4"/>
        <v/>
      </c>
      <c r="B178" s="43" t="str">
        <f t="shared" si="5"/>
        <v/>
      </c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7"/>
    </row>
    <row r="179" spans="1:20" x14ac:dyDescent="0.35">
      <c r="A179" s="27" t="str">
        <f t="shared" si="4"/>
        <v/>
      </c>
      <c r="B179" s="43" t="str">
        <f t="shared" si="5"/>
        <v/>
      </c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7"/>
    </row>
    <row r="180" spans="1:20" x14ac:dyDescent="0.35">
      <c r="A180" s="27" t="str">
        <f t="shared" si="4"/>
        <v/>
      </c>
      <c r="B180" s="43" t="str">
        <f t="shared" si="5"/>
        <v/>
      </c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7"/>
    </row>
    <row r="181" spans="1:20" x14ac:dyDescent="0.35">
      <c r="A181" s="27" t="str">
        <f t="shared" si="4"/>
        <v/>
      </c>
      <c r="B181" s="43" t="str">
        <f t="shared" si="5"/>
        <v/>
      </c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7"/>
    </row>
    <row r="182" spans="1:20" x14ac:dyDescent="0.35">
      <c r="A182" s="27" t="str">
        <f t="shared" si="4"/>
        <v/>
      </c>
      <c r="B182" s="43" t="str">
        <f t="shared" si="5"/>
        <v/>
      </c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7"/>
    </row>
    <row r="183" spans="1:20" x14ac:dyDescent="0.35">
      <c r="A183" s="27" t="str">
        <f t="shared" si="4"/>
        <v/>
      </c>
      <c r="B183" s="43" t="str">
        <f t="shared" si="5"/>
        <v/>
      </c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7"/>
    </row>
    <row r="184" spans="1:20" x14ac:dyDescent="0.35">
      <c r="A184" s="27" t="str">
        <f t="shared" si="4"/>
        <v/>
      </c>
      <c r="B184" s="43" t="str">
        <f t="shared" si="5"/>
        <v/>
      </c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7"/>
    </row>
    <row r="185" spans="1:20" x14ac:dyDescent="0.35">
      <c r="A185" s="27" t="str">
        <f t="shared" si="4"/>
        <v/>
      </c>
      <c r="B185" s="43" t="str">
        <f t="shared" si="5"/>
        <v/>
      </c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7"/>
    </row>
    <row r="186" spans="1:20" x14ac:dyDescent="0.35">
      <c r="A186" s="27" t="str">
        <f t="shared" si="4"/>
        <v/>
      </c>
      <c r="B186" s="43" t="str">
        <f t="shared" si="5"/>
        <v/>
      </c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7"/>
    </row>
    <row r="187" spans="1:20" x14ac:dyDescent="0.35">
      <c r="A187" s="27" t="str">
        <f t="shared" si="4"/>
        <v/>
      </c>
      <c r="B187" s="43" t="str">
        <f t="shared" si="5"/>
        <v/>
      </c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7"/>
    </row>
    <row r="188" spans="1:20" x14ac:dyDescent="0.35">
      <c r="A188" s="27" t="str">
        <f t="shared" si="4"/>
        <v/>
      </c>
      <c r="B188" s="43" t="str">
        <f t="shared" si="5"/>
        <v/>
      </c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7"/>
    </row>
    <row r="189" spans="1:20" x14ac:dyDescent="0.35">
      <c r="A189" s="27" t="str">
        <f t="shared" si="4"/>
        <v/>
      </c>
      <c r="B189" s="43" t="str">
        <f t="shared" si="5"/>
        <v/>
      </c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7"/>
    </row>
    <row r="190" spans="1:20" x14ac:dyDescent="0.35">
      <c r="A190" s="27" t="str">
        <f t="shared" si="4"/>
        <v/>
      </c>
      <c r="B190" s="43" t="str">
        <f t="shared" si="5"/>
        <v/>
      </c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7"/>
    </row>
    <row r="191" spans="1:20" x14ac:dyDescent="0.35">
      <c r="A191" s="27" t="str">
        <f t="shared" si="4"/>
        <v/>
      </c>
      <c r="B191" s="43" t="str">
        <f t="shared" si="5"/>
        <v/>
      </c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7"/>
    </row>
    <row r="192" spans="1:20" x14ac:dyDescent="0.35">
      <c r="A192" s="27" t="str">
        <f t="shared" si="4"/>
        <v/>
      </c>
      <c r="B192" s="43" t="str">
        <f t="shared" si="5"/>
        <v/>
      </c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7"/>
    </row>
    <row r="193" spans="1:20" x14ac:dyDescent="0.35">
      <c r="A193" s="27" t="str">
        <f t="shared" si="4"/>
        <v/>
      </c>
      <c r="B193" s="43" t="str">
        <f t="shared" si="5"/>
        <v/>
      </c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7"/>
    </row>
    <row r="194" spans="1:20" x14ac:dyDescent="0.35">
      <c r="A194" s="27" t="str">
        <f t="shared" si="4"/>
        <v/>
      </c>
      <c r="B194" s="43" t="str">
        <f t="shared" si="5"/>
        <v/>
      </c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7"/>
    </row>
    <row r="195" spans="1:20" x14ac:dyDescent="0.35">
      <c r="A195" s="27" t="str">
        <f t="shared" si="4"/>
        <v/>
      </c>
      <c r="B195" s="43" t="str">
        <f t="shared" si="5"/>
        <v/>
      </c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7"/>
    </row>
    <row r="196" spans="1:20" x14ac:dyDescent="0.35">
      <c r="A196" s="27" t="str">
        <f t="shared" si="4"/>
        <v/>
      </c>
      <c r="B196" s="43" t="str">
        <f t="shared" si="5"/>
        <v/>
      </c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7"/>
    </row>
    <row r="197" spans="1:20" x14ac:dyDescent="0.35">
      <c r="A197" s="27" t="str">
        <f t="shared" si="4"/>
        <v/>
      </c>
      <c r="B197" s="43" t="str">
        <f t="shared" si="5"/>
        <v/>
      </c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7"/>
    </row>
    <row r="198" spans="1:20" x14ac:dyDescent="0.35">
      <c r="A198" s="27" t="str">
        <f t="shared" si="4"/>
        <v/>
      </c>
      <c r="B198" s="43" t="str">
        <f t="shared" si="5"/>
        <v/>
      </c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7"/>
    </row>
    <row r="199" spans="1:20" x14ac:dyDescent="0.35">
      <c r="A199" s="27" t="str">
        <f t="shared" si="4"/>
        <v/>
      </c>
      <c r="B199" s="43" t="str">
        <f t="shared" si="5"/>
        <v/>
      </c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7"/>
    </row>
    <row r="200" spans="1:20" x14ac:dyDescent="0.35">
      <c r="A200" s="27" t="str">
        <f t="shared" ref="A200:A263" si="6">IF(COUNTBLANK(E200:S200)=15,"",A199+1)</f>
        <v/>
      </c>
      <c r="B200" s="43" t="str">
        <f t="shared" ref="B200:B263" si="7">IF(A200="","",B199+7)</f>
        <v/>
      </c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7"/>
    </row>
    <row r="201" spans="1:20" x14ac:dyDescent="0.35">
      <c r="A201" s="27" t="str">
        <f t="shared" si="6"/>
        <v/>
      </c>
      <c r="B201" s="43" t="str">
        <f t="shared" si="7"/>
        <v/>
      </c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7"/>
    </row>
    <row r="202" spans="1:20" x14ac:dyDescent="0.35">
      <c r="A202" s="27" t="str">
        <f t="shared" si="6"/>
        <v/>
      </c>
      <c r="B202" s="43" t="str">
        <f t="shared" si="7"/>
        <v/>
      </c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7"/>
    </row>
    <row r="203" spans="1:20" x14ac:dyDescent="0.35">
      <c r="A203" s="27" t="str">
        <f t="shared" si="6"/>
        <v/>
      </c>
      <c r="B203" s="43" t="str">
        <f t="shared" si="7"/>
        <v/>
      </c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7"/>
    </row>
    <row r="204" spans="1:20" x14ac:dyDescent="0.35">
      <c r="A204" s="27" t="str">
        <f t="shared" si="6"/>
        <v/>
      </c>
      <c r="B204" s="43" t="str">
        <f t="shared" si="7"/>
        <v/>
      </c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7"/>
    </row>
    <row r="205" spans="1:20" x14ac:dyDescent="0.35">
      <c r="A205" s="27" t="str">
        <f t="shared" si="6"/>
        <v/>
      </c>
      <c r="B205" s="43" t="str">
        <f t="shared" si="7"/>
        <v/>
      </c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7"/>
    </row>
    <row r="206" spans="1:20" x14ac:dyDescent="0.35">
      <c r="A206" s="27" t="str">
        <f t="shared" si="6"/>
        <v/>
      </c>
      <c r="B206" s="43" t="str">
        <f t="shared" si="7"/>
        <v/>
      </c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7"/>
    </row>
    <row r="207" spans="1:20" x14ac:dyDescent="0.35">
      <c r="A207" s="27" t="str">
        <f t="shared" si="6"/>
        <v/>
      </c>
      <c r="B207" s="43" t="str">
        <f t="shared" si="7"/>
        <v/>
      </c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7"/>
    </row>
    <row r="208" spans="1:20" x14ac:dyDescent="0.35">
      <c r="A208" s="27" t="str">
        <f t="shared" si="6"/>
        <v/>
      </c>
      <c r="B208" s="43" t="str">
        <f t="shared" si="7"/>
        <v/>
      </c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7"/>
    </row>
    <row r="209" spans="1:20" x14ac:dyDescent="0.35">
      <c r="A209" s="27" t="str">
        <f t="shared" si="6"/>
        <v/>
      </c>
      <c r="B209" s="43" t="str">
        <f t="shared" si="7"/>
        <v/>
      </c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7"/>
    </row>
    <row r="210" spans="1:20" x14ac:dyDescent="0.35">
      <c r="A210" s="27" t="str">
        <f t="shared" si="6"/>
        <v/>
      </c>
      <c r="B210" s="43" t="str">
        <f t="shared" si="7"/>
        <v/>
      </c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7"/>
    </row>
    <row r="211" spans="1:20" x14ac:dyDescent="0.35">
      <c r="A211" s="27" t="str">
        <f t="shared" si="6"/>
        <v/>
      </c>
      <c r="B211" s="43" t="str">
        <f t="shared" si="7"/>
        <v/>
      </c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7"/>
    </row>
    <row r="212" spans="1:20" x14ac:dyDescent="0.35">
      <c r="A212" s="27" t="str">
        <f t="shared" si="6"/>
        <v/>
      </c>
      <c r="B212" s="43" t="str">
        <f t="shared" si="7"/>
        <v/>
      </c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7"/>
    </row>
    <row r="213" spans="1:20" x14ac:dyDescent="0.35">
      <c r="A213" s="27" t="str">
        <f t="shared" si="6"/>
        <v/>
      </c>
      <c r="B213" s="43" t="str">
        <f t="shared" si="7"/>
        <v/>
      </c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7"/>
    </row>
    <row r="214" spans="1:20" x14ac:dyDescent="0.35">
      <c r="A214" s="27" t="str">
        <f t="shared" si="6"/>
        <v/>
      </c>
      <c r="B214" s="43" t="str">
        <f t="shared" si="7"/>
        <v/>
      </c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7"/>
    </row>
    <row r="215" spans="1:20" x14ac:dyDescent="0.35">
      <c r="A215" s="27" t="str">
        <f t="shared" si="6"/>
        <v/>
      </c>
      <c r="B215" s="43" t="str">
        <f t="shared" si="7"/>
        <v/>
      </c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7"/>
    </row>
    <row r="216" spans="1:20" x14ac:dyDescent="0.35">
      <c r="A216" s="27" t="str">
        <f t="shared" si="6"/>
        <v/>
      </c>
      <c r="B216" s="43" t="str">
        <f t="shared" si="7"/>
        <v/>
      </c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7"/>
    </row>
    <row r="217" spans="1:20" x14ac:dyDescent="0.35">
      <c r="A217" s="27" t="str">
        <f t="shared" si="6"/>
        <v/>
      </c>
      <c r="B217" s="43" t="str">
        <f t="shared" si="7"/>
        <v/>
      </c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7"/>
    </row>
    <row r="218" spans="1:20" x14ac:dyDescent="0.35">
      <c r="A218" s="27" t="str">
        <f t="shared" si="6"/>
        <v/>
      </c>
      <c r="B218" s="43" t="str">
        <f t="shared" si="7"/>
        <v/>
      </c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7"/>
    </row>
    <row r="219" spans="1:20" x14ac:dyDescent="0.35">
      <c r="A219" s="27" t="str">
        <f t="shared" si="6"/>
        <v/>
      </c>
      <c r="B219" s="43" t="str">
        <f t="shared" si="7"/>
        <v/>
      </c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7"/>
    </row>
    <row r="220" spans="1:20" x14ac:dyDescent="0.35">
      <c r="A220" s="27" t="str">
        <f t="shared" si="6"/>
        <v/>
      </c>
      <c r="B220" s="43" t="str">
        <f t="shared" si="7"/>
        <v/>
      </c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7"/>
    </row>
    <row r="221" spans="1:20" x14ac:dyDescent="0.35">
      <c r="A221" s="27" t="str">
        <f t="shared" si="6"/>
        <v/>
      </c>
      <c r="B221" s="43" t="str">
        <f t="shared" si="7"/>
        <v/>
      </c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7"/>
    </row>
    <row r="222" spans="1:20" x14ac:dyDescent="0.35">
      <c r="A222" s="27" t="str">
        <f t="shared" si="6"/>
        <v/>
      </c>
      <c r="B222" s="43" t="str">
        <f t="shared" si="7"/>
        <v/>
      </c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7"/>
    </row>
    <row r="223" spans="1:20" x14ac:dyDescent="0.35">
      <c r="A223" s="27" t="str">
        <f t="shared" si="6"/>
        <v/>
      </c>
      <c r="B223" s="43" t="str">
        <f t="shared" si="7"/>
        <v/>
      </c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7"/>
    </row>
    <row r="224" spans="1:20" x14ac:dyDescent="0.35">
      <c r="A224" s="27" t="str">
        <f t="shared" si="6"/>
        <v/>
      </c>
      <c r="B224" s="43" t="str">
        <f t="shared" si="7"/>
        <v/>
      </c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7"/>
    </row>
    <row r="225" spans="1:20" x14ac:dyDescent="0.35">
      <c r="A225" s="27" t="str">
        <f t="shared" si="6"/>
        <v/>
      </c>
      <c r="B225" s="43" t="str">
        <f t="shared" si="7"/>
        <v/>
      </c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7"/>
    </row>
    <row r="226" spans="1:20" x14ac:dyDescent="0.35">
      <c r="A226" s="27" t="str">
        <f t="shared" si="6"/>
        <v/>
      </c>
      <c r="B226" s="43" t="str">
        <f t="shared" si="7"/>
        <v/>
      </c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7"/>
    </row>
    <row r="227" spans="1:20" x14ac:dyDescent="0.35">
      <c r="A227" s="27" t="str">
        <f t="shared" si="6"/>
        <v/>
      </c>
      <c r="B227" s="43" t="str">
        <f t="shared" si="7"/>
        <v/>
      </c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7"/>
    </row>
    <row r="228" spans="1:20" x14ac:dyDescent="0.35">
      <c r="A228" s="27" t="str">
        <f t="shared" si="6"/>
        <v/>
      </c>
      <c r="B228" s="43" t="str">
        <f t="shared" si="7"/>
        <v/>
      </c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7"/>
    </row>
    <row r="229" spans="1:20" x14ac:dyDescent="0.35">
      <c r="A229" s="27" t="str">
        <f t="shared" si="6"/>
        <v/>
      </c>
      <c r="B229" s="43" t="str">
        <f t="shared" si="7"/>
        <v/>
      </c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7"/>
    </row>
    <row r="230" spans="1:20" x14ac:dyDescent="0.35">
      <c r="A230" s="27" t="str">
        <f t="shared" si="6"/>
        <v/>
      </c>
      <c r="B230" s="43" t="str">
        <f t="shared" si="7"/>
        <v/>
      </c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7"/>
    </row>
    <row r="231" spans="1:20" x14ac:dyDescent="0.35">
      <c r="A231" s="27" t="str">
        <f t="shared" si="6"/>
        <v/>
      </c>
      <c r="B231" s="43" t="str">
        <f t="shared" si="7"/>
        <v/>
      </c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7"/>
    </row>
    <row r="232" spans="1:20" x14ac:dyDescent="0.35">
      <c r="A232" s="27" t="str">
        <f t="shared" si="6"/>
        <v/>
      </c>
      <c r="B232" s="43" t="str">
        <f t="shared" si="7"/>
        <v/>
      </c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7"/>
    </row>
    <row r="233" spans="1:20" x14ac:dyDescent="0.35">
      <c r="A233" s="27" t="str">
        <f t="shared" si="6"/>
        <v/>
      </c>
      <c r="B233" s="43" t="str">
        <f t="shared" si="7"/>
        <v/>
      </c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7"/>
    </row>
    <row r="234" spans="1:20" x14ac:dyDescent="0.35">
      <c r="A234" s="27" t="str">
        <f t="shared" si="6"/>
        <v/>
      </c>
      <c r="B234" s="43" t="str">
        <f t="shared" si="7"/>
        <v/>
      </c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7"/>
    </row>
    <row r="235" spans="1:20" x14ac:dyDescent="0.35">
      <c r="A235" s="27" t="str">
        <f t="shared" si="6"/>
        <v/>
      </c>
      <c r="B235" s="43" t="str">
        <f t="shared" si="7"/>
        <v/>
      </c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7"/>
    </row>
    <row r="236" spans="1:20" x14ac:dyDescent="0.35">
      <c r="A236" s="27" t="str">
        <f t="shared" si="6"/>
        <v/>
      </c>
      <c r="B236" s="43" t="str">
        <f t="shared" si="7"/>
        <v/>
      </c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7"/>
    </row>
    <row r="237" spans="1:20" x14ac:dyDescent="0.35">
      <c r="A237" s="27" t="str">
        <f t="shared" si="6"/>
        <v/>
      </c>
      <c r="B237" s="43" t="str">
        <f t="shared" si="7"/>
        <v/>
      </c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7"/>
    </row>
    <row r="238" spans="1:20" x14ac:dyDescent="0.35">
      <c r="A238" s="27" t="str">
        <f t="shared" si="6"/>
        <v/>
      </c>
      <c r="B238" s="43" t="str">
        <f t="shared" si="7"/>
        <v/>
      </c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7"/>
    </row>
    <row r="239" spans="1:20" x14ac:dyDescent="0.35">
      <c r="A239" s="27" t="str">
        <f t="shared" si="6"/>
        <v/>
      </c>
      <c r="B239" s="43" t="str">
        <f t="shared" si="7"/>
        <v/>
      </c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7"/>
    </row>
    <row r="240" spans="1:20" x14ac:dyDescent="0.35">
      <c r="A240" s="27" t="str">
        <f t="shared" si="6"/>
        <v/>
      </c>
      <c r="B240" s="43" t="str">
        <f t="shared" si="7"/>
        <v/>
      </c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7"/>
    </row>
    <row r="241" spans="1:20" x14ac:dyDescent="0.35">
      <c r="A241" s="27" t="str">
        <f t="shared" si="6"/>
        <v/>
      </c>
      <c r="B241" s="43" t="str">
        <f t="shared" si="7"/>
        <v/>
      </c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7"/>
    </row>
    <row r="242" spans="1:20" x14ac:dyDescent="0.35">
      <c r="A242" s="27" t="str">
        <f t="shared" si="6"/>
        <v/>
      </c>
      <c r="B242" s="43" t="str">
        <f t="shared" si="7"/>
        <v/>
      </c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7"/>
    </row>
    <row r="243" spans="1:20" x14ac:dyDescent="0.35">
      <c r="A243" s="27" t="str">
        <f t="shared" si="6"/>
        <v/>
      </c>
      <c r="B243" s="43" t="str">
        <f t="shared" si="7"/>
        <v/>
      </c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7"/>
    </row>
    <row r="244" spans="1:20" x14ac:dyDescent="0.35">
      <c r="A244" s="27" t="str">
        <f t="shared" si="6"/>
        <v/>
      </c>
      <c r="B244" s="43" t="str">
        <f t="shared" si="7"/>
        <v/>
      </c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7"/>
    </row>
    <row r="245" spans="1:20" x14ac:dyDescent="0.35">
      <c r="A245" s="27" t="str">
        <f t="shared" si="6"/>
        <v/>
      </c>
      <c r="B245" s="43" t="str">
        <f t="shared" si="7"/>
        <v/>
      </c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7"/>
    </row>
    <row r="246" spans="1:20" x14ac:dyDescent="0.35">
      <c r="A246" s="27" t="str">
        <f t="shared" si="6"/>
        <v/>
      </c>
      <c r="B246" s="43" t="str">
        <f t="shared" si="7"/>
        <v/>
      </c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7"/>
    </row>
    <row r="247" spans="1:20" x14ac:dyDescent="0.35">
      <c r="A247" s="27" t="str">
        <f t="shared" si="6"/>
        <v/>
      </c>
      <c r="B247" s="43" t="str">
        <f t="shared" si="7"/>
        <v/>
      </c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7"/>
    </row>
    <row r="248" spans="1:20" x14ac:dyDescent="0.35">
      <c r="A248" s="27" t="str">
        <f t="shared" si="6"/>
        <v/>
      </c>
      <c r="B248" s="43" t="str">
        <f t="shared" si="7"/>
        <v/>
      </c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7"/>
    </row>
    <row r="249" spans="1:20" x14ac:dyDescent="0.35">
      <c r="A249" s="27" t="str">
        <f t="shared" si="6"/>
        <v/>
      </c>
      <c r="B249" s="43" t="str">
        <f t="shared" si="7"/>
        <v/>
      </c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7"/>
    </row>
    <row r="250" spans="1:20" x14ac:dyDescent="0.35">
      <c r="A250" s="27" t="str">
        <f t="shared" si="6"/>
        <v/>
      </c>
      <c r="B250" s="43" t="str">
        <f t="shared" si="7"/>
        <v/>
      </c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7"/>
    </row>
    <row r="251" spans="1:20" x14ac:dyDescent="0.35">
      <c r="A251" s="27" t="str">
        <f t="shared" si="6"/>
        <v/>
      </c>
      <c r="B251" s="43" t="str">
        <f t="shared" si="7"/>
        <v/>
      </c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7"/>
    </row>
    <row r="252" spans="1:20" x14ac:dyDescent="0.35">
      <c r="A252" s="27" t="str">
        <f t="shared" si="6"/>
        <v/>
      </c>
      <c r="B252" s="43" t="str">
        <f t="shared" si="7"/>
        <v/>
      </c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7"/>
    </row>
    <row r="253" spans="1:20" x14ac:dyDescent="0.35">
      <c r="A253" s="27" t="str">
        <f t="shared" si="6"/>
        <v/>
      </c>
      <c r="B253" s="43" t="str">
        <f t="shared" si="7"/>
        <v/>
      </c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7"/>
    </row>
    <row r="254" spans="1:20" x14ac:dyDescent="0.35">
      <c r="A254" s="27" t="str">
        <f t="shared" si="6"/>
        <v/>
      </c>
      <c r="B254" s="43" t="str">
        <f t="shared" si="7"/>
        <v/>
      </c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7"/>
    </row>
    <row r="255" spans="1:20" x14ac:dyDescent="0.35">
      <c r="A255" s="27" t="str">
        <f t="shared" si="6"/>
        <v/>
      </c>
      <c r="B255" s="43" t="str">
        <f t="shared" si="7"/>
        <v/>
      </c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7"/>
    </row>
    <row r="256" spans="1:20" x14ac:dyDescent="0.35">
      <c r="A256" s="27" t="str">
        <f t="shared" si="6"/>
        <v/>
      </c>
      <c r="B256" s="43" t="str">
        <f t="shared" si="7"/>
        <v/>
      </c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7"/>
    </row>
    <row r="257" spans="1:20" x14ac:dyDescent="0.35">
      <c r="A257" s="27" t="str">
        <f t="shared" si="6"/>
        <v/>
      </c>
      <c r="B257" s="43" t="str">
        <f t="shared" si="7"/>
        <v/>
      </c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7"/>
    </row>
    <row r="258" spans="1:20" x14ac:dyDescent="0.35">
      <c r="A258" s="27" t="str">
        <f t="shared" si="6"/>
        <v/>
      </c>
      <c r="B258" s="43" t="str">
        <f t="shared" si="7"/>
        <v/>
      </c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7"/>
    </row>
    <row r="259" spans="1:20" x14ac:dyDescent="0.35">
      <c r="A259" s="27" t="str">
        <f t="shared" si="6"/>
        <v/>
      </c>
      <c r="B259" s="43" t="str">
        <f t="shared" si="7"/>
        <v/>
      </c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7"/>
    </row>
    <row r="260" spans="1:20" x14ac:dyDescent="0.35">
      <c r="A260" s="27" t="str">
        <f t="shared" si="6"/>
        <v/>
      </c>
      <c r="B260" s="43" t="str">
        <f t="shared" si="7"/>
        <v/>
      </c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7"/>
    </row>
    <row r="261" spans="1:20" x14ac:dyDescent="0.35">
      <c r="A261" s="27" t="str">
        <f t="shared" si="6"/>
        <v/>
      </c>
      <c r="B261" s="43" t="str">
        <f t="shared" si="7"/>
        <v/>
      </c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7"/>
    </row>
    <row r="262" spans="1:20" x14ac:dyDescent="0.35">
      <c r="A262" s="27" t="str">
        <f t="shared" si="6"/>
        <v/>
      </c>
      <c r="B262" s="43" t="str">
        <f t="shared" si="7"/>
        <v/>
      </c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7"/>
    </row>
    <row r="263" spans="1:20" x14ac:dyDescent="0.35">
      <c r="A263" s="27" t="str">
        <f t="shared" si="6"/>
        <v/>
      </c>
      <c r="B263" s="43" t="str">
        <f t="shared" si="7"/>
        <v/>
      </c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7"/>
    </row>
    <row r="264" spans="1:20" x14ac:dyDescent="0.35">
      <c r="A264" s="27" t="str">
        <f>IF(COUNTBLANK(E264:S264)=15,"",A263+1)</f>
        <v/>
      </c>
      <c r="B264" s="43" t="str">
        <f>IF(A264="","",B263+7)</f>
        <v/>
      </c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7"/>
    </row>
    <row r="265" spans="1:20" ht="15" thickBot="1" x14ac:dyDescent="0.4">
      <c r="A265" s="27" t="str">
        <f>IF(COUNTBLANK(E265:S265)=15,"",A264+1)</f>
        <v/>
      </c>
      <c r="B265" s="44" t="str">
        <f>IF(A265="","",B264+7)</f>
        <v/>
      </c>
      <c r="C265" s="9"/>
      <c r="D265" s="9"/>
      <c r="E265" s="9"/>
      <c r="F265" s="9"/>
      <c r="G265" s="9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7"/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C43C9-0A4D-459C-9A51-1B8C82A341EE}">
  <sheetPr codeName="Sheet4"/>
  <dimension ref="A1:B30"/>
  <sheetViews>
    <sheetView showGridLines="0" zoomScaleNormal="100" workbookViewId="0">
      <selection activeCell="B2" sqref="B2"/>
    </sheetView>
  </sheetViews>
  <sheetFormatPr defaultRowHeight="14.5" x14ac:dyDescent="0.35"/>
  <cols>
    <col min="1" max="1" width="17.81640625" bestFit="1" customWidth="1"/>
    <col min="2" max="2" width="11.7265625" customWidth="1"/>
  </cols>
  <sheetData>
    <row r="1" spans="1:2" ht="15" thickBot="1" x14ac:dyDescent="0.4"/>
    <row r="2" spans="1:2" ht="15" thickBot="1" x14ac:dyDescent="0.4">
      <c r="A2" s="37" t="s">
        <v>22</v>
      </c>
      <c r="B2" s="17" t="s">
        <v>124</v>
      </c>
    </row>
    <row r="3" spans="1:2" ht="15" thickBot="1" x14ac:dyDescent="0.4"/>
    <row r="4" spans="1:2" ht="15" thickBot="1" x14ac:dyDescent="0.4">
      <c r="A4" s="37" t="s">
        <v>108</v>
      </c>
    </row>
    <row r="5" spans="1:2" ht="15" thickBot="1" x14ac:dyDescent="0.4">
      <c r="A5" s="42" t="s">
        <v>46</v>
      </c>
      <c r="B5" s="17" t="s">
        <v>111</v>
      </c>
    </row>
    <row r="6" spans="1:2" ht="15" thickBot="1" x14ac:dyDescent="0.4">
      <c r="A6" s="54" t="s">
        <v>109</v>
      </c>
      <c r="B6" s="17" t="s">
        <v>111</v>
      </c>
    </row>
    <row r="7" spans="1:2" ht="15" thickBot="1" x14ac:dyDescent="0.4">
      <c r="A7" s="54" t="s">
        <v>110</v>
      </c>
      <c r="B7" s="17" t="s">
        <v>111</v>
      </c>
    </row>
    <row r="8" spans="1:2" ht="15" thickBot="1" x14ac:dyDescent="0.4">
      <c r="A8" s="55" t="s">
        <v>33</v>
      </c>
      <c r="B8" s="41" t="s">
        <v>111</v>
      </c>
    </row>
    <row r="9" spans="1:2" ht="15" thickBot="1" x14ac:dyDescent="0.4"/>
    <row r="10" spans="1:2" ht="15" thickBot="1" x14ac:dyDescent="0.4">
      <c r="A10" s="37" t="s">
        <v>112</v>
      </c>
    </row>
    <row r="11" spans="1:2" ht="15" thickBot="1" x14ac:dyDescent="0.4">
      <c r="A11" s="37" t="s">
        <v>115</v>
      </c>
      <c r="B11" s="17" t="s">
        <v>111</v>
      </c>
    </row>
    <row r="12" spans="1:2" ht="15" thickBot="1" x14ac:dyDescent="0.4">
      <c r="A12" s="37" t="s">
        <v>113</v>
      </c>
      <c r="B12" s="49">
        <v>43876</v>
      </c>
    </row>
    <row r="13" spans="1:2" ht="15" thickBot="1" x14ac:dyDescent="0.4">
      <c r="A13" s="55" t="s">
        <v>114</v>
      </c>
      <c r="B13" s="49">
        <v>43974</v>
      </c>
    </row>
    <row r="26" spans="1:2" ht="15" thickBot="1" x14ac:dyDescent="0.4"/>
    <row r="27" spans="1:2" ht="15" thickBot="1" x14ac:dyDescent="0.4">
      <c r="A27" s="50"/>
      <c r="B27" t="s">
        <v>42</v>
      </c>
    </row>
    <row r="28" spans="1:2" ht="15" thickBot="1" x14ac:dyDescent="0.4">
      <c r="A28" s="51"/>
      <c r="B28" t="s">
        <v>43</v>
      </c>
    </row>
    <row r="29" spans="1:2" ht="15" thickBot="1" x14ac:dyDescent="0.4">
      <c r="A29" s="52"/>
      <c r="B29" t="s">
        <v>44</v>
      </c>
    </row>
    <row r="30" spans="1:2" ht="15" thickBot="1" x14ac:dyDescent="0.4">
      <c r="A30" s="53"/>
      <c r="B30" t="s">
        <v>45</v>
      </c>
    </row>
  </sheetData>
  <conditionalFormatting sqref="B6">
    <cfRule type="expression" dxfId="2" priority="3">
      <formula>IF($B$7="No",TRUE,FALSE)</formula>
    </cfRule>
  </conditionalFormatting>
  <conditionalFormatting sqref="B12">
    <cfRule type="expression" dxfId="1" priority="2">
      <formula>IF($B$11="Yes",TRUE,FALSE)</formula>
    </cfRule>
  </conditionalFormatting>
  <conditionalFormatting sqref="B13">
    <cfRule type="expression" dxfId="0" priority="1">
      <formula>IF($B$11="Yes",TRUE,FALSE)</formula>
    </cfRule>
  </conditionalFormatting>
  <dataValidations count="3">
    <dataValidation type="list" allowBlank="1" showInputMessage="1" showErrorMessage="1" sqref="B5:B8 B11" xr:uid="{5480BC25-9CA2-495B-8B8C-F8390A1933FA}">
      <formula1>"Yes, No"</formula1>
    </dataValidation>
    <dataValidation type="list" allowBlank="1" showInputMessage="1" showErrorMessage="1" sqref="B12" xr:uid="{83554C81-B1E2-46FD-8556-C312BB536AB3}">
      <formula1>SPC_Dates</formula1>
    </dataValidation>
    <dataValidation type="list" allowBlank="1" showInputMessage="1" showErrorMessage="1" sqref="B13" xr:uid="{0B47431B-BB9E-4562-8946-CCBA759ECFDC}">
      <formula1>SPC_Dates_End</formula1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E781922-EC65-4AC5-9917-3AEFE9AE7603}">
          <x14:formula1>
            <xm:f>'Data Validation (Hide)'!$B$2:$B$16</xm:f>
          </x14:formula1>
          <xm:sqref>B2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50B7B-A05F-456C-AC99-DEBAFFAD4798}">
  <sheetPr codeName="Sheet5"/>
  <dimension ref="A1:AM403"/>
  <sheetViews>
    <sheetView topLeftCell="B38" workbookViewId="0">
      <selection activeCell="Y4" sqref="Y4"/>
    </sheetView>
  </sheetViews>
  <sheetFormatPr defaultRowHeight="14.5" x14ac:dyDescent="0.35"/>
  <cols>
    <col min="2" max="2" width="10.453125" style="5" bestFit="1" customWidth="1"/>
    <col min="3" max="11" width="9.81640625" bestFit="1" customWidth="1"/>
    <col min="12" max="17" width="10.81640625" bestFit="1" customWidth="1"/>
    <col min="19" max="19" width="17.1796875" bestFit="1" customWidth="1"/>
    <col min="20" max="20" width="9.81640625" bestFit="1" customWidth="1"/>
    <col min="21" max="21" width="12.54296875" bestFit="1" customWidth="1"/>
    <col min="24" max="24" width="6.81640625" customWidth="1"/>
    <col min="25" max="26" width="8" customWidth="1"/>
    <col min="27" max="28" width="8.26953125" customWidth="1"/>
    <col min="29" max="29" width="7.08984375" customWidth="1"/>
    <col min="30" max="30" width="8.7265625" customWidth="1"/>
    <col min="31" max="31" width="13.6328125" customWidth="1"/>
    <col min="32" max="39" width="8.7265625" customWidth="1"/>
  </cols>
  <sheetData>
    <row r="1" spans="1:39" x14ac:dyDescent="0.35">
      <c r="A1" t="s">
        <v>19</v>
      </c>
      <c r="B1"/>
      <c r="S1" t="s">
        <v>20</v>
      </c>
      <c r="AK1" t="s">
        <v>46</v>
      </c>
    </row>
    <row r="2" spans="1:39" ht="15" thickBot="1" x14ac:dyDescent="0.4">
      <c r="B2"/>
      <c r="S2" t="s">
        <v>21</v>
      </c>
      <c r="T2" t="str">
        <f>SPC!B2</f>
        <v>Caseload 1</v>
      </c>
      <c r="AD2" t="s">
        <v>33</v>
      </c>
    </row>
    <row r="3" spans="1:39" x14ac:dyDescent="0.35">
      <c r="B3" s="11" t="s">
        <v>18</v>
      </c>
      <c r="C3" s="3" t="str" cm="1">
        <f t="array" ref="C3">INDEX('Data Validation (Hide)'!$B$2:$B$16,COLUMN(A1),1)</f>
        <v>Caseload 1</v>
      </c>
      <c r="D3" s="4" t="str" cm="1">
        <f t="array" ref="D3">INDEX('Data Validation (Hide)'!$B$2:$B$16,COLUMN(B1),1)</f>
        <v>Medium</v>
      </c>
      <c r="E3" s="4" t="str" cm="1">
        <f t="array" ref="E3">INDEX('Data Validation (Hide)'!$B$2:$B$16,COLUMN(C1),1)</f>
        <v>low</v>
      </c>
      <c r="F3" s="4" t="str" cm="1">
        <f t="array" ref="F3">INDEX('Data Validation (Hide)'!$B$2:$B$16,COLUMN(D1),1)</f>
        <v>very low</v>
      </c>
      <c r="G3" s="4" t="str" cm="1">
        <f t="array" ref="G3">INDEX('Data Validation (Hide)'!$B$2:$B$16,COLUMN(E1),1)</f>
        <v>Caseload 5</v>
      </c>
      <c r="H3" s="4" t="str" cm="1">
        <f t="array" ref="H3">INDEX('Data Validation (Hide)'!$B$2:$B$16,COLUMN(F1),1)</f>
        <v>Caseload 6</v>
      </c>
      <c r="I3" s="4" t="str" cm="1">
        <f t="array" ref="I3">INDEX('Data Validation (Hide)'!$B$2:$B$16,COLUMN(G1),1)</f>
        <v>Caseload 7</v>
      </c>
      <c r="J3" s="4" t="str" cm="1">
        <f t="array" ref="J3">INDEX('Data Validation (Hide)'!$B$2:$B$16,COLUMN(H1),1)</f>
        <v>Caseload 8</v>
      </c>
      <c r="K3" s="4" t="str" cm="1">
        <f t="array" ref="K3">INDEX('Data Validation (Hide)'!$B$2:$B$16,COLUMN(I1),1)</f>
        <v>Caseload 9</v>
      </c>
      <c r="L3" s="4" t="str" cm="1">
        <f t="array" ref="L3">INDEX('Data Validation (Hide)'!$B$2:$B$16,COLUMN(J1),1)</f>
        <v>Caseload 10</v>
      </c>
      <c r="M3" s="4" t="str" cm="1">
        <f t="array" ref="M3">INDEX('Data Validation (Hide)'!$B$2:$B$16,COLUMN(K1),1)</f>
        <v>Caseload 11</v>
      </c>
      <c r="N3" s="4" t="str" cm="1">
        <f t="array" ref="N3">INDEX('Data Validation (Hide)'!$B$2:$B$16,COLUMN(L1),1)</f>
        <v>Caseload 12</v>
      </c>
      <c r="O3" s="4" t="str" cm="1">
        <f t="array" ref="O3">INDEX('Data Validation (Hide)'!$B$2:$B$16,COLUMN(M1),1)</f>
        <v>Caseload 13</v>
      </c>
      <c r="P3" s="4" t="str" cm="1">
        <f t="array" ref="P3">INDEX('Data Validation (Hide)'!$B$2:$B$16,COLUMN(N1),1)</f>
        <v>Caseload 14</v>
      </c>
      <c r="Q3" s="15" t="str" cm="1">
        <f t="array" ref="Q3">INDEX('Data Validation (Hide)'!$B$2:$B$16,COLUMN(O1),1)</f>
        <v>Caseload 15</v>
      </c>
      <c r="R3" t="s">
        <v>116</v>
      </c>
      <c r="S3" t="s">
        <v>35</v>
      </c>
      <c r="T3" t="s">
        <v>23</v>
      </c>
      <c r="U3" t="s">
        <v>25</v>
      </c>
      <c r="V3" t="s">
        <v>24</v>
      </c>
      <c r="W3" t="s">
        <v>26</v>
      </c>
      <c r="X3" t="s">
        <v>27</v>
      </c>
      <c r="Y3" s="16" t="s">
        <v>29</v>
      </c>
      <c r="Z3" s="16" t="s">
        <v>30</v>
      </c>
      <c r="AA3" s="16" t="s">
        <v>31</v>
      </c>
      <c r="AB3" s="16" t="s">
        <v>32</v>
      </c>
      <c r="AC3" t="s">
        <v>28</v>
      </c>
      <c r="AD3" t="s">
        <v>34</v>
      </c>
      <c r="AE3" t="s">
        <v>36</v>
      </c>
      <c r="AF3" t="s">
        <v>37</v>
      </c>
      <c r="AG3" t="s">
        <v>38</v>
      </c>
      <c r="AH3" t="s">
        <v>39</v>
      </c>
      <c r="AI3" t="s">
        <v>40</v>
      </c>
      <c r="AJ3" t="s">
        <v>41</v>
      </c>
      <c r="AK3">
        <f>INDEX('Data Validation (Hide)'!$H$2:$I$5,MATCH(Setup!$B$11,'Data Validation (Hide)'!$H$2:$H$5,0),2)</f>
        <v>0.65</v>
      </c>
      <c r="AL3">
        <v>0.85</v>
      </c>
      <c r="AM3" t="s">
        <v>47</v>
      </c>
    </row>
    <row r="4" spans="1:39" x14ac:dyDescent="0.35">
      <c r="B4" s="12">
        <f>Demand!B6</f>
        <v>43617</v>
      </c>
      <c r="C4" s="7">
        <f>INDEX(Demand!$E$6:$S$265,MATCH('SPC Backing (Hide)'!$B4,Demand!$B$6:$B$265,0),MATCH('SPC Backing (Hide)'!C$3,Demand!$E$5:$S$5,0))</f>
        <v>260</v>
      </c>
      <c r="D4" s="5">
        <f>INDEX(Demand!$E$6:$S$265,MATCH('SPC Backing (Hide)'!$B4,Demand!$B$6:$B$265,0),MATCH('SPC Backing (Hide)'!D$3,Demand!$E$5:$S$5,0))</f>
        <v>0</v>
      </c>
      <c r="E4" s="5">
        <f>INDEX(Demand!$E$6:$S$265,MATCH('SPC Backing (Hide)'!$B4,Demand!$B$6:$B$265,0),MATCH('SPC Backing (Hide)'!E$3,Demand!$E$5:$S$5,0))</f>
        <v>0</v>
      </c>
      <c r="F4" s="5">
        <f>INDEX(Demand!$E$6:$S$265,MATCH('SPC Backing (Hide)'!$B4,Demand!$B$6:$B$265,0),MATCH('SPC Backing (Hide)'!F$3,Demand!$E$5:$S$5,0))</f>
        <v>0</v>
      </c>
      <c r="G4" s="5">
        <f>INDEX(Demand!$E$6:$S$265,MATCH('SPC Backing (Hide)'!$B4,Demand!$B$6:$B$265,0),MATCH('SPC Backing (Hide)'!G$3,Demand!$E$5:$S$5,0))</f>
        <v>0</v>
      </c>
      <c r="H4" s="5">
        <f>INDEX(Demand!$E$6:$S$265,MATCH('SPC Backing (Hide)'!$B4,Demand!$B$6:$B$265,0),MATCH('SPC Backing (Hide)'!H$3,Demand!$E$5:$S$5,0))</f>
        <v>0</v>
      </c>
      <c r="I4" s="5">
        <f>INDEX(Demand!$E$6:$S$265,MATCH('SPC Backing (Hide)'!$B4,Demand!$B$6:$B$265,0),MATCH('SPC Backing (Hide)'!I$3,Demand!$E$5:$S$5,0))</f>
        <v>0</v>
      </c>
      <c r="J4" s="5">
        <f>INDEX(Demand!$E$6:$S$265,MATCH('SPC Backing (Hide)'!$B4,Demand!$B$6:$B$265,0),MATCH('SPC Backing (Hide)'!J$3,Demand!$E$5:$S$5,0))</f>
        <v>0</v>
      </c>
      <c r="K4" s="5">
        <f>INDEX(Demand!$E$6:$S$265,MATCH('SPC Backing (Hide)'!$B4,Demand!$B$6:$B$265,0),MATCH('SPC Backing (Hide)'!K$3,Demand!$E$5:$S$5,0))</f>
        <v>0</v>
      </c>
      <c r="L4" s="5">
        <f>INDEX(Demand!$E$6:$S$265,MATCH('SPC Backing (Hide)'!$B4,Demand!$B$6:$B$265,0),MATCH('SPC Backing (Hide)'!L$3,Demand!$E$5:$S$5,0))</f>
        <v>0</v>
      </c>
      <c r="M4" s="5">
        <f>INDEX(Demand!$E$6:$S$265,MATCH('SPC Backing (Hide)'!$B4,Demand!$B$6:$B$265,0),MATCH('SPC Backing (Hide)'!M$3,Demand!$E$5:$S$5,0))</f>
        <v>0</v>
      </c>
      <c r="N4" s="5">
        <f>INDEX(Demand!$E$6:$S$265,MATCH('SPC Backing (Hide)'!$B4,Demand!$B$6:$B$265,0),MATCH('SPC Backing (Hide)'!N$3,Demand!$E$5:$S$5,0))</f>
        <v>0</v>
      </c>
      <c r="O4" s="5">
        <f>INDEX(Demand!$E$6:$S$265,MATCH('SPC Backing (Hide)'!$B4,Demand!$B$6:$B$265,0),MATCH('SPC Backing (Hide)'!O$3,Demand!$E$5:$S$5,0))</f>
        <v>0</v>
      </c>
      <c r="P4" s="5">
        <f>INDEX(Demand!$E$6:$S$265,MATCH('SPC Backing (Hide)'!$B4,Demand!$B$6:$B$265,0),MATCH('SPC Backing (Hide)'!P$3,Demand!$E$5:$S$5,0))</f>
        <v>0</v>
      </c>
      <c r="Q4" s="6">
        <f>INDEX(Demand!$E$6:$S$265,MATCH('SPC Backing (Hide)'!$B4,Demand!$B$6:$B$265,0),MATCH('SPC Backing (Hide)'!Q$3,Demand!$E$5:$S$5,0))</f>
        <v>0</v>
      </c>
      <c r="R4">
        <f>IF(SPC!$B$11="Yes",IF(ROW(A1)&gt;=Demand!$A$5-52,1,0),IF(AND(B4&gt;=SPC!$B$12,B4&lt;SPC!$B$13),1,0))</f>
        <v>0</v>
      </c>
      <c r="S4" cm="1">
        <f t="array" ref="S4">INDEX($C$4:$Q$263,ROW(A1),MATCH($T$2,$C$3:$Q$3,0))</f>
        <v>260</v>
      </c>
      <c r="T4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V4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4">
        <f>V4/1.128</f>
        <v>40.813595610865789</v>
      </c>
      <c r="X4">
        <f>MAX(0,T4-(3*W4))</f>
        <v>108.80449618627055</v>
      </c>
      <c r="Y4">
        <f>MAX(0,T4-(2*W4))</f>
        <v>149.61809179713634</v>
      </c>
      <c r="Z4">
        <f>MAX(0,T4-W4)</f>
        <v>190.43168740800212</v>
      </c>
      <c r="AA4">
        <f>T4+W4</f>
        <v>272.05887862973373</v>
      </c>
      <c r="AB4">
        <f>T4+(2*W4)</f>
        <v>312.8724742405995</v>
      </c>
      <c r="AC4">
        <f>T4+(3*W4)</f>
        <v>353.68606985146528</v>
      </c>
      <c r="AD4" t="e">
        <f>IF(OR(S4&gt;AC4,S4&lt;X4),S4,NA())</f>
        <v>#N/A</v>
      </c>
      <c r="AE4">
        <f>IF(S4&gt;AB4,2,IF(S4&lt;Y4,-2,IF(S4&gt;T4,1,IF(S4&lt;T4,-1,0))))</f>
        <v>1</v>
      </c>
      <c r="AF4" t="e">
        <f>IF(ABS(SUM(AE4:AE6))&gt;=5,S4,NA())</f>
        <v>#N/A</v>
      </c>
      <c r="AG4">
        <f>IF(S5&gt;S4,1,IF(S5&lt;S4,-1,0))</f>
        <v>1</v>
      </c>
      <c r="AH4" t="e">
        <f>IF(ABS(SUM(AG4:AG9))=6,S4,NA())</f>
        <v>#N/A</v>
      </c>
      <c r="AI4">
        <f>IF(S4&lt;T4,-1,IF(S4&gt;T4,1,0))</f>
        <v>1</v>
      </c>
      <c r="AJ4" t="e">
        <f>IF(ABS(SUM(AI4:AI12))=9,S4,NA())</f>
        <v>#N/A</v>
      </c>
      <c r="AK4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4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4">
        <f>AL4-AK4</f>
        <v>14.699999999999989</v>
      </c>
    </row>
    <row r="5" spans="1:39" x14ac:dyDescent="0.35">
      <c r="B5" s="12">
        <f>Demand!B7</f>
        <v>43624</v>
      </c>
      <c r="C5" s="7">
        <f>INDEX(Demand!$E$6:$S$265,MATCH('SPC Backing (Hide)'!$B5,Demand!$B$6:$B$265,0),MATCH('SPC Backing (Hide)'!C$3,Demand!$E$5:$S$5,0))</f>
        <v>312</v>
      </c>
      <c r="D5" s="5">
        <f>INDEX(Demand!$E$6:$S$265,MATCH('SPC Backing (Hide)'!$B5,Demand!$B$6:$B$265,0),MATCH('SPC Backing (Hide)'!D$3,Demand!$E$5:$S$5,0))</f>
        <v>0</v>
      </c>
      <c r="E5" s="5">
        <f>INDEX(Demand!$E$6:$S$265,MATCH('SPC Backing (Hide)'!$B5,Demand!$B$6:$B$265,0),MATCH('SPC Backing (Hide)'!E$3,Demand!$E$5:$S$5,0))</f>
        <v>0</v>
      </c>
      <c r="F5" s="5">
        <f>INDEX(Demand!$E$6:$S$265,MATCH('SPC Backing (Hide)'!$B5,Demand!$B$6:$B$265,0),MATCH('SPC Backing (Hide)'!F$3,Demand!$E$5:$S$5,0))</f>
        <v>0</v>
      </c>
      <c r="G5" s="5">
        <f>INDEX(Demand!$E$6:$S$265,MATCH('SPC Backing (Hide)'!$B5,Demand!$B$6:$B$265,0),MATCH('SPC Backing (Hide)'!G$3,Demand!$E$5:$S$5,0))</f>
        <v>0</v>
      </c>
      <c r="H5" s="5">
        <f>INDEX(Demand!$E$6:$S$265,MATCH('SPC Backing (Hide)'!$B5,Demand!$B$6:$B$265,0),MATCH('SPC Backing (Hide)'!H$3,Demand!$E$5:$S$5,0))</f>
        <v>0</v>
      </c>
      <c r="I5" s="5">
        <f>INDEX(Demand!$E$6:$S$265,MATCH('SPC Backing (Hide)'!$B5,Demand!$B$6:$B$265,0),MATCH('SPC Backing (Hide)'!I$3,Demand!$E$5:$S$5,0))</f>
        <v>0</v>
      </c>
      <c r="J5" s="5">
        <f>INDEX(Demand!$E$6:$S$265,MATCH('SPC Backing (Hide)'!$B5,Demand!$B$6:$B$265,0),MATCH('SPC Backing (Hide)'!J$3,Demand!$E$5:$S$5,0))</f>
        <v>0</v>
      </c>
      <c r="K5" s="5">
        <f>INDEX(Demand!$E$6:$S$265,MATCH('SPC Backing (Hide)'!$B5,Demand!$B$6:$B$265,0),MATCH('SPC Backing (Hide)'!K$3,Demand!$E$5:$S$5,0))</f>
        <v>0</v>
      </c>
      <c r="L5" s="5">
        <f>INDEX(Demand!$E$6:$S$265,MATCH('SPC Backing (Hide)'!$B5,Demand!$B$6:$B$265,0),MATCH('SPC Backing (Hide)'!L$3,Demand!$E$5:$S$5,0))</f>
        <v>0</v>
      </c>
      <c r="M5" s="5">
        <f>INDEX(Demand!$E$6:$S$265,MATCH('SPC Backing (Hide)'!$B5,Demand!$B$6:$B$265,0),MATCH('SPC Backing (Hide)'!M$3,Demand!$E$5:$S$5,0))</f>
        <v>0</v>
      </c>
      <c r="N5" s="5">
        <f>INDEX(Demand!$E$6:$S$265,MATCH('SPC Backing (Hide)'!$B5,Demand!$B$6:$B$265,0),MATCH('SPC Backing (Hide)'!N$3,Demand!$E$5:$S$5,0))</f>
        <v>0</v>
      </c>
      <c r="O5" s="5">
        <f>INDEX(Demand!$E$6:$S$265,MATCH('SPC Backing (Hide)'!$B5,Demand!$B$6:$B$265,0),MATCH('SPC Backing (Hide)'!O$3,Demand!$E$5:$S$5,0))</f>
        <v>0</v>
      </c>
      <c r="P5" s="5">
        <f>INDEX(Demand!$E$6:$S$265,MATCH('SPC Backing (Hide)'!$B5,Demand!$B$6:$B$265,0),MATCH('SPC Backing (Hide)'!P$3,Demand!$E$5:$S$5,0))</f>
        <v>0</v>
      </c>
      <c r="Q5" s="6">
        <f>INDEX(Demand!$E$6:$S$265,MATCH('SPC Backing (Hide)'!$B5,Demand!$B$6:$B$265,0),MATCH('SPC Backing (Hide)'!Q$3,Demand!$E$5:$S$5,0))</f>
        <v>0</v>
      </c>
      <c r="R5">
        <f>IF(SPC!$B$11="Yes",IF(ROW(A2)&gt;=Demand!$A$5-52,1,0),IF(AND(B5&gt;=SPC!$B$12,B5&lt;SPC!$B$13),1,0))</f>
        <v>0</v>
      </c>
      <c r="S5" cm="1">
        <f t="array" ref="S5">INDEX($C$4:$Q$263,ROW(A2),MATCH($T$2,$C$3:$Q$3,0))</f>
        <v>312</v>
      </c>
      <c r="T5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5" cm="1">
        <f t="array" ref="U5">ABS(INDEX($C$4:$Q$263,ROW(A2),MATCH($T$2,$C$3:$Q$3,0))-INDEX($C$4:$Q$263,ROW(A1),MATCH($T$2,$C$3:$Q$3,0)))</f>
        <v>52</v>
      </c>
      <c r="V5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5">
        <f t="shared" ref="W5:W68" si="0">V5/1.128</f>
        <v>40.813595610865789</v>
      </c>
      <c r="X5">
        <f t="shared" ref="X5:X68" si="1">MAX(0,T5-(3*W5))</f>
        <v>108.80449618627055</v>
      </c>
      <c r="Y5">
        <f t="shared" ref="Y5:Y68" si="2">MAX(0,T5-(2*W5))</f>
        <v>149.61809179713634</v>
      </c>
      <c r="Z5">
        <f t="shared" ref="Z5:Z68" si="3">MAX(0,T5-W5)</f>
        <v>190.43168740800212</v>
      </c>
      <c r="AA5">
        <f t="shared" ref="AA5:AA68" si="4">T5+W5</f>
        <v>272.05887862973373</v>
      </c>
      <c r="AB5">
        <f t="shared" ref="AB5:AB68" si="5">T5+(2*W5)</f>
        <v>312.8724742405995</v>
      </c>
      <c r="AC5">
        <f t="shared" ref="AC5:AC68" si="6">T5+(3*W5)</f>
        <v>353.68606985146528</v>
      </c>
      <c r="AD5" t="e">
        <f t="shared" ref="AD5:AD68" si="7">IF(OR(S5&gt;AC5,S5&lt;X5),S5,NA())</f>
        <v>#N/A</v>
      </c>
      <c r="AE5">
        <f>IF(S5&gt;AB5,2,IF(S5&lt;Y5,-2,IF(S5&gt;T5,1,IF(S5&lt;T5,-1,0))))</f>
        <v>1</v>
      </c>
      <c r="AF5" t="e">
        <f t="shared" ref="AF5:AF68" si="8">IF(ABS(SUM(AE5:AE7))&gt;=5,S5,NA())</f>
        <v>#N/A</v>
      </c>
      <c r="AG5">
        <f t="shared" ref="AG5:AG68" si="9">IF(S6&gt;S5,1,IF(S6&lt;S5,-1,0))</f>
        <v>-1</v>
      </c>
      <c r="AH5" t="e">
        <f t="shared" ref="AH5:AH68" si="10">IF(ABS(SUM(AG5:AG10))=6,S5,NA())</f>
        <v>#N/A</v>
      </c>
      <c r="AI5">
        <f t="shared" ref="AI5:AI68" si="11">IF(S5&lt;T5,-1,IF(S5&gt;T5,1,0))</f>
        <v>1</v>
      </c>
      <c r="AJ5" t="e">
        <f t="shared" ref="AJ5:AJ68" si="12">IF(ABS(SUM(AI5:AI13))=9,S5,NA())</f>
        <v>#N/A</v>
      </c>
      <c r="AK5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5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5">
        <f t="shared" ref="AM5:AM68" si="13">AL5-AK5</f>
        <v>14.699999999999989</v>
      </c>
    </row>
    <row r="6" spans="1:39" x14ac:dyDescent="0.35">
      <c r="B6" s="12">
        <f>Demand!B8</f>
        <v>43631</v>
      </c>
      <c r="C6" s="7">
        <f>INDEX(Demand!$E$6:$S$265,MATCH('SPC Backing (Hide)'!$B6,Demand!$B$6:$B$265,0),MATCH('SPC Backing (Hide)'!C$3,Demand!$E$5:$S$5,0))</f>
        <v>250</v>
      </c>
      <c r="D6" s="5">
        <f>INDEX(Demand!$E$6:$S$265,MATCH('SPC Backing (Hide)'!$B6,Demand!$B$6:$B$265,0),MATCH('SPC Backing (Hide)'!D$3,Demand!$E$5:$S$5,0))</f>
        <v>0</v>
      </c>
      <c r="E6" s="5">
        <f>INDEX(Demand!$E$6:$S$265,MATCH('SPC Backing (Hide)'!$B6,Demand!$B$6:$B$265,0),MATCH('SPC Backing (Hide)'!E$3,Demand!$E$5:$S$5,0))</f>
        <v>0</v>
      </c>
      <c r="F6" s="5">
        <f>INDEX(Demand!$E$6:$S$265,MATCH('SPC Backing (Hide)'!$B6,Demand!$B$6:$B$265,0),MATCH('SPC Backing (Hide)'!F$3,Demand!$E$5:$S$5,0))</f>
        <v>0</v>
      </c>
      <c r="G6" s="5">
        <f>INDEX(Demand!$E$6:$S$265,MATCH('SPC Backing (Hide)'!$B6,Demand!$B$6:$B$265,0),MATCH('SPC Backing (Hide)'!G$3,Demand!$E$5:$S$5,0))</f>
        <v>0</v>
      </c>
      <c r="H6" s="5">
        <f>INDEX(Demand!$E$6:$S$265,MATCH('SPC Backing (Hide)'!$B6,Demand!$B$6:$B$265,0),MATCH('SPC Backing (Hide)'!H$3,Demand!$E$5:$S$5,0))</f>
        <v>0</v>
      </c>
      <c r="I6" s="5">
        <f>INDEX(Demand!$E$6:$S$265,MATCH('SPC Backing (Hide)'!$B6,Demand!$B$6:$B$265,0),MATCH('SPC Backing (Hide)'!I$3,Demand!$E$5:$S$5,0))</f>
        <v>0</v>
      </c>
      <c r="J6" s="5">
        <f>INDEX(Demand!$E$6:$S$265,MATCH('SPC Backing (Hide)'!$B6,Demand!$B$6:$B$265,0),MATCH('SPC Backing (Hide)'!J$3,Demand!$E$5:$S$5,0))</f>
        <v>0</v>
      </c>
      <c r="K6" s="5">
        <f>INDEX(Demand!$E$6:$S$265,MATCH('SPC Backing (Hide)'!$B6,Demand!$B$6:$B$265,0),MATCH('SPC Backing (Hide)'!K$3,Demand!$E$5:$S$5,0))</f>
        <v>0</v>
      </c>
      <c r="L6" s="5">
        <f>INDEX(Demand!$E$6:$S$265,MATCH('SPC Backing (Hide)'!$B6,Demand!$B$6:$B$265,0),MATCH('SPC Backing (Hide)'!L$3,Demand!$E$5:$S$5,0))</f>
        <v>0</v>
      </c>
      <c r="M6" s="5">
        <f>INDEX(Demand!$E$6:$S$265,MATCH('SPC Backing (Hide)'!$B6,Demand!$B$6:$B$265,0),MATCH('SPC Backing (Hide)'!M$3,Demand!$E$5:$S$5,0))</f>
        <v>0</v>
      </c>
      <c r="N6" s="5">
        <f>INDEX(Demand!$E$6:$S$265,MATCH('SPC Backing (Hide)'!$B6,Demand!$B$6:$B$265,0),MATCH('SPC Backing (Hide)'!N$3,Demand!$E$5:$S$5,0))</f>
        <v>0</v>
      </c>
      <c r="O6" s="5">
        <f>INDEX(Demand!$E$6:$S$265,MATCH('SPC Backing (Hide)'!$B6,Demand!$B$6:$B$265,0),MATCH('SPC Backing (Hide)'!O$3,Demand!$E$5:$S$5,0))</f>
        <v>0</v>
      </c>
      <c r="P6" s="5">
        <f>INDEX(Demand!$E$6:$S$265,MATCH('SPC Backing (Hide)'!$B6,Demand!$B$6:$B$265,0),MATCH('SPC Backing (Hide)'!P$3,Demand!$E$5:$S$5,0))</f>
        <v>0</v>
      </c>
      <c r="Q6" s="6">
        <f>INDEX(Demand!$E$6:$S$265,MATCH('SPC Backing (Hide)'!$B6,Demand!$B$6:$B$265,0),MATCH('SPC Backing (Hide)'!Q$3,Demand!$E$5:$S$5,0))</f>
        <v>0</v>
      </c>
      <c r="R6">
        <f>IF(SPC!$B$11="Yes",IF(ROW(A3)&gt;=Demand!$A$5-52,1,0),IF(AND(B6&gt;=SPC!$B$12,B6&lt;SPC!$B$13),1,0))</f>
        <v>0</v>
      </c>
      <c r="S6" cm="1">
        <f t="array" ref="S6">INDEX($C$4:$Q$263,ROW(A3),MATCH($T$2,$C$3:$Q$3,0))</f>
        <v>250</v>
      </c>
      <c r="T6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6" cm="1">
        <f t="array" ref="U6">ABS(INDEX($C$4:$Q$263,ROW(A3),MATCH($T$2,$C$3:$Q$3,0))-INDEX($C$4:$Q$263,ROW(A2),MATCH($T$2,$C$3:$Q$3,0)))</f>
        <v>62</v>
      </c>
      <c r="V6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6">
        <f t="shared" si="0"/>
        <v>40.813595610865789</v>
      </c>
      <c r="X6">
        <f t="shared" si="1"/>
        <v>108.80449618627055</v>
      </c>
      <c r="Y6">
        <f t="shared" si="2"/>
        <v>149.61809179713634</v>
      </c>
      <c r="Z6">
        <f t="shared" si="3"/>
        <v>190.43168740800212</v>
      </c>
      <c r="AA6">
        <f t="shared" si="4"/>
        <v>272.05887862973373</v>
      </c>
      <c r="AB6">
        <f t="shared" si="5"/>
        <v>312.8724742405995</v>
      </c>
      <c r="AC6">
        <f t="shared" si="6"/>
        <v>353.68606985146528</v>
      </c>
      <c r="AD6" t="e">
        <f t="shared" si="7"/>
        <v>#N/A</v>
      </c>
      <c r="AE6">
        <f t="shared" ref="AE6:AE69" si="14">IF(S6&gt;AB6,2,IF(S6&lt;Y6,-2,IF(S6&gt;T6,1,IF(S6&lt;T6,-1,0))))</f>
        <v>1</v>
      </c>
      <c r="AF6" t="e">
        <f t="shared" si="8"/>
        <v>#N/A</v>
      </c>
      <c r="AG6">
        <f t="shared" si="9"/>
        <v>-1</v>
      </c>
      <c r="AH6" t="e">
        <f t="shared" si="10"/>
        <v>#N/A</v>
      </c>
      <c r="AI6">
        <f t="shared" si="11"/>
        <v>1</v>
      </c>
      <c r="AJ6" t="e">
        <f t="shared" si="12"/>
        <v>#N/A</v>
      </c>
      <c r="AK6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6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6">
        <f t="shared" si="13"/>
        <v>14.699999999999989</v>
      </c>
    </row>
    <row r="7" spans="1:39" x14ac:dyDescent="0.35">
      <c r="B7" s="12">
        <f>Demand!B9</f>
        <v>43638</v>
      </c>
      <c r="C7" s="7">
        <f>INDEX(Demand!$E$6:$S$265,MATCH('SPC Backing (Hide)'!$B7,Demand!$B$6:$B$265,0),MATCH('SPC Backing (Hide)'!C$3,Demand!$E$5:$S$5,0))</f>
        <v>220</v>
      </c>
      <c r="D7" s="5">
        <f>INDEX(Demand!$E$6:$S$265,MATCH('SPC Backing (Hide)'!$B7,Demand!$B$6:$B$265,0),MATCH('SPC Backing (Hide)'!D$3,Demand!$E$5:$S$5,0))</f>
        <v>0</v>
      </c>
      <c r="E7" s="5">
        <f>INDEX(Demand!$E$6:$S$265,MATCH('SPC Backing (Hide)'!$B7,Demand!$B$6:$B$265,0),MATCH('SPC Backing (Hide)'!E$3,Demand!$E$5:$S$5,0))</f>
        <v>0</v>
      </c>
      <c r="F7" s="5">
        <f>INDEX(Demand!$E$6:$S$265,MATCH('SPC Backing (Hide)'!$B7,Demand!$B$6:$B$265,0),MATCH('SPC Backing (Hide)'!F$3,Demand!$E$5:$S$5,0))</f>
        <v>0</v>
      </c>
      <c r="G7" s="5">
        <f>INDEX(Demand!$E$6:$S$265,MATCH('SPC Backing (Hide)'!$B7,Demand!$B$6:$B$265,0),MATCH('SPC Backing (Hide)'!G$3,Demand!$E$5:$S$5,0))</f>
        <v>0</v>
      </c>
      <c r="H7" s="5">
        <f>INDEX(Demand!$E$6:$S$265,MATCH('SPC Backing (Hide)'!$B7,Demand!$B$6:$B$265,0),MATCH('SPC Backing (Hide)'!H$3,Demand!$E$5:$S$5,0))</f>
        <v>0</v>
      </c>
      <c r="I7" s="5">
        <f>INDEX(Demand!$E$6:$S$265,MATCH('SPC Backing (Hide)'!$B7,Demand!$B$6:$B$265,0),MATCH('SPC Backing (Hide)'!I$3,Demand!$E$5:$S$5,0))</f>
        <v>0</v>
      </c>
      <c r="J7" s="5">
        <f>INDEX(Demand!$E$6:$S$265,MATCH('SPC Backing (Hide)'!$B7,Demand!$B$6:$B$265,0),MATCH('SPC Backing (Hide)'!J$3,Demand!$E$5:$S$5,0))</f>
        <v>0</v>
      </c>
      <c r="K7" s="5">
        <f>INDEX(Demand!$E$6:$S$265,MATCH('SPC Backing (Hide)'!$B7,Demand!$B$6:$B$265,0),MATCH('SPC Backing (Hide)'!K$3,Demand!$E$5:$S$5,0))</f>
        <v>0</v>
      </c>
      <c r="L7" s="5">
        <f>INDEX(Demand!$E$6:$S$265,MATCH('SPC Backing (Hide)'!$B7,Demand!$B$6:$B$265,0),MATCH('SPC Backing (Hide)'!L$3,Demand!$E$5:$S$5,0))</f>
        <v>0</v>
      </c>
      <c r="M7" s="5">
        <f>INDEX(Demand!$E$6:$S$265,MATCH('SPC Backing (Hide)'!$B7,Demand!$B$6:$B$265,0),MATCH('SPC Backing (Hide)'!M$3,Demand!$E$5:$S$5,0))</f>
        <v>0</v>
      </c>
      <c r="N7" s="5">
        <f>INDEX(Demand!$E$6:$S$265,MATCH('SPC Backing (Hide)'!$B7,Demand!$B$6:$B$265,0),MATCH('SPC Backing (Hide)'!N$3,Demand!$E$5:$S$5,0))</f>
        <v>0</v>
      </c>
      <c r="O7" s="5">
        <f>INDEX(Demand!$E$6:$S$265,MATCH('SPC Backing (Hide)'!$B7,Demand!$B$6:$B$265,0),MATCH('SPC Backing (Hide)'!O$3,Demand!$E$5:$S$5,0))</f>
        <v>0</v>
      </c>
      <c r="P7" s="5">
        <f>INDEX(Demand!$E$6:$S$265,MATCH('SPC Backing (Hide)'!$B7,Demand!$B$6:$B$265,0),MATCH('SPC Backing (Hide)'!P$3,Demand!$E$5:$S$5,0))</f>
        <v>0</v>
      </c>
      <c r="Q7" s="6">
        <f>INDEX(Demand!$E$6:$S$265,MATCH('SPC Backing (Hide)'!$B7,Demand!$B$6:$B$265,0),MATCH('SPC Backing (Hide)'!Q$3,Demand!$E$5:$S$5,0))</f>
        <v>0</v>
      </c>
      <c r="R7">
        <f>IF(SPC!$B$11="Yes",IF(ROW(A4)&gt;=Demand!$A$5-52,1,0),IF(AND(B7&gt;=SPC!$B$12,B7&lt;SPC!$B$13),1,0))</f>
        <v>0</v>
      </c>
      <c r="S7" cm="1">
        <f t="array" ref="S7">INDEX($C$4:$Q$263,ROW(A4),MATCH($T$2,$C$3:$Q$3,0))</f>
        <v>220</v>
      </c>
      <c r="T7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7" cm="1">
        <f t="array" ref="U7">ABS(INDEX($C$4:$Q$263,ROW(A4),MATCH($T$2,$C$3:$Q$3,0))-INDEX($C$4:$Q$263,ROW(A3),MATCH($T$2,$C$3:$Q$3,0)))</f>
        <v>30</v>
      </c>
      <c r="V7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7">
        <f t="shared" si="0"/>
        <v>40.813595610865789</v>
      </c>
      <c r="X7">
        <f t="shared" si="1"/>
        <v>108.80449618627055</v>
      </c>
      <c r="Y7">
        <f t="shared" si="2"/>
        <v>149.61809179713634</v>
      </c>
      <c r="Z7">
        <f t="shared" si="3"/>
        <v>190.43168740800212</v>
      </c>
      <c r="AA7">
        <f t="shared" si="4"/>
        <v>272.05887862973373</v>
      </c>
      <c r="AB7">
        <f t="shared" si="5"/>
        <v>312.8724742405995</v>
      </c>
      <c r="AC7">
        <f t="shared" si="6"/>
        <v>353.68606985146528</v>
      </c>
      <c r="AD7" t="e">
        <f t="shared" si="7"/>
        <v>#N/A</v>
      </c>
      <c r="AE7">
        <f t="shared" si="14"/>
        <v>-1</v>
      </c>
      <c r="AF7" t="e">
        <f t="shared" si="8"/>
        <v>#N/A</v>
      </c>
      <c r="AG7">
        <f t="shared" si="9"/>
        <v>-1</v>
      </c>
      <c r="AH7" t="e">
        <f t="shared" si="10"/>
        <v>#N/A</v>
      </c>
      <c r="AI7">
        <f t="shared" si="11"/>
        <v>-1</v>
      </c>
      <c r="AJ7" t="e">
        <f t="shared" si="12"/>
        <v>#N/A</v>
      </c>
      <c r="AK7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7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7">
        <f t="shared" si="13"/>
        <v>14.699999999999989</v>
      </c>
    </row>
    <row r="8" spans="1:39" x14ac:dyDescent="0.35">
      <c r="B8" s="12">
        <f>Demand!B10</f>
        <v>43645</v>
      </c>
      <c r="C8" s="7">
        <f>INDEX(Demand!$E$6:$S$265,MATCH('SPC Backing (Hide)'!$B8,Demand!$B$6:$B$265,0),MATCH('SPC Backing (Hide)'!C$3,Demand!$E$5:$S$5,0))</f>
        <v>158</v>
      </c>
      <c r="D8" s="5">
        <f>INDEX(Demand!$E$6:$S$265,MATCH('SPC Backing (Hide)'!$B8,Demand!$B$6:$B$265,0),MATCH('SPC Backing (Hide)'!D$3,Demand!$E$5:$S$5,0))</f>
        <v>0</v>
      </c>
      <c r="E8" s="5">
        <f>INDEX(Demand!$E$6:$S$265,MATCH('SPC Backing (Hide)'!$B8,Demand!$B$6:$B$265,0),MATCH('SPC Backing (Hide)'!E$3,Demand!$E$5:$S$5,0))</f>
        <v>0</v>
      </c>
      <c r="F8" s="5">
        <f>INDEX(Demand!$E$6:$S$265,MATCH('SPC Backing (Hide)'!$B8,Demand!$B$6:$B$265,0),MATCH('SPC Backing (Hide)'!F$3,Demand!$E$5:$S$5,0))</f>
        <v>0</v>
      </c>
      <c r="G8" s="5">
        <f>INDEX(Demand!$E$6:$S$265,MATCH('SPC Backing (Hide)'!$B8,Demand!$B$6:$B$265,0),MATCH('SPC Backing (Hide)'!G$3,Demand!$E$5:$S$5,0))</f>
        <v>0</v>
      </c>
      <c r="H8" s="5">
        <f>INDEX(Demand!$E$6:$S$265,MATCH('SPC Backing (Hide)'!$B8,Demand!$B$6:$B$265,0),MATCH('SPC Backing (Hide)'!H$3,Demand!$E$5:$S$5,0))</f>
        <v>0</v>
      </c>
      <c r="I8" s="5">
        <f>INDEX(Demand!$E$6:$S$265,MATCH('SPC Backing (Hide)'!$B8,Demand!$B$6:$B$265,0),MATCH('SPC Backing (Hide)'!I$3,Demand!$E$5:$S$5,0))</f>
        <v>0</v>
      </c>
      <c r="J8" s="5">
        <f>INDEX(Demand!$E$6:$S$265,MATCH('SPC Backing (Hide)'!$B8,Demand!$B$6:$B$265,0),MATCH('SPC Backing (Hide)'!J$3,Demand!$E$5:$S$5,0))</f>
        <v>0</v>
      </c>
      <c r="K8" s="5">
        <f>INDEX(Demand!$E$6:$S$265,MATCH('SPC Backing (Hide)'!$B8,Demand!$B$6:$B$265,0),MATCH('SPC Backing (Hide)'!K$3,Demand!$E$5:$S$5,0))</f>
        <v>0</v>
      </c>
      <c r="L8" s="5">
        <f>INDEX(Demand!$E$6:$S$265,MATCH('SPC Backing (Hide)'!$B8,Demand!$B$6:$B$265,0),MATCH('SPC Backing (Hide)'!L$3,Demand!$E$5:$S$5,0))</f>
        <v>0</v>
      </c>
      <c r="M8" s="5">
        <f>INDEX(Demand!$E$6:$S$265,MATCH('SPC Backing (Hide)'!$B8,Demand!$B$6:$B$265,0),MATCH('SPC Backing (Hide)'!M$3,Demand!$E$5:$S$5,0))</f>
        <v>0</v>
      </c>
      <c r="N8" s="5">
        <f>INDEX(Demand!$E$6:$S$265,MATCH('SPC Backing (Hide)'!$B8,Demand!$B$6:$B$265,0),MATCH('SPC Backing (Hide)'!N$3,Demand!$E$5:$S$5,0))</f>
        <v>0</v>
      </c>
      <c r="O8" s="5">
        <f>INDEX(Demand!$E$6:$S$265,MATCH('SPC Backing (Hide)'!$B8,Demand!$B$6:$B$265,0),MATCH('SPC Backing (Hide)'!O$3,Demand!$E$5:$S$5,0))</f>
        <v>0</v>
      </c>
      <c r="P8" s="5">
        <f>INDEX(Demand!$E$6:$S$265,MATCH('SPC Backing (Hide)'!$B8,Demand!$B$6:$B$265,0),MATCH('SPC Backing (Hide)'!P$3,Demand!$E$5:$S$5,0))</f>
        <v>0</v>
      </c>
      <c r="Q8" s="6">
        <f>INDEX(Demand!$E$6:$S$265,MATCH('SPC Backing (Hide)'!$B8,Demand!$B$6:$B$265,0),MATCH('SPC Backing (Hide)'!Q$3,Demand!$E$5:$S$5,0))</f>
        <v>0</v>
      </c>
      <c r="R8">
        <f>IF(SPC!$B$11="Yes",IF(ROW(A5)&gt;=Demand!$A$5-52,1,0),IF(AND(B8&gt;=SPC!$B$12,B8&lt;SPC!$B$13),1,0))</f>
        <v>0</v>
      </c>
      <c r="S8" cm="1">
        <f t="array" ref="S8">INDEX($C$4:$Q$263,ROW(A5),MATCH($T$2,$C$3:$Q$3,0))</f>
        <v>158</v>
      </c>
      <c r="T8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8" cm="1">
        <f t="array" ref="U8">ABS(INDEX($C$4:$Q$263,ROW(A5),MATCH($T$2,$C$3:$Q$3,0))-INDEX($C$4:$Q$263,ROW(A4),MATCH($T$2,$C$3:$Q$3,0)))</f>
        <v>62</v>
      </c>
      <c r="V8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8">
        <f t="shared" si="0"/>
        <v>40.813595610865789</v>
      </c>
      <c r="X8">
        <f t="shared" si="1"/>
        <v>108.80449618627055</v>
      </c>
      <c r="Y8">
        <f t="shared" si="2"/>
        <v>149.61809179713634</v>
      </c>
      <c r="Z8">
        <f t="shared" si="3"/>
        <v>190.43168740800212</v>
      </c>
      <c r="AA8">
        <f t="shared" si="4"/>
        <v>272.05887862973373</v>
      </c>
      <c r="AB8">
        <f t="shared" si="5"/>
        <v>312.8724742405995</v>
      </c>
      <c r="AC8">
        <f t="shared" si="6"/>
        <v>353.68606985146528</v>
      </c>
      <c r="AD8" t="e">
        <f t="shared" si="7"/>
        <v>#N/A</v>
      </c>
      <c r="AE8">
        <f t="shared" si="14"/>
        <v>-1</v>
      </c>
      <c r="AF8" t="e">
        <f t="shared" si="8"/>
        <v>#N/A</v>
      </c>
      <c r="AG8">
        <f t="shared" si="9"/>
        <v>-1</v>
      </c>
      <c r="AH8" t="e">
        <f t="shared" si="10"/>
        <v>#N/A</v>
      </c>
      <c r="AI8">
        <f t="shared" si="11"/>
        <v>-1</v>
      </c>
      <c r="AJ8" t="e">
        <f t="shared" si="12"/>
        <v>#N/A</v>
      </c>
      <c r="AK8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8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8">
        <f t="shared" si="13"/>
        <v>14.699999999999989</v>
      </c>
    </row>
    <row r="9" spans="1:39" x14ac:dyDescent="0.35">
      <c r="B9" s="12">
        <f>Demand!B11</f>
        <v>43652</v>
      </c>
      <c r="C9" s="7">
        <f>INDEX(Demand!$E$6:$S$265,MATCH('SPC Backing (Hide)'!$B9,Demand!$B$6:$B$265,0),MATCH('SPC Backing (Hide)'!C$3,Demand!$E$5:$S$5,0))</f>
        <v>152</v>
      </c>
      <c r="D9" s="5">
        <f>INDEX(Demand!$E$6:$S$265,MATCH('SPC Backing (Hide)'!$B9,Demand!$B$6:$B$265,0),MATCH('SPC Backing (Hide)'!D$3,Demand!$E$5:$S$5,0))</f>
        <v>0</v>
      </c>
      <c r="E9" s="5">
        <f>INDEX(Demand!$E$6:$S$265,MATCH('SPC Backing (Hide)'!$B9,Demand!$B$6:$B$265,0),MATCH('SPC Backing (Hide)'!E$3,Demand!$E$5:$S$5,0))</f>
        <v>0</v>
      </c>
      <c r="F9" s="5">
        <f>INDEX(Demand!$E$6:$S$265,MATCH('SPC Backing (Hide)'!$B9,Demand!$B$6:$B$265,0),MATCH('SPC Backing (Hide)'!F$3,Demand!$E$5:$S$5,0))</f>
        <v>0</v>
      </c>
      <c r="G9" s="5">
        <f>INDEX(Demand!$E$6:$S$265,MATCH('SPC Backing (Hide)'!$B9,Demand!$B$6:$B$265,0),MATCH('SPC Backing (Hide)'!G$3,Demand!$E$5:$S$5,0))</f>
        <v>0</v>
      </c>
      <c r="H9" s="5">
        <f>INDEX(Demand!$E$6:$S$265,MATCH('SPC Backing (Hide)'!$B9,Demand!$B$6:$B$265,0),MATCH('SPC Backing (Hide)'!H$3,Demand!$E$5:$S$5,0))</f>
        <v>0</v>
      </c>
      <c r="I9" s="5">
        <f>INDEX(Demand!$E$6:$S$265,MATCH('SPC Backing (Hide)'!$B9,Demand!$B$6:$B$265,0),MATCH('SPC Backing (Hide)'!I$3,Demand!$E$5:$S$5,0))</f>
        <v>0</v>
      </c>
      <c r="J9" s="5">
        <f>INDEX(Demand!$E$6:$S$265,MATCH('SPC Backing (Hide)'!$B9,Demand!$B$6:$B$265,0),MATCH('SPC Backing (Hide)'!J$3,Demand!$E$5:$S$5,0))</f>
        <v>0</v>
      </c>
      <c r="K9" s="5">
        <f>INDEX(Demand!$E$6:$S$265,MATCH('SPC Backing (Hide)'!$B9,Demand!$B$6:$B$265,0),MATCH('SPC Backing (Hide)'!K$3,Demand!$E$5:$S$5,0))</f>
        <v>0</v>
      </c>
      <c r="L9" s="5">
        <f>INDEX(Demand!$E$6:$S$265,MATCH('SPC Backing (Hide)'!$B9,Demand!$B$6:$B$265,0),MATCH('SPC Backing (Hide)'!L$3,Demand!$E$5:$S$5,0))</f>
        <v>0</v>
      </c>
      <c r="M9" s="5">
        <f>INDEX(Demand!$E$6:$S$265,MATCH('SPC Backing (Hide)'!$B9,Demand!$B$6:$B$265,0),MATCH('SPC Backing (Hide)'!M$3,Demand!$E$5:$S$5,0))</f>
        <v>0</v>
      </c>
      <c r="N9" s="5">
        <f>INDEX(Demand!$E$6:$S$265,MATCH('SPC Backing (Hide)'!$B9,Demand!$B$6:$B$265,0),MATCH('SPC Backing (Hide)'!N$3,Demand!$E$5:$S$5,0))</f>
        <v>0</v>
      </c>
      <c r="O9" s="5">
        <f>INDEX(Demand!$E$6:$S$265,MATCH('SPC Backing (Hide)'!$B9,Demand!$B$6:$B$265,0),MATCH('SPC Backing (Hide)'!O$3,Demand!$E$5:$S$5,0))</f>
        <v>0</v>
      </c>
      <c r="P9" s="5">
        <f>INDEX(Demand!$E$6:$S$265,MATCH('SPC Backing (Hide)'!$B9,Demand!$B$6:$B$265,0),MATCH('SPC Backing (Hide)'!P$3,Demand!$E$5:$S$5,0))</f>
        <v>0</v>
      </c>
      <c r="Q9" s="6">
        <f>INDEX(Demand!$E$6:$S$265,MATCH('SPC Backing (Hide)'!$B9,Demand!$B$6:$B$265,0),MATCH('SPC Backing (Hide)'!Q$3,Demand!$E$5:$S$5,0))</f>
        <v>0</v>
      </c>
      <c r="R9">
        <f>IF(SPC!$B$11="Yes",IF(ROW(A6)&gt;=Demand!$A$5-52,1,0),IF(AND(B9&gt;=SPC!$B$12,B9&lt;SPC!$B$13),1,0))</f>
        <v>0</v>
      </c>
      <c r="S9" cm="1">
        <f t="array" ref="S9">INDEX($C$4:$Q$263,ROW(A6),MATCH($T$2,$C$3:$Q$3,0))</f>
        <v>152</v>
      </c>
      <c r="T9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9" cm="1">
        <f t="array" ref="U9">ABS(INDEX($C$4:$Q$263,ROW(A6),MATCH($T$2,$C$3:$Q$3,0))-INDEX($C$4:$Q$263,ROW(A5),MATCH($T$2,$C$3:$Q$3,0)))</f>
        <v>6</v>
      </c>
      <c r="V9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9">
        <f t="shared" si="0"/>
        <v>40.813595610865789</v>
      </c>
      <c r="X9">
        <f t="shared" si="1"/>
        <v>108.80449618627055</v>
      </c>
      <c r="Y9">
        <f t="shared" si="2"/>
        <v>149.61809179713634</v>
      </c>
      <c r="Z9">
        <f t="shared" si="3"/>
        <v>190.43168740800212</v>
      </c>
      <c r="AA9">
        <f t="shared" si="4"/>
        <v>272.05887862973373</v>
      </c>
      <c r="AB9">
        <f t="shared" si="5"/>
        <v>312.8724742405995</v>
      </c>
      <c r="AC9">
        <f t="shared" si="6"/>
        <v>353.68606985146528</v>
      </c>
      <c r="AD9" t="e">
        <f t="shared" si="7"/>
        <v>#N/A</v>
      </c>
      <c r="AE9">
        <f t="shared" si="14"/>
        <v>-1</v>
      </c>
      <c r="AF9" t="e">
        <f t="shared" si="8"/>
        <v>#N/A</v>
      </c>
      <c r="AG9">
        <f t="shared" si="9"/>
        <v>1</v>
      </c>
      <c r="AH9" t="e">
        <f t="shared" si="10"/>
        <v>#N/A</v>
      </c>
      <c r="AI9">
        <f t="shared" si="11"/>
        <v>-1</v>
      </c>
      <c r="AJ9" t="e">
        <f t="shared" si="12"/>
        <v>#N/A</v>
      </c>
      <c r="AK9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9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9">
        <f t="shared" si="13"/>
        <v>14.699999999999989</v>
      </c>
    </row>
    <row r="10" spans="1:39" x14ac:dyDescent="0.35">
      <c r="B10" s="12">
        <f>Demand!B12</f>
        <v>43659</v>
      </c>
      <c r="C10" s="7">
        <f>INDEX(Demand!$E$6:$S$265,MATCH('SPC Backing (Hide)'!$B10,Demand!$B$6:$B$265,0),MATCH('SPC Backing (Hide)'!C$3,Demand!$E$5:$S$5,0))</f>
        <v>204</v>
      </c>
      <c r="D10" s="5">
        <f>INDEX(Demand!$E$6:$S$265,MATCH('SPC Backing (Hide)'!$B10,Demand!$B$6:$B$265,0),MATCH('SPC Backing (Hide)'!D$3,Demand!$E$5:$S$5,0))</f>
        <v>0</v>
      </c>
      <c r="E10" s="5">
        <f>INDEX(Demand!$E$6:$S$265,MATCH('SPC Backing (Hide)'!$B10,Demand!$B$6:$B$265,0),MATCH('SPC Backing (Hide)'!E$3,Demand!$E$5:$S$5,0))</f>
        <v>0</v>
      </c>
      <c r="F10" s="5">
        <f>INDEX(Demand!$E$6:$S$265,MATCH('SPC Backing (Hide)'!$B10,Demand!$B$6:$B$265,0),MATCH('SPC Backing (Hide)'!F$3,Demand!$E$5:$S$5,0))</f>
        <v>0</v>
      </c>
      <c r="G10" s="5">
        <f>INDEX(Demand!$E$6:$S$265,MATCH('SPC Backing (Hide)'!$B10,Demand!$B$6:$B$265,0),MATCH('SPC Backing (Hide)'!G$3,Demand!$E$5:$S$5,0))</f>
        <v>0</v>
      </c>
      <c r="H10" s="5">
        <f>INDEX(Demand!$E$6:$S$265,MATCH('SPC Backing (Hide)'!$B10,Demand!$B$6:$B$265,0),MATCH('SPC Backing (Hide)'!H$3,Demand!$E$5:$S$5,0))</f>
        <v>0</v>
      </c>
      <c r="I10" s="5">
        <f>INDEX(Demand!$E$6:$S$265,MATCH('SPC Backing (Hide)'!$B10,Demand!$B$6:$B$265,0),MATCH('SPC Backing (Hide)'!I$3,Demand!$E$5:$S$5,0))</f>
        <v>0</v>
      </c>
      <c r="J10" s="5">
        <f>INDEX(Demand!$E$6:$S$265,MATCH('SPC Backing (Hide)'!$B10,Demand!$B$6:$B$265,0),MATCH('SPC Backing (Hide)'!J$3,Demand!$E$5:$S$5,0))</f>
        <v>0</v>
      </c>
      <c r="K10" s="5">
        <f>INDEX(Demand!$E$6:$S$265,MATCH('SPC Backing (Hide)'!$B10,Demand!$B$6:$B$265,0),MATCH('SPC Backing (Hide)'!K$3,Demand!$E$5:$S$5,0))</f>
        <v>0</v>
      </c>
      <c r="L10" s="5">
        <f>INDEX(Demand!$E$6:$S$265,MATCH('SPC Backing (Hide)'!$B10,Demand!$B$6:$B$265,0),MATCH('SPC Backing (Hide)'!L$3,Demand!$E$5:$S$5,0))</f>
        <v>0</v>
      </c>
      <c r="M10" s="5">
        <f>INDEX(Demand!$E$6:$S$265,MATCH('SPC Backing (Hide)'!$B10,Demand!$B$6:$B$265,0),MATCH('SPC Backing (Hide)'!M$3,Demand!$E$5:$S$5,0))</f>
        <v>0</v>
      </c>
      <c r="N10" s="5">
        <f>INDEX(Demand!$E$6:$S$265,MATCH('SPC Backing (Hide)'!$B10,Demand!$B$6:$B$265,0),MATCH('SPC Backing (Hide)'!N$3,Demand!$E$5:$S$5,0))</f>
        <v>0</v>
      </c>
      <c r="O10" s="5">
        <f>INDEX(Demand!$E$6:$S$265,MATCH('SPC Backing (Hide)'!$B10,Demand!$B$6:$B$265,0),MATCH('SPC Backing (Hide)'!O$3,Demand!$E$5:$S$5,0))</f>
        <v>0</v>
      </c>
      <c r="P10" s="5">
        <f>INDEX(Demand!$E$6:$S$265,MATCH('SPC Backing (Hide)'!$B10,Demand!$B$6:$B$265,0),MATCH('SPC Backing (Hide)'!P$3,Demand!$E$5:$S$5,0))</f>
        <v>0</v>
      </c>
      <c r="Q10" s="6">
        <f>INDEX(Demand!$E$6:$S$265,MATCH('SPC Backing (Hide)'!$B10,Demand!$B$6:$B$265,0),MATCH('SPC Backing (Hide)'!Q$3,Demand!$E$5:$S$5,0))</f>
        <v>0</v>
      </c>
      <c r="R10">
        <f>IF(SPC!$B$11="Yes",IF(ROW(A7)&gt;=Demand!$A$5-52,1,0),IF(AND(B10&gt;=SPC!$B$12,B10&lt;SPC!$B$13),1,0))</f>
        <v>0</v>
      </c>
      <c r="S10" cm="1">
        <f t="array" ref="S10">INDEX($C$4:$Q$263,ROW(A7),MATCH($T$2,$C$3:$Q$3,0))</f>
        <v>204</v>
      </c>
      <c r="T10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0" cm="1">
        <f t="array" ref="U10">ABS(INDEX($C$4:$Q$263,ROW(A7),MATCH($T$2,$C$3:$Q$3,0))-INDEX($C$4:$Q$263,ROW(A6),MATCH($T$2,$C$3:$Q$3,0)))</f>
        <v>52</v>
      </c>
      <c r="V10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0">
        <f t="shared" si="0"/>
        <v>40.813595610865789</v>
      </c>
      <c r="X10">
        <f t="shared" si="1"/>
        <v>108.80449618627055</v>
      </c>
      <c r="Y10">
        <f t="shared" si="2"/>
        <v>149.61809179713634</v>
      </c>
      <c r="Z10">
        <f t="shared" si="3"/>
        <v>190.43168740800212</v>
      </c>
      <c r="AA10">
        <f t="shared" si="4"/>
        <v>272.05887862973373</v>
      </c>
      <c r="AB10">
        <f t="shared" si="5"/>
        <v>312.8724742405995</v>
      </c>
      <c r="AC10">
        <f t="shared" si="6"/>
        <v>353.68606985146528</v>
      </c>
      <c r="AD10" t="e">
        <f t="shared" si="7"/>
        <v>#N/A</v>
      </c>
      <c r="AE10">
        <f t="shared" si="14"/>
        <v>-1</v>
      </c>
      <c r="AF10" t="e">
        <f t="shared" si="8"/>
        <v>#N/A</v>
      </c>
      <c r="AG10">
        <f t="shared" si="9"/>
        <v>1</v>
      </c>
      <c r="AH10" t="e">
        <f t="shared" si="10"/>
        <v>#N/A</v>
      </c>
      <c r="AI10">
        <f t="shared" si="11"/>
        <v>-1</v>
      </c>
      <c r="AJ10" t="e">
        <f t="shared" si="12"/>
        <v>#N/A</v>
      </c>
      <c r="AK10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0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0">
        <f t="shared" si="13"/>
        <v>14.699999999999989</v>
      </c>
    </row>
    <row r="11" spans="1:39" x14ac:dyDescent="0.35">
      <c r="B11" s="12">
        <f>Demand!B13</f>
        <v>43666</v>
      </c>
      <c r="C11" s="7">
        <f>INDEX(Demand!$E$6:$S$265,MATCH('SPC Backing (Hide)'!$B11,Demand!$B$6:$B$265,0),MATCH('SPC Backing (Hide)'!C$3,Demand!$E$5:$S$5,0))</f>
        <v>228</v>
      </c>
      <c r="D11" s="5">
        <f>INDEX(Demand!$E$6:$S$265,MATCH('SPC Backing (Hide)'!$B11,Demand!$B$6:$B$265,0),MATCH('SPC Backing (Hide)'!D$3,Demand!$E$5:$S$5,0))</f>
        <v>0</v>
      </c>
      <c r="E11" s="5">
        <f>INDEX(Demand!$E$6:$S$265,MATCH('SPC Backing (Hide)'!$B11,Demand!$B$6:$B$265,0),MATCH('SPC Backing (Hide)'!E$3,Demand!$E$5:$S$5,0))</f>
        <v>0</v>
      </c>
      <c r="F11" s="5">
        <f>INDEX(Demand!$E$6:$S$265,MATCH('SPC Backing (Hide)'!$B11,Demand!$B$6:$B$265,0),MATCH('SPC Backing (Hide)'!F$3,Demand!$E$5:$S$5,0))</f>
        <v>0</v>
      </c>
      <c r="G11" s="5">
        <f>INDEX(Demand!$E$6:$S$265,MATCH('SPC Backing (Hide)'!$B11,Demand!$B$6:$B$265,0),MATCH('SPC Backing (Hide)'!G$3,Demand!$E$5:$S$5,0))</f>
        <v>0</v>
      </c>
      <c r="H11" s="5">
        <f>INDEX(Demand!$E$6:$S$265,MATCH('SPC Backing (Hide)'!$B11,Demand!$B$6:$B$265,0),MATCH('SPC Backing (Hide)'!H$3,Demand!$E$5:$S$5,0))</f>
        <v>0</v>
      </c>
      <c r="I11" s="5">
        <f>INDEX(Demand!$E$6:$S$265,MATCH('SPC Backing (Hide)'!$B11,Demand!$B$6:$B$265,0),MATCH('SPC Backing (Hide)'!I$3,Demand!$E$5:$S$5,0))</f>
        <v>0</v>
      </c>
      <c r="J11" s="5">
        <f>INDEX(Demand!$E$6:$S$265,MATCH('SPC Backing (Hide)'!$B11,Demand!$B$6:$B$265,0),MATCH('SPC Backing (Hide)'!J$3,Demand!$E$5:$S$5,0))</f>
        <v>0</v>
      </c>
      <c r="K11" s="5">
        <f>INDEX(Demand!$E$6:$S$265,MATCH('SPC Backing (Hide)'!$B11,Demand!$B$6:$B$265,0),MATCH('SPC Backing (Hide)'!K$3,Demand!$E$5:$S$5,0))</f>
        <v>0</v>
      </c>
      <c r="L11" s="5">
        <f>INDEX(Demand!$E$6:$S$265,MATCH('SPC Backing (Hide)'!$B11,Demand!$B$6:$B$265,0),MATCH('SPC Backing (Hide)'!L$3,Demand!$E$5:$S$5,0))</f>
        <v>0</v>
      </c>
      <c r="M11" s="5">
        <f>INDEX(Demand!$E$6:$S$265,MATCH('SPC Backing (Hide)'!$B11,Demand!$B$6:$B$265,0),MATCH('SPC Backing (Hide)'!M$3,Demand!$E$5:$S$5,0))</f>
        <v>0</v>
      </c>
      <c r="N11" s="5">
        <f>INDEX(Demand!$E$6:$S$265,MATCH('SPC Backing (Hide)'!$B11,Demand!$B$6:$B$265,0),MATCH('SPC Backing (Hide)'!N$3,Demand!$E$5:$S$5,0))</f>
        <v>0</v>
      </c>
      <c r="O11" s="5">
        <f>INDEX(Demand!$E$6:$S$265,MATCH('SPC Backing (Hide)'!$B11,Demand!$B$6:$B$265,0),MATCH('SPC Backing (Hide)'!O$3,Demand!$E$5:$S$5,0))</f>
        <v>0</v>
      </c>
      <c r="P11" s="5">
        <f>INDEX(Demand!$E$6:$S$265,MATCH('SPC Backing (Hide)'!$B11,Demand!$B$6:$B$265,0),MATCH('SPC Backing (Hide)'!P$3,Demand!$E$5:$S$5,0))</f>
        <v>0</v>
      </c>
      <c r="Q11" s="6">
        <f>INDEX(Demand!$E$6:$S$265,MATCH('SPC Backing (Hide)'!$B11,Demand!$B$6:$B$265,0),MATCH('SPC Backing (Hide)'!Q$3,Demand!$E$5:$S$5,0))</f>
        <v>0</v>
      </c>
      <c r="R11">
        <f>IF(SPC!$B$11="Yes",IF(ROW(A8)&gt;=Demand!$A$5-52,1,0),IF(AND(B11&gt;=SPC!$B$12,B11&lt;SPC!$B$13),1,0))</f>
        <v>0</v>
      </c>
      <c r="S11" cm="1">
        <f t="array" ref="S11">INDEX($C$4:$Q$263,ROW(A8),MATCH($T$2,$C$3:$Q$3,0))</f>
        <v>228</v>
      </c>
      <c r="T11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1" cm="1">
        <f t="array" ref="U11">ABS(INDEX($C$4:$Q$263,ROW(A8),MATCH($T$2,$C$3:$Q$3,0))-INDEX($C$4:$Q$263,ROW(A7),MATCH($T$2,$C$3:$Q$3,0)))</f>
        <v>24</v>
      </c>
      <c r="V11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1">
        <f t="shared" si="0"/>
        <v>40.813595610865789</v>
      </c>
      <c r="X11">
        <f t="shared" si="1"/>
        <v>108.80449618627055</v>
      </c>
      <c r="Y11">
        <f t="shared" si="2"/>
        <v>149.61809179713634</v>
      </c>
      <c r="Z11">
        <f t="shared" si="3"/>
        <v>190.43168740800212</v>
      </c>
      <c r="AA11">
        <f t="shared" si="4"/>
        <v>272.05887862973373</v>
      </c>
      <c r="AB11">
        <f t="shared" si="5"/>
        <v>312.8724742405995</v>
      </c>
      <c r="AC11">
        <f t="shared" si="6"/>
        <v>353.68606985146528</v>
      </c>
      <c r="AD11" t="e">
        <f t="shared" si="7"/>
        <v>#N/A</v>
      </c>
      <c r="AE11">
        <f t="shared" si="14"/>
        <v>-1</v>
      </c>
      <c r="AF11" t="e">
        <f t="shared" si="8"/>
        <v>#N/A</v>
      </c>
      <c r="AG11">
        <f t="shared" si="9"/>
        <v>1</v>
      </c>
      <c r="AH11" t="e">
        <f t="shared" si="10"/>
        <v>#N/A</v>
      </c>
      <c r="AI11">
        <f t="shared" si="11"/>
        <v>-1</v>
      </c>
      <c r="AJ11" t="e">
        <f t="shared" si="12"/>
        <v>#N/A</v>
      </c>
      <c r="AK11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1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1">
        <f t="shared" si="13"/>
        <v>14.699999999999989</v>
      </c>
    </row>
    <row r="12" spans="1:39" x14ac:dyDescent="0.35">
      <c r="B12" s="12">
        <f>Demand!B14</f>
        <v>43673</v>
      </c>
      <c r="C12" s="7">
        <f>INDEX(Demand!$E$6:$S$265,MATCH('SPC Backing (Hide)'!$B12,Demand!$B$6:$B$265,0),MATCH('SPC Backing (Hide)'!C$3,Demand!$E$5:$S$5,0))</f>
        <v>252</v>
      </c>
      <c r="D12" s="5">
        <f>INDEX(Demand!$E$6:$S$265,MATCH('SPC Backing (Hide)'!$B12,Demand!$B$6:$B$265,0),MATCH('SPC Backing (Hide)'!D$3,Demand!$E$5:$S$5,0))</f>
        <v>0</v>
      </c>
      <c r="E12" s="5">
        <f>INDEX(Demand!$E$6:$S$265,MATCH('SPC Backing (Hide)'!$B12,Demand!$B$6:$B$265,0),MATCH('SPC Backing (Hide)'!E$3,Demand!$E$5:$S$5,0))</f>
        <v>0</v>
      </c>
      <c r="F12" s="5">
        <f>INDEX(Demand!$E$6:$S$265,MATCH('SPC Backing (Hide)'!$B12,Demand!$B$6:$B$265,0),MATCH('SPC Backing (Hide)'!F$3,Demand!$E$5:$S$5,0))</f>
        <v>0</v>
      </c>
      <c r="G12" s="5">
        <f>INDEX(Demand!$E$6:$S$265,MATCH('SPC Backing (Hide)'!$B12,Demand!$B$6:$B$265,0),MATCH('SPC Backing (Hide)'!G$3,Demand!$E$5:$S$5,0))</f>
        <v>0</v>
      </c>
      <c r="H12" s="5">
        <f>INDEX(Demand!$E$6:$S$265,MATCH('SPC Backing (Hide)'!$B12,Demand!$B$6:$B$265,0),MATCH('SPC Backing (Hide)'!H$3,Demand!$E$5:$S$5,0))</f>
        <v>0</v>
      </c>
      <c r="I12" s="5">
        <f>INDEX(Demand!$E$6:$S$265,MATCH('SPC Backing (Hide)'!$B12,Demand!$B$6:$B$265,0),MATCH('SPC Backing (Hide)'!I$3,Demand!$E$5:$S$5,0))</f>
        <v>0</v>
      </c>
      <c r="J12" s="5">
        <f>INDEX(Demand!$E$6:$S$265,MATCH('SPC Backing (Hide)'!$B12,Demand!$B$6:$B$265,0),MATCH('SPC Backing (Hide)'!J$3,Demand!$E$5:$S$5,0))</f>
        <v>0</v>
      </c>
      <c r="K12" s="5">
        <f>INDEX(Demand!$E$6:$S$265,MATCH('SPC Backing (Hide)'!$B12,Demand!$B$6:$B$265,0),MATCH('SPC Backing (Hide)'!K$3,Demand!$E$5:$S$5,0))</f>
        <v>0</v>
      </c>
      <c r="L12" s="5">
        <f>INDEX(Demand!$E$6:$S$265,MATCH('SPC Backing (Hide)'!$B12,Demand!$B$6:$B$265,0),MATCH('SPC Backing (Hide)'!L$3,Demand!$E$5:$S$5,0))</f>
        <v>0</v>
      </c>
      <c r="M12" s="5">
        <f>INDEX(Demand!$E$6:$S$265,MATCH('SPC Backing (Hide)'!$B12,Demand!$B$6:$B$265,0),MATCH('SPC Backing (Hide)'!M$3,Demand!$E$5:$S$5,0))</f>
        <v>0</v>
      </c>
      <c r="N12" s="5">
        <f>INDEX(Demand!$E$6:$S$265,MATCH('SPC Backing (Hide)'!$B12,Demand!$B$6:$B$265,0),MATCH('SPC Backing (Hide)'!N$3,Demand!$E$5:$S$5,0))</f>
        <v>0</v>
      </c>
      <c r="O12" s="5">
        <f>INDEX(Demand!$E$6:$S$265,MATCH('SPC Backing (Hide)'!$B12,Demand!$B$6:$B$265,0),MATCH('SPC Backing (Hide)'!O$3,Demand!$E$5:$S$5,0))</f>
        <v>0</v>
      </c>
      <c r="P12" s="5">
        <f>INDEX(Demand!$E$6:$S$265,MATCH('SPC Backing (Hide)'!$B12,Demand!$B$6:$B$265,0),MATCH('SPC Backing (Hide)'!P$3,Demand!$E$5:$S$5,0))</f>
        <v>0</v>
      </c>
      <c r="Q12" s="6">
        <f>INDEX(Demand!$E$6:$S$265,MATCH('SPC Backing (Hide)'!$B12,Demand!$B$6:$B$265,0),MATCH('SPC Backing (Hide)'!Q$3,Demand!$E$5:$S$5,0))</f>
        <v>0</v>
      </c>
      <c r="R12">
        <f>IF(SPC!$B$11="Yes",IF(ROW(A9)&gt;=Demand!$A$5-52,1,0),IF(AND(B12&gt;=SPC!$B$12,B12&lt;SPC!$B$13),1,0))</f>
        <v>0</v>
      </c>
      <c r="S12" cm="1">
        <f t="array" ref="S12">INDEX($C$4:$Q$263,ROW(A9),MATCH($T$2,$C$3:$Q$3,0))</f>
        <v>252</v>
      </c>
      <c r="T12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2" cm="1">
        <f t="array" ref="U12">ABS(INDEX($C$4:$Q$263,ROW(A9),MATCH($T$2,$C$3:$Q$3,0))-INDEX($C$4:$Q$263,ROW(A8),MATCH($T$2,$C$3:$Q$3,0)))</f>
        <v>24</v>
      </c>
      <c r="V12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2">
        <f t="shared" si="0"/>
        <v>40.813595610865789</v>
      </c>
      <c r="X12">
        <f t="shared" si="1"/>
        <v>108.80449618627055</v>
      </c>
      <c r="Y12">
        <f t="shared" si="2"/>
        <v>149.61809179713634</v>
      </c>
      <c r="Z12">
        <f t="shared" si="3"/>
        <v>190.43168740800212</v>
      </c>
      <c r="AA12">
        <f t="shared" si="4"/>
        <v>272.05887862973373</v>
      </c>
      <c r="AB12">
        <f t="shared" si="5"/>
        <v>312.8724742405995</v>
      </c>
      <c r="AC12">
        <f t="shared" si="6"/>
        <v>353.68606985146528</v>
      </c>
      <c r="AD12" t="e">
        <f t="shared" si="7"/>
        <v>#N/A</v>
      </c>
      <c r="AE12">
        <f t="shared" si="14"/>
        <v>1</v>
      </c>
      <c r="AF12" t="e">
        <f t="shared" si="8"/>
        <v>#N/A</v>
      </c>
      <c r="AG12">
        <f t="shared" si="9"/>
        <v>-1</v>
      </c>
      <c r="AH12" t="e">
        <f t="shared" si="10"/>
        <v>#N/A</v>
      </c>
      <c r="AI12">
        <f t="shared" si="11"/>
        <v>1</v>
      </c>
      <c r="AJ12" t="e">
        <f t="shared" si="12"/>
        <v>#N/A</v>
      </c>
      <c r="AK12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2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2">
        <f t="shared" si="13"/>
        <v>14.699999999999989</v>
      </c>
    </row>
    <row r="13" spans="1:39" x14ac:dyDescent="0.35">
      <c r="B13" s="12">
        <f>Demand!B15</f>
        <v>43680</v>
      </c>
      <c r="C13" s="7">
        <f>INDEX(Demand!$E$6:$S$265,MATCH('SPC Backing (Hide)'!$B13,Demand!$B$6:$B$265,0),MATCH('SPC Backing (Hide)'!C$3,Demand!$E$5:$S$5,0))</f>
        <v>246</v>
      </c>
      <c r="D13" s="5">
        <f>INDEX(Demand!$E$6:$S$265,MATCH('SPC Backing (Hide)'!$B13,Demand!$B$6:$B$265,0),MATCH('SPC Backing (Hide)'!D$3,Demand!$E$5:$S$5,0))</f>
        <v>0</v>
      </c>
      <c r="E13" s="5">
        <f>INDEX(Demand!$E$6:$S$265,MATCH('SPC Backing (Hide)'!$B13,Demand!$B$6:$B$265,0),MATCH('SPC Backing (Hide)'!E$3,Demand!$E$5:$S$5,0))</f>
        <v>0</v>
      </c>
      <c r="F13" s="5">
        <f>INDEX(Demand!$E$6:$S$265,MATCH('SPC Backing (Hide)'!$B13,Demand!$B$6:$B$265,0),MATCH('SPC Backing (Hide)'!F$3,Demand!$E$5:$S$5,0))</f>
        <v>0</v>
      </c>
      <c r="G13" s="5">
        <f>INDEX(Demand!$E$6:$S$265,MATCH('SPC Backing (Hide)'!$B13,Demand!$B$6:$B$265,0),MATCH('SPC Backing (Hide)'!G$3,Demand!$E$5:$S$5,0))</f>
        <v>0</v>
      </c>
      <c r="H13" s="5">
        <f>INDEX(Demand!$E$6:$S$265,MATCH('SPC Backing (Hide)'!$B13,Demand!$B$6:$B$265,0),MATCH('SPC Backing (Hide)'!H$3,Demand!$E$5:$S$5,0))</f>
        <v>0</v>
      </c>
      <c r="I13" s="5">
        <f>INDEX(Demand!$E$6:$S$265,MATCH('SPC Backing (Hide)'!$B13,Demand!$B$6:$B$265,0),MATCH('SPC Backing (Hide)'!I$3,Demand!$E$5:$S$5,0))</f>
        <v>0</v>
      </c>
      <c r="J13" s="5">
        <f>INDEX(Demand!$E$6:$S$265,MATCH('SPC Backing (Hide)'!$B13,Demand!$B$6:$B$265,0),MATCH('SPC Backing (Hide)'!J$3,Demand!$E$5:$S$5,0))</f>
        <v>0</v>
      </c>
      <c r="K13" s="5">
        <f>INDEX(Demand!$E$6:$S$265,MATCH('SPC Backing (Hide)'!$B13,Demand!$B$6:$B$265,0),MATCH('SPC Backing (Hide)'!K$3,Demand!$E$5:$S$5,0))</f>
        <v>0</v>
      </c>
      <c r="L13" s="5">
        <f>INDEX(Demand!$E$6:$S$265,MATCH('SPC Backing (Hide)'!$B13,Demand!$B$6:$B$265,0),MATCH('SPC Backing (Hide)'!L$3,Demand!$E$5:$S$5,0))</f>
        <v>0</v>
      </c>
      <c r="M13" s="5">
        <f>INDEX(Demand!$E$6:$S$265,MATCH('SPC Backing (Hide)'!$B13,Demand!$B$6:$B$265,0),MATCH('SPC Backing (Hide)'!M$3,Demand!$E$5:$S$5,0))</f>
        <v>0</v>
      </c>
      <c r="N13" s="5">
        <f>INDEX(Demand!$E$6:$S$265,MATCH('SPC Backing (Hide)'!$B13,Demand!$B$6:$B$265,0),MATCH('SPC Backing (Hide)'!N$3,Demand!$E$5:$S$5,0))</f>
        <v>0</v>
      </c>
      <c r="O13" s="5">
        <f>INDEX(Demand!$E$6:$S$265,MATCH('SPC Backing (Hide)'!$B13,Demand!$B$6:$B$265,0),MATCH('SPC Backing (Hide)'!O$3,Demand!$E$5:$S$5,0))</f>
        <v>0</v>
      </c>
      <c r="P13" s="5">
        <f>INDEX(Demand!$E$6:$S$265,MATCH('SPC Backing (Hide)'!$B13,Demand!$B$6:$B$265,0),MATCH('SPC Backing (Hide)'!P$3,Demand!$E$5:$S$5,0))</f>
        <v>0</v>
      </c>
      <c r="Q13" s="6">
        <f>INDEX(Demand!$E$6:$S$265,MATCH('SPC Backing (Hide)'!$B13,Demand!$B$6:$B$265,0),MATCH('SPC Backing (Hide)'!Q$3,Demand!$E$5:$S$5,0))</f>
        <v>0</v>
      </c>
      <c r="R13">
        <f>IF(SPC!$B$11="Yes",IF(ROW(A10)&gt;=Demand!$A$5-52,1,0),IF(AND(B13&gt;=SPC!$B$12,B13&lt;SPC!$B$13),1,0))</f>
        <v>0</v>
      </c>
      <c r="S13" cm="1">
        <f t="array" ref="S13">INDEX($C$4:$Q$263,ROW(A10),MATCH($T$2,$C$3:$Q$3,0))</f>
        <v>246</v>
      </c>
      <c r="T13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3" cm="1">
        <f t="array" ref="U13">ABS(INDEX($C$4:$Q$263,ROW(A10),MATCH($T$2,$C$3:$Q$3,0))-INDEX($C$4:$Q$263,ROW(A9),MATCH($T$2,$C$3:$Q$3,0)))</f>
        <v>6</v>
      </c>
      <c r="V13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3">
        <f t="shared" si="0"/>
        <v>40.813595610865789</v>
      </c>
      <c r="X13">
        <f t="shared" si="1"/>
        <v>108.80449618627055</v>
      </c>
      <c r="Y13">
        <f t="shared" si="2"/>
        <v>149.61809179713634</v>
      </c>
      <c r="Z13">
        <f t="shared" si="3"/>
        <v>190.43168740800212</v>
      </c>
      <c r="AA13">
        <f t="shared" si="4"/>
        <v>272.05887862973373</v>
      </c>
      <c r="AB13">
        <f t="shared" si="5"/>
        <v>312.8724742405995</v>
      </c>
      <c r="AC13">
        <f t="shared" si="6"/>
        <v>353.68606985146528</v>
      </c>
      <c r="AD13" t="e">
        <f t="shared" si="7"/>
        <v>#N/A</v>
      </c>
      <c r="AE13">
        <f t="shared" si="14"/>
        <v>1</v>
      </c>
      <c r="AF13" t="e">
        <f t="shared" si="8"/>
        <v>#N/A</v>
      </c>
      <c r="AG13">
        <f t="shared" si="9"/>
        <v>1</v>
      </c>
      <c r="AH13" t="e">
        <f t="shared" si="10"/>
        <v>#N/A</v>
      </c>
      <c r="AI13">
        <f t="shared" si="11"/>
        <v>1</v>
      </c>
      <c r="AJ13" t="e">
        <f t="shared" si="12"/>
        <v>#N/A</v>
      </c>
      <c r="AK13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3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3">
        <f t="shared" si="13"/>
        <v>14.699999999999989</v>
      </c>
    </row>
    <row r="14" spans="1:39" x14ac:dyDescent="0.35">
      <c r="B14" s="12">
        <f>Demand!B16</f>
        <v>43687</v>
      </c>
      <c r="C14" s="7">
        <f>INDEX(Demand!$E$6:$S$265,MATCH('SPC Backing (Hide)'!$B14,Demand!$B$6:$B$265,0),MATCH('SPC Backing (Hide)'!C$3,Demand!$E$5:$S$5,0))</f>
        <v>256</v>
      </c>
      <c r="D14" s="5">
        <f>INDEX(Demand!$E$6:$S$265,MATCH('SPC Backing (Hide)'!$B14,Demand!$B$6:$B$265,0),MATCH('SPC Backing (Hide)'!D$3,Demand!$E$5:$S$5,0))</f>
        <v>0</v>
      </c>
      <c r="E14" s="5">
        <f>INDEX(Demand!$E$6:$S$265,MATCH('SPC Backing (Hide)'!$B14,Demand!$B$6:$B$265,0),MATCH('SPC Backing (Hide)'!E$3,Demand!$E$5:$S$5,0))</f>
        <v>0</v>
      </c>
      <c r="F14" s="5">
        <f>INDEX(Demand!$E$6:$S$265,MATCH('SPC Backing (Hide)'!$B14,Demand!$B$6:$B$265,0),MATCH('SPC Backing (Hide)'!F$3,Demand!$E$5:$S$5,0))</f>
        <v>0</v>
      </c>
      <c r="G14" s="5">
        <f>INDEX(Demand!$E$6:$S$265,MATCH('SPC Backing (Hide)'!$B14,Demand!$B$6:$B$265,0),MATCH('SPC Backing (Hide)'!G$3,Demand!$E$5:$S$5,0))</f>
        <v>0</v>
      </c>
      <c r="H14" s="5">
        <f>INDEX(Demand!$E$6:$S$265,MATCH('SPC Backing (Hide)'!$B14,Demand!$B$6:$B$265,0),MATCH('SPC Backing (Hide)'!H$3,Demand!$E$5:$S$5,0))</f>
        <v>0</v>
      </c>
      <c r="I14" s="5">
        <f>INDEX(Demand!$E$6:$S$265,MATCH('SPC Backing (Hide)'!$B14,Demand!$B$6:$B$265,0),MATCH('SPC Backing (Hide)'!I$3,Demand!$E$5:$S$5,0))</f>
        <v>0</v>
      </c>
      <c r="J14" s="5">
        <f>INDEX(Demand!$E$6:$S$265,MATCH('SPC Backing (Hide)'!$B14,Demand!$B$6:$B$265,0),MATCH('SPC Backing (Hide)'!J$3,Demand!$E$5:$S$5,0))</f>
        <v>0</v>
      </c>
      <c r="K14" s="5">
        <f>INDEX(Demand!$E$6:$S$265,MATCH('SPC Backing (Hide)'!$B14,Demand!$B$6:$B$265,0),MATCH('SPC Backing (Hide)'!K$3,Demand!$E$5:$S$5,0))</f>
        <v>0</v>
      </c>
      <c r="L14" s="5">
        <f>INDEX(Demand!$E$6:$S$265,MATCH('SPC Backing (Hide)'!$B14,Demand!$B$6:$B$265,0),MATCH('SPC Backing (Hide)'!L$3,Demand!$E$5:$S$5,0))</f>
        <v>0</v>
      </c>
      <c r="M14" s="5">
        <f>INDEX(Demand!$E$6:$S$265,MATCH('SPC Backing (Hide)'!$B14,Demand!$B$6:$B$265,0),MATCH('SPC Backing (Hide)'!M$3,Demand!$E$5:$S$5,0))</f>
        <v>0</v>
      </c>
      <c r="N14" s="5">
        <f>INDEX(Demand!$E$6:$S$265,MATCH('SPC Backing (Hide)'!$B14,Demand!$B$6:$B$265,0),MATCH('SPC Backing (Hide)'!N$3,Demand!$E$5:$S$5,0))</f>
        <v>0</v>
      </c>
      <c r="O14" s="5">
        <f>INDEX(Demand!$E$6:$S$265,MATCH('SPC Backing (Hide)'!$B14,Demand!$B$6:$B$265,0),MATCH('SPC Backing (Hide)'!O$3,Demand!$E$5:$S$5,0))</f>
        <v>0</v>
      </c>
      <c r="P14" s="5">
        <f>INDEX(Demand!$E$6:$S$265,MATCH('SPC Backing (Hide)'!$B14,Demand!$B$6:$B$265,0),MATCH('SPC Backing (Hide)'!P$3,Demand!$E$5:$S$5,0))</f>
        <v>0</v>
      </c>
      <c r="Q14" s="6">
        <f>INDEX(Demand!$E$6:$S$265,MATCH('SPC Backing (Hide)'!$B14,Demand!$B$6:$B$265,0),MATCH('SPC Backing (Hide)'!Q$3,Demand!$E$5:$S$5,0))</f>
        <v>0</v>
      </c>
      <c r="R14">
        <f>IF(SPC!$B$11="Yes",IF(ROW(A11)&gt;=Demand!$A$5-52,1,0),IF(AND(B14&gt;=SPC!$B$12,B14&lt;SPC!$B$13),1,0))</f>
        <v>0</v>
      </c>
      <c r="S14" cm="1">
        <f t="array" ref="S14">INDEX($C$4:$Q$263,ROW(A11),MATCH($T$2,$C$3:$Q$3,0))</f>
        <v>256</v>
      </c>
      <c r="T14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4" cm="1">
        <f t="array" ref="U14">ABS(INDEX($C$4:$Q$263,ROW(A11),MATCH($T$2,$C$3:$Q$3,0))-INDEX($C$4:$Q$263,ROW(A10),MATCH($T$2,$C$3:$Q$3,0)))</f>
        <v>10</v>
      </c>
      <c r="V14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4">
        <f t="shared" si="0"/>
        <v>40.813595610865789</v>
      </c>
      <c r="X14">
        <f t="shared" si="1"/>
        <v>108.80449618627055</v>
      </c>
      <c r="Y14">
        <f t="shared" si="2"/>
        <v>149.61809179713634</v>
      </c>
      <c r="Z14">
        <f t="shared" si="3"/>
        <v>190.43168740800212</v>
      </c>
      <c r="AA14">
        <f t="shared" si="4"/>
        <v>272.05887862973373</v>
      </c>
      <c r="AB14">
        <f t="shared" si="5"/>
        <v>312.8724742405995</v>
      </c>
      <c r="AC14">
        <f t="shared" si="6"/>
        <v>353.68606985146528</v>
      </c>
      <c r="AD14" t="e">
        <f t="shared" si="7"/>
        <v>#N/A</v>
      </c>
      <c r="AE14">
        <f t="shared" si="14"/>
        <v>1</v>
      </c>
      <c r="AF14" t="e">
        <f t="shared" si="8"/>
        <v>#N/A</v>
      </c>
      <c r="AG14">
        <f t="shared" si="9"/>
        <v>-1</v>
      </c>
      <c r="AH14" t="e">
        <f t="shared" si="10"/>
        <v>#N/A</v>
      </c>
      <c r="AI14">
        <f t="shared" si="11"/>
        <v>1</v>
      </c>
      <c r="AJ14" t="e">
        <f t="shared" si="12"/>
        <v>#N/A</v>
      </c>
      <c r="AK14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4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4">
        <f t="shared" si="13"/>
        <v>14.699999999999989</v>
      </c>
    </row>
    <row r="15" spans="1:39" x14ac:dyDescent="0.35">
      <c r="B15" s="12">
        <f>Demand!B17</f>
        <v>43694</v>
      </c>
      <c r="C15" s="7">
        <f>INDEX(Demand!$E$6:$S$265,MATCH('SPC Backing (Hide)'!$B15,Demand!$B$6:$B$265,0),MATCH('SPC Backing (Hide)'!C$3,Demand!$E$5:$S$5,0))</f>
        <v>184</v>
      </c>
      <c r="D15" s="5">
        <f>INDEX(Demand!$E$6:$S$265,MATCH('SPC Backing (Hide)'!$B15,Demand!$B$6:$B$265,0),MATCH('SPC Backing (Hide)'!D$3,Demand!$E$5:$S$5,0))</f>
        <v>0</v>
      </c>
      <c r="E15" s="5">
        <f>INDEX(Demand!$E$6:$S$265,MATCH('SPC Backing (Hide)'!$B15,Demand!$B$6:$B$265,0),MATCH('SPC Backing (Hide)'!E$3,Demand!$E$5:$S$5,0))</f>
        <v>0</v>
      </c>
      <c r="F15" s="5">
        <f>INDEX(Demand!$E$6:$S$265,MATCH('SPC Backing (Hide)'!$B15,Demand!$B$6:$B$265,0),MATCH('SPC Backing (Hide)'!F$3,Demand!$E$5:$S$5,0))</f>
        <v>0</v>
      </c>
      <c r="G15" s="5">
        <f>INDEX(Demand!$E$6:$S$265,MATCH('SPC Backing (Hide)'!$B15,Demand!$B$6:$B$265,0),MATCH('SPC Backing (Hide)'!G$3,Demand!$E$5:$S$5,0))</f>
        <v>0</v>
      </c>
      <c r="H15" s="5">
        <f>INDEX(Demand!$E$6:$S$265,MATCH('SPC Backing (Hide)'!$B15,Demand!$B$6:$B$265,0),MATCH('SPC Backing (Hide)'!H$3,Demand!$E$5:$S$5,0))</f>
        <v>0</v>
      </c>
      <c r="I15" s="5">
        <f>INDEX(Demand!$E$6:$S$265,MATCH('SPC Backing (Hide)'!$B15,Demand!$B$6:$B$265,0),MATCH('SPC Backing (Hide)'!I$3,Demand!$E$5:$S$5,0))</f>
        <v>0</v>
      </c>
      <c r="J15" s="5">
        <f>INDEX(Demand!$E$6:$S$265,MATCH('SPC Backing (Hide)'!$B15,Demand!$B$6:$B$265,0),MATCH('SPC Backing (Hide)'!J$3,Demand!$E$5:$S$5,0))</f>
        <v>0</v>
      </c>
      <c r="K15" s="5">
        <f>INDEX(Demand!$E$6:$S$265,MATCH('SPC Backing (Hide)'!$B15,Demand!$B$6:$B$265,0),MATCH('SPC Backing (Hide)'!K$3,Demand!$E$5:$S$5,0))</f>
        <v>0</v>
      </c>
      <c r="L15" s="5">
        <f>INDEX(Demand!$E$6:$S$265,MATCH('SPC Backing (Hide)'!$B15,Demand!$B$6:$B$265,0),MATCH('SPC Backing (Hide)'!L$3,Demand!$E$5:$S$5,0))</f>
        <v>0</v>
      </c>
      <c r="M15" s="5">
        <f>INDEX(Demand!$E$6:$S$265,MATCH('SPC Backing (Hide)'!$B15,Demand!$B$6:$B$265,0),MATCH('SPC Backing (Hide)'!M$3,Demand!$E$5:$S$5,0))</f>
        <v>0</v>
      </c>
      <c r="N15" s="5">
        <f>INDEX(Demand!$E$6:$S$265,MATCH('SPC Backing (Hide)'!$B15,Demand!$B$6:$B$265,0),MATCH('SPC Backing (Hide)'!N$3,Demand!$E$5:$S$5,0))</f>
        <v>0</v>
      </c>
      <c r="O15" s="5">
        <f>INDEX(Demand!$E$6:$S$265,MATCH('SPC Backing (Hide)'!$B15,Demand!$B$6:$B$265,0),MATCH('SPC Backing (Hide)'!O$3,Demand!$E$5:$S$5,0))</f>
        <v>0</v>
      </c>
      <c r="P15" s="5">
        <f>INDEX(Demand!$E$6:$S$265,MATCH('SPC Backing (Hide)'!$B15,Demand!$B$6:$B$265,0),MATCH('SPC Backing (Hide)'!P$3,Demand!$E$5:$S$5,0))</f>
        <v>0</v>
      </c>
      <c r="Q15" s="6">
        <f>INDEX(Demand!$E$6:$S$265,MATCH('SPC Backing (Hide)'!$B15,Demand!$B$6:$B$265,0),MATCH('SPC Backing (Hide)'!Q$3,Demand!$E$5:$S$5,0))</f>
        <v>0</v>
      </c>
      <c r="R15">
        <f>IF(SPC!$B$11="Yes",IF(ROW(A12)&gt;=Demand!$A$5-52,1,0),IF(AND(B15&gt;=SPC!$B$12,B15&lt;SPC!$B$13),1,0))</f>
        <v>0</v>
      </c>
      <c r="S15" cm="1">
        <f t="array" ref="S15">INDEX($C$4:$Q$263,ROW(A12),MATCH($T$2,$C$3:$Q$3,0))</f>
        <v>184</v>
      </c>
      <c r="T15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5" cm="1">
        <f t="array" ref="U15">ABS(INDEX($C$4:$Q$263,ROW(A12),MATCH($T$2,$C$3:$Q$3,0))-INDEX($C$4:$Q$263,ROW(A11),MATCH($T$2,$C$3:$Q$3,0)))</f>
        <v>72</v>
      </c>
      <c r="V15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5">
        <f t="shared" si="0"/>
        <v>40.813595610865789</v>
      </c>
      <c r="X15">
        <f t="shared" si="1"/>
        <v>108.80449618627055</v>
      </c>
      <c r="Y15">
        <f t="shared" si="2"/>
        <v>149.61809179713634</v>
      </c>
      <c r="Z15">
        <f t="shared" si="3"/>
        <v>190.43168740800212</v>
      </c>
      <c r="AA15">
        <f t="shared" si="4"/>
        <v>272.05887862973373</v>
      </c>
      <c r="AB15">
        <f t="shared" si="5"/>
        <v>312.8724742405995</v>
      </c>
      <c r="AC15">
        <f t="shared" si="6"/>
        <v>353.68606985146528</v>
      </c>
      <c r="AD15" t="e">
        <f t="shared" si="7"/>
        <v>#N/A</v>
      </c>
      <c r="AE15">
        <f t="shared" si="14"/>
        <v>-1</v>
      </c>
      <c r="AF15" t="e">
        <f t="shared" si="8"/>
        <v>#N/A</v>
      </c>
      <c r="AG15">
        <f t="shared" si="9"/>
        <v>1</v>
      </c>
      <c r="AH15" t="e">
        <f t="shared" si="10"/>
        <v>#N/A</v>
      </c>
      <c r="AI15">
        <f t="shared" si="11"/>
        <v>-1</v>
      </c>
      <c r="AJ15" t="e">
        <f t="shared" si="12"/>
        <v>#N/A</v>
      </c>
      <c r="AK15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5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5">
        <f t="shared" si="13"/>
        <v>14.699999999999989</v>
      </c>
    </row>
    <row r="16" spans="1:39" x14ac:dyDescent="0.35">
      <c r="B16" s="12">
        <f>Demand!B18</f>
        <v>43701</v>
      </c>
      <c r="C16" s="7">
        <f>INDEX(Demand!$E$6:$S$265,MATCH('SPC Backing (Hide)'!$B16,Demand!$B$6:$B$265,0),MATCH('SPC Backing (Hide)'!C$3,Demand!$E$5:$S$5,0))</f>
        <v>190</v>
      </c>
      <c r="D16" s="5">
        <f>INDEX(Demand!$E$6:$S$265,MATCH('SPC Backing (Hide)'!$B16,Demand!$B$6:$B$265,0),MATCH('SPC Backing (Hide)'!D$3,Demand!$E$5:$S$5,0))</f>
        <v>0</v>
      </c>
      <c r="E16" s="5">
        <f>INDEX(Demand!$E$6:$S$265,MATCH('SPC Backing (Hide)'!$B16,Demand!$B$6:$B$265,0),MATCH('SPC Backing (Hide)'!E$3,Demand!$E$5:$S$5,0))</f>
        <v>0</v>
      </c>
      <c r="F16" s="5">
        <f>INDEX(Demand!$E$6:$S$265,MATCH('SPC Backing (Hide)'!$B16,Demand!$B$6:$B$265,0),MATCH('SPC Backing (Hide)'!F$3,Demand!$E$5:$S$5,0))</f>
        <v>0</v>
      </c>
      <c r="G16" s="5">
        <f>INDEX(Demand!$E$6:$S$265,MATCH('SPC Backing (Hide)'!$B16,Demand!$B$6:$B$265,0),MATCH('SPC Backing (Hide)'!G$3,Demand!$E$5:$S$5,0))</f>
        <v>0</v>
      </c>
      <c r="H16" s="5">
        <f>INDEX(Demand!$E$6:$S$265,MATCH('SPC Backing (Hide)'!$B16,Demand!$B$6:$B$265,0),MATCH('SPC Backing (Hide)'!H$3,Demand!$E$5:$S$5,0))</f>
        <v>0</v>
      </c>
      <c r="I16" s="5">
        <f>INDEX(Demand!$E$6:$S$265,MATCH('SPC Backing (Hide)'!$B16,Demand!$B$6:$B$265,0),MATCH('SPC Backing (Hide)'!I$3,Demand!$E$5:$S$5,0))</f>
        <v>0</v>
      </c>
      <c r="J16" s="5">
        <f>INDEX(Demand!$E$6:$S$265,MATCH('SPC Backing (Hide)'!$B16,Demand!$B$6:$B$265,0),MATCH('SPC Backing (Hide)'!J$3,Demand!$E$5:$S$5,0))</f>
        <v>0</v>
      </c>
      <c r="K16" s="5">
        <f>INDEX(Demand!$E$6:$S$265,MATCH('SPC Backing (Hide)'!$B16,Demand!$B$6:$B$265,0),MATCH('SPC Backing (Hide)'!K$3,Demand!$E$5:$S$5,0))</f>
        <v>0</v>
      </c>
      <c r="L16" s="5">
        <f>INDEX(Demand!$E$6:$S$265,MATCH('SPC Backing (Hide)'!$B16,Demand!$B$6:$B$265,0),MATCH('SPC Backing (Hide)'!L$3,Demand!$E$5:$S$5,0))</f>
        <v>0</v>
      </c>
      <c r="M16" s="5">
        <f>INDEX(Demand!$E$6:$S$265,MATCH('SPC Backing (Hide)'!$B16,Demand!$B$6:$B$265,0),MATCH('SPC Backing (Hide)'!M$3,Demand!$E$5:$S$5,0))</f>
        <v>0</v>
      </c>
      <c r="N16" s="5">
        <f>INDEX(Demand!$E$6:$S$265,MATCH('SPC Backing (Hide)'!$B16,Demand!$B$6:$B$265,0),MATCH('SPC Backing (Hide)'!N$3,Demand!$E$5:$S$5,0))</f>
        <v>0</v>
      </c>
      <c r="O16" s="5">
        <f>INDEX(Demand!$E$6:$S$265,MATCH('SPC Backing (Hide)'!$B16,Demand!$B$6:$B$265,0),MATCH('SPC Backing (Hide)'!O$3,Demand!$E$5:$S$5,0))</f>
        <v>0</v>
      </c>
      <c r="P16" s="5">
        <f>INDEX(Demand!$E$6:$S$265,MATCH('SPC Backing (Hide)'!$B16,Demand!$B$6:$B$265,0),MATCH('SPC Backing (Hide)'!P$3,Demand!$E$5:$S$5,0))</f>
        <v>0</v>
      </c>
      <c r="Q16" s="6">
        <f>INDEX(Demand!$E$6:$S$265,MATCH('SPC Backing (Hide)'!$B16,Demand!$B$6:$B$265,0),MATCH('SPC Backing (Hide)'!Q$3,Demand!$E$5:$S$5,0))</f>
        <v>0</v>
      </c>
      <c r="R16">
        <f>IF(SPC!$B$11="Yes",IF(ROW(A13)&gt;=Demand!$A$5-52,1,0),IF(AND(B16&gt;=SPC!$B$12,B16&lt;SPC!$B$13),1,0))</f>
        <v>0</v>
      </c>
      <c r="S16" cm="1">
        <f t="array" ref="S16">INDEX($C$4:$Q$263,ROW(A13),MATCH($T$2,$C$3:$Q$3,0))</f>
        <v>190</v>
      </c>
      <c r="T16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6" cm="1">
        <f t="array" ref="U16">ABS(INDEX($C$4:$Q$263,ROW(A13),MATCH($T$2,$C$3:$Q$3,0))-INDEX($C$4:$Q$263,ROW(A12),MATCH($T$2,$C$3:$Q$3,0)))</f>
        <v>6</v>
      </c>
      <c r="V16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6">
        <f t="shared" si="0"/>
        <v>40.813595610865789</v>
      </c>
      <c r="X16">
        <f t="shared" si="1"/>
        <v>108.80449618627055</v>
      </c>
      <c r="Y16">
        <f t="shared" si="2"/>
        <v>149.61809179713634</v>
      </c>
      <c r="Z16">
        <f t="shared" si="3"/>
        <v>190.43168740800212</v>
      </c>
      <c r="AA16">
        <f t="shared" si="4"/>
        <v>272.05887862973373</v>
      </c>
      <c r="AB16">
        <f t="shared" si="5"/>
        <v>312.8724742405995</v>
      </c>
      <c r="AC16">
        <f t="shared" si="6"/>
        <v>353.68606985146528</v>
      </c>
      <c r="AD16" t="e">
        <f t="shared" si="7"/>
        <v>#N/A</v>
      </c>
      <c r="AE16">
        <f t="shared" si="14"/>
        <v>-1</v>
      </c>
      <c r="AF16" t="e">
        <f t="shared" si="8"/>
        <v>#N/A</v>
      </c>
      <c r="AG16">
        <f t="shared" si="9"/>
        <v>1</v>
      </c>
      <c r="AH16" t="e">
        <f t="shared" si="10"/>
        <v>#N/A</v>
      </c>
      <c r="AI16">
        <f t="shared" si="11"/>
        <v>-1</v>
      </c>
      <c r="AJ16" t="e">
        <f t="shared" si="12"/>
        <v>#N/A</v>
      </c>
      <c r="AK16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6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6">
        <f t="shared" si="13"/>
        <v>14.699999999999989</v>
      </c>
    </row>
    <row r="17" spans="2:39" x14ac:dyDescent="0.35">
      <c r="B17" s="12">
        <f>Demand!B19</f>
        <v>43708</v>
      </c>
      <c r="C17" s="7">
        <f>INDEX(Demand!$E$6:$S$265,MATCH('SPC Backing (Hide)'!$B17,Demand!$B$6:$B$265,0),MATCH('SPC Backing (Hide)'!C$3,Demand!$E$5:$S$5,0))</f>
        <v>232</v>
      </c>
      <c r="D17" s="5">
        <f>INDEX(Demand!$E$6:$S$265,MATCH('SPC Backing (Hide)'!$B17,Demand!$B$6:$B$265,0),MATCH('SPC Backing (Hide)'!D$3,Demand!$E$5:$S$5,0))</f>
        <v>0</v>
      </c>
      <c r="E17" s="5">
        <f>INDEX(Demand!$E$6:$S$265,MATCH('SPC Backing (Hide)'!$B17,Demand!$B$6:$B$265,0),MATCH('SPC Backing (Hide)'!E$3,Demand!$E$5:$S$5,0))</f>
        <v>0</v>
      </c>
      <c r="F17" s="5">
        <f>INDEX(Demand!$E$6:$S$265,MATCH('SPC Backing (Hide)'!$B17,Demand!$B$6:$B$265,0),MATCH('SPC Backing (Hide)'!F$3,Demand!$E$5:$S$5,0))</f>
        <v>0</v>
      </c>
      <c r="G17" s="5">
        <f>INDEX(Demand!$E$6:$S$265,MATCH('SPC Backing (Hide)'!$B17,Demand!$B$6:$B$265,0),MATCH('SPC Backing (Hide)'!G$3,Demand!$E$5:$S$5,0))</f>
        <v>0</v>
      </c>
      <c r="H17" s="5">
        <f>INDEX(Demand!$E$6:$S$265,MATCH('SPC Backing (Hide)'!$B17,Demand!$B$6:$B$265,0),MATCH('SPC Backing (Hide)'!H$3,Demand!$E$5:$S$5,0))</f>
        <v>0</v>
      </c>
      <c r="I17" s="5">
        <f>INDEX(Demand!$E$6:$S$265,MATCH('SPC Backing (Hide)'!$B17,Demand!$B$6:$B$265,0),MATCH('SPC Backing (Hide)'!I$3,Demand!$E$5:$S$5,0))</f>
        <v>0</v>
      </c>
      <c r="J17" s="5">
        <f>INDEX(Demand!$E$6:$S$265,MATCH('SPC Backing (Hide)'!$B17,Demand!$B$6:$B$265,0),MATCH('SPC Backing (Hide)'!J$3,Demand!$E$5:$S$5,0))</f>
        <v>0</v>
      </c>
      <c r="K17" s="5">
        <f>INDEX(Demand!$E$6:$S$265,MATCH('SPC Backing (Hide)'!$B17,Demand!$B$6:$B$265,0),MATCH('SPC Backing (Hide)'!K$3,Demand!$E$5:$S$5,0))</f>
        <v>0</v>
      </c>
      <c r="L17" s="5">
        <f>INDEX(Demand!$E$6:$S$265,MATCH('SPC Backing (Hide)'!$B17,Demand!$B$6:$B$265,0),MATCH('SPC Backing (Hide)'!L$3,Demand!$E$5:$S$5,0))</f>
        <v>0</v>
      </c>
      <c r="M17" s="5">
        <f>INDEX(Demand!$E$6:$S$265,MATCH('SPC Backing (Hide)'!$B17,Demand!$B$6:$B$265,0),MATCH('SPC Backing (Hide)'!M$3,Demand!$E$5:$S$5,0))</f>
        <v>0</v>
      </c>
      <c r="N17" s="5">
        <f>INDEX(Demand!$E$6:$S$265,MATCH('SPC Backing (Hide)'!$B17,Demand!$B$6:$B$265,0),MATCH('SPC Backing (Hide)'!N$3,Demand!$E$5:$S$5,0))</f>
        <v>0</v>
      </c>
      <c r="O17" s="5">
        <f>INDEX(Demand!$E$6:$S$265,MATCH('SPC Backing (Hide)'!$B17,Demand!$B$6:$B$265,0),MATCH('SPC Backing (Hide)'!O$3,Demand!$E$5:$S$5,0))</f>
        <v>0</v>
      </c>
      <c r="P17" s="5">
        <f>INDEX(Demand!$E$6:$S$265,MATCH('SPC Backing (Hide)'!$B17,Demand!$B$6:$B$265,0),MATCH('SPC Backing (Hide)'!P$3,Demand!$E$5:$S$5,0))</f>
        <v>0</v>
      </c>
      <c r="Q17" s="6">
        <f>INDEX(Demand!$E$6:$S$265,MATCH('SPC Backing (Hide)'!$B17,Demand!$B$6:$B$265,0),MATCH('SPC Backing (Hide)'!Q$3,Demand!$E$5:$S$5,0))</f>
        <v>0</v>
      </c>
      <c r="R17">
        <f>IF(SPC!$B$11="Yes",IF(ROW(A14)&gt;=Demand!$A$5-52,1,0),IF(AND(B17&gt;=SPC!$B$12,B17&lt;SPC!$B$13),1,0))</f>
        <v>0</v>
      </c>
      <c r="S17" cm="1">
        <f t="array" ref="S17">INDEX($C$4:$Q$263,ROW(A14),MATCH($T$2,$C$3:$Q$3,0))</f>
        <v>232</v>
      </c>
      <c r="T17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7" cm="1">
        <f t="array" ref="U17">ABS(INDEX($C$4:$Q$263,ROW(A14),MATCH($T$2,$C$3:$Q$3,0))-INDEX($C$4:$Q$263,ROW(A13),MATCH($T$2,$C$3:$Q$3,0)))</f>
        <v>42</v>
      </c>
      <c r="V17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7">
        <f t="shared" si="0"/>
        <v>40.813595610865789</v>
      </c>
      <c r="X17">
        <f t="shared" si="1"/>
        <v>108.80449618627055</v>
      </c>
      <c r="Y17">
        <f t="shared" si="2"/>
        <v>149.61809179713634</v>
      </c>
      <c r="Z17">
        <f t="shared" si="3"/>
        <v>190.43168740800212</v>
      </c>
      <c r="AA17">
        <f t="shared" si="4"/>
        <v>272.05887862973373</v>
      </c>
      <c r="AB17">
        <f t="shared" si="5"/>
        <v>312.8724742405995</v>
      </c>
      <c r="AC17">
        <f t="shared" si="6"/>
        <v>353.68606985146528</v>
      </c>
      <c r="AD17" t="e">
        <f t="shared" si="7"/>
        <v>#N/A</v>
      </c>
      <c r="AE17">
        <f t="shared" si="14"/>
        <v>1</v>
      </c>
      <c r="AF17" t="e">
        <f t="shared" si="8"/>
        <v>#N/A</v>
      </c>
      <c r="AG17">
        <f t="shared" si="9"/>
        <v>0</v>
      </c>
      <c r="AH17" t="e">
        <f t="shared" si="10"/>
        <v>#N/A</v>
      </c>
      <c r="AI17">
        <f t="shared" si="11"/>
        <v>1</v>
      </c>
      <c r="AJ17" t="e">
        <f t="shared" si="12"/>
        <v>#N/A</v>
      </c>
      <c r="AK17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7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7">
        <f t="shared" si="13"/>
        <v>14.699999999999989</v>
      </c>
    </row>
    <row r="18" spans="2:39" x14ac:dyDescent="0.35">
      <c r="B18" s="12">
        <f>Demand!B20</f>
        <v>43715</v>
      </c>
      <c r="C18" s="7">
        <f>INDEX(Demand!$E$6:$S$265,MATCH('SPC Backing (Hide)'!$B18,Demand!$B$6:$B$265,0),MATCH('SPC Backing (Hide)'!C$3,Demand!$E$5:$S$5,0))</f>
        <v>232</v>
      </c>
      <c r="D18" s="5">
        <f>INDEX(Demand!$E$6:$S$265,MATCH('SPC Backing (Hide)'!$B18,Demand!$B$6:$B$265,0),MATCH('SPC Backing (Hide)'!D$3,Demand!$E$5:$S$5,0))</f>
        <v>0</v>
      </c>
      <c r="E18" s="5">
        <f>INDEX(Demand!$E$6:$S$265,MATCH('SPC Backing (Hide)'!$B18,Demand!$B$6:$B$265,0),MATCH('SPC Backing (Hide)'!E$3,Demand!$E$5:$S$5,0))</f>
        <v>0</v>
      </c>
      <c r="F18" s="5">
        <f>INDEX(Demand!$E$6:$S$265,MATCH('SPC Backing (Hide)'!$B18,Demand!$B$6:$B$265,0),MATCH('SPC Backing (Hide)'!F$3,Demand!$E$5:$S$5,0))</f>
        <v>0</v>
      </c>
      <c r="G18" s="5">
        <f>INDEX(Demand!$E$6:$S$265,MATCH('SPC Backing (Hide)'!$B18,Demand!$B$6:$B$265,0),MATCH('SPC Backing (Hide)'!G$3,Demand!$E$5:$S$5,0))</f>
        <v>0</v>
      </c>
      <c r="H18" s="5">
        <f>INDEX(Demand!$E$6:$S$265,MATCH('SPC Backing (Hide)'!$B18,Demand!$B$6:$B$265,0),MATCH('SPC Backing (Hide)'!H$3,Demand!$E$5:$S$5,0))</f>
        <v>0</v>
      </c>
      <c r="I18" s="5">
        <f>INDEX(Demand!$E$6:$S$265,MATCH('SPC Backing (Hide)'!$B18,Demand!$B$6:$B$265,0),MATCH('SPC Backing (Hide)'!I$3,Demand!$E$5:$S$5,0))</f>
        <v>0</v>
      </c>
      <c r="J18" s="5">
        <f>INDEX(Demand!$E$6:$S$265,MATCH('SPC Backing (Hide)'!$B18,Demand!$B$6:$B$265,0),MATCH('SPC Backing (Hide)'!J$3,Demand!$E$5:$S$5,0))</f>
        <v>0</v>
      </c>
      <c r="K18" s="5">
        <f>INDEX(Demand!$E$6:$S$265,MATCH('SPC Backing (Hide)'!$B18,Demand!$B$6:$B$265,0),MATCH('SPC Backing (Hide)'!K$3,Demand!$E$5:$S$5,0))</f>
        <v>0</v>
      </c>
      <c r="L18" s="5">
        <f>INDEX(Demand!$E$6:$S$265,MATCH('SPC Backing (Hide)'!$B18,Demand!$B$6:$B$265,0),MATCH('SPC Backing (Hide)'!L$3,Demand!$E$5:$S$5,0))</f>
        <v>0</v>
      </c>
      <c r="M18" s="5">
        <f>INDEX(Demand!$E$6:$S$265,MATCH('SPC Backing (Hide)'!$B18,Demand!$B$6:$B$265,0),MATCH('SPC Backing (Hide)'!M$3,Demand!$E$5:$S$5,0))</f>
        <v>0</v>
      </c>
      <c r="N18" s="5">
        <f>INDEX(Demand!$E$6:$S$265,MATCH('SPC Backing (Hide)'!$B18,Demand!$B$6:$B$265,0),MATCH('SPC Backing (Hide)'!N$3,Demand!$E$5:$S$5,0))</f>
        <v>0</v>
      </c>
      <c r="O18" s="5">
        <f>INDEX(Demand!$E$6:$S$265,MATCH('SPC Backing (Hide)'!$B18,Demand!$B$6:$B$265,0),MATCH('SPC Backing (Hide)'!O$3,Demand!$E$5:$S$5,0))</f>
        <v>0</v>
      </c>
      <c r="P18" s="5">
        <f>INDEX(Demand!$E$6:$S$265,MATCH('SPC Backing (Hide)'!$B18,Demand!$B$6:$B$265,0),MATCH('SPC Backing (Hide)'!P$3,Demand!$E$5:$S$5,0))</f>
        <v>0</v>
      </c>
      <c r="Q18" s="6">
        <f>INDEX(Demand!$E$6:$S$265,MATCH('SPC Backing (Hide)'!$B18,Demand!$B$6:$B$265,0),MATCH('SPC Backing (Hide)'!Q$3,Demand!$E$5:$S$5,0))</f>
        <v>0</v>
      </c>
      <c r="R18">
        <f>IF(SPC!$B$11="Yes",IF(ROW(A15)&gt;=Demand!$A$5-52,1,0),IF(AND(B18&gt;=SPC!$B$12,B18&lt;SPC!$B$13),1,0))</f>
        <v>0</v>
      </c>
      <c r="S18" cm="1">
        <f t="array" ref="S18">INDEX($C$4:$Q$263,ROW(A15),MATCH($T$2,$C$3:$Q$3,0))</f>
        <v>232</v>
      </c>
      <c r="T18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8" cm="1">
        <f t="array" ref="U18">ABS(INDEX($C$4:$Q$263,ROW(A15),MATCH($T$2,$C$3:$Q$3,0))-INDEX($C$4:$Q$263,ROW(A14),MATCH($T$2,$C$3:$Q$3,0)))</f>
        <v>0</v>
      </c>
      <c r="V18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8">
        <f t="shared" si="0"/>
        <v>40.813595610865789</v>
      </c>
      <c r="X18">
        <f t="shared" si="1"/>
        <v>108.80449618627055</v>
      </c>
      <c r="Y18">
        <f t="shared" si="2"/>
        <v>149.61809179713634</v>
      </c>
      <c r="Z18">
        <f t="shared" si="3"/>
        <v>190.43168740800212</v>
      </c>
      <c r="AA18">
        <f t="shared" si="4"/>
        <v>272.05887862973373</v>
      </c>
      <c r="AB18">
        <f t="shared" si="5"/>
        <v>312.8724742405995</v>
      </c>
      <c r="AC18">
        <f t="shared" si="6"/>
        <v>353.68606985146528</v>
      </c>
      <c r="AD18" t="e">
        <f t="shared" si="7"/>
        <v>#N/A</v>
      </c>
      <c r="AE18">
        <f t="shared" si="14"/>
        <v>1</v>
      </c>
      <c r="AF18" t="e">
        <f t="shared" si="8"/>
        <v>#N/A</v>
      </c>
      <c r="AG18">
        <f t="shared" si="9"/>
        <v>-1</v>
      </c>
      <c r="AH18" t="e">
        <f t="shared" si="10"/>
        <v>#N/A</v>
      </c>
      <c r="AI18">
        <f t="shared" si="11"/>
        <v>1</v>
      </c>
      <c r="AJ18" t="e">
        <f t="shared" si="12"/>
        <v>#N/A</v>
      </c>
      <c r="AK18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8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8">
        <f t="shared" si="13"/>
        <v>14.699999999999989</v>
      </c>
    </row>
    <row r="19" spans="2:39" x14ac:dyDescent="0.35">
      <c r="B19" s="12">
        <f>Demand!B21</f>
        <v>43722</v>
      </c>
      <c r="C19" s="7">
        <f>INDEX(Demand!$E$6:$S$265,MATCH('SPC Backing (Hide)'!$B19,Demand!$B$6:$B$265,0),MATCH('SPC Backing (Hide)'!C$3,Demand!$E$5:$S$5,0))</f>
        <v>222</v>
      </c>
      <c r="D19" s="5">
        <f>INDEX(Demand!$E$6:$S$265,MATCH('SPC Backing (Hide)'!$B19,Demand!$B$6:$B$265,0),MATCH('SPC Backing (Hide)'!D$3,Demand!$E$5:$S$5,0))</f>
        <v>0</v>
      </c>
      <c r="E19" s="5">
        <f>INDEX(Demand!$E$6:$S$265,MATCH('SPC Backing (Hide)'!$B19,Demand!$B$6:$B$265,0),MATCH('SPC Backing (Hide)'!E$3,Demand!$E$5:$S$5,0))</f>
        <v>0</v>
      </c>
      <c r="F19" s="5">
        <f>INDEX(Demand!$E$6:$S$265,MATCH('SPC Backing (Hide)'!$B19,Demand!$B$6:$B$265,0),MATCH('SPC Backing (Hide)'!F$3,Demand!$E$5:$S$5,0))</f>
        <v>0</v>
      </c>
      <c r="G19" s="5">
        <f>INDEX(Demand!$E$6:$S$265,MATCH('SPC Backing (Hide)'!$B19,Demand!$B$6:$B$265,0),MATCH('SPC Backing (Hide)'!G$3,Demand!$E$5:$S$5,0))</f>
        <v>0</v>
      </c>
      <c r="H19" s="5">
        <f>INDEX(Demand!$E$6:$S$265,MATCH('SPC Backing (Hide)'!$B19,Demand!$B$6:$B$265,0),MATCH('SPC Backing (Hide)'!H$3,Demand!$E$5:$S$5,0))</f>
        <v>0</v>
      </c>
      <c r="I19" s="5">
        <f>INDEX(Demand!$E$6:$S$265,MATCH('SPC Backing (Hide)'!$B19,Demand!$B$6:$B$265,0),MATCH('SPC Backing (Hide)'!I$3,Demand!$E$5:$S$5,0))</f>
        <v>0</v>
      </c>
      <c r="J19" s="5">
        <f>INDEX(Demand!$E$6:$S$265,MATCH('SPC Backing (Hide)'!$B19,Demand!$B$6:$B$265,0),MATCH('SPC Backing (Hide)'!J$3,Demand!$E$5:$S$5,0))</f>
        <v>0</v>
      </c>
      <c r="K19" s="5">
        <f>INDEX(Demand!$E$6:$S$265,MATCH('SPC Backing (Hide)'!$B19,Demand!$B$6:$B$265,0),MATCH('SPC Backing (Hide)'!K$3,Demand!$E$5:$S$5,0))</f>
        <v>0</v>
      </c>
      <c r="L19" s="5">
        <f>INDEX(Demand!$E$6:$S$265,MATCH('SPC Backing (Hide)'!$B19,Demand!$B$6:$B$265,0),MATCH('SPC Backing (Hide)'!L$3,Demand!$E$5:$S$5,0))</f>
        <v>0</v>
      </c>
      <c r="M19" s="5">
        <f>INDEX(Demand!$E$6:$S$265,MATCH('SPC Backing (Hide)'!$B19,Demand!$B$6:$B$265,0),MATCH('SPC Backing (Hide)'!M$3,Demand!$E$5:$S$5,0))</f>
        <v>0</v>
      </c>
      <c r="N19" s="5">
        <f>INDEX(Demand!$E$6:$S$265,MATCH('SPC Backing (Hide)'!$B19,Demand!$B$6:$B$265,0),MATCH('SPC Backing (Hide)'!N$3,Demand!$E$5:$S$5,0))</f>
        <v>0</v>
      </c>
      <c r="O19" s="5">
        <f>INDEX(Demand!$E$6:$S$265,MATCH('SPC Backing (Hide)'!$B19,Demand!$B$6:$B$265,0),MATCH('SPC Backing (Hide)'!O$3,Demand!$E$5:$S$5,0))</f>
        <v>0</v>
      </c>
      <c r="P19" s="5">
        <f>INDEX(Demand!$E$6:$S$265,MATCH('SPC Backing (Hide)'!$B19,Demand!$B$6:$B$265,0),MATCH('SPC Backing (Hide)'!P$3,Demand!$E$5:$S$5,0))</f>
        <v>0</v>
      </c>
      <c r="Q19" s="6">
        <f>INDEX(Demand!$E$6:$S$265,MATCH('SPC Backing (Hide)'!$B19,Demand!$B$6:$B$265,0),MATCH('SPC Backing (Hide)'!Q$3,Demand!$E$5:$S$5,0))</f>
        <v>0</v>
      </c>
      <c r="R19">
        <f>IF(SPC!$B$11="Yes",IF(ROW(A16)&gt;=Demand!$A$5-52,1,0),IF(AND(B19&gt;=SPC!$B$12,B19&lt;SPC!$B$13),1,0))</f>
        <v>0</v>
      </c>
      <c r="S19" cm="1">
        <f t="array" ref="S19">INDEX($C$4:$Q$263,ROW(A16),MATCH($T$2,$C$3:$Q$3,0))</f>
        <v>222</v>
      </c>
      <c r="T19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9" cm="1">
        <f t="array" ref="U19">ABS(INDEX($C$4:$Q$263,ROW(A16),MATCH($T$2,$C$3:$Q$3,0))-INDEX($C$4:$Q$263,ROW(A15),MATCH($T$2,$C$3:$Q$3,0)))</f>
        <v>10</v>
      </c>
      <c r="V19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9">
        <f t="shared" si="0"/>
        <v>40.813595610865789</v>
      </c>
      <c r="X19">
        <f t="shared" si="1"/>
        <v>108.80449618627055</v>
      </c>
      <c r="Y19">
        <f t="shared" si="2"/>
        <v>149.61809179713634</v>
      </c>
      <c r="Z19">
        <f t="shared" si="3"/>
        <v>190.43168740800212</v>
      </c>
      <c r="AA19">
        <f t="shared" si="4"/>
        <v>272.05887862973373</v>
      </c>
      <c r="AB19">
        <f t="shared" si="5"/>
        <v>312.8724742405995</v>
      </c>
      <c r="AC19">
        <f t="shared" si="6"/>
        <v>353.68606985146528</v>
      </c>
      <c r="AD19" t="e">
        <f t="shared" si="7"/>
        <v>#N/A</v>
      </c>
      <c r="AE19">
        <f t="shared" si="14"/>
        <v>-1</v>
      </c>
      <c r="AF19" t="e">
        <f t="shared" si="8"/>
        <v>#N/A</v>
      </c>
      <c r="AG19">
        <f t="shared" si="9"/>
        <v>1</v>
      </c>
      <c r="AH19" t="e">
        <f t="shared" si="10"/>
        <v>#N/A</v>
      </c>
      <c r="AI19">
        <f t="shared" si="11"/>
        <v>-1</v>
      </c>
      <c r="AJ19" t="e">
        <f t="shared" si="12"/>
        <v>#N/A</v>
      </c>
      <c r="AK19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9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9">
        <f t="shared" si="13"/>
        <v>14.699999999999989</v>
      </c>
    </row>
    <row r="20" spans="2:39" x14ac:dyDescent="0.35">
      <c r="B20" s="12">
        <f>Demand!B22</f>
        <v>43729</v>
      </c>
      <c r="C20" s="7">
        <f>INDEX(Demand!$E$6:$S$265,MATCH('SPC Backing (Hide)'!$B20,Demand!$B$6:$B$265,0),MATCH('SPC Backing (Hide)'!C$3,Demand!$E$5:$S$5,0))</f>
        <v>230</v>
      </c>
      <c r="D20" s="5">
        <f>INDEX(Demand!$E$6:$S$265,MATCH('SPC Backing (Hide)'!$B20,Demand!$B$6:$B$265,0),MATCH('SPC Backing (Hide)'!D$3,Demand!$E$5:$S$5,0))</f>
        <v>0</v>
      </c>
      <c r="E20" s="5">
        <f>INDEX(Demand!$E$6:$S$265,MATCH('SPC Backing (Hide)'!$B20,Demand!$B$6:$B$265,0),MATCH('SPC Backing (Hide)'!E$3,Demand!$E$5:$S$5,0))</f>
        <v>0</v>
      </c>
      <c r="F20" s="5">
        <f>INDEX(Demand!$E$6:$S$265,MATCH('SPC Backing (Hide)'!$B20,Demand!$B$6:$B$265,0),MATCH('SPC Backing (Hide)'!F$3,Demand!$E$5:$S$5,0))</f>
        <v>0</v>
      </c>
      <c r="G20" s="5">
        <f>INDEX(Demand!$E$6:$S$265,MATCH('SPC Backing (Hide)'!$B20,Demand!$B$6:$B$265,0),MATCH('SPC Backing (Hide)'!G$3,Demand!$E$5:$S$5,0))</f>
        <v>0</v>
      </c>
      <c r="H20" s="5">
        <f>INDEX(Demand!$E$6:$S$265,MATCH('SPC Backing (Hide)'!$B20,Demand!$B$6:$B$265,0),MATCH('SPC Backing (Hide)'!H$3,Demand!$E$5:$S$5,0))</f>
        <v>0</v>
      </c>
      <c r="I20" s="5">
        <f>INDEX(Demand!$E$6:$S$265,MATCH('SPC Backing (Hide)'!$B20,Demand!$B$6:$B$265,0),MATCH('SPC Backing (Hide)'!I$3,Demand!$E$5:$S$5,0))</f>
        <v>0</v>
      </c>
      <c r="J20" s="5">
        <f>INDEX(Demand!$E$6:$S$265,MATCH('SPC Backing (Hide)'!$B20,Demand!$B$6:$B$265,0),MATCH('SPC Backing (Hide)'!J$3,Demand!$E$5:$S$5,0))</f>
        <v>0</v>
      </c>
      <c r="K20" s="5">
        <f>INDEX(Demand!$E$6:$S$265,MATCH('SPC Backing (Hide)'!$B20,Demand!$B$6:$B$265,0),MATCH('SPC Backing (Hide)'!K$3,Demand!$E$5:$S$5,0))</f>
        <v>0</v>
      </c>
      <c r="L20" s="5">
        <f>INDEX(Demand!$E$6:$S$265,MATCH('SPC Backing (Hide)'!$B20,Demand!$B$6:$B$265,0),MATCH('SPC Backing (Hide)'!L$3,Demand!$E$5:$S$5,0))</f>
        <v>0</v>
      </c>
      <c r="M20" s="5">
        <f>INDEX(Demand!$E$6:$S$265,MATCH('SPC Backing (Hide)'!$B20,Demand!$B$6:$B$265,0),MATCH('SPC Backing (Hide)'!M$3,Demand!$E$5:$S$5,0))</f>
        <v>0</v>
      </c>
      <c r="N20" s="5">
        <f>INDEX(Demand!$E$6:$S$265,MATCH('SPC Backing (Hide)'!$B20,Demand!$B$6:$B$265,0),MATCH('SPC Backing (Hide)'!N$3,Demand!$E$5:$S$5,0))</f>
        <v>0</v>
      </c>
      <c r="O20" s="5">
        <f>INDEX(Demand!$E$6:$S$265,MATCH('SPC Backing (Hide)'!$B20,Demand!$B$6:$B$265,0),MATCH('SPC Backing (Hide)'!O$3,Demand!$E$5:$S$5,0))</f>
        <v>0</v>
      </c>
      <c r="P20" s="5">
        <f>INDEX(Demand!$E$6:$S$265,MATCH('SPC Backing (Hide)'!$B20,Demand!$B$6:$B$265,0),MATCH('SPC Backing (Hide)'!P$3,Demand!$E$5:$S$5,0))</f>
        <v>0</v>
      </c>
      <c r="Q20" s="6">
        <f>INDEX(Demand!$E$6:$S$265,MATCH('SPC Backing (Hide)'!$B20,Demand!$B$6:$B$265,0),MATCH('SPC Backing (Hide)'!Q$3,Demand!$E$5:$S$5,0))</f>
        <v>0</v>
      </c>
      <c r="R20">
        <f>IF(SPC!$B$11="Yes",IF(ROW(A17)&gt;=Demand!$A$5-52,1,0),IF(AND(B20&gt;=SPC!$B$12,B20&lt;SPC!$B$13),1,0))</f>
        <v>0</v>
      </c>
      <c r="S20" cm="1">
        <f t="array" ref="S20">INDEX($C$4:$Q$263,ROW(A17),MATCH($T$2,$C$3:$Q$3,0))</f>
        <v>230</v>
      </c>
      <c r="T20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20" cm="1">
        <f t="array" ref="U20">ABS(INDEX($C$4:$Q$263,ROW(A17),MATCH($T$2,$C$3:$Q$3,0))-INDEX($C$4:$Q$263,ROW(A16),MATCH($T$2,$C$3:$Q$3,0)))</f>
        <v>8</v>
      </c>
      <c r="V20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20">
        <f t="shared" si="0"/>
        <v>40.813595610865789</v>
      </c>
      <c r="X20">
        <f t="shared" si="1"/>
        <v>108.80449618627055</v>
      </c>
      <c r="Y20">
        <f t="shared" si="2"/>
        <v>149.61809179713634</v>
      </c>
      <c r="Z20">
        <f t="shared" si="3"/>
        <v>190.43168740800212</v>
      </c>
      <c r="AA20">
        <f t="shared" si="4"/>
        <v>272.05887862973373</v>
      </c>
      <c r="AB20">
        <f t="shared" si="5"/>
        <v>312.8724742405995</v>
      </c>
      <c r="AC20">
        <f t="shared" si="6"/>
        <v>353.68606985146528</v>
      </c>
      <c r="AD20" t="e">
        <f t="shared" si="7"/>
        <v>#N/A</v>
      </c>
      <c r="AE20">
        <f t="shared" si="14"/>
        <v>-1</v>
      </c>
      <c r="AF20" t="e">
        <f t="shared" si="8"/>
        <v>#N/A</v>
      </c>
      <c r="AG20">
        <f t="shared" si="9"/>
        <v>1</v>
      </c>
      <c r="AH20" t="e">
        <f t="shared" si="10"/>
        <v>#N/A</v>
      </c>
      <c r="AI20">
        <f t="shared" si="11"/>
        <v>-1</v>
      </c>
      <c r="AJ20" t="e">
        <f t="shared" si="12"/>
        <v>#N/A</v>
      </c>
      <c r="AK20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20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20">
        <f t="shared" si="13"/>
        <v>14.699999999999989</v>
      </c>
    </row>
    <row r="21" spans="2:39" x14ac:dyDescent="0.35">
      <c r="B21" s="12">
        <f>Demand!B23</f>
        <v>43736</v>
      </c>
      <c r="C21" s="7">
        <f>INDEX(Demand!$E$6:$S$265,MATCH('SPC Backing (Hide)'!$B21,Demand!$B$6:$B$265,0),MATCH('SPC Backing (Hide)'!C$3,Demand!$E$5:$S$5,0))</f>
        <v>242</v>
      </c>
      <c r="D21" s="5">
        <f>INDEX(Demand!$E$6:$S$265,MATCH('SPC Backing (Hide)'!$B21,Demand!$B$6:$B$265,0),MATCH('SPC Backing (Hide)'!D$3,Demand!$E$5:$S$5,0))</f>
        <v>0</v>
      </c>
      <c r="E21" s="5">
        <f>INDEX(Demand!$E$6:$S$265,MATCH('SPC Backing (Hide)'!$B21,Demand!$B$6:$B$265,0),MATCH('SPC Backing (Hide)'!E$3,Demand!$E$5:$S$5,0))</f>
        <v>0</v>
      </c>
      <c r="F21" s="5">
        <f>INDEX(Demand!$E$6:$S$265,MATCH('SPC Backing (Hide)'!$B21,Demand!$B$6:$B$265,0),MATCH('SPC Backing (Hide)'!F$3,Demand!$E$5:$S$5,0))</f>
        <v>0</v>
      </c>
      <c r="G21" s="5">
        <f>INDEX(Demand!$E$6:$S$265,MATCH('SPC Backing (Hide)'!$B21,Demand!$B$6:$B$265,0),MATCH('SPC Backing (Hide)'!G$3,Demand!$E$5:$S$5,0))</f>
        <v>0</v>
      </c>
      <c r="H21" s="5">
        <f>INDEX(Demand!$E$6:$S$265,MATCH('SPC Backing (Hide)'!$B21,Demand!$B$6:$B$265,0),MATCH('SPC Backing (Hide)'!H$3,Demand!$E$5:$S$5,0))</f>
        <v>0</v>
      </c>
      <c r="I21" s="5">
        <f>INDEX(Demand!$E$6:$S$265,MATCH('SPC Backing (Hide)'!$B21,Demand!$B$6:$B$265,0),MATCH('SPC Backing (Hide)'!I$3,Demand!$E$5:$S$5,0))</f>
        <v>0</v>
      </c>
      <c r="J21" s="5">
        <f>INDEX(Demand!$E$6:$S$265,MATCH('SPC Backing (Hide)'!$B21,Demand!$B$6:$B$265,0),MATCH('SPC Backing (Hide)'!J$3,Demand!$E$5:$S$5,0))</f>
        <v>0</v>
      </c>
      <c r="K21" s="5">
        <f>INDEX(Demand!$E$6:$S$265,MATCH('SPC Backing (Hide)'!$B21,Demand!$B$6:$B$265,0),MATCH('SPC Backing (Hide)'!K$3,Demand!$E$5:$S$5,0))</f>
        <v>0</v>
      </c>
      <c r="L21" s="5">
        <f>INDEX(Demand!$E$6:$S$265,MATCH('SPC Backing (Hide)'!$B21,Demand!$B$6:$B$265,0),MATCH('SPC Backing (Hide)'!L$3,Demand!$E$5:$S$5,0))</f>
        <v>0</v>
      </c>
      <c r="M21" s="5">
        <f>INDEX(Demand!$E$6:$S$265,MATCH('SPC Backing (Hide)'!$B21,Demand!$B$6:$B$265,0),MATCH('SPC Backing (Hide)'!M$3,Demand!$E$5:$S$5,0))</f>
        <v>0</v>
      </c>
      <c r="N21" s="5">
        <f>INDEX(Demand!$E$6:$S$265,MATCH('SPC Backing (Hide)'!$B21,Demand!$B$6:$B$265,0),MATCH('SPC Backing (Hide)'!N$3,Demand!$E$5:$S$5,0))</f>
        <v>0</v>
      </c>
      <c r="O21" s="5">
        <f>INDEX(Demand!$E$6:$S$265,MATCH('SPC Backing (Hide)'!$B21,Demand!$B$6:$B$265,0),MATCH('SPC Backing (Hide)'!O$3,Demand!$E$5:$S$5,0))</f>
        <v>0</v>
      </c>
      <c r="P21" s="5">
        <f>INDEX(Demand!$E$6:$S$265,MATCH('SPC Backing (Hide)'!$B21,Demand!$B$6:$B$265,0),MATCH('SPC Backing (Hide)'!P$3,Demand!$E$5:$S$5,0))</f>
        <v>0</v>
      </c>
      <c r="Q21" s="6">
        <f>INDEX(Demand!$E$6:$S$265,MATCH('SPC Backing (Hide)'!$B21,Demand!$B$6:$B$265,0),MATCH('SPC Backing (Hide)'!Q$3,Demand!$E$5:$S$5,0))</f>
        <v>0</v>
      </c>
      <c r="R21">
        <f>IF(SPC!$B$11="Yes",IF(ROW(A18)&gt;=Demand!$A$5-52,1,0),IF(AND(B21&gt;=SPC!$B$12,B21&lt;SPC!$B$13),1,0))</f>
        <v>0</v>
      </c>
      <c r="S21" cm="1">
        <f t="array" ref="S21">INDEX($C$4:$Q$263,ROW(A18),MATCH($T$2,$C$3:$Q$3,0))</f>
        <v>242</v>
      </c>
      <c r="T21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21" cm="1">
        <f t="array" ref="U21">ABS(INDEX($C$4:$Q$263,ROW(A18),MATCH($T$2,$C$3:$Q$3,0))-INDEX($C$4:$Q$263,ROW(A17),MATCH($T$2,$C$3:$Q$3,0)))</f>
        <v>12</v>
      </c>
      <c r="V21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21">
        <f t="shared" si="0"/>
        <v>40.813595610865789</v>
      </c>
      <c r="X21">
        <f t="shared" si="1"/>
        <v>108.80449618627055</v>
      </c>
      <c r="Y21">
        <f t="shared" si="2"/>
        <v>149.61809179713634</v>
      </c>
      <c r="Z21">
        <f t="shared" si="3"/>
        <v>190.43168740800212</v>
      </c>
      <c r="AA21">
        <f t="shared" si="4"/>
        <v>272.05887862973373</v>
      </c>
      <c r="AB21">
        <f t="shared" si="5"/>
        <v>312.8724742405995</v>
      </c>
      <c r="AC21">
        <f t="shared" si="6"/>
        <v>353.68606985146528</v>
      </c>
      <c r="AD21" t="e">
        <f t="shared" si="7"/>
        <v>#N/A</v>
      </c>
      <c r="AE21">
        <f t="shared" si="14"/>
        <v>1</v>
      </c>
      <c r="AF21">
        <f t="shared" si="8"/>
        <v>242</v>
      </c>
      <c r="AG21">
        <f t="shared" si="9"/>
        <v>1</v>
      </c>
      <c r="AH21" t="e">
        <f t="shared" si="10"/>
        <v>#N/A</v>
      </c>
      <c r="AI21">
        <f t="shared" si="11"/>
        <v>1</v>
      </c>
      <c r="AJ21" t="e">
        <f t="shared" si="12"/>
        <v>#N/A</v>
      </c>
      <c r="AK21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21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21">
        <f t="shared" si="13"/>
        <v>14.699999999999989</v>
      </c>
    </row>
    <row r="22" spans="2:39" x14ac:dyDescent="0.35">
      <c r="B22" s="12">
        <f>Demand!B24</f>
        <v>43743</v>
      </c>
      <c r="C22" s="7">
        <f>INDEX(Demand!$E$6:$S$265,MATCH('SPC Backing (Hide)'!$B22,Demand!$B$6:$B$265,0),MATCH('SPC Backing (Hide)'!C$3,Demand!$E$5:$S$5,0))</f>
        <v>320</v>
      </c>
      <c r="D22" s="5">
        <f>INDEX(Demand!$E$6:$S$265,MATCH('SPC Backing (Hide)'!$B22,Demand!$B$6:$B$265,0),MATCH('SPC Backing (Hide)'!D$3,Demand!$E$5:$S$5,0))</f>
        <v>0</v>
      </c>
      <c r="E22" s="5">
        <f>INDEX(Demand!$E$6:$S$265,MATCH('SPC Backing (Hide)'!$B22,Demand!$B$6:$B$265,0),MATCH('SPC Backing (Hide)'!E$3,Demand!$E$5:$S$5,0))</f>
        <v>0</v>
      </c>
      <c r="F22" s="5">
        <f>INDEX(Demand!$E$6:$S$265,MATCH('SPC Backing (Hide)'!$B22,Demand!$B$6:$B$265,0),MATCH('SPC Backing (Hide)'!F$3,Demand!$E$5:$S$5,0))</f>
        <v>0</v>
      </c>
      <c r="G22" s="5">
        <f>INDEX(Demand!$E$6:$S$265,MATCH('SPC Backing (Hide)'!$B22,Demand!$B$6:$B$265,0),MATCH('SPC Backing (Hide)'!G$3,Demand!$E$5:$S$5,0))</f>
        <v>0</v>
      </c>
      <c r="H22" s="5">
        <f>INDEX(Demand!$E$6:$S$265,MATCH('SPC Backing (Hide)'!$B22,Demand!$B$6:$B$265,0),MATCH('SPC Backing (Hide)'!H$3,Demand!$E$5:$S$5,0))</f>
        <v>0</v>
      </c>
      <c r="I22" s="5">
        <f>INDEX(Demand!$E$6:$S$265,MATCH('SPC Backing (Hide)'!$B22,Demand!$B$6:$B$265,0),MATCH('SPC Backing (Hide)'!I$3,Demand!$E$5:$S$5,0))</f>
        <v>0</v>
      </c>
      <c r="J22" s="5">
        <f>INDEX(Demand!$E$6:$S$265,MATCH('SPC Backing (Hide)'!$B22,Demand!$B$6:$B$265,0),MATCH('SPC Backing (Hide)'!J$3,Demand!$E$5:$S$5,0))</f>
        <v>0</v>
      </c>
      <c r="K22" s="5">
        <f>INDEX(Demand!$E$6:$S$265,MATCH('SPC Backing (Hide)'!$B22,Demand!$B$6:$B$265,0),MATCH('SPC Backing (Hide)'!K$3,Demand!$E$5:$S$5,0))</f>
        <v>0</v>
      </c>
      <c r="L22" s="5">
        <f>INDEX(Demand!$E$6:$S$265,MATCH('SPC Backing (Hide)'!$B22,Demand!$B$6:$B$265,0),MATCH('SPC Backing (Hide)'!L$3,Demand!$E$5:$S$5,0))</f>
        <v>0</v>
      </c>
      <c r="M22" s="5">
        <f>INDEX(Demand!$E$6:$S$265,MATCH('SPC Backing (Hide)'!$B22,Demand!$B$6:$B$265,0),MATCH('SPC Backing (Hide)'!M$3,Demand!$E$5:$S$5,0))</f>
        <v>0</v>
      </c>
      <c r="N22" s="5">
        <f>INDEX(Demand!$E$6:$S$265,MATCH('SPC Backing (Hide)'!$B22,Demand!$B$6:$B$265,0),MATCH('SPC Backing (Hide)'!N$3,Demand!$E$5:$S$5,0))</f>
        <v>0</v>
      </c>
      <c r="O22" s="5">
        <f>INDEX(Demand!$E$6:$S$265,MATCH('SPC Backing (Hide)'!$B22,Demand!$B$6:$B$265,0),MATCH('SPC Backing (Hide)'!O$3,Demand!$E$5:$S$5,0))</f>
        <v>0</v>
      </c>
      <c r="P22" s="5">
        <f>INDEX(Demand!$E$6:$S$265,MATCH('SPC Backing (Hide)'!$B22,Demand!$B$6:$B$265,0),MATCH('SPC Backing (Hide)'!P$3,Demand!$E$5:$S$5,0))</f>
        <v>0</v>
      </c>
      <c r="Q22" s="6">
        <f>INDEX(Demand!$E$6:$S$265,MATCH('SPC Backing (Hide)'!$B22,Demand!$B$6:$B$265,0),MATCH('SPC Backing (Hide)'!Q$3,Demand!$E$5:$S$5,0))</f>
        <v>0</v>
      </c>
      <c r="R22">
        <f>IF(SPC!$B$11="Yes",IF(ROW(A19)&gt;=Demand!$A$5-52,1,0),IF(AND(B22&gt;=SPC!$B$12,B22&lt;SPC!$B$13),1,0))</f>
        <v>0</v>
      </c>
      <c r="S22" cm="1">
        <f t="array" ref="S22">INDEX($C$4:$Q$263,ROW(A19),MATCH($T$2,$C$3:$Q$3,0))</f>
        <v>320</v>
      </c>
      <c r="T22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22" cm="1">
        <f t="array" ref="U22">ABS(INDEX($C$4:$Q$263,ROW(A19),MATCH($T$2,$C$3:$Q$3,0))-INDEX($C$4:$Q$263,ROW(A18),MATCH($T$2,$C$3:$Q$3,0)))</f>
        <v>78</v>
      </c>
      <c r="V22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22">
        <f t="shared" si="0"/>
        <v>40.813595610865789</v>
      </c>
      <c r="X22">
        <f t="shared" si="1"/>
        <v>108.80449618627055</v>
      </c>
      <c r="Y22">
        <f t="shared" si="2"/>
        <v>149.61809179713634</v>
      </c>
      <c r="Z22">
        <f t="shared" si="3"/>
        <v>190.43168740800212</v>
      </c>
      <c r="AA22">
        <f t="shared" si="4"/>
        <v>272.05887862973373</v>
      </c>
      <c r="AB22">
        <f t="shared" si="5"/>
        <v>312.8724742405995</v>
      </c>
      <c r="AC22">
        <f t="shared" si="6"/>
        <v>353.68606985146528</v>
      </c>
      <c r="AD22" t="e">
        <f t="shared" si="7"/>
        <v>#N/A</v>
      </c>
      <c r="AE22">
        <f t="shared" si="14"/>
        <v>2</v>
      </c>
      <c r="AF22">
        <f t="shared" si="8"/>
        <v>320</v>
      </c>
      <c r="AG22">
        <f t="shared" si="9"/>
        <v>1</v>
      </c>
      <c r="AH22" t="e">
        <f t="shared" si="10"/>
        <v>#N/A</v>
      </c>
      <c r="AI22">
        <f t="shared" si="11"/>
        <v>1</v>
      </c>
      <c r="AJ22" t="e">
        <f t="shared" si="12"/>
        <v>#N/A</v>
      </c>
      <c r="AK22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22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22">
        <f t="shared" si="13"/>
        <v>14.699999999999989</v>
      </c>
    </row>
    <row r="23" spans="2:39" x14ac:dyDescent="0.35">
      <c r="B23" s="12">
        <f>Demand!B25</f>
        <v>43750</v>
      </c>
      <c r="C23" s="7">
        <f>INDEX(Demand!$E$6:$S$265,MATCH('SPC Backing (Hide)'!$B23,Demand!$B$6:$B$265,0),MATCH('SPC Backing (Hide)'!C$3,Demand!$E$5:$S$5,0))</f>
        <v>338</v>
      </c>
      <c r="D23" s="5">
        <f>INDEX(Demand!$E$6:$S$265,MATCH('SPC Backing (Hide)'!$B23,Demand!$B$6:$B$265,0),MATCH('SPC Backing (Hide)'!D$3,Demand!$E$5:$S$5,0))</f>
        <v>0</v>
      </c>
      <c r="E23" s="5">
        <f>INDEX(Demand!$E$6:$S$265,MATCH('SPC Backing (Hide)'!$B23,Demand!$B$6:$B$265,0),MATCH('SPC Backing (Hide)'!E$3,Demand!$E$5:$S$5,0))</f>
        <v>0</v>
      </c>
      <c r="F23" s="5">
        <f>INDEX(Demand!$E$6:$S$265,MATCH('SPC Backing (Hide)'!$B23,Demand!$B$6:$B$265,0),MATCH('SPC Backing (Hide)'!F$3,Demand!$E$5:$S$5,0))</f>
        <v>0</v>
      </c>
      <c r="G23" s="5">
        <f>INDEX(Demand!$E$6:$S$265,MATCH('SPC Backing (Hide)'!$B23,Demand!$B$6:$B$265,0),MATCH('SPC Backing (Hide)'!G$3,Demand!$E$5:$S$5,0))</f>
        <v>0</v>
      </c>
      <c r="H23" s="5">
        <f>INDEX(Demand!$E$6:$S$265,MATCH('SPC Backing (Hide)'!$B23,Demand!$B$6:$B$265,0),MATCH('SPC Backing (Hide)'!H$3,Demand!$E$5:$S$5,0))</f>
        <v>0</v>
      </c>
      <c r="I23" s="5">
        <f>INDEX(Demand!$E$6:$S$265,MATCH('SPC Backing (Hide)'!$B23,Demand!$B$6:$B$265,0),MATCH('SPC Backing (Hide)'!I$3,Demand!$E$5:$S$5,0))</f>
        <v>0</v>
      </c>
      <c r="J23" s="5">
        <f>INDEX(Demand!$E$6:$S$265,MATCH('SPC Backing (Hide)'!$B23,Demand!$B$6:$B$265,0),MATCH('SPC Backing (Hide)'!J$3,Demand!$E$5:$S$5,0))</f>
        <v>0</v>
      </c>
      <c r="K23" s="5">
        <f>INDEX(Demand!$E$6:$S$265,MATCH('SPC Backing (Hide)'!$B23,Demand!$B$6:$B$265,0),MATCH('SPC Backing (Hide)'!K$3,Demand!$E$5:$S$5,0))</f>
        <v>0</v>
      </c>
      <c r="L23" s="5">
        <f>INDEX(Demand!$E$6:$S$265,MATCH('SPC Backing (Hide)'!$B23,Demand!$B$6:$B$265,0),MATCH('SPC Backing (Hide)'!L$3,Demand!$E$5:$S$5,0))</f>
        <v>0</v>
      </c>
      <c r="M23" s="5">
        <f>INDEX(Demand!$E$6:$S$265,MATCH('SPC Backing (Hide)'!$B23,Demand!$B$6:$B$265,0),MATCH('SPC Backing (Hide)'!M$3,Demand!$E$5:$S$5,0))</f>
        <v>0</v>
      </c>
      <c r="N23" s="5">
        <f>INDEX(Demand!$E$6:$S$265,MATCH('SPC Backing (Hide)'!$B23,Demand!$B$6:$B$265,0),MATCH('SPC Backing (Hide)'!N$3,Demand!$E$5:$S$5,0))</f>
        <v>0</v>
      </c>
      <c r="O23" s="5">
        <f>INDEX(Demand!$E$6:$S$265,MATCH('SPC Backing (Hide)'!$B23,Demand!$B$6:$B$265,0),MATCH('SPC Backing (Hide)'!O$3,Demand!$E$5:$S$5,0))</f>
        <v>0</v>
      </c>
      <c r="P23" s="5">
        <f>INDEX(Demand!$E$6:$S$265,MATCH('SPC Backing (Hide)'!$B23,Demand!$B$6:$B$265,0),MATCH('SPC Backing (Hide)'!P$3,Demand!$E$5:$S$5,0))</f>
        <v>0</v>
      </c>
      <c r="Q23" s="6">
        <f>INDEX(Demand!$E$6:$S$265,MATCH('SPC Backing (Hide)'!$B23,Demand!$B$6:$B$265,0),MATCH('SPC Backing (Hide)'!Q$3,Demand!$E$5:$S$5,0))</f>
        <v>0</v>
      </c>
      <c r="R23">
        <f>IF(SPC!$B$11="Yes",IF(ROW(A20)&gt;=Demand!$A$5-52,1,0),IF(AND(B23&gt;=SPC!$B$12,B23&lt;SPC!$B$13),1,0))</f>
        <v>1</v>
      </c>
      <c r="S23" cm="1">
        <f t="array" ref="S23">INDEX($C$4:$Q$263,ROW(A20),MATCH($T$2,$C$3:$Q$3,0))</f>
        <v>338</v>
      </c>
      <c r="T23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23" cm="1">
        <f t="array" ref="U23">ABS(INDEX($C$4:$Q$263,ROW(A20),MATCH($T$2,$C$3:$Q$3,0))-INDEX($C$4:$Q$263,ROW(A19),MATCH($T$2,$C$3:$Q$3,0)))</f>
        <v>18</v>
      </c>
      <c r="V23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23">
        <f t="shared" si="0"/>
        <v>40.813595610865789</v>
      </c>
      <c r="X23">
        <f t="shared" si="1"/>
        <v>108.80449618627055</v>
      </c>
      <c r="Y23">
        <f t="shared" si="2"/>
        <v>149.61809179713634</v>
      </c>
      <c r="Z23">
        <f t="shared" si="3"/>
        <v>190.43168740800212</v>
      </c>
      <c r="AA23">
        <f t="shared" si="4"/>
        <v>272.05887862973373</v>
      </c>
      <c r="AB23">
        <f t="shared" si="5"/>
        <v>312.8724742405995</v>
      </c>
      <c r="AC23">
        <f t="shared" si="6"/>
        <v>353.68606985146528</v>
      </c>
      <c r="AD23" t="e">
        <f t="shared" si="7"/>
        <v>#N/A</v>
      </c>
      <c r="AE23">
        <f t="shared" si="14"/>
        <v>2</v>
      </c>
      <c r="AF23" t="e">
        <f t="shared" si="8"/>
        <v>#N/A</v>
      </c>
      <c r="AG23">
        <f t="shared" si="9"/>
        <v>-1</v>
      </c>
      <c r="AH23" t="e">
        <f t="shared" si="10"/>
        <v>#N/A</v>
      </c>
      <c r="AI23">
        <f t="shared" si="11"/>
        <v>1</v>
      </c>
      <c r="AJ23" t="e">
        <f t="shared" si="12"/>
        <v>#N/A</v>
      </c>
      <c r="AK23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23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23">
        <f t="shared" si="13"/>
        <v>14.699999999999989</v>
      </c>
    </row>
    <row r="24" spans="2:39" x14ac:dyDescent="0.35">
      <c r="B24" s="12">
        <f>Demand!B26</f>
        <v>43757</v>
      </c>
      <c r="C24" s="7">
        <f>INDEX(Demand!$E$6:$S$265,MATCH('SPC Backing (Hide)'!$B24,Demand!$B$6:$B$265,0),MATCH('SPC Backing (Hide)'!C$3,Demand!$E$5:$S$5,0))</f>
        <v>270</v>
      </c>
      <c r="D24" s="5">
        <f>INDEX(Demand!$E$6:$S$265,MATCH('SPC Backing (Hide)'!$B24,Demand!$B$6:$B$265,0),MATCH('SPC Backing (Hide)'!D$3,Demand!$E$5:$S$5,0))</f>
        <v>0</v>
      </c>
      <c r="E24" s="5">
        <f>INDEX(Demand!$E$6:$S$265,MATCH('SPC Backing (Hide)'!$B24,Demand!$B$6:$B$265,0),MATCH('SPC Backing (Hide)'!E$3,Demand!$E$5:$S$5,0))</f>
        <v>0</v>
      </c>
      <c r="F24" s="5">
        <f>INDEX(Demand!$E$6:$S$265,MATCH('SPC Backing (Hide)'!$B24,Demand!$B$6:$B$265,0),MATCH('SPC Backing (Hide)'!F$3,Demand!$E$5:$S$5,0))</f>
        <v>0</v>
      </c>
      <c r="G24" s="5">
        <f>INDEX(Demand!$E$6:$S$265,MATCH('SPC Backing (Hide)'!$B24,Demand!$B$6:$B$265,0),MATCH('SPC Backing (Hide)'!G$3,Demand!$E$5:$S$5,0))</f>
        <v>0</v>
      </c>
      <c r="H24" s="5">
        <f>INDEX(Demand!$E$6:$S$265,MATCH('SPC Backing (Hide)'!$B24,Demand!$B$6:$B$265,0),MATCH('SPC Backing (Hide)'!H$3,Demand!$E$5:$S$5,0))</f>
        <v>0</v>
      </c>
      <c r="I24" s="5">
        <f>INDEX(Demand!$E$6:$S$265,MATCH('SPC Backing (Hide)'!$B24,Demand!$B$6:$B$265,0),MATCH('SPC Backing (Hide)'!I$3,Demand!$E$5:$S$5,0))</f>
        <v>0</v>
      </c>
      <c r="J24" s="5">
        <f>INDEX(Demand!$E$6:$S$265,MATCH('SPC Backing (Hide)'!$B24,Demand!$B$6:$B$265,0),MATCH('SPC Backing (Hide)'!J$3,Demand!$E$5:$S$5,0))</f>
        <v>0</v>
      </c>
      <c r="K24" s="5">
        <f>INDEX(Demand!$E$6:$S$265,MATCH('SPC Backing (Hide)'!$B24,Demand!$B$6:$B$265,0),MATCH('SPC Backing (Hide)'!K$3,Demand!$E$5:$S$5,0))</f>
        <v>0</v>
      </c>
      <c r="L24" s="5">
        <f>INDEX(Demand!$E$6:$S$265,MATCH('SPC Backing (Hide)'!$B24,Demand!$B$6:$B$265,0),MATCH('SPC Backing (Hide)'!L$3,Demand!$E$5:$S$5,0))</f>
        <v>0</v>
      </c>
      <c r="M24" s="5">
        <f>INDEX(Demand!$E$6:$S$265,MATCH('SPC Backing (Hide)'!$B24,Demand!$B$6:$B$265,0),MATCH('SPC Backing (Hide)'!M$3,Demand!$E$5:$S$5,0))</f>
        <v>0</v>
      </c>
      <c r="N24" s="5">
        <f>INDEX(Demand!$E$6:$S$265,MATCH('SPC Backing (Hide)'!$B24,Demand!$B$6:$B$265,0),MATCH('SPC Backing (Hide)'!N$3,Demand!$E$5:$S$5,0))</f>
        <v>0</v>
      </c>
      <c r="O24" s="5">
        <f>INDEX(Demand!$E$6:$S$265,MATCH('SPC Backing (Hide)'!$B24,Demand!$B$6:$B$265,0),MATCH('SPC Backing (Hide)'!O$3,Demand!$E$5:$S$5,0))</f>
        <v>0</v>
      </c>
      <c r="P24" s="5">
        <f>INDEX(Demand!$E$6:$S$265,MATCH('SPC Backing (Hide)'!$B24,Demand!$B$6:$B$265,0),MATCH('SPC Backing (Hide)'!P$3,Demand!$E$5:$S$5,0))</f>
        <v>0</v>
      </c>
      <c r="Q24" s="6">
        <f>INDEX(Demand!$E$6:$S$265,MATCH('SPC Backing (Hide)'!$B24,Demand!$B$6:$B$265,0),MATCH('SPC Backing (Hide)'!Q$3,Demand!$E$5:$S$5,0))</f>
        <v>0</v>
      </c>
      <c r="R24">
        <f>IF(SPC!$B$11="Yes",IF(ROW(A21)&gt;=Demand!$A$5-52,1,0),IF(AND(B24&gt;=SPC!$B$12,B24&lt;SPC!$B$13),1,0))</f>
        <v>1</v>
      </c>
      <c r="S24" cm="1">
        <f t="array" ref="S24">INDEX($C$4:$Q$263,ROW(A21),MATCH($T$2,$C$3:$Q$3,0))</f>
        <v>270</v>
      </c>
      <c r="T24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24" cm="1">
        <f t="array" ref="U24">ABS(INDEX($C$4:$Q$263,ROW(A21),MATCH($T$2,$C$3:$Q$3,0))-INDEX($C$4:$Q$263,ROW(A20),MATCH($T$2,$C$3:$Q$3,0)))</f>
        <v>68</v>
      </c>
      <c r="V24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24">
        <f t="shared" si="0"/>
        <v>40.813595610865789</v>
      </c>
      <c r="X24">
        <f t="shared" si="1"/>
        <v>108.80449618627055</v>
      </c>
      <c r="Y24">
        <f t="shared" si="2"/>
        <v>149.61809179713634</v>
      </c>
      <c r="Z24">
        <f t="shared" si="3"/>
        <v>190.43168740800212</v>
      </c>
      <c r="AA24">
        <f t="shared" si="4"/>
        <v>272.05887862973373</v>
      </c>
      <c r="AB24">
        <f t="shared" si="5"/>
        <v>312.8724742405995</v>
      </c>
      <c r="AC24">
        <f t="shared" si="6"/>
        <v>353.68606985146528</v>
      </c>
      <c r="AD24" t="e">
        <f t="shared" si="7"/>
        <v>#N/A</v>
      </c>
      <c r="AE24">
        <f t="shared" si="14"/>
        <v>1</v>
      </c>
      <c r="AF24" t="e">
        <f t="shared" si="8"/>
        <v>#N/A</v>
      </c>
      <c r="AG24">
        <f t="shared" si="9"/>
        <v>-1</v>
      </c>
      <c r="AH24" t="e">
        <f t="shared" si="10"/>
        <v>#N/A</v>
      </c>
      <c r="AI24">
        <f t="shared" si="11"/>
        <v>1</v>
      </c>
      <c r="AJ24" t="e">
        <f t="shared" si="12"/>
        <v>#N/A</v>
      </c>
      <c r="AK24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24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24">
        <f t="shared" si="13"/>
        <v>14.699999999999989</v>
      </c>
    </row>
    <row r="25" spans="2:39" x14ac:dyDescent="0.35">
      <c r="B25" s="12">
        <f>Demand!B27</f>
        <v>43764</v>
      </c>
      <c r="C25" s="7">
        <f>INDEX(Demand!$E$6:$S$265,MATCH('SPC Backing (Hide)'!$B25,Demand!$B$6:$B$265,0),MATCH('SPC Backing (Hide)'!C$3,Demand!$E$5:$S$5,0))</f>
        <v>216</v>
      </c>
      <c r="D25" s="5">
        <f>INDEX(Demand!$E$6:$S$265,MATCH('SPC Backing (Hide)'!$B25,Demand!$B$6:$B$265,0),MATCH('SPC Backing (Hide)'!D$3,Demand!$E$5:$S$5,0))</f>
        <v>0</v>
      </c>
      <c r="E25" s="5">
        <f>INDEX(Demand!$E$6:$S$265,MATCH('SPC Backing (Hide)'!$B25,Demand!$B$6:$B$265,0),MATCH('SPC Backing (Hide)'!E$3,Demand!$E$5:$S$5,0))</f>
        <v>0</v>
      </c>
      <c r="F25" s="5">
        <f>INDEX(Demand!$E$6:$S$265,MATCH('SPC Backing (Hide)'!$B25,Demand!$B$6:$B$265,0),MATCH('SPC Backing (Hide)'!F$3,Demand!$E$5:$S$5,0))</f>
        <v>0</v>
      </c>
      <c r="G25" s="5">
        <f>INDEX(Demand!$E$6:$S$265,MATCH('SPC Backing (Hide)'!$B25,Demand!$B$6:$B$265,0),MATCH('SPC Backing (Hide)'!G$3,Demand!$E$5:$S$5,0))</f>
        <v>0</v>
      </c>
      <c r="H25" s="5">
        <f>INDEX(Demand!$E$6:$S$265,MATCH('SPC Backing (Hide)'!$B25,Demand!$B$6:$B$265,0),MATCH('SPC Backing (Hide)'!H$3,Demand!$E$5:$S$5,0))</f>
        <v>0</v>
      </c>
      <c r="I25" s="5">
        <f>INDEX(Demand!$E$6:$S$265,MATCH('SPC Backing (Hide)'!$B25,Demand!$B$6:$B$265,0),MATCH('SPC Backing (Hide)'!I$3,Demand!$E$5:$S$5,0))</f>
        <v>0</v>
      </c>
      <c r="J25" s="5">
        <f>INDEX(Demand!$E$6:$S$265,MATCH('SPC Backing (Hide)'!$B25,Demand!$B$6:$B$265,0),MATCH('SPC Backing (Hide)'!J$3,Demand!$E$5:$S$5,0))</f>
        <v>0</v>
      </c>
      <c r="K25" s="5">
        <f>INDEX(Demand!$E$6:$S$265,MATCH('SPC Backing (Hide)'!$B25,Demand!$B$6:$B$265,0),MATCH('SPC Backing (Hide)'!K$3,Demand!$E$5:$S$5,0))</f>
        <v>0</v>
      </c>
      <c r="L25" s="5">
        <f>INDEX(Demand!$E$6:$S$265,MATCH('SPC Backing (Hide)'!$B25,Demand!$B$6:$B$265,0),MATCH('SPC Backing (Hide)'!L$3,Demand!$E$5:$S$5,0))</f>
        <v>0</v>
      </c>
      <c r="M25" s="5">
        <f>INDEX(Demand!$E$6:$S$265,MATCH('SPC Backing (Hide)'!$B25,Demand!$B$6:$B$265,0),MATCH('SPC Backing (Hide)'!M$3,Demand!$E$5:$S$5,0))</f>
        <v>0</v>
      </c>
      <c r="N25" s="5">
        <f>INDEX(Demand!$E$6:$S$265,MATCH('SPC Backing (Hide)'!$B25,Demand!$B$6:$B$265,0),MATCH('SPC Backing (Hide)'!N$3,Demand!$E$5:$S$5,0))</f>
        <v>0</v>
      </c>
      <c r="O25" s="5">
        <f>INDEX(Demand!$E$6:$S$265,MATCH('SPC Backing (Hide)'!$B25,Demand!$B$6:$B$265,0),MATCH('SPC Backing (Hide)'!O$3,Demand!$E$5:$S$5,0))</f>
        <v>0</v>
      </c>
      <c r="P25" s="5">
        <f>INDEX(Demand!$E$6:$S$265,MATCH('SPC Backing (Hide)'!$B25,Demand!$B$6:$B$265,0),MATCH('SPC Backing (Hide)'!P$3,Demand!$E$5:$S$5,0))</f>
        <v>0</v>
      </c>
      <c r="Q25" s="6">
        <f>INDEX(Demand!$E$6:$S$265,MATCH('SPC Backing (Hide)'!$B25,Demand!$B$6:$B$265,0),MATCH('SPC Backing (Hide)'!Q$3,Demand!$E$5:$S$5,0))</f>
        <v>0</v>
      </c>
      <c r="R25">
        <f>IF(SPC!$B$11="Yes",IF(ROW(A22)&gt;=Demand!$A$5-52,1,0),IF(AND(B25&gt;=SPC!$B$12,B25&lt;SPC!$B$13),1,0))</f>
        <v>1</v>
      </c>
      <c r="S25" cm="1">
        <f t="array" ref="S25">INDEX($C$4:$Q$263,ROW(A22),MATCH($T$2,$C$3:$Q$3,0))</f>
        <v>216</v>
      </c>
      <c r="T25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25" cm="1">
        <f t="array" ref="U25">ABS(INDEX($C$4:$Q$263,ROW(A22),MATCH($T$2,$C$3:$Q$3,0))-INDEX($C$4:$Q$263,ROW(A21),MATCH($T$2,$C$3:$Q$3,0)))</f>
        <v>54</v>
      </c>
      <c r="V25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25">
        <f t="shared" si="0"/>
        <v>40.813595610865789</v>
      </c>
      <c r="X25">
        <f t="shared" si="1"/>
        <v>108.80449618627055</v>
      </c>
      <c r="Y25">
        <f t="shared" si="2"/>
        <v>149.61809179713634</v>
      </c>
      <c r="Z25">
        <f t="shared" si="3"/>
        <v>190.43168740800212</v>
      </c>
      <c r="AA25">
        <f t="shared" si="4"/>
        <v>272.05887862973373</v>
      </c>
      <c r="AB25">
        <f t="shared" si="5"/>
        <v>312.8724742405995</v>
      </c>
      <c r="AC25">
        <f t="shared" si="6"/>
        <v>353.68606985146528</v>
      </c>
      <c r="AD25" t="e">
        <f t="shared" si="7"/>
        <v>#N/A</v>
      </c>
      <c r="AE25">
        <f t="shared" si="14"/>
        <v>-1</v>
      </c>
      <c r="AF25" t="e">
        <f t="shared" si="8"/>
        <v>#N/A</v>
      </c>
      <c r="AG25">
        <f t="shared" si="9"/>
        <v>1</v>
      </c>
      <c r="AH25" t="e">
        <f t="shared" si="10"/>
        <v>#N/A</v>
      </c>
      <c r="AI25">
        <f t="shared" si="11"/>
        <v>-1</v>
      </c>
      <c r="AJ25" t="e">
        <f t="shared" si="12"/>
        <v>#N/A</v>
      </c>
      <c r="AK25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25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25">
        <f t="shared" si="13"/>
        <v>14.699999999999989</v>
      </c>
    </row>
    <row r="26" spans="2:39" x14ac:dyDescent="0.35">
      <c r="B26" s="12">
        <f>Demand!B28</f>
        <v>43771</v>
      </c>
      <c r="C26" s="7">
        <f>INDEX(Demand!$E$6:$S$265,MATCH('SPC Backing (Hide)'!$B26,Demand!$B$6:$B$265,0),MATCH('SPC Backing (Hide)'!C$3,Demand!$E$5:$S$5,0))</f>
        <v>220</v>
      </c>
      <c r="D26" s="5">
        <f>INDEX(Demand!$E$6:$S$265,MATCH('SPC Backing (Hide)'!$B26,Demand!$B$6:$B$265,0),MATCH('SPC Backing (Hide)'!D$3,Demand!$E$5:$S$5,0))</f>
        <v>0</v>
      </c>
      <c r="E26" s="5">
        <f>INDEX(Demand!$E$6:$S$265,MATCH('SPC Backing (Hide)'!$B26,Demand!$B$6:$B$265,0),MATCH('SPC Backing (Hide)'!E$3,Demand!$E$5:$S$5,0))</f>
        <v>0</v>
      </c>
      <c r="F26" s="5">
        <f>INDEX(Demand!$E$6:$S$265,MATCH('SPC Backing (Hide)'!$B26,Demand!$B$6:$B$265,0),MATCH('SPC Backing (Hide)'!F$3,Demand!$E$5:$S$5,0))</f>
        <v>0</v>
      </c>
      <c r="G26" s="5">
        <f>INDEX(Demand!$E$6:$S$265,MATCH('SPC Backing (Hide)'!$B26,Demand!$B$6:$B$265,0),MATCH('SPC Backing (Hide)'!G$3,Demand!$E$5:$S$5,0))</f>
        <v>0</v>
      </c>
      <c r="H26" s="5">
        <f>INDEX(Demand!$E$6:$S$265,MATCH('SPC Backing (Hide)'!$B26,Demand!$B$6:$B$265,0),MATCH('SPC Backing (Hide)'!H$3,Demand!$E$5:$S$5,0))</f>
        <v>0</v>
      </c>
      <c r="I26" s="5">
        <f>INDEX(Demand!$E$6:$S$265,MATCH('SPC Backing (Hide)'!$B26,Demand!$B$6:$B$265,0),MATCH('SPC Backing (Hide)'!I$3,Demand!$E$5:$S$5,0))</f>
        <v>0</v>
      </c>
      <c r="J26" s="5">
        <f>INDEX(Demand!$E$6:$S$265,MATCH('SPC Backing (Hide)'!$B26,Demand!$B$6:$B$265,0),MATCH('SPC Backing (Hide)'!J$3,Demand!$E$5:$S$5,0))</f>
        <v>0</v>
      </c>
      <c r="K26" s="5">
        <f>INDEX(Demand!$E$6:$S$265,MATCH('SPC Backing (Hide)'!$B26,Demand!$B$6:$B$265,0),MATCH('SPC Backing (Hide)'!K$3,Demand!$E$5:$S$5,0))</f>
        <v>0</v>
      </c>
      <c r="L26" s="5">
        <f>INDEX(Demand!$E$6:$S$265,MATCH('SPC Backing (Hide)'!$B26,Demand!$B$6:$B$265,0),MATCH('SPC Backing (Hide)'!L$3,Demand!$E$5:$S$5,0))</f>
        <v>0</v>
      </c>
      <c r="M26" s="5">
        <f>INDEX(Demand!$E$6:$S$265,MATCH('SPC Backing (Hide)'!$B26,Demand!$B$6:$B$265,0),MATCH('SPC Backing (Hide)'!M$3,Demand!$E$5:$S$5,0))</f>
        <v>0</v>
      </c>
      <c r="N26" s="5">
        <f>INDEX(Demand!$E$6:$S$265,MATCH('SPC Backing (Hide)'!$B26,Demand!$B$6:$B$265,0),MATCH('SPC Backing (Hide)'!N$3,Demand!$E$5:$S$5,0))</f>
        <v>0</v>
      </c>
      <c r="O26" s="5">
        <f>INDEX(Demand!$E$6:$S$265,MATCH('SPC Backing (Hide)'!$B26,Demand!$B$6:$B$265,0),MATCH('SPC Backing (Hide)'!O$3,Demand!$E$5:$S$5,0))</f>
        <v>0</v>
      </c>
      <c r="P26" s="5">
        <f>INDEX(Demand!$E$6:$S$265,MATCH('SPC Backing (Hide)'!$B26,Demand!$B$6:$B$265,0),MATCH('SPC Backing (Hide)'!P$3,Demand!$E$5:$S$5,0))</f>
        <v>0</v>
      </c>
      <c r="Q26" s="6">
        <f>INDEX(Demand!$E$6:$S$265,MATCH('SPC Backing (Hide)'!$B26,Demand!$B$6:$B$265,0),MATCH('SPC Backing (Hide)'!Q$3,Demand!$E$5:$S$5,0))</f>
        <v>0</v>
      </c>
      <c r="R26">
        <f>IF(SPC!$B$11="Yes",IF(ROW(A23)&gt;=Demand!$A$5-52,1,0),IF(AND(B26&gt;=SPC!$B$12,B26&lt;SPC!$B$13),1,0))</f>
        <v>1</v>
      </c>
      <c r="S26" cm="1">
        <f t="array" ref="S26">INDEX($C$4:$Q$263,ROW(A23),MATCH($T$2,$C$3:$Q$3,0))</f>
        <v>220</v>
      </c>
      <c r="T26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26" cm="1">
        <f t="array" ref="U26">ABS(INDEX($C$4:$Q$263,ROW(A23),MATCH($T$2,$C$3:$Q$3,0))-INDEX($C$4:$Q$263,ROW(A22),MATCH($T$2,$C$3:$Q$3,0)))</f>
        <v>4</v>
      </c>
      <c r="V26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26">
        <f t="shared" si="0"/>
        <v>40.813595610865789</v>
      </c>
      <c r="X26">
        <f t="shared" si="1"/>
        <v>108.80449618627055</v>
      </c>
      <c r="Y26">
        <f t="shared" si="2"/>
        <v>149.61809179713634</v>
      </c>
      <c r="Z26">
        <f t="shared" si="3"/>
        <v>190.43168740800212</v>
      </c>
      <c r="AA26">
        <f t="shared" si="4"/>
        <v>272.05887862973373</v>
      </c>
      <c r="AB26">
        <f t="shared" si="5"/>
        <v>312.8724742405995</v>
      </c>
      <c r="AC26">
        <f t="shared" si="6"/>
        <v>353.68606985146528</v>
      </c>
      <c r="AD26" t="e">
        <f t="shared" si="7"/>
        <v>#N/A</v>
      </c>
      <c r="AE26">
        <f t="shared" si="14"/>
        <v>-1</v>
      </c>
      <c r="AF26" t="e">
        <f t="shared" si="8"/>
        <v>#N/A</v>
      </c>
      <c r="AG26">
        <f t="shared" si="9"/>
        <v>-1</v>
      </c>
      <c r="AH26" t="e">
        <f t="shared" si="10"/>
        <v>#N/A</v>
      </c>
      <c r="AI26">
        <f t="shared" si="11"/>
        <v>-1</v>
      </c>
      <c r="AJ26" t="e">
        <f t="shared" si="12"/>
        <v>#N/A</v>
      </c>
      <c r="AK26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26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26">
        <f t="shared" si="13"/>
        <v>14.699999999999989</v>
      </c>
    </row>
    <row r="27" spans="2:39" x14ac:dyDescent="0.35">
      <c r="B27" s="12">
        <f>Demand!B29</f>
        <v>43778</v>
      </c>
      <c r="C27" s="7">
        <f>INDEX(Demand!$E$6:$S$265,MATCH('SPC Backing (Hide)'!$B27,Demand!$B$6:$B$265,0),MATCH('SPC Backing (Hide)'!C$3,Demand!$E$5:$S$5,0))</f>
        <v>216</v>
      </c>
      <c r="D27" s="5">
        <f>INDEX(Demand!$E$6:$S$265,MATCH('SPC Backing (Hide)'!$B27,Demand!$B$6:$B$265,0),MATCH('SPC Backing (Hide)'!D$3,Demand!$E$5:$S$5,0))</f>
        <v>0</v>
      </c>
      <c r="E27" s="5">
        <f>INDEX(Demand!$E$6:$S$265,MATCH('SPC Backing (Hide)'!$B27,Demand!$B$6:$B$265,0),MATCH('SPC Backing (Hide)'!E$3,Demand!$E$5:$S$5,0))</f>
        <v>0</v>
      </c>
      <c r="F27" s="5">
        <f>INDEX(Demand!$E$6:$S$265,MATCH('SPC Backing (Hide)'!$B27,Demand!$B$6:$B$265,0),MATCH('SPC Backing (Hide)'!F$3,Demand!$E$5:$S$5,0))</f>
        <v>0</v>
      </c>
      <c r="G27" s="5">
        <f>INDEX(Demand!$E$6:$S$265,MATCH('SPC Backing (Hide)'!$B27,Demand!$B$6:$B$265,0),MATCH('SPC Backing (Hide)'!G$3,Demand!$E$5:$S$5,0))</f>
        <v>0</v>
      </c>
      <c r="H27" s="5">
        <f>INDEX(Demand!$E$6:$S$265,MATCH('SPC Backing (Hide)'!$B27,Demand!$B$6:$B$265,0),MATCH('SPC Backing (Hide)'!H$3,Demand!$E$5:$S$5,0))</f>
        <v>0</v>
      </c>
      <c r="I27" s="5">
        <f>INDEX(Demand!$E$6:$S$265,MATCH('SPC Backing (Hide)'!$B27,Demand!$B$6:$B$265,0),MATCH('SPC Backing (Hide)'!I$3,Demand!$E$5:$S$5,0))</f>
        <v>0</v>
      </c>
      <c r="J27" s="5">
        <f>INDEX(Demand!$E$6:$S$265,MATCH('SPC Backing (Hide)'!$B27,Demand!$B$6:$B$265,0),MATCH('SPC Backing (Hide)'!J$3,Demand!$E$5:$S$5,0))</f>
        <v>0</v>
      </c>
      <c r="K27" s="5">
        <f>INDEX(Demand!$E$6:$S$265,MATCH('SPC Backing (Hide)'!$B27,Demand!$B$6:$B$265,0),MATCH('SPC Backing (Hide)'!K$3,Demand!$E$5:$S$5,0))</f>
        <v>0</v>
      </c>
      <c r="L27" s="5">
        <f>INDEX(Demand!$E$6:$S$265,MATCH('SPC Backing (Hide)'!$B27,Demand!$B$6:$B$265,0),MATCH('SPC Backing (Hide)'!L$3,Demand!$E$5:$S$5,0))</f>
        <v>0</v>
      </c>
      <c r="M27" s="5">
        <f>INDEX(Demand!$E$6:$S$265,MATCH('SPC Backing (Hide)'!$B27,Demand!$B$6:$B$265,0),MATCH('SPC Backing (Hide)'!M$3,Demand!$E$5:$S$5,0))</f>
        <v>0</v>
      </c>
      <c r="N27" s="5">
        <f>INDEX(Demand!$E$6:$S$265,MATCH('SPC Backing (Hide)'!$B27,Demand!$B$6:$B$265,0),MATCH('SPC Backing (Hide)'!N$3,Demand!$E$5:$S$5,0))</f>
        <v>0</v>
      </c>
      <c r="O27" s="5">
        <f>INDEX(Demand!$E$6:$S$265,MATCH('SPC Backing (Hide)'!$B27,Demand!$B$6:$B$265,0),MATCH('SPC Backing (Hide)'!O$3,Demand!$E$5:$S$5,0))</f>
        <v>0</v>
      </c>
      <c r="P27" s="5">
        <f>INDEX(Demand!$E$6:$S$265,MATCH('SPC Backing (Hide)'!$B27,Demand!$B$6:$B$265,0),MATCH('SPC Backing (Hide)'!P$3,Demand!$E$5:$S$5,0))</f>
        <v>0</v>
      </c>
      <c r="Q27" s="6">
        <f>INDEX(Demand!$E$6:$S$265,MATCH('SPC Backing (Hide)'!$B27,Demand!$B$6:$B$265,0),MATCH('SPC Backing (Hide)'!Q$3,Demand!$E$5:$S$5,0))</f>
        <v>0</v>
      </c>
      <c r="R27">
        <f>IF(SPC!$B$11="Yes",IF(ROW(A24)&gt;=Demand!$A$5-52,1,0),IF(AND(B27&gt;=SPC!$B$12,B27&lt;SPC!$B$13),1,0))</f>
        <v>1</v>
      </c>
      <c r="S27" cm="1">
        <f t="array" ref="S27">INDEX($C$4:$Q$263,ROW(A24),MATCH($T$2,$C$3:$Q$3,0))</f>
        <v>216</v>
      </c>
      <c r="T27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27" cm="1">
        <f t="array" ref="U27">ABS(INDEX($C$4:$Q$263,ROW(A24),MATCH($T$2,$C$3:$Q$3,0))-INDEX($C$4:$Q$263,ROW(A23),MATCH($T$2,$C$3:$Q$3,0)))</f>
        <v>4</v>
      </c>
      <c r="V27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27">
        <f t="shared" si="0"/>
        <v>40.813595610865789</v>
      </c>
      <c r="X27">
        <f t="shared" si="1"/>
        <v>108.80449618627055</v>
      </c>
      <c r="Y27">
        <f t="shared" si="2"/>
        <v>149.61809179713634</v>
      </c>
      <c r="Z27">
        <f t="shared" si="3"/>
        <v>190.43168740800212</v>
      </c>
      <c r="AA27">
        <f t="shared" si="4"/>
        <v>272.05887862973373</v>
      </c>
      <c r="AB27">
        <f t="shared" si="5"/>
        <v>312.8724742405995</v>
      </c>
      <c r="AC27">
        <f t="shared" si="6"/>
        <v>353.68606985146528</v>
      </c>
      <c r="AD27" t="e">
        <f t="shared" si="7"/>
        <v>#N/A</v>
      </c>
      <c r="AE27">
        <f t="shared" si="14"/>
        <v>-1</v>
      </c>
      <c r="AF27" t="e">
        <f t="shared" si="8"/>
        <v>#N/A</v>
      </c>
      <c r="AG27">
        <f t="shared" si="9"/>
        <v>-1</v>
      </c>
      <c r="AH27" t="e">
        <f t="shared" si="10"/>
        <v>#N/A</v>
      </c>
      <c r="AI27">
        <f t="shared" si="11"/>
        <v>-1</v>
      </c>
      <c r="AJ27" t="e">
        <f t="shared" si="12"/>
        <v>#N/A</v>
      </c>
      <c r="AK27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27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27">
        <f t="shared" si="13"/>
        <v>14.699999999999989</v>
      </c>
    </row>
    <row r="28" spans="2:39" x14ac:dyDescent="0.35">
      <c r="B28" s="12">
        <f>Demand!B30</f>
        <v>43785</v>
      </c>
      <c r="C28" s="7">
        <f>INDEX(Demand!$E$6:$S$265,MATCH('SPC Backing (Hide)'!$B28,Demand!$B$6:$B$265,0),MATCH('SPC Backing (Hide)'!C$3,Demand!$E$5:$S$5,0))</f>
        <v>208</v>
      </c>
      <c r="D28" s="5">
        <f>INDEX(Demand!$E$6:$S$265,MATCH('SPC Backing (Hide)'!$B28,Demand!$B$6:$B$265,0),MATCH('SPC Backing (Hide)'!D$3,Demand!$E$5:$S$5,0))</f>
        <v>0</v>
      </c>
      <c r="E28" s="5">
        <f>INDEX(Demand!$E$6:$S$265,MATCH('SPC Backing (Hide)'!$B28,Demand!$B$6:$B$265,0),MATCH('SPC Backing (Hide)'!E$3,Demand!$E$5:$S$5,0))</f>
        <v>0</v>
      </c>
      <c r="F28" s="5">
        <f>INDEX(Demand!$E$6:$S$265,MATCH('SPC Backing (Hide)'!$B28,Demand!$B$6:$B$265,0),MATCH('SPC Backing (Hide)'!F$3,Demand!$E$5:$S$5,0))</f>
        <v>0</v>
      </c>
      <c r="G28" s="5">
        <f>INDEX(Demand!$E$6:$S$265,MATCH('SPC Backing (Hide)'!$B28,Demand!$B$6:$B$265,0),MATCH('SPC Backing (Hide)'!G$3,Demand!$E$5:$S$5,0))</f>
        <v>0</v>
      </c>
      <c r="H28" s="5">
        <f>INDEX(Demand!$E$6:$S$265,MATCH('SPC Backing (Hide)'!$B28,Demand!$B$6:$B$265,0),MATCH('SPC Backing (Hide)'!H$3,Demand!$E$5:$S$5,0))</f>
        <v>0</v>
      </c>
      <c r="I28" s="5">
        <f>INDEX(Demand!$E$6:$S$265,MATCH('SPC Backing (Hide)'!$B28,Demand!$B$6:$B$265,0),MATCH('SPC Backing (Hide)'!I$3,Demand!$E$5:$S$5,0))</f>
        <v>0</v>
      </c>
      <c r="J28" s="5">
        <f>INDEX(Demand!$E$6:$S$265,MATCH('SPC Backing (Hide)'!$B28,Demand!$B$6:$B$265,0),MATCH('SPC Backing (Hide)'!J$3,Demand!$E$5:$S$5,0))</f>
        <v>0</v>
      </c>
      <c r="K28" s="5">
        <f>INDEX(Demand!$E$6:$S$265,MATCH('SPC Backing (Hide)'!$B28,Demand!$B$6:$B$265,0),MATCH('SPC Backing (Hide)'!K$3,Demand!$E$5:$S$5,0))</f>
        <v>0</v>
      </c>
      <c r="L28" s="5">
        <f>INDEX(Demand!$E$6:$S$265,MATCH('SPC Backing (Hide)'!$B28,Demand!$B$6:$B$265,0),MATCH('SPC Backing (Hide)'!L$3,Demand!$E$5:$S$5,0))</f>
        <v>0</v>
      </c>
      <c r="M28" s="5">
        <f>INDEX(Demand!$E$6:$S$265,MATCH('SPC Backing (Hide)'!$B28,Demand!$B$6:$B$265,0),MATCH('SPC Backing (Hide)'!M$3,Demand!$E$5:$S$5,0))</f>
        <v>0</v>
      </c>
      <c r="N28" s="5">
        <f>INDEX(Demand!$E$6:$S$265,MATCH('SPC Backing (Hide)'!$B28,Demand!$B$6:$B$265,0),MATCH('SPC Backing (Hide)'!N$3,Demand!$E$5:$S$5,0))</f>
        <v>0</v>
      </c>
      <c r="O28" s="5">
        <f>INDEX(Demand!$E$6:$S$265,MATCH('SPC Backing (Hide)'!$B28,Demand!$B$6:$B$265,0),MATCH('SPC Backing (Hide)'!O$3,Demand!$E$5:$S$5,0))</f>
        <v>0</v>
      </c>
      <c r="P28" s="5">
        <f>INDEX(Demand!$E$6:$S$265,MATCH('SPC Backing (Hide)'!$B28,Demand!$B$6:$B$265,0),MATCH('SPC Backing (Hide)'!P$3,Demand!$E$5:$S$5,0))</f>
        <v>0</v>
      </c>
      <c r="Q28" s="6">
        <f>INDEX(Demand!$E$6:$S$265,MATCH('SPC Backing (Hide)'!$B28,Demand!$B$6:$B$265,0),MATCH('SPC Backing (Hide)'!Q$3,Demand!$E$5:$S$5,0))</f>
        <v>0</v>
      </c>
      <c r="R28">
        <f>IF(SPC!$B$11="Yes",IF(ROW(A25)&gt;=Demand!$A$5-52,1,0),IF(AND(B28&gt;=SPC!$B$12,B28&lt;SPC!$B$13),1,0))</f>
        <v>1</v>
      </c>
      <c r="S28" cm="1">
        <f t="array" ref="S28">INDEX($C$4:$Q$263,ROW(A25),MATCH($T$2,$C$3:$Q$3,0))</f>
        <v>208</v>
      </c>
      <c r="T28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28" cm="1">
        <f t="array" ref="U28">ABS(INDEX($C$4:$Q$263,ROW(A25),MATCH($T$2,$C$3:$Q$3,0))-INDEX($C$4:$Q$263,ROW(A24),MATCH($T$2,$C$3:$Q$3,0)))</f>
        <v>8</v>
      </c>
      <c r="V28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28">
        <f t="shared" si="0"/>
        <v>40.813595610865789</v>
      </c>
      <c r="X28">
        <f t="shared" si="1"/>
        <v>108.80449618627055</v>
      </c>
      <c r="Y28">
        <f t="shared" si="2"/>
        <v>149.61809179713634</v>
      </c>
      <c r="Z28">
        <f t="shared" si="3"/>
        <v>190.43168740800212</v>
      </c>
      <c r="AA28">
        <f t="shared" si="4"/>
        <v>272.05887862973373</v>
      </c>
      <c r="AB28">
        <f t="shared" si="5"/>
        <v>312.8724742405995</v>
      </c>
      <c r="AC28">
        <f t="shared" si="6"/>
        <v>353.68606985146528</v>
      </c>
      <c r="AD28" t="e">
        <f t="shared" si="7"/>
        <v>#N/A</v>
      </c>
      <c r="AE28">
        <f t="shared" si="14"/>
        <v>-1</v>
      </c>
      <c r="AF28" t="e">
        <f t="shared" si="8"/>
        <v>#N/A</v>
      </c>
      <c r="AG28">
        <f t="shared" si="9"/>
        <v>-1</v>
      </c>
      <c r="AH28" t="e">
        <f t="shared" si="10"/>
        <v>#N/A</v>
      </c>
      <c r="AI28">
        <f t="shared" si="11"/>
        <v>-1</v>
      </c>
      <c r="AJ28" t="e">
        <f t="shared" si="12"/>
        <v>#N/A</v>
      </c>
      <c r="AK28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28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28">
        <f t="shared" si="13"/>
        <v>14.699999999999989</v>
      </c>
    </row>
    <row r="29" spans="2:39" x14ac:dyDescent="0.35">
      <c r="B29" s="12">
        <f>Demand!B31</f>
        <v>43792</v>
      </c>
      <c r="C29" s="7">
        <f>INDEX(Demand!$E$6:$S$265,MATCH('SPC Backing (Hide)'!$B29,Demand!$B$6:$B$265,0),MATCH('SPC Backing (Hide)'!C$3,Demand!$E$5:$S$5,0))</f>
        <v>140</v>
      </c>
      <c r="D29" s="5">
        <f>INDEX(Demand!$E$6:$S$265,MATCH('SPC Backing (Hide)'!$B29,Demand!$B$6:$B$265,0),MATCH('SPC Backing (Hide)'!D$3,Demand!$E$5:$S$5,0))</f>
        <v>0</v>
      </c>
      <c r="E29" s="5">
        <f>INDEX(Demand!$E$6:$S$265,MATCH('SPC Backing (Hide)'!$B29,Demand!$B$6:$B$265,0),MATCH('SPC Backing (Hide)'!E$3,Demand!$E$5:$S$5,0))</f>
        <v>0</v>
      </c>
      <c r="F29" s="5">
        <f>INDEX(Demand!$E$6:$S$265,MATCH('SPC Backing (Hide)'!$B29,Demand!$B$6:$B$265,0),MATCH('SPC Backing (Hide)'!F$3,Demand!$E$5:$S$5,0))</f>
        <v>0</v>
      </c>
      <c r="G29" s="5">
        <f>INDEX(Demand!$E$6:$S$265,MATCH('SPC Backing (Hide)'!$B29,Demand!$B$6:$B$265,0),MATCH('SPC Backing (Hide)'!G$3,Demand!$E$5:$S$5,0))</f>
        <v>0</v>
      </c>
      <c r="H29" s="5">
        <f>INDEX(Demand!$E$6:$S$265,MATCH('SPC Backing (Hide)'!$B29,Demand!$B$6:$B$265,0),MATCH('SPC Backing (Hide)'!H$3,Demand!$E$5:$S$5,0))</f>
        <v>0</v>
      </c>
      <c r="I29" s="5">
        <f>INDEX(Demand!$E$6:$S$265,MATCH('SPC Backing (Hide)'!$B29,Demand!$B$6:$B$265,0),MATCH('SPC Backing (Hide)'!I$3,Demand!$E$5:$S$5,0))</f>
        <v>0</v>
      </c>
      <c r="J29" s="5">
        <f>INDEX(Demand!$E$6:$S$265,MATCH('SPC Backing (Hide)'!$B29,Demand!$B$6:$B$265,0),MATCH('SPC Backing (Hide)'!J$3,Demand!$E$5:$S$5,0))</f>
        <v>0</v>
      </c>
      <c r="K29" s="5">
        <f>INDEX(Demand!$E$6:$S$265,MATCH('SPC Backing (Hide)'!$B29,Demand!$B$6:$B$265,0),MATCH('SPC Backing (Hide)'!K$3,Demand!$E$5:$S$5,0))</f>
        <v>0</v>
      </c>
      <c r="L29" s="5">
        <f>INDEX(Demand!$E$6:$S$265,MATCH('SPC Backing (Hide)'!$B29,Demand!$B$6:$B$265,0),MATCH('SPC Backing (Hide)'!L$3,Demand!$E$5:$S$5,0))</f>
        <v>0</v>
      </c>
      <c r="M29" s="5">
        <f>INDEX(Demand!$E$6:$S$265,MATCH('SPC Backing (Hide)'!$B29,Demand!$B$6:$B$265,0),MATCH('SPC Backing (Hide)'!M$3,Demand!$E$5:$S$5,0))</f>
        <v>0</v>
      </c>
      <c r="N29" s="5">
        <f>INDEX(Demand!$E$6:$S$265,MATCH('SPC Backing (Hide)'!$B29,Demand!$B$6:$B$265,0),MATCH('SPC Backing (Hide)'!N$3,Demand!$E$5:$S$5,0))</f>
        <v>0</v>
      </c>
      <c r="O29" s="5">
        <f>INDEX(Demand!$E$6:$S$265,MATCH('SPC Backing (Hide)'!$B29,Demand!$B$6:$B$265,0),MATCH('SPC Backing (Hide)'!O$3,Demand!$E$5:$S$5,0))</f>
        <v>0</v>
      </c>
      <c r="P29" s="5">
        <f>INDEX(Demand!$E$6:$S$265,MATCH('SPC Backing (Hide)'!$B29,Demand!$B$6:$B$265,0),MATCH('SPC Backing (Hide)'!P$3,Demand!$E$5:$S$5,0))</f>
        <v>0</v>
      </c>
      <c r="Q29" s="6">
        <f>INDEX(Demand!$E$6:$S$265,MATCH('SPC Backing (Hide)'!$B29,Demand!$B$6:$B$265,0),MATCH('SPC Backing (Hide)'!Q$3,Demand!$E$5:$S$5,0))</f>
        <v>0</v>
      </c>
      <c r="R29">
        <f>IF(SPC!$B$11="Yes",IF(ROW(A26)&gt;=Demand!$A$5-52,1,0),IF(AND(B29&gt;=SPC!$B$12,B29&lt;SPC!$B$13),1,0))</f>
        <v>1</v>
      </c>
      <c r="S29" cm="1">
        <f t="array" ref="S29">INDEX($C$4:$Q$263,ROW(A26),MATCH($T$2,$C$3:$Q$3,0))</f>
        <v>140</v>
      </c>
      <c r="T29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29" cm="1">
        <f t="array" ref="U29">ABS(INDEX($C$4:$Q$263,ROW(A26),MATCH($T$2,$C$3:$Q$3,0))-INDEX($C$4:$Q$263,ROW(A25),MATCH($T$2,$C$3:$Q$3,0)))</f>
        <v>68</v>
      </c>
      <c r="V29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29">
        <f t="shared" si="0"/>
        <v>40.813595610865789</v>
      </c>
      <c r="X29">
        <f t="shared" si="1"/>
        <v>108.80449618627055</v>
      </c>
      <c r="Y29">
        <f t="shared" si="2"/>
        <v>149.61809179713634</v>
      </c>
      <c r="Z29">
        <f t="shared" si="3"/>
        <v>190.43168740800212</v>
      </c>
      <c r="AA29">
        <f t="shared" si="4"/>
        <v>272.05887862973373</v>
      </c>
      <c r="AB29">
        <f t="shared" si="5"/>
        <v>312.8724742405995</v>
      </c>
      <c r="AC29">
        <f t="shared" si="6"/>
        <v>353.68606985146528</v>
      </c>
      <c r="AD29" t="e">
        <f t="shared" si="7"/>
        <v>#N/A</v>
      </c>
      <c r="AE29">
        <f t="shared" si="14"/>
        <v>-2</v>
      </c>
      <c r="AF29" t="e">
        <f t="shared" si="8"/>
        <v>#N/A</v>
      </c>
      <c r="AG29">
        <f t="shared" si="9"/>
        <v>1</v>
      </c>
      <c r="AH29" t="e">
        <f t="shared" si="10"/>
        <v>#N/A</v>
      </c>
      <c r="AI29">
        <f t="shared" si="11"/>
        <v>-1</v>
      </c>
      <c r="AJ29" t="e">
        <f t="shared" si="12"/>
        <v>#N/A</v>
      </c>
      <c r="AK29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29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29">
        <f t="shared" si="13"/>
        <v>14.699999999999989</v>
      </c>
    </row>
    <row r="30" spans="2:39" x14ac:dyDescent="0.35">
      <c r="B30" s="12">
        <f>Demand!B32</f>
        <v>43799</v>
      </c>
      <c r="C30" s="7">
        <f>INDEX(Demand!$E$6:$S$265,MATCH('SPC Backing (Hide)'!$B30,Demand!$B$6:$B$265,0),MATCH('SPC Backing (Hide)'!C$3,Demand!$E$5:$S$5,0))</f>
        <v>178</v>
      </c>
      <c r="D30" s="5">
        <f>INDEX(Demand!$E$6:$S$265,MATCH('SPC Backing (Hide)'!$B30,Demand!$B$6:$B$265,0),MATCH('SPC Backing (Hide)'!D$3,Demand!$E$5:$S$5,0))</f>
        <v>0</v>
      </c>
      <c r="E30" s="5">
        <f>INDEX(Demand!$E$6:$S$265,MATCH('SPC Backing (Hide)'!$B30,Demand!$B$6:$B$265,0),MATCH('SPC Backing (Hide)'!E$3,Demand!$E$5:$S$5,0))</f>
        <v>0</v>
      </c>
      <c r="F30" s="5">
        <f>INDEX(Demand!$E$6:$S$265,MATCH('SPC Backing (Hide)'!$B30,Demand!$B$6:$B$265,0),MATCH('SPC Backing (Hide)'!F$3,Demand!$E$5:$S$5,0))</f>
        <v>0</v>
      </c>
      <c r="G30" s="5">
        <f>INDEX(Demand!$E$6:$S$265,MATCH('SPC Backing (Hide)'!$B30,Demand!$B$6:$B$265,0),MATCH('SPC Backing (Hide)'!G$3,Demand!$E$5:$S$5,0))</f>
        <v>0</v>
      </c>
      <c r="H30" s="5">
        <f>INDEX(Demand!$E$6:$S$265,MATCH('SPC Backing (Hide)'!$B30,Demand!$B$6:$B$265,0),MATCH('SPC Backing (Hide)'!H$3,Demand!$E$5:$S$5,0))</f>
        <v>0</v>
      </c>
      <c r="I30" s="5">
        <f>INDEX(Demand!$E$6:$S$265,MATCH('SPC Backing (Hide)'!$B30,Demand!$B$6:$B$265,0),MATCH('SPC Backing (Hide)'!I$3,Demand!$E$5:$S$5,0))</f>
        <v>0</v>
      </c>
      <c r="J30" s="5">
        <f>INDEX(Demand!$E$6:$S$265,MATCH('SPC Backing (Hide)'!$B30,Demand!$B$6:$B$265,0),MATCH('SPC Backing (Hide)'!J$3,Demand!$E$5:$S$5,0))</f>
        <v>0</v>
      </c>
      <c r="K30" s="5">
        <f>INDEX(Demand!$E$6:$S$265,MATCH('SPC Backing (Hide)'!$B30,Demand!$B$6:$B$265,0),MATCH('SPC Backing (Hide)'!K$3,Demand!$E$5:$S$5,0))</f>
        <v>0</v>
      </c>
      <c r="L30" s="5">
        <f>INDEX(Demand!$E$6:$S$265,MATCH('SPC Backing (Hide)'!$B30,Demand!$B$6:$B$265,0),MATCH('SPC Backing (Hide)'!L$3,Demand!$E$5:$S$5,0))</f>
        <v>0</v>
      </c>
      <c r="M30" s="5">
        <f>INDEX(Demand!$E$6:$S$265,MATCH('SPC Backing (Hide)'!$B30,Demand!$B$6:$B$265,0),MATCH('SPC Backing (Hide)'!M$3,Demand!$E$5:$S$5,0))</f>
        <v>0</v>
      </c>
      <c r="N30" s="5">
        <f>INDEX(Demand!$E$6:$S$265,MATCH('SPC Backing (Hide)'!$B30,Demand!$B$6:$B$265,0),MATCH('SPC Backing (Hide)'!N$3,Demand!$E$5:$S$5,0))</f>
        <v>0</v>
      </c>
      <c r="O30" s="5">
        <f>INDEX(Demand!$E$6:$S$265,MATCH('SPC Backing (Hide)'!$B30,Demand!$B$6:$B$265,0),MATCH('SPC Backing (Hide)'!O$3,Demand!$E$5:$S$5,0))</f>
        <v>0</v>
      </c>
      <c r="P30" s="5">
        <f>INDEX(Demand!$E$6:$S$265,MATCH('SPC Backing (Hide)'!$B30,Demand!$B$6:$B$265,0),MATCH('SPC Backing (Hide)'!P$3,Demand!$E$5:$S$5,0))</f>
        <v>0</v>
      </c>
      <c r="Q30" s="6">
        <f>INDEX(Demand!$E$6:$S$265,MATCH('SPC Backing (Hide)'!$B30,Demand!$B$6:$B$265,0),MATCH('SPC Backing (Hide)'!Q$3,Demand!$E$5:$S$5,0))</f>
        <v>0</v>
      </c>
      <c r="R30">
        <f>IF(SPC!$B$11="Yes",IF(ROW(A27)&gt;=Demand!$A$5-52,1,0),IF(AND(B30&gt;=SPC!$B$12,B30&lt;SPC!$B$13),1,0))</f>
        <v>1</v>
      </c>
      <c r="S30" cm="1">
        <f t="array" ref="S30">INDEX($C$4:$Q$263,ROW(A27),MATCH($T$2,$C$3:$Q$3,0))</f>
        <v>178</v>
      </c>
      <c r="T30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30" cm="1">
        <f t="array" ref="U30">ABS(INDEX($C$4:$Q$263,ROW(A27),MATCH($T$2,$C$3:$Q$3,0))-INDEX($C$4:$Q$263,ROW(A26),MATCH($T$2,$C$3:$Q$3,0)))</f>
        <v>38</v>
      </c>
      <c r="V30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30">
        <f t="shared" si="0"/>
        <v>40.813595610865789</v>
      </c>
      <c r="X30">
        <f t="shared" si="1"/>
        <v>108.80449618627055</v>
      </c>
      <c r="Y30">
        <f t="shared" si="2"/>
        <v>149.61809179713634</v>
      </c>
      <c r="Z30">
        <f t="shared" si="3"/>
        <v>190.43168740800212</v>
      </c>
      <c r="AA30">
        <f t="shared" si="4"/>
        <v>272.05887862973373</v>
      </c>
      <c r="AB30">
        <f t="shared" si="5"/>
        <v>312.8724742405995</v>
      </c>
      <c r="AC30">
        <f t="shared" si="6"/>
        <v>353.68606985146528</v>
      </c>
      <c r="AD30" t="e">
        <f t="shared" si="7"/>
        <v>#N/A</v>
      </c>
      <c r="AE30">
        <f t="shared" si="14"/>
        <v>-1</v>
      </c>
      <c r="AF30" t="e">
        <f t="shared" si="8"/>
        <v>#N/A</v>
      </c>
      <c r="AG30">
        <f t="shared" si="9"/>
        <v>1</v>
      </c>
      <c r="AH30" t="e">
        <f t="shared" si="10"/>
        <v>#N/A</v>
      </c>
      <c r="AI30">
        <f t="shared" si="11"/>
        <v>-1</v>
      </c>
      <c r="AJ30" t="e">
        <f t="shared" si="12"/>
        <v>#N/A</v>
      </c>
      <c r="AK30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30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30">
        <f t="shared" si="13"/>
        <v>14.699999999999989</v>
      </c>
    </row>
    <row r="31" spans="2:39" x14ac:dyDescent="0.35">
      <c r="B31" s="12">
        <f>Demand!B33</f>
        <v>43806</v>
      </c>
      <c r="C31" s="7">
        <f>INDEX(Demand!$E$6:$S$265,MATCH('SPC Backing (Hide)'!$B31,Demand!$B$6:$B$265,0),MATCH('SPC Backing (Hide)'!C$3,Demand!$E$5:$S$5,0))</f>
        <v>260</v>
      </c>
      <c r="D31" s="5">
        <f>INDEX(Demand!$E$6:$S$265,MATCH('SPC Backing (Hide)'!$B31,Demand!$B$6:$B$265,0),MATCH('SPC Backing (Hide)'!D$3,Demand!$E$5:$S$5,0))</f>
        <v>0</v>
      </c>
      <c r="E31" s="5">
        <f>INDEX(Demand!$E$6:$S$265,MATCH('SPC Backing (Hide)'!$B31,Demand!$B$6:$B$265,0),MATCH('SPC Backing (Hide)'!E$3,Demand!$E$5:$S$5,0))</f>
        <v>0</v>
      </c>
      <c r="F31" s="5">
        <f>INDEX(Demand!$E$6:$S$265,MATCH('SPC Backing (Hide)'!$B31,Demand!$B$6:$B$265,0),MATCH('SPC Backing (Hide)'!F$3,Demand!$E$5:$S$5,0))</f>
        <v>0</v>
      </c>
      <c r="G31" s="5">
        <f>INDEX(Demand!$E$6:$S$265,MATCH('SPC Backing (Hide)'!$B31,Demand!$B$6:$B$265,0),MATCH('SPC Backing (Hide)'!G$3,Demand!$E$5:$S$5,0))</f>
        <v>0</v>
      </c>
      <c r="H31" s="5">
        <f>INDEX(Demand!$E$6:$S$265,MATCH('SPC Backing (Hide)'!$B31,Demand!$B$6:$B$265,0),MATCH('SPC Backing (Hide)'!H$3,Demand!$E$5:$S$5,0))</f>
        <v>0</v>
      </c>
      <c r="I31" s="5">
        <f>INDEX(Demand!$E$6:$S$265,MATCH('SPC Backing (Hide)'!$B31,Demand!$B$6:$B$265,0),MATCH('SPC Backing (Hide)'!I$3,Demand!$E$5:$S$5,0))</f>
        <v>0</v>
      </c>
      <c r="J31" s="5">
        <f>INDEX(Demand!$E$6:$S$265,MATCH('SPC Backing (Hide)'!$B31,Demand!$B$6:$B$265,0),MATCH('SPC Backing (Hide)'!J$3,Demand!$E$5:$S$5,0))</f>
        <v>0</v>
      </c>
      <c r="K31" s="5">
        <f>INDEX(Demand!$E$6:$S$265,MATCH('SPC Backing (Hide)'!$B31,Demand!$B$6:$B$265,0),MATCH('SPC Backing (Hide)'!K$3,Demand!$E$5:$S$5,0))</f>
        <v>0</v>
      </c>
      <c r="L31" s="5">
        <f>INDEX(Demand!$E$6:$S$265,MATCH('SPC Backing (Hide)'!$B31,Demand!$B$6:$B$265,0),MATCH('SPC Backing (Hide)'!L$3,Demand!$E$5:$S$5,0))</f>
        <v>0</v>
      </c>
      <c r="M31" s="5">
        <f>INDEX(Demand!$E$6:$S$265,MATCH('SPC Backing (Hide)'!$B31,Demand!$B$6:$B$265,0),MATCH('SPC Backing (Hide)'!M$3,Demand!$E$5:$S$5,0))</f>
        <v>0</v>
      </c>
      <c r="N31" s="5">
        <f>INDEX(Demand!$E$6:$S$265,MATCH('SPC Backing (Hide)'!$B31,Demand!$B$6:$B$265,0),MATCH('SPC Backing (Hide)'!N$3,Demand!$E$5:$S$5,0))</f>
        <v>0</v>
      </c>
      <c r="O31" s="5">
        <f>INDEX(Demand!$E$6:$S$265,MATCH('SPC Backing (Hide)'!$B31,Demand!$B$6:$B$265,0),MATCH('SPC Backing (Hide)'!O$3,Demand!$E$5:$S$5,0))</f>
        <v>0</v>
      </c>
      <c r="P31" s="5">
        <f>INDEX(Demand!$E$6:$S$265,MATCH('SPC Backing (Hide)'!$B31,Demand!$B$6:$B$265,0),MATCH('SPC Backing (Hide)'!P$3,Demand!$E$5:$S$5,0))</f>
        <v>0</v>
      </c>
      <c r="Q31" s="6">
        <f>INDEX(Demand!$E$6:$S$265,MATCH('SPC Backing (Hide)'!$B31,Demand!$B$6:$B$265,0),MATCH('SPC Backing (Hide)'!Q$3,Demand!$E$5:$S$5,0))</f>
        <v>0</v>
      </c>
      <c r="R31">
        <f>IF(SPC!$B$11="Yes",IF(ROW(A28)&gt;=Demand!$A$5-52,1,0),IF(AND(B31&gt;=SPC!$B$12,B31&lt;SPC!$B$13),1,0))</f>
        <v>1</v>
      </c>
      <c r="S31" cm="1">
        <f t="array" ref="S31">INDEX($C$4:$Q$263,ROW(A28),MATCH($T$2,$C$3:$Q$3,0))</f>
        <v>260</v>
      </c>
      <c r="T31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31" cm="1">
        <f t="array" ref="U31">ABS(INDEX($C$4:$Q$263,ROW(A28),MATCH($T$2,$C$3:$Q$3,0))-INDEX($C$4:$Q$263,ROW(A27),MATCH($T$2,$C$3:$Q$3,0)))</f>
        <v>82</v>
      </c>
      <c r="V31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31">
        <f t="shared" si="0"/>
        <v>40.813595610865789</v>
      </c>
      <c r="X31">
        <f t="shared" si="1"/>
        <v>108.80449618627055</v>
      </c>
      <c r="Y31">
        <f t="shared" si="2"/>
        <v>149.61809179713634</v>
      </c>
      <c r="Z31">
        <f t="shared" si="3"/>
        <v>190.43168740800212</v>
      </c>
      <c r="AA31">
        <f t="shared" si="4"/>
        <v>272.05887862973373</v>
      </c>
      <c r="AB31">
        <f t="shared" si="5"/>
        <v>312.8724742405995</v>
      </c>
      <c r="AC31">
        <f t="shared" si="6"/>
        <v>353.68606985146528</v>
      </c>
      <c r="AD31" t="e">
        <f t="shared" si="7"/>
        <v>#N/A</v>
      </c>
      <c r="AE31">
        <f t="shared" si="14"/>
        <v>1</v>
      </c>
      <c r="AF31" t="e">
        <f t="shared" si="8"/>
        <v>#N/A</v>
      </c>
      <c r="AG31">
        <f t="shared" si="9"/>
        <v>-1</v>
      </c>
      <c r="AH31" t="e">
        <f t="shared" si="10"/>
        <v>#N/A</v>
      </c>
      <c r="AI31">
        <f t="shared" si="11"/>
        <v>1</v>
      </c>
      <c r="AJ31" t="e">
        <f t="shared" si="12"/>
        <v>#N/A</v>
      </c>
      <c r="AK31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31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31">
        <f t="shared" si="13"/>
        <v>14.699999999999989</v>
      </c>
    </row>
    <row r="32" spans="2:39" x14ac:dyDescent="0.35">
      <c r="B32" s="12">
        <f>Demand!B34</f>
        <v>43813</v>
      </c>
      <c r="C32" s="7">
        <f>INDEX(Demand!$E$6:$S$265,MATCH('SPC Backing (Hide)'!$B32,Demand!$B$6:$B$265,0),MATCH('SPC Backing (Hide)'!C$3,Demand!$E$5:$S$5,0))</f>
        <v>258</v>
      </c>
      <c r="D32" s="5">
        <f>INDEX(Demand!$E$6:$S$265,MATCH('SPC Backing (Hide)'!$B32,Demand!$B$6:$B$265,0),MATCH('SPC Backing (Hide)'!D$3,Demand!$E$5:$S$5,0))</f>
        <v>0</v>
      </c>
      <c r="E32" s="5">
        <f>INDEX(Demand!$E$6:$S$265,MATCH('SPC Backing (Hide)'!$B32,Demand!$B$6:$B$265,0),MATCH('SPC Backing (Hide)'!E$3,Demand!$E$5:$S$5,0))</f>
        <v>0</v>
      </c>
      <c r="F32" s="5">
        <f>INDEX(Demand!$E$6:$S$265,MATCH('SPC Backing (Hide)'!$B32,Demand!$B$6:$B$265,0),MATCH('SPC Backing (Hide)'!F$3,Demand!$E$5:$S$5,0))</f>
        <v>0</v>
      </c>
      <c r="G32" s="5">
        <f>INDEX(Demand!$E$6:$S$265,MATCH('SPC Backing (Hide)'!$B32,Demand!$B$6:$B$265,0),MATCH('SPC Backing (Hide)'!G$3,Demand!$E$5:$S$5,0))</f>
        <v>0</v>
      </c>
      <c r="H32" s="5">
        <f>INDEX(Demand!$E$6:$S$265,MATCH('SPC Backing (Hide)'!$B32,Demand!$B$6:$B$265,0),MATCH('SPC Backing (Hide)'!H$3,Demand!$E$5:$S$5,0))</f>
        <v>0</v>
      </c>
      <c r="I32" s="5">
        <f>INDEX(Demand!$E$6:$S$265,MATCH('SPC Backing (Hide)'!$B32,Demand!$B$6:$B$265,0),MATCH('SPC Backing (Hide)'!I$3,Demand!$E$5:$S$5,0))</f>
        <v>0</v>
      </c>
      <c r="J32" s="5">
        <f>INDEX(Demand!$E$6:$S$265,MATCH('SPC Backing (Hide)'!$B32,Demand!$B$6:$B$265,0),MATCH('SPC Backing (Hide)'!J$3,Demand!$E$5:$S$5,0))</f>
        <v>0</v>
      </c>
      <c r="K32" s="5">
        <f>INDEX(Demand!$E$6:$S$265,MATCH('SPC Backing (Hide)'!$B32,Demand!$B$6:$B$265,0),MATCH('SPC Backing (Hide)'!K$3,Demand!$E$5:$S$5,0))</f>
        <v>0</v>
      </c>
      <c r="L32" s="5">
        <f>INDEX(Demand!$E$6:$S$265,MATCH('SPC Backing (Hide)'!$B32,Demand!$B$6:$B$265,0),MATCH('SPC Backing (Hide)'!L$3,Demand!$E$5:$S$5,0))</f>
        <v>0</v>
      </c>
      <c r="M32" s="5">
        <f>INDEX(Demand!$E$6:$S$265,MATCH('SPC Backing (Hide)'!$B32,Demand!$B$6:$B$265,0),MATCH('SPC Backing (Hide)'!M$3,Demand!$E$5:$S$5,0))</f>
        <v>0</v>
      </c>
      <c r="N32" s="5">
        <f>INDEX(Demand!$E$6:$S$265,MATCH('SPC Backing (Hide)'!$B32,Demand!$B$6:$B$265,0),MATCH('SPC Backing (Hide)'!N$3,Demand!$E$5:$S$5,0))</f>
        <v>0</v>
      </c>
      <c r="O32" s="5">
        <f>INDEX(Demand!$E$6:$S$265,MATCH('SPC Backing (Hide)'!$B32,Demand!$B$6:$B$265,0),MATCH('SPC Backing (Hide)'!O$3,Demand!$E$5:$S$5,0))</f>
        <v>0</v>
      </c>
      <c r="P32" s="5">
        <f>INDEX(Demand!$E$6:$S$265,MATCH('SPC Backing (Hide)'!$B32,Demand!$B$6:$B$265,0),MATCH('SPC Backing (Hide)'!P$3,Demand!$E$5:$S$5,0))</f>
        <v>0</v>
      </c>
      <c r="Q32" s="6">
        <f>INDEX(Demand!$E$6:$S$265,MATCH('SPC Backing (Hide)'!$B32,Demand!$B$6:$B$265,0),MATCH('SPC Backing (Hide)'!Q$3,Demand!$E$5:$S$5,0))</f>
        <v>0</v>
      </c>
      <c r="R32">
        <f>IF(SPC!$B$11="Yes",IF(ROW(A29)&gt;=Demand!$A$5-52,1,0),IF(AND(B32&gt;=SPC!$B$12,B32&lt;SPC!$B$13),1,0))</f>
        <v>1</v>
      </c>
      <c r="S32" cm="1">
        <f t="array" ref="S32">INDEX($C$4:$Q$263,ROW(A29),MATCH($T$2,$C$3:$Q$3,0))</f>
        <v>258</v>
      </c>
      <c r="T32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32" cm="1">
        <f t="array" ref="U32">ABS(INDEX($C$4:$Q$263,ROW(A29),MATCH($T$2,$C$3:$Q$3,0))-INDEX($C$4:$Q$263,ROW(A28),MATCH($T$2,$C$3:$Q$3,0)))</f>
        <v>2</v>
      </c>
      <c r="V32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32">
        <f t="shared" si="0"/>
        <v>40.813595610865789</v>
      </c>
      <c r="X32">
        <f t="shared" si="1"/>
        <v>108.80449618627055</v>
      </c>
      <c r="Y32">
        <f t="shared" si="2"/>
        <v>149.61809179713634</v>
      </c>
      <c r="Z32">
        <f t="shared" si="3"/>
        <v>190.43168740800212</v>
      </c>
      <c r="AA32">
        <f t="shared" si="4"/>
        <v>272.05887862973373</v>
      </c>
      <c r="AB32">
        <f t="shared" si="5"/>
        <v>312.8724742405995</v>
      </c>
      <c r="AC32">
        <f t="shared" si="6"/>
        <v>353.68606985146528</v>
      </c>
      <c r="AD32" t="e">
        <f t="shared" si="7"/>
        <v>#N/A</v>
      </c>
      <c r="AE32">
        <f t="shared" si="14"/>
        <v>1</v>
      </c>
      <c r="AF32" t="e">
        <f t="shared" si="8"/>
        <v>#N/A</v>
      </c>
      <c r="AG32">
        <f t="shared" si="9"/>
        <v>-1</v>
      </c>
      <c r="AH32" t="e">
        <f t="shared" si="10"/>
        <v>#N/A</v>
      </c>
      <c r="AI32">
        <f t="shared" si="11"/>
        <v>1</v>
      </c>
      <c r="AJ32" t="e">
        <f t="shared" si="12"/>
        <v>#N/A</v>
      </c>
      <c r="AK32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32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32">
        <f t="shared" si="13"/>
        <v>14.699999999999989</v>
      </c>
    </row>
    <row r="33" spans="2:39" x14ac:dyDescent="0.35">
      <c r="B33" s="12">
        <f>Demand!B35</f>
        <v>43820</v>
      </c>
      <c r="C33" s="7">
        <f>INDEX(Demand!$E$6:$S$265,MATCH('SPC Backing (Hide)'!$B33,Demand!$B$6:$B$265,0),MATCH('SPC Backing (Hide)'!C$3,Demand!$E$5:$S$5,0))</f>
        <v>192</v>
      </c>
      <c r="D33" s="5">
        <f>INDEX(Demand!$E$6:$S$265,MATCH('SPC Backing (Hide)'!$B33,Demand!$B$6:$B$265,0),MATCH('SPC Backing (Hide)'!D$3,Demand!$E$5:$S$5,0))</f>
        <v>0</v>
      </c>
      <c r="E33" s="5">
        <f>INDEX(Demand!$E$6:$S$265,MATCH('SPC Backing (Hide)'!$B33,Demand!$B$6:$B$265,0),MATCH('SPC Backing (Hide)'!E$3,Demand!$E$5:$S$5,0))</f>
        <v>0</v>
      </c>
      <c r="F33" s="5">
        <f>INDEX(Demand!$E$6:$S$265,MATCH('SPC Backing (Hide)'!$B33,Demand!$B$6:$B$265,0),MATCH('SPC Backing (Hide)'!F$3,Demand!$E$5:$S$5,0))</f>
        <v>0</v>
      </c>
      <c r="G33" s="5">
        <f>INDEX(Demand!$E$6:$S$265,MATCH('SPC Backing (Hide)'!$B33,Demand!$B$6:$B$265,0),MATCH('SPC Backing (Hide)'!G$3,Demand!$E$5:$S$5,0))</f>
        <v>0</v>
      </c>
      <c r="H33" s="5">
        <f>INDEX(Demand!$E$6:$S$265,MATCH('SPC Backing (Hide)'!$B33,Demand!$B$6:$B$265,0),MATCH('SPC Backing (Hide)'!H$3,Demand!$E$5:$S$5,0))</f>
        <v>0</v>
      </c>
      <c r="I33" s="5">
        <f>INDEX(Demand!$E$6:$S$265,MATCH('SPC Backing (Hide)'!$B33,Demand!$B$6:$B$265,0),MATCH('SPC Backing (Hide)'!I$3,Demand!$E$5:$S$5,0))</f>
        <v>0</v>
      </c>
      <c r="J33" s="5">
        <f>INDEX(Demand!$E$6:$S$265,MATCH('SPC Backing (Hide)'!$B33,Demand!$B$6:$B$265,0),MATCH('SPC Backing (Hide)'!J$3,Demand!$E$5:$S$5,0))</f>
        <v>0</v>
      </c>
      <c r="K33" s="5">
        <f>INDEX(Demand!$E$6:$S$265,MATCH('SPC Backing (Hide)'!$B33,Demand!$B$6:$B$265,0),MATCH('SPC Backing (Hide)'!K$3,Demand!$E$5:$S$5,0))</f>
        <v>0</v>
      </c>
      <c r="L33" s="5">
        <f>INDEX(Demand!$E$6:$S$265,MATCH('SPC Backing (Hide)'!$B33,Demand!$B$6:$B$265,0),MATCH('SPC Backing (Hide)'!L$3,Demand!$E$5:$S$5,0))</f>
        <v>0</v>
      </c>
      <c r="M33" s="5">
        <f>INDEX(Demand!$E$6:$S$265,MATCH('SPC Backing (Hide)'!$B33,Demand!$B$6:$B$265,0),MATCH('SPC Backing (Hide)'!M$3,Demand!$E$5:$S$5,0))</f>
        <v>0</v>
      </c>
      <c r="N33" s="5">
        <f>INDEX(Demand!$E$6:$S$265,MATCH('SPC Backing (Hide)'!$B33,Demand!$B$6:$B$265,0),MATCH('SPC Backing (Hide)'!N$3,Demand!$E$5:$S$5,0))</f>
        <v>0</v>
      </c>
      <c r="O33" s="5">
        <f>INDEX(Demand!$E$6:$S$265,MATCH('SPC Backing (Hide)'!$B33,Demand!$B$6:$B$265,0),MATCH('SPC Backing (Hide)'!O$3,Demand!$E$5:$S$5,0))</f>
        <v>0</v>
      </c>
      <c r="P33" s="5">
        <f>INDEX(Demand!$E$6:$S$265,MATCH('SPC Backing (Hide)'!$B33,Demand!$B$6:$B$265,0),MATCH('SPC Backing (Hide)'!P$3,Demand!$E$5:$S$5,0))</f>
        <v>0</v>
      </c>
      <c r="Q33" s="6">
        <f>INDEX(Demand!$E$6:$S$265,MATCH('SPC Backing (Hide)'!$B33,Demand!$B$6:$B$265,0),MATCH('SPC Backing (Hide)'!Q$3,Demand!$E$5:$S$5,0))</f>
        <v>0</v>
      </c>
      <c r="R33">
        <f>IF(SPC!$B$11="Yes",IF(ROW(A30)&gt;=Demand!$A$5-52,1,0),IF(AND(B33&gt;=SPC!$B$12,B33&lt;SPC!$B$13),1,0))</f>
        <v>1</v>
      </c>
      <c r="S33" cm="1">
        <f t="array" ref="S33">INDEX($C$4:$Q$263,ROW(A30),MATCH($T$2,$C$3:$Q$3,0))</f>
        <v>192</v>
      </c>
      <c r="T33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33" cm="1">
        <f t="array" ref="U33">ABS(INDEX($C$4:$Q$263,ROW(A30),MATCH($T$2,$C$3:$Q$3,0))-INDEX($C$4:$Q$263,ROW(A29),MATCH($T$2,$C$3:$Q$3,0)))</f>
        <v>66</v>
      </c>
      <c r="V33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33">
        <f t="shared" si="0"/>
        <v>40.813595610865789</v>
      </c>
      <c r="X33">
        <f t="shared" si="1"/>
        <v>108.80449618627055</v>
      </c>
      <c r="Y33">
        <f t="shared" si="2"/>
        <v>149.61809179713634</v>
      </c>
      <c r="Z33">
        <f t="shared" si="3"/>
        <v>190.43168740800212</v>
      </c>
      <c r="AA33">
        <f t="shared" si="4"/>
        <v>272.05887862973373</v>
      </c>
      <c r="AB33">
        <f t="shared" si="5"/>
        <v>312.8724742405995</v>
      </c>
      <c r="AC33">
        <f t="shared" si="6"/>
        <v>353.68606985146528</v>
      </c>
      <c r="AD33" t="e">
        <f t="shared" si="7"/>
        <v>#N/A</v>
      </c>
      <c r="AE33">
        <f t="shared" si="14"/>
        <v>-1</v>
      </c>
      <c r="AF33" t="e">
        <f t="shared" si="8"/>
        <v>#N/A</v>
      </c>
      <c r="AG33">
        <f t="shared" si="9"/>
        <v>-1</v>
      </c>
      <c r="AH33" t="e">
        <f t="shared" si="10"/>
        <v>#N/A</v>
      </c>
      <c r="AI33">
        <f t="shared" si="11"/>
        <v>-1</v>
      </c>
      <c r="AJ33" t="e">
        <f t="shared" si="12"/>
        <v>#N/A</v>
      </c>
      <c r="AK33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33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33">
        <f t="shared" si="13"/>
        <v>14.699999999999989</v>
      </c>
    </row>
    <row r="34" spans="2:39" x14ac:dyDescent="0.35">
      <c r="B34" s="12">
        <f>Demand!B36</f>
        <v>43827</v>
      </c>
      <c r="C34" s="7">
        <f>INDEX(Demand!$E$6:$S$265,MATCH('SPC Backing (Hide)'!$B34,Demand!$B$6:$B$265,0),MATCH('SPC Backing (Hide)'!C$3,Demand!$E$5:$S$5,0))</f>
        <v>188</v>
      </c>
      <c r="D34" s="5">
        <f>INDEX(Demand!$E$6:$S$265,MATCH('SPC Backing (Hide)'!$B34,Demand!$B$6:$B$265,0),MATCH('SPC Backing (Hide)'!D$3,Demand!$E$5:$S$5,0))</f>
        <v>0</v>
      </c>
      <c r="E34" s="5">
        <f>INDEX(Demand!$E$6:$S$265,MATCH('SPC Backing (Hide)'!$B34,Demand!$B$6:$B$265,0),MATCH('SPC Backing (Hide)'!E$3,Demand!$E$5:$S$5,0))</f>
        <v>0</v>
      </c>
      <c r="F34" s="5">
        <f>INDEX(Demand!$E$6:$S$265,MATCH('SPC Backing (Hide)'!$B34,Demand!$B$6:$B$265,0),MATCH('SPC Backing (Hide)'!F$3,Demand!$E$5:$S$5,0))</f>
        <v>0</v>
      </c>
      <c r="G34" s="5">
        <f>INDEX(Demand!$E$6:$S$265,MATCH('SPC Backing (Hide)'!$B34,Demand!$B$6:$B$265,0),MATCH('SPC Backing (Hide)'!G$3,Demand!$E$5:$S$5,0))</f>
        <v>0</v>
      </c>
      <c r="H34" s="5">
        <f>INDEX(Demand!$E$6:$S$265,MATCH('SPC Backing (Hide)'!$B34,Demand!$B$6:$B$265,0),MATCH('SPC Backing (Hide)'!H$3,Demand!$E$5:$S$5,0))</f>
        <v>0</v>
      </c>
      <c r="I34" s="5">
        <f>INDEX(Demand!$E$6:$S$265,MATCH('SPC Backing (Hide)'!$B34,Demand!$B$6:$B$265,0),MATCH('SPC Backing (Hide)'!I$3,Demand!$E$5:$S$5,0))</f>
        <v>0</v>
      </c>
      <c r="J34" s="5">
        <f>INDEX(Demand!$E$6:$S$265,MATCH('SPC Backing (Hide)'!$B34,Demand!$B$6:$B$265,0),MATCH('SPC Backing (Hide)'!J$3,Demand!$E$5:$S$5,0))</f>
        <v>0</v>
      </c>
      <c r="K34" s="5">
        <f>INDEX(Demand!$E$6:$S$265,MATCH('SPC Backing (Hide)'!$B34,Demand!$B$6:$B$265,0),MATCH('SPC Backing (Hide)'!K$3,Demand!$E$5:$S$5,0))</f>
        <v>0</v>
      </c>
      <c r="L34" s="5">
        <f>INDEX(Demand!$E$6:$S$265,MATCH('SPC Backing (Hide)'!$B34,Demand!$B$6:$B$265,0),MATCH('SPC Backing (Hide)'!L$3,Demand!$E$5:$S$5,0))</f>
        <v>0</v>
      </c>
      <c r="M34" s="5">
        <f>INDEX(Demand!$E$6:$S$265,MATCH('SPC Backing (Hide)'!$B34,Demand!$B$6:$B$265,0),MATCH('SPC Backing (Hide)'!M$3,Demand!$E$5:$S$5,0))</f>
        <v>0</v>
      </c>
      <c r="N34" s="5">
        <f>INDEX(Demand!$E$6:$S$265,MATCH('SPC Backing (Hide)'!$B34,Demand!$B$6:$B$265,0),MATCH('SPC Backing (Hide)'!N$3,Demand!$E$5:$S$5,0))</f>
        <v>0</v>
      </c>
      <c r="O34" s="5">
        <f>INDEX(Demand!$E$6:$S$265,MATCH('SPC Backing (Hide)'!$B34,Demand!$B$6:$B$265,0),MATCH('SPC Backing (Hide)'!O$3,Demand!$E$5:$S$5,0))</f>
        <v>0</v>
      </c>
      <c r="P34" s="5">
        <f>INDEX(Demand!$E$6:$S$265,MATCH('SPC Backing (Hide)'!$B34,Demand!$B$6:$B$265,0),MATCH('SPC Backing (Hide)'!P$3,Demand!$E$5:$S$5,0))</f>
        <v>0</v>
      </c>
      <c r="Q34" s="6">
        <f>INDEX(Demand!$E$6:$S$265,MATCH('SPC Backing (Hide)'!$B34,Demand!$B$6:$B$265,0),MATCH('SPC Backing (Hide)'!Q$3,Demand!$E$5:$S$5,0))</f>
        <v>0</v>
      </c>
      <c r="R34">
        <f>IF(SPC!$B$11="Yes",IF(ROW(A31)&gt;=Demand!$A$5-52,1,0),IF(AND(B34&gt;=SPC!$B$12,B34&lt;SPC!$B$13),1,0))</f>
        <v>1</v>
      </c>
      <c r="S34" cm="1">
        <f t="array" ref="S34">INDEX($C$4:$Q$263,ROW(A31),MATCH($T$2,$C$3:$Q$3,0))</f>
        <v>188</v>
      </c>
      <c r="T34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34" cm="1">
        <f t="array" ref="U34">ABS(INDEX($C$4:$Q$263,ROW(A31),MATCH($T$2,$C$3:$Q$3,0))-INDEX($C$4:$Q$263,ROW(A30),MATCH($T$2,$C$3:$Q$3,0)))</f>
        <v>4</v>
      </c>
      <c r="V34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34">
        <f t="shared" si="0"/>
        <v>40.813595610865789</v>
      </c>
      <c r="X34">
        <f t="shared" si="1"/>
        <v>108.80449618627055</v>
      </c>
      <c r="Y34">
        <f t="shared" si="2"/>
        <v>149.61809179713634</v>
      </c>
      <c r="Z34">
        <f t="shared" si="3"/>
        <v>190.43168740800212</v>
      </c>
      <c r="AA34">
        <f t="shared" si="4"/>
        <v>272.05887862973373</v>
      </c>
      <c r="AB34">
        <f t="shared" si="5"/>
        <v>312.8724742405995</v>
      </c>
      <c r="AC34">
        <f t="shared" si="6"/>
        <v>353.68606985146528</v>
      </c>
      <c r="AD34" t="e">
        <f t="shared" si="7"/>
        <v>#N/A</v>
      </c>
      <c r="AE34">
        <f t="shared" si="14"/>
        <v>-1</v>
      </c>
      <c r="AF34" t="e">
        <f t="shared" si="8"/>
        <v>#N/A</v>
      </c>
      <c r="AG34">
        <f t="shared" si="9"/>
        <v>1</v>
      </c>
      <c r="AH34" t="e">
        <f t="shared" si="10"/>
        <v>#N/A</v>
      </c>
      <c r="AI34">
        <f t="shared" si="11"/>
        <v>-1</v>
      </c>
      <c r="AJ34" t="e">
        <f t="shared" si="12"/>
        <v>#N/A</v>
      </c>
      <c r="AK34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34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34">
        <f t="shared" si="13"/>
        <v>14.699999999999989</v>
      </c>
    </row>
    <row r="35" spans="2:39" x14ac:dyDescent="0.35">
      <c r="B35" s="12">
        <f>Demand!B37</f>
        <v>43834</v>
      </c>
      <c r="C35" s="7">
        <f>INDEX(Demand!$E$6:$S$265,MATCH('SPC Backing (Hide)'!$B35,Demand!$B$6:$B$265,0),MATCH('SPC Backing (Hide)'!C$3,Demand!$E$5:$S$5,0))</f>
        <v>244</v>
      </c>
      <c r="D35" s="5">
        <f>INDEX(Demand!$E$6:$S$265,MATCH('SPC Backing (Hide)'!$B35,Demand!$B$6:$B$265,0),MATCH('SPC Backing (Hide)'!D$3,Demand!$E$5:$S$5,0))</f>
        <v>0</v>
      </c>
      <c r="E35" s="5">
        <f>INDEX(Demand!$E$6:$S$265,MATCH('SPC Backing (Hide)'!$B35,Demand!$B$6:$B$265,0),MATCH('SPC Backing (Hide)'!E$3,Demand!$E$5:$S$5,0))</f>
        <v>0</v>
      </c>
      <c r="F35" s="5">
        <f>INDEX(Demand!$E$6:$S$265,MATCH('SPC Backing (Hide)'!$B35,Demand!$B$6:$B$265,0),MATCH('SPC Backing (Hide)'!F$3,Demand!$E$5:$S$5,0))</f>
        <v>0</v>
      </c>
      <c r="G35" s="5">
        <f>INDEX(Demand!$E$6:$S$265,MATCH('SPC Backing (Hide)'!$B35,Demand!$B$6:$B$265,0),MATCH('SPC Backing (Hide)'!G$3,Demand!$E$5:$S$5,0))</f>
        <v>0</v>
      </c>
      <c r="H35" s="5">
        <f>INDEX(Demand!$E$6:$S$265,MATCH('SPC Backing (Hide)'!$B35,Demand!$B$6:$B$265,0),MATCH('SPC Backing (Hide)'!H$3,Demand!$E$5:$S$5,0))</f>
        <v>0</v>
      </c>
      <c r="I35" s="5">
        <f>INDEX(Demand!$E$6:$S$265,MATCH('SPC Backing (Hide)'!$B35,Demand!$B$6:$B$265,0),MATCH('SPC Backing (Hide)'!I$3,Demand!$E$5:$S$5,0))</f>
        <v>0</v>
      </c>
      <c r="J35" s="5">
        <f>INDEX(Demand!$E$6:$S$265,MATCH('SPC Backing (Hide)'!$B35,Demand!$B$6:$B$265,0),MATCH('SPC Backing (Hide)'!J$3,Demand!$E$5:$S$5,0))</f>
        <v>0</v>
      </c>
      <c r="K35" s="5">
        <f>INDEX(Demand!$E$6:$S$265,MATCH('SPC Backing (Hide)'!$B35,Demand!$B$6:$B$265,0),MATCH('SPC Backing (Hide)'!K$3,Demand!$E$5:$S$5,0))</f>
        <v>0</v>
      </c>
      <c r="L35" s="5">
        <f>INDEX(Demand!$E$6:$S$265,MATCH('SPC Backing (Hide)'!$B35,Demand!$B$6:$B$265,0),MATCH('SPC Backing (Hide)'!L$3,Demand!$E$5:$S$5,0))</f>
        <v>0</v>
      </c>
      <c r="M35" s="5">
        <f>INDEX(Demand!$E$6:$S$265,MATCH('SPC Backing (Hide)'!$B35,Demand!$B$6:$B$265,0),MATCH('SPC Backing (Hide)'!M$3,Demand!$E$5:$S$5,0))</f>
        <v>0</v>
      </c>
      <c r="N35" s="5">
        <f>INDEX(Demand!$E$6:$S$265,MATCH('SPC Backing (Hide)'!$B35,Demand!$B$6:$B$265,0),MATCH('SPC Backing (Hide)'!N$3,Demand!$E$5:$S$5,0))</f>
        <v>0</v>
      </c>
      <c r="O35" s="5">
        <f>INDEX(Demand!$E$6:$S$265,MATCH('SPC Backing (Hide)'!$B35,Demand!$B$6:$B$265,0),MATCH('SPC Backing (Hide)'!O$3,Demand!$E$5:$S$5,0))</f>
        <v>0</v>
      </c>
      <c r="P35" s="5">
        <f>INDEX(Demand!$E$6:$S$265,MATCH('SPC Backing (Hide)'!$B35,Demand!$B$6:$B$265,0),MATCH('SPC Backing (Hide)'!P$3,Demand!$E$5:$S$5,0))</f>
        <v>0</v>
      </c>
      <c r="Q35" s="6">
        <f>INDEX(Demand!$E$6:$S$265,MATCH('SPC Backing (Hide)'!$B35,Demand!$B$6:$B$265,0),MATCH('SPC Backing (Hide)'!Q$3,Demand!$E$5:$S$5,0))</f>
        <v>0</v>
      </c>
      <c r="R35">
        <f>IF(SPC!$B$11="Yes",IF(ROW(A32)&gt;=Demand!$A$5-52,1,0),IF(AND(B35&gt;=SPC!$B$12,B35&lt;SPC!$B$13),1,0))</f>
        <v>1</v>
      </c>
      <c r="S35" cm="1">
        <f t="array" ref="S35">INDEX($C$4:$Q$263,ROW(A32),MATCH($T$2,$C$3:$Q$3,0))</f>
        <v>244</v>
      </c>
      <c r="T35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35" cm="1">
        <f t="array" ref="U35">ABS(INDEX($C$4:$Q$263,ROW(A32),MATCH($T$2,$C$3:$Q$3,0))-INDEX($C$4:$Q$263,ROW(A31),MATCH($T$2,$C$3:$Q$3,0)))</f>
        <v>56</v>
      </c>
      <c r="V35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35">
        <f t="shared" si="0"/>
        <v>40.813595610865789</v>
      </c>
      <c r="X35">
        <f t="shared" si="1"/>
        <v>108.80449618627055</v>
      </c>
      <c r="Y35">
        <f t="shared" si="2"/>
        <v>149.61809179713634</v>
      </c>
      <c r="Z35">
        <f t="shared" si="3"/>
        <v>190.43168740800212</v>
      </c>
      <c r="AA35">
        <f t="shared" si="4"/>
        <v>272.05887862973373</v>
      </c>
      <c r="AB35">
        <f t="shared" si="5"/>
        <v>312.8724742405995</v>
      </c>
      <c r="AC35">
        <f t="shared" si="6"/>
        <v>353.68606985146528</v>
      </c>
      <c r="AD35" t="e">
        <f t="shared" si="7"/>
        <v>#N/A</v>
      </c>
      <c r="AE35">
        <f t="shared" si="14"/>
        <v>1</v>
      </c>
      <c r="AF35" t="e">
        <f t="shared" si="8"/>
        <v>#N/A</v>
      </c>
      <c r="AG35">
        <f t="shared" si="9"/>
        <v>1</v>
      </c>
      <c r="AH35" t="e">
        <f t="shared" si="10"/>
        <v>#N/A</v>
      </c>
      <c r="AI35">
        <f t="shared" si="11"/>
        <v>1</v>
      </c>
      <c r="AJ35" t="e">
        <f t="shared" si="12"/>
        <v>#N/A</v>
      </c>
      <c r="AK35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35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35">
        <f t="shared" si="13"/>
        <v>14.699999999999989</v>
      </c>
    </row>
    <row r="36" spans="2:39" x14ac:dyDescent="0.35">
      <c r="B36" s="12">
        <f>Demand!B38</f>
        <v>43841</v>
      </c>
      <c r="C36" s="7">
        <f>INDEX(Demand!$E$6:$S$265,MATCH('SPC Backing (Hide)'!$B36,Demand!$B$6:$B$265,0),MATCH('SPC Backing (Hide)'!C$3,Demand!$E$5:$S$5,0))</f>
        <v>254</v>
      </c>
      <c r="D36" s="5">
        <f>INDEX(Demand!$E$6:$S$265,MATCH('SPC Backing (Hide)'!$B36,Demand!$B$6:$B$265,0),MATCH('SPC Backing (Hide)'!D$3,Demand!$E$5:$S$5,0))</f>
        <v>0</v>
      </c>
      <c r="E36" s="5">
        <f>INDEX(Demand!$E$6:$S$265,MATCH('SPC Backing (Hide)'!$B36,Demand!$B$6:$B$265,0),MATCH('SPC Backing (Hide)'!E$3,Demand!$E$5:$S$5,0))</f>
        <v>0</v>
      </c>
      <c r="F36" s="5">
        <f>INDEX(Demand!$E$6:$S$265,MATCH('SPC Backing (Hide)'!$B36,Demand!$B$6:$B$265,0),MATCH('SPC Backing (Hide)'!F$3,Demand!$E$5:$S$5,0))</f>
        <v>0</v>
      </c>
      <c r="G36" s="5">
        <f>INDEX(Demand!$E$6:$S$265,MATCH('SPC Backing (Hide)'!$B36,Demand!$B$6:$B$265,0),MATCH('SPC Backing (Hide)'!G$3,Demand!$E$5:$S$5,0))</f>
        <v>0</v>
      </c>
      <c r="H36" s="5">
        <f>INDEX(Demand!$E$6:$S$265,MATCH('SPC Backing (Hide)'!$B36,Demand!$B$6:$B$265,0),MATCH('SPC Backing (Hide)'!H$3,Demand!$E$5:$S$5,0))</f>
        <v>0</v>
      </c>
      <c r="I36" s="5">
        <f>INDEX(Demand!$E$6:$S$265,MATCH('SPC Backing (Hide)'!$B36,Demand!$B$6:$B$265,0),MATCH('SPC Backing (Hide)'!I$3,Demand!$E$5:$S$5,0))</f>
        <v>0</v>
      </c>
      <c r="J36" s="5">
        <f>INDEX(Demand!$E$6:$S$265,MATCH('SPC Backing (Hide)'!$B36,Demand!$B$6:$B$265,0),MATCH('SPC Backing (Hide)'!J$3,Demand!$E$5:$S$5,0))</f>
        <v>0</v>
      </c>
      <c r="K36" s="5">
        <f>INDEX(Demand!$E$6:$S$265,MATCH('SPC Backing (Hide)'!$B36,Demand!$B$6:$B$265,0),MATCH('SPC Backing (Hide)'!K$3,Demand!$E$5:$S$5,0))</f>
        <v>0</v>
      </c>
      <c r="L36" s="5">
        <f>INDEX(Demand!$E$6:$S$265,MATCH('SPC Backing (Hide)'!$B36,Demand!$B$6:$B$265,0),MATCH('SPC Backing (Hide)'!L$3,Demand!$E$5:$S$5,0))</f>
        <v>0</v>
      </c>
      <c r="M36" s="5">
        <f>INDEX(Demand!$E$6:$S$265,MATCH('SPC Backing (Hide)'!$B36,Demand!$B$6:$B$265,0),MATCH('SPC Backing (Hide)'!M$3,Demand!$E$5:$S$5,0))</f>
        <v>0</v>
      </c>
      <c r="N36" s="5">
        <f>INDEX(Demand!$E$6:$S$265,MATCH('SPC Backing (Hide)'!$B36,Demand!$B$6:$B$265,0),MATCH('SPC Backing (Hide)'!N$3,Demand!$E$5:$S$5,0))</f>
        <v>0</v>
      </c>
      <c r="O36" s="5">
        <f>INDEX(Demand!$E$6:$S$265,MATCH('SPC Backing (Hide)'!$B36,Demand!$B$6:$B$265,0),MATCH('SPC Backing (Hide)'!O$3,Demand!$E$5:$S$5,0))</f>
        <v>0</v>
      </c>
      <c r="P36" s="5">
        <f>INDEX(Demand!$E$6:$S$265,MATCH('SPC Backing (Hide)'!$B36,Demand!$B$6:$B$265,0),MATCH('SPC Backing (Hide)'!P$3,Demand!$E$5:$S$5,0))</f>
        <v>0</v>
      </c>
      <c r="Q36" s="6">
        <f>INDEX(Demand!$E$6:$S$265,MATCH('SPC Backing (Hide)'!$B36,Demand!$B$6:$B$265,0),MATCH('SPC Backing (Hide)'!Q$3,Demand!$E$5:$S$5,0))</f>
        <v>0</v>
      </c>
      <c r="R36">
        <f>IF(SPC!$B$11="Yes",IF(ROW(A33)&gt;=Demand!$A$5-52,1,0),IF(AND(B36&gt;=SPC!$B$12,B36&lt;SPC!$B$13),1,0))</f>
        <v>1</v>
      </c>
      <c r="S36" cm="1">
        <f t="array" ref="S36">INDEX($C$4:$Q$263,ROW(A33),MATCH($T$2,$C$3:$Q$3,0))</f>
        <v>254</v>
      </c>
      <c r="T36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36" cm="1">
        <f t="array" ref="U36">ABS(INDEX($C$4:$Q$263,ROW(A33),MATCH($T$2,$C$3:$Q$3,0))-INDEX($C$4:$Q$263,ROW(A32),MATCH($T$2,$C$3:$Q$3,0)))</f>
        <v>10</v>
      </c>
      <c r="V36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36">
        <f t="shared" si="0"/>
        <v>40.813595610865789</v>
      </c>
      <c r="X36">
        <f t="shared" si="1"/>
        <v>108.80449618627055</v>
      </c>
      <c r="Y36">
        <f t="shared" si="2"/>
        <v>149.61809179713634</v>
      </c>
      <c r="Z36">
        <f t="shared" si="3"/>
        <v>190.43168740800212</v>
      </c>
      <c r="AA36">
        <f t="shared" si="4"/>
        <v>272.05887862973373</v>
      </c>
      <c r="AB36">
        <f t="shared" si="5"/>
        <v>312.8724742405995</v>
      </c>
      <c r="AC36">
        <f t="shared" si="6"/>
        <v>353.68606985146528</v>
      </c>
      <c r="AD36" t="e">
        <f t="shared" si="7"/>
        <v>#N/A</v>
      </c>
      <c r="AE36">
        <f t="shared" si="14"/>
        <v>1</v>
      </c>
      <c r="AF36" t="e">
        <f t="shared" si="8"/>
        <v>#N/A</v>
      </c>
      <c r="AG36">
        <f t="shared" si="9"/>
        <v>-1</v>
      </c>
      <c r="AH36" t="e">
        <f t="shared" si="10"/>
        <v>#N/A</v>
      </c>
      <c r="AI36">
        <f t="shared" si="11"/>
        <v>1</v>
      </c>
      <c r="AJ36" t="e">
        <f t="shared" si="12"/>
        <v>#N/A</v>
      </c>
      <c r="AK36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36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36">
        <f t="shared" si="13"/>
        <v>14.699999999999989</v>
      </c>
    </row>
    <row r="37" spans="2:39" x14ac:dyDescent="0.35">
      <c r="B37" s="12">
        <f>Demand!B39</f>
        <v>43848</v>
      </c>
      <c r="C37" s="7">
        <f>INDEX(Demand!$E$6:$S$265,MATCH('SPC Backing (Hide)'!$B37,Demand!$B$6:$B$265,0),MATCH('SPC Backing (Hide)'!C$3,Demand!$E$5:$S$5,0))</f>
        <v>158</v>
      </c>
      <c r="D37" s="5">
        <f>INDEX(Demand!$E$6:$S$265,MATCH('SPC Backing (Hide)'!$B37,Demand!$B$6:$B$265,0),MATCH('SPC Backing (Hide)'!D$3,Demand!$E$5:$S$5,0))</f>
        <v>0</v>
      </c>
      <c r="E37" s="5">
        <f>INDEX(Demand!$E$6:$S$265,MATCH('SPC Backing (Hide)'!$B37,Demand!$B$6:$B$265,0),MATCH('SPC Backing (Hide)'!E$3,Demand!$E$5:$S$5,0))</f>
        <v>0</v>
      </c>
      <c r="F37" s="5">
        <f>INDEX(Demand!$E$6:$S$265,MATCH('SPC Backing (Hide)'!$B37,Demand!$B$6:$B$265,0),MATCH('SPC Backing (Hide)'!F$3,Demand!$E$5:$S$5,0))</f>
        <v>0</v>
      </c>
      <c r="G37" s="5">
        <f>INDEX(Demand!$E$6:$S$265,MATCH('SPC Backing (Hide)'!$B37,Demand!$B$6:$B$265,0),MATCH('SPC Backing (Hide)'!G$3,Demand!$E$5:$S$5,0))</f>
        <v>0</v>
      </c>
      <c r="H37" s="5">
        <f>INDEX(Demand!$E$6:$S$265,MATCH('SPC Backing (Hide)'!$B37,Demand!$B$6:$B$265,0),MATCH('SPC Backing (Hide)'!H$3,Demand!$E$5:$S$5,0))</f>
        <v>0</v>
      </c>
      <c r="I37" s="5">
        <f>INDEX(Demand!$E$6:$S$265,MATCH('SPC Backing (Hide)'!$B37,Demand!$B$6:$B$265,0),MATCH('SPC Backing (Hide)'!I$3,Demand!$E$5:$S$5,0))</f>
        <v>0</v>
      </c>
      <c r="J37" s="5">
        <f>INDEX(Demand!$E$6:$S$265,MATCH('SPC Backing (Hide)'!$B37,Demand!$B$6:$B$265,0),MATCH('SPC Backing (Hide)'!J$3,Demand!$E$5:$S$5,0))</f>
        <v>0</v>
      </c>
      <c r="K37" s="5">
        <f>INDEX(Demand!$E$6:$S$265,MATCH('SPC Backing (Hide)'!$B37,Demand!$B$6:$B$265,0),MATCH('SPC Backing (Hide)'!K$3,Demand!$E$5:$S$5,0))</f>
        <v>0</v>
      </c>
      <c r="L37" s="5">
        <f>INDEX(Demand!$E$6:$S$265,MATCH('SPC Backing (Hide)'!$B37,Demand!$B$6:$B$265,0),MATCH('SPC Backing (Hide)'!L$3,Demand!$E$5:$S$5,0))</f>
        <v>0</v>
      </c>
      <c r="M37" s="5">
        <f>INDEX(Demand!$E$6:$S$265,MATCH('SPC Backing (Hide)'!$B37,Demand!$B$6:$B$265,0),MATCH('SPC Backing (Hide)'!M$3,Demand!$E$5:$S$5,0))</f>
        <v>0</v>
      </c>
      <c r="N37" s="5">
        <f>INDEX(Demand!$E$6:$S$265,MATCH('SPC Backing (Hide)'!$B37,Demand!$B$6:$B$265,0),MATCH('SPC Backing (Hide)'!N$3,Demand!$E$5:$S$5,0))</f>
        <v>0</v>
      </c>
      <c r="O37" s="5">
        <f>INDEX(Demand!$E$6:$S$265,MATCH('SPC Backing (Hide)'!$B37,Demand!$B$6:$B$265,0),MATCH('SPC Backing (Hide)'!O$3,Demand!$E$5:$S$5,0))</f>
        <v>0</v>
      </c>
      <c r="P37" s="5">
        <f>INDEX(Demand!$E$6:$S$265,MATCH('SPC Backing (Hide)'!$B37,Demand!$B$6:$B$265,0),MATCH('SPC Backing (Hide)'!P$3,Demand!$E$5:$S$5,0))</f>
        <v>0</v>
      </c>
      <c r="Q37" s="6">
        <f>INDEX(Demand!$E$6:$S$265,MATCH('SPC Backing (Hide)'!$B37,Demand!$B$6:$B$265,0),MATCH('SPC Backing (Hide)'!Q$3,Demand!$E$5:$S$5,0))</f>
        <v>0</v>
      </c>
      <c r="R37">
        <f>IF(SPC!$B$11="Yes",IF(ROW(A34)&gt;=Demand!$A$5-52,1,0),IF(AND(B37&gt;=SPC!$B$12,B37&lt;SPC!$B$13),1,0))</f>
        <v>1</v>
      </c>
      <c r="S37" cm="1">
        <f t="array" ref="S37">INDEX($C$4:$Q$263,ROW(A34),MATCH($T$2,$C$3:$Q$3,0))</f>
        <v>158</v>
      </c>
      <c r="T37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37" cm="1">
        <f t="array" ref="U37">ABS(INDEX($C$4:$Q$263,ROW(A34),MATCH($T$2,$C$3:$Q$3,0))-INDEX($C$4:$Q$263,ROW(A33),MATCH($T$2,$C$3:$Q$3,0)))</f>
        <v>96</v>
      </c>
      <c r="V37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37">
        <f t="shared" si="0"/>
        <v>40.813595610865789</v>
      </c>
      <c r="X37">
        <f t="shared" si="1"/>
        <v>108.80449618627055</v>
      </c>
      <c r="Y37">
        <f t="shared" si="2"/>
        <v>149.61809179713634</v>
      </c>
      <c r="Z37">
        <f t="shared" si="3"/>
        <v>190.43168740800212</v>
      </c>
      <c r="AA37">
        <f t="shared" si="4"/>
        <v>272.05887862973373</v>
      </c>
      <c r="AB37">
        <f t="shared" si="5"/>
        <v>312.8724742405995</v>
      </c>
      <c r="AC37">
        <f t="shared" si="6"/>
        <v>353.68606985146528</v>
      </c>
      <c r="AD37" t="e">
        <f t="shared" si="7"/>
        <v>#N/A</v>
      </c>
      <c r="AE37">
        <f t="shared" si="14"/>
        <v>-1</v>
      </c>
      <c r="AF37" t="e">
        <f t="shared" si="8"/>
        <v>#N/A</v>
      </c>
      <c r="AG37">
        <f t="shared" si="9"/>
        <v>-1</v>
      </c>
      <c r="AH37" t="e">
        <f t="shared" si="10"/>
        <v>#N/A</v>
      </c>
      <c r="AI37">
        <f t="shared" si="11"/>
        <v>-1</v>
      </c>
      <c r="AJ37" t="e">
        <f t="shared" si="12"/>
        <v>#N/A</v>
      </c>
      <c r="AK37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37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37">
        <f t="shared" si="13"/>
        <v>14.699999999999989</v>
      </c>
    </row>
    <row r="38" spans="2:39" x14ac:dyDescent="0.35">
      <c r="B38" s="12">
        <f>Demand!B40</f>
        <v>43855</v>
      </c>
      <c r="C38" s="7">
        <f>INDEX(Demand!$E$6:$S$265,MATCH('SPC Backing (Hide)'!$B38,Demand!$B$6:$B$265,0),MATCH('SPC Backing (Hide)'!C$3,Demand!$E$5:$S$5,0))</f>
        <v>152</v>
      </c>
      <c r="D38" s="5">
        <f>INDEX(Demand!$E$6:$S$265,MATCH('SPC Backing (Hide)'!$B38,Demand!$B$6:$B$265,0),MATCH('SPC Backing (Hide)'!D$3,Demand!$E$5:$S$5,0))</f>
        <v>0</v>
      </c>
      <c r="E38" s="5">
        <f>INDEX(Demand!$E$6:$S$265,MATCH('SPC Backing (Hide)'!$B38,Demand!$B$6:$B$265,0),MATCH('SPC Backing (Hide)'!E$3,Demand!$E$5:$S$5,0))</f>
        <v>0</v>
      </c>
      <c r="F38" s="5">
        <f>INDEX(Demand!$E$6:$S$265,MATCH('SPC Backing (Hide)'!$B38,Demand!$B$6:$B$265,0),MATCH('SPC Backing (Hide)'!F$3,Demand!$E$5:$S$5,0))</f>
        <v>0</v>
      </c>
      <c r="G38" s="5">
        <f>INDEX(Demand!$E$6:$S$265,MATCH('SPC Backing (Hide)'!$B38,Demand!$B$6:$B$265,0),MATCH('SPC Backing (Hide)'!G$3,Demand!$E$5:$S$5,0))</f>
        <v>0</v>
      </c>
      <c r="H38" s="5">
        <f>INDEX(Demand!$E$6:$S$265,MATCH('SPC Backing (Hide)'!$B38,Demand!$B$6:$B$265,0),MATCH('SPC Backing (Hide)'!H$3,Demand!$E$5:$S$5,0))</f>
        <v>0</v>
      </c>
      <c r="I38" s="5">
        <f>INDEX(Demand!$E$6:$S$265,MATCH('SPC Backing (Hide)'!$B38,Demand!$B$6:$B$265,0),MATCH('SPC Backing (Hide)'!I$3,Demand!$E$5:$S$5,0))</f>
        <v>0</v>
      </c>
      <c r="J38" s="5">
        <f>INDEX(Demand!$E$6:$S$265,MATCH('SPC Backing (Hide)'!$B38,Demand!$B$6:$B$265,0),MATCH('SPC Backing (Hide)'!J$3,Demand!$E$5:$S$5,0))</f>
        <v>0</v>
      </c>
      <c r="K38" s="5">
        <f>INDEX(Demand!$E$6:$S$265,MATCH('SPC Backing (Hide)'!$B38,Demand!$B$6:$B$265,0),MATCH('SPC Backing (Hide)'!K$3,Demand!$E$5:$S$5,0))</f>
        <v>0</v>
      </c>
      <c r="L38" s="5">
        <f>INDEX(Demand!$E$6:$S$265,MATCH('SPC Backing (Hide)'!$B38,Demand!$B$6:$B$265,0),MATCH('SPC Backing (Hide)'!L$3,Demand!$E$5:$S$5,0))</f>
        <v>0</v>
      </c>
      <c r="M38" s="5">
        <f>INDEX(Demand!$E$6:$S$265,MATCH('SPC Backing (Hide)'!$B38,Demand!$B$6:$B$265,0),MATCH('SPC Backing (Hide)'!M$3,Demand!$E$5:$S$5,0))</f>
        <v>0</v>
      </c>
      <c r="N38" s="5">
        <f>INDEX(Demand!$E$6:$S$265,MATCH('SPC Backing (Hide)'!$B38,Demand!$B$6:$B$265,0),MATCH('SPC Backing (Hide)'!N$3,Demand!$E$5:$S$5,0))</f>
        <v>0</v>
      </c>
      <c r="O38" s="5">
        <f>INDEX(Demand!$E$6:$S$265,MATCH('SPC Backing (Hide)'!$B38,Demand!$B$6:$B$265,0),MATCH('SPC Backing (Hide)'!O$3,Demand!$E$5:$S$5,0))</f>
        <v>0</v>
      </c>
      <c r="P38" s="5">
        <f>INDEX(Demand!$E$6:$S$265,MATCH('SPC Backing (Hide)'!$B38,Demand!$B$6:$B$265,0),MATCH('SPC Backing (Hide)'!P$3,Demand!$E$5:$S$5,0))</f>
        <v>0</v>
      </c>
      <c r="Q38" s="6">
        <f>INDEX(Demand!$E$6:$S$265,MATCH('SPC Backing (Hide)'!$B38,Demand!$B$6:$B$265,0),MATCH('SPC Backing (Hide)'!Q$3,Demand!$E$5:$S$5,0))</f>
        <v>0</v>
      </c>
      <c r="R38">
        <f>IF(SPC!$B$11="Yes",IF(ROW(A35)&gt;=Demand!$A$5-52,1,0),IF(AND(B38&gt;=SPC!$B$12,B38&lt;SPC!$B$13),1,0))</f>
        <v>1</v>
      </c>
      <c r="S38" cm="1">
        <f t="array" ref="S38">INDEX($C$4:$Q$263,ROW(A35),MATCH($T$2,$C$3:$Q$3,0))</f>
        <v>152</v>
      </c>
      <c r="T38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38" cm="1">
        <f t="array" ref="U38">ABS(INDEX($C$4:$Q$263,ROW(A35),MATCH($T$2,$C$3:$Q$3,0))-INDEX($C$4:$Q$263,ROW(A34),MATCH($T$2,$C$3:$Q$3,0)))</f>
        <v>6</v>
      </c>
      <c r="V38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38">
        <f t="shared" si="0"/>
        <v>40.813595610865789</v>
      </c>
      <c r="X38">
        <f t="shared" si="1"/>
        <v>108.80449618627055</v>
      </c>
      <c r="Y38">
        <f t="shared" si="2"/>
        <v>149.61809179713634</v>
      </c>
      <c r="Z38">
        <f t="shared" si="3"/>
        <v>190.43168740800212</v>
      </c>
      <c r="AA38">
        <f t="shared" si="4"/>
        <v>272.05887862973373</v>
      </c>
      <c r="AB38">
        <f t="shared" si="5"/>
        <v>312.8724742405995</v>
      </c>
      <c r="AC38">
        <f t="shared" si="6"/>
        <v>353.68606985146528</v>
      </c>
      <c r="AD38" t="e">
        <f t="shared" si="7"/>
        <v>#N/A</v>
      </c>
      <c r="AE38">
        <f t="shared" si="14"/>
        <v>-1</v>
      </c>
      <c r="AF38" t="e">
        <f t="shared" si="8"/>
        <v>#N/A</v>
      </c>
      <c r="AG38">
        <f t="shared" si="9"/>
        <v>1</v>
      </c>
      <c r="AH38">
        <f t="shared" si="10"/>
        <v>152</v>
      </c>
      <c r="AI38">
        <f t="shared" si="11"/>
        <v>-1</v>
      </c>
      <c r="AJ38" t="e">
        <f t="shared" si="12"/>
        <v>#N/A</v>
      </c>
      <c r="AK38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38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38">
        <f t="shared" si="13"/>
        <v>14.699999999999989</v>
      </c>
    </row>
    <row r="39" spans="2:39" x14ac:dyDescent="0.35">
      <c r="B39" s="12">
        <f>Demand!B41</f>
        <v>43862</v>
      </c>
      <c r="C39" s="7">
        <f>INDEX(Demand!$E$6:$S$265,MATCH('SPC Backing (Hide)'!$B39,Demand!$B$6:$B$265,0),MATCH('SPC Backing (Hide)'!C$3,Demand!$E$5:$S$5,0))</f>
        <v>196</v>
      </c>
      <c r="D39" s="5">
        <f>INDEX(Demand!$E$6:$S$265,MATCH('SPC Backing (Hide)'!$B39,Demand!$B$6:$B$265,0),MATCH('SPC Backing (Hide)'!D$3,Demand!$E$5:$S$5,0))</f>
        <v>0</v>
      </c>
      <c r="E39" s="5">
        <f>INDEX(Demand!$E$6:$S$265,MATCH('SPC Backing (Hide)'!$B39,Demand!$B$6:$B$265,0),MATCH('SPC Backing (Hide)'!E$3,Demand!$E$5:$S$5,0))</f>
        <v>0</v>
      </c>
      <c r="F39" s="5">
        <f>INDEX(Demand!$E$6:$S$265,MATCH('SPC Backing (Hide)'!$B39,Demand!$B$6:$B$265,0),MATCH('SPC Backing (Hide)'!F$3,Demand!$E$5:$S$5,0))</f>
        <v>0</v>
      </c>
      <c r="G39" s="5">
        <f>INDEX(Demand!$E$6:$S$265,MATCH('SPC Backing (Hide)'!$B39,Demand!$B$6:$B$265,0),MATCH('SPC Backing (Hide)'!G$3,Demand!$E$5:$S$5,0))</f>
        <v>0</v>
      </c>
      <c r="H39" s="5">
        <f>INDEX(Demand!$E$6:$S$265,MATCH('SPC Backing (Hide)'!$B39,Demand!$B$6:$B$265,0),MATCH('SPC Backing (Hide)'!H$3,Demand!$E$5:$S$5,0))</f>
        <v>0</v>
      </c>
      <c r="I39" s="5">
        <f>INDEX(Demand!$E$6:$S$265,MATCH('SPC Backing (Hide)'!$B39,Demand!$B$6:$B$265,0),MATCH('SPC Backing (Hide)'!I$3,Demand!$E$5:$S$5,0))</f>
        <v>0</v>
      </c>
      <c r="J39" s="5">
        <f>INDEX(Demand!$E$6:$S$265,MATCH('SPC Backing (Hide)'!$B39,Demand!$B$6:$B$265,0),MATCH('SPC Backing (Hide)'!J$3,Demand!$E$5:$S$5,0))</f>
        <v>0</v>
      </c>
      <c r="K39" s="5">
        <f>INDEX(Demand!$E$6:$S$265,MATCH('SPC Backing (Hide)'!$B39,Demand!$B$6:$B$265,0),MATCH('SPC Backing (Hide)'!K$3,Demand!$E$5:$S$5,0))</f>
        <v>0</v>
      </c>
      <c r="L39" s="5">
        <f>INDEX(Demand!$E$6:$S$265,MATCH('SPC Backing (Hide)'!$B39,Demand!$B$6:$B$265,0),MATCH('SPC Backing (Hide)'!L$3,Demand!$E$5:$S$5,0))</f>
        <v>0</v>
      </c>
      <c r="M39" s="5">
        <f>INDEX(Demand!$E$6:$S$265,MATCH('SPC Backing (Hide)'!$B39,Demand!$B$6:$B$265,0),MATCH('SPC Backing (Hide)'!M$3,Demand!$E$5:$S$5,0))</f>
        <v>0</v>
      </c>
      <c r="N39" s="5">
        <f>INDEX(Demand!$E$6:$S$265,MATCH('SPC Backing (Hide)'!$B39,Demand!$B$6:$B$265,0),MATCH('SPC Backing (Hide)'!N$3,Demand!$E$5:$S$5,0))</f>
        <v>0</v>
      </c>
      <c r="O39" s="5">
        <f>INDEX(Demand!$E$6:$S$265,MATCH('SPC Backing (Hide)'!$B39,Demand!$B$6:$B$265,0),MATCH('SPC Backing (Hide)'!O$3,Demand!$E$5:$S$5,0))</f>
        <v>0</v>
      </c>
      <c r="P39" s="5">
        <f>INDEX(Demand!$E$6:$S$265,MATCH('SPC Backing (Hide)'!$B39,Demand!$B$6:$B$265,0),MATCH('SPC Backing (Hide)'!P$3,Demand!$E$5:$S$5,0))</f>
        <v>0</v>
      </c>
      <c r="Q39" s="6">
        <f>INDEX(Demand!$E$6:$S$265,MATCH('SPC Backing (Hide)'!$B39,Demand!$B$6:$B$265,0),MATCH('SPC Backing (Hide)'!Q$3,Demand!$E$5:$S$5,0))</f>
        <v>0</v>
      </c>
      <c r="R39">
        <f>IF(SPC!$B$11="Yes",IF(ROW(A36)&gt;=Demand!$A$5-52,1,0),IF(AND(B39&gt;=SPC!$B$12,B39&lt;SPC!$B$13),1,0))</f>
        <v>1</v>
      </c>
      <c r="S39" cm="1">
        <f t="array" ref="S39">INDEX($C$4:$Q$263,ROW(A36),MATCH($T$2,$C$3:$Q$3,0))</f>
        <v>196</v>
      </c>
      <c r="T39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39" cm="1">
        <f t="array" ref="U39">ABS(INDEX($C$4:$Q$263,ROW(A36),MATCH($T$2,$C$3:$Q$3,0))-INDEX($C$4:$Q$263,ROW(A35),MATCH($T$2,$C$3:$Q$3,0)))</f>
        <v>44</v>
      </c>
      <c r="V39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39">
        <f t="shared" si="0"/>
        <v>40.813595610865789</v>
      </c>
      <c r="X39">
        <f t="shared" si="1"/>
        <v>108.80449618627055</v>
      </c>
      <c r="Y39">
        <f t="shared" si="2"/>
        <v>149.61809179713634</v>
      </c>
      <c r="Z39">
        <f t="shared" si="3"/>
        <v>190.43168740800212</v>
      </c>
      <c r="AA39">
        <f t="shared" si="4"/>
        <v>272.05887862973373</v>
      </c>
      <c r="AB39">
        <f t="shared" si="5"/>
        <v>312.8724742405995</v>
      </c>
      <c r="AC39">
        <f t="shared" si="6"/>
        <v>353.68606985146528</v>
      </c>
      <c r="AD39" t="e">
        <f t="shared" si="7"/>
        <v>#N/A</v>
      </c>
      <c r="AE39">
        <f t="shared" si="14"/>
        <v>-1</v>
      </c>
      <c r="AF39" t="e">
        <f t="shared" si="8"/>
        <v>#N/A</v>
      </c>
      <c r="AG39">
        <f t="shared" si="9"/>
        <v>1</v>
      </c>
      <c r="AH39" t="e">
        <f t="shared" si="10"/>
        <v>#N/A</v>
      </c>
      <c r="AI39">
        <f t="shared" si="11"/>
        <v>-1</v>
      </c>
      <c r="AJ39" t="e">
        <f t="shared" si="12"/>
        <v>#N/A</v>
      </c>
      <c r="AK39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39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39">
        <f t="shared" si="13"/>
        <v>14.699999999999989</v>
      </c>
    </row>
    <row r="40" spans="2:39" x14ac:dyDescent="0.35">
      <c r="B40" s="12">
        <f>Demand!B42</f>
        <v>43869</v>
      </c>
      <c r="C40" s="7">
        <f>INDEX(Demand!$E$6:$S$265,MATCH('SPC Backing (Hide)'!$B40,Demand!$B$6:$B$265,0),MATCH('SPC Backing (Hide)'!C$3,Demand!$E$5:$S$5,0))</f>
        <v>244</v>
      </c>
      <c r="D40" s="5">
        <f>INDEX(Demand!$E$6:$S$265,MATCH('SPC Backing (Hide)'!$B40,Demand!$B$6:$B$265,0),MATCH('SPC Backing (Hide)'!D$3,Demand!$E$5:$S$5,0))</f>
        <v>0</v>
      </c>
      <c r="E40" s="5">
        <f>INDEX(Demand!$E$6:$S$265,MATCH('SPC Backing (Hide)'!$B40,Demand!$B$6:$B$265,0),MATCH('SPC Backing (Hide)'!E$3,Demand!$E$5:$S$5,0))</f>
        <v>0</v>
      </c>
      <c r="F40" s="5">
        <f>INDEX(Demand!$E$6:$S$265,MATCH('SPC Backing (Hide)'!$B40,Demand!$B$6:$B$265,0),MATCH('SPC Backing (Hide)'!F$3,Demand!$E$5:$S$5,0))</f>
        <v>0</v>
      </c>
      <c r="G40" s="5">
        <f>INDEX(Demand!$E$6:$S$265,MATCH('SPC Backing (Hide)'!$B40,Demand!$B$6:$B$265,0),MATCH('SPC Backing (Hide)'!G$3,Demand!$E$5:$S$5,0))</f>
        <v>0</v>
      </c>
      <c r="H40" s="5">
        <f>INDEX(Demand!$E$6:$S$265,MATCH('SPC Backing (Hide)'!$B40,Demand!$B$6:$B$265,0),MATCH('SPC Backing (Hide)'!H$3,Demand!$E$5:$S$5,0))</f>
        <v>0</v>
      </c>
      <c r="I40" s="5">
        <f>INDEX(Demand!$E$6:$S$265,MATCH('SPC Backing (Hide)'!$B40,Demand!$B$6:$B$265,0),MATCH('SPC Backing (Hide)'!I$3,Demand!$E$5:$S$5,0))</f>
        <v>0</v>
      </c>
      <c r="J40" s="5">
        <f>INDEX(Demand!$E$6:$S$265,MATCH('SPC Backing (Hide)'!$B40,Demand!$B$6:$B$265,0),MATCH('SPC Backing (Hide)'!J$3,Demand!$E$5:$S$5,0))</f>
        <v>0</v>
      </c>
      <c r="K40" s="5">
        <f>INDEX(Demand!$E$6:$S$265,MATCH('SPC Backing (Hide)'!$B40,Demand!$B$6:$B$265,0),MATCH('SPC Backing (Hide)'!K$3,Demand!$E$5:$S$5,0))</f>
        <v>0</v>
      </c>
      <c r="L40" s="5">
        <f>INDEX(Demand!$E$6:$S$265,MATCH('SPC Backing (Hide)'!$B40,Demand!$B$6:$B$265,0),MATCH('SPC Backing (Hide)'!L$3,Demand!$E$5:$S$5,0))</f>
        <v>0</v>
      </c>
      <c r="M40" s="5">
        <f>INDEX(Demand!$E$6:$S$265,MATCH('SPC Backing (Hide)'!$B40,Demand!$B$6:$B$265,0),MATCH('SPC Backing (Hide)'!M$3,Demand!$E$5:$S$5,0))</f>
        <v>0</v>
      </c>
      <c r="N40" s="5">
        <f>INDEX(Demand!$E$6:$S$265,MATCH('SPC Backing (Hide)'!$B40,Demand!$B$6:$B$265,0),MATCH('SPC Backing (Hide)'!N$3,Demand!$E$5:$S$5,0))</f>
        <v>0</v>
      </c>
      <c r="O40" s="5">
        <f>INDEX(Demand!$E$6:$S$265,MATCH('SPC Backing (Hide)'!$B40,Demand!$B$6:$B$265,0),MATCH('SPC Backing (Hide)'!O$3,Demand!$E$5:$S$5,0))</f>
        <v>0</v>
      </c>
      <c r="P40" s="5">
        <f>INDEX(Demand!$E$6:$S$265,MATCH('SPC Backing (Hide)'!$B40,Demand!$B$6:$B$265,0),MATCH('SPC Backing (Hide)'!P$3,Demand!$E$5:$S$5,0))</f>
        <v>0</v>
      </c>
      <c r="Q40" s="6">
        <f>INDEX(Demand!$E$6:$S$265,MATCH('SPC Backing (Hide)'!$B40,Demand!$B$6:$B$265,0),MATCH('SPC Backing (Hide)'!Q$3,Demand!$E$5:$S$5,0))</f>
        <v>0</v>
      </c>
      <c r="R40">
        <f>IF(SPC!$B$11="Yes",IF(ROW(A37)&gt;=Demand!$A$5-52,1,0),IF(AND(B40&gt;=SPC!$B$12,B40&lt;SPC!$B$13),1,0))</f>
        <v>1</v>
      </c>
      <c r="S40" cm="1">
        <f t="array" ref="S40">INDEX($C$4:$Q$263,ROW(A37),MATCH($T$2,$C$3:$Q$3,0))</f>
        <v>244</v>
      </c>
      <c r="T40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40" cm="1">
        <f t="array" ref="U40">ABS(INDEX($C$4:$Q$263,ROW(A37),MATCH($T$2,$C$3:$Q$3,0))-INDEX($C$4:$Q$263,ROW(A36),MATCH($T$2,$C$3:$Q$3,0)))</f>
        <v>48</v>
      </c>
      <c r="V40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40">
        <f t="shared" si="0"/>
        <v>40.813595610865789</v>
      </c>
      <c r="X40">
        <f t="shared" si="1"/>
        <v>108.80449618627055</v>
      </c>
      <c r="Y40">
        <f t="shared" si="2"/>
        <v>149.61809179713634</v>
      </c>
      <c r="Z40">
        <f t="shared" si="3"/>
        <v>190.43168740800212</v>
      </c>
      <c r="AA40">
        <f t="shared" si="4"/>
        <v>272.05887862973373</v>
      </c>
      <c r="AB40">
        <f t="shared" si="5"/>
        <v>312.8724742405995</v>
      </c>
      <c r="AC40">
        <f t="shared" si="6"/>
        <v>353.68606985146528</v>
      </c>
      <c r="AD40" t="e">
        <f t="shared" si="7"/>
        <v>#N/A</v>
      </c>
      <c r="AE40">
        <f t="shared" si="14"/>
        <v>1</v>
      </c>
      <c r="AF40" t="e">
        <f t="shared" si="8"/>
        <v>#N/A</v>
      </c>
      <c r="AG40">
        <f t="shared" si="9"/>
        <v>1</v>
      </c>
      <c r="AH40" t="e">
        <f t="shared" si="10"/>
        <v>#N/A</v>
      </c>
      <c r="AI40">
        <f t="shared" si="11"/>
        <v>1</v>
      </c>
      <c r="AJ40" t="e">
        <f t="shared" si="12"/>
        <v>#N/A</v>
      </c>
      <c r="AK40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40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40">
        <f t="shared" si="13"/>
        <v>14.699999999999989</v>
      </c>
    </row>
    <row r="41" spans="2:39" x14ac:dyDescent="0.35">
      <c r="B41" s="12">
        <f>Demand!B43</f>
        <v>43876</v>
      </c>
      <c r="C41" s="7">
        <f>INDEX(Demand!$E$6:$S$265,MATCH('SPC Backing (Hide)'!$B41,Demand!$B$6:$B$265,0),MATCH('SPC Backing (Hide)'!C$3,Demand!$E$5:$S$5,0))</f>
        <v>258</v>
      </c>
      <c r="D41" s="5">
        <f>INDEX(Demand!$E$6:$S$265,MATCH('SPC Backing (Hide)'!$B41,Demand!$B$6:$B$265,0),MATCH('SPC Backing (Hide)'!D$3,Demand!$E$5:$S$5,0))</f>
        <v>0</v>
      </c>
      <c r="E41" s="5">
        <f>INDEX(Demand!$E$6:$S$265,MATCH('SPC Backing (Hide)'!$B41,Demand!$B$6:$B$265,0),MATCH('SPC Backing (Hide)'!E$3,Demand!$E$5:$S$5,0))</f>
        <v>0</v>
      </c>
      <c r="F41" s="5">
        <f>INDEX(Demand!$E$6:$S$265,MATCH('SPC Backing (Hide)'!$B41,Demand!$B$6:$B$265,0),MATCH('SPC Backing (Hide)'!F$3,Demand!$E$5:$S$5,0))</f>
        <v>0</v>
      </c>
      <c r="G41" s="5">
        <f>INDEX(Demand!$E$6:$S$265,MATCH('SPC Backing (Hide)'!$B41,Demand!$B$6:$B$265,0),MATCH('SPC Backing (Hide)'!G$3,Demand!$E$5:$S$5,0))</f>
        <v>0</v>
      </c>
      <c r="H41" s="5">
        <f>INDEX(Demand!$E$6:$S$265,MATCH('SPC Backing (Hide)'!$B41,Demand!$B$6:$B$265,0),MATCH('SPC Backing (Hide)'!H$3,Demand!$E$5:$S$5,0))</f>
        <v>0</v>
      </c>
      <c r="I41" s="5">
        <f>INDEX(Demand!$E$6:$S$265,MATCH('SPC Backing (Hide)'!$B41,Demand!$B$6:$B$265,0),MATCH('SPC Backing (Hide)'!I$3,Demand!$E$5:$S$5,0))</f>
        <v>0</v>
      </c>
      <c r="J41" s="5">
        <f>INDEX(Demand!$E$6:$S$265,MATCH('SPC Backing (Hide)'!$B41,Demand!$B$6:$B$265,0),MATCH('SPC Backing (Hide)'!J$3,Demand!$E$5:$S$5,0))</f>
        <v>0</v>
      </c>
      <c r="K41" s="5">
        <f>INDEX(Demand!$E$6:$S$265,MATCH('SPC Backing (Hide)'!$B41,Demand!$B$6:$B$265,0),MATCH('SPC Backing (Hide)'!K$3,Demand!$E$5:$S$5,0))</f>
        <v>0</v>
      </c>
      <c r="L41" s="5">
        <f>INDEX(Demand!$E$6:$S$265,MATCH('SPC Backing (Hide)'!$B41,Demand!$B$6:$B$265,0),MATCH('SPC Backing (Hide)'!L$3,Demand!$E$5:$S$5,0))</f>
        <v>0</v>
      </c>
      <c r="M41" s="5">
        <f>INDEX(Demand!$E$6:$S$265,MATCH('SPC Backing (Hide)'!$B41,Demand!$B$6:$B$265,0),MATCH('SPC Backing (Hide)'!M$3,Demand!$E$5:$S$5,0))</f>
        <v>0</v>
      </c>
      <c r="N41" s="5">
        <f>INDEX(Demand!$E$6:$S$265,MATCH('SPC Backing (Hide)'!$B41,Demand!$B$6:$B$265,0),MATCH('SPC Backing (Hide)'!N$3,Demand!$E$5:$S$5,0))</f>
        <v>0</v>
      </c>
      <c r="O41" s="5">
        <f>INDEX(Demand!$E$6:$S$265,MATCH('SPC Backing (Hide)'!$B41,Demand!$B$6:$B$265,0),MATCH('SPC Backing (Hide)'!O$3,Demand!$E$5:$S$5,0))</f>
        <v>0</v>
      </c>
      <c r="P41" s="5">
        <f>INDEX(Demand!$E$6:$S$265,MATCH('SPC Backing (Hide)'!$B41,Demand!$B$6:$B$265,0),MATCH('SPC Backing (Hide)'!P$3,Demand!$E$5:$S$5,0))</f>
        <v>0</v>
      </c>
      <c r="Q41" s="6">
        <f>INDEX(Demand!$E$6:$S$265,MATCH('SPC Backing (Hide)'!$B41,Demand!$B$6:$B$265,0),MATCH('SPC Backing (Hide)'!Q$3,Demand!$E$5:$S$5,0))</f>
        <v>0</v>
      </c>
      <c r="R41">
        <f>IF(SPC!$B$11="Yes",IF(ROW(A38)&gt;=Demand!$A$5-52,1,0),IF(AND(B41&gt;=SPC!$B$12,B41&lt;SPC!$B$13),1,0))</f>
        <v>1</v>
      </c>
      <c r="S41" cm="1">
        <f t="array" ref="S41">INDEX($C$4:$Q$263,ROW(A38),MATCH($T$2,$C$3:$Q$3,0))</f>
        <v>258</v>
      </c>
      <c r="T41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41" cm="1">
        <f t="array" ref="U41">ABS(INDEX($C$4:$Q$263,ROW(A38),MATCH($T$2,$C$3:$Q$3,0))-INDEX($C$4:$Q$263,ROW(A37),MATCH($T$2,$C$3:$Q$3,0)))</f>
        <v>14</v>
      </c>
      <c r="V41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41">
        <f t="shared" si="0"/>
        <v>40.813595610865789</v>
      </c>
      <c r="X41">
        <f t="shared" si="1"/>
        <v>108.80449618627055</v>
      </c>
      <c r="Y41">
        <f t="shared" si="2"/>
        <v>149.61809179713634</v>
      </c>
      <c r="Z41">
        <f t="shared" si="3"/>
        <v>190.43168740800212</v>
      </c>
      <c r="AA41">
        <f t="shared" si="4"/>
        <v>272.05887862973373</v>
      </c>
      <c r="AB41">
        <f t="shared" si="5"/>
        <v>312.8724742405995</v>
      </c>
      <c r="AC41">
        <f t="shared" si="6"/>
        <v>353.68606985146528</v>
      </c>
      <c r="AD41" t="e">
        <f t="shared" si="7"/>
        <v>#N/A</v>
      </c>
      <c r="AE41">
        <f t="shared" si="14"/>
        <v>1</v>
      </c>
      <c r="AF41" t="e">
        <f t="shared" si="8"/>
        <v>#N/A</v>
      </c>
      <c r="AG41">
        <f t="shared" si="9"/>
        <v>1</v>
      </c>
      <c r="AH41" t="e">
        <f t="shared" si="10"/>
        <v>#N/A</v>
      </c>
      <c r="AI41">
        <f t="shared" si="11"/>
        <v>1</v>
      </c>
      <c r="AJ41" t="e">
        <f t="shared" si="12"/>
        <v>#N/A</v>
      </c>
      <c r="AK41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41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41">
        <f t="shared" si="13"/>
        <v>14.699999999999989</v>
      </c>
    </row>
    <row r="42" spans="2:39" x14ac:dyDescent="0.35">
      <c r="B42" s="12">
        <f>Demand!B44</f>
        <v>43883</v>
      </c>
      <c r="C42" s="7">
        <f>INDEX(Demand!$E$6:$S$265,MATCH('SPC Backing (Hide)'!$B42,Demand!$B$6:$B$265,0),MATCH('SPC Backing (Hide)'!C$3,Demand!$E$5:$S$5,0))</f>
        <v>262</v>
      </c>
      <c r="D42" s="5">
        <f>INDEX(Demand!$E$6:$S$265,MATCH('SPC Backing (Hide)'!$B42,Demand!$B$6:$B$265,0),MATCH('SPC Backing (Hide)'!D$3,Demand!$E$5:$S$5,0))</f>
        <v>0</v>
      </c>
      <c r="E42" s="5">
        <f>INDEX(Demand!$E$6:$S$265,MATCH('SPC Backing (Hide)'!$B42,Demand!$B$6:$B$265,0),MATCH('SPC Backing (Hide)'!E$3,Demand!$E$5:$S$5,0))</f>
        <v>0</v>
      </c>
      <c r="F42" s="5">
        <f>INDEX(Demand!$E$6:$S$265,MATCH('SPC Backing (Hide)'!$B42,Demand!$B$6:$B$265,0),MATCH('SPC Backing (Hide)'!F$3,Demand!$E$5:$S$5,0))</f>
        <v>0</v>
      </c>
      <c r="G42" s="5">
        <f>INDEX(Demand!$E$6:$S$265,MATCH('SPC Backing (Hide)'!$B42,Demand!$B$6:$B$265,0),MATCH('SPC Backing (Hide)'!G$3,Demand!$E$5:$S$5,0))</f>
        <v>0</v>
      </c>
      <c r="H42" s="5">
        <f>INDEX(Demand!$E$6:$S$265,MATCH('SPC Backing (Hide)'!$B42,Demand!$B$6:$B$265,0),MATCH('SPC Backing (Hide)'!H$3,Demand!$E$5:$S$5,0))</f>
        <v>0</v>
      </c>
      <c r="I42" s="5">
        <f>INDEX(Demand!$E$6:$S$265,MATCH('SPC Backing (Hide)'!$B42,Demand!$B$6:$B$265,0),MATCH('SPC Backing (Hide)'!I$3,Demand!$E$5:$S$5,0))</f>
        <v>0</v>
      </c>
      <c r="J42" s="5">
        <f>INDEX(Demand!$E$6:$S$265,MATCH('SPC Backing (Hide)'!$B42,Demand!$B$6:$B$265,0),MATCH('SPC Backing (Hide)'!J$3,Demand!$E$5:$S$5,0))</f>
        <v>0</v>
      </c>
      <c r="K42" s="5">
        <f>INDEX(Demand!$E$6:$S$265,MATCH('SPC Backing (Hide)'!$B42,Demand!$B$6:$B$265,0),MATCH('SPC Backing (Hide)'!K$3,Demand!$E$5:$S$5,0))</f>
        <v>0</v>
      </c>
      <c r="L42" s="5">
        <f>INDEX(Demand!$E$6:$S$265,MATCH('SPC Backing (Hide)'!$B42,Demand!$B$6:$B$265,0),MATCH('SPC Backing (Hide)'!L$3,Demand!$E$5:$S$5,0))</f>
        <v>0</v>
      </c>
      <c r="M42" s="5">
        <f>INDEX(Demand!$E$6:$S$265,MATCH('SPC Backing (Hide)'!$B42,Demand!$B$6:$B$265,0),MATCH('SPC Backing (Hide)'!M$3,Demand!$E$5:$S$5,0))</f>
        <v>0</v>
      </c>
      <c r="N42" s="5">
        <f>INDEX(Demand!$E$6:$S$265,MATCH('SPC Backing (Hide)'!$B42,Demand!$B$6:$B$265,0),MATCH('SPC Backing (Hide)'!N$3,Demand!$E$5:$S$5,0))</f>
        <v>0</v>
      </c>
      <c r="O42" s="5">
        <f>INDEX(Demand!$E$6:$S$265,MATCH('SPC Backing (Hide)'!$B42,Demand!$B$6:$B$265,0),MATCH('SPC Backing (Hide)'!O$3,Demand!$E$5:$S$5,0))</f>
        <v>0</v>
      </c>
      <c r="P42" s="5">
        <f>INDEX(Demand!$E$6:$S$265,MATCH('SPC Backing (Hide)'!$B42,Demand!$B$6:$B$265,0),MATCH('SPC Backing (Hide)'!P$3,Demand!$E$5:$S$5,0))</f>
        <v>0</v>
      </c>
      <c r="Q42" s="6">
        <f>INDEX(Demand!$E$6:$S$265,MATCH('SPC Backing (Hide)'!$B42,Demand!$B$6:$B$265,0),MATCH('SPC Backing (Hide)'!Q$3,Demand!$E$5:$S$5,0))</f>
        <v>0</v>
      </c>
      <c r="R42">
        <f>IF(SPC!$B$11="Yes",IF(ROW(A39)&gt;=Demand!$A$5-52,1,0),IF(AND(B42&gt;=SPC!$B$12,B42&lt;SPC!$B$13),1,0))</f>
        <v>1</v>
      </c>
      <c r="S42" cm="1">
        <f t="array" ref="S42">INDEX($C$4:$Q$263,ROW(A39),MATCH($T$2,$C$3:$Q$3,0))</f>
        <v>262</v>
      </c>
      <c r="T42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42" cm="1">
        <f t="array" ref="U42">ABS(INDEX($C$4:$Q$263,ROW(A39),MATCH($T$2,$C$3:$Q$3,0))-INDEX($C$4:$Q$263,ROW(A38),MATCH($T$2,$C$3:$Q$3,0)))</f>
        <v>4</v>
      </c>
      <c r="V42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42">
        <f t="shared" si="0"/>
        <v>40.813595610865789</v>
      </c>
      <c r="X42">
        <f t="shared" si="1"/>
        <v>108.80449618627055</v>
      </c>
      <c r="Y42">
        <f t="shared" si="2"/>
        <v>149.61809179713634</v>
      </c>
      <c r="Z42">
        <f t="shared" si="3"/>
        <v>190.43168740800212</v>
      </c>
      <c r="AA42">
        <f t="shared" si="4"/>
        <v>272.05887862973373</v>
      </c>
      <c r="AB42">
        <f t="shared" si="5"/>
        <v>312.8724742405995</v>
      </c>
      <c r="AC42">
        <f t="shared" si="6"/>
        <v>353.68606985146528</v>
      </c>
      <c r="AD42" t="e">
        <f t="shared" si="7"/>
        <v>#N/A</v>
      </c>
      <c r="AE42">
        <f t="shared" si="14"/>
        <v>1</v>
      </c>
      <c r="AF42">
        <f t="shared" si="8"/>
        <v>262</v>
      </c>
      <c r="AG42">
        <f t="shared" si="9"/>
        <v>1</v>
      </c>
      <c r="AH42" t="e">
        <f t="shared" si="10"/>
        <v>#N/A</v>
      </c>
      <c r="AI42">
        <f t="shared" si="11"/>
        <v>1</v>
      </c>
      <c r="AJ42" t="e">
        <f t="shared" si="12"/>
        <v>#N/A</v>
      </c>
      <c r="AK42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42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42">
        <f t="shared" si="13"/>
        <v>14.699999999999989</v>
      </c>
    </row>
    <row r="43" spans="2:39" x14ac:dyDescent="0.35">
      <c r="B43" s="12">
        <f>Demand!B45</f>
        <v>43890</v>
      </c>
      <c r="C43" s="7">
        <f>INDEX(Demand!$E$6:$S$265,MATCH('SPC Backing (Hide)'!$B43,Demand!$B$6:$B$265,0),MATCH('SPC Backing (Hide)'!C$3,Demand!$E$5:$S$5,0))</f>
        <v>380</v>
      </c>
      <c r="D43" s="5">
        <f>INDEX(Demand!$E$6:$S$265,MATCH('SPC Backing (Hide)'!$B43,Demand!$B$6:$B$265,0),MATCH('SPC Backing (Hide)'!D$3,Demand!$E$5:$S$5,0))</f>
        <v>0</v>
      </c>
      <c r="E43" s="5">
        <f>INDEX(Demand!$E$6:$S$265,MATCH('SPC Backing (Hide)'!$B43,Demand!$B$6:$B$265,0),MATCH('SPC Backing (Hide)'!E$3,Demand!$E$5:$S$5,0))</f>
        <v>0</v>
      </c>
      <c r="F43" s="5">
        <f>INDEX(Demand!$E$6:$S$265,MATCH('SPC Backing (Hide)'!$B43,Demand!$B$6:$B$265,0),MATCH('SPC Backing (Hide)'!F$3,Demand!$E$5:$S$5,0))</f>
        <v>0</v>
      </c>
      <c r="G43" s="5">
        <f>INDEX(Demand!$E$6:$S$265,MATCH('SPC Backing (Hide)'!$B43,Demand!$B$6:$B$265,0),MATCH('SPC Backing (Hide)'!G$3,Demand!$E$5:$S$5,0))</f>
        <v>0</v>
      </c>
      <c r="H43" s="5">
        <f>INDEX(Demand!$E$6:$S$265,MATCH('SPC Backing (Hide)'!$B43,Demand!$B$6:$B$265,0),MATCH('SPC Backing (Hide)'!H$3,Demand!$E$5:$S$5,0))</f>
        <v>0</v>
      </c>
      <c r="I43" s="5">
        <f>INDEX(Demand!$E$6:$S$265,MATCH('SPC Backing (Hide)'!$B43,Demand!$B$6:$B$265,0),MATCH('SPC Backing (Hide)'!I$3,Demand!$E$5:$S$5,0))</f>
        <v>0</v>
      </c>
      <c r="J43" s="5">
        <f>INDEX(Demand!$E$6:$S$265,MATCH('SPC Backing (Hide)'!$B43,Demand!$B$6:$B$265,0),MATCH('SPC Backing (Hide)'!J$3,Demand!$E$5:$S$5,0))</f>
        <v>0</v>
      </c>
      <c r="K43" s="5">
        <f>INDEX(Demand!$E$6:$S$265,MATCH('SPC Backing (Hide)'!$B43,Demand!$B$6:$B$265,0),MATCH('SPC Backing (Hide)'!K$3,Demand!$E$5:$S$5,0))</f>
        <v>0</v>
      </c>
      <c r="L43" s="5">
        <f>INDEX(Demand!$E$6:$S$265,MATCH('SPC Backing (Hide)'!$B43,Demand!$B$6:$B$265,0),MATCH('SPC Backing (Hide)'!L$3,Demand!$E$5:$S$5,0))</f>
        <v>0</v>
      </c>
      <c r="M43" s="5">
        <f>INDEX(Demand!$E$6:$S$265,MATCH('SPC Backing (Hide)'!$B43,Demand!$B$6:$B$265,0),MATCH('SPC Backing (Hide)'!M$3,Demand!$E$5:$S$5,0))</f>
        <v>0</v>
      </c>
      <c r="N43" s="5">
        <f>INDEX(Demand!$E$6:$S$265,MATCH('SPC Backing (Hide)'!$B43,Demand!$B$6:$B$265,0),MATCH('SPC Backing (Hide)'!N$3,Demand!$E$5:$S$5,0))</f>
        <v>0</v>
      </c>
      <c r="O43" s="5">
        <f>INDEX(Demand!$E$6:$S$265,MATCH('SPC Backing (Hide)'!$B43,Demand!$B$6:$B$265,0),MATCH('SPC Backing (Hide)'!O$3,Demand!$E$5:$S$5,0))</f>
        <v>0</v>
      </c>
      <c r="P43" s="5">
        <f>INDEX(Demand!$E$6:$S$265,MATCH('SPC Backing (Hide)'!$B43,Demand!$B$6:$B$265,0),MATCH('SPC Backing (Hide)'!P$3,Demand!$E$5:$S$5,0))</f>
        <v>0</v>
      </c>
      <c r="Q43" s="6">
        <f>INDEX(Demand!$E$6:$S$265,MATCH('SPC Backing (Hide)'!$B43,Demand!$B$6:$B$265,0),MATCH('SPC Backing (Hide)'!Q$3,Demand!$E$5:$S$5,0))</f>
        <v>0</v>
      </c>
      <c r="R43">
        <f>IF(SPC!$B$11="Yes",IF(ROW(A40)&gt;=Demand!$A$5-52,1,0),IF(AND(B43&gt;=SPC!$B$12,B43&lt;SPC!$B$13),1,0))</f>
        <v>1</v>
      </c>
      <c r="S43" cm="1">
        <f t="array" ref="S43">INDEX($C$4:$Q$263,ROW(A40),MATCH($T$2,$C$3:$Q$3,0))</f>
        <v>380</v>
      </c>
      <c r="T43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43" cm="1">
        <f t="array" ref="U43">ABS(INDEX($C$4:$Q$263,ROW(A40),MATCH($T$2,$C$3:$Q$3,0))-INDEX($C$4:$Q$263,ROW(A39),MATCH($T$2,$C$3:$Q$3,0)))</f>
        <v>118</v>
      </c>
      <c r="V43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43">
        <f t="shared" si="0"/>
        <v>40.813595610865789</v>
      </c>
      <c r="X43">
        <f t="shared" si="1"/>
        <v>108.80449618627055</v>
      </c>
      <c r="Y43">
        <f t="shared" si="2"/>
        <v>149.61809179713634</v>
      </c>
      <c r="Z43">
        <f t="shared" si="3"/>
        <v>190.43168740800212</v>
      </c>
      <c r="AA43">
        <f t="shared" si="4"/>
        <v>272.05887862973373</v>
      </c>
      <c r="AB43">
        <f t="shared" si="5"/>
        <v>312.8724742405995</v>
      </c>
      <c r="AC43">
        <f t="shared" si="6"/>
        <v>353.68606985146528</v>
      </c>
      <c r="AD43">
        <f t="shared" si="7"/>
        <v>380</v>
      </c>
      <c r="AE43">
        <f t="shared" si="14"/>
        <v>2</v>
      </c>
      <c r="AF43" t="e">
        <f t="shared" si="8"/>
        <v>#N/A</v>
      </c>
      <c r="AG43">
        <f t="shared" si="9"/>
        <v>1</v>
      </c>
      <c r="AH43" t="e">
        <f t="shared" si="10"/>
        <v>#N/A</v>
      </c>
      <c r="AI43">
        <f t="shared" si="11"/>
        <v>1</v>
      </c>
      <c r="AJ43" t="e">
        <f t="shared" si="12"/>
        <v>#N/A</v>
      </c>
      <c r="AK43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43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43">
        <f t="shared" si="13"/>
        <v>14.699999999999989</v>
      </c>
    </row>
    <row r="44" spans="2:39" x14ac:dyDescent="0.35">
      <c r="B44" s="12">
        <f>Demand!B46</f>
        <v>43897</v>
      </c>
      <c r="C44" s="56">
        <f>INDEX(Demand!$E$6:$S$265,MATCH('SPC Backing (Hide)'!$B44,Demand!$B$6:$B$265,0),MATCH('SPC Backing (Hide)'!C$3,Demand!$E$5:$S$5,0))</f>
        <v>394</v>
      </c>
      <c r="D44" s="5">
        <f>INDEX(Demand!$E$6:$S$265,MATCH('SPC Backing (Hide)'!$B44,Demand!$B$6:$B$265,0),MATCH('SPC Backing (Hide)'!D$3,Demand!$E$5:$S$5,0))</f>
        <v>0</v>
      </c>
      <c r="E44" s="5">
        <f>INDEX(Demand!$E$6:$S$265,MATCH('SPC Backing (Hide)'!$B44,Demand!$B$6:$B$265,0),MATCH('SPC Backing (Hide)'!E$3,Demand!$E$5:$S$5,0))</f>
        <v>0</v>
      </c>
      <c r="F44" s="5">
        <f>INDEX(Demand!$E$6:$S$265,MATCH('SPC Backing (Hide)'!$B44,Demand!$B$6:$B$265,0),MATCH('SPC Backing (Hide)'!F$3,Demand!$E$5:$S$5,0))</f>
        <v>0</v>
      </c>
      <c r="G44" s="5">
        <f>INDEX(Demand!$E$6:$S$265,MATCH('SPC Backing (Hide)'!$B44,Demand!$B$6:$B$265,0),MATCH('SPC Backing (Hide)'!G$3,Demand!$E$5:$S$5,0))</f>
        <v>0</v>
      </c>
      <c r="H44" s="5">
        <f>INDEX(Demand!$E$6:$S$265,MATCH('SPC Backing (Hide)'!$B44,Demand!$B$6:$B$265,0),MATCH('SPC Backing (Hide)'!H$3,Demand!$E$5:$S$5,0))</f>
        <v>0</v>
      </c>
      <c r="I44" s="5">
        <f>INDEX(Demand!$E$6:$S$265,MATCH('SPC Backing (Hide)'!$B44,Demand!$B$6:$B$265,0),MATCH('SPC Backing (Hide)'!I$3,Demand!$E$5:$S$5,0))</f>
        <v>0</v>
      </c>
      <c r="J44" s="5">
        <f>INDEX(Demand!$E$6:$S$265,MATCH('SPC Backing (Hide)'!$B44,Demand!$B$6:$B$265,0),MATCH('SPC Backing (Hide)'!J$3,Demand!$E$5:$S$5,0))</f>
        <v>0</v>
      </c>
      <c r="K44" s="5">
        <f>INDEX(Demand!$E$6:$S$265,MATCH('SPC Backing (Hide)'!$B44,Demand!$B$6:$B$265,0),MATCH('SPC Backing (Hide)'!K$3,Demand!$E$5:$S$5,0))</f>
        <v>0</v>
      </c>
      <c r="L44" s="5">
        <f>INDEX(Demand!$E$6:$S$265,MATCH('SPC Backing (Hide)'!$B44,Demand!$B$6:$B$265,0),MATCH('SPC Backing (Hide)'!L$3,Demand!$E$5:$S$5,0))</f>
        <v>0</v>
      </c>
      <c r="M44" s="5">
        <f>INDEX(Demand!$E$6:$S$265,MATCH('SPC Backing (Hide)'!$B44,Demand!$B$6:$B$265,0),MATCH('SPC Backing (Hide)'!M$3,Demand!$E$5:$S$5,0))</f>
        <v>0</v>
      </c>
      <c r="N44" s="5">
        <f>INDEX(Demand!$E$6:$S$265,MATCH('SPC Backing (Hide)'!$B44,Demand!$B$6:$B$265,0),MATCH('SPC Backing (Hide)'!N$3,Demand!$E$5:$S$5,0))</f>
        <v>0</v>
      </c>
      <c r="O44" s="5">
        <f>INDEX(Demand!$E$6:$S$265,MATCH('SPC Backing (Hide)'!$B44,Demand!$B$6:$B$265,0),MATCH('SPC Backing (Hide)'!O$3,Demand!$E$5:$S$5,0))</f>
        <v>0</v>
      </c>
      <c r="P44" s="5">
        <f>INDEX(Demand!$E$6:$S$265,MATCH('SPC Backing (Hide)'!$B44,Demand!$B$6:$B$265,0),MATCH('SPC Backing (Hide)'!P$3,Demand!$E$5:$S$5,0))</f>
        <v>0</v>
      </c>
      <c r="Q44" s="6">
        <f>INDEX(Demand!$E$6:$S$265,MATCH('SPC Backing (Hide)'!$B44,Demand!$B$6:$B$265,0),MATCH('SPC Backing (Hide)'!Q$3,Demand!$E$5:$S$5,0))</f>
        <v>0</v>
      </c>
      <c r="R44">
        <f>IF(SPC!$B$11="Yes",IF(ROW(A41)&gt;=Demand!$A$5-52,1,0),IF(AND(B44&gt;=SPC!$B$12,B44&lt;SPC!$B$13),1,0))</f>
        <v>1</v>
      </c>
      <c r="S44" cm="1">
        <f t="array" ref="S44">INDEX($C$4:$Q$263,ROW(A41),MATCH($T$2,$C$3:$Q$3,0))</f>
        <v>394</v>
      </c>
      <c r="T44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44" cm="1">
        <f t="array" ref="U44">ABS(INDEX($C$4:$Q$263,ROW(A41),MATCH($T$2,$C$3:$Q$3,0))-INDEX($C$4:$Q$263,ROW(A40),MATCH($T$2,$C$3:$Q$3,0)))</f>
        <v>14</v>
      </c>
      <c r="V44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44">
        <f t="shared" si="0"/>
        <v>40.813595610865789</v>
      </c>
      <c r="X44">
        <f t="shared" si="1"/>
        <v>108.80449618627055</v>
      </c>
      <c r="Y44">
        <f t="shared" si="2"/>
        <v>149.61809179713634</v>
      </c>
      <c r="Z44">
        <f t="shared" si="3"/>
        <v>190.43168740800212</v>
      </c>
      <c r="AA44">
        <f t="shared" si="4"/>
        <v>272.05887862973373</v>
      </c>
      <c r="AB44">
        <f t="shared" si="5"/>
        <v>312.8724742405995</v>
      </c>
      <c r="AC44">
        <f t="shared" si="6"/>
        <v>353.68606985146528</v>
      </c>
      <c r="AD44">
        <f t="shared" si="7"/>
        <v>394</v>
      </c>
      <c r="AE44">
        <f t="shared" si="14"/>
        <v>2</v>
      </c>
      <c r="AF44" t="e">
        <f t="shared" si="8"/>
        <v>#N/A</v>
      </c>
      <c r="AG44">
        <f t="shared" si="9"/>
        <v>-1</v>
      </c>
      <c r="AH44" t="e">
        <f t="shared" si="10"/>
        <v>#N/A</v>
      </c>
      <c r="AI44">
        <f t="shared" si="11"/>
        <v>1</v>
      </c>
      <c r="AJ44" t="e">
        <f t="shared" si="12"/>
        <v>#N/A</v>
      </c>
      <c r="AK44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44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44">
        <f t="shared" si="13"/>
        <v>14.699999999999989</v>
      </c>
    </row>
    <row r="45" spans="2:39" x14ac:dyDescent="0.35">
      <c r="B45" s="12">
        <f>Demand!B47</f>
        <v>43904</v>
      </c>
      <c r="C45" s="56">
        <f>INDEX(Demand!$E$6:$S$265,MATCH('SPC Backing (Hide)'!$B45,Demand!$B$6:$B$265,0),MATCH('SPC Backing (Hide)'!C$3,Demand!$E$5:$S$5,0))</f>
        <v>170</v>
      </c>
      <c r="D45" s="5">
        <f>INDEX(Demand!$E$6:$S$265,MATCH('SPC Backing (Hide)'!$B45,Demand!$B$6:$B$265,0),MATCH('SPC Backing (Hide)'!D$3,Demand!$E$5:$S$5,0))</f>
        <v>0</v>
      </c>
      <c r="E45" s="5">
        <f>INDEX(Demand!$E$6:$S$265,MATCH('SPC Backing (Hide)'!$B45,Demand!$B$6:$B$265,0),MATCH('SPC Backing (Hide)'!E$3,Demand!$E$5:$S$5,0))</f>
        <v>0</v>
      </c>
      <c r="F45" s="5">
        <f>INDEX(Demand!$E$6:$S$265,MATCH('SPC Backing (Hide)'!$B45,Demand!$B$6:$B$265,0),MATCH('SPC Backing (Hide)'!F$3,Demand!$E$5:$S$5,0))</f>
        <v>0</v>
      </c>
      <c r="G45" s="5">
        <f>INDEX(Demand!$E$6:$S$265,MATCH('SPC Backing (Hide)'!$B45,Demand!$B$6:$B$265,0),MATCH('SPC Backing (Hide)'!G$3,Demand!$E$5:$S$5,0))</f>
        <v>0</v>
      </c>
      <c r="H45" s="5">
        <f>INDEX(Demand!$E$6:$S$265,MATCH('SPC Backing (Hide)'!$B45,Demand!$B$6:$B$265,0),MATCH('SPC Backing (Hide)'!H$3,Demand!$E$5:$S$5,0))</f>
        <v>0</v>
      </c>
      <c r="I45" s="5">
        <f>INDEX(Demand!$E$6:$S$265,MATCH('SPC Backing (Hide)'!$B45,Demand!$B$6:$B$265,0),MATCH('SPC Backing (Hide)'!I$3,Demand!$E$5:$S$5,0))</f>
        <v>0</v>
      </c>
      <c r="J45" s="5">
        <f>INDEX(Demand!$E$6:$S$265,MATCH('SPC Backing (Hide)'!$B45,Demand!$B$6:$B$265,0),MATCH('SPC Backing (Hide)'!J$3,Demand!$E$5:$S$5,0))</f>
        <v>0</v>
      </c>
      <c r="K45" s="5">
        <f>INDEX(Demand!$E$6:$S$265,MATCH('SPC Backing (Hide)'!$B45,Demand!$B$6:$B$265,0),MATCH('SPC Backing (Hide)'!K$3,Demand!$E$5:$S$5,0))</f>
        <v>0</v>
      </c>
      <c r="L45" s="5">
        <f>INDEX(Demand!$E$6:$S$265,MATCH('SPC Backing (Hide)'!$B45,Demand!$B$6:$B$265,0),MATCH('SPC Backing (Hide)'!L$3,Demand!$E$5:$S$5,0))</f>
        <v>0</v>
      </c>
      <c r="M45" s="5">
        <f>INDEX(Demand!$E$6:$S$265,MATCH('SPC Backing (Hide)'!$B45,Demand!$B$6:$B$265,0),MATCH('SPC Backing (Hide)'!M$3,Demand!$E$5:$S$5,0))</f>
        <v>0</v>
      </c>
      <c r="N45" s="5">
        <f>INDEX(Demand!$E$6:$S$265,MATCH('SPC Backing (Hide)'!$B45,Demand!$B$6:$B$265,0),MATCH('SPC Backing (Hide)'!N$3,Demand!$E$5:$S$5,0))</f>
        <v>0</v>
      </c>
      <c r="O45" s="5">
        <f>INDEX(Demand!$E$6:$S$265,MATCH('SPC Backing (Hide)'!$B45,Demand!$B$6:$B$265,0),MATCH('SPC Backing (Hide)'!O$3,Demand!$E$5:$S$5,0))</f>
        <v>0</v>
      </c>
      <c r="P45" s="5">
        <f>INDEX(Demand!$E$6:$S$265,MATCH('SPC Backing (Hide)'!$B45,Demand!$B$6:$B$265,0),MATCH('SPC Backing (Hide)'!P$3,Demand!$E$5:$S$5,0))</f>
        <v>0</v>
      </c>
      <c r="Q45" s="6">
        <f>INDEX(Demand!$E$6:$S$265,MATCH('SPC Backing (Hide)'!$B45,Demand!$B$6:$B$265,0),MATCH('SPC Backing (Hide)'!Q$3,Demand!$E$5:$S$5,0))</f>
        <v>0</v>
      </c>
      <c r="R45">
        <f>IF(SPC!$B$11="Yes",IF(ROW(A42)&gt;=Demand!$A$5-52,1,0),IF(AND(B45&gt;=SPC!$B$12,B45&lt;SPC!$B$13),1,0))</f>
        <v>1</v>
      </c>
      <c r="S45" cm="1">
        <f t="array" ref="S45">INDEX($C$4:$Q$263,ROW(A42),MATCH($T$2,$C$3:$Q$3,0))</f>
        <v>170</v>
      </c>
      <c r="T45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45" cm="1">
        <f t="array" ref="U45">ABS(INDEX($C$4:$Q$263,ROW(A42),MATCH($T$2,$C$3:$Q$3,0))-INDEX($C$4:$Q$263,ROW(A41),MATCH($T$2,$C$3:$Q$3,0)))</f>
        <v>224</v>
      </c>
      <c r="V45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45">
        <f t="shared" si="0"/>
        <v>40.813595610865789</v>
      </c>
      <c r="X45">
        <f t="shared" si="1"/>
        <v>108.80449618627055</v>
      </c>
      <c r="Y45">
        <f t="shared" si="2"/>
        <v>149.61809179713634</v>
      </c>
      <c r="Z45">
        <f t="shared" si="3"/>
        <v>190.43168740800212</v>
      </c>
      <c r="AA45">
        <f t="shared" si="4"/>
        <v>272.05887862973373</v>
      </c>
      <c r="AB45">
        <f t="shared" si="5"/>
        <v>312.8724742405995</v>
      </c>
      <c r="AC45">
        <f t="shared" si="6"/>
        <v>353.68606985146528</v>
      </c>
      <c r="AD45" t="e">
        <f t="shared" si="7"/>
        <v>#N/A</v>
      </c>
      <c r="AE45">
        <f t="shared" si="14"/>
        <v>-1</v>
      </c>
      <c r="AF45">
        <f t="shared" si="8"/>
        <v>170</v>
      </c>
      <c r="AG45">
        <f t="shared" si="9"/>
        <v>-1</v>
      </c>
      <c r="AH45" t="e">
        <f t="shared" si="10"/>
        <v>#N/A</v>
      </c>
      <c r="AI45">
        <f t="shared" si="11"/>
        <v>-1</v>
      </c>
      <c r="AJ45" t="e">
        <f t="shared" si="12"/>
        <v>#N/A</v>
      </c>
      <c r="AK45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45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45">
        <f t="shared" si="13"/>
        <v>14.699999999999989</v>
      </c>
    </row>
    <row r="46" spans="2:39" x14ac:dyDescent="0.35">
      <c r="B46" s="12">
        <f>Demand!B48</f>
        <v>43911</v>
      </c>
      <c r="C46" s="56">
        <f>INDEX(Demand!$E$6:$S$265,MATCH('SPC Backing (Hide)'!$B46,Demand!$B$6:$B$265,0),MATCH('SPC Backing (Hide)'!C$3,Demand!$E$5:$S$5,0))</f>
        <v>30</v>
      </c>
      <c r="D46" s="5">
        <f>INDEX(Demand!$E$6:$S$265,MATCH('SPC Backing (Hide)'!$B46,Demand!$B$6:$B$265,0),MATCH('SPC Backing (Hide)'!D$3,Demand!$E$5:$S$5,0))</f>
        <v>0</v>
      </c>
      <c r="E46" s="5">
        <f>INDEX(Demand!$E$6:$S$265,MATCH('SPC Backing (Hide)'!$B46,Demand!$B$6:$B$265,0),MATCH('SPC Backing (Hide)'!E$3,Demand!$E$5:$S$5,0))</f>
        <v>0</v>
      </c>
      <c r="F46" s="5">
        <f>INDEX(Demand!$E$6:$S$265,MATCH('SPC Backing (Hide)'!$B46,Demand!$B$6:$B$265,0),MATCH('SPC Backing (Hide)'!F$3,Demand!$E$5:$S$5,0))</f>
        <v>0</v>
      </c>
      <c r="G46" s="5">
        <f>INDEX(Demand!$E$6:$S$265,MATCH('SPC Backing (Hide)'!$B46,Demand!$B$6:$B$265,0),MATCH('SPC Backing (Hide)'!G$3,Demand!$E$5:$S$5,0))</f>
        <v>0</v>
      </c>
      <c r="H46" s="5">
        <f>INDEX(Demand!$E$6:$S$265,MATCH('SPC Backing (Hide)'!$B46,Demand!$B$6:$B$265,0),MATCH('SPC Backing (Hide)'!H$3,Demand!$E$5:$S$5,0))</f>
        <v>0</v>
      </c>
      <c r="I46" s="5">
        <f>INDEX(Demand!$E$6:$S$265,MATCH('SPC Backing (Hide)'!$B46,Demand!$B$6:$B$265,0),MATCH('SPC Backing (Hide)'!I$3,Demand!$E$5:$S$5,0))</f>
        <v>0</v>
      </c>
      <c r="J46" s="5">
        <f>INDEX(Demand!$E$6:$S$265,MATCH('SPC Backing (Hide)'!$B46,Demand!$B$6:$B$265,0),MATCH('SPC Backing (Hide)'!J$3,Demand!$E$5:$S$5,0))</f>
        <v>0</v>
      </c>
      <c r="K46" s="5">
        <f>INDEX(Demand!$E$6:$S$265,MATCH('SPC Backing (Hide)'!$B46,Demand!$B$6:$B$265,0),MATCH('SPC Backing (Hide)'!K$3,Demand!$E$5:$S$5,0))</f>
        <v>0</v>
      </c>
      <c r="L46" s="5">
        <f>INDEX(Demand!$E$6:$S$265,MATCH('SPC Backing (Hide)'!$B46,Demand!$B$6:$B$265,0),MATCH('SPC Backing (Hide)'!L$3,Demand!$E$5:$S$5,0))</f>
        <v>0</v>
      </c>
      <c r="M46" s="5">
        <f>INDEX(Demand!$E$6:$S$265,MATCH('SPC Backing (Hide)'!$B46,Demand!$B$6:$B$265,0),MATCH('SPC Backing (Hide)'!M$3,Demand!$E$5:$S$5,0))</f>
        <v>0</v>
      </c>
      <c r="N46" s="5">
        <f>INDEX(Demand!$E$6:$S$265,MATCH('SPC Backing (Hide)'!$B46,Demand!$B$6:$B$265,0),MATCH('SPC Backing (Hide)'!N$3,Demand!$E$5:$S$5,0))</f>
        <v>0</v>
      </c>
      <c r="O46" s="5">
        <f>INDEX(Demand!$E$6:$S$265,MATCH('SPC Backing (Hide)'!$B46,Demand!$B$6:$B$265,0),MATCH('SPC Backing (Hide)'!O$3,Demand!$E$5:$S$5,0))</f>
        <v>0</v>
      </c>
      <c r="P46" s="5">
        <f>INDEX(Demand!$E$6:$S$265,MATCH('SPC Backing (Hide)'!$B46,Demand!$B$6:$B$265,0),MATCH('SPC Backing (Hide)'!P$3,Demand!$E$5:$S$5,0))</f>
        <v>0</v>
      </c>
      <c r="Q46" s="6">
        <f>INDEX(Demand!$E$6:$S$265,MATCH('SPC Backing (Hide)'!$B46,Demand!$B$6:$B$265,0),MATCH('SPC Backing (Hide)'!Q$3,Demand!$E$5:$S$5,0))</f>
        <v>0</v>
      </c>
      <c r="R46">
        <f>IF(SPC!$B$11="Yes",IF(ROW(A43)&gt;=Demand!$A$5-52,1,0),IF(AND(B46&gt;=SPC!$B$12,B46&lt;SPC!$B$13),1,0))</f>
        <v>1</v>
      </c>
      <c r="S46" cm="1">
        <f t="array" ref="S46">INDEX($C$4:$Q$263,ROW(A43),MATCH($T$2,$C$3:$Q$3,0))</f>
        <v>30</v>
      </c>
      <c r="T46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46" cm="1">
        <f t="array" ref="U46">ABS(INDEX($C$4:$Q$263,ROW(A43),MATCH($T$2,$C$3:$Q$3,0))-INDEX($C$4:$Q$263,ROW(A42),MATCH($T$2,$C$3:$Q$3,0)))</f>
        <v>140</v>
      </c>
      <c r="V46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46">
        <f t="shared" si="0"/>
        <v>40.813595610865789</v>
      </c>
      <c r="X46">
        <f t="shared" si="1"/>
        <v>108.80449618627055</v>
      </c>
      <c r="Y46">
        <f t="shared" si="2"/>
        <v>149.61809179713634</v>
      </c>
      <c r="Z46">
        <f t="shared" si="3"/>
        <v>190.43168740800212</v>
      </c>
      <c r="AA46">
        <f t="shared" si="4"/>
        <v>272.05887862973373</v>
      </c>
      <c r="AB46">
        <f t="shared" si="5"/>
        <v>312.8724742405995</v>
      </c>
      <c r="AC46">
        <f t="shared" si="6"/>
        <v>353.68606985146528</v>
      </c>
      <c r="AD46">
        <f t="shared" si="7"/>
        <v>30</v>
      </c>
      <c r="AE46">
        <f t="shared" si="14"/>
        <v>-2</v>
      </c>
      <c r="AF46" t="e">
        <f t="shared" si="8"/>
        <v>#N/A</v>
      </c>
      <c r="AG46">
        <f t="shared" si="9"/>
        <v>1</v>
      </c>
      <c r="AH46" t="e">
        <f t="shared" si="10"/>
        <v>#N/A</v>
      </c>
      <c r="AI46">
        <f t="shared" si="11"/>
        <v>-1</v>
      </c>
      <c r="AJ46" t="e">
        <f t="shared" si="12"/>
        <v>#N/A</v>
      </c>
      <c r="AK46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46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46">
        <f t="shared" si="13"/>
        <v>14.699999999999989</v>
      </c>
    </row>
    <row r="47" spans="2:39" x14ac:dyDescent="0.35">
      <c r="B47" s="12">
        <f>Demand!B49</f>
        <v>43918</v>
      </c>
      <c r="C47" s="56">
        <f>INDEX(Demand!$E$6:$S$265,MATCH('SPC Backing (Hide)'!$B47,Demand!$B$6:$B$265,0),MATCH('SPC Backing (Hide)'!C$3,Demand!$E$5:$S$5,0))</f>
        <v>100</v>
      </c>
      <c r="D47" s="5">
        <f>INDEX(Demand!$E$6:$S$265,MATCH('SPC Backing (Hide)'!$B47,Demand!$B$6:$B$265,0),MATCH('SPC Backing (Hide)'!D$3,Demand!$E$5:$S$5,0))</f>
        <v>0</v>
      </c>
      <c r="E47" s="5">
        <f>INDEX(Demand!$E$6:$S$265,MATCH('SPC Backing (Hide)'!$B47,Demand!$B$6:$B$265,0),MATCH('SPC Backing (Hide)'!E$3,Demand!$E$5:$S$5,0))</f>
        <v>0</v>
      </c>
      <c r="F47" s="5">
        <f>INDEX(Demand!$E$6:$S$265,MATCH('SPC Backing (Hide)'!$B47,Demand!$B$6:$B$265,0),MATCH('SPC Backing (Hide)'!F$3,Demand!$E$5:$S$5,0))</f>
        <v>0</v>
      </c>
      <c r="G47" s="5">
        <f>INDEX(Demand!$E$6:$S$265,MATCH('SPC Backing (Hide)'!$B47,Demand!$B$6:$B$265,0),MATCH('SPC Backing (Hide)'!G$3,Demand!$E$5:$S$5,0))</f>
        <v>0</v>
      </c>
      <c r="H47" s="5">
        <f>INDEX(Demand!$E$6:$S$265,MATCH('SPC Backing (Hide)'!$B47,Demand!$B$6:$B$265,0),MATCH('SPC Backing (Hide)'!H$3,Demand!$E$5:$S$5,0))</f>
        <v>0</v>
      </c>
      <c r="I47" s="5">
        <f>INDEX(Demand!$E$6:$S$265,MATCH('SPC Backing (Hide)'!$B47,Demand!$B$6:$B$265,0),MATCH('SPC Backing (Hide)'!I$3,Demand!$E$5:$S$5,0))</f>
        <v>0</v>
      </c>
      <c r="J47" s="5">
        <f>INDEX(Demand!$E$6:$S$265,MATCH('SPC Backing (Hide)'!$B47,Demand!$B$6:$B$265,0),MATCH('SPC Backing (Hide)'!J$3,Demand!$E$5:$S$5,0))</f>
        <v>0</v>
      </c>
      <c r="K47" s="5">
        <f>INDEX(Demand!$E$6:$S$265,MATCH('SPC Backing (Hide)'!$B47,Demand!$B$6:$B$265,0),MATCH('SPC Backing (Hide)'!K$3,Demand!$E$5:$S$5,0))</f>
        <v>0</v>
      </c>
      <c r="L47" s="5">
        <f>INDEX(Demand!$E$6:$S$265,MATCH('SPC Backing (Hide)'!$B47,Demand!$B$6:$B$265,0),MATCH('SPC Backing (Hide)'!L$3,Demand!$E$5:$S$5,0))</f>
        <v>0</v>
      </c>
      <c r="M47" s="5">
        <f>INDEX(Demand!$E$6:$S$265,MATCH('SPC Backing (Hide)'!$B47,Demand!$B$6:$B$265,0),MATCH('SPC Backing (Hide)'!M$3,Demand!$E$5:$S$5,0))</f>
        <v>0</v>
      </c>
      <c r="N47" s="5">
        <f>INDEX(Demand!$E$6:$S$265,MATCH('SPC Backing (Hide)'!$B47,Demand!$B$6:$B$265,0),MATCH('SPC Backing (Hide)'!N$3,Demand!$E$5:$S$5,0))</f>
        <v>0</v>
      </c>
      <c r="O47" s="5">
        <f>INDEX(Demand!$E$6:$S$265,MATCH('SPC Backing (Hide)'!$B47,Demand!$B$6:$B$265,0),MATCH('SPC Backing (Hide)'!O$3,Demand!$E$5:$S$5,0))</f>
        <v>0</v>
      </c>
      <c r="P47" s="5">
        <f>INDEX(Demand!$E$6:$S$265,MATCH('SPC Backing (Hide)'!$B47,Demand!$B$6:$B$265,0),MATCH('SPC Backing (Hide)'!P$3,Demand!$E$5:$S$5,0))</f>
        <v>0</v>
      </c>
      <c r="Q47" s="6">
        <f>INDEX(Demand!$E$6:$S$265,MATCH('SPC Backing (Hide)'!$B47,Demand!$B$6:$B$265,0),MATCH('SPC Backing (Hide)'!Q$3,Demand!$E$5:$S$5,0))</f>
        <v>0</v>
      </c>
      <c r="R47">
        <f>IF(SPC!$B$11="Yes",IF(ROW(A44)&gt;=Demand!$A$5-52,1,0),IF(AND(B47&gt;=SPC!$B$12,B47&lt;SPC!$B$13),1,0))</f>
        <v>1</v>
      </c>
      <c r="S47" cm="1">
        <f t="array" ref="S47">INDEX($C$4:$Q$263,ROW(A44),MATCH($T$2,$C$3:$Q$3,0))</f>
        <v>100</v>
      </c>
      <c r="T47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47" cm="1">
        <f t="array" ref="U47">ABS(INDEX($C$4:$Q$263,ROW(A44),MATCH($T$2,$C$3:$Q$3,0))-INDEX($C$4:$Q$263,ROW(A43),MATCH($T$2,$C$3:$Q$3,0)))</f>
        <v>70</v>
      </c>
      <c r="V47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47">
        <f t="shared" si="0"/>
        <v>40.813595610865789</v>
      </c>
      <c r="X47">
        <f t="shared" si="1"/>
        <v>108.80449618627055</v>
      </c>
      <c r="Y47">
        <f t="shared" si="2"/>
        <v>149.61809179713634</v>
      </c>
      <c r="Z47">
        <f t="shared" si="3"/>
        <v>190.43168740800212</v>
      </c>
      <c r="AA47">
        <f t="shared" si="4"/>
        <v>272.05887862973373</v>
      </c>
      <c r="AB47">
        <f t="shared" si="5"/>
        <v>312.8724742405995</v>
      </c>
      <c r="AC47">
        <f t="shared" si="6"/>
        <v>353.68606985146528</v>
      </c>
      <c r="AD47">
        <f t="shared" si="7"/>
        <v>100</v>
      </c>
      <c r="AE47">
        <f t="shared" si="14"/>
        <v>-2</v>
      </c>
      <c r="AF47" t="e">
        <f t="shared" si="8"/>
        <v>#N/A</v>
      </c>
      <c r="AG47">
        <f t="shared" si="9"/>
        <v>1</v>
      </c>
      <c r="AH47" t="e">
        <f t="shared" si="10"/>
        <v>#N/A</v>
      </c>
      <c r="AI47">
        <f t="shared" si="11"/>
        <v>-1</v>
      </c>
      <c r="AJ47" t="e">
        <f t="shared" si="12"/>
        <v>#N/A</v>
      </c>
      <c r="AK47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47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47">
        <f t="shared" si="13"/>
        <v>14.699999999999989</v>
      </c>
    </row>
    <row r="48" spans="2:39" x14ac:dyDescent="0.35">
      <c r="B48" s="12">
        <f>Demand!B50</f>
        <v>43925</v>
      </c>
      <c r="C48" s="7">
        <f>INDEX(Demand!$E$6:$S$265,MATCH('SPC Backing (Hide)'!$B48,Demand!$B$6:$B$265,0),MATCH('SPC Backing (Hide)'!C$3,Demand!$E$5:$S$5,0))</f>
        <v>246</v>
      </c>
      <c r="D48" s="5">
        <f>INDEX(Demand!$E$6:$S$265,MATCH('SPC Backing (Hide)'!$B48,Demand!$B$6:$B$265,0),MATCH('SPC Backing (Hide)'!D$3,Demand!$E$5:$S$5,0))</f>
        <v>0</v>
      </c>
      <c r="E48" s="5">
        <f>INDEX(Demand!$E$6:$S$265,MATCH('SPC Backing (Hide)'!$B48,Demand!$B$6:$B$265,0),MATCH('SPC Backing (Hide)'!E$3,Demand!$E$5:$S$5,0))</f>
        <v>0</v>
      </c>
      <c r="F48" s="5">
        <f>INDEX(Demand!$E$6:$S$265,MATCH('SPC Backing (Hide)'!$B48,Demand!$B$6:$B$265,0),MATCH('SPC Backing (Hide)'!F$3,Demand!$E$5:$S$5,0))</f>
        <v>0</v>
      </c>
      <c r="G48" s="5">
        <f>INDEX(Demand!$E$6:$S$265,MATCH('SPC Backing (Hide)'!$B48,Demand!$B$6:$B$265,0),MATCH('SPC Backing (Hide)'!G$3,Demand!$E$5:$S$5,0))</f>
        <v>0</v>
      </c>
      <c r="H48" s="5">
        <f>INDEX(Demand!$E$6:$S$265,MATCH('SPC Backing (Hide)'!$B48,Demand!$B$6:$B$265,0),MATCH('SPC Backing (Hide)'!H$3,Demand!$E$5:$S$5,0))</f>
        <v>0</v>
      </c>
      <c r="I48" s="5">
        <f>INDEX(Demand!$E$6:$S$265,MATCH('SPC Backing (Hide)'!$B48,Demand!$B$6:$B$265,0),MATCH('SPC Backing (Hide)'!I$3,Demand!$E$5:$S$5,0))</f>
        <v>0</v>
      </c>
      <c r="J48" s="5">
        <f>INDEX(Demand!$E$6:$S$265,MATCH('SPC Backing (Hide)'!$B48,Demand!$B$6:$B$265,0),MATCH('SPC Backing (Hide)'!J$3,Demand!$E$5:$S$5,0))</f>
        <v>0</v>
      </c>
      <c r="K48" s="5">
        <f>INDEX(Demand!$E$6:$S$265,MATCH('SPC Backing (Hide)'!$B48,Demand!$B$6:$B$265,0),MATCH('SPC Backing (Hide)'!K$3,Demand!$E$5:$S$5,0))</f>
        <v>0</v>
      </c>
      <c r="L48" s="5">
        <f>INDEX(Demand!$E$6:$S$265,MATCH('SPC Backing (Hide)'!$B48,Demand!$B$6:$B$265,0),MATCH('SPC Backing (Hide)'!L$3,Demand!$E$5:$S$5,0))</f>
        <v>0</v>
      </c>
      <c r="M48" s="5">
        <f>INDEX(Demand!$E$6:$S$265,MATCH('SPC Backing (Hide)'!$B48,Demand!$B$6:$B$265,0),MATCH('SPC Backing (Hide)'!M$3,Demand!$E$5:$S$5,0))</f>
        <v>0</v>
      </c>
      <c r="N48" s="5">
        <f>INDEX(Demand!$E$6:$S$265,MATCH('SPC Backing (Hide)'!$B48,Demand!$B$6:$B$265,0),MATCH('SPC Backing (Hide)'!N$3,Demand!$E$5:$S$5,0))</f>
        <v>0</v>
      </c>
      <c r="O48" s="5">
        <f>INDEX(Demand!$E$6:$S$265,MATCH('SPC Backing (Hide)'!$B48,Demand!$B$6:$B$265,0),MATCH('SPC Backing (Hide)'!O$3,Demand!$E$5:$S$5,0))</f>
        <v>0</v>
      </c>
      <c r="P48" s="5">
        <f>INDEX(Demand!$E$6:$S$265,MATCH('SPC Backing (Hide)'!$B48,Demand!$B$6:$B$265,0),MATCH('SPC Backing (Hide)'!P$3,Demand!$E$5:$S$5,0))</f>
        <v>0</v>
      </c>
      <c r="Q48" s="6">
        <f>INDEX(Demand!$E$6:$S$265,MATCH('SPC Backing (Hide)'!$B48,Demand!$B$6:$B$265,0),MATCH('SPC Backing (Hide)'!Q$3,Demand!$E$5:$S$5,0))</f>
        <v>0</v>
      </c>
      <c r="R48">
        <f>IF(SPC!$B$11="Yes",IF(ROW(A45)&gt;=Demand!$A$5-52,1,0),IF(AND(B48&gt;=SPC!$B$12,B48&lt;SPC!$B$13),1,0))</f>
        <v>1</v>
      </c>
      <c r="S48" cm="1">
        <f t="array" ref="S48">INDEX($C$4:$Q$263,ROW(A45),MATCH($T$2,$C$3:$Q$3,0))</f>
        <v>246</v>
      </c>
      <c r="T48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48" cm="1">
        <f t="array" ref="U48">ABS(INDEX($C$4:$Q$263,ROW(A45),MATCH($T$2,$C$3:$Q$3,0))-INDEX($C$4:$Q$263,ROW(A44),MATCH($T$2,$C$3:$Q$3,0)))</f>
        <v>146</v>
      </c>
      <c r="V48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48">
        <f t="shared" si="0"/>
        <v>40.813595610865789</v>
      </c>
      <c r="X48">
        <f t="shared" si="1"/>
        <v>108.80449618627055</v>
      </c>
      <c r="Y48">
        <f t="shared" si="2"/>
        <v>149.61809179713634</v>
      </c>
      <c r="Z48">
        <f t="shared" si="3"/>
        <v>190.43168740800212</v>
      </c>
      <c r="AA48">
        <f t="shared" si="4"/>
        <v>272.05887862973373</v>
      </c>
      <c r="AB48">
        <f t="shared" si="5"/>
        <v>312.8724742405995</v>
      </c>
      <c r="AC48">
        <f t="shared" si="6"/>
        <v>353.68606985146528</v>
      </c>
      <c r="AD48" t="e">
        <f t="shared" si="7"/>
        <v>#N/A</v>
      </c>
      <c r="AE48">
        <f t="shared" si="14"/>
        <v>1</v>
      </c>
      <c r="AF48" t="e">
        <f t="shared" si="8"/>
        <v>#N/A</v>
      </c>
      <c r="AG48">
        <f t="shared" si="9"/>
        <v>1</v>
      </c>
      <c r="AH48" t="e">
        <f t="shared" si="10"/>
        <v>#N/A</v>
      </c>
      <c r="AI48">
        <f t="shared" si="11"/>
        <v>1</v>
      </c>
      <c r="AJ48" t="e">
        <f t="shared" si="12"/>
        <v>#N/A</v>
      </c>
      <c r="AK48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48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48">
        <f t="shared" si="13"/>
        <v>14.699999999999989</v>
      </c>
    </row>
    <row r="49" spans="2:39" x14ac:dyDescent="0.35">
      <c r="B49" s="12">
        <f>Demand!B51</f>
        <v>43932</v>
      </c>
      <c r="C49" s="7">
        <f>INDEX(Demand!$E$6:$S$265,MATCH('SPC Backing (Hide)'!$B49,Demand!$B$6:$B$265,0),MATCH('SPC Backing (Hide)'!C$3,Demand!$E$5:$S$5,0))</f>
        <v>254</v>
      </c>
      <c r="D49" s="5">
        <f>INDEX(Demand!$E$6:$S$265,MATCH('SPC Backing (Hide)'!$B49,Demand!$B$6:$B$265,0),MATCH('SPC Backing (Hide)'!D$3,Demand!$E$5:$S$5,0))</f>
        <v>0</v>
      </c>
      <c r="E49" s="5">
        <f>INDEX(Demand!$E$6:$S$265,MATCH('SPC Backing (Hide)'!$B49,Demand!$B$6:$B$265,0),MATCH('SPC Backing (Hide)'!E$3,Demand!$E$5:$S$5,0))</f>
        <v>0</v>
      </c>
      <c r="F49" s="5">
        <f>INDEX(Demand!$E$6:$S$265,MATCH('SPC Backing (Hide)'!$B49,Demand!$B$6:$B$265,0),MATCH('SPC Backing (Hide)'!F$3,Demand!$E$5:$S$5,0))</f>
        <v>0</v>
      </c>
      <c r="G49" s="5">
        <f>INDEX(Demand!$E$6:$S$265,MATCH('SPC Backing (Hide)'!$B49,Demand!$B$6:$B$265,0),MATCH('SPC Backing (Hide)'!G$3,Demand!$E$5:$S$5,0))</f>
        <v>0</v>
      </c>
      <c r="H49" s="5">
        <f>INDEX(Demand!$E$6:$S$265,MATCH('SPC Backing (Hide)'!$B49,Demand!$B$6:$B$265,0),MATCH('SPC Backing (Hide)'!H$3,Demand!$E$5:$S$5,0))</f>
        <v>0</v>
      </c>
      <c r="I49" s="5">
        <f>INDEX(Demand!$E$6:$S$265,MATCH('SPC Backing (Hide)'!$B49,Demand!$B$6:$B$265,0),MATCH('SPC Backing (Hide)'!I$3,Demand!$E$5:$S$5,0))</f>
        <v>0</v>
      </c>
      <c r="J49" s="5">
        <f>INDEX(Demand!$E$6:$S$265,MATCH('SPC Backing (Hide)'!$B49,Demand!$B$6:$B$265,0),MATCH('SPC Backing (Hide)'!J$3,Demand!$E$5:$S$5,0))</f>
        <v>0</v>
      </c>
      <c r="K49" s="5">
        <f>INDEX(Demand!$E$6:$S$265,MATCH('SPC Backing (Hide)'!$B49,Demand!$B$6:$B$265,0),MATCH('SPC Backing (Hide)'!K$3,Demand!$E$5:$S$5,0))</f>
        <v>0</v>
      </c>
      <c r="L49" s="5">
        <f>INDEX(Demand!$E$6:$S$265,MATCH('SPC Backing (Hide)'!$B49,Demand!$B$6:$B$265,0),MATCH('SPC Backing (Hide)'!L$3,Demand!$E$5:$S$5,0))</f>
        <v>0</v>
      </c>
      <c r="M49" s="5">
        <f>INDEX(Demand!$E$6:$S$265,MATCH('SPC Backing (Hide)'!$B49,Demand!$B$6:$B$265,0),MATCH('SPC Backing (Hide)'!M$3,Demand!$E$5:$S$5,0))</f>
        <v>0</v>
      </c>
      <c r="N49" s="5">
        <f>INDEX(Demand!$E$6:$S$265,MATCH('SPC Backing (Hide)'!$B49,Demand!$B$6:$B$265,0),MATCH('SPC Backing (Hide)'!N$3,Demand!$E$5:$S$5,0))</f>
        <v>0</v>
      </c>
      <c r="O49" s="5">
        <f>INDEX(Demand!$E$6:$S$265,MATCH('SPC Backing (Hide)'!$B49,Demand!$B$6:$B$265,0),MATCH('SPC Backing (Hide)'!O$3,Demand!$E$5:$S$5,0))</f>
        <v>0</v>
      </c>
      <c r="P49" s="5">
        <f>INDEX(Demand!$E$6:$S$265,MATCH('SPC Backing (Hide)'!$B49,Demand!$B$6:$B$265,0),MATCH('SPC Backing (Hide)'!P$3,Demand!$E$5:$S$5,0))</f>
        <v>0</v>
      </c>
      <c r="Q49" s="6">
        <f>INDEX(Demand!$E$6:$S$265,MATCH('SPC Backing (Hide)'!$B49,Demand!$B$6:$B$265,0),MATCH('SPC Backing (Hide)'!Q$3,Demand!$E$5:$S$5,0))</f>
        <v>0</v>
      </c>
      <c r="R49">
        <f>IF(SPC!$B$11="Yes",IF(ROW(A46)&gt;=Demand!$A$5-52,1,0),IF(AND(B49&gt;=SPC!$B$12,B49&lt;SPC!$B$13),1,0))</f>
        <v>1</v>
      </c>
      <c r="S49" cm="1">
        <f t="array" ref="S49">INDEX($C$4:$Q$263,ROW(A46),MATCH($T$2,$C$3:$Q$3,0))</f>
        <v>254</v>
      </c>
      <c r="T49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49" cm="1">
        <f t="array" ref="U49">ABS(INDEX($C$4:$Q$263,ROW(A46),MATCH($T$2,$C$3:$Q$3,0))-INDEX($C$4:$Q$263,ROW(A45),MATCH($T$2,$C$3:$Q$3,0)))</f>
        <v>8</v>
      </c>
      <c r="V49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49">
        <f t="shared" si="0"/>
        <v>40.813595610865789</v>
      </c>
      <c r="X49">
        <f t="shared" si="1"/>
        <v>108.80449618627055</v>
      </c>
      <c r="Y49">
        <f t="shared" si="2"/>
        <v>149.61809179713634</v>
      </c>
      <c r="Z49">
        <f t="shared" si="3"/>
        <v>190.43168740800212</v>
      </c>
      <c r="AA49">
        <f t="shared" si="4"/>
        <v>272.05887862973373</v>
      </c>
      <c r="AB49">
        <f t="shared" si="5"/>
        <v>312.8724742405995</v>
      </c>
      <c r="AC49">
        <f t="shared" si="6"/>
        <v>353.68606985146528</v>
      </c>
      <c r="AD49" t="e">
        <f t="shared" si="7"/>
        <v>#N/A</v>
      </c>
      <c r="AE49">
        <f t="shared" si="14"/>
        <v>1</v>
      </c>
      <c r="AF49" t="e">
        <f t="shared" si="8"/>
        <v>#N/A</v>
      </c>
      <c r="AG49">
        <f t="shared" si="9"/>
        <v>1</v>
      </c>
      <c r="AH49" t="e">
        <f t="shared" si="10"/>
        <v>#N/A</v>
      </c>
      <c r="AI49">
        <f t="shared" si="11"/>
        <v>1</v>
      </c>
      <c r="AJ49" t="e">
        <f t="shared" si="12"/>
        <v>#N/A</v>
      </c>
      <c r="AK49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49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49">
        <f t="shared" si="13"/>
        <v>14.699999999999989</v>
      </c>
    </row>
    <row r="50" spans="2:39" x14ac:dyDescent="0.35">
      <c r="B50" s="12">
        <f>Demand!B52</f>
        <v>43939</v>
      </c>
      <c r="C50" s="7">
        <f>INDEX(Demand!$E$6:$S$265,MATCH('SPC Backing (Hide)'!$B50,Demand!$B$6:$B$265,0),MATCH('SPC Backing (Hide)'!C$3,Demand!$E$5:$S$5,0))</f>
        <v>256</v>
      </c>
      <c r="D50" s="5">
        <f>INDEX(Demand!$E$6:$S$265,MATCH('SPC Backing (Hide)'!$B50,Demand!$B$6:$B$265,0),MATCH('SPC Backing (Hide)'!D$3,Demand!$E$5:$S$5,0))</f>
        <v>0</v>
      </c>
      <c r="E50" s="5">
        <f>INDEX(Demand!$E$6:$S$265,MATCH('SPC Backing (Hide)'!$B50,Demand!$B$6:$B$265,0),MATCH('SPC Backing (Hide)'!E$3,Demand!$E$5:$S$5,0))</f>
        <v>0</v>
      </c>
      <c r="F50" s="5">
        <f>INDEX(Demand!$E$6:$S$265,MATCH('SPC Backing (Hide)'!$B50,Demand!$B$6:$B$265,0),MATCH('SPC Backing (Hide)'!F$3,Demand!$E$5:$S$5,0))</f>
        <v>0</v>
      </c>
      <c r="G50" s="5">
        <f>INDEX(Demand!$E$6:$S$265,MATCH('SPC Backing (Hide)'!$B50,Demand!$B$6:$B$265,0),MATCH('SPC Backing (Hide)'!G$3,Demand!$E$5:$S$5,0))</f>
        <v>0</v>
      </c>
      <c r="H50" s="5">
        <f>INDEX(Demand!$E$6:$S$265,MATCH('SPC Backing (Hide)'!$B50,Demand!$B$6:$B$265,0),MATCH('SPC Backing (Hide)'!H$3,Demand!$E$5:$S$5,0))</f>
        <v>0</v>
      </c>
      <c r="I50" s="5">
        <f>INDEX(Demand!$E$6:$S$265,MATCH('SPC Backing (Hide)'!$B50,Demand!$B$6:$B$265,0),MATCH('SPC Backing (Hide)'!I$3,Demand!$E$5:$S$5,0))</f>
        <v>0</v>
      </c>
      <c r="J50" s="5">
        <f>INDEX(Demand!$E$6:$S$265,MATCH('SPC Backing (Hide)'!$B50,Demand!$B$6:$B$265,0),MATCH('SPC Backing (Hide)'!J$3,Demand!$E$5:$S$5,0))</f>
        <v>0</v>
      </c>
      <c r="K50" s="5">
        <f>INDEX(Demand!$E$6:$S$265,MATCH('SPC Backing (Hide)'!$B50,Demand!$B$6:$B$265,0),MATCH('SPC Backing (Hide)'!K$3,Demand!$E$5:$S$5,0))</f>
        <v>0</v>
      </c>
      <c r="L50" s="5">
        <f>INDEX(Demand!$E$6:$S$265,MATCH('SPC Backing (Hide)'!$B50,Demand!$B$6:$B$265,0),MATCH('SPC Backing (Hide)'!L$3,Demand!$E$5:$S$5,0))</f>
        <v>0</v>
      </c>
      <c r="M50" s="5">
        <f>INDEX(Demand!$E$6:$S$265,MATCH('SPC Backing (Hide)'!$B50,Demand!$B$6:$B$265,0),MATCH('SPC Backing (Hide)'!M$3,Demand!$E$5:$S$5,0))</f>
        <v>0</v>
      </c>
      <c r="N50" s="5">
        <f>INDEX(Demand!$E$6:$S$265,MATCH('SPC Backing (Hide)'!$B50,Demand!$B$6:$B$265,0),MATCH('SPC Backing (Hide)'!N$3,Demand!$E$5:$S$5,0))</f>
        <v>0</v>
      </c>
      <c r="O50" s="5">
        <f>INDEX(Demand!$E$6:$S$265,MATCH('SPC Backing (Hide)'!$B50,Demand!$B$6:$B$265,0),MATCH('SPC Backing (Hide)'!O$3,Demand!$E$5:$S$5,0))</f>
        <v>0</v>
      </c>
      <c r="P50" s="5">
        <f>INDEX(Demand!$E$6:$S$265,MATCH('SPC Backing (Hide)'!$B50,Demand!$B$6:$B$265,0),MATCH('SPC Backing (Hide)'!P$3,Demand!$E$5:$S$5,0))</f>
        <v>0</v>
      </c>
      <c r="Q50" s="6">
        <f>INDEX(Demand!$E$6:$S$265,MATCH('SPC Backing (Hide)'!$B50,Demand!$B$6:$B$265,0),MATCH('SPC Backing (Hide)'!Q$3,Demand!$E$5:$S$5,0))</f>
        <v>0</v>
      </c>
      <c r="R50">
        <f>IF(SPC!$B$11="Yes",IF(ROW(A47)&gt;=Demand!$A$5-52,1,0),IF(AND(B50&gt;=SPC!$B$12,B50&lt;SPC!$B$13),1,0))</f>
        <v>1</v>
      </c>
      <c r="S50" cm="1">
        <f t="array" ref="S50">INDEX($C$4:$Q$263,ROW(A47),MATCH($T$2,$C$3:$Q$3,0))</f>
        <v>256</v>
      </c>
      <c r="T50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50" cm="1">
        <f t="array" ref="U50">ABS(INDEX($C$4:$Q$263,ROW(A47),MATCH($T$2,$C$3:$Q$3,0))-INDEX($C$4:$Q$263,ROW(A46),MATCH($T$2,$C$3:$Q$3,0)))</f>
        <v>2</v>
      </c>
      <c r="V50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50">
        <f t="shared" si="0"/>
        <v>40.813595610865789</v>
      </c>
      <c r="X50">
        <f t="shared" si="1"/>
        <v>108.80449618627055</v>
      </c>
      <c r="Y50">
        <f t="shared" si="2"/>
        <v>149.61809179713634</v>
      </c>
      <c r="Z50">
        <f t="shared" si="3"/>
        <v>190.43168740800212</v>
      </c>
      <c r="AA50">
        <f t="shared" si="4"/>
        <v>272.05887862973373</v>
      </c>
      <c r="AB50">
        <f t="shared" si="5"/>
        <v>312.8724742405995</v>
      </c>
      <c r="AC50">
        <f t="shared" si="6"/>
        <v>353.68606985146528</v>
      </c>
      <c r="AD50" t="e">
        <f t="shared" si="7"/>
        <v>#N/A</v>
      </c>
      <c r="AE50">
        <f t="shared" si="14"/>
        <v>1</v>
      </c>
      <c r="AF50" t="e">
        <f t="shared" si="8"/>
        <v>#N/A</v>
      </c>
      <c r="AG50">
        <f t="shared" si="9"/>
        <v>1</v>
      </c>
      <c r="AH50" t="e">
        <f t="shared" si="10"/>
        <v>#N/A</v>
      </c>
      <c r="AI50">
        <f t="shared" si="11"/>
        <v>1</v>
      </c>
      <c r="AJ50" t="e">
        <f t="shared" si="12"/>
        <v>#N/A</v>
      </c>
      <c r="AK50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50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50">
        <f t="shared" si="13"/>
        <v>14.699999999999989</v>
      </c>
    </row>
    <row r="51" spans="2:39" x14ac:dyDescent="0.35">
      <c r="B51" s="12">
        <f>Demand!B53</f>
        <v>43946</v>
      </c>
      <c r="C51" s="7">
        <f>INDEX(Demand!$E$6:$S$265,MATCH('SPC Backing (Hide)'!$B51,Demand!$B$6:$B$265,0),MATCH('SPC Backing (Hide)'!C$3,Demand!$E$5:$S$5,0))</f>
        <v>266</v>
      </c>
      <c r="D51" s="5">
        <f>INDEX(Demand!$E$6:$S$265,MATCH('SPC Backing (Hide)'!$B51,Demand!$B$6:$B$265,0),MATCH('SPC Backing (Hide)'!D$3,Demand!$E$5:$S$5,0))</f>
        <v>0</v>
      </c>
      <c r="E51" s="5">
        <f>INDEX(Demand!$E$6:$S$265,MATCH('SPC Backing (Hide)'!$B51,Demand!$B$6:$B$265,0),MATCH('SPC Backing (Hide)'!E$3,Demand!$E$5:$S$5,0))</f>
        <v>0</v>
      </c>
      <c r="F51" s="5">
        <f>INDEX(Demand!$E$6:$S$265,MATCH('SPC Backing (Hide)'!$B51,Demand!$B$6:$B$265,0),MATCH('SPC Backing (Hide)'!F$3,Demand!$E$5:$S$5,0))</f>
        <v>0</v>
      </c>
      <c r="G51" s="5">
        <f>INDEX(Demand!$E$6:$S$265,MATCH('SPC Backing (Hide)'!$B51,Demand!$B$6:$B$265,0),MATCH('SPC Backing (Hide)'!G$3,Demand!$E$5:$S$5,0))</f>
        <v>0</v>
      </c>
      <c r="H51" s="5">
        <f>INDEX(Demand!$E$6:$S$265,MATCH('SPC Backing (Hide)'!$B51,Demand!$B$6:$B$265,0),MATCH('SPC Backing (Hide)'!H$3,Demand!$E$5:$S$5,0))</f>
        <v>0</v>
      </c>
      <c r="I51" s="5">
        <f>INDEX(Demand!$E$6:$S$265,MATCH('SPC Backing (Hide)'!$B51,Demand!$B$6:$B$265,0),MATCH('SPC Backing (Hide)'!I$3,Demand!$E$5:$S$5,0))</f>
        <v>0</v>
      </c>
      <c r="J51" s="5">
        <f>INDEX(Demand!$E$6:$S$265,MATCH('SPC Backing (Hide)'!$B51,Demand!$B$6:$B$265,0),MATCH('SPC Backing (Hide)'!J$3,Demand!$E$5:$S$5,0))</f>
        <v>0</v>
      </c>
      <c r="K51" s="5">
        <f>INDEX(Demand!$E$6:$S$265,MATCH('SPC Backing (Hide)'!$B51,Demand!$B$6:$B$265,0),MATCH('SPC Backing (Hide)'!K$3,Demand!$E$5:$S$5,0))</f>
        <v>0</v>
      </c>
      <c r="L51" s="5">
        <f>INDEX(Demand!$E$6:$S$265,MATCH('SPC Backing (Hide)'!$B51,Demand!$B$6:$B$265,0),MATCH('SPC Backing (Hide)'!L$3,Demand!$E$5:$S$5,0))</f>
        <v>0</v>
      </c>
      <c r="M51" s="5">
        <f>INDEX(Demand!$E$6:$S$265,MATCH('SPC Backing (Hide)'!$B51,Demand!$B$6:$B$265,0),MATCH('SPC Backing (Hide)'!M$3,Demand!$E$5:$S$5,0))</f>
        <v>0</v>
      </c>
      <c r="N51" s="5">
        <f>INDEX(Demand!$E$6:$S$265,MATCH('SPC Backing (Hide)'!$B51,Demand!$B$6:$B$265,0),MATCH('SPC Backing (Hide)'!N$3,Demand!$E$5:$S$5,0))</f>
        <v>0</v>
      </c>
      <c r="O51" s="5">
        <f>INDEX(Demand!$E$6:$S$265,MATCH('SPC Backing (Hide)'!$B51,Demand!$B$6:$B$265,0),MATCH('SPC Backing (Hide)'!O$3,Demand!$E$5:$S$5,0))</f>
        <v>0</v>
      </c>
      <c r="P51" s="5">
        <f>INDEX(Demand!$E$6:$S$265,MATCH('SPC Backing (Hide)'!$B51,Demand!$B$6:$B$265,0),MATCH('SPC Backing (Hide)'!P$3,Demand!$E$5:$S$5,0))</f>
        <v>0</v>
      </c>
      <c r="Q51" s="6">
        <f>INDEX(Demand!$E$6:$S$265,MATCH('SPC Backing (Hide)'!$B51,Demand!$B$6:$B$265,0),MATCH('SPC Backing (Hide)'!Q$3,Demand!$E$5:$S$5,0))</f>
        <v>0</v>
      </c>
      <c r="R51">
        <f>IF(SPC!$B$11="Yes",IF(ROW(A48)&gt;=Demand!$A$5-52,1,0),IF(AND(B51&gt;=SPC!$B$12,B51&lt;SPC!$B$13),1,0))</f>
        <v>1</v>
      </c>
      <c r="S51" cm="1">
        <f t="array" ref="S51">INDEX($C$4:$Q$263,ROW(A48),MATCH($T$2,$C$3:$Q$3,0))</f>
        <v>266</v>
      </c>
      <c r="T51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51" cm="1">
        <f t="array" ref="U51">ABS(INDEX($C$4:$Q$263,ROW(A48),MATCH($T$2,$C$3:$Q$3,0))-INDEX($C$4:$Q$263,ROW(A47),MATCH($T$2,$C$3:$Q$3,0)))</f>
        <v>10</v>
      </c>
      <c r="V51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51">
        <f t="shared" si="0"/>
        <v>40.813595610865789</v>
      </c>
      <c r="X51">
        <f t="shared" si="1"/>
        <v>108.80449618627055</v>
      </c>
      <c r="Y51">
        <f t="shared" si="2"/>
        <v>149.61809179713634</v>
      </c>
      <c r="Z51">
        <f t="shared" si="3"/>
        <v>190.43168740800212</v>
      </c>
      <c r="AA51">
        <f t="shared" si="4"/>
        <v>272.05887862973373</v>
      </c>
      <c r="AB51">
        <f t="shared" si="5"/>
        <v>312.8724742405995</v>
      </c>
      <c r="AC51">
        <f t="shared" si="6"/>
        <v>353.68606985146528</v>
      </c>
      <c r="AD51" t="e">
        <f t="shared" si="7"/>
        <v>#N/A</v>
      </c>
      <c r="AE51">
        <f t="shared" si="14"/>
        <v>1</v>
      </c>
      <c r="AF51" t="e">
        <f t="shared" si="8"/>
        <v>#N/A</v>
      </c>
      <c r="AG51">
        <f t="shared" si="9"/>
        <v>-1</v>
      </c>
      <c r="AH51" t="e">
        <f t="shared" si="10"/>
        <v>#N/A</v>
      </c>
      <c r="AI51">
        <f t="shared" si="11"/>
        <v>1</v>
      </c>
      <c r="AJ51" t="e">
        <f t="shared" si="12"/>
        <v>#N/A</v>
      </c>
      <c r="AK51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51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51">
        <f t="shared" si="13"/>
        <v>14.699999999999989</v>
      </c>
    </row>
    <row r="52" spans="2:39" x14ac:dyDescent="0.35">
      <c r="B52" s="12">
        <f>Demand!B54</f>
        <v>43953</v>
      </c>
      <c r="C52" s="7">
        <f>INDEX(Demand!$E$6:$S$265,MATCH('SPC Backing (Hide)'!$B52,Demand!$B$6:$B$265,0),MATCH('SPC Backing (Hide)'!C$3,Demand!$E$5:$S$5,0))</f>
        <v>248</v>
      </c>
      <c r="D52" s="5">
        <f>INDEX(Demand!$E$6:$S$265,MATCH('SPC Backing (Hide)'!$B52,Demand!$B$6:$B$265,0),MATCH('SPC Backing (Hide)'!D$3,Demand!$E$5:$S$5,0))</f>
        <v>0</v>
      </c>
      <c r="E52" s="5">
        <f>INDEX(Demand!$E$6:$S$265,MATCH('SPC Backing (Hide)'!$B52,Demand!$B$6:$B$265,0),MATCH('SPC Backing (Hide)'!E$3,Demand!$E$5:$S$5,0))</f>
        <v>0</v>
      </c>
      <c r="F52" s="5">
        <f>INDEX(Demand!$E$6:$S$265,MATCH('SPC Backing (Hide)'!$B52,Demand!$B$6:$B$265,0),MATCH('SPC Backing (Hide)'!F$3,Demand!$E$5:$S$5,0))</f>
        <v>0</v>
      </c>
      <c r="G52" s="5">
        <f>INDEX(Demand!$E$6:$S$265,MATCH('SPC Backing (Hide)'!$B52,Demand!$B$6:$B$265,0),MATCH('SPC Backing (Hide)'!G$3,Demand!$E$5:$S$5,0))</f>
        <v>0</v>
      </c>
      <c r="H52" s="5">
        <f>INDEX(Demand!$E$6:$S$265,MATCH('SPC Backing (Hide)'!$B52,Demand!$B$6:$B$265,0),MATCH('SPC Backing (Hide)'!H$3,Demand!$E$5:$S$5,0))</f>
        <v>0</v>
      </c>
      <c r="I52" s="5">
        <f>INDEX(Demand!$E$6:$S$265,MATCH('SPC Backing (Hide)'!$B52,Demand!$B$6:$B$265,0),MATCH('SPC Backing (Hide)'!I$3,Demand!$E$5:$S$5,0))</f>
        <v>0</v>
      </c>
      <c r="J52" s="5">
        <f>INDEX(Demand!$E$6:$S$265,MATCH('SPC Backing (Hide)'!$B52,Demand!$B$6:$B$265,0),MATCH('SPC Backing (Hide)'!J$3,Demand!$E$5:$S$5,0))</f>
        <v>0</v>
      </c>
      <c r="K52" s="5">
        <f>INDEX(Demand!$E$6:$S$265,MATCH('SPC Backing (Hide)'!$B52,Demand!$B$6:$B$265,0),MATCH('SPC Backing (Hide)'!K$3,Demand!$E$5:$S$5,0))</f>
        <v>0</v>
      </c>
      <c r="L52" s="5">
        <f>INDEX(Demand!$E$6:$S$265,MATCH('SPC Backing (Hide)'!$B52,Demand!$B$6:$B$265,0),MATCH('SPC Backing (Hide)'!L$3,Demand!$E$5:$S$5,0))</f>
        <v>0</v>
      </c>
      <c r="M52" s="5">
        <f>INDEX(Demand!$E$6:$S$265,MATCH('SPC Backing (Hide)'!$B52,Demand!$B$6:$B$265,0),MATCH('SPC Backing (Hide)'!M$3,Demand!$E$5:$S$5,0))</f>
        <v>0</v>
      </c>
      <c r="N52" s="5">
        <f>INDEX(Demand!$E$6:$S$265,MATCH('SPC Backing (Hide)'!$B52,Demand!$B$6:$B$265,0),MATCH('SPC Backing (Hide)'!N$3,Demand!$E$5:$S$5,0))</f>
        <v>0</v>
      </c>
      <c r="O52" s="5">
        <f>INDEX(Demand!$E$6:$S$265,MATCH('SPC Backing (Hide)'!$B52,Demand!$B$6:$B$265,0),MATCH('SPC Backing (Hide)'!O$3,Demand!$E$5:$S$5,0))</f>
        <v>0</v>
      </c>
      <c r="P52" s="5">
        <f>INDEX(Demand!$E$6:$S$265,MATCH('SPC Backing (Hide)'!$B52,Demand!$B$6:$B$265,0),MATCH('SPC Backing (Hide)'!P$3,Demand!$E$5:$S$5,0))</f>
        <v>0</v>
      </c>
      <c r="Q52" s="6">
        <f>INDEX(Demand!$E$6:$S$265,MATCH('SPC Backing (Hide)'!$B52,Demand!$B$6:$B$265,0),MATCH('SPC Backing (Hide)'!Q$3,Demand!$E$5:$S$5,0))</f>
        <v>0</v>
      </c>
      <c r="R52">
        <f>IF(SPC!$B$11="Yes",IF(ROW(A49)&gt;=Demand!$A$5-52,1,0),IF(AND(B52&gt;=SPC!$B$12,B52&lt;SPC!$B$13),1,0))</f>
        <v>1</v>
      </c>
      <c r="S52" cm="1">
        <f t="array" ref="S52">INDEX($C$4:$Q$263,ROW(A49),MATCH($T$2,$C$3:$Q$3,0))</f>
        <v>248</v>
      </c>
      <c r="T52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52" cm="1">
        <f t="array" ref="U52">ABS(INDEX($C$4:$Q$263,ROW(A49),MATCH($T$2,$C$3:$Q$3,0))-INDEX($C$4:$Q$263,ROW(A48),MATCH($T$2,$C$3:$Q$3,0)))</f>
        <v>18</v>
      </c>
      <c r="V52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52">
        <f t="shared" si="0"/>
        <v>40.813595610865789</v>
      </c>
      <c r="X52">
        <f t="shared" si="1"/>
        <v>108.80449618627055</v>
      </c>
      <c r="Y52">
        <f t="shared" si="2"/>
        <v>149.61809179713634</v>
      </c>
      <c r="Z52">
        <f t="shared" si="3"/>
        <v>190.43168740800212</v>
      </c>
      <c r="AA52">
        <f t="shared" si="4"/>
        <v>272.05887862973373</v>
      </c>
      <c r="AB52">
        <f t="shared" si="5"/>
        <v>312.8724742405995</v>
      </c>
      <c r="AC52">
        <f t="shared" si="6"/>
        <v>353.68606985146528</v>
      </c>
      <c r="AD52" t="e">
        <f t="shared" si="7"/>
        <v>#N/A</v>
      </c>
      <c r="AE52">
        <f t="shared" si="14"/>
        <v>1</v>
      </c>
      <c r="AF52" t="e">
        <f t="shared" si="8"/>
        <v>#N/A</v>
      </c>
      <c r="AG52">
        <f t="shared" si="9"/>
        <v>-1</v>
      </c>
      <c r="AH52" t="e">
        <f t="shared" si="10"/>
        <v>#N/A</v>
      </c>
      <c r="AI52">
        <f t="shared" si="11"/>
        <v>1</v>
      </c>
      <c r="AJ52" t="e">
        <f t="shared" si="12"/>
        <v>#N/A</v>
      </c>
      <c r="AK52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52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52">
        <f t="shared" si="13"/>
        <v>14.699999999999989</v>
      </c>
    </row>
    <row r="53" spans="2:39" x14ac:dyDescent="0.35">
      <c r="B53" s="12">
        <f>Demand!B55</f>
        <v>43960</v>
      </c>
      <c r="C53" s="7">
        <f>INDEX(Demand!$E$6:$S$265,MATCH('SPC Backing (Hide)'!$B53,Demand!$B$6:$B$265,0),MATCH('SPC Backing (Hide)'!C$3,Demand!$E$5:$S$5,0))</f>
        <v>198</v>
      </c>
      <c r="D53" s="5">
        <f>INDEX(Demand!$E$6:$S$265,MATCH('SPC Backing (Hide)'!$B53,Demand!$B$6:$B$265,0),MATCH('SPC Backing (Hide)'!D$3,Demand!$E$5:$S$5,0))</f>
        <v>0</v>
      </c>
      <c r="E53" s="5">
        <f>INDEX(Demand!$E$6:$S$265,MATCH('SPC Backing (Hide)'!$B53,Demand!$B$6:$B$265,0),MATCH('SPC Backing (Hide)'!E$3,Demand!$E$5:$S$5,0))</f>
        <v>0</v>
      </c>
      <c r="F53" s="5">
        <f>INDEX(Demand!$E$6:$S$265,MATCH('SPC Backing (Hide)'!$B53,Demand!$B$6:$B$265,0),MATCH('SPC Backing (Hide)'!F$3,Demand!$E$5:$S$5,0))</f>
        <v>0</v>
      </c>
      <c r="G53" s="5">
        <f>INDEX(Demand!$E$6:$S$265,MATCH('SPC Backing (Hide)'!$B53,Demand!$B$6:$B$265,0),MATCH('SPC Backing (Hide)'!G$3,Demand!$E$5:$S$5,0))</f>
        <v>0</v>
      </c>
      <c r="H53" s="5">
        <f>INDEX(Demand!$E$6:$S$265,MATCH('SPC Backing (Hide)'!$B53,Demand!$B$6:$B$265,0),MATCH('SPC Backing (Hide)'!H$3,Demand!$E$5:$S$5,0))</f>
        <v>0</v>
      </c>
      <c r="I53" s="5">
        <f>INDEX(Demand!$E$6:$S$265,MATCH('SPC Backing (Hide)'!$B53,Demand!$B$6:$B$265,0),MATCH('SPC Backing (Hide)'!I$3,Demand!$E$5:$S$5,0))</f>
        <v>0</v>
      </c>
      <c r="J53" s="5">
        <f>INDEX(Demand!$E$6:$S$265,MATCH('SPC Backing (Hide)'!$B53,Demand!$B$6:$B$265,0),MATCH('SPC Backing (Hide)'!J$3,Demand!$E$5:$S$5,0))</f>
        <v>0</v>
      </c>
      <c r="K53" s="5">
        <f>INDEX(Demand!$E$6:$S$265,MATCH('SPC Backing (Hide)'!$B53,Demand!$B$6:$B$265,0),MATCH('SPC Backing (Hide)'!K$3,Demand!$E$5:$S$5,0))</f>
        <v>0</v>
      </c>
      <c r="L53" s="5">
        <f>INDEX(Demand!$E$6:$S$265,MATCH('SPC Backing (Hide)'!$B53,Demand!$B$6:$B$265,0),MATCH('SPC Backing (Hide)'!L$3,Demand!$E$5:$S$5,0))</f>
        <v>0</v>
      </c>
      <c r="M53" s="5">
        <f>INDEX(Demand!$E$6:$S$265,MATCH('SPC Backing (Hide)'!$B53,Demand!$B$6:$B$265,0),MATCH('SPC Backing (Hide)'!M$3,Demand!$E$5:$S$5,0))</f>
        <v>0</v>
      </c>
      <c r="N53" s="5">
        <f>INDEX(Demand!$E$6:$S$265,MATCH('SPC Backing (Hide)'!$B53,Demand!$B$6:$B$265,0),MATCH('SPC Backing (Hide)'!N$3,Demand!$E$5:$S$5,0))</f>
        <v>0</v>
      </c>
      <c r="O53" s="5">
        <f>INDEX(Demand!$E$6:$S$265,MATCH('SPC Backing (Hide)'!$B53,Demand!$B$6:$B$265,0),MATCH('SPC Backing (Hide)'!O$3,Demand!$E$5:$S$5,0))</f>
        <v>0</v>
      </c>
      <c r="P53" s="5">
        <f>INDEX(Demand!$E$6:$S$265,MATCH('SPC Backing (Hide)'!$B53,Demand!$B$6:$B$265,0),MATCH('SPC Backing (Hide)'!P$3,Demand!$E$5:$S$5,0))</f>
        <v>0</v>
      </c>
      <c r="Q53" s="6">
        <f>INDEX(Demand!$E$6:$S$265,MATCH('SPC Backing (Hide)'!$B53,Demand!$B$6:$B$265,0),MATCH('SPC Backing (Hide)'!Q$3,Demand!$E$5:$S$5,0))</f>
        <v>0</v>
      </c>
      <c r="R53">
        <f>IF(SPC!$B$11="Yes",IF(ROW(A50)&gt;=Demand!$A$5-52,1,0),IF(AND(B53&gt;=SPC!$B$12,B53&lt;SPC!$B$13),1,0))</f>
        <v>1</v>
      </c>
      <c r="S53" cm="1">
        <f t="array" ref="S53">INDEX($C$4:$Q$263,ROW(A50),MATCH($T$2,$C$3:$Q$3,0))</f>
        <v>198</v>
      </c>
      <c r="T53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53" cm="1">
        <f t="array" ref="U53">ABS(INDEX($C$4:$Q$263,ROW(A50),MATCH($T$2,$C$3:$Q$3,0))-INDEX($C$4:$Q$263,ROW(A49),MATCH($T$2,$C$3:$Q$3,0)))</f>
        <v>50</v>
      </c>
      <c r="V53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53">
        <f t="shared" si="0"/>
        <v>40.813595610865789</v>
      </c>
      <c r="X53">
        <f t="shared" si="1"/>
        <v>108.80449618627055</v>
      </c>
      <c r="Y53">
        <f t="shared" si="2"/>
        <v>149.61809179713634</v>
      </c>
      <c r="Z53">
        <f t="shared" si="3"/>
        <v>190.43168740800212</v>
      </c>
      <c r="AA53">
        <f t="shared" si="4"/>
        <v>272.05887862973373</v>
      </c>
      <c r="AB53">
        <f t="shared" si="5"/>
        <v>312.8724742405995</v>
      </c>
      <c r="AC53">
        <f t="shared" si="6"/>
        <v>353.68606985146528</v>
      </c>
      <c r="AD53" t="e">
        <f t="shared" si="7"/>
        <v>#N/A</v>
      </c>
      <c r="AE53">
        <f t="shared" si="14"/>
        <v>-1</v>
      </c>
      <c r="AF53" t="e">
        <f t="shared" si="8"/>
        <v>#N/A</v>
      </c>
      <c r="AG53">
        <f t="shared" si="9"/>
        <v>-1</v>
      </c>
      <c r="AH53" t="e">
        <f t="shared" si="10"/>
        <v>#N/A</v>
      </c>
      <c r="AI53">
        <f t="shared" si="11"/>
        <v>-1</v>
      </c>
      <c r="AJ53" t="e">
        <f t="shared" si="12"/>
        <v>#N/A</v>
      </c>
      <c r="AK53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53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53">
        <f t="shared" si="13"/>
        <v>14.699999999999989</v>
      </c>
    </row>
    <row r="54" spans="2:39" x14ac:dyDescent="0.35">
      <c r="B54" s="12">
        <f>Demand!B56</f>
        <v>43967</v>
      </c>
      <c r="C54" s="7">
        <f>INDEX(Demand!$E$6:$S$265,MATCH('SPC Backing (Hide)'!$B54,Demand!$B$6:$B$265,0),MATCH('SPC Backing (Hide)'!C$3,Demand!$E$5:$S$5,0))</f>
        <v>182</v>
      </c>
      <c r="D54" s="5">
        <f>INDEX(Demand!$E$6:$S$265,MATCH('SPC Backing (Hide)'!$B54,Demand!$B$6:$B$265,0),MATCH('SPC Backing (Hide)'!D$3,Demand!$E$5:$S$5,0))</f>
        <v>0</v>
      </c>
      <c r="E54" s="5">
        <f>INDEX(Demand!$E$6:$S$265,MATCH('SPC Backing (Hide)'!$B54,Demand!$B$6:$B$265,0),MATCH('SPC Backing (Hide)'!E$3,Demand!$E$5:$S$5,0))</f>
        <v>0</v>
      </c>
      <c r="F54" s="5">
        <f>INDEX(Demand!$E$6:$S$265,MATCH('SPC Backing (Hide)'!$B54,Demand!$B$6:$B$265,0),MATCH('SPC Backing (Hide)'!F$3,Demand!$E$5:$S$5,0))</f>
        <v>0</v>
      </c>
      <c r="G54" s="5">
        <f>INDEX(Demand!$E$6:$S$265,MATCH('SPC Backing (Hide)'!$B54,Demand!$B$6:$B$265,0),MATCH('SPC Backing (Hide)'!G$3,Demand!$E$5:$S$5,0))</f>
        <v>0</v>
      </c>
      <c r="H54" s="5">
        <f>INDEX(Demand!$E$6:$S$265,MATCH('SPC Backing (Hide)'!$B54,Demand!$B$6:$B$265,0),MATCH('SPC Backing (Hide)'!H$3,Demand!$E$5:$S$5,0))</f>
        <v>0</v>
      </c>
      <c r="I54" s="5">
        <f>INDEX(Demand!$E$6:$S$265,MATCH('SPC Backing (Hide)'!$B54,Demand!$B$6:$B$265,0),MATCH('SPC Backing (Hide)'!I$3,Demand!$E$5:$S$5,0))</f>
        <v>0</v>
      </c>
      <c r="J54" s="5">
        <f>INDEX(Demand!$E$6:$S$265,MATCH('SPC Backing (Hide)'!$B54,Demand!$B$6:$B$265,0),MATCH('SPC Backing (Hide)'!J$3,Demand!$E$5:$S$5,0))</f>
        <v>0</v>
      </c>
      <c r="K54" s="5">
        <f>INDEX(Demand!$E$6:$S$265,MATCH('SPC Backing (Hide)'!$B54,Demand!$B$6:$B$265,0),MATCH('SPC Backing (Hide)'!K$3,Demand!$E$5:$S$5,0))</f>
        <v>0</v>
      </c>
      <c r="L54" s="5">
        <f>INDEX(Demand!$E$6:$S$265,MATCH('SPC Backing (Hide)'!$B54,Demand!$B$6:$B$265,0),MATCH('SPC Backing (Hide)'!L$3,Demand!$E$5:$S$5,0))</f>
        <v>0</v>
      </c>
      <c r="M54" s="5">
        <f>INDEX(Demand!$E$6:$S$265,MATCH('SPC Backing (Hide)'!$B54,Demand!$B$6:$B$265,0),MATCH('SPC Backing (Hide)'!M$3,Demand!$E$5:$S$5,0))</f>
        <v>0</v>
      </c>
      <c r="N54" s="5">
        <f>INDEX(Demand!$E$6:$S$265,MATCH('SPC Backing (Hide)'!$B54,Demand!$B$6:$B$265,0),MATCH('SPC Backing (Hide)'!N$3,Demand!$E$5:$S$5,0))</f>
        <v>0</v>
      </c>
      <c r="O54" s="5">
        <f>INDEX(Demand!$E$6:$S$265,MATCH('SPC Backing (Hide)'!$B54,Demand!$B$6:$B$265,0),MATCH('SPC Backing (Hide)'!O$3,Demand!$E$5:$S$5,0))</f>
        <v>0</v>
      </c>
      <c r="P54" s="5">
        <f>INDEX(Demand!$E$6:$S$265,MATCH('SPC Backing (Hide)'!$B54,Demand!$B$6:$B$265,0),MATCH('SPC Backing (Hide)'!P$3,Demand!$E$5:$S$5,0))</f>
        <v>0</v>
      </c>
      <c r="Q54" s="6">
        <f>INDEX(Demand!$E$6:$S$265,MATCH('SPC Backing (Hide)'!$B54,Demand!$B$6:$B$265,0),MATCH('SPC Backing (Hide)'!Q$3,Demand!$E$5:$S$5,0))</f>
        <v>0</v>
      </c>
      <c r="R54">
        <f>IF(SPC!$B$11="Yes",IF(ROW(A51)&gt;=Demand!$A$5-52,1,0),IF(AND(B54&gt;=SPC!$B$12,B54&lt;SPC!$B$13),1,0))</f>
        <v>1</v>
      </c>
      <c r="S54" cm="1">
        <f t="array" ref="S54">INDEX($C$4:$Q$263,ROW(A51),MATCH($T$2,$C$3:$Q$3,0))</f>
        <v>182</v>
      </c>
      <c r="T54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54" cm="1">
        <f t="array" ref="U54">ABS(INDEX($C$4:$Q$263,ROW(A51),MATCH($T$2,$C$3:$Q$3,0))-INDEX($C$4:$Q$263,ROW(A50),MATCH($T$2,$C$3:$Q$3,0)))</f>
        <v>16</v>
      </c>
      <c r="V54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54">
        <f t="shared" si="0"/>
        <v>40.813595610865789</v>
      </c>
      <c r="X54">
        <f t="shared" si="1"/>
        <v>108.80449618627055</v>
      </c>
      <c r="Y54">
        <f t="shared" si="2"/>
        <v>149.61809179713634</v>
      </c>
      <c r="Z54">
        <f t="shared" si="3"/>
        <v>190.43168740800212</v>
      </c>
      <c r="AA54">
        <f t="shared" si="4"/>
        <v>272.05887862973373</v>
      </c>
      <c r="AB54">
        <f t="shared" si="5"/>
        <v>312.8724742405995</v>
      </c>
      <c r="AC54">
        <f t="shared" si="6"/>
        <v>353.68606985146528</v>
      </c>
      <c r="AD54" t="e">
        <f t="shared" si="7"/>
        <v>#N/A</v>
      </c>
      <c r="AE54">
        <f t="shared" si="14"/>
        <v>-1</v>
      </c>
      <c r="AF54" t="e">
        <f t="shared" si="8"/>
        <v>#N/A</v>
      </c>
      <c r="AG54">
        <f t="shared" si="9"/>
        <v>1</v>
      </c>
      <c r="AH54" t="e">
        <f t="shared" si="10"/>
        <v>#N/A</v>
      </c>
      <c r="AI54">
        <f t="shared" si="11"/>
        <v>-1</v>
      </c>
      <c r="AJ54" t="e">
        <f t="shared" si="12"/>
        <v>#N/A</v>
      </c>
      <c r="AK54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54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54">
        <f t="shared" si="13"/>
        <v>14.699999999999989</v>
      </c>
    </row>
    <row r="55" spans="2:39" x14ac:dyDescent="0.35">
      <c r="B55" s="12">
        <f>Demand!B57</f>
        <v>43974</v>
      </c>
      <c r="C55" s="7">
        <f>INDEX(Demand!$E$6:$S$265,MATCH('SPC Backing (Hide)'!$B55,Demand!$B$6:$B$265,0),MATCH('SPC Backing (Hide)'!C$3,Demand!$E$5:$S$5,0))</f>
        <v>246</v>
      </c>
      <c r="D55" s="5">
        <f>INDEX(Demand!$E$6:$S$265,MATCH('SPC Backing (Hide)'!$B55,Demand!$B$6:$B$265,0),MATCH('SPC Backing (Hide)'!D$3,Demand!$E$5:$S$5,0))</f>
        <v>0</v>
      </c>
      <c r="E55" s="5">
        <f>INDEX(Demand!$E$6:$S$265,MATCH('SPC Backing (Hide)'!$B55,Demand!$B$6:$B$265,0),MATCH('SPC Backing (Hide)'!E$3,Demand!$E$5:$S$5,0))</f>
        <v>0</v>
      </c>
      <c r="F55" s="5">
        <f>INDEX(Demand!$E$6:$S$265,MATCH('SPC Backing (Hide)'!$B55,Demand!$B$6:$B$265,0),MATCH('SPC Backing (Hide)'!F$3,Demand!$E$5:$S$5,0))</f>
        <v>0</v>
      </c>
      <c r="G55" s="5">
        <f>INDEX(Demand!$E$6:$S$265,MATCH('SPC Backing (Hide)'!$B55,Demand!$B$6:$B$265,0),MATCH('SPC Backing (Hide)'!G$3,Demand!$E$5:$S$5,0))</f>
        <v>0</v>
      </c>
      <c r="H55" s="5">
        <f>INDEX(Demand!$E$6:$S$265,MATCH('SPC Backing (Hide)'!$B55,Demand!$B$6:$B$265,0),MATCH('SPC Backing (Hide)'!H$3,Demand!$E$5:$S$5,0))</f>
        <v>0</v>
      </c>
      <c r="I55" s="5">
        <f>INDEX(Demand!$E$6:$S$265,MATCH('SPC Backing (Hide)'!$B55,Demand!$B$6:$B$265,0),MATCH('SPC Backing (Hide)'!I$3,Demand!$E$5:$S$5,0))</f>
        <v>0</v>
      </c>
      <c r="J55" s="5">
        <f>INDEX(Demand!$E$6:$S$265,MATCH('SPC Backing (Hide)'!$B55,Demand!$B$6:$B$265,0),MATCH('SPC Backing (Hide)'!J$3,Demand!$E$5:$S$5,0))</f>
        <v>0</v>
      </c>
      <c r="K55" s="5">
        <f>INDEX(Demand!$E$6:$S$265,MATCH('SPC Backing (Hide)'!$B55,Demand!$B$6:$B$265,0),MATCH('SPC Backing (Hide)'!K$3,Demand!$E$5:$S$5,0))</f>
        <v>0</v>
      </c>
      <c r="L55" s="5">
        <f>INDEX(Demand!$E$6:$S$265,MATCH('SPC Backing (Hide)'!$B55,Demand!$B$6:$B$265,0),MATCH('SPC Backing (Hide)'!L$3,Demand!$E$5:$S$5,0))</f>
        <v>0</v>
      </c>
      <c r="M55" s="5">
        <f>INDEX(Demand!$E$6:$S$265,MATCH('SPC Backing (Hide)'!$B55,Demand!$B$6:$B$265,0),MATCH('SPC Backing (Hide)'!M$3,Demand!$E$5:$S$5,0))</f>
        <v>0</v>
      </c>
      <c r="N55" s="5">
        <f>INDEX(Demand!$E$6:$S$265,MATCH('SPC Backing (Hide)'!$B55,Demand!$B$6:$B$265,0),MATCH('SPC Backing (Hide)'!N$3,Demand!$E$5:$S$5,0))</f>
        <v>0</v>
      </c>
      <c r="O55" s="5">
        <f>INDEX(Demand!$E$6:$S$265,MATCH('SPC Backing (Hide)'!$B55,Demand!$B$6:$B$265,0),MATCH('SPC Backing (Hide)'!O$3,Demand!$E$5:$S$5,0))</f>
        <v>0</v>
      </c>
      <c r="P55" s="5">
        <f>INDEX(Demand!$E$6:$S$265,MATCH('SPC Backing (Hide)'!$B55,Demand!$B$6:$B$265,0),MATCH('SPC Backing (Hide)'!P$3,Demand!$E$5:$S$5,0))</f>
        <v>0</v>
      </c>
      <c r="Q55" s="6">
        <f>INDEX(Demand!$E$6:$S$265,MATCH('SPC Backing (Hide)'!$B55,Demand!$B$6:$B$265,0),MATCH('SPC Backing (Hide)'!Q$3,Demand!$E$5:$S$5,0))</f>
        <v>0</v>
      </c>
      <c r="R55">
        <f>IF(SPC!$B$11="Yes",IF(ROW(A52)&gt;=Demand!$A$5-52,1,0),IF(AND(B55&gt;=SPC!$B$12,B55&lt;SPC!$B$13),1,0))</f>
        <v>1</v>
      </c>
      <c r="S55" cm="1">
        <f t="array" ref="S55">INDEX($C$4:$Q$263,ROW(A52),MATCH($T$2,$C$3:$Q$3,0))</f>
        <v>246</v>
      </c>
      <c r="T55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55" cm="1">
        <f t="array" ref="U55">ABS(INDEX($C$4:$Q$263,ROW(A52),MATCH($T$2,$C$3:$Q$3,0))-INDEX($C$4:$Q$263,ROW(A51),MATCH($T$2,$C$3:$Q$3,0)))</f>
        <v>64</v>
      </c>
      <c r="V55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55">
        <f t="shared" si="0"/>
        <v>40.813595610865789</v>
      </c>
      <c r="X55">
        <f t="shared" si="1"/>
        <v>108.80449618627055</v>
      </c>
      <c r="Y55">
        <f t="shared" si="2"/>
        <v>149.61809179713634</v>
      </c>
      <c r="Z55">
        <f t="shared" si="3"/>
        <v>190.43168740800212</v>
      </c>
      <c r="AA55">
        <f t="shared" si="4"/>
        <v>272.05887862973373</v>
      </c>
      <c r="AB55">
        <f t="shared" si="5"/>
        <v>312.8724742405995</v>
      </c>
      <c r="AC55">
        <f t="shared" si="6"/>
        <v>353.68606985146528</v>
      </c>
      <c r="AD55" t="e">
        <f t="shared" si="7"/>
        <v>#N/A</v>
      </c>
      <c r="AE55">
        <f t="shared" si="14"/>
        <v>1</v>
      </c>
      <c r="AF55" t="e">
        <f t="shared" si="8"/>
        <v>#N/A</v>
      </c>
      <c r="AG55">
        <f t="shared" si="9"/>
        <v>1</v>
      </c>
      <c r="AH55" t="e">
        <f t="shared" si="10"/>
        <v>#N/A</v>
      </c>
      <c r="AI55">
        <f t="shared" si="11"/>
        <v>1</v>
      </c>
      <c r="AJ55" t="e">
        <f t="shared" si="12"/>
        <v>#N/A</v>
      </c>
      <c r="AK55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55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55">
        <f t="shared" si="13"/>
        <v>14.699999999999989</v>
      </c>
    </row>
    <row r="56" spans="2:39" x14ac:dyDescent="0.35">
      <c r="B56" s="12">
        <f>Demand!B58</f>
        <v>43981</v>
      </c>
      <c r="C56" s="7">
        <f>INDEX(Demand!$E$6:$S$265,MATCH('SPC Backing (Hide)'!$B56,Demand!$B$6:$B$265,0),MATCH('SPC Backing (Hide)'!C$3,Demand!$E$5:$S$5,0))</f>
        <v>296</v>
      </c>
      <c r="D56" s="5">
        <f>INDEX(Demand!$E$6:$S$265,MATCH('SPC Backing (Hide)'!$B56,Demand!$B$6:$B$265,0),MATCH('SPC Backing (Hide)'!D$3,Demand!$E$5:$S$5,0))</f>
        <v>0</v>
      </c>
      <c r="E56" s="5">
        <f>INDEX(Demand!$E$6:$S$265,MATCH('SPC Backing (Hide)'!$B56,Demand!$B$6:$B$265,0),MATCH('SPC Backing (Hide)'!E$3,Demand!$E$5:$S$5,0))</f>
        <v>0</v>
      </c>
      <c r="F56" s="5">
        <f>INDEX(Demand!$E$6:$S$265,MATCH('SPC Backing (Hide)'!$B56,Demand!$B$6:$B$265,0),MATCH('SPC Backing (Hide)'!F$3,Demand!$E$5:$S$5,0))</f>
        <v>0</v>
      </c>
      <c r="G56" s="5">
        <f>INDEX(Demand!$E$6:$S$265,MATCH('SPC Backing (Hide)'!$B56,Demand!$B$6:$B$265,0),MATCH('SPC Backing (Hide)'!G$3,Demand!$E$5:$S$5,0))</f>
        <v>0</v>
      </c>
      <c r="H56" s="5">
        <f>INDEX(Demand!$E$6:$S$265,MATCH('SPC Backing (Hide)'!$B56,Demand!$B$6:$B$265,0),MATCH('SPC Backing (Hide)'!H$3,Demand!$E$5:$S$5,0))</f>
        <v>0</v>
      </c>
      <c r="I56" s="5">
        <f>INDEX(Demand!$E$6:$S$265,MATCH('SPC Backing (Hide)'!$B56,Demand!$B$6:$B$265,0),MATCH('SPC Backing (Hide)'!I$3,Demand!$E$5:$S$5,0))</f>
        <v>0</v>
      </c>
      <c r="J56" s="5">
        <f>INDEX(Demand!$E$6:$S$265,MATCH('SPC Backing (Hide)'!$B56,Demand!$B$6:$B$265,0),MATCH('SPC Backing (Hide)'!J$3,Demand!$E$5:$S$5,0))</f>
        <v>0</v>
      </c>
      <c r="K56" s="5">
        <f>INDEX(Demand!$E$6:$S$265,MATCH('SPC Backing (Hide)'!$B56,Demand!$B$6:$B$265,0),MATCH('SPC Backing (Hide)'!K$3,Demand!$E$5:$S$5,0))</f>
        <v>0</v>
      </c>
      <c r="L56" s="5">
        <f>INDEX(Demand!$E$6:$S$265,MATCH('SPC Backing (Hide)'!$B56,Demand!$B$6:$B$265,0),MATCH('SPC Backing (Hide)'!L$3,Demand!$E$5:$S$5,0))</f>
        <v>0</v>
      </c>
      <c r="M56" s="5">
        <f>INDEX(Demand!$E$6:$S$265,MATCH('SPC Backing (Hide)'!$B56,Demand!$B$6:$B$265,0),MATCH('SPC Backing (Hide)'!M$3,Demand!$E$5:$S$5,0))</f>
        <v>0</v>
      </c>
      <c r="N56" s="5">
        <f>INDEX(Demand!$E$6:$S$265,MATCH('SPC Backing (Hide)'!$B56,Demand!$B$6:$B$265,0),MATCH('SPC Backing (Hide)'!N$3,Demand!$E$5:$S$5,0))</f>
        <v>0</v>
      </c>
      <c r="O56" s="5">
        <f>INDEX(Demand!$E$6:$S$265,MATCH('SPC Backing (Hide)'!$B56,Demand!$B$6:$B$265,0),MATCH('SPC Backing (Hide)'!O$3,Demand!$E$5:$S$5,0))</f>
        <v>0</v>
      </c>
      <c r="P56" s="5">
        <f>INDEX(Demand!$E$6:$S$265,MATCH('SPC Backing (Hide)'!$B56,Demand!$B$6:$B$265,0),MATCH('SPC Backing (Hide)'!P$3,Demand!$E$5:$S$5,0))</f>
        <v>0</v>
      </c>
      <c r="Q56" s="6">
        <f>INDEX(Demand!$E$6:$S$265,MATCH('SPC Backing (Hide)'!$B56,Demand!$B$6:$B$265,0),MATCH('SPC Backing (Hide)'!Q$3,Demand!$E$5:$S$5,0))</f>
        <v>0</v>
      </c>
      <c r="R56">
        <f>IF(SPC!$B$11="Yes",IF(ROW(A53)&gt;=Demand!$A$5-52,1,0),IF(AND(B56&gt;=SPC!$B$12,B56&lt;SPC!$B$13),1,0))</f>
        <v>1</v>
      </c>
      <c r="S56" cm="1">
        <f t="array" ref="S56">INDEX($C$4:$Q$263,ROW(A53),MATCH($T$2,$C$3:$Q$3,0))</f>
        <v>296</v>
      </c>
      <c r="T56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56" cm="1">
        <f t="array" ref="U56">ABS(INDEX($C$4:$Q$263,ROW(A53),MATCH($T$2,$C$3:$Q$3,0))-INDEX($C$4:$Q$263,ROW(A52),MATCH($T$2,$C$3:$Q$3,0)))</f>
        <v>50</v>
      </c>
      <c r="V56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56">
        <f t="shared" si="0"/>
        <v>40.813595610865789</v>
      </c>
      <c r="X56">
        <f t="shared" si="1"/>
        <v>108.80449618627055</v>
      </c>
      <c r="Y56">
        <f t="shared" si="2"/>
        <v>149.61809179713634</v>
      </c>
      <c r="Z56">
        <f t="shared" si="3"/>
        <v>190.43168740800212</v>
      </c>
      <c r="AA56">
        <f t="shared" si="4"/>
        <v>272.05887862973373</v>
      </c>
      <c r="AB56">
        <f t="shared" si="5"/>
        <v>312.8724742405995</v>
      </c>
      <c r="AC56">
        <f t="shared" si="6"/>
        <v>353.68606985146528</v>
      </c>
      <c r="AD56" t="e">
        <f t="shared" si="7"/>
        <v>#N/A</v>
      </c>
      <c r="AE56">
        <f t="shared" si="14"/>
        <v>1</v>
      </c>
      <c r="AF56" t="e">
        <f t="shared" si="8"/>
        <v>#N/A</v>
      </c>
      <c r="AG56">
        <f t="shared" si="9"/>
        <v>1</v>
      </c>
      <c r="AH56" t="e">
        <f t="shared" si="10"/>
        <v>#N/A</v>
      </c>
      <c r="AI56">
        <f t="shared" si="11"/>
        <v>1</v>
      </c>
      <c r="AJ56" t="e">
        <f t="shared" si="12"/>
        <v>#N/A</v>
      </c>
      <c r="AK56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56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56">
        <f t="shared" si="13"/>
        <v>14.699999999999989</v>
      </c>
    </row>
    <row r="57" spans="2:39" x14ac:dyDescent="0.35">
      <c r="B57" s="12">
        <f>Demand!B59</f>
        <v>43988</v>
      </c>
      <c r="C57" s="7">
        <f>INDEX(Demand!$E$6:$S$265,MATCH('SPC Backing (Hide)'!$B57,Demand!$B$6:$B$265,0),MATCH('SPC Backing (Hide)'!C$3,Demand!$E$5:$S$5,0))</f>
        <v>346</v>
      </c>
      <c r="D57" s="5">
        <f>INDEX(Demand!$E$6:$S$265,MATCH('SPC Backing (Hide)'!$B57,Demand!$B$6:$B$265,0),MATCH('SPC Backing (Hide)'!D$3,Demand!$E$5:$S$5,0))</f>
        <v>0</v>
      </c>
      <c r="E57" s="5">
        <f>INDEX(Demand!$E$6:$S$265,MATCH('SPC Backing (Hide)'!$B57,Demand!$B$6:$B$265,0),MATCH('SPC Backing (Hide)'!E$3,Demand!$E$5:$S$5,0))</f>
        <v>0</v>
      </c>
      <c r="F57" s="5">
        <f>INDEX(Demand!$E$6:$S$265,MATCH('SPC Backing (Hide)'!$B57,Demand!$B$6:$B$265,0),MATCH('SPC Backing (Hide)'!F$3,Demand!$E$5:$S$5,0))</f>
        <v>0</v>
      </c>
      <c r="G57" s="5">
        <f>INDEX(Demand!$E$6:$S$265,MATCH('SPC Backing (Hide)'!$B57,Demand!$B$6:$B$265,0),MATCH('SPC Backing (Hide)'!G$3,Demand!$E$5:$S$5,0))</f>
        <v>0</v>
      </c>
      <c r="H57" s="5">
        <f>INDEX(Demand!$E$6:$S$265,MATCH('SPC Backing (Hide)'!$B57,Demand!$B$6:$B$265,0),MATCH('SPC Backing (Hide)'!H$3,Demand!$E$5:$S$5,0))</f>
        <v>0</v>
      </c>
      <c r="I57" s="5">
        <f>INDEX(Demand!$E$6:$S$265,MATCH('SPC Backing (Hide)'!$B57,Demand!$B$6:$B$265,0),MATCH('SPC Backing (Hide)'!I$3,Demand!$E$5:$S$5,0))</f>
        <v>0</v>
      </c>
      <c r="J57" s="5">
        <f>INDEX(Demand!$E$6:$S$265,MATCH('SPC Backing (Hide)'!$B57,Demand!$B$6:$B$265,0),MATCH('SPC Backing (Hide)'!J$3,Demand!$E$5:$S$5,0))</f>
        <v>0</v>
      </c>
      <c r="K57" s="5">
        <f>INDEX(Demand!$E$6:$S$265,MATCH('SPC Backing (Hide)'!$B57,Demand!$B$6:$B$265,0),MATCH('SPC Backing (Hide)'!K$3,Demand!$E$5:$S$5,0))</f>
        <v>0</v>
      </c>
      <c r="L57" s="5">
        <f>INDEX(Demand!$E$6:$S$265,MATCH('SPC Backing (Hide)'!$B57,Demand!$B$6:$B$265,0),MATCH('SPC Backing (Hide)'!L$3,Demand!$E$5:$S$5,0))</f>
        <v>0</v>
      </c>
      <c r="M57" s="5">
        <f>INDEX(Demand!$E$6:$S$265,MATCH('SPC Backing (Hide)'!$B57,Demand!$B$6:$B$265,0),MATCH('SPC Backing (Hide)'!M$3,Demand!$E$5:$S$5,0))</f>
        <v>0</v>
      </c>
      <c r="N57" s="5">
        <f>INDEX(Demand!$E$6:$S$265,MATCH('SPC Backing (Hide)'!$B57,Demand!$B$6:$B$265,0),MATCH('SPC Backing (Hide)'!N$3,Demand!$E$5:$S$5,0))</f>
        <v>0</v>
      </c>
      <c r="O57" s="5">
        <f>INDEX(Demand!$E$6:$S$265,MATCH('SPC Backing (Hide)'!$B57,Demand!$B$6:$B$265,0),MATCH('SPC Backing (Hide)'!O$3,Demand!$E$5:$S$5,0))</f>
        <v>0</v>
      </c>
      <c r="P57" s="5">
        <f>INDEX(Demand!$E$6:$S$265,MATCH('SPC Backing (Hide)'!$B57,Demand!$B$6:$B$265,0),MATCH('SPC Backing (Hide)'!P$3,Demand!$E$5:$S$5,0))</f>
        <v>0</v>
      </c>
      <c r="Q57" s="6">
        <f>INDEX(Demand!$E$6:$S$265,MATCH('SPC Backing (Hide)'!$B57,Demand!$B$6:$B$265,0),MATCH('SPC Backing (Hide)'!Q$3,Demand!$E$5:$S$5,0))</f>
        <v>0</v>
      </c>
      <c r="R57">
        <f>IF(SPC!$B$11="Yes",IF(ROW(A54)&gt;=Demand!$A$5-52,1,0),IF(AND(B57&gt;=SPC!$B$12,B57&lt;SPC!$B$13),1,0))</f>
        <v>1</v>
      </c>
      <c r="S57" cm="1">
        <f t="array" ref="S57">INDEX($C$4:$Q$263,ROW(A54),MATCH($T$2,$C$3:$Q$3,0))</f>
        <v>346</v>
      </c>
      <c r="T57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57" cm="1">
        <f t="array" ref="U57">ABS(INDEX($C$4:$Q$263,ROW(A54),MATCH($T$2,$C$3:$Q$3,0))-INDEX($C$4:$Q$263,ROW(A53),MATCH($T$2,$C$3:$Q$3,0)))</f>
        <v>50</v>
      </c>
      <c r="V57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57">
        <f t="shared" si="0"/>
        <v>40.813595610865789</v>
      </c>
      <c r="X57">
        <f t="shared" si="1"/>
        <v>108.80449618627055</v>
      </c>
      <c r="Y57">
        <f t="shared" si="2"/>
        <v>149.61809179713634</v>
      </c>
      <c r="Z57">
        <f t="shared" si="3"/>
        <v>190.43168740800212</v>
      </c>
      <c r="AA57">
        <f t="shared" si="4"/>
        <v>272.05887862973373</v>
      </c>
      <c r="AB57">
        <f t="shared" si="5"/>
        <v>312.8724742405995</v>
      </c>
      <c r="AC57">
        <f t="shared" si="6"/>
        <v>353.68606985146528</v>
      </c>
      <c r="AD57" t="e">
        <f t="shared" si="7"/>
        <v>#N/A</v>
      </c>
      <c r="AE57">
        <f t="shared" si="14"/>
        <v>2</v>
      </c>
      <c r="AF57" t="e">
        <f t="shared" si="8"/>
        <v>#N/A</v>
      </c>
      <c r="AG57">
        <f t="shared" si="9"/>
        <v>-1</v>
      </c>
      <c r="AH57" t="e">
        <f t="shared" si="10"/>
        <v>#N/A</v>
      </c>
      <c r="AI57">
        <f t="shared" si="11"/>
        <v>1</v>
      </c>
      <c r="AJ57" t="e">
        <f t="shared" si="12"/>
        <v>#N/A</v>
      </c>
      <c r="AK57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57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57">
        <f t="shared" si="13"/>
        <v>14.699999999999989</v>
      </c>
    </row>
    <row r="58" spans="2:39" x14ac:dyDescent="0.35">
      <c r="B58" s="12">
        <f>Demand!B60</f>
        <v>43995</v>
      </c>
      <c r="C58" s="7">
        <f>INDEX(Demand!$E$6:$S$265,MATCH('SPC Backing (Hide)'!$B58,Demand!$B$6:$B$265,0),MATCH('SPC Backing (Hide)'!C$3,Demand!$E$5:$S$5,0))</f>
        <v>230</v>
      </c>
      <c r="D58" s="5">
        <f>INDEX(Demand!$E$6:$S$265,MATCH('SPC Backing (Hide)'!$B58,Demand!$B$6:$B$265,0),MATCH('SPC Backing (Hide)'!D$3,Demand!$E$5:$S$5,0))</f>
        <v>0</v>
      </c>
      <c r="E58" s="5">
        <f>INDEX(Demand!$E$6:$S$265,MATCH('SPC Backing (Hide)'!$B58,Demand!$B$6:$B$265,0),MATCH('SPC Backing (Hide)'!E$3,Demand!$E$5:$S$5,0))</f>
        <v>0</v>
      </c>
      <c r="F58" s="5">
        <f>INDEX(Demand!$E$6:$S$265,MATCH('SPC Backing (Hide)'!$B58,Demand!$B$6:$B$265,0),MATCH('SPC Backing (Hide)'!F$3,Demand!$E$5:$S$5,0))</f>
        <v>0</v>
      </c>
      <c r="G58" s="5">
        <f>INDEX(Demand!$E$6:$S$265,MATCH('SPC Backing (Hide)'!$B58,Demand!$B$6:$B$265,0),MATCH('SPC Backing (Hide)'!G$3,Demand!$E$5:$S$5,0))</f>
        <v>0</v>
      </c>
      <c r="H58" s="5">
        <f>INDEX(Demand!$E$6:$S$265,MATCH('SPC Backing (Hide)'!$B58,Demand!$B$6:$B$265,0),MATCH('SPC Backing (Hide)'!H$3,Demand!$E$5:$S$5,0))</f>
        <v>0</v>
      </c>
      <c r="I58" s="5">
        <f>INDEX(Demand!$E$6:$S$265,MATCH('SPC Backing (Hide)'!$B58,Demand!$B$6:$B$265,0),MATCH('SPC Backing (Hide)'!I$3,Demand!$E$5:$S$5,0))</f>
        <v>0</v>
      </c>
      <c r="J58" s="5">
        <f>INDEX(Demand!$E$6:$S$265,MATCH('SPC Backing (Hide)'!$B58,Demand!$B$6:$B$265,0),MATCH('SPC Backing (Hide)'!J$3,Demand!$E$5:$S$5,0))</f>
        <v>0</v>
      </c>
      <c r="K58" s="5">
        <f>INDEX(Demand!$E$6:$S$265,MATCH('SPC Backing (Hide)'!$B58,Demand!$B$6:$B$265,0),MATCH('SPC Backing (Hide)'!K$3,Demand!$E$5:$S$5,0))</f>
        <v>0</v>
      </c>
      <c r="L58" s="5">
        <f>INDEX(Demand!$E$6:$S$265,MATCH('SPC Backing (Hide)'!$B58,Demand!$B$6:$B$265,0),MATCH('SPC Backing (Hide)'!L$3,Demand!$E$5:$S$5,0))</f>
        <v>0</v>
      </c>
      <c r="M58" s="5">
        <f>INDEX(Demand!$E$6:$S$265,MATCH('SPC Backing (Hide)'!$B58,Demand!$B$6:$B$265,0),MATCH('SPC Backing (Hide)'!M$3,Demand!$E$5:$S$5,0))</f>
        <v>0</v>
      </c>
      <c r="N58" s="5">
        <f>INDEX(Demand!$E$6:$S$265,MATCH('SPC Backing (Hide)'!$B58,Demand!$B$6:$B$265,0),MATCH('SPC Backing (Hide)'!N$3,Demand!$E$5:$S$5,0))</f>
        <v>0</v>
      </c>
      <c r="O58" s="5">
        <f>INDEX(Demand!$E$6:$S$265,MATCH('SPC Backing (Hide)'!$B58,Demand!$B$6:$B$265,0),MATCH('SPC Backing (Hide)'!O$3,Demand!$E$5:$S$5,0))</f>
        <v>0</v>
      </c>
      <c r="P58" s="5">
        <f>INDEX(Demand!$E$6:$S$265,MATCH('SPC Backing (Hide)'!$B58,Demand!$B$6:$B$265,0),MATCH('SPC Backing (Hide)'!P$3,Demand!$E$5:$S$5,0))</f>
        <v>0</v>
      </c>
      <c r="Q58" s="6">
        <f>INDEX(Demand!$E$6:$S$265,MATCH('SPC Backing (Hide)'!$B58,Demand!$B$6:$B$265,0),MATCH('SPC Backing (Hide)'!Q$3,Demand!$E$5:$S$5,0))</f>
        <v>0</v>
      </c>
      <c r="R58">
        <f>IF(SPC!$B$11="Yes",IF(ROW(A55)&gt;=Demand!$A$5-52,1,0),IF(AND(B58&gt;=SPC!$B$12,B58&lt;SPC!$B$13),1,0))</f>
        <v>1</v>
      </c>
      <c r="S58" cm="1">
        <f t="array" ref="S58">INDEX($C$4:$Q$263,ROW(A55),MATCH($T$2,$C$3:$Q$3,0))</f>
        <v>230</v>
      </c>
      <c r="T58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58" cm="1">
        <f t="array" ref="U58">ABS(INDEX($C$4:$Q$263,ROW(A55),MATCH($T$2,$C$3:$Q$3,0))-INDEX($C$4:$Q$263,ROW(A54),MATCH($T$2,$C$3:$Q$3,0)))</f>
        <v>116</v>
      </c>
      <c r="V58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58">
        <f t="shared" si="0"/>
        <v>40.813595610865789</v>
      </c>
      <c r="X58">
        <f t="shared" si="1"/>
        <v>108.80449618627055</v>
      </c>
      <c r="Y58">
        <f t="shared" si="2"/>
        <v>149.61809179713634</v>
      </c>
      <c r="Z58">
        <f t="shared" si="3"/>
        <v>190.43168740800212</v>
      </c>
      <c r="AA58">
        <f t="shared" si="4"/>
        <v>272.05887862973373</v>
      </c>
      <c r="AB58">
        <f t="shared" si="5"/>
        <v>312.8724742405995</v>
      </c>
      <c r="AC58">
        <f t="shared" si="6"/>
        <v>353.68606985146528</v>
      </c>
      <c r="AD58" t="e">
        <f t="shared" si="7"/>
        <v>#N/A</v>
      </c>
      <c r="AE58">
        <f t="shared" si="14"/>
        <v>-1</v>
      </c>
      <c r="AF58">
        <f t="shared" si="8"/>
        <v>230</v>
      </c>
      <c r="AG58">
        <f t="shared" si="9"/>
        <v>-1</v>
      </c>
      <c r="AH58" t="e">
        <f t="shared" si="10"/>
        <v>#N/A</v>
      </c>
      <c r="AI58">
        <f t="shared" si="11"/>
        <v>-1</v>
      </c>
      <c r="AJ58" t="e">
        <f t="shared" si="12"/>
        <v>#N/A</v>
      </c>
      <c r="AK58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58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58">
        <f t="shared" si="13"/>
        <v>14.699999999999989</v>
      </c>
    </row>
    <row r="59" spans="2:39" x14ac:dyDescent="0.35">
      <c r="B59" s="12">
        <f>Demand!B61</f>
        <v>44002</v>
      </c>
      <c r="C59" s="7">
        <f>INDEX(Demand!$E$6:$S$265,MATCH('SPC Backing (Hide)'!$B59,Demand!$B$6:$B$265,0),MATCH('SPC Backing (Hide)'!C$3,Demand!$E$5:$S$5,0))</f>
        <v>146</v>
      </c>
      <c r="D59" s="5">
        <f>INDEX(Demand!$E$6:$S$265,MATCH('SPC Backing (Hide)'!$B59,Demand!$B$6:$B$265,0),MATCH('SPC Backing (Hide)'!D$3,Demand!$E$5:$S$5,0))</f>
        <v>0</v>
      </c>
      <c r="E59" s="5">
        <f>INDEX(Demand!$E$6:$S$265,MATCH('SPC Backing (Hide)'!$B59,Demand!$B$6:$B$265,0),MATCH('SPC Backing (Hide)'!E$3,Demand!$E$5:$S$5,0))</f>
        <v>0</v>
      </c>
      <c r="F59" s="5">
        <f>INDEX(Demand!$E$6:$S$265,MATCH('SPC Backing (Hide)'!$B59,Demand!$B$6:$B$265,0),MATCH('SPC Backing (Hide)'!F$3,Demand!$E$5:$S$5,0))</f>
        <v>0</v>
      </c>
      <c r="G59" s="5">
        <f>INDEX(Demand!$E$6:$S$265,MATCH('SPC Backing (Hide)'!$B59,Demand!$B$6:$B$265,0),MATCH('SPC Backing (Hide)'!G$3,Demand!$E$5:$S$5,0))</f>
        <v>0</v>
      </c>
      <c r="H59" s="5">
        <f>INDEX(Demand!$E$6:$S$265,MATCH('SPC Backing (Hide)'!$B59,Demand!$B$6:$B$265,0),MATCH('SPC Backing (Hide)'!H$3,Demand!$E$5:$S$5,0))</f>
        <v>0</v>
      </c>
      <c r="I59" s="5">
        <f>INDEX(Demand!$E$6:$S$265,MATCH('SPC Backing (Hide)'!$B59,Demand!$B$6:$B$265,0),MATCH('SPC Backing (Hide)'!I$3,Demand!$E$5:$S$5,0))</f>
        <v>0</v>
      </c>
      <c r="J59" s="5">
        <f>INDEX(Demand!$E$6:$S$265,MATCH('SPC Backing (Hide)'!$B59,Demand!$B$6:$B$265,0),MATCH('SPC Backing (Hide)'!J$3,Demand!$E$5:$S$5,0))</f>
        <v>0</v>
      </c>
      <c r="K59" s="5">
        <f>INDEX(Demand!$E$6:$S$265,MATCH('SPC Backing (Hide)'!$B59,Demand!$B$6:$B$265,0),MATCH('SPC Backing (Hide)'!K$3,Demand!$E$5:$S$5,0))</f>
        <v>0</v>
      </c>
      <c r="L59" s="5">
        <f>INDEX(Demand!$E$6:$S$265,MATCH('SPC Backing (Hide)'!$B59,Demand!$B$6:$B$265,0),MATCH('SPC Backing (Hide)'!L$3,Demand!$E$5:$S$5,0))</f>
        <v>0</v>
      </c>
      <c r="M59" s="5">
        <f>INDEX(Demand!$E$6:$S$265,MATCH('SPC Backing (Hide)'!$B59,Demand!$B$6:$B$265,0),MATCH('SPC Backing (Hide)'!M$3,Demand!$E$5:$S$5,0))</f>
        <v>0</v>
      </c>
      <c r="N59" s="5">
        <f>INDEX(Demand!$E$6:$S$265,MATCH('SPC Backing (Hide)'!$B59,Demand!$B$6:$B$265,0),MATCH('SPC Backing (Hide)'!N$3,Demand!$E$5:$S$5,0))</f>
        <v>0</v>
      </c>
      <c r="O59" s="5">
        <f>INDEX(Demand!$E$6:$S$265,MATCH('SPC Backing (Hide)'!$B59,Demand!$B$6:$B$265,0),MATCH('SPC Backing (Hide)'!O$3,Demand!$E$5:$S$5,0))</f>
        <v>0</v>
      </c>
      <c r="P59" s="5">
        <f>INDEX(Demand!$E$6:$S$265,MATCH('SPC Backing (Hide)'!$B59,Demand!$B$6:$B$265,0),MATCH('SPC Backing (Hide)'!P$3,Demand!$E$5:$S$5,0))</f>
        <v>0</v>
      </c>
      <c r="Q59" s="6">
        <f>INDEX(Demand!$E$6:$S$265,MATCH('SPC Backing (Hide)'!$B59,Demand!$B$6:$B$265,0),MATCH('SPC Backing (Hide)'!Q$3,Demand!$E$5:$S$5,0))</f>
        <v>0</v>
      </c>
      <c r="R59">
        <f>IF(SPC!$B$11="Yes",IF(ROW(A56)&gt;=Demand!$A$5-52,1,0),IF(AND(B59&gt;=SPC!$B$12,B59&lt;SPC!$B$13),1,0))</f>
        <v>1</v>
      </c>
      <c r="S59" cm="1">
        <f t="array" ref="S59">INDEX($C$4:$Q$263,ROW(A56),MATCH($T$2,$C$3:$Q$3,0))</f>
        <v>146</v>
      </c>
      <c r="T59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59" cm="1">
        <f t="array" ref="U59">ABS(INDEX($C$4:$Q$263,ROW(A56),MATCH($T$2,$C$3:$Q$3,0))-INDEX($C$4:$Q$263,ROW(A55),MATCH($T$2,$C$3:$Q$3,0)))</f>
        <v>84</v>
      </c>
      <c r="V59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59">
        <f t="shared" si="0"/>
        <v>40.813595610865789</v>
      </c>
      <c r="X59">
        <f t="shared" si="1"/>
        <v>108.80449618627055</v>
      </c>
      <c r="Y59">
        <f t="shared" si="2"/>
        <v>149.61809179713634</v>
      </c>
      <c r="Z59">
        <f t="shared" si="3"/>
        <v>190.43168740800212</v>
      </c>
      <c r="AA59">
        <f t="shared" si="4"/>
        <v>272.05887862973373</v>
      </c>
      <c r="AB59">
        <f t="shared" si="5"/>
        <v>312.8724742405995</v>
      </c>
      <c r="AC59">
        <f t="shared" si="6"/>
        <v>353.68606985146528</v>
      </c>
      <c r="AD59" t="e">
        <f t="shared" si="7"/>
        <v>#N/A</v>
      </c>
      <c r="AE59">
        <f t="shared" si="14"/>
        <v>-2</v>
      </c>
      <c r="AF59">
        <f t="shared" si="8"/>
        <v>146</v>
      </c>
      <c r="AG59">
        <f t="shared" si="9"/>
        <v>-1</v>
      </c>
      <c r="AH59" t="e">
        <f t="shared" si="10"/>
        <v>#N/A</v>
      </c>
      <c r="AI59">
        <f t="shared" si="11"/>
        <v>-1</v>
      </c>
      <c r="AJ59" t="e">
        <f t="shared" si="12"/>
        <v>#N/A</v>
      </c>
      <c r="AK59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59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59">
        <f t="shared" si="13"/>
        <v>14.699999999999989</v>
      </c>
    </row>
    <row r="60" spans="2:39" x14ac:dyDescent="0.35">
      <c r="B60" s="12">
        <f>Demand!B62</f>
        <v>44009</v>
      </c>
      <c r="C60" s="7">
        <f>INDEX(Demand!$E$6:$S$265,MATCH('SPC Backing (Hide)'!$B60,Demand!$B$6:$B$265,0),MATCH('SPC Backing (Hide)'!C$3,Demand!$E$5:$S$5,0))</f>
        <v>140</v>
      </c>
      <c r="D60" s="5">
        <f>INDEX(Demand!$E$6:$S$265,MATCH('SPC Backing (Hide)'!$B60,Demand!$B$6:$B$265,0),MATCH('SPC Backing (Hide)'!D$3,Demand!$E$5:$S$5,0))</f>
        <v>0</v>
      </c>
      <c r="E60" s="5">
        <f>INDEX(Demand!$E$6:$S$265,MATCH('SPC Backing (Hide)'!$B60,Demand!$B$6:$B$265,0),MATCH('SPC Backing (Hide)'!E$3,Demand!$E$5:$S$5,0))</f>
        <v>0</v>
      </c>
      <c r="F60" s="5">
        <f>INDEX(Demand!$E$6:$S$265,MATCH('SPC Backing (Hide)'!$B60,Demand!$B$6:$B$265,0),MATCH('SPC Backing (Hide)'!F$3,Demand!$E$5:$S$5,0))</f>
        <v>0</v>
      </c>
      <c r="G60" s="5">
        <f>INDEX(Demand!$E$6:$S$265,MATCH('SPC Backing (Hide)'!$B60,Demand!$B$6:$B$265,0),MATCH('SPC Backing (Hide)'!G$3,Demand!$E$5:$S$5,0))</f>
        <v>0</v>
      </c>
      <c r="H60" s="5">
        <f>INDEX(Demand!$E$6:$S$265,MATCH('SPC Backing (Hide)'!$B60,Demand!$B$6:$B$265,0),MATCH('SPC Backing (Hide)'!H$3,Demand!$E$5:$S$5,0))</f>
        <v>0</v>
      </c>
      <c r="I60" s="5">
        <f>INDEX(Demand!$E$6:$S$265,MATCH('SPC Backing (Hide)'!$B60,Demand!$B$6:$B$265,0),MATCH('SPC Backing (Hide)'!I$3,Demand!$E$5:$S$5,0))</f>
        <v>0</v>
      </c>
      <c r="J60" s="5">
        <f>INDEX(Demand!$E$6:$S$265,MATCH('SPC Backing (Hide)'!$B60,Demand!$B$6:$B$265,0),MATCH('SPC Backing (Hide)'!J$3,Demand!$E$5:$S$5,0))</f>
        <v>0</v>
      </c>
      <c r="K60" s="5">
        <f>INDEX(Demand!$E$6:$S$265,MATCH('SPC Backing (Hide)'!$B60,Demand!$B$6:$B$265,0),MATCH('SPC Backing (Hide)'!K$3,Demand!$E$5:$S$5,0))</f>
        <v>0</v>
      </c>
      <c r="L60" s="5">
        <f>INDEX(Demand!$E$6:$S$265,MATCH('SPC Backing (Hide)'!$B60,Demand!$B$6:$B$265,0),MATCH('SPC Backing (Hide)'!L$3,Demand!$E$5:$S$5,0))</f>
        <v>0</v>
      </c>
      <c r="M60" s="5">
        <f>INDEX(Demand!$E$6:$S$265,MATCH('SPC Backing (Hide)'!$B60,Demand!$B$6:$B$265,0),MATCH('SPC Backing (Hide)'!M$3,Demand!$E$5:$S$5,0))</f>
        <v>0</v>
      </c>
      <c r="N60" s="5">
        <f>INDEX(Demand!$E$6:$S$265,MATCH('SPC Backing (Hide)'!$B60,Demand!$B$6:$B$265,0),MATCH('SPC Backing (Hide)'!N$3,Demand!$E$5:$S$5,0))</f>
        <v>0</v>
      </c>
      <c r="O60" s="5">
        <f>INDEX(Demand!$E$6:$S$265,MATCH('SPC Backing (Hide)'!$B60,Demand!$B$6:$B$265,0),MATCH('SPC Backing (Hide)'!O$3,Demand!$E$5:$S$5,0))</f>
        <v>0</v>
      </c>
      <c r="P60" s="5">
        <f>INDEX(Demand!$E$6:$S$265,MATCH('SPC Backing (Hide)'!$B60,Demand!$B$6:$B$265,0),MATCH('SPC Backing (Hide)'!P$3,Demand!$E$5:$S$5,0))</f>
        <v>0</v>
      </c>
      <c r="Q60" s="6">
        <f>INDEX(Demand!$E$6:$S$265,MATCH('SPC Backing (Hide)'!$B60,Demand!$B$6:$B$265,0),MATCH('SPC Backing (Hide)'!Q$3,Demand!$E$5:$S$5,0))</f>
        <v>0</v>
      </c>
      <c r="R60">
        <f>IF(SPC!$B$11="Yes",IF(ROW(A57)&gt;=Demand!$A$5-52,1,0),IF(AND(B60&gt;=SPC!$B$12,B60&lt;SPC!$B$13),1,0))</f>
        <v>1</v>
      </c>
      <c r="S60" cm="1">
        <f t="array" ref="S60">INDEX($C$4:$Q$263,ROW(A57),MATCH($T$2,$C$3:$Q$3,0))</f>
        <v>140</v>
      </c>
      <c r="T60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60" cm="1">
        <f t="array" ref="U60">ABS(INDEX($C$4:$Q$263,ROW(A57),MATCH($T$2,$C$3:$Q$3,0))-INDEX($C$4:$Q$263,ROW(A56),MATCH($T$2,$C$3:$Q$3,0)))</f>
        <v>6</v>
      </c>
      <c r="V60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60">
        <f t="shared" si="0"/>
        <v>40.813595610865789</v>
      </c>
      <c r="X60">
        <f t="shared" si="1"/>
        <v>108.80449618627055</v>
      </c>
      <c r="Y60">
        <f t="shared" si="2"/>
        <v>149.61809179713634</v>
      </c>
      <c r="Z60">
        <f t="shared" si="3"/>
        <v>190.43168740800212</v>
      </c>
      <c r="AA60">
        <f t="shared" si="4"/>
        <v>272.05887862973373</v>
      </c>
      <c r="AB60">
        <f t="shared" si="5"/>
        <v>312.8724742405995</v>
      </c>
      <c r="AC60">
        <f t="shared" si="6"/>
        <v>353.68606985146528</v>
      </c>
      <c r="AD60" t="e">
        <f t="shared" si="7"/>
        <v>#N/A</v>
      </c>
      <c r="AE60">
        <f t="shared" si="14"/>
        <v>-2</v>
      </c>
      <c r="AF60" t="e">
        <f t="shared" si="8"/>
        <v>#N/A</v>
      </c>
      <c r="AG60">
        <f t="shared" si="9"/>
        <v>1</v>
      </c>
      <c r="AH60" t="e">
        <f t="shared" si="10"/>
        <v>#N/A</v>
      </c>
      <c r="AI60">
        <f t="shared" si="11"/>
        <v>-1</v>
      </c>
      <c r="AJ60" t="e">
        <f t="shared" si="12"/>
        <v>#N/A</v>
      </c>
      <c r="AK60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60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60">
        <f t="shared" si="13"/>
        <v>14.699999999999989</v>
      </c>
    </row>
    <row r="61" spans="2:39" x14ac:dyDescent="0.35">
      <c r="B61" s="12">
        <f>Demand!B63</f>
        <v>44016</v>
      </c>
      <c r="C61" s="7">
        <f>INDEX(Demand!$E$6:$S$265,MATCH('SPC Backing (Hide)'!$B61,Demand!$B$6:$B$265,0),MATCH('SPC Backing (Hide)'!C$3,Demand!$E$5:$S$5,0))</f>
        <v>182</v>
      </c>
      <c r="D61" s="5">
        <f>INDEX(Demand!$E$6:$S$265,MATCH('SPC Backing (Hide)'!$B61,Demand!$B$6:$B$265,0),MATCH('SPC Backing (Hide)'!D$3,Demand!$E$5:$S$5,0))</f>
        <v>0</v>
      </c>
      <c r="E61" s="5">
        <f>INDEX(Demand!$E$6:$S$265,MATCH('SPC Backing (Hide)'!$B61,Demand!$B$6:$B$265,0),MATCH('SPC Backing (Hide)'!E$3,Demand!$E$5:$S$5,0))</f>
        <v>0</v>
      </c>
      <c r="F61" s="5">
        <f>INDEX(Demand!$E$6:$S$265,MATCH('SPC Backing (Hide)'!$B61,Demand!$B$6:$B$265,0),MATCH('SPC Backing (Hide)'!F$3,Demand!$E$5:$S$5,0))</f>
        <v>0</v>
      </c>
      <c r="G61" s="5">
        <f>INDEX(Demand!$E$6:$S$265,MATCH('SPC Backing (Hide)'!$B61,Demand!$B$6:$B$265,0),MATCH('SPC Backing (Hide)'!G$3,Demand!$E$5:$S$5,0))</f>
        <v>0</v>
      </c>
      <c r="H61" s="5">
        <f>INDEX(Demand!$E$6:$S$265,MATCH('SPC Backing (Hide)'!$B61,Demand!$B$6:$B$265,0),MATCH('SPC Backing (Hide)'!H$3,Demand!$E$5:$S$5,0))</f>
        <v>0</v>
      </c>
      <c r="I61" s="5">
        <f>INDEX(Demand!$E$6:$S$265,MATCH('SPC Backing (Hide)'!$B61,Demand!$B$6:$B$265,0),MATCH('SPC Backing (Hide)'!I$3,Demand!$E$5:$S$5,0))</f>
        <v>0</v>
      </c>
      <c r="J61" s="5">
        <f>INDEX(Demand!$E$6:$S$265,MATCH('SPC Backing (Hide)'!$B61,Demand!$B$6:$B$265,0),MATCH('SPC Backing (Hide)'!J$3,Demand!$E$5:$S$5,0))</f>
        <v>0</v>
      </c>
      <c r="K61" s="5">
        <f>INDEX(Demand!$E$6:$S$265,MATCH('SPC Backing (Hide)'!$B61,Demand!$B$6:$B$265,0),MATCH('SPC Backing (Hide)'!K$3,Demand!$E$5:$S$5,0))</f>
        <v>0</v>
      </c>
      <c r="L61" s="5">
        <f>INDEX(Demand!$E$6:$S$265,MATCH('SPC Backing (Hide)'!$B61,Demand!$B$6:$B$265,0),MATCH('SPC Backing (Hide)'!L$3,Demand!$E$5:$S$5,0))</f>
        <v>0</v>
      </c>
      <c r="M61" s="5">
        <f>INDEX(Demand!$E$6:$S$265,MATCH('SPC Backing (Hide)'!$B61,Demand!$B$6:$B$265,0),MATCH('SPC Backing (Hide)'!M$3,Demand!$E$5:$S$5,0))</f>
        <v>0</v>
      </c>
      <c r="N61" s="5">
        <f>INDEX(Demand!$E$6:$S$265,MATCH('SPC Backing (Hide)'!$B61,Demand!$B$6:$B$265,0),MATCH('SPC Backing (Hide)'!N$3,Demand!$E$5:$S$5,0))</f>
        <v>0</v>
      </c>
      <c r="O61" s="5">
        <f>INDEX(Demand!$E$6:$S$265,MATCH('SPC Backing (Hide)'!$B61,Demand!$B$6:$B$265,0),MATCH('SPC Backing (Hide)'!O$3,Demand!$E$5:$S$5,0))</f>
        <v>0</v>
      </c>
      <c r="P61" s="5">
        <f>INDEX(Demand!$E$6:$S$265,MATCH('SPC Backing (Hide)'!$B61,Demand!$B$6:$B$265,0),MATCH('SPC Backing (Hide)'!P$3,Demand!$E$5:$S$5,0))</f>
        <v>0</v>
      </c>
      <c r="Q61" s="6">
        <f>INDEX(Demand!$E$6:$S$265,MATCH('SPC Backing (Hide)'!$B61,Demand!$B$6:$B$265,0),MATCH('SPC Backing (Hide)'!Q$3,Demand!$E$5:$S$5,0))</f>
        <v>0</v>
      </c>
      <c r="R61">
        <f>IF(SPC!$B$11="Yes",IF(ROW(A58)&gt;=Demand!$A$5-52,1,0),IF(AND(B61&gt;=SPC!$B$12,B61&lt;SPC!$B$13),1,0))</f>
        <v>1</v>
      </c>
      <c r="S61" cm="1">
        <f t="array" ref="S61">INDEX($C$4:$Q$263,ROW(A58),MATCH($T$2,$C$3:$Q$3,0))</f>
        <v>182</v>
      </c>
      <c r="T61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61" cm="1">
        <f t="array" ref="U61">ABS(INDEX($C$4:$Q$263,ROW(A58),MATCH($T$2,$C$3:$Q$3,0))-INDEX($C$4:$Q$263,ROW(A57),MATCH($T$2,$C$3:$Q$3,0)))</f>
        <v>42</v>
      </c>
      <c r="V61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61">
        <f t="shared" si="0"/>
        <v>40.813595610865789</v>
      </c>
      <c r="X61">
        <f t="shared" si="1"/>
        <v>108.80449618627055</v>
      </c>
      <c r="Y61">
        <f t="shared" si="2"/>
        <v>149.61809179713634</v>
      </c>
      <c r="Z61">
        <f t="shared" si="3"/>
        <v>190.43168740800212</v>
      </c>
      <c r="AA61">
        <f t="shared" si="4"/>
        <v>272.05887862973373</v>
      </c>
      <c r="AB61">
        <f t="shared" si="5"/>
        <v>312.8724742405995</v>
      </c>
      <c r="AC61">
        <f t="shared" si="6"/>
        <v>353.68606985146528</v>
      </c>
      <c r="AD61" t="e">
        <f t="shared" si="7"/>
        <v>#N/A</v>
      </c>
      <c r="AE61">
        <f t="shared" si="14"/>
        <v>-1</v>
      </c>
      <c r="AF61" t="e">
        <f t="shared" si="8"/>
        <v>#N/A</v>
      </c>
      <c r="AG61">
        <f t="shared" si="9"/>
        <v>1</v>
      </c>
      <c r="AH61" t="e">
        <f t="shared" si="10"/>
        <v>#N/A</v>
      </c>
      <c r="AI61">
        <f t="shared" si="11"/>
        <v>-1</v>
      </c>
      <c r="AJ61" t="e">
        <f t="shared" si="12"/>
        <v>#N/A</v>
      </c>
      <c r="AK61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61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61">
        <f t="shared" si="13"/>
        <v>14.699999999999989</v>
      </c>
    </row>
    <row r="62" spans="2:39" x14ac:dyDescent="0.35">
      <c r="B62" s="12">
        <f>Demand!B64</f>
        <v>44023</v>
      </c>
      <c r="C62" s="7">
        <f>INDEX(Demand!$E$6:$S$265,MATCH('SPC Backing (Hide)'!$B62,Demand!$B$6:$B$265,0),MATCH('SPC Backing (Hide)'!C$3,Demand!$E$5:$S$5,0))</f>
        <v>260</v>
      </c>
      <c r="D62" s="5">
        <f>INDEX(Demand!$E$6:$S$265,MATCH('SPC Backing (Hide)'!$B62,Demand!$B$6:$B$265,0),MATCH('SPC Backing (Hide)'!D$3,Demand!$E$5:$S$5,0))</f>
        <v>0</v>
      </c>
      <c r="E62" s="5">
        <f>INDEX(Demand!$E$6:$S$265,MATCH('SPC Backing (Hide)'!$B62,Demand!$B$6:$B$265,0),MATCH('SPC Backing (Hide)'!E$3,Demand!$E$5:$S$5,0))</f>
        <v>0</v>
      </c>
      <c r="F62" s="5">
        <f>INDEX(Demand!$E$6:$S$265,MATCH('SPC Backing (Hide)'!$B62,Demand!$B$6:$B$265,0),MATCH('SPC Backing (Hide)'!F$3,Demand!$E$5:$S$5,0))</f>
        <v>0</v>
      </c>
      <c r="G62" s="5">
        <f>INDEX(Demand!$E$6:$S$265,MATCH('SPC Backing (Hide)'!$B62,Demand!$B$6:$B$265,0),MATCH('SPC Backing (Hide)'!G$3,Demand!$E$5:$S$5,0))</f>
        <v>0</v>
      </c>
      <c r="H62" s="5">
        <f>INDEX(Demand!$E$6:$S$265,MATCH('SPC Backing (Hide)'!$B62,Demand!$B$6:$B$265,0),MATCH('SPC Backing (Hide)'!H$3,Demand!$E$5:$S$5,0))</f>
        <v>0</v>
      </c>
      <c r="I62" s="5">
        <f>INDEX(Demand!$E$6:$S$265,MATCH('SPC Backing (Hide)'!$B62,Demand!$B$6:$B$265,0),MATCH('SPC Backing (Hide)'!I$3,Demand!$E$5:$S$5,0))</f>
        <v>0</v>
      </c>
      <c r="J62" s="5">
        <f>INDEX(Demand!$E$6:$S$265,MATCH('SPC Backing (Hide)'!$B62,Demand!$B$6:$B$265,0),MATCH('SPC Backing (Hide)'!J$3,Demand!$E$5:$S$5,0))</f>
        <v>0</v>
      </c>
      <c r="K62" s="5">
        <f>INDEX(Demand!$E$6:$S$265,MATCH('SPC Backing (Hide)'!$B62,Demand!$B$6:$B$265,0),MATCH('SPC Backing (Hide)'!K$3,Demand!$E$5:$S$5,0))</f>
        <v>0</v>
      </c>
      <c r="L62" s="5">
        <f>INDEX(Demand!$E$6:$S$265,MATCH('SPC Backing (Hide)'!$B62,Demand!$B$6:$B$265,0),MATCH('SPC Backing (Hide)'!L$3,Demand!$E$5:$S$5,0))</f>
        <v>0</v>
      </c>
      <c r="M62" s="5">
        <f>INDEX(Demand!$E$6:$S$265,MATCH('SPC Backing (Hide)'!$B62,Demand!$B$6:$B$265,0),MATCH('SPC Backing (Hide)'!M$3,Demand!$E$5:$S$5,0))</f>
        <v>0</v>
      </c>
      <c r="N62" s="5">
        <f>INDEX(Demand!$E$6:$S$265,MATCH('SPC Backing (Hide)'!$B62,Demand!$B$6:$B$265,0),MATCH('SPC Backing (Hide)'!N$3,Demand!$E$5:$S$5,0))</f>
        <v>0</v>
      </c>
      <c r="O62" s="5">
        <f>INDEX(Demand!$E$6:$S$265,MATCH('SPC Backing (Hide)'!$B62,Demand!$B$6:$B$265,0),MATCH('SPC Backing (Hide)'!O$3,Demand!$E$5:$S$5,0))</f>
        <v>0</v>
      </c>
      <c r="P62" s="5">
        <f>INDEX(Demand!$E$6:$S$265,MATCH('SPC Backing (Hide)'!$B62,Demand!$B$6:$B$265,0),MATCH('SPC Backing (Hide)'!P$3,Demand!$E$5:$S$5,0))</f>
        <v>0</v>
      </c>
      <c r="Q62" s="6">
        <f>INDEX(Demand!$E$6:$S$265,MATCH('SPC Backing (Hide)'!$B62,Demand!$B$6:$B$265,0),MATCH('SPC Backing (Hide)'!Q$3,Demand!$E$5:$S$5,0))</f>
        <v>0</v>
      </c>
      <c r="R62">
        <f>IF(SPC!$B$11="Yes",IF(ROW(A59)&gt;=Demand!$A$5-52,1,0),IF(AND(B62&gt;=SPC!$B$12,B62&lt;SPC!$B$13),1,0))</f>
        <v>1</v>
      </c>
      <c r="S62" cm="1">
        <f t="array" ref="S62">INDEX($C$4:$Q$263,ROW(A59),MATCH($T$2,$C$3:$Q$3,0))</f>
        <v>260</v>
      </c>
      <c r="T62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62" cm="1">
        <f t="array" ref="U62">ABS(INDEX($C$4:$Q$263,ROW(A59),MATCH($T$2,$C$3:$Q$3,0))-INDEX($C$4:$Q$263,ROW(A58),MATCH($T$2,$C$3:$Q$3,0)))</f>
        <v>78</v>
      </c>
      <c r="V62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62">
        <f t="shared" si="0"/>
        <v>40.813595610865789</v>
      </c>
      <c r="X62">
        <f t="shared" si="1"/>
        <v>108.80449618627055</v>
      </c>
      <c r="Y62">
        <f t="shared" si="2"/>
        <v>149.61809179713634</v>
      </c>
      <c r="Z62">
        <f t="shared" si="3"/>
        <v>190.43168740800212</v>
      </c>
      <c r="AA62">
        <f t="shared" si="4"/>
        <v>272.05887862973373</v>
      </c>
      <c r="AB62">
        <f t="shared" si="5"/>
        <v>312.8724742405995</v>
      </c>
      <c r="AC62">
        <f t="shared" si="6"/>
        <v>353.68606985146528</v>
      </c>
      <c r="AD62" t="e">
        <f t="shared" si="7"/>
        <v>#N/A</v>
      </c>
      <c r="AE62">
        <f t="shared" si="14"/>
        <v>1</v>
      </c>
      <c r="AF62" t="e">
        <f t="shared" si="8"/>
        <v>#N/A</v>
      </c>
      <c r="AG62">
        <f t="shared" si="9"/>
        <v>1</v>
      </c>
      <c r="AH62" t="e">
        <f t="shared" si="10"/>
        <v>#N/A</v>
      </c>
      <c r="AI62">
        <f t="shared" si="11"/>
        <v>1</v>
      </c>
      <c r="AJ62" t="e">
        <f t="shared" si="12"/>
        <v>#N/A</v>
      </c>
      <c r="AK62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62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62">
        <f t="shared" si="13"/>
        <v>14.699999999999989</v>
      </c>
    </row>
    <row r="63" spans="2:39" x14ac:dyDescent="0.35">
      <c r="B63" s="12">
        <f>Demand!B65</f>
        <v>44030</v>
      </c>
      <c r="C63" s="7">
        <f>INDEX(Demand!$E$6:$S$265,MATCH('SPC Backing (Hide)'!$B63,Demand!$B$6:$B$265,0),MATCH('SPC Backing (Hide)'!C$3,Demand!$E$5:$S$5,0))</f>
        <v>282</v>
      </c>
      <c r="D63" s="5">
        <f>INDEX(Demand!$E$6:$S$265,MATCH('SPC Backing (Hide)'!$B63,Demand!$B$6:$B$265,0),MATCH('SPC Backing (Hide)'!D$3,Demand!$E$5:$S$5,0))</f>
        <v>0</v>
      </c>
      <c r="E63" s="5">
        <f>INDEX(Demand!$E$6:$S$265,MATCH('SPC Backing (Hide)'!$B63,Demand!$B$6:$B$265,0),MATCH('SPC Backing (Hide)'!E$3,Demand!$E$5:$S$5,0))</f>
        <v>0</v>
      </c>
      <c r="F63" s="5">
        <f>INDEX(Demand!$E$6:$S$265,MATCH('SPC Backing (Hide)'!$B63,Demand!$B$6:$B$265,0),MATCH('SPC Backing (Hide)'!F$3,Demand!$E$5:$S$5,0))</f>
        <v>0</v>
      </c>
      <c r="G63" s="5">
        <f>INDEX(Demand!$E$6:$S$265,MATCH('SPC Backing (Hide)'!$B63,Demand!$B$6:$B$265,0),MATCH('SPC Backing (Hide)'!G$3,Demand!$E$5:$S$5,0))</f>
        <v>0</v>
      </c>
      <c r="H63" s="5">
        <f>INDEX(Demand!$E$6:$S$265,MATCH('SPC Backing (Hide)'!$B63,Demand!$B$6:$B$265,0),MATCH('SPC Backing (Hide)'!H$3,Demand!$E$5:$S$5,0))</f>
        <v>0</v>
      </c>
      <c r="I63" s="5">
        <f>INDEX(Demand!$E$6:$S$265,MATCH('SPC Backing (Hide)'!$B63,Demand!$B$6:$B$265,0),MATCH('SPC Backing (Hide)'!I$3,Demand!$E$5:$S$5,0))</f>
        <v>0</v>
      </c>
      <c r="J63" s="5">
        <f>INDEX(Demand!$E$6:$S$265,MATCH('SPC Backing (Hide)'!$B63,Demand!$B$6:$B$265,0),MATCH('SPC Backing (Hide)'!J$3,Demand!$E$5:$S$5,0))</f>
        <v>0</v>
      </c>
      <c r="K63" s="5">
        <f>INDEX(Demand!$E$6:$S$265,MATCH('SPC Backing (Hide)'!$B63,Demand!$B$6:$B$265,0),MATCH('SPC Backing (Hide)'!K$3,Demand!$E$5:$S$5,0))</f>
        <v>0</v>
      </c>
      <c r="L63" s="5">
        <f>INDEX(Demand!$E$6:$S$265,MATCH('SPC Backing (Hide)'!$B63,Demand!$B$6:$B$265,0),MATCH('SPC Backing (Hide)'!L$3,Demand!$E$5:$S$5,0))</f>
        <v>0</v>
      </c>
      <c r="M63" s="5">
        <f>INDEX(Demand!$E$6:$S$265,MATCH('SPC Backing (Hide)'!$B63,Demand!$B$6:$B$265,0),MATCH('SPC Backing (Hide)'!M$3,Demand!$E$5:$S$5,0))</f>
        <v>0</v>
      </c>
      <c r="N63" s="5">
        <f>INDEX(Demand!$E$6:$S$265,MATCH('SPC Backing (Hide)'!$B63,Demand!$B$6:$B$265,0),MATCH('SPC Backing (Hide)'!N$3,Demand!$E$5:$S$5,0))</f>
        <v>0</v>
      </c>
      <c r="O63" s="5">
        <f>INDEX(Demand!$E$6:$S$265,MATCH('SPC Backing (Hide)'!$B63,Demand!$B$6:$B$265,0),MATCH('SPC Backing (Hide)'!O$3,Demand!$E$5:$S$5,0))</f>
        <v>0</v>
      </c>
      <c r="P63" s="5">
        <f>INDEX(Demand!$E$6:$S$265,MATCH('SPC Backing (Hide)'!$B63,Demand!$B$6:$B$265,0),MATCH('SPC Backing (Hide)'!P$3,Demand!$E$5:$S$5,0))</f>
        <v>0</v>
      </c>
      <c r="Q63" s="6">
        <f>INDEX(Demand!$E$6:$S$265,MATCH('SPC Backing (Hide)'!$B63,Demand!$B$6:$B$265,0),MATCH('SPC Backing (Hide)'!Q$3,Demand!$E$5:$S$5,0))</f>
        <v>0</v>
      </c>
      <c r="R63">
        <f>IF(SPC!$B$11="Yes",IF(ROW(A60)&gt;=Demand!$A$5-52,1,0),IF(AND(B63&gt;=SPC!$B$12,B63&lt;SPC!$B$13),1,0))</f>
        <v>1</v>
      </c>
      <c r="S63" cm="1">
        <f t="array" ref="S63">INDEX($C$4:$Q$263,ROW(A60),MATCH($T$2,$C$3:$Q$3,0))</f>
        <v>282</v>
      </c>
      <c r="T63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63" cm="1">
        <f t="array" ref="U63">ABS(INDEX($C$4:$Q$263,ROW(A60),MATCH($T$2,$C$3:$Q$3,0))-INDEX($C$4:$Q$263,ROW(A59),MATCH($T$2,$C$3:$Q$3,0)))</f>
        <v>22</v>
      </c>
      <c r="V63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63">
        <f t="shared" si="0"/>
        <v>40.813595610865789</v>
      </c>
      <c r="X63">
        <f t="shared" si="1"/>
        <v>108.80449618627055</v>
      </c>
      <c r="Y63">
        <f t="shared" si="2"/>
        <v>149.61809179713634</v>
      </c>
      <c r="Z63">
        <f t="shared" si="3"/>
        <v>190.43168740800212</v>
      </c>
      <c r="AA63">
        <f t="shared" si="4"/>
        <v>272.05887862973373</v>
      </c>
      <c r="AB63">
        <f t="shared" si="5"/>
        <v>312.8724742405995</v>
      </c>
      <c r="AC63">
        <f t="shared" si="6"/>
        <v>353.68606985146528</v>
      </c>
      <c r="AD63" t="e">
        <f t="shared" si="7"/>
        <v>#N/A</v>
      </c>
      <c r="AE63">
        <f t="shared" si="14"/>
        <v>1</v>
      </c>
      <c r="AF63" t="e">
        <f t="shared" si="8"/>
        <v>#N/A</v>
      </c>
      <c r="AG63">
        <f t="shared" si="9"/>
        <v>-1</v>
      </c>
      <c r="AH63" t="e">
        <f t="shared" si="10"/>
        <v>#N/A</v>
      </c>
      <c r="AI63">
        <f t="shared" si="11"/>
        <v>1</v>
      </c>
      <c r="AJ63" t="e">
        <f t="shared" si="12"/>
        <v>#N/A</v>
      </c>
      <c r="AK63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63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63">
        <f t="shared" si="13"/>
        <v>14.699999999999989</v>
      </c>
    </row>
    <row r="64" spans="2:39" x14ac:dyDescent="0.35">
      <c r="B64" s="12">
        <f>Demand!B66</f>
        <v>44037</v>
      </c>
      <c r="C64" s="7">
        <f>INDEX(Demand!$E$6:$S$265,MATCH('SPC Backing (Hide)'!$B64,Demand!$B$6:$B$265,0),MATCH('SPC Backing (Hide)'!C$3,Demand!$E$5:$S$5,0))</f>
        <v>204</v>
      </c>
      <c r="D64" s="5">
        <f>INDEX(Demand!$E$6:$S$265,MATCH('SPC Backing (Hide)'!$B64,Demand!$B$6:$B$265,0),MATCH('SPC Backing (Hide)'!D$3,Demand!$E$5:$S$5,0))</f>
        <v>0</v>
      </c>
      <c r="E64" s="5">
        <f>INDEX(Demand!$E$6:$S$265,MATCH('SPC Backing (Hide)'!$B64,Demand!$B$6:$B$265,0),MATCH('SPC Backing (Hide)'!E$3,Demand!$E$5:$S$5,0))</f>
        <v>0</v>
      </c>
      <c r="F64" s="5">
        <f>INDEX(Demand!$E$6:$S$265,MATCH('SPC Backing (Hide)'!$B64,Demand!$B$6:$B$265,0),MATCH('SPC Backing (Hide)'!F$3,Demand!$E$5:$S$5,0))</f>
        <v>0</v>
      </c>
      <c r="G64" s="5">
        <f>INDEX(Demand!$E$6:$S$265,MATCH('SPC Backing (Hide)'!$B64,Demand!$B$6:$B$265,0),MATCH('SPC Backing (Hide)'!G$3,Demand!$E$5:$S$5,0))</f>
        <v>0</v>
      </c>
      <c r="H64" s="5">
        <f>INDEX(Demand!$E$6:$S$265,MATCH('SPC Backing (Hide)'!$B64,Demand!$B$6:$B$265,0),MATCH('SPC Backing (Hide)'!H$3,Demand!$E$5:$S$5,0))</f>
        <v>0</v>
      </c>
      <c r="I64" s="5">
        <f>INDEX(Demand!$E$6:$S$265,MATCH('SPC Backing (Hide)'!$B64,Demand!$B$6:$B$265,0),MATCH('SPC Backing (Hide)'!I$3,Demand!$E$5:$S$5,0))</f>
        <v>0</v>
      </c>
      <c r="J64" s="5">
        <f>INDEX(Demand!$E$6:$S$265,MATCH('SPC Backing (Hide)'!$B64,Demand!$B$6:$B$265,0),MATCH('SPC Backing (Hide)'!J$3,Demand!$E$5:$S$5,0))</f>
        <v>0</v>
      </c>
      <c r="K64" s="5">
        <f>INDEX(Demand!$E$6:$S$265,MATCH('SPC Backing (Hide)'!$B64,Demand!$B$6:$B$265,0),MATCH('SPC Backing (Hide)'!K$3,Demand!$E$5:$S$5,0))</f>
        <v>0</v>
      </c>
      <c r="L64" s="5">
        <f>INDEX(Demand!$E$6:$S$265,MATCH('SPC Backing (Hide)'!$B64,Demand!$B$6:$B$265,0),MATCH('SPC Backing (Hide)'!L$3,Demand!$E$5:$S$5,0))</f>
        <v>0</v>
      </c>
      <c r="M64" s="5">
        <f>INDEX(Demand!$E$6:$S$265,MATCH('SPC Backing (Hide)'!$B64,Demand!$B$6:$B$265,0),MATCH('SPC Backing (Hide)'!M$3,Demand!$E$5:$S$5,0))</f>
        <v>0</v>
      </c>
      <c r="N64" s="5">
        <f>INDEX(Demand!$E$6:$S$265,MATCH('SPC Backing (Hide)'!$B64,Demand!$B$6:$B$265,0),MATCH('SPC Backing (Hide)'!N$3,Demand!$E$5:$S$5,0))</f>
        <v>0</v>
      </c>
      <c r="O64" s="5">
        <f>INDEX(Demand!$E$6:$S$265,MATCH('SPC Backing (Hide)'!$B64,Demand!$B$6:$B$265,0),MATCH('SPC Backing (Hide)'!O$3,Demand!$E$5:$S$5,0))</f>
        <v>0</v>
      </c>
      <c r="P64" s="5">
        <f>INDEX(Demand!$E$6:$S$265,MATCH('SPC Backing (Hide)'!$B64,Demand!$B$6:$B$265,0),MATCH('SPC Backing (Hide)'!P$3,Demand!$E$5:$S$5,0))</f>
        <v>0</v>
      </c>
      <c r="Q64" s="6">
        <f>INDEX(Demand!$E$6:$S$265,MATCH('SPC Backing (Hide)'!$B64,Demand!$B$6:$B$265,0),MATCH('SPC Backing (Hide)'!Q$3,Demand!$E$5:$S$5,0))</f>
        <v>0</v>
      </c>
      <c r="R64">
        <f>IF(SPC!$B$11="Yes",IF(ROW(A61)&gt;=Demand!$A$5-52,1,0),IF(AND(B64&gt;=SPC!$B$12,B64&lt;SPC!$B$13),1,0))</f>
        <v>1</v>
      </c>
      <c r="S64" cm="1">
        <f t="array" ref="S64">INDEX($C$4:$Q$263,ROW(A61),MATCH($T$2,$C$3:$Q$3,0))</f>
        <v>204</v>
      </c>
      <c r="T64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64" cm="1">
        <f t="array" ref="U64">ABS(INDEX($C$4:$Q$263,ROW(A61),MATCH($T$2,$C$3:$Q$3,0))-INDEX($C$4:$Q$263,ROW(A60),MATCH($T$2,$C$3:$Q$3,0)))</f>
        <v>78</v>
      </c>
      <c r="V64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64">
        <f t="shared" si="0"/>
        <v>40.813595610865789</v>
      </c>
      <c r="X64">
        <f t="shared" si="1"/>
        <v>108.80449618627055</v>
      </c>
      <c r="Y64">
        <f t="shared" si="2"/>
        <v>149.61809179713634</v>
      </c>
      <c r="Z64">
        <f t="shared" si="3"/>
        <v>190.43168740800212</v>
      </c>
      <c r="AA64">
        <f t="shared" si="4"/>
        <v>272.05887862973373</v>
      </c>
      <c r="AB64">
        <f t="shared" si="5"/>
        <v>312.8724742405995</v>
      </c>
      <c r="AC64">
        <f t="shared" si="6"/>
        <v>353.68606985146528</v>
      </c>
      <c r="AD64" t="e">
        <f t="shared" si="7"/>
        <v>#N/A</v>
      </c>
      <c r="AE64">
        <f t="shared" si="14"/>
        <v>-1</v>
      </c>
      <c r="AF64" t="e">
        <f t="shared" si="8"/>
        <v>#N/A</v>
      </c>
      <c r="AG64">
        <f t="shared" si="9"/>
        <v>1</v>
      </c>
      <c r="AH64" t="e">
        <f t="shared" si="10"/>
        <v>#N/A</v>
      </c>
      <c r="AI64">
        <f t="shared" si="11"/>
        <v>-1</v>
      </c>
      <c r="AJ64" t="e">
        <f t="shared" si="12"/>
        <v>#N/A</v>
      </c>
      <c r="AK64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64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64">
        <f t="shared" si="13"/>
        <v>14.699999999999989</v>
      </c>
    </row>
    <row r="65" spans="2:39" x14ac:dyDescent="0.35">
      <c r="B65" s="12">
        <f>Demand!B67</f>
        <v>44044</v>
      </c>
      <c r="C65" s="7">
        <f>INDEX(Demand!$E$6:$S$265,MATCH('SPC Backing (Hide)'!$B65,Demand!$B$6:$B$265,0),MATCH('SPC Backing (Hide)'!C$3,Demand!$E$5:$S$5,0))</f>
        <v>242</v>
      </c>
      <c r="D65" s="5">
        <f>INDEX(Demand!$E$6:$S$265,MATCH('SPC Backing (Hide)'!$B65,Demand!$B$6:$B$265,0),MATCH('SPC Backing (Hide)'!D$3,Demand!$E$5:$S$5,0))</f>
        <v>0</v>
      </c>
      <c r="E65" s="5">
        <f>INDEX(Demand!$E$6:$S$265,MATCH('SPC Backing (Hide)'!$B65,Demand!$B$6:$B$265,0),MATCH('SPC Backing (Hide)'!E$3,Demand!$E$5:$S$5,0))</f>
        <v>0</v>
      </c>
      <c r="F65" s="5">
        <f>INDEX(Demand!$E$6:$S$265,MATCH('SPC Backing (Hide)'!$B65,Demand!$B$6:$B$265,0),MATCH('SPC Backing (Hide)'!F$3,Demand!$E$5:$S$5,0))</f>
        <v>0</v>
      </c>
      <c r="G65" s="5">
        <f>INDEX(Demand!$E$6:$S$265,MATCH('SPC Backing (Hide)'!$B65,Demand!$B$6:$B$265,0),MATCH('SPC Backing (Hide)'!G$3,Demand!$E$5:$S$5,0))</f>
        <v>0</v>
      </c>
      <c r="H65" s="5">
        <f>INDEX(Demand!$E$6:$S$265,MATCH('SPC Backing (Hide)'!$B65,Demand!$B$6:$B$265,0),MATCH('SPC Backing (Hide)'!H$3,Demand!$E$5:$S$5,0))</f>
        <v>0</v>
      </c>
      <c r="I65" s="5">
        <f>INDEX(Demand!$E$6:$S$265,MATCH('SPC Backing (Hide)'!$B65,Demand!$B$6:$B$265,0),MATCH('SPC Backing (Hide)'!I$3,Demand!$E$5:$S$5,0))</f>
        <v>0</v>
      </c>
      <c r="J65" s="5">
        <f>INDEX(Demand!$E$6:$S$265,MATCH('SPC Backing (Hide)'!$B65,Demand!$B$6:$B$265,0),MATCH('SPC Backing (Hide)'!J$3,Demand!$E$5:$S$5,0))</f>
        <v>0</v>
      </c>
      <c r="K65" s="5">
        <f>INDEX(Demand!$E$6:$S$265,MATCH('SPC Backing (Hide)'!$B65,Demand!$B$6:$B$265,0),MATCH('SPC Backing (Hide)'!K$3,Demand!$E$5:$S$5,0))</f>
        <v>0</v>
      </c>
      <c r="L65" s="5">
        <f>INDEX(Demand!$E$6:$S$265,MATCH('SPC Backing (Hide)'!$B65,Demand!$B$6:$B$265,0),MATCH('SPC Backing (Hide)'!L$3,Demand!$E$5:$S$5,0))</f>
        <v>0</v>
      </c>
      <c r="M65" s="5">
        <f>INDEX(Demand!$E$6:$S$265,MATCH('SPC Backing (Hide)'!$B65,Demand!$B$6:$B$265,0),MATCH('SPC Backing (Hide)'!M$3,Demand!$E$5:$S$5,0))</f>
        <v>0</v>
      </c>
      <c r="N65" s="5">
        <f>INDEX(Demand!$E$6:$S$265,MATCH('SPC Backing (Hide)'!$B65,Demand!$B$6:$B$265,0),MATCH('SPC Backing (Hide)'!N$3,Demand!$E$5:$S$5,0))</f>
        <v>0</v>
      </c>
      <c r="O65" s="5">
        <f>INDEX(Demand!$E$6:$S$265,MATCH('SPC Backing (Hide)'!$B65,Demand!$B$6:$B$265,0),MATCH('SPC Backing (Hide)'!O$3,Demand!$E$5:$S$5,0))</f>
        <v>0</v>
      </c>
      <c r="P65" s="5">
        <f>INDEX(Demand!$E$6:$S$265,MATCH('SPC Backing (Hide)'!$B65,Demand!$B$6:$B$265,0),MATCH('SPC Backing (Hide)'!P$3,Demand!$E$5:$S$5,0))</f>
        <v>0</v>
      </c>
      <c r="Q65" s="6">
        <f>INDEX(Demand!$E$6:$S$265,MATCH('SPC Backing (Hide)'!$B65,Demand!$B$6:$B$265,0),MATCH('SPC Backing (Hide)'!Q$3,Demand!$E$5:$S$5,0))</f>
        <v>0</v>
      </c>
      <c r="R65">
        <f>IF(SPC!$B$11="Yes",IF(ROW(A62)&gt;=Demand!$A$5-52,1,0),IF(AND(B65&gt;=SPC!$B$12,B65&lt;SPC!$B$13),1,0))</f>
        <v>1</v>
      </c>
      <c r="S65" cm="1">
        <f t="array" ref="S65">INDEX($C$4:$Q$263,ROW(A62),MATCH($T$2,$C$3:$Q$3,0))</f>
        <v>242</v>
      </c>
      <c r="T65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65" cm="1">
        <f t="array" ref="U65">ABS(INDEX($C$4:$Q$263,ROW(A62),MATCH($T$2,$C$3:$Q$3,0))-INDEX($C$4:$Q$263,ROW(A61),MATCH($T$2,$C$3:$Q$3,0)))</f>
        <v>38</v>
      </c>
      <c r="V65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65">
        <f t="shared" si="0"/>
        <v>40.813595610865789</v>
      </c>
      <c r="X65">
        <f t="shared" si="1"/>
        <v>108.80449618627055</v>
      </c>
      <c r="Y65">
        <f t="shared" si="2"/>
        <v>149.61809179713634</v>
      </c>
      <c r="Z65">
        <f t="shared" si="3"/>
        <v>190.43168740800212</v>
      </c>
      <c r="AA65">
        <f t="shared" si="4"/>
        <v>272.05887862973373</v>
      </c>
      <c r="AB65">
        <f t="shared" si="5"/>
        <v>312.8724742405995</v>
      </c>
      <c r="AC65">
        <f t="shared" si="6"/>
        <v>353.68606985146528</v>
      </c>
      <c r="AD65" t="e">
        <f t="shared" si="7"/>
        <v>#N/A</v>
      </c>
      <c r="AE65">
        <f t="shared" si="14"/>
        <v>1</v>
      </c>
      <c r="AF65" t="e">
        <f t="shared" si="8"/>
        <v>#N/A</v>
      </c>
      <c r="AG65">
        <f t="shared" si="9"/>
        <v>1</v>
      </c>
      <c r="AH65" t="e">
        <f t="shared" si="10"/>
        <v>#N/A</v>
      </c>
      <c r="AI65">
        <f t="shared" si="11"/>
        <v>1</v>
      </c>
      <c r="AJ65" t="e">
        <f t="shared" si="12"/>
        <v>#N/A</v>
      </c>
      <c r="AK65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65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65">
        <f t="shared" si="13"/>
        <v>14.699999999999989</v>
      </c>
    </row>
    <row r="66" spans="2:39" x14ac:dyDescent="0.35">
      <c r="B66" s="12">
        <f>Demand!B68</f>
        <v>44051</v>
      </c>
      <c r="C66" s="7">
        <f>INDEX(Demand!$E$6:$S$265,MATCH('SPC Backing (Hide)'!$B66,Demand!$B$6:$B$265,0),MATCH('SPC Backing (Hide)'!C$3,Demand!$E$5:$S$5,0))</f>
        <v>268</v>
      </c>
      <c r="D66" s="5">
        <f>INDEX(Demand!$E$6:$S$265,MATCH('SPC Backing (Hide)'!$B66,Demand!$B$6:$B$265,0),MATCH('SPC Backing (Hide)'!D$3,Demand!$E$5:$S$5,0))</f>
        <v>0</v>
      </c>
      <c r="E66" s="5">
        <f>INDEX(Demand!$E$6:$S$265,MATCH('SPC Backing (Hide)'!$B66,Demand!$B$6:$B$265,0),MATCH('SPC Backing (Hide)'!E$3,Demand!$E$5:$S$5,0))</f>
        <v>0</v>
      </c>
      <c r="F66" s="5">
        <f>INDEX(Demand!$E$6:$S$265,MATCH('SPC Backing (Hide)'!$B66,Demand!$B$6:$B$265,0),MATCH('SPC Backing (Hide)'!F$3,Demand!$E$5:$S$5,0))</f>
        <v>0</v>
      </c>
      <c r="G66" s="5">
        <f>INDEX(Demand!$E$6:$S$265,MATCH('SPC Backing (Hide)'!$B66,Demand!$B$6:$B$265,0),MATCH('SPC Backing (Hide)'!G$3,Demand!$E$5:$S$5,0))</f>
        <v>0</v>
      </c>
      <c r="H66" s="5">
        <f>INDEX(Demand!$E$6:$S$265,MATCH('SPC Backing (Hide)'!$B66,Demand!$B$6:$B$265,0),MATCH('SPC Backing (Hide)'!H$3,Demand!$E$5:$S$5,0))</f>
        <v>0</v>
      </c>
      <c r="I66" s="5">
        <f>INDEX(Demand!$E$6:$S$265,MATCH('SPC Backing (Hide)'!$B66,Demand!$B$6:$B$265,0),MATCH('SPC Backing (Hide)'!I$3,Demand!$E$5:$S$5,0))</f>
        <v>0</v>
      </c>
      <c r="J66" s="5">
        <f>INDEX(Demand!$E$6:$S$265,MATCH('SPC Backing (Hide)'!$B66,Demand!$B$6:$B$265,0),MATCH('SPC Backing (Hide)'!J$3,Demand!$E$5:$S$5,0))</f>
        <v>0</v>
      </c>
      <c r="K66" s="5">
        <f>INDEX(Demand!$E$6:$S$265,MATCH('SPC Backing (Hide)'!$B66,Demand!$B$6:$B$265,0),MATCH('SPC Backing (Hide)'!K$3,Demand!$E$5:$S$5,0))</f>
        <v>0</v>
      </c>
      <c r="L66" s="5">
        <f>INDEX(Demand!$E$6:$S$265,MATCH('SPC Backing (Hide)'!$B66,Demand!$B$6:$B$265,0),MATCH('SPC Backing (Hide)'!L$3,Demand!$E$5:$S$5,0))</f>
        <v>0</v>
      </c>
      <c r="M66" s="5">
        <f>INDEX(Demand!$E$6:$S$265,MATCH('SPC Backing (Hide)'!$B66,Demand!$B$6:$B$265,0),MATCH('SPC Backing (Hide)'!M$3,Demand!$E$5:$S$5,0))</f>
        <v>0</v>
      </c>
      <c r="N66" s="5">
        <f>INDEX(Demand!$E$6:$S$265,MATCH('SPC Backing (Hide)'!$B66,Demand!$B$6:$B$265,0),MATCH('SPC Backing (Hide)'!N$3,Demand!$E$5:$S$5,0))</f>
        <v>0</v>
      </c>
      <c r="O66" s="5">
        <f>INDEX(Demand!$E$6:$S$265,MATCH('SPC Backing (Hide)'!$B66,Demand!$B$6:$B$265,0),MATCH('SPC Backing (Hide)'!O$3,Demand!$E$5:$S$5,0))</f>
        <v>0</v>
      </c>
      <c r="P66" s="5">
        <f>INDEX(Demand!$E$6:$S$265,MATCH('SPC Backing (Hide)'!$B66,Demand!$B$6:$B$265,0),MATCH('SPC Backing (Hide)'!P$3,Demand!$E$5:$S$5,0))</f>
        <v>0</v>
      </c>
      <c r="Q66" s="6">
        <f>INDEX(Demand!$E$6:$S$265,MATCH('SPC Backing (Hide)'!$B66,Demand!$B$6:$B$265,0),MATCH('SPC Backing (Hide)'!Q$3,Demand!$E$5:$S$5,0))</f>
        <v>0</v>
      </c>
      <c r="R66">
        <f>IF(SPC!$B$11="Yes",IF(ROW(A63)&gt;=Demand!$A$5-52,1,0),IF(AND(B66&gt;=SPC!$B$12,B66&lt;SPC!$B$13),1,0))</f>
        <v>1</v>
      </c>
      <c r="S66" cm="1">
        <f t="array" ref="S66">INDEX($C$4:$Q$263,ROW(A63),MATCH($T$2,$C$3:$Q$3,0))</f>
        <v>268</v>
      </c>
      <c r="T66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66" cm="1">
        <f t="array" ref="U66">ABS(INDEX($C$4:$Q$263,ROW(A63),MATCH($T$2,$C$3:$Q$3,0))-INDEX($C$4:$Q$263,ROW(A62),MATCH($T$2,$C$3:$Q$3,0)))</f>
        <v>26</v>
      </c>
      <c r="V66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66">
        <f t="shared" si="0"/>
        <v>40.813595610865789</v>
      </c>
      <c r="X66">
        <f t="shared" si="1"/>
        <v>108.80449618627055</v>
      </c>
      <c r="Y66">
        <f t="shared" si="2"/>
        <v>149.61809179713634</v>
      </c>
      <c r="Z66">
        <f t="shared" si="3"/>
        <v>190.43168740800212</v>
      </c>
      <c r="AA66">
        <f t="shared" si="4"/>
        <v>272.05887862973373</v>
      </c>
      <c r="AB66">
        <f t="shared" si="5"/>
        <v>312.8724742405995</v>
      </c>
      <c r="AC66">
        <f t="shared" si="6"/>
        <v>353.68606985146528</v>
      </c>
      <c r="AD66" t="e">
        <f t="shared" si="7"/>
        <v>#N/A</v>
      </c>
      <c r="AE66">
        <f t="shared" si="14"/>
        <v>1</v>
      </c>
      <c r="AF66" t="e">
        <f t="shared" si="8"/>
        <v>#N/A</v>
      </c>
      <c r="AG66">
        <f t="shared" si="9"/>
        <v>1</v>
      </c>
      <c r="AH66" t="e">
        <f t="shared" si="10"/>
        <v>#N/A</v>
      </c>
      <c r="AI66">
        <f t="shared" si="11"/>
        <v>1</v>
      </c>
      <c r="AJ66" t="e">
        <f t="shared" si="12"/>
        <v>#N/A</v>
      </c>
      <c r="AK66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66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66">
        <f t="shared" si="13"/>
        <v>14.699999999999989</v>
      </c>
    </row>
    <row r="67" spans="2:39" x14ac:dyDescent="0.35">
      <c r="B67" s="12">
        <f>Demand!B69</f>
        <v>44058</v>
      </c>
      <c r="C67" s="7">
        <f>INDEX(Demand!$E$6:$S$265,MATCH('SPC Backing (Hide)'!$B67,Demand!$B$6:$B$265,0),MATCH('SPC Backing (Hide)'!C$3,Demand!$E$5:$S$5,0))</f>
        <v>298</v>
      </c>
      <c r="D67" s="5">
        <f>INDEX(Demand!$E$6:$S$265,MATCH('SPC Backing (Hide)'!$B67,Demand!$B$6:$B$265,0),MATCH('SPC Backing (Hide)'!D$3,Demand!$E$5:$S$5,0))</f>
        <v>0</v>
      </c>
      <c r="E67" s="5">
        <f>INDEX(Demand!$E$6:$S$265,MATCH('SPC Backing (Hide)'!$B67,Demand!$B$6:$B$265,0),MATCH('SPC Backing (Hide)'!E$3,Demand!$E$5:$S$5,0))</f>
        <v>0</v>
      </c>
      <c r="F67" s="5">
        <f>INDEX(Demand!$E$6:$S$265,MATCH('SPC Backing (Hide)'!$B67,Demand!$B$6:$B$265,0),MATCH('SPC Backing (Hide)'!F$3,Demand!$E$5:$S$5,0))</f>
        <v>0</v>
      </c>
      <c r="G67" s="5">
        <f>INDEX(Demand!$E$6:$S$265,MATCH('SPC Backing (Hide)'!$B67,Demand!$B$6:$B$265,0),MATCH('SPC Backing (Hide)'!G$3,Demand!$E$5:$S$5,0))</f>
        <v>0</v>
      </c>
      <c r="H67" s="5">
        <f>INDEX(Demand!$E$6:$S$265,MATCH('SPC Backing (Hide)'!$B67,Demand!$B$6:$B$265,0),MATCH('SPC Backing (Hide)'!H$3,Demand!$E$5:$S$5,0))</f>
        <v>0</v>
      </c>
      <c r="I67" s="5">
        <f>INDEX(Demand!$E$6:$S$265,MATCH('SPC Backing (Hide)'!$B67,Demand!$B$6:$B$265,0),MATCH('SPC Backing (Hide)'!I$3,Demand!$E$5:$S$5,0))</f>
        <v>0</v>
      </c>
      <c r="J67" s="5">
        <f>INDEX(Demand!$E$6:$S$265,MATCH('SPC Backing (Hide)'!$B67,Demand!$B$6:$B$265,0),MATCH('SPC Backing (Hide)'!J$3,Demand!$E$5:$S$5,0))</f>
        <v>0</v>
      </c>
      <c r="K67" s="5">
        <f>INDEX(Demand!$E$6:$S$265,MATCH('SPC Backing (Hide)'!$B67,Demand!$B$6:$B$265,0),MATCH('SPC Backing (Hide)'!K$3,Demand!$E$5:$S$5,0))</f>
        <v>0</v>
      </c>
      <c r="L67" s="5">
        <f>INDEX(Demand!$E$6:$S$265,MATCH('SPC Backing (Hide)'!$B67,Demand!$B$6:$B$265,0),MATCH('SPC Backing (Hide)'!L$3,Demand!$E$5:$S$5,0))</f>
        <v>0</v>
      </c>
      <c r="M67" s="5">
        <f>INDEX(Demand!$E$6:$S$265,MATCH('SPC Backing (Hide)'!$B67,Demand!$B$6:$B$265,0),MATCH('SPC Backing (Hide)'!M$3,Demand!$E$5:$S$5,0))</f>
        <v>0</v>
      </c>
      <c r="N67" s="5">
        <f>INDEX(Demand!$E$6:$S$265,MATCH('SPC Backing (Hide)'!$B67,Demand!$B$6:$B$265,0),MATCH('SPC Backing (Hide)'!N$3,Demand!$E$5:$S$5,0))</f>
        <v>0</v>
      </c>
      <c r="O67" s="5">
        <f>INDEX(Demand!$E$6:$S$265,MATCH('SPC Backing (Hide)'!$B67,Demand!$B$6:$B$265,0),MATCH('SPC Backing (Hide)'!O$3,Demand!$E$5:$S$5,0))</f>
        <v>0</v>
      </c>
      <c r="P67" s="5">
        <f>INDEX(Demand!$E$6:$S$265,MATCH('SPC Backing (Hide)'!$B67,Demand!$B$6:$B$265,0),MATCH('SPC Backing (Hide)'!P$3,Demand!$E$5:$S$5,0))</f>
        <v>0</v>
      </c>
      <c r="Q67" s="6">
        <f>INDEX(Demand!$E$6:$S$265,MATCH('SPC Backing (Hide)'!$B67,Demand!$B$6:$B$265,0),MATCH('SPC Backing (Hide)'!Q$3,Demand!$E$5:$S$5,0))</f>
        <v>0</v>
      </c>
      <c r="R67">
        <f>IF(SPC!$B$11="Yes",IF(ROW(A64)&gt;=Demand!$A$5-52,1,0),IF(AND(B67&gt;=SPC!$B$12,B67&lt;SPC!$B$13),1,0))</f>
        <v>1</v>
      </c>
      <c r="S67" cm="1">
        <f t="array" ref="S67">INDEX($C$4:$Q$263,ROW(A64),MATCH($T$2,$C$3:$Q$3,0))</f>
        <v>298</v>
      </c>
      <c r="T67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67" cm="1">
        <f t="array" ref="U67">ABS(INDEX($C$4:$Q$263,ROW(A64),MATCH($T$2,$C$3:$Q$3,0))-INDEX($C$4:$Q$263,ROW(A63),MATCH($T$2,$C$3:$Q$3,0)))</f>
        <v>30</v>
      </c>
      <c r="V67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67">
        <f t="shared" si="0"/>
        <v>40.813595610865789</v>
      </c>
      <c r="X67">
        <f t="shared" si="1"/>
        <v>108.80449618627055</v>
      </c>
      <c r="Y67">
        <f t="shared" si="2"/>
        <v>149.61809179713634</v>
      </c>
      <c r="Z67">
        <f t="shared" si="3"/>
        <v>190.43168740800212</v>
      </c>
      <c r="AA67">
        <f t="shared" si="4"/>
        <v>272.05887862973373</v>
      </c>
      <c r="AB67">
        <f t="shared" si="5"/>
        <v>312.8724742405995</v>
      </c>
      <c r="AC67">
        <f t="shared" si="6"/>
        <v>353.68606985146528</v>
      </c>
      <c r="AD67" t="e">
        <f t="shared" si="7"/>
        <v>#N/A</v>
      </c>
      <c r="AE67">
        <f t="shared" si="14"/>
        <v>1</v>
      </c>
      <c r="AF67" t="e">
        <f t="shared" si="8"/>
        <v>#N/A</v>
      </c>
      <c r="AG67">
        <f t="shared" si="9"/>
        <v>-1</v>
      </c>
      <c r="AH67" t="e">
        <f t="shared" si="10"/>
        <v>#N/A</v>
      </c>
      <c r="AI67">
        <f t="shared" si="11"/>
        <v>1</v>
      </c>
      <c r="AJ67" t="e">
        <f t="shared" si="12"/>
        <v>#N/A</v>
      </c>
      <c r="AK67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67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67">
        <f t="shared" si="13"/>
        <v>14.699999999999989</v>
      </c>
    </row>
    <row r="68" spans="2:39" x14ac:dyDescent="0.35">
      <c r="B68" s="12">
        <f>Demand!B70</f>
        <v>44065</v>
      </c>
      <c r="C68" s="7">
        <f>INDEX(Demand!$E$6:$S$265,MATCH('SPC Backing (Hide)'!$B68,Demand!$B$6:$B$265,0),MATCH('SPC Backing (Hide)'!C$3,Demand!$E$5:$S$5,0))</f>
        <v>214</v>
      </c>
      <c r="D68" s="5">
        <f>INDEX(Demand!$E$6:$S$265,MATCH('SPC Backing (Hide)'!$B68,Demand!$B$6:$B$265,0),MATCH('SPC Backing (Hide)'!D$3,Demand!$E$5:$S$5,0))</f>
        <v>0</v>
      </c>
      <c r="E68" s="5">
        <f>INDEX(Demand!$E$6:$S$265,MATCH('SPC Backing (Hide)'!$B68,Demand!$B$6:$B$265,0),MATCH('SPC Backing (Hide)'!E$3,Demand!$E$5:$S$5,0))</f>
        <v>0</v>
      </c>
      <c r="F68" s="5">
        <f>INDEX(Demand!$E$6:$S$265,MATCH('SPC Backing (Hide)'!$B68,Demand!$B$6:$B$265,0),MATCH('SPC Backing (Hide)'!F$3,Demand!$E$5:$S$5,0))</f>
        <v>0</v>
      </c>
      <c r="G68" s="5">
        <f>INDEX(Demand!$E$6:$S$265,MATCH('SPC Backing (Hide)'!$B68,Demand!$B$6:$B$265,0),MATCH('SPC Backing (Hide)'!G$3,Demand!$E$5:$S$5,0))</f>
        <v>0</v>
      </c>
      <c r="H68" s="5">
        <f>INDEX(Demand!$E$6:$S$265,MATCH('SPC Backing (Hide)'!$B68,Demand!$B$6:$B$265,0),MATCH('SPC Backing (Hide)'!H$3,Demand!$E$5:$S$5,0))</f>
        <v>0</v>
      </c>
      <c r="I68" s="5">
        <f>INDEX(Demand!$E$6:$S$265,MATCH('SPC Backing (Hide)'!$B68,Demand!$B$6:$B$265,0),MATCH('SPC Backing (Hide)'!I$3,Demand!$E$5:$S$5,0))</f>
        <v>0</v>
      </c>
      <c r="J68" s="5">
        <f>INDEX(Demand!$E$6:$S$265,MATCH('SPC Backing (Hide)'!$B68,Demand!$B$6:$B$265,0),MATCH('SPC Backing (Hide)'!J$3,Demand!$E$5:$S$5,0))</f>
        <v>0</v>
      </c>
      <c r="K68" s="5">
        <f>INDEX(Demand!$E$6:$S$265,MATCH('SPC Backing (Hide)'!$B68,Demand!$B$6:$B$265,0),MATCH('SPC Backing (Hide)'!K$3,Demand!$E$5:$S$5,0))</f>
        <v>0</v>
      </c>
      <c r="L68" s="5">
        <f>INDEX(Demand!$E$6:$S$265,MATCH('SPC Backing (Hide)'!$B68,Demand!$B$6:$B$265,0),MATCH('SPC Backing (Hide)'!L$3,Demand!$E$5:$S$5,0))</f>
        <v>0</v>
      </c>
      <c r="M68" s="5">
        <f>INDEX(Demand!$E$6:$S$265,MATCH('SPC Backing (Hide)'!$B68,Demand!$B$6:$B$265,0),MATCH('SPC Backing (Hide)'!M$3,Demand!$E$5:$S$5,0))</f>
        <v>0</v>
      </c>
      <c r="N68" s="5">
        <f>INDEX(Demand!$E$6:$S$265,MATCH('SPC Backing (Hide)'!$B68,Demand!$B$6:$B$265,0),MATCH('SPC Backing (Hide)'!N$3,Demand!$E$5:$S$5,0))</f>
        <v>0</v>
      </c>
      <c r="O68" s="5">
        <f>INDEX(Demand!$E$6:$S$265,MATCH('SPC Backing (Hide)'!$B68,Demand!$B$6:$B$265,0),MATCH('SPC Backing (Hide)'!O$3,Demand!$E$5:$S$5,0))</f>
        <v>0</v>
      </c>
      <c r="P68" s="5">
        <f>INDEX(Demand!$E$6:$S$265,MATCH('SPC Backing (Hide)'!$B68,Demand!$B$6:$B$265,0),MATCH('SPC Backing (Hide)'!P$3,Demand!$E$5:$S$5,0))</f>
        <v>0</v>
      </c>
      <c r="Q68" s="6">
        <f>INDEX(Demand!$E$6:$S$265,MATCH('SPC Backing (Hide)'!$B68,Demand!$B$6:$B$265,0),MATCH('SPC Backing (Hide)'!Q$3,Demand!$E$5:$S$5,0))</f>
        <v>0</v>
      </c>
      <c r="R68">
        <f>IF(SPC!$B$11="Yes",IF(ROW(A65)&gt;=Demand!$A$5-52,1,0),IF(AND(B68&gt;=SPC!$B$12,B68&lt;SPC!$B$13),1,0))</f>
        <v>1</v>
      </c>
      <c r="S68" cm="1">
        <f t="array" ref="S68">INDEX($C$4:$Q$263,ROW(A65),MATCH($T$2,$C$3:$Q$3,0))</f>
        <v>214</v>
      </c>
      <c r="T68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68" cm="1">
        <f t="array" ref="U68">ABS(INDEX($C$4:$Q$263,ROW(A65),MATCH($T$2,$C$3:$Q$3,0))-INDEX($C$4:$Q$263,ROW(A64),MATCH($T$2,$C$3:$Q$3,0)))</f>
        <v>84</v>
      </c>
      <c r="V68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68">
        <f t="shared" si="0"/>
        <v>40.813595610865789</v>
      </c>
      <c r="X68">
        <f t="shared" si="1"/>
        <v>108.80449618627055</v>
      </c>
      <c r="Y68">
        <f t="shared" si="2"/>
        <v>149.61809179713634</v>
      </c>
      <c r="Z68">
        <f t="shared" si="3"/>
        <v>190.43168740800212</v>
      </c>
      <c r="AA68">
        <f t="shared" si="4"/>
        <v>272.05887862973373</v>
      </c>
      <c r="AB68">
        <f t="shared" si="5"/>
        <v>312.8724742405995</v>
      </c>
      <c r="AC68">
        <f t="shared" si="6"/>
        <v>353.68606985146528</v>
      </c>
      <c r="AD68" t="e">
        <f t="shared" si="7"/>
        <v>#N/A</v>
      </c>
      <c r="AE68">
        <f t="shared" si="14"/>
        <v>-1</v>
      </c>
      <c r="AF68" t="e">
        <f t="shared" si="8"/>
        <v>#N/A</v>
      </c>
      <c r="AG68">
        <f t="shared" si="9"/>
        <v>-1</v>
      </c>
      <c r="AH68" t="e">
        <f t="shared" si="10"/>
        <v>#N/A</v>
      </c>
      <c r="AI68">
        <f t="shared" si="11"/>
        <v>-1</v>
      </c>
      <c r="AJ68" t="e">
        <f t="shared" si="12"/>
        <v>#N/A</v>
      </c>
      <c r="AK68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68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68">
        <f t="shared" si="13"/>
        <v>14.699999999999989</v>
      </c>
    </row>
    <row r="69" spans="2:39" x14ac:dyDescent="0.35">
      <c r="B69" s="12">
        <f>Demand!B71</f>
        <v>44072</v>
      </c>
      <c r="C69" s="7">
        <f>INDEX(Demand!$E$6:$S$265,MATCH('SPC Backing (Hide)'!$B69,Demand!$B$6:$B$265,0),MATCH('SPC Backing (Hide)'!C$3,Demand!$E$5:$S$5,0))</f>
        <v>204</v>
      </c>
      <c r="D69" s="5">
        <f>INDEX(Demand!$E$6:$S$265,MATCH('SPC Backing (Hide)'!$B69,Demand!$B$6:$B$265,0),MATCH('SPC Backing (Hide)'!D$3,Demand!$E$5:$S$5,0))</f>
        <v>0</v>
      </c>
      <c r="E69" s="5">
        <f>INDEX(Demand!$E$6:$S$265,MATCH('SPC Backing (Hide)'!$B69,Demand!$B$6:$B$265,0),MATCH('SPC Backing (Hide)'!E$3,Demand!$E$5:$S$5,0))</f>
        <v>0</v>
      </c>
      <c r="F69" s="5">
        <f>INDEX(Demand!$E$6:$S$265,MATCH('SPC Backing (Hide)'!$B69,Demand!$B$6:$B$265,0),MATCH('SPC Backing (Hide)'!F$3,Demand!$E$5:$S$5,0))</f>
        <v>0</v>
      </c>
      <c r="G69" s="5">
        <f>INDEX(Demand!$E$6:$S$265,MATCH('SPC Backing (Hide)'!$B69,Demand!$B$6:$B$265,0),MATCH('SPC Backing (Hide)'!G$3,Demand!$E$5:$S$5,0))</f>
        <v>0</v>
      </c>
      <c r="H69" s="5">
        <f>INDEX(Demand!$E$6:$S$265,MATCH('SPC Backing (Hide)'!$B69,Demand!$B$6:$B$265,0),MATCH('SPC Backing (Hide)'!H$3,Demand!$E$5:$S$5,0))</f>
        <v>0</v>
      </c>
      <c r="I69" s="5">
        <f>INDEX(Demand!$E$6:$S$265,MATCH('SPC Backing (Hide)'!$B69,Demand!$B$6:$B$265,0),MATCH('SPC Backing (Hide)'!I$3,Demand!$E$5:$S$5,0))</f>
        <v>0</v>
      </c>
      <c r="J69" s="5">
        <f>INDEX(Demand!$E$6:$S$265,MATCH('SPC Backing (Hide)'!$B69,Demand!$B$6:$B$265,0),MATCH('SPC Backing (Hide)'!J$3,Demand!$E$5:$S$5,0))</f>
        <v>0</v>
      </c>
      <c r="K69" s="5">
        <f>INDEX(Demand!$E$6:$S$265,MATCH('SPC Backing (Hide)'!$B69,Demand!$B$6:$B$265,0),MATCH('SPC Backing (Hide)'!K$3,Demand!$E$5:$S$5,0))</f>
        <v>0</v>
      </c>
      <c r="L69" s="5">
        <f>INDEX(Demand!$E$6:$S$265,MATCH('SPC Backing (Hide)'!$B69,Demand!$B$6:$B$265,0),MATCH('SPC Backing (Hide)'!L$3,Demand!$E$5:$S$5,0))</f>
        <v>0</v>
      </c>
      <c r="M69" s="5">
        <f>INDEX(Demand!$E$6:$S$265,MATCH('SPC Backing (Hide)'!$B69,Demand!$B$6:$B$265,0),MATCH('SPC Backing (Hide)'!M$3,Demand!$E$5:$S$5,0))</f>
        <v>0</v>
      </c>
      <c r="N69" s="5">
        <f>INDEX(Demand!$E$6:$S$265,MATCH('SPC Backing (Hide)'!$B69,Demand!$B$6:$B$265,0),MATCH('SPC Backing (Hide)'!N$3,Demand!$E$5:$S$5,0))</f>
        <v>0</v>
      </c>
      <c r="O69" s="5">
        <f>INDEX(Demand!$E$6:$S$265,MATCH('SPC Backing (Hide)'!$B69,Demand!$B$6:$B$265,0),MATCH('SPC Backing (Hide)'!O$3,Demand!$E$5:$S$5,0))</f>
        <v>0</v>
      </c>
      <c r="P69" s="5">
        <f>INDEX(Demand!$E$6:$S$265,MATCH('SPC Backing (Hide)'!$B69,Demand!$B$6:$B$265,0),MATCH('SPC Backing (Hide)'!P$3,Demand!$E$5:$S$5,0))</f>
        <v>0</v>
      </c>
      <c r="Q69" s="6">
        <f>INDEX(Demand!$E$6:$S$265,MATCH('SPC Backing (Hide)'!$B69,Demand!$B$6:$B$265,0),MATCH('SPC Backing (Hide)'!Q$3,Demand!$E$5:$S$5,0))</f>
        <v>0</v>
      </c>
      <c r="R69">
        <f>IF(SPC!$B$11="Yes",IF(ROW(A66)&gt;=Demand!$A$5-52,1,0),IF(AND(B69&gt;=SPC!$B$12,B69&lt;SPC!$B$13),1,0))</f>
        <v>1</v>
      </c>
      <c r="S69" cm="1">
        <f t="array" ref="S69">INDEX($C$4:$Q$263,ROW(A66),MATCH($T$2,$C$3:$Q$3,0))</f>
        <v>204</v>
      </c>
      <c r="T69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69" cm="1">
        <f t="array" ref="U69">ABS(INDEX($C$4:$Q$263,ROW(A66),MATCH($T$2,$C$3:$Q$3,0))-INDEX($C$4:$Q$263,ROW(A65),MATCH($T$2,$C$3:$Q$3,0)))</f>
        <v>10</v>
      </c>
      <c r="V69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69">
        <f t="shared" ref="W69:W132" si="15">V69/1.128</f>
        <v>40.813595610865789</v>
      </c>
      <c r="X69">
        <f t="shared" ref="X69:X132" si="16">MAX(0,T69-(3*W69))</f>
        <v>108.80449618627055</v>
      </c>
      <c r="Y69">
        <f t="shared" ref="Y69:Y132" si="17">MAX(0,T69-(2*W69))</f>
        <v>149.61809179713634</v>
      </c>
      <c r="Z69">
        <f t="shared" ref="Z69:Z132" si="18">MAX(0,T69-W69)</f>
        <v>190.43168740800212</v>
      </c>
      <c r="AA69">
        <f t="shared" ref="AA69:AA132" si="19">T69+W69</f>
        <v>272.05887862973373</v>
      </c>
      <c r="AB69">
        <f t="shared" ref="AB69:AB132" si="20">T69+(2*W69)</f>
        <v>312.8724742405995</v>
      </c>
      <c r="AC69">
        <f t="shared" ref="AC69:AC132" si="21">T69+(3*W69)</f>
        <v>353.68606985146528</v>
      </c>
      <c r="AD69" t="e">
        <f t="shared" ref="AD69:AD132" si="22">IF(OR(S69&gt;AC69,S69&lt;X69),S69,NA())</f>
        <v>#N/A</v>
      </c>
      <c r="AE69">
        <f t="shared" si="14"/>
        <v>-1</v>
      </c>
      <c r="AF69" t="e">
        <f t="shared" ref="AF69:AF132" si="23">IF(ABS(SUM(AE69:AE71))&gt;=5,S69,NA())</f>
        <v>#N/A</v>
      </c>
      <c r="AG69">
        <f t="shared" ref="AG69:AG132" si="24">IF(S70&gt;S69,1,IF(S70&lt;S69,-1,0))</f>
        <v>1</v>
      </c>
      <c r="AH69" t="e">
        <f t="shared" ref="AH69:AH132" si="25">IF(ABS(SUM(AG69:AG74))=6,S69,NA())</f>
        <v>#N/A</v>
      </c>
      <c r="AI69">
        <f t="shared" ref="AI69:AI132" si="26">IF(S69&lt;T69,-1,IF(S69&gt;T69,1,0))</f>
        <v>-1</v>
      </c>
      <c r="AJ69" t="e">
        <f t="shared" ref="AJ69:AJ132" si="27">IF(ABS(SUM(AI69:AI77))=9,S69,NA())</f>
        <v>#N/A</v>
      </c>
      <c r="AK69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69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69">
        <f t="shared" ref="AM69:AM132" si="28">AL69-AK69</f>
        <v>14.699999999999989</v>
      </c>
    </row>
    <row r="70" spans="2:39" x14ac:dyDescent="0.35">
      <c r="B70" s="12">
        <f>Demand!B72</f>
        <v>44079</v>
      </c>
      <c r="C70" s="7">
        <f>INDEX(Demand!$E$6:$S$265,MATCH('SPC Backing (Hide)'!$B70,Demand!$B$6:$B$265,0),MATCH('SPC Backing (Hide)'!C$3,Demand!$E$5:$S$5,0))</f>
        <v>254</v>
      </c>
      <c r="D70" s="5">
        <f>INDEX(Demand!$E$6:$S$265,MATCH('SPC Backing (Hide)'!$B70,Demand!$B$6:$B$265,0),MATCH('SPC Backing (Hide)'!D$3,Demand!$E$5:$S$5,0))</f>
        <v>0</v>
      </c>
      <c r="E70" s="5">
        <f>INDEX(Demand!$E$6:$S$265,MATCH('SPC Backing (Hide)'!$B70,Demand!$B$6:$B$265,0),MATCH('SPC Backing (Hide)'!E$3,Demand!$E$5:$S$5,0))</f>
        <v>0</v>
      </c>
      <c r="F70" s="5">
        <f>INDEX(Demand!$E$6:$S$265,MATCH('SPC Backing (Hide)'!$B70,Demand!$B$6:$B$265,0),MATCH('SPC Backing (Hide)'!F$3,Demand!$E$5:$S$5,0))</f>
        <v>0</v>
      </c>
      <c r="G70" s="5">
        <f>INDEX(Demand!$E$6:$S$265,MATCH('SPC Backing (Hide)'!$B70,Demand!$B$6:$B$265,0),MATCH('SPC Backing (Hide)'!G$3,Demand!$E$5:$S$5,0))</f>
        <v>0</v>
      </c>
      <c r="H70" s="5">
        <f>INDEX(Demand!$E$6:$S$265,MATCH('SPC Backing (Hide)'!$B70,Demand!$B$6:$B$265,0),MATCH('SPC Backing (Hide)'!H$3,Demand!$E$5:$S$5,0))</f>
        <v>0</v>
      </c>
      <c r="I70" s="5">
        <f>INDEX(Demand!$E$6:$S$265,MATCH('SPC Backing (Hide)'!$B70,Demand!$B$6:$B$265,0),MATCH('SPC Backing (Hide)'!I$3,Demand!$E$5:$S$5,0))</f>
        <v>0</v>
      </c>
      <c r="J70" s="5">
        <f>INDEX(Demand!$E$6:$S$265,MATCH('SPC Backing (Hide)'!$B70,Demand!$B$6:$B$265,0),MATCH('SPC Backing (Hide)'!J$3,Demand!$E$5:$S$5,0))</f>
        <v>0</v>
      </c>
      <c r="K70" s="5">
        <f>INDEX(Demand!$E$6:$S$265,MATCH('SPC Backing (Hide)'!$B70,Demand!$B$6:$B$265,0),MATCH('SPC Backing (Hide)'!K$3,Demand!$E$5:$S$5,0))</f>
        <v>0</v>
      </c>
      <c r="L70" s="5">
        <f>INDEX(Demand!$E$6:$S$265,MATCH('SPC Backing (Hide)'!$B70,Demand!$B$6:$B$265,0),MATCH('SPC Backing (Hide)'!L$3,Demand!$E$5:$S$5,0))</f>
        <v>0</v>
      </c>
      <c r="M70" s="5">
        <f>INDEX(Demand!$E$6:$S$265,MATCH('SPC Backing (Hide)'!$B70,Demand!$B$6:$B$265,0),MATCH('SPC Backing (Hide)'!M$3,Demand!$E$5:$S$5,0))</f>
        <v>0</v>
      </c>
      <c r="N70" s="5">
        <f>INDEX(Demand!$E$6:$S$265,MATCH('SPC Backing (Hide)'!$B70,Demand!$B$6:$B$265,0),MATCH('SPC Backing (Hide)'!N$3,Demand!$E$5:$S$5,0))</f>
        <v>0</v>
      </c>
      <c r="O70" s="5">
        <f>INDEX(Demand!$E$6:$S$265,MATCH('SPC Backing (Hide)'!$B70,Demand!$B$6:$B$265,0),MATCH('SPC Backing (Hide)'!O$3,Demand!$E$5:$S$5,0))</f>
        <v>0</v>
      </c>
      <c r="P70" s="5">
        <f>INDEX(Demand!$E$6:$S$265,MATCH('SPC Backing (Hide)'!$B70,Demand!$B$6:$B$265,0),MATCH('SPC Backing (Hide)'!P$3,Demand!$E$5:$S$5,0))</f>
        <v>0</v>
      </c>
      <c r="Q70" s="6">
        <f>INDEX(Demand!$E$6:$S$265,MATCH('SPC Backing (Hide)'!$B70,Demand!$B$6:$B$265,0),MATCH('SPC Backing (Hide)'!Q$3,Demand!$E$5:$S$5,0))</f>
        <v>0</v>
      </c>
      <c r="R70">
        <f>IF(SPC!$B$11="Yes",IF(ROW(A67)&gt;=Demand!$A$5-52,1,0),IF(AND(B70&gt;=SPC!$B$12,B70&lt;SPC!$B$13),1,0))</f>
        <v>1</v>
      </c>
      <c r="S70" cm="1">
        <f t="array" ref="S70">INDEX($C$4:$Q$263,ROW(A67),MATCH($T$2,$C$3:$Q$3,0))</f>
        <v>254</v>
      </c>
      <c r="T70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70" cm="1">
        <f t="array" ref="U70">ABS(INDEX($C$4:$Q$263,ROW(A67),MATCH($T$2,$C$3:$Q$3,0))-INDEX($C$4:$Q$263,ROW(A66),MATCH($T$2,$C$3:$Q$3,0)))</f>
        <v>50</v>
      </c>
      <c r="V70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70">
        <f t="shared" si="15"/>
        <v>40.813595610865789</v>
      </c>
      <c r="X70">
        <f t="shared" si="16"/>
        <v>108.80449618627055</v>
      </c>
      <c r="Y70">
        <f t="shared" si="17"/>
        <v>149.61809179713634</v>
      </c>
      <c r="Z70">
        <f t="shared" si="18"/>
        <v>190.43168740800212</v>
      </c>
      <c r="AA70">
        <f t="shared" si="19"/>
        <v>272.05887862973373</v>
      </c>
      <c r="AB70">
        <f t="shared" si="20"/>
        <v>312.8724742405995</v>
      </c>
      <c r="AC70">
        <f t="shared" si="21"/>
        <v>353.68606985146528</v>
      </c>
      <c r="AD70" t="e">
        <f t="shared" si="22"/>
        <v>#N/A</v>
      </c>
      <c r="AE70">
        <f t="shared" ref="AE70:AE133" si="29">IF(S70&gt;AB70,2,IF(S70&lt;Y70,-2,IF(S70&gt;T70,1,IF(S70&lt;T70,-1,0))))</f>
        <v>1</v>
      </c>
      <c r="AF70" t="e">
        <f t="shared" si="23"/>
        <v>#N/A</v>
      </c>
      <c r="AG70">
        <f t="shared" si="24"/>
        <v>-1</v>
      </c>
      <c r="AH70" t="e">
        <f t="shared" si="25"/>
        <v>#N/A</v>
      </c>
      <c r="AI70">
        <f t="shared" si="26"/>
        <v>1</v>
      </c>
      <c r="AJ70" t="e">
        <f t="shared" si="27"/>
        <v>#N/A</v>
      </c>
      <c r="AK70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70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70">
        <f t="shared" si="28"/>
        <v>14.699999999999989</v>
      </c>
    </row>
    <row r="71" spans="2:39" x14ac:dyDescent="0.35">
      <c r="B71" s="12">
        <f>Demand!B73</f>
        <v>44086</v>
      </c>
      <c r="C71" s="7">
        <f>INDEX(Demand!$E$6:$S$265,MATCH('SPC Backing (Hide)'!$B71,Demand!$B$6:$B$265,0),MATCH('SPC Backing (Hide)'!C$3,Demand!$E$5:$S$5,0))</f>
        <v>246</v>
      </c>
      <c r="D71" s="5">
        <f>INDEX(Demand!$E$6:$S$265,MATCH('SPC Backing (Hide)'!$B71,Demand!$B$6:$B$265,0),MATCH('SPC Backing (Hide)'!D$3,Demand!$E$5:$S$5,0))</f>
        <v>0</v>
      </c>
      <c r="E71" s="5">
        <f>INDEX(Demand!$E$6:$S$265,MATCH('SPC Backing (Hide)'!$B71,Demand!$B$6:$B$265,0),MATCH('SPC Backing (Hide)'!E$3,Demand!$E$5:$S$5,0))</f>
        <v>0</v>
      </c>
      <c r="F71" s="5">
        <f>INDEX(Demand!$E$6:$S$265,MATCH('SPC Backing (Hide)'!$B71,Demand!$B$6:$B$265,0),MATCH('SPC Backing (Hide)'!F$3,Demand!$E$5:$S$5,0))</f>
        <v>0</v>
      </c>
      <c r="G71" s="5">
        <f>INDEX(Demand!$E$6:$S$265,MATCH('SPC Backing (Hide)'!$B71,Demand!$B$6:$B$265,0),MATCH('SPC Backing (Hide)'!G$3,Demand!$E$5:$S$5,0))</f>
        <v>0</v>
      </c>
      <c r="H71" s="5">
        <f>INDEX(Demand!$E$6:$S$265,MATCH('SPC Backing (Hide)'!$B71,Demand!$B$6:$B$265,0),MATCH('SPC Backing (Hide)'!H$3,Demand!$E$5:$S$5,0))</f>
        <v>0</v>
      </c>
      <c r="I71" s="5">
        <f>INDEX(Demand!$E$6:$S$265,MATCH('SPC Backing (Hide)'!$B71,Demand!$B$6:$B$265,0),MATCH('SPC Backing (Hide)'!I$3,Demand!$E$5:$S$5,0))</f>
        <v>0</v>
      </c>
      <c r="J71" s="5">
        <f>INDEX(Demand!$E$6:$S$265,MATCH('SPC Backing (Hide)'!$B71,Demand!$B$6:$B$265,0),MATCH('SPC Backing (Hide)'!J$3,Demand!$E$5:$S$5,0))</f>
        <v>0</v>
      </c>
      <c r="K71" s="5">
        <f>INDEX(Demand!$E$6:$S$265,MATCH('SPC Backing (Hide)'!$B71,Demand!$B$6:$B$265,0),MATCH('SPC Backing (Hide)'!K$3,Demand!$E$5:$S$5,0))</f>
        <v>0</v>
      </c>
      <c r="L71" s="5">
        <f>INDEX(Demand!$E$6:$S$265,MATCH('SPC Backing (Hide)'!$B71,Demand!$B$6:$B$265,0),MATCH('SPC Backing (Hide)'!L$3,Demand!$E$5:$S$5,0))</f>
        <v>0</v>
      </c>
      <c r="M71" s="5">
        <f>INDEX(Demand!$E$6:$S$265,MATCH('SPC Backing (Hide)'!$B71,Demand!$B$6:$B$265,0),MATCH('SPC Backing (Hide)'!M$3,Demand!$E$5:$S$5,0))</f>
        <v>0</v>
      </c>
      <c r="N71" s="5">
        <f>INDEX(Demand!$E$6:$S$265,MATCH('SPC Backing (Hide)'!$B71,Demand!$B$6:$B$265,0),MATCH('SPC Backing (Hide)'!N$3,Demand!$E$5:$S$5,0))</f>
        <v>0</v>
      </c>
      <c r="O71" s="5">
        <f>INDEX(Demand!$E$6:$S$265,MATCH('SPC Backing (Hide)'!$B71,Demand!$B$6:$B$265,0),MATCH('SPC Backing (Hide)'!O$3,Demand!$E$5:$S$5,0))</f>
        <v>0</v>
      </c>
      <c r="P71" s="5">
        <f>INDEX(Demand!$E$6:$S$265,MATCH('SPC Backing (Hide)'!$B71,Demand!$B$6:$B$265,0),MATCH('SPC Backing (Hide)'!P$3,Demand!$E$5:$S$5,0))</f>
        <v>0</v>
      </c>
      <c r="Q71" s="6">
        <f>INDEX(Demand!$E$6:$S$265,MATCH('SPC Backing (Hide)'!$B71,Demand!$B$6:$B$265,0),MATCH('SPC Backing (Hide)'!Q$3,Demand!$E$5:$S$5,0))</f>
        <v>0</v>
      </c>
      <c r="R71">
        <f>IF(SPC!$B$11="Yes",IF(ROW(A68)&gt;=Demand!$A$5-52,1,0),IF(AND(B71&gt;=SPC!$B$12,B71&lt;SPC!$B$13),1,0))</f>
        <v>1</v>
      </c>
      <c r="S71" cm="1">
        <f t="array" ref="S71">INDEX($C$4:$Q$263,ROW(A68),MATCH($T$2,$C$3:$Q$3,0))</f>
        <v>246</v>
      </c>
      <c r="T71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71" cm="1">
        <f t="array" ref="U71">ABS(INDEX($C$4:$Q$263,ROW(A68),MATCH($T$2,$C$3:$Q$3,0))-INDEX($C$4:$Q$263,ROW(A67),MATCH($T$2,$C$3:$Q$3,0)))</f>
        <v>8</v>
      </c>
      <c r="V71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71">
        <f t="shared" si="15"/>
        <v>40.813595610865789</v>
      </c>
      <c r="X71">
        <f t="shared" si="16"/>
        <v>108.80449618627055</v>
      </c>
      <c r="Y71">
        <f t="shared" si="17"/>
        <v>149.61809179713634</v>
      </c>
      <c r="Z71">
        <f t="shared" si="18"/>
        <v>190.43168740800212</v>
      </c>
      <c r="AA71">
        <f t="shared" si="19"/>
        <v>272.05887862973373</v>
      </c>
      <c r="AB71">
        <f t="shared" si="20"/>
        <v>312.8724742405995</v>
      </c>
      <c r="AC71">
        <f t="shared" si="21"/>
        <v>353.68606985146528</v>
      </c>
      <c r="AD71" t="e">
        <f t="shared" si="22"/>
        <v>#N/A</v>
      </c>
      <c r="AE71">
        <f t="shared" si="29"/>
        <v>1</v>
      </c>
      <c r="AF71" t="e">
        <f t="shared" si="23"/>
        <v>#N/A</v>
      </c>
      <c r="AG71">
        <f t="shared" si="24"/>
        <v>-1</v>
      </c>
      <c r="AH71" t="e">
        <f t="shared" si="25"/>
        <v>#N/A</v>
      </c>
      <c r="AI71">
        <f t="shared" si="26"/>
        <v>1</v>
      </c>
      <c r="AJ71" t="e">
        <f t="shared" si="27"/>
        <v>#N/A</v>
      </c>
      <c r="AK71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71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71">
        <f t="shared" si="28"/>
        <v>14.699999999999989</v>
      </c>
    </row>
    <row r="72" spans="2:39" x14ac:dyDescent="0.35">
      <c r="B72" s="12">
        <f>Demand!B74</f>
        <v>44093</v>
      </c>
      <c r="C72" s="7">
        <f>INDEX(Demand!$E$6:$S$265,MATCH('SPC Backing (Hide)'!$B72,Demand!$B$6:$B$265,0),MATCH('SPC Backing (Hide)'!C$3,Demand!$E$5:$S$5,0))</f>
        <v>244</v>
      </c>
      <c r="D72" s="5">
        <f>INDEX(Demand!$E$6:$S$265,MATCH('SPC Backing (Hide)'!$B72,Demand!$B$6:$B$265,0),MATCH('SPC Backing (Hide)'!D$3,Demand!$E$5:$S$5,0))</f>
        <v>0</v>
      </c>
      <c r="E72" s="5">
        <f>INDEX(Demand!$E$6:$S$265,MATCH('SPC Backing (Hide)'!$B72,Demand!$B$6:$B$265,0),MATCH('SPC Backing (Hide)'!E$3,Demand!$E$5:$S$5,0))</f>
        <v>0</v>
      </c>
      <c r="F72" s="5">
        <f>INDEX(Demand!$E$6:$S$265,MATCH('SPC Backing (Hide)'!$B72,Demand!$B$6:$B$265,0),MATCH('SPC Backing (Hide)'!F$3,Demand!$E$5:$S$5,0))</f>
        <v>0</v>
      </c>
      <c r="G72" s="5">
        <f>INDEX(Demand!$E$6:$S$265,MATCH('SPC Backing (Hide)'!$B72,Demand!$B$6:$B$265,0),MATCH('SPC Backing (Hide)'!G$3,Demand!$E$5:$S$5,0))</f>
        <v>0</v>
      </c>
      <c r="H72" s="5">
        <f>INDEX(Demand!$E$6:$S$265,MATCH('SPC Backing (Hide)'!$B72,Demand!$B$6:$B$265,0),MATCH('SPC Backing (Hide)'!H$3,Demand!$E$5:$S$5,0))</f>
        <v>0</v>
      </c>
      <c r="I72" s="5">
        <f>INDEX(Demand!$E$6:$S$265,MATCH('SPC Backing (Hide)'!$B72,Demand!$B$6:$B$265,0),MATCH('SPC Backing (Hide)'!I$3,Demand!$E$5:$S$5,0))</f>
        <v>0</v>
      </c>
      <c r="J72" s="5">
        <f>INDEX(Demand!$E$6:$S$265,MATCH('SPC Backing (Hide)'!$B72,Demand!$B$6:$B$265,0),MATCH('SPC Backing (Hide)'!J$3,Demand!$E$5:$S$5,0))</f>
        <v>0</v>
      </c>
      <c r="K72" s="5">
        <f>INDEX(Demand!$E$6:$S$265,MATCH('SPC Backing (Hide)'!$B72,Demand!$B$6:$B$265,0),MATCH('SPC Backing (Hide)'!K$3,Demand!$E$5:$S$5,0))</f>
        <v>0</v>
      </c>
      <c r="L72" s="5">
        <f>INDEX(Demand!$E$6:$S$265,MATCH('SPC Backing (Hide)'!$B72,Demand!$B$6:$B$265,0),MATCH('SPC Backing (Hide)'!L$3,Demand!$E$5:$S$5,0))</f>
        <v>0</v>
      </c>
      <c r="M72" s="5">
        <f>INDEX(Demand!$E$6:$S$265,MATCH('SPC Backing (Hide)'!$B72,Demand!$B$6:$B$265,0),MATCH('SPC Backing (Hide)'!M$3,Demand!$E$5:$S$5,0))</f>
        <v>0</v>
      </c>
      <c r="N72" s="5">
        <f>INDEX(Demand!$E$6:$S$265,MATCH('SPC Backing (Hide)'!$B72,Demand!$B$6:$B$265,0),MATCH('SPC Backing (Hide)'!N$3,Demand!$E$5:$S$5,0))</f>
        <v>0</v>
      </c>
      <c r="O72" s="5">
        <f>INDEX(Demand!$E$6:$S$265,MATCH('SPC Backing (Hide)'!$B72,Demand!$B$6:$B$265,0),MATCH('SPC Backing (Hide)'!O$3,Demand!$E$5:$S$5,0))</f>
        <v>0</v>
      </c>
      <c r="P72" s="5">
        <f>INDEX(Demand!$E$6:$S$265,MATCH('SPC Backing (Hide)'!$B72,Demand!$B$6:$B$265,0),MATCH('SPC Backing (Hide)'!P$3,Demand!$E$5:$S$5,0))</f>
        <v>0</v>
      </c>
      <c r="Q72" s="6">
        <f>INDEX(Demand!$E$6:$S$265,MATCH('SPC Backing (Hide)'!$B72,Demand!$B$6:$B$265,0),MATCH('SPC Backing (Hide)'!Q$3,Demand!$E$5:$S$5,0))</f>
        <v>0</v>
      </c>
      <c r="R72">
        <f>IF(SPC!$B$11="Yes",IF(ROW(A69)&gt;=Demand!$A$5-52,1,0),IF(AND(B72&gt;=SPC!$B$12,B72&lt;SPC!$B$13),1,0))</f>
        <v>1</v>
      </c>
      <c r="S72" cm="1">
        <f t="array" ref="S72">INDEX($C$4:$Q$263,ROW(A69),MATCH($T$2,$C$3:$Q$3,0))</f>
        <v>244</v>
      </c>
      <c r="T72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72" cm="1">
        <f t="array" ref="U72">ABS(INDEX($C$4:$Q$263,ROW(A69),MATCH($T$2,$C$3:$Q$3,0))-INDEX($C$4:$Q$263,ROW(A68),MATCH($T$2,$C$3:$Q$3,0)))</f>
        <v>2</v>
      </c>
      <c r="V72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72">
        <f t="shared" si="15"/>
        <v>40.813595610865789</v>
      </c>
      <c r="X72">
        <f t="shared" si="16"/>
        <v>108.80449618627055</v>
      </c>
      <c r="Y72">
        <f t="shared" si="17"/>
        <v>149.61809179713634</v>
      </c>
      <c r="Z72">
        <f t="shared" si="18"/>
        <v>190.43168740800212</v>
      </c>
      <c r="AA72">
        <f t="shared" si="19"/>
        <v>272.05887862973373</v>
      </c>
      <c r="AB72">
        <f t="shared" si="20"/>
        <v>312.8724742405995</v>
      </c>
      <c r="AC72">
        <f t="shared" si="21"/>
        <v>353.68606985146528</v>
      </c>
      <c r="AD72" t="e">
        <f t="shared" si="22"/>
        <v>#N/A</v>
      </c>
      <c r="AE72">
        <f t="shared" si="29"/>
        <v>1</v>
      </c>
      <c r="AF72" t="e">
        <f t="shared" si="23"/>
        <v>#N/A</v>
      </c>
      <c r="AG72">
        <f t="shared" si="24"/>
        <v>0</v>
      </c>
      <c r="AH72" t="e">
        <f t="shared" si="25"/>
        <v>#N/A</v>
      </c>
      <c r="AI72">
        <f t="shared" si="26"/>
        <v>1</v>
      </c>
      <c r="AJ72" t="e">
        <f t="shared" si="27"/>
        <v>#N/A</v>
      </c>
      <c r="AK72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72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72">
        <f t="shared" si="28"/>
        <v>14.699999999999989</v>
      </c>
    </row>
    <row r="73" spans="2:39" x14ac:dyDescent="0.35">
      <c r="B73" s="12">
        <f>Demand!B75</f>
        <v>44100</v>
      </c>
      <c r="C73" s="7">
        <f>INDEX(Demand!$E$6:$S$265,MATCH('SPC Backing (Hide)'!$B73,Demand!$B$6:$B$265,0),MATCH('SPC Backing (Hide)'!C$3,Demand!$E$5:$S$5,0))</f>
        <v>244</v>
      </c>
      <c r="D73" s="5">
        <f>INDEX(Demand!$E$6:$S$265,MATCH('SPC Backing (Hide)'!$B73,Demand!$B$6:$B$265,0),MATCH('SPC Backing (Hide)'!D$3,Demand!$E$5:$S$5,0))</f>
        <v>0</v>
      </c>
      <c r="E73" s="5">
        <f>INDEX(Demand!$E$6:$S$265,MATCH('SPC Backing (Hide)'!$B73,Demand!$B$6:$B$265,0),MATCH('SPC Backing (Hide)'!E$3,Demand!$E$5:$S$5,0))</f>
        <v>0</v>
      </c>
      <c r="F73" s="5">
        <f>INDEX(Demand!$E$6:$S$265,MATCH('SPC Backing (Hide)'!$B73,Demand!$B$6:$B$265,0),MATCH('SPC Backing (Hide)'!F$3,Demand!$E$5:$S$5,0))</f>
        <v>0</v>
      </c>
      <c r="G73" s="5">
        <f>INDEX(Demand!$E$6:$S$265,MATCH('SPC Backing (Hide)'!$B73,Demand!$B$6:$B$265,0),MATCH('SPC Backing (Hide)'!G$3,Demand!$E$5:$S$5,0))</f>
        <v>0</v>
      </c>
      <c r="H73" s="5">
        <f>INDEX(Demand!$E$6:$S$265,MATCH('SPC Backing (Hide)'!$B73,Demand!$B$6:$B$265,0),MATCH('SPC Backing (Hide)'!H$3,Demand!$E$5:$S$5,0))</f>
        <v>0</v>
      </c>
      <c r="I73" s="5">
        <f>INDEX(Demand!$E$6:$S$265,MATCH('SPC Backing (Hide)'!$B73,Demand!$B$6:$B$265,0),MATCH('SPC Backing (Hide)'!I$3,Demand!$E$5:$S$5,0))</f>
        <v>0</v>
      </c>
      <c r="J73" s="5">
        <f>INDEX(Demand!$E$6:$S$265,MATCH('SPC Backing (Hide)'!$B73,Demand!$B$6:$B$265,0),MATCH('SPC Backing (Hide)'!J$3,Demand!$E$5:$S$5,0))</f>
        <v>0</v>
      </c>
      <c r="K73" s="5">
        <f>INDEX(Demand!$E$6:$S$265,MATCH('SPC Backing (Hide)'!$B73,Demand!$B$6:$B$265,0),MATCH('SPC Backing (Hide)'!K$3,Demand!$E$5:$S$5,0))</f>
        <v>0</v>
      </c>
      <c r="L73" s="5">
        <f>INDEX(Demand!$E$6:$S$265,MATCH('SPC Backing (Hide)'!$B73,Demand!$B$6:$B$265,0),MATCH('SPC Backing (Hide)'!L$3,Demand!$E$5:$S$5,0))</f>
        <v>0</v>
      </c>
      <c r="M73" s="5">
        <f>INDEX(Demand!$E$6:$S$265,MATCH('SPC Backing (Hide)'!$B73,Demand!$B$6:$B$265,0),MATCH('SPC Backing (Hide)'!M$3,Demand!$E$5:$S$5,0))</f>
        <v>0</v>
      </c>
      <c r="N73" s="5">
        <f>INDEX(Demand!$E$6:$S$265,MATCH('SPC Backing (Hide)'!$B73,Demand!$B$6:$B$265,0),MATCH('SPC Backing (Hide)'!N$3,Demand!$E$5:$S$5,0))</f>
        <v>0</v>
      </c>
      <c r="O73" s="5">
        <f>INDEX(Demand!$E$6:$S$265,MATCH('SPC Backing (Hide)'!$B73,Demand!$B$6:$B$265,0),MATCH('SPC Backing (Hide)'!O$3,Demand!$E$5:$S$5,0))</f>
        <v>0</v>
      </c>
      <c r="P73" s="5">
        <f>INDEX(Demand!$E$6:$S$265,MATCH('SPC Backing (Hide)'!$B73,Demand!$B$6:$B$265,0),MATCH('SPC Backing (Hide)'!P$3,Demand!$E$5:$S$5,0))</f>
        <v>0</v>
      </c>
      <c r="Q73" s="6">
        <f>INDEX(Demand!$E$6:$S$265,MATCH('SPC Backing (Hide)'!$B73,Demand!$B$6:$B$265,0),MATCH('SPC Backing (Hide)'!Q$3,Demand!$E$5:$S$5,0))</f>
        <v>0</v>
      </c>
      <c r="R73">
        <f>IF(SPC!$B$11="Yes",IF(ROW(A70)&gt;=Demand!$A$5-52,1,0),IF(AND(B73&gt;=SPC!$B$12,B73&lt;SPC!$B$13),1,0))</f>
        <v>1</v>
      </c>
      <c r="S73" cm="1">
        <f t="array" ref="S73">INDEX($C$4:$Q$263,ROW(A70),MATCH($T$2,$C$3:$Q$3,0))</f>
        <v>244</v>
      </c>
      <c r="T73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73" cm="1">
        <f t="array" ref="U73">ABS(INDEX($C$4:$Q$263,ROW(A70),MATCH($T$2,$C$3:$Q$3,0))-INDEX($C$4:$Q$263,ROW(A69),MATCH($T$2,$C$3:$Q$3,0)))</f>
        <v>0</v>
      </c>
      <c r="V73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73">
        <f t="shared" si="15"/>
        <v>40.813595610865789</v>
      </c>
      <c r="X73">
        <f t="shared" si="16"/>
        <v>108.80449618627055</v>
      </c>
      <c r="Y73">
        <f t="shared" si="17"/>
        <v>149.61809179713634</v>
      </c>
      <c r="Z73">
        <f t="shared" si="18"/>
        <v>190.43168740800212</v>
      </c>
      <c r="AA73">
        <f t="shared" si="19"/>
        <v>272.05887862973373</v>
      </c>
      <c r="AB73">
        <f t="shared" si="20"/>
        <v>312.8724742405995</v>
      </c>
      <c r="AC73">
        <f t="shared" si="21"/>
        <v>353.68606985146528</v>
      </c>
      <c r="AD73" t="e">
        <f t="shared" si="22"/>
        <v>#N/A</v>
      </c>
      <c r="AE73">
        <f t="shared" si="29"/>
        <v>1</v>
      </c>
      <c r="AF73" t="e">
        <f t="shared" si="23"/>
        <v>#N/A</v>
      </c>
      <c r="AG73">
        <f t="shared" si="24"/>
        <v>-1</v>
      </c>
      <c r="AH73" t="e">
        <f t="shared" si="25"/>
        <v>#N/A</v>
      </c>
      <c r="AI73">
        <f t="shared" si="26"/>
        <v>1</v>
      </c>
      <c r="AJ73" t="e">
        <f t="shared" si="27"/>
        <v>#N/A</v>
      </c>
      <c r="AK73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73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73">
        <f t="shared" si="28"/>
        <v>14.699999999999989</v>
      </c>
    </row>
    <row r="74" spans="2:39" x14ac:dyDescent="0.35">
      <c r="B74" s="12">
        <f>Demand!B76</f>
        <v>44107</v>
      </c>
      <c r="C74" s="7">
        <f>INDEX(Demand!$E$6:$S$265,MATCH('SPC Backing (Hide)'!$B74,Demand!$B$6:$B$265,0),MATCH('SPC Backing (Hide)'!C$3,Demand!$E$5:$S$5,0))</f>
        <v>230</v>
      </c>
      <c r="D74" s="5">
        <f>INDEX(Demand!$E$6:$S$265,MATCH('SPC Backing (Hide)'!$B74,Demand!$B$6:$B$265,0),MATCH('SPC Backing (Hide)'!D$3,Demand!$E$5:$S$5,0))</f>
        <v>0</v>
      </c>
      <c r="E74" s="5">
        <f>INDEX(Demand!$E$6:$S$265,MATCH('SPC Backing (Hide)'!$B74,Demand!$B$6:$B$265,0),MATCH('SPC Backing (Hide)'!E$3,Demand!$E$5:$S$5,0))</f>
        <v>0</v>
      </c>
      <c r="F74" s="5">
        <f>INDEX(Demand!$E$6:$S$265,MATCH('SPC Backing (Hide)'!$B74,Demand!$B$6:$B$265,0),MATCH('SPC Backing (Hide)'!F$3,Demand!$E$5:$S$5,0))</f>
        <v>0</v>
      </c>
      <c r="G74" s="5">
        <f>INDEX(Demand!$E$6:$S$265,MATCH('SPC Backing (Hide)'!$B74,Demand!$B$6:$B$265,0),MATCH('SPC Backing (Hide)'!G$3,Demand!$E$5:$S$5,0))</f>
        <v>0</v>
      </c>
      <c r="H74" s="5">
        <f>INDEX(Demand!$E$6:$S$265,MATCH('SPC Backing (Hide)'!$B74,Demand!$B$6:$B$265,0),MATCH('SPC Backing (Hide)'!H$3,Demand!$E$5:$S$5,0))</f>
        <v>0</v>
      </c>
      <c r="I74" s="5">
        <f>INDEX(Demand!$E$6:$S$265,MATCH('SPC Backing (Hide)'!$B74,Demand!$B$6:$B$265,0),MATCH('SPC Backing (Hide)'!I$3,Demand!$E$5:$S$5,0))</f>
        <v>0</v>
      </c>
      <c r="J74" s="5">
        <f>INDEX(Demand!$E$6:$S$265,MATCH('SPC Backing (Hide)'!$B74,Demand!$B$6:$B$265,0),MATCH('SPC Backing (Hide)'!J$3,Demand!$E$5:$S$5,0))</f>
        <v>0</v>
      </c>
      <c r="K74" s="5">
        <f>INDEX(Demand!$E$6:$S$265,MATCH('SPC Backing (Hide)'!$B74,Demand!$B$6:$B$265,0),MATCH('SPC Backing (Hide)'!K$3,Demand!$E$5:$S$5,0))</f>
        <v>0</v>
      </c>
      <c r="L74" s="5">
        <f>INDEX(Demand!$E$6:$S$265,MATCH('SPC Backing (Hide)'!$B74,Demand!$B$6:$B$265,0),MATCH('SPC Backing (Hide)'!L$3,Demand!$E$5:$S$5,0))</f>
        <v>0</v>
      </c>
      <c r="M74" s="5">
        <f>INDEX(Demand!$E$6:$S$265,MATCH('SPC Backing (Hide)'!$B74,Demand!$B$6:$B$265,0),MATCH('SPC Backing (Hide)'!M$3,Demand!$E$5:$S$5,0))</f>
        <v>0</v>
      </c>
      <c r="N74" s="5">
        <f>INDEX(Demand!$E$6:$S$265,MATCH('SPC Backing (Hide)'!$B74,Demand!$B$6:$B$265,0),MATCH('SPC Backing (Hide)'!N$3,Demand!$E$5:$S$5,0))</f>
        <v>0</v>
      </c>
      <c r="O74" s="5">
        <f>INDEX(Demand!$E$6:$S$265,MATCH('SPC Backing (Hide)'!$B74,Demand!$B$6:$B$265,0),MATCH('SPC Backing (Hide)'!O$3,Demand!$E$5:$S$5,0))</f>
        <v>0</v>
      </c>
      <c r="P74" s="5">
        <f>INDEX(Demand!$E$6:$S$265,MATCH('SPC Backing (Hide)'!$B74,Demand!$B$6:$B$265,0),MATCH('SPC Backing (Hide)'!P$3,Demand!$E$5:$S$5,0))</f>
        <v>0</v>
      </c>
      <c r="Q74" s="6">
        <f>INDEX(Demand!$E$6:$S$265,MATCH('SPC Backing (Hide)'!$B74,Demand!$B$6:$B$265,0),MATCH('SPC Backing (Hide)'!Q$3,Demand!$E$5:$S$5,0))</f>
        <v>0</v>
      </c>
      <c r="R74">
        <f>IF(SPC!$B$11="Yes",IF(ROW(A71)&gt;=Demand!$A$5-52,1,0),IF(AND(B74&gt;=SPC!$B$12,B74&lt;SPC!$B$13),1,0))</f>
        <v>1</v>
      </c>
      <c r="S74" cm="1">
        <f t="array" ref="S74">INDEX($C$4:$Q$263,ROW(A71),MATCH($T$2,$C$3:$Q$3,0))</f>
        <v>230</v>
      </c>
      <c r="T74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74" cm="1">
        <f t="array" ref="U74">ABS(INDEX($C$4:$Q$263,ROW(A71),MATCH($T$2,$C$3:$Q$3,0))-INDEX($C$4:$Q$263,ROW(A70),MATCH($T$2,$C$3:$Q$3,0)))</f>
        <v>14</v>
      </c>
      <c r="V74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74">
        <f t="shared" si="15"/>
        <v>40.813595610865789</v>
      </c>
      <c r="X74">
        <f t="shared" si="16"/>
        <v>108.80449618627055</v>
      </c>
      <c r="Y74">
        <f t="shared" si="17"/>
        <v>149.61809179713634</v>
      </c>
      <c r="Z74">
        <f t="shared" si="18"/>
        <v>190.43168740800212</v>
      </c>
      <c r="AA74">
        <f t="shared" si="19"/>
        <v>272.05887862973373</v>
      </c>
      <c r="AB74">
        <f t="shared" si="20"/>
        <v>312.8724742405995</v>
      </c>
      <c r="AC74">
        <f t="shared" si="21"/>
        <v>353.68606985146528</v>
      </c>
      <c r="AD74" t="e">
        <f t="shared" si="22"/>
        <v>#N/A</v>
      </c>
      <c r="AE74">
        <f t="shared" si="29"/>
        <v>-1</v>
      </c>
      <c r="AF74" t="e">
        <f t="shared" si="23"/>
        <v>#N/A</v>
      </c>
      <c r="AG74">
        <f t="shared" si="24"/>
        <v>1</v>
      </c>
      <c r="AH74" t="e">
        <f t="shared" si="25"/>
        <v>#N/A</v>
      </c>
      <c r="AI74">
        <f t="shared" si="26"/>
        <v>-1</v>
      </c>
      <c r="AJ74" t="e">
        <f t="shared" si="27"/>
        <v>#N/A</v>
      </c>
      <c r="AK74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74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74">
        <f t="shared" si="28"/>
        <v>14.699999999999989</v>
      </c>
    </row>
    <row r="75" spans="2:39" x14ac:dyDescent="0.35">
      <c r="B75" s="12">
        <f>Demand!B77</f>
        <v>44114</v>
      </c>
      <c r="C75" s="7">
        <f>INDEX(Demand!$E$6:$S$265,MATCH('SPC Backing (Hide)'!$B75,Demand!$B$6:$B$265,0),MATCH('SPC Backing (Hide)'!C$3,Demand!$E$5:$S$5,0))</f>
        <v>304</v>
      </c>
      <c r="D75" s="5">
        <f>INDEX(Demand!$E$6:$S$265,MATCH('SPC Backing (Hide)'!$B75,Demand!$B$6:$B$265,0),MATCH('SPC Backing (Hide)'!D$3,Demand!$E$5:$S$5,0))</f>
        <v>0</v>
      </c>
      <c r="E75" s="5">
        <f>INDEX(Demand!$E$6:$S$265,MATCH('SPC Backing (Hide)'!$B75,Demand!$B$6:$B$265,0),MATCH('SPC Backing (Hide)'!E$3,Demand!$E$5:$S$5,0))</f>
        <v>0</v>
      </c>
      <c r="F75" s="5">
        <f>INDEX(Demand!$E$6:$S$265,MATCH('SPC Backing (Hide)'!$B75,Demand!$B$6:$B$265,0),MATCH('SPC Backing (Hide)'!F$3,Demand!$E$5:$S$5,0))</f>
        <v>0</v>
      </c>
      <c r="G75" s="5">
        <f>INDEX(Demand!$E$6:$S$265,MATCH('SPC Backing (Hide)'!$B75,Demand!$B$6:$B$265,0),MATCH('SPC Backing (Hide)'!G$3,Demand!$E$5:$S$5,0))</f>
        <v>0</v>
      </c>
      <c r="H75" s="5">
        <f>INDEX(Demand!$E$6:$S$265,MATCH('SPC Backing (Hide)'!$B75,Demand!$B$6:$B$265,0),MATCH('SPC Backing (Hide)'!H$3,Demand!$E$5:$S$5,0))</f>
        <v>0</v>
      </c>
      <c r="I75" s="5">
        <f>INDEX(Demand!$E$6:$S$265,MATCH('SPC Backing (Hide)'!$B75,Demand!$B$6:$B$265,0),MATCH('SPC Backing (Hide)'!I$3,Demand!$E$5:$S$5,0))</f>
        <v>0</v>
      </c>
      <c r="J75" s="5">
        <f>INDEX(Demand!$E$6:$S$265,MATCH('SPC Backing (Hide)'!$B75,Demand!$B$6:$B$265,0),MATCH('SPC Backing (Hide)'!J$3,Demand!$E$5:$S$5,0))</f>
        <v>0</v>
      </c>
      <c r="K75" s="5">
        <f>INDEX(Demand!$E$6:$S$265,MATCH('SPC Backing (Hide)'!$B75,Demand!$B$6:$B$265,0),MATCH('SPC Backing (Hide)'!K$3,Demand!$E$5:$S$5,0))</f>
        <v>0</v>
      </c>
      <c r="L75" s="5">
        <f>INDEX(Demand!$E$6:$S$265,MATCH('SPC Backing (Hide)'!$B75,Demand!$B$6:$B$265,0),MATCH('SPC Backing (Hide)'!L$3,Demand!$E$5:$S$5,0))</f>
        <v>0</v>
      </c>
      <c r="M75" s="5">
        <f>INDEX(Demand!$E$6:$S$265,MATCH('SPC Backing (Hide)'!$B75,Demand!$B$6:$B$265,0),MATCH('SPC Backing (Hide)'!M$3,Demand!$E$5:$S$5,0))</f>
        <v>0</v>
      </c>
      <c r="N75" s="5">
        <f>INDEX(Demand!$E$6:$S$265,MATCH('SPC Backing (Hide)'!$B75,Demand!$B$6:$B$265,0),MATCH('SPC Backing (Hide)'!N$3,Demand!$E$5:$S$5,0))</f>
        <v>0</v>
      </c>
      <c r="O75" s="5">
        <f>INDEX(Demand!$E$6:$S$265,MATCH('SPC Backing (Hide)'!$B75,Demand!$B$6:$B$265,0),MATCH('SPC Backing (Hide)'!O$3,Demand!$E$5:$S$5,0))</f>
        <v>0</v>
      </c>
      <c r="P75" s="5">
        <f>INDEX(Demand!$E$6:$S$265,MATCH('SPC Backing (Hide)'!$B75,Demand!$B$6:$B$265,0),MATCH('SPC Backing (Hide)'!P$3,Demand!$E$5:$S$5,0))</f>
        <v>0</v>
      </c>
      <c r="Q75" s="6">
        <f>INDEX(Demand!$E$6:$S$265,MATCH('SPC Backing (Hide)'!$B75,Demand!$B$6:$B$265,0),MATCH('SPC Backing (Hide)'!Q$3,Demand!$E$5:$S$5,0))</f>
        <v>0</v>
      </c>
      <c r="R75">
        <f>IF(SPC!$B$11="Yes",IF(ROW(A72)&gt;=Demand!$A$5-52,1,0),IF(AND(B75&gt;=SPC!$B$12,B75&lt;SPC!$B$13),1,0))</f>
        <v>1</v>
      </c>
      <c r="S75" cm="1">
        <f t="array" ref="S75">INDEX($C$4:$Q$263,ROW(A72),MATCH($T$2,$C$3:$Q$3,0))</f>
        <v>304</v>
      </c>
      <c r="T75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75" cm="1">
        <f t="array" ref="U75">ABS(INDEX($C$4:$Q$263,ROW(A72),MATCH($T$2,$C$3:$Q$3,0))-INDEX($C$4:$Q$263,ROW(A71),MATCH($T$2,$C$3:$Q$3,0)))</f>
        <v>74</v>
      </c>
      <c r="V75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75">
        <f t="shared" si="15"/>
        <v>40.813595610865789</v>
      </c>
      <c r="X75">
        <f t="shared" si="16"/>
        <v>108.80449618627055</v>
      </c>
      <c r="Y75">
        <f t="shared" si="17"/>
        <v>149.61809179713634</v>
      </c>
      <c r="Z75">
        <f t="shared" si="18"/>
        <v>190.43168740800212</v>
      </c>
      <c r="AA75">
        <f t="shared" si="19"/>
        <v>272.05887862973373</v>
      </c>
      <c r="AB75">
        <f t="shared" si="20"/>
        <v>312.8724742405995</v>
      </c>
      <c r="AC75">
        <f t="shared" si="21"/>
        <v>353.68606985146528</v>
      </c>
      <c r="AD75" t="e">
        <f t="shared" si="22"/>
        <v>#N/A</v>
      </c>
      <c r="AE75">
        <f t="shared" si="29"/>
        <v>1</v>
      </c>
      <c r="AF75" t="e">
        <f t="shared" si="23"/>
        <v>#N/A</v>
      </c>
      <c r="AG75">
        <f t="shared" si="24"/>
        <v>-1</v>
      </c>
      <c r="AH75" t="e">
        <f t="shared" si="25"/>
        <v>#N/A</v>
      </c>
      <c r="AI75">
        <f t="shared" si="26"/>
        <v>1</v>
      </c>
      <c r="AJ75" t="e">
        <f t="shared" si="27"/>
        <v>#N/A</v>
      </c>
      <c r="AK75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75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75">
        <f t="shared" si="28"/>
        <v>14.699999999999989</v>
      </c>
    </row>
    <row r="76" spans="2:39" x14ac:dyDescent="0.35">
      <c r="B76" s="12" t="str">
        <f>Demand!B78</f>
        <v/>
      </c>
      <c r="C76" s="7">
        <f>INDEX(Demand!$E$6:$S$265,MATCH('SPC Backing (Hide)'!$B76,Demand!$B$6:$B$265,0),MATCH('SPC Backing (Hide)'!C$3,Demand!$E$5:$S$5,0))</f>
        <v>0</v>
      </c>
      <c r="D76" s="5">
        <f>INDEX(Demand!$E$6:$S$265,MATCH('SPC Backing (Hide)'!$B76,Demand!$B$6:$B$265,0),MATCH('SPC Backing (Hide)'!D$3,Demand!$E$5:$S$5,0))</f>
        <v>0</v>
      </c>
      <c r="E76" s="5">
        <f>INDEX(Demand!$E$6:$S$265,MATCH('SPC Backing (Hide)'!$B76,Demand!$B$6:$B$265,0),MATCH('SPC Backing (Hide)'!E$3,Demand!$E$5:$S$5,0))</f>
        <v>0</v>
      </c>
      <c r="F76" s="5">
        <f>INDEX(Demand!$E$6:$S$265,MATCH('SPC Backing (Hide)'!$B76,Demand!$B$6:$B$265,0),MATCH('SPC Backing (Hide)'!F$3,Demand!$E$5:$S$5,0))</f>
        <v>0</v>
      </c>
      <c r="G76" s="5">
        <f>INDEX(Demand!$E$6:$S$265,MATCH('SPC Backing (Hide)'!$B76,Demand!$B$6:$B$265,0),MATCH('SPC Backing (Hide)'!G$3,Demand!$E$5:$S$5,0))</f>
        <v>0</v>
      </c>
      <c r="H76" s="5">
        <f>INDEX(Demand!$E$6:$S$265,MATCH('SPC Backing (Hide)'!$B76,Demand!$B$6:$B$265,0),MATCH('SPC Backing (Hide)'!H$3,Demand!$E$5:$S$5,0))</f>
        <v>0</v>
      </c>
      <c r="I76" s="5">
        <f>INDEX(Demand!$E$6:$S$265,MATCH('SPC Backing (Hide)'!$B76,Demand!$B$6:$B$265,0),MATCH('SPC Backing (Hide)'!I$3,Demand!$E$5:$S$5,0))</f>
        <v>0</v>
      </c>
      <c r="J76" s="5">
        <f>INDEX(Demand!$E$6:$S$265,MATCH('SPC Backing (Hide)'!$B76,Demand!$B$6:$B$265,0),MATCH('SPC Backing (Hide)'!J$3,Demand!$E$5:$S$5,0))</f>
        <v>0</v>
      </c>
      <c r="K76" s="5">
        <f>INDEX(Demand!$E$6:$S$265,MATCH('SPC Backing (Hide)'!$B76,Demand!$B$6:$B$265,0),MATCH('SPC Backing (Hide)'!K$3,Demand!$E$5:$S$5,0))</f>
        <v>0</v>
      </c>
      <c r="L76" s="5">
        <f>INDEX(Demand!$E$6:$S$265,MATCH('SPC Backing (Hide)'!$B76,Demand!$B$6:$B$265,0),MATCH('SPC Backing (Hide)'!L$3,Demand!$E$5:$S$5,0))</f>
        <v>0</v>
      </c>
      <c r="M76" s="5">
        <f>INDEX(Demand!$E$6:$S$265,MATCH('SPC Backing (Hide)'!$B76,Demand!$B$6:$B$265,0),MATCH('SPC Backing (Hide)'!M$3,Demand!$E$5:$S$5,0))</f>
        <v>0</v>
      </c>
      <c r="N76" s="5">
        <f>INDEX(Demand!$E$6:$S$265,MATCH('SPC Backing (Hide)'!$B76,Demand!$B$6:$B$265,0),MATCH('SPC Backing (Hide)'!N$3,Demand!$E$5:$S$5,0))</f>
        <v>0</v>
      </c>
      <c r="O76" s="5">
        <f>INDEX(Demand!$E$6:$S$265,MATCH('SPC Backing (Hide)'!$B76,Demand!$B$6:$B$265,0),MATCH('SPC Backing (Hide)'!O$3,Demand!$E$5:$S$5,0))</f>
        <v>0</v>
      </c>
      <c r="P76" s="5">
        <f>INDEX(Demand!$E$6:$S$265,MATCH('SPC Backing (Hide)'!$B76,Demand!$B$6:$B$265,0),MATCH('SPC Backing (Hide)'!P$3,Demand!$E$5:$S$5,0))</f>
        <v>0</v>
      </c>
      <c r="Q76" s="6">
        <f>INDEX(Demand!$E$6:$S$265,MATCH('SPC Backing (Hide)'!$B76,Demand!$B$6:$B$265,0),MATCH('SPC Backing (Hide)'!Q$3,Demand!$E$5:$S$5,0))</f>
        <v>0</v>
      </c>
      <c r="R76">
        <f>IF(SPC!$B$11="Yes",IF(ROW(A73)&gt;=Demand!$A$5-52,1,0),IF(AND(B76&gt;=SPC!$B$12,B76&lt;SPC!$B$13),1,0))</f>
        <v>1</v>
      </c>
      <c r="S76" cm="1">
        <f t="array" ref="S76">INDEX($C$4:$Q$263,ROW(A73),MATCH($T$2,$C$3:$Q$3,0))</f>
        <v>0</v>
      </c>
      <c r="T76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76" cm="1">
        <f t="array" ref="U76">ABS(INDEX($C$4:$Q$263,ROW(A73),MATCH($T$2,$C$3:$Q$3,0))-INDEX($C$4:$Q$263,ROW(A72),MATCH($T$2,$C$3:$Q$3,0)))</f>
        <v>304</v>
      </c>
      <c r="V76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76">
        <f t="shared" si="15"/>
        <v>40.813595610865789</v>
      </c>
      <c r="X76">
        <f t="shared" si="16"/>
        <v>108.80449618627055</v>
      </c>
      <c r="Y76">
        <f t="shared" si="17"/>
        <v>149.61809179713634</v>
      </c>
      <c r="Z76">
        <f t="shared" si="18"/>
        <v>190.43168740800212</v>
      </c>
      <c r="AA76">
        <f t="shared" si="19"/>
        <v>272.05887862973373</v>
      </c>
      <c r="AB76">
        <f t="shared" si="20"/>
        <v>312.8724742405995</v>
      </c>
      <c r="AC76">
        <f t="shared" si="21"/>
        <v>353.68606985146528</v>
      </c>
      <c r="AD76">
        <f t="shared" si="22"/>
        <v>0</v>
      </c>
      <c r="AE76">
        <f t="shared" si="29"/>
        <v>-2</v>
      </c>
      <c r="AF76">
        <f t="shared" si="23"/>
        <v>0</v>
      </c>
      <c r="AG76">
        <f t="shared" si="24"/>
        <v>0</v>
      </c>
      <c r="AH76" t="e">
        <f t="shared" si="25"/>
        <v>#N/A</v>
      </c>
      <c r="AI76">
        <f t="shared" si="26"/>
        <v>-1</v>
      </c>
      <c r="AJ76">
        <f t="shared" si="27"/>
        <v>0</v>
      </c>
      <c r="AK76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76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76">
        <f t="shared" si="28"/>
        <v>14.699999999999989</v>
      </c>
    </row>
    <row r="77" spans="2:39" x14ac:dyDescent="0.35">
      <c r="B77" s="12" t="str">
        <f>Demand!B79</f>
        <v/>
      </c>
      <c r="C77" s="7">
        <f>INDEX(Demand!$E$6:$S$265,MATCH('SPC Backing (Hide)'!$B77,Demand!$B$6:$B$265,0),MATCH('SPC Backing (Hide)'!C$3,Demand!$E$5:$S$5,0))</f>
        <v>0</v>
      </c>
      <c r="D77" s="5">
        <f>INDEX(Demand!$E$6:$S$265,MATCH('SPC Backing (Hide)'!$B77,Demand!$B$6:$B$265,0),MATCH('SPC Backing (Hide)'!D$3,Demand!$E$5:$S$5,0))</f>
        <v>0</v>
      </c>
      <c r="E77" s="5">
        <f>INDEX(Demand!$E$6:$S$265,MATCH('SPC Backing (Hide)'!$B77,Demand!$B$6:$B$265,0),MATCH('SPC Backing (Hide)'!E$3,Demand!$E$5:$S$5,0))</f>
        <v>0</v>
      </c>
      <c r="F77" s="5">
        <f>INDEX(Demand!$E$6:$S$265,MATCH('SPC Backing (Hide)'!$B77,Demand!$B$6:$B$265,0),MATCH('SPC Backing (Hide)'!F$3,Demand!$E$5:$S$5,0))</f>
        <v>0</v>
      </c>
      <c r="G77" s="5">
        <f>INDEX(Demand!$E$6:$S$265,MATCH('SPC Backing (Hide)'!$B77,Demand!$B$6:$B$265,0),MATCH('SPC Backing (Hide)'!G$3,Demand!$E$5:$S$5,0))</f>
        <v>0</v>
      </c>
      <c r="H77" s="5">
        <f>INDEX(Demand!$E$6:$S$265,MATCH('SPC Backing (Hide)'!$B77,Demand!$B$6:$B$265,0),MATCH('SPC Backing (Hide)'!H$3,Demand!$E$5:$S$5,0))</f>
        <v>0</v>
      </c>
      <c r="I77" s="5">
        <f>INDEX(Demand!$E$6:$S$265,MATCH('SPC Backing (Hide)'!$B77,Demand!$B$6:$B$265,0),MATCH('SPC Backing (Hide)'!I$3,Demand!$E$5:$S$5,0))</f>
        <v>0</v>
      </c>
      <c r="J77" s="5">
        <f>INDEX(Demand!$E$6:$S$265,MATCH('SPC Backing (Hide)'!$B77,Demand!$B$6:$B$265,0),MATCH('SPC Backing (Hide)'!J$3,Demand!$E$5:$S$5,0))</f>
        <v>0</v>
      </c>
      <c r="K77" s="5">
        <f>INDEX(Demand!$E$6:$S$265,MATCH('SPC Backing (Hide)'!$B77,Demand!$B$6:$B$265,0),MATCH('SPC Backing (Hide)'!K$3,Demand!$E$5:$S$5,0))</f>
        <v>0</v>
      </c>
      <c r="L77" s="5">
        <f>INDEX(Demand!$E$6:$S$265,MATCH('SPC Backing (Hide)'!$B77,Demand!$B$6:$B$265,0),MATCH('SPC Backing (Hide)'!L$3,Demand!$E$5:$S$5,0))</f>
        <v>0</v>
      </c>
      <c r="M77" s="5">
        <f>INDEX(Demand!$E$6:$S$265,MATCH('SPC Backing (Hide)'!$B77,Demand!$B$6:$B$265,0),MATCH('SPC Backing (Hide)'!M$3,Demand!$E$5:$S$5,0))</f>
        <v>0</v>
      </c>
      <c r="N77" s="5">
        <f>INDEX(Demand!$E$6:$S$265,MATCH('SPC Backing (Hide)'!$B77,Demand!$B$6:$B$265,0),MATCH('SPC Backing (Hide)'!N$3,Demand!$E$5:$S$5,0))</f>
        <v>0</v>
      </c>
      <c r="O77" s="5">
        <f>INDEX(Demand!$E$6:$S$265,MATCH('SPC Backing (Hide)'!$B77,Demand!$B$6:$B$265,0),MATCH('SPC Backing (Hide)'!O$3,Demand!$E$5:$S$5,0))</f>
        <v>0</v>
      </c>
      <c r="P77" s="5">
        <f>INDEX(Demand!$E$6:$S$265,MATCH('SPC Backing (Hide)'!$B77,Demand!$B$6:$B$265,0),MATCH('SPC Backing (Hide)'!P$3,Demand!$E$5:$S$5,0))</f>
        <v>0</v>
      </c>
      <c r="Q77" s="6">
        <f>INDEX(Demand!$E$6:$S$265,MATCH('SPC Backing (Hide)'!$B77,Demand!$B$6:$B$265,0),MATCH('SPC Backing (Hide)'!Q$3,Demand!$E$5:$S$5,0))</f>
        <v>0</v>
      </c>
      <c r="R77">
        <f>IF(SPC!$B$11="Yes",IF(ROW(A74)&gt;=Demand!$A$5-52,1,0),IF(AND(B77&gt;=SPC!$B$12,B77&lt;SPC!$B$13),1,0))</f>
        <v>1</v>
      </c>
      <c r="S77" cm="1">
        <f t="array" ref="S77">INDEX($C$4:$Q$263,ROW(A74),MATCH($T$2,$C$3:$Q$3,0))</f>
        <v>0</v>
      </c>
      <c r="T77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77" cm="1">
        <f t="array" ref="U77">ABS(INDEX($C$4:$Q$263,ROW(A74),MATCH($T$2,$C$3:$Q$3,0))-INDEX($C$4:$Q$263,ROW(A73),MATCH($T$2,$C$3:$Q$3,0)))</f>
        <v>0</v>
      </c>
      <c r="V77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77">
        <f t="shared" si="15"/>
        <v>40.813595610865789</v>
      </c>
      <c r="X77">
        <f t="shared" si="16"/>
        <v>108.80449618627055</v>
      </c>
      <c r="Y77">
        <f t="shared" si="17"/>
        <v>149.61809179713634</v>
      </c>
      <c r="Z77">
        <f t="shared" si="18"/>
        <v>190.43168740800212</v>
      </c>
      <c r="AA77">
        <f t="shared" si="19"/>
        <v>272.05887862973373</v>
      </c>
      <c r="AB77">
        <f t="shared" si="20"/>
        <v>312.8724742405995</v>
      </c>
      <c r="AC77">
        <f t="shared" si="21"/>
        <v>353.68606985146528</v>
      </c>
      <c r="AD77">
        <f t="shared" si="22"/>
        <v>0</v>
      </c>
      <c r="AE77">
        <f t="shared" si="29"/>
        <v>-2</v>
      </c>
      <c r="AF77">
        <f t="shared" si="23"/>
        <v>0</v>
      </c>
      <c r="AG77">
        <f t="shared" si="24"/>
        <v>0</v>
      </c>
      <c r="AH77" t="e">
        <f t="shared" si="25"/>
        <v>#N/A</v>
      </c>
      <c r="AI77">
        <f t="shared" si="26"/>
        <v>-1</v>
      </c>
      <c r="AJ77">
        <f t="shared" si="27"/>
        <v>0</v>
      </c>
      <c r="AK77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77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77">
        <f t="shared" si="28"/>
        <v>14.699999999999989</v>
      </c>
    </row>
    <row r="78" spans="2:39" x14ac:dyDescent="0.35">
      <c r="B78" s="12" t="str">
        <f>Demand!B80</f>
        <v/>
      </c>
      <c r="C78" s="7">
        <f>INDEX(Demand!$E$6:$S$265,MATCH('SPC Backing (Hide)'!$B78,Demand!$B$6:$B$265,0),MATCH('SPC Backing (Hide)'!C$3,Demand!$E$5:$S$5,0))</f>
        <v>0</v>
      </c>
      <c r="D78" s="5">
        <f>INDEX(Demand!$E$6:$S$265,MATCH('SPC Backing (Hide)'!$B78,Demand!$B$6:$B$265,0),MATCH('SPC Backing (Hide)'!D$3,Demand!$E$5:$S$5,0))</f>
        <v>0</v>
      </c>
      <c r="E78" s="5">
        <f>INDEX(Demand!$E$6:$S$265,MATCH('SPC Backing (Hide)'!$B78,Demand!$B$6:$B$265,0),MATCH('SPC Backing (Hide)'!E$3,Demand!$E$5:$S$5,0))</f>
        <v>0</v>
      </c>
      <c r="F78" s="5">
        <f>INDEX(Demand!$E$6:$S$265,MATCH('SPC Backing (Hide)'!$B78,Demand!$B$6:$B$265,0),MATCH('SPC Backing (Hide)'!F$3,Demand!$E$5:$S$5,0))</f>
        <v>0</v>
      </c>
      <c r="G78" s="5">
        <f>INDEX(Demand!$E$6:$S$265,MATCH('SPC Backing (Hide)'!$B78,Demand!$B$6:$B$265,0),MATCH('SPC Backing (Hide)'!G$3,Demand!$E$5:$S$5,0))</f>
        <v>0</v>
      </c>
      <c r="H78" s="5">
        <f>INDEX(Demand!$E$6:$S$265,MATCH('SPC Backing (Hide)'!$B78,Demand!$B$6:$B$265,0),MATCH('SPC Backing (Hide)'!H$3,Demand!$E$5:$S$5,0))</f>
        <v>0</v>
      </c>
      <c r="I78" s="5">
        <f>INDEX(Demand!$E$6:$S$265,MATCH('SPC Backing (Hide)'!$B78,Demand!$B$6:$B$265,0),MATCH('SPC Backing (Hide)'!I$3,Demand!$E$5:$S$5,0))</f>
        <v>0</v>
      </c>
      <c r="J78" s="5">
        <f>INDEX(Demand!$E$6:$S$265,MATCH('SPC Backing (Hide)'!$B78,Demand!$B$6:$B$265,0),MATCH('SPC Backing (Hide)'!J$3,Demand!$E$5:$S$5,0))</f>
        <v>0</v>
      </c>
      <c r="K78" s="5">
        <f>INDEX(Demand!$E$6:$S$265,MATCH('SPC Backing (Hide)'!$B78,Demand!$B$6:$B$265,0),MATCH('SPC Backing (Hide)'!K$3,Demand!$E$5:$S$5,0))</f>
        <v>0</v>
      </c>
      <c r="L78" s="5">
        <f>INDEX(Demand!$E$6:$S$265,MATCH('SPC Backing (Hide)'!$B78,Demand!$B$6:$B$265,0),MATCH('SPC Backing (Hide)'!L$3,Demand!$E$5:$S$5,0))</f>
        <v>0</v>
      </c>
      <c r="M78" s="5">
        <f>INDEX(Demand!$E$6:$S$265,MATCH('SPC Backing (Hide)'!$B78,Demand!$B$6:$B$265,0),MATCH('SPC Backing (Hide)'!M$3,Demand!$E$5:$S$5,0))</f>
        <v>0</v>
      </c>
      <c r="N78" s="5">
        <f>INDEX(Demand!$E$6:$S$265,MATCH('SPC Backing (Hide)'!$B78,Demand!$B$6:$B$265,0),MATCH('SPC Backing (Hide)'!N$3,Demand!$E$5:$S$5,0))</f>
        <v>0</v>
      </c>
      <c r="O78" s="5">
        <f>INDEX(Demand!$E$6:$S$265,MATCH('SPC Backing (Hide)'!$B78,Demand!$B$6:$B$265,0),MATCH('SPC Backing (Hide)'!O$3,Demand!$E$5:$S$5,0))</f>
        <v>0</v>
      </c>
      <c r="P78" s="5">
        <f>INDEX(Demand!$E$6:$S$265,MATCH('SPC Backing (Hide)'!$B78,Demand!$B$6:$B$265,0),MATCH('SPC Backing (Hide)'!P$3,Demand!$E$5:$S$5,0))</f>
        <v>0</v>
      </c>
      <c r="Q78" s="6">
        <f>INDEX(Demand!$E$6:$S$265,MATCH('SPC Backing (Hide)'!$B78,Demand!$B$6:$B$265,0),MATCH('SPC Backing (Hide)'!Q$3,Demand!$E$5:$S$5,0))</f>
        <v>0</v>
      </c>
      <c r="R78">
        <f>IF(SPC!$B$11="Yes",IF(ROW(A75)&gt;=Demand!$A$5-52,1,0),IF(AND(B78&gt;=SPC!$B$12,B78&lt;SPC!$B$13),1,0))</f>
        <v>1</v>
      </c>
      <c r="S78" cm="1">
        <f t="array" ref="S78">INDEX($C$4:$Q$263,ROW(A75),MATCH($T$2,$C$3:$Q$3,0))</f>
        <v>0</v>
      </c>
      <c r="T78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78" cm="1">
        <f t="array" ref="U78">ABS(INDEX($C$4:$Q$263,ROW(A75),MATCH($T$2,$C$3:$Q$3,0))-INDEX($C$4:$Q$263,ROW(A74),MATCH($T$2,$C$3:$Q$3,0)))</f>
        <v>0</v>
      </c>
      <c r="V78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78">
        <f t="shared" si="15"/>
        <v>40.813595610865789</v>
      </c>
      <c r="X78">
        <f t="shared" si="16"/>
        <v>108.80449618627055</v>
      </c>
      <c r="Y78">
        <f t="shared" si="17"/>
        <v>149.61809179713634</v>
      </c>
      <c r="Z78">
        <f t="shared" si="18"/>
        <v>190.43168740800212</v>
      </c>
      <c r="AA78">
        <f t="shared" si="19"/>
        <v>272.05887862973373</v>
      </c>
      <c r="AB78">
        <f t="shared" si="20"/>
        <v>312.8724742405995</v>
      </c>
      <c r="AC78">
        <f t="shared" si="21"/>
        <v>353.68606985146528</v>
      </c>
      <c r="AD78">
        <f t="shared" si="22"/>
        <v>0</v>
      </c>
      <c r="AE78">
        <f t="shared" si="29"/>
        <v>-2</v>
      </c>
      <c r="AF78">
        <f t="shared" si="23"/>
        <v>0</v>
      </c>
      <c r="AG78">
        <f t="shared" si="24"/>
        <v>0</v>
      </c>
      <c r="AH78" t="e">
        <f t="shared" si="25"/>
        <v>#N/A</v>
      </c>
      <c r="AI78">
        <f t="shared" si="26"/>
        <v>-1</v>
      </c>
      <c r="AJ78">
        <f t="shared" si="27"/>
        <v>0</v>
      </c>
      <c r="AK78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78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78">
        <f t="shared" si="28"/>
        <v>14.699999999999989</v>
      </c>
    </row>
    <row r="79" spans="2:39" x14ac:dyDescent="0.35">
      <c r="B79" s="12" t="str">
        <f>Demand!B81</f>
        <v/>
      </c>
      <c r="C79" s="7">
        <f>INDEX(Demand!$E$6:$S$265,MATCH('SPC Backing (Hide)'!$B79,Demand!$B$6:$B$265,0),MATCH('SPC Backing (Hide)'!C$3,Demand!$E$5:$S$5,0))</f>
        <v>0</v>
      </c>
      <c r="D79" s="5">
        <f>INDEX(Demand!$E$6:$S$265,MATCH('SPC Backing (Hide)'!$B79,Demand!$B$6:$B$265,0),MATCH('SPC Backing (Hide)'!D$3,Demand!$E$5:$S$5,0))</f>
        <v>0</v>
      </c>
      <c r="E79" s="5">
        <f>INDEX(Demand!$E$6:$S$265,MATCH('SPC Backing (Hide)'!$B79,Demand!$B$6:$B$265,0),MATCH('SPC Backing (Hide)'!E$3,Demand!$E$5:$S$5,0))</f>
        <v>0</v>
      </c>
      <c r="F79" s="5">
        <f>INDEX(Demand!$E$6:$S$265,MATCH('SPC Backing (Hide)'!$B79,Demand!$B$6:$B$265,0),MATCH('SPC Backing (Hide)'!F$3,Demand!$E$5:$S$5,0))</f>
        <v>0</v>
      </c>
      <c r="G79" s="5">
        <f>INDEX(Demand!$E$6:$S$265,MATCH('SPC Backing (Hide)'!$B79,Demand!$B$6:$B$265,0),MATCH('SPC Backing (Hide)'!G$3,Demand!$E$5:$S$5,0))</f>
        <v>0</v>
      </c>
      <c r="H79" s="5">
        <f>INDEX(Demand!$E$6:$S$265,MATCH('SPC Backing (Hide)'!$B79,Demand!$B$6:$B$265,0),MATCH('SPC Backing (Hide)'!H$3,Demand!$E$5:$S$5,0))</f>
        <v>0</v>
      </c>
      <c r="I79" s="5">
        <f>INDEX(Demand!$E$6:$S$265,MATCH('SPC Backing (Hide)'!$B79,Demand!$B$6:$B$265,0),MATCH('SPC Backing (Hide)'!I$3,Demand!$E$5:$S$5,0))</f>
        <v>0</v>
      </c>
      <c r="J79" s="5">
        <f>INDEX(Demand!$E$6:$S$265,MATCH('SPC Backing (Hide)'!$B79,Demand!$B$6:$B$265,0),MATCH('SPC Backing (Hide)'!J$3,Demand!$E$5:$S$5,0))</f>
        <v>0</v>
      </c>
      <c r="K79" s="5">
        <f>INDEX(Demand!$E$6:$S$265,MATCH('SPC Backing (Hide)'!$B79,Demand!$B$6:$B$265,0),MATCH('SPC Backing (Hide)'!K$3,Demand!$E$5:$S$5,0))</f>
        <v>0</v>
      </c>
      <c r="L79" s="5">
        <f>INDEX(Demand!$E$6:$S$265,MATCH('SPC Backing (Hide)'!$B79,Demand!$B$6:$B$265,0),MATCH('SPC Backing (Hide)'!L$3,Demand!$E$5:$S$5,0))</f>
        <v>0</v>
      </c>
      <c r="M79" s="5">
        <f>INDEX(Demand!$E$6:$S$265,MATCH('SPC Backing (Hide)'!$B79,Demand!$B$6:$B$265,0),MATCH('SPC Backing (Hide)'!M$3,Demand!$E$5:$S$5,0))</f>
        <v>0</v>
      </c>
      <c r="N79" s="5">
        <f>INDEX(Demand!$E$6:$S$265,MATCH('SPC Backing (Hide)'!$B79,Demand!$B$6:$B$265,0),MATCH('SPC Backing (Hide)'!N$3,Demand!$E$5:$S$5,0))</f>
        <v>0</v>
      </c>
      <c r="O79" s="5">
        <f>INDEX(Demand!$E$6:$S$265,MATCH('SPC Backing (Hide)'!$B79,Demand!$B$6:$B$265,0),MATCH('SPC Backing (Hide)'!O$3,Demand!$E$5:$S$5,0))</f>
        <v>0</v>
      </c>
      <c r="P79" s="5">
        <f>INDEX(Demand!$E$6:$S$265,MATCH('SPC Backing (Hide)'!$B79,Demand!$B$6:$B$265,0),MATCH('SPC Backing (Hide)'!P$3,Demand!$E$5:$S$5,0))</f>
        <v>0</v>
      </c>
      <c r="Q79" s="6">
        <f>INDEX(Demand!$E$6:$S$265,MATCH('SPC Backing (Hide)'!$B79,Demand!$B$6:$B$265,0),MATCH('SPC Backing (Hide)'!Q$3,Demand!$E$5:$S$5,0))</f>
        <v>0</v>
      </c>
      <c r="R79">
        <f>IF(SPC!$B$11="Yes",IF(ROW(A76)&gt;=Demand!$A$5-52,1,0),IF(AND(B79&gt;=SPC!$B$12,B79&lt;SPC!$B$13),1,0))</f>
        <v>1</v>
      </c>
      <c r="S79" cm="1">
        <f t="array" ref="S79">INDEX($C$4:$Q$263,ROW(A76),MATCH($T$2,$C$3:$Q$3,0))</f>
        <v>0</v>
      </c>
      <c r="T79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79" cm="1">
        <f t="array" ref="U79">ABS(INDEX($C$4:$Q$263,ROW(A76),MATCH($T$2,$C$3:$Q$3,0))-INDEX($C$4:$Q$263,ROW(A75),MATCH($T$2,$C$3:$Q$3,0)))</f>
        <v>0</v>
      </c>
      <c r="V79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79">
        <f t="shared" si="15"/>
        <v>40.813595610865789</v>
      </c>
      <c r="X79">
        <f t="shared" si="16"/>
        <v>108.80449618627055</v>
      </c>
      <c r="Y79">
        <f t="shared" si="17"/>
        <v>149.61809179713634</v>
      </c>
      <c r="Z79">
        <f t="shared" si="18"/>
        <v>190.43168740800212</v>
      </c>
      <c r="AA79">
        <f t="shared" si="19"/>
        <v>272.05887862973373</v>
      </c>
      <c r="AB79">
        <f t="shared" si="20"/>
        <v>312.8724742405995</v>
      </c>
      <c r="AC79">
        <f t="shared" si="21"/>
        <v>353.68606985146528</v>
      </c>
      <c r="AD79">
        <f t="shared" si="22"/>
        <v>0</v>
      </c>
      <c r="AE79">
        <f t="shared" si="29"/>
        <v>-2</v>
      </c>
      <c r="AF79">
        <f t="shared" si="23"/>
        <v>0</v>
      </c>
      <c r="AG79">
        <f t="shared" si="24"/>
        <v>0</v>
      </c>
      <c r="AH79" t="e">
        <f t="shared" si="25"/>
        <v>#N/A</v>
      </c>
      <c r="AI79">
        <f t="shared" si="26"/>
        <v>-1</v>
      </c>
      <c r="AJ79">
        <f t="shared" si="27"/>
        <v>0</v>
      </c>
      <c r="AK79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79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79">
        <f t="shared" si="28"/>
        <v>14.699999999999989</v>
      </c>
    </row>
    <row r="80" spans="2:39" x14ac:dyDescent="0.35">
      <c r="B80" s="12" t="str">
        <f>Demand!B82</f>
        <v/>
      </c>
      <c r="C80" s="7">
        <f>INDEX(Demand!$E$6:$S$265,MATCH('SPC Backing (Hide)'!$B80,Demand!$B$6:$B$265,0),MATCH('SPC Backing (Hide)'!C$3,Demand!$E$5:$S$5,0))</f>
        <v>0</v>
      </c>
      <c r="D80" s="5">
        <f>INDEX(Demand!$E$6:$S$265,MATCH('SPC Backing (Hide)'!$B80,Demand!$B$6:$B$265,0),MATCH('SPC Backing (Hide)'!D$3,Demand!$E$5:$S$5,0))</f>
        <v>0</v>
      </c>
      <c r="E80" s="5">
        <f>INDEX(Demand!$E$6:$S$265,MATCH('SPC Backing (Hide)'!$B80,Demand!$B$6:$B$265,0),MATCH('SPC Backing (Hide)'!E$3,Demand!$E$5:$S$5,0))</f>
        <v>0</v>
      </c>
      <c r="F80" s="5">
        <f>INDEX(Demand!$E$6:$S$265,MATCH('SPC Backing (Hide)'!$B80,Demand!$B$6:$B$265,0),MATCH('SPC Backing (Hide)'!F$3,Demand!$E$5:$S$5,0))</f>
        <v>0</v>
      </c>
      <c r="G80" s="5">
        <f>INDEX(Demand!$E$6:$S$265,MATCH('SPC Backing (Hide)'!$B80,Demand!$B$6:$B$265,0),MATCH('SPC Backing (Hide)'!G$3,Demand!$E$5:$S$5,0))</f>
        <v>0</v>
      </c>
      <c r="H80" s="5">
        <f>INDEX(Demand!$E$6:$S$265,MATCH('SPC Backing (Hide)'!$B80,Demand!$B$6:$B$265,0),MATCH('SPC Backing (Hide)'!H$3,Demand!$E$5:$S$5,0))</f>
        <v>0</v>
      </c>
      <c r="I80" s="5">
        <f>INDEX(Demand!$E$6:$S$265,MATCH('SPC Backing (Hide)'!$B80,Demand!$B$6:$B$265,0),MATCH('SPC Backing (Hide)'!I$3,Demand!$E$5:$S$5,0))</f>
        <v>0</v>
      </c>
      <c r="J80" s="5">
        <f>INDEX(Demand!$E$6:$S$265,MATCH('SPC Backing (Hide)'!$B80,Demand!$B$6:$B$265,0),MATCH('SPC Backing (Hide)'!J$3,Demand!$E$5:$S$5,0))</f>
        <v>0</v>
      </c>
      <c r="K80" s="5">
        <f>INDEX(Demand!$E$6:$S$265,MATCH('SPC Backing (Hide)'!$B80,Demand!$B$6:$B$265,0),MATCH('SPC Backing (Hide)'!K$3,Demand!$E$5:$S$5,0))</f>
        <v>0</v>
      </c>
      <c r="L80" s="5">
        <f>INDEX(Demand!$E$6:$S$265,MATCH('SPC Backing (Hide)'!$B80,Demand!$B$6:$B$265,0),MATCH('SPC Backing (Hide)'!L$3,Demand!$E$5:$S$5,0))</f>
        <v>0</v>
      </c>
      <c r="M80" s="5">
        <f>INDEX(Demand!$E$6:$S$265,MATCH('SPC Backing (Hide)'!$B80,Demand!$B$6:$B$265,0),MATCH('SPC Backing (Hide)'!M$3,Demand!$E$5:$S$5,0))</f>
        <v>0</v>
      </c>
      <c r="N80" s="5">
        <f>INDEX(Demand!$E$6:$S$265,MATCH('SPC Backing (Hide)'!$B80,Demand!$B$6:$B$265,0),MATCH('SPC Backing (Hide)'!N$3,Demand!$E$5:$S$5,0))</f>
        <v>0</v>
      </c>
      <c r="O80" s="5">
        <f>INDEX(Demand!$E$6:$S$265,MATCH('SPC Backing (Hide)'!$B80,Demand!$B$6:$B$265,0),MATCH('SPC Backing (Hide)'!O$3,Demand!$E$5:$S$5,0))</f>
        <v>0</v>
      </c>
      <c r="P80" s="5">
        <f>INDEX(Demand!$E$6:$S$265,MATCH('SPC Backing (Hide)'!$B80,Demand!$B$6:$B$265,0),MATCH('SPC Backing (Hide)'!P$3,Demand!$E$5:$S$5,0))</f>
        <v>0</v>
      </c>
      <c r="Q80" s="6">
        <f>INDEX(Demand!$E$6:$S$265,MATCH('SPC Backing (Hide)'!$B80,Demand!$B$6:$B$265,0),MATCH('SPC Backing (Hide)'!Q$3,Demand!$E$5:$S$5,0))</f>
        <v>0</v>
      </c>
      <c r="R80">
        <f>IF(SPC!$B$11="Yes",IF(ROW(A77)&gt;=Demand!$A$5-52,1,0),IF(AND(B80&gt;=SPC!$B$12,B80&lt;SPC!$B$13),1,0))</f>
        <v>1</v>
      </c>
      <c r="S80" cm="1">
        <f t="array" ref="S80">INDEX($C$4:$Q$263,ROW(A77),MATCH($T$2,$C$3:$Q$3,0))</f>
        <v>0</v>
      </c>
      <c r="T80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80" cm="1">
        <f t="array" ref="U80">ABS(INDEX($C$4:$Q$263,ROW(A77),MATCH($T$2,$C$3:$Q$3,0))-INDEX($C$4:$Q$263,ROW(A76),MATCH($T$2,$C$3:$Q$3,0)))</f>
        <v>0</v>
      </c>
      <c r="V80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80">
        <f t="shared" si="15"/>
        <v>40.813595610865789</v>
      </c>
      <c r="X80">
        <f t="shared" si="16"/>
        <v>108.80449618627055</v>
      </c>
      <c r="Y80">
        <f t="shared" si="17"/>
        <v>149.61809179713634</v>
      </c>
      <c r="Z80">
        <f t="shared" si="18"/>
        <v>190.43168740800212</v>
      </c>
      <c r="AA80">
        <f t="shared" si="19"/>
        <v>272.05887862973373</v>
      </c>
      <c r="AB80">
        <f t="shared" si="20"/>
        <v>312.8724742405995</v>
      </c>
      <c r="AC80">
        <f t="shared" si="21"/>
        <v>353.68606985146528</v>
      </c>
      <c r="AD80">
        <f t="shared" si="22"/>
        <v>0</v>
      </c>
      <c r="AE80">
        <f t="shared" si="29"/>
        <v>-2</v>
      </c>
      <c r="AF80">
        <f t="shared" si="23"/>
        <v>0</v>
      </c>
      <c r="AG80">
        <f t="shared" si="24"/>
        <v>0</v>
      </c>
      <c r="AH80" t="e">
        <f t="shared" si="25"/>
        <v>#N/A</v>
      </c>
      <c r="AI80">
        <f t="shared" si="26"/>
        <v>-1</v>
      </c>
      <c r="AJ80">
        <f t="shared" si="27"/>
        <v>0</v>
      </c>
      <c r="AK80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80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80">
        <f t="shared" si="28"/>
        <v>14.699999999999989</v>
      </c>
    </row>
    <row r="81" spans="2:39" x14ac:dyDescent="0.35">
      <c r="B81" s="12" t="str">
        <f>Demand!B83</f>
        <v/>
      </c>
      <c r="C81" s="7">
        <f>INDEX(Demand!$E$6:$S$265,MATCH('SPC Backing (Hide)'!$B81,Demand!$B$6:$B$265,0),MATCH('SPC Backing (Hide)'!C$3,Demand!$E$5:$S$5,0))</f>
        <v>0</v>
      </c>
      <c r="D81" s="5">
        <f>INDEX(Demand!$E$6:$S$265,MATCH('SPC Backing (Hide)'!$B81,Demand!$B$6:$B$265,0),MATCH('SPC Backing (Hide)'!D$3,Demand!$E$5:$S$5,0))</f>
        <v>0</v>
      </c>
      <c r="E81" s="5">
        <f>INDEX(Demand!$E$6:$S$265,MATCH('SPC Backing (Hide)'!$B81,Demand!$B$6:$B$265,0),MATCH('SPC Backing (Hide)'!E$3,Demand!$E$5:$S$5,0))</f>
        <v>0</v>
      </c>
      <c r="F81" s="5">
        <f>INDEX(Demand!$E$6:$S$265,MATCH('SPC Backing (Hide)'!$B81,Demand!$B$6:$B$265,0),MATCH('SPC Backing (Hide)'!F$3,Demand!$E$5:$S$5,0))</f>
        <v>0</v>
      </c>
      <c r="G81" s="5">
        <f>INDEX(Demand!$E$6:$S$265,MATCH('SPC Backing (Hide)'!$B81,Demand!$B$6:$B$265,0),MATCH('SPC Backing (Hide)'!G$3,Demand!$E$5:$S$5,0))</f>
        <v>0</v>
      </c>
      <c r="H81" s="5">
        <f>INDEX(Demand!$E$6:$S$265,MATCH('SPC Backing (Hide)'!$B81,Demand!$B$6:$B$265,0),MATCH('SPC Backing (Hide)'!H$3,Demand!$E$5:$S$5,0))</f>
        <v>0</v>
      </c>
      <c r="I81" s="5">
        <f>INDEX(Demand!$E$6:$S$265,MATCH('SPC Backing (Hide)'!$B81,Demand!$B$6:$B$265,0),MATCH('SPC Backing (Hide)'!I$3,Demand!$E$5:$S$5,0))</f>
        <v>0</v>
      </c>
      <c r="J81" s="5">
        <f>INDEX(Demand!$E$6:$S$265,MATCH('SPC Backing (Hide)'!$B81,Demand!$B$6:$B$265,0),MATCH('SPC Backing (Hide)'!J$3,Demand!$E$5:$S$5,0))</f>
        <v>0</v>
      </c>
      <c r="K81" s="5">
        <f>INDEX(Demand!$E$6:$S$265,MATCH('SPC Backing (Hide)'!$B81,Demand!$B$6:$B$265,0),MATCH('SPC Backing (Hide)'!K$3,Demand!$E$5:$S$5,0))</f>
        <v>0</v>
      </c>
      <c r="L81" s="5">
        <f>INDEX(Demand!$E$6:$S$265,MATCH('SPC Backing (Hide)'!$B81,Demand!$B$6:$B$265,0),MATCH('SPC Backing (Hide)'!L$3,Demand!$E$5:$S$5,0))</f>
        <v>0</v>
      </c>
      <c r="M81" s="5">
        <f>INDEX(Demand!$E$6:$S$265,MATCH('SPC Backing (Hide)'!$B81,Demand!$B$6:$B$265,0),MATCH('SPC Backing (Hide)'!M$3,Demand!$E$5:$S$5,0))</f>
        <v>0</v>
      </c>
      <c r="N81" s="5">
        <f>INDEX(Demand!$E$6:$S$265,MATCH('SPC Backing (Hide)'!$B81,Demand!$B$6:$B$265,0),MATCH('SPC Backing (Hide)'!N$3,Demand!$E$5:$S$5,0))</f>
        <v>0</v>
      </c>
      <c r="O81" s="5">
        <f>INDEX(Demand!$E$6:$S$265,MATCH('SPC Backing (Hide)'!$B81,Demand!$B$6:$B$265,0),MATCH('SPC Backing (Hide)'!O$3,Demand!$E$5:$S$5,0))</f>
        <v>0</v>
      </c>
      <c r="P81" s="5">
        <f>INDEX(Demand!$E$6:$S$265,MATCH('SPC Backing (Hide)'!$B81,Demand!$B$6:$B$265,0),MATCH('SPC Backing (Hide)'!P$3,Demand!$E$5:$S$5,0))</f>
        <v>0</v>
      </c>
      <c r="Q81" s="6">
        <f>INDEX(Demand!$E$6:$S$265,MATCH('SPC Backing (Hide)'!$B81,Demand!$B$6:$B$265,0),MATCH('SPC Backing (Hide)'!Q$3,Demand!$E$5:$S$5,0))</f>
        <v>0</v>
      </c>
      <c r="R81">
        <f>IF(SPC!$B$11="Yes",IF(ROW(A78)&gt;=Demand!$A$5-52,1,0),IF(AND(B81&gt;=SPC!$B$12,B81&lt;SPC!$B$13),1,0))</f>
        <v>1</v>
      </c>
      <c r="S81" cm="1">
        <f t="array" ref="S81">INDEX($C$4:$Q$263,ROW(A78),MATCH($T$2,$C$3:$Q$3,0))</f>
        <v>0</v>
      </c>
      <c r="T81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81" cm="1">
        <f t="array" ref="U81">ABS(INDEX($C$4:$Q$263,ROW(A78),MATCH($T$2,$C$3:$Q$3,0))-INDEX($C$4:$Q$263,ROW(A77),MATCH($T$2,$C$3:$Q$3,0)))</f>
        <v>0</v>
      </c>
      <c r="V81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81">
        <f t="shared" si="15"/>
        <v>40.813595610865789</v>
      </c>
      <c r="X81">
        <f t="shared" si="16"/>
        <v>108.80449618627055</v>
      </c>
      <c r="Y81">
        <f t="shared" si="17"/>
        <v>149.61809179713634</v>
      </c>
      <c r="Z81">
        <f t="shared" si="18"/>
        <v>190.43168740800212</v>
      </c>
      <c r="AA81">
        <f t="shared" si="19"/>
        <v>272.05887862973373</v>
      </c>
      <c r="AB81">
        <f t="shared" si="20"/>
        <v>312.8724742405995</v>
      </c>
      <c r="AC81">
        <f t="shared" si="21"/>
        <v>353.68606985146528</v>
      </c>
      <c r="AD81">
        <f t="shared" si="22"/>
        <v>0</v>
      </c>
      <c r="AE81">
        <f t="shared" si="29"/>
        <v>-2</v>
      </c>
      <c r="AF81">
        <f t="shared" si="23"/>
        <v>0</v>
      </c>
      <c r="AG81">
        <f t="shared" si="24"/>
        <v>0</v>
      </c>
      <c r="AH81" t="e">
        <f t="shared" si="25"/>
        <v>#N/A</v>
      </c>
      <c r="AI81">
        <f t="shared" si="26"/>
        <v>-1</v>
      </c>
      <c r="AJ81">
        <f t="shared" si="27"/>
        <v>0</v>
      </c>
      <c r="AK81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81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81">
        <f t="shared" si="28"/>
        <v>14.699999999999989</v>
      </c>
    </row>
    <row r="82" spans="2:39" x14ac:dyDescent="0.35">
      <c r="B82" s="12" t="str">
        <f>Demand!B84</f>
        <v/>
      </c>
      <c r="C82" s="7">
        <f>INDEX(Demand!$E$6:$S$265,MATCH('SPC Backing (Hide)'!$B82,Demand!$B$6:$B$265,0),MATCH('SPC Backing (Hide)'!C$3,Demand!$E$5:$S$5,0))</f>
        <v>0</v>
      </c>
      <c r="D82" s="5">
        <f>INDEX(Demand!$E$6:$S$265,MATCH('SPC Backing (Hide)'!$B82,Demand!$B$6:$B$265,0),MATCH('SPC Backing (Hide)'!D$3,Demand!$E$5:$S$5,0))</f>
        <v>0</v>
      </c>
      <c r="E82" s="5">
        <f>INDEX(Demand!$E$6:$S$265,MATCH('SPC Backing (Hide)'!$B82,Demand!$B$6:$B$265,0),MATCH('SPC Backing (Hide)'!E$3,Demand!$E$5:$S$5,0))</f>
        <v>0</v>
      </c>
      <c r="F82" s="5">
        <f>INDEX(Demand!$E$6:$S$265,MATCH('SPC Backing (Hide)'!$B82,Demand!$B$6:$B$265,0),MATCH('SPC Backing (Hide)'!F$3,Demand!$E$5:$S$5,0))</f>
        <v>0</v>
      </c>
      <c r="G82" s="5">
        <f>INDEX(Demand!$E$6:$S$265,MATCH('SPC Backing (Hide)'!$B82,Demand!$B$6:$B$265,0),MATCH('SPC Backing (Hide)'!G$3,Demand!$E$5:$S$5,0))</f>
        <v>0</v>
      </c>
      <c r="H82" s="5">
        <f>INDEX(Demand!$E$6:$S$265,MATCH('SPC Backing (Hide)'!$B82,Demand!$B$6:$B$265,0),MATCH('SPC Backing (Hide)'!H$3,Demand!$E$5:$S$5,0))</f>
        <v>0</v>
      </c>
      <c r="I82" s="5">
        <f>INDEX(Demand!$E$6:$S$265,MATCH('SPC Backing (Hide)'!$B82,Demand!$B$6:$B$265,0),MATCH('SPC Backing (Hide)'!I$3,Demand!$E$5:$S$5,0))</f>
        <v>0</v>
      </c>
      <c r="J82" s="5">
        <f>INDEX(Demand!$E$6:$S$265,MATCH('SPC Backing (Hide)'!$B82,Demand!$B$6:$B$265,0),MATCH('SPC Backing (Hide)'!J$3,Demand!$E$5:$S$5,0))</f>
        <v>0</v>
      </c>
      <c r="K82" s="5">
        <f>INDEX(Demand!$E$6:$S$265,MATCH('SPC Backing (Hide)'!$B82,Demand!$B$6:$B$265,0),MATCH('SPC Backing (Hide)'!K$3,Demand!$E$5:$S$5,0))</f>
        <v>0</v>
      </c>
      <c r="L82" s="5">
        <f>INDEX(Demand!$E$6:$S$265,MATCH('SPC Backing (Hide)'!$B82,Demand!$B$6:$B$265,0),MATCH('SPC Backing (Hide)'!L$3,Demand!$E$5:$S$5,0))</f>
        <v>0</v>
      </c>
      <c r="M82" s="5">
        <f>INDEX(Demand!$E$6:$S$265,MATCH('SPC Backing (Hide)'!$B82,Demand!$B$6:$B$265,0),MATCH('SPC Backing (Hide)'!M$3,Demand!$E$5:$S$5,0))</f>
        <v>0</v>
      </c>
      <c r="N82" s="5">
        <f>INDEX(Demand!$E$6:$S$265,MATCH('SPC Backing (Hide)'!$B82,Demand!$B$6:$B$265,0),MATCH('SPC Backing (Hide)'!N$3,Demand!$E$5:$S$5,0))</f>
        <v>0</v>
      </c>
      <c r="O82" s="5">
        <f>INDEX(Demand!$E$6:$S$265,MATCH('SPC Backing (Hide)'!$B82,Demand!$B$6:$B$265,0),MATCH('SPC Backing (Hide)'!O$3,Demand!$E$5:$S$5,0))</f>
        <v>0</v>
      </c>
      <c r="P82" s="5">
        <f>INDEX(Demand!$E$6:$S$265,MATCH('SPC Backing (Hide)'!$B82,Demand!$B$6:$B$265,0),MATCH('SPC Backing (Hide)'!P$3,Demand!$E$5:$S$5,0))</f>
        <v>0</v>
      </c>
      <c r="Q82" s="6">
        <f>INDEX(Demand!$E$6:$S$265,MATCH('SPC Backing (Hide)'!$B82,Demand!$B$6:$B$265,0),MATCH('SPC Backing (Hide)'!Q$3,Demand!$E$5:$S$5,0))</f>
        <v>0</v>
      </c>
      <c r="R82">
        <f>IF(SPC!$B$11="Yes",IF(ROW(A79)&gt;=Demand!$A$5-52,1,0),IF(AND(B82&gt;=SPC!$B$12,B82&lt;SPC!$B$13),1,0))</f>
        <v>1</v>
      </c>
      <c r="S82" cm="1">
        <f t="array" ref="S82">INDEX($C$4:$Q$263,ROW(A79),MATCH($T$2,$C$3:$Q$3,0))</f>
        <v>0</v>
      </c>
      <c r="T82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82" cm="1">
        <f t="array" ref="U82">ABS(INDEX($C$4:$Q$263,ROW(A79),MATCH($T$2,$C$3:$Q$3,0))-INDEX($C$4:$Q$263,ROW(A78),MATCH($T$2,$C$3:$Q$3,0)))</f>
        <v>0</v>
      </c>
      <c r="V82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82">
        <f t="shared" si="15"/>
        <v>40.813595610865789</v>
      </c>
      <c r="X82">
        <f t="shared" si="16"/>
        <v>108.80449618627055</v>
      </c>
      <c r="Y82">
        <f t="shared" si="17"/>
        <v>149.61809179713634</v>
      </c>
      <c r="Z82">
        <f t="shared" si="18"/>
        <v>190.43168740800212</v>
      </c>
      <c r="AA82">
        <f t="shared" si="19"/>
        <v>272.05887862973373</v>
      </c>
      <c r="AB82">
        <f t="shared" si="20"/>
        <v>312.8724742405995</v>
      </c>
      <c r="AC82">
        <f t="shared" si="21"/>
        <v>353.68606985146528</v>
      </c>
      <c r="AD82">
        <f t="shared" si="22"/>
        <v>0</v>
      </c>
      <c r="AE82">
        <f t="shared" si="29"/>
        <v>-2</v>
      </c>
      <c r="AF82">
        <f t="shared" si="23"/>
        <v>0</v>
      </c>
      <c r="AG82">
        <f t="shared" si="24"/>
        <v>0</v>
      </c>
      <c r="AH82" t="e">
        <f t="shared" si="25"/>
        <v>#N/A</v>
      </c>
      <c r="AI82">
        <f t="shared" si="26"/>
        <v>-1</v>
      </c>
      <c r="AJ82">
        <f t="shared" si="27"/>
        <v>0</v>
      </c>
      <c r="AK82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82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82">
        <f t="shared" si="28"/>
        <v>14.699999999999989</v>
      </c>
    </row>
    <row r="83" spans="2:39" x14ac:dyDescent="0.35">
      <c r="B83" s="12" t="str">
        <f>Demand!B85</f>
        <v/>
      </c>
      <c r="C83" s="7">
        <f>INDEX(Demand!$E$6:$S$265,MATCH('SPC Backing (Hide)'!$B83,Demand!$B$6:$B$265,0),MATCH('SPC Backing (Hide)'!C$3,Demand!$E$5:$S$5,0))</f>
        <v>0</v>
      </c>
      <c r="D83" s="5">
        <f>INDEX(Demand!$E$6:$S$265,MATCH('SPC Backing (Hide)'!$B83,Demand!$B$6:$B$265,0),MATCH('SPC Backing (Hide)'!D$3,Demand!$E$5:$S$5,0))</f>
        <v>0</v>
      </c>
      <c r="E83" s="5">
        <f>INDEX(Demand!$E$6:$S$265,MATCH('SPC Backing (Hide)'!$B83,Demand!$B$6:$B$265,0),MATCH('SPC Backing (Hide)'!E$3,Demand!$E$5:$S$5,0))</f>
        <v>0</v>
      </c>
      <c r="F83" s="5">
        <f>INDEX(Demand!$E$6:$S$265,MATCH('SPC Backing (Hide)'!$B83,Demand!$B$6:$B$265,0),MATCH('SPC Backing (Hide)'!F$3,Demand!$E$5:$S$5,0))</f>
        <v>0</v>
      </c>
      <c r="G83" s="5">
        <f>INDEX(Demand!$E$6:$S$265,MATCH('SPC Backing (Hide)'!$B83,Demand!$B$6:$B$265,0),MATCH('SPC Backing (Hide)'!G$3,Demand!$E$5:$S$5,0))</f>
        <v>0</v>
      </c>
      <c r="H83" s="5">
        <f>INDEX(Demand!$E$6:$S$265,MATCH('SPC Backing (Hide)'!$B83,Demand!$B$6:$B$265,0),MATCH('SPC Backing (Hide)'!H$3,Demand!$E$5:$S$5,0))</f>
        <v>0</v>
      </c>
      <c r="I83" s="5">
        <f>INDEX(Demand!$E$6:$S$265,MATCH('SPC Backing (Hide)'!$B83,Demand!$B$6:$B$265,0),MATCH('SPC Backing (Hide)'!I$3,Demand!$E$5:$S$5,0))</f>
        <v>0</v>
      </c>
      <c r="J83" s="5">
        <f>INDEX(Demand!$E$6:$S$265,MATCH('SPC Backing (Hide)'!$B83,Demand!$B$6:$B$265,0),MATCH('SPC Backing (Hide)'!J$3,Demand!$E$5:$S$5,0))</f>
        <v>0</v>
      </c>
      <c r="K83" s="5">
        <f>INDEX(Demand!$E$6:$S$265,MATCH('SPC Backing (Hide)'!$B83,Demand!$B$6:$B$265,0),MATCH('SPC Backing (Hide)'!K$3,Demand!$E$5:$S$5,0))</f>
        <v>0</v>
      </c>
      <c r="L83" s="5">
        <f>INDEX(Demand!$E$6:$S$265,MATCH('SPC Backing (Hide)'!$B83,Demand!$B$6:$B$265,0),MATCH('SPC Backing (Hide)'!L$3,Demand!$E$5:$S$5,0))</f>
        <v>0</v>
      </c>
      <c r="M83" s="5">
        <f>INDEX(Demand!$E$6:$S$265,MATCH('SPC Backing (Hide)'!$B83,Demand!$B$6:$B$265,0),MATCH('SPC Backing (Hide)'!M$3,Demand!$E$5:$S$5,0))</f>
        <v>0</v>
      </c>
      <c r="N83" s="5">
        <f>INDEX(Demand!$E$6:$S$265,MATCH('SPC Backing (Hide)'!$B83,Demand!$B$6:$B$265,0),MATCH('SPC Backing (Hide)'!N$3,Demand!$E$5:$S$5,0))</f>
        <v>0</v>
      </c>
      <c r="O83" s="5">
        <f>INDEX(Demand!$E$6:$S$265,MATCH('SPC Backing (Hide)'!$B83,Demand!$B$6:$B$265,0),MATCH('SPC Backing (Hide)'!O$3,Demand!$E$5:$S$5,0))</f>
        <v>0</v>
      </c>
      <c r="P83" s="5">
        <f>INDEX(Demand!$E$6:$S$265,MATCH('SPC Backing (Hide)'!$B83,Demand!$B$6:$B$265,0),MATCH('SPC Backing (Hide)'!P$3,Demand!$E$5:$S$5,0))</f>
        <v>0</v>
      </c>
      <c r="Q83" s="6">
        <f>INDEX(Demand!$E$6:$S$265,MATCH('SPC Backing (Hide)'!$B83,Demand!$B$6:$B$265,0),MATCH('SPC Backing (Hide)'!Q$3,Demand!$E$5:$S$5,0))</f>
        <v>0</v>
      </c>
      <c r="R83">
        <f>IF(SPC!$B$11="Yes",IF(ROW(A80)&gt;=Demand!$A$5-52,1,0),IF(AND(B83&gt;=SPC!$B$12,B83&lt;SPC!$B$13),1,0))</f>
        <v>1</v>
      </c>
      <c r="S83" cm="1">
        <f t="array" ref="S83">INDEX($C$4:$Q$263,ROW(A80),MATCH($T$2,$C$3:$Q$3,0))</f>
        <v>0</v>
      </c>
      <c r="T83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83" cm="1">
        <f t="array" ref="U83">ABS(INDEX($C$4:$Q$263,ROW(A80),MATCH($T$2,$C$3:$Q$3,0))-INDEX($C$4:$Q$263,ROW(A79),MATCH($T$2,$C$3:$Q$3,0)))</f>
        <v>0</v>
      </c>
      <c r="V83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83">
        <f t="shared" si="15"/>
        <v>40.813595610865789</v>
      </c>
      <c r="X83">
        <f t="shared" si="16"/>
        <v>108.80449618627055</v>
      </c>
      <c r="Y83">
        <f t="shared" si="17"/>
        <v>149.61809179713634</v>
      </c>
      <c r="Z83">
        <f t="shared" si="18"/>
        <v>190.43168740800212</v>
      </c>
      <c r="AA83">
        <f t="shared" si="19"/>
        <v>272.05887862973373</v>
      </c>
      <c r="AB83">
        <f t="shared" si="20"/>
        <v>312.8724742405995</v>
      </c>
      <c r="AC83">
        <f t="shared" si="21"/>
        <v>353.68606985146528</v>
      </c>
      <c r="AD83">
        <f t="shared" si="22"/>
        <v>0</v>
      </c>
      <c r="AE83">
        <f t="shared" si="29"/>
        <v>-2</v>
      </c>
      <c r="AF83">
        <f t="shared" si="23"/>
        <v>0</v>
      </c>
      <c r="AG83">
        <f t="shared" si="24"/>
        <v>0</v>
      </c>
      <c r="AH83" t="e">
        <f t="shared" si="25"/>
        <v>#N/A</v>
      </c>
      <c r="AI83">
        <f t="shared" si="26"/>
        <v>-1</v>
      </c>
      <c r="AJ83">
        <f t="shared" si="27"/>
        <v>0</v>
      </c>
      <c r="AK83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83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83">
        <f t="shared" si="28"/>
        <v>14.699999999999989</v>
      </c>
    </row>
    <row r="84" spans="2:39" x14ac:dyDescent="0.35">
      <c r="B84" s="12" t="str">
        <f>Demand!B86</f>
        <v/>
      </c>
      <c r="C84" s="7">
        <f>INDEX(Demand!$E$6:$S$265,MATCH('SPC Backing (Hide)'!$B84,Demand!$B$6:$B$265,0),MATCH('SPC Backing (Hide)'!C$3,Demand!$E$5:$S$5,0))</f>
        <v>0</v>
      </c>
      <c r="D84" s="5">
        <f>INDEX(Demand!$E$6:$S$265,MATCH('SPC Backing (Hide)'!$B84,Demand!$B$6:$B$265,0),MATCH('SPC Backing (Hide)'!D$3,Demand!$E$5:$S$5,0))</f>
        <v>0</v>
      </c>
      <c r="E84" s="5">
        <f>INDEX(Demand!$E$6:$S$265,MATCH('SPC Backing (Hide)'!$B84,Demand!$B$6:$B$265,0),MATCH('SPC Backing (Hide)'!E$3,Demand!$E$5:$S$5,0))</f>
        <v>0</v>
      </c>
      <c r="F84" s="5">
        <f>INDEX(Demand!$E$6:$S$265,MATCH('SPC Backing (Hide)'!$B84,Demand!$B$6:$B$265,0),MATCH('SPC Backing (Hide)'!F$3,Demand!$E$5:$S$5,0))</f>
        <v>0</v>
      </c>
      <c r="G84" s="5">
        <f>INDEX(Demand!$E$6:$S$265,MATCH('SPC Backing (Hide)'!$B84,Demand!$B$6:$B$265,0),MATCH('SPC Backing (Hide)'!G$3,Demand!$E$5:$S$5,0))</f>
        <v>0</v>
      </c>
      <c r="H84" s="5">
        <f>INDEX(Demand!$E$6:$S$265,MATCH('SPC Backing (Hide)'!$B84,Demand!$B$6:$B$265,0),MATCH('SPC Backing (Hide)'!H$3,Demand!$E$5:$S$5,0))</f>
        <v>0</v>
      </c>
      <c r="I84" s="5">
        <f>INDEX(Demand!$E$6:$S$265,MATCH('SPC Backing (Hide)'!$B84,Demand!$B$6:$B$265,0),MATCH('SPC Backing (Hide)'!I$3,Demand!$E$5:$S$5,0))</f>
        <v>0</v>
      </c>
      <c r="J84" s="5">
        <f>INDEX(Demand!$E$6:$S$265,MATCH('SPC Backing (Hide)'!$B84,Demand!$B$6:$B$265,0),MATCH('SPC Backing (Hide)'!J$3,Demand!$E$5:$S$5,0))</f>
        <v>0</v>
      </c>
      <c r="K84" s="5">
        <f>INDEX(Demand!$E$6:$S$265,MATCH('SPC Backing (Hide)'!$B84,Demand!$B$6:$B$265,0),MATCH('SPC Backing (Hide)'!K$3,Demand!$E$5:$S$5,0))</f>
        <v>0</v>
      </c>
      <c r="L84" s="5">
        <f>INDEX(Demand!$E$6:$S$265,MATCH('SPC Backing (Hide)'!$B84,Demand!$B$6:$B$265,0),MATCH('SPC Backing (Hide)'!L$3,Demand!$E$5:$S$5,0))</f>
        <v>0</v>
      </c>
      <c r="M84" s="5">
        <f>INDEX(Demand!$E$6:$S$265,MATCH('SPC Backing (Hide)'!$B84,Demand!$B$6:$B$265,0),MATCH('SPC Backing (Hide)'!M$3,Demand!$E$5:$S$5,0))</f>
        <v>0</v>
      </c>
      <c r="N84" s="5">
        <f>INDEX(Demand!$E$6:$S$265,MATCH('SPC Backing (Hide)'!$B84,Demand!$B$6:$B$265,0),MATCH('SPC Backing (Hide)'!N$3,Demand!$E$5:$S$5,0))</f>
        <v>0</v>
      </c>
      <c r="O84" s="5">
        <f>INDEX(Demand!$E$6:$S$265,MATCH('SPC Backing (Hide)'!$B84,Demand!$B$6:$B$265,0),MATCH('SPC Backing (Hide)'!O$3,Demand!$E$5:$S$5,0))</f>
        <v>0</v>
      </c>
      <c r="P84" s="5">
        <f>INDEX(Demand!$E$6:$S$265,MATCH('SPC Backing (Hide)'!$B84,Demand!$B$6:$B$265,0),MATCH('SPC Backing (Hide)'!P$3,Demand!$E$5:$S$5,0))</f>
        <v>0</v>
      </c>
      <c r="Q84" s="6">
        <f>INDEX(Demand!$E$6:$S$265,MATCH('SPC Backing (Hide)'!$B84,Demand!$B$6:$B$265,0),MATCH('SPC Backing (Hide)'!Q$3,Demand!$E$5:$S$5,0))</f>
        <v>0</v>
      </c>
      <c r="R84">
        <f>IF(SPC!$B$11="Yes",IF(ROW(A81)&gt;=Demand!$A$5-52,1,0),IF(AND(B84&gt;=SPC!$B$12,B84&lt;SPC!$B$13),1,0))</f>
        <v>1</v>
      </c>
      <c r="S84" cm="1">
        <f t="array" ref="S84">INDEX($C$4:$Q$263,ROW(A81),MATCH($T$2,$C$3:$Q$3,0))</f>
        <v>0</v>
      </c>
      <c r="T84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84" cm="1">
        <f t="array" ref="U84">ABS(INDEX($C$4:$Q$263,ROW(A81),MATCH($T$2,$C$3:$Q$3,0))-INDEX($C$4:$Q$263,ROW(A80),MATCH($T$2,$C$3:$Q$3,0)))</f>
        <v>0</v>
      </c>
      <c r="V84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84">
        <f t="shared" si="15"/>
        <v>40.813595610865789</v>
      </c>
      <c r="X84">
        <f t="shared" si="16"/>
        <v>108.80449618627055</v>
      </c>
      <c r="Y84">
        <f t="shared" si="17"/>
        <v>149.61809179713634</v>
      </c>
      <c r="Z84">
        <f t="shared" si="18"/>
        <v>190.43168740800212</v>
      </c>
      <c r="AA84">
        <f t="shared" si="19"/>
        <v>272.05887862973373</v>
      </c>
      <c r="AB84">
        <f t="shared" si="20"/>
        <v>312.8724742405995</v>
      </c>
      <c r="AC84">
        <f t="shared" si="21"/>
        <v>353.68606985146528</v>
      </c>
      <c r="AD84">
        <f t="shared" si="22"/>
        <v>0</v>
      </c>
      <c r="AE84">
        <f t="shared" si="29"/>
        <v>-2</v>
      </c>
      <c r="AF84">
        <f t="shared" si="23"/>
        <v>0</v>
      </c>
      <c r="AG84">
        <f t="shared" si="24"/>
        <v>0</v>
      </c>
      <c r="AH84" t="e">
        <f t="shared" si="25"/>
        <v>#N/A</v>
      </c>
      <c r="AI84">
        <f t="shared" si="26"/>
        <v>-1</v>
      </c>
      <c r="AJ84">
        <f t="shared" si="27"/>
        <v>0</v>
      </c>
      <c r="AK84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84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84">
        <f t="shared" si="28"/>
        <v>14.699999999999989</v>
      </c>
    </row>
    <row r="85" spans="2:39" x14ac:dyDescent="0.35">
      <c r="B85" s="12" t="str">
        <f>Demand!B87</f>
        <v/>
      </c>
      <c r="C85" s="7">
        <f>INDEX(Demand!$E$6:$S$265,MATCH('SPC Backing (Hide)'!$B85,Demand!$B$6:$B$265,0),MATCH('SPC Backing (Hide)'!C$3,Demand!$E$5:$S$5,0))</f>
        <v>0</v>
      </c>
      <c r="D85" s="5">
        <f>INDEX(Demand!$E$6:$S$265,MATCH('SPC Backing (Hide)'!$B85,Demand!$B$6:$B$265,0),MATCH('SPC Backing (Hide)'!D$3,Demand!$E$5:$S$5,0))</f>
        <v>0</v>
      </c>
      <c r="E85" s="5">
        <f>INDEX(Demand!$E$6:$S$265,MATCH('SPC Backing (Hide)'!$B85,Demand!$B$6:$B$265,0),MATCH('SPC Backing (Hide)'!E$3,Demand!$E$5:$S$5,0))</f>
        <v>0</v>
      </c>
      <c r="F85" s="5">
        <f>INDEX(Demand!$E$6:$S$265,MATCH('SPC Backing (Hide)'!$B85,Demand!$B$6:$B$265,0),MATCH('SPC Backing (Hide)'!F$3,Demand!$E$5:$S$5,0))</f>
        <v>0</v>
      </c>
      <c r="G85" s="5">
        <f>INDEX(Demand!$E$6:$S$265,MATCH('SPC Backing (Hide)'!$B85,Demand!$B$6:$B$265,0),MATCH('SPC Backing (Hide)'!G$3,Demand!$E$5:$S$5,0))</f>
        <v>0</v>
      </c>
      <c r="H85" s="5">
        <f>INDEX(Demand!$E$6:$S$265,MATCH('SPC Backing (Hide)'!$B85,Demand!$B$6:$B$265,0),MATCH('SPC Backing (Hide)'!H$3,Demand!$E$5:$S$5,0))</f>
        <v>0</v>
      </c>
      <c r="I85" s="5">
        <f>INDEX(Demand!$E$6:$S$265,MATCH('SPC Backing (Hide)'!$B85,Demand!$B$6:$B$265,0),MATCH('SPC Backing (Hide)'!I$3,Demand!$E$5:$S$5,0))</f>
        <v>0</v>
      </c>
      <c r="J85" s="5">
        <f>INDEX(Demand!$E$6:$S$265,MATCH('SPC Backing (Hide)'!$B85,Demand!$B$6:$B$265,0),MATCH('SPC Backing (Hide)'!J$3,Demand!$E$5:$S$5,0))</f>
        <v>0</v>
      </c>
      <c r="K85" s="5">
        <f>INDEX(Demand!$E$6:$S$265,MATCH('SPC Backing (Hide)'!$B85,Demand!$B$6:$B$265,0),MATCH('SPC Backing (Hide)'!K$3,Demand!$E$5:$S$5,0))</f>
        <v>0</v>
      </c>
      <c r="L85" s="5">
        <f>INDEX(Demand!$E$6:$S$265,MATCH('SPC Backing (Hide)'!$B85,Demand!$B$6:$B$265,0),MATCH('SPC Backing (Hide)'!L$3,Demand!$E$5:$S$5,0))</f>
        <v>0</v>
      </c>
      <c r="M85" s="5">
        <f>INDEX(Demand!$E$6:$S$265,MATCH('SPC Backing (Hide)'!$B85,Demand!$B$6:$B$265,0),MATCH('SPC Backing (Hide)'!M$3,Demand!$E$5:$S$5,0))</f>
        <v>0</v>
      </c>
      <c r="N85" s="5">
        <f>INDEX(Demand!$E$6:$S$265,MATCH('SPC Backing (Hide)'!$B85,Demand!$B$6:$B$265,0),MATCH('SPC Backing (Hide)'!N$3,Demand!$E$5:$S$5,0))</f>
        <v>0</v>
      </c>
      <c r="O85" s="5">
        <f>INDEX(Demand!$E$6:$S$265,MATCH('SPC Backing (Hide)'!$B85,Demand!$B$6:$B$265,0),MATCH('SPC Backing (Hide)'!O$3,Demand!$E$5:$S$5,0))</f>
        <v>0</v>
      </c>
      <c r="P85" s="5">
        <f>INDEX(Demand!$E$6:$S$265,MATCH('SPC Backing (Hide)'!$B85,Demand!$B$6:$B$265,0),MATCH('SPC Backing (Hide)'!P$3,Demand!$E$5:$S$5,0))</f>
        <v>0</v>
      </c>
      <c r="Q85" s="6">
        <f>INDEX(Demand!$E$6:$S$265,MATCH('SPC Backing (Hide)'!$B85,Demand!$B$6:$B$265,0),MATCH('SPC Backing (Hide)'!Q$3,Demand!$E$5:$S$5,0))</f>
        <v>0</v>
      </c>
      <c r="R85">
        <f>IF(SPC!$B$11="Yes",IF(ROW(A82)&gt;=Demand!$A$5-52,1,0),IF(AND(B85&gt;=SPC!$B$12,B85&lt;SPC!$B$13),1,0))</f>
        <v>1</v>
      </c>
      <c r="S85" cm="1">
        <f t="array" ref="S85">INDEX($C$4:$Q$263,ROW(A82),MATCH($T$2,$C$3:$Q$3,0))</f>
        <v>0</v>
      </c>
      <c r="T85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85" cm="1">
        <f t="array" ref="U85">ABS(INDEX($C$4:$Q$263,ROW(A82),MATCH($T$2,$C$3:$Q$3,0))-INDEX($C$4:$Q$263,ROW(A81),MATCH($T$2,$C$3:$Q$3,0)))</f>
        <v>0</v>
      </c>
      <c r="V85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85">
        <f t="shared" si="15"/>
        <v>40.813595610865789</v>
      </c>
      <c r="X85">
        <f t="shared" si="16"/>
        <v>108.80449618627055</v>
      </c>
      <c r="Y85">
        <f t="shared" si="17"/>
        <v>149.61809179713634</v>
      </c>
      <c r="Z85">
        <f t="shared" si="18"/>
        <v>190.43168740800212</v>
      </c>
      <c r="AA85">
        <f t="shared" si="19"/>
        <v>272.05887862973373</v>
      </c>
      <c r="AB85">
        <f t="shared" si="20"/>
        <v>312.8724742405995</v>
      </c>
      <c r="AC85">
        <f t="shared" si="21"/>
        <v>353.68606985146528</v>
      </c>
      <c r="AD85">
        <f t="shared" si="22"/>
        <v>0</v>
      </c>
      <c r="AE85">
        <f t="shared" si="29"/>
        <v>-2</v>
      </c>
      <c r="AF85">
        <f t="shared" si="23"/>
        <v>0</v>
      </c>
      <c r="AG85">
        <f t="shared" si="24"/>
        <v>0</v>
      </c>
      <c r="AH85" t="e">
        <f t="shared" si="25"/>
        <v>#N/A</v>
      </c>
      <c r="AI85">
        <f t="shared" si="26"/>
        <v>-1</v>
      </c>
      <c r="AJ85">
        <f t="shared" si="27"/>
        <v>0</v>
      </c>
      <c r="AK85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85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85">
        <f t="shared" si="28"/>
        <v>14.699999999999989</v>
      </c>
    </row>
    <row r="86" spans="2:39" x14ac:dyDescent="0.35">
      <c r="B86" s="12" t="str">
        <f>Demand!B88</f>
        <v/>
      </c>
      <c r="C86" s="7">
        <f>INDEX(Demand!$E$6:$S$265,MATCH('SPC Backing (Hide)'!$B86,Demand!$B$6:$B$265,0),MATCH('SPC Backing (Hide)'!C$3,Demand!$E$5:$S$5,0))</f>
        <v>0</v>
      </c>
      <c r="D86" s="5">
        <f>INDEX(Demand!$E$6:$S$265,MATCH('SPC Backing (Hide)'!$B86,Demand!$B$6:$B$265,0),MATCH('SPC Backing (Hide)'!D$3,Demand!$E$5:$S$5,0))</f>
        <v>0</v>
      </c>
      <c r="E86" s="5">
        <f>INDEX(Demand!$E$6:$S$265,MATCH('SPC Backing (Hide)'!$B86,Demand!$B$6:$B$265,0),MATCH('SPC Backing (Hide)'!E$3,Demand!$E$5:$S$5,0))</f>
        <v>0</v>
      </c>
      <c r="F86" s="5">
        <f>INDEX(Demand!$E$6:$S$265,MATCH('SPC Backing (Hide)'!$B86,Demand!$B$6:$B$265,0),MATCH('SPC Backing (Hide)'!F$3,Demand!$E$5:$S$5,0))</f>
        <v>0</v>
      </c>
      <c r="G86" s="5">
        <f>INDEX(Demand!$E$6:$S$265,MATCH('SPC Backing (Hide)'!$B86,Demand!$B$6:$B$265,0),MATCH('SPC Backing (Hide)'!G$3,Demand!$E$5:$S$5,0))</f>
        <v>0</v>
      </c>
      <c r="H86" s="5">
        <f>INDEX(Demand!$E$6:$S$265,MATCH('SPC Backing (Hide)'!$B86,Demand!$B$6:$B$265,0),MATCH('SPC Backing (Hide)'!H$3,Demand!$E$5:$S$5,0))</f>
        <v>0</v>
      </c>
      <c r="I86" s="5">
        <f>INDEX(Demand!$E$6:$S$265,MATCH('SPC Backing (Hide)'!$B86,Demand!$B$6:$B$265,0),MATCH('SPC Backing (Hide)'!I$3,Demand!$E$5:$S$5,0))</f>
        <v>0</v>
      </c>
      <c r="J86" s="5">
        <f>INDEX(Demand!$E$6:$S$265,MATCH('SPC Backing (Hide)'!$B86,Demand!$B$6:$B$265,0),MATCH('SPC Backing (Hide)'!J$3,Demand!$E$5:$S$5,0))</f>
        <v>0</v>
      </c>
      <c r="K86" s="5">
        <f>INDEX(Demand!$E$6:$S$265,MATCH('SPC Backing (Hide)'!$B86,Demand!$B$6:$B$265,0),MATCH('SPC Backing (Hide)'!K$3,Demand!$E$5:$S$5,0))</f>
        <v>0</v>
      </c>
      <c r="L86" s="5">
        <f>INDEX(Demand!$E$6:$S$265,MATCH('SPC Backing (Hide)'!$B86,Demand!$B$6:$B$265,0),MATCH('SPC Backing (Hide)'!L$3,Demand!$E$5:$S$5,0))</f>
        <v>0</v>
      </c>
      <c r="M86" s="5">
        <f>INDEX(Demand!$E$6:$S$265,MATCH('SPC Backing (Hide)'!$B86,Demand!$B$6:$B$265,0),MATCH('SPC Backing (Hide)'!M$3,Demand!$E$5:$S$5,0))</f>
        <v>0</v>
      </c>
      <c r="N86" s="5">
        <f>INDEX(Demand!$E$6:$S$265,MATCH('SPC Backing (Hide)'!$B86,Demand!$B$6:$B$265,0),MATCH('SPC Backing (Hide)'!N$3,Demand!$E$5:$S$5,0))</f>
        <v>0</v>
      </c>
      <c r="O86" s="5">
        <f>INDEX(Demand!$E$6:$S$265,MATCH('SPC Backing (Hide)'!$B86,Demand!$B$6:$B$265,0),MATCH('SPC Backing (Hide)'!O$3,Demand!$E$5:$S$5,0))</f>
        <v>0</v>
      </c>
      <c r="P86" s="5">
        <f>INDEX(Demand!$E$6:$S$265,MATCH('SPC Backing (Hide)'!$B86,Demand!$B$6:$B$265,0),MATCH('SPC Backing (Hide)'!P$3,Demand!$E$5:$S$5,0))</f>
        <v>0</v>
      </c>
      <c r="Q86" s="6">
        <f>INDEX(Demand!$E$6:$S$265,MATCH('SPC Backing (Hide)'!$B86,Demand!$B$6:$B$265,0),MATCH('SPC Backing (Hide)'!Q$3,Demand!$E$5:$S$5,0))</f>
        <v>0</v>
      </c>
      <c r="R86">
        <f>IF(SPC!$B$11="Yes",IF(ROW(A83)&gt;=Demand!$A$5-52,1,0),IF(AND(B86&gt;=SPC!$B$12,B86&lt;SPC!$B$13),1,0))</f>
        <v>1</v>
      </c>
      <c r="S86" cm="1">
        <f t="array" ref="S86">INDEX($C$4:$Q$263,ROW(A83),MATCH($T$2,$C$3:$Q$3,0))</f>
        <v>0</v>
      </c>
      <c r="T86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86" cm="1">
        <f t="array" ref="U86">ABS(INDEX($C$4:$Q$263,ROW(A83),MATCH($T$2,$C$3:$Q$3,0))-INDEX($C$4:$Q$263,ROW(A82),MATCH($T$2,$C$3:$Q$3,0)))</f>
        <v>0</v>
      </c>
      <c r="V86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86">
        <f t="shared" si="15"/>
        <v>40.813595610865789</v>
      </c>
      <c r="X86">
        <f t="shared" si="16"/>
        <v>108.80449618627055</v>
      </c>
      <c r="Y86">
        <f t="shared" si="17"/>
        <v>149.61809179713634</v>
      </c>
      <c r="Z86">
        <f t="shared" si="18"/>
        <v>190.43168740800212</v>
      </c>
      <c r="AA86">
        <f t="shared" si="19"/>
        <v>272.05887862973373</v>
      </c>
      <c r="AB86">
        <f t="shared" si="20"/>
        <v>312.8724742405995</v>
      </c>
      <c r="AC86">
        <f t="shared" si="21"/>
        <v>353.68606985146528</v>
      </c>
      <c r="AD86">
        <f t="shared" si="22"/>
        <v>0</v>
      </c>
      <c r="AE86">
        <f t="shared" si="29"/>
        <v>-2</v>
      </c>
      <c r="AF86">
        <f t="shared" si="23"/>
        <v>0</v>
      </c>
      <c r="AG86">
        <f t="shared" si="24"/>
        <v>0</v>
      </c>
      <c r="AH86" t="e">
        <f t="shared" si="25"/>
        <v>#N/A</v>
      </c>
      <c r="AI86">
        <f t="shared" si="26"/>
        <v>-1</v>
      </c>
      <c r="AJ86">
        <f t="shared" si="27"/>
        <v>0</v>
      </c>
      <c r="AK86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86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86">
        <f t="shared" si="28"/>
        <v>14.699999999999989</v>
      </c>
    </row>
    <row r="87" spans="2:39" x14ac:dyDescent="0.35">
      <c r="B87" s="12" t="str">
        <f>Demand!B89</f>
        <v/>
      </c>
      <c r="C87" s="7">
        <f>INDEX(Demand!$E$6:$S$265,MATCH('SPC Backing (Hide)'!$B87,Demand!$B$6:$B$265,0),MATCH('SPC Backing (Hide)'!C$3,Demand!$E$5:$S$5,0))</f>
        <v>0</v>
      </c>
      <c r="D87" s="5">
        <f>INDEX(Demand!$E$6:$S$265,MATCH('SPC Backing (Hide)'!$B87,Demand!$B$6:$B$265,0),MATCH('SPC Backing (Hide)'!D$3,Demand!$E$5:$S$5,0))</f>
        <v>0</v>
      </c>
      <c r="E87" s="5">
        <f>INDEX(Demand!$E$6:$S$265,MATCH('SPC Backing (Hide)'!$B87,Demand!$B$6:$B$265,0),MATCH('SPC Backing (Hide)'!E$3,Demand!$E$5:$S$5,0))</f>
        <v>0</v>
      </c>
      <c r="F87" s="5">
        <f>INDEX(Demand!$E$6:$S$265,MATCH('SPC Backing (Hide)'!$B87,Demand!$B$6:$B$265,0),MATCH('SPC Backing (Hide)'!F$3,Demand!$E$5:$S$5,0))</f>
        <v>0</v>
      </c>
      <c r="G87" s="5">
        <f>INDEX(Demand!$E$6:$S$265,MATCH('SPC Backing (Hide)'!$B87,Demand!$B$6:$B$265,0),MATCH('SPC Backing (Hide)'!G$3,Demand!$E$5:$S$5,0))</f>
        <v>0</v>
      </c>
      <c r="H87" s="5">
        <f>INDEX(Demand!$E$6:$S$265,MATCH('SPC Backing (Hide)'!$B87,Demand!$B$6:$B$265,0),MATCH('SPC Backing (Hide)'!H$3,Demand!$E$5:$S$5,0))</f>
        <v>0</v>
      </c>
      <c r="I87" s="5">
        <f>INDEX(Demand!$E$6:$S$265,MATCH('SPC Backing (Hide)'!$B87,Demand!$B$6:$B$265,0),MATCH('SPC Backing (Hide)'!I$3,Demand!$E$5:$S$5,0))</f>
        <v>0</v>
      </c>
      <c r="J87" s="5">
        <f>INDEX(Demand!$E$6:$S$265,MATCH('SPC Backing (Hide)'!$B87,Demand!$B$6:$B$265,0),MATCH('SPC Backing (Hide)'!J$3,Demand!$E$5:$S$5,0))</f>
        <v>0</v>
      </c>
      <c r="K87" s="5">
        <f>INDEX(Demand!$E$6:$S$265,MATCH('SPC Backing (Hide)'!$B87,Demand!$B$6:$B$265,0),MATCH('SPC Backing (Hide)'!K$3,Demand!$E$5:$S$5,0))</f>
        <v>0</v>
      </c>
      <c r="L87" s="5">
        <f>INDEX(Demand!$E$6:$S$265,MATCH('SPC Backing (Hide)'!$B87,Demand!$B$6:$B$265,0),MATCH('SPC Backing (Hide)'!L$3,Demand!$E$5:$S$5,0))</f>
        <v>0</v>
      </c>
      <c r="M87" s="5">
        <f>INDEX(Demand!$E$6:$S$265,MATCH('SPC Backing (Hide)'!$B87,Demand!$B$6:$B$265,0),MATCH('SPC Backing (Hide)'!M$3,Demand!$E$5:$S$5,0))</f>
        <v>0</v>
      </c>
      <c r="N87" s="5">
        <f>INDEX(Demand!$E$6:$S$265,MATCH('SPC Backing (Hide)'!$B87,Demand!$B$6:$B$265,0),MATCH('SPC Backing (Hide)'!N$3,Demand!$E$5:$S$5,0))</f>
        <v>0</v>
      </c>
      <c r="O87" s="5">
        <f>INDEX(Demand!$E$6:$S$265,MATCH('SPC Backing (Hide)'!$B87,Demand!$B$6:$B$265,0),MATCH('SPC Backing (Hide)'!O$3,Demand!$E$5:$S$5,0))</f>
        <v>0</v>
      </c>
      <c r="P87" s="5">
        <f>INDEX(Demand!$E$6:$S$265,MATCH('SPC Backing (Hide)'!$B87,Demand!$B$6:$B$265,0),MATCH('SPC Backing (Hide)'!P$3,Demand!$E$5:$S$5,0))</f>
        <v>0</v>
      </c>
      <c r="Q87" s="6">
        <f>INDEX(Demand!$E$6:$S$265,MATCH('SPC Backing (Hide)'!$B87,Demand!$B$6:$B$265,0),MATCH('SPC Backing (Hide)'!Q$3,Demand!$E$5:$S$5,0))</f>
        <v>0</v>
      </c>
      <c r="R87">
        <f>IF(SPC!$B$11="Yes",IF(ROW(A84)&gt;=Demand!$A$5-52,1,0),IF(AND(B87&gt;=SPC!$B$12,B87&lt;SPC!$B$13),1,0))</f>
        <v>1</v>
      </c>
      <c r="S87" cm="1">
        <f t="array" ref="S87">INDEX($C$4:$Q$263,ROW(A84),MATCH($T$2,$C$3:$Q$3,0))</f>
        <v>0</v>
      </c>
      <c r="T87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87" cm="1">
        <f t="array" ref="U87">ABS(INDEX($C$4:$Q$263,ROW(A84),MATCH($T$2,$C$3:$Q$3,0))-INDEX($C$4:$Q$263,ROW(A83),MATCH($T$2,$C$3:$Q$3,0)))</f>
        <v>0</v>
      </c>
      <c r="V87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87">
        <f t="shared" si="15"/>
        <v>40.813595610865789</v>
      </c>
      <c r="X87">
        <f t="shared" si="16"/>
        <v>108.80449618627055</v>
      </c>
      <c r="Y87">
        <f t="shared" si="17"/>
        <v>149.61809179713634</v>
      </c>
      <c r="Z87">
        <f t="shared" si="18"/>
        <v>190.43168740800212</v>
      </c>
      <c r="AA87">
        <f t="shared" si="19"/>
        <v>272.05887862973373</v>
      </c>
      <c r="AB87">
        <f t="shared" si="20"/>
        <v>312.8724742405995</v>
      </c>
      <c r="AC87">
        <f t="shared" si="21"/>
        <v>353.68606985146528</v>
      </c>
      <c r="AD87">
        <f t="shared" si="22"/>
        <v>0</v>
      </c>
      <c r="AE87">
        <f t="shared" si="29"/>
        <v>-2</v>
      </c>
      <c r="AF87">
        <f t="shared" si="23"/>
        <v>0</v>
      </c>
      <c r="AG87">
        <f t="shared" si="24"/>
        <v>0</v>
      </c>
      <c r="AH87" t="e">
        <f t="shared" si="25"/>
        <v>#N/A</v>
      </c>
      <c r="AI87">
        <f t="shared" si="26"/>
        <v>-1</v>
      </c>
      <c r="AJ87">
        <f t="shared" si="27"/>
        <v>0</v>
      </c>
      <c r="AK87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87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87">
        <f t="shared" si="28"/>
        <v>14.699999999999989</v>
      </c>
    </row>
    <row r="88" spans="2:39" x14ac:dyDescent="0.35">
      <c r="B88" s="12" t="str">
        <f>Demand!B90</f>
        <v/>
      </c>
      <c r="C88" s="7">
        <f>INDEX(Demand!$E$6:$S$265,MATCH('SPC Backing (Hide)'!$B88,Demand!$B$6:$B$265,0),MATCH('SPC Backing (Hide)'!C$3,Demand!$E$5:$S$5,0))</f>
        <v>0</v>
      </c>
      <c r="D88" s="5">
        <f>INDEX(Demand!$E$6:$S$265,MATCH('SPC Backing (Hide)'!$B88,Demand!$B$6:$B$265,0),MATCH('SPC Backing (Hide)'!D$3,Demand!$E$5:$S$5,0))</f>
        <v>0</v>
      </c>
      <c r="E88" s="5">
        <f>INDEX(Demand!$E$6:$S$265,MATCH('SPC Backing (Hide)'!$B88,Demand!$B$6:$B$265,0),MATCH('SPC Backing (Hide)'!E$3,Demand!$E$5:$S$5,0))</f>
        <v>0</v>
      </c>
      <c r="F88" s="5">
        <f>INDEX(Demand!$E$6:$S$265,MATCH('SPC Backing (Hide)'!$B88,Demand!$B$6:$B$265,0),MATCH('SPC Backing (Hide)'!F$3,Demand!$E$5:$S$5,0))</f>
        <v>0</v>
      </c>
      <c r="G88" s="5">
        <f>INDEX(Demand!$E$6:$S$265,MATCH('SPC Backing (Hide)'!$B88,Demand!$B$6:$B$265,0),MATCH('SPC Backing (Hide)'!G$3,Demand!$E$5:$S$5,0))</f>
        <v>0</v>
      </c>
      <c r="H88" s="5">
        <f>INDEX(Demand!$E$6:$S$265,MATCH('SPC Backing (Hide)'!$B88,Demand!$B$6:$B$265,0),MATCH('SPC Backing (Hide)'!H$3,Demand!$E$5:$S$5,0))</f>
        <v>0</v>
      </c>
      <c r="I88" s="5">
        <f>INDEX(Demand!$E$6:$S$265,MATCH('SPC Backing (Hide)'!$B88,Demand!$B$6:$B$265,0),MATCH('SPC Backing (Hide)'!I$3,Demand!$E$5:$S$5,0))</f>
        <v>0</v>
      </c>
      <c r="J88" s="5">
        <f>INDEX(Demand!$E$6:$S$265,MATCH('SPC Backing (Hide)'!$B88,Demand!$B$6:$B$265,0),MATCH('SPC Backing (Hide)'!J$3,Demand!$E$5:$S$5,0))</f>
        <v>0</v>
      </c>
      <c r="K88" s="5">
        <f>INDEX(Demand!$E$6:$S$265,MATCH('SPC Backing (Hide)'!$B88,Demand!$B$6:$B$265,0),MATCH('SPC Backing (Hide)'!K$3,Demand!$E$5:$S$5,0))</f>
        <v>0</v>
      </c>
      <c r="L88" s="5">
        <f>INDEX(Demand!$E$6:$S$265,MATCH('SPC Backing (Hide)'!$B88,Demand!$B$6:$B$265,0),MATCH('SPC Backing (Hide)'!L$3,Demand!$E$5:$S$5,0))</f>
        <v>0</v>
      </c>
      <c r="M88" s="5">
        <f>INDEX(Demand!$E$6:$S$265,MATCH('SPC Backing (Hide)'!$B88,Demand!$B$6:$B$265,0),MATCH('SPC Backing (Hide)'!M$3,Demand!$E$5:$S$5,0))</f>
        <v>0</v>
      </c>
      <c r="N88" s="5">
        <f>INDEX(Demand!$E$6:$S$265,MATCH('SPC Backing (Hide)'!$B88,Demand!$B$6:$B$265,0),MATCH('SPC Backing (Hide)'!N$3,Demand!$E$5:$S$5,0))</f>
        <v>0</v>
      </c>
      <c r="O88" s="5">
        <f>INDEX(Demand!$E$6:$S$265,MATCH('SPC Backing (Hide)'!$B88,Demand!$B$6:$B$265,0),MATCH('SPC Backing (Hide)'!O$3,Demand!$E$5:$S$5,0))</f>
        <v>0</v>
      </c>
      <c r="P88" s="5">
        <f>INDEX(Demand!$E$6:$S$265,MATCH('SPC Backing (Hide)'!$B88,Demand!$B$6:$B$265,0),MATCH('SPC Backing (Hide)'!P$3,Demand!$E$5:$S$5,0))</f>
        <v>0</v>
      </c>
      <c r="Q88" s="6">
        <f>INDEX(Demand!$E$6:$S$265,MATCH('SPC Backing (Hide)'!$B88,Demand!$B$6:$B$265,0),MATCH('SPC Backing (Hide)'!Q$3,Demand!$E$5:$S$5,0))</f>
        <v>0</v>
      </c>
      <c r="R88">
        <f>IF(SPC!$B$11="Yes",IF(ROW(A85)&gt;=Demand!$A$5-52,1,0),IF(AND(B88&gt;=SPC!$B$12,B88&lt;SPC!$B$13),1,0))</f>
        <v>1</v>
      </c>
      <c r="S88" cm="1">
        <f t="array" ref="S88">INDEX($C$4:$Q$263,ROW(A85),MATCH($T$2,$C$3:$Q$3,0))</f>
        <v>0</v>
      </c>
      <c r="T88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88" cm="1">
        <f t="array" ref="U88">ABS(INDEX($C$4:$Q$263,ROW(A85),MATCH($T$2,$C$3:$Q$3,0))-INDEX($C$4:$Q$263,ROW(A84),MATCH($T$2,$C$3:$Q$3,0)))</f>
        <v>0</v>
      </c>
      <c r="V88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88">
        <f t="shared" si="15"/>
        <v>40.813595610865789</v>
      </c>
      <c r="X88">
        <f t="shared" si="16"/>
        <v>108.80449618627055</v>
      </c>
      <c r="Y88">
        <f t="shared" si="17"/>
        <v>149.61809179713634</v>
      </c>
      <c r="Z88">
        <f t="shared" si="18"/>
        <v>190.43168740800212</v>
      </c>
      <c r="AA88">
        <f t="shared" si="19"/>
        <v>272.05887862973373</v>
      </c>
      <c r="AB88">
        <f t="shared" si="20"/>
        <v>312.8724742405995</v>
      </c>
      <c r="AC88">
        <f t="shared" si="21"/>
        <v>353.68606985146528</v>
      </c>
      <c r="AD88">
        <f t="shared" si="22"/>
        <v>0</v>
      </c>
      <c r="AE88">
        <f t="shared" si="29"/>
        <v>-2</v>
      </c>
      <c r="AF88">
        <f t="shared" si="23"/>
        <v>0</v>
      </c>
      <c r="AG88">
        <f t="shared" si="24"/>
        <v>0</v>
      </c>
      <c r="AH88" t="e">
        <f t="shared" si="25"/>
        <v>#N/A</v>
      </c>
      <c r="AI88">
        <f t="shared" si="26"/>
        <v>-1</v>
      </c>
      <c r="AJ88">
        <f t="shared" si="27"/>
        <v>0</v>
      </c>
      <c r="AK88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88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88">
        <f t="shared" si="28"/>
        <v>14.699999999999989</v>
      </c>
    </row>
    <row r="89" spans="2:39" x14ac:dyDescent="0.35">
      <c r="B89" s="12" t="str">
        <f>Demand!B91</f>
        <v/>
      </c>
      <c r="C89" s="7">
        <f>INDEX(Demand!$E$6:$S$265,MATCH('SPC Backing (Hide)'!$B89,Demand!$B$6:$B$265,0),MATCH('SPC Backing (Hide)'!C$3,Demand!$E$5:$S$5,0))</f>
        <v>0</v>
      </c>
      <c r="D89" s="5">
        <f>INDEX(Demand!$E$6:$S$265,MATCH('SPC Backing (Hide)'!$B89,Demand!$B$6:$B$265,0),MATCH('SPC Backing (Hide)'!D$3,Demand!$E$5:$S$5,0))</f>
        <v>0</v>
      </c>
      <c r="E89" s="5">
        <f>INDEX(Demand!$E$6:$S$265,MATCH('SPC Backing (Hide)'!$B89,Demand!$B$6:$B$265,0),MATCH('SPC Backing (Hide)'!E$3,Demand!$E$5:$S$5,0))</f>
        <v>0</v>
      </c>
      <c r="F89" s="5">
        <f>INDEX(Demand!$E$6:$S$265,MATCH('SPC Backing (Hide)'!$B89,Demand!$B$6:$B$265,0),MATCH('SPC Backing (Hide)'!F$3,Demand!$E$5:$S$5,0))</f>
        <v>0</v>
      </c>
      <c r="G89" s="5">
        <f>INDEX(Demand!$E$6:$S$265,MATCH('SPC Backing (Hide)'!$B89,Demand!$B$6:$B$265,0),MATCH('SPC Backing (Hide)'!G$3,Demand!$E$5:$S$5,0))</f>
        <v>0</v>
      </c>
      <c r="H89" s="5">
        <f>INDEX(Demand!$E$6:$S$265,MATCH('SPC Backing (Hide)'!$B89,Demand!$B$6:$B$265,0),MATCH('SPC Backing (Hide)'!H$3,Demand!$E$5:$S$5,0))</f>
        <v>0</v>
      </c>
      <c r="I89" s="5">
        <f>INDEX(Demand!$E$6:$S$265,MATCH('SPC Backing (Hide)'!$B89,Demand!$B$6:$B$265,0),MATCH('SPC Backing (Hide)'!I$3,Demand!$E$5:$S$5,0))</f>
        <v>0</v>
      </c>
      <c r="J89" s="5">
        <f>INDEX(Demand!$E$6:$S$265,MATCH('SPC Backing (Hide)'!$B89,Demand!$B$6:$B$265,0),MATCH('SPC Backing (Hide)'!J$3,Demand!$E$5:$S$5,0))</f>
        <v>0</v>
      </c>
      <c r="K89" s="5">
        <f>INDEX(Demand!$E$6:$S$265,MATCH('SPC Backing (Hide)'!$B89,Demand!$B$6:$B$265,0),MATCH('SPC Backing (Hide)'!K$3,Demand!$E$5:$S$5,0))</f>
        <v>0</v>
      </c>
      <c r="L89" s="5">
        <f>INDEX(Demand!$E$6:$S$265,MATCH('SPC Backing (Hide)'!$B89,Demand!$B$6:$B$265,0),MATCH('SPC Backing (Hide)'!L$3,Demand!$E$5:$S$5,0))</f>
        <v>0</v>
      </c>
      <c r="M89" s="5">
        <f>INDEX(Demand!$E$6:$S$265,MATCH('SPC Backing (Hide)'!$B89,Demand!$B$6:$B$265,0),MATCH('SPC Backing (Hide)'!M$3,Demand!$E$5:$S$5,0))</f>
        <v>0</v>
      </c>
      <c r="N89" s="5">
        <f>INDEX(Demand!$E$6:$S$265,MATCH('SPC Backing (Hide)'!$B89,Demand!$B$6:$B$265,0),MATCH('SPC Backing (Hide)'!N$3,Demand!$E$5:$S$5,0))</f>
        <v>0</v>
      </c>
      <c r="O89" s="5">
        <f>INDEX(Demand!$E$6:$S$265,MATCH('SPC Backing (Hide)'!$B89,Demand!$B$6:$B$265,0),MATCH('SPC Backing (Hide)'!O$3,Demand!$E$5:$S$5,0))</f>
        <v>0</v>
      </c>
      <c r="P89" s="5">
        <f>INDEX(Demand!$E$6:$S$265,MATCH('SPC Backing (Hide)'!$B89,Demand!$B$6:$B$265,0),MATCH('SPC Backing (Hide)'!P$3,Demand!$E$5:$S$5,0))</f>
        <v>0</v>
      </c>
      <c r="Q89" s="6">
        <f>INDEX(Demand!$E$6:$S$265,MATCH('SPC Backing (Hide)'!$B89,Demand!$B$6:$B$265,0),MATCH('SPC Backing (Hide)'!Q$3,Demand!$E$5:$S$5,0))</f>
        <v>0</v>
      </c>
      <c r="R89">
        <f>IF(SPC!$B$11="Yes",IF(ROW(A86)&gt;=Demand!$A$5-52,1,0),IF(AND(B89&gt;=SPC!$B$12,B89&lt;SPC!$B$13),1,0))</f>
        <v>1</v>
      </c>
      <c r="S89" cm="1">
        <f t="array" ref="S89">INDEX($C$4:$Q$263,ROW(A86),MATCH($T$2,$C$3:$Q$3,0))</f>
        <v>0</v>
      </c>
      <c r="T89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89" cm="1">
        <f t="array" ref="U89">ABS(INDEX($C$4:$Q$263,ROW(A86),MATCH($T$2,$C$3:$Q$3,0))-INDEX($C$4:$Q$263,ROW(A85),MATCH($T$2,$C$3:$Q$3,0)))</f>
        <v>0</v>
      </c>
      <c r="V89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89">
        <f t="shared" si="15"/>
        <v>40.813595610865789</v>
      </c>
      <c r="X89">
        <f t="shared" si="16"/>
        <v>108.80449618627055</v>
      </c>
      <c r="Y89">
        <f t="shared" si="17"/>
        <v>149.61809179713634</v>
      </c>
      <c r="Z89">
        <f t="shared" si="18"/>
        <v>190.43168740800212</v>
      </c>
      <c r="AA89">
        <f t="shared" si="19"/>
        <v>272.05887862973373</v>
      </c>
      <c r="AB89">
        <f t="shared" si="20"/>
        <v>312.8724742405995</v>
      </c>
      <c r="AC89">
        <f t="shared" si="21"/>
        <v>353.68606985146528</v>
      </c>
      <c r="AD89">
        <f t="shared" si="22"/>
        <v>0</v>
      </c>
      <c r="AE89">
        <f t="shared" si="29"/>
        <v>-2</v>
      </c>
      <c r="AF89">
        <f t="shared" si="23"/>
        <v>0</v>
      </c>
      <c r="AG89">
        <f t="shared" si="24"/>
        <v>0</v>
      </c>
      <c r="AH89" t="e">
        <f t="shared" si="25"/>
        <v>#N/A</v>
      </c>
      <c r="AI89">
        <f t="shared" si="26"/>
        <v>-1</v>
      </c>
      <c r="AJ89">
        <f t="shared" si="27"/>
        <v>0</v>
      </c>
      <c r="AK89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89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89">
        <f t="shared" si="28"/>
        <v>14.699999999999989</v>
      </c>
    </row>
    <row r="90" spans="2:39" x14ac:dyDescent="0.35">
      <c r="B90" s="12" t="str">
        <f>Demand!B92</f>
        <v/>
      </c>
      <c r="C90" s="7">
        <f>INDEX(Demand!$E$6:$S$265,MATCH('SPC Backing (Hide)'!$B90,Demand!$B$6:$B$265,0),MATCH('SPC Backing (Hide)'!C$3,Demand!$E$5:$S$5,0))</f>
        <v>0</v>
      </c>
      <c r="D90" s="5">
        <f>INDEX(Demand!$E$6:$S$265,MATCH('SPC Backing (Hide)'!$B90,Demand!$B$6:$B$265,0),MATCH('SPC Backing (Hide)'!D$3,Demand!$E$5:$S$5,0))</f>
        <v>0</v>
      </c>
      <c r="E90" s="5">
        <f>INDEX(Demand!$E$6:$S$265,MATCH('SPC Backing (Hide)'!$B90,Demand!$B$6:$B$265,0),MATCH('SPC Backing (Hide)'!E$3,Demand!$E$5:$S$5,0))</f>
        <v>0</v>
      </c>
      <c r="F90" s="5">
        <f>INDEX(Demand!$E$6:$S$265,MATCH('SPC Backing (Hide)'!$B90,Demand!$B$6:$B$265,0),MATCH('SPC Backing (Hide)'!F$3,Demand!$E$5:$S$5,0))</f>
        <v>0</v>
      </c>
      <c r="G90" s="5">
        <f>INDEX(Demand!$E$6:$S$265,MATCH('SPC Backing (Hide)'!$B90,Demand!$B$6:$B$265,0),MATCH('SPC Backing (Hide)'!G$3,Demand!$E$5:$S$5,0))</f>
        <v>0</v>
      </c>
      <c r="H90" s="5">
        <f>INDEX(Demand!$E$6:$S$265,MATCH('SPC Backing (Hide)'!$B90,Demand!$B$6:$B$265,0),MATCH('SPC Backing (Hide)'!H$3,Demand!$E$5:$S$5,0))</f>
        <v>0</v>
      </c>
      <c r="I90" s="5">
        <f>INDEX(Demand!$E$6:$S$265,MATCH('SPC Backing (Hide)'!$B90,Demand!$B$6:$B$265,0),MATCH('SPC Backing (Hide)'!I$3,Demand!$E$5:$S$5,0))</f>
        <v>0</v>
      </c>
      <c r="J90" s="5">
        <f>INDEX(Demand!$E$6:$S$265,MATCH('SPC Backing (Hide)'!$B90,Demand!$B$6:$B$265,0),MATCH('SPC Backing (Hide)'!J$3,Demand!$E$5:$S$5,0))</f>
        <v>0</v>
      </c>
      <c r="K90" s="5">
        <f>INDEX(Demand!$E$6:$S$265,MATCH('SPC Backing (Hide)'!$B90,Demand!$B$6:$B$265,0),MATCH('SPC Backing (Hide)'!K$3,Demand!$E$5:$S$5,0))</f>
        <v>0</v>
      </c>
      <c r="L90" s="5">
        <f>INDEX(Demand!$E$6:$S$265,MATCH('SPC Backing (Hide)'!$B90,Demand!$B$6:$B$265,0),MATCH('SPC Backing (Hide)'!L$3,Demand!$E$5:$S$5,0))</f>
        <v>0</v>
      </c>
      <c r="M90" s="5">
        <f>INDEX(Demand!$E$6:$S$265,MATCH('SPC Backing (Hide)'!$B90,Demand!$B$6:$B$265,0),MATCH('SPC Backing (Hide)'!M$3,Demand!$E$5:$S$5,0))</f>
        <v>0</v>
      </c>
      <c r="N90" s="5">
        <f>INDEX(Demand!$E$6:$S$265,MATCH('SPC Backing (Hide)'!$B90,Demand!$B$6:$B$265,0),MATCH('SPC Backing (Hide)'!N$3,Demand!$E$5:$S$5,0))</f>
        <v>0</v>
      </c>
      <c r="O90" s="5">
        <f>INDEX(Demand!$E$6:$S$265,MATCH('SPC Backing (Hide)'!$B90,Demand!$B$6:$B$265,0),MATCH('SPC Backing (Hide)'!O$3,Demand!$E$5:$S$5,0))</f>
        <v>0</v>
      </c>
      <c r="P90" s="5">
        <f>INDEX(Demand!$E$6:$S$265,MATCH('SPC Backing (Hide)'!$B90,Demand!$B$6:$B$265,0),MATCH('SPC Backing (Hide)'!P$3,Demand!$E$5:$S$5,0))</f>
        <v>0</v>
      </c>
      <c r="Q90" s="6">
        <f>INDEX(Demand!$E$6:$S$265,MATCH('SPC Backing (Hide)'!$B90,Demand!$B$6:$B$265,0),MATCH('SPC Backing (Hide)'!Q$3,Demand!$E$5:$S$5,0))</f>
        <v>0</v>
      </c>
      <c r="R90">
        <f>IF(SPC!$B$11="Yes",IF(ROW(A87)&gt;=Demand!$A$5-52,1,0),IF(AND(B90&gt;=SPC!$B$12,B90&lt;SPC!$B$13),1,0))</f>
        <v>1</v>
      </c>
      <c r="S90" cm="1">
        <f t="array" ref="S90">INDEX($C$4:$Q$263,ROW(A87),MATCH($T$2,$C$3:$Q$3,0))</f>
        <v>0</v>
      </c>
      <c r="T90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90" cm="1">
        <f t="array" ref="U90">ABS(INDEX($C$4:$Q$263,ROW(A87),MATCH($T$2,$C$3:$Q$3,0))-INDEX($C$4:$Q$263,ROW(A86),MATCH($T$2,$C$3:$Q$3,0)))</f>
        <v>0</v>
      </c>
      <c r="V90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90">
        <f t="shared" si="15"/>
        <v>40.813595610865789</v>
      </c>
      <c r="X90">
        <f t="shared" si="16"/>
        <v>108.80449618627055</v>
      </c>
      <c r="Y90">
        <f t="shared" si="17"/>
        <v>149.61809179713634</v>
      </c>
      <c r="Z90">
        <f t="shared" si="18"/>
        <v>190.43168740800212</v>
      </c>
      <c r="AA90">
        <f t="shared" si="19"/>
        <v>272.05887862973373</v>
      </c>
      <c r="AB90">
        <f t="shared" si="20"/>
        <v>312.8724742405995</v>
      </c>
      <c r="AC90">
        <f t="shared" si="21"/>
        <v>353.68606985146528</v>
      </c>
      <c r="AD90">
        <f t="shared" si="22"/>
        <v>0</v>
      </c>
      <c r="AE90">
        <f t="shared" si="29"/>
        <v>-2</v>
      </c>
      <c r="AF90">
        <f t="shared" si="23"/>
        <v>0</v>
      </c>
      <c r="AG90">
        <f t="shared" si="24"/>
        <v>0</v>
      </c>
      <c r="AH90" t="e">
        <f t="shared" si="25"/>
        <v>#N/A</v>
      </c>
      <c r="AI90">
        <f t="shared" si="26"/>
        <v>-1</v>
      </c>
      <c r="AJ90">
        <f t="shared" si="27"/>
        <v>0</v>
      </c>
      <c r="AK90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90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90">
        <f t="shared" si="28"/>
        <v>14.699999999999989</v>
      </c>
    </row>
    <row r="91" spans="2:39" x14ac:dyDescent="0.35">
      <c r="B91" s="12" t="str">
        <f>Demand!B93</f>
        <v/>
      </c>
      <c r="C91" s="7">
        <f>INDEX(Demand!$E$6:$S$265,MATCH('SPC Backing (Hide)'!$B91,Demand!$B$6:$B$265,0),MATCH('SPC Backing (Hide)'!C$3,Demand!$E$5:$S$5,0))</f>
        <v>0</v>
      </c>
      <c r="D91" s="5">
        <f>INDEX(Demand!$E$6:$S$265,MATCH('SPC Backing (Hide)'!$B91,Demand!$B$6:$B$265,0),MATCH('SPC Backing (Hide)'!D$3,Demand!$E$5:$S$5,0))</f>
        <v>0</v>
      </c>
      <c r="E91" s="5">
        <f>INDEX(Demand!$E$6:$S$265,MATCH('SPC Backing (Hide)'!$B91,Demand!$B$6:$B$265,0),MATCH('SPC Backing (Hide)'!E$3,Demand!$E$5:$S$5,0))</f>
        <v>0</v>
      </c>
      <c r="F91" s="5">
        <f>INDEX(Demand!$E$6:$S$265,MATCH('SPC Backing (Hide)'!$B91,Demand!$B$6:$B$265,0),MATCH('SPC Backing (Hide)'!F$3,Demand!$E$5:$S$5,0))</f>
        <v>0</v>
      </c>
      <c r="G91" s="5">
        <f>INDEX(Demand!$E$6:$S$265,MATCH('SPC Backing (Hide)'!$B91,Demand!$B$6:$B$265,0),MATCH('SPC Backing (Hide)'!G$3,Demand!$E$5:$S$5,0))</f>
        <v>0</v>
      </c>
      <c r="H91" s="5">
        <f>INDEX(Demand!$E$6:$S$265,MATCH('SPC Backing (Hide)'!$B91,Demand!$B$6:$B$265,0),MATCH('SPC Backing (Hide)'!H$3,Demand!$E$5:$S$5,0))</f>
        <v>0</v>
      </c>
      <c r="I91" s="5">
        <f>INDEX(Demand!$E$6:$S$265,MATCH('SPC Backing (Hide)'!$B91,Demand!$B$6:$B$265,0),MATCH('SPC Backing (Hide)'!I$3,Demand!$E$5:$S$5,0))</f>
        <v>0</v>
      </c>
      <c r="J91" s="5">
        <f>INDEX(Demand!$E$6:$S$265,MATCH('SPC Backing (Hide)'!$B91,Demand!$B$6:$B$265,0),MATCH('SPC Backing (Hide)'!J$3,Demand!$E$5:$S$5,0))</f>
        <v>0</v>
      </c>
      <c r="K91" s="5">
        <f>INDEX(Demand!$E$6:$S$265,MATCH('SPC Backing (Hide)'!$B91,Demand!$B$6:$B$265,0),MATCH('SPC Backing (Hide)'!K$3,Demand!$E$5:$S$5,0))</f>
        <v>0</v>
      </c>
      <c r="L91" s="5">
        <f>INDEX(Demand!$E$6:$S$265,MATCH('SPC Backing (Hide)'!$B91,Demand!$B$6:$B$265,0),MATCH('SPC Backing (Hide)'!L$3,Demand!$E$5:$S$5,0))</f>
        <v>0</v>
      </c>
      <c r="M91" s="5">
        <f>INDEX(Demand!$E$6:$S$265,MATCH('SPC Backing (Hide)'!$B91,Demand!$B$6:$B$265,0),MATCH('SPC Backing (Hide)'!M$3,Demand!$E$5:$S$5,0))</f>
        <v>0</v>
      </c>
      <c r="N91" s="5">
        <f>INDEX(Demand!$E$6:$S$265,MATCH('SPC Backing (Hide)'!$B91,Demand!$B$6:$B$265,0),MATCH('SPC Backing (Hide)'!N$3,Demand!$E$5:$S$5,0))</f>
        <v>0</v>
      </c>
      <c r="O91" s="5">
        <f>INDEX(Demand!$E$6:$S$265,MATCH('SPC Backing (Hide)'!$B91,Demand!$B$6:$B$265,0),MATCH('SPC Backing (Hide)'!O$3,Demand!$E$5:$S$5,0))</f>
        <v>0</v>
      </c>
      <c r="P91" s="5">
        <f>INDEX(Demand!$E$6:$S$265,MATCH('SPC Backing (Hide)'!$B91,Demand!$B$6:$B$265,0),MATCH('SPC Backing (Hide)'!P$3,Demand!$E$5:$S$5,0))</f>
        <v>0</v>
      </c>
      <c r="Q91" s="6">
        <f>INDEX(Demand!$E$6:$S$265,MATCH('SPC Backing (Hide)'!$B91,Demand!$B$6:$B$265,0),MATCH('SPC Backing (Hide)'!Q$3,Demand!$E$5:$S$5,0))</f>
        <v>0</v>
      </c>
      <c r="R91">
        <f>IF(SPC!$B$11="Yes",IF(ROW(A88)&gt;=Demand!$A$5-52,1,0),IF(AND(B91&gt;=SPC!$B$12,B91&lt;SPC!$B$13),1,0))</f>
        <v>1</v>
      </c>
      <c r="S91" cm="1">
        <f t="array" ref="S91">INDEX($C$4:$Q$263,ROW(A88),MATCH($T$2,$C$3:$Q$3,0))</f>
        <v>0</v>
      </c>
      <c r="T91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91" cm="1">
        <f t="array" ref="U91">ABS(INDEX($C$4:$Q$263,ROW(A88),MATCH($T$2,$C$3:$Q$3,0))-INDEX($C$4:$Q$263,ROW(A87),MATCH($T$2,$C$3:$Q$3,0)))</f>
        <v>0</v>
      </c>
      <c r="V91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91">
        <f t="shared" si="15"/>
        <v>40.813595610865789</v>
      </c>
      <c r="X91">
        <f t="shared" si="16"/>
        <v>108.80449618627055</v>
      </c>
      <c r="Y91">
        <f t="shared" si="17"/>
        <v>149.61809179713634</v>
      </c>
      <c r="Z91">
        <f t="shared" si="18"/>
        <v>190.43168740800212</v>
      </c>
      <c r="AA91">
        <f t="shared" si="19"/>
        <v>272.05887862973373</v>
      </c>
      <c r="AB91">
        <f t="shared" si="20"/>
        <v>312.8724742405995</v>
      </c>
      <c r="AC91">
        <f t="shared" si="21"/>
        <v>353.68606985146528</v>
      </c>
      <c r="AD91">
        <f t="shared" si="22"/>
        <v>0</v>
      </c>
      <c r="AE91">
        <f t="shared" si="29"/>
        <v>-2</v>
      </c>
      <c r="AF91">
        <f t="shared" si="23"/>
        <v>0</v>
      </c>
      <c r="AG91">
        <f t="shared" si="24"/>
        <v>0</v>
      </c>
      <c r="AH91" t="e">
        <f t="shared" si="25"/>
        <v>#N/A</v>
      </c>
      <c r="AI91">
        <f t="shared" si="26"/>
        <v>-1</v>
      </c>
      <c r="AJ91">
        <f t="shared" si="27"/>
        <v>0</v>
      </c>
      <c r="AK91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91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91">
        <f t="shared" si="28"/>
        <v>14.699999999999989</v>
      </c>
    </row>
    <row r="92" spans="2:39" x14ac:dyDescent="0.35">
      <c r="B92" s="12" t="str">
        <f>Demand!B94</f>
        <v/>
      </c>
      <c r="C92" s="7">
        <f>INDEX(Demand!$E$6:$S$265,MATCH('SPC Backing (Hide)'!$B92,Demand!$B$6:$B$265,0),MATCH('SPC Backing (Hide)'!C$3,Demand!$E$5:$S$5,0))</f>
        <v>0</v>
      </c>
      <c r="D92" s="5">
        <f>INDEX(Demand!$E$6:$S$265,MATCH('SPC Backing (Hide)'!$B92,Demand!$B$6:$B$265,0),MATCH('SPC Backing (Hide)'!D$3,Demand!$E$5:$S$5,0))</f>
        <v>0</v>
      </c>
      <c r="E92" s="5">
        <f>INDEX(Demand!$E$6:$S$265,MATCH('SPC Backing (Hide)'!$B92,Demand!$B$6:$B$265,0),MATCH('SPC Backing (Hide)'!E$3,Demand!$E$5:$S$5,0))</f>
        <v>0</v>
      </c>
      <c r="F92" s="5">
        <f>INDEX(Demand!$E$6:$S$265,MATCH('SPC Backing (Hide)'!$B92,Demand!$B$6:$B$265,0),MATCH('SPC Backing (Hide)'!F$3,Demand!$E$5:$S$5,0))</f>
        <v>0</v>
      </c>
      <c r="G92" s="5">
        <f>INDEX(Demand!$E$6:$S$265,MATCH('SPC Backing (Hide)'!$B92,Demand!$B$6:$B$265,0),MATCH('SPC Backing (Hide)'!G$3,Demand!$E$5:$S$5,0))</f>
        <v>0</v>
      </c>
      <c r="H92" s="5">
        <f>INDEX(Demand!$E$6:$S$265,MATCH('SPC Backing (Hide)'!$B92,Demand!$B$6:$B$265,0),MATCH('SPC Backing (Hide)'!H$3,Demand!$E$5:$S$5,0))</f>
        <v>0</v>
      </c>
      <c r="I92" s="5">
        <f>INDEX(Demand!$E$6:$S$265,MATCH('SPC Backing (Hide)'!$B92,Demand!$B$6:$B$265,0),MATCH('SPC Backing (Hide)'!I$3,Demand!$E$5:$S$5,0))</f>
        <v>0</v>
      </c>
      <c r="J92" s="5">
        <f>INDEX(Demand!$E$6:$S$265,MATCH('SPC Backing (Hide)'!$B92,Demand!$B$6:$B$265,0),MATCH('SPC Backing (Hide)'!J$3,Demand!$E$5:$S$5,0))</f>
        <v>0</v>
      </c>
      <c r="K92" s="5">
        <f>INDEX(Demand!$E$6:$S$265,MATCH('SPC Backing (Hide)'!$B92,Demand!$B$6:$B$265,0),MATCH('SPC Backing (Hide)'!K$3,Demand!$E$5:$S$5,0))</f>
        <v>0</v>
      </c>
      <c r="L92" s="5">
        <f>INDEX(Demand!$E$6:$S$265,MATCH('SPC Backing (Hide)'!$B92,Demand!$B$6:$B$265,0),MATCH('SPC Backing (Hide)'!L$3,Demand!$E$5:$S$5,0))</f>
        <v>0</v>
      </c>
      <c r="M92" s="5">
        <f>INDEX(Demand!$E$6:$S$265,MATCH('SPC Backing (Hide)'!$B92,Demand!$B$6:$B$265,0),MATCH('SPC Backing (Hide)'!M$3,Demand!$E$5:$S$5,0))</f>
        <v>0</v>
      </c>
      <c r="N92" s="5">
        <f>INDEX(Demand!$E$6:$S$265,MATCH('SPC Backing (Hide)'!$B92,Demand!$B$6:$B$265,0),MATCH('SPC Backing (Hide)'!N$3,Demand!$E$5:$S$5,0))</f>
        <v>0</v>
      </c>
      <c r="O92" s="5">
        <f>INDEX(Demand!$E$6:$S$265,MATCH('SPC Backing (Hide)'!$B92,Demand!$B$6:$B$265,0),MATCH('SPC Backing (Hide)'!O$3,Demand!$E$5:$S$5,0))</f>
        <v>0</v>
      </c>
      <c r="P92" s="5">
        <f>INDEX(Demand!$E$6:$S$265,MATCH('SPC Backing (Hide)'!$B92,Demand!$B$6:$B$265,0),MATCH('SPC Backing (Hide)'!P$3,Demand!$E$5:$S$5,0))</f>
        <v>0</v>
      </c>
      <c r="Q92" s="6">
        <f>INDEX(Demand!$E$6:$S$265,MATCH('SPC Backing (Hide)'!$B92,Demand!$B$6:$B$265,0),MATCH('SPC Backing (Hide)'!Q$3,Demand!$E$5:$S$5,0))</f>
        <v>0</v>
      </c>
      <c r="R92">
        <f>IF(SPC!$B$11="Yes",IF(ROW(A89)&gt;=Demand!$A$5-52,1,0),IF(AND(B92&gt;=SPC!$B$12,B92&lt;SPC!$B$13),1,0))</f>
        <v>1</v>
      </c>
      <c r="S92" cm="1">
        <f t="array" ref="S92">INDEX($C$4:$Q$263,ROW(A89),MATCH($T$2,$C$3:$Q$3,0))</f>
        <v>0</v>
      </c>
      <c r="T92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92" cm="1">
        <f t="array" ref="U92">ABS(INDEX($C$4:$Q$263,ROW(A89),MATCH($T$2,$C$3:$Q$3,0))-INDEX($C$4:$Q$263,ROW(A88),MATCH($T$2,$C$3:$Q$3,0)))</f>
        <v>0</v>
      </c>
      <c r="V92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92">
        <f t="shared" si="15"/>
        <v>40.813595610865789</v>
      </c>
      <c r="X92">
        <f t="shared" si="16"/>
        <v>108.80449618627055</v>
      </c>
      <c r="Y92">
        <f t="shared" si="17"/>
        <v>149.61809179713634</v>
      </c>
      <c r="Z92">
        <f t="shared" si="18"/>
        <v>190.43168740800212</v>
      </c>
      <c r="AA92">
        <f t="shared" si="19"/>
        <v>272.05887862973373</v>
      </c>
      <c r="AB92">
        <f t="shared" si="20"/>
        <v>312.8724742405995</v>
      </c>
      <c r="AC92">
        <f t="shared" si="21"/>
        <v>353.68606985146528</v>
      </c>
      <c r="AD92">
        <f t="shared" si="22"/>
        <v>0</v>
      </c>
      <c r="AE92">
        <f t="shared" si="29"/>
        <v>-2</v>
      </c>
      <c r="AF92">
        <f t="shared" si="23"/>
        <v>0</v>
      </c>
      <c r="AG92">
        <f t="shared" si="24"/>
        <v>0</v>
      </c>
      <c r="AH92" t="e">
        <f t="shared" si="25"/>
        <v>#N/A</v>
      </c>
      <c r="AI92">
        <f t="shared" si="26"/>
        <v>-1</v>
      </c>
      <c r="AJ92">
        <f t="shared" si="27"/>
        <v>0</v>
      </c>
      <c r="AK92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92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92">
        <f t="shared" si="28"/>
        <v>14.699999999999989</v>
      </c>
    </row>
    <row r="93" spans="2:39" x14ac:dyDescent="0.35">
      <c r="B93" s="12" t="str">
        <f>Demand!B95</f>
        <v/>
      </c>
      <c r="C93" s="7">
        <f>INDEX(Demand!$E$6:$S$265,MATCH('SPC Backing (Hide)'!$B93,Demand!$B$6:$B$265,0),MATCH('SPC Backing (Hide)'!C$3,Demand!$E$5:$S$5,0))</f>
        <v>0</v>
      </c>
      <c r="D93" s="5">
        <f>INDEX(Demand!$E$6:$S$265,MATCH('SPC Backing (Hide)'!$B93,Demand!$B$6:$B$265,0),MATCH('SPC Backing (Hide)'!D$3,Demand!$E$5:$S$5,0))</f>
        <v>0</v>
      </c>
      <c r="E93" s="5">
        <f>INDEX(Demand!$E$6:$S$265,MATCH('SPC Backing (Hide)'!$B93,Demand!$B$6:$B$265,0),MATCH('SPC Backing (Hide)'!E$3,Demand!$E$5:$S$5,0))</f>
        <v>0</v>
      </c>
      <c r="F93" s="5">
        <f>INDEX(Demand!$E$6:$S$265,MATCH('SPC Backing (Hide)'!$B93,Demand!$B$6:$B$265,0),MATCH('SPC Backing (Hide)'!F$3,Demand!$E$5:$S$5,0))</f>
        <v>0</v>
      </c>
      <c r="G93" s="5">
        <f>INDEX(Demand!$E$6:$S$265,MATCH('SPC Backing (Hide)'!$B93,Demand!$B$6:$B$265,0),MATCH('SPC Backing (Hide)'!G$3,Demand!$E$5:$S$5,0))</f>
        <v>0</v>
      </c>
      <c r="H93" s="5">
        <f>INDEX(Demand!$E$6:$S$265,MATCH('SPC Backing (Hide)'!$B93,Demand!$B$6:$B$265,0),MATCH('SPC Backing (Hide)'!H$3,Demand!$E$5:$S$5,0))</f>
        <v>0</v>
      </c>
      <c r="I93" s="5">
        <f>INDEX(Demand!$E$6:$S$265,MATCH('SPC Backing (Hide)'!$B93,Demand!$B$6:$B$265,0),MATCH('SPC Backing (Hide)'!I$3,Demand!$E$5:$S$5,0))</f>
        <v>0</v>
      </c>
      <c r="J93" s="5">
        <f>INDEX(Demand!$E$6:$S$265,MATCH('SPC Backing (Hide)'!$B93,Demand!$B$6:$B$265,0),MATCH('SPC Backing (Hide)'!J$3,Demand!$E$5:$S$5,0))</f>
        <v>0</v>
      </c>
      <c r="K93" s="5">
        <f>INDEX(Demand!$E$6:$S$265,MATCH('SPC Backing (Hide)'!$B93,Demand!$B$6:$B$265,0),MATCH('SPC Backing (Hide)'!K$3,Demand!$E$5:$S$5,0))</f>
        <v>0</v>
      </c>
      <c r="L93" s="5">
        <f>INDEX(Demand!$E$6:$S$265,MATCH('SPC Backing (Hide)'!$B93,Demand!$B$6:$B$265,0),MATCH('SPC Backing (Hide)'!L$3,Demand!$E$5:$S$5,0))</f>
        <v>0</v>
      </c>
      <c r="M93" s="5">
        <f>INDEX(Demand!$E$6:$S$265,MATCH('SPC Backing (Hide)'!$B93,Demand!$B$6:$B$265,0),MATCH('SPC Backing (Hide)'!M$3,Demand!$E$5:$S$5,0))</f>
        <v>0</v>
      </c>
      <c r="N93" s="5">
        <f>INDEX(Demand!$E$6:$S$265,MATCH('SPC Backing (Hide)'!$B93,Demand!$B$6:$B$265,0),MATCH('SPC Backing (Hide)'!N$3,Demand!$E$5:$S$5,0))</f>
        <v>0</v>
      </c>
      <c r="O93" s="5">
        <f>INDEX(Demand!$E$6:$S$265,MATCH('SPC Backing (Hide)'!$B93,Demand!$B$6:$B$265,0),MATCH('SPC Backing (Hide)'!O$3,Demand!$E$5:$S$5,0))</f>
        <v>0</v>
      </c>
      <c r="P93" s="5">
        <f>INDEX(Demand!$E$6:$S$265,MATCH('SPC Backing (Hide)'!$B93,Demand!$B$6:$B$265,0),MATCH('SPC Backing (Hide)'!P$3,Demand!$E$5:$S$5,0))</f>
        <v>0</v>
      </c>
      <c r="Q93" s="6">
        <f>INDEX(Demand!$E$6:$S$265,MATCH('SPC Backing (Hide)'!$B93,Demand!$B$6:$B$265,0),MATCH('SPC Backing (Hide)'!Q$3,Demand!$E$5:$S$5,0))</f>
        <v>0</v>
      </c>
      <c r="R93">
        <f>IF(SPC!$B$11="Yes",IF(ROW(A90)&gt;=Demand!$A$5-52,1,0),IF(AND(B93&gt;=SPC!$B$12,B93&lt;SPC!$B$13),1,0))</f>
        <v>1</v>
      </c>
      <c r="S93" cm="1">
        <f t="array" ref="S93">INDEX($C$4:$Q$263,ROW(A90),MATCH($T$2,$C$3:$Q$3,0))</f>
        <v>0</v>
      </c>
      <c r="T93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93" cm="1">
        <f t="array" ref="U93">ABS(INDEX($C$4:$Q$263,ROW(A90),MATCH($T$2,$C$3:$Q$3,0))-INDEX($C$4:$Q$263,ROW(A89),MATCH($T$2,$C$3:$Q$3,0)))</f>
        <v>0</v>
      </c>
      <c r="V93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93">
        <f t="shared" si="15"/>
        <v>40.813595610865789</v>
      </c>
      <c r="X93">
        <f t="shared" si="16"/>
        <v>108.80449618627055</v>
      </c>
      <c r="Y93">
        <f t="shared" si="17"/>
        <v>149.61809179713634</v>
      </c>
      <c r="Z93">
        <f t="shared" si="18"/>
        <v>190.43168740800212</v>
      </c>
      <c r="AA93">
        <f t="shared" si="19"/>
        <v>272.05887862973373</v>
      </c>
      <c r="AB93">
        <f t="shared" si="20"/>
        <v>312.8724742405995</v>
      </c>
      <c r="AC93">
        <f t="shared" si="21"/>
        <v>353.68606985146528</v>
      </c>
      <c r="AD93">
        <f t="shared" si="22"/>
        <v>0</v>
      </c>
      <c r="AE93">
        <f t="shared" si="29"/>
        <v>-2</v>
      </c>
      <c r="AF93">
        <f t="shared" si="23"/>
        <v>0</v>
      </c>
      <c r="AG93">
        <f t="shared" si="24"/>
        <v>0</v>
      </c>
      <c r="AH93" t="e">
        <f t="shared" si="25"/>
        <v>#N/A</v>
      </c>
      <c r="AI93">
        <f t="shared" si="26"/>
        <v>-1</v>
      </c>
      <c r="AJ93">
        <f t="shared" si="27"/>
        <v>0</v>
      </c>
      <c r="AK93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93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93">
        <f t="shared" si="28"/>
        <v>14.699999999999989</v>
      </c>
    </row>
    <row r="94" spans="2:39" x14ac:dyDescent="0.35">
      <c r="B94" s="12" t="str">
        <f>Demand!B96</f>
        <v/>
      </c>
      <c r="C94" s="7">
        <f>INDEX(Demand!$E$6:$S$265,MATCH('SPC Backing (Hide)'!$B94,Demand!$B$6:$B$265,0),MATCH('SPC Backing (Hide)'!C$3,Demand!$E$5:$S$5,0))</f>
        <v>0</v>
      </c>
      <c r="D94" s="5">
        <f>INDEX(Demand!$E$6:$S$265,MATCH('SPC Backing (Hide)'!$B94,Demand!$B$6:$B$265,0),MATCH('SPC Backing (Hide)'!D$3,Demand!$E$5:$S$5,0))</f>
        <v>0</v>
      </c>
      <c r="E94" s="5">
        <f>INDEX(Demand!$E$6:$S$265,MATCH('SPC Backing (Hide)'!$B94,Demand!$B$6:$B$265,0),MATCH('SPC Backing (Hide)'!E$3,Demand!$E$5:$S$5,0))</f>
        <v>0</v>
      </c>
      <c r="F94" s="5">
        <f>INDEX(Demand!$E$6:$S$265,MATCH('SPC Backing (Hide)'!$B94,Demand!$B$6:$B$265,0),MATCH('SPC Backing (Hide)'!F$3,Demand!$E$5:$S$5,0))</f>
        <v>0</v>
      </c>
      <c r="G94" s="5">
        <f>INDEX(Demand!$E$6:$S$265,MATCH('SPC Backing (Hide)'!$B94,Demand!$B$6:$B$265,0),MATCH('SPC Backing (Hide)'!G$3,Demand!$E$5:$S$5,0))</f>
        <v>0</v>
      </c>
      <c r="H94" s="5">
        <f>INDEX(Demand!$E$6:$S$265,MATCH('SPC Backing (Hide)'!$B94,Demand!$B$6:$B$265,0),MATCH('SPC Backing (Hide)'!H$3,Demand!$E$5:$S$5,0))</f>
        <v>0</v>
      </c>
      <c r="I94" s="5">
        <f>INDEX(Demand!$E$6:$S$265,MATCH('SPC Backing (Hide)'!$B94,Demand!$B$6:$B$265,0),MATCH('SPC Backing (Hide)'!I$3,Demand!$E$5:$S$5,0))</f>
        <v>0</v>
      </c>
      <c r="J94" s="5">
        <f>INDEX(Demand!$E$6:$S$265,MATCH('SPC Backing (Hide)'!$B94,Demand!$B$6:$B$265,0),MATCH('SPC Backing (Hide)'!J$3,Demand!$E$5:$S$5,0))</f>
        <v>0</v>
      </c>
      <c r="K94" s="5">
        <f>INDEX(Demand!$E$6:$S$265,MATCH('SPC Backing (Hide)'!$B94,Demand!$B$6:$B$265,0),MATCH('SPC Backing (Hide)'!K$3,Demand!$E$5:$S$5,0))</f>
        <v>0</v>
      </c>
      <c r="L94" s="5">
        <f>INDEX(Demand!$E$6:$S$265,MATCH('SPC Backing (Hide)'!$B94,Demand!$B$6:$B$265,0),MATCH('SPC Backing (Hide)'!L$3,Demand!$E$5:$S$5,0))</f>
        <v>0</v>
      </c>
      <c r="M94" s="5">
        <f>INDEX(Demand!$E$6:$S$265,MATCH('SPC Backing (Hide)'!$B94,Demand!$B$6:$B$265,0),MATCH('SPC Backing (Hide)'!M$3,Demand!$E$5:$S$5,0))</f>
        <v>0</v>
      </c>
      <c r="N94" s="5">
        <f>INDEX(Demand!$E$6:$S$265,MATCH('SPC Backing (Hide)'!$B94,Demand!$B$6:$B$265,0),MATCH('SPC Backing (Hide)'!N$3,Demand!$E$5:$S$5,0))</f>
        <v>0</v>
      </c>
      <c r="O94" s="5">
        <f>INDEX(Demand!$E$6:$S$265,MATCH('SPC Backing (Hide)'!$B94,Demand!$B$6:$B$265,0),MATCH('SPC Backing (Hide)'!O$3,Demand!$E$5:$S$5,0))</f>
        <v>0</v>
      </c>
      <c r="P94" s="5">
        <f>INDEX(Demand!$E$6:$S$265,MATCH('SPC Backing (Hide)'!$B94,Demand!$B$6:$B$265,0),MATCH('SPC Backing (Hide)'!P$3,Demand!$E$5:$S$5,0))</f>
        <v>0</v>
      </c>
      <c r="Q94" s="6">
        <f>INDEX(Demand!$E$6:$S$265,MATCH('SPC Backing (Hide)'!$B94,Demand!$B$6:$B$265,0),MATCH('SPC Backing (Hide)'!Q$3,Demand!$E$5:$S$5,0))</f>
        <v>0</v>
      </c>
      <c r="R94">
        <f>IF(SPC!$B$11="Yes",IF(ROW(A91)&gt;=Demand!$A$5-52,1,0),IF(AND(B94&gt;=SPC!$B$12,B94&lt;SPC!$B$13),1,0))</f>
        <v>1</v>
      </c>
      <c r="S94" cm="1">
        <f t="array" ref="S94">INDEX($C$4:$Q$263,ROW(A91),MATCH($T$2,$C$3:$Q$3,0))</f>
        <v>0</v>
      </c>
      <c r="T94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94" cm="1">
        <f t="array" ref="U94">ABS(INDEX($C$4:$Q$263,ROW(A91),MATCH($T$2,$C$3:$Q$3,0))-INDEX($C$4:$Q$263,ROW(A90),MATCH($T$2,$C$3:$Q$3,0)))</f>
        <v>0</v>
      </c>
      <c r="V94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94">
        <f t="shared" si="15"/>
        <v>40.813595610865789</v>
      </c>
      <c r="X94">
        <f t="shared" si="16"/>
        <v>108.80449618627055</v>
      </c>
      <c r="Y94">
        <f t="shared" si="17"/>
        <v>149.61809179713634</v>
      </c>
      <c r="Z94">
        <f t="shared" si="18"/>
        <v>190.43168740800212</v>
      </c>
      <c r="AA94">
        <f t="shared" si="19"/>
        <v>272.05887862973373</v>
      </c>
      <c r="AB94">
        <f t="shared" si="20"/>
        <v>312.8724742405995</v>
      </c>
      <c r="AC94">
        <f t="shared" si="21"/>
        <v>353.68606985146528</v>
      </c>
      <c r="AD94">
        <f t="shared" si="22"/>
        <v>0</v>
      </c>
      <c r="AE94">
        <f t="shared" si="29"/>
        <v>-2</v>
      </c>
      <c r="AF94">
        <f t="shared" si="23"/>
        <v>0</v>
      </c>
      <c r="AG94">
        <f t="shared" si="24"/>
        <v>0</v>
      </c>
      <c r="AH94" t="e">
        <f t="shared" si="25"/>
        <v>#N/A</v>
      </c>
      <c r="AI94">
        <f t="shared" si="26"/>
        <v>-1</v>
      </c>
      <c r="AJ94">
        <f t="shared" si="27"/>
        <v>0</v>
      </c>
      <c r="AK94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94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94">
        <f t="shared" si="28"/>
        <v>14.699999999999989</v>
      </c>
    </row>
    <row r="95" spans="2:39" x14ac:dyDescent="0.35">
      <c r="B95" s="12" t="str">
        <f>Demand!B97</f>
        <v/>
      </c>
      <c r="C95" s="7">
        <f>INDEX(Demand!$E$6:$S$265,MATCH('SPC Backing (Hide)'!$B95,Demand!$B$6:$B$265,0),MATCH('SPC Backing (Hide)'!C$3,Demand!$E$5:$S$5,0))</f>
        <v>0</v>
      </c>
      <c r="D95" s="5">
        <f>INDEX(Demand!$E$6:$S$265,MATCH('SPC Backing (Hide)'!$B95,Demand!$B$6:$B$265,0),MATCH('SPC Backing (Hide)'!D$3,Demand!$E$5:$S$5,0))</f>
        <v>0</v>
      </c>
      <c r="E95" s="5">
        <f>INDEX(Demand!$E$6:$S$265,MATCH('SPC Backing (Hide)'!$B95,Demand!$B$6:$B$265,0),MATCH('SPC Backing (Hide)'!E$3,Demand!$E$5:$S$5,0))</f>
        <v>0</v>
      </c>
      <c r="F95" s="5">
        <f>INDEX(Demand!$E$6:$S$265,MATCH('SPC Backing (Hide)'!$B95,Demand!$B$6:$B$265,0),MATCH('SPC Backing (Hide)'!F$3,Demand!$E$5:$S$5,0))</f>
        <v>0</v>
      </c>
      <c r="G95" s="5">
        <f>INDEX(Demand!$E$6:$S$265,MATCH('SPC Backing (Hide)'!$B95,Demand!$B$6:$B$265,0),MATCH('SPC Backing (Hide)'!G$3,Demand!$E$5:$S$5,0))</f>
        <v>0</v>
      </c>
      <c r="H95" s="5">
        <f>INDEX(Demand!$E$6:$S$265,MATCH('SPC Backing (Hide)'!$B95,Demand!$B$6:$B$265,0),MATCH('SPC Backing (Hide)'!H$3,Demand!$E$5:$S$5,0))</f>
        <v>0</v>
      </c>
      <c r="I95" s="5">
        <f>INDEX(Demand!$E$6:$S$265,MATCH('SPC Backing (Hide)'!$B95,Demand!$B$6:$B$265,0),MATCH('SPC Backing (Hide)'!I$3,Demand!$E$5:$S$5,0))</f>
        <v>0</v>
      </c>
      <c r="J95" s="5">
        <f>INDEX(Demand!$E$6:$S$265,MATCH('SPC Backing (Hide)'!$B95,Demand!$B$6:$B$265,0),MATCH('SPC Backing (Hide)'!J$3,Demand!$E$5:$S$5,0))</f>
        <v>0</v>
      </c>
      <c r="K95" s="5">
        <f>INDEX(Demand!$E$6:$S$265,MATCH('SPC Backing (Hide)'!$B95,Demand!$B$6:$B$265,0),MATCH('SPC Backing (Hide)'!K$3,Demand!$E$5:$S$5,0))</f>
        <v>0</v>
      </c>
      <c r="L95" s="5">
        <f>INDEX(Demand!$E$6:$S$265,MATCH('SPC Backing (Hide)'!$B95,Demand!$B$6:$B$265,0),MATCH('SPC Backing (Hide)'!L$3,Demand!$E$5:$S$5,0))</f>
        <v>0</v>
      </c>
      <c r="M95" s="5">
        <f>INDEX(Demand!$E$6:$S$265,MATCH('SPC Backing (Hide)'!$B95,Demand!$B$6:$B$265,0),MATCH('SPC Backing (Hide)'!M$3,Demand!$E$5:$S$5,0))</f>
        <v>0</v>
      </c>
      <c r="N95" s="5">
        <f>INDEX(Demand!$E$6:$S$265,MATCH('SPC Backing (Hide)'!$B95,Demand!$B$6:$B$265,0),MATCH('SPC Backing (Hide)'!N$3,Demand!$E$5:$S$5,0))</f>
        <v>0</v>
      </c>
      <c r="O95" s="5">
        <f>INDEX(Demand!$E$6:$S$265,MATCH('SPC Backing (Hide)'!$B95,Demand!$B$6:$B$265,0),MATCH('SPC Backing (Hide)'!O$3,Demand!$E$5:$S$5,0))</f>
        <v>0</v>
      </c>
      <c r="P95" s="5">
        <f>INDEX(Demand!$E$6:$S$265,MATCH('SPC Backing (Hide)'!$B95,Demand!$B$6:$B$265,0),MATCH('SPC Backing (Hide)'!P$3,Demand!$E$5:$S$5,0))</f>
        <v>0</v>
      </c>
      <c r="Q95" s="6">
        <f>INDEX(Demand!$E$6:$S$265,MATCH('SPC Backing (Hide)'!$B95,Demand!$B$6:$B$265,0),MATCH('SPC Backing (Hide)'!Q$3,Demand!$E$5:$S$5,0))</f>
        <v>0</v>
      </c>
      <c r="R95">
        <f>IF(SPC!$B$11="Yes",IF(ROW(A92)&gt;=Demand!$A$5-52,1,0),IF(AND(B95&gt;=SPC!$B$12,B95&lt;SPC!$B$13),1,0))</f>
        <v>1</v>
      </c>
      <c r="S95" cm="1">
        <f t="array" ref="S95">INDEX($C$4:$Q$263,ROW(A92),MATCH($T$2,$C$3:$Q$3,0))</f>
        <v>0</v>
      </c>
      <c r="T95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95" cm="1">
        <f t="array" ref="U95">ABS(INDEX($C$4:$Q$263,ROW(A92),MATCH($T$2,$C$3:$Q$3,0))-INDEX($C$4:$Q$263,ROW(A91),MATCH($T$2,$C$3:$Q$3,0)))</f>
        <v>0</v>
      </c>
      <c r="V95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95">
        <f t="shared" si="15"/>
        <v>40.813595610865789</v>
      </c>
      <c r="X95">
        <f t="shared" si="16"/>
        <v>108.80449618627055</v>
      </c>
      <c r="Y95">
        <f t="shared" si="17"/>
        <v>149.61809179713634</v>
      </c>
      <c r="Z95">
        <f t="shared" si="18"/>
        <v>190.43168740800212</v>
      </c>
      <c r="AA95">
        <f t="shared" si="19"/>
        <v>272.05887862973373</v>
      </c>
      <c r="AB95">
        <f t="shared" si="20"/>
        <v>312.8724742405995</v>
      </c>
      <c r="AC95">
        <f t="shared" si="21"/>
        <v>353.68606985146528</v>
      </c>
      <c r="AD95">
        <f t="shared" si="22"/>
        <v>0</v>
      </c>
      <c r="AE95">
        <f t="shared" si="29"/>
        <v>-2</v>
      </c>
      <c r="AF95">
        <f t="shared" si="23"/>
        <v>0</v>
      </c>
      <c r="AG95">
        <f t="shared" si="24"/>
        <v>0</v>
      </c>
      <c r="AH95" t="e">
        <f t="shared" si="25"/>
        <v>#N/A</v>
      </c>
      <c r="AI95">
        <f t="shared" si="26"/>
        <v>-1</v>
      </c>
      <c r="AJ95">
        <f t="shared" si="27"/>
        <v>0</v>
      </c>
      <c r="AK95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95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95">
        <f t="shared" si="28"/>
        <v>14.699999999999989</v>
      </c>
    </row>
    <row r="96" spans="2:39" x14ac:dyDescent="0.35">
      <c r="B96" s="12" t="str">
        <f>Demand!B98</f>
        <v/>
      </c>
      <c r="C96" s="7">
        <f>INDEX(Demand!$E$6:$S$265,MATCH('SPC Backing (Hide)'!$B96,Demand!$B$6:$B$265,0),MATCH('SPC Backing (Hide)'!C$3,Demand!$E$5:$S$5,0))</f>
        <v>0</v>
      </c>
      <c r="D96" s="5">
        <f>INDEX(Demand!$E$6:$S$265,MATCH('SPC Backing (Hide)'!$B96,Demand!$B$6:$B$265,0),MATCH('SPC Backing (Hide)'!D$3,Demand!$E$5:$S$5,0))</f>
        <v>0</v>
      </c>
      <c r="E96" s="5">
        <f>INDEX(Demand!$E$6:$S$265,MATCH('SPC Backing (Hide)'!$B96,Demand!$B$6:$B$265,0),MATCH('SPC Backing (Hide)'!E$3,Demand!$E$5:$S$5,0))</f>
        <v>0</v>
      </c>
      <c r="F96" s="5">
        <f>INDEX(Demand!$E$6:$S$265,MATCH('SPC Backing (Hide)'!$B96,Demand!$B$6:$B$265,0),MATCH('SPC Backing (Hide)'!F$3,Demand!$E$5:$S$5,0))</f>
        <v>0</v>
      </c>
      <c r="G96" s="5">
        <f>INDEX(Demand!$E$6:$S$265,MATCH('SPC Backing (Hide)'!$B96,Demand!$B$6:$B$265,0),MATCH('SPC Backing (Hide)'!G$3,Demand!$E$5:$S$5,0))</f>
        <v>0</v>
      </c>
      <c r="H96" s="5">
        <f>INDEX(Demand!$E$6:$S$265,MATCH('SPC Backing (Hide)'!$B96,Demand!$B$6:$B$265,0),MATCH('SPC Backing (Hide)'!H$3,Demand!$E$5:$S$5,0))</f>
        <v>0</v>
      </c>
      <c r="I96" s="5">
        <f>INDEX(Demand!$E$6:$S$265,MATCH('SPC Backing (Hide)'!$B96,Demand!$B$6:$B$265,0),MATCH('SPC Backing (Hide)'!I$3,Demand!$E$5:$S$5,0))</f>
        <v>0</v>
      </c>
      <c r="J96" s="5">
        <f>INDEX(Demand!$E$6:$S$265,MATCH('SPC Backing (Hide)'!$B96,Demand!$B$6:$B$265,0),MATCH('SPC Backing (Hide)'!J$3,Demand!$E$5:$S$5,0))</f>
        <v>0</v>
      </c>
      <c r="K96" s="5">
        <f>INDEX(Demand!$E$6:$S$265,MATCH('SPC Backing (Hide)'!$B96,Demand!$B$6:$B$265,0),MATCH('SPC Backing (Hide)'!K$3,Demand!$E$5:$S$5,0))</f>
        <v>0</v>
      </c>
      <c r="L96" s="5">
        <f>INDEX(Demand!$E$6:$S$265,MATCH('SPC Backing (Hide)'!$B96,Demand!$B$6:$B$265,0),MATCH('SPC Backing (Hide)'!L$3,Demand!$E$5:$S$5,0))</f>
        <v>0</v>
      </c>
      <c r="M96" s="5">
        <f>INDEX(Demand!$E$6:$S$265,MATCH('SPC Backing (Hide)'!$B96,Demand!$B$6:$B$265,0),MATCH('SPC Backing (Hide)'!M$3,Demand!$E$5:$S$5,0))</f>
        <v>0</v>
      </c>
      <c r="N96" s="5">
        <f>INDEX(Demand!$E$6:$S$265,MATCH('SPC Backing (Hide)'!$B96,Demand!$B$6:$B$265,0),MATCH('SPC Backing (Hide)'!N$3,Demand!$E$5:$S$5,0))</f>
        <v>0</v>
      </c>
      <c r="O96" s="5">
        <f>INDEX(Demand!$E$6:$S$265,MATCH('SPC Backing (Hide)'!$B96,Demand!$B$6:$B$265,0),MATCH('SPC Backing (Hide)'!O$3,Demand!$E$5:$S$5,0))</f>
        <v>0</v>
      </c>
      <c r="P96" s="5">
        <f>INDEX(Demand!$E$6:$S$265,MATCH('SPC Backing (Hide)'!$B96,Demand!$B$6:$B$265,0),MATCH('SPC Backing (Hide)'!P$3,Demand!$E$5:$S$5,0))</f>
        <v>0</v>
      </c>
      <c r="Q96" s="6">
        <f>INDEX(Demand!$E$6:$S$265,MATCH('SPC Backing (Hide)'!$B96,Demand!$B$6:$B$265,0),MATCH('SPC Backing (Hide)'!Q$3,Demand!$E$5:$S$5,0))</f>
        <v>0</v>
      </c>
      <c r="R96">
        <f>IF(SPC!$B$11="Yes",IF(ROW(A93)&gt;=Demand!$A$5-52,1,0),IF(AND(B96&gt;=SPC!$B$12,B96&lt;SPC!$B$13),1,0))</f>
        <v>1</v>
      </c>
      <c r="S96" cm="1">
        <f t="array" ref="S96">INDEX($C$4:$Q$263,ROW(A93),MATCH($T$2,$C$3:$Q$3,0))</f>
        <v>0</v>
      </c>
      <c r="T96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96" cm="1">
        <f t="array" ref="U96">ABS(INDEX($C$4:$Q$263,ROW(A93),MATCH($T$2,$C$3:$Q$3,0))-INDEX($C$4:$Q$263,ROW(A92),MATCH($T$2,$C$3:$Q$3,0)))</f>
        <v>0</v>
      </c>
      <c r="V96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96">
        <f t="shared" si="15"/>
        <v>40.813595610865789</v>
      </c>
      <c r="X96">
        <f t="shared" si="16"/>
        <v>108.80449618627055</v>
      </c>
      <c r="Y96">
        <f t="shared" si="17"/>
        <v>149.61809179713634</v>
      </c>
      <c r="Z96">
        <f t="shared" si="18"/>
        <v>190.43168740800212</v>
      </c>
      <c r="AA96">
        <f t="shared" si="19"/>
        <v>272.05887862973373</v>
      </c>
      <c r="AB96">
        <f t="shared" si="20"/>
        <v>312.8724742405995</v>
      </c>
      <c r="AC96">
        <f t="shared" si="21"/>
        <v>353.68606985146528</v>
      </c>
      <c r="AD96">
        <f t="shared" si="22"/>
        <v>0</v>
      </c>
      <c r="AE96">
        <f t="shared" si="29"/>
        <v>-2</v>
      </c>
      <c r="AF96">
        <f t="shared" si="23"/>
        <v>0</v>
      </c>
      <c r="AG96">
        <f t="shared" si="24"/>
        <v>0</v>
      </c>
      <c r="AH96" t="e">
        <f t="shared" si="25"/>
        <v>#N/A</v>
      </c>
      <c r="AI96">
        <f t="shared" si="26"/>
        <v>-1</v>
      </c>
      <c r="AJ96">
        <f t="shared" si="27"/>
        <v>0</v>
      </c>
      <c r="AK96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96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96">
        <f t="shared" si="28"/>
        <v>14.699999999999989</v>
      </c>
    </row>
    <row r="97" spans="2:39" x14ac:dyDescent="0.35">
      <c r="B97" s="12" t="str">
        <f>Demand!B99</f>
        <v/>
      </c>
      <c r="C97" s="7">
        <f>INDEX(Demand!$E$6:$S$265,MATCH('SPC Backing (Hide)'!$B97,Demand!$B$6:$B$265,0),MATCH('SPC Backing (Hide)'!C$3,Demand!$E$5:$S$5,0))</f>
        <v>0</v>
      </c>
      <c r="D97" s="5">
        <f>INDEX(Demand!$E$6:$S$265,MATCH('SPC Backing (Hide)'!$B97,Demand!$B$6:$B$265,0),MATCH('SPC Backing (Hide)'!D$3,Demand!$E$5:$S$5,0))</f>
        <v>0</v>
      </c>
      <c r="E97" s="5">
        <f>INDEX(Demand!$E$6:$S$265,MATCH('SPC Backing (Hide)'!$B97,Demand!$B$6:$B$265,0),MATCH('SPC Backing (Hide)'!E$3,Demand!$E$5:$S$5,0))</f>
        <v>0</v>
      </c>
      <c r="F97" s="5">
        <f>INDEX(Demand!$E$6:$S$265,MATCH('SPC Backing (Hide)'!$B97,Demand!$B$6:$B$265,0),MATCH('SPC Backing (Hide)'!F$3,Demand!$E$5:$S$5,0))</f>
        <v>0</v>
      </c>
      <c r="G97" s="5">
        <f>INDEX(Demand!$E$6:$S$265,MATCH('SPC Backing (Hide)'!$B97,Demand!$B$6:$B$265,0),MATCH('SPC Backing (Hide)'!G$3,Demand!$E$5:$S$5,0))</f>
        <v>0</v>
      </c>
      <c r="H97" s="5">
        <f>INDEX(Demand!$E$6:$S$265,MATCH('SPC Backing (Hide)'!$B97,Demand!$B$6:$B$265,0),MATCH('SPC Backing (Hide)'!H$3,Demand!$E$5:$S$5,0))</f>
        <v>0</v>
      </c>
      <c r="I97" s="5">
        <f>INDEX(Demand!$E$6:$S$265,MATCH('SPC Backing (Hide)'!$B97,Demand!$B$6:$B$265,0),MATCH('SPC Backing (Hide)'!I$3,Demand!$E$5:$S$5,0))</f>
        <v>0</v>
      </c>
      <c r="J97" s="5">
        <f>INDEX(Demand!$E$6:$S$265,MATCH('SPC Backing (Hide)'!$B97,Demand!$B$6:$B$265,0),MATCH('SPC Backing (Hide)'!J$3,Demand!$E$5:$S$5,0))</f>
        <v>0</v>
      </c>
      <c r="K97" s="5">
        <f>INDEX(Demand!$E$6:$S$265,MATCH('SPC Backing (Hide)'!$B97,Demand!$B$6:$B$265,0),MATCH('SPC Backing (Hide)'!K$3,Demand!$E$5:$S$5,0))</f>
        <v>0</v>
      </c>
      <c r="L97" s="5">
        <f>INDEX(Demand!$E$6:$S$265,MATCH('SPC Backing (Hide)'!$B97,Demand!$B$6:$B$265,0),MATCH('SPC Backing (Hide)'!L$3,Demand!$E$5:$S$5,0))</f>
        <v>0</v>
      </c>
      <c r="M97" s="5">
        <f>INDEX(Demand!$E$6:$S$265,MATCH('SPC Backing (Hide)'!$B97,Demand!$B$6:$B$265,0),MATCH('SPC Backing (Hide)'!M$3,Demand!$E$5:$S$5,0))</f>
        <v>0</v>
      </c>
      <c r="N97" s="5">
        <f>INDEX(Demand!$E$6:$S$265,MATCH('SPC Backing (Hide)'!$B97,Demand!$B$6:$B$265,0),MATCH('SPC Backing (Hide)'!N$3,Demand!$E$5:$S$5,0))</f>
        <v>0</v>
      </c>
      <c r="O97" s="5">
        <f>INDEX(Demand!$E$6:$S$265,MATCH('SPC Backing (Hide)'!$B97,Demand!$B$6:$B$265,0),MATCH('SPC Backing (Hide)'!O$3,Demand!$E$5:$S$5,0))</f>
        <v>0</v>
      </c>
      <c r="P97" s="5">
        <f>INDEX(Demand!$E$6:$S$265,MATCH('SPC Backing (Hide)'!$B97,Demand!$B$6:$B$265,0),MATCH('SPC Backing (Hide)'!P$3,Demand!$E$5:$S$5,0))</f>
        <v>0</v>
      </c>
      <c r="Q97" s="6">
        <f>INDEX(Demand!$E$6:$S$265,MATCH('SPC Backing (Hide)'!$B97,Demand!$B$6:$B$265,0),MATCH('SPC Backing (Hide)'!Q$3,Demand!$E$5:$S$5,0))</f>
        <v>0</v>
      </c>
      <c r="R97">
        <f>IF(SPC!$B$11="Yes",IF(ROW(A94)&gt;=Demand!$A$5-52,1,0),IF(AND(B97&gt;=SPC!$B$12,B97&lt;SPC!$B$13),1,0))</f>
        <v>1</v>
      </c>
      <c r="S97" cm="1">
        <f t="array" ref="S97">INDEX($C$4:$Q$263,ROW(A94),MATCH($T$2,$C$3:$Q$3,0))</f>
        <v>0</v>
      </c>
      <c r="T97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97" cm="1">
        <f t="array" ref="U97">ABS(INDEX($C$4:$Q$263,ROW(A94),MATCH($T$2,$C$3:$Q$3,0))-INDEX($C$4:$Q$263,ROW(A93),MATCH($T$2,$C$3:$Q$3,0)))</f>
        <v>0</v>
      </c>
      <c r="V97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97">
        <f t="shared" si="15"/>
        <v>40.813595610865789</v>
      </c>
      <c r="X97">
        <f t="shared" si="16"/>
        <v>108.80449618627055</v>
      </c>
      <c r="Y97">
        <f t="shared" si="17"/>
        <v>149.61809179713634</v>
      </c>
      <c r="Z97">
        <f t="shared" si="18"/>
        <v>190.43168740800212</v>
      </c>
      <c r="AA97">
        <f t="shared" si="19"/>
        <v>272.05887862973373</v>
      </c>
      <c r="AB97">
        <f t="shared" si="20"/>
        <v>312.8724742405995</v>
      </c>
      <c r="AC97">
        <f t="shared" si="21"/>
        <v>353.68606985146528</v>
      </c>
      <c r="AD97">
        <f t="shared" si="22"/>
        <v>0</v>
      </c>
      <c r="AE97">
        <f t="shared" si="29"/>
        <v>-2</v>
      </c>
      <c r="AF97">
        <f t="shared" si="23"/>
        <v>0</v>
      </c>
      <c r="AG97">
        <f t="shared" si="24"/>
        <v>0</v>
      </c>
      <c r="AH97" t="e">
        <f t="shared" si="25"/>
        <v>#N/A</v>
      </c>
      <c r="AI97">
        <f t="shared" si="26"/>
        <v>-1</v>
      </c>
      <c r="AJ97">
        <f t="shared" si="27"/>
        <v>0</v>
      </c>
      <c r="AK97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97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97">
        <f t="shared" si="28"/>
        <v>14.699999999999989</v>
      </c>
    </row>
    <row r="98" spans="2:39" x14ac:dyDescent="0.35">
      <c r="B98" s="12" t="str">
        <f>Demand!B100</f>
        <v/>
      </c>
      <c r="C98" s="7">
        <f>INDEX(Demand!$E$6:$S$265,MATCH('SPC Backing (Hide)'!$B98,Demand!$B$6:$B$265,0),MATCH('SPC Backing (Hide)'!C$3,Demand!$E$5:$S$5,0))</f>
        <v>0</v>
      </c>
      <c r="D98" s="5">
        <f>INDEX(Demand!$E$6:$S$265,MATCH('SPC Backing (Hide)'!$B98,Demand!$B$6:$B$265,0),MATCH('SPC Backing (Hide)'!D$3,Demand!$E$5:$S$5,0))</f>
        <v>0</v>
      </c>
      <c r="E98" s="5">
        <f>INDEX(Demand!$E$6:$S$265,MATCH('SPC Backing (Hide)'!$B98,Demand!$B$6:$B$265,0),MATCH('SPC Backing (Hide)'!E$3,Demand!$E$5:$S$5,0))</f>
        <v>0</v>
      </c>
      <c r="F98" s="5">
        <f>INDEX(Demand!$E$6:$S$265,MATCH('SPC Backing (Hide)'!$B98,Demand!$B$6:$B$265,0),MATCH('SPC Backing (Hide)'!F$3,Demand!$E$5:$S$5,0))</f>
        <v>0</v>
      </c>
      <c r="G98" s="5">
        <f>INDEX(Demand!$E$6:$S$265,MATCH('SPC Backing (Hide)'!$B98,Demand!$B$6:$B$265,0),MATCH('SPC Backing (Hide)'!G$3,Demand!$E$5:$S$5,0))</f>
        <v>0</v>
      </c>
      <c r="H98" s="5">
        <f>INDEX(Demand!$E$6:$S$265,MATCH('SPC Backing (Hide)'!$B98,Demand!$B$6:$B$265,0),MATCH('SPC Backing (Hide)'!H$3,Demand!$E$5:$S$5,0))</f>
        <v>0</v>
      </c>
      <c r="I98" s="5">
        <f>INDEX(Demand!$E$6:$S$265,MATCH('SPC Backing (Hide)'!$B98,Demand!$B$6:$B$265,0),MATCH('SPC Backing (Hide)'!I$3,Demand!$E$5:$S$5,0))</f>
        <v>0</v>
      </c>
      <c r="J98" s="5">
        <f>INDEX(Demand!$E$6:$S$265,MATCH('SPC Backing (Hide)'!$B98,Demand!$B$6:$B$265,0),MATCH('SPC Backing (Hide)'!J$3,Demand!$E$5:$S$5,0))</f>
        <v>0</v>
      </c>
      <c r="K98" s="5">
        <f>INDEX(Demand!$E$6:$S$265,MATCH('SPC Backing (Hide)'!$B98,Demand!$B$6:$B$265,0),MATCH('SPC Backing (Hide)'!K$3,Demand!$E$5:$S$5,0))</f>
        <v>0</v>
      </c>
      <c r="L98" s="5">
        <f>INDEX(Demand!$E$6:$S$265,MATCH('SPC Backing (Hide)'!$B98,Demand!$B$6:$B$265,0),MATCH('SPC Backing (Hide)'!L$3,Demand!$E$5:$S$5,0))</f>
        <v>0</v>
      </c>
      <c r="M98" s="5">
        <f>INDEX(Demand!$E$6:$S$265,MATCH('SPC Backing (Hide)'!$B98,Demand!$B$6:$B$265,0),MATCH('SPC Backing (Hide)'!M$3,Demand!$E$5:$S$5,0))</f>
        <v>0</v>
      </c>
      <c r="N98" s="5">
        <f>INDEX(Demand!$E$6:$S$265,MATCH('SPC Backing (Hide)'!$B98,Demand!$B$6:$B$265,0),MATCH('SPC Backing (Hide)'!N$3,Demand!$E$5:$S$5,0))</f>
        <v>0</v>
      </c>
      <c r="O98" s="5">
        <f>INDEX(Demand!$E$6:$S$265,MATCH('SPC Backing (Hide)'!$B98,Demand!$B$6:$B$265,0),MATCH('SPC Backing (Hide)'!O$3,Demand!$E$5:$S$5,0))</f>
        <v>0</v>
      </c>
      <c r="P98" s="5">
        <f>INDEX(Demand!$E$6:$S$265,MATCH('SPC Backing (Hide)'!$B98,Demand!$B$6:$B$265,0),MATCH('SPC Backing (Hide)'!P$3,Demand!$E$5:$S$5,0))</f>
        <v>0</v>
      </c>
      <c r="Q98" s="6">
        <f>INDEX(Demand!$E$6:$S$265,MATCH('SPC Backing (Hide)'!$B98,Demand!$B$6:$B$265,0),MATCH('SPC Backing (Hide)'!Q$3,Demand!$E$5:$S$5,0))</f>
        <v>0</v>
      </c>
      <c r="R98">
        <f>IF(SPC!$B$11="Yes",IF(ROW(A95)&gt;=Demand!$A$5-52,1,0),IF(AND(B98&gt;=SPC!$B$12,B98&lt;SPC!$B$13),1,0))</f>
        <v>1</v>
      </c>
      <c r="S98" cm="1">
        <f t="array" ref="S98">INDEX($C$4:$Q$263,ROW(A95),MATCH($T$2,$C$3:$Q$3,0))</f>
        <v>0</v>
      </c>
      <c r="T98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98" cm="1">
        <f t="array" ref="U98">ABS(INDEX($C$4:$Q$263,ROW(A95),MATCH($T$2,$C$3:$Q$3,0))-INDEX($C$4:$Q$263,ROW(A94),MATCH($T$2,$C$3:$Q$3,0)))</f>
        <v>0</v>
      </c>
      <c r="V98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98">
        <f t="shared" si="15"/>
        <v>40.813595610865789</v>
      </c>
      <c r="X98">
        <f t="shared" si="16"/>
        <v>108.80449618627055</v>
      </c>
      <c r="Y98">
        <f t="shared" si="17"/>
        <v>149.61809179713634</v>
      </c>
      <c r="Z98">
        <f t="shared" si="18"/>
        <v>190.43168740800212</v>
      </c>
      <c r="AA98">
        <f t="shared" si="19"/>
        <v>272.05887862973373</v>
      </c>
      <c r="AB98">
        <f t="shared" si="20"/>
        <v>312.8724742405995</v>
      </c>
      <c r="AC98">
        <f t="shared" si="21"/>
        <v>353.68606985146528</v>
      </c>
      <c r="AD98">
        <f t="shared" si="22"/>
        <v>0</v>
      </c>
      <c r="AE98">
        <f t="shared" si="29"/>
        <v>-2</v>
      </c>
      <c r="AF98">
        <f t="shared" si="23"/>
        <v>0</v>
      </c>
      <c r="AG98">
        <f t="shared" si="24"/>
        <v>0</v>
      </c>
      <c r="AH98" t="e">
        <f t="shared" si="25"/>
        <v>#N/A</v>
      </c>
      <c r="AI98">
        <f t="shared" si="26"/>
        <v>-1</v>
      </c>
      <c r="AJ98">
        <f t="shared" si="27"/>
        <v>0</v>
      </c>
      <c r="AK98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98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98">
        <f t="shared" si="28"/>
        <v>14.699999999999989</v>
      </c>
    </row>
    <row r="99" spans="2:39" x14ac:dyDescent="0.35">
      <c r="B99" s="12" t="str">
        <f>Demand!B101</f>
        <v/>
      </c>
      <c r="C99" s="7">
        <f>INDEX(Demand!$E$6:$S$265,MATCH('SPC Backing (Hide)'!$B99,Demand!$B$6:$B$265,0),MATCH('SPC Backing (Hide)'!C$3,Demand!$E$5:$S$5,0))</f>
        <v>0</v>
      </c>
      <c r="D99" s="5">
        <f>INDEX(Demand!$E$6:$S$265,MATCH('SPC Backing (Hide)'!$B99,Demand!$B$6:$B$265,0),MATCH('SPC Backing (Hide)'!D$3,Demand!$E$5:$S$5,0))</f>
        <v>0</v>
      </c>
      <c r="E99" s="5">
        <f>INDEX(Demand!$E$6:$S$265,MATCH('SPC Backing (Hide)'!$B99,Demand!$B$6:$B$265,0),MATCH('SPC Backing (Hide)'!E$3,Demand!$E$5:$S$5,0))</f>
        <v>0</v>
      </c>
      <c r="F99" s="5">
        <f>INDEX(Demand!$E$6:$S$265,MATCH('SPC Backing (Hide)'!$B99,Demand!$B$6:$B$265,0),MATCH('SPC Backing (Hide)'!F$3,Demand!$E$5:$S$5,0))</f>
        <v>0</v>
      </c>
      <c r="G99" s="5">
        <f>INDEX(Demand!$E$6:$S$265,MATCH('SPC Backing (Hide)'!$B99,Demand!$B$6:$B$265,0),MATCH('SPC Backing (Hide)'!G$3,Demand!$E$5:$S$5,0))</f>
        <v>0</v>
      </c>
      <c r="H99" s="5">
        <f>INDEX(Demand!$E$6:$S$265,MATCH('SPC Backing (Hide)'!$B99,Demand!$B$6:$B$265,0),MATCH('SPC Backing (Hide)'!H$3,Demand!$E$5:$S$5,0))</f>
        <v>0</v>
      </c>
      <c r="I99" s="5">
        <f>INDEX(Demand!$E$6:$S$265,MATCH('SPC Backing (Hide)'!$B99,Demand!$B$6:$B$265,0),MATCH('SPC Backing (Hide)'!I$3,Demand!$E$5:$S$5,0))</f>
        <v>0</v>
      </c>
      <c r="J99" s="5">
        <f>INDEX(Demand!$E$6:$S$265,MATCH('SPC Backing (Hide)'!$B99,Demand!$B$6:$B$265,0),MATCH('SPC Backing (Hide)'!J$3,Demand!$E$5:$S$5,0))</f>
        <v>0</v>
      </c>
      <c r="K99" s="5">
        <f>INDEX(Demand!$E$6:$S$265,MATCH('SPC Backing (Hide)'!$B99,Demand!$B$6:$B$265,0),MATCH('SPC Backing (Hide)'!K$3,Demand!$E$5:$S$5,0))</f>
        <v>0</v>
      </c>
      <c r="L99" s="5">
        <f>INDEX(Demand!$E$6:$S$265,MATCH('SPC Backing (Hide)'!$B99,Demand!$B$6:$B$265,0),MATCH('SPC Backing (Hide)'!L$3,Demand!$E$5:$S$5,0))</f>
        <v>0</v>
      </c>
      <c r="M99" s="5">
        <f>INDEX(Demand!$E$6:$S$265,MATCH('SPC Backing (Hide)'!$B99,Demand!$B$6:$B$265,0),MATCH('SPC Backing (Hide)'!M$3,Demand!$E$5:$S$5,0))</f>
        <v>0</v>
      </c>
      <c r="N99" s="5">
        <f>INDEX(Demand!$E$6:$S$265,MATCH('SPC Backing (Hide)'!$B99,Demand!$B$6:$B$265,0),MATCH('SPC Backing (Hide)'!N$3,Demand!$E$5:$S$5,0))</f>
        <v>0</v>
      </c>
      <c r="O99" s="5">
        <f>INDEX(Demand!$E$6:$S$265,MATCH('SPC Backing (Hide)'!$B99,Demand!$B$6:$B$265,0),MATCH('SPC Backing (Hide)'!O$3,Demand!$E$5:$S$5,0))</f>
        <v>0</v>
      </c>
      <c r="P99" s="5">
        <f>INDEX(Demand!$E$6:$S$265,MATCH('SPC Backing (Hide)'!$B99,Demand!$B$6:$B$265,0),MATCH('SPC Backing (Hide)'!P$3,Demand!$E$5:$S$5,0))</f>
        <v>0</v>
      </c>
      <c r="Q99" s="6">
        <f>INDEX(Demand!$E$6:$S$265,MATCH('SPC Backing (Hide)'!$B99,Demand!$B$6:$B$265,0),MATCH('SPC Backing (Hide)'!Q$3,Demand!$E$5:$S$5,0))</f>
        <v>0</v>
      </c>
      <c r="R99">
        <f>IF(SPC!$B$11="Yes",IF(ROW(A96)&gt;=Demand!$A$5-52,1,0),IF(AND(B99&gt;=SPC!$B$12,B99&lt;SPC!$B$13),1,0))</f>
        <v>1</v>
      </c>
      <c r="S99" cm="1">
        <f t="array" ref="S99">INDEX($C$4:$Q$263,ROW(A96),MATCH($T$2,$C$3:$Q$3,0))</f>
        <v>0</v>
      </c>
      <c r="T99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99" cm="1">
        <f t="array" ref="U99">ABS(INDEX($C$4:$Q$263,ROW(A96),MATCH($T$2,$C$3:$Q$3,0))-INDEX($C$4:$Q$263,ROW(A95),MATCH($T$2,$C$3:$Q$3,0)))</f>
        <v>0</v>
      </c>
      <c r="V99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99">
        <f t="shared" si="15"/>
        <v>40.813595610865789</v>
      </c>
      <c r="X99">
        <f t="shared" si="16"/>
        <v>108.80449618627055</v>
      </c>
      <c r="Y99">
        <f t="shared" si="17"/>
        <v>149.61809179713634</v>
      </c>
      <c r="Z99">
        <f t="shared" si="18"/>
        <v>190.43168740800212</v>
      </c>
      <c r="AA99">
        <f t="shared" si="19"/>
        <v>272.05887862973373</v>
      </c>
      <c r="AB99">
        <f t="shared" si="20"/>
        <v>312.8724742405995</v>
      </c>
      <c r="AC99">
        <f t="shared" si="21"/>
        <v>353.68606985146528</v>
      </c>
      <c r="AD99">
        <f t="shared" si="22"/>
        <v>0</v>
      </c>
      <c r="AE99">
        <f t="shared" si="29"/>
        <v>-2</v>
      </c>
      <c r="AF99">
        <f t="shared" si="23"/>
        <v>0</v>
      </c>
      <c r="AG99">
        <f t="shared" si="24"/>
        <v>0</v>
      </c>
      <c r="AH99" t="e">
        <f t="shared" si="25"/>
        <v>#N/A</v>
      </c>
      <c r="AI99">
        <f t="shared" si="26"/>
        <v>-1</v>
      </c>
      <c r="AJ99">
        <f t="shared" si="27"/>
        <v>0</v>
      </c>
      <c r="AK99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99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99">
        <f t="shared" si="28"/>
        <v>14.699999999999989</v>
      </c>
    </row>
    <row r="100" spans="2:39" x14ac:dyDescent="0.35">
      <c r="B100" s="12" t="str">
        <f>Demand!B102</f>
        <v/>
      </c>
      <c r="C100" s="7">
        <f>INDEX(Demand!$E$6:$S$265,MATCH('SPC Backing (Hide)'!$B100,Demand!$B$6:$B$265,0),MATCH('SPC Backing (Hide)'!C$3,Demand!$E$5:$S$5,0))</f>
        <v>0</v>
      </c>
      <c r="D100" s="5">
        <f>INDEX(Demand!$E$6:$S$265,MATCH('SPC Backing (Hide)'!$B100,Demand!$B$6:$B$265,0),MATCH('SPC Backing (Hide)'!D$3,Demand!$E$5:$S$5,0))</f>
        <v>0</v>
      </c>
      <c r="E100" s="5">
        <f>INDEX(Demand!$E$6:$S$265,MATCH('SPC Backing (Hide)'!$B100,Demand!$B$6:$B$265,0),MATCH('SPC Backing (Hide)'!E$3,Demand!$E$5:$S$5,0))</f>
        <v>0</v>
      </c>
      <c r="F100" s="5">
        <f>INDEX(Demand!$E$6:$S$265,MATCH('SPC Backing (Hide)'!$B100,Demand!$B$6:$B$265,0),MATCH('SPC Backing (Hide)'!F$3,Demand!$E$5:$S$5,0))</f>
        <v>0</v>
      </c>
      <c r="G100" s="5">
        <f>INDEX(Demand!$E$6:$S$265,MATCH('SPC Backing (Hide)'!$B100,Demand!$B$6:$B$265,0),MATCH('SPC Backing (Hide)'!G$3,Demand!$E$5:$S$5,0))</f>
        <v>0</v>
      </c>
      <c r="H100" s="5">
        <f>INDEX(Demand!$E$6:$S$265,MATCH('SPC Backing (Hide)'!$B100,Demand!$B$6:$B$265,0),MATCH('SPC Backing (Hide)'!H$3,Demand!$E$5:$S$5,0))</f>
        <v>0</v>
      </c>
      <c r="I100" s="5">
        <f>INDEX(Demand!$E$6:$S$265,MATCH('SPC Backing (Hide)'!$B100,Demand!$B$6:$B$265,0),MATCH('SPC Backing (Hide)'!I$3,Demand!$E$5:$S$5,0))</f>
        <v>0</v>
      </c>
      <c r="J100" s="5">
        <f>INDEX(Demand!$E$6:$S$265,MATCH('SPC Backing (Hide)'!$B100,Demand!$B$6:$B$265,0),MATCH('SPC Backing (Hide)'!J$3,Demand!$E$5:$S$5,0))</f>
        <v>0</v>
      </c>
      <c r="K100" s="5">
        <f>INDEX(Demand!$E$6:$S$265,MATCH('SPC Backing (Hide)'!$B100,Demand!$B$6:$B$265,0),MATCH('SPC Backing (Hide)'!K$3,Demand!$E$5:$S$5,0))</f>
        <v>0</v>
      </c>
      <c r="L100" s="5">
        <f>INDEX(Demand!$E$6:$S$265,MATCH('SPC Backing (Hide)'!$B100,Demand!$B$6:$B$265,0),MATCH('SPC Backing (Hide)'!L$3,Demand!$E$5:$S$5,0))</f>
        <v>0</v>
      </c>
      <c r="M100" s="5">
        <f>INDEX(Demand!$E$6:$S$265,MATCH('SPC Backing (Hide)'!$B100,Demand!$B$6:$B$265,0),MATCH('SPC Backing (Hide)'!M$3,Demand!$E$5:$S$5,0))</f>
        <v>0</v>
      </c>
      <c r="N100" s="5">
        <f>INDEX(Demand!$E$6:$S$265,MATCH('SPC Backing (Hide)'!$B100,Demand!$B$6:$B$265,0),MATCH('SPC Backing (Hide)'!N$3,Demand!$E$5:$S$5,0))</f>
        <v>0</v>
      </c>
      <c r="O100" s="5">
        <f>INDEX(Demand!$E$6:$S$265,MATCH('SPC Backing (Hide)'!$B100,Demand!$B$6:$B$265,0),MATCH('SPC Backing (Hide)'!O$3,Demand!$E$5:$S$5,0))</f>
        <v>0</v>
      </c>
      <c r="P100" s="5">
        <f>INDEX(Demand!$E$6:$S$265,MATCH('SPC Backing (Hide)'!$B100,Demand!$B$6:$B$265,0),MATCH('SPC Backing (Hide)'!P$3,Demand!$E$5:$S$5,0))</f>
        <v>0</v>
      </c>
      <c r="Q100" s="6">
        <f>INDEX(Demand!$E$6:$S$265,MATCH('SPC Backing (Hide)'!$B100,Demand!$B$6:$B$265,0),MATCH('SPC Backing (Hide)'!Q$3,Demand!$E$5:$S$5,0))</f>
        <v>0</v>
      </c>
      <c r="R100">
        <f>IF(SPC!$B$11="Yes",IF(ROW(A97)&gt;=Demand!$A$5-52,1,0),IF(AND(B100&gt;=SPC!$B$12,B100&lt;SPC!$B$13),1,0))</f>
        <v>1</v>
      </c>
      <c r="S100" cm="1">
        <f t="array" ref="S100">INDEX($C$4:$Q$263,ROW(A97),MATCH($T$2,$C$3:$Q$3,0))</f>
        <v>0</v>
      </c>
      <c r="T100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00" cm="1">
        <f t="array" ref="U100">ABS(INDEX($C$4:$Q$263,ROW(A97),MATCH($T$2,$C$3:$Q$3,0))-INDEX($C$4:$Q$263,ROW(A96),MATCH($T$2,$C$3:$Q$3,0)))</f>
        <v>0</v>
      </c>
      <c r="V100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00">
        <f t="shared" si="15"/>
        <v>40.813595610865789</v>
      </c>
      <c r="X100">
        <f t="shared" si="16"/>
        <v>108.80449618627055</v>
      </c>
      <c r="Y100">
        <f t="shared" si="17"/>
        <v>149.61809179713634</v>
      </c>
      <c r="Z100">
        <f t="shared" si="18"/>
        <v>190.43168740800212</v>
      </c>
      <c r="AA100">
        <f t="shared" si="19"/>
        <v>272.05887862973373</v>
      </c>
      <c r="AB100">
        <f t="shared" si="20"/>
        <v>312.8724742405995</v>
      </c>
      <c r="AC100">
        <f t="shared" si="21"/>
        <v>353.68606985146528</v>
      </c>
      <c r="AD100">
        <f t="shared" si="22"/>
        <v>0</v>
      </c>
      <c r="AE100">
        <f t="shared" si="29"/>
        <v>-2</v>
      </c>
      <c r="AF100">
        <f t="shared" si="23"/>
        <v>0</v>
      </c>
      <c r="AG100">
        <f t="shared" si="24"/>
        <v>0</v>
      </c>
      <c r="AH100" t="e">
        <f t="shared" si="25"/>
        <v>#N/A</v>
      </c>
      <c r="AI100">
        <f t="shared" si="26"/>
        <v>-1</v>
      </c>
      <c r="AJ100">
        <f t="shared" si="27"/>
        <v>0</v>
      </c>
      <c r="AK100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00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00">
        <f t="shared" si="28"/>
        <v>14.699999999999989</v>
      </c>
    </row>
    <row r="101" spans="2:39" x14ac:dyDescent="0.35">
      <c r="B101" s="12" t="str">
        <f>Demand!B103</f>
        <v/>
      </c>
      <c r="C101" s="7">
        <f>INDEX(Demand!$E$6:$S$265,MATCH('SPC Backing (Hide)'!$B101,Demand!$B$6:$B$265,0),MATCH('SPC Backing (Hide)'!C$3,Demand!$E$5:$S$5,0))</f>
        <v>0</v>
      </c>
      <c r="D101" s="5">
        <f>INDEX(Demand!$E$6:$S$265,MATCH('SPC Backing (Hide)'!$B101,Demand!$B$6:$B$265,0),MATCH('SPC Backing (Hide)'!D$3,Demand!$E$5:$S$5,0))</f>
        <v>0</v>
      </c>
      <c r="E101" s="5">
        <f>INDEX(Demand!$E$6:$S$265,MATCH('SPC Backing (Hide)'!$B101,Demand!$B$6:$B$265,0),MATCH('SPC Backing (Hide)'!E$3,Demand!$E$5:$S$5,0))</f>
        <v>0</v>
      </c>
      <c r="F101" s="5">
        <f>INDEX(Demand!$E$6:$S$265,MATCH('SPC Backing (Hide)'!$B101,Demand!$B$6:$B$265,0),MATCH('SPC Backing (Hide)'!F$3,Demand!$E$5:$S$5,0))</f>
        <v>0</v>
      </c>
      <c r="G101" s="5">
        <f>INDEX(Demand!$E$6:$S$265,MATCH('SPC Backing (Hide)'!$B101,Demand!$B$6:$B$265,0),MATCH('SPC Backing (Hide)'!G$3,Demand!$E$5:$S$5,0))</f>
        <v>0</v>
      </c>
      <c r="H101" s="5">
        <f>INDEX(Demand!$E$6:$S$265,MATCH('SPC Backing (Hide)'!$B101,Demand!$B$6:$B$265,0),MATCH('SPC Backing (Hide)'!H$3,Demand!$E$5:$S$5,0))</f>
        <v>0</v>
      </c>
      <c r="I101" s="5">
        <f>INDEX(Demand!$E$6:$S$265,MATCH('SPC Backing (Hide)'!$B101,Demand!$B$6:$B$265,0),MATCH('SPC Backing (Hide)'!I$3,Demand!$E$5:$S$5,0))</f>
        <v>0</v>
      </c>
      <c r="J101" s="5">
        <f>INDEX(Demand!$E$6:$S$265,MATCH('SPC Backing (Hide)'!$B101,Demand!$B$6:$B$265,0),MATCH('SPC Backing (Hide)'!J$3,Demand!$E$5:$S$5,0))</f>
        <v>0</v>
      </c>
      <c r="K101" s="5">
        <f>INDEX(Demand!$E$6:$S$265,MATCH('SPC Backing (Hide)'!$B101,Demand!$B$6:$B$265,0),MATCH('SPC Backing (Hide)'!K$3,Demand!$E$5:$S$5,0))</f>
        <v>0</v>
      </c>
      <c r="L101" s="5">
        <f>INDEX(Demand!$E$6:$S$265,MATCH('SPC Backing (Hide)'!$B101,Demand!$B$6:$B$265,0),MATCH('SPC Backing (Hide)'!L$3,Demand!$E$5:$S$5,0))</f>
        <v>0</v>
      </c>
      <c r="M101" s="5">
        <f>INDEX(Demand!$E$6:$S$265,MATCH('SPC Backing (Hide)'!$B101,Demand!$B$6:$B$265,0),MATCH('SPC Backing (Hide)'!M$3,Demand!$E$5:$S$5,0))</f>
        <v>0</v>
      </c>
      <c r="N101" s="5">
        <f>INDEX(Demand!$E$6:$S$265,MATCH('SPC Backing (Hide)'!$B101,Demand!$B$6:$B$265,0),MATCH('SPC Backing (Hide)'!N$3,Demand!$E$5:$S$5,0))</f>
        <v>0</v>
      </c>
      <c r="O101" s="5">
        <f>INDEX(Demand!$E$6:$S$265,MATCH('SPC Backing (Hide)'!$B101,Demand!$B$6:$B$265,0),MATCH('SPC Backing (Hide)'!O$3,Demand!$E$5:$S$5,0))</f>
        <v>0</v>
      </c>
      <c r="P101" s="5">
        <f>INDEX(Demand!$E$6:$S$265,MATCH('SPC Backing (Hide)'!$B101,Demand!$B$6:$B$265,0),MATCH('SPC Backing (Hide)'!P$3,Demand!$E$5:$S$5,0))</f>
        <v>0</v>
      </c>
      <c r="Q101" s="6">
        <f>INDEX(Demand!$E$6:$S$265,MATCH('SPC Backing (Hide)'!$B101,Demand!$B$6:$B$265,0),MATCH('SPC Backing (Hide)'!Q$3,Demand!$E$5:$S$5,0))</f>
        <v>0</v>
      </c>
      <c r="R101">
        <f>IF(SPC!$B$11="Yes",IF(ROW(A98)&gt;=Demand!$A$5-52,1,0),IF(AND(B101&gt;=SPC!$B$12,B101&lt;SPC!$B$13),1,0))</f>
        <v>1</v>
      </c>
      <c r="S101" cm="1">
        <f t="array" ref="S101">INDEX($C$4:$Q$263,ROW(A98),MATCH($T$2,$C$3:$Q$3,0))</f>
        <v>0</v>
      </c>
      <c r="T101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01" cm="1">
        <f t="array" ref="U101">ABS(INDEX($C$4:$Q$263,ROW(A98),MATCH($T$2,$C$3:$Q$3,0))-INDEX($C$4:$Q$263,ROW(A97),MATCH($T$2,$C$3:$Q$3,0)))</f>
        <v>0</v>
      </c>
      <c r="V101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01">
        <f t="shared" si="15"/>
        <v>40.813595610865789</v>
      </c>
      <c r="X101">
        <f t="shared" si="16"/>
        <v>108.80449618627055</v>
      </c>
      <c r="Y101">
        <f t="shared" si="17"/>
        <v>149.61809179713634</v>
      </c>
      <c r="Z101">
        <f t="shared" si="18"/>
        <v>190.43168740800212</v>
      </c>
      <c r="AA101">
        <f t="shared" si="19"/>
        <v>272.05887862973373</v>
      </c>
      <c r="AB101">
        <f t="shared" si="20"/>
        <v>312.8724742405995</v>
      </c>
      <c r="AC101">
        <f t="shared" si="21"/>
        <v>353.68606985146528</v>
      </c>
      <c r="AD101">
        <f t="shared" si="22"/>
        <v>0</v>
      </c>
      <c r="AE101">
        <f t="shared" si="29"/>
        <v>-2</v>
      </c>
      <c r="AF101">
        <f t="shared" si="23"/>
        <v>0</v>
      </c>
      <c r="AG101">
        <f t="shared" si="24"/>
        <v>0</v>
      </c>
      <c r="AH101" t="e">
        <f t="shared" si="25"/>
        <v>#N/A</v>
      </c>
      <c r="AI101">
        <f t="shared" si="26"/>
        <v>-1</v>
      </c>
      <c r="AJ101">
        <f t="shared" si="27"/>
        <v>0</v>
      </c>
      <c r="AK101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01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01">
        <f t="shared" si="28"/>
        <v>14.699999999999989</v>
      </c>
    </row>
    <row r="102" spans="2:39" x14ac:dyDescent="0.35">
      <c r="B102" s="12" t="str">
        <f>Demand!B104</f>
        <v/>
      </c>
      <c r="C102" s="7">
        <f>INDEX(Demand!$E$6:$S$265,MATCH('SPC Backing (Hide)'!$B102,Demand!$B$6:$B$265,0),MATCH('SPC Backing (Hide)'!C$3,Demand!$E$5:$S$5,0))</f>
        <v>0</v>
      </c>
      <c r="D102" s="5">
        <f>INDEX(Demand!$E$6:$S$265,MATCH('SPC Backing (Hide)'!$B102,Demand!$B$6:$B$265,0),MATCH('SPC Backing (Hide)'!D$3,Demand!$E$5:$S$5,0))</f>
        <v>0</v>
      </c>
      <c r="E102" s="5">
        <f>INDEX(Demand!$E$6:$S$265,MATCH('SPC Backing (Hide)'!$B102,Demand!$B$6:$B$265,0),MATCH('SPC Backing (Hide)'!E$3,Demand!$E$5:$S$5,0))</f>
        <v>0</v>
      </c>
      <c r="F102" s="5">
        <f>INDEX(Demand!$E$6:$S$265,MATCH('SPC Backing (Hide)'!$B102,Demand!$B$6:$B$265,0),MATCH('SPC Backing (Hide)'!F$3,Demand!$E$5:$S$5,0))</f>
        <v>0</v>
      </c>
      <c r="G102" s="5">
        <f>INDEX(Demand!$E$6:$S$265,MATCH('SPC Backing (Hide)'!$B102,Demand!$B$6:$B$265,0),MATCH('SPC Backing (Hide)'!G$3,Demand!$E$5:$S$5,0))</f>
        <v>0</v>
      </c>
      <c r="H102" s="5">
        <f>INDEX(Demand!$E$6:$S$265,MATCH('SPC Backing (Hide)'!$B102,Demand!$B$6:$B$265,0),MATCH('SPC Backing (Hide)'!H$3,Demand!$E$5:$S$5,0))</f>
        <v>0</v>
      </c>
      <c r="I102" s="5">
        <f>INDEX(Demand!$E$6:$S$265,MATCH('SPC Backing (Hide)'!$B102,Demand!$B$6:$B$265,0),MATCH('SPC Backing (Hide)'!I$3,Demand!$E$5:$S$5,0))</f>
        <v>0</v>
      </c>
      <c r="J102" s="5">
        <f>INDEX(Demand!$E$6:$S$265,MATCH('SPC Backing (Hide)'!$B102,Demand!$B$6:$B$265,0),MATCH('SPC Backing (Hide)'!J$3,Demand!$E$5:$S$5,0))</f>
        <v>0</v>
      </c>
      <c r="K102" s="5">
        <f>INDEX(Demand!$E$6:$S$265,MATCH('SPC Backing (Hide)'!$B102,Demand!$B$6:$B$265,0),MATCH('SPC Backing (Hide)'!K$3,Demand!$E$5:$S$5,0))</f>
        <v>0</v>
      </c>
      <c r="L102" s="5">
        <f>INDEX(Demand!$E$6:$S$265,MATCH('SPC Backing (Hide)'!$B102,Demand!$B$6:$B$265,0),MATCH('SPC Backing (Hide)'!L$3,Demand!$E$5:$S$5,0))</f>
        <v>0</v>
      </c>
      <c r="M102" s="5">
        <f>INDEX(Demand!$E$6:$S$265,MATCH('SPC Backing (Hide)'!$B102,Demand!$B$6:$B$265,0),MATCH('SPC Backing (Hide)'!M$3,Demand!$E$5:$S$5,0))</f>
        <v>0</v>
      </c>
      <c r="N102" s="5">
        <f>INDEX(Demand!$E$6:$S$265,MATCH('SPC Backing (Hide)'!$B102,Demand!$B$6:$B$265,0),MATCH('SPC Backing (Hide)'!N$3,Demand!$E$5:$S$5,0))</f>
        <v>0</v>
      </c>
      <c r="O102" s="5">
        <f>INDEX(Demand!$E$6:$S$265,MATCH('SPC Backing (Hide)'!$B102,Demand!$B$6:$B$265,0),MATCH('SPC Backing (Hide)'!O$3,Demand!$E$5:$S$5,0))</f>
        <v>0</v>
      </c>
      <c r="P102" s="5">
        <f>INDEX(Demand!$E$6:$S$265,MATCH('SPC Backing (Hide)'!$B102,Demand!$B$6:$B$265,0),MATCH('SPC Backing (Hide)'!P$3,Demand!$E$5:$S$5,0))</f>
        <v>0</v>
      </c>
      <c r="Q102" s="6">
        <f>INDEX(Demand!$E$6:$S$265,MATCH('SPC Backing (Hide)'!$B102,Demand!$B$6:$B$265,0),MATCH('SPC Backing (Hide)'!Q$3,Demand!$E$5:$S$5,0))</f>
        <v>0</v>
      </c>
      <c r="R102">
        <f>IF(SPC!$B$11="Yes",IF(ROW(A99)&gt;=Demand!$A$5-52,1,0),IF(AND(B102&gt;=SPC!$B$12,B102&lt;SPC!$B$13),1,0))</f>
        <v>1</v>
      </c>
      <c r="S102" cm="1">
        <f t="array" ref="S102">INDEX($C$4:$Q$263,ROW(A99),MATCH($T$2,$C$3:$Q$3,0))</f>
        <v>0</v>
      </c>
      <c r="T102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02" cm="1">
        <f t="array" ref="U102">ABS(INDEX($C$4:$Q$263,ROW(A99),MATCH($T$2,$C$3:$Q$3,0))-INDEX($C$4:$Q$263,ROW(A98),MATCH($T$2,$C$3:$Q$3,0)))</f>
        <v>0</v>
      </c>
      <c r="V102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02">
        <f t="shared" si="15"/>
        <v>40.813595610865789</v>
      </c>
      <c r="X102">
        <f t="shared" si="16"/>
        <v>108.80449618627055</v>
      </c>
      <c r="Y102">
        <f t="shared" si="17"/>
        <v>149.61809179713634</v>
      </c>
      <c r="Z102">
        <f t="shared" si="18"/>
        <v>190.43168740800212</v>
      </c>
      <c r="AA102">
        <f t="shared" si="19"/>
        <v>272.05887862973373</v>
      </c>
      <c r="AB102">
        <f t="shared" si="20"/>
        <v>312.8724742405995</v>
      </c>
      <c r="AC102">
        <f t="shared" si="21"/>
        <v>353.68606985146528</v>
      </c>
      <c r="AD102">
        <f t="shared" si="22"/>
        <v>0</v>
      </c>
      <c r="AE102">
        <f t="shared" si="29"/>
        <v>-2</v>
      </c>
      <c r="AF102">
        <f t="shared" si="23"/>
        <v>0</v>
      </c>
      <c r="AG102">
        <f t="shared" si="24"/>
        <v>0</v>
      </c>
      <c r="AH102" t="e">
        <f t="shared" si="25"/>
        <v>#N/A</v>
      </c>
      <c r="AI102">
        <f t="shared" si="26"/>
        <v>-1</v>
      </c>
      <c r="AJ102">
        <f t="shared" si="27"/>
        <v>0</v>
      </c>
      <c r="AK102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02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02">
        <f t="shared" si="28"/>
        <v>14.699999999999989</v>
      </c>
    </row>
    <row r="103" spans="2:39" x14ac:dyDescent="0.35">
      <c r="B103" s="12" t="str">
        <f>Demand!B105</f>
        <v/>
      </c>
      <c r="C103" s="7">
        <f>INDEX(Demand!$E$6:$S$265,MATCH('SPC Backing (Hide)'!$B103,Demand!$B$6:$B$265,0),MATCH('SPC Backing (Hide)'!C$3,Demand!$E$5:$S$5,0))</f>
        <v>0</v>
      </c>
      <c r="D103" s="5">
        <f>INDEX(Demand!$E$6:$S$265,MATCH('SPC Backing (Hide)'!$B103,Demand!$B$6:$B$265,0),MATCH('SPC Backing (Hide)'!D$3,Demand!$E$5:$S$5,0))</f>
        <v>0</v>
      </c>
      <c r="E103" s="5">
        <f>INDEX(Demand!$E$6:$S$265,MATCH('SPC Backing (Hide)'!$B103,Demand!$B$6:$B$265,0),MATCH('SPC Backing (Hide)'!E$3,Demand!$E$5:$S$5,0))</f>
        <v>0</v>
      </c>
      <c r="F103" s="5">
        <f>INDEX(Demand!$E$6:$S$265,MATCH('SPC Backing (Hide)'!$B103,Demand!$B$6:$B$265,0),MATCH('SPC Backing (Hide)'!F$3,Demand!$E$5:$S$5,0))</f>
        <v>0</v>
      </c>
      <c r="G103" s="5">
        <f>INDEX(Demand!$E$6:$S$265,MATCH('SPC Backing (Hide)'!$B103,Demand!$B$6:$B$265,0),MATCH('SPC Backing (Hide)'!G$3,Demand!$E$5:$S$5,0))</f>
        <v>0</v>
      </c>
      <c r="H103" s="5">
        <f>INDEX(Demand!$E$6:$S$265,MATCH('SPC Backing (Hide)'!$B103,Demand!$B$6:$B$265,0),MATCH('SPC Backing (Hide)'!H$3,Demand!$E$5:$S$5,0))</f>
        <v>0</v>
      </c>
      <c r="I103" s="5">
        <f>INDEX(Demand!$E$6:$S$265,MATCH('SPC Backing (Hide)'!$B103,Demand!$B$6:$B$265,0),MATCH('SPC Backing (Hide)'!I$3,Demand!$E$5:$S$5,0))</f>
        <v>0</v>
      </c>
      <c r="J103" s="5">
        <f>INDEX(Demand!$E$6:$S$265,MATCH('SPC Backing (Hide)'!$B103,Demand!$B$6:$B$265,0),MATCH('SPC Backing (Hide)'!J$3,Demand!$E$5:$S$5,0))</f>
        <v>0</v>
      </c>
      <c r="K103" s="5">
        <f>INDEX(Demand!$E$6:$S$265,MATCH('SPC Backing (Hide)'!$B103,Demand!$B$6:$B$265,0),MATCH('SPC Backing (Hide)'!K$3,Demand!$E$5:$S$5,0))</f>
        <v>0</v>
      </c>
      <c r="L103" s="5">
        <f>INDEX(Demand!$E$6:$S$265,MATCH('SPC Backing (Hide)'!$B103,Demand!$B$6:$B$265,0),MATCH('SPC Backing (Hide)'!L$3,Demand!$E$5:$S$5,0))</f>
        <v>0</v>
      </c>
      <c r="M103" s="5">
        <f>INDEX(Demand!$E$6:$S$265,MATCH('SPC Backing (Hide)'!$B103,Demand!$B$6:$B$265,0),MATCH('SPC Backing (Hide)'!M$3,Demand!$E$5:$S$5,0))</f>
        <v>0</v>
      </c>
      <c r="N103" s="5">
        <f>INDEX(Demand!$E$6:$S$265,MATCH('SPC Backing (Hide)'!$B103,Demand!$B$6:$B$265,0),MATCH('SPC Backing (Hide)'!N$3,Demand!$E$5:$S$5,0))</f>
        <v>0</v>
      </c>
      <c r="O103" s="5">
        <f>INDEX(Demand!$E$6:$S$265,MATCH('SPC Backing (Hide)'!$B103,Demand!$B$6:$B$265,0),MATCH('SPC Backing (Hide)'!O$3,Demand!$E$5:$S$5,0))</f>
        <v>0</v>
      </c>
      <c r="P103" s="5">
        <f>INDEX(Demand!$E$6:$S$265,MATCH('SPC Backing (Hide)'!$B103,Demand!$B$6:$B$265,0),MATCH('SPC Backing (Hide)'!P$3,Demand!$E$5:$S$5,0))</f>
        <v>0</v>
      </c>
      <c r="Q103" s="6">
        <f>INDEX(Demand!$E$6:$S$265,MATCH('SPC Backing (Hide)'!$B103,Demand!$B$6:$B$265,0),MATCH('SPC Backing (Hide)'!Q$3,Demand!$E$5:$S$5,0))</f>
        <v>0</v>
      </c>
      <c r="R103">
        <f>IF(SPC!$B$11="Yes",IF(ROW(A100)&gt;=Demand!$A$5-52,1,0),IF(AND(B103&gt;=SPC!$B$12,B103&lt;SPC!$B$13),1,0))</f>
        <v>1</v>
      </c>
      <c r="S103" cm="1">
        <f t="array" ref="S103">INDEX($C$4:$Q$263,ROW(A100),MATCH($T$2,$C$3:$Q$3,0))</f>
        <v>0</v>
      </c>
      <c r="T103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03" cm="1">
        <f t="array" ref="U103">ABS(INDEX($C$4:$Q$263,ROW(A100),MATCH($T$2,$C$3:$Q$3,0))-INDEX($C$4:$Q$263,ROW(A99),MATCH($T$2,$C$3:$Q$3,0)))</f>
        <v>0</v>
      </c>
      <c r="V103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03">
        <f t="shared" si="15"/>
        <v>40.813595610865789</v>
      </c>
      <c r="X103">
        <f t="shared" si="16"/>
        <v>108.80449618627055</v>
      </c>
      <c r="Y103">
        <f t="shared" si="17"/>
        <v>149.61809179713634</v>
      </c>
      <c r="Z103">
        <f t="shared" si="18"/>
        <v>190.43168740800212</v>
      </c>
      <c r="AA103">
        <f t="shared" si="19"/>
        <v>272.05887862973373</v>
      </c>
      <c r="AB103">
        <f t="shared" si="20"/>
        <v>312.8724742405995</v>
      </c>
      <c r="AC103">
        <f t="shared" si="21"/>
        <v>353.68606985146528</v>
      </c>
      <c r="AD103">
        <f t="shared" si="22"/>
        <v>0</v>
      </c>
      <c r="AE103">
        <f t="shared" si="29"/>
        <v>-2</v>
      </c>
      <c r="AF103">
        <f t="shared" si="23"/>
        <v>0</v>
      </c>
      <c r="AG103">
        <f t="shared" si="24"/>
        <v>0</v>
      </c>
      <c r="AH103" t="e">
        <f t="shared" si="25"/>
        <v>#N/A</v>
      </c>
      <c r="AI103">
        <f t="shared" si="26"/>
        <v>-1</v>
      </c>
      <c r="AJ103">
        <f t="shared" si="27"/>
        <v>0</v>
      </c>
      <c r="AK103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03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03">
        <f t="shared" si="28"/>
        <v>14.699999999999989</v>
      </c>
    </row>
    <row r="104" spans="2:39" x14ac:dyDescent="0.35">
      <c r="B104" s="12" t="str">
        <f>Demand!B106</f>
        <v/>
      </c>
      <c r="C104" s="7">
        <f>INDEX(Demand!$E$6:$S$265,MATCH('SPC Backing (Hide)'!$B104,Demand!$B$6:$B$265,0),MATCH('SPC Backing (Hide)'!C$3,Demand!$E$5:$S$5,0))</f>
        <v>0</v>
      </c>
      <c r="D104" s="5">
        <f>INDEX(Demand!$E$6:$S$265,MATCH('SPC Backing (Hide)'!$B104,Demand!$B$6:$B$265,0),MATCH('SPC Backing (Hide)'!D$3,Demand!$E$5:$S$5,0))</f>
        <v>0</v>
      </c>
      <c r="E104" s="5">
        <f>INDEX(Demand!$E$6:$S$265,MATCH('SPC Backing (Hide)'!$B104,Demand!$B$6:$B$265,0),MATCH('SPC Backing (Hide)'!E$3,Demand!$E$5:$S$5,0))</f>
        <v>0</v>
      </c>
      <c r="F104" s="5">
        <f>INDEX(Demand!$E$6:$S$265,MATCH('SPC Backing (Hide)'!$B104,Demand!$B$6:$B$265,0),MATCH('SPC Backing (Hide)'!F$3,Demand!$E$5:$S$5,0))</f>
        <v>0</v>
      </c>
      <c r="G104" s="5">
        <f>INDEX(Demand!$E$6:$S$265,MATCH('SPC Backing (Hide)'!$B104,Demand!$B$6:$B$265,0),MATCH('SPC Backing (Hide)'!G$3,Demand!$E$5:$S$5,0))</f>
        <v>0</v>
      </c>
      <c r="H104" s="5">
        <f>INDEX(Demand!$E$6:$S$265,MATCH('SPC Backing (Hide)'!$B104,Demand!$B$6:$B$265,0),MATCH('SPC Backing (Hide)'!H$3,Demand!$E$5:$S$5,0))</f>
        <v>0</v>
      </c>
      <c r="I104" s="5">
        <f>INDEX(Demand!$E$6:$S$265,MATCH('SPC Backing (Hide)'!$B104,Demand!$B$6:$B$265,0),MATCH('SPC Backing (Hide)'!I$3,Demand!$E$5:$S$5,0))</f>
        <v>0</v>
      </c>
      <c r="J104" s="5">
        <f>INDEX(Demand!$E$6:$S$265,MATCH('SPC Backing (Hide)'!$B104,Demand!$B$6:$B$265,0),MATCH('SPC Backing (Hide)'!J$3,Demand!$E$5:$S$5,0))</f>
        <v>0</v>
      </c>
      <c r="K104" s="5">
        <f>INDEX(Demand!$E$6:$S$265,MATCH('SPC Backing (Hide)'!$B104,Demand!$B$6:$B$265,0),MATCH('SPC Backing (Hide)'!K$3,Demand!$E$5:$S$5,0))</f>
        <v>0</v>
      </c>
      <c r="L104" s="5">
        <f>INDEX(Demand!$E$6:$S$265,MATCH('SPC Backing (Hide)'!$B104,Demand!$B$6:$B$265,0),MATCH('SPC Backing (Hide)'!L$3,Demand!$E$5:$S$5,0))</f>
        <v>0</v>
      </c>
      <c r="M104" s="5">
        <f>INDEX(Demand!$E$6:$S$265,MATCH('SPC Backing (Hide)'!$B104,Demand!$B$6:$B$265,0),MATCH('SPC Backing (Hide)'!M$3,Demand!$E$5:$S$5,0))</f>
        <v>0</v>
      </c>
      <c r="N104" s="5">
        <f>INDEX(Demand!$E$6:$S$265,MATCH('SPC Backing (Hide)'!$B104,Demand!$B$6:$B$265,0),MATCH('SPC Backing (Hide)'!N$3,Demand!$E$5:$S$5,0))</f>
        <v>0</v>
      </c>
      <c r="O104" s="5">
        <f>INDEX(Demand!$E$6:$S$265,MATCH('SPC Backing (Hide)'!$B104,Demand!$B$6:$B$265,0),MATCH('SPC Backing (Hide)'!O$3,Demand!$E$5:$S$5,0))</f>
        <v>0</v>
      </c>
      <c r="P104" s="5">
        <f>INDEX(Demand!$E$6:$S$265,MATCH('SPC Backing (Hide)'!$B104,Demand!$B$6:$B$265,0),MATCH('SPC Backing (Hide)'!P$3,Demand!$E$5:$S$5,0))</f>
        <v>0</v>
      </c>
      <c r="Q104" s="6">
        <f>INDEX(Demand!$E$6:$S$265,MATCH('SPC Backing (Hide)'!$B104,Demand!$B$6:$B$265,0),MATCH('SPC Backing (Hide)'!Q$3,Demand!$E$5:$S$5,0))</f>
        <v>0</v>
      </c>
      <c r="R104">
        <f>IF(SPC!$B$11="Yes",IF(ROW(A101)&gt;=Demand!$A$5-52,1,0),IF(AND(B104&gt;=SPC!$B$12,B104&lt;SPC!$B$13),1,0))</f>
        <v>1</v>
      </c>
      <c r="S104" cm="1">
        <f t="array" ref="S104">INDEX($C$4:$Q$263,ROW(A101),MATCH($T$2,$C$3:$Q$3,0))</f>
        <v>0</v>
      </c>
      <c r="T104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04" cm="1">
        <f t="array" ref="U104">ABS(INDEX($C$4:$Q$263,ROW(A101),MATCH($T$2,$C$3:$Q$3,0))-INDEX($C$4:$Q$263,ROW(A100),MATCH($T$2,$C$3:$Q$3,0)))</f>
        <v>0</v>
      </c>
      <c r="V104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04">
        <f t="shared" si="15"/>
        <v>40.813595610865789</v>
      </c>
      <c r="X104">
        <f t="shared" si="16"/>
        <v>108.80449618627055</v>
      </c>
      <c r="Y104">
        <f t="shared" si="17"/>
        <v>149.61809179713634</v>
      </c>
      <c r="Z104">
        <f t="shared" si="18"/>
        <v>190.43168740800212</v>
      </c>
      <c r="AA104">
        <f t="shared" si="19"/>
        <v>272.05887862973373</v>
      </c>
      <c r="AB104">
        <f t="shared" si="20"/>
        <v>312.8724742405995</v>
      </c>
      <c r="AC104">
        <f t="shared" si="21"/>
        <v>353.68606985146528</v>
      </c>
      <c r="AD104">
        <f t="shared" si="22"/>
        <v>0</v>
      </c>
      <c r="AE104">
        <f t="shared" si="29"/>
        <v>-2</v>
      </c>
      <c r="AF104">
        <f t="shared" si="23"/>
        <v>0</v>
      </c>
      <c r="AG104">
        <f t="shared" si="24"/>
        <v>0</v>
      </c>
      <c r="AH104" t="e">
        <f t="shared" si="25"/>
        <v>#N/A</v>
      </c>
      <c r="AI104">
        <f t="shared" si="26"/>
        <v>-1</v>
      </c>
      <c r="AJ104">
        <f t="shared" si="27"/>
        <v>0</v>
      </c>
      <c r="AK104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04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04">
        <f t="shared" si="28"/>
        <v>14.699999999999989</v>
      </c>
    </row>
    <row r="105" spans="2:39" x14ac:dyDescent="0.35">
      <c r="B105" s="12" t="str">
        <f>Demand!B107</f>
        <v/>
      </c>
      <c r="C105" s="7">
        <f>INDEX(Demand!$E$6:$S$265,MATCH('SPC Backing (Hide)'!$B105,Demand!$B$6:$B$265,0),MATCH('SPC Backing (Hide)'!C$3,Demand!$E$5:$S$5,0))</f>
        <v>0</v>
      </c>
      <c r="D105" s="5">
        <f>INDEX(Demand!$E$6:$S$265,MATCH('SPC Backing (Hide)'!$B105,Demand!$B$6:$B$265,0),MATCH('SPC Backing (Hide)'!D$3,Demand!$E$5:$S$5,0))</f>
        <v>0</v>
      </c>
      <c r="E105" s="5">
        <f>INDEX(Demand!$E$6:$S$265,MATCH('SPC Backing (Hide)'!$B105,Demand!$B$6:$B$265,0),MATCH('SPC Backing (Hide)'!E$3,Demand!$E$5:$S$5,0))</f>
        <v>0</v>
      </c>
      <c r="F105" s="5">
        <f>INDEX(Demand!$E$6:$S$265,MATCH('SPC Backing (Hide)'!$B105,Demand!$B$6:$B$265,0),MATCH('SPC Backing (Hide)'!F$3,Demand!$E$5:$S$5,0))</f>
        <v>0</v>
      </c>
      <c r="G105" s="5">
        <f>INDEX(Demand!$E$6:$S$265,MATCH('SPC Backing (Hide)'!$B105,Demand!$B$6:$B$265,0),MATCH('SPC Backing (Hide)'!G$3,Demand!$E$5:$S$5,0))</f>
        <v>0</v>
      </c>
      <c r="H105" s="5">
        <f>INDEX(Demand!$E$6:$S$265,MATCH('SPC Backing (Hide)'!$B105,Demand!$B$6:$B$265,0),MATCH('SPC Backing (Hide)'!H$3,Demand!$E$5:$S$5,0))</f>
        <v>0</v>
      </c>
      <c r="I105" s="5">
        <f>INDEX(Demand!$E$6:$S$265,MATCH('SPC Backing (Hide)'!$B105,Demand!$B$6:$B$265,0),MATCH('SPC Backing (Hide)'!I$3,Demand!$E$5:$S$5,0))</f>
        <v>0</v>
      </c>
      <c r="J105" s="5">
        <f>INDEX(Demand!$E$6:$S$265,MATCH('SPC Backing (Hide)'!$B105,Demand!$B$6:$B$265,0),MATCH('SPC Backing (Hide)'!J$3,Demand!$E$5:$S$5,0))</f>
        <v>0</v>
      </c>
      <c r="K105" s="5">
        <f>INDEX(Demand!$E$6:$S$265,MATCH('SPC Backing (Hide)'!$B105,Demand!$B$6:$B$265,0),MATCH('SPC Backing (Hide)'!K$3,Demand!$E$5:$S$5,0))</f>
        <v>0</v>
      </c>
      <c r="L105" s="5">
        <f>INDEX(Demand!$E$6:$S$265,MATCH('SPC Backing (Hide)'!$B105,Demand!$B$6:$B$265,0),MATCH('SPC Backing (Hide)'!L$3,Demand!$E$5:$S$5,0))</f>
        <v>0</v>
      </c>
      <c r="M105" s="5">
        <f>INDEX(Demand!$E$6:$S$265,MATCH('SPC Backing (Hide)'!$B105,Demand!$B$6:$B$265,0),MATCH('SPC Backing (Hide)'!M$3,Demand!$E$5:$S$5,0))</f>
        <v>0</v>
      </c>
      <c r="N105" s="5">
        <f>INDEX(Demand!$E$6:$S$265,MATCH('SPC Backing (Hide)'!$B105,Demand!$B$6:$B$265,0),MATCH('SPC Backing (Hide)'!N$3,Demand!$E$5:$S$5,0))</f>
        <v>0</v>
      </c>
      <c r="O105" s="5">
        <f>INDEX(Demand!$E$6:$S$265,MATCH('SPC Backing (Hide)'!$B105,Demand!$B$6:$B$265,0),MATCH('SPC Backing (Hide)'!O$3,Demand!$E$5:$S$5,0))</f>
        <v>0</v>
      </c>
      <c r="P105" s="5">
        <f>INDEX(Demand!$E$6:$S$265,MATCH('SPC Backing (Hide)'!$B105,Demand!$B$6:$B$265,0),MATCH('SPC Backing (Hide)'!P$3,Demand!$E$5:$S$5,0))</f>
        <v>0</v>
      </c>
      <c r="Q105" s="6">
        <f>INDEX(Demand!$E$6:$S$265,MATCH('SPC Backing (Hide)'!$B105,Demand!$B$6:$B$265,0),MATCH('SPC Backing (Hide)'!Q$3,Demand!$E$5:$S$5,0))</f>
        <v>0</v>
      </c>
      <c r="R105">
        <f>IF(SPC!$B$11="Yes",IF(ROW(A102)&gt;=Demand!$A$5-52,1,0),IF(AND(B105&gt;=SPC!$B$12,B105&lt;SPC!$B$13),1,0))</f>
        <v>1</v>
      </c>
      <c r="S105" cm="1">
        <f t="array" ref="S105">INDEX($C$4:$Q$263,ROW(A102),MATCH($T$2,$C$3:$Q$3,0))</f>
        <v>0</v>
      </c>
      <c r="T105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05" cm="1">
        <f t="array" ref="U105">ABS(INDEX($C$4:$Q$263,ROW(A102),MATCH($T$2,$C$3:$Q$3,0))-INDEX($C$4:$Q$263,ROW(A101),MATCH($T$2,$C$3:$Q$3,0)))</f>
        <v>0</v>
      </c>
      <c r="V105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05">
        <f t="shared" si="15"/>
        <v>40.813595610865789</v>
      </c>
      <c r="X105">
        <f t="shared" si="16"/>
        <v>108.80449618627055</v>
      </c>
      <c r="Y105">
        <f t="shared" si="17"/>
        <v>149.61809179713634</v>
      </c>
      <c r="Z105">
        <f t="shared" si="18"/>
        <v>190.43168740800212</v>
      </c>
      <c r="AA105">
        <f t="shared" si="19"/>
        <v>272.05887862973373</v>
      </c>
      <c r="AB105">
        <f t="shared" si="20"/>
        <v>312.8724742405995</v>
      </c>
      <c r="AC105">
        <f t="shared" si="21"/>
        <v>353.68606985146528</v>
      </c>
      <c r="AD105">
        <f t="shared" si="22"/>
        <v>0</v>
      </c>
      <c r="AE105">
        <f t="shared" si="29"/>
        <v>-2</v>
      </c>
      <c r="AF105">
        <f t="shared" si="23"/>
        <v>0</v>
      </c>
      <c r="AG105">
        <f t="shared" si="24"/>
        <v>0</v>
      </c>
      <c r="AH105" t="e">
        <f t="shared" si="25"/>
        <v>#N/A</v>
      </c>
      <c r="AI105">
        <f t="shared" si="26"/>
        <v>-1</v>
      </c>
      <c r="AJ105">
        <f t="shared" si="27"/>
        <v>0</v>
      </c>
      <c r="AK105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05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05">
        <f t="shared" si="28"/>
        <v>14.699999999999989</v>
      </c>
    </row>
    <row r="106" spans="2:39" x14ac:dyDescent="0.35">
      <c r="B106" s="12" t="str">
        <f>Demand!B108</f>
        <v/>
      </c>
      <c r="C106" s="7">
        <f>INDEX(Demand!$E$6:$S$265,MATCH('SPC Backing (Hide)'!$B106,Demand!$B$6:$B$265,0),MATCH('SPC Backing (Hide)'!C$3,Demand!$E$5:$S$5,0))</f>
        <v>0</v>
      </c>
      <c r="D106" s="5">
        <f>INDEX(Demand!$E$6:$S$265,MATCH('SPC Backing (Hide)'!$B106,Demand!$B$6:$B$265,0),MATCH('SPC Backing (Hide)'!D$3,Demand!$E$5:$S$5,0))</f>
        <v>0</v>
      </c>
      <c r="E106" s="5">
        <f>INDEX(Demand!$E$6:$S$265,MATCH('SPC Backing (Hide)'!$B106,Demand!$B$6:$B$265,0),MATCH('SPC Backing (Hide)'!E$3,Demand!$E$5:$S$5,0))</f>
        <v>0</v>
      </c>
      <c r="F106" s="5">
        <f>INDEX(Demand!$E$6:$S$265,MATCH('SPC Backing (Hide)'!$B106,Demand!$B$6:$B$265,0),MATCH('SPC Backing (Hide)'!F$3,Demand!$E$5:$S$5,0))</f>
        <v>0</v>
      </c>
      <c r="G106" s="5">
        <f>INDEX(Demand!$E$6:$S$265,MATCH('SPC Backing (Hide)'!$B106,Demand!$B$6:$B$265,0),MATCH('SPC Backing (Hide)'!G$3,Demand!$E$5:$S$5,0))</f>
        <v>0</v>
      </c>
      <c r="H106" s="5">
        <f>INDEX(Demand!$E$6:$S$265,MATCH('SPC Backing (Hide)'!$B106,Demand!$B$6:$B$265,0),MATCH('SPC Backing (Hide)'!H$3,Demand!$E$5:$S$5,0))</f>
        <v>0</v>
      </c>
      <c r="I106" s="5">
        <f>INDEX(Demand!$E$6:$S$265,MATCH('SPC Backing (Hide)'!$B106,Demand!$B$6:$B$265,0),MATCH('SPC Backing (Hide)'!I$3,Demand!$E$5:$S$5,0))</f>
        <v>0</v>
      </c>
      <c r="J106" s="5">
        <f>INDEX(Demand!$E$6:$S$265,MATCH('SPC Backing (Hide)'!$B106,Demand!$B$6:$B$265,0),MATCH('SPC Backing (Hide)'!J$3,Demand!$E$5:$S$5,0))</f>
        <v>0</v>
      </c>
      <c r="K106" s="5">
        <f>INDEX(Demand!$E$6:$S$265,MATCH('SPC Backing (Hide)'!$B106,Demand!$B$6:$B$265,0),MATCH('SPC Backing (Hide)'!K$3,Demand!$E$5:$S$5,0))</f>
        <v>0</v>
      </c>
      <c r="L106" s="5">
        <f>INDEX(Demand!$E$6:$S$265,MATCH('SPC Backing (Hide)'!$B106,Demand!$B$6:$B$265,0),MATCH('SPC Backing (Hide)'!L$3,Demand!$E$5:$S$5,0))</f>
        <v>0</v>
      </c>
      <c r="M106" s="5">
        <f>INDEX(Demand!$E$6:$S$265,MATCH('SPC Backing (Hide)'!$B106,Demand!$B$6:$B$265,0),MATCH('SPC Backing (Hide)'!M$3,Demand!$E$5:$S$5,0))</f>
        <v>0</v>
      </c>
      <c r="N106" s="5">
        <f>INDEX(Demand!$E$6:$S$265,MATCH('SPC Backing (Hide)'!$B106,Demand!$B$6:$B$265,0),MATCH('SPC Backing (Hide)'!N$3,Demand!$E$5:$S$5,0))</f>
        <v>0</v>
      </c>
      <c r="O106" s="5">
        <f>INDEX(Demand!$E$6:$S$265,MATCH('SPC Backing (Hide)'!$B106,Demand!$B$6:$B$265,0),MATCH('SPC Backing (Hide)'!O$3,Demand!$E$5:$S$5,0))</f>
        <v>0</v>
      </c>
      <c r="P106" s="5">
        <f>INDEX(Demand!$E$6:$S$265,MATCH('SPC Backing (Hide)'!$B106,Demand!$B$6:$B$265,0),MATCH('SPC Backing (Hide)'!P$3,Demand!$E$5:$S$5,0))</f>
        <v>0</v>
      </c>
      <c r="Q106" s="6">
        <f>INDEX(Demand!$E$6:$S$265,MATCH('SPC Backing (Hide)'!$B106,Demand!$B$6:$B$265,0),MATCH('SPC Backing (Hide)'!Q$3,Demand!$E$5:$S$5,0))</f>
        <v>0</v>
      </c>
      <c r="R106">
        <f>IF(SPC!$B$11="Yes",IF(ROW(A103)&gt;=Demand!$A$5-52,1,0),IF(AND(B106&gt;=SPC!$B$12,B106&lt;SPC!$B$13),1,0))</f>
        <v>1</v>
      </c>
      <c r="S106" cm="1">
        <f t="array" ref="S106">INDEX($C$4:$Q$263,ROW(A103),MATCH($T$2,$C$3:$Q$3,0))</f>
        <v>0</v>
      </c>
      <c r="T106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06" cm="1">
        <f t="array" ref="U106">ABS(INDEX($C$4:$Q$263,ROW(A103),MATCH($T$2,$C$3:$Q$3,0))-INDEX($C$4:$Q$263,ROW(A102),MATCH($T$2,$C$3:$Q$3,0)))</f>
        <v>0</v>
      </c>
      <c r="V106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06">
        <f t="shared" si="15"/>
        <v>40.813595610865789</v>
      </c>
      <c r="X106">
        <f t="shared" si="16"/>
        <v>108.80449618627055</v>
      </c>
      <c r="Y106">
        <f t="shared" si="17"/>
        <v>149.61809179713634</v>
      </c>
      <c r="Z106">
        <f t="shared" si="18"/>
        <v>190.43168740800212</v>
      </c>
      <c r="AA106">
        <f t="shared" si="19"/>
        <v>272.05887862973373</v>
      </c>
      <c r="AB106">
        <f t="shared" si="20"/>
        <v>312.8724742405995</v>
      </c>
      <c r="AC106">
        <f t="shared" si="21"/>
        <v>353.68606985146528</v>
      </c>
      <c r="AD106">
        <f t="shared" si="22"/>
        <v>0</v>
      </c>
      <c r="AE106">
        <f t="shared" si="29"/>
        <v>-2</v>
      </c>
      <c r="AF106">
        <f t="shared" si="23"/>
        <v>0</v>
      </c>
      <c r="AG106">
        <f t="shared" si="24"/>
        <v>0</v>
      </c>
      <c r="AH106" t="e">
        <f t="shared" si="25"/>
        <v>#N/A</v>
      </c>
      <c r="AI106">
        <f t="shared" si="26"/>
        <v>-1</v>
      </c>
      <c r="AJ106">
        <f t="shared" si="27"/>
        <v>0</v>
      </c>
      <c r="AK106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06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06">
        <f t="shared" si="28"/>
        <v>14.699999999999989</v>
      </c>
    </row>
    <row r="107" spans="2:39" x14ac:dyDescent="0.35">
      <c r="B107" s="12" t="str">
        <f>Demand!B109</f>
        <v/>
      </c>
      <c r="C107" s="7">
        <f>INDEX(Demand!$E$6:$S$265,MATCH('SPC Backing (Hide)'!$B107,Demand!$B$6:$B$265,0),MATCH('SPC Backing (Hide)'!C$3,Demand!$E$5:$S$5,0))</f>
        <v>0</v>
      </c>
      <c r="D107" s="5">
        <f>INDEX(Demand!$E$6:$S$265,MATCH('SPC Backing (Hide)'!$B107,Demand!$B$6:$B$265,0),MATCH('SPC Backing (Hide)'!D$3,Demand!$E$5:$S$5,0))</f>
        <v>0</v>
      </c>
      <c r="E107" s="5">
        <f>INDEX(Demand!$E$6:$S$265,MATCH('SPC Backing (Hide)'!$B107,Demand!$B$6:$B$265,0),MATCH('SPC Backing (Hide)'!E$3,Demand!$E$5:$S$5,0))</f>
        <v>0</v>
      </c>
      <c r="F107" s="5">
        <f>INDEX(Demand!$E$6:$S$265,MATCH('SPC Backing (Hide)'!$B107,Demand!$B$6:$B$265,0),MATCH('SPC Backing (Hide)'!F$3,Demand!$E$5:$S$5,0))</f>
        <v>0</v>
      </c>
      <c r="G107" s="5">
        <f>INDEX(Demand!$E$6:$S$265,MATCH('SPC Backing (Hide)'!$B107,Demand!$B$6:$B$265,0),MATCH('SPC Backing (Hide)'!G$3,Demand!$E$5:$S$5,0))</f>
        <v>0</v>
      </c>
      <c r="H107" s="5">
        <f>INDEX(Demand!$E$6:$S$265,MATCH('SPC Backing (Hide)'!$B107,Demand!$B$6:$B$265,0),MATCH('SPC Backing (Hide)'!H$3,Demand!$E$5:$S$5,0))</f>
        <v>0</v>
      </c>
      <c r="I107" s="5">
        <f>INDEX(Demand!$E$6:$S$265,MATCH('SPC Backing (Hide)'!$B107,Demand!$B$6:$B$265,0),MATCH('SPC Backing (Hide)'!I$3,Demand!$E$5:$S$5,0))</f>
        <v>0</v>
      </c>
      <c r="J107" s="5">
        <f>INDEX(Demand!$E$6:$S$265,MATCH('SPC Backing (Hide)'!$B107,Demand!$B$6:$B$265,0),MATCH('SPC Backing (Hide)'!J$3,Demand!$E$5:$S$5,0))</f>
        <v>0</v>
      </c>
      <c r="K107" s="5">
        <f>INDEX(Demand!$E$6:$S$265,MATCH('SPC Backing (Hide)'!$B107,Demand!$B$6:$B$265,0),MATCH('SPC Backing (Hide)'!K$3,Demand!$E$5:$S$5,0))</f>
        <v>0</v>
      </c>
      <c r="L107" s="5">
        <f>INDEX(Demand!$E$6:$S$265,MATCH('SPC Backing (Hide)'!$B107,Demand!$B$6:$B$265,0),MATCH('SPC Backing (Hide)'!L$3,Demand!$E$5:$S$5,0))</f>
        <v>0</v>
      </c>
      <c r="M107" s="5">
        <f>INDEX(Demand!$E$6:$S$265,MATCH('SPC Backing (Hide)'!$B107,Demand!$B$6:$B$265,0),MATCH('SPC Backing (Hide)'!M$3,Demand!$E$5:$S$5,0))</f>
        <v>0</v>
      </c>
      <c r="N107" s="5">
        <f>INDEX(Demand!$E$6:$S$265,MATCH('SPC Backing (Hide)'!$B107,Demand!$B$6:$B$265,0),MATCH('SPC Backing (Hide)'!N$3,Demand!$E$5:$S$5,0))</f>
        <v>0</v>
      </c>
      <c r="O107" s="5">
        <f>INDEX(Demand!$E$6:$S$265,MATCH('SPC Backing (Hide)'!$B107,Demand!$B$6:$B$265,0),MATCH('SPC Backing (Hide)'!O$3,Demand!$E$5:$S$5,0))</f>
        <v>0</v>
      </c>
      <c r="P107" s="5">
        <f>INDEX(Demand!$E$6:$S$265,MATCH('SPC Backing (Hide)'!$B107,Demand!$B$6:$B$265,0),MATCH('SPC Backing (Hide)'!P$3,Demand!$E$5:$S$5,0))</f>
        <v>0</v>
      </c>
      <c r="Q107" s="6">
        <f>INDEX(Demand!$E$6:$S$265,MATCH('SPC Backing (Hide)'!$B107,Demand!$B$6:$B$265,0),MATCH('SPC Backing (Hide)'!Q$3,Demand!$E$5:$S$5,0))</f>
        <v>0</v>
      </c>
      <c r="R107">
        <f>IF(SPC!$B$11="Yes",IF(ROW(A104)&gt;=Demand!$A$5-52,1,0),IF(AND(B107&gt;=SPC!$B$12,B107&lt;SPC!$B$13),1,0))</f>
        <v>1</v>
      </c>
      <c r="S107" cm="1">
        <f t="array" ref="S107">INDEX($C$4:$Q$263,ROW(A104),MATCH($T$2,$C$3:$Q$3,0))</f>
        <v>0</v>
      </c>
      <c r="T107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07" cm="1">
        <f t="array" ref="U107">ABS(INDEX($C$4:$Q$263,ROW(A104),MATCH($T$2,$C$3:$Q$3,0))-INDEX($C$4:$Q$263,ROW(A103),MATCH($T$2,$C$3:$Q$3,0)))</f>
        <v>0</v>
      </c>
      <c r="V107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07">
        <f t="shared" si="15"/>
        <v>40.813595610865789</v>
      </c>
      <c r="X107">
        <f t="shared" si="16"/>
        <v>108.80449618627055</v>
      </c>
      <c r="Y107">
        <f t="shared" si="17"/>
        <v>149.61809179713634</v>
      </c>
      <c r="Z107">
        <f t="shared" si="18"/>
        <v>190.43168740800212</v>
      </c>
      <c r="AA107">
        <f t="shared" si="19"/>
        <v>272.05887862973373</v>
      </c>
      <c r="AB107">
        <f t="shared" si="20"/>
        <v>312.8724742405995</v>
      </c>
      <c r="AC107">
        <f t="shared" si="21"/>
        <v>353.68606985146528</v>
      </c>
      <c r="AD107">
        <f t="shared" si="22"/>
        <v>0</v>
      </c>
      <c r="AE107">
        <f t="shared" si="29"/>
        <v>-2</v>
      </c>
      <c r="AF107">
        <f t="shared" si="23"/>
        <v>0</v>
      </c>
      <c r="AG107">
        <f t="shared" si="24"/>
        <v>0</v>
      </c>
      <c r="AH107" t="e">
        <f t="shared" si="25"/>
        <v>#N/A</v>
      </c>
      <c r="AI107">
        <f t="shared" si="26"/>
        <v>-1</v>
      </c>
      <c r="AJ107">
        <f t="shared" si="27"/>
        <v>0</v>
      </c>
      <c r="AK107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07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07">
        <f t="shared" si="28"/>
        <v>14.699999999999989</v>
      </c>
    </row>
    <row r="108" spans="2:39" x14ac:dyDescent="0.35">
      <c r="B108" s="12" t="str">
        <f>Demand!B110</f>
        <v/>
      </c>
      <c r="C108" s="7">
        <f>INDEX(Demand!$E$6:$S$265,MATCH('SPC Backing (Hide)'!$B108,Demand!$B$6:$B$265,0),MATCH('SPC Backing (Hide)'!C$3,Demand!$E$5:$S$5,0))</f>
        <v>0</v>
      </c>
      <c r="D108" s="5">
        <f>INDEX(Demand!$E$6:$S$265,MATCH('SPC Backing (Hide)'!$B108,Demand!$B$6:$B$265,0),MATCH('SPC Backing (Hide)'!D$3,Demand!$E$5:$S$5,0))</f>
        <v>0</v>
      </c>
      <c r="E108" s="5">
        <f>INDEX(Demand!$E$6:$S$265,MATCH('SPC Backing (Hide)'!$B108,Demand!$B$6:$B$265,0),MATCH('SPC Backing (Hide)'!E$3,Demand!$E$5:$S$5,0))</f>
        <v>0</v>
      </c>
      <c r="F108" s="5">
        <f>INDEX(Demand!$E$6:$S$265,MATCH('SPC Backing (Hide)'!$B108,Demand!$B$6:$B$265,0),MATCH('SPC Backing (Hide)'!F$3,Demand!$E$5:$S$5,0))</f>
        <v>0</v>
      </c>
      <c r="G108" s="5">
        <f>INDEX(Demand!$E$6:$S$265,MATCH('SPC Backing (Hide)'!$B108,Demand!$B$6:$B$265,0),MATCH('SPC Backing (Hide)'!G$3,Demand!$E$5:$S$5,0))</f>
        <v>0</v>
      </c>
      <c r="H108" s="5">
        <f>INDEX(Demand!$E$6:$S$265,MATCH('SPC Backing (Hide)'!$B108,Demand!$B$6:$B$265,0),MATCH('SPC Backing (Hide)'!H$3,Demand!$E$5:$S$5,0))</f>
        <v>0</v>
      </c>
      <c r="I108" s="5">
        <f>INDEX(Demand!$E$6:$S$265,MATCH('SPC Backing (Hide)'!$B108,Demand!$B$6:$B$265,0),MATCH('SPC Backing (Hide)'!I$3,Demand!$E$5:$S$5,0))</f>
        <v>0</v>
      </c>
      <c r="J108" s="5">
        <f>INDEX(Demand!$E$6:$S$265,MATCH('SPC Backing (Hide)'!$B108,Demand!$B$6:$B$265,0),MATCH('SPC Backing (Hide)'!J$3,Demand!$E$5:$S$5,0))</f>
        <v>0</v>
      </c>
      <c r="K108" s="5">
        <f>INDEX(Demand!$E$6:$S$265,MATCH('SPC Backing (Hide)'!$B108,Demand!$B$6:$B$265,0),MATCH('SPC Backing (Hide)'!K$3,Demand!$E$5:$S$5,0))</f>
        <v>0</v>
      </c>
      <c r="L108" s="5">
        <f>INDEX(Demand!$E$6:$S$265,MATCH('SPC Backing (Hide)'!$B108,Demand!$B$6:$B$265,0),MATCH('SPC Backing (Hide)'!L$3,Demand!$E$5:$S$5,0))</f>
        <v>0</v>
      </c>
      <c r="M108" s="5">
        <f>INDEX(Demand!$E$6:$S$265,MATCH('SPC Backing (Hide)'!$B108,Demand!$B$6:$B$265,0),MATCH('SPC Backing (Hide)'!M$3,Demand!$E$5:$S$5,0))</f>
        <v>0</v>
      </c>
      <c r="N108" s="5">
        <f>INDEX(Demand!$E$6:$S$265,MATCH('SPC Backing (Hide)'!$B108,Demand!$B$6:$B$265,0),MATCH('SPC Backing (Hide)'!N$3,Demand!$E$5:$S$5,0))</f>
        <v>0</v>
      </c>
      <c r="O108" s="5">
        <f>INDEX(Demand!$E$6:$S$265,MATCH('SPC Backing (Hide)'!$B108,Demand!$B$6:$B$265,0),MATCH('SPC Backing (Hide)'!O$3,Demand!$E$5:$S$5,0))</f>
        <v>0</v>
      </c>
      <c r="P108" s="5">
        <f>INDEX(Demand!$E$6:$S$265,MATCH('SPC Backing (Hide)'!$B108,Demand!$B$6:$B$265,0),MATCH('SPC Backing (Hide)'!P$3,Demand!$E$5:$S$5,0))</f>
        <v>0</v>
      </c>
      <c r="Q108" s="6">
        <f>INDEX(Demand!$E$6:$S$265,MATCH('SPC Backing (Hide)'!$B108,Demand!$B$6:$B$265,0),MATCH('SPC Backing (Hide)'!Q$3,Demand!$E$5:$S$5,0))</f>
        <v>0</v>
      </c>
      <c r="R108">
        <f>IF(SPC!$B$11="Yes",IF(ROW(A105)&gt;=Demand!$A$5-52,1,0),IF(AND(B108&gt;=SPC!$B$12,B108&lt;SPC!$B$13),1,0))</f>
        <v>1</v>
      </c>
      <c r="S108" cm="1">
        <f t="array" ref="S108">INDEX($C$4:$Q$263,ROW(A105),MATCH($T$2,$C$3:$Q$3,0))</f>
        <v>0</v>
      </c>
      <c r="T108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08" cm="1">
        <f t="array" ref="U108">ABS(INDEX($C$4:$Q$263,ROW(A105),MATCH($T$2,$C$3:$Q$3,0))-INDEX($C$4:$Q$263,ROW(A104),MATCH($T$2,$C$3:$Q$3,0)))</f>
        <v>0</v>
      </c>
      <c r="V108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08">
        <f t="shared" si="15"/>
        <v>40.813595610865789</v>
      </c>
      <c r="X108">
        <f t="shared" si="16"/>
        <v>108.80449618627055</v>
      </c>
      <c r="Y108">
        <f t="shared" si="17"/>
        <v>149.61809179713634</v>
      </c>
      <c r="Z108">
        <f t="shared" si="18"/>
        <v>190.43168740800212</v>
      </c>
      <c r="AA108">
        <f t="shared" si="19"/>
        <v>272.05887862973373</v>
      </c>
      <c r="AB108">
        <f t="shared" si="20"/>
        <v>312.8724742405995</v>
      </c>
      <c r="AC108">
        <f t="shared" si="21"/>
        <v>353.68606985146528</v>
      </c>
      <c r="AD108">
        <f t="shared" si="22"/>
        <v>0</v>
      </c>
      <c r="AE108">
        <f t="shared" si="29"/>
        <v>-2</v>
      </c>
      <c r="AF108">
        <f t="shared" si="23"/>
        <v>0</v>
      </c>
      <c r="AG108">
        <f t="shared" si="24"/>
        <v>0</v>
      </c>
      <c r="AH108" t="e">
        <f t="shared" si="25"/>
        <v>#N/A</v>
      </c>
      <c r="AI108">
        <f t="shared" si="26"/>
        <v>-1</v>
      </c>
      <c r="AJ108">
        <f t="shared" si="27"/>
        <v>0</v>
      </c>
      <c r="AK108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08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08">
        <f t="shared" si="28"/>
        <v>14.699999999999989</v>
      </c>
    </row>
    <row r="109" spans="2:39" x14ac:dyDescent="0.35">
      <c r="B109" s="12" t="str">
        <f>Demand!B111</f>
        <v/>
      </c>
      <c r="C109" s="7">
        <f>INDEX(Demand!$E$6:$S$265,MATCH('SPC Backing (Hide)'!$B109,Demand!$B$6:$B$265,0),MATCH('SPC Backing (Hide)'!C$3,Demand!$E$5:$S$5,0))</f>
        <v>0</v>
      </c>
      <c r="D109" s="5">
        <f>INDEX(Demand!$E$6:$S$265,MATCH('SPC Backing (Hide)'!$B109,Demand!$B$6:$B$265,0),MATCH('SPC Backing (Hide)'!D$3,Demand!$E$5:$S$5,0))</f>
        <v>0</v>
      </c>
      <c r="E109" s="5">
        <f>INDEX(Demand!$E$6:$S$265,MATCH('SPC Backing (Hide)'!$B109,Demand!$B$6:$B$265,0),MATCH('SPC Backing (Hide)'!E$3,Demand!$E$5:$S$5,0))</f>
        <v>0</v>
      </c>
      <c r="F109" s="5">
        <f>INDEX(Demand!$E$6:$S$265,MATCH('SPC Backing (Hide)'!$B109,Demand!$B$6:$B$265,0),MATCH('SPC Backing (Hide)'!F$3,Demand!$E$5:$S$5,0))</f>
        <v>0</v>
      </c>
      <c r="G109" s="5">
        <f>INDEX(Demand!$E$6:$S$265,MATCH('SPC Backing (Hide)'!$B109,Demand!$B$6:$B$265,0),MATCH('SPC Backing (Hide)'!G$3,Demand!$E$5:$S$5,0))</f>
        <v>0</v>
      </c>
      <c r="H109" s="5">
        <f>INDEX(Demand!$E$6:$S$265,MATCH('SPC Backing (Hide)'!$B109,Demand!$B$6:$B$265,0),MATCH('SPC Backing (Hide)'!H$3,Demand!$E$5:$S$5,0))</f>
        <v>0</v>
      </c>
      <c r="I109" s="5">
        <f>INDEX(Demand!$E$6:$S$265,MATCH('SPC Backing (Hide)'!$B109,Demand!$B$6:$B$265,0),MATCH('SPC Backing (Hide)'!I$3,Demand!$E$5:$S$5,0))</f>
        <v>0</v>
      </c>
      <c r="J109" s="5">
        <f>INDEX(Demand!$E$6:$S$265,MATCH('SPC Backing (Hide)'!$B109,Demand!$B$6:$B$265,0),MATCH('SPC Backing (Hide)'!J$3,Demand!$E$5:$S$5,0))</f>
        <v>0</v>
      </c>
      <c r="K109" s="5">
        <f>INDEX(Demand!$E$6:$S$265,MATCH('SPC Backing (Hide)'!$B109,Demand!$B$6:$B$265,0),MATCH('SPC Backing (Hide)'!K$3,Demand!$E$5:$S$5,0))</f>
        <v>0</v>
      </c>
      <c r="L109" s="5">
        <f>INDEX(Demand!$E$6:$S$265,MATCH('SPC Backing (Hide)'!$B109,Demand!$B$6:$B$265,0),MATCH('SPC Backing (Hide)'!L$3,Demand!$E$5:$S$5,0))</f>
        <v>0</v>
      </c>
      <c r="M109" s="5">
        <f>INDEX(Demand!$E$6:$S$265,MATCH('SPC Backing (Hide)'!$B109,Demand!$B$6:$B$265,0),MATCH('SPC Backing (Hide)'!M$3,Demand!$E$5:$S$5,0))</f>
        <v>0</v>
      </c>
      <c r="N109" s="5">
        <f>INDEX(Demand!$E$6:$S$265,MATCH('SPC Backing (Hide)'!$B109,Demand!$B$6:$B$265,0),MATCH('SPC Backing (Hide)'!N$3,Demand!$E$5:$S$5,0))</f>
        <v>0</v>
      </c>
      <c r="O109" s="5">
        <f>INDEX(Demand!$E$6:$S$265,MATCH('SPC Backing (Hide)'!$B109,Demand!$B$6:$B$265,0),MATCH('SPC Backing (Hide)'!O$3,Demand!$E$5:$S$5,0))</f>
        <v>0</v>
      </c>
      <c r="P109" s="5">
        <f>INDEX(Demand!$E$6:$S$265,MATCH('SPC Backing (Hide)'!$B109,Demand!$B$6:$B$265,0),MATCH('SPC Backing (Hide)'!P$3,Demand!$E$5:$S$5,0))</f>
        <v>0</v>
      </c>
      <c r="Q109" s="6">
        <f>INDEX(Demand!$E$6:$S$265,MATCH('SPC Backing (Hide)'!$B109,Demand!$B$6:$B$265,0),MATCH('SPC Backing (Hide)'!Q$3,Demand!$E$5:$S$5,0))</f>
        <v>0</v>
      </c>
      <c r="R109">
        <f>IF(SPC!$B$11="Yes",IF(ROW(A106)&gt;=Demand!$A$5-52,1,0),IF(AND(B109&gt;=SPC!$B$12,B109&lt;SPC!$B$13),1,0))</f>
        <v>1</v>
      </c>
      <c r="S109" cm="1">
        <f t="array" ref="S109">INDEX($C$4:$Q$263,ROW(A106),MATCH($T$2,$C$3:$Q$3,0))</f>
        <v>0</v>
      </c>
      <c r="T109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09" cm="1">
        <f t="array" ref="U109">ABS(INDEX($C$4:$Q$263,ROW(A106),MATCH($T$2,$C$3:$Q$3,0))-INDEX($C$4:$Q$263,ROW(A105),MATCH($T$2,$C$3:$Q$3,0)))</f>
        <v>0</v>
      </c>
      <c r="V109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09">
        <f t="shared" si="15"/>
        <v>40.813595610865789</v>
      </c>
      <c r="X109">
        <f t="shared" si="16"/>
        <v>108.80449618627055</v>
      </c>
      <c r="Y109">
        <f t="shared" si="17"/>
        <v>149.61809179713634</v>
      </c>
      <c r="Z109">
        <f t="shared" si="18"/>
        <v>190.43168740800212</v>
      </c>
      <c r="AA109">
        <f t="shared" si="19"/>
        <v>272.05887862973373</v>
      </c>
      <c r="AB109">
        <f t="shared" si="20"/>
        <v>312.8724742405995</v>
      </c>
      <c r="AC109">
        <f t="shared" si="21"/>
        <v>353.68606985146528</v>
      </c>
      <c r="AD109">
        <f t="shared" si="22"/>
        <v>0</v>
      </c>
      <c r="AE109">
        <f t="shared" si="29"/>
        <v>-2</v>
      </c>
      <c r="AF109">
        <f t="shared" si="23"/>
        <v>0</v>
      </c>
      <c r="AG109">
        <f t="shared" si="24"/>
        <v>0</v>
      </c>
      <c r="AH109" t="e">
        <f t="shared" si="25"/>
        <v>#N/A</v>
      </c>
      <c r="AI109">
        <f t="shared" si="26"/>
        <v>-1</v>
      </c>
      <c r="AJ109">
        <f t="shared" si="27"/>
        <v>0</v>
      </c>
      <c r="AK109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09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09">
        <f t="shared" si="28"/>
        <v>14.699999999999989</v>
      </c>
    </row>
    <row r="110" spans="2:39" x14ac:dyDescent="0.35">
      <c r="B110" s="12" t="str">
        <f>Demand!B112</f>
        <v/>
      </c>
      <c r="C110" s="7">
        <f>INDEX(Demand!$E$6:$S$265,MATCH('SPC Backing (Hide)'!$B110,Demand!$B$6:$B$265,0),MATCH('SPC Backing (Hide)'!C$3,Demand!$E$5:$S$5,0))</f>
        <v>0</v>
      </c>
      <c r="D110" s="5">
        <f>INDEX(Demand!$E$6:$S$265,MATCH('SPC Backing (Hide)'!$B110,Demand!$B$6:$B$265,0),MATCH('SPC Backing (Hide)'!D$3,Demand!$E$5:$S$5,0))</f>
        <v>0</v>
      </c>
      <c r="E110" s="5">
        <f>INDEX(Demand!$E$6:$S$265,MATCH('SPC Backing (Hide)'!$B110,Demand!$B$6:$B$265,0),MATCH('SPC Backing (Hide)'!E$3,Demand!$E$5:$S$5,0))</f>
        <v>0</v>
      </c>
      <c r="F110" s="5">
        <f>INDEX(Demand!$E$6:$S$265,MATCH('SPC Backing (Hide)'!$B110,Demand!$B$6:$B$265,0),MATCH('SPC Backing (Hide)'!F$3,Demand!$E$5:$S$5,0))</f>
        <v>0</v>
      </c>
      <c r="G110" s="5">
        <f>INDEX(Demand!$E$6:$S$265,MATCH('SPC Backing (Hide)'!$B110,Demand!$B$6:$B$265,0),MATCH('SPC Backing (Hide)'!G$3,Demand!$E$5:$S$5,0))</f>
        <v>0</v>
      </c>
      <c r="H110" s="5">
        <f>INDEX(Demand!$E$6:$S$265,MATCH('SPC Backing (Hide)'!$B110,Demand!$B$6:$B$265,0),MATCH('SPC Backing (Hide)'!H$3,Demand!$E$5:$S$5,0))</f>
        <v>0</v>
      </c>
      <c r="I110" s="5">
        <f>INDEX(Demand!$E$6:$S$265,MATCH('SPC Backing (Hide)'!$B110,Demand!$B$6:$B$265,0),MATCH('SPC Backing (Hide)'!I$3,Demand!$E$5:$S$5,0))</f>
        <v>0</v>
      </c>
      <c r="J110" s="5">
        <f>INDEX(Demand!$E$6:$S$265,MATCH('SPC Backing (Hide)'!$B110,Demand!$B$6:$B$265,0),MATCH('SPC Backing (Hide)'!J$3,Demand!$E$5:$S$5,0))</f>
        <v>0</v>
      </c>
      <c r="K110" s="5">
        <f>INDEX(Demand!$E$6:$S$265,MATCH('SPC Backing (Hide)'!$B110,Demand!$B$6:$B$265,0),MATCH('SPC Backing (Hide)'!K$3,Demand!$E$5:$S$5,0))</f>
        <v>0</v>
      </c>
      <c r="L110" s="5">
        <f>INDEX(Demand!$E$6:$S$265,MATCH('SPC Backing (Hide)'!$B110,Demand!$B$6:$B$265,0),MATCH('SPC Backing (Hide)'!L$3,Demand!$E$5:$S$5,0))</f>
        <v>0</v>
      </c>
      <c r="M110" s="5">
        <f>INDEX(Demand!$E$6:$S$265,MATCH('SPC Backing (Hide)'!$B110,Demand!$B$6:$B$265,0),MATCH('SPC Backing (Hide)'!M$3,Demand!$E$5:$S$5,0))</f>
        <v>0</v>
      </c>
      <c r="N110" s="5">
        <f>INDEX(Demand!$E$6:$S$265,MATCH('SPC Backing (Hide)'!$B110,Demand!$B$6:$B$265,0),MATCH('SPC Backing (Hide)'!N$3,Demand!$E$5:$S$5,0))</f>
        <v>0</v>
      </c>
      <c r="O110" s="5">
        <f>INDEX(Demand!$E$6:$S$265,MATCH('SPC Backing (Hide)'!$B110,Demand!$B$6:$B$265,0),MATCH('SPC Backing (Hide)'!O$3,Demand!$E$5:$S$5,0))</f>
        <v>0</v>
      </c>
      <c r="P110" s="5">
        <f>INDEX(Demand!$E$6:$S$265,MATCH('SPC Backing (Hide)'!$B110,Demand!$B$6:$B$265,0),MATCH('SPC Backing (Hide)'!P$3,Demand!$E$5:$S$5,0))</f>
        <v>0</v>
      </c>
      <c r="Q110" s="6">
        <f>INDEX(Demand!$E$6:$S$265,MATCH('SPC Backing (Hide)'!$B110,Demand!$B$6:$B$265,0),MATCH('SPC Backing (Hide)'!Q$3,Demand!$E$5:$S$5,0))</f>
        <v>0</v>
      </c>
      <c r="R110">
        <f>IF(SPC!$B$11="Yes",IF(ROW(A107)&gt;=Demand!$A$5-52,1,0),IF(AND(B110&gt;=SPC!$B$12,B110&lt;SPC!$B$13),1,0))</f>
        <v>1</v>
      </c>
      <c r="S110" cm="1">
        <f t="array" ref="S110">INDEX($C$4:$Q$263,ROW(A107),MATCH($T$2,$C$3:$Q$3,0))</f>
        <v>0</v>
      </c>
      <c r="T110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10" cm="1">
        <f t="array" ref="U110">ABS(INDEX($C$4:$Q$263,ROW(A107),MATCH($T$2,$C$3:$Q$3,0))-INDEX($C$4:$Q$263,ROW(A106),MATCH($T$2,$C$3:$Q$3,0)))</f>
        <v>0</v>
      </c>
      <c r="V110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10">
        <f t="shared" si="15"/>
        <v>40.813595610865789</v>
      </c>
      <c r="X110">
        <f t="shared" si="16"/>
        <v>108.80449618627055</v>
      </c>
      <c r="Y110">
        <f t="shared" si="17"/>
        <v>149.61809179713634</v>
      </c>
      <c r="Z110">
        <f t="shared" si="18"/>
        <v>190.43168740800212</v>
      </c>
      <c r="AA110">
        <f t="shared" si="19"/>
        <v>272.05887862973373</v>
      </c>
      <c r="AB110">
        <f t="shared" si="20"/>
        <v>312.8724742405995</v>
      </c>
      <c r="AC110">
        <f t="shared" si="21"/>
        <v>353.68606985146528</v>
      </c>
      <c r="AD110">
        <f t="shared" si="22"/>
        <v>0</v>
      </c>
      <c r="AE110">
        <f t="shared" si="29"/>
        <v>-2</v>
      </c>
      <c r="AF110">
        <f t="shared" si="23"/>
        <v>0</v>
      </c>
      <c r="AG110">
        <f t="shared" si="24"/>
        <v>0</v>
      </c>
      <c r="AH110" t="e">
        <f t="shared" si="25"/>
        <v>#N/A</v>
      </c>
      <c r="AI110">
        <f t="shared" si="26"/>
        <v>-1</v>
      </c>
      <c r="AJ110">
        <f t="shared" si="27"/>
        <v>0</v>
      </c>
      <c r="AK110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10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10">
        <f t="shared" si="28"/>
        <v>14.699999999999989</v>
      </c>
    </row>
    <row r="111" spans="2:39" x14ac:dyDescent="0.35">
      <c r="B111" s="12" t="str">
        <f>Demand!B113</f>
        <v/>
      </c>
      <c r="C111" s="7">
        <f>INDEX(Demand!$E$6:$S$265,MATCH('SPC Backing (Hide)'!$B111,Demand!$B$6:$B$265,0),MATCH('SPC Backing (Hide)'!C$3,Demand!$E$5:$S$5,0))</f>
        <v>0</v>
      </c>
      <c r="D111" s="5">
        <f>INDEX(Demand!$E$6:$S$265,MATCH('SPC Backing (Hide)'!$B111,Demand!$B$6:$B$265,0),MATCH('SPC Backing (Hide)'!D$3,Demand!$E$5:$S$5,0))</f>
        <v>0</v>
      </c>
      <c r="E111" s="5">
        <f>INDEX(Demand!$E$6:$S$265,MATCH('SPC Backing (Hide)'!$B111,Demand!$B$6:$B$265,0),MATCH('SPC Backing (Hide)'!E$3,Demand!$E$5:$S$5,0))</f>
        <v>0</v>
      </c>
      <c r="F111" s="5">
        <f>INDEX(Demand!$E$6:$S$265,MATCH('SPC Backing (Hide)'!$B111,Demand!$B$6:$B$265,0),MATCH('SPC Backing (Hide)'!F$3,Demand!$E$5:$S$5,0))</f>
        <v>0</v>
      </c>
      <c r="G111" s="5">
        <f>INDEX(Demand!$E$6:$S$265,MATCH('SPC Backing (Hide)'!$B111,Demand!$B$6:$B$265,0),MATCH('SPC Backing (Hide)'!G$3,Demand!$E$5:$S$5,0))</f>
        <v>0</v>
      </c>
      <c r="H111" s="5">
        <f>INDEX(Demand!$E$6:$S$265,MATCH('SPC Backing (Hide)'!$B111,Demand!$B$6:$B$265,0),MATCH('SPC Backing (Hide)'!H$3,Demand!$E$5:$S$5,0))</f>
        <v>0</v>
      </c>
      <c r="I111" s="5">
        <f>INDEX(Demand!$E$6:$S$265,MATCH('SPC Backing (Hide)'!$B111,Demand!$B$6:$B$265,0),MATCH('SPC Backing (Hide)'!I$3,Demand!$E$5:$S$5,0))</f>
        <v>0</v>
      </c>
      <c r="J111" s="5">
        <f>INDEX(Demand!$E$6:$S$265,MATCH('SPC Backing (Hide)'!$B111,Demand!$B$6:$B$265,0),MATCH('SPC Backing (Hide)'!J$3,Demand!$E$5:$S$5,0))</f>
        <v>0</v>
      </c>
      <c r="K111" s="5">
        <f>INDEX(Demand!$E$6:$S$265,MATCH('SPC Backing (Hide)'!$B111,Demand!$B$6:$B$265,0),MATCH('SPC Backing (Hide)'!K$3,Demand!$E$5:$S$5,0))</f>
        <v>0</v>
      </c>
      <c r="L111" s="5">
        <f>INDEX(Demand!$E$6:$S$265,MATCH('SPC Backing (Hide)'!$B111,Demand!$B$6:$B$265,0),MATCH('SPC Backing (Hide)'!L$3,Demand!$E$5:$S$5,0))</f>
        <v>0</v>
      </c>
      <c r="M111" s="5">
        <f>INDEX(Demand!$E$6:$S$265,MATCH('SPC Backing (Hide)'!$B111,Demand!$B$6:$B$265,0),MATCH('SPC Backing (Hide)'!M$3,Demand!$E$5:$S$5,0))</f>
        <v>0</v>
      </c>
      <c r="N111" s="5">
        <f>INDEX(Demand!$E$6:$S$265,MATCH('SPC Backing (Hide)'!$B111,Demand!$B$6:$B$265,0),MATCH('SPC Backing (Hide)'!N$3,Demand!$E$5:$S$5,0))</f>
        <v>0</v>
      </c>
      <c r="O111" s="5">
        <f>INDEX(Demand!$E$6:$S$265,MATCH('SPC Backing (Hide)'!$B111,Demand!$B$6:$B$265,0),MATCH('SPC Backing (Hide)'!O$3,Demand!$E$5:$S$5,0))</f>
        <v>0</v>
      </c>
      <c r="P111" s="5">
        <f>INDEX(Demand!$E$6:$S$265,MATCH('SPC Backing (Hide)'!$B111,Demand!$B$6:$B$265,0),MATCH('SPC Backing (Hide)'!P$3,Demand!$E$5:$S$5,0))</f>
        <v>0</v>
      </c>
      <c r="Q111" s="6">
        <f>INDEX(Demand!$E$6:$S$265,MATCH('SPC Backing (Hide)'!$B111,Demand!$B$6:$B$265,0),MATCH('SPC Backing (Hide)'!Q$3,Demand!$E$5:$S$5,0))</f>
        <v>0</v>
      </c>
      <c r="R111">
        <f>IF(SPC!$B$11="Yes",IF(ROW(A108)&gt;=Demand!$A$5-52,1,0),IF(AND(B111&gt;=SPC!$B$12,B111&lt;SPC!$B$13),1,0))</f>
        <v>1</v>
      </c>
      <c r="S111" cm="1">
        <f t="array" ref="S111">INDEX($C$4:$Q$263,ROW(A108),MATCH($T$2,$C$3:$Q$3,0))</f>
        <v>0</v>
      </c>
      <c r="T111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11" cm="1">
        <f t="array" ref="U111">ABS(INDEX($C$4:$Q$263,ROW(A108),MATCH($T$2,$C$3:$Q$3,0))-INDEX($C$4:$Q$263,ROW(A107),MATCH($T$2,$C$3:$Q$3,0)))</f>
        <v>0</v>
      </c>
      <c r="V111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11">
        <f t="shared" si="15"/>
        <v>40.813595610865789</v>
      </c>
      <c r="X111">
        <f t="shared" si="16"/>
        <v>108.80449618627055</v>
      </c>
      <c r="Y111">
        <f t="shared" si="17"/>
        <v>149.61809179713634</v>
      </c>
      <c r="Z111">
        <f t="shared" si="18"/>
        <v>190.43168740800212</v>
      </c>
      <c r="AA111">
        <f t="shared" si="19"/>
        <v>272.05887862973373</v>
      </c>
      <c r="AB111">
        <f t="shared" si="20"/>
        <v>312.8724742405995</v>
      </c>
      <c r="AC111">
        <f t="shared" si="21"/>
        <v>353.68606985146528</v>
      </c>
      <c r="AD111">
        <f t="shared" si="22"/>
        <v>0</v>
      </c>
      <c r="AE111">
        <f t="shared" si="29"/>
        <v>-2</v>
      </c>
      <c r="AF111">
        <f t="shared" si="23"/>
        <v>0</v>
      </c>
      <c r="AG111">
        <f t="shared" si="24"/>
        <v>0</v>
      </c>
      <c r="AH111" t="e">
        <f t="shared" si="25"/>
        <v>#N/A</v>
      </c>
      <c r="AI111">
        <f t="shared" si="26"/>
        <v>-1</v>
      </c>
      <c r="AJ111">
        <f t="shared" si="27"/>
        <v>0</v>
      </c>
      <c r="AK111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11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11">
        <f t="shared" si="28"/>
        <v>14.699999999999989</v>
      </c>
    </row>
    <row r="112" spans="2:39" x14ac:dyDescent="0.35">
      <c r="B112" s="12" t="str">
        <f>Demand!B114</f>
        <v/>
      </c>
      <c r="C112" s="7">
        <f>INDEX(Demand!$E$6:$S$265,MATCH('SPC Backing (Hide)'!$B112,Demand!$B$6:$B$265,0),MATCH('SPC Backing (Hide)'!C$3,Demand!$E$5:$S$5,0))</f>
        <v>0</v>
      </c>
      <c r="D112" s="5">
        <f>INDEX(Demand!$E$6:$S$265,MATCH('SPC Backing (Hide)'!$B112,Demand!$B$6:$B$265,0),MATCH('SPC Backing (Hide)'!D$3,Demand!$E$5:$S$5,0))</f>
        <v>0</v>
      </c>
      <c r="E112" s="5">
        <f>INDEX(Demand!$E$6:$S$265,MATCH('SPC Backing (Hide)'!$B112,Demand!$B$6:$B$265,0),MATCH('SPC Backing (Hide)'!E$3,Demand!$E$5:$S$5,0))</f>
        <v>0</v>
      </c>
      <c r="F112" s="5">
        <f>INDEX(Demand!$E$6:$S$265,MATCH('SPC Backing (Hide)'!$B112,Demand!$B$6:$B$265,0),MATCH('SPC Backing (Hide)'!F$3,Demand!$E$5:$S$5,0))</f>
        <v>0</v>
      </c>
      <c r="G112" s="5">
        <f>INDEX(Demand!$E$6:$S$265,MATCH('SPC Backing (Hide)'!$B112,Demand!$B$6:$B$265,0),MATCH('SPC Backing (Hide)'!G$3,Demand!$E$5:$S$5,0))</f>
        <v>0</v>
      </c>
      <c r="H112" s="5">
        <f>INDEX(Demand!$E$6:$S$265,MATCH('SPC Backing (Hide)'!$B112,Demand!$B$6:$B$265,0),MATCH('SPC Backing (Hide)'!H$3,Demand!$E$5:$S$5,0))</f>
        <v>0</v>
      </c>
      <c r="I112" s="5">
        <f>INDEX(Demand!$E$6:$S$265,MATCH('SPC Backing (Hide)'!$B112,Demand!$B$6:$B$265,0),MATCH('SPC Backing (Hide)'!I$3,Demand!$E$5:$S$5,0))</f>
        <v>0</v>
      </c>
      <c r="J112" s="5">
        <f>INDEX(Demand!$E$6:$S$265,MATCH('SPC Backing (Hide)'!$B112,Demand!$B$6:$B$265,0),MATCH('SPC Backing (Hide)'!J$3,Demand!$E$5:$S$5,0))</f>
        <v>0</v>
      </c>
      <c r="K112" s="5">
        <f>INDEX(Demand!$E$6:$S$265,MATCH('SPC Backing (Hide)'!$B112,Demand!$B$6:$B$265,0),MATCH('SPC Backing (Hide)'!K$3,Demand!$E$5:$S$5,0))</f>
        <v>0</v>
      </c>
      <c r="L112" s="5">
        <f>INDEX(Demand!$E$6:$S$265,MATCH('SPC Backing (Hide)'!$B112,Demand!$B$6:$B$265,0),MATCH('SPC Backing (Hide)'!L$3,Demand!$E$5:$S$5,0))</f>
        <v>0</v>
      </c>
      <c r="M112" s="5">
        <f>INDEX(Demand!$E$6:$S$265,MATCH('SPC Backing (Hide)'!$B112,Demand!$B$6:$B$265,0),MATCH('SPC Backing (Hide)'!M$3,Demand!$E$5:$S$5,0))</f>
        <v>0</v>
      </c>
      <c r="N112" s="5">
        <f>INDEX(Demand!$E$6:$S$265,MATCH('SPC Backing (Hide)'!$B112,Demand!$B$6:$B$265,0),MATCH('SPC Backing (Hide)'!N$3,Demand!$E$5:$S$5,0))</f>
        <v>0</v>
      </c>
      <c r="O112" s="5">
        <f>INDEX(Demand!$E$6:$S$265,MATCH('SPC Backing (Hide)'!$B112,Demand!$B$6:$B$265,0),MATCH('SPC Backing (Hide)'!O$3,Demand!$E$5:$S$5,0))</f>
        <v>0</v>
      </c>
      <c r="P112" s="5">
        <f>INDEX(Demand!$E$6:$S$265,MATCH('SPC Backing (Hide)'!$B112,Demand!$B$6:$B$265,0),MATCH('SPC Backing (Hide)'!P$3,Demand!$E$5:$S$5,0))</f>
        <v>0</v>
      </c>
      <c r="Q112" s="6">
        <f>INDEX(Demand!$E$6:$S$265,MATCH('SPC Backing (Hide)'!$B112,Demand!$B$6:$B$265,0),MATCH('SPC Backing (Hide)'!Q$3,Demand!$E$5:$S$5,0))</f>
        <v>0</v>
      </c>
      <c r="R112">
        <f>IF(SPC!$B$11="Yes",IF(ROW(A109)&gt;=Demand!$A$5-52,1,0),IF(AND(B112&gt;=SPC!$B$12,B112&lt;SPC!$B$13),1,0))</f>
        <v>1</v>
      </c>
      <c r="S112" cm="1">
        <f t="array" ref="S112">INDEX($C$4:$Q$263,ROW(A109),MATCH($T$2,$C$3:$Q$3,0))</f>
        <v>0</v>
      </c>
      <c r="T112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12" cm="1">
        <f t="array" ref="U112">ABS(INDEX($C$4:$Q$263,ROW(A109),MATCH($T$2,$C$3:$Q$3,0))-INDEX($C$4:$Q$263,ROW(A108),MATCH($T$2,$C$3:$Q$3,0)))</f>
        <v>0</v>
      </c>
      <c r="V112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12">
        <f t="shared" si="15"/>
        <v>40.813595610865789</v>
      </c>
      <c r="X112">
        <f t="shared" si="16"/>
        <v>108.80449618627055</v>
      </c>
      <c r="Y112">
        <f t="shared" si="17"/>
        <v>149.61809179713634</v>
      </c>
      <c r="Z112">
        <f t="shared" si="18"/>
        <v>190.43168740800212</v>
      </c>
      <c r="AA112">
        <f t="shared" si="19"/>
        <v>272.05887862973373</v>
      </c>
      <c r="AB112">
        <f t="shared" si="20"/>
        <v>312.8724742405995</v>
      </c>
      <c r="AC112">
        <f t="shared" si="21"/>
        <v>353.68606985146528</v>
      </c>
      <c r="AD112">
        <f t="shared" si="22"/>
        <v>0</v>
      </c>
      <c r="AE112">
        <f t="shared" si="29"/>
        <v>-2</v>
      </c>
      <c r="AF112">
        <f t="shared" si="23"/>
        <v>0</v>
      </c>
      <c r="AG112">
        <f t="shared" si="24"/>
        <v>0</v>
      </c>
      <c r="AH112" t="e">
        <f t="shared" si="25"/>
        <v>#N/A</v>
      </c>
      <c r="AI112">
        <f t="shared" si="26"/>
        <v>-1</v>
      </c>
      <c r="AJ112">
        <f t="shared" si="27"/>
        <v>0</v>
      </c>
      <c r="AK112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12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12">
        <f t="shared" si="28"/>
        <v>14.699999999999989</v>
      </c>
    </row>
    <row r="113" spans="2:39" x14ac:dyDescent="0.35">
      <c r="B113" s="12" t="str">
        <f>Demand!B115</f>
        <v/>
      </c>
      <c r="C113" s="7">
        <f>INDEX(Demand!$E$6:$S$265,MATCH('SPC Backing (Hide)'!$B113,Demand!$B$6:$B$265,0),MATCH('SPC Backing (Hide)'!C$3,Demand!$E$5:$S$5,0))</f>
        <v>0</v>
      </c>
      <c r="D113" s="5">
        <f>INDEX(Demand!$E$6:$S$265,MATCH('SPC Backing (Hide)'!$B113,Demand!$B$6:$B$265,0),MATCH('SPC Backing (Hide)'!D$3,Demand!$E$5:$S$5,0))</f>
        <v>0</v>
      </c>
      <c r="E113" s="5">
        <f>INDEX(Demand!$E$6:$S$265,MATCH('SPC Backing (Hide)'!$B113,Demand!$B$6:$B$265,0),MATCH('SPC Backing (Hide)'!E$3,Demand!$E$5:$S$5,0))</f>
        <v>0</v>
      </c>
      <c r="F113" s="5">
        <f>INDEX(Demand!$E$6:$S$265,MATCH('SPC Backing (Hide)'!$B113,Demand!$B$6:$B$265,0),MATCH('SPC Backing (Hide)'!F$3,Demand!$E$5:$S$5,0))</f>
        <v>0</v>
      </c>
      <c r="G113" s="5">
        <f>INDEX(Demand!$E$6:$S$265,MATCH('SPC Backing (Hide)'!$B113,Demand!$B$6:$B$265,0),MATCH('SPC Backing (Hide)'!G$3,Demand!$E$5:$S$5,0))</f>
        <v>0</v>
      </c>
      <c r="H113" s="5">
        <f>INDEX(Demand!$E$6:$S$265,MATCH('SPC Backing (Hide)'!$B113,Demand!$B$6:$B$265,0),MATCH('SPC Backing (Hide)'!H$3,Demand!$E$5:$S$5,0))</f>
        <v>0</v>
      </c>
      <c r="I113" s="5">
        <f>INDEX(Demand!$E$6:$S$265,MATCH('SPC Backing (Hide)'!$B113,Demand!$B$6:$B$265,0),MATCH('SPC Backing (Hide)'!I$3,Demand!$E$5:$S$5,0))</f>
        <v>0</v>
      </c>
      <c r="J113" s="5">
        <f>INDEX(Demand!$E$6:$S$265,MATCH('SPC Backing (Hide)'!$B113,Demand!$B$6:$B$265,0),MATCH('SPC Backing (Hide)'!J$3,Demand!$E$5:$S$5,0))</f>
        <v>0</v>
      </c>
      <c r="K113" s="5">
        <f>INDEX(Demand!$E$6:$S$265,MATCH('SPC Backing (Hide)'!$B113,Demand!$B$6:$B$265,0),MATCH('SPC Backing (Hide)'!K$3,Demand!$E$5:$S$5,0))</f>
        <v>0</v>
      </c>
      <c r="L113" s="5">
        <f>INDEX(Demand!$E$6:$S$265,MATCH('SPC Backing (Hide)'!$B113,Demand!$B$6:$B$265,0),MATCH('SPC Backing (Hide)'!L$3,Demand!$E$5:$S$5,0))</f>
        <v>0</v>
      </c>
      <c r="M113" s="5">
        <f>INDEX(Demand!$E$6:$S$265,MATCH('SPC Backing (Hide)'!$B113,Demand!$B$6:$B$265,0),MATCH('SPC Backing (Hide)'!M$3,Demand!$E$5:$S$5,0))</f>
        <v>0</v>
      </c>
      <c r="N113" s="5">
        <f>INDEX(Demand!$E$6:$S$265,MATCH('SPC Backing (Hide)'!$B113,Demand!$B$6:$B$265,0),MATCH('SPC Backing (Hide)'!N$3,Demand!$E$5:$S$5,0))</f>
        <v>0</v>
      </c>
      <c r="O113" s="5">
        <f>INDEX(Demand!$E$6:$S$265,MATCH('SPC Backing (Hide)'!$B113,Demand!$B$6:$B$265,0),MATCH('SPC Backing (Hide)'!O$3,Demand!$E$5:$S$5,0))</f>
        <v>0</v>
      </c>
      <c r="P113" s="5">
        <f>INDEX(Demand!$E$6:$S$265,MATCH('SPC Backing (Hide)'!$B113,Demand!$B$6:$B$265,0),MATCH('SPC Backing (Hide)'!P$3,Demand!$E$5:$S$5,0))</f>
        <v>0</v>
      </c>
      <c r="Q113" s="6">
        <f>INDEX(Demand!$E$6:$S$265,MATCH('SPC Backing (Hide)'!$B113,Demand!$B$6:$B$265,0),MATCH('SPC Backing (Hide)'!Q$3,Demand!$E$5:$S$5,0))</f>
        <v>0</v>
      </c>
      <c r="R113">
        <f>IF(SPC!$B$11="Yes",IF(ROW(A110)&gt;=Demand!$A$5-52,1,0),IF(AND(B113&gt;=SPC!$B$12,B113&lt;SPC!$B$13),1,0))</f>
        <v>1</v>
      </c>
      <c r="S113" cm="1">
        <f t="array" ref="S113">INDEX($C$4:$Q$263,ROW(A110),MATCH($T$2,$C$3:$Q$3,0))</f>
        <v>0</v>
      </c>
      <c r="T113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13" cm="1">
        <f t="array" ref="U113">ABS(INDEX($C$4:$Q$263,ROW(A110),MATCH($T$2,$C$3:$Q$3,0))-INDEX($C$4:$Q$263,ROW(A109),MATCH($T$2,$C$3:$Q$3,0)))</f>
        <v>0</v>
      </c>
      <c r="V113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13">
        <f t="shared" si="15"/>
        <v>40.813595610865789</v>
      </c>
      <c r="X113">
        <f t="shared" si="16"/>
        <v>108.80449618627055</v>
      </c>
      <c r="Y113">
        <f t="shared" si="17"/>
        <v>149.61809179713634</v>
      </c>
      <c r="Z113">
        <f t="shared" si="18"/>
        <v>190.43168740800212</v>
      </c>
      <c r="AA113">
        <f t="shared" si="19"/>
        <v>272.05887862973373</v>
      </c>
      <c r="AB113">
        <f t="shared" si="20"/>
        <v>312.8724742405995</v>
      </c>
      <c r="AC113">
        <f t="shared" si="21"/>
        <v>353.68606985146528</v>
      </c>
      <c r="AD113">
        <f t="shared" si="22"/>
        <v>0</v>
      </c>
      <c r="AE113">
        <f t="shared" si="29"/>
        <v>-2</v>
      </c>
      <c r="AF113">
        <f t="shared" si="23"/>
        <v>0</v>
      </c>
      <c r="AG113">
        <f t="shared" si="24"/>
        <v>0</v>
      </c>
      <c r="AH113" t="e">
        <f t="shared" si="25"/>
        <v>#N/A</v>
      </c>
      <c r="AI113">
        <f t="shared" si="26"/>
        <v>-1</v>
      </c>
      <c r="AJ113">
        <f t="shared" si="27"/>
        <v>0</v>
      </c>
      <c r="AK113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13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13">
        <f t="shared" si="28"/>
        <v>14.699999999999989</v>
      </c>
    </row>
    <row r="114" spans="2:39" x14ac:dyDescent="0.35">
      <c r="B114" s="12" t="str">
        <f>Demand!B116</f>
        <v/>
      </c>
      <c r="C114" s="7">
        <f>INDEX(Demand!$E$6:$S$265,MATCH('SPC Backing (Hide)'!$B114,Demand!$B$6:$B$265,0),MATCH('SPC Backing (Hide)'!C$3,Demand!$E$5:$S$5,0))</f>
        <v>0</v>
      </c>
      <c r="D114" s="5">
        <f>INDEX(Demand!$E$6:$S$265,MATCH('SPC Backing (Hide)'!$B114,Demand!$B$6:$B$265,0),MATCH('SPC Backing (Hide)'!D$3,Demand!$E$5:$S$5,0))</f>
        <v>0</v>
      </c>
      <c r="E114" s="5">
        <f>INDEX(Demand!$E$6:$S$265,MATCH('SPC Backing (Hide)'!$B114,Demand!$B$6:$B$265,0),MATCH('SPC Backing (Hide)'!E$3,Demand!$E$5:$S$5,0))</f>
        <v>0</v>
      </c>
      <c r="F114" s="5">
        <f>INDEX(Demand!$E$6:$S$265,MATCH('SPC Backing (Hide)'!$B114,Demand!$B$6:$B$265,0),MATCH('SPC Backing (Hide)'!F$3,Demand!$E$5:$S$5,0))</f>
        <v>0</v>
      </c>
      <c r="G114" s="5">
        <f>INDEX(Demand!$E$6:$S$265,MATCH('SPC Backing (Hide)'!$B114,Demand!$B$6:$B$265,0),MATCH('SPC Backing (Hide)'!G$3,Demand!$E$5:$S$5,0))</f>
        <v>0</v>
      </c>
      <c r="H114" s="5">
        <f>INDEX(Demand!$E$6:$S$265,MATCH('SPC Backing (Hide)'!$B114,Demand!$B$6:$B$265,0),MATCH('SPC Backing (Hide)'!H$3,Demand!$E$5:$S$5,0))</f>
        <v>0</v>
      </c>
      <c r="I114" s="5">
        <f>INDEX(Demand!$E$6:$S$265,MATCH('SPC Backing (Hide)'!$B114,Demand!$B$6:$B$265,0),MATCH('SPC Backing (Hide)'!I$3,Demand!$E$5:$S$5,0))</f>
        <v>0</v>
      </c>
      <c r="J114" s="5">
        <f>INDEX(Demand!$E$6:$S$265,MATCH('SPC Backing (Hide)'!$B114,Demand!$B$6:$B$265,0),MATCH('SPC Backing (Hide)'!J$3,Demand!$E$5:$S$5,0))</f>
        <v>0</v>
      </c>
      <c r="K114" s="5">
        <f>INDEX(Demand!$E$6:$S$265,MATCH('SPC Backing (Hide)'!$B114,Demand!$B$6:$B$265,0),MATCH('SPC Backing (Hide)'!K$3,Demand!$E$5:$S$5,0))</f>
        <v>0</v>
      </c>
      <c r="L114" s="5">
        <f>INDEX(Demand!$E$6:$S$265,MATCH('SPC Backing (Hide)'!$B114,Demand!$B$6:$B$265,0),MATCH('SPC Backing (Hide)'!L$3,Demand!$E$5:$S$5,0))</f>
        <v>0</v>
      </c>
      <c r="M114" s="5">
        <f>INDEX(Demand!$E$6:$S$265,MATCH('SPC Backing (Hide)'!$B114,Demand!$B$6:$B$265,0),MATCH('SPC Backing (Hide)'!M$3,Demand!$E$5:$S$5,0))</f>
        <v>0</v>
      </c>
      <c r="N114" s="5">
        <f>INDEX(Demand!$E$6:$S$265,MATCH('SPC Backing (Hide)'!$B114,Demand!$B$6:$B$265,0),MATCH('SPC Backing (Hide)'!N$3,Demand!$E$5:$S$5,0))</f>
        <v>0</v>
      </c>
      <c r="O114" s="5">
        <f>INDEX(Demand!$E$6:$S$265,MATCH('SPC Backing (Hide)'!$B114,Demand!$B$6:$B$265,0),MATCH('SPC Backing (Hide)'!O$3,Demand!$E$5:$S$5,0))</f>
        <v>0</v>
      </c>
      <c r="P114" s="5">
        <f>INDEX(Demand!$E$6:$S$265,MATCH('SPC Backing (Hide)'!$B114,Demand!$B$6:$B$265,0),MATCH('SPC Backing (Hide)'!P$3,Demand!$E$5:$S$5,0))</f>
        <v>0</v>
      </c>
      <c r="Q114" s="6">
        <f>INDEX(Demand!$E$6:$S$265,MATCH('SPC Backing (Hide)'!$B114,Demand!$B$6:$B$265,0),MATCH('SPC Backing (Hide)'!Q$3,Demand!$E$5:$S$5,0))</f>
        <v>0</v>
      </c>
      <c r="R114">
        <f>IF(SPC!$B$11="Yes",IF(ROW(A111)&gt;=Demand!$A$5-52,1,0),IF(AND(B114&gt;=SPC!$B$12,B114&lt;SPC!$B$13),1,0))</f>
        <v>1</v>
      </c>
      <c r="S114" cm="1">
        <f t="array" ref="S114">INDEX($C$4:$Q$263,ROW(A111),MATCH($T$2,$C$3:$Q$3,0))</f>
        <v>0</v>
      </c>
      <c r="T114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14" cm="1">
        <f t="array" ref="U114">ABS(INDEX($C$4:$Q$263,ROW(A111),MATCH($T$2,$C$3:$Q$3,0))-INDEX($C$4:$Q$263,ROW(A110),MATCH($T$2,$C$3:$Q$3,0)))</f>
        <v>0</v>
      </c>
      <c r="V114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14">
        <f t="shared" si="15"/>
        <v>40.813595610865789</v>
      </c>
      <c r="X114">
        <f t="shared" si="16"/>
        <v>108.80449618627055</v>
      </c>
      <c r="Y114">
        <f t="shared" si="17"/>
        <v>149.61809179713634</v>
      </c>
      <c r="Z114">
        <f t="shared" si="18"/>
        <v>190.43168740800212</v>
      </c>
      <c r="AA114">
        <f t="shared" si="19"/>
        <v>272.05887862973373</v>
      </c>
      <c r="AB114">
        <f t="shared" si="20"/>
        <v>312.8724742405995</v>
      </c>
      <c r="AC114">
        <f t="shared" si="21"/>
        <v>353.68606985146528</v>
      </c>
      <c r="AD114">
        <f t="shared" si="22"/>
        <v>0</v>
      </c>
      <c r="AE114">
        <f t="shared" si="29"/>
        <v>-2</v>
      </c>
      <c r="AF114">
        <f t="shared" si="23"/>
        <v>0</v>
      </c>
      <c r="AG114">
        <f t="shared" si="24"/>
        <v>0</v>
      </c>
      <c r="AH114" t="e">
        <f t="shared" si="25"/>
        <v>#N/A</v>
      </c>
      <c r="AI114">
        <f t="shared" si="26"/>
        <v>-1</v>
      </c>
      <c r="AJ114">
        <f t="shared" si="27"/>
        <v>0</v>
      </c>
      <c r="AK114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14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14">
        <f t="shared" si="28"/>
        <v>14.699999999999989</v>
      </c>
    </row>
    <row r="115" spans="2:39" x14ac:dyDescent="0.35">
      <c r="B115" s="12" t="str">
        <f>Demand!B117</f>
        <v/>
      </c>
      <c r="C115" s="7">
        <f>INDEX(Demand!$E$6:$S$265,MATCH('SPC Backing (Hide)'!$B115,Demand!$B$6:$B$265,0),MATCH('SPC Backing (Hide)'!C$3,Demand!$E$5:$S$5,0))</f>
        <v>0</v>
      </c>
      <c r="D115" s="5">
        <f>INDEX(Demand!$E$6:$S$265,MATCH('SPC Backing (Hide)'!$B115,Demand!$B$6:$B$265,0),MATCH('SPC Backing (Hide)'!D$3,Demand!$E$5:$S$5,0))</f>
        <v>0</v>
      </c>
      <c r="E115" s="5">
        <f>INDEX(Demand!$E$6:$S$265,MATCH('SPC Backing (Hide)'!$B115,Demand!$B$6:$B$265,0),MATCH('SPC Backing (Hide)'!E$3,Demand!$E$5:$S$5,0))</f>
        <v>0</v>
      </c>
      <c r="F115" s="5">
        <f>INDEX(Demand!$E$6:$S$265,MATCH('SPC Backing (Hide)'!$B115,Demand!$B$6:$B$265,0),MATCH('SPC Backing (Hide)'!F$3,Demand!$E$5:$S$5,0))</f>
        <v>0</v>
      </c>
      <c r="G115" s="5">
        <f>INDEX(Demand!$E$6:$S$265,MATCH('SPC Backing (Hide)'!$B115,Demand!$B$6:$B$265,0),MATCH('SPC Backing (Hide)'!G$3,Demand!$E$5:$S$5,0))</f>
        <v>0</v>
      </c>
      <c r="H115" s="5">
        <f>INDEX(Demand!$E$6:$S$265,MATCH('SPC Backing (Hide)'!$B115,Demand!$B$6:$B$265,0),MATCH('SPC Backing (Hide)'!H$3,Demand!$E$5:$S$5,0))</f>
        <v>0</v>
      </c>
      <c r="I115" s="5">
        <f>INDEX(Demand!$E$6:$S$265,MATCH('SPC Backing (Hide)'!$B115,Demand!$B$6:$B$265,0),MATCH('SPC Backing (Hide)'!I$3,Demand!$E$5:$S$5,0))</f>
        <v>0</v>
      </c>
      <c r="J115" s="5">
        <f>INDEX(Demand!$E$6:$S$265,MATCH('SPC Backing (Hide)'!$B115,Demand!$B$6:$B$265,0),MATCH('SPC Backing (Hide)'!J$3,Demand!$E$5:$S$5,0))</f>
        <v>0</v>
      </c>
      <c r="K115" s="5">
        <f>INDEX(Demand!$E$6:$S$265,MATCH('SPC Backing (Hide)'!$B115,Demand!$B$6:$B$265,0),MATCH('SPC Backing (Hide)'!K$3,Demand!$E$5:$S$5,0))</f>
        <v>0</v>
      </c>
      <c r="L115" s="5">
        <f>INDEX(Demand!$E$6:$S$265,MATCH('SPC Backing (Hide)'!$B115,Demand!$B$6:$B$265,0),MATCH('SPC Backing (Hide)'!L$3,Demand!$E$5:$S$5,0))</f>
        <v>0</v>
      </c>
      <c r="M115" s="5">
        <f>INDEX(Demand!$E$6:$S$265,MATCH('SPC Backing (Hide)'!$B115,Demand!$B$6:$B$265,0),MATCH('SPC Backing (Hide)'!M$3,Demand!$E$5:$S$5,0))</f>
        <v>0</v>
      </c>
      <c r="N115" s="5">
        <f>INDEX(Demand!$E$6:$S$265,MATCH('SPC Backing (Hide)'!$B115,Demand!$B$6:$B$265,0),MATCH('SPC Backing (Hide)'!N$3,Demand!$E$5:$S$5,0))</f>
        <v>0</v>
      </c>
      <c r="O115" s="5">
        <f>INDEX(Demand!$E$6:$S$265,MATCH('SPC Backing (Hide)'!$B115,Demand!$B$6:$B$265,0),MATCH('SPC Backing (Hide)'!O$3,Demand!$E$5:$S$5,0))</f>
        <v>0</v>
      </c>
      <c r="P115" s="5">
        <f>INDEX(Demand!$E$6:$S$265,MATCH('SPC Backing (Hide)'!$B115,Demand!$B$6:$B$265,0),MATCH('SPC Backing (Hide)'!P$3,Demand!$E$5:$S$5,0))</f>
        <v>0</v>
      </c>
      <c r="Q115" s="6">
        <f>INDEX(Demand!$E$6:$S$265,MATCH('SPC Backing (Hide)'!$B115,Demand!$B$6:$B$265,0),MATCH('SPC Backing (Hide)'!Q$3,Demand!$E$5:$S$5,0))</f>
        <v>0</v>
      </c>
      <c r="R115">
        <f>IF(SPC!$B$11="Yes",IF(ROW(A112)&gt;=Demand!$A$5-52,1,0),IF(AND(B115&gt;=SPC!$B$12,B115&lt;SPC!$B$13),1,0))</f>
        <v>1</v>
      </c>
      <c r="S115" cm="1">
        <f t="array" ref="S115">INDEX($C$4:$Q$263,ROW(A112),MATCH($T$2,$C$3:$Q$3,0))</f>
        <v>0</v>
      </c>
      <c r="T115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15" cm="1">
        <f t="array" ref="U115">ABS(INDEX($C$4:$Q$263,ROW(A112),MATCH($T$2,$C$3:$Q$3,0))-INDEX($C$4:$Q$263,ROW(A111),MATCH($T$2,$C$3:$Q$3,0)))</f>
        <v>0</v>
      </c>
      <c r="V115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15">
        <f t="shared" si="15"/>
        <v>40.813595610865789</v>
      </c>
      <c r="X115">
        <f t="shared" si="16"/>
        <v>108.80449618627055</v>
      </c>
      <c r="Y115">
        <f t="shared" si="17"/>
        <v>149.61809179713634</v>
      </c>
      <c r="Z115">
        <f t="shared" si="18"/>
        <v>190.43168740800212</v>
      </c>
      <c r="AA115">
        <f t="shared" si="19"/>
        <v>272.05887862973373</v>
      </c>
      <c r="AB115">
        <f t="shared" si="20"/>
        <v>312.8724742405995</v>
      </c>
      <c r="AC115">
        <f t="shared" si="21"/>
        <v>353.68606985146528</v>
      </c>
      <c r="AD115">
        <f t="shared" si="22"/>
        <v>0</v>
      </c>
      <c r="AE115">
        <f t="shared" si="29"/>
        <v>-2</v>
      </c>
      <c r="AF115">
        <f t="shared" si="23"/>
        <v>0</v>
      </c>
      <c r="AG115">
        <f t="shared" si="24"/>
        <v>0</v>
      </c>
      <c r="AH115" t="e">
        <f t="shared" si="25"/>
        <v>#N/A</v>
      </c>
      <c r="AI115">
        <f t="shared" si="26"/>
        <v>-1</v>
      </c>
      <c r="AJ115">
        <f t="shared" si="27"/>
        <v>0</v>
      </c>
      <c r="AK115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15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15">
        <f t="shared" si="28"/>
        <v>14.699999999999989</v>
      </c>
    </row>
    <row r="116" spans="2:39" x14ac:dyDescent="0.35">
      <c r="B116" s="12" t="str">
        <f>Demand!B118</f>
        <v/>
      </c>
      <c r="C116" s="7">
        <f>INDEX(Demand!$E$6:$S$265,MATCH('SPC Backing (Hide)'!$B116,Demand!$B$6:$B$265,0),MATCH('SPC Backing (Hide)'!C$3,Demand!$E$5:$S$5,0))</f>
        <v>0</v>
      </c>
      <c r="D116" s="5">
        <f>INDEX(Demand!$E$6:$S$265,MATCH('SPC Backing (Hide)'!$B116,Demand!$B$6:$B$265,0),MATCH('SPC Backing (Hide)'!D$3,Demand!$E$5:$S$5,0))</f>
        <v>0</v>
      </c>
      <c r="E116" s="5">
        <f>INDEX(Demand!$E$6:$S$265,MATCH('SPC Backing (Hide)'!$B116,Demand!$B$6:$B$265,0),MATCH('SPC Backing (Hide)'!E$3,Demand!$E$5:$S$5,0))</f>
        <v>0</v>
      </c>
      <c r="F116" s="5">
        <f>INDEX(Demand!$E$6:$S$265,MATCH('SPC Backing (Hide)'!$B116,Demand!$B$6:$B$265,0),MATCH('SPC Backing (Hide)'!F$3,Demand!$E$5:$S$5,0))</f>
        <v>0</v>
      </c>
      <c r="G116" s="5">
        <f>INDEX(Demand!$E$6:$S$265,MATCH('SPC Backing (Hide)'!$B116,Demand!$B$6:$B$265,0),MATCH('SPC Backing (Hide)'!G$3,Demand!$E$5:$S$5,0))</f>
        <v>0</v>
      </c>
      <c r="H116" s="5">
        <f>INDEX(Demand!$E$6:$S$265,MATCH('SPC Backing (Hide)'!$B116,Demand!$B$6:$B$265,0),MATCH('SPC Backing (Hide)'!H$3,Demand!$E$5:$S$5,0))</f>
        <v>0</v>
      </c>
      <c r="I116" s="5">
        <f>INDEX(Demand!$E$6:$S$265,MATCH('SPC Backing (Hide)'!$B116,Demand!$B$6:$B$265,0),MATCH('SPC Backing (Hide)'!I$3,Demand!$E$5:$S$5,0))</f>
        <v>0</v>
      </c>
      <c r="J116" s="5">
        <f>INDEX(Demand!$E$6:$S$265,MATCH('SPC Backing (Hide)'!$B116,Demand!$B$6:$B$265,0),MATCH('SPC Backing (Hide)'!J$3,Demand!$E$5:$S$5,0))</f>
        <v>0</v>
      </c>
      <c r="K116" s="5">
        <f>INDEX(Demand!$E$6:$S$265,MATCH('SPC Backing (Hide)'!$B116,Demand!$B$6:$B$265,0),MATCH('SPC Backing (Hide)'!K$3,Demand!$E$5:$S$5,0))</f>
        <v>0</v>
      </c>
      <c r="L116" s="5">
        <f>INDEX(Demand!$E$6:$S$265,MATCH('SPC Backing (Hide)'!$B116,Demand!$B$6:$B$265,0),MATCH('SPC Backing (Hide)'!L$3,Demand!$E$5:$S$5,0))</f>
        <v>0</v>
      </c>
      <c r="M116" s="5">
        <f>INDEX(Demand!$E$6:$S$265,MATCH('SPC Backing (Hide)'!$B116,Demand!$B$6:$B$265,0),MATCH('SPC Backing (Hide)'!M$3,Demand!$E$5:$S$5,0))</f>
        <v>0</v>
      </c>
      <c r="N116" s="5">
        <f>INDEX(Demand!$E$6:$S$265,MATCH('SPC Backing (Hide)'!$B116,Demand!$B$6:$B$265,0),MATCH('SPC Backing (Hide)'!N$3,Demand!$E$5:$S$5,0))</f>
        <v>0</v>
      </c>
      <c r="O116" s="5">
        <f>INDEX(Demand!$E$6:$S$265,MATCH('SPC Backing (Hide)'!$B116,Demand!$B$6:$B$265,0),MATCH('SPC Backing (Hide)'!O$3,Demand!$E$5:$S$5,0))</f>
        <v>0</v>
      </c>
      <c r="P116" s="5">
        <f>INDEX(Demand!$E$6:$S$265,MATCH('SPC Backing (Hide)'!$B116,Demand!$B$6:$B$265,0),MATCH('SPC Backing (Hide)'!P$3,Demand!$E$5:$S$5,0))</f>
        <v>0</v>
      </c>
      <c r="Q116" s="6">
        <f>INDEX(Demand!$E$6:$S$265,MATCH('SPC Backing (Hide)'!$B116,Demand!$B$6:$B$265,0),MATCH('SPC Backing (Hide)'!Q$3,Demand!$E$5:$S$5,0))</f>
        <v>0</v>
      </c>
      <c r="R116">
        <f>IF(SPC!$B$11="Yes",IF(ROW(A113)&gt;=Demand!$A$5-52,1,0),IF(AND(B116&gt;=SPC!$B$12,B116&lt;SPC!$B$13),1,0))</f>
        <v>1</v>
      </c>
      <c r="S116" cm="1">
        <f t="array" ref="S116">INDEX($C$4:$Q$263,ROW(A113),MATCH($T$2,$C$3:$Q$3,0))</f>
        <v>0</v>
      </c>
      <c r="T116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16" cm="1">
        <f t="array" ref="U116">ABS(INDEX($C$4:$Q$263,ROW(A113),MATCH($T$2,$C$3:$Q$3,0))-INDEX($C$4:$Q$263,ROW(A112),MATCH($T$2,$C$3:$Q$3,0)))</f>
        <v>0</v>
      </c>
      <c r="V116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16">
        <f t="shared" si="15"/>
        <v>40.813595610865789</v>
      </c>
      <c r="X116">
        <f t="shared" si="16"/>
        <v>108.80449618627055</v>
      </c>
      <c r="Y116">
        <f t="shared" si="17"/>
        <v>149.61809179713634</v>
      </c>
      <c r="Z116">
        <f t="shared" si="18"/>
        <v>190.43168740800212</v>
      </c>
      <c r="AA116">
        <f t="shared" si="19"/>
        <v>272.05887862973373</v>
      </c>
      <c r="AB116">
        <f t="shared" si="20"/>
        <v>312.8724742405995</v>
      </c>
      <c r="AC116">
        <f t="shared" si="21"/>
        <v>353.68606985146528</v>
      </c>
      <c r="AD116">
        <f t="shared" si="22"/>
        <v>0</v>
      </c>
      <c r="AE116">
        <f t="shared" si="29"/>
        <v>-2</v>
      </c>
      <c r="AF116">
        <f t="shared" si="23"/>
        <v>0</v>
      </c>
      <c r="AG116">
        <f t="shared" si="24"/>
        <v>0</v>
      </c>
      <c r="AH116" t="e">
        <f t="shared" si="25"/>
        <v>#N/A</v>
      </c>
      <c r="AI116">
        <f t="shared" si="26"/>
        <v>-1</v>
      </c>
      <c r="AJ116">
        <f t="shared" si="27"/>
        <v>0</v>
      </c>
      <c r="AK116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16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16">
        <f t="shared" si="28"/>
        <v>14.699999999999989</v>
      </c>
    </row>
    <row r="117" spans="2:39" x14ac:dyDescent="0.35">
      <c r="B117" s="12" t="str">
        <f>Demand!B119</f>
        <v/>
      </c>
      <c r="C117" s="7">
        <f>INDEX(Demand!$E$6:$S$265,MATCH('SPC Backing (Hide)'!$B117,Demand!$B$6:$B$265,0),MATCH('SPC Backing (Hide)'!C$3,Demand!$E$5:$S$5,0))</f>
        <v>0</v>
      </c>
      <c r="D117" s="5">
        <f>INDEX(Demand!$E$6:$S$265,MATCH('SPC Backing (Hide)'!$B117,Demand!$B$6:$B$265,0),MATCH('SPC Backing (Hide)'!D$3,Demand!$E$5:$S$5,0))</f>
        <v>0</v>
      </c>
      <c r="E117" s="5">
        <f>INDEX(Demand!$E$6:$S$265,MATCH('SPC Backing (Hide)'!$B117,Demand!$B$6:$B$265,0),MATCH('SPC Backing (Hide)'!E$3,Demand!$E$5:$S$5,0))</f>
        <v>0</v>
      </c>
      <c r="F117" s="5">
        <f>INDEX(Demand!$E$6:$S$265,MATCH('SPC Backing (Hide)'!$B117,Demand!$B$6:$B$265,0),MATCH('SPC Backing (Hide)'!F$3,Demand!$E$5:$S$5,0))</f>
        <v>0</v>
      </c>
      <c r="G117" s="5">
        <f>INDEX(Demand!$E$6:$S$265,MATCH('SPC Backing (Hide)'!$B117,Demand!$B$6:$B$265,0),MATCH('SPC Backing (Hide)'!G$3,Demand!$E$5:$S$5,0))</f>
        <v>0</v>
      </c>
      <c r="H117" s="5">
        <f>INDEX(Demand!$E$6:$S$265,MATCH('SPC Backing (Hide)'!$B117,Demand!$B$6:$B$265,0),MATCH('SPC Backing (Hide)'!H$3,Demand!$E$5:$S$5,0))</f>
        <v>0</v>
      </c>
      <c r="I117" s="5">
        <f>INDEX(Demand!$E$6:$S$265,MATCH('SPC Backing (Hide)'!$B117,Demand!$B$6:$B$265,0),MATCH('SPC Backing (Hide)'!I$3,Demand!$E$5:$S$5,0))</f>
        <v>0</v>
      </c>
      <c r="J117" s="5">
        <f>INDEX(Demand!$E$6:$S$265,MATCH('SPC Backing (Hide)'!$B117,Demand!$B$6:$B$265,0),MATCH('SPC Backing (Hide)'!J$3,Demand!$E$5:$S$5,0))</f>
        <v>0</v>
      </c>
      <c r="K117" s="5">
        <f>INDEX(Demand!$E$6:$S$265,MATCH('SPC Backing (Hide)'!$B117,Demand!$B$6:$B$265,0),MATCH('SPC Backing (Hide)'!K$3,Demand!$E$5:$S$5,0))</f>
        <v>0</v>
      </c>
      <c r="L117" s="5">
        <f>INDEX(Demand!$E$6:$S$265,MATCH('SPC Backing (Hide)'!$B117,Demand!$B$6:$B$265,0),MATCH('SPC Backing (Hide)'!L$3,Demand!$E$5:$S$5,0))</f>
        <v>0</v>
      </c>
      <c r="M117" s="5">
        <f>INDEX(Demand!$E$6:$S$265,MATCH('SPC Backing (Hide)'!$B117,Demand!$B$6:$B$265,0),MATCH('SPC Backing (Hide)'!M$3,Demand!$E$5:$S$5,0))</f>
        <v>0</v>
      </c>
      <c r="N117" s="5">
        <f>INDEX(Demand!$E$6:$S$265,MATCH('SPC Backing (Hide)'!$B117,Demand!$B$6:$B$265,0),MATCH('SPC Backing (Hide)'!N$3,Demand!$E$5:$S$5,0))</f>
        <v>0</v>
      </c>
      <c r="O117" s="5">
        <f>INDEX(Demand!$E$6:$S$265,MATCH('SPC Backing (Hide)'!$B117,Demand!$B$6:$B$265,0),MATCH('SPC Backing (Hide)'!O$3,Demand!$E$5:$S$5,0))</f>
        <v>0</v>
      </c>
      <c r="P117" s="5">
        <f>INDEX(Demand!$E$6:$S$265,MATCH('SPC Backing (Hide)'!$B117,Demand!$B$6:$B$265,0),MATCH('SPC Backing (Hide)'!P$3,Demand!$E$5:$S$5,0))</f>
        <v>0</v>
      </c>
      <c r="Q117" s="6">
        <f>INDEX(Demand!$E$6:$S$265,MATCH('SPC Backing (Hide)'!$B117,Demand!$B$6:$B$265,0),MATCH('SPC Backing (Hide)'!Q$3,Demand!$E$5:$S$5,0))</f>
        <v>0</v>
      </c>
      <c r="R117">
        <f>IF(SPC!$B$11="Yes",IF(ROW(A114)&gt;=Demand!$A$5-52,1,0),IF(AND(B117&gt;=SPC!$B$12,B117&lt;SPC!$B$13),1,0))</f>
        <v>1</v>
      </c>
      <c r="S117" cm="1">
        <f t="array" ref="S117">INDEX($C$4:$Q$263,ROW(A114),MATCH($T$2,$C$3:$Q$3,0))</f>
        <v>0</v>
      </c>
      <c r="T117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17" cm="1">
        <f t="array" ref="U117">ABS(INDEX($C$4:$Q$263,ROW(A114),MATCH($T$2,$C$3:$Q$3,0))-INDEX($C$4:$Q$263,ROW(A113),MATCH($T$2,$C$3:$Q$3,0)))</f>
        <v>0</v>
      </c>
      <c r="V117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17">
        <f t="shared" si="15"/>
        <v>40.813595610865789</v>
      </c>
      <c r="X117">
        <f t="shared" si="16"/>
        <v>108.80449618627055</v>
      </c>
      <c r="Y117">
        <f t="shared" si="17"/>
        <v>149.61809179713634</v>
      </c>
      <c r="Z117">
        <f t="shared" si="18"/>
        <v>190.43168740800212</v>
      </c>
      <c r="AA117">
        <f t="shared" si="19"/>
        <v>272.05887862973373</v>
      </c>
      <c r="AB117">
        <f t="shared" si="20"/>
        <v>312.8724742405995</v>
      </c>
      <c r="AC117">
        <f t="shared" si="21"/>
        <v>353.68606985146528</v>
      </c>
      <c r="AD117">
        <f t="shared" si="22"/>
        <v>0</v>
      </c>
      <c r="AE117">
        <f t="shared" si="29"/>
        <v>-2</v>
      </c>
      <c r="AF117">
        <f t="shared" si="23"/>
        <v>0</v>
      </c>
      <c r="AG117">
        <f t="shared" si="24"/>
        <v>0</v>
      </c>
      <c r="AH117" t="e">
        <f t="shared" si="25"/>
        <v>#N/A</v>
      </c>
      <c r="AI117">
        <f t="shared" si="26"/>
        <v>-1</v>
      </c>
      <c r="AJ117">
        <f t="shared" si="27"/>
        <v>0</v>
      </c>
      <c r="AK117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17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17">
        <f t="shared" si="28"/>
        <v>14.699999999999989</v>
      </c>
    </row>
    <row r="118" spans="2:39" x14ac:dyDescent="0.35">
      <c r="B118" s="12" t="str">
        <f>Demand!B120</f>
        <v/>
      </c>
      <c r="C118" s="7">
        <f>INDEX(Demand!$E$6:$S$265,MATCH('SPC Backing (Hide)'!$B118,Demand!$B$6:$B$265,0),MATCH('SPC Backing (Hide)'!C$3,Demand!$E$5:$S$5,0))</f>
        <v>0</v>
      </c>
      <c r="D118" s="5">
        <f>INDEX(Demand!$E$6:$S$265,MATCH('SPC Backing (Hide)'!$B118,Demand!$B$6:$B$265,0),MATCH('SPC Backing (Hide)'!D$3,Demand!$E$5:$S$5,0))</f>
        <v>0</v>
      </c>
      <c r="E118" s="5">
        <f>INDEX(Demand!$E$6:$S$265,MATCH('SPC Backing (Hide)'!$B118,Demand!$B$6:$B$265,0),MATCH('SPC Backing (Hide)'!E$3,Demand!$E$5:$S$5,0))</f>
        <v>0</v>
      </c>
      <c r="F118" s="5">
        <f>INDEX(Demand!$E$6:$S$265,MATCH('SPC Backing (Hide)'!$B118,Demand!$B$6:$B$265,0),MATCH('SPC Backing (Hide)'!F$3,Demand!$E$5:$S$5,0))</f>
        <v>0</v>
      </c>
      <c r="G118" s="5">
        <f>INDEX(Demand!$E$6:$S$265,MATCH('SPC Backing (Hide)'!$B118,Demand!$B$6:$B$265,0),MATCH('SPC Backing (Hide)'!G$3,Demand!$E$5:$S$5,0))</f>
        <v>0</v>
      </c>
      <c r="H118" s="5">
        <f>INDEX(Demand!$E$6:$S$265,MATCH('SPC Backing (Hide)'!$B118,Demand!$B$6:$B$265,0),MATCH('SPC Backing (Hide)'!H$3,Demand!$E$5:$S$5,0))</f>
        <v>0</v>
      </c>
      <c r="I118" s="5">
        <f>INDEX(Demand!$E$6:$S$265,MATCH('SPC Backing (Hide)'!$B118,Demand!$B$6:$B$265,0),MATCH('SPC Backing (Hide)'!I$3,Demand!$E$5:$S$5,0))</f>
        <v>0</v>
      </c>
      <c r="J118" s="5">
        <f>INDEX(Demand!$E$6:$S$265,MATCH('SPC Backing (Hide)'!$B118,Demand!$B$6:$B$265,0),MATCH('SPC Backing (Hide)'!J$3,Demand!$E$5:$S$5,0))</f>
        <v>0</v>
      </c>
      <c r="K118" s="5">
        <f>INDEX(Demand!$E$6:$S$265,MATCH('SPC Backing (Hide)'!$B118,Demand!$B$6:$B$265,0),MATCH('SPC Backing (Hide)'!K$3,Demand!$E$5:$S$5,0))</f>
        <v>0</v>
      </c>
      <c r="L118" s="5">
        <f>INDEX(Demand!$E$6:$S$265,MATCH('SPC Backing (Hide)'!$B118,Demand!$B$6:$B$265,0),MATCH('SPC Backing (Hide)'!L$3,Demand!$E$5:$S$5,0))</f>
        <v>0</v>
      </c>
      <c r="M118" s="5">
        <f>INDEX(Demand!$E$6:$S$265,MATCH('SPC Backing (Hide)'!$B118,Demand!$B$6:$B$265,0),MATCH('SPC Backing (Hide)'!M$3,Demand!$E$5:$S$5,0))</f>
        <v>0</v>
      </c>
      <c r="N118" s="5">
        <f>INDEX(Demand!$E$6:$S$265,MATCH('SPC Backing (Hide)'!$B118,Demand!$B$6:$B$265,0),MATCH('SPC Backing (Hide)'!N$3,Demand!$E$5:$S$5,0))</f>
        <v>0</v>
      </c>
      <c r="O118" s="5">
        <f>INDEX(Demand!$E$6:$S$265,MATCH('SPC Backing (Hide)'!$B118,Demand!$B$6:$B$265,0),MATCH('SPC Backing (Hide)'!O$3,Demand!$E$5:$S$5,0))</f>
        <v>0</v>
      </c>
      <c r="P118" s="5">
        <f>INDEX(Demand!$E$6:$S$265,MATCH('SPC Backing (Hide)'!$B118,Demand!$B$6:$B$265,0),MATCH('SPC Backing (Hide)'!P$3,Demand!$E$5:$S$5,0))</f>
        <v>0</v>
      </c>
      <c r="Q118" s="6">
        <f>INDEX(Demand!$E$6:$S$265,MATCH('SPC Backing (Hide)'!$B118,Demand!$B$6:$B$265,0),MATCH('SPC Backing (Hide)'!Q$3,Demand!$E$5:$S$5,0))</f>
        <v>0</v>
      </c>
      <c r="R118">
        <f>IF(SPC!$B$11="Yes",IF(ROW(A115)&gt;=Demand!$A$5-52,1,0),IF(AND(B118&gt;=SPC!$B$12,B118&lt;SPC!$B$13),1,0))</f>
        <v>1</v>
      </c>
      <c r="S118" cm="1">
        <f t="array" ref="S118">INDEX($C$4:$Q$263,ROW(A115),MATCH($T$2,$C$3:$Q$3,0))</f>
        <v>0</v>
      </c>
      <c r="T118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18" cm="1">
        <f t="array" ref="U118">ABS(INDEX($C$4:$Q$263,ROW(A115),MATCH($T$2,$C$3:$Q$3,0))-INDEX($C$4:$Q$263,ROW(A114),MATCH($T$2,$C$3:$Q$3,0)))</f>
        <v>0</v>
      </c>
      <c r="V118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18">
        <f t="shared" si="15"/>
        <v>40.813595610865789</v>
      </c>
      <c r="X118">
        <f t="shared" si="16"/>
        <v>108.80449618627055</v>
      </c>
      <c r="Y118">
        <f t="shared" si="17"/>
        <v>149.61809179713634</v>
      </c>
      <c r="Z118">
        <f t="shared" si="18"/>
        <v>190.43168740800212</v>
      </c>
      <c r="AA118">
        <f t="shared" si="19"/>
        <v>272.05887862973373</v>
      </c>
      <c r="AB118">
        <f t="shared" si="20"/>
        <v>312.8724742405995</v>
      </c>
      <c r="AC118">
        <f t="shared" si="21"/>
        <v>353.68606985146528</v>
      </c>
      <c r="AD118">
        <f t="shared" si="22"/>
        <v>0</v>
      </c>
      <c r="AE118">
        <f t="shared" si="29"/>
        <v>-2</v>
      </c>
      <c r="AF118">
        <f t="shared" si="23"/>
        <v>0</v>
      </c>
      <c r="AG118">
        <f t="shared" si="24"/>
        <v>0</v>
      </c>
      <c r="AH118" t="e">
        <f t="shared" si="25"/>
        <v>#N/A</v>
      </c>
      <c r="AI118">
        <f t="shared" si="26"/>
        <v>-1</v>
      </c>
      <c r="AJ118">
        <f t="shared" si="27"/>
        <v>0</v>
      </c>
      <c r="AK118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18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18">
        <f t="shared" si="28"/>
        <v>14.699999999999989</v>
      </c>
    </row>
    <row r="119" spans="2:39" x14ac:dyDescent="0.35">
      <c r="B119" s="12" t="str">
        <f>Demand!B121</f>
        <v/>
      </c>
      <c r="C119" s="7">
        <f>INDEX(Demand!$E$6:$S$265,MATCH('SPC Backing (Hide)'!$B119,Demand!$B$6:$B$265,0),MATCH('SPC Backing (Hide)'!C$3,Demand!$E$5:$S$5,0))</f>
        <v>0</v>
      </c>
      <c r="D119" s="5">
        <f>INDEX(Demand!$E$6:$S$265,MATCH('SPC Backing (Hide)'!$B119,Demand!$B$6:$B$265,0),MATCH('SPC Backing (Hide)'!D$3,Demand!$E$5:$S$5,0))</f>
        <v>0</v>
      </c>
      <c r="E119" s="5">
        <f>INDEX(Demand!$E$6:$S$265,MATCH('SPC Backing (Hide)'!$B119,Demand!$B$6:$B$265,0),MATCH('SPC Backing (Hide)'!E$3,Demand!$E$5:$S$5,0))</f>
        <v>0</v>
      </c>
      <c r="F119" s="5">
        <f>INDEX(Demand!$E$6:$S$265,MATCH('SPC Backing (Hide)'!$B119,Demand!$B$6:$B$265,0),MATCH('SPC Backing (Hide)'!F$3,Demand!$E$5:$S$5,0))</f>
        <v>0</v>
      </c>
      <c r="G119" s="5">
        <f>INDEX(Demand!$E$6:$S$265,MATCH('SPC Backing (Hide)'!$B119,Demand!$B$6:$B$265,0),MATCH('SPC Backing (Hide)'!G$3,Demand!$E$5:$S$5,0))</f>
        <v>0</v>
      </c>
      <c r="H119" s="5">
        <f>INDEX(Demand!$E$6:$S$265,MATCH('SPC Backing (Hide)'!$B119,Demand!$B$6:$B$265,0),MATCH('SPC Backing (Hide)'!H$3,Demand!$E$5:$S$5,0))</f>
        <v>0</v>
      </c>
      <c r="I119" s="5">
        <f>INDEX(Demand!$E$6:$S$265,MATCH('SPC Backing (Hide)'!$B119,Demand!$B$6:$B$265,0),MATCH('SPC Backing (Hide)'!I$3,Demand!$E$5:$S$5,0))</f>
        <v>0</v>
      </c>
      <c r="J119" s="5">
        <f>INDEX(Demand!$E$6:$S$265,MATCH('SPC Backing (Hide)'!$B119,Demand!$B$6:$B$265,0),MATCH('SPC Backing (Hide)'!J$3,Demand!$E$5:$S$5,0))</f>
        <v>0</v>
      </c>
      <c r="K119" s="5">
        <f>INDEX(Demand!$E$6:$S$265,MATCH('SPC Backing (Hide)'!$B119,Demand!$B$6:$B$265,0),MATCH('SPC Backing (Hide)'!K$3,Demand!$E$5:$S$5,0))</f>
        <v>0</v>
      </c>
      <c r="L119" s="5">
        <f>INDEX(Demand!$E$6:$S$265,MATCH('SPC Backing (Hide)'!$B119,Demand!$B$6:$B$265,0),MATCH('SPC Backing (Hide)'!L$3,Demand!$E$5:$S$5,0))</f>
        <v>0</v>
      </c>
      <c r="M119" s="5">
        <f>INDEX(Demand!$E$6:$S$265,MATCH('SPC Backing (Hide)'!$B119,Demand!$B$6:$B$265,0),MATCH('SPC Backing (Hide)'!M$3,Demand!$E$5:$S$5,0))</f>
        <v>0</v>
      </c>
      <c r="N119" s="5">
        <f>INDEX(Demand!$E$6:$S$265,MATCH('SPC Backing (Hide)'!$B119,Demand!$B$6:$B$265,0),MATCH('SPC Backing (Hide)'!N$3,Demand!$E$5:$S$5,0))</f>
        <v>0</v>
      </c>
      <c r="O119" s="5">
        <f>INDEX(Demand!$E$6:$S$265,MATCH('SPC Backing (Hide)'!$B119,Demand!$B$6:$B$265,0),MATCH('SPC Backing (Hide)'!O$3,Demand!$E$5:$S$5,0))</f>
        <v>0</v>
      </c>
      <c r="P119" s="5">
        <f>INDEX(Demand!$E$6:$S$265,MATCH('SPC Backing (Hide)'!$B119,Demand!$B$6:$B$265,0),MATCH('SPC Backing (Hide)'!P$3,Demand!$E$5:$S$5,0))</f>
        <v>0</v>
      </c>
      <c r="Q119" s="6">
        <f>INDEX(Demand!$E$6:$S$265,MATCH('SPC Backing (Hide)'!$B119,Demand!$B$6:$B$265,0),MATCH('SPC Backing (Hide)'!Q$3,Demand!$E$5:$S$5,0))</f>
        <v>0</v>
      </c>
      <c r="R119">
        <f>IF(SPC!$B$11="Yes",IF(ROW(A116)&gt;=Demand!$A$5-52,1,0),IF(AND(B119&gt;=SPC!$B$12,B119&lt;SPC!$B$13),1,0))</f>
        <v>1</v>
      </c>
      <c r="S119" cm="1">
        <f t="array" ref="S119">INDEX($C$4:$Q$263,ROW(A116),MATCH($T$2,$C$3:$Q$3,0))</f>
        <v>0</v>
      </c>
      <c r="T119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19" cm="1">
        <f t="array" ref="U119">ABS(INDEX($C$4:$Q$263,ROW(A116),MATCH($T$2,$C$3:$Q$3,0))-INDEX($C$4:$Q$263,ROW(A115),MATCH($T$2,$C$3:$Q$3,0)))</f>
        <v>0</v>
      </c>
      <c r="V119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19">
        <f t="shared" si="15"/>
        <v>40.813595610865789</v>
      </c>
      <c r="X119">
        <f t="shared" si="16"/>
        <v>108.80449618627055</v>
      </c>
      <c r="Y119">
        <f t="shared" si="17"/>
        <v>149.61809179713634</v>
      </c>
      <c r="Z119">
        <f t="shared" si="18"/>
        <v>190.43168740800212</v>
      </c>
      <c r="AA119">
        <f t="shared" si="19"/>
        <v>272.05887862973373</v>
      </c>
      <c r="AB119">
        <f t="shared" si="20"/>
        <v>312.8724742405995</v>
      </c>
      <c r="AC119">
        <f t="shared" si="21"/>
        <v>353.68606985146528</v>
      </c>
      <c r="AD119">
        <f t="shared" si="22"/>
        <v>0</v>
      </c>
      <c r="AE119">
        <f t="shared" si="29"/>
        <v>-2</v>
      </c>
      <c r="AF119">
        <f t="shared" si="23"/>
        <v>0</v>
      </c>
      <c r="AG119">
        <f t="shared" si="24"/>
        <v>0</v>
      </c>
      <c r="AH119" t="e">
        <f t="shared" si="25"/>
        <v>#N/A</v>
      </c>
      <c r="AI119">
        <f t="shared" si="26"/>
        <v>-1</v>
      </c>
      <c r="AJ119">
        <f t="shared" si="27"/>
        <v>0</v>
      </c>
      <c r="AK119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19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19">
        <f t="shared" si="28"/>
        <v>14.699999999999989</v>
      </c>
    </row>
    <row r="120" spans="2:39" x14ac:dyDescent="0.35">
      <c r="B120" s="12" t="str">
        <f>Demand!B122</f>
        <v/>
      </c>
      <c r="C120" s="7">
        <f>INDEX(Demand!$E$6:$S$265,MATCH('SPC Backing (Hide)'!$B120,Demand!$B$6:$B$265,0),MATCH('SPC Backing (Hide)'!C$3,Demand!$E$5:$S$5,0))</f>
        <v>0</v>
      </c>
      <c r="D120" s="5">
        <f>INDEX(Demand!$E$6:$S$265,MATCH('SPC Backing (Hide)'!$B120,Demand!$B$6:$B$265,0),MATCH('SPC Backing (Hide)'!D$3,Demand!$E$5:$S$5,0))</f>
        <v>0</v>
      </c>
      <c r="E120" s="5">
        <f>INDEX(Demand!$E$6:$S$265,MATCH('SPC Backing (Hide)'!$B120,Demand!$B$6:$B$265,0),MATCH('SPC Backing (Hide)'!E$3,Demand!$E$5:$S$5,0))</f>
        <v>0</v>
      </c>
      <c r="F120" s="5">
        <f>INDEX(Demand!$E$6:$S$265,MATCH('SPC Backing (Hide)'!$B120,Demand!$B$6:$B$265,0),MATCH('SPC Backing (Hide)'!F$3,Demand!$E$5:$S$5,0))</f>
        <v>0</v>
      </c>
      <c r="G120" s="5">
        <f>INDEX(Demand!$E$6:$S$265,MATCH('SPC Backing (Hide)'!$B120,Demand!$B$6:$B$265,0),MATCH('SPC Backing (Hide)'!G$3,Demand!$E$5:$S$5,0))</f>
        <v>0</v>
      </c>
      <c r="H120" s="5">
        <f>INDEX(Demand!$E$6:$S$265,MATCH('SPC Backing (Hide)'!$B120,Demand!$B$6:$B$265,0),MATCH('SPC Backing (Hide)'!H$3,Demand!$E$5:$S$5,0))</f>
        <v>0</v>
      </c>
      <c r="I120" s="5">
        <f>INDEX(Demand!$E$6:$S$265,MATCH('SPC Backing (Hide)'!$B120,Demand!$B$6:$B$265,0),MATCH('SPC Backing (Hide)'!I$3,Demand!$E$5:$S$5,0))</f>
        <v>0</v>
      </c>
      <c r="J120" s="5">
        <f>INDEX(Demand!$E$6:$S$265,MATCH('SPC Backing (Hide)'!$B120,Demand!$B$6:$B$265,0),MATCH('SPC Backing (Hide)'!J$3,Demand!$E$5:$S$5,0))</f>
        <v>0</v>
      </c>
      <c r="K120" s="5">
        <f>INDEX(Demand!$E$6:$S$265,MATCH('SPC Backing (Hide)'!$B120,Demand!$B$6:$B$265,0),MATCH('SPC Backing (Hide)'!K$3,Demand!$E$5:$S$5,0))</f>
        <v>0</v>
      </c>
      <c r="L120" s="5">
        <f>INDEX(Demand!$E$6:$S$265,MATCH('SPC Backing (Hide)'!$B120,Demand!$B$6:$B$265,0),MATCH('SPC Backing (Hide)'!L$3,Demand!$E$5:$S$5,0))</f>
        <v>0</v>
      </c>
      <c r="M120" s="5">
        <f>INDEX(Demand!$E$6:$S$265,MATCH('SPC Backing (Hide)'!$B120,Demand!$B$6:$B$265,0),MATCH('SPC Backing (Hide)'!M$3,Demand!$E$5:$S$5,0))</f>
        <v>0</v>
      </c>
      <c r="N120" s="5">
        <f>INDEX(Demand!$E$6:$S$265,MATCH('SPC Backing (Hide)'!$B120,Demand!$B$6:$B$265,0),MATCH('SPC Backing (Hide)'!N$3,Demand!$E$5:$S$5,0))</f>
        <v>0</v>
      </c>
      <c r="O120" s="5">
        <f>INDEX(Demand!$E$6:$S$265,MATCH('SPC Backing (Hide)'!$B120,Demand!$B$6:$B$265,0),MATCH('SPC Backing (Hide)'!O$3,Demand!$E$5:$S$5,0))</f>
        <v>0</v>
      </c>
      <c r="P120" s="5">
        <f>INDEX(Demand!$E$6:$S$265,MATCH('SPC Backing (Hide)'!$B120,Demand!$B$6:$B$265,0),MATCH('SPC Backing (Hide)'!P$3,Demand!$E$5:$S$5,0))</f>
        <v>0</v>
      </c>
      <c r="Q120" s="6">
        <f>INDEX(Demand!$E$6:$S$265,MATCH('SPC Backing (Hide)'!$B120,Demand!$B$6:$B$265,0),MATCH('SPC Backing (Hide)'!Q$3,Demand!$E$5:$S$5,0))</f>
        <v>0</v>
      </c>
      <c r="R120">
        <f>IF(SPC!$B$11="Yes",IF(ROW(A117)&gt;=Demand!$A$5-52,1,0),IF(AND(B120&gt;=SPC!$B$12,B120&lt;SPC!$B$13),1,0))</f>
        <v>1</v>
      </c>
      <c r="S120" cm="1">
        <f t="array" ref="S120">INDEX($C$4:$Q$263,ROW(A117),MATCH($T$2,$C$3:$Q$3,0))</f>
        <v>0</v>
      </c>
      <c r="T120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20" cm="1">
        <f t="array" ref="U120">ABS(INDEX($C$4:$Q$263,ROW(A117),MATCH($T$2,$C$3:$Q$3,0))-INDEX($C$4:$Q$263,ROW(A116),MATCH($T$2,$C$3:$Q$3,0)))</f>
        <v>0</v>
      </c>
      <c r="V120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20">
        <f t="shared" si="15"/>
        <v>40.813595610865789</v>
      </c>
      <c r="X120">
        <f t="shared" si="16"/>
        <v>108.80449618627055</v>
      </c>
      <c r="Y120">
        <f t="shared" si="17"/>
        <v>149.61809179713634</v>
      </c>
      <c r="Z120">
        <f t="shared" si="18"/>
        <v>190.43168740800212</v>
      </c>
      <c r="AA120">
        <f t="shared" si="19"/>
        <v>272.05887862973373</v>
      </c>
      <c r="AB120">
        <f t="shared" si="20"/>
        <v>312.8724742405995</v>
      </c>
      <c r="AC120">
        <f t="shared" si="21"/>
        <v>353.68606985146528</v>
      </c>
      <c r="AD120">
        <f t="shared" si="22"/>
        <v>0</v>
      </c>
      <c r="AE120">
        <f t="shared" si="29"/>
        <v>-2</v>
      </c>
      <c r="AF120">
        <f t="shared" si="23"/>
        <v>0</v>
      </c>
      <c r="AG120">
        <f t="shared" si="24"/>
        <v>0</v>
      </c>
      <c r="AH120" t="e">
        <f t="shared" si="25"/>
        <v>#N/A</v>
      </c>
      <c r="AI120">
        <f t="shared" si="26"/>
        <v>-1</v>
      </c>
      <c r="AJ120">
        <f t="shared" si="27"/>
        <v>0</v>
      </c>
      <c r="AK120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20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20">
        <f t="shared" si="28"/>
        <v>14.699999999999989</v>
      </c>
    </row>
    <row r="121" spans="2:39" x14ac:dyDescent="0.35">
      <c r="B121" s="12" t="str">
        <f>Demand!B123</f>
        <v/>
      </c>
      <c r="C121" s="7">
        <f>INDEX(Demand!$E$6:$S$265,MATCH('SPC Backing (Hide)'!$B121,Demand!$B$6:$B$265,0),MATCH('SPC Backing (Hide)'!C$3,Demand!$E$5:$S$5,0))</f>
        <v>0</v>
      </c>
      <c r="D121" s="5">
        <f>INDEX(Demand!$E$6:$S$265,MATCH('SPC Backing (Hide)'!$B121,Demand!$B$6:$B$265,0),MATCH('SPC Backing (Hide)'!D$3,Demand!$E$5:$S$5,0))</f>
        <v>0</v>
      </c>
      <c r="E121" s="5">
        <f>INDEX(Demand!$E$6:$S$265,MATCH('SPC Backing (Hide)'!$B121,Demand!$B$6:$B$265,0),MATCH('SPC Backing (Hide)'!E$3,Demand!$E$5:$S$5,0))</f>
        <v>0</v>
      </c>
      <c r="F121" s="5">
        <f>INDEX(Demand!$E$6:$S$265,MATCH('SPC Backing (Hide)'!$B121,Demand!$B$6:$B$265,0),MATCH('SPC Backing (Hide)'!F$3,Demand!$E$5:$S$5,0))</f>
        <v>0</v>
      </c>
      <c r="G121" s="5">
        <f>INDEX(Demand!$E$6:$S$265,MATCH('SPC Backing (Hide)'!$B121,Demand!$B$6:$B$265,0),MATCH('SPC Backing (Hide)'!G$3,Demand!$E$5:$S$5,0))</f>
        <v>0</v>
      </c>
      <c r="H121" s="5">
        <f>INDEX(Demand!$E$6:$S$265,MATCH('SPC Backing (Hide)'!$B121,Demand!$B$6:$B$265,0),MATCH('SPC Backing (Hide)'!H$3,Demand!$E$5:$S$5,0))</f>
        <v>0</v>
      </c>
      <c r="I121" s="5">
        <f>INDEX(Demand!$E$6:$S$265,MATCH('SPC Backing (Hide)'!$B121,Demand!$B$6:$B$265,0),MATCH('SPC Backing (Hide)'!I$3,Demand!$E$5:$S$5,0))</f>
        <v>0</v>
      </c>
      <c r="J121" s="5">
        <f>INDEX(Demand!$E$6:$S$265,MATCH('SPC Backing (Hide)'!$B121,Demand!$B$6:$B$265,0),MATCH('SPC Backing (Hide)'!J$3,Demand!$E$5:$S$5,0))</f>
        <v>0</v>
      </c>
      <c r="K121" s="5">
        <f>INDEX(Demand!$E$6:$S$265,MATCH('SPC Backing (Hide)'!$B121,Demand!$B$6:$B$265,0),MATCH('SPC Backing (Hide)'!K$3,Demand!$E$5:$S$5,0))</f>
        <v>0</v>
      </c>
      <c r="L121" s="5">
        <f>INDEX(Demand!$E$6:$S$265,MATCH('SPC Backing (Hide)'!$B121,Demand!$B$6:$B$265,0),MATCH('SPC Backing (Hide)'!L$3,Demand!$E$5:$S$5,0))</f>
        <v>0</v>
      </c>
      <c r="M121" s="5">
        <f>INDEX(Demand!$E$6:$S$265,MATCH('SPC Backing (Hide)'!$B121,Demand!$B$6:$B$265,0),MATCH('SPC Backing (Hide)'!M$3,Demand!$E$5:$S$5,0))</f>
        <v>0</v>
      </c>
      <c r="N121" s="5">
        <f>INDEX(Demand!$E$6:$S$265,MATCH('SPC Backing (Hide)'!$B121,Demand!$B$6:$B$265,0),MATCH('SPC Backing (Hide)'!N$3,Demand!$E$5:$S$5,0))</f>
        <v>0</v>
      </c>
      <c r="O121" s="5">
        <f>INDEX(Demand!$E$6:$S$265,MATCH('SPC Backing (Hide)'!$B121,Demand!$B$6:$B$265,0),MATCH('SPC Backing (Hide)'!O$3,Demand!$E$5:$S$5,0))</f>
        <v>0</v>
      </c>
      <c r="P121" s="5">
        <f>INDEX(Demand!$E$6:$S$265,MATCH('SPC Backing (Hide)'!$B121,Demand!$B$6:$B$265,0),MATCH('SPC Backing (Hide)'!P$3,Demand!$E$5:$S$5,0))</f>
        <v>0</v>
      </c>
      <c r="Q121" s="6">
        <f>INDEX(Demand!$E$6:$S$265,MATCH('SPC Backing (Hide)'!$B121,Demand!$B$6:$B$265,0),MATCH('SPC Backing (Hide)'!Q$3,Demand!$E$5:$S$5,0))</f>
        <v>0</v>
      </c>
      <c r="R121">
        <f>IF(SPC!$B$11="Yes",IF(ROW(A118)&gt;=Demand!$A$5-52,1,0),IF(AND(B121&gt;=SPC!$B$12,B121&lt;SPC!$B$13),1,0))</f>
        <v>1</v>
      </c>
      <c r="S121" cm="1">
        <f t="array" ref="S121">INDEX($C$4:$Q$263,ROW(A118),MATCH($T$2,$C$3:$Q$3,0))</f>
        <v>0</v>
      </c>
      <c r="T121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21" cm="1">
        <f t="array" ref="U121">ABS(INDEX($C$4:$Q$263,ROW(A118),MATCH($T$2,$C$3:$Q$3,0))-INDEX($C$4:$Q$263,ROW(A117),MATCH($T$2,$C$3:$Q$3,0)))</f>
        <v>0</v>
      </c>
      <c r="V121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21">
        <f t="shared" si="15"/>
        <v>40.813595610865789</v>
      </c>
      <c r="X121">
        <f t="shared" si="16"/>
        <v>108.80449618627055</v>
      </c>
      <c r="Y121">
        <f t="shared" si="17"/>
        <v>149.61809179713634</v>
      </c>
      <c r="Z121">
        <f t="shared" si="18"/>
        <v>190.43168740800212</v>
      </c>
      <c r="AA121">
        <f t="shared" si="19"/>
        <v>272.05887862973373</v>
      </c>
      <c r="AB121">
        <f t="shared" si="20"/>
        <v>312.8724742405995</v>
      </c>
      <c r="AC121">
        <f t="shared" si="21"/>
        <v>353.68606985146528</v>
      </c>
      <c r="AD121">
        <f t="shared" si="22"/>
        <v>0</v>
      </c>
      <c r="AE121">
        <f t="shared" si="29"/>
        <v>-2</v>
      </c>
      <c r="AF121">
        <f t="shared" si="23"/>
        <v>0</v>
      </c>
      <c r="AG121">
        <f t="shared" si="24"/>
        <v>0</v>
      </c>
      <c r="AH121" t="e">
        <f t="shared" si="25"/>
        <v>#N/A</v>
      </c>
      <c r="AI121">
        <f t="shared" si="26"/>
        <v>-1</v>
      </c>
      <c r="AJ121">
        <f t="shared" si="27"/>
        <v>0</v>
      </c>
      <c r="AK121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21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21">
        <f t="shared" si="28"/>
        <v>14.699999999999989</v>
      </c>
    </row>
    <row r="122" spans="2:39" x14ac:dyDescent="0.35">
      <c r="B122" s="12" t="str">
        <f>Demand!B124</f>
        <v/>
      </c>
      <c r="C122" s="7">
        <f>INDEX(Demand!$E$6:$S$265,MATCH('SPC Backing (Hide)'!$B122,Demand!$B$6:$B$265,0),MATCH('SPC Backing (Hide)'!C$3,Demand!$E$5:$S$5,0))</f>
        <v>0</v>
      </c>
      <c r="D122" s="5">
        <f>INDEX(Demand!$E$6:$S$265,MATCH('SPC Backing (Hide)'!$B122,Demand!$B$6:$B$265,0),MATCH('SPC Backing (Hide)'!D$3,Demand!$E$5:$S$5,0))</f>
        <v>0</v>
      </c>
      <c r="E122" s="5">
        <f>INDEX(Demand!$E$6:$S$265,MATCH('SPC Backing (Hide)'!$B122,Demand!$B$6:$B$265,0),MATCH('SPC Backing (Hide)'!E$3,Demand!$E$5:$S$5,0))</f>
        <v>0</v>
      </c>
      <c r="F122" s="5">
        <f>INDEX(Demand!$E$6:$S$265,MATCH('SPC Backing (Hide)'!$B122,Demand!$B$6:$B$265,0),MATCH('SPC Backing (Hide)'!F$3,Demand!$E$5:$S$5,0))</f>
        <v>0</v>
      </c>
      <c r="G122" s="5">
        <f>INDEX(Demand!$E$6:$S$265,MATCH('SPC Backing (Hide)'!$B122,Demand!$B$6:$B$265,0),MATCH('SPC Backing (Hide)'!G$3,Demand!$E$5:$S$5,0))</f>
        <v>0</v>
      </c>
      <c r="H122" s="5">
        <f>INDEX(Demand!$E$6:$S$265,MATCH('SPC Backing (Hide)'!$B122,Demand!$B$6:$B$265,0),MATCH('SPC Backing (Hide)'!H$3,Demand!$E$5:$S$5,0))</f>
        <v>0</v>
      </c>
      <c r="I122" s="5">
        <f>INDEX(Demand!$E$6:$S$265,MATCH('SPC Backing (Hide)'!$B122,Demand!$B$6:$B$265,0),MATCH('SPC Backing (Hide)'!I$3,Demand!$E$5:$S$5,0))</f>
        <v>0</v>
      </c>
      <c r="J122" s="5">
        <f>INDEX(Demand!$E$6:$S$265,MATCH('SPC Backing (Hide)'!$B122,Demand!$B$6:$B$265,0),MATCH('SPC Backing (Hide)'!J$3,Demand!$E$5:$S$5,0))</f>
        <v>0</v>
      </c>
      <c r="K122" s="5">
        <f>INDEX(Demand!$E$6:$S$265,MATCH('SPC Backing (Hide)'!$B122,Demand!$B$6:$B$265,0),MATCH('SPC Backing (Hide)'!K$3,Demand!$E$5:$S$5,0))</f>
        <v>0</v>
      </c>
      <c r="L122" s="5">
        <f>INDEX(Demand!$E$6:$S$265,MATCH('SPC Backing (Hide)'!$B122,Demand!$B$6:$B$265,0),MATCH('SPC Backing (Hide)'!L$3,Demand!$E$5:$S$5,0))</f>
        <v>0</v>
      </c>
      <c r="M122" s="5">
        <f>INDEX(Demand!$E$6:$S$265,MATCH('SPC Backing (Hide)'!$B122,Demand!$B$6:$B$265,0),MATCH('SPC Backing (Hide)'!M$3,Demand!$E$5:$S$5,0))</f>
        <v>0</v>
      </c>
      <c r="N122" s="5">
        <f>INDEX(Demand!$E$6:$S$265,MATCH('SPC Backing (Hide)'!$B122,Demand!$B$6:$B$265,0),MATCH('SPC Backing (Hide)'!N$3,Demand!$E$5:$S$5,0))</f>
        <v>0</v>
      </c>
      <c r="O122" s="5">
        <f>INDEX(Demand!$E$6:$S$265,MATCH('SPC Backing (Hide)'!$B122,Demand!$B$6:$B$265,0),MATCH('SPC Backing (Hide)'!O$3,Demand!$E$5:$S$5,0))</f>
        <v>0</v>
      </c>
      <c r="P122" s="5">
        <f>INDEX(Demand!$E$6:$S$265,MATCH('SPC Backing (Hide)'!$B122,Demand!$B$6:$B$265,0),MATCH('SPC Backing (Hide)'!P$3,Demand!$E$5:$S$5,0))</f>
        <v>0</v>
      </c>
      <c r="Q122" s="6">
        <f>INDEX(Demand!$E$6:$S$265,MATCH('SPC Backing (Hide)'!$B122,Demand!$B$6:$B$265,0),MATCH('SPC Backing (Hide)'!Q$3,Demand!$E$5:$S$5,0))</f>
        <v>0</v>
      </c>
      <c r="R122">
        <f>IF(SPC!$B$11="Yes",IF(ROW(A119)&gt;=Demand!$A$5-52,1,0),IF(AND(B122&gt;=SPC!$B$12,B122&lt;SPC!$B$13),1,0))</f>
        <v>1</v>
      </c>
      <c r="S122" cm="1">
        <f t="array" ref="S122">INDEX($C$4:$Q$263,ROW(A119),MATCH($T$2,$C$3:$Q$3,0))</f>
        <v>0</v>
      </c>
      <c r="T122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22" cm="1">
        <f t="array" ref="U122">ABS(INDEX($C$4:$Q$263,ROW(A119),MATCH($T$2,$C$3:$Q$3,0))-INDEX($C$4:$Q$263,ROW(A118),MATCH($T$2,$C$3:$Q$3,0)))</f>
        <v>0</v>
      </c>
      <c r="V122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22">
        <f t="shared" si="15"/>
        <v>40.813595610865789</v>
      </c>
      <c r="X122">
        <f t="shared" si="16"/>
        <v>108.80449618627055</v>
      </c>
      <c r="Y122">
        <f t="shared" si="17"/>
        <v>149.61809179713634</v>
      </c>
      <c r="Z122">
        <f t="shared" si="18"/>
        <v>190.43168740800212</v>
      </c>
      <c r="AA122">
        <f t="shared" si="19"/>
        <v>272.05887862973373</v>
      </c>
      <c r="AB122">
        <f t="shared" si="20"/>
        <v>312.8724742405995</v>
      </c>
      <c r="AC122">
        <f t="shared" si="21"/>
        <v>353.68606985146528</v>
      </c>
      <c r="AD122">
        <f t="shared" si="22"/>
        <v>0</v>
      </c>
      <c r="AE122">
        <f t="shared" si="29"/>
        <v>-2</v>
      </c>
      <c r="AF122">
        <f t="shared" si="23"/>
        <v>0</v>
      </c>
      <c r="AG122">
        <f t="shared" si="24"/>
        <v>0</v>
      </c>
      <c r="AH122" t="e">
        <f t="shared" si="25"/>
        <v>#N/A</v>
      </c>
      <c r="AI122">
        <f t="shared" si="26"/>
        <v>-1</v>
      </c>
      <c r="AJ122">
        <f t="shared" si="27"/>
        <v>0</v>
      </c>
      <c r="AK122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22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22">
        <f t="shared" si="28"/>
        <v>14.699999999999989</v>
      </c>
    </row>
    <row r="123" spans="2:39" x14ac:dyDescent="0.35">
      <c r="B123" s="12" t="str">
        <f>Demand!B125</f>
        <v/>
      </c>
      <c r="C123" s="7">
        <f>INDEX(Demand!$E$6:$S$265,MATCH('SPC Backing (Hide)'!$B123,Demand!$B$6:$B$265,0),MATCH('SPC Backing (Hide)'!C$3,Demand!$E$5:$S$5,0))</f>
        <v>0</v>
      </c>
      <c r="D123" s="5">
        <f>INDEX(Demand!$E$6:$S$265,MATCH('SPC Backing (Hide)'!$B123,Demand!$B$6:$B$265,0),MATCH('SPC Backing (Hide)'!D$3,Demand!$E$5:$S$5,0))</f>
        <v>0</v>
      </c>
      <c r="E123" s="5">
        <f>INDEX(Demand!$E$6:$S$265,MATCH('SPC Backing (Hide)'!$B123,Demand!$B$6:$B$265,0),MATCH('SPC Backing (Hide)'!E$3,Demand!$E$5:$S$5,0))</f>
        <v>0</v>
      </c>
      <c r="F123" s="5">
        <f>INDEX(Demand!$E$6:$S$265,MATCH('SPC Backing (Hide)'!$B123,Demand!$B$6:$B$265,0),MATCH('SPC Backing (Hide)'!F$3,Demand!$E$5:$S$5,0))</f>
        <v>0</v>
      </c>
      <c r="G123" s="5">
        <f>INDEX(Demand!$E$6:$S$265,MATCH('SPC Backing (Hide)'!$B123,Demand!$B$6:$B$265,0),MATCH('SPC Backing (Hide)'!G$3,Demand!$E$5:$S$5,0))</f>
        <v>0</v>
      </c>
      <c r="H123" s="5">
        <f>INDEX(Demand!$E$6:$S$265,MATCH('SPC Backing (Hide)'!$B123,Demand!$B$6:$B$265,0),MATCH('SPC Backing (Hide)'!H$3,Demand!$E$5:$S$5,0))</f>
        <v>0</v>
      </c>
      <c r="I123" s="5">
        <f>INDEX(Demand!$E$6:$S$265,MATCH('SPC Backing (Hide)'!$B123,Demand!$B$6:$B$265,0),MATCH('SPC Backing (Hide)'!I$3,Demand!$E$5:$S$5,0))</f>
        <v>0</v>
      </c>
      <c r="J123" s="5">
        <f>INDEX(Demand!$E$6:$S$265,MATCH('SPC Backing (Hide)'!$B123,Demand!$B$6:$B$265,0),MATCH('SPC Backing (Hide)'!J$3,Demand!$E$5:$S$5,0))</f>
        <v>0</v>
      </c>
      <c r="K123" s="5">
        <f>INDEX(Demand!$E$6:$S$265,MATCH('SPC Backing (Hide)'!$B123,Demand!$B$6:$B$265,0),MATCH('SPC Backing (Hide)'!K$3,Demand!$E$5:$S$5,0))</f>
        <v>0</v>
      </c>
      <c r="L123" s="5">
        <f>INDEX(Demand!$E$6:$S$265,MATCH('SPC Backing (Hide)'!$B123,Demand!$B$6:$B$265,0),MATCH('SPC Backing (Hide)'!L$3,Demand!$E$5:$S$5,0))</f>
        <v>0</v>
      </c>
      <c r="M123" s="5">
        <f>INDEX(Demand!$E$6:$S$265,MATCH('SPC Backing (Hide)'!$B123,Demand!$B$6:$B$265,0),MATCH('SPC Backing (Hide)'!M$3,Demand!$E$5:$S$5,0))</f>
        <v>0</v>
      </c>
      <c r="N123" s="5">
        <f>INDEX(Demand!$E$6:$S$265,MATCH('SPC Backing (Hide)'!$B123,Demand!$B$6:$B$265,0),MATCH('SPC Backing (Hide)'!N$3,Demand!$E$5:$S$5,0))</f>
        <v>0</v>
      </c>
      <c r="O123" s="5">
        <f>INDEX(Demand!$E$6:$S$265,MATCH('SPC Backing (Hide)'!$B123,Demand!$B$6:$B$265,0),MATCH('SPC Backing (Hide)'!O$3,Demand!$E$5:$S$5,0))</f>
        <v>0</v>
      </c>
      <c r="P123" s="5">
        <f>INDEX(Demand!$E$6:$S$265,MATCH('SPC Backing (Hide)'!$B123,Demand!$B$6:$B$265,0),MATCH('SPC Backing (Hide)'!P$3,Demand!$E$5:$S$5,0))</f>
        <v>0</v>
      </c>
      <c r="Q123" s="6">
        <f>INDEX(Demand!$E$6:$S$265,MATCH('SPC Backing (Hide)'!$B123,Demand!$B$6:$B$265,0),MATCH('SPC Backing (Hide)'!Q$3,Demand!$E$5:$S$5,0))</f>
        <v>0</v>
      </c>
      <c r="R123">
        <f>IF(SPC!$B$11="Yes",IF(ROW(A120)&gt;=Demand!$A$5-52,1,0),IF(AND(B123&gt;=SPC!$B$12,B123&lt;SPC!$B$13),1,0))</f>
        <v>1</v>
      </c>
      <c r="S123" cm="1">
        <f t="array" ref="S123">INDEX($C$4:$Q$263,ROW(A120),MATCH($T$2,$C$3:$Q$3,0))</f>
        <v>0</v>
      </c>
      <c r="T123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23" cm="1">
        <f t="array" ref="U123">ABS(INDEX($C$4:$Q$263,ROW(A120),MATCH($T$2,$C$3:$Q$3,0))-INDEX($C$4:$Q$263,ROW(A119),MATCH($T$2,$C$3:$Q$3,0)))</f>
        <v>0</v>
      </c>
      <c r="V123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23">
        <f t="shared" si="15"/>
        <v>40.813595610865789</v>
      </c>
      <c r="X123">
        <f t="shared" si="16"/>
        <v>108.80449618627055</v>
      </c>
      <c r="Y123">
        <f t="shared" si="17"/>
        <v>149.61809179713634</v>
      </c>
      <c r="Z123">
        <f t="shared" si="18"/>
        <v>190.43168740800212</v>
      </c>
      <c r="AA123">
        <f t="shared" si="19"/>
        <v>272.05887862973373</v>
      </c>
      <c r="AB123">
        <f t="shared" si="20"/>
        <v>312.8724742405995</v>
      </c>
      <c r="AC123">
        <f t="shared" si="21"/>
        <v>353.68606985146528</v>
      </c>
      <c r="AD123">
        <f t="shared" si="22"/>
        <v>0</v>
      </c>
      <c r="AE123">
        <f t="shared" si="29"/>
        <v>-2</v>
      </c>
      <c r="AF123">
        <f t="shared" si="23"/>
        <v>0</v>
      </c>
      <c r="AG123">
        <f t="shared" si="24"/>
        <v>0</v>
      </c>
      <c r="AH123" t="e">
        <f t="shared" si="25"/>
        <v>#N/A</v>
      </c>
      <c r="AI123">
        <f t="shared" si="26"/>
        <v>-1</v>
      </c>
      <c r="AJ123">
        <f t="shared" si="27"/>
        <v>0</v>
      </c>
      <c r="AK123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23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23">
        <f t="shared" si="28"/>
        <v>14.699999999999989</v>
      </c>
    </row>
    <row r="124" spans="2:39" x14ac:dyDescent="0.35">
      <c r="B124" s="12" t="str">
        <f>Demand!B126</f>
        <v/>
      </c>
      <c r="C124" s="7">
        <f>INDEX(Demand!$E$6:$S$265,MATCH('SPC Backing (Hide)'!$B124,Demand!$B$6:$B$265,0),MATCH('SPC Backing (Hide)'!C$3,Demand!$E$5:$S$5,0))</f>
        <v>0</v>
      </c>
      <c r="D124" s="5">
        <f>INDEX(Demand!$E$6:$S$265,MATCH('SPC Backing (Hide)'!$B124,Demand!$B$6:$B$265,0),MATCH('SPC Backing (Hide)'!D$3,Demand!$E$5:$S$5,0))</f>
        <v>0</v>
      </c>
      <c r="E124" s="5">
        <f>INDEX(Demand!$E$6:$S$265,MATCH('SPC Backing (Hide)'!$B124,Demand!$B$6:$B$265,0),MATCH('SPC Backing (Hide)'!E$3,Demand!$E$5:$S$5,0))</f>
        <v>0</v>
      </c>
      <c r="F124" s="5">
        <f>INDEX(Demand!$E$6:$S$265,MATCH('SPC Backing (Hide)'!$B124,Demand!$B$6:$B$265,0),MATCH('SPC Backing (Hide)'!F$3,Demand!$E$5:$S$5,0))</f>
        <v>0</v>
      </c>
      <c r="G124" s="5">
        <f>INDEX(Demand!$E$6:$S$265,MATCH('SPC Backing (Hide)'!$B124,Demand!$B$6:$B$265,0),MATCH('SPC Backing (Hide)'!G$3,Demand!$E$5:$S$5,0))</f>
        <v>0</v>
      </c>
      <c r="H124" s="5">
        <f>INDEX(Demand!$E$6:$S$265,MATCH('SPC Backing (Hide)'!$B124,Demand!$B$6:$B$265,0),MATCH('SPC Backing (Hide)'!H$3,Demand!$E$5:$S$5,0))</f>
        <v>0</v>
      </c>
      <c r="I124" s="5">
        <f>INDEX(Demand!$E$6:$S$265,MATCH('SPC Backing (Hide)'!$B124,Demand!$B$6:$B$265,0),MATCH('SPC Backing (Hide)'!I$3,Demand!$E$5:$S$5,0))</f>
        <v>0</v>
      </c>
      <c r="J124" s="5">
        <f>INDEX(Demand!$E$6:$S$265,MATCH('SPC Backing (Hide)'!$B124,Demand!$B$6:$B$265,0),MATCH('SPC Backing (Hide)'!J$3,Demand!$E$5:$S$5,0))</f>
        <v>0</v>
      </c>
      <c r="K124" s="5">
        <f>INDEX(Demand!$E$6:$S$265,MATCH('SPC Backing (Hide)'!$B124,Demand!$B$6:$B$265,0),MATCH('SPC Backing (Hide)'!K$3,Demand!$E$5:$S$5,0))</f>
        <v>0</v>
      </c>
      <c r="L124" s="5">
        <f>INDEX(Demand!$E$6:$S$265,MATCH('SPC Backing (Hide)'!$B124,Demand!$B$6:$B$265,0),MATCH('SPC Backing (Hide)'!L$3,Demand!$E$5:$S$5,0))</f>
        <v>0</v>
      </c>
      <c r="M124" s="5">
        <f>INDEX(Demand!$E$6:$S$265,MATCH('SPC Backing (Hide)'!$B124,Demand!$B$6:$B$265,0),MATCH('SPC Backing (Hide)'!M$3,Demand!$E$5:$S$5,0))</f>
        <v>0</v>
      </c>
      <c r="N124" s="5">
        <f>INDEX(Demand!$E$6:$S$265,MATCH('SPC Backing (Hide)'!$B124,Demand!$B$6:$B$265,0),MATCH('SPC Backing (Hide)'!N$3,Demand!$E$5:$S$5,0))</f>
        <v>0</v>
      </c>
      <c r="O124" s="5">
        <f>INDEX(Demand!$E$6:$S$265,MATCH('SPC Backing (Hide)'!$B124,Demand!$B$6:$B$265,0),MATCH('SPC Backing (Hide)'!O$3,Demand!$E$5:$S$5,0))</f>
        <v>0</v>
      </c>
      <c r="P124" s="5">
        <f>INDEX(Demand!$E$6:$S$265,MATCH('SPC Backing (Hide)'!$B124,Demand!$B$6:$B$265,0),MATCH('SPC Backing (Hide)'!P$3,Demand!$E$5:$S$5,0))</f>
        <v>0</v>
      </c>
      <c r="Q124" s="6">
        <f>INDEX(Demand!$E$6:$S$265,MATCH('SPC Backing (Hide)'!$B124,Demand!$B$6:$B$265,0),MATCH('SPC Backing (Hide)'!Q$3,Demand!$E$5:$S$5,0))</f>
        <v>0</v>
      </c>
      <c r="R124">
        <f>IF(SPC!$B$11="Yes",IF(ROW(A121)&gt;=Demand!$A$5-52,1,0),IF(AND(B124&gt;=SPC!$B$12,B124&lt;SPC!$B$13),1,0))</f>
        <v>1</v>
      </c>
      <c r="S124" cm="1">
        <f t="array" ref="S124">INDEX($C$4:$Q$263,ROW(A121),MATCH($T$2,$C$3:$Q$3,0))</f>
        <v>0</v>
      </c>
      <c r="T124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24" cm="1">
        <f t="array" ref="U124">ABS(INDEX($C$4:$Q$263,ROW(A121),MATCH($T$2,$C$3:$Q$3,0))-INDEX($C$4:$Q$263,ROW(A120),MATCH($T$2,$C$3:$Q$3,0)))</f>
        <v>0</v>
      </c>
      <c r="V124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24">
        <f t="shared" si="15"/>
        <v>40.813595610865789</v>
      </c>
      <c r="X124">
        <f t="shared" si="16"/>
        <v>108.80449618627055</v>
      </c>
      <c r="Y124">
        <f t="shared" si="17"/>
        <v>149.61809179713634</v>
      </c>
      <c r="Z124">
        <f t="shared" si="18"/>
        <v>190.43168740800212</v>
      </c>
      <c r="AA124">
        <f t="shared" si="19"/>
        <v>272.05887862973373</v>
      </c>
      <c r="AB124">
        <f t="shared" si="20"/>
        <v>312.8724742405995</v>
      </c>
      <c r="AC124">
        <f t="shared" si="21"/>
        <v>353.68606985146528</v>
      </c>
      <c r="AD124">
        <f t="shared" si="22"/>
        <v>0</v>
      </c>
      <c r="AE124">
        <f t="shared" si="29"/>
        <v>-2</v>
      </c>
      <c r="AF124">
        <f t="shared" si="23"/>
        <v>0</v>
      </c>
      <c r="AG124">
        <f t="shared" si="24"/>
        <v>0</v>
      </c>
      <c r="AH124" t="e">
        <f t="shared" si="25"/>
        <v>#N/A</v>
      </c>
      <c r="AI124">
        <f t="shared" si="26"/>
        <v>-1</v>
      </c>
      <c r="AJ124">
        <f t="shared" si="27"/>
        <v>0</v>
      </c>
      <c r="AK124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24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24">
        <f t="shared" si="28"/>
        <v>14.699999999999989</v>
      </c>
    </row>
    <row r="125" spans="2:39" x14ac:dyDescent="0.35">
      <c r="B125" s="12" t="str">
        <f>Demand!B127</f>
        <v/>
      </c>
      <c r="C125" s="7">
        <f>INDEX(Demand!$E$6:$S$265,MATCH('SPC Backing (Hide)'!$B125,Demand!$B$6:$B$265,0),MATCH('SPC Backing (Hide)'!C$3,Demand!$E$5:$S$5,0))</f>
        <v>0</v>
      </c>
      <c r="D125" s="5">
        <f>INDEX(Demand!$E$6:$S$265,MATCH('SPC Backing (Hide)'!$B125,Demand!$B$6:$B$265,0),MATCH('SPC Backing (Hide)'!D$3,Demand!$E$5:$S$5,0))</f>
        <v>0</v>
      </c>
      <c r="E125" s="5">
        <f>INDEX(Demand!$E$6:$S$265,MATCH('SPC Backing (Hide)'!$B125,Demand!$B$6:$B$265,0),MATCH('SPC Backing (Hide)'!E$3,Demand!$E$5:$S$5,0))</f>
        <v>0</v>
      </c>
      <c r="F125" s="5">
        <f>INDEX(Demand!$E$6:$S$265,MATCH('SPC Backing (Hide)'!$B125,Demand!$B$6:$B$265,0),MATCH('SPC Backing (Hide)'!F$3,Demand!$E$5:$S$5,0))</f>
        <v>0</v>
      </c>
      <c r="G125" s="5">
        <f>INDEX(Demand!$E$6:$S$265,MATCH('SPC Backing (Hide)'!$B125,Demand!$B$6:$B$265,0),MATCH('SPC Backing (Hide)'!G$3,Demand!$E$5:$S$5,0))</f>
        <v>0</v>
      </c>
      <c r="H125" s="5">
        <f>INDEX(Demand!$E$6:$S$265,MATCH('SPC Backing (Hide)'!$B125,Demand!$B$6:$B$265,0),MATCH('SPC Backing (Hide)'!H$3,Demand!$E$5:$S$5,0))</f>
        <v>0</v>
      </c>
      <c r="I125" s="5">
        <f>INDEX(Demand!$E$6:$S$265,MATCH('SPC Backing (Hide)'!$B125,Demand!$B$6:$B$265,0),MATCH('SPC Backing (Hide)'!I$3,Demand!$E$5:$S$5,0))</f>
        <v>0</v>
      </c>
      <c r="J125" s="5">
        <f>INDEX(Demand!$E$6:$S$265,MATCH('SPC Backing (Hide)'!$B125,Demand!$B$6:$B$265,0),MATCH('SPC Backing (Hide)'!J$3,Demand!$E$5:$S$5,0))</f>
        <v>0</v>
      </c>
      <c r="K125" s="5">
        <f>INDEX(Demand!$E$6:$S$265,MATCH('SPC Backing (Hide)'!$B125,Demand!$B$6:$B$265,0),MATCH('SPC Backing (Hide)'!K$3,Demand!$E$5:$S$5,0))</f>
        <v>0</v>
      </c>
      <c r="L125" s="5">
        <f>INDEX(Demand!$E$6:$S$265,MATCH('SPC Backing (Hide)'!$B125,Demand!$B$6:$B$265,0),MATCH('SPC Backing (Hide)'!L$3,Demand!$E$5:$S$5,0))</f>
        <v>0</v>
      </c>
      <c r="M125" s="5">
        <f>INDEX(Demand!$E$6:$S$265,MATCH('SPC Backing (Hide)'!$B125,Demand!$B$6:$B$265,0),MATCH('SPC Backing (Hide)'!M$3,Demand!$E$5:$S$5,0))</f>
        <v>0</v>
      </c>
      <c r="N125" s="5">
        <f>INDEX(Demand!$E$6:$S$265,MATCH('SPC Backing (Hide)'!$B125,Demand!$B$6:$B$265,0),MATCH('SPC Backing (Hide)'!N$3,Demand!$E$5:$S$5,0))</f>
        <v>0</v>
      </c>
      <c r="O125" s="5">
        <f>INDEX(Demand!$E$6:$S$265,MATCH('SPC Backing (Hide)'!$B125,Demand!$B$6:$B$265,0),MATCH('SPC Backing (Hide)'!O$3,Demand!$E$5:$S$5,0))</f>
        <v>0</v>
      </c>
      <c r="P125" s="5">
        <f>INDEX(Demand!$E$6:$S$265,MATCH('SPC Backing (Hide)'!$B125,Demand!$B$6:$B$265,0),MATCH('SPC Backing (Hide)'!P$3,Demand!$E$5:$S$5,0))</f>
        <v>0</v>
      </c>
      <c r="Q125" s="6">
        <f>INDEX(Demand!$E$6:$S$265,MATCH('SPC Backing (Hide)'!$B125,Demand!$B$6:$B$265,0),MATCH('SPC Backing (Hide)'!Q$3,Demand!$E$5:$S$5,0))</f>
        <v>0</v>
      </c>
      <c r="R125">
        <f>IF(SPC!$B$11="Yes",IF(ROW(A122)&gt;=Demand!$A$5-52,1,0),IF(AND(B125&gt;=SPC!$B$12,B125&lt;SPC!$B$13),1,0))</f>
        <v>1</v>
      </c>
      <c r="S125" cm="1">
        <f t="array" ref="S125">INDEX($C$4:$Q$263,ROW(A122),MATCH($T$2,$C$3:$Q$3,0))</f>
        <v>0</v>
      </c>
      <c r="T125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25" cm="1">
        <f t="array" ref="U125">ABS(INDEX($C$4:$Q$263,ROW(A122),MATCH($T$2,$C$3:$Q$3,0))-INDEX($C$4:$Q$263,ROW(A121),MATCH($T$2,$C$3:$Q$3,0)))</f>
        <v>0</v>
      </c>
      <c r="V125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25">
        <f t="shared" si="15"/>
        <v>40.813595610865789</v>
      </c>
      <c r="X125">
        <f t="shared" si="16"/>
        <v>108.80449618627055</v>
      </c>
      <c r="Y125">
        <f t="shared" si="17"/>
        <v>149.61809179713634</v>
      </c>
      <c r="Z125">
        <f t="shared" si="18"/>
        <v>190.43168740800212</v>
      </c>
      <c r="AA125">
        <f t="shared" si="19"/>
        <v>272.05887862973373</v>
      </c>
      <c r="AB125">
        <f t="shared" si="20"/>
        <v>312.8724742405995</v>
      </c>
      <c r="AC125">
        <f t="shared" si="21"/>
        <v>353.68606985146528</v>
      </c>
      <c r="AD125">
        <f t="shared" si="22"/>
        <v>0</v>
      </c>
      <c r="AE125">
        <f t="shared" si="29"/>
        <v>-2</v>
      </c>
      <c r="AF125">
        <f t="shared" si="23"/>
        <v>0</v>
      </c>
      <c r="AG125">
        <f t="shared" si="24"/>
        <v>0</v>
      </c>
      <c r="AH125" t="e">
        <f t="shared" si="25"/>
        <v>#N/A</v>
      </c>
      <c r="AI125">
        <f t="shared" si="26"/>
        <v>-1</v>
      </c>
      <c r="AJ125">
        <f t="shared" si="27"/>
        <v>0</v>
      </c>
      <c r="AK125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25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25">
        <f t="shared" si="28"/>
        <v>14.699999999999989</v>
      </c>
    </row>
    <row r="126" spans="2:39" x14ac:dyDescent="0.35">
      <c r="B126" s="12" t="str">
        <f>Demand!B128</f>
        <v/>
      </c>
      <c r="C126" s="7">
        <f>INDEX(Demand!$E$6:$S$265,MATCH('SPC Backing (Hide)'!$B126,Demand!$B$6:$B$265,0),MATCH('SPC Backing (Hide)'!C$3,Demand!$E$5:$S$5,0))</f>
        <v>0</v>
      </c>
      <c r="D126" s="5">
        <f>INDEX(Demand!$E$6:$S$265,MATCH('SPC Backing (Hide)'!$B126,Demand!$B$6:$B$265,0),MATCH('SPC Backing (Hide)'!D$3,Demand!$E$5:$S$5,0))</f>
        <v>0</v>
      </c>
      <c r="E126" s="5">
        <f>INDEX(Demand!$E$6:$S$265,MATCH('SPC Backing (Hide)'!$B126,Demand!$B$6:$B$265,0),MATCH('SPC Backing (Hide)'!E$3,Demand!$E$5:$S$5,0))</f>
        <v>0</v>
      </c>
      <c r="F126" s="5">
        <f>INDEX(Demand!$E$6:$S$265,MATCH('SPC Backing (Hide)'!$B126,Demand!$B$6:$B$265,0),MATCH('SPC Backing (Hide)'!F$3,Demand!$E$5:$S$5,0))</f>
        <v>0</v>
      </c>
      <c r="G126" s="5">
        <f>INDEX(Demand!$E$6:$S$265,MATCH('SPC Backing (Hide)'!$B126,Demand!$B$6:$B$265,0),MATCH('SPC Backing (Hide)'!G$3,Demand!$E$5:$S$5,0))</f>
        <v>0</v>
      </c>
      <c r="H126" s="5">
        <f>INDEX(Demand!$E$6:$S$265,MATCH('SPC Backing (Hide)'!$B126,Demand!$B$6:$B$265,0),MATCH('SPC Backing (Hide)'!H$3,Demand!$E$5:$S$5,0))</f>
        <v>0</v>
      </c>
      <c r="I126" s="5">
        <f>INDEX(Demand!$E$6:$S$265,MATCH('SPC Backing (Hide)'!$B126,Demand!$B$6:$B$265,0),MATCH('SPC Backing (Hide)'!I$3,Demand!$E$5:$S$5,0))</f>
        <v>0</v>
      </c>
      <c r="J126" s="5">
        <f>INDEX(Demand!$E$6:$S$265,MATCH('SPC Backing (Hide)'!$B126,Demand!$B$6:$B$265,0),MATCH('SPC Backing (Hide)'!J$3,Demand!$E$5:$S$5,0))</f>
        <v>0</v>
      </c>
      <c r="K126" s="5">
        <f>INDEX(Demand!$E$6:$S$265,MATCH('SPC Backing (Hide)'!$B126,Demand!$B$6:$B$265,0),MATCH('SPC Backing (Hide)'!K$3,Demand!$E$5:$S$5,0))</f>
        <v>0</v>
      </c>
      <c r="L126" s="5">
        <f>INDEX(Demand!$E$6:$S$265,MATCH('SPC Backing (Hide)'!$B126,Demand!$B$6:$B$265,0),MATCH('SPC Backing (Hide)'!L$3,Demand!$E$5:$S$5,0))</f>
        <v>0</v>
      </c>
      <c r="M126" s="5">
        <f>INDEX(Demand!$E$6:$S$265,MATCH('SPC Backing (Hide)'!$B126,Demand!$B$6:$B$265,0),MATCH('SPC Backing (Hide)'!M$3,Demand!$E$5:$S$5,0))</f>
        <v>0</v>
      </c>
      <c r="N126" s="5">
        <f>INDEX(Demand!$E$6:$S$265,MATCH('SPC Backing (Hide)'!$B126,Demand!$B$6:$B$265,0),MATCH('SPC Backing (Hide)'!N$3,Demand!$E$5:$S$5,0))</f>
        <v>0</v>
      </c>
      <c r="O126" s="5">
        <f>INDEX(Demand!$E$6:$S$265,MATCH('SPC Backing (Hide)'!$B126,Demand!$B$6:$B$265,0),MATCH('SPC Backing (Hide)'!O$3,Demand!$E$5:$S$5,0))</f>
        <v>0</v>
      </c>
      <c r="P126" s="5">
        <f>INDEX(Demand!$E$6:$S$265,MATCH('SPC Backing (Hide)'!$B126,Demand!$B$6:$B$265,0),MATCH('SPC Backing (Hide)'!P$3,Demand!$E$5:$S$5,0))</f>
        <v>0</v>
      </c>
      <c r="Q126" s="6">
        <f>INDEX(Demand!$E$6:$S$265,MATCH('SPC Backing (Hide)'!$B126,Demand!$B$6:$B$265,0),MATCH('SPC Backing (Hide)'!Q$3,Demand!$E$5:$S$5,0))</f>
        <v>0</v>
      </c>
      <c r="R126">
        <f>IF(SPC!$B$11="Yes",IF(ROW(A123)&gt;=Demand!$A$5-52,1,0),IF(AND(B126&gt;=SPC!$B$12,B126&lt;SPC!$B$13),1,0))</f>
        <v>1</v>
      </c>
      <c r="S126" cm="1">
        <f t="array" ref="S126">INDEX($C$4:$Q$263,ROW(A123),MATCH($T$2,$C$3:$Q$3,0))</f>
        <v>0</v>
      </c>
      <c r="T126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26" cm="1">
        <f t="array" ref="U126">ABS(INDEX($C$4:$Q$263,ROW(A123),MATCH($T$2,$C$3:$Q$3,0))-INDEX($C$4:$Q$263,ROW(A122),MATCH($T$2,$C$3:$Q$3,0)))</f>
        <v>0</v>
      </c>
      <c r="V126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26">
        <f t="shared" si="15"/>
        <v>40.813595610865789</v>
      </c>
      <c r="X126">
        <f t="shared" si="16"/>
        <v>108.80449618627055</v>
      </c>
      <c r="Y126">
        <f t="shared" si="17"/>
        <v>149.61809179713634</v>
      </c>
      <c r="Z126">
        <f t="shared" si="18"/>
        <v>190.43168740800212</v>
      </c>
      <c r="AA126">
        <f t="shared" si="19"/>
        <v>272.05887862973373</v>
      </c>
      <c r="AB126">
        <f t="shared" si="20"/>
        <v>312.8724742405995</v>
      </c>
      <c r="AC126">
        <f t="shared" si="21"/>
        <v>353.68606985146528</v>
      </c>
      <c r="AD126">
        <f t="shared" si="22"/>
        <v>0</v>
      </c>
      <c r="AE126">
        <f t="shared" si="29"/>
        <v>-2</v>
      </c>
      <c r="AF126">
        <f t="shared" si="23"/>
        <v>0</v>
      </c>
      <c r="AG126">
        <f t="shared" si="24"/>
        <v>0</v>
      </c>
      <c r="AH126" t="e">
        <f t="shared" si="25"/>
        <v>#N/A</v>
      </c>
      <c r="AI126">
        <f t="shared" si="26"/>
        <v>-1</v>
      </c>
      <c r="AJ126">
        <f t="shared" si="27"/>
        <v>0</v>
      </c>
      <c r="AK126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26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26">
        <f t="shared" si="28"/>
        <v>14.699999999999989</v>
      </c>
    </row>
    <row r="127" spans="2:39" x14ac:dyDescent="0.35">
      <c r="B127" s="12" t="str">
        <f>Demand!B129</f>
        <v/>
      </c>
      <c r="C127" s="7">
        <f>INDEX(Demand!$E$6:$S$265,MATCH('SPC Backing (Hide)'!$B127,Demand!$B$6:$B$265,0),MATCH('SPC Backing (Hide)'!C$3,Demand!$E$5:$S$5,0))</f>
        <v>0</v>
      </c>
      <c r="D127" s="5">
        <f>INDEX(Demand!$E$6:$S$265,MATCH('SPC Backing (Hide)'!$B127,Demand!$B$6:$B$265,0),MATCH('SPC Backing (Hide)'!D$3,Demand!$E$5:$S$5,0))</f>
        <v>0</v>
      </c>
      <c r="E127" s="5">
        <f>INDEX(Demand!$E$6:$S$265,MATCH('SPC Backing (Hide)'!$B127,Demand!$B$6:$B$265,0),MATCH('SPC Backing (Hide)'!E$3,Demand!$E$5:$S$5,0))</f>
        <v>0</v>
      </c>
      <c r="F127" s="5">
        <f>INDEX(Demand!$E$6:$S$265,MATCH('SPC Backing (Hide)'!$B127,Demand!$B$6:$B$265,0),MATCH('SPC Backing (Hide)'!F$3,Demand!$E$5:$S$5,0))</f>
        <v>0</v>
      </c>
      <c r="G127" s="5">
        <f>INDEX(Demand!$E$6:$S$265,MATCH('SPC Backing (Hide)'!$B127,Demand!$B$6:$B$265,0),MATCH('SPC Backing (Hide)'!G$3,Demand!$E$5:$S$5,0))</f>
        <v>0</v>
      </c>
      <c r="H127" s="5">
        <f>INDEX(Demand!$E$6:$S$265,MATCH('SPC Backing (Hide)'!$B127,Demand!$B$6:$B$265,0),MATCH('SPC Backing (Hide)'!H$3,Demand!$E$5:$S$5,0))</f>
        <v>0</v>
      </c>
      <c r="I127" s="5">
        <f>INDEX(Demand!$E$6:$S$265,MATCH('SPC Backing (Hide)'!$B127,Demand!$B$6:$B$265,0),MATCH('SPC Backing (Hide)'!I$3,Demand!$E$5:$S$5,0))</f>
        <v>0</v>
      </c>
      <c r="J127" s="5">
        <f>INDEX(Demand!$E$6:$S$265,MATCH('SPC Backing (Hide)'!$B127,Demand!$B$6:$B$265,0),MATCH('SPC Backing (Hide)'!J$3,Demand!$E$5:$S$5,0))</f>
        <v>0</v>
      </c>
      <c r="K127" s="5">
        <f>INDEX(Demand!$E$6:$S$265,MATCH('SPC Backing (Hide)'!$B127,Demand!$B$6:$B$265,0),MATCH('SPC Backing (Hide)'!K$3,Demand!$E$5:$S$5,0))</f>
        <v>0</v>
      </c>
      <c r="L127" s="5">
        <f>INDEX(Demand!$E$6:$S$265,MATCH('SPC Backing (Hide)'!$B127,Demand!$B$6:$B$265,0),MATCH('SPC Backing (Hide)'!L$3,Demand!$E$5:$S$5,0))</f>
        <v>0</v>
      </c>
      <c r="M127" s="5">
        <f>INDEX(Demand!$E$6:$S$265,MATCH('SPC Backing (Hide)'!$B127,Demand!$B$6:$B$265,0),MATCH('SPC Backing (Hide)'!M$3,Demand!$E$5:$S$5,0))</f>
        <v>0</v>
      </c>
      <c r="N127" s="5">
        <f>INDEX(Demand!$E$6:$S$265,MATCH('SPC Backing (Hide)'!$B127,Demand!$B$6:$B$265,0),MATCH('SPC Backing (Hide)'!N$3,Demand!$E$5:$S$5,0))</f>
        <v>0</v>
      </c>
      <c r="O127" s="5">
        <f>INDEX(Demand!$E$6:$S$265,MATCH('SPC Backing (Hide)'!$B127,Demand!$B$6:$B$265,0),MATCH('SPC Backing (Hide)'!O$3,Demand!$E$5:$S$5,0))</f>
        <v>0</v>
      </c>
      <c r="P127" s="5">
        <f>INDEX(Demand!$E$6:$S$265,MATCH('SPC Backing (Hide)'!$B127,Demand!$B$6:$B$265,0),MATCH('SPC Backing (Hide)'!P$3,Demand!$E$5:$S$5,0))</f>
        <v>0</v>
      </c>
      <c r="Q127" s="6">
        <f>INDEX(Demand!$E$6:$S$265,MATCH('SPC Backing (Hide)'!$B127,Demand!$B$6:$B$265,0),MATCH('SPC Backing (Hide)'!Q$3,Demand!$E$5:$S$5,0))</f>
        <v>0</v>
      </c>
      <c r="R127">
        <f>IF(SPC!$B$11="Yes",IF(ROW(A124)&gt;=Demand!$A$5-52,1,0),IF(AND(B127&gt;=SPC!$B$12,B127&lt;SPC!$B$13),1,0))</f>
        <v>1</v>
      </c>
      <c r="S127" cm="1">
        <f t="array" ref="S127">INDEX($C$4:$Q$263,ROW(A124),MATCH($T$2,$C$3:$Q$3,0))</f>
        <v>0</v>
      </c>
      <c r="T127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27" cm="1">
        <f t="array" ref="U127">ABS(INDEX($C$4:$Q$263,ROW(A124),MATCH($T$2,$C$3:$Q$3,0))-INDEX($C$4:$Q$263,ROW(A123),MATCH($T$2,$C$3:$Q$3,0)))</f>
        <v>0</v>
      </c>
      <c r="V127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27">
        <f t="shared" si="15"/>
        <v>40.813595610865789</v>
      </c>
      <c r="X127">
        <f t="shared" si="16"/>
        <v>108.80449618627055</v>
      </c>
      <c r="Y127">
        <f t="shared" si="17"/>
        <v>149.61809179713634</v>
      </c>
      <c r="Z127">
        <f t="shared" si="18"/>
        <v>190.43168740800212</v>
      </c>
      <c r="AA127">
        <f t="shared" si="19"/>
        <v>272.05887862973373</v>
      </c>
      <c r="AB127">
        <f t="shared" si="20"/>
        <v>312.8724742405995</v>
      </c>
      <c r="AC127">
        <f t="shared" si="21"/>
        <v>353.68606985146528</v>
      </c>
      <c r="AD127">
        <f t="shared" si="22"/>
        <v>0</v>
      </c>
      <c r="AE127">
        <f t="shared" si="29"/>
        <v>-2</v>
      </c>
      <c r="AF127">
        <f t="shared" si="23"/>
        <v>0</v>
      </c>
      <c r="AG127">
        <f t="shared" si="24"/>
        <v>0</v>
      </c>
      <c r="AH127" t="e">
        <f t="shared" si="25"/>
        <v>#N/A</v>
      </c>
      <c r="AI127">
        <f t="shared" si="26"/>
        <v>-1</v>
      </c>
      <c r="AJ127">
        <f t="shared" si="27"/>
        <v>0</v>
      </c>
      <c r="AK127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27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27">
        <f t="shared" si="28"/>
        <v>14.699999999999989</v>
      </c>
    </row>
    <row r="128" spans="2:39" x14ac:dyDescent="0.35">
      <c r="B128" s="12" t="str">
        <f>Demand!B130</f>
        <v/>
      </c>
      <c r="C128" s="7">
        <f>INDEX(Demand!$E$6:$S$265,MATCH('SPC Backing (Hide)'!$B128,Demand!$B$6:$B$265,0),MATCH('SPC Backing (Hide)'!C$3,Demand!$E$5:$S$5,0))</f>
        <v>0</v>
      </c>
      <c r="D128" s="5">
        <f>INDEX(Demand!$E$6:$S$265,MATCH('SPC Backing (Hide)'!$B128,Demand!$B$6:$B$265,0),MATCH('SPC Backing (Hide)'!D$3,Demand!$E$5:$S$5,0))</f>
        <v>0</v>
      </c>
      <c r="E128" s="5">
        <f>INDEX(Demand!$E$6:$S$265,MATCH('SPC Backing (Hide)'!$B128,Demand!$B$6:$B$265,0),MATCH('SPC Backing (Hide)'!E$3,Demand!$E$5:$S$5,0))</f>
        <v>0</v>
      </c>
      <c r="F128" s="5">
        <f>INDEX(Demand!$E$6:$S$265,MATCH('SPC Backing (Hide)'!$B128,Demand!$B$6:$B$265,0),MATCH('SPC Backing (Hide)'!F$3,Demand!$E$5:$S$5,0))</f>
        <v>0</v>
      </c>
      <c r="G128" s="5">
        <f>INDEX(Demand!$E$6:$S$265,MATCH('SPC Backing (Hide)'!$B128,Demand!$B$6:$B$265,0),MATCH('SPC Backing (Hide)'!G$3,Demand!$E$5:$S$5,0))</f>
        <v>0</v>
      </c>
      <c r="H128" s="5">
        <f>INDEX(Demand!$E$6:$S$265,MATCH('SPC Backing (Hide)'!$B128,Demand!$B$6:$B$265,0),MATCH('SPC Backing (Hide)'!H$3,Demand!$E$5:$S$5,0))</f>
        <v>0</v>
      </c>
      <c r="I128" s="5">
        <f>INDEX(Demand!$E$6:$S$265,MATCH('SPC Backing (Hide)'!$B128,Demand!$B$6:$B$265,0),MATCH('SPC Backing (Hide)'!I$3,Demand!$E$5:$S$5,0))</f>
        <v>0</v>
      </c>
      <c r="J128" s="5">
        <f>INDEX(Demand!$E$6:$S$265,MATCH('SPC Backing (Hide)'!$B128,Demand!$B$6:$B$265,0),MATCH('SPC Backing (Hide)'!J$3,Demand!$E$5:$S$5,0))</f>
        <v>0</v>
      </c>
      <c r="K128" s="5">
        <f>INDEX(Demand!$E$6:$S$265,MATCH('SPC Backing (Hide)'!$B128,Demand!$B$6:$B$265,0),MATCH('SPC Backing (Hide)'!K$3,Demand!$E$5:$S$5,0))</f>
        <v>0</v>
      </c>
      <c r="L128" s="5">
        <f>INDEX(Demand!$E$6:$S$265,MATCH('SPC Backing (Hide)'!$B128,Demand!$B$6:$B$265,0),MATCH('SPC Backing (Hide)'!L$3,Demand!$E$5:$S$5,0))</f>
        <v>0</v>
      </c>
      <c r="M128" s="5">
        <f>INDEX(Demand!$E$6:$S$265,MATCH('SPC Backing (Hide)'!$B128,Demand!$B$6:$B$265,0),MATCH('SPC Backing (Hide)'!M$3,Demand!$E$5:$S$5,0))</f>
        <v>0</v>
      </c>
      <c r="N128" s="5">
        <f>INDEX(Demand!$E$6:$S$265,MATCH('SPC Backing (Hide)'!$B128,Demand!$B$6:$B$265,0),MATCH('SPC Backing (Hide)'!N$3,Demand!$E$5:$S$5,0))</f>
        <v>0</v>
      </c>
      <c r="O128" s="5">
        <f>INDEX(Demand!$E$6:$S$265,MATCH('SPC Backing (Hide)'!$B128,Demand!$B$6:$B$265,0),MATCH('SPC Backing (Hide)'!O$3,Demand!$E$5:$S$5,0))</f>
        <v>0</v>
      </c>
      <c r="P128" s="5">
        <f>INDEX(Demand!$E$6:$S$265,MATCH('SPC Backing (Hide)'!$B128,Demand!$B$6:$B$265,0),MATCH('SPC Backing (Hide)'!P$3,Demand!$E$5:$S$5,0))</f>
        <v>0</v>
      </c>
      <c r="Q128" s="6">
        <f>INDEX(Demand!$E$6:$S$265,MATCH('SPC Backing (Hide)'!$B128,Demand!$B$6:$B$265,0),MATCH('SPC Backing (Hide)'!Q$3,Demand!$E$5:$S$5,0))</f>
        <v>0</v>
      </c>
      <c r="R128">
        <f>IF(SPC!$B$11="Yes",IF(ROW(A125)&gt;=Demand!$A$5-52,1,0),IF(AND(B128&gt;=SPC!$B$12,B128&lt;SPC!$B$13),1,0))</f>
        <v>1</v>
      </c>
      <c r="S128" cm="1">
        <f t="array" ref="S128">INDEX($C$4:$Q$263,ROW(A125),MATCH($T$2,$C$3:$Q$3,0))</f>
        <v>0</v>
      </c>
      <c r="T128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28" cm="1">
        <f t="array" ref="U128">ABS(INDEX($C$4:$Q$263,ROW(A125),MATCH($T$2,$C$3:$Q$3,0))-INDEX($C$4:$Q$263,ROW(A124),MATCH($T$2,$C$3:$Q$3,0)))</f>
        <v>0</v>
      </c>
      <c r="V128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28">
        <f t="shared" si="15"/>
        <v>40.813595610865789</v>
      </c>
      <c r="X128">
        <f t="shared" si="16"/>
        <v>108.80449618627055</v>
      </c>
      <c r="Y128">
        <f t="shared" si="17"/>
        <v>149.61809179713634</v>
      </c>
      <c r="Z128">
        <f t="shared" si="18"/>
        <v>190.43168740800212</v>
      </c>
      <c r="AA128">
        <f t="shared" si="19"/>
        <v>272.05887862973373</v>
      </c>
      <c r="AB128">
        <f t="shared" si="20"/>
        <v>312.8724742405995</v>
      </c>
      <c r="AC128">
        <f t="shared" si="21"/>
        <v>353.68606985146528</v>
      </c>
      <c r="AD128">
        <f t="shared" si="22"/>
        <v>0</v>
      </c>
      <c r="AE128">
        <f t="shared" si="29"/>
        <v>-2</v>
      </c>
      <c r="AF128">
        <f t="shared" si="23"/>
        <v>0</v>
      </c>
      <c r="AG128">
        <f t="shared" si="24"/>
        <v>0</v>
      </c>
      <c r="AH128" t="e">
        <f t="shared" si="25"/>
        <v>#N/A</v>
      </c>
      <c r="AI128">
        <f t="shared" si="26"/>
        <v>-1</v>
      </c>
      <c r="AJ128">
        <f t="shared" si="27"/>
        <v>0</v>
      </c>
      <c r="AK128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28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28">
        <f t="shared" si="28"/>
        <v>14.699999999999989</v>
      </c>
    </row>
    <row r="129" spans="2:39" x14ac:dyDescent="0.35">
      <c r="B129" s="12" t="str">
        <f>Demand!B131</f>
        <v/>
      </c>
      <c r="C129" s="7">
        <f>INDEX(Demand!$E$6:$S$265,MATCH('SPC Backing (Hide)'!$B129,Demand!$B$6:$B$265,0),MATCH('SPC Backing (Hide)'!C$3,Demand!$E$5:$S$5,0))</f>
        <v>0</v>
      </c>
      <c r="D129" s="5">
        <f>INDEX(Demand!$E$6:$S$265,MATCH('SPC Backing (Hide)'!$B129,Demand!$B$6:$B$265,0),MATCH('SPC Backing (Hide)'!D$3,Demand!$E$5:$S$5,0))</f>
        <v>0</v>
      </c>
      <c r="E129" s="5">
        <f>INDEX(Demand!$E$6:$S$265,MATCH('SPC Backing (Hide)'!$B129,Demand!$B$6:$B$265,0),MATCH('SPC Backing (Hide)'!E$3,Demand!$E$5:$S$5,0))</f>
        <v>0</v>
      </c>
      <c r="F129" s="5">
        <f>INDEX(Demand!$E$6:$S$265,MATCH('SPC Backing (Hide)'!$B129,Demand!$B$6:$B$265,0),MATCH('SPC Backing (Hide)'!F$3,Demand!$E$5:$S$5,0))</f>
        <v>0</v>
      </c>
      <c r="G129" s="5">
        <f>INDEX(Demand!$E$6:$S$265,MATCH('SPC Backing (Hide)'!$B129,Demand!$B$6:$B$265,0),MATCH('SPC Backing (Hide)'!G$3,Demand!$E$5:$S$5,0))</f>
        <v>0</v>
      </c>
      <c r="H129" s="5">
        <f>INDEX(Demand!$E$6:$S$265,MATCH('SPC Backing (Hide)'!$B129,Demand!$B$6:$B$265,0),MATCH('SPC Backing (Hide)'!H$3,Demand!$E$5:$S$5,0))</f>
        <v>0</v>
      </c>
      <c r="I129" s="5">
        <f>INDEX(Demand!$E$6:$S$265,MATCH('SPC Backing (Hide)'!$B129,Demand!$B$6:$B$265,0),MATCH('SPC Backing (Hide)'!I$3,Demand!$E$5:$S$5,0))</f>
        <v>0</v>
      </c>
      <c r="J129" s="5">
        <f>INDEX(Demand!$E$6:$S$265,MATCH('SPC Backing (Hide)'!$B129,Demand!$B$6:$B$265,0),MATCH('SPC Backing (Hide)'!J$3,Demand!$E$5:$S$5,0))</f>
        <v>0</v>
      </c>
      <c r="K129" s="5">
        <f>INDEX(Demand!$E$6:$S$265,MATCH('SPC Backing (Hide)'!$B129,Demand!$B$6:$B$265,0),MATCH('SPC Backing (Hide)'!K$3,Demand!$E$5:$S$5,0))</f>
        <v>0</v>
      </c>
      <c r="L129" s="5">
        <f>INDEX(Demand!$E$6:$S$265,MATCH('SPC Backing (Hide)'!$B129,Demand!$B$6:$B$265,0),MATCH('SPC Backing (Hide)'!L$3,Demand!$E$5:$S$5,0))</f>
        <v>0</v>
      </c>
      <c r="M129" s="5">
        <f>INDEX(Demand!$E$6:$S$265,MATCH('SPC Backing (Hide)'!$B129,Demand!$B$6:$B$265,0),MATCH('SPC Backing (Hide)'!M$3,Demand!$E$5:$S$5,0))</f>
        <v>0</v>
      </c>
      <c r="N129" s="5">
        <f>INDEX(Demand!$E$6:$S$265,MATCH('SPC Backing (Hide)'!$B129,Demand!$B$6:$B$265,0),MATCH('SPC Backing (Hide)'!N$3,Demand!$E$5:$S$5,0))</f>
        <v>0</v>
      </c>
      <c r="O129" s="5">
        <f>INDEX(Demand!$E$6:$S$265,MATCH('SPC Backing (Hide)'!$B129,Demand!$B$6:$B$265,0),MATCH('SPC Backing (Hide)'!O$3,Demand!$E$5:$S$5,0))</f>
        <v>0</v>
      </c>
      <c r="P129" s="5">
        <f>INDEX(Demand!$E$6:$S$265,MATCH('SPC Backing (Hide)'!$B129,Demand!$B$6:$B$265,0),MATCH('SPC Backing (Hide)'!P$3,Demand!$E$5:$S$5,0))</f>
        <v>0</v>
      </c>
      <c r="Q129" s="6">
        <f>INDEX(Demand!$E$6:$S$265,MATCH('SPC Backing (Hide)'!$B129,Demand!$B$6:$B$265,0),MATCH('SPC Backing (Hide)'!Q$3,Demand!$E$5:$S$5,0))</f>
        <v>0</v>
      </c>
      <c r="R129">
        <f>IF(SPC!$B$11="Yes",IF(ROW(A126)&gt;=Demand!$A$5-52,1,0),IF(AND(B129&gt;=SPC!$B$12,B129&lt;SPC!$B$13),1,0))</f>
        <v>1</v>
      </c>
      <c r="S129" cm="1">
        <f t="array" ref="S129">INDEX($C$4:$Q$263,ROW(A126),MATCH($T$2,$C$3:$Q$3,0))</f>
        <v>0</v>
      </c>
      <c r="T129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29" cm="1">
        <f t="array" ref="U129">ABS(INDEX($C$4:$Q$263,ROW(A126),MATCH($T$2,$C$3:$Q$3,0))-INDEX($C$4:$Q$263,ROW(A125),MATCH($T$2,$C$3:$Q$3,0)))</f>
        <v>0</v>
      </c>
      <c r="V129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29">
        <f t="shared" si="15"/>
        <v>40.813595610865789</v>
      </c>
      <c r="X129">
        <f t="shared" si="16"/>
        <v>108.80449618627055</v>
      </c>
      <c r="Y129">
        <f t="shared" si="17"/>
        <v>149.61809179713634</v>
      </c>
      <c r="Z129">
        <f t="shared" si="18"/>
        <v>190.43168740800212</v>
      </c>
      <c r="AA129">
        <f t="shared" si="19"/>
        <v>272.05887862973373</v>
      </c>
      <c r="AB129">
        <f t="shared" si="20"/>
        <v>312.8724742405995</v>
      </c>
      <c r="AC129">
        <f t="shared" si="21"/>
        <v>353.68606985146528</v>
      </c>
      <c r="AD129">
        <f t="shared" si="22"/>
        <v>0</v>
      </c>
      <c r="AE129">
        <f t="shared" si="29"/>
        <v>-2</v>
      </c>
      <c r="AF129">
        <f t="shared" si="23"/>
        <v>0</v>
      </c>
      <c r="AG129">
        <f t="shared" si="24"/>
        <v>0</v>
      </c>
      <c r="AH129" t="e">
        <f t="shared" si="25"/>
        <v>#N/A</v>
      </c>
      <c r="AI129">
        <f t="shared" si="26"/>
        <v>-1</v>
      </c>
      <c r="AJ129">
        <f t="shared" si="27"/>
        <v>0</v>
      </c>
      <c r="AK129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29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29">
        <f t="shared" si="28"/>
        <v>14.699999999999989</v>
      </c>
    </row>
    <row r="130" spans="2:39" x14ac:dyDescent="0.35">
      <c r="B130" s="12" t="str">
        <f>Demand!B132</f>
        <v/>
      </c>
      <c r="C130" s="7">
        <f>INDEX(Demand!$E$6:$S$265,MATCH('SPC Backing (Hide)'!$B130,Demand!$B$6:$B$265,0),MATCH('SPC Backing (Hide)'!C$3,Demand!$E$5:$S$5,0))</f>
        <v>0</v>
      </c>
      <c r="D130" s="5">
        <f>INDEX(Demand!$E$6:$S$265,MATCH('SPC Backing (Hide)'!$B130,Demand!$B$6:$B$265,0),MATCH('SPC Backing (Hide)'!D$3,Demand!$E$5:$S$5,0))</f>
        <v>0</v>
      </c>
      <c r="E130" s="5">
        <f>INDEX(Demand!$E$6:$S$265,MATCH('SPC Backing (Hide)'!$B130,Demand!$B$6:$B$265,0),MATCH('SPC Backing (Hide)'!E$3,Demand!$E$5:$S$5,0))</f>
        <v>0</v>
      </c>
      <c r="F130" s="5">
        <f>INDEX(Demand!$E$6:$S$265,MATCH('SPC Backing (Hide)'!$B130,Demand!$B$6:$B$265,0),MATCH('SPC Backing (Hide)'!F$3,Demand!$E$5:$S$5,0))</f>
        <v>0</v>
      </c>
      <c r="G130" s="5">
        <f>INDEX(Demand!$E$6:$S$265,MATCH('SPC Backing (Hide)'!$B130,Demand!$B$6:$B$265,0),MATCH('SPC Backing (Hide)'!G$3,Demand!$E$5:$S$5,0))</f>
        <v>0</v>
      </c>
      <c r="H130" s="5">
        <f>INDEX(Demand!$E$6:$S$265,MATCH('SPC Backing (Hide)'!$B130,Demand!$B$6:$B$265,0),MATCH('SPC Backing (Hide)'!H$3,Demand!$E$5:$S$5,0))</f>
        <v>0</v>
      </c>
      <c r="I130" s="5">
        <f>INDEX(Demand!$E$6:$S$265,MATCH('SPC Backing (Hide)'!$B130,Demand!$B$6:$B$265,0),MATCH('SPC Backing (Hide)'!I$3,Demand!$E$5:$S$5,0))</f>
        <v>0</v>
      </c>
      <c r="J130" s="5">
        <f>INDEX(Demand!$E$6:$S$265,MATCH('SPC Backing (Hide)'!$B130,Demand!$B$6:$B$265,0),MATCH('SPC Backing (Hide)'!J$3,Demand!$E$5:$S$5,0))</f>
        <v>0</v>
      </c>
      <c r="K130" s="5">
        <f>INDEX(Demand!$E$6:$S$265,MATCH('SPC Backing (Hide)'!$B130,Demand!$B$6:$B$265,0),MATCH('SPC Backing (Hide)'!K$3,Demand!$E$5:$S$5,0))</f>
        <v>0</v>
      </c>
      <c r="L130" s="5">
        <f>INDEX(Demand!$E$6:$S$265,MATCH('SPC Backing (Hide)'!$B130,Demand!$B$6:$B$265,0),MATCH('SPC Backing (Hide)'!L$3,Demand!$E$5:$S$5,0))</f>
        <v>0</v>
      </c>
      <c r="M130" s="5">
        <f>INDEX(Demand!$E$6:$S$265,MATCH('SPC Backing (Hide)'!$B130,Demand!$B$6:$B$265,0),MATCH('SPC Backing (Hide)'!M$3,Demand!$E$5:$S$5,0))</f>
        <v>0</v>
      </c>
      <c r="N130" s="5">
        <f>INDEX(Demand!$E$6:$S$265,MATCH('SPC Backing (Hide)'!$B130,Demand!$B$6:$B$265,0),MATCH('SPC Backing (Hide)'!N$3,Demand!$E$5:$S$5,0))</f>
        <v>0</v>
      </c>
      <c r="O130" s="5">
        <f>INDEX(Demand!$E$6:$S$265,MATCH('SPC Backing (Hide)'!$B130,Demand!$B$6:$B$265,0),MATCH('SPC Backing (Hide)'!O$3,Demand!$E$5:$S$5,0))</f>
        <v>0</v>
      </c>
      <c r="P130" s="5">
        <f>INDEX(Demand!$E$6:$S$265,MATCH('SPC Backing (Hide)'!$B130,Demand!$B$6:$B$265,0),MATCH('SPC Backing (Hide)'!P$3,Demand!$E$5:$S$5,0))</f>
        <v>0</v>
      </c>
      <c r="Q130" s="6">
        <f>INDEX(Demand!$E$6:$S$265,MATCH('SPC Backing (Hide)'!$B130,Demand!$B$6:$B$265,0),MATCH('SPC Backing (Hide)'!Q$3,Demand!$E$5:$S$5,0))</f>
        <v>0</v>
      </c>
      <c r="R130">
        <f>IF(SPC!$B$11="Yes",IF(ROW(A127)&gt;=Demand!$A$5-52,1,0),IF(AND(B130&gt;=SPC!$B$12,B130&lt;SPC!$B$13),1,0))</f>
        <v>1</v>
      </c>
      <c r="S130" cm="1">
        <f t="array" ref="S130">INDEX($C$4:$Q$263,ROW(A127),MATCH($T$2,$C$3:$Q$3,0))</f>
        <v>0</v>
      </c>
      <c r="T130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30" cm="1">
        <f t="array" ref="U130">ABS(INDEX($C$4:$Q$263,ROW(A127),MATCH($T$2,$C$3:$Q$3,0))-INDEX($C$4:$Q$263,ROW(A126),MATCH($T$2,$C$3:$Q$3,0)))</f>
        <v>0</v>
      </c>
      <c r="V130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30">
        <f t="shared" si="15"/>
        <v>40.813595610865789</v>
      </c>
      <c r="X130">
        <f t="shared" si="16"/>
        <v>108.80449618627055</v>
      </c>
      <c r="Y130">
        <f t="shared" si="17"/>
        <v>149.61809179713634</v>
      </c>
      <c r="Z130">
        <f t="shared" si="18"/>
        <v>190.43168740800212</v>
      </c>
      <c r="AA130">
        <f t="shared" si="19"/>
        <v>272.05887862973373</v>
      </c>
      <c r="AB130">
        <f t="shared" si="20"/>
        <v>312.8724742405995</v>
      </c>
      <c r="AC130">
        <f t="shared" si="21"/>
        <v>353.68606985146528</v>
      </c>
      <c r="AD130">
        <f t="shared" si="22"/>
        <v>0</v>
      </c>
      <c r="AE130">
        <f t="shared" si="29"/>
        <v>-2</v>
      </c>
      <c r="AF130">
        <f t="shared" si="23"/>
        <v>0</v>
      </c>
      <c r="AG130">
        <f t="shared" si="24"/>
        <v>0</v>
      </c>
      <c r="AH130" t="e">
        <f t="shared" si="25"/>
        <v>#N/A</v>
      </c>
      <c r="AI130">
        <f t="shared" si="26"/>
        <v>-1</v>
      </c>
      <c r="AJ130">
        <f t="shared" si="27"/>
        <v>0</v>
      </c>
      <c r="AK130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30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30">
        <f t="shared" si="28"/>
        <v>14.699999999999989</v>
      </c>
    </row>
    <row r="131" spans="2:39" x14ac:dyDescent="0.35">
      <c r="B131" s="12" t="str">
        <f>Demand!B133</f>
        <v/>
      </c>
      <c r="C131" s="7">
        <f>INDEX(Demand!$E$6:$S$265,MATCH('SPC Backing (Hide)'!$B131,Demand!$B$6:$B$265,0),MATCH('SPC Backing (Hide)'!C$3,Demand!$E$5:$S$5,0))</f>
        <v>0</v>
      </c>
      <c r="D131" s="5">
        <f>INDEX(Demand!$E$6:$S$265,MATCH('SPC Backing (Hide)'!$B131,Demand!$B$6:$B$265,0),MATCH('SPC Backing (Hide)'!D$3,Demand!$E$5:$S$5,0))</f>
        <v>0</v>
      </c>
      <c r="E131" s="5">
        <f>INDEX(Demand!$E$6:$S$265,MATCH('SPC Backing (Hide)'!$B131,Demand!$B$6:$B$265,0),MATCH('SPC Backing (Hide)'!E$3,Demand!$E$5:$S$5,0))</f>
        <v>0</v>
      </c>
      <c r="F131" s="5">
        <f>INDEX(Demand!$E$6:$S$265,MATCH('SPC Backing (Hide)'!$B131,Demand!$B$6:$B$265,0),MATCH('SPC Backing (Hide)'!F$3,Demand!$E$5:$S$5,0))</f>
        <v>0</v>
      </c>
      <c r="G131" s="5">
        <f>INDEX(Demand!$E$6:$S$265,MATCH('SPC Backing (Hide)'!$B131,Demand!$B$6:$B$265,0),MATCH('SPC Backing (Hide)'!G$3,Demand!$E$5:$S$5,0))</f>
        <v>0</v>
      </c>
      <c r="H131" s="5">
        <f>INDEX(Demand!$E$6:$S$265,MATCH('SPC Backing (Hide)'!$B131,Demand!$B$6:$B$265,0),MATCH('SPC Backing (Hide)'!H$3,Demand!$E$5:$S$5,0))</f>
        <v>0</v>
      </c>
      <c r="I131" s="5">
        <f>INDEX(Demand!$E$6:$S$265,MATCH('SPC Backing (Hide)'!$B131,Demand!$B$6:$B$265,0),MATCH('SPC Backing (Hide)'!I$3,Demand!$E$5:$S$5,0))</f>
        <v>0</v>
      </c>
      <c r="J131" s="5">
        <f>INDEX(Demand!$E$6:$S$265,MATCH('SPC Backing (Hide)'!$B131,Demand!$B$6:$B$265,0),MATCH('SPC Backing (Hide)'!J$3,Demand!$E$5:$S$5,0))</f>
        <v>0</v>
      </c>
      <c r="K131" s="5">
        <f>INDEX(Demand!$E$6:$S$265,MATCH('SPC Backing (Hide)'!$B131,Demand!$B$6:$B$265,0),MATCH('SPC Backing (Hide)'!K$3,Demand!$E$5:$S$5,0))</f>
        <v>0</v>
      </c>
      <c r="L131" s="5">
        <f>INDEX(Demand!$E$6:$S$265,MATCH('SPC Backing (Hide)'!$B131,Demand!$B$6:$B$265,0),MATCH('SPC Backing (Hide)'!L$3,Demand!$E$5:$S$5,0))</f>
        <v>0</v>
      </c>
      <c r="M131" s="5">
        <f>INDEX(Demand!$E$6:$S$265,MATCH('SPC Backing (Hide)'!$B131,Demand!$B$6:$B$265,0),MATCH('SPC Backing (Hide)'!M$3,Demand!$E$5:$S$5,0))</f>
        <v>0</v>
      </c>
      <c r="N131" s="5">
        <f>INDEX(Demand!$E$6:$S$265,MATCH('SPC Backing (Hide)'!$B131,Demand!$B$6:$B$265,0),MATCH('SPC Backing (Hide)'!N$3,Demand!$E$5:$S$5,0))</f>
        <v>0</v>
      </c>
      <c r="O131" s="5">
        <f>INDEX(Demand!$E$6:$S$265,MATCH('SPC Backing (Hide)'!$B131,Demand!$B$6:$B$265,0),MATCH('SPC Backing (Hide)'!O$3,Demand!$E$5:$S$5,0))</f>
        <v>0</v>
      </c>
      <c r="P131" s="5">
        <f>INDEX(Demand!$E$6:$S$265,MATCH('SPC Backing (Hide)'!$B131,Demand!$B$6:$B$265,0),MATCH('SPC Backing (Hide)'!P$3,Demand!$E$5:$S$5,0))</f>
        <v>0</v>
      </c>
      <c r="Q131" s="6">
        <f>INDEX(Demand!$E$6:$S$265,MATCH('SPC Backing (Hide)'!$B131,Demand!$B$6:$B$265,0),MATCH('SPC Backing (Hide)'!Q$3,Demand!$E$5:$S$5,0))</f>
        <v>0</v>
      </c>
      <c r="R131">
        <f>IF(SPC!$B$11="Yes",IF(ROW(A128)&gt;=Demand!$A$5-52,1,0),IF(AND(B131&gt;=SPC!$B$12,B131&lt;SPC!$B$13),1,0))</f>
        <v>1</v>
      </c>
      <c r="S131" cm="1">
        <f t="array" ref="S131">INDEX($C$4:$Q$263,ROW(A128),MATCH($T$2,$C$3:$Q$3,0))</f>
        <v>0</v>
      </c>
      <c r="T131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31" cm="1">
        <f t="array" ref="U131">ABS(INDEX($C$4:$Q$263,ROW(A128),MATCH($T$2,$C$3:$Q$3,0))-INDEX($C$4:$Q$263,ROW(A127),MATCH($T$2,$C$3:$Q$3,0)))</f>
        <v>0</v>
      </c>
      <c r="V131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31">
        <f t="shared" si="15"/>
        <v>40.813595610865789</v>
      </c>
      <c r="X131">
        <f t="shared" si="16"/>
        <v>108.80449618627055</v>
      </c>
      <c r="Y131">
        <f t="shared" si="17"/>
        <v>149.61809179713634</v>
      </c>
      <c r="Z131">
        <f t="shared" si="18"/>
        <v>190.43168740800212</v>
      </c>
      <c r="AA131">
        <f t="shared" si="19"/>
        <v>272.05887862973373</v>
      </c>
      <c r="AB131">
        <f t="shared" si="20"/>
        <v>312.8724742405995</v>
      </c>
      <c r="AC131">
        <f t="shared" si="21"/>
        <v>353.68606985146528</v>
      </c>
      <c r="AD131">
        <f t="shared" si="22"/>
        <v>0</v>
      </c>
      <c r="AE131">
        <f t="shared" si="29"/>
        <v>-2</v>
      </c>
      <c r="AF131">
        <f t="shared" si="23"/>
        <v>0</v>
      </c>
      <c r="AG131">
        <f t="shared" si="24"/>
        <v>0</v>
      </c>
      <c r="AH131" t="e">
        <f t="shared" si="25"/>
        <v>#N/A</v>
      </c>
      <c r="AI131">
        <f t="shared" si="26"/>
        <v>-1</v>
      </c>
      <c r="AJ131">
        <f t="shared" si="27"/>
        <v>0</v>
      </c>
      <c r="AK131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31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31">
        <f t="shared" si="28"/>
        <v>14.699999999999989</v>
      </c>
    </row>
    <row r="132" spans="2:39" x14ac:dyDescent="0.35">
      <c r="B132" s="12" t="str">
        <f>Demand!B134</f>
        <v/>
      </c>
      <c r="C132" s="7">
        <f>INDEX(Demand!$E$6:$S$265,MATCH('SPC Backing (Hide)'!$B132,Demand!$B$6:$B$265,0),MATCH('SPC Backing (Hide)'!C$3,Demand!$E$5:$S$5,0))</f>
        <v>0</v>
      </c>
      <c r="D132" s="5">
        <f>INDEX(Demand!$E$6:$S$265,MATCH('SPC Backing (Hide)'!$B132,Demand!$B$6:$B$265,0),MATCH('SPC Backing (Hide)'!D$3,Demand!$E$5:$S$5,0))</f>
        <v>0</v>
      </c>
      <c r="E132" s="5">
        <f>INDEX(Demand!$E$6:$S$265,MATCH('SPC Backing (Hide)'!$B132,Demand!$B$6:$B$265,0),MATCH('SPC Backing (Hide)'!E$3,Demand!$E$5:$S$5,0))</f>
        <v>0</v>
      </c>
      <c r="F132" s="5">
        <f>INDEX(Demand!$E$6:$S$265,MATCH('SPC Backing (Hide)'!$B132,Demand!$B$6:$B$265,0),MATCH('SPC Backing (Hide)'!F$3,Demand!$E$5:$S$5,0))</f>
        <v>0</v>
      </c>
      <c r="G132" s="5">
        <f>INDEX(Demand!$E$6:$S$265,MATCH('SPC Backing (Hide)'!$B132,Demand!$B$6:$B$265,0),MATCH('SPC Backing (Hide)'!G$3,Demand!$E$5:$S$5,0))</f>
        <v>0</v>
      </c>
      <c r="H132" s="5">
        <f>INDEX(Demand!$E$6:$S$265,MATCH('SPC Backing (Hide)'!$B132,Demand!$B$6:$B$265,0),MATCH('SPC Backing (Hide)'!H$3,Demand!$E$5:$S$5,0))</f>
        <v>0</v>
      </c>
      <c r="I132" s="5">
        <f>INDEX(Demand!$E$6:$S$265,MATCH('SPC Backing (Hide)'!$B132,Demand!$B$6:$B$265,0),MATCH('SPC Backing (Hide)'!I$3,Demand!$E$5:$S$5,0))</f>
        <v>0</v>
      </c>
      <c r="J132" s="5">
        <f>INDEX(Demand!$E$6:$S$265,MATCH('SPC Backing (Hide)'!$B132,Demand!$B$6:$B$265,0),MATCH('SPC Backing (Hide)'!J$3,Demand!$E$5:$S$5,0))</f>
        <v>0</v>
      </c>
      <c r="K132" s="5">
        <f>INDEX(Demand!$E$6:$S$265,MATCH('SPC Backing (Hide)'!$B132,Demand!$B$6:$B$265,0),MATCH('SPC Backing (Hide)'!K$3,Demand!$E$5:$S$5,0))</f>
        <v>0</v>
      </c>
      <c r="L132" s="5">
        <f>INDEX(Demand!$E$6:$S$265,MATCH('SPC Backing (Hide)'!$B132,Demand!$B$6:$B$265,0),MATCH('SPC Backing (Hide)'!L$3,Demand!$E$5:$S$5,0))</f>
        <v>0</v>
      </c>
      <c r="M132" s="5">
        <f>INDEX(Demand!$E$6:$S$265,MATCH('SPC Backing (Hide)'!$B132,Demand!$B$6:$B$265,0),MATCH('SPC Backing (Hide)'!M$3,Demand!$E$5:$S$5,0))</f>
        <v>0</v>
      </c>
      <c r="N132" s="5">
        <f>INDEX(Demand!$E$6:$S$265,MATCH('SPC Backing (Hide)'!$B132,Demand!$B$6:$B$265,0),MATCH('SPC Backing (Hide)'!N$3,Demand!$E$5:$S$5,0))</f>
        <v>0</v>
      </c>
      <c r="O132" s="5">
        <f>INDEX(Demand!$E$6:$S$265,MATCH('SPC Backing (Hide)'!$B132,Demand!$B$6:$B$265,0),MATCH('SPC Backing (Hide)'!O$3,Demand!$E$5:$S$5,0))</f>
        <v>0</v>
      </c>
      <c r="P132" s="5">
        <f>INDEX(Demand!$E$6:$S$265,MATCH('SPC Backing (Hide)'!$B132,Demand!$B$6:$B$265,0),MATCH('SPC Backing (Hide)'!P$3,Demand!$E$5:$S$5,0))</f>
        <v>0</v>
      </c>
      <c r="Q132" s="6">
        <f>INDEX(Demand!$E$6:$S$265,MATCH('SPC Backing (Hide)'!$B132,Demand!$B$6:$B$265,0),MATCH('SPC Backing (Hide)'!Q$3,Demand!$E$5:$S$5,0))</f>
        <v>0</v>
      </c>
      <c r="R132">
        <f>IF(SPC!$B$11="Yes",IF(ROW(A129)&gt;=Demand!$A$5-52,1,0),IF(AND(B132&gt;=SPC!$B$12,B132&lt;SPC!$B$13),1,0))</f>
        <v>1</v>
      </c>
      <c r="S132" cm="1">
        <f t="array" ref="S132">INDEX($C$4:$Q$263,ROW(A129),MATCH($T$2,$C$3:$Q$3,0))</f>
        <v>0</v>
      </c>
      <c r="T132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32" cm="1">
        <f t="array" ref="U132">ABS(INDEX($C$4:$Q$263,ROW(A129),MATCH($T$2,$C$3:$Q$3,0))-INDEX($C$4:$Q$263,ROW(A128),MATCH($T$2,$C$3:$Q$3,0)))</f>
        <v>0</v>
      </c>
      <c r="V132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32">
        <f t="shared" si="15"/>
        <v>40.813595610865789</v>
      </c>
      <c r="X132">
        <f t="shared" si="16"/>
        <v>108.80449618627055</v>
      </c>
      <c r="Y132">
        <f t="shared" si="17"/>
        <v>149.61809179713634</v>
      </c>
      <c r="Z132">
        <f t="shared" si="18"/>
        <v>190.43168740800212</v>
      </c>
      <c r="AA132">
        <f t="shared" si="19"/>
        <v>272.05887862973373</v>
      </c>
      <c r="AB132">
        <f t="shared" si="20"/>
        <v>312.8724742405995</v>
      </c>
      <c r="AC132">
        <f t="shared" si="21"/>
        <v>353.68606985146528</v>
      </c>
      <c r="AD132">
        <f t="shared" si="22"/>
        <v>0</v>
      </c>
      <c r="AE132">
        <f t="shared" si="29"/>
        <v>-2</v>
      </c>
      <c r="AF132">
        <f t="shared" si="23"/>
        <v>0</v>
      </c>
      <c r="AG132">
        <f t="shared" si="24"/>
        <v>0</v>
      </c>
      <c r="AH132" t="e">
        <f t="shared" si="25"/>
        <v>#N/A</v>
      </c>
      <c r="AI132">
        <f t="shared" si="26"/>
        <v>-1</v>
      </c>
      <c r="AJ132">
        <f t="shared" si="27"/>
        <v>0</v>
      </c>
      <c r="AK132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32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32">
        <f t="shared" si="28"/>
        <v>14.699999999999989</v>
      </c>
    </row>
    <row r="133" spans="2:39" x14ac:dyDescent="0.35">
      <c r="B133" s="12" t="str">
        <f>Demand!B135</f>
        <v/>
      </c>
      <c r="C133" s="7">
        <f>INDEX(Demand!$E$6:$S$265,MATCH('SPC Backing (Hide)'!$B133,Demand!$B$6:$B$265,0),MATCH('SPC Backing (Hide)'!C$3,Demand!$E$5:$S$5,0))</f>
        <v>0</v>
      </c>
      <c r="D133" s="5">
        <f>INDEX(Demand!$E$6:$S$265,MATCH('SPC Backing (Hide)'!$B133,Demand!$B$6:$B$265,0),MATCH('SPC Backing (Hide)'!D$3,Demand!$E$5:$S$5,0))</f>
        <v>0</v>
      </c>
      <c r="E133" s="5">
        <f>INDEX(Demand!$E$6:$S$265,MATCH('SPC Backing (Hide)'!$B133,Demand!$B$6:$B$265,0),MATCH('SPC Backing (Hide)'!E$3,Demand!$E$5:$S$5,0))</f>
        <v>0</v>
      </c>
      <c r="F133" s="5">
        <f>INDEX(Demand!$E$6:$S$265,MATCH('SPC Backing (Hide)'!$B133,Demand!$B$6:$B$265,0),MATCH('SPC Backing (Hide)'!F$3,Demand!$E$5:$S$5,0))</f>
        <v>0</v>
      </c>
      <c r="G133" s="5">
        <f>INDEX(Demand!$E$6:$S$265,MATCH('SPC Backing (Hide)'!$B133,Demand!$B$6:$B$265,0),MATCH('SPC Backing (Hide)'!G$3,Demand!$E$5:$S$5,0))</f>
        <v>0</v>
      </c>
      <c r="H133" s="5">
        <f>INDEX(Demand!$E$6:$S$265,MATCH('SPC Backing (Hide)'!$B133,Demand!$B$6:$B$265,0),MATCH('SPC Backing (Hide)'!H$3,Demand!$E$5:$S$5,0))</f>
        <v>0</v>
      </c>
      <c r="I133" s="5">
        <f>INDEX(Demand!$E$6:$S$265,MATCH('SPC Backing (Hide)'!$B133,Demand!$B$6:$B$265,0),MATCH('SPC Backing (Hide)'!I$3,Demand!$E$5:$S$5,0))</f>
        <v>0</v>
      </c>
      <c r="J133" s="5">
        <f>INDEX(Demand!$E$6:$S$265,MATCH('SPC Backing (Hide)'!$B133,Demand!$B$6:$B$265,0),MATCH('SPC Backing (Hide)'!J$3,Demand!$E$5:$S$5,0))</f>
        <v>0</v>
      </c>
      <c r="K133" s="5">
        <f>INDEX(Demand!$E$6:$S$265,MATCH('SPC Backing (Hide)'!$B133,Demand!$B$6:$B$265,0),MATCH('SPC Backing (Hide)'!K$3,Demand!$E$5:$S$5,0))</f>
        <v>0</v>
      </c>
      <c r="L133" s="5">
        <f>INDEX(Demand!$E$6:$S$265,MATCH('SPC Backing (Hide)'!$B133,Demand!$B$6:$B$265,0),MATCH('SPC Backing (Hide)'!L$3,Demand!$E$5:$S$5,0))</f>
        <v>0</v>
      </c>
      <c r="M133" s="5">
        <f>INDEX(Demand!$E$6:$S$265,MATCH('SPC Backing (Hide)'!$B133,Demand!$B$6:$B$265,0),MATCH('SPC Backing (Hide)'!M$3,Demand!$E$5:$S$5,0))</f>
        <v>0</v>
      </c>
      <c r="N133" s="5">
        <f>INDEX(Demand!$E$6:$S$265,MATCH('SPC Backing (Hide)'!$B133,Demand!$B$6:$B$265,0),MATCH('SPC Backing (Hide)'!N$3,Demand!$E$5:$S$5,0))</f>
        <v>0</v>
      </c>
      <c r="O133" s="5">
        <f>INDEX(Demand!$E$6:$S$265,MATCH('SPC Backing (Hide)'!$B133,Demand!$B$6:$B$265,0),MATCH('SPC Backing (Hide)'!O$3,Demand!$E$5:$S$5,0))</f>
        <v>0</v>
      </c>
      <c r="P133" s="5">
        <f>INDEX(Demand!$E$6:$S$265,MATCH('SPC Backing (Hide)'!$B133,Demand!$B$6:$B$265,0),MATCH('SPC Backing (Hide)'!P$3,Demand!$E$5:$S$5,0))</f>
        <v>0</v>
      </c>
      <c r="Q133" s="6">
        <f>INDEX(Demand!$E$6:$S$265,MATCH('SPC Backing (Hide)'!$B133,Demand!$B$6:$B$265,0),MATCH('SPC Backing (Hide)'!Q$3,Demand!$E$5:$S$5,0))</f>
        <v>0</v>
      </c>
      <c r="R133">
        <f>IF(SPC!$B$11="Yes",IF(ROW(A130)&gt;=Demand!$A$5-52,1,0),IF(AND(B133&gt;=SPC!$B$12,B133&lt;SPC!$B$13),1,0))</f>
        <v>1</v>
      </c>
      <c r="S133" cm="1">
        <f t="array" ref="S133">INDEX($C$4:$Q$263,ROW(A130),MATCH($T$2,$C$3:$Q$3,0))</f>
        <v>0</v>
      </c>
      <c r="T133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33" cm="1">
        <f t="array" ref="U133">ABS(INDEX($C$4:$Q$263,ROW(A130),MATCH($T$2,$C$3:$Q$3,0))-INDEX($C$4:$Q$263,ROW(A129),MATCH($T$2,$C$3:$Q$3,0)))</f>
        <v>0</v>
      </c>
      <c r="V133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33">
        <f t="shared" ref="W133:W196" si="30">V133/1.128</f>
        <v>40.813595610865789</v>
      </c>
      <c r="X133">
        <f t="shared" ref="X133:X196" si="31">MAX(0,T133-(3*W133))</f>
        <v>108.80449618627055</v>
      </c>
      <c r="Y133">
        <f t="shared" ref="Y133:Y196" si="32">MAX(0,T133-(2*W133))</f>
        <v>149.61809179713634</v>
      </c>
      <c r="Z133">
        <f t="shared" ref="Z133:Z196" si="33">MAX(0,T133-W133)</f>
        <v>190.43168740800212</v>
      </c>
      <c r="AA133">
        <f t="shared" ref="AA133:AA196" si="34">T133+W133</f>
        <v>272.05887862973373</v>
      </c>
      <c r="AB133">
        <f t="shared" ref="AB133:AB196" si="35">T133+(2*W133)</f>
        <v>312.8724742405995</v>
      </c>
      <c r="AC133">
        <f t="shared" ref="AC133:AC196" si="36">T133+(3*W133)</f>
        <v>353.68606985146528</v>
      </c>
      <c r="AD133">
        <f t="shared" ref="AD133:AD196" si="37">IF(OR(S133&gt;AC133,S133&lt;X133),S133,NA())</f>
        <v>0</v>
      </c>
      <c r="AE133">
        <f t="shared" si="29"/>
        <v>-2</v>
      </c>
      <c r="AF133">
        <f t="shared" ref="AF133:AF196" si="38">IF(ABS(SUM(AE133:AE135))&gt;=5,S133,NA())</f>
        <v>0</v>
      </c>
      <c r="AG133">
        <f t="shared" ref="AG133:AG196" si="39">IF(S134&gt;S133,1,IF(S134&lt;S133,-1,0))</f>
        <v>0</v>
      </c>
      <c r="AH133" t="e">
        <f t="shared" ref="AH133:AH196" si="40">IF(ABS(SUM(AG133:AG138))=6,S133,NA())</f>
        <v>#N/A</v>
      </c>
      <c r="AI133">
        <f t="shared" ref="AI133:AI196" si="41">IF(S133&lt;T133,-1,IF(S133&gt;T133,1,0))</f>
        <v>-1</v>
      </c>
      <c r="AJ133">
        <f t="shared" ref="AJ133:AJ196" si="42">IF(ABS(SUM(AI133:AI141))=9,S133,NA())</f>
        <v>0</v>
      </c>
      <c r="AK133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33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33">
        <f t="shared" ref="AM133:AM196" si="43">AL133-AK133</f>
        <v>14.699999999999989</v>
      </c>
    </row>
    <row r="134" spans="2:39" x14ac:dyDescent="0.35">
      <c r="B134" s="12" t="str">
        <f>Demand!B136</f>
        <v/>
      </c>
      <c r="C134" s="7">
        <f>INDEX(Demand!$E$6:$S$265,MATCH('SPC Backing (Hide)'!$B134,Demand!$B$6:$B$265,0),MATCH('SPC Backing (Hide)'!C$3,Demand!$E$5:$S$5,0))</f>
        <v>0</v>
      </c>
      <c r="D134" s="5">
        <f>INDEX(Demand!$E$6:$S$265,MATCH('SPC Backing (Hide)'!$B134,Demand!$B$6:$B$265,0),MATCH('SPC Backing (Hide)'!D$3,Demand!$E$5:$S$5,0))</f>
        <v>0</v>
      </c>
      <c r="E134" s="5">
        <f>INDEX(Demand!$E$6:$S$265,MATCH('SPC Backing (Hide)'!$B134,Demand!$B$6:$B$265,0),MATCH('SPC Backing (Hide)'!E$3,Demand!$E$5:$S$5,0))</f>
        <v>0</v>
      </c>
      <c r="F134" s="5">
        <f>INDEX(Demand!$E$6:$S$265,MATCH('SPC Backing (Hide)'!$B134,Demand!$B$6:$B$265,0),MATCH('SPC Backing (Hide)'!F$3,Demand!$E$5:$S$5,0))</f>
        <v>0</v>
      </c>
      <c r="G134" s="5">
        <f>INDEX(Demand!$E$6:$S$265,MATCH('SPC Backing (Hide)'!$B134,Demand!$B$6:$B$265,0),MATCH('SPC Backing (Hide)'!G$3,Demand!$E$5:$S$5,0))</f>
        <v>0</v>
      </c>
      <c r="H134" s="5">
        <f>INDEX(Demand!$E$6:$S$265,MATCH('SPC Backing (Hide)'!$B134,Demand!$B$6:$B$265,0),MATCH('SPC Backing (Hide)'!H$3,Demand!$E$5:$S$5,0))</f>
        <v>0</v>
      </c>
      <c r="I134" s="5">
        <f>INDEX(Demand!$E$6:$S$265,MATCH('SPC Backing (Hide)'!$B134,Demand!$B$6:$B$265,0),MATCH('SPC Backing (Hide)'!I$3,Demand!$E$5:$S$5,0))</f>
        <v>0</v>
      </c>
      <c r="J134" s="5">
        <f>INDEX(Demand!$E$6:$S$265,MATCH('SPC Backing (Hide)'!$B134,Demand!$B$6:$B$265,0),MATCH('SPC Backing (Hide)'!J$3,Demand!$E$5:$S$5,0))</f>
        <v>0</v>
      </c>
      <c r="K134" s="5">
        <f>INDEX(Demand!$E$6:$S$265,MATCH('SPC Backing (Hide)'!$B134,Demand!$B$6:$B$265,0),MATCH('SPC Backing (Hide)'!K$3,Demand!$E$5:$S$5,0))</f>
        <v>0</v>
      </c>
      <c r="L134" s="5">
        <f>INDEX(Demand!$E$6:$S$265,MATCH('SPC Backing (Hide)'!$B134,Demand!$B$6:$B$265,0),MATCH('SPC Backing (Hide)'!L$3,Demand!$E$5:$S$5,0))</f>
        <v>0</v>
      </c>
      <c r="M134" s="5">
        <f>INDEX(Demand!$E$6:$S$265,MATCH('SPC Backing (Hide)'!$B134,Demand!$B$6:$B$265,0),MATCH('SPC Backing (Hide)'!M$3,Demand!$E$5:$S$5,0))</f>
        <v>0</v>
      </c>
      <c r="N134" s="5">
        <f>INDEX(Demand!$E$6:$S$265,MATCH('SPC Backing (Hide)'!$B134,Demand!$B$6:$B$265,0),MATCH('SPC Backing (Hide)'!N$3,Demand!$E$5:$S$5,0))</f>
        <v>0</v>
      </c>
      <c r="O134" s="5">
        <f>INDEX(Demand!$E$6:$S$265,MATCH('SPC Backing (Hide)'!$B134,Demand!$B$6:$B$265,0),MATCH('SPC Backing (Hide)'!O$3,Demand!$E$5:$S$5,0))</f>
        <v>0</v>
      </c>
      <c r="P134" s="5">
        <f>INDEX(Demand!$E$6:$S$265,MATCH('SPC Backing (Hide)'!$B134,Demand!$B$6:$B$265,0),MATCH('SPC Backing (Hide)'!P$3,Demand!$E$5:$S$5,0))</f>
        <v>0</v>
      </c>
      <c r="Q134" s="6">
        <f>INDEX(Demand!$E$6:$S$265,MATCH('SPC Backing (Hide)'!$B134,Demand!$B$6:$B$265,0),MATCH('SPC Backing (Hide)'!Q$3,Demand!$E$5:$S$5,0))</f>
        <v>0</v>
      </c>
      <c r="R134">
        <f>IF(SPC!$B$11="Yes",IF(ROW(A131)&gt;=Demand!$A$5-52,1,0),IF(AND(B134&gt;=SPC!$B$12,B134&lt;SPC!$B$13),1,0))</f>
        <v>1</v>
      </c>
      <c r="S134" cm="1">
        <f t="array" ref="S134">INDEX($C$4:$Q$263,ROW(A131),MATCH($T$2,$C$3:$Q$3,0))</f>
        <v>0</v>
      </c>
      <c r="T134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34" cm="1">
        <f t="array" ref="U134">ABS(INDEX($C$4:$Q$263,ROW(A131),MATCH($T$2,$C$3:$Q$3,0))-INDEX($C$4:$Q$263,ROW(A130),MATCH($T$2,$C$3:$Q$3,0)))</f>
        <v>0</v>
      </c>
      <c r="V134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34">
        <f t="shared" si="30"/>
        <v>40.813595610865789</v>
      </c>
      <c r="X134">
        <f t="shared" si="31"/>
        <v>108.80449618627055</v>
      </c>
      <c r="Y134">
        <f t="shared" si="32"/>
        <v>149.61809179713634</v>
      </c>
      <c r="Z134">
        <f t="shared" si="33"/>
        <v>190.43168740800212</v>
      </c>
      <c r="AA134">
        <f t="shared" si="34"/>
        <v>272.05887862973373</v>
      </c>
      <c r="AB134">
        <f t="shared" si="35"/>
        <v>312.8724742405995</v>
      </c>
      <c r="AC134">
        <f t="shared" si="36"/>
        <v>353.68606985146528</v>
      </c>
      <c r="AD134">
        <f t="shared" si="37"/>
        <v>0</v>
      </c>
      <c r="AE134">
        <f t="shared" ref="AE134:AE197" si="44">IF(S134&gt;AB134,2,IF(S134&lt;Y134,-2,IF(S134&gt;T134,1,IF(S134&lt;T134,-1,0))))</f>
        <v>-2</v>
      </c>
      <c r="AF134">
        <f t="shared" si="38"/>
        <v>0</v>
      </c>
      <c r="AG134">
        <f t="shared" si="39"/>
        <v>0</v>
      </c>
      <c r="AH134" t="e">
        <f t="shared" si="40"/>
        <v>#N/A</v>
      </c>
      <c r="AI134">
        <f t="shared" si="41"/>
        <v>-1</v>
      </c>
      <c r="AJ134">
        <f t="shared" si="42"/>
        <v>0</v>
      </c>
      <c r="AK134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34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34">
        <f t="shared" si="43"/>
        <v>14.699999999999989</v>
      </c>
    </row>
    <row r="135" spans="2:39" x14ac:dyDescent="0.35">
      <c r="B135" s="12" t="str">
        <f>Demand!B137</f>
        <v/>
      </c>
      <c r="C135" s="7">
        <f>INDEX(Demand!$E$6:$S$265,MATCH('SPC Backing (Hide)'!$B135,Demand!$B$6:$B$265,0),MATCH('SPC Backing (Hide)'!C$3,Demand!$E$5:$S$5,0))</f>
        <v>0</v>
      </c>
      <c r="D135" s="5">
        <f>INDEX(Demand!$E$6:$S$265,MATCH('SPC Backing (Hide)'!$B135,Demand!$B$6:$B$265,0),MATCH('SPC Backing (Hide)'!D$3,Demand!$E$5:$S$5,0))</f>
        <v>0</v>
      </c>
      <c r="E135" s="5">
        <f>INDEX(Demand!$E$6:$S$265,MATCH('SPC Backing (Hide)'!$B135,Demand!$B$6:$B$265,0),MATCH('SPC Backing (Hide)'!E$3,Demand!$E$5:$S$5,0))</f>
        <v>0</v>
      </c>
      <c r="F135" s="5">
        <f>INDEX(Demand!$E$6:$S$265,MATCH('SPC Backing (Hide)'!$B135,Demand!$B$6:$B$265,0),MATCH('SPC Backing (Hide)'!F$3,Demand!$E$5:$S$5,0))</f>
        <v>0</v>
      </c>
      <c r="G135" s="5">
        <f>INDEX(Demand!$E$6:$S$265,MATCH('SPC Backing (Hide)'!$B135,Demand!$B$6:$B$265,0),MATCH('SPC Backing (Hide)'!G$3,Demand!$E$5:$S$5,0))</f>
        <v>0</v>
      </c>
      <c r="H135" s="5">
        <f>INDEX(Demand!$E$6:$S$265,MATCH('SPC Backing (Hide)'!$B135,Demand!$B$6:$B$265,0),MATCH('SPC Backing (Hide)'!H$3,Demand!$E$5:$S$5,0))</f>
        <v>0</v>
      </c>
      <c r="I135" s="5">
        <f>INDEX(Demand!$E$6:$S$265,MATCH('SPC Backing (Hide)'!$B135,Demand!$B$6:$B$265,0),MATCH('SPC Backing (Hide)'!I$3,Demand!$E$5:$S$5,0))</f>
        <v>0</v>
      </c>
      <c r="J135" s="5">
        <f>INDEX(Demand!$E$6:$S$265,MATCH('SPC Backing (Hide)'!$B135,Demand!$B$6:$B$265,0),MATCH('SPC Backing (Hide)'!J$3,Demand!$E$5:$S$5,0))</f>
        <v>0</v>
      </c>
      <c r="K135" s="5">
        <f>INDEX(Demand!$E$6:$S$265,MATCH('SPC Backing (Hide)'!$B135,Demand!$B$6:$B$265,0),MATCH('SPC Backing (Hide)'!K$3,Demand!$E$5:$S$5,0))</f>
        <v>0</v>
      </c>
      <c r="L135" s="5">
        <f>INDEX(Demand!$E$6:$S$265,MATCH('SPC Backing (Hide)'!$B135,Demand!$B$6:$B$265,0),MATCH('SPC Backing (Hide)'!L$3,Demand!$E$5:$S$5,0))</f>
        <v>0</v>
      </c>
      <c r="M135" s="5">
        <f>INDEX(Demand!$E$6:$S$265,MATCH('SPC Backing (Hide)'!$B135,Demand!$B$6:$B$265,0),MATCH('SPC Backing (Hide)'!M$3,Demand!$E$5:$S$5,0))</f>
        <v>0</v>
      </c>
      <c r="N135" s="5">
        <f>INDEX(Demand!$E$6:$S$265,MATCH('SPC Backing (Hide)'!$B135,Demand!$B$6:$B$265,0),MATCH('SPC Backing (Hide)'!N$3,Demand!$E$5:$S$5,0))</f>
        <v>0</v>
      </c>
      <c r="O135" s="5">
        <f>INDEX(Demand!$E$6:$S$265,MATCH('SPC Backing (Hide)'!$B135,Demand!$B$6:$B$265,0),MATCH('SPC Backing (Hide)'!O$3,Demand!$E$5:$S$5,0))</f>
        <v>0</v>
      </c>
      <c r="P135" s="5">
        <f>INDEX(Demand!$E$6:$S$265,MATCH('SPC Backing (Hide)'!$B135,Demand!$B$6:$B$265,0),MATCH('SPC Backing (Hide)'!P$3,Demand!$E$5:$S$5,0))</f>
        <v>0</v>
      </c>
      <c r="Q135" s="6">
        <f>INDEX(Demand!$E$6:$S$265,MATCH('SPC Backing (Hide)'!$B135,Demand!$B$6:$B$265,0),MATCH('SPC Backing (Hide)'!Q$3,Demand!$E$5:$S$5,0))</f>
        <v>0</v>
      </c>
      <c r="R135">
        <f>IF(SPC!$B$11="Yes",IF(ROW(A132)&gt;=Demand!$A$5-52,1,0),IF(AND(B135&gt;=SPC!$B$12,B135&lt;SPC!$B$13),1,0))</f>
        <v>1</v>
      </c>
      <c r="S135" cm="1">
        <f t="array" ref="S135">INDEX($C$4:$Q$263,ROW(A132),MATCH($T$2,$C$3:$Q$3,0))</f>
        <v>0</v>
      </c>
      <c r="T135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35" cm="1">
        <f t="array" ref="U135">ABS(INDEX($C$4:$Q$263,ROW(A132),MATCH($T$2,$C$3:$Q$3,0))-INDEX($C$4:$Q$263,ROW(A131),MATCH($T$2,$C$3:$Q$3,0)))</f>
        <v>0</v>
      </c>
      <c r="V135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35">
        <f t="shared" si="30"/>
        <v>40.813595610865789</v>
      </c>
      <c r="X135">
        <f t="shared" si="31"/>
        <v>108.80449618627055</v>
      </c>
      <c r="Y135">
        <f t="shared" si="32"/>
        <v>149.61809179713634</v>
      </c>
      <c r="Z135">
        <f t="shared" si="33"/>
        <v>190.43168740800212</v>
      </c>
      <c r="AA135">
        <f t="shared" si="34"/>
        <v>272.05887862973373</v>
      </c>
      <c r="AB135">
        <f t="shared" si="35"/>
        <v>312.8724742405995</v>
      </c>
      <c r="AC135">
        <f t="shared" si="36"/>
        <v>353.68606985146528</v>
      </c>
      <c r="AD135">
        <f t="shared" si="37"/>
        <v>0</v>
      </c>
      <c r="AE135">
        <f t="shared" si="44"/>
        <v>-2</v>
      </c>
      <c r="AF135">
        <f t="shared" si="38"/>
        <v>0</v>
      </c>
      <c r="AG135">
        <f t="shared" si="39"/>
        <v>0</v>
      </c>
      <c r="AH135" t="e">
        <f t="shared" si="40"/>
        <v>#N/A</v>
      </c>
      <c r="AI135">
        <f t="shared" si="41"/>
        <v>-1</v>
      </c>
      <c r="AJ135">
        <f t="shared" si="42"/>
        <v>0</v>
      </c>
      <c r="AK135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35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35">
        <f t="shared" si="43"/>
        <v>14.699999999999989</v>
      </c>
    </row>
    <row r="136" spans="2:39" x14ac:dyDescent="0.35">
      <c r="B136" s="12" t="str">
        <f>Demand!B138</f>
        <v/>
      </c>
      <c r="C136" s="7">
        <f>INDEX(Demand!$E$6:$S$265,MATCH('SPC Backing (Hide)'!$B136,Demand!$B$6:$B$265,0),MATCH('SPC Backing (Hide)'!C$3,Demand!$E$5:$S$5,0))</f>
        <v>0</v>
      </c>
      <c r="D136" s="5">
        <f>INDEX(Demand!$E$6:$S$265,MATCH('SPC Backing (Hide)'!$B136,Demand!$B$6:$B$265,0),MATCH('SPC Backing (Hide)'!D$3,Demand!$E$5:$S$5,0))</f>
        <v>0</v>
      </c>
      <c r="E136" s="5">
        <f>INDEX(Demand!$E$6:$S$265,MATCH('SPC Backing (Hide)'!$B136,Demand!$B$6:$B$265,0),MATCH('SPC Backing (Hide)'!E$3,Demand!$E$5:$S$5,0))</f>
        <v>0</v>
      </c>
      <c r="F136" s="5">
        <f>INDEX(Demand!$E$6:$S$265,MATCH('SPC Backing (Hide)'!$B136,Demand!$B$6:$B$265,0),MATCH('SPC Backing (Hide)'!F$3,Demand!$E$5:$S$5,0))</f>
        <v>0</v>
      </c>
      <c r="G136" s="5">
        <f>INDEX(Demand!$E$6:$S$265,MATCH('SPC Backing (Hide)'!$B136,Demand!$B$6:$B$265,0),MATCH('SPC Backing (Hide)'!G$3,Demand!$E$5:$S$5,0))</f>
        <v>0</v>
      </c>
      <c r="H136" s="5">
        <f>INDEX(Demand!$E$6:$S$265,MATCH('SPC Backing (Hide)'!$B136,Demand!$B$6:$B$265,0),MATCH('SPC Backing (Hide)'!H$3,Demand!$E$5:$S$5,0))</f>
        <v>0</v>
      </c>
      <c r="I136" s="5">
        <f>INDEX(Demand!$E$6:$S$265,MATCH('SPC Backing (Hide)'!$B136,Demand!$B$6:$B$265,0),MATCH('SPC Backing (Hide)'!I$3,Demand!$E$5:$S$5,0))</f>
        <v>0</v>
      </c>
      <c r="J136" s="5">
        <f>INDEX(Demand!$E$6:$S$265,MATCH('SPC Backing (Hide)'!$B136,Demand!$B$6:$B$265,0),MATCH('SPC Backing (Hide)'!J$3,Demand!$E$5:$S$5,0))</f>
        <v>0</v>
      </c>
      <c r="K136" s="5">
        <f>INDEX(Demand!$E$6:$S$265,MATCH('SPC Backing (Hide)'!$B136,Demand!$B$6:$B$265,0),MATCH('SPC Backing (Hide)'!K$3,Demand!$E$5:$S$5,0))</f>
        <v>0</v>
      </c>
      <c r="L136" s="5">
        <f>INDEX(Demand!$E$6:$S$265,MATCH('SPC Backing (Hide)'!$B136,Demand!$B$6:$B$265,0),MATCH('SPC Backing (Hide)'!L$3,Demand!$E$5:$S$5,0))</f>
        <v>0</v>
      </c>
      <c r="M136" s="5">
        <f>INDEX(Demand!$E$6:$S$265,MATCH('SPC Backing (Hide)'!$B136,Demand!$B$6:$B$265,0),MATCH('SPC Backing (Hide)'!M$3,Demand!$E$5:$S$5,0))</f>
        <v>0</v>
      </c>
      <c r="N136" s="5">
        <f>INDEX(Demand!$E$6:$S$265,MATCH('SPC Backing (Hide)'!$B136,Demand!$B$6:$B$265,0),MATCH('SPC Backing (Hide)'!N$3,Demand!$E$5:$S$5,0))</f>
        <v>0</v>
      </c>
      <c r="O136" s="5">
        <f>INDEX(Demand!$E$6:$S$265,MATCH('SPC Backing (Hide)'!$B136,Demand!$B$6:$B$265,0),MATCH('SPC Backing (Hide)'!O$3,Demand!$E$5:$S$5,0))</f>
        <v>0</v>
      </c>
      <c r="P136" s="5">
        <f>INDEX(Demand!$E$6:$S$265,MATCH('SPC Backing (Hide)'!$B136,Demand!$B$6:$B$265,0),MATCH('SPC Backing (Hide)'!P$3,Demand!$E$5:$S$5,0))</f>
        <v>0</v>
      </c>
      <c r="Q136" s="6">
        <f>INDEX(Demand!$E$6:$S$265,MATCH('SPC Backing (Hide)'!$B136,Demand!$B$6:$B$265,0),MATCH('SPC Backing (Hide)'!Q$3,Demand!$E$5:$S$5,0))</f>
        <v>0</v>
      </c>
      <c r="R136">
        <f>IF(SPC!$B$11="Yes",IF(ROW(A133)&gt;=Demand!$A$5-52,1,0),IF(AND(B136&gt;=SPC!$B$12,B136&lt;SPC!$B$13),1,0))</f>
        <v>1</v>
      </c>
      <c r="S136" cm="1">
        <f t="array" ref="S136">INDEX($C$4:$Q$263,ROW(A133),MATCH($T$2,$C$3:$Q$3,0))</f>
        <v>0</v>
      </c>
      <c r="T136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36" cm="1">
        <f t="array" ref="U136">ABS(INDEX($C$4:$Q$263,ROW(A133),MATCH($T$2,$C$3:$Q$3,0))-INDEX($C$4:$Q$263,ROW(A132),MATCH($T$2,$C$3:$Q$3,0)))</f>
        <v>0</v>
      </c>
      <c r="V136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36">
        <f t="shared" si="30"/>
        <v>40.813595610865789</v>
      </c>
      <c r="X136">
        <f t="shared" si="31"/>
        <v>108.80449618627055</v>
      </c>
      <c r="Y136">
        <f t="shared" si="32"/>
        <v>149.61809179713634</v>
      </c>
      <c r="Z136">
        <f t="shared" si="33"/>
        <v>190.43168740800212</v>
      </c>
      <c r="AA136">
        <f t="shared" si="34"/>
        <v>272.05887862973373</v>
      </c>
      <c r="AB136">
        <f t="shared" si="35"/>
        <v>312.8724742405995</v>
      </c>
      <c r="AC136">
        <f t="shared" si="36"/>
        <v>353.68606985146528</v>
      </c>
      <c r="AD136">
        <f t="shared" si="37"/>
        <v>0</v>
      </c>
      <c r="AE136">
        <f t="shared" si="44"/>
        <v>-2</v>
      </c>
      <c r="AF136">
        <f t="shared" si="38"/>
        <v>0</v>
      </c>
      <c r="AG136">
        <f t="shared" si="39"/>
        <v>0</v>
      </c>
      <c r="AH136" t="e">
        <f t="shared" si="40"/>
        <v>#N/A</v>
      </c>
      <c r="AI136">
        <f t="shared" si="41"/>
        <v>-1</v>
      </c>
      <c r="AJ136">
        <f t="shared" si="42"/>
        <v>0</v>
      </c>
      <c r="AK136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36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36">
        <f t="shared" si="43"/>
        <v>14.699999999999989</v>
      </c>
    </row>
    <row r="137" spans="2:39" x14ac:dyDescent="0.35">
      <c r="B137" s="12" t="str">
        <f>Demand!B139</f>
        <v/>
      </c>
      <c r="C137" s="7">
        <f>INDEX(Demand!$E$6:$S$265,MATCH('SPC Backing (Hide)'!$B137,Demand!$B$6:$B$265,0),MATCH('SPC Backing (Hide)'!C$3,Demand!$E$5:$S$5,0))</f>
        <v>0</v>
      </c>
      <c r="D137" s="5">
        <f>INDEX(Demand!$E$6:$S$265,MATCH('SPC Backing (Hide)'!$B137,Demand!$B$6:$B$265,0),MATCH('SPC Backing (Hide)'!D$3,Demand!$E$5:$S$5,0))</f>
        <v>0</v>
      </c>
      <c r="E137" s="5">
        <f>INDEX(Demand!$E$6:$S$265,MATCH('SPC Backing (Hide)'!$B137,Demand!$B$6:$B$265,0),MATCH('SPC Backing (Hide)'!E$3,Demand!$E$5:$S$5,0))</f>
        <v>0</v>
      </c>
      <c r="F137" s="5">
        <f>INDEX(Demand!$E$6:$S$265,MATCH('SPC Backing (Hide)'!$B137,Demand!$B$6:$B$265,0),MATCH('SPC Backing (Hide)'!F$3,Demand!$E$5:$S$5,0))</f>
        <v>0</v>
      </c>
      <c r="G137" s="5">
        <f>INDEX(Demand!$E$6:$S$265,MATCH('SPC Backing (Hide)'!$B137,Demand!$B$6:$B$265,0),MATCH('SPC Backing (Hide)'!G$3,Demand!$E$5:$S$5,0))</f>
        <v>0</v>
      </c>
      <c r="H137" s="5">
        <f>INDEX(Demand!$E$6:$S$265,MATCH('SPC Backing (Hide)'!$B137,Demand!$B$6:$B$265,0),MATCH('SPC Backing (Hide)'!H$3,Demand!$E$5:$S$5,0))</f>
        <v>0</v>
      </c>
      <c r="I137" s="5">
        <f>INDEX(Demand!$E$6:$S$265,MATCH('SPC Backing (Hide)'!$B137,Demand!$B$6:$B$265,0),MATCH('SPC Backing (Hide)'!I$3,Demand!$E$5:$S$5,0))</f>
        <v>0</v>
      </c>
      <c r="J137" s="5">
        <f>INDEX(Demand!$E$6:$S$265,MATCH('SPC Backing (Hide)'!$B137,Demand!$B$6:$B$265,0),MATCH('SPC Backing (Hide)'!J$3,Demand!$E$5:$S$5,0))</f>
        <v>0</v>
      </c>
      <c r="K137" s="5">
        <f>INDEX(Demand!$E$6:$S$265,MATCH('SPC Backing (Hide)'!$B137,Demand!$B$6:$B$265,0),MATCH('SPC Backing (Hide)'!K$3,Demand!$E$5:$S$5,0))</f>
        <v>0</v>
      </c>
      <c r="L137" s="5">
        <f>INDEX(Demand!$E$6:$S$265,MATCH('SPC Backing (Hide)'!$B137,Demand!$B$6:$B$265,0),MATCH('SPC Backing (Hide)'!L$3,Demand!$E$5:$S$5,0))</f>
        <v>0</v>
      </c>
      <c r="M137" s="5">
        <f>INDEX(Demand!$E$6:$S$265,MATCH('SPC Backing (Hide)'!$B137,Demand!$B$6:$B$265,0),MATCH('SPC Backing (Hide)'!M$3,Demand!$E$5:$S$5,0))</f>
        <v>0</v>
      </c>
      <c r="N137" s="5">
        <f>INDEX(Demand!$E$6:$S$265,MATCH('SPC Backing (Hide)'!$B137,Demand!$B$6:$B$265,0),MATCH('SPC Backing (Hide)'!N$3,Demand!$E$5:$S$5,0))</f>
        <v>0</v>
      </c>
      <c r="O137" s="5">
        <f>INDEX(Demand!$E$6:$S$265,MATCH('SPC Backing (Hide)'!$B137,Demand!$B$6:$B$265,0),MATCH('SPC Backing (Hide)'!O$3,Demand!$E$5:$S$5,0))</f>
        <v>0</v>
      </c>
      <c r="P137" s="5">
        <f>INDEX(Demand!$E$6:$S$265,MATCH('SPC Backing (Hide)'!$B137,Demand!$B$6:$B$265,0),MATCH('SPC Backing (Hide)'!P$3,Demand!$E$5:$S$5,0))</f>
        <v>0</v>
      </c>
      <c r="Q137" s="6">
        <f>INDEX(Demand!$E$6:$S$265,MATCH('SPC Backing (Hide)'!$B137,Demand!$B$6:$B$265,0),MATCH('SPC Backing (Hide)'!Q$3,Demand!$E$5:$S$5,0))</f>
        <v>0</v>
      </c>
      <c r="R137">
        <f>IF(SPC!$B$11="Yes",IF(ROW(A134)&gt;=Demand!$A$5-52,1,0),IF(AND(B137&gt;=SPC!$B$12,B137&lt;SPC!$B$13),1,0))</f>
        <v>1</v>
      </c>
      <c r="S137" cm="1">
        <f t="array" ref="S137">INDEX($C$4:$Q$263,ROW(A134),MATCH($T$2,$C$3:$Q$3,0))</f>
        <v>0</v>
      </c>
      <c r="T137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37" cm="1">
        <f t="array" ref="U137">ABS(INDEX($C$4:$Q$263,ROW(A134),MATCH($T$2,$C$3:$Q$3,0))-INDEX($C$4:$Q$263,ROW(A133),MATCH($T$2,$C$3:$Q$3,0)))</f>
        <v>0</v>
      </c>
      <c r="V137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37">
        <f t="shared" si="30"/>
        <v>40.813595610865789</v>
      </c>
      <c r="X137">
        <f t="shared" si="31"/>
        <v>108.80449618627055</v>
      </c>
      <c r="Y137">
        <f t="shared" si="32"/>
        <v>149.61809179713634</v>
      </c>
      <c r="Z137">
        <f t="shared" si="33"/>
        <v>190.43168740800212</v>
      </c>
      <c r="AA137">
        <f t="shared" si="34"/>
        <v>272.05887862973373</v>
      </c>
      <c r="AB137">
        <f t="shared" si="35"/>
        <v>312.8724742405995</v>
      </c>
      <c r="AC137">
        <f t="shared" si="36"/>
        <v>353.68606985146528</v>
      </c>
      <c r="AD137">
        <f t="shared" si="37"/>
        <v>0</v>
      </c>
      <c r="AE137">
        <f t="shared" si="44"/>
        <v>-2</v>
      </c>
      <c r="AF137">
        <f t="shared" si="38"/>
        <v>0</v>
      </c>
      <c r="AG137">
        <f t="shared" si="39"/>
        <v>0</v>
      </c>
      <c r="AH137" t="e">
        <f t="shared" si="40"/>
        <v>#N/A</v>
      </c>
      <c r="AI137">
        <f t="shared" si="41"/>
        <v>-1</v>
      </c>
      <c r="AJ137">
        <f t="shared" si="42"/>
        <v>0</v>
      </c>
      <c r="AK137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37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37">
        <f t="shared" si="43"/>
        <v>14.699999999999989</v>
      </c>
    </row>
    <row r="138" spans="2:39" x14ac:dyDescent="0.35">
      <c r="B138" s="12" t="str">
        <f>Demand!B140</f>
        <v/>
      </c>
      <c r="C138" s="7">
        <f>INDEX(Demand!$E$6:$S$265,MATCH('SPC Backing (Hide)'!$B138,Demand!$B$6:$B$265,0),MATCH('SPC Backing (Hide)'!C$3,Demand!$E$5:$S$5,0))</f>
        <v>0</v>
      </c>
      <c r="D138" s="5">
        <f>INDEX(Demand!$E$6:$S$265,MATCH('SPC Backing (Hide)'!$B138,Demand!$B$6:$B$265,0),MATCH('SPC Backing (Hide)'!D$3,Demand!$E$5:$S$5,0))</f>
        <v>0</v>
      </c>
      <c r="E138" s="5">
        <f>INDEX(Demand!$E$6:$S$265,MATCH('SPC Backing (Hide)'!$B138,Demand!$B$6:$B$265,0),MATCH('SPC Backing (Hide)'!E$3,Demand!$E$5:$S$5,0))</f>
        <v>0</v>
      </c>
      <c r="F138" s="5">
        <f>INDEX(Demand!$E$6:$S$265,MATCH('SPC Backing (Hide)'!$B138,Demand!$B$6:$B$265,0),MATCH('SPC Backing (Hide)'!F$3,Demand!$E$5:$S$5,0))</f>
        <v>0</v>
      </c>
      <c r="G138" s="5">
        <f>INDEX(Demand!$E$6:$S$265,MATCH('SPC Backing (Hide)'!$B138,Demand!$B$6:$B$265,0),MATCH('SPC Backing (Hide)'!G$3,Demand!$E$5:$S$5,0))</f>
        <v>0</v>
      </c>
      <c r="H138" s="5">
        <f>INDEX(Demand!$E$6:$S$265,MATCH('SPC Backing (Hide)'!$B138,Demand!$B$6:$B$265,0),MATCH('SPC Backing (Hide)'!H$3,Demand!$E$5:$S$5,0))</f>
        <v>0</v>
      </c>
      <c r="I138" s="5">
        <f>INDEX(Demand!$E$6:$S$265,MATCH('SPC Backing (Hide)'!$B138,Demand!$B$6:$B$265,0),MATCH('SPC Backing (Hide)'!I$3,Demand!$E$5:$S$5,0))</f>
        <v>0</v>
      </c>
      <c r="J138" s="5">
        <f>INDEX(Demand!$E$6:$S$265,MATCH('SPC Backing (Hide)'!$B138,Demand!$B$6:$B$265,0),MATCH('SPC Backing (Hide)'!J$3,Demand!$E$5:$S$5,0))</f>
        <v>0</v>
      </c>
      <c r="K138" s="5">
        <f>INDEX(Demand!$E$6:$S$265,MATCH('SPC Backing (Hide)'!$B138,Demand!$B$6:$B$265,0),MATCH('SPC Backing (Hide)'!K$3,Demand!$E$5:$S$5,0))</f>
        <v>0</v>
      </c>
      <c r="L138" s="5">
        <f>INDEX(Demand!$E$6:$S$265,MATCH('SPC Backing (Hide)'!$B138,Demand!$B$6:$B$265,0),MATCH('SPC Backing (Hide)'!L$3,Demand!$E$5:$S$5,0))</f>
        <v>0</v>
      </c>
      <c r="M138" s="5">
        <f>INDEX(Demand!$E$6:$S$265,MATCH('SPC Backing (Hide)'!$B138,Demand!$B$6:$B$265,0),MATCH('SPC Backing (Hide)'!M$3,Demand!$E$5:$S$5,0))</f>
        <v>0</v>
      </c>
      <c r="N138" s="5">
        <f>INDEX(Demand!$E$6:$S$265,MATCH('SPC Backing (Hide)'!$B138,Demand!$B$6:$B$265,0),MATCH('SPC Backing (Hide)'!N$3,Demand!$E$5:$S$5,0))</f>
        <v>0</v>
      </c>
      <c r="O138" s="5">
        <f>INDEX(Demand!$E$6:$S$265,MATCH('SPC Backing (Hide)'!$B138,Demand!$B$6:$B$265,0),MATCH('SPC Backing (Hide)'!O$3,Demand!$E$5:$S$5,0))</f>
        <v>0</v>
      </c>
      <c r="P138" s="5">
        <f>INDEX(Demand!$E$6:$S$265,MATCH('SPC Backing (Hide)'!$B138,Demand!$B$6:$B$265,0),MATCH('SPC Backing (Hide)'!P$3,Demand!$E$5:$S$5,0))</f>
        <v>0</v>
      </c>
      <c r="Q138" s="6">
        <f>INDEX(Demand!$E$6:$S$265,MATCH('SPC Backing (Hide)'!$B138,Demand!$B$6:$B$265,0),MATCH('SPC Backing (Hide)'!Q$3,Demand!$E$5:$S$5,0))</f>
        <v>0</v>
      </c>
      <c r="R138">
        <f>IF(SPC!$B$11="Yes",IF(ROW(A135)&gt;=Demand!$A$5-52,1,0),IF(AND(B138&gt;=SPC!$B$12,B138&lt;SPC!$B$13),1,0))</f>
        <v>1</v>
      </c>
      <c r="S138" cm="1">
        <f t="array" ref="S138">INDEX($C$4:$Q$263,ROW(A135),MATCH($T$2,$C$3:$Q$3,0))</f>
        <v>0</v>
      </c>
      <c r="T138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38" cm="1">
        <f t="array" ref="U138">ABS(INDEX($C$4:$Q$263,ROW(A135),MATCH($T$2,$C$3:$Q$3,0))-INDEX($C$4:$Q$263,ROW(A134),MATCH($T$2,$C$3:$Q$3,0)))</f>
        <v>0</v>
      </c>
      <c r="V138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38">
        <f t="shared" si="30"/>
        <v>40.813595610865789</v>
      </c>
      <c r="X138">
        <f t="shared" si="31"/>
        <v>108.80449618627055</v>
      </c>
      <c r="Y138">
        <f t="shared" si="32"/>
        <v>149.61809179713634</v>
      </c>
      <c r="Z138">
        <f t="shared" si="33"/>
        <v>190.43168740800212</v>
      </c>
      <c r="AA138">
        <f t="shared" si="34"/>
        <v>272.05887862973373</v>
      </c>
      <c r="AB138">
        <f t="shared" si="35"/>
        <v>312.8724742405995</v>
      </c>
      <c r="AC138">
        <f t="shared" si="36"/>
        <v>353.68606985146528</v>
      </c>
      <c r="AD138">
        <f t="shared" si="37"/>
        <v>0</v>
      </c>
      <c r="AE138">
        <f t="shared" si="44"/>
        <v>-2</v>
      </c>
      <c r="AF138">
        <f t="shared" si="38"/>
        <v>0</v>
      </c>
      <c r="AG138">
        <f t="shared" si="39"/>
        <v>0</v>
      </c>
      <c r="AH138" t="e">
        <f t="shared" si="40"/>
        <v>#N/A</v>
      </c>
      <c r="AI138">
        <f t="shared" si="41"/>
        <v>-1</v>
      </c>
      <c r="AJ138">
        <f t="shared" si="42"/>
        <v>0</v>
      </c>
      <c r="AK138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38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38">
        <f t="shared" si="43"/>
        <v>14.699999999999989</v>
      </c>
    </row>
    <row r="139" spans="2:39" x14ac:dyDescent="0.35">
      <c r="B139" s="12" t="str">
        <f>Demand!B141</f>
        <v/>
      </c>
      <c r="C139" s="7">
        <f>INDEX(Demand!$E$6:$S$265,MATCH('SPC Backing (Hide)'!$B139,Demand!$B$6:$B$265,0),MATCH('SPC Backing (Hide)'!C$3,Demand!$E$5:$S$5,0))</f>
        <v>0</v>
      </c>
      <c r="D139" s="5">
        <f>INDEX(Demand!$E$6:$S$265,MATCH('SPC Backing (Hide)'!$B139,Demand!$B$6:$B$265,0),MATCH('SPC Backing (Hide)'!D$3,Demand!$E$5:$S$5,0))</f>
        <v>0</v>
      </c>
      <c r="E139" s="5">
        <f>INDEX(Demand!$E$6:$S$265,MATCH('SPC Backing (Hide)'!$B139,Demand!$B$6:$B$265,0),MATCH('SPC Backing (Hide)'!E$3,Demand!$E$5:$S$5,0))</f>
        <v>0</v>
      </c>
      <c r="F139" s="5">
        <f>INDEX(Demand!$E$6:$S$265,MATCH('SPC Backing (Hide)'!$B139,Demand!$B$6:$B$265,0),MATCH('SPC Backing (Hide)'!F$3,Demand!$E$5:$S$5,0))</f>
        <v>0</v>
      </c>
      <c r="G139" s="5">
        <f>INDEX(Demand!$E$6:$S$265,MATCH('SPC Backing (Hide)'!$B139,Demand!$B$6:$B$265,0),MATCH('SPC Backing (Hide)'!G$3,Demand!$E$5:$S$5,0))</f>
        <v>0</v>
      </c>
      <c r="H139" s="5">
        <f>INDEX(Demand!$E$6:$S$265,MATCH('SPC Backing (Hide)'!$B139,Demand!$B$6:$B$265,0),MATCH('SPC Backing (Hide)'!H$3,Demand!$E$5:$S$5,0))</f>
        <v>0</v>
      </c>
      <c r="I139" s="5">
        <f>INDEX(Demand!$E$6:$S$265,MATCH('SPC Backing (Hide)'!$B139,Demand!$B$6:$B$265,0),MATCH('SPC Backing (Hide)'!I$3,Demand!$E$5:$S$5,0))</f>
        <v>0</v>
      </c>
      <c r="J139" s="5">
        <f>INDEX(Demand!$E$6:$S$265,MATCH('SPC Backing (Hide)'!$B139,Demand!$B$6:$B$265,0),MATCH('SPC Backing (Hide)'!J$3,Demand!$E$5:$S$5,0))</f>
        <v>0</v>
      </c>
      <c r="K139" s="5">
        <f>INDEX(Demand!$E$6:$S$265,MATCH('SPC Backing (Hide)'!$B139,Demand!$B$6:$B$265,0),MATCH('SPC Backing (Hide)'!K$3,Demand!$E$5:$S$5,0))</f>
        <v>0</v>
      </c>
      <c r="L139" s="5">
        <f>INDEX(Demand!$E$6:$S$265,MATCH('SPC Backing (Hide)'!$B139,Demand!$B$6:$B$265,0),MATCH('SPC Backing (Hide)'!L$3,Demand!$E$5:$S$5,0))</f>
        <v>0</v>
      </c>
      <c r="M139" s="5">
        <f>INDEX(Demand!$E$6:$S$265,MATCH('SPC Backing (Hide)'!$B139,Demand!$B$6:$B$265,0),MATCH('SPC Backing (Hide)'!M$3,Demand!$E$5:$S$5,0))</f>
        <v>0</v>
      </c>
      <c r="N139" s="5">
        <f>INDEX(Demand!$E$6:$S$265,MATCH('SPC Backing (Hide)'!$B139,Demand!$B$6:$B$265,0),MATCH('SPC Backing (Hide)'!N$3,Demand!$E$5:$S$5,0))</f>
        <v>0</v>
      </c>
      <c r="O139" s="5">
        <f>INDEX(Demand!$E$6:$S$265,MATCH('SPC Backing (Hide)'!$B139,Demand!$B$6:$B$265,0),MATCH('SPC Backing (Hide)'!O$3,Demand!$E$5:$S$5,0))</f>
        <v>0</v>
      </c>
      <c r="P139" s="5">
        <f>INDEX(Demand!$E$6:$S$265,MATCH('SPC Backing (Hide)'!$B139,Demand!$B$6:$B$265,0),MATCH('SPC Backing (Hide)'!P$3,Demand!$E$5:$S$5,0))</f>
        <v>0</v>
      </c>
      <c r="Q139" s="6">
        <f>INDEX(Demand!$E$6:$S$265,MATCH('SPC Backing (Hide)'!$B139,Demand!$B$6:$B$265,0),MATCH('SPC Backing (Hide)'!Q$3,Demand!$E$5:$S$5,0))</f>
        <v>0</v>
      </c>
      <c r="R139">
        <f>IF(SPC!$B$11="Yes",IF(ROW(A136)&gt;=Demand!$A$5-52,1,0),IF(AND(B139&gt;=SPC!$B$12,B139&lt;SPC!$B$13),1,0))</f>
        <v>1</v>
      </c>
      <c r="S139" cm="1">
        <f t="array" ref="S139">INDEX($C$4:$Q$263,ROW(A136),MATCH($T$2,$C$3:$Q$3,0))</f>
        <v>0</v>
      </c>
      <c r="T139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39" cm="1">
        <f t="array" ref="U139">ABS(INDEX($C$4:$Q$263,ROW(A136),MATCH($T$2,$C$3:$Q$3,0))-INDEX($C$4:$Q$263,ROW(A135),MATCH($T$2,$C$3:$Q$3,0)))</f>
        <v>0</v>
      </c>
      <c r="V139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39">
        <f t="shared" si="30"/>
        <v>40.813595610865789</v>
      </c>
      <c r="X139">
        <f t="shared" si="31"/>
        <v>108.80449618627055</v>
      </c>
      <c r="Y139">
        <f t="shared" si="32"/>
        <v>149.61809179713634</v>
      </c>
      <c r="Z139">
        <f t="shared" si="33"/>
        <v>190.43168740800212</v>
      </c>
      <c r="AA139">
        <f t="shared" si="34"/>
        <v>272.05887862973373</v>
      </c>
      <c r="AB139">
        <f t="shared" si="35"/>
        <v>312.8724742405995</v>
      </c>
      <c r="AC139">
        <f t="shared" si="36"/>
        <v>353.68606985146528</v>
      </c>
      <c r="AD139">
        <f t="shared" si="37"/>
        <v>0</v>
      </c>
      <c r="AE139">
        <f t="shared" si="44"/>
        <v>-2</v>
      </c>
      <c r="AF139">
        <f t="shared" si="38"/>
        <v>0</v>
      </c>
      <c r="AG139">
        <f t="shared" si="39"/>
        <v>0</v>
      </c>
      <c r="AH139" t="e">
        <f t="shared" si="40"/>
        <v>#N/A</v>
      </c>
      <c r="AI139">
        <f t="shared" si="41"/>
        <v>-1</v>
      </c>
      <c r="AJ139">
        <f t="shared" si="42"/>
        <v>0</v>
      </c>
      <c r="AK139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39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39">
        <f t="shared" si="43"/>
        <v>14.699999999999989</v>
      </c>
    </row>
    <row r="140" spans="2:39" x14ac:dyDescent="0.35">
      <c r="B140" s="12" t="str">
        <f>Demand!B142</f>
        <v/>
      </c>
      <c r="C140" s="7">
        <f>INDEX(Demand!$E$6:$S$265,MATCH('SPC Backing (Hide)'!$B140,Demand!$B$6:$B$265,0),MATCH('SPC Backing (Hide)'!C$3,Demand!$E$5:$S$5,0))</f>
        <v>0</v>
      </c>
      <c r="D140" s="5">
        <f>INDEX(Demand!$E$6:$S$265,MATCH('SPC Backing (Hide)'!$B140,Demand!$B$6:$B$265,0),MATCH('SPC Backing (Hide)'!D$3,Demand!$E$5:$S$5,0))</f>
        <v>0</v>
      </c>
      <c r="E140" s="5">
        <f>INDEX(Demand!$E$6:$S$265,MATCH('SPC Backing (Hide)'!$B140,Demand!$B$6:$B$265,0),MATCH('SPC Backing (Hide)'!E$3,Demand!$E$5:$S$5,0))</f>
        <v>0</v>
      </c>
      <c r="F140" s="5">
        <f>INDEX(Demand!$E$6:$S$265,MATCH('SPC Backing (Hide)'!$B140,Demand!$B$6:$B$265,0),MATCH('SPC Backing (Hide)'!F$3,Demand!$E$5:$S$5,0))</f>
        <v>0</v>
      </c>
      <c r="G140" s="5">
        <f>INDEX(Demand!$E$6:$S$265,MATCH('SPC Backing (Hide)'!$B140,Demand!$B$6:$B$265,0),MATCH('SPC Backing (Hide)'!G$3,Demand!$E$5:$S$5,0))</f>
        <v>0</v>
      </c>
      <c r="H140" s="5">
        <f>INDEX(Demand!$E$6:$S$265,MATCH('SPC Backing (Hide)'!$B140,Demand!$B$6:$B$265,0),MATCH('SPC Backing (Hide)'!H$3,Demand!$E$5:$S$5,0))</f>
        <v>0</v>
      </c>
      <c r="I140" s="5">
        <f>INDEX(Demand!$E$6:$S$265,MATCH('SPC Backing (Hide)'!$B140,Demand!$B$6:$B$265,0),MATCH('SPC Backing (Hide)'!I$3,Demand!$E$5:$S$5,0))</f>
        <v>0</v>
      </c>
      <c r="J140" s="5">
        <f>INDEX(Demand!$E$6:$S$265,MATCH('SPC Backing (Hide)'!$B140,Demand!$B$6:$B$265,0),MATCH('SPC Backing (Hide)'!J$3,Demand!$E$5:$S$5,0))</f>
        <v>0</v>
      </c>
      <c r="K140" s="5">
        <f>INDEX(Demand!$E$6:$S$265,MATCH('SPC Backing (Hide)'!$B140,Demand!$B$6:$B$265,0),MATCH('SPC Backing (Hide)'!K$3,Demand!$E$5:$S$5,0))</f>
        <v>0</v>
      </c>
      <c r="L140" s="5">
        <f>INDEX(Demand!$E$6:$S$265,MATCH('SPC Backing (Hide)'!$B140,Demand!$B$6:$B$265,0),MATCH('SPC Backing (Hide)'!L$3,Demand!$E$5:$S$5,0))</f>
        <v>0</v>
      </c>
      <c r="M140" s="5">
        <f>INDEX(Demand!$E$6:$S$265,MATCH('SPC Backing (Hide)'!$B140,Demand!$B$6:$B$265,0),MATCH('SPC Backing (Hide)'!M$3,Demand!$E$5:$S$5,0))</f>
        <v>0</v>
      </c>
      <c r="N140" s="5">
        <f>INDEX(Demand!$E$6:$S$265,MATCH('SPC Backing (Hide)'!$B140,Demand!$B$6:$B$265,0),MATCH('SPC Backing (Hide)'!N$3,Demand!$E$5:$S$5,0))</f>
        <v>0</v>
      </c>
      <c r="O140" s="5">
        <f>INDEX(Demand!$E$6:$S$265,MATCH('SPC Backing (Hide)'!$B140,Demand!$B$6:$B$265,0),MATCH('SPC Backing (Hide)'!O$3,Demand!$E$5:$S$5,0))</f>
        <v>0</v>
      </c>
      <c r="P140" s="5">
        <f>INDEX(Demand!$E$6:$S$265,MATCH('SPC Backing (Hide)'!$B140,Demand!$B$6:$B$265,0),MATCH('SPC Backing (Hide)'!P$3,Demand!$E$5:$S$5,0))</f>
        <v>0</v>
      </c>
      <c r="Q140" s="6">
        <f>INDEX(Demand!$E$6:$S$265,MATCH('SPC Backing (Hide)'!$B140,Demand!$B$6:$B$265,0),MATCH('SPC Backing (Hide)'!Q$3,Demand!$E$5:$S$5,0))</f>
        <v>0</v>
      </c>
      <c r="R140">
        <f>IF(SPC!$B$11="Yes",IF(ROW(A137)&gt;=Demand!$A$5-52,1,0),IF(AND(B140&gt;=SPC!$B$12,B140&lt;SPC!$B$13),1,0))</f>
        <v>1</v>
      </c>
      <c r="S140" cm="1">
        <f t="array" ref="S140">INDEX($C$4:$Q$263,ROW(A137),MATCH($T$2,$C$3:$Q$3,0))</f>
        <v>0</v>
      </c>
      <c r="T140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40" cm="1">
        <f t="array" ref="U140">ABS(INDEX($C$4:$Q$263,ROW(A137),MATCH($T$2,$C$3:$Q$3,0))-INDEX($C$4:$Q$263,ROW(A136),MATCH($T$2,$C$3:$Q$3,0)))</f>
        <v>0</v>
      </c>
      <c r="V140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40">
        <f t="shared" si="30"/>
        <v>40.813595610865789</v>
      </c>
      <c r="X140">
        <f t="shared" si="31"/>
        <v>108.80449618627055</v>
      </c>
      <c r="Y140">
        <f t="shared" si="32"/>
        <v>149.61809179713634</v>
      </c>
      <c r="Z140">
        <f t="shared" si="33"/>
        <v>190.43168740800212</v>
      </c>
      <c r="AA140">
        <f t="shared" si="34"/>
        <v>272.05887862973373</v>
      </c>
      <c r="AB140">
        <f t="shared" si="35"/>
        <v>312.8724742405995</v>
      </c>
      <c r="AC140">
        <f t="shared" si="36"/>
        <v>353.68606985146528</v>
      </c>
      <c r="AD140">
        <f t="shared" si="37"/>
        <v>0</v>
      </c>
      <c r="AE140">
        <f t="shared" si="44"/>
        <v>-2</v>
      </c>
      <c r="AF140">
        <f t="shared" si="38"/>
        <v>0</v>
      </c>
      <c r="AG140">
        <f t="shared" si="39"/>
        <v>0</v>
      </c>
      <c r="AH140" t="e">
        <f t="shared" si="40"/>
        <v>#N/A</v>
      </c>
      <c r="AI140">
        <f t="shared" si="41"/>
        <v>-1</v>
      </c>
      <c r="AJ140">
        <f t="shared" si="42"/>
        <v>0</v>
      </c>
      <c r="AK140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40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40">
        <f t="shared" si="43"/>
        <v>14.699999999999989</v>
      </c>
    </row>
    <row r="141" spans="2:39" x14ac:dyDescent="0.35">
      <c r="B141" s="12" t="str">
        <f>Demand!B143</f>
        <v/>
      </c>
      <c r="C141" s="7">
        <f>INDEX(Demand!$E$6:$S$265,MATCH('SPC Backing (Hide)'!$B141,Demand!$B$6:$B$265,0),MATCH('SPC Backing (Hide)'!C$3,Demand!$E$5:$S$5,0))</f>
        <v>0</v>
      </c>
      <c r="D141" s="5">
        <f>INDEX(Demand!$E$6:$S$265,MATCH('SPC Backing (Hide)'!$B141,Demand!$B$6:$B$265,0),MATCH('SPC Backing (Hide)'!D$3,Demand!$E$5:$S$5,0))</f>
        <v>0</v>
      </c>
      <c r="E141" s="5">
        <f>INDEX(Demand!$E$6:$S$265,MATCH('SPC Backing (Hide)'!$B141,Demand!$B$6:$B$265,0),MATCH('SPC Backing (Hide)'!E$3,Demand!$E$5:$S$5,0))</f>
        <v>0</v>
      </c>
      <c r="F141" s="5">
        <f>INDEX(Demand!$E$6:$S$265,MATCH('SPC Backing (Hide)'!$B141,Demand!$B$6:$B$265,0),MATCH('SPC Backing (Hide)'!F$3,Demand!$E$5:$S$5,0))</f>
        <v>0</v>
      </c>
      <c r="G141" s="5">
        <f>INDEX(Demand!$E$6:$S$265,MATCH('SPC Backing (Hide)'!$B141,Demand!$B$6:$B$265,0),MATCH('SPC Backing (Hide)'!G$3,Demand!$E$5:$S$5,0))</f>
        <v>0</v>
      </c>
      <c r="H141" s="5">
        <f>INDEX(Demand!$E$6:$S$265,MATCH('SPC Backing (Hide)'!$B141,Demand!$B$6:$B$265,0),MATCH('SPC Backing (Hide)'!H$3,Demand!$E$5:$S$5,0))</f>
        <v>0</v>
      </c>
      <c r="I141" s="5">
        <f>INDEX(Demand!$E$6:$S$265,MATCH('SPC Backing (Hide)'!$B141,Demand!$B$6:$B$265,0),MATCH('SPC Backing (Hide)'!I$3,Demand!$E$5:$S$5,0))</f>
        <v>0</v>
      </c>
      <c r="J141" s="5">
        <f>INDEX(Demand!$E$6:$S$265,MATCH('SPC Backing (Hide)'!$B141,Demand!$B$6:$B$265,0),MATCH('SPC Backing (Hide)'!J$3,Demand!$E$5:$S$5,0))</f>
        <v>0</v>
      </c>
      <c r="K141" s="5">
        <f>INDEX(Demand!$E$6:$S$265,MATCH('SPC Backing (Hide)'!$B141,Demand!$B$6:$B$265,0),MATCH('SPC Backing (Hide)'!K$3,Demand!$E$5:$S$5,0))</f>
        <v>0</v>
      </c>
      <c r="L141" s="5">
        <f>INDEX(Demand!$E$6:$S$265,MATCH('SPC Backing (Hide)'!$B141,Demand!$B$6:$B$265,0),MATCH('SPC Backing (Hide)'!L$3,Demand!$E$5:$S$5,0))</f>
        <v>0</v>
      </c>
      <c r="M141" s="5">
        <f>INDEX(Demand!$E$6:$S$265,MATCH('SPC Backing (Hide)'!$B141,Demand!$B$6:$B$265,0),MATCH('SPC Backing (Hide)'!M$3,Demand!$E$5:$S$5,0))</f>
        <v>0</v>
      </c>
      <c r="N141" s="5">
        <f>INDEX(Demand!$E$6:$S$265,MATCH('SPC Backing (Hide)'!$B141,Demand!$B$6:$B$265,0),MATCH('SPC Backing (Hide)'!N$3,Demand!$E$5:$S$5,0))</f>
        <v>0</v>
      </c>
      <c r="O141" s="5">
        <f>INDEX(Demand!$E$6:$S$265,MATCH('SPC Backing (Hide)'!$B141,Demand!$B$6:$B$265,0),MATCH('SPC Backing (Hide)'!O$3,Demand!$E$5:$S$5,0))</f>
        <v>0</v>
      </c>
      <c r="P141" s="5">
        <f>INDEX(Demand!$E$6:$S$265,MATCH('SPC Backing (Hide)'!$B141,Demand!$B$6:$B$265,0),MATCH('SPC Backing (Hide)'!P$3,Demand!$E$5:$S$5,0))</f>
        <v>0</v>
      </c>
      <c r="Q141" s="6">
        <f>INDEX(Demand!$E$6:$S$265,MATCH('SPC Backing (Hide)'!$B141,Demand!$B$6:$B$265,0),MATCH('SPC Backing (Hide)'!Q$3,Demand!$E$5:$S$5,0))</f>
        <v>0</v>
      </c>
      <c r="R141">
        <f>IF(SPC!$B$11="Yes",IF(ROW(A138)&gt;=Demand!$A$5-52,1,0),IF(AND(B141&gt;=SPC!$B$12,B141&lt;SPC!$B$13),1,0))</f>
        <v>1</v>
      </c>
      <c r="S141" cm="1">
        <f t="array" ref="S141">INDEX($C$4:$Q$263,ROW(A138),MATCH($T$2,$C$3:$Q$3,0))</f>
        <v>0</v>
      </c>
      <c r="T141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41" cm="1">
        <f t="array" ref="U141">ABS(INDEX($C$4:$Q$263,ROW(A138),MATCH($T$2,$C$3:$Q$3,0))-INDEX($C$4:$Q$263,ROW(A137),MATCH($T$2,$C$3:$Q$3,0)))</f>
        <v>0</v>
      </c>
      <c r="V141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41">
        <f t="shared" si="30"/>
        <v>40.813595610865789</v>
      </c>
      <c r="X141">
        <f t="shared" si="31"/>
        <v>108.80449618627055</v>
      </c>
      <c r="Y141">
        <f t="shared" si="32"/>
        <v>149.61809179713634</v>
      </c>
      <c r="Z141">
        <f t="shared" si="33"/>
        <v>190.43168740800212</v>
      </c>
      <c r="AA141">
        <f t="shared" si="34"/>
        <v>272.05887862973373</v>
      </c>
      <c r="AB141">
        <f t="shared" si="35"/>
        <v>312.8724742405995</v>
      </c>
      <c r="AC141">
        <f t="shared" si="36"/>
        <v>353.68606985146528</v>
      </c>
      <c r="AD141">
        <f t="shared" si="37"/>
        <v>0</v>
      </c>
      <c r="AE141">
        <f t="shared" si="44"/>
        <v>-2</v>
      </c>
      <c r="AF141">
        <f t="shared" si="38"/>
        <v>0</v>
      </c>
      <c r="AG141">
        <f t="shared" si="39"/>
        <v>0</v>
      </c>
      <c r="AH141" t="e">
        <f t="shared" si="40"/>
        <v>#N/A</v>
      </c>
      <c r="AI141">
        <f t="shared" si="41"/>
        <v>-1</v>
      </c>
      <c r="AJ141">
        <f t="shared" si="42"/>
        <v>0</v>
      </c>
      <c r="AK141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41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41">
        <f t="shared" si="43"/>
        <v>14.699999999999989</v>
      </c>
    </row>
    <row r="142" spans="2:39" x14ac:dyDescent="0.35">
      <c r="B142" s="12" t="str">
        <f>Demand!B144</f>
        <v/>
      </c>
      <c r="C142" s="7">
        <f>INDEX(Demand!$E$6:$S$265,MATCH('SPC Backing (Hide)'!$B142,Demand!$B$6:$B$265,0),MATCH('SPC Backing (Hide)'!C$3,Demand!$E$5:$S$5,0))</f>
        <v>0</v>
      </c>
      <c r="D142" s="5">
        <f>INDEX(Demand!$E$6:$S$265,MATCH('SPC Backing (Hide)'!$B142,Demand!$B$6:$B$265,0),MATCH('SPC Backing (Hide)'!D$3,Demand!$E$5:$S$5,0))</f>
        <v>0</v>
      </c>
      <c r="E142" s="5">
        <f>INDEX(Demand!$E$6:$S$265,MATCH('SPC Backing (Hide)'!$B142,Demand!$B$6:$B$265,0),MATCH('SPC Backing (Hide)'!E$3,Demand!$E$5:$S$5,0))</f>
        <v>0</v>
      </c>
      <c r="F142" s="5">
        <f>INDEX(Demand!$E$6:$S$265,MATCH('SPC Backing (Hide)'!$B142,Demand!$B$6:$B$265,0),MATCH('SPC Backing (Hide)'!F$3,Demand!$E$5:$S$5,0))</f>
        <v>0</v>
      </c>
      <c r="G142" s="5">
        <f>INDEX(Demand!$E$6:$S$265,MATCH('SPC Backing (Hide)'!$B142,Demand!$B$6:$B$265,0),MATCH('SPC Backing (Hide)'!G$3,Demand!$E$5:$S$5,0))</f>
        <v>0</v>
      </c>
      <c r="H142" s="5">
        <f>INDEX(Demand!$E$6:$S$265,MATCH('SPC Backing (Hide)'!$B142,Demand!$B$6:$B$265,0),MATCH('SPC Backing (Hide)'!H$3,Demand!$E$5:$S$5,0))</f>
        <v>0</v>
      </c>
      <c r="I142" s="5">
        <f>INDEX(Demand!$E$6:$S$265,MATCH('SPC Backing (Hide)'!$B142,Demand!$B$6:$B$265,0),MATCH('SPC Backing (Hide)'!I$3,Demand!$E$5:$S$5,0))</f>
        <v>0</v>
      </c>
      <c r="J142" s="5">
        <f>INDEX(Demand!$E$6:$S$265,MATCH('SPC Backing (Hide)'!$B142,Demand!$B$6:$B$265,0),MATCH('SPC Backing (Hide)'!J$3,Demand!$E$5:$S$5,0))</f>
        <v>0</v>
      </c>
      <c r="K142" s="5">
        <f>INDEX(Demand!$E$6:$S$265,MATCH('SPC Backing (Hide)'!$B142,Demand!$B$6:$B$265,0),MATCH('SPC Backing (Hide)'!K$3,Demand!$E$5:$S$5,0))</f>
        <v>0</v>
      </c>
      <c r="L142" s="5">
        <f>INDEX(Demand!$E$6:$S$265,MATCH('SPC Backing (Hide)'!$B142,Demand!$B$6:$B$265,0),MATCH('SPC Backing (Hide)'!L$3,Demand!$E$5:$S$5,0))</f>
        <v>0</v>
      </c>
      <c r="M142" s="5">
        <f>INDEX(Demand!$E$6:$S$265,MATCH('SPC Backing (Hide)'!$B142,Demand!$B$6:$B$265,0),MATCH('SPC Backing (Hide)'!M$3,Demand!$E$5:$S$5,0))</f>
        <v>0</v>
      </c>
      <c r="N142" s="5">
        <f>INDEX(Demand!$E$6:$S$265,MATCH('SPC Backing (Hide)'!$B142,Demand!$B$6:$B$265,0),MATCH('SPC Backing (Hide)'!N$3,Demand!$E$5:$S$5,0))</f>
        <v>0</v>
      </c>
      <c r="O142" s="5">
        <f>INDEX(Demand!$E$6:$S$265,MATCH('SPC Backing (Hide)'!$B142,Demand!$B$6:$B$265,0),MATCH('SPC Backing (Hide)'!O$3,Demand!$E$5:$S$5,0))</f>
        <v>0</v>
      </c>
      <c r="P142" s="5">
        <f>INDEX(Demand!$E$6:$S$265,MATCH('SPC Backing (Hide)'!$B142,Demand!$B$6:$B$265,0),MATCH('SPC Backing (Hide)'!P$3,Demand!$E$5:$S$5,0))</f>
        <v>0</v>
      </c>
      <c r="Q142" s="6">
        <f>INDEX(Demand!$E$6:$S$265,MATCH('SPC Backing (Hide)'!$B142,Demand!$B$6:$B$265,0),MATCH('SPC Backing (Hide)'!Q$3,Demand!$E$5:$S$5,0))</f>
        <v>0</v>
      </c>
      <c r="R142">
        <f>IF(SPC!$B$11="Yes",IF(ROW(A139)&gt;=Demand!$A$5-52,1,0),IF(AND(B142&gt;=SPC!$B$12,B142&lt;SPC!$B$13),1,0))</f>
        <v>1</v>
      </c>
      <c r="S142" cm="1">
        <f t="array" ref="S142">INDEX($C$4:$Q$263,ROW(A139),MATCH($T$2,$C$3:$Q$3,0))</f>
        <v>0</v>
      </c>
      <c r="T142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42" cm="1">
        <f t="array" ref="U142">ABS(INDEX($C$4:$Q$263,ROW(A139),MATCH($T$2,$C$3:$Q$3,0))-INDEX($C$4:$Q$263,ROW(A138),MATCH($T$2,$C$3:$Q$3,0)))</f>
        <v>0</v>
      </c>
      <c r="V142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42">
        <f t="shared" si="30"/>
        <v>40.813595610865789</v>
      </c>
      <c r="X142">
        <f t="shared" si="31"/>
        <v>108.80449618627055</v>
      </c>
      <c r="Y142">
        <f t="shared" si="32"/>
        <v>149.61809179713634</v>
      </c>
      <c r="Z142">
        <f t="shared" si="33"/>
        <v>190.43168740800212</v>
      </c>
      <c r="AA142">
        <f t="shared" si="34"/>
        <v>272.05887862973373</v>
      </c>
      <c r="AB142">
        <f t="shared" si="35"/>
        <v>312.8724742405995</v>
      </c>
      <c r="AC142">
        <f t="shared" si="36"/>
        <v>353.68606985146528</v>
      </c>
      <c r="AD142">
        <f t="shared" si="37"/>
        <v>0</v>
      </c>
      <c r="AE142">
        <f t="shared" si="44"/>
        <v>-2</v>
      </c>
      <c r="AF142">
        <f t="shared" si="38"/>
        <v>0</v>
      </c>
      <c r="AG142">
        <f t="shared" si="39"/>
        <v>0</v>
      </c>
      <c r="AH142" t="e">
        <f t="shared" si="40"/>
        <v>#N/A</v>
      </c>
      <c r="AI142">
        <f t="shared" si="41"/>
        <v>-1</v>
      </c>
      <c r="AJ142">
        <f t="shared" si="42"/>
        <v>0</v>
      </c>
      <c r="AK142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42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42">
        <f t="shared" si="43"/>
        <v>14.699999999999989</v>
      </c>
    </row>
    <row r="143" spans="2:39" x14ac:dyDescent="0.35">
      <c r="B143" s="12" t="str">
        <f>Demand!B145</f>
        <v/>
      </c>
      <c r="C143" s="7">
        <f>INDEX(Demand!$E$6:$S$265,MATCH('SPC Backing (Hide)'!$B143,Demand!$B$6:$B$265,0),MATCH('SPC Backing (Hide)'!C$3,Demand!$E$5:$S$5,0))</f>
        <v>0</v>
      </c>
      <c r="D143" s="5">
        <f>INDEX(Demand!$E$6:$S$265,MATCH('SPC Backing (Hide)'!$B143,Demand!$B$6:$B$265,0),MATCH('SPC Backing (Hide)'!D$3,Demand!$E$5:$S$5,0))</f>
        <v>0</v>
      </c>
      <c r="E143" s="5">
        <f>INDEX(Demand!$E$6:$S$265,MATCH('SPC Backing (Hide)'!$B143,Demand!$B$6:$B$265,0),MATCH('SPC Backing (Hide)'!E$3,Demand!$E$5:$S$5,0))</f>
        <v>0</v>
      </c>
      <c r="F143" s="5">
        <f>INDEX(Demand!$E$6:$S$265,MATCH('SPC Backing (Hide)'!$B143,Demand!$B$6:$B$265,0),MATCH('SPC Backing (Hide)'!F$3,Demand!$E$5:$S$5,0))</f>
        <v>0</v>
      </c>
      <c r="G143" s="5">
        <f>INDEX(Demand!$E$6:$S$265,MATCH('SPC Backing (Hide)'!$B143,Demand!$B$6:$B$265,0),MATCH('SPC Backing (Hide)'!G$3,Demand!$E$5:$S$5,0))</f>
        <v>0</v>
      </c>
      <c r="H143" s="5">
        <f>INDEX(Demand!$E$6:$S$265,MATCH('SPC Backing (Hide)'!$B143,Demand!$B$6:$B$265,0),MATCH('SPC Backing (Hide)'!H$3,Demand!$E$5:$S$5,0))</f>
        <v>0</v>
      </c>
      <c r="I143" s="5">
        <f>INDEX(Demand!$E$6:$S$265,MATCH('SPC Backing (Hide)'!$B143,Demand!$B$6:$B$265,0),MATCH('SPC Backing (Hide)'!I$3,Demand!$E$5:$S$5,0))</f>
        <v>0</v>
      </c>
      <c r="J143" s="5">
        <f>INDEX(Demand!$E$6:$S$265,MATCH('SPC Backing (Hide)'!$B143,Demand!$B$6:$B$265,0),MATCH('SPC Backing (Hide)'!J$3,Demand!$E$5:$S$5,0))</f>
        <v>0</v>
      </c>
      <c r="K143" s="5">
        <f>INDEX(Demand!$E$6:$S$265,MATCH('SPC Backing (Hide)'!$B143,Demand!$B$6:$B$265,0),MATCH('SPC Backing (Hide)'!K$3,Demand!$E$5:$S$5,0))</f>
        <v>0</v>
      </c>
      <c r="L143" s="5">
        <f>INDEX(Demand!$E$6:$S$265,MATCH('SPC Backing (Hide)'!$B143,Demand!$B$6:$B$265,0),MATCH('SPC Backing (Hide)'!L$3,Demand!$E$5:$S$5,0))</f>
        <v>0</v>
      </c>
      <c r="M143" s="5">
        <f>INDEX(Demand!$E$6:$S$265,MATCH('SPC Backing (Hide)'!$B143,Demand!$B$6:$B$265,0),MATCH('SPC Backing (Hide)'!M$3,Demand!$E$5:$S$5,0))</f>
        <v>0</v>
      </c>
      <c r="N143" s="5">
        <f>INDEX(Demand!$E$6:$S$265,MATCH('SPC Backing (Hide)'!$B143,Demand!$B$6:$B$265,0),MATCH('SPC Backing (Hide)'!N$3,Demand!$E$5:$S$5,0))</f>
        <v>0</v>
      </c>
      <c r="O143" s="5">
        <f>INDEX(Demand!$E$6:$S$265,MATCH('SPC Backing (Hide)'!$B143,Demand!$B$6:$B$265,0),MATCH('SPC Backing (Hide)'!O$3,Demand!$E$5:$S$5,0))</f>
        <v>0</v>
      </c>
      <c r="P143" s="5">
        <f>INDEX(Demand!$E$6:$S$265,MATCH('SPC Backing (Hide)'!$B143,Demand!$B$6:$B$265,0),MATCH('SPC Backing (Hide)'!P$3,Demand!$E$5:$S$5,0))</f>
        <v>0</v>
      </c>
      <c r="Q143" s="6">
        <f>INDEX(Demand!$E$6:$S$265,MATCH('SPC Backing (Hide)'!$B143,Demand!$B$6:$B$265,0),MATCH('SPC Backing (Hide)'!Q$3,Demand!$E$5:$S$5,0))</f>
        <v>0</v>
      </c>
      <c r="R143">
        <f>IF(SPC!$B$11="Yes",IF(ROW(A140)&gt;=Demand!$A$5-52,1,0),IF(AND(B143&gt;=SPC!$B$12,B143&lt;SPC!$B$13),1,0))</f>
        <v>1</v>
      </c>
      <c r="S143" cm="1">
        <f t="array" ref="S143">INDEX($C$4:$Q$263,ROW(A140),MATCH($T$2,$C$3:$Q$3,0))</f>
        <v>0</v>
      </c>
      <c r="T143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43" cm="1">
        <f t="array" ref="U143">ABS(INDEX($C$4:$Q$263,ROW(A140),MATCH($T$2,$C$3:$Q$3,0))-INDEX($C$4:$Q$263,ROW(A139),MATCH($T$2,$C$3:$Q$3,0)))</f>
        <v>0</v>
      </c>
      <c r="V143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43">
        <f t="shared" si="30"/>
        <v>40.813595610865789</v>
      </c>
      <c r="X143">
        <f t="shared" si="31"/>
        <v>108.80449618627055</v>
      </c>
      <c r="Y143">
        <f t="shared" si="32"/>
        <v>149.61809179713634</v>
      </c>
      <c r="Z143">
        <f t="shared" si="33"/>
        <v>190.43168740800212</v>
      </c>
      <c r="AA143">
        <f t="shared" si="34"/>
        <v>272.05887862973373</v>
      </c>
      <c r="AB143">
        <f t="shared" si="35"/>
        <v>312.8724742405995</v>
      </c>
      <c r="AC143">
        <f t="shared" si="36"/>
        <v>353.68606985146528</v>
      </c>
      <c r="AD143">
        <f t="shared" si="37"/>
        <v>0</v>
      </c>
      <c r="AE143">
        <f t="shared" si="44"/>
        <v>-2</v>
      </c>
      <c r="AF143">
        <f t="shared" si="38"/>
        <v>0</v>
      </c>
      <c r="AG143">
        <f t="shared" si="39"/>
        <v>0</v>
      </c>
      <c r="AH143" t="e">
        <f t="shared" si="40"/>
        <v>#N/A</v>
      </c>
      <c r="AI143">
        <f t="shared" si="41"/>
        <v>-1</v>
      </c>
      <c r="AJ143">
        <f t="shared" si="42"/>
        <v>0</v>
      </c>
      <c r="AK143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43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43">
        <f t="shared" si="43"/>
        <v>14.699999999999989</v>
      </c>
    </row>
    <row r="144" spans="2:39" x14ac:dyDescent="0.35">
      <c r="B144" s="12" t="str">
        <f>Demand!B146</f>
        <v/>
      </c>
      <c r="C144" s="7">
        <f>INDEX(Demand!$E$6:$S$265,MATCH('SPC Backing (Hide)'!$B144,Demand!$B$6:$B$265,0),MATCH('SPC Backing (Hide)'!C$3,Demand!$E$5:$S$5,0))</f>
        <v>0</v>
      </c>
      <c r="D144" s="5">
        <f>INDEX(Demand!$E$6:$S$265,MATCH('SPC Backing (Hide)'!$B144,Demand!$B$6:$B$265,0),MATCH('SPC Backing (Hide)'!D$3,Demand!$E$5:$S$5,0))</f>
        <v>0</v>
      </c>
      <c r="E144" s="5">
        <f>INDEX(Demand!$E$6:$S$265,MATCH('SPC Backing (Hide)'!$B144,Demand!$B$6:$B$265,0),MATCH('SPC Backing (Hide)'!E$3,Demand!$E$5:$S$5,0))</f>
        <v>0</v>
      </c>
      <c r="F144" s="5">
        <f>INDEX(Demand!$E$6:$S$265,MATCH('SPC Backing (Hide)'!$B144,Demand!$B$6:$B$265,0),MATCH('SPC Backing (Hide)'!F$3,Demand!$E$5:$S$5,0))</f>
        <v>0</v>
      </c>
      <c r="G144" s="5">
        <f>INDEX(Demand!$E$6:$S$265,MATCH('SPC Backing (Hide)'!$B144,Demand!$B$6:$B$265,0),MATCH('SPC Backing (Hide)'!G$3,Demand!$E$5:$S$5,0))</f>
        <v>0</v>
      </c>
      <c r="H144" s="5">
        <f>INDEX(Demand!$E$6:$S$265,MATCH('SPC Backing (Hide)'!$B144,Demand!$B$6:$B$265,0),MATCH('SPC Backing (Hide)'!H$3,Demand!$E$5:$S$5,0))</f>
        <v>0</v>
      </c>
      <c r="I144" s="5">
        <f>INDEX(Demand!$E$6:$S$265,MATCH('SPC Backing (Hide)'!$B144,Demand!$B$6:$B$265,0),MATCH('SPC Backing (Hide)'!I$3,Demand!$E$5:$S$5,0))</f>
        <v>0</v>
      </c>
      <c r="J144" s="5">
        <f>INDEX(Demand!$E$6:$S$265,MATCH('SPC Backing (Hide)'!$B144,Demand!$B$6:$B$265,0),MATCH('SPC Backing (Hide)'!J$3,Demand!$E$5:$S$5,0))</f>
        <v>0</v>
      </c>
      <c r="K144" s="5">
        <f>INDEX(Demand!$E$6:$S$265,MATCH('SPC Backing (Hide)'!$B144,Demand!$B$6:$B$265,0),MATCH('SPC Backing (Hide)'!K$3,Demand!$E$5:$S$5,0))</f>
        <v>0</v>
      </c>
      <c r="L144" s="5">
        <f>INDEX(Demand!$E$6:$S$265,MATCH('SPC Backing (Hide)'!$B144,Demand!$B$6:$B$265,0),MATCH('SPC Backing (Hide)'!L$3,Demand!$E$5:$S$5,0))</f>
        <v>0</v>
      </c>
      <c r="M144" s="5">
        <f>INDEX(Demand!$E$6:$S$265,MATCH('SPC Backing (Hide)'!$B144,Demand!$B$6:$B$265,0),MATCH('SPC Backing (Hide)'!M$3,Demand!$E$5:$S$5,0))</f>
        <v>0</v>
      </c>
      <c r="N144" s="5">
        <f>INDEX(Demand!$E$6:$S$265,MATCH('SPC Backing (Hide)'!$B144,Demand!$B$6:$B$265,0),MATCH('SPC Backing (Hide)'!N$3,Demand!$E$5:$S$5,0))</f>
        <v>0</v>
      </c>
      <c r="O144" s="5">
        <f>INDEX(Demand!$E$6:$S$265,MATCH('SPC Backing (Hide)'!$B144,Demand!$B$6:$B$265,0),MATCH('SPC Backing (Hide)'!O$3,Demand!$E$5:$S$5,0))</f>
        <v>0</v>
      </c>
      <c r="P144" s="5">
        <f>INDEX(Demand!$E$6:$S$265,MATCH('SPC Backing (Hide)'!$B144,Demand!$B$6:$B$265,0),MATCH('SPC Backing (Hide)'!P$3,Demand!$E$5:$S$5,0))</f>
        <v>0</v>
      </c>
      <c r="Q144" s="6">
        <f>INDEX(Demand!$E$6:$S$265,MATCH('SPC Backing (Hide)'!$B144,Demand!$B$6:$B$265,0),MATCH('SPC Backing (Hide)'!Q$3,Demand!$E$5:$S$5,0))</f>
        <v>0</v>
      </c>
      <c r="R144">
        <f>IF(SPC!$B$11="Yes",IF(ROW(A141)&gt;=Demand!$A$5-52,1,0),IF(AND(B144&gt;=SPC!$B$12,B144&lt;SPC!$B$13),1,0))</f>
        <v>1</v>
      </c>
      <c r="S144" cm="1">
        <f t="array" ref="S144">INDEX($C$4:$Q$263,ROW(A141),MATCH($T$2,$C$3:$Q$3,0))</f>
        <v>0</v>
      </c>
      <c r="T144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44" cm="1">
        <f t="array" ref="U144">ABS(INDEX($C$4:$Q$263,ROW(A141),MATCH($T$2,$C$3:$Q$3,0))-INDEX($C$4:$Q$263,ROW(A140),MATCH($T$2,$C$3:$Q$3,0)))</f>
        <v>0</v>
      </c>
      <c r="V144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44">
        <f t="shared" si="30"/>
        <v>40.813595610865789</v>
      </c>
      <c r="X144">
        <f t="shared" si="31"/>
        <v>108.80449618627055</v>
      </c>
      <c r="Y144">
        <f t="shared" si="32"/>
        <v>149.61809179713634</v>
      </c>
      <c r="Z144">
        <f t="shared" si="33"/>
        <v>190.43168740800212</v>
      </c>
      <c r="AA144">
        <f t="shared" si="34"/>
        <v>272.05887862973373</v>
      </c>
      <c r="AB144">
        <f t="shared" si="35"/>
        <v>312.8724742405995</v>
      </c>
      <c r="AC144">
        <f t="shared" si="36"/>
        <v>353.68606985146528</v>
      </c>
      <c r="AD144">
        <f t="shared" si="37"/>
        <v>0</v>
      </c>
      <c r="AE144">
        <f t="shared" si="44"/>
        <v>-2</v>
      </c>
      <c r="AF144">
        <f t="shared" si="38"/>
        <v>0</v>
      </c>
      <c r="AG144">
        <f t="shared" si="39"/>
        <v>0</v>
      </c>
      <c r="AH144" t="e">
        <f t="shared" si="40"/>
        <v>#N/A</v>
      </c>
      <c r="AI144">
        <f t="shared" si="41"/>
        <v>-1</v>
      </c>
      <c r="AJ144">
        <f t="shared" si="42"/>
        <v>0</v>
      </c>
      <c r="AK144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44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44">
        <f t="shared" si="43"/>
        <v>14.699999999999989</v>
      </c>
    </row>
    <row r="145" spans="2:39" x14ac:dyDescent="0.35">
      <c r="B145" s="12" t="str">
        <f>Demand!B147</f>
        <v/>
      </c>
      <c r="C145" s="7">
        <f>INDEX(Demand!$E$6:$S$265,MATCH('SPC Backing (Hide)'!$B145,Demand!$B$6:$B$265,0),MATCH('SPC Backing (Hide)'!C$3,Demand!$E$5:$S$5,0))</f>
        <v>0</v>
      </c>
      <c r="D145" s="5">
        <f>INDEX(Demand!$E$6:$S$265,MATCH('SPC Backing (Hide)'!$B145,Demand!$B$6:$B$265,0),MATCH('SPC Backing (Hide)'!D$3,Demand!$E$5:$S$5,0))</f>
        <v>0</v>
      </c>
      <c r="E145" s="5">
        <f>INDEX(Demand!$E$6:$S$265,MATCH('SPC Backing (Hide)'!$B145,Demand!$B$6:$B$265,0),MATCH('SPC Backing (Hide)'!E$3,Demand!$E$5:$S$5,0))</f>
        <v>0</v>
      </c>
      <c r="F145" s="5">
        <f>INDEX(Demand!$E$6:$S$265,MATCH('SPC Backing (Hide)'!$B145,Demand!$B$6:$B$265,0),MATCH('SPC Backing (Hide)'!F$3,Demand!$E$5:$S$5,0))</f>
        <v>0</v>
      </c>
      <c r="G145" s="5">
        <f>INDEX(Demand!$E$6:$S$265,MATCH('SPC Backing (Hide)'!$B145,Demand!$B$6:$B$265,0),MATCH('SPC Backing (Hide)'!G$3,Demand!$E$5:$S$5,0))</f>
        <v>0</v>
      </c>
      <c r="H145" s="5">
        <f>INDEX(Demand!$E$6:$S$265,MATCH('SPC Backing (Hide)'!$B145,Demand!$B$6:$B$265,0),MATCH('SPC Backing (Hide)'!H$3,Demand!$E$5:$S$5,0))</f>
        <v>0</v>
      </c>
      <c r="I145" s="5">
        <f>INDEX(Demand!$E$6:$S$265,MATCH('SPC Backing (Hide)'!$B145,Demand!$B$6:$B$265,0),MATCH('SPC Backing (Hide)'!I$3,Demand!$E$5:$S$5,0))</f>
        <v>0</v>
      </c>
      <c r="J145" s="5">
        <f>INDEX(Demand!$E$6:$S$265,MATCH('SPC Backing (Hide)'!$B145,Demand!$B$6:$B$265,0),MATCH('SPC Backing (Hide)'!J$3,Demand!$E$5:$S$5,0))</f>
        <v>0</v>
      </c>
      <c r="K145" s="5">
        <f>INDEX(Demand!$E$6:$S$265,MATCH('SPC Backing (Hide)'!$B145,Demand!$B$6:$B$265,0),MATCH('SPC Backing (Hide)'!K$3,Demand!$E$5:$S$5,0))</f>
        <v>0</v>
      </c>
      <c r="L145" s="5">
        <f>INDEX(Demand!$E$6:$S$265,MATCH('SPC Backing (Hide)'!$B145,Demand!$B$6:$B$265,0),MATCH('SPC Backing (Hide)'!L$3,Demand!$E$5:$S$5,0))</f>
        <v>0</v>
      </c>
      <c r="M145" s="5">
        <f>INDEX(Demand!$E$6:$S$265,MATCH('SPC Backing (Hide)'!$B145,Demand!$B$6:$B$265,0),MATCH('SPC Backing (Hide)'!M$3,Demand!$E$5:$S$5,0))</f>
        <v>0</v>
      </c>
      <c r="N145" s="5">
        <f>INDEX(Demand!$E$6:$S$265,MATCH('SPC Backing (Hide)'!$B145,Demand!$B$6:$B$265,0),MATCH('SPC Backing (Hide)'!N$3,Demand!$E$5:$S$5,0))</f>
        <v>0</v>
      </c>
      <c r="O145" s="5">
        <f>INDEX(Demand!$E$6:$S$265,MATCH('SPC Backing (Hide)'!$B145,Demand!$B$6:$B$265,0),MATCH('SPC Backing (Hide)'!O$3,Demand!$E$5:$S$5,0))</f>
        <v>0</v>
      </c>
      <c r="P145" s="5">
        <f>INDEX(Demand!$E$6:$S$265,MATCH('SPC Backing (Hide)'!$B145,Demand!$B$6:$B$265,0),MATCH('SPC Backing (Hide)'!P$3,Demand!$E$5:$S$5,0))</f>
        <v>0</v>
      </c>
      <c r="Q145" s="6">
        <f>INDEX(Demand!$E$6:$S$265,MATCH('SPC Backing (Hide)'!$B145,Demand!$B$6:$B$265,0),MATCH('SPC Backing (Hide)'!Q$3,Demand!$E$5:$S$5,0))</f>
        <v>0</v>
      </c>
      <c r="R145">
        <f>IF(SPC!$B$11="Yes",IF(ROW(A142)&gt;=Demand!$A$5-52,1,0),IF(AND(B145&gt;=SPC!$B$12,B145&lt;SPC!$B$13),1,0))</f>
        <v>1</v>
      </c>
      <c r="S145" cm="1">
        <f t="array" ref="S145">INDEX($C$4:$Q$263,ROW(A142),MATCH($T$2,$C$3:$Q$3,0))</f>
        <v>0</v>
      </c>
      <c r="T145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45" cm="1">
        <f t="array" ref="U145">ABS(INDEX($C$4:$Q$263,ROW(A142),MATCH($T$2,$C$3:$Q$3,0))-INDEX($C$4:$Q$263,ROW(A141),MATCH($T$2,$C$3:$Q$3,0)))</f>
        <v>0</v>
      </c>
      <c r="V145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45">
        <f t="shared" si="30"/>
        <v>40.813595610865789</v>
      </c>
      <c r="X145">
        <f t="shared" si="31"/>
        <v>108.80449618627055</v>
      </c>
      <c r="Y145">
        <f t="shared" si="32"/>
        <v>149.61809179713634</v>
      </c>
      <c r="Z145">
        <f t="shared" si="33"/>
        <v>190.43168740800212</v>
      </c>
      <c r="AA145">
        <f t="shared" si="34"/>
        <v>272.05887862973373</v>
      </c>
      <c r="AB145">
        <f t="shared" si="35"/>
        <v>312.8724742405995</v>
      </c>
      <c r="AC145">
        <f t="shared" si="36"/>
        <v>353.68606985146528</v>
      </c>
      <c r="AD145">
        <f t="shared" si="37"/>
        <v>0</v>
      </c>
      <c r="AE145">
        <f t="shared" si="44"/>
        <v>-2</v>
      </c>
      <c r="AF145">
        <f t="shared" si="38"/>
        <v>0</v>
      </c>
      <c r="AG145">
        <f t="shared" si="39"/>
        <v>0</v>
      </c>
      <c r="AH145" t="e">
        <f t="shared" si="40"/>
        <v>#N/A</v>
      </c>
      <c r="AI145">
        <f t="shared" si="41"/>
        <v>-1</v>
      </c>
      <c r="AJ145">
        <f t="shared" si="42"/>
        <v>0</v>
      </c>
      <c r="AK145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45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45">
        <f t="shared" si="43"/>
        <v>14.699999999999989</v>
      </c>
    </row>
    <row r="146" spans="2:39" x14ac:dyDescent="0.35">
      <c r="B146" s="12" t="str">
        <f>Demand!B148</f>
        <v/>
      </c>
      <c r="C146" s="7">
        <f>INDEX(Demand!$E$6:$S$265,MATCH('SPC Backing (Hide)'!$B146,Demand!$B$6:$B$265,0),MATCH('SPC Backing (Hide)'!C$3,Demand!$E$5:$S$5,0))</f>
        <v>0</v>
      </c>
      <c r="D146" s="5">
        <f>INDEX(Demand!$E$6:$S$265,MATCH('SPC Backing (Hide)'!$B146,Demand!$B$6:$B$265,0),MATCH('SPC Backing (Hide)'!D$3,Demand!$E$5:$S$5,0))</f>
        <v>0</v>
      </c>
      <c r="E146" s="5">
        <f>INDEX(Demand!$E$6:$S$265,MATCH('SPC Backing (Hide)'!$B146,Demand!$B$6:$B$265,0),MATCH('SPC Backing (Hide)'!E$3,Demand!$E$5:$S$5,0))</f>
        <v>0</v>
      </c>
      <c r="F146" s="5">
        <f>INDEX(Demand!$E$6:$S$265,MATCH('SPC Backing (Hide)'!$B146,Demand!$B$6:$B$265,0),MATCH('SPC Backing (Hide)'!F$3,Demand!$E$5:$S$5,0))</f>
        <v>0</v>
      </c>
      <c r="G146" s="5">
        <f>INDEX(Demand!$E$6:$S$265,MATCH('SPC Backing (Hide)'!$B146,Demand!$B$6:$B$265,0),MATCH('SPC Backing (Hide)'!G$3,Demand!$E$5:$S$5,0))</f>
        <v>0</v>
      </c>
      <c r="H146" s="5">
        <f>INDEX(Demand!$E$6:$S$265,MATCH('SPC Backing (Hide)'!$B146,Demand!$B$6:$B$265,0),MATCH('SPC Backing (Hide)'!H$3,Demand!$E$5:$S$5,0))</f>
        <v>0</v>
      </c>
      <c r="I146" s="5">
        <f>INDEX(Demand!$E$6:$S$265,MATCH('SPC Backing (Hide)'!$B146,Demand!$B$6:$B$265,0),MATCH('SPC Backing (Hide)'!I$3,Demand!$E$5:$S$5,0))</f>
        <v>0</v>
      </c>
      <c r="J146" s="5">
        <f>INDEX(Demand!$E$6:$S$265,MATCH('SPC Backing (Hide)'!$B146,Demand!$B$6:$B$265,0),MATCH('SPC Backing (Hide)'!J$3,Demand!$E$5:$S$5,0))</f>
        <v>0</v>
      </c>
      <c r="K146" s="5">
        <f>INDEX(Demand!$E$6:$S$265,MATCH('SPC Backing (Hide)'!$B146,Demand!$B$6:$B$265,0),MATCH('SPC Backing (Hide)'!K$3,Demand!$E$5:$S$5,0))</f>
        <v>0</v>
      </c>
      <c r="L146" s="5">
        <f>INDEX(Demand!$E$6:$S$265,MATCH('SPC Backing (Hide)'!$B146,Demand!$B$6:$B$265,0),MATCH('SPC Backing (Hide)'!L$3,Demand!$E$5:$S$5,0))</f>
        <v>0</v>
      </c>
      <c r="M146" s="5">
        <f>INDEX(Demand!$E$6:$S$265,MATCH('SPC Backing (Hide)'!$B146,Demand!$B$6:$B$265,0),MATCH('SPC Backing (Hide)'!M$3,Demand!$E$5:$S$5,0))</f>
        <v>0</v>
      </c>
      <c r="N146" s="5">
        <f>INDEX(Demand!$E$6:$S$265,MATCH('SPC Backing (Hide)'!$B146,Demand!$B$6:$B$265,0),MATCH('SPC Backing (Hide)'!N$3,Demand!$E$5:$S$5,0))</f>
        <v>0</v>
      </c>
      <c r="O146" s="5">
        <f>INDEX(Demand!$E$6:$S$265,MATCH('SPC Backing (Hide)'!$B146,Demand!$B$6:$B$265,0),MATCH('SPC Backing (Hide)'!O$3,Demand!$E$5:$S$5,0))</f>
        <v>0</v>
      </c>
      <c r="P146" s="5">
        <f>INDEX(Demand!$E$6:$S$265,MATCH('SPC Backing (Hide)'!$B146,Demand!$B$6:$B$265,0),MATCH('SPC Backing (Hide)'!P$3,Demand!$E$5:$S$5,0))</f>
        <v>0</v>
      </c>
      <c r="Q146" s="6">
        <f>INDEX(Demand!$E$6:$S$265,MATCH('SPC Backing (Hide)'!$B146,Demand!$B$6:$B$265,0),MATCH('SPC Backing (Hide)'!Q$3,Demand!$E$5:$S$5,0))</f>
        <v>0</v>
      </c>
      <c r="R146">
        <f>IF(SPC!$B$11="Yes",IF(ROW(A143)&gt;=Demand!$A$5-52,1,0),IF(AND(B146&gt;=SPC!$B$12,B146&lt;SPC!$B$13),1,0))</f>
        <v>1</v>
      </c>
      <c r="S146" cm="1">
        <f t="array" ref="S146">INDEX($C$4:$Q$263,ROW(A143),MATCH($T$2,$C$3:$Q$3,0))</f>
        <v>0</v>
      </c>
      <c r="T146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46" cm="1">
        <f t="array" ref="U146">ABS(INDEX($C$4:$Q$263,ROW(A143),MATCH($T$2,$C$3:$Q$3,0))-INDEX($C$4:$Q$263,ROW(A142),MATCH($T$2,$C$3:$Q$3,0)))</f>
        <v>0</v>
      </c>
      <c r="V146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46">
        <f t="shared" si="30"/>
        <v>40.813595610865789</v>
      </c>
      <c r="X146">
        <f t="shared" si="31"/>
        <v>108.80449618627055</v>
      </c>
      <c r="Y146">
        <f t="shared" si="32"/>
        <v>149.61809179713634</v>
      </c>
      <c r="Z146">
        <f t="shared" si="33"/>
        <v>190.43168740800212</v>
      </c>
      <c r="AA146">
        <f t="shared" si="34"/>
        <v>272.05887862973373</v>
      </c>
      <c r="AB146">
        <f t="shared" si="35"/>
        <v>312.8724742405995</v>
      </c>
      <c r="AC146">
        <f t="shared" si="36"/>
        <v>353.68606985146528</v>
      </c>
      <c r="AD146">
        <f t="shared" si="37"/>
        <v>0</v>
      </c>
      <c r="AE146">
        <f t="shared" si="44"/>
        <v>-2</v>
      </c>
      <c r="AF146">
        <f t="shared" si="38"/>
        <v>0</v>
      </c>
      <c r="AG146">
        <f t="shared" si="39"/>
        <v>0</v>
      </c>
      <c r="AH146" t="e">
        <f t="shared" si="40"/>
        <v>#N/A</v>
      </c>
      <c r="AI146">
        <f t="shared" si="41"/>
        <v>-1</v>
      </c>
      <c r="AJ146">
        <f t="shared" si="42"/>
        <v>0</v>
      </c>
      <c r="AK146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46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46">
        <f t="shared" si="43"/>
        <v>14.699999999999989</v>
      </c>
    </row>
    <row r="147" spans="2:39" x14ac:dyDescent="0.35">
      <c r="B147" s="12" t="str">
        <f>Demand!B149</f>
        <v/>
      </c>
      <c r="C147" s="7">
        <f>INDEX(Demand!$E$6:$S$265,MATCH('SPC Backing (Hide)'!$B147,Demand!$B$6:$B$265,0),MATCH('SPC Backing (Hide)'!C$3,Demand!$E$5:$S$5,0))</f>
        <v>0</v>
      </c>
      <c r="D147" s="5">
        <f>INDEX(Demand!$E$6:$S$265,MATCH('SPC Backing (Hide)'!$B147,Demand!$B$6:$B$265,0),MATCH('SPC Backing (Hide)'!D$3,Demand!$E$5:$S$5,0))</f>
        <v>0</v>
      </c>
      <c r="E147" s="5">
        <f>INDEX(Demand!$E$6:$S$265,MATCH('SPC Backing (Hide)'!$B147,Demand!$B$6:$B$265,0),MATCH('SPC Backing (Hide)'!E$3,Demand!$E$5:$S$5,0))</f>
        <v>0</v>
      </c>
      <c r="F147" s="5">
        <f>INDEX(Demand!$E$6:$S$265,MATCH('SPC Backing (Hide)'!$B147,Demand!$B$6:$B$265,0),MATCH('SPC Backing (Hide)'!F$3,Demand!$E$5:$S$5,0))</f>
        <v>0</v>
      </c>
      <c r="G147" s="5">
        <f>INDEX(Demand!$E$6:$S$265,MATCH('SPC Backing (Hide)'!$B147,Demand!$B$6:$B$265,0),MATCH('SPC Backing (Hide)'!G$3,Demand!$E$5:$S$5,0))</f>
        <v>0</v>
      </c>
      <c r="H147" s="5">
        <f>INDEX(Demand!$E$6:$S$265,MATCH('SPC Backing (Hide)'!$B147,Demand!$B$6:$B$265,0),MATCH('SPC Backing (Hide)'!H$3,Demand!$E$5:$S$5,0))</f>
        <v>0</v>
      </c>
      <c r="I147" s="5">
        <f>INDEX(Demand!$E$6:$S$265,MATCH('SPC Backing (Hide)'!$B147,Demand!$B$6:$B$265,0),MATCH('SPC Backing (Hide)'!I$3,Demand!$E$5:$S$5,0))</f>
        <v>0</v>
      </c>
      <c r="J147" s="5">
        <f>INDEX(Demand!$E$6:$S$265,MATCH('SPC Backing (Hide)'!$B147,Demand!$B$6:$B$265,0),MATCH('SPC Backing (Hide)'!J$3,Demand!$E$5:$S$5,0))</f>
        <v>0</v>
      </c>
      <c r="K147" s="5">
        <f>INDEX(Demand!$E$6:$S$265,MATCH('SPC Backing (Hide)'!$B147,Demand!$B$6:$B$265,0),MATCH('SPC Backing (Hide)'!K$3,Demand!$E$5:$S$5,0))</f>
        <v>0</v>
      </c>
      <c r="L147" s="5">
        <f>INDEX(Demand!$E$6:$S$265,MATCH('SPC Backing (Hide)'!$B147,Demand!$B$6:$B$265,0),MATCH('SPC Backing (Hide)'!L$3,Demand!$E$5:$S$5,0))</f>
        <v>0</v>
      </c>
      <c r="M147" s="5">
        <f>INDEX(Demand!$E$6:$S$265,MATCH('SPC Backing (Hide)'!$B147,Demand!$B$6:$B$265,0),MATCH('SPC Backing (Hide)'!M$3,Demand!$E$5:$S$5,0))</f>
        <v>0</v>
      </c>
      <c r="N147" s="5">
        <f>INDEX(Demand!$E$6:$S$265,MATCH('SPC Backing (Hide)'!$B147,Demand!$B$6:$B$265,0),MATCH('SPC Backing (Hide)'!N$3,Demand!$E$5:$S$5,0))</f>
        <v>0</v>
      </c>
      <c r="O147" s="5">
        <f>INDEX(Demand!$E$6:$S$265,MATCH('SPC Backing (Hide)'!$B147,Demand!$B$6:$B$265,0),MATCH('SPC Backing (Hide)'!O$3,Demand!$E$5:$S$5,0))</f>
        <v>0</v>
      </c>
      <c r="P147" s="5">
        <f>INDEX(Demand!$E$6:$S$265,MATCH('SPC Backing (Hide)'!$B147,Demand!$B$6:$B$265,0),MATCH('SPC Backing (Hide)'!P$3,Demand!$E$5:$S$5,0))</f>
        <v>0</v>
      </c>
      <c r="Q147" s="6">
        <f>INDEX(Demand!$E$6:$S$265,MATCH('SPC Backing (Hide)'!$B147,Demand!$B$6:$B$265,0),MATCH('SPC Backing (Hide)'!Q$3,Demand!$E$5:$S$5,0))</f>
        <v>0</v>
      </c>
      <c r="R147">
        <f>IF(SPC!$B$11="Yes",IF(ROW(A144)&gt;=Demand!$A$5-52,1,0),IF(AND(B147&gt;=SPC!$B$12,B147&lt;SPC!$B$13),1,0))</f>
        <v>1</v>
      </c>
      <c r="S147" cm="1">
        <f t="array" ref="S147">INDEX($C$4:$Q$263,ROW(A144),MATCH($T$2,$C$3:$Q$3,0))</f>
        <v>0</v>
      </c>
      <c r="T147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47" cm="1">
        <f t="array" ref="U147">ABS(INDEX($C$4:$Q$263,ROW(A144),MATCH($T$2,$C$3:$Q$3,0))-INDEX($C$4:$Q$263,ROW(A143),MATCH($T$2,$C$3:$Q$3,0)))</f>
        <v>0</v>
      </c>
      <c r="V147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47">
        <f t="shared" si="30"/>
        <v>40.813595610865789</v>
      </c>
      <c r="X147">
        <f t="shared" si="31"/>
        <v>108.80449618627055</v>
      </c>
      <c r="Y147">
        <f t="shared" si="32"/>
        <v>149.61809179713634</v>
      </c>
      <c r="Z147">
        <f t="shared" si="33"/>
        <v>190.43168740800212</v>
      </c>
      <c r="AA147">
        <f t="shared" si="34"/>
        <v>272.05887862973373</v>
      </c>
      <c r="AB147">
        <f t="shared" si="35"/>
        <v>312.8724742405995</v>
      </c>
      <c r="AC147">
        <f t="shared" si="36"/>
        <v>353.68606985146528</v>
      </c>
      <c r="AD147">
        <f t="shared" si="37"/>
        <v>0</v>
      </c>
      <c r="AE147">
        <f t="shared" si="44"/>
        <v>-2</v>
      </c>
      <c r="AF147">
        <f t="shared" si="38"/>
        <v>0</v>
      </c>
      <c r="AG147">
        <f t="shared" si="39"/>
        <v>0</v>
      </c>
      <c r="AH147" t="e">
        <f t="shared" si="40"/>
        <v>#N/A</v>
      </c>
      <c r="AI147">
        <f t="shared" si="41"/>
        <v>-1</v>
      </c>
      <c r="AJ147">
        <f t="shared" si="42"/>
        <v>0</v>
      </c>
      <c r="AK147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47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47">
        <f t="shared" si="43"/>
        <v>14.699999999999989</v>
      </c>
    </row>
    <row r="148" spans="2:39" x14ac:dyDescent="0.35">
      <c r="B148" s="12" t="str">
        <f>Demand!B150</f>
        <v/>
      </c>
      <c r="C148" s="7">
        <f>INDEX(Demand!$E$6:$S$265,MATCH('SPC Backing (Hide)'!$B148,Demand!$B$6:$B$265,0),MATCH('SPC Backing (Hide)'!C$3,Demand!$E$5:$S$5,0))</f>
        <v>0</v>
      </c>
      <c r="D148" s="5">
        <f>INDEX(Demand!$E$6:$S$265,MATCH('SPC Backing (Hide)'!$B148,Demand!$B$6:$B$265,0),MATCH('SPC Backing (Hide)'!D$3,Demand!$E$5:$S$5,0))</f>
        <v>0</v>
      </c>
      <c r="E148" s="5">
        <f>INDEX(Demand!$E$6:$S$265,MATCH('SPC Backing (Hide)'!$B148,Demand!$B$6:$B$265,0),MATCH('SPC Backing (Hide)'!E$3,Demand!$E$5:$S$5,0))</f>
        <v>0</v>
      </c>
      <c r="F148" s="5">
        <f>INDEX(Demand!$E$6:$S$265,MATCH('SPC Backing (Hide)'!$B148,Demand!$B$6:$B$265,0),MATCH('SPC Backing (Hide)'!F$3,Demand!$E$5:$S$5,0))</f>
        <v>0</v>
      </c>
      <c r="G148" s="5">
        <f>INDEX(Demand!$E$6:$S$265,MATCH('SPC Backing (Hide)'!$B148,Demand!$B$6:$B$265,0),MATCH('SPC Backing (Hide)'!G$3,Demand!$E$5:$S$5,0))</f>
        <v>0</v>
      </c>
      <c r="H148" s="5">
        <f>INDEX(Demand!$E$6:$S$265,MATCH('SPC Backing (Hide)'!$B148,Demand!$B$6:$B$265,0),MATCH('SPC Backing (Hide)'!H$3,Demand!$E$5:$S$5,0))</f>
        <v>0</v>
      </c>
      <c r="I148" s="5">
        <f>INDEX(Demand!$E$6:$S$265,MATCH('SPC Backing (Hide)'!$B148,Demand!$B$6:$B$265,0),MATCH('SPC Backing (Hide)'!I$3,Demand!$E$5:$S$5,0))</f>
        <v>0</v>
      </c>
      <c r="J148" s="5">
        <f>INDEX(Demand!$E$6:$S$265,MATCH('SPC Backing (Hide)'!$B148,Demand!$B$6:$B$265,0),MATCH('SPC Backing (Hide)'!J$3,Demand!$E$5:$S$5,0))</f>
        <v>0</v>
      </c>
      <c r="K148" s="5">
        <f>INDEX(Demand!$E$6:$S$265,MATCH('SPC Backing (Hide)'!$B148,Demand!$B$6:$B$265,0),MATCH('SPC Backing (Hide)'!K$3,Demand!$E$5:$S$5,0))</f>
        <v>0</v>
      </c>
      <c r="L148" s="5">
        <f>INDEX(Demand!$E$6:$S$265,MATCH('SPC Backing (Hide)'!$B148,Demand!$B$6:$B$265,0),MATCH('SPC Backing (Hide)'!L$3,Demand!$E$5:$S$5,0))</f>
        <v>0</v>
      </c>
      <c r="M148" s="5">
        <f>INDEX(Demand!$E$6:$S$265,MATCH('SPC Backing (Hide)'!$B148,Demand!$B$6:$B$265,0),MATCH('SPC Backing (Hide)'!M$3,Demand!$E$5:$S$5,0))</f>
        <v>0</v>
      </c>
      <c r="N148" s="5">
        <f>INDEX(Demand!$E$6:$S$265,MATCH('SPC Backing (Hide)'!$B148,Demand!$B$6:$B$265,0),MATCH('SPC Backing (Hide)'!N$3,Demand!$E$5:$S$5,0))</f>
        <v>0</v>
      </c>
      <c r="O148" s="5">
        <f>INDEX(Demand!$E$6:$S$265,MATCH('SPC Backing (Hide)'!$B148,Demand!$B$6:$B$265,0),MATCH('SPC Backing (Hide)'!O$3,Demand!$E$5:$S$5,0))</f>
        <v>0</v>
      </c>
      <c r="P148" s="5">
        <f>INDEX(Demand!$E$6:$S$265,MATCH('SPC Backing (Hide)'!$B148,Demand!$B$6:$B$265,0),MATCH('SPC Backing (Hide)'!P$3,Demand!$E$5:$S$5,0))</f>
        <v>0</v>
      </c>
      <c r="Q148" s="6">
        <f>INDEX(Demand!$E$6:$S$265,MATCH('SPC Backing (Hide)'!$B148,Demand!$B$6:$B$265,0),MATCH('SPC Backing (Hide)'!Q$3,Demand!$E$5:$S$5,0))</f>
        <v>0</v>
      </c>
      <c r="R148">
        <f>IF(SPC!$B$11="Yes",IF(ROW(A145)&gt;=Demand!$A$5-52,1,0),IF(AND(B148&gt;=SPC!$B$12,B148&lt;SPC!$B$13),1,0))</f>
        <v>1</v>
      </c>
      <c r="S148" cm="1">
        <f t="array" ref="S148">INDEX($C$4:$Q$263,ROW(A145),MATCH($T$2,$C$3:$Q$3,0))</f>
        <v>0</v>
      </c>
      <c r="T148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48" cm="1">
        <f t="array" ref="U148">ABS(INDEX($C$4:$Q$263,ROW(A145),MATCH($T$2,$C$3:$Q$3,0))-INDEX($C$4:$Q$263,ROW(A144),MATCH($T$2,$C$3:$Q$3,0)))</f>
        <v>0</v>
      </c>
      <c r="V148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48">
        <f t="shared" si="30"/>
        <v>40.813595610865789</v>
      </c>
      <c r="X148">
        <f t="shared" si="31"/>
        <v>108.80449618627055</v>
      </c>
      <c r="Y148">
        <f t="shared" si="32"/>
        <v>149.61809179713634</v>
      </c>
      <c r="Z148">
        <f t="shared" si="33"/>
        <v>190.43168740800212</v>
      </c>
      <c r="AA148">
        <f t="shared" si="34"/>
        <v>272.05887862973373</v>
      </c>
      <c r="AB148">
        <f t="shared" si="35"/>
        <v>312.8724742405995</v>
      </c>
      <c r="AC148">
        <f t="shared" si="36"/>
        <v>353.68606985146528</v>
      </c>
      <c r="AD148">
        <f t="shared" si="37"/>
        <v>0</v>
      </c>
      <c r="AE148">
        <f t="shared" si="44"/>
        <v>-2</v>
      </c>
      <c r="AF148">
        <f t="shared" si="38"/>
        <v>0</v>
      </c>
      <c r="AG148">
        <f t="shared" si="39"/>
        <v>0</v>
      </c>
      <c r="AH148" t="e">
        <f t="shared" si="40"/>
        <v>#N/A</v>
      </c>
      <c r="AI148">
        <f t="shared" si="41"/>
        <v>-1</v>
      </c>
      <c r="AJ148">
        <f t="shared" si="42"/>
        <v>0</v>
      </c>
      <c r="AK148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48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48">
        <f t="shared" si="43"/>
        <v>14.699999999999989</v>
      </c>
    </row>
    <row r="149" spans="2:39" x14ac:dyDescent="0.35">
      <c r="B149" s="12" t="str">
        <f>Demand!B151</f>
        <v/>
      </c>
      <c r="C149" s="7">
        <f>INDEX(Demand!$E$6:$S$265,MATCH('SPC Backing (Hide)'!$B149,Demand!$B$6:$B$265,0),MATCH('SPC Backing (Hide)'!C$3,Demand!$E$5:$S$5,0))</f>
        <v>0</v>
      </c>
      <c r="D149" s="5">
        <f>INDEX(Demand!$E$6:$S$265,MATCH('SPC Backing (Hide)'!$B149,Demand!$B$6:$B$265,0),MATCH('SPC Backing (Hide)'!D$3,Demand!$E$5:$S$5,0))</f>
        <v>0</v>
      </c>
      <c r="E149" s="5">
        <f>INDEX(Demand!$E$6:$S$265,MATCH('SPC Backing (Hide)'!$B149,Demand!$B$6:$B$265,0),MATCH('SPC Backing (Hide)'!E$3,Demand!$E$5:$S$5,0))</f>
        <v>0</v>
      </c>
      <c r="F149" s="5">
        <f>INDEX(Demand!$E$6:$S$265,MATCH('SPC Backing (Hide)'!$B149,Demand!$B$6:$B$265,0),MATCH('SPC Backing (Hide)'!F$3,Demand!$E$5:$S$5,0))</f>
        <v>0</v>
      </c>
      <c r="G149" s="5">
        <f>INDEX(Demand!$E$6:$S$265,MATCH('SPC Backing (Hide)'!$B149,Demand!$B$6:$B$265,0),MATCH('SPC Backing (Hide)'!G$3,Demand!$E$5:$S$5,0))</f>
        <v>0</v>
      </c>
      <c r="H149" s="5">
        <f>INDEX(Demand!$E$6:$S$265,MATCH('SPC Backing (Hide)'!$B149,Demand!$B$6:$B$265,0),MATCH('SPC Backing (Hide)'!H$3,Demand!$E$5:$S$5,0))</f>
        <v>0</v>
      </c>
      <c r="I149" s="5">
        <f>INDEX(Demand!$E$6:$S$265,MATCH('SPC Backing (Hide)'!$B149,Demand!$B$6:$B$265,0),MATCH('SPC Backing (Hide)'!I$3,Demand!$E$5:$S$5,0))</f>
        <v>0</v>
      </c>
      <c r="J149" s="5">
        <f>INDEX(Demand!$E$6:$S$265,MATCH('SPC Backing (Hide)'!$B149,Demand!$B$6:$B$265,0),MATCH('SPC Backing (Hide)'!J$3,Demand!$E$5:$S$5,0))</f>
        <v>0</v>
      </c>
      <c r="K149" s="5">
        <f>INDEX(Demand!$E$6:$S$265,MATCH('SPC Backing (Hide)'!$B149,Demand!$B$6:$B$265,0),MATCH('SPC Backing (Hide)'!K$3,Demand!$E$5:$S$5,0))</f>
        <v>0</v>
      </c>
      <c r="L149" s="5">
        <f>INDEX(Demand!$E$6:$S$265,MATCH('SPC Backing (Hide)'!$B149,Demand!$B$6:$B$265,0),MATCH('SPC Backing (Hide)'!L$3,Demand!$E$5:$S$5,0))</f>
        <v>0</v>
      </c>
      <c r="M149" s="5">
        <f>INDEX(Demand!$E$6:$S$265,MATCH('SPC Backing (Hide)'!$B149,Demand!$B$6:$B$265,0),MATCH('SPC Backing (Hide)'!M$3,Demand!$E$5:$S$5,0))</f>
        <v>0</v>
      </c>
      <c r="N149" s="5">
        <f>INDEX(Demand!$E$6:$S$265,MATCH('SPC Backing (Hide)'!$B149,Demand!$B$6:$B$265,0),MATCH('SPC Backing (Hide)'!N$3,Demand!$E$5:$S$5,0))</f>
        <v>0</v>
      </c>
      <c r="O149" s="5">
        <f>INDEX(Demand!$E$6:$S$265,MATCH('SPC Backing (Hide)'!$B149,Demand!$B$6:$B$265,0),MATCH('SPC Backing (Hide)'!O$3,Demand!$E$5:$S$5,0))</f>
        <v>0</v>
      </c>
      <c r="P149" s="5">
        <f>INDEX(Demand!$E$6:$S$265,MATCH('SPC Backing (Hide)'!$B149,Demand!$B$6:$B$265,0),MATCH('SPC Backing (Hide)'!P$3,Demand!$E$5:$S$5,0))</f>
        <v>0</v>
      </c>
      <c r="Q149" s="6">
        <f>INDEX(Demand!$E$6:$S$265,MATCH('SPC Backing (Hide)'!$B149,Demand!$B$6:$B$265,0),MATCH('SPC Backing (Hide)'!Q$3,Demand!$E$5:$S$5,0))</f>
        <v>0</v>
      </c>
      <c r="R149">
        <f>IF(SPC!$B$11="Yes",IF(ROW(A146)&gt;=Demand!$A$5-52,1,0),IF(AND(B149&gt;=SPC!$B$12,B149&lt;SPC!$B$13),1,0))</f>
        <v>1</v>
      </c>
      <c r="S149" cm="1">
        <f t="array" ref="S149">INDEX($C$4:$Q$263,ROW(A146),MATCH($T$2,$C$3:$Q$3,0))</f>
        <v>0</v>
      </c>
      <c r="T149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49" cm="1">
        <f t="array" ref="U149">ABS(INDEX($C$4:$Q$263,ROW(A146),MATCH($T$2,$C$3:$Q$3,0))-INDEX($C$4:$Q$263,ROW(A145),MATCH($T$2,$C$3:$Q$3,0)))</f>
        <v>0</v>
      </c>
      <c r="V149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49">
        <f t="shared" si="30"/>
        <v>40.813595610865789</v>
      </c>
      <c r="X149">
        <f t="shared" si="31"/>
        <v>108.80449618627055</v>
      </c>
      <c r="Y149">
        <f t="shared" si="32"/>
        <v>149.61809179713634</v>
      </c>
      <c r="Z149">
        <f t="shared" si="33"/>
        <v>190.43168740800212</v>
      </c>
      <c r="AA149">
        <f t="shared" si="34"/>
        <v>272.05887862973373</v>
      </c>
      <c r="AB149">
        <f t="shared" si="35"/>
        <v>312.8724742405995</v>
      </c>
      <c r="AC149">
        <f t="shared" si="36"/>
        <v>353.68606985146528</v>
      </c>
      <c r="AD149">
        <f t="shared" si="37"/>
        <v>0</v>
      </c>
      <c r="AE149">
        <f t="shared" si="44"/>
        <v>-2</v>
      </c>
      <c r="AF149">
        <f t="shared" si="38"/>
        <v>0</v>
      </c>
      <c r="AG149">
        <f t="shared" si="39"/>
        <v>0</v>
      </c>
      <c r="AH149" t="e">
        <f t="shared" si="40"/>
        <v>#N/A</v>
      </c>
      <c r="AI149">
        <f t="shared" si="41"/>
        <v>-1</v>
      </c>
      <c r="AJ149">
        <f t="shared" si="42"/>
        <v>0</v>
      </c>
      <c r="AK149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49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49">
        <f t="shared" si="43"/>
        <v>14.699999999999989</v>
      </c>
    </row>
    <row r="150" spans="2:39" x14ac:dyDescent="0.35">
      <c r="B150" s="12" t="str">
        <f>Demand!B152</f>
        <v/>
      </c>
      <c r="C150" s="7">
        <f>INDEX(Demand!$E$6:$S$265,MATCH('SPC Backing (Hide)'!$B150,Demand!$B$6:$B$265,0),MATCH('SPC Backing (Hide)'!C$3,Demand!$E$5:$S$5,0))</f>
        <v>0</v>
      </c>
      <c r="D150" s="5">
        <f>INDEX(Demand!$E$6:$S$265,MATCH('SPC Backing (Hide)'!$B150,Demand!$B$6:$B$265,0),MATCH('SPC Backing (Hide)'!D$3,Demand!$E$5:$S$5,0))</f>
        <v>0</v>
      </c>
      <c r="E150" s="5">
        <f>INDEX(Demand!$E$6:$S$265,MATCH('SPC Backing (Hide)'!$B150,Demand!$B$6:$B$265,0),MATCH('SPC Backing (Hide)'!E$3,Demand!$E$5:$S$5,0))</f>
        <v>0</v>
      </c>
      <c r="F150" s="5">
        <f>INDEX(Demand!$E$6:$S$265,MATCH('SPC Backing (Hide)'!$B150,Demand!$B$6:$B$265,0),MATCH('SPC Backing (Hide)'!F$3,Demand!$E$5:$S$5,0))</f>
        <v>0</v>
      </c>
      <c r="G150" s="5">
        <f>INDEX(Demand!$E$6:$S$265,MATCH('SPC Backing (Hide)'!$B150,Demand!$B$6:$B$265,0),MATCH('SPC Backing (Hide)'!G$3,Demand!$E$5:$S$5,0))</f>
        <v>0</v>
      </c>
      <c r="H150" s="5">
        <f>INDEX(Demand!$E$6:$S$265,MATCH('SPC Backing (Hide)'!$B150,Demand!$B$6:$B$265,0),MATCH('SPC Backing (Hide)'!H$3,Demand!$E$5:$S$5,0))</f>
        <v>0</v>
      </c>
      <c r="I150" s="5">
        <f>INDEX(Demand!$E$6:$S$265,MATCH('SPC Backing (Hide)'!$B150,Demand!$B$6:$B$265,0),MATCH('SPC Backing (Hide)'!I$3,Demand!$E$5:$S$5,0))</f>
        <v>0</v>
      </c>
      <c r="J150" s="5">
        <f>INDEX(Demand!$E$6:$S$265,MATCH('SPC Backing (Hide)'!$B150,Demand!$B$6:$B$265,0),MATCH('SPC Backing (Hide)'!J$3,Demand!$E$5:$S$5,0))</f>
        <v>0</v>
      </c>
      <c r="K150" s="5">
        <f>INDEX(Demand!$E$6:$S$265,MATCH('SPC Backing (Hide)'!$B150,Demand!$B$6:$B$265,0),MATCH('SPC Backing (Hide)'!K$3,Demand!$E$5:$S$5,0))</f>
        <v>0</v>
      </c>
      <c r="L150" s="5">
        <f>INDEX(Demand!$E$6:$S$265,MATCH('SPC Backing (Hide)'!$B150,Demand!$B$6:$B$265,0),MATCH('SPC Backing (Hide)'!L$3,Demand!$E$5:$S$5,0))</f>
        <v>0</v>
      </c>
      <c r="M150" s="5">
        <f>INDEX(Demand!$E$6:$S$265,MATCH('SPC Backing (Hide)'!$B150,Demand!$B$6:$B$265,0),MATCH('SPC Backing (Hide)'!M$3,Demand!$E$5:$S$5,0))</f>
        <v>0</v>
      </c>
      <c r="N150" s="5">
        <f>INDEX(Demand!$E$6:$S$265,MATCH('SPC Backing (Hide)'!$B150,Demand!$B$6:$B$265,0),MATCH('SPC Backing (Hide)'!N$3,Demand!$E$5:$S$5,0))</f>
        <v>0</v>
      </c>
      <c r="O150" s="5">
        <f>INDEX(Demand!$E$6:$S$265,MATCH('SPC Backing (Hide)'!$B150,Demand!$B$6:$B$265,0),MATCH('SPC Backing (Hide)'!O$3,Demand!$E$5:$S$5,0))</f>
        <v>0</v>
      </c>
      <c r="P150" s="5">
        <f>INDEX(Demand!$E$6:$S$265,MATCH('SPC Backing (Hide)'!$B150,Demand!$B$6:$B$265,0),MATCH('SPC Backing (Hide)'!P$3,Demand!$E$5:$S$5,0))</f>
        <v>0</v>
      </c>
      <c r="Q150" s="6">
        <f>INDEX(Demand!$E$6:$S$265,MATCH('SPC Backing (Hide)'!$B150,Demand!$B$6:$B$265,0),MATCH('SPC Backing (Hide)'!Q$3,Demand!$E$5:$S$5,0))</f>
        <v>0</v>
      </c>
      <c r="R150">
        <f>IF(SPC!$B$11="Yes",IF(ROW(A147)&gt;=Demand!$A$5-52,1,0),IF(AND(B150&gt;=SPC!$B$12,B150&lt;SPC!$B$13),1,0))</f>
        <v>1</v>
      </c>
      <c r="S150" cm="1">
        <f t="array" ref="S150">INDEX($C$4:$Q$263,ROW(A147),MATCH($T$2,$C$3:$Q$3,0))</f>
        <v>0</v>
      </c>
      <c r="T150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50" cm="1">
        <f t="array" ref="U150">ABS(INDEX($C$4:$Q$263,ROW(A147),MATCH($T$2,$C$3:$Q$3,0))-INDEX($C$4:$Q$263,ROW(A146),MATCH($T$2,$C$3:$Q$3,0)))</f>
        <v>0</v>
      </c>
      <c r="V150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50">
        <f t="shared" si="30"/>
        <v>40.813595610865789</v>
      </c>
      <c r="X150">
        <f t="shared" si="31"/>
        <v>108.80449618627055</v>
      </c>
      <c r="Y150">
        <f t="shared" si="32"/>
        <v>149.61809179713634</v>
      </c>
      <c r="Z150">
        <f t="shared" si="33"/>
        <v>190.43168740800212</v>
      </c>
      <c r="AA150">
        <f t="shared" si="34"/>
        <v>272.05887862973373</v>
      </c>
      <c r="AB150">
        <f t="shared" si="35"/>
        <v>312.8724742405995</v>
      </c>
      <c r="AC150">
        <f t="shared" si="36"/>
        <v>353.68606985146528</v>
      </c>
      <c r="AD150">
        <f t="shared" si="37"/>
        <v>0</v>
      </c>
      <c r="AE150">
        <f t="shared" si="44"/>
        <v>-2</v>
      </c>
      <c r="AF150">
        <f t="shared" si="38"/>
        <v>0</v>
      </c>
      <c r="AG150">
        <f t="shared" si="39"/>
        <v>0</v>
      </c>
      <c r="AH150" t="e">
        <f t="shared" si="40"/>
        <v>#N/A</v>
      </c>
      <c r="AI150">
        <f t="shared" si="41"/>
        <v>-1</v>
      </c>
      <c r="AJ150">
        <f t="shared" si="42"/>
        <v>0</v>
      </c>
      <c r="AK150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50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50">
        <f t="shared" si="43"/>
        <v>14.699999999999989</v>
      </c>
    </row>
    <row r="151" spans="2:39" x14ac:dyDescent="0.35">
      <c r="B151" s="12" t="str">
        <f>Demand!B153</f>
        <v/>
      </c>
      <c r="C151" s="7">
        <f>INDEX(Demand!$E$6:$S$265,MATCH('SPC Backing (Hide)'!$B151,Demand!$B$6:$B$265,0),MATCH('SPC Backing (Hide)'!C$3,Demand!$E$5:$S$5,0))</f>
        <v>0</v>
      </c>
      <c r="D151" s="5">
        <f>INDEX(Demand!$E$6:$S$265,MATCH('SPC Backing (Hide)'!$B151,Demand!$B$6:$B$265,0),MATCH('SPC Backing (Hide)'!D$3,Demand!$E$5:$S$5,0))</f>
        <v>0</v>
      </c>
      <c r="E151" s="5">
        <f>INDEX(Demand!$E$6:$S$265,MATCH('SPC Backing (Hide)'!$B151,Demand!$B$6:$B$265,0),MATCH('SPC Backing (Hide)'!E$3,Demand!$E$5:$S$5,0))</f>
        <v>0</v>
      </c>
      <c r="F151" s="5">
        <f>INDEX(Demand!$E$6:$S$265,MATCH('SPC Backing (Hide)'!$B151,Demand!$B$6:$B$265,0),MATCH('SPC Backing (Hide)'!F$3,Demand!$E$5:$S$5,0))</f>
        <v>0</v>
      </c>
      <c r="G151" s="5">
        <f>INDEX(Demand!$E$6:$S$265,MATCH('SPC Backing (Hide)'!$B151,Demand!$B$6:$B$265,0),MATCH('SPC Backing (Hide)'!G$3,Demand!$E$5:$S$5,0))</f>
        <v>0</v>
      </c>
      <c r="H151" s="5">
        <f>INDEX(Demand!$E$6:$S$265,MATCH('SPC Backing (Hide)'!$B151,Demand!$B$6:$B$265,0),MATCH('SPC Backing (Hide)'!H$3,Demand!$E$5:$S$5,0))</f>
        <v>0</v>
      </c>
      <c r="I151" s="5">
        <f>INDEX(Demand!$E$6:$S$265,MATCH('SPC Backing (Hide)'!$B151,Demand!$B$6:$B$265,0),MATCH('SPC Backing (Hide)'!I$3,Demand!$E$5:$S$5,0))</f>
        <v>0</v>
      </c>
      <c r="J151" s="5">
        <f>INDEX(Demand!$E$6:$S$265,MATCH('SPC Backing (Hide)'!$B151,Demand!$B$6:$B$265,0),MATCH('SPC Backing (Hide)'!J$3,Demand!$E$5:$S$5,0))</f>
        <v>0</v>
      </c>
      <c r="K151" s="5">
        <f>INDEX(Demand!$E$6:$S$265,MATCH('SPC Backing (Hide)'!$B151,Demand!$B$6:$B$265,0),MATCH('SPC Backing (Hide)'!K$3,Demand!$E$5:$S$5,0))</f>
        <v>0</v>
      </c>
      <c r="L151" s="5">
        <f>INDEX(Demand!$E$6:$S$265,MATCH('SPC Backing (Hide)'!$B151,Demand!$B$6:$B$265,0),MATCH('SPC Backing (Hide)'!L$3,Demand!$E$5:$S$5,0))</f>
        <v>0</v>
      </c>
      <c r="M151" s="5">
        <f>INDEX(Demand!$E$6:$S$265,MATCH('SPC Backing (Hide)'!$B151,Demand!$B$6:$B$265,0),MATCH('SPC Backing (Hide)'!M$3,Demand!$E$5:$S$5,0))</f>
        <v>0</v>
      </c>
      <c r="N151" s="5">
        <f>INDEX(Demand!$E$6:$S$265,MATCH('SPC Backing (Hide)'!$B151,Demand!$B$6:$B$265,0),MATCH('SPC Backing (Hide)'!N$3,Demand!$E$5:$S$5,0))</f>
        <v>0</v>
      </c>
      <c r="O151" s="5">
        <f>INDEX(Demand!$E$6:$S$265,MATCH('SPC Backing (Hide)'!$B151,Demand!$B$6:$B$265,0),MATCH('SPC Backing (Hide)'!O$3,Demand!$E$5:$S$5,0))</f>
        <v>0</v>
      </c>
      <c r="P151" s="5">
        <f>INDEX(Demand!$E$6:$S$265,MATCH('SPC Backing (Hide)'!$B151,Demand!$B$6:$B$265,0),MATCH('SPC Backing (Hide)'!P$3,Demand!$E$5:$S$5,0))</f>
        <v>0</v>
      </c>
      <c r="Q151" s="6">
        <f>INDEX(Demand!$E$6:$S$265,MATCH('SPC Backing (Hide)'!$B151,Demand!$B$6:$B$265,0),MATCH('SPC Backing (Hide)'!Q$3,Demand!$E$5:$S$5,0))</f>
        <v>0</v>
      </c>
      <c r="R151">
        <f>IF(SPC!$B$11="Yes",IF(ROW(A148)&gt;=Demand!$A$5-52,1,0),IF(AND(B151&gt;=SPC!$B$12,B151&lt;SPC!$B$13),1,0))</f>
        <v>1</v>
      </c>
      <c r="S151" cm="1">
        <f t="array" ref="S151">INDEX($C$4:$Q$263,ROW(A148),MATCH($T$2,$C$3:$Q$3,0))</f>
        <v>0</v>
      </c>
      <c r="T151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51" cm="1">
        <f t="array" ref="U151">ABS(INDEX($C$4:$Q$263,ROW(A148),MATCH($T$2,$C$3:$Q$3,0))-INDEX($C$4:$Q$263,ROW(A147),MATCH($T$2,$C$3:$Q$3,0)))</f>
        <v>0</v>
      </c>
      <c r="V151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51">
        <f t="shared" si="30"/>
        <v>40.813595610865789</v>
      </c>
      <c r="X151">
        <f t="shared" si="31"/>
        <v>108.80449618627055</v>
      </c>
      <c r="Y151">
        <f t="shared" si="32"/>
        <v>149.61809179713634</v>
      </c>
      <c r="Z151">
        <f t="shared" si="33"/>
        <v>190.43168740800212</v>
      </c>
      <c r="AA151">
        <f t="shared" si="34"/>
        <v>272.05887862973373</v>
      </c>
      <c r="AB151">
        <f t="shared" si="35"/>
        <v>312.8724742405995</v>
      </c>
      <c r="AC151">
        <f t="shared" si="36"/>
        <v>353.68606985146528</v>
      </c>
      <c r="AD151">
        <f t="shared" si="37"/>
        <v>0</v>
      </c>
      <c r="AE151">
        <f t="shared" si="44"/>
        <v>-2</v>
      </c>
      <c r="AF151">
        <f t="shared" si="38"/>
        <v>0</v>
      </c>
      <c r="AG151">
        <f t="shared" si="39"/>
        <v>0</v>
      </c>
      <c r="AH151" t="e">
        <f t="shared" si="40"/>
        <v>#N/A</v>
      </c>
      <c r="AI151">
        <f t="shared" si="41"/>
        <v>-1</v>
      </c>
      <c r="AJ151">
        <f t="shared" si="42"/>
        <v>0</v>
      </c>
      <c r="AK151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51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51">
        <f t="shared" si="43"/>
        <v>14.699999999999989</v>
      </c>
    </row>
    <row r="152" spans="2:39" x14ac:dyDescent="0.35">
      <c r="B152" s="12" t="str">
        <f>Demand!B154</f>
        <v/>
      </c>
      <c r="C152" s="7">
        <f>INDEX(Demand!$E$6:$S$265,MATCH('SPC Backing (Hide)'!$B152,Demand!$B$6:$B$265,0),MATCH('SPC Backing (Hide)'!C$3,Demand!$E$5:$S$5,0))</f>
        <v>0</v>
      </c>
      <c r="D152" s="5">
        <f>INDEX(Demand!$E$6:$S$265,MATCH('SPC Backing (Hide)'!$B152,Demand!$B$6:$B$265,0),MATCH('SPC Backing (Hide)'!D$3,Demand!$E$5:$S$5,0))</f>
        <v>0</v>
      </c>
      <c r="E152" s="5">
        <f>INDEX(Demand!$E$6:$S$265,MATCH('SPC Backing (Hide)'!$B152,Demand!$B$6:$B$265,0),MATCH('SPC Backing (Hide)'!E$3,Demand!$E$5:$S$5,0))</f>
        <v>0</v>
      </c>
      <c r="F152" s="5">
        <f>INDEX(Demand!$E$6:$S$265,MATCH('SPC Backing (Hide)'!$B152,Demand!$B$6:$B$265,0),MATCH('SPC Backing (Hide)'!F$3,Demand!$E$5:$S$5,0))</f>
        <v>0</v>
      </c>
      <c r="G152" s="5">
        <f>INDEX(Demand!$E$6:$S$265,MATCH('SPC Backing (Hide)'!$B152,Demand!$B$6:$B$265,0),MATCH('SPC Backing (Hide)'!G$3,Demand!$E$5:$S$5,0))</f>
        <v>0</v>
      </c>
      <c r="H152" s="5">
        <f>INDEX(Demand!$E$6:$S$265,MATCH('SPC Backing (Hide)'!$B152,Demand!$B$6:$B$265,0),MATCH('SPC Backing (Hide)'!H$3,Demand!$E$5:$S$5,0))</f>
        <v>0</v>
      </c>
      <c r="I152" s="5">
        <f>INDEX(Demand!$E$6:$S$265,MATCH('SPC Backing (Hide)'!$B152,Demand!$B$6:$B$265,0),MATCH('SPC Backing (Hide)'!I$3,Demand!$E$5:$S$5,0))</f>
        <v>0</v>
      </c>
      <c r="J152" s="5">
        <f>INDEX(Demand!$E$6:$S$265,MATCH('SPC Backing (Hide)'!$B152,Demand!$B$6:$B$265,0),MATCH('SPC Backing (Hide)'!J$3,Demand!$E$5:$S$5,0))</f>
        <v>0</v>
      </c>
      <c r="K152" s="5">
        <f>INDEX(Demand!$E$6:$S$265,MATCH('SPC Backing (Hide)'!$B152,Demand!$B$6:$B$265,0),MATCH('SPC Backing (Hide)'!K$3,Demand!$E$5:$S$5,0))</f>
        <v>0</v>
      </c>
      <c r="L152" s="5">
        <f>INDEX(Demand!$E$6:$S$265,MATCH('SPC Backing (Hide)'!$B152,Demand!$B$6:$B$265,0),MATCH('SPC Backing (Hide)'!L$3,Demand!$E$5:$S$5,0))</f>
        <v>0</v>
      </c>
      <c r="M152" s="5">
        <f>INDEX(Demand!$E$6:$S$265,MATCH('SPC Backing (Hide)'!$B152,Demand!$B$6:$B$265,0),MATCH('SPC Backing (Hide)'!M$3,Demand!$E$5:$S$5,0))</f>
        <v>0</v>
      </c>
      <c r="N152" s="5">
        <f>INDEX(Demand!$E$6:$S$265,MATCH('SPC Backing (Hide)'!$B152,Demand!$B$6:$B$265,0),MATCH('SPC Backing (Hide)'!N$3,Demand!$E$5:$S$5,0))</f>
        <v>0</v>
      </c>
      <c r="O152" s="5">
        <f>INDEX(Demand!$E$6:$S$265,MATCH('SPC Backing (Hide)'!$B152,Demand!$B$6:$B$265,0),MATCH('SPC Backing (Hide)'!O$3,Demand!$E$5:$S$5,0))</f>
        <v>0</v>
      </c>
      <c r="P152" s="5">
        <f>INDEX(Demand!$E$6:$S$265,MATCH('SPC Backing (Hide)'!$B152,Demand!$B$6:$B$265,0),MATCH('SPC Backing (Hide)'!P$3,Demand!$E$5:$S$5,0))</f>
        <v>0</v>
      </c>
      <c r="Q152" s="6">
        <f>INDEX(Demand!$E$6:$S$265,MATCH('SPC Backing (Hide)'!$B152,Demand!$B$6:$B$265,0),MATCH('SPC Backing (Hide)'!Q$3,Demand!$E$5:$S$5,0))</f>
        <v>0</v>
      </c>
      <c r="R152">
        <f>IF(SPC!$B$11="Yes",IF(ROW(A149)&gt;=Demand!$A$5-52,1,0),IF(AND(B152&gt;=SPC!$B$12,B152&lt;SPC!$B$13),1,0))</f>
        <v>1</v>
      </c>
      <c r="S152" cm="1">
        <f t="array" ref="S152">INDEX($C$4:$Q$263,ROW(A149),MATCH($T$2,$C$3:$Q$3,0))</f>
        <v>0</v>
      </c>
      <c r="T152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52" cm="1">
        <f t="array" ref="U152">ABS(INDEX($C$4:$Q$263,ROW(A149),MATCH($T$2,$C$3:$Q$3,0))-INDEX($C$4:$Q$263,ROW(A148),MATCH($T$2,$C$3:$Q$3,0)))</f>
        <v>0</v>
      </c>
      <c r="V152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52">
        <f t="shared" si="30"/>
        <v>40.813595610865789</v>
      </c>
      <c r="X152">
        <f t="shared" si="31"/>
        <v>108.80449618627055</v>
      </c>
      <c r="Y152">
        <f t="shared" si="32"/>
        <v>149.61809179713634</v>
      </c>
      <c r="Z152">
        <f t="shared" si="33"/>
        <v>190.43168740800212</v>
      </c>
      <c r="AA152">
        <f t="shared" si="34"/>
        <v>272.05887862973373</v>
      </c>
      <c r="AB152">
        <f t="shared" si="35"/>
        <v>312.8724742405995</v>
      </c>
      <c r="AC152">
        <f t="shared" si="36"/>
        <v>353.68606985146528</v>
      </c>
      <c r="AD152">
        <f t="shared" si="37"/>
        <v>0</v>
      </c>
      <c r="AE152">
        <f t="shared" si="44"/>
        <v>-2</v>
      </c>
      <c r="AF152">
        <f t="shared" si="38"/>
        <v>0</v>
      </c>
      <c r="AG152">
        <f t="shared" si="39"/>
        <v>0</v>
      </c>
      <c r="AH152" t="e">
        <f t="shared" si="40"/>
        <v>#N/A</v>
      </c>
      <c r="AI152">
        <f t="shared" si="41"/>
        <v>-1</v>
      </c>
      <c r="AJ152">
        <f t="shared" si="42"/>
        <v>0</v>
      </c>
      <c r="AK152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52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52">
        <f t="shared" si="43"/>
        <v>14.699999999999989</v>
      </c>
    </row>
    <row r="153" spans="2:39" x14ac:dyDescent="0.35">
      <c r="B153" s="12" t="str">
        <f>Demand!B155</f>
        <v/>
      </c>
      <c r="C153" s="7">
        <f>INDEX(Demand!$E$6:$S$265,MATCH('SPC Backing (Hide)'!$B153,Demand!$B$6:$B$265,0),MATCH('SPC Backing (Hide)'!C$3,Demand!$E$5:$S$5,0))</f>
        <v>0</v>
      </c>
      <c r="D153" s="5">
        <f>INDEX(Demand!$E$6:$S$265,MATCH('SPC Backing (Hide)'!$B153,Demand!$B$6:$B$265,0),MATCH('SPC Backing (Hide)'!D$3,Demand!$E$5:$S$5,0))</f>
        <v>0</v>
      </c>
      <c r="E153" s="5">
        <f>INDEX(Demand!$E$6:$S$265,MATCH('SPC Backing (Hide)'!$B153,Demand!$B$6:$B$265,0),MATCH('SPC Backing (Hide)'!E$3,Demand!$E$5:$S$5,0))</f>
        <v>0</v>
      </c>
      <c r="F153" s="5">
        <f>INDEX(Demand!$E$6:$S$265,MATCH('SPC Backing (Hide)'!$B153,Demand!$B$6:$B$265,0),MATCH('SPC Backing (Hide)'!F$3,Demand!$E$5:$S$5,0))</f>
        <v>0</v>
      </c>
      <c r="G153" s="5">
        <f>INDEX(Demand!$E$6:$S$265,MATCH('SPC Backing (Hide)'!$B153,Demand!$B$6:$B$265,0),MATCH('SPC Backing (Hide)'!G$3,Demand!$E$5:$S$5,0))</f>
        <v>0</v>
      </c>
      <c r="H153" s="5">
        <f>INDEX(Demand!$E$6:$S$265,MATCH('SPC Backing (Hide)'!$B153,Demand!$B$6:$B$265,0),MATCH('SPC Backing (Hide)'!H$3,Demand!$E$5:$S$5,0))</f>
        <v>0</v>
      </c>
      <c r="I153" s="5">
        <f>INDEX(Demand!$E$6:$S$265,MATCH('SPC Backing (Hide)'!$B153,Demand!$B$6:$B$265,0),MATCH('SPC Backing (Hide)'!I$3,Demand!$E$5:$S$5,0))</f>
        <v>0</v>
      </c>
      <c r="J153" s="5">
        <f>INDEX(Demand!$E$6:$S$265,MATCH('SPC Backing (Hide)'!$B153,Demand!$B$6:$B$265,0),MATCH('SPC Backing (Hide)'!J$3,Demand!$E$5:$S$5,0))</f>
        <v>0</v>
      </c>
      <c r="K153" s="5">
        <f>INDEX(Demand!$E$6:$S$265,MATCH('SPC Backing (Hide)'!$B153,Demand!$B$6:$B$265,0),MATCH('SPC Backing (Hide)'!K$3,Demand!$E$5:$S$5,0))</f>
        <v>0</v>
      </c>
      <c r="L153" s="5">
        <f>INDEX(Demand!$E$6:$S$265,MATCH('SPC Backing (Hide)'!$B153,Demand!$B$6:$B$265,0),MATCH('SPC Backing (Hide)'!L$3,Demand!$E$5:$S$5,0))</f>
        <v>0</v>
      </c>
      <c r="M153" s="5">
        <f>INDEX(Demand!$E$6:$S$265,MATCH('SPC Backing (Hide)'!$B153,Demand!$B$6:$B$265,0),MATCH('SPC Backing (Hide)'!M$3,Demand!$E$5:$S$5,0))</f>
        <v>0</v>
      </c>
      <c r="N153" s="5">
        <f>INDEX(Demand!$E$6:$S$265,MATCH('SPC Backing (Hide)'!$B153,Demand!$B$6:$B$265,0),MATCH('SPC Backing (Hide)'!N$3,Demand!$E$5:$S$5,0))</f>
        <v>0</v>
      </c>
      <c r="O153" s="5">
        <f>INDEX(Demand!$E$6:$S$265,MATCH('SPC Backing (Hide)'!$B153,Demand!$B$6:$B$265,0),MATCH('SPC Backing (Hide)'!O$3,Demand!$E$5:$S$5,0))</f>
        <v>0</v>
      </c>
      <c r="P153" s="5">
        <f>INDEX(Demand!$E$6:$S$265,MATCH('SPC Backing (Hide)'!$B153,Demand!$B$6:$B$265,0),MATCH('SPC Backing (Hide)'!P$3,Demand!$E$5:$S$5,0))</f>
        <v>0</v>
      </c>
      <c r="Q153" s="6">
        <f>INDEX(Demand!$E$6:$S$265,MATCH('SPC Backing (Hide)'!$B153,Demand!$B$6:$B$265,0),MATCH('SPC Backing (Hide)'!Q$3,Demand!$E$5:$S$5,0))</f>
        <v>0</v>
      </c>
      <c r="R153">
        <f>IF(SPC!$B$11="Yes",IF(ROW(A150)&gt;=Demand!$A$5-52,1,0),IF(AND(B153&gt;=SPC!$B$12,B153&lt;SPC!$B$13),1,0))</f>
        <v>1</v>
      </c>
      <c r="S153" cm="1">
        <f t="array" ref="S153">INDEX($C$4:$Q$263,ROW(A150),MATCH($T$2,$C$3:$Q$3,0))</f>
        <v>0</v>
      </c>
      <c r="T153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53" cm="1">
        <f t="array" ref="U153">ABS(INDEX($C$4:$Q$263,ROW(A150),MATCH($T$2,$C$3:$Q$3,0))-INDEX($C$4:$Q$263,ROW(A149),MATCH($T$2,$C$3:$Q$3,0)))</f>
        <v>0</v>
      </c>
      <c r="V153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53">
        <f t="shared" si="30"/>
        <v>40.813595610865789</v>
      </c>
      <c r="X153">
        <f t="shared" si="31"/>
        <v>108.80449618627055</v>
      </c>
      <c r="Y153">
        <f t="shared" si="32"/>
        <v>149.61809179713634</v>
      </c>
      <c r="Z153">
        <f t="shared" si="33"/>
        <v>190.43168740800212</v>
      </c>
      <c r="AA153">
        <f t="shared" si="34"/>
        <v>272.05887862973373</v>
      </c>
      <c r="AB153">
        <f t="shared" si="35"/>
        <v>312.8724742405995</v>
      </c>
      <c r="AC153">
        <f t="shared" si="36"/>
        <v>353.68606985146528</v>
      </c>
      <c r="AD153">
        <f t="shared" si="37"/>
        <v>0</v>
      </c>
      <c r="AE153">
        <f t="shared" si="44"/>
        <v>-2</v>
      </c>
      <c r="AF153">
        <f t="shared" si="38"/>
        <v>0</v>
      </c>
      <c r="AG153">
        <f t="shared" si="39"/>
        <v>0</v>
      </c>
      <c r="AH153" t="e">
        <f t="shared" si="40"/>
        <v>#N/A</v>
      </c>
      <c r="AI153">
        <f t="shared" si="41"/>
        <v>-1</v>
      </c>
      <c r="AJ153">
        <f t="shared" si="42"/>
        <v>0</v>
      </c>
      <c r="AK153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53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53">
        <f t="shared" si="43"/>
        <v>14.699999999999989</v>
      </c>
    </row>
    <row r="154" spans="2:39" x14ac:dyDescent="0.35">
      <c r="B154" s="12" t="str">
        <f>Demand!B156</f>
        <v/>
      </c>
      <c r="C154" s="7">
        <f>INDEX(Demand!$E$6:$S$265,MATCH('SPC Backing (Hide)'!$B154,Demand!$B$6:$B$265,0),MATCH('SPC Backing (Hide)'!C$3,Demand!$E$5:$S$5,0))</f>
        <v>0</v>
      </c>
      <c r="D154" s="5">
        <f>INDEX(Demand!$E$6:$S$265,MATCH('SPC Backing (Hide)'!$B154,Demand!$B$6:$B$265,0),MATCH('SPC Backing (Hide)'!D$3,Demand!$E$5:$S$5,0))</f>
        <v>0</v>
      </c>
      <c r="E154" s="5">
        <f>INDEX(Demand!$E$6:$S$265,MATCH('SPC Backing (Hide)'!$B154,Demand!$B$6:$B$265,0),MATCH('SPC Backing (Hide)'!E$3,Demand!$E$5:$S$5,0))</f>
        <v>0</v>
      </c>
      <c r="F154" s="5">
        <f>INDEX(Demand!$E$6:$S$265,MATCH('SPC Backing (Hide)'!$B154,Demand!$B$6:$B$265,0),MATCH('SPC Backing (Hide)'!F$3,Demand!$E$5:$S$5,0))</f>
        <v>0</v>
      </c>
      <c r="G154" s="5">
        <f>INDEX(Demand!$E$6:$S$265,MATCH('SPC Backing (Hide)'!$B154,Demand!$B$6:$B$265,0),MATCH('SPC Backing (Hide)'!G$3,Demand!$E$5:$S$5,0))</f>
        <v>0</v>
      </c>
      <c r="H154" s="5">
        <f>INDEX(Demand!$E$6:$S$265,MATCH('SPC Backing (Hide)'!$B154,Demand!$B$6:$B$265,0),MATCH('SPC Backing (Hide)'!H$3,Demand!$E$5:$S$5,0))</f>
        <v>0</v>
      </c>
      <c r="I154" s="5">
        <f>INDEX(Demand!$E$6:$S$265,MATCH('SPC Backing (Hide)'!$B154,Demand!$B$6:$B$265,0),MATCH('SPC Backing (Hide)'!I$3,Demand!$E$5:$S$5,0))</f>
        <v>0</v>
      </c>
      <c r="J154" s="5">
        <f>INDEX(Demand!$E$6:$S$265,MATCH('SPC Backing (Hide)'!$B154,Demand!$B$6:$B$265,0),MATCH('SPC Backing (Hide)'!J$3,Demand!$E$5:$S$5,0))</f>
        <v>0</v>
      </c>
      <c r="K154" s="5">
        <f>INDEX(Demand!$E$6:$S$265,MATCH('SPC Backing (Hide)'!$B154,Demand!$B$6:$B$265,0),MATCH('SPC Backing (Hide)'!K$3,Demand!$E$5:$S$5,0))</f>
        <v>0</v>
      </c>
      <c r="L154" s="5">
        <f>INDEX(Demand!$E$6:$S$265,MATCH('SPC Backing (Hide)'!$B154,Demand!$B$6:$B$265,0),MATCH('SPC Backing (Hide)'!L$3,Demand!$E$5:$S$5,0))</f>
        <v>0</v>
      </c>
      <c r="M154" s="5">
        <f>INDEX(Demand!$E$6:$S$265,MATCH('SPC Backing (Hide)'!$B154,Demand!$B$6:$B$265,0),MATCH('SPC Backing (Hide)'!M$3,Demand!$E$5:$S$5,0))</f>
        <v>0</v>
      </c>
      <c r="N154" s="5">
        <f>INDEX(Demand!$E$6:$S$265,MATCH('SPC Backing (Hide)'!$B154,Demand!$B$6:$B$265,0),MATCH('SPC Backing (Hide)'!N$3,Demand!$E$5:$S$5,0))</f>
        <v>0</v>
      </c>
      <c r="O154" s="5">
        <f>INDEX(Demand!$E$6:$S$265,MATCH('SPC Backing (Hide)'!$B154,Demand!$B$6:$B$265,0),MATCH('SPC Backing (Hide)'!O$3,Demand!$E$5:$S$5,0))</f>
        <v>0</v>
      </c>
      <c r="P154" s="5">
        <f>INDEX(Demand!$E$6:$S$265,MATCH('SPC Backing (Hide)'!$B154,Demand!$B$6:$B$265,0),MATCH('SPC Backing (Hide)'!P$3,Demand!$E$5:$S$5,0))</f>
        <v>0</v>
      </c>
      <c r="Q154" s="6">
        <f>INDEX(Demand!$E$6:$S$265,MATCH('SPC Backing (Hide)'!$B154,Demand!$B$6:$B$265,0),MATCH('SPC Backing (Hide)'!Q$3,Demand!$E$5:$S$5,0))</f>
        <v>0</v>
      </c>
      <c r="R154">
        <f>IF(SPC!$B$11="Yes",IF(ROW(A151)&gt;=Demand!$A$5-52,1,0),IF(AND(B154&gt;=SPC!$B$12,B154&lt;SPC!$B$13),1,0))</f>
        <v>1</v>
      </c>
      <c r="S154" cm="1">
        <f t="array" ref="S154">INDEX($C$4:$Q$263,ROW(A151),MATCH($T$2,$C$3:$Q$3,0))</f>
        <v>0</v>
      </c>
      <c r="T154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54" cm="1">
        <f t="array" ref="U154">ABS(INDEX($C$4:$Q$263,ROW(A151),MATCH($T$2,$C$3:$Q$3,0))-INDEX($C$4:$Q$263,ROW(A150),MATCH($T$2,$C$3:$Q$3,0)))</f>
        <v>0</v>
      </c>
      <c r="V154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54">
        <f t="shared" si="30"/>
        <v>40.813595610865789</v>
      </c>
      <c r="X154">
        <f t="shared" si="31"/>
        <v>108.80449618627055</v>
      </c>
      <c r="Y154">
        <f t="shared" si="32"/>
        <v>149.61809179713634</v>
      </c>
      <c r="Z154">
        <f t="shared" si="33"/>
        <v>190.43168740800212</v>
      </c>
      <c r="AA154">
        <f t="shared" si="34"/>
        <v>272.05887862973373</v>
      </c>
      <c r="AB154">
        <f t="shared" si="35"/>
        <v>312.8724742405995</v>
      </c>
      <c r="AC154">
        <f t="shared" si="36"/>
        <v>353.68606985146528</v>
      </c>
      <c r="AD154">
        <f t="shared" si="37"/>
        <v>0</v>
      </c>
      <c r="AE154">
        <f t="shared" si="44"/>
        <v>-2</v>
      </c>
      <c r="AF154">
        <f t="shared" si="38"/>
        <v>0</v>
      </c>
      <c r="AG154">
        <f t="shared" si="39"/>
        <v>0</v>
      </c>
      <c r="AH154" t="e">
        <f t="shared" si="40"/>
        <v>#N/A</v>
      </c>
      <c r="AI154">
        <f t="shared" si="41"/>
        <v>-1</v>
      </c>
      <c r="AJ154">
        <f t="shared" si="42"/>
        <v>0</v>
      </c>
      <c r="AK154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54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54">
        <f t="shared" si="43"/>
        <v>14.699999999999989</v>
      </c>
    </row>
    <row r="155" spans="2:39" x14ac:dyDescent="0.35">
      <c r="B155" s="12" t="str">
        <f>Demand!B157</f>
        <v/>
      </c>
      <c r="C155" s="7">
        <f>INDEX(Demand!$E$6:$S$265,MATCH('SPC Backing (Hide)'!$B155,Demand!$B$6:$B$265,0),MATCH('SPC Backing (Hide)'!C$3,Demand!$E$5:$S$5,0))</f>
        <v>0</v>
      </c>
      <c r="D155" s="5">
        <f>INDEX(Demand!$E$6:$S$265,MATCH('SPC Backing (Hide)'!$B155,Demand!$B$6:$B$265,0),MATCH('SPC Backing (Hide)'!D$3,Demand!$E$5:$S$5,0))</f>
        <v>0</v>
      </c>
      <c r="E155" s="5">
        <f>INDEX(Demand!$E$6:$S$265,MATCH('SPC Backing (Hide)'!$B155,Demand!$B$6:$B$265,0),MATCH('SPC Backing (Hide)'!E$3,Demand!$E$5:$S$5,0))</f>
        <v>0</v>
      </c>
      <c r="F155" s="5">
        <f>INDEX(Demand!$E$6:$S$265,MATCH('SPC Backing (Hide)'!$B155,Demand!$B$6:$B$265,0),MATCH('SPC Backing (Hide)'!F$3,Demand!$E$5:$S$5,0))</f>
        <v>0</v>
      </c>
      <c r="G155" s="5">
        <f>INDEX(Demand!$E$6:$S$265,MATCH('SPC Backing (Hide)'!$B155,Demand!$B$6:$B$265,0),MATCH('SPC Backing (Hide)'!G$3,Demand!$E$5:$S$5,0))</f>
        <v>0</v>
      </c>
      <c r="H155" s="5">
        <f>INDEX(Demand!$E$6:$S$265,MATCH('SPC Backing (Hide)'!$B155,Demand!$B$6:$B$265,0),MATCH('SPC Backing (Hide)'!H$3,Demand!$E$5:$S$5,0))</f>
        <v>0</v>
      </c>
      <c r="I155" s="5">
        <f>INDEX(Demand!$E$6:$S$265,MATCH('SPC Backing (Hide)'!$B155,Demand!$B$6:$B$265,0),MATCH('SPC Backing (Hide)'!I$3,Demand!$E$5:$S$5,0))</f>
        <v>0</v>
      </c>
      <c r="J155" s="5">
        <f>INDEX(Demand!$E$6:$S$265,MATCH('SPC Backing (Hide)'!$B155,Demand!$B$6:$B$265,0),MATCH('SPC Backing (Hide)'!J$3,Demand!$E$5:$S$5,0))</f>
        <v>0</v>
      </c>
      <c r="K155" s="5">
        <f>INDEX(Demand!$E$6:$S$265,MATCH('SPC Backing (Hide)'!$B155,Demand!$B$6:$B$265,0),MATCH('SPC Backing (Hide)'!K$3,Demand!$E$5:$S$5,0))</f>
        <v>0</v>
      </c>
      <c r="L155" s="5">
        <f>INDEX(Demand!$E$6:$S$265,MATCH('SPC Backing (Hide)'!$B155,Demand!$B$6:$B$265,0),MATCH('SPC Backing (Hide)'!L$3,Demand!$E$5:$S$5,0))</f>
        <v>0</v>
      </c>
      <c r="M155" s="5">
        <f>INDEX(Demand!$E$6:$S$265,MATCH('SPC Backing (Hide)'!$B155,Demand!$B$6:$B$265,0),MATCH('SPC Backing (Hide)'!M$3,Demand!$E$5:$S$5,0))</f>
        <v>0</v>
      </c>
      <c r="N155" s="5">
        <f>INDEX(Demand!$E$6:$S$265,MATCH('SPC Backing (Hide)'!$B155,Demand!$B$6:$B$265,0),MATCH('SPC Backing (Hide)'!N$3,Demand!$E$5:$S$5,0))</f>
        <v>0</v>
      </c>
      <c r="O155" s="5">
        <f>INDEX(Demand!$E$6:$S$265,MATCH('SPC Backing (Hide)'!$B155,Demand!$B$6:$B$265,0),MATCH('SPC Backing (Hide)'!O$3,Demand!$E$5:$S$5,0))</f>
        <v>0</v>
      </c>
      <c r="P155" s="5">
        <f>INDEX(Demand!$E$6:$S$265,MATCH('SPC Backing (Hide)'!$B155,Demand!$B$6:$B$265,0),MATCH('SPC Backing (Hide)'!P$3,Demand!$E$5:$S$5,0))</f>
        <v>0</v>
      </c>
      <c r="Q155" s="6">
        <f>INDEX(Demand!$E$6:$S$265,MATCH('SPC Backing (Hide)'!$B155,Demand!$B$6:$B$265,0),MATCH('SPC Backing (Hide)'!Q$3,Demand!$E$5:$S$5,0))</f>
        <v>0</v>
      </c>
      <c r="R155">
        <f>IF(SPC!$B$11="Yes",IF(ROW(A152)&gt;=Demand!$A$5-52,1,0),IF(AND(B155&gt;=SPC!$B$12,B155&lt;SPC!$B$13),1,0))</f>
        <v>1</v>
      </c>
      <c r="S155" cm="1">
        <f t="array" ref="S155">INDEX($C$4:$Q$263,ROW(A152),MATCH($T$2,$C$3:$Q$3,0))</f>
        <v>0</v>
      </c>
      <c r="T155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55" cm="1">
        <f t="array" ref="U155">ABS(INDEX($C$4:$Q$263,ROW(A152),MATCH($T$2,$C$3:$Q$3,0))-INDEX($C$4:$Q$263,ROW(A151),MATCH($T$2,$C$3:$Q$3,0)))</f>
        <v>0</v>
      </c>
      <c r="V155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55">
        <f t="shared" si="30"/>
        <v>40.813595610865789</v>
      </c>
      <c r="X155">
        <f t="shared" si="31"/>
        <v>108.80449618627055</v>
      </c>
      <c r="Y155">
        <f t="shared" si="32"/>
        <v>149.61809179713634</v>
      </c>
      <c r="Z155">
        <f t="shared" si="33"/>
        <v>190.43168740800212</v>
      </c>
      <c r="AA155">
        <f t="shared" si="34"/>
        <v>272.05887862973373</v>
      </c>
      <c r="AB155">
        <f t="shared" si="35"/>
        <v>312.8724742405995</v>
      </c>
      <c r="AC155">
        <f t="shared" si="36"/>
        <v>353.68606985146528</v>
      </c>
      <c r="AD155">
        <f t="shared" si="37"/>
        <v>0</v>
      </c>
      <c r="AE155">
        <f t="shared" si="44"/>
        <v>-2</v>
      </c>
      <c r="AF155">
        <f t="shared" si="38"/>
        <v>0</v>
      </c>
      <c r="AG155">
        <f t="shared" si="39"/>
        <v>0</v>
      </c>
      <c r="AH155" t="e">
        <f t="shared" si="40"/>
        <v>#N/A</v>
      </c>
      <c r="AI155">
        <f t="shared" si="41"/>
        <v>-1</v>
      </c>
      <c r="AJ155">
        <f t="shared" si="42"/>
        <v>0</v>
      </c>
      <c r="AK155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55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55">
        <f t="shared" si="43"/>
        <v>14.699999999999989</v>
      </c>
    </row>
    <row r="156" spans="2:39" x14ac:dyDescent="0.35">
      <c r="B156" s="12" t="str">
        <f>Demand!B158</f>
        <v/>
      </c>
      <c r="C156" s="7">
        <f>INDEX(Demand!$E$6:$S$265,MATCH('SPC Backing (Hide)'!$B156,Demand!$B$6:$B$265,0),MATCH('SPC Backing (Hide)'!C$3,Demand!$E$5:$S$5,0))</f>
        <v>0</v>
      </c>
      <c r="D156" s="5">
        <f>INDEX(Demand!$E$6:$S$265,MATCH('SPC Backing (Hide)'!$B156,Demand!$B$6:$B$265,0),MATCH('SPC Backing (Hide)'!D$3,Demand!$E$5:$S$5,0))</f>
        <v>0</v>
      </c>
      <c r="E156" s="5">
        <f>INDEX(Demand!$E$6:$S$265,MATCH('SPC Backing (Hide)'!$B156,Demand!$B$6:$B$265,0),MATCH('SPC Backing (Hide)'!E$3,Demand!$E$5:$S$5,0))</f>
        <v>0</v>
      </c>
      <c r="F156" s="5">
        <f>INDEX(Demand!$E$6:$S$265,MATCH('SPC Backing (Hide)'!$B156,Demand!$B$6:$B$265,0),MATCH('SPC Backing (Hide)'!F$3,Demand!$E$5:$S$5,0))</f>
        <v>0</v>
      </c>
      <c r="G156" s="5">
        <f>INDEX(Demand!$E$6:$S$265,MATCH('SPC Backing (Hide)'!$B156,Demand!$B$6:$B$265,0),MATCH('SPC Backing (Hide)'!G$3,Demand!$E$5:$S$5,0))</f>
        <v>0</v>
      </c>
      <c r="H156" s="5">
        <f>INDEX(Demand!$E$6:$S$265,MATCH('SPC Backing (Hide)'!$B156,Demand!$B$6:$B$265,0),MATCH('SPC Backing (Hide)'!H$3,Demand!$E$5:$S$5,0))</f>
        <v>0</v>
      </c>
      <c r="I156" s="5">
        <f>INDEX(Demand!$E$6:$S$265,MATCH('SPC Backing (Hide)'!$B156,Demand!$B$6:$B$265,0),MATCH('SPC Backing (Hide)'!I$3,Demand!$E$5:$S$5,0))</f>
        <v>0</v>
      </c>
      <c r="J156" s="5">
        <f>INDEX(Demand!$E$6:$S$265,MATCH('SPC Backing (Hide)'!$B156,Demand!$B$6:$B$265,0),MATCH('SPC Backing (Hide)'!J$3,Demand!$E$5:$S$5,0))</f>
        <v>0</v>
      </c>
      <c r="K156" s="5">
        <f>INDEX(Demand!$E$6:$S$265,MATCH('SPC Backing (Hide)'!$B156,Demand!$B$6:$B$265,0),MATCH('SPC Backing (Hide)'!K$3,Demand!$E$5:$S$5,0))</f>
        <v>0</v>
      </c>
      <c r="L156" s="5">
        <f>INDEX(Demand!$E$6:$S$265,MATCH('SPC Backing (Hide)'!$B156,Demand!$B$6:$B$265,0),MATCH('SPC Backing (Hide)'!L$3,Demand!$E$5:$S$5,0))</f>
        <v>0</v>
      </c>
      <c r="M156" s="5">
        <f>INDEX(Demand!$E$6:$S$265,MATCH('SPC Backing (Hide)'!$B156,Demand!$B$6:$B$265,0),MATCH('SPC Backing (Hide)'!M$3,Demand!$E$5:$S$5,0))</f>
        <v>0</v>
      </c>
      <c r="N156" s="5">
        <f>INDEX(Demand!$E$6:$S$265,MATCH('SPC Backing (Hide)'!$B156,Demand!$B$6:$B$265,0),MATCH('SPC Backing (Hide)'!N$3,Demand!$E$5:$S$5,0))</f>
        <v>0</v>
      </c>
      <c r="O156" s="5">
        <f>INDEX(Demand!$E$6:$S$265,MATCH('SPC Backing (Hide)'!$B156,Demand!$B$6:$B$265,0),MATCH('SPC Backing (Hide)'!O$3,Demand!$E$5:$S$5,0))</f>
        <v>0</v>
      </c>
      <c r="P156" s="5">
        <f>INDEX(Demand!$E$6:$S$265,MATCH('SPC Backing (Hide)'!$B156,Demand!$B$6:$B$265,0),MATCH('SPC Backing (Hide)'!P$3,Demand!$E$5:$S$5,0))</f>
        <v>0</v>
      </c>
      <c r="Q156" s="6">
        <f>INDEX(Demand!$E$6:$S$265,MATCH('SPC Backing (Hide)'!$B156,Demand!$B$6:$B$265,0),MATCH('SPC Backing (Hide)'!Q$3,Demand!$E$5:$S$5,0))</f>
        <v>0</v>
      </c>
      <c r="R156">
        <f>IF(SPC!$B$11="Yes",IF(ROW(A153)&gt;=Demand!$A$5-52,1,0),IF(AND(B156&gt;=SPC!$B$12,B156&lt;SPC!$B$13),1,0))</f>
        <v>1</v>
      </c>
      <c r="S156" cm="1">
        <f t="array" ref="S156">INDEX($C$4:$Q$263,ROW(A153),MATCH($T$2,$C$3:$Q$3,0))</f>
        <v>0</v>
      </c>
      <c r="T156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56" cm="1">
        <f t="array" ref="U156">ABS(INDEX($C$4:$Q$263,ROW(A153),MATCH($T$2,$C$3:$Q$3,0))-INDEX($C$4:$Q$263,ROW(A152),MATCH($T$2,$C$3:$Q$3,0)))</f>
        <v>0</v>
      </c>
      <c r="V156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56">
        <f t="shared" si="30"/>
        <v>40.813595610865789</v>
      </c>
      <c r="X156">
        <f t="shared" si="31"/>
        <v>108.80449618627055</v>
      </c>
      <c r="Y156">
        <f t="shared" si="32"/>
        <v>149.61809179713634</v>
      </c>
      <c r="Z156">
        <f t="shared" si="33"/>
        <v>190.43168740800212</v>
      </c>
      <c r="AA156">
        <f t="shared" si="34"/>
        <v>272.05887862973373</v>
      </c>
      <c r="AB156">
        <f t="shared" si="35"/>
        <v>312.8724742405995</v>
      </c>
      <c r="AC156">
        <f t="shared" si="36"/>
        <v>353.68606985146528</v>
      </c>
      <c r="AD156">
        <f t="shared" si="37"/>
        <v>0</v>
      </c>
      <c r="AE156">
        <f t="shared" si="44"/>
        <v>-2</v>
      </c>
      <c r="AF156">
        <f t="shared" si="38"/>
        <v>0</v>
      </c>
      <c r="AG156">
        <f t="shared" si="39"/>
        <v>0</v>
      </c>
      <c r="AH156" t="e">
        <f t="shared" si="40"/>
        <v>#N/A</v>
      </c>
      <c r="AI156">
        <f t="shared" si="41"/>
        <v>-1</v>
      </c>
      <c r="AJ156">
        <f t="shared" si="42"/>
        <v>0</v>
      </c>
      <c r="AK156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56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56">
        <f t="shared" si="43"/>
        <v>14.699999999999989</v>
      </c>
    </row>
    <row r="157" spans="2:39" x14ac:dyDescent="0.35">
      <c r="B157" s="12" t="str">
        <f>Demand!B159</f>
        <v/>
      </c>
      <c r="C157" s="7">
        <f>INDEX(Demand!$E$6:$S$265,MATCH('SPC Backing (Hide)'!$B157,Demand!$B$6:$B$265,0),MATCH('SPC Backing (Hide)'!C$3,Demand!$E$5:$S$5,0))</f>
        <v>0</v>
      </c>
      <c r="D157" s="5">
        <f>INDEX(Demand!$E$6:$S$265,MATCH('SPC Backing (Hide)'!$B157,Demand!$B$6:$B$265,0),MATCH('SPC Backing (Hide)'!D$3,Demand!$E$5:$S$5,0))</f>
        <v>0</v>
      </c>
      <c r="E157" s="5">
        <f>INDEX(Demand!$E$6:$S$265,MATCH('SPC Backing (Hide)'!$B157,Demand!$B$6:$B$265,0),MATCH('SPC Backing (Hide)'!E$3,Demand!$E$5:$S$5,0))</f>
        <v>0</v>
      </c>
      <c r="F157" s="5">
        <f>INDEX(Demand!$E$6:$S$265,MATCH('SPC Backing (Hide)'!$B157,Demand!$B$6:$B$265,0),MATCH('SPC Backing (Hide)'!F$3,Demand!$E$5:$S$5,0))</f>
        <v>0</v>
      </c>
      <c r="G157" s="5">
        <f>INDEX(Demand!$E$6:$S$265,MATCH('SPC Backing (Hide)'!$B157,Demand!$B$6:$B$265,0),MATCH('SPC Backing (Hide)'!G$3,Demand!$E$5:$S$5,0))</f>
        <v>0</v>
      </c>
      <c r="H157" s="5">
        <f>INDEX(Demand!$E$6:$S$265,MATCH('SPC Backing (Hide)'!$B157,Demand!$B$6:$B$265,0),MATCH('SPC Backing (Hide)'!H$3,Demand!$E$5:$S$5,0))</f>
        <v>0</v>
      </c>
      <c r="I157" s="5">
        <f>INDEX(Demand!$E$6:$S$265,MATCH('SPC Backing (Hide)'!$B157,Demand!$B$6:$B$265,0),MATCH('SPC Backing (Hide)'!I$3,Demand!$E$5:$S$5,0))</f>
        <v>0</v>
      </c>
      <c r="J157" s="5">
        <f>INDEX(Demand!$E$6:$S$265,MATCH('SPC Backing (Hide)'!$B157,Demand!$B$6:$B$265,0),MATCH('SPC Backing (Hide)'!J$3,Demand!$E$5:$S$5,0))</f>
        <v>0</v>
      </c>
      <c r="K157" s="5">
        <f>INDEX(Demand!$E$6:$S$265,MATCH('SPC Backing (Hide)'!$B157,Demand!$B$6:$B$265,0),MATCH('SPC Backing (Hide)'!K$3,Demand!$E$5:$S$5,0))</f>
        <v>0</v>
      </c>
      <c r="L157" s="5">
        <f>INDEX(Demand!$E$6:$S$265,MATCH('SPC Backing (Hide)'!$B157,Demand!$B$6:$B$265,0),MATCH('SPC Backing (Hide)'!L$3,Demand!$E$5:$S$5,0))</f>
        <v>0</v>
      </c>
      <c r="M157" s="5">
        <f>INDEX(Demand!$E$6:$S$265,MATCH('SPC Backing (Hide)'!$B157,Demand!$B$6:$B$265,0),MATCH('SPC Backing (Hide)'!M$3,Demand!$E$5:$S$5,0))</f>
        <v>0</v>
      </c>
      <c r="N157" s="5">
        <f>INDEX(Demand!$E$6:$S$265,MATCH('SPC Backing (Hide)'!$B157,Demand!$B$6:$B$265,0),MATCH('SPC Backing (Hide)'!N$3,Demand!$E$5:$S$5,0))</f>
        <v>0</v>
      </c>
      <c r="O157" s="5">
        <f>INDEX(Demand!$E$6:$S$265,MATCH('SPC Backing (Hide)'!$B157,Demand!$B$6:$B$265,0),MATCH('SPC Backing (Hide)'!O$3,Demand!$E$5:$S$5,0))</f>
        <v>0</v>
      </c>
      <c r="P157" s="5">
        <f>INDEX(Demand!$E$6:$S$265,MATCH('SPC Backing (Hide)'!$B157,Demand!$B$6:$B$265,0),MATCH('SPC Backing (Hide)'!P$3,Demand!$E$5:$S$5,0))</f>
        <v>0</v>
      </c>
      <c r="Q157" s="6">
        <f>INDEX(Demand!$E$6:$S$265,MATCH('SPC Backing (Hide)'!$B157,Demand!$B$6:$B$265,0),MATCH('SPC Backing (Hide)'!Q$3,Demand!$E$5:$S$5,0))</f>
        <v>0</v>
      </c>
      <c r="R157">
        <f>IF(SPC!$B$11="Yes",IF(ROW(A154)&gt;=Demand!$A$5-52,1,0),IF(AND(B157&gt;=SPC!$B$12,B157&lt;SPC!$B$13),1,0))</f>
        <v>1</v>
      </c>
      <c r="S157" cm="1">
        <f t="array" ref="S157">INDEX($C$4:$Q$263,ROW(A154),MATCH($T$2,$C$3:$Q$3,0))</f>
        <v>0</v>
      </c>
      <c r="T157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57" cm="1">
        <f t="array" ref="U157">ABS(INDEX($C$4:$Q$263,ROW(A154),MATCH($T$2,$C$3:$Q$3,0))-INDEX($C$4:$Q$263,ROW(A153),MATCH($T$2,$C$3:$Q$3,0)))</f>
        <v>0</v>
      </c>
      <c r="V157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57">
        <f t="shared" si="30"/>
        <v>40.813595610865789</v>
      </c>
      <c r="X157">
        <f t="shared" si="31"/>
        <v>108.80449618627055</v>
      </c>
      <c r="Y157">
        <f t="shared" si="32"/>
        <v>149.61809179713634</v>
      </c>
      <c r="Z157">
        <f t="shared" si="33"/>
        <v>190.43168740800212</v>
      </c>
      <c r="AA157">
        <f t="shared" si="34"/>
        <v>272.05887862973373</v>
      </c>
      <c r="AB157">
        <f t="shared" si="35"/>
        <v>312.8724742405995</v>
      </c>
      <c r="AC157">
        <f t="shared" si="36"/>
        <v>353.68606985146528</v>
      </c>
      <c r="AD157">
        <f t="shared" si="37"/>
        <v>0</v>
      </c>
      <c r="AE157">
        <f t="shared" si="44"/>
        <v>-2</v>
      </c>
      <c r="AF157">
        <f t="shared" si="38"/>
        <v>0</v>
      </c>
      <c r="AG157">
        <f t="shared" si="39"/>
        <v>0</v>
      </c>
      <c r="AH157" t="e">
        <f t="shared" si="40"/>
        <v>#N/A</v>
      </c>
      <c r="AI157">
        <f t="shared" si="41"/>
        <v>-1</v>
      </c>
      <c r="AJ157">
        <f t="shared" si="42"/>
        <v>0</v>
      </c>
      <c r="AK157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57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57">
        <f t="shared" si="43"/>
        <v>14.699999999999989</v>
      </c>
    </row>
    <row r="158" spans="2:39" x14ac:dyDescent="0.35">
      <c r="B158" s="12" t="str">
        <f>Demand!B160</f>
        <v/>
      </c>
      <c r="C158" s="7">
        <f>INDEX(Demand!$E$6:$S$265,MATCH('SPC Backing (Hide)'!$B158,Demand!$B$6:$B$265,0),MATCH('SPC Backing (Hide)'!C$3,Demand!$E$5:$S$5,0))</f>
        <v>0</v>
      </c>
      <c r="D158" s="5">
        <f>INDEX(Demand!$E$6:$S$265,MATCH('SPC Backing (Hide)'!$B158,Demand!$B$6:$B$265,0),MATCH('SPC Backing (Hide)'!D$3,Demand!$E$5:$S$5,0))</f>
        <v>0</v>
      </c>
      <c r="E158" s="5">
        <f>INDEX(Demand!$E$6:$S$265,MATCH('SPC Backing (Hide)'!$B158,Demand!$B$6:$B$265,0),MATCH('SPC Backing (Hide)'!E$3,Demand!$E$5:$S$5,0))</f>
        <v>0</v>
      </c>
      <c r="F158" s="5">
        <f>INDEX(Demand!$E$6:$S$265,MATCH('SPC Backing (Hide)'!$B158,Demand!$B$6:$B$265,0),MATCH('SPC Backing (Hide)'!F$3,Demand!$E$5:$S$5,0))</f>
        <v>0</v>
      </c>
      <c r="G158" s="5">
        <f>INDEX(Demand!$E$6:$S$265,MATCH('SPC Backing (Hide)'!$B158,Demand!$B$6:$B$265,0),MATCH('SPC Backing (Hide)'!G$3,Demand!$E$5:$S$5,0))</f>
        <v>0</v>
      </c>
      <c r="H158" s="5">
        <f>INDEX(Demand!$E$6:$S$265,MATCH('SPC Backing (Hide)'!$B158,Demand!$B$6:$B$265,0),MATCH('SPC Backing (Hide)'!H$3,Demand!$E$5:$S$5,0))</f>
        <v>0</v>
      </c>
      <c r="I158" s="5">
        <f>INDEX(Demand!$E$6:$S$265,MATCH('SPC Backing (Hide)'!$B158,Demand!$B$6:$B$265,0),MATCH('SPC Backing (Hide)'!I$3,Demand!$E$5:$S$5,0))</f>
        <v>0</v>
      </c>
      <c r="J158" s="5">
        <f>INDEX(Demand!$E$6:$S$265,MATCH('SPC Backing (Hide)'!$B158,Demand!$B$6:$B$265,0),MATCH('SPC Backing (Hide)'!J$3,Demand!$E$5:$S$5,0))</f>
        <v>0</v>
      </c>
      <c r="K158" s="5">
        <f>INDEX(Demand!$E$6:$S$265,MATCH('SPC Backing (Hide)'!$B158,Demand!$B$6:$B$265,0),MATCH('SPC Backing (Hide)'!K$3,Demand!$E$5:$S$5,0))</f>
        <v>0</v>
      </c>
      <c r="L158" s="5">
        <f>INDEX(Demand!$E$6:$S$265,MATCH('SPC Backing (Hide)'!$B158,Demand!$B$6:$B$265,0),MATCH('SPC Backing (Hide)'!L$3,Demand!$E$5:$S$5,0))</f>
        <v>0</v>
      </c>
      <c r="M158" s="5">
        <f>INDEX(Demand!$E$6:$S$265,MATCH('SPC Backing (Hide)'!$B158,Demand!$B$6:$B$265,0),MATCH('SPC Backing (Hide)'!M$3,Demand!$E$5:$S$5,0))</f>
        <v>0</v>
      </c>
      <c r="N158" s="5">
        <f>INDEX(Demand!$E$6:$S$265,MATCH('SPC Backing (Hide)'!$B158,Demand!$B$6:$B$265,0),MATCH('SPC Backing (Hide)'!N$3,Demand!$E$5:$S$5,0))</f>
        <v>0</v>
      </c>
      <c r="O158" s="5">
        <f>INDEX(Demand!$E$6:$S$265,MATCH('SPC Backing (Hide)'!$B158,Demand!$B$6:$B$265,0),MATCH('SPC Backing (Hide)'!O$3,Demand!$E$5:$S$5,0))</f>
        <v>0</v>
      </c>
      <c r="P158" s="5">
        <f>INDEX(Demand!$E$6:$S$265,MATCH('SPC Backing (Hide)'!$B158,Demand!$B$6:$B$265,0),MATCH('SPC Backing (Hide)'!P$3,Demand!$E$5:$S$5,0))</f>
        <v>0</v>
      </c>
      <c r="Q158" s="6">
        <f>INDEX(Demand!$E$6:$S$265,MATCH('SPC Backing (Hide)'!$B158,Demand!$B$6:$B$265,0),MATCH('SPC Backing (Hide)'!Q$3,Demand!$E$5:$S$5,0))</f>
        <v>0</v>
      </c>
      <c r="R158">
        <f>IF(SPC!$B$11="Yes",IF(ROW(A155)&gt;=Demand!$A$5-52,1,0),IF(AND(B158&gt;=SPC!$B$12,B158&lt;SPC!$B$13),1,0))</f>
        <v>1</v>
      </c>
      <c r="S158" cm="1">
        <f t="array" ref="S158">INDEX($C$4:$Q$263,ROW(A155),MATCH($T$2,$C$3:$Q$3,0))</f>
        <v>0</v>
      </c>
      <c r="T158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58" cm="1">
        <f t="array" ref="U158">ABS(INDEX($C$4:$Q$263,ROW(A155),MATCH($T$2,$C$3:$Q$3,0))-INDEX($C$4:$Q$263,ROW(A154),MATCH($T$2,$C$3:$Q$3,0)))</f>
        <v>0</v>
      </c>
      <c r="V158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58">
        <f t="shared" si="30"/>
        <v>40.813595610865789</v>
      </c>
      <c r="X158">
        <f t="shared" si="31"/>
        <v>108.80449618627055</v>
      </c>
      <c r="Y158">
        <f t="shared" si="32"/>
        <v>149.61809179713634</v>
      </c>
      <c r="Z158">
        <f t="shared" si="33"/>
        <v>190.43168740800212</v>
      </c>
      <c r="AA158">
        <f t="shared" si="34"/>
        <v>272.05887862973373</v>
      </c>
      <c r="AB158">
        <f t="shared" si="35"/>
        <v>312.8724742405995</v>
      </c>
      <c r="AC158">
        <f t="shared" si="36"/>
        <v>353.68606985146528</v>
      </c>
      <c r="AD158">
        <f t="shared" si="37"/>
        <v>0</v>
      </c>
      <c r="AE158">
        <f t="shared" si="44"/>
        <v>-2</v>
      </c>
      <c r="AF158">
        <f t="shared" si="38"/>
        <v>0</v>
      </c>
      <c r="AG158">
        <f t="shared" si="39"/>
        <v>0</v>
      </c>
      <c r="AH158" t="e">
        <f t="shared" si="40"/>
        <v>#N/A</v>
      </c>
      <c r="AI158">
        <f t="shared" si="41"/>
        <v>-1</v>
      </c>
      <c r="AJ158">
        <f t="shared" si="42"/>
        <v>0</v>
      </c>
      <c r="AK158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58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58">
        <f t="shared" si="43"/>
        <v>14.699999999999989</v>
      </c>
    </row>
    <row r="159" spans="2:39" x14ac:dyDescent="0.35">
      <c r="B159" s="12" t="str">
        <f>Demand!B161</f>
        <v/>
      </c>
      <c r="C159" s="7">
        <f>INDEX(Demand!$E$6:$S$265,MATCH('SPC Backing (Hide)'!$B159,Demand!$B$6:$B$265,0),MATCH('SPC Backing (Hide)'!C$3,Demand!$E$5:$S$5,0))</f>
        <v>0</v>
      </c>
      <c r="D159" s="5">
        <f>INDEX(Demand!$E$6:$S$265,MATCH('SPC Backing (Hide)'!$B159,Demand!$B$6:$B$265,0),MATCH('SPC Backing (Hide)'!D$3,Demand!$E$5:$S$5,0))</f>
        <v>0</v>
      </c>
      <c r="E159" s="5">
        <f>INDEX(Demand!$E$6:$S$265,MATCH('SPC Backing (Hide)'!$B159,Demand!$B$6:$B$265,0),MATCH('SPC Backing (Hide)'!E$3,Demand!$E$5:$S$5,0))</f>
        <v>0</v>
      </c>
      <c r="F159" s="5">
        <f>INDEX(Demand!$E$6:$S$265,MATCH('SPC Backing (Hide)'!$B159,Demand!$B$6:$B$265,0),MATCH('SPC Backing (Hide)'!F$3,Demand!$E$5:$S$5,0))</f>
        <v>0</v>
      </c>
      <c r="G159" s="5">
        <f>INDEX(Demand!$E$6:$S$265,MATCH('SPC Backing (Hide)'!$B159,Demand!$B$6:$B$265,0),MATCH('SPC Backing (Hide)'!G$3,Demand!$E$5:$S$5,0))</f>
        <v>0</v>
      </c>
      <c r="H159" s="5">
        <f>INDEX(Demand!$E$6:$S$265,MATCH('SPC Backing (Hide)'!$B159,Demand!$B$6:$B$265,0),MATCH('SPC Backing (Hide)'!H$3,Demand!$E$5:$S$5,0))</f>
        <v>0</v>
      </c>
      <c r="I159" s="5">
        <f>INDEX(Demand!$E$6:$S$265,MATCH('SPC Backing (Hide)'!$B159,Demand!$B$6:$B$265,0),MATCH('SPC Backing (Hide)'!I$3,Demand!$E$5:$S$5,0))</f>
        <v>0</v>
      </c>
      <c r="J159" s="5">
        <f>INDEX(Demand!$E$6:$S$265,MATCH('SPC Backing (Hide)'!$B159,Demand!$B$6:$B$265,0),MATCH('SPC Backing (Hide)'!J$3,Demand!$E$5:$S$5,0))</f>
        <v>0</v>
      </c>
      <c r="K159" s="5">
        <f>INDEX(Demand!$E$6:$S$265,MATCH('SPC Backing (Hide)'!$B159,Demand!$B$6:$B$265,0),MATCH('SPC Backing (Hide)'!K$3,Demand!$E$5:$S$5,0))</f>
        <v>0</v>
      </c>
      <c r="L159" s="5">
        <f>INDEX(Demand!$E$6:$S$265,MATCH('SPC Backing (Hide)'!$B159,Demand!$B$6:$B$265,0),MATCH('SPC Backing (Hide)'!L$3,Demand!$E$5:$S$5,0))</f>
        <v>0</v>
      </c>
      <c r="M159" s="5">
        <f>INDEX(Demand!$E$6:$S$265,MATCH('SPC Backing (Hide)'!$B159,Demand!$B$6:$B$265,0),MATCH('SPC Backing (Hide)'!M$3,Demand!$E$5:$S$5,0))</f>
        <v>0</v>
      </c>
      <c r="N159" s="5">
        <f>INDEX(Demand!$E$6:$S$265,MATCH('SPC Backing (Hide)'!$B159,Demand!$B$6:$B$265,0),MATCH('SPC Backing (Hide)'!N$3,Demand!$E$5:$S$5,0))</f>
        <v>0</v>
      </c>
      <c r="O159" s="5">
        <f>INDEX(Demand!$E$6:$S$265,MATCH('SPC Backing (Hide)'!$B159,Demand!$B$6:$B$265,0),MATCH('SPC Backing (Hide)'!O$3,Demand!$E$5:$S$5,0))</f>
        <v>0</v>
      </c>
      <c r="P159" s="5">
        <f>INDEX(Demand!$E$6:$S$265,MATCH('SPC Backing (Hide)'!$B159,Demand!$B$6:$B$265,0),MATCH('SPC Backing (Hide)'!P$3,Demand!$E$5:$S$5,0))</f>
        <v>0</v>
      </c>
      <c r="Q159" s="6">
        <f>INDEX(Demand!$E$6:$S$265,MATCH('SPC Backing (Hide)'!$B159,Demand!$B$6:$B$265,0),MATCH('SPC Backing (Hide)'!Q$3,Demand!$E$5:$S$5,0))</f>
        <v>0</v>
      </c>
      <c r="R159">
        <f>IF(SPC!$B$11="Yes",IF(ROW(A156)&gt;=Demand!$A$5-52,1,0),IF(AND(B159&gt;=SPC!$B$12,B159&lt;SPC!$B$13),1,0))</f>
        <v>1</v>
      </c>
      <c r="S159" cm="1">
        <f t="array" ref="S159">INDEX($C$4:$Q$263,ROW(A156),MATCH($T$2,$C$3:$Q$3,0))</f>
        <v>0</v>
      </c>
      <c r="T159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59" cm="1">
        <f t="array" ref="U159">ABS(INDEX($C$4:$Q$263,ROW(A156),MATCH($T$2,$C$3:$Q$3,0))-INDEX($C$4:$Q$263,ROW(A155),MATCH($T$2,$C$3:$Q$3,0)))</f>
        <v>0</v>
      </c>
      <c r="V159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59">
        <f t="shared" si="30"/>
        <v>40.813595610865789</v>
      </c>
      <c r="X159">
        <f t="shared" si="31"/>
        <v>108.80449618627055</v>
      </c>
      <c r="Y159">
        <f t="shared" si="32"/>
        <v>149.61809179713634</v>
      </c>
      <c r="Z159">
        <f t="shared" si="33"/>
        <v>190.43168740800212</v>
      </c>
      <c r="AA159">
        <f t="shared" si="34"/>
        <v>272.05887862973373</v>
      </c>
      <c r="AB159">
        <f t="shared" si="35"/>
        <v>312.8724742405995</v>
      </c>
      <c r="AC159">
        <f t="shared" si="36"/>
        <v>353.68606985146528</v>
      </c>
      <c r="AD159">
        <f t="shared" si="37"/>
        <v>0</v>
      </c>
      <c r="AE159">
        <f t="shared" si="44"/>
        <v>-2</v>
      </c>
      <c r="AF159">
        <f t="shared" si="38"/>
        <v>0</v>
      </c>
      <c r="AG159">
        <f t="shared" si="39"/>
        <v>0</v>
      </c>
      <c r="AH159" t="e">
        <f t="shared" si="40"/>
        <v>#N/A</v>
      </c>
      <c r="AI159">
        <f t="shared" si="41"/>
        <v>-1</v>
      </c>
      <c r="AJ159">
        <f t="shared" si="42"/>
        <v>0</v>
      </c>
      <c r="AK159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59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59">
        <f t="shared" si="43"/>
        <v>14.699999999999989</v>
      </c>
    </row>
    <row r="160" spans="2:39" x14ac:dyDescent="0.35">
      <c r="B160" s="12" t="str">
        <f>Demand!B162</f>
        <v/>
      </c>
      <c r="C160" s="7">
        <f>INDEX(Demand!$E$6:$S$265,MATCH('SPC Backing (Hide)'!$B160,Demand!$B$6:$B$265,0),MATCH('SPC Backing (Hide)'!C$3,Demand!$E$5:$S$5,0))</f>
        <v>0</v>
      </c>
      <c r="D160" s="5">
        <f>INDEX(Demand!$E$6:$S$265,MATCH('SPC Backing (Hide)'!$B160,Demand!$B$6:$B$265,0),MATCH('SPC Backing (Hide)'!D$3,Demand!$E$5:$S$5,0))</f>
        <v>0</v>
      </c>
      <c r="E160" s="5">
        <f>INDEX(Demand!$E$6:$S$265,MATCH('SPC Backing (Hide)'!$B160,Demand!$B$6:$B$265,0),MATCH('SPC Backing (Hide)'!E$3,Demand!$E$5:$S$5,0))</f>
        <v>0</v>
      </c>
      <c r="F160" s="5">
        <f>INDEX(Demand!$E$6:$S$265,MATCH('SPC Backing (Hide)'!$B160,Demand!$B$6:$B$265,0),MATCH('SPC Backing (Hide)'!F$3,Demand!$E$5:$S$5,0))</f>
        <v>0</v>
      </c>
      <c r="G160" s="5">
        <f>INDEX(Demand!$E$6:$S$265,MATCH('SPC Backing (Hide)'!$B160,Demand!$B$6:$B$265,0),MATCH('SPC Backing (Hide)'!G$3,Demand!$E$5:$S$5,0))</f>
        <v>0</v>
      </c>
      <c r="H160" s="5">
        <f>INDEX(Demand!$E$6:$S$265,MATCH('SPC Backing (Hide)'!$B160,Demand!$B$6:$B$265,0),MATCH('SPC Backing (Hide)'!H$3,Demand!$E$5:$S$5,0))</f>
        <v>0</v>
      </c>
      <c r="I160" s="5">
        <f>INDEX(Demand!$E$6:$S$265,MATCH('SPC Backing (Hide)'!$B160,Demand!$B$6:$B$265,0),MATCH('SPC Backing (Hide)'!I$3,Demand!$E$5:$S$5,0))</f>
        <v>0</v>
      </c>
      <c r="J160" s="5">
        <f>INDEX(Demand!$E$6:$S$265,MATCH('SPC Backing (Hide)'!$B160,Demand!$B$6:$B$265,0),MATCH('SPC Backing (Hide)'!J$3,Demand!$E$5:$S$5,0))</f>
        <v>0</v>
      </c>
      <c r="K160" s="5">
        <f>INDEX(Demand!$E$6:$S$265,MATCH('SPC Backing (Hide)'!$B160,Demand!$B$6:$B$265,0),MATCH('SPC Backing (Hide)'!K$3,Demand!$E$5:$S$5,0))</f>
        <v>0</v>
      </c>
      <c r="L160" s="5">
        <f>INDEX(Demand!$E$6:$S$265,MATCH('SPC Backing (Hide)'!$B160,Demand!$B$6:$B$265,0),MATCH('SPC Backing (Hide)'!L$3,Demand!$E$5:$S$5,0))</f>
        <v>0</v>
      </c>
      <c r="M160" s="5">
        <f>INDEX(Demand!$E$6:$S$265,MATCH('SPC Backing (Hide)'!$B160,Demand!$B$6:$B$265,0),MATCH('SPC Backing (Hide)'!M$3,Demand!$E$5:$S$5,0))</f>
        <v>0</v>
      </c>
      <c r="N160" s="5">
        <f>INDEX(Demand!$E$6:$S$265,MATCH('SPC Backing (Hide)'!$B160,Demand!$B$6:$B$265,0),MATCH('SPC Backing (Hide)'!N$3,Demand!$E$5:$S$5,0))</f>
        <v>0</v>
      </c>
      <c r="O160" s="5">
        <f>INDEX(Demand!$E$6:$S$265,MATCH('SPC Backing (Hide)'!$B160,Demand!$B$6:$B$265,0),MATCH('SPC Backing (Hide)'!O$3,Demand!$E$5:$S$5,0))</f>
        <v>0</v>
      </c>
      <c r="P160" s="5">
        <f>INDEX(Demand!$E$6:$S$265,MATCH('SPC Backing (Hide)'!$B160,Demand!$B$6:$B$265,0),MATCH('SPC Backing (Hide)'!P$3,Demand!$E$5:$S$5,0))</f>
        <v>0</v>
      </c>
      <c r="Q160" s="6">
        <f>INDEX(Demand!$E$6:$S$265,MATCH('SPC Backing (Hide)'!$B160,Demand!$B$6:$B$265,0),MATCH('SPC Backing (Hide)'!Q$3,Demand!$E$5:$S$5,0))</f>
        <v>0</v>
      </c>
      <c r="R160">
        <f>IF(SPC!$B$11="Yes",IF(ROW(A157)&gt;=Demand!$A$5-52,1,0),IF(AND(B160&gt;=SPC!$B$12,B160&lt;SPC!$B$13),1,0))</f>
        <v>1</v>
      </c>
      <c r="S160" cm="1">
        <f t="array" ref="S160">INDEX($C$4:$Q$263,ROW(A157),MATCH($T$2,$C$3:$Q$3,0))</f>
        <v>0</v>
      </c>
      <c r="T160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60" cm="1">
        <f t="array" ref="U160">ABS(INDEX($C$4:$Q$263,ROW(A157),MATCH($T$2,$C$3:$Q$3,0))-INDEX($C$4:$Q$263,ROW(A156),MATCH($T$2,$C$3:$Q$3,0)))</f>
        <v>0</v>
      </c>
      <c r="V160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60">
        <f t="shared" si="30"/>
        <v>40.813595610865789</v>
      </c>
      <c r="X160">
        <f t="shared" si="31"/>
        <v>108.80449618627055</v>
      </c>
      <c r="Y160">
        <f t="shared" si="32"/>
        <v>149.61809179713634</v>
      </c>
      <c r="Z160">
        <f t="shared" si="33"/>
        <v>190.43168740800212</v>
      </c>
      <c r="AA160">
        <f t="shared" si="34"/>
        <v>272.05887862973373</v>
      </c>
      <c r="AB160">
        <f t="shared" si="35"/>
        <v>312.8724742405995</v>
      </c>
      <c r="AC160">
        <f t="shared" si="36"/>
        <v>353.68606985146528</v>
      </c>
      <c r="AD160">
        <f t="shared" si="37"/>
        <v>0</v>
      </c>
      <c r="AE160">
        <f t="shared" si="44"/>
        <v>-2</v>
      </c>
      <c r="AF160">
        <f t="shared" si="38"/>
        <v>0</v>
      </c>
      <c r="AG160">
        <f t="shared" si="39"/>
        <v>0</v>
      </c>
      <c r="AH160" t="e">
        <f t="shared" si="40"/>
        <v>#N/A</v>
      </c>
      <c r="AI160">
        <f t="shared" si="41"/>
        <v>-1</v>
      </c>
      <c r="AJ160">
        <f t="shared" si="42"/>
        <v>0</v>
      </c>
      <c r="AK160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60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60">
        <f t="shared" si="43"/>
        <v>14.699999999999989</v>
      </c>
    </row>
    <row r="161" spans="2:39" x14ac:dyDescent="0.35">
      <c r="B161" s="12" t="str">
        <f>Demand!B163</f>
        <v/>
      </c>
      <c r="C161" s="7">
        <f>INDEX(Demand!$E$6:$S$265,MATCH('SPC Backing (Hide)'!$B161,Demand!$B$6:$B$265,0),MATCH('SPC Backing (Hide)'!C$3,Demand!$E$5:$S$5,0))</f>
        <v>0</v>
      </c>
      <c r="D161" s="5">
        <f>INDEX(Demand!$E$6:$S$265,MATCH('SPC Backing (Hide)'!$B161,Demand!$B$6:$B$265,0),MATCH('SPC Backing (Hide)'!D$3,Demand!$E$5:$S$5,0))</f>
        <v>0</v>
      </c>
      <c r="E161" s="5">
        <f>INDEX(Demand!$E$6:$S$265,MATCH('SPC Backing (Hide)'!$B161,Demand!$B$6:$B$265,0),MATCH('SPC Backing (Hide)'!E$3,Demand!$E$5:$S$5,0))</f>
        <v>0</v>
      </c>
      <c r="F161" s="5">
        <f>INDEX(Demand!$E$6:$S$265,MATCH('SPC Backing (Hide)'!$B161,Demand!$B$6:$B$265,0),MATCH('SPC Backing (Hide)'!F$3,Demand!$E$5:$S$5,0))</f>
        <v>0</v>
      </c>
      <c r="G161" s="5">
        <f>INDEX(Demand!$E$6:$S$265,MATCH('SPC Backing (Hide)'!$B161,Demand!$B$6:$B$265,0),MATCH('SPC Backing (Hide)'!G$3,Demand!$E$5:$S$5,0))</f>
        <v>0</v>
      </c>
      <c r="H161" s="5">
        <f>INDEX(Demand!$E$6:$S$265,MATCH('SPC Backing (Hide)'!$B161,Demand!$B$6:$B$265,0),MATCH('SPC Backing (Hide)'!H$3,Demand!$E$5:$S$5,0))</f>
        <v>0</v>
      </c>
      <c r="I161" s="5">
        <f>INDEX(Demand!$E$6:$S$265,MATCH('SPC Backing (Hide)'!$B161,Demand!$B$6:$B$265,0),MATCH('SPC Backing (Hide)'!I$3,Demand!$E$5:$S$5,0))</f>
        <v>0</v>
      </c>
      <c r="J161" s="5">
        <f>INDEX(Demand!$E$6:$S$265,MATCH('SPC Backing (Hide)'!$B161,Demand!$B$6:$B$265,0),MATCH('SPC Backing (Hide)'!J$3,Demand!$E$5:$S$5,0))</f>
        <v>0</v>
      </c>
      <c r="K161" s="5">
        <f>INDEX(Demand!$E$6:$S$265,MATCH('SPC Backing (Hide)'!$B161,Demand!$B$6:$B$265,0),MATCH('SPC Backing (Hide)'!K$3,Demand!$E$5:$S$5,0))</f>
        <v>0</v>
      </c>
      <c r="L161" s="5">
        <f>INDEX(Demand!$E$6:$S$265,MATCH('SPC Backing (Hide)'!$B161,Demand!$B$6:$B$265,0),MATCH('SPC Backing (Hide)'!L$3,Demand!$E$5:$S$5,0))</f>
        <v>0</v>
      </c>
      <c r="M161" s="5">
        <f>INDEX(Demand!$E$6:$S$265,MATCH('SPC Backing (Hide)'!$B161,Demand!$B$6:$B$265,0),MATCH('SPC Backing (Hide)'!M$3,Demand!$E$5:$S$5,0))</f>
        <v>0</v>
      </c>
      <c r="N161" s="5">
        <f>INDEX(Demand!$E$6:$S$265,MATCH('SPC Backing (Hide)'!$B161,Demand!$B$6:$B$265,0),MATCH('SPC Backing (Hide)'!N$3,Demand!$E$5:$S$5,0))</f>
        <v>0</v>
      </c>
      <c r="O161" s="5">
        <f>INDEX(Demand!$E$6:$S$265,MATCH('SPC Backing (Hide)'!$B161,Demand!$B$6:$B$265,0),MATCH('SPC Backing (Hide)'!O$3,Demand!$E$5:$S$5,0))</f>
        <v>0</v>
      </c>
      <c r="P161" s="5">
        <f>INDEX(Demand!$E$6:$S$265,MATCH('SPC Backing (Hide)'!$B161,Demand!$B$6:$B$265,0),MATCH('SPC Backing (Hide)'!P$3,Demand!$E$5:$S$5,0))</f>
        <v>0</v>
      </c>
      <c r="Q161" s="6">
        <f>INDEX(Demand!$E$6:$S$265,MATCH('SPC Backing (Hide)'!$B161,Demand!$B$6:$B$265,0),MATCH('SPC Backing (Hide)'!Q$3,Demand!$E$5:$S$5,0))</f>
        <v>0</v>
      </c>
      <c r="R161">
        <f>IF(SPC!$B$11="Yes",IF(ROW(A158)&gt;=Demand!$A$5-52,1,0),IF(AND(B161&gt;=SPC!$B$12,B161&lt;SPC!$B$13),1,0))</f>
        <v>1</v>
      </c>
      <c r="S161" cm="1">
        <f t="array" ref="S161">INDEX($C$4:$Q$263,ROW(A158),MATCH($T$2,$C$3:$Q$3,0))</f>
        <v>0</v>
      </c>
      <c r="T161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61" cm="1">
        <f t="array" ref="U161">ABS(INDEX($C$4:$Q$263,ROW(A158),MATCH($T$2,$C$3:$Q$3,0))-INDEX($C$4:$Q$263,ROW(A157),MATCH($T$2,$C$3:$Q$3,0)))</f>
        <v>0</v>
      </c>
      <c r="V161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61">
        <f t="shared" si="30"/>
        <v>40.813595610865789</v>
      </c>
      <c r="X161">
        <f t="shared" si="31"/>
        <v>108.80449618627055</v>
      </c>
      <c r="Y161">
        <f t="shared" si="32"/>
        <v>149.61809179713634</v>
      </c>
      <c r="Z161">
        <f t="shared" si="33"/>
        <v>190.43168740800212</v>
      </c>
      <c r="AA161">
        <f t="shared" si="34"/>
        <v>272.05887862973373</v>
      </c>
      <c r="AB161">
        <f t="shared" si="35"/>
        <v>312.8724742405995</v>
      </c>
      <c r="AC161">
        <f t="shared" si="36"/>
        <v>353.68606985146528</v>
      </c>
      <c r="AD161">
        <f t="shared" si="37"/>
        <v>0</v>
      </c>
      <c r="AE161">
        <f t="shared" si="44"/>
        <v>-2</v>
      </c>
      <c r="AF161">
        <f t="shared" si="38"/>
        <v>0</v>
      </c>
      <c r="AG161">
        <f t="shared" si="39"/>
        <v>0</v>
      </c>
      <c r="AH161" t="e">
        <f t="shared" si="40"/>
        <v>#N/A</v>
      </c>
      <c r="AI161">
        <f t="shared" si="41"/>
        <v>-1</v>
      </c>
      <c r="AJ161">
        <f t="shared" si="42"/>
        <v>0</v>
      </c>
      <c r="AK161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61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61">
        <f t="shared" si="43"/>
        <v>14.699999999999989</v>
      </c>
    </row>
    <row r="162" spans="2:39" x14ac:dyDescent="0.35">
      <c r="B162" s="12" t="str">
        <f>Demand!B164</f>
        <v/>
      </c>
      <c r="C162" s="7">
        <f>INDEX(Demand!$E$6:$S$265,MATCH('SPC Backing (Hide)'!$B162,Demand!$B$6:$B$265,0),MATCH('SPC Backing (Hide)'!C$3,Demand!$E$5:$S$5,0))</f>
        <v>0</v>
      </c>
      <c r="D162" s="5">
        <f>INDEX(Demand!$E$6:$S$265,MATCH('SPC Backing (Hide)'!$B162,Demand!$B$6:$B$265,0),MATCH('SPC Backing (Hide)'!D$3,Demand!$E$5:$S$5,0))</f>
        <v>0</v>
      </c>
      <c r="E162" s="5">
        <f>INDEX(Demand!$E$6:$S$265,MATCH('SPC Backing (Hide)'!$B162,Demand!$B$6:$B$265,0),MATCH('SPC Backing (Hide)'!E$3,Demand!$E$5:$S$5,0))</f>
        <v>0</v>
      </c>
      <c r="F162" s="5">
        <f>INDEX(Demand!$E$6:$S$265,MATCH('SPC Backing (Hide)'!$B162,Demand!$B$6:$B$265,0),MATCH('SPC Backing (Hide)'!F$3,Demand!$E$5:$S$5,0))</f>
        <v>0</v>
      </c>
      <c r="G162" s="5">
        <f>INDEX(Demand!$E$6:$S$265,MATCH('SPC Backing (Hide)'!$B162,Demand!$B$6:$B$265,0),MATCH('SPC Backing (Hide)'!G$3,Demand!$E$5:$S$5,0))</f>
        <v>0</v>
      </c>
      <c r="H162" s="5">
        <f>INDEX(Demand!$E$6:$S$265,MATCH('SPC Backing (Hide)'!$B162,Demand!$B$6:$B$265,0),MATCH('SPC Backing (Hide)'!H$3,Demand!$E$5:$S$5,0))</f>
        <v>0</v>
      </c>
      <c r="I162" s="5">
        <f>INDEX(Demand!$E$6:$S$265,MATCH('SPC Backing (Hide)'!$B162,Demand!$B$6:$B$265,0),MATCH('SPC Backing (Hide)'!I$3,Demand!$E$5:$S$5,0))</f>
        <v>0</v>
      </c>
      <c r="J162" s="5">
        <f>INDEX(Demand!$E$6:$S$265,MATCH('SPC Backing (Hide)'!$B162,Demand!$B$6:$B$265,0),MATCH('SPC Backing (Hide)'!J$3,Demand!$E$5:$S$5,0))</f>
        <v>0</v>
      </c>
      <c r="K162" s="5">
        <f>INDEX(Demand!$E$6:$S$265,MATCH('SPC Backing (Hide)'!$B162,Demand!$B$6:$B$265,0),MATCH('SPC Backing (Hide)'!K$3,Demand!$E$5:$S$5,0))</f>
        <v>0</v>
      </c>
      <c r="L162" s="5">
        <f>INDEX(Demand!$E$6:$S$265,MATCH('SPC Backing (Hide)'!$B162,Demand!$B$6:$B$265,0),MATCH('SPC Backing (Hide)'!L$3,Demand!$E$5:$S$5,0))</f>
        <v>0</v>
      </c>
      <c r="M162" s="5">
        <f>INDEX(Demand!$E$6:$S$265,MATCH('SPC Backing (Hide)'!$B162,Demand!$B$6:$B$265,0),MATCH('SPC Backing (Hide)'!M$3,Demand!$E$5:$S$5,0))</f>
        <v>0</v>
      </c>
      <c r="N162" s="5">
        <f>INDEX(Demand!$E$6:$S$265,MATCH('SPC Backing (Hide)'!$B162,Demand!$B$6:$B$265,0),MATCH('SPC Backing (Hide)'!N$3,Demand!$E$5:$S$5,0))</f>
        <v>0</v>
      </c>
      <c r="O162" s="5">
        <f>INDEX(Demand!$E$6:$S$265,MATCH('SPC Backing (Hide)'!$B162,Demand!$B$6:$B$265,0),MATCH('SPC Backing (Hide)'!O$3,Demand!$E$5:$S$5,0))</f>
        <v>0</v>
      </c>
      <c r="P162" s="5">
        <f>INDEX(Demand!$E$6:$S$265,MATCH('SPC Backing (Hide)'!$B162,Demand!$B$6:$B$265,0),MATCH('SPC Backing (Hide)'!P$3,Demand!$E$5:$S$5,0))</f>
        <v>0</v>
      </c>
      <c r="Q162" s="6">
        <f>INDEX(Demand!$E$6:$S$265,MATCH('SPC Backing (Hide)'!$B162,Demand!$B$6:$B$265,0),MATCH('SPC Backing (Hide)'!Q$3,Demand!$E$5:$S$5,0))</f>
        <v>0</v>
      </c>
      <c r="R162">
        <f>IF(SPC!$B$11="Yes",IF(ROW(A159)&gt;=Demand!$A$5-52,1,0),IF(AND(B162&gt;=SPC!$B$12,B162&lt;SPC!$B$13),1,0))</f>
        <v>1</v>
      </c>
      <c r="S162" cm="1">
        <f t="array" ref="S162">INDEX($C$4:$Q$263,ROW(A159),MATCH($T$2,$C$3:$Q$3,0))</f>
        <v>0</v>
      </c>
      <c r="T162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62" cm="1">
        <f t="array" ref="U162">ABS(INDEX($C$4:$Q$263,ROW(A159),MATCH($T$2,$C$3:$Q$3,0))-INDEX($C$4:$Q$263,ROW(A158),MATCH($T$2,$C$3:$Q$3,0)))</f>
        <v>0</v>
      </c>
      <c r="V162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62">
        <f t="shared" si="30"/>
        <v>40.813595610865789</v>
      </c>
      <c r="X162">
        <f t="shared" si="31"/>
        <v>108.80449618627055</v>
      </c>
      <c r="Y162">
        <f t="shared" si="32"/>
        <v>149.61809179713634</v>
      </c>
      <c r="Z162">
        <f t="shared" si="33"/>
        <v>190.43168740800212</v>
      </c>
      <c r="AA162">
        <f t="shared" si="34"/>
        <v>272.05887862973373</v>
      </c>
      <c r="AB162">
        <f t="shared" si="35"/>
        <v>312.8724742405995</v>
      </c>
      <c r="AC162">
        <f t="shared" si="36"/>
        <v>353.68606985146528</v>
      </c>
      <c r="AD162">
        <f t="shared" si="37"/>
        <v>0</v>
      </c>
      <c r="AE162">
        <f t="shared" si="44"/>
        <v>-2</v>
      </c>
      <c r="AF162">
        <f t="shared" si="38"/>
        <v>0</v>
      </c>
      <c r="AG162">
        <f t="shared" si="39"/>
        <v>0</v>
      </c>
      <c r="AH162" t="e">
        <f t="shared" si="40"/>
        <v>#N/A</v>
      </c>
      <c r="AI162">
        <f t="shared" si="41"/>
        <v>-1</v>
      </c>
      <c r="AJ162">
        <f t="shared" si="42"/>
        <v>0</v>
      </c>
      <c r="AK162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62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62">
        <f t="shared" si="43"/>
        <v>14.699999999999989</v>
      </c>
    </row>
    <row r="163" spans="2:39" x14ac:dyDescent="0.35">
      <c r="B163" s="12" t="str">
        <f>Demand!B165</f>
        <v/>
      </c>
      <c r="C163" s="7">
        <f>INDEX(Demand!$E$6:$S$265,MATCH('SPC Backing (Hide)'!$B163,Demand!$B$6:$B$265,0),MATCH('SPC Backing (Hide)'!C$3,Demand!$E$5:$S$5,0))</f>
        <v>0</v>
      </c>
      <c r="D163" s="5">
        <f>INDEX(Demand!$E$6:$S$265,MATCH('SPC Backing (Hide)'!$B163,Demand!$B$6:$B$265,0),MATCH('SPC Backing (Hide)'!D$3,Demand!$E$5:$S$5,0))</f>
        <v>0</v>
      </c>
      <c r="E163" s="5">
        <f>INDEX(Demand!$E$6:$S$265,MATCH('SPC Backing (Hide)'!$B163,Demand!$B$6:$B$265,0),MATCH('SPC Backing (Hide)'!E$3,Demand!$E$5:$S$5,0))</f>
        <v>0</v>
      </c>
      <c r="F163" s="5">
        <f>INDEX(Demand!$E$6:$S$265,MATCH('SPC Backing (Hide)'!$B163,Demand!$B$6:$B$265,0),MATCH('SPC Backing (Hide)'!F$3,Demand!$E$5:$S$5,0))</f>
        <v>0</v>
      </c>
      <c r="G163" s="5">
        <f>INDEX(Demand!$E$6:$S$265,MATCH('SPC Backing (Hide)'!$B163,Demand!$B$6:$B$265,0),MATCH('SPC Backing (Hide)'!G$3,Demand!$E$5:$S$5,0))</f>
        <v>0</v>
      </c>
      <c r="H163" s="5">
        <f>INDEX(Demand!$E$6:$S$265,MATCH('SPC Backing (Hide)'!$B163,Demand!$B$6:$B$265,0),MATCH('SPC Backing (Hide)'!H$3,Demand!$E$5:$S$5,0))</f>
        <v>0</v>
      </c>
      <c r="I163" s="5">
        <f>INDEX(Demand!$E$6:$S$265,MATCH('SPC Backing (Hide)'!$B163,Demand!$B$6:$B$265,0),MATCH('SPC Backing (Hide)'!I$3,Demand!$E$5:$S$5,0))</f>
        <v>0</v>
      </c>
      <c r="J163" s="5">
        <f>INDEX(Demand!$E$6:$S$265,MATCH('SPC Backing (Hide)'!$B163,Demand!$B$6:$B$265,0),MATCH('SPC Backing (Hide)'!J$3,Demand!$E$5:$S$5,0))</f>
        <v>0</v>
      </c>
      <c r="K163" s="5">
        <f>INDEX(Demand!$E$6:$S$265,MATCH('SPC Backing (Hide)'!$B163,Demand!$B$6:$B$265,0),MATCH('SPC Backing (Hide)'!K$3,Demand!$E$5:$S$5,0))</f>
        <v>0</v>
      </c>
      <c r="L163" s="5">
        <f>INDEX(Demand!$E$6:$S$265,MATCH('SPC Backing (Hide)'!$B163,Demand!$B$6:$B$265,0),MATCH('SPC Backing (Hide)'!L$3,Demand!$E$5:$S$5,0))</f>
        <v>0</v>
      </c>
      <c r="M163" s="5">
        <f>INDEX(Demand!$E$6:$S$265,MATCH('SPC Backing (Hide)'!$B163,Demand!$B$6:$B$265,0),MATCH('SPC Backing (Hide)'!M$3,Demand!$E$5:$S$5,0))</f>
        <v>0</v>
      </c>
      <c r="N163" s="5">
        <f>INDEX(Demand!$E$6:$S$265,MATCH('SPC Backing (Hide)'!$B163,Demand!$B$6:$B$265,0),MATCH('SPC Backing (Hide)'!N$3,Demand!$E$5:$S$5,0))</f>
        <v>0</v>
      </c>
      <c r="O163" s="5">
        <f>INDEX(Demand!$E$6:$S$265,MATCH('SPC Backing (Hide)'!$B163,Demand!$B$6:$B$265,0),MATCH('SPC Backing (Hide)'!O$3,Demand!$E$5:$S$5,0))</f>
        <v>0</v>
      </c>
      <c r="P163" s="5">
        <f>INDEX(Demand!$E$6:$S$265,MATCH('SPC Backing (Hide)'!$B163,Demand!$B$6:$B$265,0),MATCH('SPC Backing (Hide)'!P$3,Demand!$E$5:$S$5,0))</f>
        <v>0</v>
      </c>
      <c r="Q163" s="6">
        <f>INDEX(Demand!$E$6:$S$265,MATCH('SPC Backing (Hide)'!$B163,Demand!$B$6:$B$265,0),MATCH('SPC Backing (Hide)'!Q$3,Demand!$E$5:$S$5,0))</f>
        <v>0</v>
      </c>
      <c r="R163">
        <f>IF(SPC!$B$11="Yes",IF(ROW(A160)&gt;=Demand!$A$5-52,1,0),IF(AND(B163&gt;=SPC!$B$12,B163&lt;SPC!$B$13),1,0))</f>
        <v>1</v>
      </c>
      <c r="S163" cm="1">
        <f t="array" ref="S163">INDEX($C$4:$Q$263,ROW(A160),MATCH($T$2,$C$3:$Q$3,0))</f>
        <v>0</v>
      </c>
      <c r="T163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63" cm="1">
        <f t="array" ref="U163">ABS(INDEX($C$4:$Q$263,ROW(A160),MATCH($T$2,$C$3:$Q$3,0))-INDEX($C$4:$Q$263,ROW(A159),MATCH($T$2,$C$3:$Q$3,0)))</f>
        <v>0</v>
      </c>
      <c r="V163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63">
        <f t="shared" si="30"/>
        <v>40.813595610865789</v>
      </c>
      <c r="X163">
        <f t="shared" si="31"/>
        <v>108.80449618627055</v>
      </c>
      <c r="Y163">
        <f t="shared" si="32"/>
        <v>149.61809179713634</v>
      </c>
      <c r="Z163">
        <f t="shared" si="33"/>
        <v>190.43168740800212</v>
      </c>
      <c r="AA163">
        <f t="shared" si="34"/>
        <v>272.05887862973373</v>
      </c>
      <c r="AB163">
        <f t="shared" si="35"/>
        <v>312.8724742405995</v>
      </c>
      <c r="AC163">
        <f t="shared" si="36"/>
        <v>353.68606985146528</v>
      </c>
      <c r="AD163">
        <f t="shared" si="37"/>
        <v>0</v>
      </c>
      <c r="AE163">
        <f t="shared" si="44"/>
        <v>-2</v>
      </c>
      <c r="AF163">
        <f t="shared" si="38"/>
        <v>0</v>
      </c>
      <c r="AG163">
        <f t="shared" si="39"/>
        <v>0</v>
      </c>
      <c r="AH163" t="e">
        <f t="shared" si="40"/>
        <v>#N/A</v>
      </c>
      <c r="AI163">
        <f t="shared" si="41"/>
        <v>-1</v>
      </c>
      <c r="AJ163">
        <f t="shared" si="42"/>
        <v>0</v>
      </c>
      <c r="AK163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63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63">
        <f t="shared" si="43"/>
        <v>14.699999999999989</v>
      </c>
    </row>
    <row r="164" spans="2:39" x14ac:dyDescent="0.35">
      <c r="B164" s="12" t="str">
        <f>Demand!B166</f>
        <v/>
      </c>
      <c r="C164" s="7">
        <f>INDEX(Demand!$E$6:$S$265,MATCH('SPC Backing (Hide)'!$B164,Demand!$B$6:$B$265,0),MATCH('SPC Backing (Hide)'!C$3,Demand!$E$5:$S$5,0))</f>
        <v>0</v>
      </c>
      <c r="D164" s="5">
        <f>INDEX(Demand!$E$6:$S$265,MATCH('SPC Backing (Hide)'!$B164,Demand!$B$6:$B$265,0),MATCH('SPC Backing (Hide)'!D$3,Demand!$E$5:$S$5,0))</f>
        <v>0</v>
      </c>
      <c r="E164" s="5">
        <f>INDEX(Demand!$E$6:$S$265,MATCH('SPC Backing (Hide)'!$B164,Demand!$B$6:$B$265,0),MATCH('SPC Backing (Hide)'!E$3,Demand!$E$5:$S$5,0))</f>
        <v>0</v>
      </c>
      <c r="F164" s="5">
        <f>INDEX(Demand!$E$6:$S$265,MATCH('SPC Backing (Hide)'!$B164,Demand!$B$6:$B$265,0),MATCH('SPC Backing (Hide)'!F$3,Demand!$E$5:$S$5,0))</f>
        <v>0</v>
      </c>
      <c r="G164" s="5">
        <f>INDEX(Demand!$E$6:$S$265,MATCH('SPC Backing (Hide)'!$B164,Demand!$B$6:$B$265,0),MATCH('SPC Backing (Hide)'!G$3,Demand!$E$5:$S$5,0))</f>
        <v>0</v>
      </c>
      <c r="H164" s="5">
        <f>INDEX(Demand!$E$6:$S$265,MATCH('SPC Backing (Hide)'!$B164,Demand!$B$6:$B$265,0),MATCH('SPC Backing (Hide)'!H$3,Demand!$E$5:$S$5,0))</f>
        <v>0</v>
      </c>
      <c r="I164" s="5">
        <f>INDEX(Demand!$E$6:$S$265,MATCH('SPC Backing (Hide)'!$B164,Demand!$B$6:$B$265,0),MATCH('SPC Backing (Hide)'!I$3,Demand!$E$5:$S$5,0))</f>
        <v>0</v>
      </c>
      <c r="J164" s="5">
        <f>INDEX(Demand!$E$6:$S$265,MATCH('SPC Backing (Hide)'!$B164,Demand!$B$6:$B$265,0),MATCH('SPC Backing (Hide)'!J$3,Demand!$E$5:$S$5,0))</f>
        <v>0</v>
      </c>
      <c r="K164" s="5">
        <f>INDEX(Demand!$E$6:$S$265,MATCH('SPC Backing (Hide)'!$B164,Demand!$B$6:$B$265,0),MATCH('SPC Backing (Hide)'!K$3,Demand!$E$5:$S$5,0))</f>
        <v>0</v>
      </c>
      <c r="L164" s="5">
        <f>INDEX(Demand!$E$6:$S$265,MATCH('SPC Backing (Hide)'!$B164,Demand!$B$6:$B$265,0),MATCH('SPC Backing (Hide)'!L$3,Demand!$E$5:$S$5,0))</f>
        <v>0</v>
      </c>
      <c r="M164" s="5">
        <f>INDEX(Demand!$E$6:$S$265,MATCH('SPC Backing (Hide)'!$B164,Demand!$B$6:$B$265,0),MATCH('SPC Backing (Hide)'!M$3,Demand!$E$5:$S$5,0))</f>
        <v>0</v>
      </c>
      <c r="N164" s="5">
        <f>INDEX(Demand!$E$6:$S$265,MATCH('SPC Backing (Hide)'!$B164,Demand!$B$6:$B$265,0),MATCH('SPC Backing (Hide)'!N$3,Demand!$E$5:$S$5,0))</f>
        <v>0</v>
      </c>
      <c r="O164" s="5">
        <f>INDEX(Demand!$E$6:$S$265,MATCH('SPC Backing (Hide)'!$B164,Demand!$B$6:$B$265,0),MATCH('SPC Backing (Hide)'!O$3,Demand!$E$5:$S$5,0))</f>
        <v>0</v>
      </c>
      <c r="P164" s="5">
        <f>INDEX(Demand!$E$6:$S$265,MATCH('SPC Backing (Hide)'!$B164,Demand!$B$6:$B$265,0),MATCH('SPC Backing (Hide)'!P$3,Demand!$E$5:$S$5,0))</f>
        <v>0</v>
      </c>
      <c r="Q164" s="6">
        <f>INDEX(Demand!$E$6:$S$265,MATCH('SPC Backing (Hide)'!$B164,Demand!$B$6:$B$265,0),MATCH('SPC Backing (Hide)'!Q$3,Demand!$E$5:$S$5,0))</f>
        <v>0</v>
      </c>
      <c r="R164">
        <f>IF(SPC!$B$11="Yes",IF(ROW(A161)&gt;=Demand!$A$5-52,1,0),IF(AND(B164&gt;=SPC!$B$12,B164&lt;SPC!$B$13),1,0))</f>
        <v>1</v>
      </c>
      <c r="S164" cm="1">
        <f t="array" ref="S164">INDEX($C$4:$Q$263,ROW(A161),MATCH($T$2,$C$3:$Q$3,0))</f>
        <v>0</v>
      </c>
      <c r="T164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64" cm="1">
        <f t="array" ref="U164">ABS(INDEX($C$4:$Q$263,ROW(A161),MATCH($T$2,$C$3:$Q$3,0))-INDEX($C$4:$Q$263,ROW(A160),MATCH($T$2,$C$3:$Q$3,0)))</f>
        <v>0</v>
      </c>
      <c r="V164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64">
        <f t="shared" si="30"/>
        <v>40.813595610865789</v>
      </c>
      <c r="X164">
        <f t="shared" si="31"/>
        <v>108.80449618627055</v>
      </c>
      <c r="Y164">
        <f t="shared" si="32"/>
        <v>149.61809179713634</v>
      </c>
      <c r="Z164">
        <f t="shared" si="33"/>
        <v>190.43168740800212</v>
      </c>
      <c r="AA164">
        <f t="shared" si="34"/>
        <v>272.05887862973373</v>
      </c>
      <c r="AB164">
        <f t="shared" si="35"/>
        <v>312.8724742405995</v>
      </c>
      <c r="AC164">
        <f t="shared" si="36"/>
        <v>353.68606985146528</v>
      </c>
      <c r="AD164">
        <f t="shared" si="37"/>
        <v>0</v>
      </c>
      <c r="AE164">
        <f t="shared" si="44"/>
        <v>-2</v>
      </c>
      <c r="AF164">
        <f t="shared" si="38"/>
        <v>0</v>
      </c>
      <c r="AG164">
        <f t="shared" si="39"/>
        <v>0</v>
      </c>
      <c r="AH164" t="e">
        <f t="shared" si="40"/>
        <v>#N/A</v>
      </c>
      <c r="AI164">
        <f t="shared" si="41"/>
        <v>-1</v>
      </c>
      <c r="AJ164">
        <f t="shared" si="42"/>
        <v>0</v>
      </c>
      <c r="AK164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64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64">
        <f t="shared" si="43"/>
        <v>14.699999999999989</v>
      </c>
    </row>
    <row r="165" spans="2:39" x14ac:dyDescent="0.35">
      <c r="B165" s="12" t="str">
        <f>Demand!B167</f>
        <v/>
      </c>
      <c r="C165" s="7">
        <f>INDEX(Demand!$E$6:$S$265,MATCH('SPC Backing (Hide)'!$B165,Demand!$B$6:$B$265,0),MATCH('SPC Backing (Hide)'!C$3,Demand!$E$5:$S$5,0))</f>
        <v>0</v>
      </c>
      <c r="D165" s="5">
        <f>INDEX(Demand!$E$6:$S$265,MATCH('SPC Backing (Hide)'!$B165,Demand!$B$6:$B$265,0),MATCH('SPC Backing (Hide)'!D$3,Demand!$E$5:$S$5,0))</f>
        <v>0</v>
      </c>
      <c r="E165" s="5">
        <f>INDEX(Demand!$E$6:$S$265,MATCH('SPC Backing (Hide)'!$B165,Demand!$B$6:$B$265,0),MATCH('SPC Backing (Hide)'!E$3,Demand!$E$5:$S$5,0))</f>
        <v>0</v>
      </c>
      <c r="F165" s="5">
        <f>INDEX(Demand!$E$6:$S$265,MATCH('SPC Backing (Hide)'!$B165,Demand!$B$6:$B$265,0),MATCH('SPC Backing (Hide)'!F$3,Demand!$E$5:$S$5,0))</f>
        <v>0</v>
      </c>
      <c r="G165" s="5">
        <f>INDEX(Demand!$E$6:$S$265,MATCH('SPC Backing (Hide)'!$B165,Demand!$B$6:$B$265,0),MATCH('SPC Backing (Hide)'!G$3,Demand!$E$5:$S$5,0))</f>
        <v>0</v>
      </c>
      <c r="H165" s="5">
        <f>INDEX(Demand!$E$6:$S$265,MATCH('SPC Backing (Hide)'!$B165,Demand!$B$6:$B$265,0),MATCH('SPC Backing (Hide)'!H$3,Demand!$E$5:$S$5,0))</f>
        <v>0</v>
      </c>
      <c r="I165" s="5">
        <f>INDEX(Demand!$E$6:$S$265,MATCH('SPC Backing (Hide)'!$B165,Demand!$B$6:$B$265,0),MATCH('SPC Backing (Hide)'!I$3,Demand!$E$5:$S$5,0))</f>
        <v>0</v>
      </c>
      <c r="J165" s="5">
        <f>INDEX(Demand!$E$6:$S$265,MATCH('SPC Backing (Hide)'!$B165,Demand!$B$6:$B$265,0),MATCH('SPC Backing (Hide)'!J$3,Demand!$E$5:$S$5,0))</f>
        <v>0</v>
      </c>
      <c r="K165" s="5">
        <f>INDEX(Demand!$E$6:$S$265,MATCH('SPC Backing (Hide)'!$B165,Demand!$B$6:$B$265,0),MATCH('SPC Backing (Hide)'!K$3,Demand!$E$5:$S$5,0))</f>
        <v>0</v>
      </c>
      <c r="L165" s="5">
        <f>INDEX(Demand!$E$6:$S$265,MATCH('SPC Backing (Hide)'!$B165,Demand!$B$6:$B$265,0),MATCH('SPC Backing (Hide)'!L$3,Demand!$E$5:$S$5,0))</f>
        <v>0</v>
      </c>
      <c r="M165" s="5">
        <f>INDEX(Demand!$E$6:$S$265,MATCH('SPC Backing (Hide)'!$B165,Demand!$B$6:$B$265,0),MATCH('SPC Backing (Hide)'!M$3,Demand!$E$5:$S$5,0))</f>
        <v>0</v>
      </c>
      <c r="N165" s="5">
        <f>INDEX(Demand!$E$6:$S$265,MATCH('SPC Backing (Hide)'!$B165,Demand!$B$6:$B$265,0),MATCH('SPC Backing (Hide)'!N$3,Demand!$E$5:$S$5,0))</f>
        <v>0</v>
      </c>
      <c r="O165" s="5">
        <f>INDEX(Demand!$E$6:$S$265,MATCH('SPC Backing (Hide)'!$B165,Demand!$B$6:$B$265,0),MATCH('SPC Backing (Hide)'!O$3,Demand!$E$5:$S$5,0))</f>
        <v>0</v>
      </c>
      <c r="P165" s="5">
        <f>INDEX(Demand!$E$6:$S$265,MATCH('SPC Backing (Hide)'!$B165,Demand!$B$6:$B$265,0),MATCH('SPC Backing (Hide)'!P$3,Demand!$E$5:$S$5,0))</f>
        <v>0</v>
      </c>
      <c r="Q165" s="6">
        <f>INDEX(Demand!$E$6:$S$265,MATCH('SPC Backing (Hide)'!$B165,Demand!$B$6:$B$265,0),MATCH('SPC Backing (Hide)'!Q$3,Demand!$E$5:$S$5,0))</f>
        <v>0</v>
      </c>
      <c r="R165">
        <f>IF(SPC!$B$11="Yes",IF(ROW(A162)&gt;=Demand!$A$5-52,1,0),IF(AND(B165&gt;=SPC!$B$12,B165&lt;SPC!$B$13),1,0))</f>
        <v>1</v>
      </c>
      <c r="S165" cm="1">
        <f t="array" ref="S165">INDEX($C$4:$Q$263,ROW(A162),MATCH($T$2,$C$3:$Q$3,0))</f>
        <v>0</v>
      </c>
      <c r="T165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65" cm="1">
        <f t="array" ref="U165">ABS(INDEX($C$4:$Q$263,ROW(A162),MATCH($T$2,$C$3:$Q$3,0))-INDEX($C$4:$Q$263,ROW(A161),MATCH($T$2,$C$3:$Q$3,0)))</f>
        <v>0</v>
      </c>
      <c r="V165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65">
        <f t="shared" si="30"/>
        <v>40.813595610865789</v>
      </c>
      <c r="X165">
        <f t="shared" si="31"/>
        <v>108.80449618627055</v>
      </c>
      <c r="Y165">
        <f t="shared" si="32"/>
        <v>149.61809179713634</v>
      </c>
      <c r="Z165">
        <f t="shared" si="33"/>
        <v>190.43168740800212</v>
      </c>
      <c r="AA165">
        <f t="shared" si="34"/>
        <v>272.05887862973373</v>
      </c>
      <c r="AB165">
        <f t="shared" si="35"/>
        <v>312.8724742405995</v>
      </c>
      <c r="AC165">
        <f t="shared" si="36"/>
        <v>353.68606985146528</v>
      </c>
      <c r="AD165">
        <f t="shared" si="37"/>
        <v>0</v>
      </c>
      <c r="AE165">
        <f t="shared" si="44"/>
        <v>-2</v>
      </c>
      <c r="AF165">
        <f t="shared" si="38"/>
        <v>0</v>
      </c>
      <c r="AG165">
        <f t="shared" si="39"/>
        <v>0</v>
      </c>
      <c r="AH165" t="e">
        <f t="shared" si="40"/>
        <v>#N/A</v>
      </c>
      <c r="AI165">
        <f t="shared" si="41"/>
        <v>-1</v>
      </c>
      <c r="AJ165">
        <f t="shared" si="42"/>
        <v>0</v>
      </c>
      <c r="AK165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65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65">
        <f t="shared" si="43"/>
        <v>14.699999999999989</v>
      </c>
    </row>
    <row r="166" spans="2:39" x14ac:dyDescent="0.35">
      <c r="B166" s="12" t="str">
        <f>Demand!B168</f>
        <v/>
      </c>
      <c r="C166" s="7">
        <f>INDEX(Demand!$E$6:$S$265,MATCH('SPC Backing (Hide)'!$B166,Demand!$B$6:$B$265,0),MATCH('SPC Backing (Hide)'!C$3,Demand!$E$5:$S$5,0))</f>
        <v>0</v>
      </c>
      <c r="D166" s="5">
        <f>INDEX(Demand!$E$6:$S$265,MATCH('SPC Backing (Hide)'!$B166,Demand!$B$6:$B$265,0),MATCH('SPC Backing (Hide)'!D$3,Demand!$E$5:$S$5,0))</f>
        <v>0</v>
      </c>
      <c r="E166" s="5">
        <f>INDEX(Demand!$E$6:$S$265,MATCH('SPC Backing (Hide)'!$B166,Demand!$B$6:$B$265,0),MATCH('SPC Backing (Hide)'!E$3,Demand!$E$5:$S$5,0))</f>
        <v>0</v>
      </c>
      <c r="F166" s="5">
        <f>INDEX(Demand!$E$6:$S$265,MATCH('SPC Backing (Hide)'!$B166,Demand!$B$6:$B$265,0),MATCH('SPC Backing (Hide)'!F$3,Demand!$E$5:$S$5,0))</f>
        <v>0</v>
      </c>
      <c r="G166" s="5">
        <f>INDEX(Demand!$E$6:$S$265,MATCH('SPC Backing (Hide)'!$B166,Demand!$B$6:$B$265,0),MATCH('SPC Backing (Hide)'!G$3,Demand!$E$5:$S$5,0))</f>
        <v>0</v>
      </c>
      <c r="H166" s="5">
        <f>INDEX(Demand!$E$6:$S$265,MATCH('SPC Backing (Hide)'!$B166,Demand!$B$6:$B$265,0),MATCH('SPC Backing (Hide)'!H$3,Demand!$E$5:$S$5,0))</f>
        <v>0</v>
      </c>
      <c r="I166" s="5">
        <f>INDEX(Demand!$E$6:$S$265,MATCH('SPC Backing (Hide)'!$B166,Demand!$B$6:$B$265,0),MATCH('SPC Backing (Hide)'!I$3,Demand!$E$5:$S$5,0))</f>
        <v>0</v>
      </c>
      <c r="J166" s="5">
        <f>INDEX(Demand!$E$6:$S$265,MATCH('SPC Backing (Hide)'!$B166,Demand!$B$6:$B$265,0),MATCH('SPC Backing (Hide)'!J$3,Demand!$E$5:$S$5,0))</f>
        <v>0</v>
      </c>
      <c r="K166" s="5">
        <f>INDEX(Demand!$E$6:$S$265,MATCH('SPC Backing (Hide)'!$B166,Demand!$B$6:$B$265,0),MATCH('SPC Backing (Hide)'!K$3,Demand!$E$5:$S$5,0))</f>
        <v>0</v>
      </c>
      <c r="L166" s="5">
        <f>INDEX(Demand!$E$6:$S$265,MATCH('SPC Backing (Hide)'!$B166,Demand!$B$6:$B$265,0),MATCH('SPC Backing (Hide)'!L$3,Demand!$E$5:$S$5,0))</f>
        <v>0</v>
      </c>
      <c r="M166" s="5">
        <f>INDEX(Demand!$E$6:$S$265,MATCH('SPC Backing (Hide)'!$B166,Demand!$B$6:$B$265,0),MATCH('SPC Backing (Hide)'!M$3,Demand!$E$5:$S$5,0))</f>
        <v>0</v>
      </c>
      <c r="N166" s="5">
        <f>INDEX(Demand!$E$6:$S$265,MATCH('SPC Backing (Hide)'!$B166,Demand!$B$6:$B$265,0),MATCH('SPC Backing (Hide)'!N$3,Demand!$E$5:$S$5,0))</f>
        <v>0</v>
      </c>
      <c r="O166" s="5">
        <f>INDEX(Demand!$E$6:$S$265,MATCH('SPC Backing (Hide)'!$B166,Demand!$B$6:$B$265,0),MATCH('SPC Backing (Hide)'!O$3,Demand!$E$5:$S$5,0))</f>
        <v>0</v>
      </c>
      <c r="P166" s="5">
        <f>INDEX(Demand!$E$6:$S$265,MATCH('SPC Backing (Hide)'!$B166,Demand!$B$6:$B$265,0),MATCH('SPC Backing (Hide)'!P$3,Demand!$E$5:$S$5,0))</f>
        <v>0</v>
      </c>
      <c r="Q166" s="6">
        <f>INDEX(Demand!$E$6:$S$265,MATCH('SPC Backing (Hide)'!$B166,Demand!$B$6:$B$265,0),MATCH('SPC Backing (Hide)'!Q$3,Demand!$E$5:$S$5,0))</f>
        <v>0</v>
      </c>
      <c r="R166">
        <f>IF(SPC!$B$11="Yes",IF(ROW(A163)&gt;=Demand!$A$5-52,1,0),IF(AND(B166&gt;=SPC!$B$12,B166&lt;SPC!$B$13),1,0))</f>
        <v>1</v>
      </c>
      <c r="S166" cm="1">
        <f t="array" ref="S166">INDEX($C$4:$Q$263,ROW(A163),MATCH($T$2,$C$3:$Q$3,0))</f>
        <v>0</v>
      </c>
      <c r="T166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66" cm="1">
        <f t="array" ref="U166">ABS(INDEX($C$4:$Q$263,ROW(A163),MATCH($T$2,$C$3:$Q$3,0))-INDEX($C$4:$Q$263,ROW(A162),MATCH($T$2,$C$3:$Q$3,0)))</f>
        <v>0</v>
      </c>
      <c r="V166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66">
        <f t="shared" si="30"/>
        <v>40.813595610865789</v>
      </c>
      <c r="X166">
        <f t="shared" si="31"/>
        <v>108.80449618627055</v>
      </c>
      <c r="Y166">
        <f t="shared" si="32"/>
        <v>149.61809179713634</v>
      </c>
      <c r="Z166">
        <f t="shared" si="33"/>
        <v>190.43168740800212</v>
      </c>
      <c r="AA166">
        <f t="shared" si="34"/>
        <v>272.05887862973373</v>
      </c>
      <c r="AB166">
        <f t="shared" si="35"/>
        <v>312.8724742405995</v>
      </c>
      <c r="AC166">
        <f t="shared" si="36"/>
        <v>353.68606985146528</v>
      </c>
      <c r="AD166">
        <f t="shared" si="37"/>
        <v>0</v>
      </c>
      <c r="AE166">
        <f t="shared" si="44"/>
        <v>-2</v>
      </c>
      <c r="AF166">
        <f t="shared" si="38"/>
        <v>0</v>
      </c>
      <c r="AG166">
        <f t="shared" si="39"/>
        <v>0</v>
      </c>
      <c r="AH166" t="e">
        <f t="shared" si="40"/>
        <v>#N/A</v>
      </c>
      <c r="AI166">
        <f t="shared" si="41"/>
        <v>-1</v>
      </c>
      <c r="AJ166">
        <f t="shared" si="42"/>
        <v>0</v>
      </c>
      <c r="AK166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66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66">
        <f t="shared" si="43"/>
        <v>14.699999999999989</v>
      </c>
    </row>
    <row r="167" spans="2:39" x14ac:dyDescent="0.35">
      <c r="B167" s="12" t="str">
        <f>Demand!B169</f>
        <v/>
      </c>
      <c r="C167" s="7">
        <f>INDEX(Demand!$E$6:$S$265,MATCH('SPC Backing (Hide)'!$B167,Demand!$B$6:$B$265,0),MATCH('SPC Backing (Hide)'!C$3,Demand!$E$5:$S$5,0))</f>
        <v>0</v>
      </c>
      <c r="D167" s="5">
        <f>INDEX(Demand!$E$6:$S$265,MATCH('SPC Backing (Hide)'!$B167,Demand!$B$6:$B$265,0),MATCH('SPC Backing (Hide)'!D$3,Demand!$E$5:$S$5,0))</f>
        <v>0</v>
      </c>
      <c r="E167" s="5">
        <f>INDEX(Demand!$E$6:$S$265,MATCH('SPC Backing (Hide)'!$B167,Demand!$B$6:$B$265,0),MATCH('SPC Backing (Hide)'!E$3,Demand!$E$5:$S$5,0))</f>
        <v>0</v>
      </c>
      <c r="F167" s="5">
        <f>INDEX(Demand!$E$6:$S$265,MATCH('SPC Backing (Hide)'!$B167,Demand!$B$6:$B$265,0),MATCH('SPC Backing (Hide)'!F$3,Demand!$E$5:$S$5,0))</f>
        <v>0</v>
      </c>
      <c r="G167" s="5">
        <f>INDEX(Demand!$E$6:$S$265,MATCH('SPC Backing (Hide)'!$B167,Demand!$B$6:$B$265,0),MATCH('SPC Backing (Hide)'!G$3,Demand!$E$5:$S$5,0))</f>
        <v>0</v>
      </c>
      <c r="H167" s="5">
        <f>INDEX(Demand!$E$6:$S$265,MATCH('SPC Backing (Hide)'!$B167,Demand!$B$6:$B$265,0),MATCH('SPC Backing (Hide)'!H$3,Demand!$E$5:$S$5,0))</f>
        <v>0</v>
      </c>
      <c r="I167" s="5">
        <f>INDEX(Demand!$E$6:$S$265,MATCH('SPC Backing (Hide)'!$B167,Demand!$B$6:$B$265,0),MATCH('SPC Backing (Hide)'!I$3,Demand!$E$5:$S$5,0))</f>
        <v>0</v>
      </c>
      <c r="J167" s="5">
        <f>INDEX(Demand!$E$6:$S$265,MATCH('SPC Backing (Hide)'!$B167,Demand!$B$6:$B$265,0),MATCH('SPC Backing (Hide)'!J$3,Demand!$E$5:$S$5,0))</f>
        <v>0</v>
      </c>
      <c r="K167" s="5">
        <f>INDEX(Demand!$E$6:$S$265,MATCH('SPC Backing (Hide)'!$B167,Demand!$B$6:$B$265,0),MATCH('SPC Backing (Hide)'!K$3,Demand!$E$5:$S$5,0))</f>
        <v>0</v>
      </c>
      <c r="L167" s="5">
        <f>INDEX(Demand!$E$6:$S$265,MATCH('SPC Backing (Hide)'!$B167,Demand!$B$6:$B$265,0),MATCH('SPC Backing (Hide)'!L$3,Demand!$E$5:$S$5,0))</f>
        <v>0</v>
      </c>
      <c r="M167" s="5">
        <f>INDEX(Demand!$E$6:$S$265,MATCH('SPC Backing (Hide)'!$B167,Demand!$B$6:$B$265,0),MATCH('SPC Backing (Hide)'!M$3,Demand!$E$5:$S$5,0))</f>
        <v>0</v>
      </c>
      <c r="N167" s="5">
        <f>INDEX(Demand!$E$6:$S$265,MATCH('SPC Backing (Hide)'!$B167,Demand!$B$6:$B$265,0),MATCH('SPC Backing (Hide)'!N$3,Demand!$E$5:$S$5,0))</f>
        <v>0</v>
      </c>
      <c r="O167" s="5">
        <f>INDEX(Demand!$E$6:$S$265,MATCH('SPC Backing (Hide)'!$B167,Demand!$B$6:$B$265,0),MATCH('SPC Backing (Hide)'!O$3,Demand!$E$5:$S$5,0))</f>
        <v>0</v>
      </c>
      <c r="P167" s="5">
        <f>INDEX(Demand!$E$6:$S$265,MATCH('SPC Backing (Hide)'!$B167,Demand!$B$6:$B$265,0),MATCH('SPC Backing (Hide)'!P$3,Demand!$E$5:$S$5,0))</f>
        <v>0</v>
      </c>
      <c r="Q167" s="6">
        <f>INDEX(Demand!$E$6:$S$265,MATCH('SPC Backing (Hide)'!$B167,Demand!$B$6:$B$265,0),MATCH('SPC Backing (Hide)'!Q$3,Demand!$E$5:$S$5,0))</f>
        <v>0</v>
      </c>
      <c r="R167">
        <f>IF(SPC!$B$11="Yes",IF(ROW(A164)&gt;=Demand!$A$5-52,1,0),IF(AND(B167&gt;=SPC!$B$12,B167&lt;SPC!$B$13),1,0))</f>
        <v>1</v>
      </c>
      <c r="S167" cm="1">
        <f t="array" ref="S167">INDEX($C$4:$Q$263,ROW(A164),MATCH($T$2,$C$3:$Q$3,0))</f>
        <v>0</v>
      </c>
      <c r="T167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67" cm="1">
        <f t="array" ref="U167">ABS(INDEX($C$4:$Q$263,ROW(A164),MATCH($T$2,$C$3:$Q$3,0))-INDEX($C$4:$Q$263,ROW(A163),MATCH($T$2,$C$3:$Q$3,0)))</f>
        <v>0</v>
      </c>
      <c r="V167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67">
        <f t="shared" si="30"/>
        <v>40.813595610865789</v>
      </c>
      <c r="X167">
        <f t="shared" si="31"/>
        <v>108.80449618627055</v>
      </c>
      <c r="Y167">
        <f t="shared" si="32"/>
        <v>149.61809179713634</v>
      </c>
      <c r="Z167">
        <f t="shared" si="33"/>
        <v>190.43168740800212</v>
      </c>
      <c r="AA167">
        <f t="shared" si="34"/>
        <v>272.05887862973373</v>
      </c>
      <c r="AB167">
        <f t="shared" si="35"/>
        <v>312.8724742405995</v>
      </c>
      <c r="AC167">
        <f t="shared" si="36"/>
        <v>353.68606985146528</v>
      </c>
      <c r="AD167">
        <f t="shared" si="37"/>
        <v>0</v>
      </c>
      <c r="AE167">
        <f t="shared" si="44"/>
        <v>-2</v>
      </c>
      <c r="AF167">
        <f t="shared" si="38"/>
        <v>0</v>
      </c>
      <c r="AG167">
        <f t="shared" si="39"/>
        <v>0</v>
      </c>
      <c r="AH167" t="e">
        <f t="shared" si="40"/>
        <v>#N/A</v>
      </c>
      <c r="AI167">
        <f t="shared" si="41"/>
        <v>-1</v>
      </c>
      <c r="AJ167">
        <f t="shared" si="42"/>
        <v>0</v>
      </c>
      <c r="AK167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67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67">
        <f t="shared" si="43"/>
        <v>14.699999999999989</v>
      </c>
    </row>
    <row r="168" spans="2:39" x14ac:dyDescent="0.35">
      <c r="B168" s="12" t="str">
        <f>Demand!B170</f>
        <v/>
      </c>
      <c r="C168" s="7">
        <f>INDEX(Demand!$E$6:$S$265,MATCH('SPC Backing (Hide)'!$B168,Demand!$B$6:$B$265,0),MATCH('SPC Backing (Hide)'!C$3,Demand!$E$5:$S$5,0))</f>
        <v>0</v>
      </c>
      <c r="D168" s="5">
        <f>INDEX(Demand!$E$6:$S$265,MATCH('SPC Backing (Hide)'!$B168,Demand!$B$6:$B$265,0),MATCH('SPC Backing (Hide)'!D$3,Demand!$E$5:$S$5,0))</f>
        <v>0</v>
      </c>
      <c r="E168" s="5">
        <f>INDEX(Demand!$E$6:$S$265,MATCH('SPC Backing (Hide)'!$B168,Demand!$B$6:$B$265,0),MATCH('SPC Backing (Hide)'!E$3,Demand!$E$5:$S$5,0))</f>
        <v>0</v>
      </c>
      <c r="F168" s="5">
        <f>INDEX(Demand!$E$6:$S$265,MATCH('SPC Backing (Hide)'!$B168,Demand!$B$6:$B$265,0),MATCH('SPC Backing (Hide)'!F$3,Demand!$E$5:$S$5,0))</f>
        <v>0</v>
      </c>
      <c r="G168" s="5">
        <f>INDEX(Demand!$E$6:$S$265,MATCH('SPC Backing (Hide)'!$B168,Demand!$B$6:$B$265,0),MATCH('SPC Backing (Hide)'!G$3,Demand!$E$5:$S$5,0))</f>
        <v>0</v>
      </c>
      <c r="H168" s="5">
        <f>INDEX(Demand!$E$6:$S$265,MATCH('SPC Backing (Hide)'!$B168,Demand!$B$6:$B$265,0),MATCH('SPC Backing (Hide)'!H$3,Demand!$E$5:$S$5,0))</f>
        <v>0</v>
      </c>
      <c r="I168" s="5">
        <f>INDEX(Demand!$E$6:$S$265,MATCH('SPC Backing (Hide)'!$B168,Demand!$B$6:$B$265,0),MATCH('SPC Backing (Hide)'!I$3,Demand!$E$5:$S$5,0))</f>
        <v>0</v>
      </c>
      <c r="J168" s="5">
        <f>INDEX(Demand!$E$6:$S$265,MATCH('SPC Backing (Hide)'!$B168,Demand!$B$6:$B$265,0),MATCH('SPC Backing (Hide)'!J$3,Demand!$E$5:$S$5,0))</f>
        <v>0</v>
      </c>
      <c r="K168" s="5">
        <f>INDEX(Demand!$E$6:$S$265,MATCH('SPC Backing (Hide)'!$B168,Demand!$B$6:$B$265,0),MATCH('SPC Backing (Hide)'!K$3,Demand!$E$5:$S$5,0))</f>
        <v>0</v>
      </c>
      <c r="L168" s="5">
        <f>INDEX(Demand!$E$6:$S$265,MATCH('SPC Backing (Hide)'!$B168,Demand!$B$6:$B$265,0),MATCH('SPC Backing (Hide)'!L$3,Demand!$E$5:$S$5,0))</f>
        <v>0</v>
      </c>
      <c r="M168" s="5">
        <f>INDEX(Demand!$E$6:$S$265,MATCH('SPC Backing (Hide)'!$B168,Demand!$B$6:$B$265,0),MATCH('SPC Backing (Hide)'!M$3,Demand!$E$5:$S$5,0))</f>
        <v>0</v>
      </c>
      <c r="N168" s="5">
        <f>INDEX(Demand!$E$6:$S$265,MATCH('SPC Backing (Hide)'!$B168,Demand!$B$6:$B$265,0),MATCH('SPC Backing (Hide)'!N$3,Demand!$E$5:$S$5,0))</f>
        <v>0</v>
      </c>
      <c r="O168" s="5">
        <f>INDEX(Demand!$E$6:$S$265,MATCH('SPC Backing (Hide)'!$B168,Demand!$B$6:$B$265,0),MATCH('SPC Backing (Hide)'!O$3,Demand!$E$5:$S$5,0))</f>
        <v>0</v>
      </c>
      <c r="P168" s="5">
        <f>INDEX(Demand!$E$6:$S$265,MATCH('SPC Backing (Hide)'!$B168,Demand!$B$6:$B$265,0),MATCH('SPC Backing (Hide)'!P$3,Demand!$E$5:$S$5,0))</f>
        <v>0</v>
      </c>
      <c r="Q168" s="6">
        <f>INDEX(Demand!$E$6:$S$265,MATCH('SPC Backing (Hide)'!$B168,Demand!$B$6:$B$265,0),MATCH('SPC Backing (Hide)'!Q$3,Demand!$E$5:$S$5,0))</f>
        <v>0</v>
      </c>
      <c r="R168">
        <f>IF(SPC!$B$11="Yes",IF(ROW(A165)&gt;=Demand!$A$5-52,1,0),IF(AND(B168&gt;=SPC!$B$12,B168&lt;SPC!$B$13),1,0))</f>
        <v>1</v>
      </c>
      <c r="S168" cm="1">
        <f t="array" ref="S168">INDEX($C$4:$Q$263,ROW(A165),MATCH($T$2,$C$3:$Q$3,0))</f>
        <v>0</v>
      </c>
      <c r="T168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68" cm="1">
        <f t="array" ref="U168">ABS(INDEX($C$4:$Q$263,ROW(A165),MATCH($T$2,$C$3:$Q$3,0))-INDEX($C$4:$Q$263,ROW(A164),MATCH($T$2,$C$3:$Q$3,0)))</f>
        <v>0</v>
      </c>
      <c r="V168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68">
        <f t="shared" si="30"/>
        <v>40.813595610865789</v>
      </c>
      <c r="X168">
        <f t="shared" si="31"/>
        <v>108.80449618627055</v>
      </c>
      <c r="Y168">
        <f t="shared" si="32"/>
        <v>149.61809179713634</v>
      </c>
      <c r="Z168">
        <f t="shared" si="33"/>
        <v>190.43168740800212</v>
      </c>
      <c r="AA168">
        <f t="shared" si="34"/>
        <v>272.05887862973373</v>
      </c>
      <c r="AB168">
        <f t="shared" si="35"/>
        <v>312.8724742405995</v>
      </c>
      <c r="AC168">
        <f t="shared" si="36"/>
        <v>353.68606985146528</v>
      </c>
      <c r="AD168">
        <f t="shared" si="37"/>
        <v>0</v>
      </c>
      <c r="AE168">
        <f t="shared" si="44"/>
        <v>-2</v>
      </c>
      <c r="AF168">
        <f t="shared" si="38"/>
        <v>0</v>
      </c>
      <c r="AG168">
        <f t="shared" si="39"/>
        <v>0</v>
      </c>
      <c r="AH168" t="e">
        <f t="shared" si="40"/>
        <v>#N/A</v>
      </c>
      <c r="AI168">
        <f t="shared" si="41"/>
        <v>-1</v>
      </c>
      <c r="AJ168">
        <f t="shared" si="42"/>
        <v>0</v>
      </c>
      <c r="AK168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68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68">
        <f t="shared" si="43"/>
        <v>14.699999999999989</v>
      </c>
    </row>
    <row r="169" spans="2:39" x14ac:dyDescent="0.35">
      <c r="B169" s="12" t="str">
        <f>Demand!B171</f>
        <v/>
      </c>
      <c r="C169" s="7">
        <f>INDEX(Demand!$E$6:$S$265,MATCH('SPC Backing (Hide)'!$B169,Demand!$B$6:$B$265,0),MATCH('SPC Backing (Hide)'!C$3,Demand!$E$5:$S$5,0))</f>
        <v>0</v>
      </c>
      <c r="D169" s="5">
        <f>INDEX(Demand!$E$6:$S$265,MATCH('SPC Backing (Hide)'!$B169,Demand!$B$6:$B$265,0),MATCH('SPC Backing (Hide)'!D$3,Demand!$E$5:$S$5,0))</f>
        <v>0</v>
      </c>
      <c r="E169" s="5">
        <f>INDEX(Demand!$E$6:$S$265,MATCH('SPC Backing (Hide)'!$B169,Demand!$B$6:$B$265,0),MATCH('SPC Backing (Hide)'!E$3,Demand!$E$5:$S$5,0))</f>
        <v>0</v>
      </c>
      <c r="F169" s="5">
        <f>INDEX(Demand!$E$6:$S$265,MATCH('SPC Backing (Hide)'!$B169,Demand!$B$6:$B$265,0),MATCH('SPC Backing (Hide)'!F$3,Demand!$E$5:$S$5,0))</f>
        <v>0</v>
      </c>
      <c r="G169" s="5">
        <f>INDEX(Demand!$E$6:$S$265,MATCH('SPC Backing (Hide)'!$B169,Demand!$B$6:$B$265,0),MATCH('SPC Backing (Hide)'!G$3,Demand!$E$5:$S$5,0))</f>
        <v>0</v>
      </c>
      <c r="H169" s="5">
        <f>INDEX(Demand!$E$6:$S$265,MATCH('SPC Backing (Hide)'!$B169,Demand!$B$6:$B$265,0),MATCH('SPC Backing (Hide)'!H$3,Demand!$E$5:$S$5,0))</f>
        <v>0</v>
      </c>
      <c r="I169" s="5">
        <f>INDEX(Demand!$E$6:$S$265,MATCH('SPC Backing (Hide)'!$B169,Demand!$B$6:$B$265,0),MATCH('SPC Backing (Hide)'!I$3,Demand!$E$5:$S$5,0))</f>
        <v>0</v>
      </c>
      <c r="J169" s="5">
        <f>INDEX(Demand!$E$6:$S$265,MATCH('SPC Backing (Hide)'!$B169,Demand!$B$6:$B$265,0),MATCH('SPC Backing (Hide)'!J$3,Demand!$E$5:$S$5,0))</f>
        <v>0</v>
      </c>
      <c r="K169" s="5">
        <f>INDEX(Demand!$E$6:$S$265,MATCH('SPC Backing (Hide)'!$B169,Demand!$B$6:$B$265,0),MATCH('SPC Backing (Hide)'!K$3,Demand!$E$5:$S$5,0))</f>
        <v>0</v>
      </c>
      <c r="L169" s="5">
        <f>INDEX(Demand!$E$6:$S$265,MATCH('SPC Backing (Hide)'!$B169,Demand!$B$6:$B$265,0),MATCH('SPC Backing (Hide)'!L$3,Demand!$E$5:$S$5,0))</f>
        <v>0</v>
      </c>
      <c r="M169" s="5">
        <f>INDEX(Demand!$E$6:$S$265,MATCH('SPC Backing (Hide)'!$B169,Demand!$B$6:$B$265,0),MATCH('SPC Backing (Hide)'!M$3,Demand!$E$5:$S$5,0))</f>
        <v>0</v>
      </c>
      <c r="N169" s="5">
        <f>INDEX(Demand!$E$6:$S$265,MATCH('SPC Backing (Hide)'!$B169,Demand!$B$6:$B$265,0),MATCH('SPC Backing (Hide)'!N$3,Demand!$E$5:$S$5,0))</f>
        <v>0</v>
      </c>
      <c r="O169" s="5">
        <f>INDEX(Demand!$E$6:$S$265,MATCH('SPC Backing (Hide)'!$B169,Demand!$B$6:$B$265,0),MATCH('SPC Backing (Hide)'!O$3,Demand!$E$5:$S$5,0))</f>
        <v>0</v>
      </c>
      <c r="P169" s="5">
        <f>INDEX(Demand!$E$6:$S$265,MATCH('SPC Backing (Hide)'!$B169,Demand!$B$6:$B$265,0),MATCH('SPC Backing (Hide)'!P$3,Demand!$E$5:$S$5,0))</f>
        <v>0</v>
      </c>
      <c r="Q169" s="6">
        <f>INDEX(Demand!$E$6:$S$265,MATCH('SPC Backing (Hide)'!$B169,Demand!$B$6:$B$265,0),MATCH('SPC Backing (Hide)'!Q$3,Demand!$E$5:$S$5,0))</f>
        <v>0</v>
      </c>
      <c r="R169">
        <f>IF(SPC!$B$11="Yes",IF(ROW(A166)&gt;=Demand!$A$5-52,1,0),IF(AND(B169&gt;=SPC!$B$12,B169&lt;SPC!$B$13),1,0))</f>
        <v>1</v>
      </c>
      <c r="S169" cm="1">
        <f t="array" ref="S169">INDEX($C$4:$Q$263,ROW(A166),MATCH($T$2,$C$3:$Q$3,0))</f>
        <v>0</v>
      </c>
      <c r="T169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69" cm="1">
        <f t="array" ref="U169">ABS(INDEX($C$4:$Q$263,ROW(A166),MATCH($T$2,$C$3:$Q$3,0))-INDEX($C$4:$Q$263,ROW(A165),MATCH($T$2,$C$3:$Q$3,0)))</f>
        <v>0</v>
      </c>
      <c r="V169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69">
        <f t="shared" si="30"/>
        <v>40.813595610865789</v>
      </c>
      <c r="X169">
        <f t="shared" si="31"/>
        <v>108.80449618627055</v>
      </c>
      <c r="Y169">
        <f t="shared" si="32"/>
        <v>149.61809179713634</v>
      </c>
      <c r="Z169">
        <f t="shared" si="33"/>
        <v>190.43168740800212</v>
      </c>
      <c r="AA169">
        <f t="shared" si="34"/>
        <v>272.05887862973373</v>
      </c>
      <c r="AB169">
        <f t="shared" si="35"/>
        <v>312.8724742405995</v>
      </c>
      <c r="AC169">
        <f t="shared" si="36"/>
        <v>353.68606985146528</v>
      </c>
      <c r="AD169">
        <f t="shared" si="37"/>
        <v>0</v>
      </c>
      <c r="AE169">
        <f t="shared" si="44"/>
        <v>-2</v>
      </c>
      <c r="AF169">
        <f t="shared" si="38"/>
        <v>0</v>
      </c>
      <c r="AG169">
        <f t="shared" si="39"/>
        <v>0</v>
      </c>
      <c r="AH169" t="e">
        <f t="shared" si="40"/>
        <v>#N/A</v>
      </c>
      <c r="AI169">
        <f t="shared" si="41"/>
        <v>-1</v>
      </c>
      <c r="AJ169">
        <f t="shared" si="42"/>
        <v>0</v>
      </c>
      <c r="AK169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69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69">
        <f t="shared" si="43"/>
        <v>14.699999999999989</v>
      </c>
    </row>
    <row r="170" spans="2:39" x14ac:dyDescent="0.35">
      <c r="B170" s="12" t="str">
        <f>Demand!B172</f>
        <v/>
      </c>
      <c r="C170" s="7">
        <f>INDEX(Demand!$E$6:$S$265,MATCH('SPC Backing (Hide)'!$B170,Demand!$B$6:$B$265,0),MATCH('SPC Backing (Hide)'!C$3,Demand!$E$5:$S$5,0))</f>
        <v>0</v>
      </c>
      <c r="D170" s="5">
        <f>INDEX(Demand!$E$6:$S$265,MATCH('SPC Backing (Hide)'!$B170,Demand!$B$6:$B$265,0),MATCH('SPC Backing (Hide)'!D$3,Demand!$E$5:$S$5,0))</f>
        <v>0</v>
      </c>
      <c r="E170" s="5">
        <f>INDEX(Demand!$E$6:$S$265,MATCH('SPC Backing (Hide)'!$B170,Demand!$B$6:$B$265,0),MATCH('SPC Backing (Hide)'!E$3,Demand!$E$5:$S$5,0))</f>
        <v>0</v>
      </c>
      <c r="F170" s="5">
        <f>INDEX(Demand!$E$6:$S$265,MATCH('SPC Backing (Hide)'!$B170,Demand!$B$6:$B$265,0),MATCH('SPC Backing (Hide)'!F$3,Demand!$E$5:$S$5,0))</f>
        <v>0</v>
      </c>
      <c r="G170" s="5">
        <f>INDEX(Demand!$E$6:$S$265,MATCH('SPC Backing (Hide)'!$B170,Demand!$B$6:$B$265,0),MATCH('SPC Backing (Hide)'!G$3,Demand!$E$5:$S$5,0))</f>
        <v>0</v>
      </c>
      <c r="H170" s="5">
        <f>INDEX(Demand!$E$6:$S$265,MATCH('SPC Backing (Hide)'!$B170,Demand!$B$6:$B$265,0),MATCH('SPC Backing (Hide)'!H$3,Demand!$E$5:$S$5,0))</f>
        <v>0</v>
      </c>
      <c r="I170" s="5">
        <f>INDEX(Demand!$E$6:$S$265,MATCH('SPC Backing (Hide)'!$B170,Demand!$B$6:$B$265,0),MATCH('SPC Backing (Hide)'!I$3,Demand!$E$5:$S$5,0))</f>
        <v>0</v>
      </c>
      <c r="J170" s="5">
        <f>INDEX(Demand!$E$6:$S$265,MATCH('SPC Backing (Hide)'!$B170,Demand!$B$6:$B$265,0),MATCH('SPC Backing (Hide)'!J$3,Demand!$E$5:$S$5,0))</f>
        <v>0</v>
      </c>
      <c r="K170" s="5">
        <f>INDEX(Demand!$E$6:$S$265,MATCH('SPC Backing (Hide)'!$B170,Demand!$B$6:$B$265,0),MATCH('SPC Backing (Hide)'!K$3,Demand!$E$5:$S$5,0))</f>
        <v>0</v>
      </c>
      <c r="L170" s="5">
        <f>INDEX(Demand!$E$6:$S$265,MATCH('SPC Backing (Hide)'!$B170,Demand!$B$6:$B$265,0),MATCH('SPC Backing (Hide)'!L$3,Demand!$E$5:$S$5,0))</f>
        <v>0</v>
      </c>
      <c r="M170" s="5">
        <f>INDEX(Demand!$E$6:$S$265,MATCH('SPC Backing (Hide)'!$B170,Demand!$B$6:$B$265,0),MATCH('SPC Backing (Hide)'!M$3,Demand!$E$5:$S$5,0))</f>
        <v>0</v>
      </c>
      <c r="N170" s="5">
        <f>INDEX(Demand!$E$6:$S$265,MATCH('SPC Backing (Hide)'!$B170,Demand!$B$6:$B$265,0),MATCH('SPC Backing (Hide)'!N$3,Demand!$E$5:$S$5,0))</f>
        <v>0</v>
      </c>
      <c r="O170" s="5">
        <f>INDEX(Demand!$E$6:$S$265,MATCH('SPC Backing (Hide)'!$B170,Demand!$B$6:$B$265,0),MATCH('SPC Backing (Hide)'!O$3,Demand!$E$5:$S$5,0))</f>
        <v>0</v>
      </c>
      <c r="P170" s="5">
        <f>INDEX(Demand!$E$6:$S$265,MATCH('SPC Backing (Hide)'!$B170,Demand!$B$6:$B$265,0),MATCH('SPC Backing (Hide)'!P$3,Demand!$E$5:$S$5,0))</f>
        <v>0</v>
      </c>
      <c r="Q170" s="6">
        <f>INDEX(Demand!$E$6:$S$265,MATCH('SPC Backing (Hide)'!$B170,Demand!$B$6:$B$265,0),MATCH('SPC Backing (Hide)'!Q$3,Demand!$E$5:$S$5,0))</f>
        <v>0</v>
      </c>
      <c r="R170">
        <f>IF(SPC!$B$11="Yes",IF(ROW(A167)&gt;=Demand!$A$5-52,1,0),IF(AND(B170&gt;=SPC!$B$12,B170&lt;SPC!$B$13),1,0))</f>
        <v>1</v>
      </c>
      <c r="S170" cm="1">
        <f t="array" ref="S170">INDEX($C$4:$Q$263,ROW(A167),MATCH($T$2,$C$3:$Q$3,0))</f>
        <v>0</v>
      </c>
      <c r="T170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70" cm="1">
        <f t="array" ref="U170">ABS(INDEX($C$4:$Q$263,ROW(A167),MATCH($T$2,$C$3:$Q$3,0))-INDEX($C$4:$Q$263,ROW(A166),MATCH($T$2,$C$3:$Q$3,0)))</f>
        <v>0</v>
      </c>
      <c r="V170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70">
        <f t="shared" si="30"/>
        <v>40.813595610865789</v>
      </c>
      <c r="X170">
        <f t="shared" si="31"/>
        <v>108.80449618627055</v>
      </c>
      <c r="Y170">
        <f t="shared" si="32"/>
        <v>149.61809179713634</v>
      </c>
      <c r="Z170">
        <f t="shared" si="33"/>
        <v>190.43168740800212</v>
      </c>
      <c r="AA170">
        <f t="shared" si="34"/>
        <v>272.05887862973373</v>
      </c>
      <c r="AB170">
        <f t="shared" si="35"/>
        <v>312.8724742405995</v>
      </c>
      <c r="AC170">
        <f t="shared" si="36"/>
        <v>353.68606985146528</v>
      </c>
      <c r="AD170">
        <f t="shared" si="37"/>
        <v>0</v>
      </c>
      <c r="AE170">
        <f t="shared" si="44"/>
        <v>-2</v>
      </c>
      <c r="AF170">
        <f t="shared" si="38"/>
        <v>0</v>
      </c>
      <c r="AG170">
        <f t="shared" si="39"/>
        <v>0</v>
      </c>
      <c r="AH170" t="e">
        <f t="shared" si="40"/>
        <v>#N/A</v>
      </c>
      <c r="AI170">
        <f t="shared" si="41"/>
        <v>-1</v>
      </c>
      <c r="AJ170">
        <f t="shared" si="42"/>
        <v>0</v>
      </c>
      <c r="AK170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70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70">
        <f t="shared" si="43"/>
        <v>14.699999999999989</v>
      </c>
    </row>
    <row r="171" spans="2:39" x14ac:dyDescent="0.35">
      <c r="B171" s="12" t="str">
        <f>Demand!B173</f>
        <v/>
      </c>
      <c r="C171" s="7">
        <f>INDEX(Demand!$E$6:$S$265,MATCH('SPC Backing (Hide)'!$B171,Demand!$B$6:$B$265,0),MATCH('SPC Backing (Hide)'!C$3,Demand!$E$5:$S$5,0))</f>
        <v>0</v>
      </c>
      <c r="D171" s="5">
        <f>INDEX(Demand!$E$6:$S$265,MATCH('SPC Backing (Hide)'!$B171,Demand!$B$6:$B$265,0),MATCH('SPC Backing (Hide)'!D$3,Demand!$E$5:$S$5,0))</f>
        <v>0</v>
      </c>
      <c r="E171" s="5">
        <f>INDEX(Demand!$E$6:$S$265,MATCH('SPC Backing (Hide)'!$B171,Demand!$B$6:$B$265,0),MATCH('SPC Backing (Hide)'!E$3,Demand!$E$5:$S$5,0))</f>
        <v>0</v>
      </c>
      <c r="F171" s="5">
        <f>INDEX(Demand!$E$6:$S$265,MATCH('SPC Backing (Hide)'!$B171,Demand!$B$6:$B$265,0),MATCH('SPC Backing (Hide)'!F$3,Demand!$E$5:$S$5,0))</f>
        <v>0</v>
      </c>
      <c r="G171" s="5">
        <f>INDEX(Demand!$E$6:$S$265,MATCH('SPC Backing (Hide)'!$B171,Demand!$B$6:$B$265,0),MATCH('SPC Backing (Hide)'!G$3,Demand!$E$5:$S$5,0))</f>
        <v>0</v>
      </c>
      <c r="H171" s="5">
        <f>INDEX(Demand!$E$6:$S$265,MATCH('SPC Backing (Hide)'!$B171,Demand!$B$6:$B$265,0),MATCH('SPC Backing (Hide)'!H$3,Demand!$E$5:$S$5,0))</f>
        <v>0</v>
      </c>
      <c r="I171" s="5">
        <f>INDEX(Demand!$E$6:$S$265,MATCH('SPC Backing (Hide)'!$B171,Demand!$B$6:$B$265,0),MATCH('SPC Backing (Hide)'!I$3,Demand!$E$5:$S$5,0))</f>
        <v>0</v>
      </c>
      <c r="J171" s="5">
        <f>INDEX(Demand!$E$6:$S$265,MATCH('SPC Backing (Hide)'!$B171,Demand!$B$6:$B$265,0),MATCH('SPC Backing (Hide)'!J$3,Demand!$E$5:$S$5,0))</f>
        <v>0</v>
      </c>
      <c r="K171" s="5">
        <f>INDEX(Demand!$E$6:$S$265,MATCH('SPC Backing (Hide)'!$B171,Demand!$B$6:$B$265,0),MATCH('SPC Backing (Hide)'!K$3,Demand!$E$5:$S$5,0))</f>
        <v>0</v>
      </c>
      <c r="L171" s="5">
        <f>INDEX(Demand!$E$6:$S$265,MATCH('SPC Backing (Hide)'!$B171,Demand!$B$6:$B$265,0),MATCH('SPC Backing (Hide)'!L$3,Demand!$E$5:$S$5,0))</f>
        <v>0</v>
      </c>
      <c r="M171" s="5">
        <f>INDEX(Demand!$E$6:$S$265,MATCH('SPC Backing (Hide)'!$B171,Demand!$B$6:$B$265,0),MATCH('SPC Backing (Hide)'!M$3,Demand!$E$5:$S$5,0))</f>
        <v>0</v>
      </c>
      <c r="N171" s="5">
        <f>INDEX(Demand!$E$6:$S$265,MATCH('SPC Backing (Hide)'!$B171,Demand!$B$6:$B$265,0),MATCH('SPC Backing (Hide)'!N$3,Demand!$E$5:$S$5,0))</f>
        <v>0</v>
      </c>
      <c r="O171" s="5">
        <f>INDEX(Demand!$E$6:$S$265,MATCH('SPC Backing (Hide)'!$B171,Demand!$B$6:$B$265,0),MATCH('SPC Backing (Hide)'!O$3,Demand!$E$5:$S$5,0))</f>
        <v>0</v>
      </c>
      <c r="P171" s="5">
        <f>INDEX(Demand!$E$6:$S$265,MATCH('SPC Backing (Hide)'!$B171,Demand!$B$6:$B$265,0),MATCH('SPC Backing (Hide)'!P$3,Demand!$E$5:$S$5,0))</f>
        <v>0</v>
      </c>
      <c r="Q171" s="6">
        <f>INDEX(Demand!$E$6:$S$265,MATCH('SPC Backing (Hide)'!$B171,Demand!$B$6:$B$265,0),MATCH('SPC Backing (Hide)'!Q$3,Demand!$E$5:$S$5,0))</f>
        <v>0</v>
      </c>
      <c r="R171">
        <f>IF(SPC!$B$11="Yes",IF(ROW(A168)&gt;=Demand!$A$5-52,1,0),IF(AND(B171&gt;=SPC!$B$12,B171&lt;SPC!$B$13),1,0))</f>
        <v>1</v>
      </c>
      <c r="S171" cm="1">
        <f t="array" ref="S171">INDEX($C$4:$Q$263,ROW(A168),MATCH($T$2,$C$3:$Q$3,0))</f>
        <v>0</v>
      </c>
      <c r="T171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71" cm="1">
        <f t="array" ref="U171">ABS(INDEX($C$4:$Q$263,ROW(A168),MATCH($T$2,$C$3:$Q$3,0))-INDEX($C$4:$Q$263,ROW(A167),MATCH($T$2,$C$3:$Q$3,0)))</f>
        <v>0</v>
      </c>
      <c r="V171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71">
        <f t="shared" si="30"/>
        <v>40.813595610865789</v>
      </c>
      <c r="X171">
        <f t="shared" si="31"/>
        <v>108.80449618627055</v>
      </c>
      <c r="Y171">
        <f t="shared" si="32"/>
        <v>149.61809179713634</v>
      </c>
      <c r="Z171">
        <f t="shared" si="33"/>
        <v>190.43168740800212</v>
      </c>
      <c r="AA171">
        <f t="shared" si="34"/>
        <v>272.05887862973373</v>
      </c>
      <c r="AB171">
        <f t="shared" si="35"/>
        <v>312.8724742405995</v>
      </c>
      <c r="AC171">
        <f t="shared" si="36"/>
        <v>353.68606985146528</v>
      </c>
      <c r="AD171">
        <f t="shared" si="37"/>
        <v>0</v>
      </c>
      <c r="AE171">
        <f t="shared" si="44"/>
        <v>-2</v>
      </c>
      <c r="AF171">
        <f t="shared" si="38"/>
        <v>0</v>
      </c>
      <c r="AG171">
        <f t="shared" si="39"/>
        <v>0</v>
      </c>
      <c r="AH171" t="e">
        <f t="shared" si="40"/>
        <v>#N/A</v>
      </c>
      <c r="AI171">
        <f t="shared" si="41"/>
        <v>-1</v>
      </c>
      <c r="AJ171">
        <f t="shared" si="42"/>
        <v>0</v>
      </c>
      <c r="AK171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71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71">
        <f t="shared" si="43"/>
        <v>14.699999999999989</v>
      </c>
    </row>
    <row r="172" spans="2:39" x14ac:dyDescent="0.35">
      <c r="B172" s="12" t="str">
        <f>Demand!B174</f>
        <v/>
      </c>
      <c r="C172" s="7">
        <f>INDEX(Demand!$E$6:$S$265,MATCH('SPC Backing (Hide)'!$B172,Demand!$B$6:$B$265,0),MATCH('SPC Backing (Hide)'!C$3,Demand!$E$5:$S$5,0))</f>
        <v>0</v>
      </c>
      <c r="D172" s="5">
        <f>INDEX(Demand!$E$6:$S$265,MATCH('SPC Backing (Hide)'!$B172,Demand!$B$6:$B$265,0),MATCH('SPC Backing (Hide)'!D$3,Demand!$E$5:$S$5,0))</f>
        <v>0</v>
      </c>
      <c r="E172" s="5">
        <f>INDEX(Demand!$E$6:$S$265,MATCH('SPC Backing (Hide)'!$B172,Demand!$B$6:$B$265,0),MATCH('SPC Backing (Hide)'!E$3,Demand!$E$5:$S$5,0))</f>
        <v>0</v>
      </c>
      <c r="F172" s="5">
        <f>INDEX(Demand!$E$6:$S$265,MATCH('SPC Backing (Hide)'!$B172,Demand!$B$6:$B$265,0),MATCH('SPC Backing (Hide)'!F$3,Demand!$E$5:$S$5,0))</f>
        <v>0</v>
      </c>
      <c r="G172" s="5">
        <f>INDEX(Demand!$E$6:$S$265,MATCH('SPC Backing (Hide)'!$B172,Demand!$B$6:$B$265,0),MATCH('SPC Backing (Hide)'!G$3,Demand!$E$5:$S$5,0))</f>
        <v>0</v>
      </c>
      <c r="H172" s="5">
        <f>INDEX(Demand!$E$6:$S$265,MATCH('SPC Backing (Hide)'!$B172,Demand!$B$6:$B$265,0),MATCH('SPC Backing (Hide)'!H$3,Demand!$E$5:$S$5,0))</f>
        <v>0</v>
      </c>
      <c r="I172" s="5">
        <f>INDEX(Demand!$E$6:$S$265,MATCH('SPC Backing (Hide)'!$B172,Demand!$B$6:$B$265,0),MATCH('SPC Backing (Hide)'!I$3,Demand!$E$5:$S$5,0))</f>
        <v>0</v>
      </c>
      <c r="J172" s="5">
        <f>INDEX(Demand!$E$6:$S$265,MATCH('SPC Backing (Hide)'!$B172,Demand!$B$6:$B$265,0),MATCH('SPC Backing (Hide)'!J$3,Demand!$E$5:$S$5,0))</f>
        <v>0</v>
      </c>
      <c r="K172" s="5">
        <f>INDEX(Demand!$E$6:$S$265,MATCH('SPC Backing (Hide)'!$B172,Demand!$B$6:$B$265,0),MATCH('SPC Backing (Hide)'!K$3,Demand!$E$5:$S$5,0))</f>
        <v>0</v>
      </c>
      <c r="L172" s="5">
        <f>INDEX(Demand!$E$6:$S$265,MATCH('SPC Backing (Hide)'!$B172,Demand!$B$6:$B$265,0),MATCH('SPC Backing (Hide)'!L$3,Demand!$E$5:$S$5,0))</f>
        <v>0</v>
      </c>
      <c r="M172" s="5">
        <f>INDEX(Demand!$E$6:$S$265,MATCH('SPC Backing (Hide)'!$B172,Demand!$B$6:$B$265,0),MATCH('SPC Backing (Hide)'!M$3,Demand!$E$5:$S$5,0))</f>
        <v>0</v>
      </c>
      <c r="N172" s="5">
        <f>INDEX(Demand!$E$6:$S$265,MATCH('SPC Backing (Hide)'!$B172,Demand!$B$6:$B$265,0),MATCH('SPC Backing (Hide)'!N$3,Demand!$E$5:$S$5,0))</f>
        <v>0</v>
      </c>
      <c r="O172" s="5">
        <f>INDEX(Demand!$E$6:$S$265,MATCH('SPC Backing (Hide)'!$B172,Demand!$B$6:$B$265,0),MATCH('SPC Backing (Hide)'!O$3,Demand!$E$5:$S$5,0))</f>
        <v>0</v>
      </c>
      <c r="P172" s="5">
        <f>INDEX(Demand!$E$6:$S$265,MATCH('SPC Backing (Hide)'!$B172,Demand!$B$6:$B$265,0),MATCH('SPC Backing (Hide)'!P$3,Demand!$E$5:$S$5,0))</f>
        <v>0</v>
      </c>
      <c r="Q172" s="6">
        <f>INDEX(Demand!$E$6:$S$265,MATCH('SPC Backing (Hide)'!$B172,Demand!$B$6:$B$265,0),MATCH('SPC Backing (Hide)'!Q$3,Demand!$E$5:$S$5,0))</f>
        <v>0</v>
      </c>
      <c r="R172">
        <f>IF(SPC!$B$11="Yes",IF(ROW(A169)&gt;=Demand!$A$5-52,1,0),IF(AND(B172&gt;=SPC!$B$12,B172&lt;SPC!$B$13),1,0))</f>
        <v>1</v>
      </c>
      <c r="S172" cm="1">
        <f t="array" ref="S172">INDEX($C$4:$Q$263,ROW(A169),MATCH($T$2,$C$3:$Q$3,0))</f>
        <v>0</v>
      </c>
      <c r="T172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72" cm="1">
        <f t="array" ref="U172">ABS(INDEX($C$4:$Q$263,ROW(A169),MATCH($T$2,$C$3:$Q$3,0))-INDEX($C$4:$Q$263,ROW(A168),MATCH($T$2,$C$3:$Q$3,0)))</f>
        <v>0</v>
      </c>
      <c r="V172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72">
        <f t="shared" si="30"/>
        <v>40.813595610865789</v>
      </c>
      <c r="X172">
        <f t="shared" si="31"/>
        <v>108.80449618627055</v>
      </c>
      <c r="Y172">
        <f t="shared" si="32"/>
        <v>149.61809179713634</v>
      </c>
      <c r="Z172">
        <f t="shared" si="33"/>
        <v>190.43168740800212</v>
      </c>
      <c r="AA172">
        <f t="shared" si="34"/>
        <v>272.05887862973373</v>
      </c>
      <c r="AB172">
        <f t="shared" si="35"/>
        <v>312.8724742405995</v>
      </c>
      <c r="AC172">
        <f t="shared" si="36"/>
        <v>353.68606985146528</v>
      </c>
      <c r="AD172">
        <f t="shared" si="37"/>
        <v>0</v>
      </c>
      <c r="AE172">
        <f t="shared" si="44"/>
        <v>-2</v>
      </c>
      <c r="AF172">
        <f t="shared" si="38"/>
        <v>0</v>
      </c>
      <c r="AG172">
        <f t="shared" si="39"/>
        <v>0</v>
      </c>
      <c r="AH172" t="e">
        <f t="shared" si="40"/>
        <v>#N/A</v>
      </c>
      <c r="AI172">
        <f t="shared" si="41"/>
        <v>-1</v>
      </c>
      <c r="AJ172">
        <f t="shared" si="42"/>
        <v>0</v>
      </c>
      <c r="AK172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72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72">
        <f t="shared" si="43"/>
        <v>14.699999999999989</v>
      </c>
    </row>
    <row r="173" spans="2:39" x14ac:dyDescent="0.35">
      <c r="B173" s="12" t="str">
        <f>Demand!B175</f>
        <v/>
      </c>
      <c r="C173" s="7">
        <f>INDEX(Demand!$E$6:$S$265,MATCH('SPC Backing (Hide)'!$B173,Demand!$B$6:$B$265,0),MATCH('SPC Backing (Hide)'!C$3,Demand!$E$5:$S$5,0))</f>
        <v>0</v>
      </c>
      <c r="D173" s="5">
        <f>INDEX(Demand!$E$6:$S$265,MATCH('SPC Backing (Hide)'!$B173,Demand!$B$6:$B$265,0),MATCH('SPC Backing (Hide)'!D$3,Demand!$E$5:$S$5,0))</f>
        <v>0</v>
      </c>
      <c r="E173" s="5">
        <f>INDEX(Demand!$E$6:$S$265,MATCH('SPC Backing (Hide)'!$B173,Demand!$B$6:$B$265,0),MATCH('SPC Backing (Hide)'!E$3,Demand!$E$5:$S$5,0))</f>
        <v>0</v>
      </c>
      <c r="F173" s="5">
        <f>INDEX(Demand!$E$6:$S$265,MATCH('SPC Backing (Hide)'!$B173,Demand!$B$6:$B$265,0),MATCH('SPC Backing (Hide)'!F$3,Demand!$E$5:$S$5,0))</f>
        <v>0</v>
      </c>
      <c r="G173" s="5">
        <f>INDEX(Demand!$E$6:$S$265,MATCH('SPC Backing (Hide)'!$B173,Demand!$B$6:$B$265,0),MATCH('SPC Backing (Hide)'!G$3,Demand!$E$5:$S$5,0))</f>
        <v>0</v>
      </c>
      <c r="H173" s="5">
        <f>INDEX(Demand!$E$6:$S$265,MATCH('SPC Backing (Hide)'!$B173,Demand!$B$6:$B$265,0),MATCH('SPC Backing (Hide)'!H$3,Demand!$E$5:$S$5,0))</f>
        <v>0</v>
      </c>
      <c r="I173" s="5">
        <f>INDEX(Demand!$E$6:$S$265,MATCH('SPC Backing (Hide)'!$B173,Demand!$B$6:$B$265,0),MATCH('SPC Backing (Hide)'!I$3,Demand!$E$5:$S$5,0))</f>
        <v>0</v>
      </c>
      <c r="J173" s="5">
        <f>INDEX(Demand!$E$6:$S$265,MATCH('SPC Backing (Hide)'!$B173,Demand!$B$6:$B$265,0),MATCH('SPC Backing (Hide)'!J$3,Demand!$E$5:$S$5,0))</f>
        <v>0</v>
      </c>
      <c r="K173" s="5">
        <f>INDEX(Demand!$E$6:$S$265,MATCH('SPC Backing (Hide)'!$B173,Demand!$B$6:$B$265,0),MATCH('SPC Backing (Hide)'!K$3,Demand!$E$5:$S$5,0))</f>
        <v>0</v>
      </c>
      <c r="L173" s="5">
        <f>INDEX(Demand!$E$6:$S$265,MATCH('SPC Backing (Hide)'!$B173,Demand!$B$6:$B$265,0),MATCH('SPC Backing (Hide)'!L$3,Demand!$E$5:$S$5,0))</f>
        <v>0</v>
      </c>
      <c r="M173" s="5">
        <f>INDEX(Demand!$E$6:$S$265,MATCH('SPC Backing (Hide)'!$B173,Demand!$B$6:$B$265,0),MATCH('SPC Backing (Hide)'!M$3,Demand!$E$5:$S$5,0))</f>
        <v>0</v>
      </c>
      <c r="N173" s="5">
        <f>INDEX(Demand!$E$6:$S$265,MATCH('SPC Backing (Hide)'!$B173,Demand!$B$6:$B$265,0),MATCH('SPC Backing (Hide)'!N$3,Demand!$E$5:$S$5,0))</f>
        <v>0</v>
      </c>
      <c r="O173" s="5">
        <f>INDEX(Demand!$E$6:$S$265,MATCH('SPC Backing (Hide)'!$B173,Demand!$B$6:$B$265,0),MATCH('SPC Backing (Hide)'!O$3,Demand!$E$5:$S$5,0))</f>
        <v>0</v>
      </c>
      <c r="P173" s="5">
        <f>INDEX(Demand!$E$6:$S$265,MATCH('SPC Backing (Hide)'!$B173,Demand!$B$6:$B$265,0),MATCH('SPC Backing (Hide)'!P$3,Demand!$E$5:$S$5,0))</f>
        <v>0</v>
      </c>
      <c r="Q173" s="6">
        <f>INDEX(Demand!$E$6:$S$265,MATCH('SPC Backing (Hide)'!$B173,Demand!$B$6:$B$265,0),MATCH('SPC Backing (Hide)'!Q$3,Demand!$E$5:$S$5,0))</f>
        <v>0</v>
      </c>
      <c r="R173">
        <f>IF(SPC!$B$11="Yes",IF(ROW(A170)&gt;=Demand!$A$5-52,1,0),IF(AND(B173&gt;=SPC!$B$12,B173&lt;SPC!$B$13),1,0))</f>
        <v>1</v>
      </c>
      <c r="S173" cm="1">
        <f t="array" ref="S173">INDEX($C$4:$Q$263,ROW(A170),MATCH($T$2,$C$3:$Q$3,0))</f>
        <v>0</v>
      </c>
      <c r="T173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73" cm="1">
        <f t="array" ref="U173">ABS(INDEX($C$4:$Q$263,ROW(A170),MATCH($T$2,$C$3:$Q$3,0))-INDEX($C$4:$Q$263,ROW(A169),MATCH($T$2,$C$3:$Q$3,0)))</f>
        <v>0</v>
      </c>
      <c r="V173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73">
        <f t="shared" si="30"/>
        <v>40.813595610865789</v>
      </c>
      <c r="X173">
        <f t="shared" si="31"/>
        <v>108.80449618627055</v>
      </c>
      <c r="Y173">
        <f t="shared" si="32"/>
        <v>149.61809179713634</v>
      </c>
      <c r="Z173">
        <f t="shared" si="33"/>
        <v>190.43168740800212</v>
      </c>
      <c r="AA173">
        <f t="shared" si="34"/>
        <v>272.05887862973373</v>
      </c>
      <c r="AB173">
        <f t="shared" si="35"/>
        <v>312.8724742405995</v>
      </c>
      <c r="AC173">
        <f t="shared" si="36"/>
        <v>353.68606985146528</v>
      </c>
      <c r="AD173">
        <f t="shared" si="37"/>
        <v>0</v>
      </c>
      <c r="AE173">
        <f t="shared" si="44"/>
        <v>-2</v>
      </c>
      <c r="AF173">
        <f t="shared" si="38"/>
        <v>0</v>
      </c>
      <c r="AG173">
        <f t="shared" si="39"/>
        <v>0</v>
      </c>
      <c r="AH173" t="e">
        <f t="shared" si="40"/>
        <v>#N/A</v>
      </c>
      <c r="AI173">
        <f t="shared" si="41"/>
        <v>-1</v>
      </c>
      <c r="AJ173">
        <f t="shared" si="42"/>
        <v>0</v>
      </c>
      <c r="AK173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73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73">
        <f t="shared" si="43"/>
        <v>14.699999999999989</v>
      </c>
    </row>
    <row r="174" spans="2:39" x14ac:dyDescent="0.35">
      <c r="B174" s="12" t="str">
        <f>Demand!B176</f>
        <v/>
      </c>
      <c r="C174" s="7">
        <f>INDEX(Demand!$E$6:$S$265,MATCH('SPC Backing (Hide)'!$B174,Demand!$B$6:$B$265,0),MATCH('SPC Backing (Hide)'!C$3,Demand!$E$5:$S$5,0))</f>
        <v>0</v>
      </c>
      <c r="D174" s="5">
        <f>INDEX(Demand!$E$6:$S$265,MATCH('SPC Backing (Hide)'!$B174,Demand!$B$6:$B$265,0),MATCH('SPC Backing (Hide)'!D$3,Demand!$E$5:$S$5,0))</f>
        <v>0</v>
      </c>
      <c r="E174" s="5">
        <f>INDEX(Demand!$E$6:$S$265,MATCH('SPC Backing (Hide)'!$B174,Demand!$B$6:$B$265,0),MATCH('SPC Backing (Hide)'!E$3,Demand!$E$5:$S$5,0))</f>
        <v>0</v>
      </c>
      <c r="F174" s="5">
        <f>INDEX(Demand!$E$6:$S$265,MATCH('SPC Backing (Hide)'!$B174,Demand!$B$6:$B$265,0),MATCH('SPC Backing (Hide)'!F$3,Demand!$E$5:$S$5,0))</f>
        <v>0</v>
      </c>
      <c r="G174" s="5">
        <f>INDEX(Demand!$E$6:$S$265,MATCH('SPC Backing (Hide)'!$B174,Demand!$B$6:$B$265,0),MATCH('SPC Backing (Hide)'!G$3,Demand!$E$5:$S$5,0))</f>
        <v>0</v>
      </c>
      <c r="H174" s="5">
        <f>INDEX(Demand!$E$6:$S$265,MATCH('SPC Backing (Hide)'!$B174,Demand!$B$6:$B$265,0),MATCH('SPC Backing (Hide)'!H$3,Demand!$E$5:$S$5,0))</f>
        <v>0</v>
      </c>
      <c r="I174" s="5">
        <f>INDEX(Demand!$E$6:$S$265,MATCH('SPC Backing (Hide)'!$B174,Demand!$B$6:$B$265,0),MATCH('SPC Backing (Hide)'!I$3,Demand!$E$5:$S$5,0))</f>
        <v>0</v>
      </c>
      <c r="J174" s="5">
        <f>INDEX(Demand!$E$6:$S$265,MATCH('SPC Backing (Hide)'!$B174,Demand!$B$6:$B$265,0),MATCH('SPC Backing (Hide)'!J$3,Demand!$E$5:$S$5,0))</f>
        <v>0</v>
      </c>
      <c r="K174" s="5">
        <f>INDEX(Demand!$E$6:$S$265,MATCH('SPC Backing (Hide)'!$B174,Demand!$B$6:$B$265,0),MATCH('SPC Backing (Hide)'!K$3,Demand!$E$5:$S$5,0))</f>
        <v>0</v>
      </c>
      <c r="L174" s="5">
        <f>INDEX(Demand!$E$6:$S$265,MATCH('SPC Backing (Hide)'!$B174,Demand!$B$6:$B$265,0),MATCH('SPC Backing (Hide)'!L$3,Demand!$E$5:$S$5,0))</f>
        <v>0</v>
      </c>
      <c r="M174" s="5">
        <f>INDEX(Demand!$E$6:$S$265,MATCH('SPC Backing (Hide)'!$B174,Demand!$B$6:$B$265,0),MATCH('SPC Backing (Hide)'!M$3,Demand!$E$5:$S$5,0))</f>
        <v>0</v>
      </c>
      <c r="N174" s="5">
        <f>INDEX(Demand!$E$6:$S$265,MATCH('SPC Backing (Hide)'!$B174,Demand!$B$6:$B$265,0),MATCH('SPC Backing (Hide)'!N$3,Demand!$E$5:$S$5,0))</f>
        <v>0</v>
      </c>
      <c r="O174" s="5">
        <f>INDEX(Demand!$E$6:$S$265,MATCH('SPC Backing (Hide)'!$B174,Demand!$B$6:$B$265,0),MATCH('SPC Backing (Hide)'!O$3,Demand!$E$5:$S$5,0))</f>
        <v>0</v>
      </c>
      <c r="P174" s="5">
        <f>INDEX(Demand!$E$6:$S$265,MATCH('SPC Backing (Hide)'!$B174,Demand!$B$6:$B$265,0),MATCH('SPC Backing (Hide)'!P$3,Demand!$E$5:$S$5,0))</f>
        <v>0</v>
      </c>
      <c r="Q174" s="6">
        <f>INDEX(Demand!$E$6:$S$265,MATCH('SPC Backing (Hide)'!$B174,Demand!$B$6:$B$265,0),MATCH('SPC Backing (Hide)'!Q$3,Demand!$E$5:$S$5,0))</f>
        <v>0</v>
      </c>
      <c r="R174">
        <f>IF(SPC!$B$11="Yes",IF(ROW(A171)&gt;=Demand!$A$5-52,1,0),IF(AND(B174&gt;=SPC!$B$12,B174&lt;SPC!$B$13),1,0))</f>
        <v>1</v>
      </c>
      <c r="S174" cm="1">
        <f t="array" ref="S174">INDEX($C$4:$Q$263,ROW(A171),MATCH($T$2,$C$3:$Q$3,0))</f>
        <v>0</v>
      </c>
      <c r="T174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74" cm="1">
        <f t="array" ref="U174">ABS(INDEX($C$4:$Q$263,ROW(A171),MATCH($T$2,$C$3:$Q$3,0))-INDEX($C$4:$Q$263,ROW(A170),MATCH($T$2,$C$3:$Q$3,0)))</f>
        <v>0</v>
      </c>
      <c r="V174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74">
        <f t="shared" si="30"/>
        <v>40.813595610865789</v>
      </c>
      <c r="X174">
        <f t="shared" si="31"/>
        <v>108.80449618627055</v>
      </c>
      <c r="Y174">
        <f t="shared" si="32"/>
        <v>149.61809179713634</v>
      </c>
      <c r="Z174">
        <f t="shared" si="33"/>
        <v>190.43168740800212</v>
      </c>
      <c r="AA174">
        <f t="shared" si="34"/>
        <v>272.05887862973373</v>
      </c>
      <c r="AB174">
        <f t="shared" si="35"/>
        <v>312.8724742405995</v>
      </c>
      <c r="AC174">
        <f t="shared" si="36"/>
        <v>353.68606985146528</v>
      </c>
      <c r="AD174">
        <f t="shared" si="37"/>
        <v>0</v>
      </c>
      <c r="AE174">
        <f t="shared" si="44"/>
        <v>-2</v>
      </c>
      <c r="AF174">
        <f t="shared" si="38"/>
        <v>0</v>
      </c>
      <c r="AG174">
        <f t="shared" si="39"/>
        <v>0</v>
      </c>
      <c r="AH174" t="e">
        <f t="shared" si="40"/>
        <v>#N/A</v>
      </c>
      <c r="AI174">
        <f t="shared" si="41"/>
        <v>-1</v>
      </c>
      <c r="AJ174">
        <f t="shared" si="42"/>
        <v>0</v>
      </c>
      <c r="AK174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74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74">
        <f t="shared" si="43"/>
        <v>14.699999999999989</v>
      </c>
    </row>
    <row r="175" spans="2:39" x14ac:dyDescent="0.35">
      <c r="B175" s="12" t="str">
        <f>Demand!B177</f>
        <v/>
      </c>
      <c r="C175" s="7">
        <f>INDEX(Demand!$E$6:$S$265,MATCH('SPC Backing (Hide)'!$B175,Demand!$B$6:$B$265,0),MATCH('SPC Backing (Hide)'!C$3,Demand!$E$5:$S$5,0))</f>
        <v>0</v>
      </c>
      <c r="D175" s="5">
        <f>INDEX(Demand!$E$6:$S$265,MATCH('SPC Backing (Hide)'!$B175,Demand!$B$6:$B$265,0),MATCH('SPC Backing (Hide)'!D$3,Demand!$E$5:$S$5,0))</f>
        <v>0</v>
      </c>
      <c r="E175" s="5">
        <f>INDEX(Demand!$E$6:$S$265,MATCH('SPC Backing (Hide)'!$B175,Demand!$B$6:$B$265,0),MATCH('SPC Backing (Hide)'!E$3,Demand!$E$5:$S$5,0))</f>
        <v>0</v>
      </c>
      <c r="F175" s="5">
        <f>INDEX(Demand!$E$6:$S$265,MATCH('SPC Backing (Hide)'!$B175,Demand!$B$6:$B$265,0),MATCH('SPC Backing (Hide)'!F$3,Demand!$E$5:$S$5,0))</f>
        <v>0</v>
      </c>
      <c r="G175" s="5">
        <f>INDEX(Demand!$E$6:$S$265,MATCH('SPC Backing (Hide)'!$B175,Demand!$B$6:$B$265,0),MATCH('SPC Backing (Hide)'!G$3,Demand!$E$5:$S$5,0))</f>
        <v>0</v>
      </c>
      <c r="H175" s="5">
        <f>INDEX(Demand!$E$6:$S$265,MATCH('SPC Backing (Hide)'!$B175,Demand!$B$6:$B$265,0),MATCH('SPC Backing (Hide)'!H$3,Demand!$E$5:$S$5,0))</f>
        <v>0</v>
      </c>
      <c r="I175" s="5">
        <f>INDEX(Demand!$E$6:$S$265,MATCH('SPC Backing (Hide)'!$B175,Demand!$B$6:$B$265,0),MATCH('SPC Backing (Hide)'!I$3,Demand!$E$5:$S$5,0))</f>
        <v>0</v>
      </c>
      <c r="J175" s="5">
        <f>INDEX(Demand!$E$6:$S$265,MATCH('SPC Backing (Hide)'!$B175,Demand!$B$6:$B$265,0),MATCH('SPC Backing (Hide)'!J$3,Demand!$E$5:$S$5,0))</f>
        <v>0</v>
      </c>
      <c r="K175" s="5">
        <f>INDEX(Demand!$E$6:$S$265,MATCH('SPC Backing (Hide)'!$B175,Demand!$B$6:$B$265,0),MATCH('SPC Backing (Hide)'!K$3,Demand!$E$5:$S$5,0))</f>
        <v>0</v>
      </c>
      <c r="L175" s="5">
        <f>INDEX(Demand!$E$6:$S$265,MATCH('SPC Backing (Hide)'!$B175,Demand!$B$6:$B$265,0),MATCH('SPC Backing (Hide)'!L$3,Demand!$E$5:$S$5,0))</f>
        <v>0</v>
      </c>
      <c r="M175" s="5">
        <f>INDEX(Demand!$E$6:$S$265,MATCH('SPC Backing (Hide)'!$B175,Demand!$B$6:$B$265,0),MATCH('SPC Backing (Hide)'!M$3,Demand!$E$5:$S$5,0))</f>
        <v>0</v>
      </c>
      <c r="N175" s="5">
        <f>INDEX(Demand!$E$6:$S$265,MATCH('SPC Backing (Hide)'!$B175,Demand!$B$6:$B$265,0),MATCH('SPC Backing (Hide)'!N$3,Demand!$E$5:$S$5,0))</f>
        <v>0</v>
      </c>
      <c r="O175" s="5">
        <f>INDEX(Demand!$E$6:$S$265,MATCH('SPC Backing (Hide)'!$B175,Demand!$B$6:$B$265,0),MATCH('SPC Backing (Hide)'!O$3,Demand!$E$5:$S$5,0))</f>
        <v>0</v>
      </c>
      <c r="P175" s="5">
        <f>INDEX(Demand!$E$6:$S$265,MATCH('SPC Backing (Hide)'!$B175,Demand!$B$6:$B$265,0),MATCH('SPC Backing (Hide)'!P$3,Demand!$E$5:$S$5,0))</f>
        <v>0</v>
      </c>
      <c r="Q175" s="6">
        <f>INDEX(Demand!$E$6:$S$265,MATCH('SPC Backing (Hide)'!$B175,Demand!$B$6:$B$265,0),MATCH('SPC Backing (Hide)'!Q$3,Demand!$E$5:$S$5,0))</f>
        <v>0</v>
      </c>
      <c r="R175">
        <f>IF(SPC!$B$11="Yes",IF(ROW(A172)&gt;=Demand!$A$5-52,1,0),IF(AND(B175&gt;=SPC!$B$12,B175&lt;SPC!$B$13),1,0))</f>
        <v>1</v>
      </c>
      <c r="S175" cm="1">
        <f t="array" ref="S175">INDEX($C$4:$Q$263,ROW(A172),MATCH($T$2,$C$3:$Q$3,0))</f>
        <v>0</v>
      </c>
      <c r="T175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75" cm="1">
        <f t="array" ref="U175">ABS(INDEX($C$4:$Q$263,ROW(A172),MATCH($T$2,$C$3:$Q$3,0))-INDEX($C$4:$Q$263,ROW(A171),MATCH($T$2,$C$3:$Q$3,0)))</f>
        <v>0</v>
      </c>
      <c r="V175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75">
        <f t="shared" si="30"/>
        <v>40.813595610865789</v>
      </c>
      <c r="X175">
        <f t="shared" si="31"/>
        <v>108.80449618627055</v>
      </c>
      <c r="Y175">
        <f t="shared" si="32"/>
        <v>149.61809179713634</v>
      </c>
      <c r="Z175">
        <f t="shared" si="33"/>
        <v>190.43168740800212</v>
      </c>
      <c r="AA175">
        <f t="shared" si="34"/>
        <v>272.05887862973373</v>
      </c>
      <c r="AB175">
        <f t="shared" si="35"/>
        <v>312.8724742405995</v>
      </c>
      <c r="AC175">
        <f t="shared" si="36"/>
        <v>353.68606985146528</v>
      </c>
      <c r="AD175">
        <f t="shared" si="37"/>
        <v>0</v>
      </c>
      <c r="AE175">
        <f t="shared" si="44"/>
        <v>-2</v>
      </c>
      <c r="AF175">
        <f t="shared" si="38"/>
        <v>0</v>
      </c>
      <c r="AG175">
        <f t="shared" si="39"/>
        <v>0</v>
      </c>
      <c r="AH175" t="e">
        <f t="shared" si="40"/>
        <v>#N/A</v>
      </c>
      <c r="AI175">
        <f t="shared" si="41"/>
        <v>-1</v>
      </c>
      <c r="AJ175">
        <f t="shared" si="42"/>
        <v>0</v>
      </c>
      <c r="AK175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75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75">
        <f t="shared" si="43"/>
        <v>14.699999999999989</v>
      </c>
    </row>
    <row r="176" spans="2:39" x14ac:dyDescent="0.35">
      <c r="B176" s="12" t="str">
        <f>Demand!B178</f>
        <v/>
      </c>
      <c r="C176" s="7">
        <f>INDEX(Demand!$E$6:$S$265,MATCH('SPC Backing (Hide)'!$B176,Demand!$B$6:$B$265,0),MATCH('SPC Backing (Hide)'!C$3,Demand!$E$5:$S$5,0))</f>
        <v>0</v>
      </c>
      <c r="D176" s="5">
        <f>INDEX(Demand!$E$6:$S$265,MATCH('SPC Backing (Hide)'!$B176,Demand!$B$6:$B$265,0),MATCH('SPC Backing (Hide)'!D$3,Demand!$E$5:$S$5,0))</f>
        <v>0</v>
      </c>
      <c r="E176" s="5">
        <f>INDEX(Demand!$E$6:$S$265,MATCH('SPC Backing (Hide)'!$B176,Demand!$B$6:$B$265,0),MATCH('SPC Backing (Hide)'!E$3,Demand!$E$5:$S$5,0))</f>
        <v>0</v>
      </c>
      <c r="F176" s="5">
        <f>INDEX(Demand!$E$6:$S$265,MATCH('SPC Backing (Hide)'!$B176,Demand!$B$6:$B$265,0),MATCH('SPC Backing (Hide)'!F$3,Demand!$E$5:$S$5,0))</f>
        <v>0</v>
      </c>
      <c r="G176" s="5">
        <f>INDEX(Demand!$E$6:$S$265,MATCH('SPC Backing (Hide)'!$B176,Demand!$B$6:$B$265,0),MATCH('SPC Backing (Hide)'!G$3,Demand!$E$5:$S$5,0))</f>
        <v>0</v>
      </c>
      <c r="H176" s="5">
        <f>INDEX(Demand!$E$6:$S$265,MATCH('SPC Backing (Hide)'!$B176,Demand!$B$6:$B$265,0),MATCH('SPC Backing (Hide)'!H$3,Demand!$E$5:$S$5,0))</f>
        <v>0</v>
      </c>
      <c r="I176" s="5">
        <f>INDEX(Demand!$E$6:$S$265,MATCH('SPC Backing (Hide)'!$B176,Demand!$B$6:$B$265,0),MATCH('SPC Backing (Hide)'!I$3,Demand!$E$5:$S$5,0))</f>
        <v>0</v>
      </c>
      <c r="J176" s="5">
        <f>INDEX(Demand!$E$6:$S$265,MATCH('SPC Backing (Hide)'!$B176,Demand!$B$6:$B$265,0),MATCH('SPC Backing (Hide)'!J$3,Demand!$E$5:$S$5,0))</f>
        <v>0</v>
      </c>
      <c r="K176" s="5">
        <f>INDEX(Demand!$E$6:$S$265,MATCH('SPC Backing (Hide)'!$B176,Demand!$B$6:$B$265,0),MATCH('SPC Backing (Hide)'!K$3,Demand!$E$5:$S$5,0))</f>
        <v>0</v>
      </c>
      <c r="L176" s="5">
        <f>INDEX(Demand!$E$6:$S$265,MATCH('SPC Backing (Hide)'!$B176,Demand!$B$6:$B$265,0),MATCH('SPC Backing (Hide)'!L$3,Demand!$E$5:$S$5,0))</f>
        <v>0</v>
      </c>
      <c r="M176" s="5">
        <f>INDEX(Demand!$E$6:$S$265,MATCH('SPC Backing (Hide)'!$B176,Demand!$B$6:$B$265,0),MATCH('SPC Backing (Hide)'!M$3,Demand!$E$5:$S$5,0))</f>
        <v>0</v>
      </c>
      <c r="N176" s="5">
        <f>INDEX(Demand!$E$6:$S$265,MATCH('SPC Backing (Hide)'!$B176,Demand!$B$6:$B$265,0),MATCH('SPC Backing (Hide)'!N$3,Demand!$E$5:$S$5,0))</f>
        <v>0</v>
      </c>
      <c r="O176" s="5">
        <f>INDEX(Demand!$E$6:$S$265,MATCH('SPC Backing (Hide)'!$B176,Demand!$B$6:$B$265,0),MATCH('SPC Backing (Hide)'!O$3,Demand!$E$5:$S$5,0))</f>
        <v>0</v>
      </c>
      <c r="P176" s="5">
        <f>INDEX(Demand!$E$6:$S$265,MATCH('SPC Backing (Hide)'!$B176,Demand!$B$6:$B$265,0),MATCH('SPC Backing (Hide)'!P$3,Demand!$E$5:$S$5,0))</f>
        <v>0</v>
      </c>
      <c r="Q176" s="6">
        <f>INDEX(Demand!$E$6:$S$265,MATCH('SPC Backing (Hide)'!$B176,Demand!$B$6:$B$265,0),MATCH('SPC Backing (Hide)'!Q$3,Demand!$E$5:$S$5,0))</f>
        <v>0</v>
      </c>
      <c r="R176">
        <f>IF(SPC!$B$11="Yes",IF(ROW(A173)&gt;=Demand!$A$5-52,1,0),IF(AND(B176&gt;=SPC!$B$12,B176&lt;SPC!$B$13),1,0))</f>
        <v>1</v>
      </c>
      <c r="S176" cm="1">
        <f t="array" ref="S176">INDEX($C$4:$Q$263,ROW(A173),MATCH($T$2,$C$3:$Q$3,0))</f>
        <v>0</v>
      </c>
      <c r="T176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76" cm="1">
        <f t="array" ref="U176">ABS(INDEX($C$4:$Q$263,ROW(A173),MATCH($T$2,$C$3:$Q$3,0))-INDEX($C$4:$Q$263,ROW(A172),MATCH($T$2,$C$3:$Q$3,0)))</f>
        <v>0</v>
      </c>
      <c r="V176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76">
        <f t="shared" si="30"/>
        <v>40.813595610865789</v>
      </c>
      <c r="X176">
        <f t="shared" si="31"/>
        <v>108.80449618627055</v>
      </c>
      <c r="Y176">
        <f t="shared" si="32"/>
        <v>149.61809179713634</v>
      </c>
      <c r="Z176">
        <f t="shared" si="33"/>
        <v>190.43168740800212</v>
      </c>
      <c r="AA176">
        <f t="shared" si="34"/>
        <v>272.05887862973373</v>
      </c>
      <c r="AB176">
        <f t="shared" si="35"/>
        <v>312.8724742405995</v>
      </c>
      <c r="AC176">
        <f t="shared" si="36"/>
        <v>353.68606985146528</v>
      </c>
      <c r="AD176">
        <f t="shared" si="37"/>
        <v>0</v>
      </c>
      <c r="AE176">
        <f t="shared" si="44"/>
        <v>-2</v>
      </c>
      <c r="AF176">
        <f t="shared" si="38"/>
        <v>0</v>
      </c>
      <c r="AG176">
        <f t="shared" si="39"/>
        <v>0</v>
      </c>
      <c r="AH176" t="e">
        <f t="shared" si="40"/>
        <v>#N/A</v>
      </c>
      <c r="AI176">
        <f t="shared" si="41"/>
        <v>-1</v>
      </c>
      <c r="AJ176">
        <f t="shared" si="42"/>
        <v>0</v>
      </c>
      <c r="AK176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76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76">
        <f t="shared" si="43"/>
        <v>14.699999999999989</v>
      </c>
    </row>
    <row r="177" spans="2:39" x14ac:dyDescent="0.35">
      <c r="B177" s="12" t="str">
        <f>Demand!B179</f>
        <v/>
      </c>
      <c r="C177" s="7">
        <f>INDEX(Demand!$E$6:$S$265,MATCH('SPC Backing (Hide)'!$B177,Demand!$B$6:$B$265,0),MATCH('SPC Backing (Hide)'!C$3,Demand!$E$5:$S$5,0))</f>
        <v>0</v>
      </c>
      <c r="D177" s="5">
        <f>INDEX(Demand!$E$6:$S$265,MATCH('SPC Backing (Hide)'!$B177,Demand!$B$6:$B$265,0),MATCH('SPC Backing (Hide)'!D$3,Demand!$E$5:$S$5,0))</f>
        <v>0</v>
      </c>
      <c r="E177" s="5">
        <f>INDEX(Demand!$E$6:$S$265,MATCH('SPC Backing (Hide)'!$B177,Demand!$B$6:$B$265,0),MATCH('SPC Backing (Hide)'!E$3,Demand!$E$5:$S$5,0))</f>
        <v>0</v>
      </c>
      <c r="F177" s="5">
        <f>INDEX(Demand!$E$6:$S$265,MATCH('SPC Backing (Hide)'!$B177,Demand!$B$6:$B$265,0),MATCH('SPC Backing (Hide)'!F$3,Demand!$E$5:$S$5,0))</f>
        <v>0</v>
      </c>
      <c r="G177" s="5">
        <f>INDEX(Demand!$E$6:$S$265,MATCH('SPC Backing (Hide)'!$B177,Demand!$B$6:$B$265,0),MATCH('SPC Backing (Hide)'!G$3,Demand!$E$5:$S$5,0))</f>
        <v>0</v>
      </c>
      <c r="H177" s="5">
        <f>INDEX(Demand!$E$6:$S$265,MATCH('SPC Backing (Hide)'!$B177,Demand!$B$6:$B$265,0),MATCH('SPC Backing (Hide)'!H$3,Demand!$E$5:$S$5,0))</f>
        <v>0</v>
      </c>
      <c r="I177" s="5">
        <f>INDEX(Demand!$E$6:$S$265,MATCH('SPC Backing (Hide)'!$B177,Demand!$B$6:$B$265,0),MATCH('SPC Backing (Hide)'!I$3,Demand!$E$5:$S$5,0))</f>
        <v>0</v>
      </c>
      <c r="J177" s="5">
        <f>INDEX(Demand!$E$6:$S$265,MATCH('SPC Backing (Hide)'!$B177,Demand!$B$6:$B$265,0),MATCH('SPC Backing (Hide)'!J$3,Demand!$E$5:$S$5,0))</f>
        <v>0</v>
      </c>
      <c r="K177" s="5">
        <f>INDEX(Demand!$E$6:$S$265,MATCH('SPC Backing (Hide)'!$B177,Demand!$B$6:$B$265,0),MATCH('SPC Backing (Hide)'!K$3,Demand!$E$5:$S$5,0))</f>
        <v>0</v>
      </c>
      <c r="L177" s="5">
        <f>INDEX(Demand!$E$6:$S$265,MATCH('SPC Backing (Hide)'!$B177,Demand!$B$6:$B$265,0),MATCH('SPC Backing (Hide)'!L$3,Demand!$E$5:$S$5,0))</f>
        <v>0</v>
      </c>
      <c r="M177" s="5">
        <f>INDEX(Demand!$E$6:$S$265,MATCH('SPC Backing (Hide)'!$B177,Demand!$B$6:$B$265,0),MATCH('SPC Backing (Hide)'!M$3,Demand!$E$5:$S$5,0))</f>
        <v>0</v>
      </c>
      <c r="N177" s="5">
        <f>INDEX(Demand!$E$6:$S$265,MATCH('SPC Backing (Hide)'!$B177,Demand!$B$6:$B$265,0),MATCH('SPC Backing (Hide)'!N$3,Demand!$E$5:$S$5,0))</f>
        <v>0</v>
      </c>
      <c r="O177" s="5">
        <f>INDEX(Demand!$E$6:$S$265,MATCH('SPC Backing (Hide)'!$B177,Demand!$B$6:$B$265,0),MATCH('SPC Backing (Hide)'!O$3,Demand!$E$5:$S$5,0))</f>
        <v>0</v>
      </c>
      <c r="P177" s="5">
        <f>INDEX(Demand!$E$6:$S$265,MATCH('SPC Backing (Hide)'!$B177,Demand!$B$6:$B$265,0),MATCH('SPC Backing (Hide)'!P$3,Demand!$E$5:$S$5,0))</f>
        <v>0</v>
      </c>
      <c r="Q177" s="6">
        <f>INDEX(Demand!$E$6:$S$265,MATCH('SPC Backing (Hide)'!$B177,Demand!$B$6:$B$265,0),MATCH('SPC Backing (Hide)'!Q$3,Demand!$E$5:$S$5,0))</f>
        <v>0</v>
      </c>
      <c r="R177">
        <f>IF(SPC!$B$11="Yes",IF(ROW(A174)&gt;=Demand!$A$5-52,1,0),IF(AND(B177&gt;=SPC!$B$12,B177&lt;SPC!$B$13),1,0))</f>
        <v>1</v>
      </c>
      <c r="S177" cm="1">
        <f t="array" ref="S177">INDEX($C$4:$Q$263,ROW(A174),MATCH($T$2,$C$3:$Q$3,0))</f>
        <v>0</v>
      </c>
      <c r="T177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77" cm="1">
        <f t="array" ref="U177">ABS(INDEX($C$4:$Q$263,ROW(A174),MATCH($T$2,$C$3:$Q$3,0))-INDEX($C$4:$Q$263,ROW(A173),MATCH($T$2,$C$3:$Q$3,0)))</f>
        <v>0</v>
      </c>
      <c r="V177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77">
        <f t="shared" si="30"/>
        <v>40.813595610865789</v>
      </c>
      <c r="X177">
        <f t="shared" si="31"/>
        <v>108.80449618627055</v>
      </c>
      <c r="Y177">
        <f t="shared" si="32"/>
        <v>149.61809179713634</v>
      </c>
      <c r="Z177">
        <f t="shared" si="33"/>
        <v>190.43168740800212</v>
      </c>
      <c r="AA177">
        <f t="shared" si="34"/>
        <v>272.05887862973373</v>
      </c>
      <c r="AB177">
        <f t="shared" si="35"/>
        <v>312.8724742405995</v>
      </c>
      <c r="AC177">
        <f t="shared" si="36"/>
        <v>353.68606985146528</v>
      </c>
      <c r="AD177">
        <f t="shared" si="37"/>
        <v>0</v>
      </c>
      <c r="AE177">
        <f t="shared" si="44"/>
        <v>-2</v>
      </c>
      <c r="AF177">
        <f t="shared" si="38"/>
        <v>0</v>
      </c>
      <c r="AG177">
        <f t="shared" si="39"/>
        <v>0</v>
      </c>
      <c r="AH177" t="e">
        <f t="shared" si="40"/>
        <v>#N/A</v>
      </c>
      <c r="AI177">
        <f t="shared" si="41"/>
        <v>-1</v>
      </c>
      <c r="AJ177">
        <f t="shared" si="42"/>
        <v>0</v>
      </c>
      <c r="AK177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77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77">
        <f t="shared" si="43"/>
        <v>14.699999999999989</v>
      </c>
    </row>
    <row r="178" spans="2:39" x14ac:dyDescent="0.35">
      <c r="B178" s="12" t="str">
        <f>Demand!B180</f>
        <v/>
      </c>
      <c r="C178" s="7">
        <f>INDEX(Demand!$E$6:$S$265,MATCH('SPC Backing (Hide)'!$B178,Demand!$B$6:$B$265,0),MATCH('SPC Backing (Hide)'!C$3,Demand!$E$5:$S$5,0))</f>
        <v>0</v>
      </c>
      <c r="D178" s="5">
        <f>INDEX(Demand!$E$6:$S$265,MATCH('SPC Backing (Hide)'!$B178,Demand!$B$6:$B$265,0),MATCH('SPC Backing (Hide)'!D$3,Demand!$E$5:$S$5,0))</f>
        <v>0</v>
      </c>
      <c r="E178" s="5">
        <f>INDEX(Demand!$E$6:$S$265,MATCH('SPC Backing (Hide)'!$B178,Demand!$B$6:$B$265,0),MATCH('SPC Backing (Hide)'!E$3,Demand!$E$5:$S$5,0))</f>
        <v>0</v>
      </c>
      <c r="F178" s="5">
        <f>INDEX(Demand!$E$6:$S$265,MATCH('SPC Backing (Hide)'!$B178,Demand!$B$6:$B$265,0),MATCH('SPC Backing (Hide)'!F$3,Demand!$E$5:$S$5,0))</f>
        <v>0</v>
      </c>
      <c r="G178" s="5">
        <f>INDEX(Demand!$E$6:$S$265,MATCH('SPC Backing (Hide)'!$B178,Demand!$B$6:$B$265,0),MATCH('SPC Backing (Hide)'!G$3,Demand!$E$5:$S$5,0))</f>
        <v>0</v>
      </c>
      <c r="H178" s="5">
        <f>INDEX(Demand!$E$6:$S$265,MATCH('SPC Backing (Hide)'!$B178,Demand!$B$6:$B$265,0),MATCH('SPC Backing (Hide)'!H$3,Demand!$E$5:$S$5,0))</f>
        <v>0</v>
      </c>
      <c r="I178" s="5">
        <f>INDEX(Demand!$E$6:$S$265,MATCH('SPC Backing (Hide)'!$B178,Demand!$B$6:$B$265,0),MATCH('SPC Backing (Hide)'!I$3,Demand!$E$5:$S$5,0))</f>
        <v>0</v>
      </c>
      <c r="J178" s="5">
        <f>INDEX(Demand!$E$6:$S$265,MATCH('SPC Backing (Hide)'!$B178,Demand!$B$6:$B$265,0),MATCH('SPC Backing (Hide)'!J$3,Demand!$E$5:$S$5,0))</f>
        <v>0</v>
      </c>
      <c r="K178" s="5">
        <f>INDEX(Demand!$E$6:$S$265,MATCH('SPC Backing (Hide)'!$B178,Demand!$B$6:$B$265,0),MATCH('SPC Backing (Hide)'!K$3,Demand!$E$5:$S$5,0))</f>
        <v>0</v>
      </c>
      <c r="L178" s="5">
        <f>INDEX(Demand!$E$6:$S$265,MATCH('SPC Backing (Hide)'!$B178,Demand!$B$6:$B$265,0),MATCH('SPC Backing (Hide)'!L$3,Demand!$E$5:$S$5,0))</f>
        <v>0</v>
      </c>
      <c r="M178" s="5">
        <f>INDEX(Demand!$E$6:$S$265,MATCH('SPC Backing (Hide)'!$B178,Demand!$B$6:$B$265,0),MATCH('SPC Backing (Hide)'!M$3,Demand!$E$5:$S$5,0))</f>
        <v>0</v>
      </c>
      <c r="N178" s="5">
        <f>INDEX(Demand!$E$6:$S$265,MATCH('SPC Backing (Hide)'!$B178,Demand!$B$6:$B$265,0),MATCH('SPC Backing (Hide)'!N$3,Demand!$E$5:$S$5,0))</f>
        <v>0</v>
      </c>
      <c r="O178" s="5">
        <f>INDEX(Demand!$E$6:$S$265,MATCH('SPC Backing (Hide)'!$B178,Demand!$B$6:$B$265,0),MATCH('SPC Backing (Hide)'!O$3,Demand!$E$5:$S$5,0))</f>
        <v>0</v>
      </c>
      <c r="P178" s="5">
        <f>INDEX(Demand!$E$6:$S$265,MATCH('SPC Backing (Hide)'!$B178,Demand!$B$6:$B$265,0),MATCH('SPC Backing (Hide)'!P$3,Demand!$E$5:$S$5,0))</f>
        <v>0</v>
      </c>
      <c r="Q178" s="6">
        <f>INDEX(Demand!$E$6:$S$265,MATCH('SPC Backing (Hide)'!$B178,Demand!$B$6:$B$265,0),MATCH('SPC Backing (Hide)'!Q$3,Demand!$E$5:$S$5,0))</f>
        <v>0</v>
      </c>
      <c r="R178">
        <f>IF(SPC!$B$11="Yes",IF(ROW(A175)&gt;=Demand!$A$5-52,1,0),IF(AND(B178&gt;=SPC!$B$12,B178&lt;SPC!$B$13),1,0))</f>
        <v>1</v>
      </c>
      <c r="S178" cm="1">
        <f t="array" ref="S178">INDEX($C$4:$Q$263,ROW(A175),MATCH($T$2,$C$3:$Q$3,0))</f>
        <v>0</v>
      </c>
      <c r="T178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78" cm="1">
        <f t="array" ref="U178">ABS(INDEX($C$4:$Q$263,ROW(A175),MATCH($T$2,$C$3:$Q$3,0))-INDEX($C$4:$Q$263,ROW(A174),MATCH($T$2,$C$3:$Q$3,0)))</f>
        <v>0</v>
      </c>
      <c r="V178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78">
        <f t="shared" si="30"/>
        <v>40.813595610865789</v>
      </c>
      <c r="X178">
        <f t="shared" si="31"/>
        <v>108.80449618627055</v>
      </c>
      <c r="Y178">
        <f t="shared" si="32"/>
        <v>149.61809179713634</v>
      </c>
      <c r="Z178">
        <f t="shared" si="33"/>
        <v>190.43168740800212</v>
      </c>
      <c r="AA178">
        <f t="shared" si="34"/>
        <v>272.05887862973373</v>
      </c>
      <c r="AB178">
        <f t="shared" si="35"/>
        <v>312.8724742405995</v>
      </c>
      <c r="AC178">
        <f t="shared" si="36"/>
        <v>353.68606985146528</v>
      </c>
      <c r="AD178">
        <f t="shared" si="37"/>
        <v>0</v>
      </c>
      <c r="AE178">
        <f t="shared" si="44"/>
        <v>-2</v>
      </c>
      <c r="AF178">
        <f t="shared" si="38"/>
        <v>0</v>
      </c>
      <c r="AG178">
        <f t="shared" si="39"/>
        <v>0</v>
      </c>
      <c r="AH178" t="e">
        <f t="shared" si="40"/>
        <v>#N/A</v>
      </c>
      <c r="AI178">
        <f t="shared" si="41"/>
        <v>-1</v>
      </c>
      <c r="AJ178">
        <f t="shared" si="42"/>
        <v>0</v>
      </c>
      <c r="AK178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78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78">
        <f t="shared" si="43"/>
        <v>14.699999999999989</v>
      </c>
    </row>
    <row r="179" spans="2:39" x14ac:dyDescent="0.35">
      <c r="B179" s="12" t="str">
        <f>Demand!B181</f>
        <v/>
      </c>
      <c r="C179" s="7">
        <f>INDEX(Demand!$E$6:$S$265,MATCH('SPC Backing (Hide)'!$B179,Demand!$B$6:$B$265,0),MATCH('SPC Backing (Hide)'!C$3,Demand!$E$5:$S$5,0))</f>
        <v>0</v>
      </c>
      <c r="D179" s="5">
        <f>INDEX(Demand!$E$6:$S$265,MATCH('SPC Backing (Hide)'!$B179,Demand!$B$6:$B$265,0),MATCH('SPC Backing (Hide)'!D$3,Demand!$E$5:$S$5,0))</f>
        <v>0</v>
      </c>
      <c r="E179" s="5">
        <f>INDEX(Demand!$E$6:$S$265,MATCH('SPC Backing (Hide)'!$B179,Demand!$B$6:$B$265,0),MATCH('SPC Backing (Hide)'!E$3,Demand!$E$5:$S$5,0))</f>
        <v>0</v>
      </c>
      <c r="F179" s="5">
        <f>INDEX(Demand!$E$6:$S$265,MATCH('SPC Backing (Hide)'!$B179,Demand!$B$6:$B$265,0),MATCH('SPC Backing (Hide)'!F$3,Demand!$E$5:$S$5,0))</f>
        <v>0</v>
      </c>
      <c r="G179" s="5">
        <f>INDEX(Demand!$E$6:$S$265,MATCH('SPC Backing (Hide)'!$B179,Demand!$B$6:$B$265,0),MATCH('SPC Backing (Hide)'!G$3,Demand!$E$5:$S$5,0))</f>
        <v>0</v>
      </c>
      <c r="H179" s="5">
        <f>INDEX(Demand!$E$6:$S$265,MATCH('SPC Backing (Hide)'!$B179,Demand!$B$6:$B$265,0),MATCH('SPC Backing (Hide)'!H$3,Demand!$E$5:$S$5,0))</f>
        <v>0</v>
      </c>
      <c r="I179" s="5">
        <f>INDEX(Demand!$E$6:$S$265,MATCH('SPC Backing (Hide)'!$B179,Demand!$B$6:$B$265,0),MATCH('SPC Backing (Hide)'!I$3,Demand!$E$5:$S$5,0))</f>
        <v>0</v>
      </c>
      <c r="J179" s="5">
        <f>INDEX(Demand!$E$6:$S$265,MATCH('SPC Backing (Hide)'!$B179,Demand!$B$6:$B$265,0),MATCH('SPC Backing (Hide)'!J$3,Demand!$E$5:$S$5,0))</f>
        <v>0</v>
      </c>
      <c r="K179" s="5">
        <f>INDEX(Demand!$E$6:$S$265,MATCH('SPC Backing (Hide)'!$B179,Demand!$B$6:$B$265,0),MATCH('SPC Backing (Hide)'!K$3,Demand!$E$5:$S$5,0))</f>
        <v>0</v>
      </c>
      <c r="L179" s="5">
        <f>INDEX(Demand!$E$6:$S$265,MATCH('SPC Backing (Hide)'!$B179,Demand!$B$6:$B$265,0),MATCH('SPC Backing (Hide)'!L$3,Demand!$E$5:$S$5,0))</f>
        <v>0</v>
      </c>
      <c r="M179" s="5">
        <f>INDEX(Demand!$E$6:$S$265,MATCH('SPC Backing (Hide)'!$B179,Demand!$B$6:$B$265,0),MATCH('SPC Backing (Hide)'!M$3,Demand!$E$5:$S$5,0))</f>
        <v>0</v>
      </c>
      <c r="N179" s="5">
        <f>INDEX(Demand!$E$6:$S$265,MATCH('SPC Backing (Hide)'!$B179,Demand!$B$6:$B$265,0),MATCH('SPC Backing (Hide)'!N$3,Demand!$E$5:$S$5,0))</f>
        <v>0</v>
      </c>
      <c r="O179" s="5">
        <f>INDEX(Demand!$E$6:$S$265,MATCH('SPC Backing (Hide)'!$B179,Demand!$B$6:$B$265,0),MATCH('SPC Backing (Hide)'!O$3,Demand!$E$5:$S$5,0))</f>
        <v>0</v>
      </c>
      <c r="P179" s="5">
        <f>INDEX(Demand!$E$6:$S$265,MATCH('SPC Backing (Hide)'!$B179,Demand!$B$6:$B$265,0),MATCH('SPC Backing (Hide)'!P$3,Demand!$E$5:$S$5,0))</f>
        <v>0</v>
      </c>
      <c r="Q179" s="6">
        <f>INDEX(Demand!$E$6:$S$265,MATCH('SPC Backing (Hide)'!$B179,Demand!$B$6:$B$265,0),MATCH('SPC Backing (Hide)'!Q$3,Demand!$E$5:$S$5,0))</f>
        <v>0</v>
      </c>
      <c r="R179">
        <f>IF(SPC!$B$11="Yes",IF(ROW(A176)&gt;=Demand!$A$5-52,1,0),IF(AND(B179&gt;=SPC!$B$12,B179&lt;SPC!$B$13),1,0))</f>
        <v>1</v>
      </c>
      <c r="S179" cm="1">
        <f t="array" ref="S179">INDEX($C$4:$Q$263,ROW(A176),MATCH($T$2,$C$3:$Q$3,0))</f>
        <v>0</v>
      </c>
      <c r="T179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79" cm="1">
        <f t="array" ref="U179">ABS(INDEX($C$4:$Q$263,ROW(A176),MATCH($T$2,$C$3:$Q$3,0))-INDEX($C$4:$Q$263,ROW(A175),MATCH($T$2,$C$3:$Q$3,0)))</f>
        <v>0</v>
      </c>
      <c r="V179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79">
        <f t="shared" si="30"/>
        <v>40.813595610865789</v>
      </c>
      <c r="X179">
        <f t="shared" si="31"/>
        <v>108.80449618627055</v>
      </c>
      <c r="Y179">
        <f t="shared" si="32"/>
        <v>149.61809179713634</v>
      </c>
      <c r="Z179">
        <f t="shared" si="33"/>
        <v>190.43168740800212</v>
      </c>
      <c r="AA179">
        <f t="shared" si="34"/>
        <v>272.05887862973373</v>
      </c>
      <c r="AB179">
        <f t="shared" si="35"/>
        <v>312.8724742405995</v>
      </c>
      <c r="AC179">
        <f t="shared" si="36"/>
        <v>353.68606985146528</v>
      </c>
      <c r="AD179">
        <f t="shared" si="37"/>
        <v>0</v>
      </c>
      <c r="AE179">
        <f t="shared" si="44"/>
        <v>-2</v>
      </c>
      <c r="AF179">
        <f t="shared" si="38"/>
        <v>0</v>
      </c>
      <c r="AG179">
        <f t="shared" si="39"/>
        <v>0</v>
      </c>
      <c r="AH179" t="e">
        <f t="shared" si="40"/>
        <v>#N/A</v>
      </c>
      <c r="AI179">
        <f t="shared" si="41"/>
        <v>-1</v>
      </c>
      <c r="AJ179">
        <f t="shared" si="42"/>
        <v>0</v>
      </c>
      <c r="AK179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79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79">
        <f t="shared" si="43"/>
        <v>14.699999999999989</v>
      </c>
    </row>
    <row r="180" spans="2:39" x14ac:dyDescent="0.35">
      <c r="B180" s="12" t="str">
        <f>Demand!B182</f>
        <v/>
      </c>
      <c r="C180" s="7">
        <f>INDEX(Demand!$E$6:$S$265,MATCH('SPC Backing (Hide)'!$B180,Demand!$B$6:$B$265,0),MATCH('SPC Backing (Hide)'!C$3,Demand!$E$5:$S$5,0))</f>
        <v>0</v>
      </c>
      <c r="D180" s="5">
        <f>INDEX(Demand!$E$6:$S$265,MATCH('SPC Backing (Hide)'!$B180,Demand!$B$6:$B$265,0),MATCH('SPC Backing (Hide)'!D$3,Demand!$E$5:$S$5,0))</f>
        <v>0</v>
      </c>
      <c r="E180" s="5">
        <f>INDEX(Demand!$E$6:$S$265,MATCH('SPC Backing (Hide)'!$B180,Demand!$B$6:$B$265,0),MATCH('SPC Backing (Hide)'!E$3,Demand!$E$5:$S$5,0))</f>
        <v>0</v>
      </c>
      <c r="F180" s="5">
        <f>INDEX(Demand!$E$6:$S$265,MATCH('SPC Backing (Hide)'!$B180,Demand!$B$6:$B$265,0),MATCH('SPC Backing (Hide)'!F$3,Demand!$E$5:$S$5,0))</f>
        <v>0</v>
      </c>
      <c r="G180" s="5">
        <f>INDEX(Demand!$E$6:$S$265,MATCH('SPC Backing (Hide)'!$B180,Demand!$B$6:$B$265,0),MATCH('SPC Backing (Hide)'!G$3,Demand!$E$5:$S$5,0))</f>
        <v>0</v>
      </c>
      <c r="H180" s="5">
        <f>INDEX(Demand!$E$6:$S$265,MATCH('SPC Backing (Hide)'!$B180,Demand!$B$6:$B$265,0),MATCH('SPC Backing (Hide)'!H$3,Demand!$E$5:$S$5,0))</f>
        <v>0</v>
      </c>
      <c r="I180" s="5">
        <f>INDEX(Demand!$E$6:$S$265,MATCH('SPC Backing (Hide)'!$B180,Demand!$B$6:$B$265,0),MATCH('SPC Backing (Hide)'!I$3,Demand!$E$5:$S$5,0))</f>
        <v>0</v>
      </c>
      <c r="J180" s="5">
        <f>INDEX(Demand!$E$6:$S$265,MATCH('SPC Backing (Hide)'!$B180,Demand!$B$6:$B$265,0),MATCH('SPC Backing (Hide)'!J$3,Demand!$E$5:$S$5,0))</f>
        <v>0</v>
      </c>
      <c r="K180" s="5">
        <f>INDEX(Demand!$E$6:$S$265,MATCH('SPC Backing (Hide)'!$B180,Demand!$B$6:$B$265,0),MATCH('SPC Backing (Hide)'!K$3,Demand!$E$5:$S$5,0))</f>
        <v>0</v>
      </c>
      <c r="L180" s="5">
        <f>INDEX(Demand!$E$6:$S$265,MATCH('SPC Backing (Hide)'!$B180,Demand!$B$6:$B$265,0),MATCH('SPC Backing (Hide)'!L$3,Demand!$E$5:$S$5,0))</f>
        <v>0</v>
      </c>
      <c r="M180" s="5">
        <f>INDEX(Demand!$E$6:$S$265,MATCH('SPC Backing (Hide)'!$B180,Demand!$B$6:$B$265,0),MATCH('SPC Backing (Hide)'!M$3,Demand!$E$5:$S$5,0))</f>
        <v>0</v>
      </c>
      <c r="N180" s="5">
        <f>INDEX(Demand!$E$6:$S$265,MATCH('SPC Backing (Hide)'!$B180,Demand!$B$6:$B$265,0),MATCH('SPC Backing (Hide)'!N$3,Demand!$E$5:$S$5,0))</f>
        <v>0</v>
      </c>
      <c r="O180" s="5">
        <f>INDEX(Demand!$E$6:$S$265,MATCH('SPC Backing (Hide)'!$B180,Demand!$B$6:$B$265,0),MATCH('SPC Backing (Hide)'!O$3,Demand!$E$5:$S$5,0))</f>
        <v>0</v>
      </c>
      <c r="P180" s="5">
        <f>INDEX(Demand!$E$6:$S$265,MATCH('SPC Backing (Hide)'!$B180,Demand!$B$6:$B$265,0),MATCH('SPC Backing (Hide)'!P$3,Demand!$E$5:$S$5,0))</f>
        <v>0</v>
      </c>
      <c r="Q180" s="6">
        <f>INDEX(Demand!$E$6:$S$265,MATCH('SPC Backing (Hide)'!$B180,Demand!$B$6:$B$265,0),MATCH('SPC Backing (Hide)'!Q$3,Demand!$E$5:$S$5,0))</f>
        <v>0</v>
      </c>
      <c r="R180">
        <f>IF(SPC!$B$11="Yes",IF(ROW(A177)&gt;=Demand!$A$5-52,1,0),IF(AND(B180&gt;=SPC!$B$12,B180&lt;SPC!$B$13),1,0))</f>
        <v>1</v>
      </c>
      <c r="S180" cm="1">
        <f t="array" ref="S180">INDEX($C$4:$Q$263,ROW(A177),MATCH($T$2,$C$3:$Q$3,0))</f>
        <v>0</v>
      </c>
      <c r="T180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80" cm="1">
        <f t="array" ref="U180">ABS(INDEX($C$4:$Q$263,ROW(A177),MATCH($T$2,$C$3:$Q$3,0))-INDEX($C$4:$Q$263,ROW(A176),MATCH($T$2,$C$3:$Q$3,0)))</f>
        <v>0</v>
      </c>
      <c r="V180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80">
        <f t="shared" si="30"/>
        <v>40.813595610865789</v>
      </c>
      <c r="X180">
        <f t="shared" si="31"/>
        <v>108.80449618627055</v>
      </c>
      <c r="Y180">
        <f t="shared" si="32"/>
        <v>149.61809179713634</v>
      </c>
      <c r="Z180">
        <f t="shared" si="33"/>
        <v>190.43168740800212</v>
      </c>
      <c r="AA180">
        <f t="shared" si="34"/>
        <v>272.05887862973373</v>
      </c>
      <c r="AB180">
        <f t="shared" si="35"/>
        <v>312.8724742405995</v>
      </c>
      <c r="AC180">
        <f t="shared" si="36"/>
        <v>353.68606985146528</v>
      </c>
      <c r="AD180">
        <f t="shared" si="37"/>
        <v>0</v>
      </c>
      <c r="AE180">
        <f t="shared" si="44"/>
        <v>-2</v>
      </c>
      <c r="AF180">
        <f t="shared" si="38"/>
        <v>0</v>
      </c>
      <c r="AG180">
        <f t="shared" si="39"/>
        <v>0</v>
      </c>
      <c r="AH180" t="e">
        <f t="shared" si="40"/>
        <v>#N/A</v>
      </c>
      <c r="AI180">
        <f t="shared" si="41"/>
        <v>-1</v>
      </c>
      <c r="AJ180">
        <f t="shared" si="42"/>
        <v>0</v>
      </c>
      <c r="AK180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80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80">
        <f t="shared" si="43"/>
        <v>14.699999999999989</v>
      </c>
    </row>
    <row r="181" spans="2:39" x14ac:dyDescent="0.35">
      <c r="B181" s="12" t="str">
        <f>Demand!B183</f>
        <v/>
      </c>
      <c r="C181" s="7">
        <f>INDEX(Demand!$E$6:$S$265,MATCH('SPC Backing (Hide)'!$B181,Demand!$B$6:$B$265,0),MATCH('SPC Backing (Hide)'!C$3,Demand!$E$5:$S$5,0))</f>
        <v>0</v>
      </c>
      <c r="D181" s="5">
        <f>INDEX(Demand!$E$6:$S$265,MATCH('SPC Backing (Hide)'!$B181,Demand!$B$6:$B$265,0),MATCH('SPC Backing (Hide)'!D$3,Demand!$E$5:$S$5,0))</f>
        <v>0</v>
      </c>
      <c r="E181" s="5">
        <f>INDEX(Demand!$E$6:$S$265,MATCH('SPC Backing (Hide)'!$B181,Demand!$B$6:$B$265,0),MATCH('SPC Backing (Hide)'!E$3,Demand!$E$5:$S$5,0))</f>
        <v>0</v>
      </c>
      <c r="F181" s="5">
        <f>INDEX(Demand!$E$6:$S$265,MATCH('SPC Backing (Hide)'!$B181,Demand!$B$6:$B$265,0),MATCH('SPC Backing (Hide)'!F$3,Demand!$E$5:$S$5,0))</f>
        <v>0</v>
      </c>
      <c r="G181" s="5">
        <f>INDEX(Demand!$E$6:$S$265,MATCH('SPC Backing (Hide)'!$B181,Demand!$B$6:$B$265,0),MATCH('SPC Backing (Hide)'!G$3,Demand!$E$5:$S$5,0))</f>
        <v>0</v>
      </c>
      <c r="H181" s="5">
        <f>INDEX(Demand!$E$6:$S$265,MATCH('SPC Backing (Hide)'!$B181,Demand!$B$6:$B$265,0),MATCH('SPC Backing (Hide)'!H$3,Demand!$E$5:$S$5,0))</f>
        <v>0</v>
      </c>
      <c r="I181" s="5">
        <f>INDEX(Demand!$E$6:$S$265,MATCH('SPC Backing (Hide)'!$B181,Demand!$B$6:$B$265,0),MATCH('SPC Backing (Hide)'!I$3,Demand!$E$5:$S$5,0))</f>
        <v>0</v>
      </c>
      <c r="J181" s="5">
        <f>INDEX(Demand!$E$6:$S$265,MATCH('SPC Backing (Hide)'!$B181,Demand!$B$6:$B$265,0),MATCH('SPC Backing (Hide)'!J$3,Demand!$E$5:$S$5,0))</f>
        <v>0</v>
      </c>
      <c r="K181" s="5">
        <f>INDEX(Demand!$E$6:$S$265,MATCH('SPC Backing (Hide)'!$B181,Demand!$B$6:$B$265,0),MATCH('SPC Backing (Hide)'!K$3,Demand!$E$5:$S$5,0))</f>
        <v>0</v>
      </c>
      <c r="L181" s="5">
        <f>INDEX(Demand!$E$6:$S$265,MATCH('SPC Backing (Hide)'!$B181,Demand!$B$6:$B$265,0),MATCH('SPC Backing (Hide)'!L$3,Demand!$E$5:$S$5,0))</f>
        <v>0</v>
      </c>
      <c r="M181" s="5">
        <f>INDEX(Demand!$E$6:$S$265,MATCH('SPC Backing (Hide)'!$B181,Demand!$B$6:$B$265,0),MATCH('SPC Backing (Hide)'!M$3,Demand!$E$5:$S$5,0))</f>
        <v>0</v>
      </c>
      <c r="N181" s="5">
        <f>INDEX(Demand!$E$6:$S$265,MATCH('SPC Backing (Hide)'!$B181,Demand!$B$6:$B$265,0),MATCH('SPC Backing (Hide)'!N$3,Demand!$E$5:$S$5,0))</f>
        <v>0</v>
      </c>
      <c r="O181" s="5">
        <f>INDEX(Demand!$E$6:$S$265,MATCH('SPC Backing (Hide)'!$B181,Demand!$B$6:$B$265,0),MATCH('SPC Backing (Hide)'!O$3,Demand!$E$5:$S$5,0))</f>
        <v>0</v>
      </c>
      <c r="P181" s="5">
        <f>INDEX(Demand!$E$6:$S$265,MATCH('SPC Backing (Hide)'!$B181,Demand!$B$6:$B$265,0),MATCH('SPC Backing (Hide)'!P$3,Demand!$E$5:$S$5,0))</f>
        <v>0</v>
      </c>
      <c r="Q181" s="6">
        <f>INDEX(Demand!$E$6:$S$265,MATCH('SPC Backing (Hide)'!$B181,Demand!$B$6:$B$265,0),MATCH('SPC Backing (Hide)'!Q$3,Demand!$E$5:$S$5,0))</f>
        <v>0</v>
      </c>
      <c r="R181">
        <f>IF(SPC!$B$11="Yes",IF(ROW(A178)&gt;=Demand!$A$5-52,1,0),IF(AND(B181&gt;=SPC!$B$12,B181&lt;SPC!$B$13),1,0))</f>
        <v>1</v>
      </c>
      <c r="S181" cm="1">
        <f t="array" ref="S181">INDEX($C$4:$Q$263,ROW(A178),MATCH($T$2,$C$3:$Q$3,0))</f>
        <v>0</v>
      </c>
      <c r="T181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81" cm="1">
        <f t="array" ref="U181">ABS(INDEX($C$4:$Q$263,ROW(A178),MATCH($T$2,$C$3:$Q$3,0))-INDEX($C$4:$Q$263,ROW(A177),MATCH($T$2,$C$3:$Q$3,0)))</f>
        <v>0</v>
      </c>
      <c r="V181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81">
        <f t="shared" si="30"/>
        <v>40.813595610865789</v>
      </c>
      <c r="X181">
        <f t="shared" si="31"/>
        <v>108.80449618627055</v>
      </c>
      <c r="Y181">
        <f t="shared" si="32"/>
        <v>149.61809179713634</v>
      </c>
      <c r="Z181">
        <f t="shared" si="33"/>
        <v>190.43168740800212</v>
      </c>
      <c r="AA181">
        <f t="shared" si="34"/>
        <v>272.05887862973373</v>
      </c>
      <c r="AB181">
        <f t="shared" si="35"/>
        <v>312.8724742405995</v>
      </c>
      <c r="AC181">
        <f t="shared" si="36"/>
        <v>353.68606985146528</v>
      </c>
      <c r="AD181">
        <f t="shared" si="37"/>
        <v>0</v>
      </c>
      <c r="AE181">
        <f t="shared" si="44"/>
        <v>-2</v>
      </c>
      <c r="AF181">
        <f t="shared" si="38"/>
        <v>0</v>
      </c>
      <c r="AG181">
        <f t="shared" si="39"/>
        <v>0</v>
      </c>
      <c r="AH181" t="e">
        <f t="shared" si="40"/>
        <v>#N/A</v>
      </c>
      <c r="AI181">
        <f t="shared" si="41"/>
        <v>-1</v>
      </c>
      <c r="AJ181">
        <f t="shared" si="42"/>
        <v>0</v>
      </c>
      <c r="AK181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81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81">
        <f t="shared" si="43"/>
        <v>14.699999999999989</v>
      </c>
    </row>
    <row r="182" spans="2:39" x14ac:dyDescent="0.35">
      <c r="B182" s="12" t="str">
        <f>Demand!B184</f>
        <v/>
      </c>
      <c r="C182" s="7">
        <f>INDEX(Demand!$E$6:$S$265,MATCH('SPC Backing (Hide)'!$B182,Demand!$B$6:$B$265,0),MATCH('SPC Backing (Hide)'!C$3,Demand!$E$5:$S$5,0))</f>
        <v>0</v>
      </c>
      <c r="D182" s="5">
        <f>INDEX(Demand!$E$6:$S$265,MATCH('SPC Backing (Hide)'!$B182,Demand!$B$6:$B$265,0),MATCH('SPC Backing (Hide)'!D$3,Demand!$E$5:$S$5,0))</f>
        <v>0</v>
      </c>
      <c r="E182" s="5">
        <f>INDEX(Demand!$E$6:$S$265,MATCH('SPC Backing (Hide)'!$B182,Demand!$B$6:$B$265,0),MATCH('SPC Backing (Hide)'!E$3,Demand!$E$5:$S$5,0))</f>
        <v>0</v>
      </c>
      <c r="F182" s="5">
        <f>INDEX(Demand!$E$6:$S$265,MATCH('SPC Backing (Hide)'!$B182,Demand!$B$6:$B$265,0),MATCH('SPC Backing (Hide)'!F$3,Demand!$E$5:$S$5,0))</f>
        <v>0</v>
      </c>
      <c r="G182" s="5">
        <f>INDEX(Demand!$E$6:$S$265,MATCH('SPC Backing (Hide)'!$B182,Demand!$B$6:$B$265,0),MATCH('SPC Backing (Hide)'!G$3,Demand!$E$5:$S$5,0))</f>
        <v>0</v>
      </c>
      <c r="H182" s="5">
        <f>INDEX(Demand!$E$6:$S$265,MATCH('SPC Backing (Hide)'!$B182,Demand!$B$6:$B$265,0),MATCH('SPC Backing (Hide)'!H$3,Demand!$E$5:$S$5,0))</f>
        <v>0</v>
      </c>
      <c r="I182" s="5">
        <f>INDEX(Demand!$E$6:$S$265,MATCH('SPC Backing (Hide)'!$B182,Demand!$B$6:$B$265,0),MATCH('SPC Backing (Hide)'!I$3,Demand!$E$5:$S$5,0))</f>
        <v>0</v>
      </c>
      <c r="J182" s="5">
        <f>INDEX(Demand!$E$6:$S$265,MATCH('SPC Backing (Hide)'!$B182,Demand!$B$6:$B$265,0),MATCH('SPC Backing (Hide)'!J$3,Demand!$E$5:$S$5,0))</f>
        <v>0</v>
      </c>
      <c r="K182" s="5">
        <f>INDEX(Demand!$E$6:$S$265,MATCH('SPC Backing (Hide)'!$B182,Demand!$B$6:$B$265,0),MATCH('SPC Backing (Hide)'!K$3,Demand!$E$5:$S$5,0))</f>
        <v>0</v>
      </c>
      <c r="L182" s="5">
        <f>INDEX(Demand!$E$6:$S$265,MATCH('SPC Backing (Hide)'!$B182,Demand!$B$6:$B$265,0),MATCH('SPC Backing (Hide)'!L$3,Demand!$E$5:$S$5,0))</f>
        <v>0</v>
      </c>
      <c r="M182" s="5">
        <f>INDEX(Demand!$E$6:$S$265,MATCH('SPC Backing (Hide)'!$B182,Demand!$B$6:$B$265,0),MATCH('SPC Backing (Hide)'!M$3,Demand!$E$5:$S$5,0))</f>
        <v>0</v>
      </c>
      <c r="N182" s="5">
        <f>INDEX(Demand!$E$6:$S$265,MATCH('SPC Backing (Hide)'!$B182,Demand!$B$6:$B$265,0),MATCH('SPC Backing (Hide)'!N$3,Demand!$E$5:$S$5,0))</f>
        <v>0</v>
      </c>
      <c r="O182" s="5">
        <f>INDEX(Demand!$E$6:$S$265,MATCH('SPC Backing (Hide)'!$B182,Demand!$B$6:$B$265,0),MATCH('SPC Backing (Hide)'!O$3,Demand!$E$5:$S$5,0))</f>
        <v>0</v>
      </c>
      <c r="P182" s="5">
        <f>INDEX(Demand!$E$6:$S$265,MATCH('SPC Backing (Hide)'!$B182,Demand!$B$6:$B$265,0),MATCH('SPC Backing (Hide)'!P$3,Demand!$E$5:$S$5,0))</f>
        <v>0</v>
      </c>
      <c r="Q182" s="6">
        <f>INDEX(Demand!$E$6:$S$265,MATCH('SPC Backing (Hide)'!$B182,Demand!$B$6:$B$265,0),MATCH('SPC Backing (Hide)'!Q$3,Demand!$E$5:$S$5,0))</f>
        <v>0</v>
      </c>
      <c r="R182">
        <f>IF(SPC!$B$11="Yes",IF(ROW(A179)&gt;=Demand!$A$5-52,1,0),IF(AND(B182&gt;=SPC!$B$12,B182&lt;SPC!$B$13),1,0))</f>
        <v>1</v>
      </c>
      <c r="S182" cm="1">
        <f t="array" ref="S182">INDEX($C$4:$Q$263,ROW(A179),MATCH($T$2,$C$3:$Q$3,0))</f>
        <v>0</v>
      </c>
      <c r="T182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82" cm="1">
        <f t="array" ref="U182">ABS(INDEX($C$4:$Q$263,ROW(A179),MATCH($T$2,$C$3:$Q$3,0))-INDEX($C$4:$Q$263,ROW(A178),MATCH($T$2,$C$3:$Q$3,0)))</f>
        <v>0</v>
      </c>
      <c r="V182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82">
        <f t="shared" si="30"/>
        <v>40.813595610865789</v>
      </c>
      <c r="X182">
        <f t="shared" si="31"/>
        <v>108.80449618627055</v>
      </c>
      <c r="Y182">
        <f t="shared" si="32"/>
        <v>149.61809179713634</v>
      </c>
      <c r="Z182">
        <f t="shared" si="33"/>
        <v>190.43168740800212</v>
      </c>
      <c r="AA182">
        <f t="shared" si="34"/>
        <v>272.05887862973373</v>
      </c>
      <c r="AB182">
        <f t="shared" si="35"/>
        <v>312.8724742405995</v>
      </c>
      <c r="AC182">
        <f t="shared" si="36"/>
        <v>353.68606985146528</v>
      </c>
      <c r="AD182">
        <f t="shared" si="37"/>
        <v>0</v>
      </c>
      <c r="AE182">
        <f t="shared" si="44"/>
        <v>-2</v>
      </c>
      <c r="AF182">
        <f t="shared" si="38"/>
        <v>0</v>
      </c>
      <c r="AG182">
        <f t="shared" si="39"/>
        <v>0</v>
      </c>
      <c r="AH182" t="e">
        <f t="shared" si="40"/>
        <v>#N/A</v>
      </c>
      <c r="AI182">
        <f t="shared" si="41"/>
        <v>-1</v>
      </c>
      <c r="AJ182">
        <f t="shared" si="42"/>
        <v>0</v>
      </c>
      <c r="AK182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82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82">
        <f t="shared" si="43"/>
        <v>14.699999999999989</v>
      </c>
    </row>
    <row r="183" spans="2:39" x14ac:dyDescent="0.35">
      <c r="B183" s="12" t="str">
        <f>Demand!B185</f>
        <v/>
      </c>
      <c r="C183" s="7">
        <f>INDEX(Demand!$E$6:$S$265,MATCH('SPC Backing (Hide)'!$B183,Demand!$B$6:$B$265,0),MATCH('SPC Backing (Hide)'!C$3,Demand!$E$5:$S$5,0))</f>
        <v>0</v>
      </c>
      <c r="D183" s="5">
        <f>INDEX(Demand!$E$6:$S$265,MATCH('SPC Backing (Hide)'!$B183,Demand!$B$6:$B$265,0),MATCH('SPC Backing (Hide)'!D$3,Demand!$E$5:$S$5,0))</f>
        <v>0</v>
      </c>
      <c r="E183" s="5">
        <f>INDEX(Demand!$E$6:$S$265,MATCH('SPC Backing (Hide)'!$B183,Demand!$B$6:$B$265,0),MATCH('SPC Backing (Hide)'!E$3,Demand!$E$5:$S$5,0))</f>
        <v>0</v>
      </c>
      <c r="F183" s="5">
        <f>INDEX(Demand!$E$6:$S$265,MATCH('SPC Backing (Hide)'!$B183,Demand!$B$6:$B$265,0),MATCH('SPC Backing (Hide)'!F$3,Demand!$E$5:$S$5,0))</f>
        <v>0</v>
      </c>
      <c r="G183" s="5">
        <f>INDEX(Demand!$E$6:$S$265,MATCH('SPC Backing (Hide)'!$B183,Demand!$B$6:$B$265,0),MATCH('SPC Backing (Hide)'!G$3,Demand!$E$5:$S$5,0))</f>
        <v>0</v>
      </c>
      <c r="H183" s="5">
        <f>INDEX(Demand!$E$6:$S$265,MATCH('SPC Backing (Hide)'!$B183,Demand!$B$6:$B$265,0),MATCH('SPC Backing (Hide)'!H$3,Demand!$E$5:$S$5,0))</f>
        <v>0</v>
      </c>
      <c r="I183" s="5">
        <f>INDEX(Demand!$E$6:$S$265,MATCH('SPC Backing (Hide)'!$B183,Demand!$B$6:$B$265,0),MATCH('SPC Backing (Hide)'!I$3,Demand!$E$5:$S$5,0))</f>
        <v>0</v>
      </c>
      <c r="J183" s="5">
        <f>INDEX(Demand!$E$6:$S$265,MATCH('SPC Backing (Hide)'!$B183,Demand!$B$6:$B$265,0),MATCH('SPC Backing (Hide)'!J$3,Demand!$E$5:$S$5,0))</f>
        <v>0</v>
      </c>
      <c r="K183" s="5">
        <f>INDEX(Demand!$E$6:$S$265,MATCH('SPC Backing (Hide)'!$B183,Demand!$B$6:$B$265,0),MATCH('SPC Backing (Hide)'!K$3,Demand!$E$5:$S$5,0))</f>
        <v>0</v>
      </c>
      <c r="L183" s="5">
        <f>INDEX(Demand!$E$6:$S$265,MATCH('SPC Backing (Hide)'!$B183,Demand!$B$6:$B$265,0),MATCH('SPC Backing (Hide)'!L$3,Demand!$E$5:$S$5,0))</f>
        <v>0</v>
      </c>
      <c r="M183" s="5">
        <f>INDEX(Demand!$E$6:$S$265,MATCH('SPC Backing (Hide)'!$B183,Demand!$B$6:$B$265,0),MATCH('SPC Backing (Hide)'!M$3,Demand!$E$5:$S$5,0))</f>
        <v>0</v>
      </c>
      <c r="N183" s="5">
        <f>INDEX(Demand!$E$6:$S$265,MATCH('SPC Backing (Hide)'!$B183,Demand!$B$6:$B$265,0),MATCH('SPC Backing (Hide)'!N$3,Demand!$E$5:$S$5,0))</f>
        <v>0</v>
      </c>
      <c r="O183" s="5">
        <f>INDEX(Demand!$E$6:$S$265,MATCH('SPC Backing (Hide)'!$B183,Demand!$B$6:$B$265,0),MATCH('SPC Backing (Hide)'!O$3,Demand!$E$5:$S$5,0))</f>
        <v>0</v>
      </c>
      <c r="P183" s="5">
        <f>INDEX(Demand!$E$6:$S$265,MATCH('SPC Backing (Hide)'!$B183,Demand!$B$6:$B$265,0),MATCH('SPC Backing (Hide)'!P$3,Demand!$E$5:$S$5,0))</f>
        <v>0</v>
      </c>
      <c r="Q183" s="6">
        <f>INDEX(Demand!$E$6:$S$265,MATCH('SPC Backing (Hide)'!$B183,Demand!$B$6:$B$265,0),MATCH('SPC Backing (Hide)'!Q$3,Demand!$E$5:$S$5,0))</f>
        <v>0</v>
      </c>
      <c r="R183">
        <f>IF(SPC!$B$11="Yes",IF(ROW(A180)&gt;=Demand!$A$5-52,1,0),IF(AND(B183&gt;=SPC!$B$12,B183&lt;SPC!$B$13),1,0))</f>
        <v>1</v>
      </c>
      <c r="S183" cm="1">
        <f t="array" ref="S183">INDEX($C$4:$Q$263,ROW(A180),MATCH($T$2,$C$3:$Q$3,0))</f>
        <v>0</v>
      </c>
      <c r="T183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83" cm="1">
        <f t="array" ref="U183">ABS(INDEX($C$4:$Q$263,ROW(A180),MATCH($T$2,$C$3:$Q$3,0))-INDEX($C$4:$Q$263,ROW(A179),MATCH($T$2,$C$3:$Q$3,0)))</f>
        <v>0</v>
      </c>
      <c r="V183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83">
        <f t="shared" si="30"/>
        <v>40.813595610865789</v>
      </c>
      <c r="X183">
        <f t="shared" si="31"/>
        <v>108.80449618627055</v>
      </c>
      <c r="Y183">
        <f t="shared" si="32"/>
        <v>149.61809179713634</v>
      </c>
      <c r="Z183">
        <f t="shared" si="33"/>
        <v>190.43168740800212</v>
      </c>
      <c r="AA183">
        <f t="shared" si="34"/>
        <v>272.05887862973373</v>
      </c>
      <c r="AB183">
        <f t="shared" si="35"/>
        <v>312.8724742405995</v>
      </c>
      <c r="AC183">
        <f t="shared" si="36"/>
        <v>353.68606985146528</v>
      </c>
      <c r="AD183">
        <f t="shared" si="37"/>
        <v>0</v>
      </c>
      <c r="AE183">
        <f t="shared" si="44"/>
        <v>-2</v>
      </c>
      <c r="AF183">
        <f t="shared" si="38"/>
        <v>0</v>
      </c>
      <c r="AG183">
        <f t="shared" si="39"/>
        <v>0</v>
      </c>
      <c r="AH183" t="e">
        <f t="shared" si="40"/>
        <v>#N/A</v>
      </c>
      <c r="AI183">
        <f t="shared" si="41"/>
        <v>-1</v>
      </c>
      <c r="AJ183">
        <f t="shared" si="42"/>
        <v>0</v>
      </c>
      <c r="AK183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83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83">
        <f t="shared" si="43"/>
        <v>14.699999999999989</v>
      </c>
    </row>
    <row r="184" spans="2:39" x14ac:dyDescent="0.35">
      <c r="B184" s="12" t="str">
        <f>Demand!B186</f>
        <v/>
      </c>
      <c r="C184" s="7">
        <f>INDEX(Demand!$E$6:$S$265,MATCH('SPC Backing (Hide)'!$B184,Demand!$B$6:$B$265,0),MATCH('SPC Backing (Hide)'!C$3,Demand!$E$5:$S$5,0))</f>
        <v>0</v>
      </c>
      <c r="D184" s="5">
        <f>INDEX(Demand!$E$6:$S$265,MATCH('SPC Backing (Hide)'!$B184,Demand!$B$6:$B$265,0),MATCH('SPC Backing (Hide)'!D$3,Demand!$E$5:$S$5,0))</f>
        <v>0</v>
      </c>
      <c r="E184" s="5">
        <f>INDEX(Demand!$E$6:$S$265,MATCH('SPC Backing (Hide)'!$B184,Demand!$B$6:$B$265,0),MATCH('SPC Backing (Hide)'!E$3,Demand!$E$5:$S$5,0))</f>
        <v>0</v>
      </c>
      <c r="F184" s="5">
        <f>INDEX(Demand!$E$6:$S$265,MATCH('SPC Backing (Hide)'!$B184,Demand!$B$6:$B$265,0),MATCH('SPC Backing (Hide)'!F$3,Demand!$E$5:$S$5,0))</f>
        <v>0</v>
      </c>
      <c r="G184" s="5">
        <f>INDEX(Demand!$E$6:$S$265,MATCH('SPC Backing (Hide)'!$B184,Demand!$B$6:$B$265,0),MATCH('SPC Backing (Hide)'!G$3,Demand!$E$5:$S$5,0))</f>
        <v>0</v>
      </c>
      <c r="H184" s="5">
        <f>INDEX(Demand!$E$6:$S$265,MATCH('SPC Backing (Hide)'!$B184,Demand!$B$6:$B$265,0),MATCH('SPC Backing (Hide)'!H$3,Demand!$E$5:$S$5,0))</f>
        <v>0</v>
      </c>
      <c r="I184" s="5">
        <f>INDEX(Demand!$E$6:$S$265,MATCH('SPC Backing (Hide)'!$B184,Demand!$B$6:$B$265,0),MATCH('SPC Backing (Hide)'!I$3,Demand!$E$5:$S$5,0))</f>
        <v>0</v>
      </c>
      <c r="J184" s="5">
        <f>INDEX(Demand!$E$6:$S$265,MATCH('SPC Backing (Hide)'!$B184,Demand!$B$6:$B$265,0),MATCH('SPC Backing (Hide)'!J$3,Demand!$E$5:$S$5,0))</f>
        <v>0</v>
      </c>
      <c r="K184" s="5">
        <f>INDEX(Demand!$E$6:$S$265,MATCH('SPC Backing (Hide)'!$B184,Demand!$B$6:$B$265,0),MATCH('SPC Backing (Hide)'!K$3,Demand!$E$5:$S$5,0))</f>
        <v>0</v>
      </c>
      <c r="L184" s="5">
        <f>INDEX(Demand!$E$6:$S$265,MATCH('SPC Backing (Hide)'!$B184,Demand!$B$6:$B$265,0),MATCH('SPC Backing (Hide)'!L$3,Demand!$E$5:$S$5,0))</f>
        <v>0</v>
      </c>
      <c r="M184" s="5">
        <f>INDEX(Demand!$E$6:$S$265,MATCH('SPC Backing (Hide)'!$B184,Demand!$B$6:$B$265,0),MATCH('SPC Backing (Hide)'!M$3,Demand!$E$5:$S$5,0))</f>
        <v>0</v>
      </c>
      <c r="N184" s="5">
        <f>INDEX(Demand!$E$6:$S$265,MATCH('SPC Backing (Hide)'!$B184,Demand!$B$6:$B$265,0),MATCH('SPC Backing (Hide)'!N$3,Demand!$E$5:$S$5,0))</f>
        <v>0</v>
      </c>
      <c r="O184" s="5">
        <f>INDEX(Demand!$E$6:$S$265,MATCH('SPC Backing (Hide)'!$B184,Demand!$B$6:$B$265,0),MATCH('SPC Backing (Hide)'!O$3,Demand!$E$5:$S$5,0))</f>
        <v>0</v>
      </c>
      <c r="P184" s="5">
        <f>INDEX(Demand!$E$6:$S$265,MATCH('SPC Backing (Hide)'!$B184,Demand!$B$6:$B$265,0),MATCH('SPC Backing (Hide)'!P$3,Demand!$E$5:$S$5,0))</f>
        <v>0</v>
      </c>
      <c r="Q184" s="6">
        <f>INDEX(Demand!$E$6:$S$265,MATCH('SPC Backing (Hide)'!$B184,Demand!$B$6:$B$265,0),MATCH('SPC Backing (Hide)'!Q$3,Demand!$E$5:$S$5,0))</f>
        <v>0</v>
      </c>
      <c r="R184">
        <f>IF(SPC!$B$11="Yes",IF(ROW(A181)&gt;=Demand!$A$5-52,1,0),IF(AND(B184&gt;=SPC!$B$12,B184&lt;SPC!$B$13),1,0))</f>
        <v>1</v>
      </c>
      <c r="S184" cm="1">
        <f t="array" ref="S184">INDEX($C$4:$Q$263,ROW(A181),MATCH($T$2,$C$3:$Q$3,0))</f>
        <v>0</v>
      </c>
      <c r="T184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84" cm="1">
        <f t="array" ref="U184">ABS(INDEX($C$4:$Q$263,ROW(A181),MATCH($T$2,$C$3:$Q$3,0))-INDEX($C$4:$Q$263,ROW(A180),MATCH($T$2,$C$3:$Q$3,0)))</f>
        <v>0</v>
      </c>
      <c r="V184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84">
        <f t="shared" si="30"/>
        <v>40.813595610865789</v>
      </c>
      <c r="X184">
        <f t="shared" si="31"/>
        <v>108.80449618627055</v>
      </c>
      <c r="Y184">
        <f t="shared" si="32"/>
        <v>149.61809179713634</v>
      </c>
      <c r="Z184">
        <f t="shared" si="33"/>
        <v>190.43168740800212</v>
      </c>
      <c r="AA184">
        <f t="shared" si="34"/>
        <v>272.05887862973373</v>
      </c>
      <c r="AB184">
        <f t="shared" si="35"/>
        <v>312.8724742405995</v>
      </c>
      <c r="AC184">
        <f t="shared" si="36"/>
        <v>353.68606985146528</v>
      </c>
      <c r="AD184">
        <f t="shared" si="37"/>
        <v>0</v>
      </c>
      <c r="AE184">
        <f t="shared" si="44"/>
        <v>-2</v>
      </c>
      <c r="AF184">
        <f t="shared" si="38"/>
        <v>0</v>
      </c>
      <c r="AG184">
        <f t="shared" si="39"/>
        <v>0</v>
      </c>
      <c r="AH184" t="e">
        <f t="shared" si="40"/>
        <v>#N/A</v>
      </c>
      <c r="AI184">
        <f t="shared" si="41"/>
        <v>-1</v>
      </c>
      <c r="AJ184">
        <f t="shared" si="42"/>
        <v>0</v>
      </c>
      <c r="AK184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84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84">
        <f t="shared" si="43"/>
        <v>14.699999999999989</v>
      </c>
    </row>
    <row r="185" spans="2:39" x14ac:dyDescent="0.35">
      <c r="B185" s="12" t="str">
        <f>Demand!B187</f>
        <v/>
      </c>
      <c r="C185" s="7">
        <f>INDEX(Demand!$E$6:$S$265,MATCH('SPC Backing (Hide)'!$B185,Demand!$B$6:$B$265,0),MATCH('SPC Backing (Hide)'!C$3,Demand!$E$5:$S$5,0))</f>
        <v>0</v>
      </c>
      <c r="D185" s="5">
        <f>INDEX(Demand!$E$6:$S$265,MATCH('SPC Backing (Hide)'!$B185,Demand!$B$6:$B$265,0),MATCH('SPC Backing (Hide)'!D$3,Demand!$E$5:$S$5,0))</f>
        <v>0</v>
      </c>
      <c r="E185" s="5">
        <f>INDEX(Demand!$E$6:$S$265,MATCH('SPC Backing (Hide)'!$B185,Demand!$B$6:$B$265,0),MATCH('SPC Backing (Hide)'!E$3,Demand!$E$5:$S$5,0))</f>
        <v>0</v>
      </c>
      <c r="F185" s="5">
        <f>INDEX(Demand!$E$6:$S$265,MATCH('SPC Backing (Hide)'!$B185,Demand!$B$6:$B$265,0),MATCH('SPC Backing (Hide)'!F$3,Demand!$E$5:$S$5,0))</f>
        <v>0</v>
      </c>
      <c r="G185" s="5">
        <f>INDEX(Demand!$E$6:$S$265,MATCH('SPC Backing (Hide)'!$B185,Demand!$B$6:$B$265,0),MATCH('SPC Backing (Hide)'!G$3,Demand!$E$5:$S$5,0))</f>
        <v>0</v>
      </c>
      <c r="H185" s="5">
        <f>INDEX(Demand!$E$6:$S$265,MATCH('SPC Backing (Hide)'!$B185,Demand!$B$6:$B$265,0),MATCH('SPC Backing (Hide)'!H$3,Demand!$E$5:$S$5,0))</f>
        <v>0</v>
      </c>
      <c r="I185" s="5">
        <f>INDEX(Demand!$E$6:$S$265,MATCH('SPC Backing (Hide)'!$B185,Demand!$B$6:$B$265,0),MATCH('SPC Backing (Hide)'!I$3,Demand!$E$5:$S$5,0))</f>
        <v>0</v>
      </c>
      <c r="J185" s="5">
        <f>INDEX(Demand!$E$6:$S$265,MATCH('SPC Backing (Hide)'!$B185,Demand!$B$6:$B$265,0),MATCH('SPC Backing (Hide)'!J$3,Demand!$E$5:$S$5,0))</f>
        <v>0</v>
      </c>
      <c r="K185" s="5">
        <f>INDEX(Demand!$E$6:$S$265,MATCH('SPC Backing (Hide)'!$B185,Demand!$B$6:$B$265,0),MATCH('SPC Backing (Hide)'!K$3,Demand!$E$5:$S$5,0))</f>
        <v>0</v>
      </c>
      <c r="L185" s="5">
        <f>INDEX(Demand!$E$6:$S$265,MATCH('SPC Backing (Hide)'!$B185,Demand!$B$6:$B$265,0),MATCH('SPC Backing (Hide)'!L$3,Demand!$E$5:$S$5,0))</f>
        <v>0</v>
      </c>
      <c r="M185" s="5">
        <f>INDEX(Demand!$E$6:$S$265,MATCH('SPC Backing (Hide)'!$B185,Demand!$B$6:$B$265,0),MATCH('SPC Backing (Hide)'!M$3,Demand!$E$5:$S$5,0))</f>
        <v>0</v>
      </c>
      <c r="N185" s="5">
        <f>INDEX(Demand!$E$6:$S$265,MATCH('SPC Backing (Hide)'!$B185,Demand!$B$6:$B$265,0),MATCH('SPC Backing (Hide)'!N$3,Demand!$E$5:$S$5,0))</f>
        <v>0</v>
      </c>
      <c r="O185" s="5">
        <f>INDEX(Demand!$E$6:$S$265,MATCH('SPC Backing (Hide)'!$B185,Demand!$B$6:$B$265,0),MATCH('SPC Backing (Hide)'!O$3,Demand!$E$5:$S$5,0))</f>
        <v>0</v>
      </c>
      <c r="P185" s="5">
        <f>INDEX(Demand!$E$6:$S$265,MATCH('SPC Backing (Hide)'!$B185,Demand!$B$6:$B$265,0),MATCH('SPC Backing (Hide)'!P$3,Demand!$E$5:$S$5,0))</f>
        <v>0</v>
      </c>
      <c r="Q185" s="6">
        <f>INDEX(Demand!$E$6:$S$265,MATCH('SPC Backing (Hide)'!$B185,Demand!$B$6:$B$265,0),MATCH('SPC Backing (Hide)'!Q$3,Demand!$E$5:$S$5,0))</f>
        <v>0</v>
      </c>
      <c r="R185">
        <f>IF(SPC!$B$11="Yes",IF(ROW(A182)&gt;=Demand!$A$5-52,1,0),IF(AND(B185&gt;=SPC!$B$12,B185&lt;SPC!$B$13),1,0))</f>
        <v>1</v>
      </c>
      <c r="S185" cm="1">
        <f t="array" ref="S185">INDEX($C$4:$Q$263,ROW(A182),MATCH($T$2,$C$3:$Q$3,0))</f>
        <v>0</v>
      </c>
      <c r="T185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85" cm="1">
        <f t="array" ref="U185">ABS(INDEX($C$4:$Q$263,ROW(A182),MATCH($T$2,$C$3:$Q$3,0))-INDEX($C$4:$Q$263,ROW(A181),MATCH($T$2,$C$3:$Q$3,0)))</f>
        <v>0</v>
      </c>
      <c r="V185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85">
        <f t="shared" si="30"/>
        <v>40.813595610865789</v>
      </c>
      <c r="X185">
        <f t="shared" si="31"/>
        <v>108.80449618627055</v>
      </c>
      <c r="Y185">
        <f t="shared" si="32"/>
        <v>149.61809179713634</v>
      </c>
      <c r="Z185">
        <f t="shared" si="33"/>
        <v>190.43168740800212</v>
      </c>
      <c r="AA185">
        <f t="shared" si="34"/>
        <v>272.05887862973373</v>
      </c>
      <c r="AB185">
        <f t="shared" si="35"/>
        <v>312.8724742405995</v>
      </c>
      <c r="AC185">
        <f t="shared" si="36"/>
        <v>353.68606985146528</v>
      </c>
      <c r="AD185">
        <f t="shared" si="37"/>
        <v>0</v>
      </c>
      <c r="AE185">
        <f t="shared" si="44"/>
        <v>-2</v>
      </c>
      <c r="AF185">
        <f t="shared" si="38"/>
        <v>0</v>
      </c>
      <c r="AG185">
        <f t="shared" si="39"/>
        <v>0</v>
      </c>
      <c r="AH185" t="e">
        <f t="shared" si="40"/>
        <v>#N/A</v>
      </c>
      <c r="AI185">
        <f t="shared" si="41"/>
        <v>-1</v>
      </c>
      <c r="AJ185">
        <f t="shared" si="42"/>
        <v>0</v>
      </c>
      <c r="AK185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85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85">
        <f t="shared" si="43"/>
        <v>14.699999999999989</v>
      </c>
    </row>
    <row r="186" spans="2:39" x14ac:dyDescent="0.35">
      <c r="B186" s="12" t="str">
        <f>Demand!B188</f>
        <v/>
      </c>
      <c r="C186" s="7">
        <f>INDEX(Demand!$E$6:$S$265,MATCH('SPC Backing (Hide)'!$B186,Demand!$B$6:$B$265,0),MATCH('SPC Backing (Hide)'!C$3,Demand!$E$5:$S$5,0))</f>
        <v>0</v>
      </c>
      <c r="D186" s="5">
        <f>INDEX(Demand!$E$6:$S$265,MATCH('SPC Backing (Hide)'!$B186,Demand!$B$6:$B$265,0),MATCH('SPC Backing (Hide)'!D$3,Demand!$E$5:$S$5,0))</f>
        <v>0</v>
      </c>
      <c r="E186" s="5">
        <f>INDEX(Demand!$E$6:$S$265,MATCH('SPC Backing (Hide)'!$B186,Demand!$B$6:$B$265,0),MATCH('SPC Backing (Hide)'!E$3,Demand!$E$5:$S$5,0))</f>
        <v>0</v>
      </c>
      <c r="F186" s="5">
        <f>INDEX(Demand!$E$6:$S$265,MATCH('SPC Backing (Hide)'!$B186,Demand!$B$6:$B$265,0),MATCH('SPC Backing (Hide)'!F$3,Demand!$E$5:$S$5,0))</f>
        <v>0</v>
      </c>
      <c r="G186" s="5">
        <f>INDEX(Demand!$E$6:$S$265,MATCH('SPC Backing (Hide)'!$B186,Demand!$B$6:$B$265,0),MATCH('SPC Backing (Hide)'!G$3,Demand!$E$5:$S$5,0))</f>
        <v>0</v>
      </c>
      <c r="H186" s="5">
        <f>INDEX(Demand!$E$6:$S$265,MATCH('SPC Backing (Hide)'!$B186,Demand!$B$6:$B$265,0),MATCH('SPC Backing (Hide)'!H$3,Demand!$E$5:$S$5,0))</f>
        <v>0</v>
      </c>
      <c r="I186" s="5">
        <f>INDEX(Demand!$E$6:$S$265,MATCH('SPC Backing (Hide)'!$B186,Demand!$B$6:$B$265,0),MATCH('SPC Backing (Hide)'!I$3,Demand!$E$5:$S$5,0))</f>
        <v>0</v>
      </c>
      <c r="J186" s="5">
        <f>INDEX(Demand!$E$6:$S$265,MATCH('SPC Backing (Hide)'!$B186,Demand!$B$6:$B$265,0),MATCH('SPC Backing (Hide)'!J$3,Demand!$E$5:$S$5,0))</f>
        <v>0</v>
      </c>
      <c r="K186" s="5">
        <f>INDEX(Demand!$E$6:$S$265,MATCH('SPC Backing (Hide)'!$B186,Demand!$B$6:$B$265,0),MATCH('SPC Backing (Hide)'!K$3,Demand!$E$5:$S$5,0))</f>
        <v>0</v>
      </c>
      <c r="L186" s="5">
        <f>INDEX(Demand!$E$6:$S$265,MATCH('SPC Backing (Hide)'!$B186,Demand!$B$6:$B$265,0),MATCH('SPC Backing (Hide)'!L$3,Demand!$E$5:$S$5,0))</f>
        <v>0</v>
      </c>
      <c r="M186" s="5">
        <f>INDEX(Demand!$E$6:$S$265,MATCH('SPC Backing (Hide)'!$B186,Demand!$B$6:$B$265,0),MATCH('SPC Backing (Hide)'!M$3,Demand!$E$5:$S$5,0))</f>
        <v>0</v>
      </c>
      <c r="N186" s="5">
        <f>INDEX(Demand!$E$6:$S$265,MATCH('SPC Backing (Hide)'!$B186,Demand!$B$6:$B$265,0),MATCH('SPC Backing (Hide)'!N$3,Demand!$E$5:$S$5,0))</f>
        <v>0</v>
      </c>
      <c r="O186" s="5">
        <f>INDEX(Demand!$E$6:$S$265,MATCH('SPC Backing (Hide)'!$B186,Demand!$B$6:$B$265,0),MATCH('SPC Backing (Hide)'!O$3,Demand!$E$5:$S$5,0))</f>
        <v>0</v>
      </c>
      <c r="P186" s="5">
        <f>INDEX(Demand!$E$6:$S$265,MATCH('SPC Backing (Hide)'!$B186,Demand!$B$6:$B$265,0),MATCH('SPC Backing (Hide)'!P$3,Demand!$E$5:$S$5,0))</f>
        <v>0</v>
      </c>
      <c r="Q186" s="6">
        <f>INDEX(Demand!$E$6:$S$265,MATCH('SPC Backing (Hide)'!$B186,Demand!$B$6:$B$265,0),MATCH('SPC Backing (Hide)'!Q$3,Demand!$E$5:$S$5,0))</f>
        <v>0</v>
      </c>
      <c r="R186">
        <f>IF(SPC!$B$11="Yes",IF(ROW(A183)&gt;=Demand!$A$5-52,1,0),IF(AND(B186&gt;=SPC!$B$12,B186&lt;SPC!$B$13),1,0))</f>
        <v>1</v>
      </c>
      <c r="S186" cm="1">
        <f t="array" ref="S186">INDEX($C$4:$Q$263,ROW(A183),MATCH($T$2,$C$3:$Q$3,0))</f>
        <v>0</v>
      </c>
      <c r="T186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86" cm="1">
        <f t="array" ref="U186">ABS(INDEX($C$4:$Q$263,ROW(A183),MATCH($T$2,$C$3:$Q$3,0))-INDEX($C$4:$Q$263,ROW(A182),MATCH($T$2,$C$3:$Q$3,0)))</f>
        <v>0</v>
      </c>
      <c r="V186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86">
        <f t="shared" si="30"/>
        <v>40.813595610865789</v>
      </c>
      <c r="X186">
        <f t="shared" si="31"/>
        <v>108.80449618627055</v>
      </c>
      <c r="Y186">
        <f t="shared" si="32"/>
        <v>149.61809179713634</v>
      </c>
      <c r="Z186">
        <f t="shared" si="33"/>
        <v>190.43168740800212</v>
      </c>
      <c r="AA186">
        <f t="shared" si="34"/>
        <v>272.05887862973373</v>
      </c>
      <c r="AB186">
        <f t="shared" si="35"/>
        <v>312.8724742405995</v>
      </c>
      <c r="AC186">
        <f t="shared" si="36"/>
        <v>353.68606985146528</v>
      </c>
      <c r="AD186">
        <f t="shared" si="37"/>
        <v>0</v>
      </c>
      <c r="AE186">
        <f t="shared" si="44"/>
        <v>-2</v>
      </c>
      <c r="AF186">
        <f t="shared" si="38"/>
        <v>0</v>
      </c>
      <c r="AG186">
        <f t="shared" si="39"/>
        <v>0</v>
      </c>
      <c r="AH186" t="e">
        <f t="shared" si="40"/>
        <v>#N/A</v>
      </c>
      <c r="AI186">
        <f t="shared" si="41"/>
        <v>-1</v>
      </c>
      <c r="AJ186">
        <f t="shared" si="42"/>
        <v>0</v>
      </c>
      <c r="AK186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86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86">
        <f t="shared" si="43"/>
        <v>14.699999999999989</v>
      </c>
    </row>
    <row r="187" spans="2:39" x14ac:dyDescent="0.35">
      <c r="B187" s="12" t="str">
        <f>Demand!B189</f>
        <v/>
      </c>
      <c r="C187" s="7">
        <f>INDEX(Demand!$E$6:$S$265,MATCH('SPC Backing (Hide)'!$B187,Demand!$B$6:$B$265,0),MATCH('SPC Backing (Hide)'!C$3,Demand!$E$5:$S$5,0))</f>
        <v>0</v>
      </c>
      <c r="D187" s="5">
        <f>INDEX(Demand!$E$6:$S$265,MATCH('SPC Backing (Hide)'!$B187,Demand!$B$6:$B$265,0),MATCH('SPC Backing (Hide)'!D$3,Demand!$E$5:$S$5,0))</f>
        <v>0</v>
      </c>
      <c r="E187" s="5">
        <f>INDEX(Demand!$E$6:$S$265,MATCH('SPC Backing (Hide)'!$B187,Demand!$B$6:$B$265,0),MATCH('SPC Backing (Hide)'!E$3,Demand!$E$5:$S$5,0))</f>
        <v>0</v>
      </c>
      <c r="F187" s="5">
        <f>INDEX(Demand!$E$6:$S$265,MATCH('SPC Backing (Hide)'!$B187,Demand!$B$6:$B$265,0),MATCH('SPC Backing (Hide)'!F$3,Demand!$E$5:$S$5,0))</f>
        <v>0</v>
      </c>
      <c r="G187" s="5">
        <f>INDEX(Demand!$E$6:$S$265,MATCH('SPC Backing (Hide)'!$B187,Demand!$B$6:$B$265,0),MATCH('SPC Backing (Hide)'!G$3,Demand!$E$5:$S$5,0))</f>
        <v>0</v>
      </c>
      <c r="H187" s="5">
        <f>INDEX(Demand!$E$6:$S$265,MATCH('SPC Backing (Hide)'!$B187,Demand!$B$6:$B$265,0),MATCH('SPC Backing (Hide)'!H$3,Demand!$E$5:$S$5,0))</f>
        <v>0</v>
      </c>
      <c r="I187" s="5">
        <f>INDEX(Demand!$E$6:$S$265,MATCH('SPC Backing (Hide)'!$B187,Demand!$B$6:$B$265,0),MATCH('SPC Backing (Hide)'!I$3,Demand!$E$5:$S$5,0))</f>
        <v>0</v>
      </c>
      <c r="J187" s="5">
        <f>INDEX(Demand!$E$6:$S$265,MATCH('SPC Backing (Hide)'!$B187,Demand!$B$6:$B$265,0),MATCH('SPC Backing (Hide)'!J$3,Demand!$E$5:$S$5,0))</f>
        <v>0</v>
      </c>
      <c r="K187" s="5">
        <f>INDEX(Demand!$E$6:$S$265,MATCH('SPC Backing (Hide)'!$B187,Demand!$B$6:$B$265,0),MATCH('SPC Backing (Hide)'!K$3,Demand!$E$5:$S$5,0))</f>
        <v>0</v>
      </c>
      <c r="L187" s="5">
        <f>INDEX(Demand!$E$6:$S$265,MATCH('SPC Backing (Hide)'!$B187,Demand!$B$6:$B$265,0),MATCH('SPC Backing (Hide)'!L$3,Demand!$E$5:$S$5,0))</f>
        <v>0</v>
      </c>
      <c r="M187" s="5">
        <f>INDEX(Demand!$E$6:$S$265,MATCH('SPC Backing (Hide)'!$B187,Demand!$B$6:$B$265,0),MATCH('SPC Backing (Hide)'!M$3,Demand!$E$5:$S$5,0))</f>
        <v>0</v>
      </c>
      <c r="N187" s="5">
        <f>INDEX(Demand!$E$6:$S$265,MATCH('SPC Backing (Hide)'!$B187,Demand!$B$6:$B$265,0),MATCH('SPC Backing (Hide)'!N$3,Demand!$E$5:$S$5,0))</f>
        <v>0</v>
      </c>
      <c r="O187" s="5">
        <f>INDEX(Demand!$E$6:$S$265,MATCH('SPC Backing (Hide)'!$B187,Demand!$B$6:$B$265,0),MATCH('SPC Backing (Hide)'!O$3,Demand!$E$5:$S$5,0))</f>
        <v>0</v>
      </c>
      <c r="P187" s="5">
        <f>INDEX(Demand!$E$6:$S$265,MATCH('SPC Backing (Hide)'!$B187,Demand!$B$6:$B$265,0),MATCH('SPC Backing (Hide)'!P$3,Demand!$E$5:$S$5,0))</f>
        <v>0</v>
      </c>
      <c r="Q187" s="6">
        <f>INDEX(Demand!$E$6:$S$265,MATCH('SPC Backing (Hide)'!$B187,Demand!$B$6:$B$265,0),MATCH('SPC Backing (Hide)'!Q$3,Demand!$E$5:$S$5,0))</f>
        <v>0</v>
      </c>
      <c r="R187">
        <f>IF(SPC!$B$11="Yes",IF(ROW(A184)&gt;=Demand!$A$5-52,1,0),IF(AND(B187&gt;=SPC!$B$12,B187&lt;SPC!$B$13),1,0))</f>
        <v>1</v>
      </c>
      <c r="S187" cm="1">
        <f t="array" ref="S187">INDEX($C$4:$Q$263,ROW(A184),MATCH($T$2,$C$3:$Q$3,0))</f>
        <v>0</v>
      </c>
      <c r="T187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87" cm="1">
        <f t="array" ref="U187">ABS(INDEX($C$4:$Q$263,ROW(A184),MATCH($T$2,$C$3:$Q$3,0))-INDEX($C$4:$Q$263,ROW(A183),MATCH($T$2,$C$3:$Q$3,0)))</f>
        <v>0</v>
      </c>
      <c r="V187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87">
        <f t="shared" si="30"/>
        <v>40.813595610865789</v>
      </c>
      <c r="X187">
        <f t="shared" si="31"/>
        <v>108.80449618627055</v>
      </c>
      <c r="Y187">
        <f t="shared" si="32"/>
        <v>149.61809179713634</v>
      </c>
      <c r="Z187">
        <f t="shared" si="33"/>
        <v>190.43168740800212</v>
      </c>
      <c r="AA187">
        <f t="shared" si="34"/>
        <v>272.05887862973373</v>
      </c>
      <c r="AB187">
        <f t="shared" si="35"/>
        <v>312.8724742405995</v>
      </c>
      <c r="AC187">
        <f t="shared" si="36"/>
        <v>353.68606985146528</v>
      </c>
      <c r="AD187">
        <f t="shared" si="37"/>
        <v>0</v>
      </c>
      <c r="AE187">
        <f t="shared" si="44"/>
        <v>-2</v>
      </c>
      <c r="AF187">
        <f t="shared" si="38"/>
        <v>0</v>
      </c>
      <c r="AG187">
        <f t="shared" si="39"/>
        <v>0</v>
      </c>
      <c r="AH187" t="e">
        <f t="shared" si="40"/>
        <v>#N/A</v>
      </c>
      <c r="AI187">
        <f t="shared" si="41"/>
        <v>-1</v>
      </c>
      <c r="AJ187">
        <f t="shared" si="42"/>
        <v>0</v>
      </c>
      <c r="AK187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87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87">
        <f t="shared" si="43"/>
        <v>14.699999999999989</v>
      </c>
    </row>
    <row r="188" spans="2:39" x14ac:dyDescent="0.35">
      <c r="B188" s="12" t="str">
        <f>Demand!B190</f>
        <v/>
      </c>
      <c r="C188" s="7">
        <f>INDEX(Demand!$E$6:$S$265,MATCH('SPC Backing (Hide)'!$B188,Demand!$B$6:$B$265,0),MATCH('SPC Backing (Hide)'!C$3,Demand!$E$5:$S$5,0))</f>
        <v>0</v>
      </c>
      <c r="D188" s="5">
        <f>INDEX(Demand!$E$6:$S$265,MATCH('SPC Backing (Hide)'!$B188,Demand!$B$6:$B$265,0),MATCH('SPC Backing (Hide)'!D$3,Demand!$E$5:$S$5,0))</f>
        <v>0</v>
      </c>
      <c r="E188" s="5">
        <f>INDEX(Demand!$E$6:$S$265,MATCH('SPC Backing (Hide)'!$B188,Demand!$B$6:$B$265,0),MATCH('SPC Backing (Hide)'!E$3,Demand!$E$5:$S$5,0))</f>
        <v>0</v>
      </c>
      <c r="F188" s="5">
        <f>INDEX(Demand!$E$6:$S$265,MATCH('SPC Backing (Hide)'!$B188,Demand!$B$6:$B$265,0),MATCH('SPC Backing (Hide)'!F$3,Demand!$E$5:$S$5,0))</f>
        <v>0</v>
      </c>
      <c r="G188" s="5">
        <f>INDEX(Demand!$E$6:$S$265,MATCH('SPC Backing (Hide)'!$B188,Demand!$B$6:$B$265,0),MATCH('SPC Backing (Hide)'!G$3,Demand!$E$5:$S$5,0))</f>
        <v>0</v>
      </c>
      <c r="H188" s="5">
        <f>INDEX(Demand!$E$6:$S$265,MATCH('SPC Backing (Hide)'!$B188,Demand!$B$6:$B$265,0),MATCH('SPC Backing (Hide)'!H$3,Demand!$E$5:$S$5,0))</f>
        <v>0</v>
      </c>
      <c r="I188" s="5">
        <f>INDEX(Demand!$E$6:$S$265,MATCH('SPC Backing (Hide)'!$B188,Demand!$B$6:$B$265,0),MATCH('SPC Backing (Hide)'!I$3,Demand!$E$5:$S$5,0))</f>
        <v>0</v>
      </c>
      <c r="J188" s="5">
        <f>INDEX(Demand!$E$6:$S$265,MATCH('SPC Backing (Hide)'!$B188,Demand!$B$6:$B$265,0),MATCH('SPC Backing (Hide)'!J$3,Demand!$E$5:$S$5,0))</f>
        <v>0</v>
      </c>
      <c r="K188" s="5">
        <f>INDEX(Demand!$E$6:$S$265,MATCH('SPC Backing (Hide)'!$B188,Demand!$B$6:$B$265,0),MATCH('SPC Backing (Hide)'!K$3,Demand!$E$5:$S$5,0))</f>
        <v>0</v>
      </c>
      <c r="L188" s="5">
        <f>INDEX(Demand!$E$6:$S$265,MATCH('SPC Backing (Hide)'!$B188,Demand!$B$6:$B$265,0),MATCH('SPC Backing (Hide)'!L$3,Demand!$E$5:$S$5,0))</f>
        <v>0</v>
      </c>
      <c r="M188" s="5">
        <f>INDEX(Demand!$E$6:$S$265,MATCH('SPC Backing (Hide)'!$B188,Demand!$B$6:$B$265,0),MATCH('SPC Backing (Hide)'!M$3,Demand!$E$5:$S$5,0))</f>
        <v>0</v>
      </c>
      <c r="N188" s="5">
        <f>INDEX(Demand!$E$6:$S$265,MATCH('SPC Backing (Hide)'!$B188,Demand!$B$6:$B$265,0),MATCH('SPC Backing (Hide)'!N$3,Demand!$E$5:$S$5,0))</f>
        <v>0</v>
      </c>
      <c r="O188" s="5">
        <f>INDEX(Demand!$E$6:$S$265,MATCH('SPC Backing (Hide)'!$B188,Demand!$B$6:$B$265,0),MATCH('SPC Backing (Hide)'!O$3,Demand!$E$5:$S$5,0))</f>
        <v>0</v>
      </c>
      <c r="P188" s="5">
        <f>INDEX(Demand!$E$6:$S$265,MATCH('SPC Backing (Hide)'!$B188,Demand!$B$6:$B$265,0),MATCH('SPC Backing (Hide)'!P$3,Demand!$E$5:$S$5,0))</f>
        <v>0</v>
      </c>
      <c r="Q188" s="6">
        <f>INDEX(Demand!$E$6:$S$265,MATCH('SPC Backing (Hide)'!$B188,Demand!$B$6:$B$265,0),MATCH('SPC Backing (Hide)'!Q$3,Demand!$E$5:$S$5,0))</f>
        <v>0</v>
      </c>
      <c r="R188">
        <f>IF(SPC!$B$11="Yes",IF(ROW(A185)&gt;=Demand!$A$5-52,1,0),IF(AND(B188&gt;=SPC!$B$12,B188&lt;SPC!$B$13),1,0))</f>
        <v>1</v>
      </c>
      <c r="S188" cm="1">
        <f t="array" ref="S188">INDEX($C$4:$Q$263,ROW(A185),MATCH($T$2,$C$3:$Q$3,0))</f>
        <v>0</v>
      </c>
      <c r="T188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88" cm="1">
        <f t="array" ref="U188">ABS(INDEX($C$4:$Q$263,ROW(A185),MATCH($T$2,$C$3:$Q$3,0))-INDEX($C$4:$Q$263,ROW(A184),MATCH($T$2,$C$3:$Q$3,0)))</f>
        <v>0</v>
      </c>
      <c r="V188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88">
        <f t="shared" si="30"/>
        <v>40.813595610865789</v>
      </c>
      <c r="X188">
        <f t="shared" si="31"/>
        <v>108.80449618627055</v>
      </c>
      <c r="Y188">
        <f t="shared" si="32"/>
        <v>149.61809179713634</v>
      </c>
      <c r="Z188">
        <f t="shared" si="33"/>
        <v>190.43168740800212</v>
      </c>
      <c r="AA188">
        <f t="shared" si="34"/>
        <v>272.05887862973373</v>
      </c>
      <c r="AB188">
        <f t="shared" si="35"/>
        <v>312.8724742405995</v>
      </c>
      <c r="AC188">
        <f t="shared" si="36"/>
        <v>353.68606985146528</v>
      </c>
      <c r="AD188">
        <f t="shared" si="37"/>
        <v>0</v>
      </c>
      <c r="AE188">
        <f t="shared" si="44"/>
        <v>-2</v>
      </c>
      <c r="AF188">
        <f t="shared" si="38"/>
        <v>0</v>
      </c>
      <c r="AG188">
        <f t="shared" si="39"/>
        <v>0</v>
      </c>
      <c r="AH188" t="e">
        <f t="shared" si="40"/>
        <v>#N/A</v>
      </c>
      <c r="AI188">
        <f t="shared" si="41"/>
        <v>-1</v>
      </c>
      <c r="AJ188">
        <f t="shared" si="42"/>
        <v>0</v>
      </c>
      <c r="AK188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88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88">
        <f t="shared" si="43"/>
        <v>14.699999999999989</v>
      </c>
    </row>
    <row r="189" spans="2:39" x14ac:dyDescent="0.35">
      <c r="B189" s="12" t="str">
        <f>Demand!B191</f>
        <v/>
      </c>
      <c r="C189" s="7">
        <f>INDEX(Demand!$E$6:$S$265,MATCH('SPC Backing (Hide)'!$B189,Demand!$B$6:$B$265,0),MATCH('SPC Backing (Hide)'!C$3,Demand!$E$5:$S$5,0))</f>
        <v>0</v>
      </c>
      <c r="D189" s="5">
        <f>INDEX(Demand!$E$6:$S$265,MATCH('SPC Backing (Hide)'!$B189,Demand!$B$6:$B$265,0),MATCH('SPC Backing (Hide)'!D$3,Demand!$E$5:$S$5,0))</f>
        <v>0</v>
      </c>
      <c r="E189" s="5">
        <f>INDEX(Demand!$E$6:$S$265,MATCH('SPC Backing (Hide)'!$B189,Demand!$B$6:$B$265,0),MATCH('SPC Backing (Hide)'!E$3,Demand!$E$5:$S$5,0))</f>
        <v>0</v>
      </c>
      <c r="F189" s="5">
        <f>INDEX(Demand!$E$6:$S$265,MATCH('SPC Backing (Hide)'!$B189,Demand!$B$6:$B$265,0),MATCH('SPC Backing (Hide)'!F$3,Demand!$E$5:$S$5,0))</f>
        <v>0</v>
      </c>
      <c r="G189" s="5">
        <f>INDEX(Demand!$E$6:$S$265,MATCH('SPC Backing (Hide)'!$B189,Demand!$B$6:$B$265,0),MATCH('SPC Backing (Hide)'!G$3,Demand!$E$5:$S$5,0))</f>
        <v>0</v>
      </c>
      <c r="H189" s="5">
        <f>INDEX(Demand!$E$6:$S$265,MATCH('SPC Backing (Hide)'!$B189,Demand!$B$6:$B$265,0),MATCH('SPC Backing (Hide)'!H$3,Demand!$E$5:$S$5,0))</f>
        <v>0</v>
      </c>
      <c r="I189" s="5">
        <f>INDEX(Demand!$E$6:$S$265,MATCH('SPC Backing (Hide)'!$B189,Demand!$B$6:$B$265,0),MATCH('SPC Backing (Hide)'!I$3,Demand!$E$5:$S$5,0))</f>
        <v>0</v>
      </c>
      <c r="J189" s="5">
        <f>INDEX(Demand!$E$6:$S$265,MATCH('SPC Backing (Hide)'!$B189,Demand!$B$6:$B$265,0),MATCH('SPC Backing (Hide)'!J$3,Demand!$E$5:$S$5,0))</f>
        <v>0</v>
      </c>
      <c r="K189" s="5">
        <f>INDEX(Demand!$E$6:$S$265,MATCH('SPC Backing (Hide)'!$B189,Demand!$B$6:$B$265,0),MATCH('SPC Backing (Hide)'!K$3,Demand!$E$5:$S$5,0))</f>
        <v>0</v>
      </c>
      <c r="L189" s="5">
        <f>INDEX(Demand!$E$6:$S$265,MATCH('SPC Backing (Hide)'!$B189,Demand!$B$6:$B$265,0),MATCH('SPC Backing (Hide)'!L$3,Demand!$E$5:$S$5,0))</f>
        <v>0</v>
      </c>
      <c r="M189" s="5">
        <f>INDEX(Demand!$E$6:$S$265,MATCH('SPC Backing (Hide)'!$B189,Demand!$B$6:$B$265,0),MATCH('SPC Backing (Hide)'!M$3,Demand!$E$5:$S$5,0))</f>
        <v>0</v>
      </c>
      <c r="N189" s="5">
        <f>INDEX(Demand!$E$6:$S$265,MATCH('SPC Backing (Hide)'!$B189,Demand!$B$6:$B$265,0),MATCH('SPC Backing (Hide)'!N$3,Demand!$E$5:$S$5,0))</f>
        <v>0</v>
      </c>
      <c r="O189" s="5">
        <f>INDEX(Demand!$E$6:$S$265,MATCH('SPC Backing (Hide)'!$B189,Demand!$B$6:$B$265,0),MATCH('SPC Backing (Hide)'!O$3,Demand!$E$5:$S$5,0))</f>
        <v>0</v>
      </c>
      <c r="P189" s="5">
        <f>INDEX(Demand!$E$6:$S$265,MATCH('SPC Backing (Hide)'!$B189,Demand!$B$6:$B$265,0),MATCH('SPC Backing (Hide)'!P$3,Demand!$E$5:$S$5,0))</f>
        <v>0</v>
      </c>
      <c r="Q189" s="6">
        <f>INDEX(Demand!$E$6:$S$265,MATCH('SPC Backing (Hide)'!$B189,Demand!$B$6:$B$265,0),MATCH('SPC Backing (Hide)'!Q$3,Demand!$E$5:$S$5,0))</f>
        <v>0</v>
      </c>
      <c r="R189">
        <f>IF(SPC!$B$11="Yes",IF(ROW(A186)&gt;=Demand!$A$5-52,1,0),IF(AND(B189&gt;=SPC!$B$12,B189&lt;SPC!$B$13),1,0))</f>
        <v>1</v>
      </c>
      <c r="S189" cm="1">
        <f t="array" ref="S189">INDEX($C$4:$Q$263,ROW(A186),MATCH($T$2,$C$3:$Q$3,0))</f>
        <v>0</v>
      </c>
      <c r="T189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89" cm="1">
        <f t="array" ref="U189">ABS(INDEX($C$4:$Q$263,ROW(A186),MATCH($T$2,$C$3:$Q$3,0))-INDEX($C$4:$Q$263,ROW(A185),MATCH($T$2,$C$3:$Q$3,0)))</f>
        <v>0</v>
      </c>
      <c r="V189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89">
        <f t="shared" si="30"/>
        <v>40.813595610865789</v>
      </c>
      <c r="X189">
        <f t="shared" si="31"/>
        <v>108.80449618627055</v>
      </c>
      <c r="Y189">
        <f t="shared" si="32"/>
        <v>149.61809179713634</v>
      </c>
      <c r="Z189">
        <f t="shared" si="33"/>
        <v>190.43168740800212</v>
      </c>
      <c r="AA189">
        <f t="shared" si="34"/>
        <v>272.05887862973373</v>
      </c>
      <c r="AB189">
        <f t="shared" si="35"/>
        <v>312.8724742405995</v>
      </c>
      <c r="AC189">
        <f t="shared" si="36"/>
        <v>353.68606985146528</v>
      </c>
      <c r="AD189">
        <f t="shared" si="37"/>
        <v>0</v>
      </c>
      <c r="AE189">
        <f t="shared" si="44"/>
        <v>-2</v>
      </c>
      <c r="AF189">
        <f t="shared" si="38"/>
        <v>0</v>
      </c>
      <c r="AG189">
        <f t="shared" si="39"/>
        <v>0</v>
      </c>
      <c r="AH189" t="e">
        <f t="shared" si="40"/>
        <v>#N/A</v>
      </c>
      <c r="AI189">
        <f t="shared" si="41"/>
        <v>-1</v>
      </c>
      <c r="AJ189">
        <f t="shared" si="42"/>
        <v>0</v>
      </c>
      <c r="AK189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89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89">
        <f t="shared" si="43"/>
        <v>14.699999999999989</v>
      </c>
    </row>
    <row r="190" spans="2:39" x14ac:dyDescent="0.35">
      <c r="B190" s="12" t="str">
        <f>Demand!B192</f>
        <v/>
      </c>
      <c r="C190" s="7">
        <f>INDEX(Demand!$E$6:$S$265,MATCH('SPC Backing (Hide)'!$B190,Demand!$B$6:$B$265,0),MATCH('SPC Backing (Hide)'!C$3,Demand!$E$5:$S$5,0))</f>
        <v>0</v>
      </c>
      <c r="D190" s="5">
        <f>INDEX(Demand!$E$6:$S$265,MATCH('SPC Backing (Hide)'!$B190,Demand!$B$6:$B$265,0),MATCH('SPC Backing (Hide)'!D$3,Demand!$E$5:$S$5,0))</f>
        <v>0</v>
      </c>
      <c r="E190" s="5">
        <f>INDEX(Demand!$E$6:$S$265,MATCH('SPC Backing (Hide)'!$B190,Demand!$B$6:$B$265,0),MATCH('SPC Backing (Hide)'!E$3,Demand!$E$5:$S$5,0))</f>
        <v>0</v>
      </c>
      <c r="F190" s="5">
        <f>INDEX(Demand!$E$6:$S$265,MATCH('SPC Backing (Hide)'!$B190,Demand!$B$6:$B$265,0),MATCH('SPC Backing (Hide)'!F$3,Demand!$E$5:$S$5,0))</f>
        <v>0</v>
      </c>
      <c r="G190" s="5">
        <f>INDEX(Demand!$E$6:$S$265,MATCH('SPC Backing (Hide)'!$B190,Demand!$B$6:$B$265,0),MATCH('SPC Backing (Hide)'!G$3,Demand!$E$5:$S$5,0))</f>
        <v>0</v>
      </c>
      <c r="H190" s="5">
        <f>INDEX(Demand!$E$6:$S$265,MATCH('SPC Backing (Hide)'!$B190,Demand!$B$6:$B$265,0),MATCH('SPC Backing (Hide)'!H$3,Demand!$E$5:$S$5,0))</f>
        <v>0</v>
      </c>
      <c r="I190" s="5">
        <f>INDEX(Demand!$E$6:$S$265,MATCH('SPC Backing (Hide)'!$B190,Demand!$B$6:$B$265,0),MATCH('SPC Backing (Hide)'!I$3,Demand!$E$5:$S$5,0))</f>
        <v>0</v>
      </c>
      <c r="J190" s="5">
        <f>INDEX(Demand!$E$6:$S$265,MATCH('SPC Backing (Hide)'!$B190,Demand!$B$6:$B$265,0),MATCH('SPC Backing (Hide)'!J$3,Demand!$E$5:$S$5,0))</f>
        <v>0</v>
      </c>
      <c r="K190" s="5">
        <f>INDEX(Demand!$E$6:$S$265,MATCH('SPC Backing (Hide)'!$B190,Demand!$B$6:$B$265,0),MATCH('SPC Backing (Hide)'!K$3,Demand!$E$5:$S$5,0))</f>
        <v>0</v>
      </c>
      <c r="L190" s="5">
        <f>INDEX(Demand!$E$6:$S$265,MATCH('SPC Backing (Hide)'!$B190,Demand!$B$6:$B$265,0),MATCH('SPC Backing (Hide)'!L$3,Demand!$E$5:$S$5,0))</f>
        <v>0</v>
      </c>
      <c r="M190" s="5">
        <f>INDEX(Demand!$E$6:$S$265,MATCH('SPC Backing (Hide)'!$B190,Demand!$B$6:$B$265,0),MATCH('SPC Backing (Hide)'!M$3,Demand!$E$5:$S$5,0))</f>
        <v>0</v>
      </c>
      <c r="N190" s="5">
        <f>INDEX(Demand!$E$6:$S$265,MATCH('SPC Backing (Hide)'!$B190,Demand!$B$6:$B$265,0),MATCH('SPC Backing (Hide)'!N$3,Demand!$E$5:$S$5,0))</f>
        <v>0</v>
      </c>
      <c r="O190" s="5">
        <f>INDEX(Demand!$E$6:$S$265,MATCH('SPC Backing (Hide)'!$B190,Demand!$B$6:$B$265,0),MATCH('SPC Backing (Hide)'!O$3,Demand!$E$5:$S$5,0))</f>
        <v>0</v>
      </c>
      <c r="P190" s="5">
        <f>INDEX(Demand!$E$6:$S$265,MATCH('SPC Backing (Hide)'!$B190,Demand!$B$6:$B$265,0),MATCH('SPC Backing (Hide)'!P$3,Demand!$E$5:$S$5,0))</f>
        <v>0</v>
      </c>
      <c r="Q190" s="6">
        <f>INDEX(Demand!$E$6:$S$265,MATCH('SPC Backing (Hide)'!$B190,Demand!$B$6:$B$265,0),MATCH('SPC Backing (Hide)'!Q$3,Demand!$E$5:$S$5,0))</f>
        <v>0</v>
      </c>
      <c r="R190">
        <f>IF(SPC!$B$11="Yes",IF(ROW(A187)&gt;=Demand!$A$5-52,1,0),IF(AND(B190&gt;=SPC!$B$12,B190&lt;SPC!$B$13),1,0))</f>
        <v>1</v>
      </c>
      <c r="S190" cm="1">
        <f t="array" ref="S190">INDEX($C$4:$Q$263,ROW(A187),MATCH($T$2,$C$3:$Q$3,0))</f>
        <v>0</v>
      </c>
      <c r="T190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90" cm="1">
        <f t="array" ref="U190">ABS(INDEX($C$4:$Q$263,ROW(A187),MATCH($T$2,$C$3:$Q$3,0))-INDEX($C$4:$Q$263,ROW(A186),MATCH($T$2,$C$3:$Q$3,0)))</f>
        <v>0</v>
      </c>
      <c r="V190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90">
        <f t="shared" si="30"/>
        <v>40.813595610865789</v>
      </c>
      <c r="X190">
        <f t="shared" si="31"/>
        <v>108.80449618627055</v>
      </c>
      <c r="Y190">
        <f t="shared" si="32"/>
        <v>149.61809179713634</v>
      </c>
      <c r="Z190">
        <f t="shared" si="33"/>
        <v>190.43168740800212</v>
      </c>
      <c r="AA190">
        <f t="shared" si="34"/>
        <v>272.05887862973373</v>
      </c>
      <c r="AB190">
        <f t="shared" si="35"/>
        <v>312.8724742405995</v>
      </c>
      <c r="AC190">
        <f t="shared" si="36"/>
        <v>353.68606985146528</v>
      </c>
      <c r="AD190">
        <f t="shared" si="37"/>
        <v>0</v>
      </c>
      <c r="AE190">
        <f t="shared" si="44"/>
        <v>-2</v>
      </c>
      <c r="AF190">
        <f t="shared" si="38"/>
        <v>0</v>
      </c>
      <c r="AG190">
        <f t="shared" si="39"/>
        <v>0</v>
      </c>
      <c r="AH190" t="e">
        <f t="shared" si="40"/>
        <v>#N/A</v>
      </c>
      <c r="AI190">
        <f t="shared" si="41"/>
        <v>-1</v>
      </c>
      <c r="AJ190">
        <f t="shared" si="42"/>
        <v>0</v>
      </c>
      <c r="AK190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90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90">
        <f t="shared" si="43"/>
        <v>14.699999999999989</v>
      </c>
    </row>
    <row r="191" spans="2:39" x14ac:dyDescent="0.35">
      <c r="B191" s="12" t="str">
        <f>Demand!B193</f>
        <v/>
      </c>
      <c r="C191" s="7">
        <f>INDEX(Demand!$E$6:$S$265,MATCH('SPC Backing (Hide)'!$B191,Demand!$B$6:$B$265,0),MATCH('SPC Backing (Hide)'!C$3,Demand!$E$5:$S$5,0))</f>
        <v>0</v>
      </c>
      <c r="D191" s="5">
        <f>INDEX(Demand!$E$6:$S$265,MATCH('SPC Backing (Hide)'!$B191,Demand!$B$6:$B$265,0),MATCH('SPC Backing (Hide)'!D$3,Demand!$E$5:$S$5,0))</f>
        <v>0</v>
      </c>
      <c r="E191" s="5">
        <f>INDEX(Demand!$E$6:$S$265,MATCH('SPC Backing (Hide)'!$B191,Demand!$B$6:$B$265,0),MATCH('SPC Backing (Hide)'!E$3,Demand!$E$5:$S$5,0))</f>
        <v>0</v>
      </c>
      <c r="F191" s="5">
        <f>INDEX(Demand!$E$6:$S$265,MATCH('SPC Backing (Hide)'!$B191,Demand!$B$6:$B$265,0),MATCH('SPC Backing (Hide)'!F$3,Demand!$E$5:$S$5,0))</f>
        <v>0</v>
      </c>
      <c r="G191" s="5">
        <f>INDEX(Demand!$E$6:$S$265,MATCH('SPC Backing (Hide)'!$B191,Demand!$B$6:$B$265,0),MATCH('SPC Backing (Hide)'!G$3,Demand!$E$5:$S$5,0))</f>
        <v>0</v>
      </c>
      <c r="H191" s="5">
        <f>INDEX(Demand!$E$6:$S$265,MATCH('SPC Backing (Hide)'!$B191,Demand!$B$6:$B$265,0),MATCH('SPC Backing (Hide)'!H$3,Demand!$E$5:$S$5,0))</f>
        <v>0</v>
      </c>
      <c r="I191" s="5">
        <f>INDEX(Demand!$E$6:$S$265,MATCH('SPC Backing (Hide)'!$B191,Demand!$B$6:$B$265,0),MATCH('SPC Backing (Hide)'!I$3,Demand!$E$5:$S$5,0))</f>
        <v>0</v>
      </c>
      <c r="J191" s="5">
        <f>INDEX(Demand!$E$6:$S$265,MATCH('SPC Backing (Hide)'!$B191,Demand!$B$6:$B$265,0),MATCH('SPC Backing (Hide)'!J$3,Demand!$E$5:$S$5,0))</f>
        <v>0</v>
      </c>
      <c r="K191" s="5">
        <f>INDEX(Demand!$E$6:$S$265,MATCH('SPC Backing (Hide)'!$B191,Demand!$B$6:$B$265,0),MATCH('SPC Backing (Hide)'!K$3,Demand!$E$5:$S$5,0))</f>
        <v>0</v>
      </c>
      <c r="L191" s="5">
        <f>INDEX(Demand!$E$6:$S$265,MATCH('SPC Backing (Hide)'!$B191,Demand!$B$6:$B$265,0),MATCH('SPC Backing (Hide)'!L$3,Demand!$E$5:$S$5,0))</f>
        <v>0</v>
      </c>
      <c r="M191" s="5">
        <f>INDEX(Demand!$E$6:$S$265,MATCH('SPC Backing (Hide)'!$B191,Demand!$B$6:$B$265,0),MATCH('SPC Backing (Hide)'!M$3,Demand!$E$5:$S$5,0))</f>
        <v>0</v>
      </c>
      <c r="N191" s="5">
        <f>INDEX(Demand!$E$6:$S$265,MATCH('SPC Backing (Hide)'!$B191,Demand!$B$6:$B$265,0),MATCH('SPC Backing (Hide)'!N$3,Demand!$E$5:$S$5,0))</f>
        <v>0</v>
      </c>
      <c r="O191" s="5">
        <f>INDEX(Demand!$E$6:$S$265,MATCH('SPC Backing (Hide)'!$B191,Demand!$B$6:$B$265,0),MATCH('SPC Backing (Hide)'!O$3,Demand!$E$5:$S$5,0))</f>
        <v>0</v>
      </c>
      <c r="P191" s="5">
        <f>INDEX(Demand!$E$6:$S$265,MATCH('SPC Backing (Hide)'!$B191,Demand!$B$6:$B$265,0),MATCH('SPC Backing (Hide)'!P$3,Demand!$E$5:$S$5,0))</f>
        <v>0</v>
      </c>
      <c r="Q191" s="6">
        <f>INDEX(Demand!$E$6:$S$265,MATCH('SPC Backing (Hide)'!$B191,Demand!$B$6:$B$265,0),MATCH('SPC Backing (Hide)'!Q$3,Demand!$E$5:$S$5,0))</f>
        <v>0</v>
      </c>
      <c r="R191">
        <f>IF(SPC!$B$11="Yes",IF(ROW(A188)&gt;=Demand!$A$5-52,1,0),IF(AND(B191&gt;=SPC!$B$12,B191&lt;SPC!$B$13),1,0))</f>
        <v>1</v>
      </c>
      <c r="S191" cm="1">
        <f t="array" ref="S191">INDEX($C$4:$Q$263,ROW(A188),MATCH($T$2,$C$3:$Q$3,0))</f>
        <v>0</v>
      </c>
      <c r="T191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91" cm="1">
        <f t="array" ref="U191">ABS(INDEX($C$4:$Q$263,ROW(A188),MATCH($T$2,$C$3:$Q$3,0))-INDEX($C$4:$Q$263,ROW(A187),MATCH($T$2,$C$3:$Q$3,0)))</f>
        <v>0</v>
      </c>
      <c r="V191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91">
        <f t="shared" si="30"/>
        <v>40.813595610865789</v>
      </c>
      <c r="X191">
        <f t="shared" si="31"/>
        <v>108.80449618627055</v>
      </c>
      <c r="Y191">
        <f t="shared" si="32"/>
        <v>149.61809179713634</v>
      </c>
      <c r="Z191">
        <f t="shared" si="33"/>
        <v>190.43168740800212</v>
      </c>
      <c r="AA191">
        <f t="shared" si="34"/>
        <v>272.05887862973373</v>
      </c>
      <c r="AB191">
        <f t="shared" si="35"/>
        <v>312.8724742405995</v>
      </c>
      <c r="AC191">
        <f t="shared" si="36"/>
        <v>353.68606985146528</v>
      </c>
      <c r="AD191">
        <f t="shared" si="37"/>
        <v>0</v>
      </c>
      <c r="AE191">
        <f t="shared" si="44"/>
        <v>-2</v>
      </c>
      <c r="AF191">
        <f t="shared" si="38"/>
        <v>0</v>
      </c>
      <c r="AG191">
        <f t="shared" si="39"/>
        <v>0</v>
      </c>
      <c r="AH191" t="e">
        <f t="shared" si="40"/>
        <v>#N/A</v>
      </c>
      <c r="AI191">
        <f t="shared" si="41"/>
        <v>-1</v>
      </c>
      <c r="AJ191">
        <f t="shared" si="42"/>
        <v>0</v>
      </c>
      <c r="AK191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91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91">
        <f t="shared" si="43"/>
        <v>14.699999999999989</v>
      </c>
    </row>
    <row r="192" spans="2:39" x14ac:dyDescent="0.35">
      <c r="B192" s="12" t="str">
        <f>Demand!B194</f>
        <v/>
      </c>
      <c r="C192" s="7">
        <f>INDEX(Demand!$E$6:$S$265,MATCH('SPC Backing (Hide)'!$B192,Demand!$B$6:$B$265,0),MATCH('SPC Backing (Hide)'!C$3,Demand!$E$5:$S$5,0))</f>
        <v>0</v>
      </c>
      <c r="D192" s="5">
        <f>INDEX(Demand!$E$6:$S$265,MATCH('SPC Backing (Hide)'!$B192,Demand!$B$6:$B$265,0),MATCH('SPC Backing (Hide)'!D$3,Demand!$E$5:$S$5,0))</f>
        <v>0</v>
      </c>
      <c r="E192" s="5">
        <f>INDEX(Demand!$E$6:$S$265,MATCH('SPC Backing (Hide)'!$B192,Demand!$B$6:$B$265,0),MATCH('SPC Backing (Hide)'!E$3,Demand!$E$5:$S$5,0))</f>
        <v>0</v>
      </c>
      <c r="F192" s="5">
        <f>INDEX(Demand!$E$6:$S$265,MATCH('SPC Backing (Hide)'!$B192,Demand!$B$6:$B$265,0),MATCH('SPC Backing (Hide)'!F$3,Demand!$E$5:$S$5,0))</f>
        <v>0</v>
      </c>
      <c r="G192" s="5">
        <f>INDEX(Demand!$E$6:$S$265,MATCH('SPC Backing (Hide)'!$B192,Demand!$B$6:$B$265,0),MATCH('SPC Backing (Hide)'!G$3,Demand!$E$5:$S$5,0))</f>
        <v>0</v>
      </c>
      <c r="H192" s="5">
        <f>INDEX(Demand!$E$6:$S$265,MATCH('SPC Backing (Hide)'!$B192,Demand!$B$6:$B$265,0),MATCH('SPC Backing (Hide)'!H$3,Demand!$E$5:$S$5,0))</f>
        <v>0</v>
      </c>
      <c r="I192" s="5">
        <f>INDEX(Demand!$E$6:$S$265,MATCH('SPC Backing (Hide)'!$B192,Demand!$B$6:$B$265,0),MATCH('SPC Backing (Hide)'!I$3,Demand!$E$5:$S$5,0))</f>
        <v>0</v>
      </c>
      <c r="J192" s="5">
        <f>INDEX(Demand!$E$6:$S$265,MATCH('SPC Backing (Hide)'!$B192,Demand!$B$6:$B$265,0),MATCH('SPC Backing (Hide)'!J$3,Demand!$E$5:$S$5,0))</f>
        <v>0</v>
      </c>
      <c r="K192" s="5">
        <f>INDEX(Demand!$E$6:$S$265,MATCH('SPC Backing (Hide)'!$B192,Demand!$B$6:$B$265,0),MATCH('SPC Backing (Hide)'!K$3,Demand!$E$5:$S$5,0))</f>
        <v>0</v>
      </c>
      <c r="L192" s="5">
        <f>INDEX(Demand!$E$6:$S$265,MATCH('SPC Backing (Hide)'!$B192,Demand!$B$6:$B$265,0),MATCH('SPC Backing (Hide)'!L$3,Demand!$E$5:$S$5,0))</f>
        <v>0</v>
      </c>
      <c r="M192" s="5">
        <f>INDEX(Demand!$E$6:$S$265,MATCH('SPC Backing (Hide)'!$B192,Demand!$B$6:$B$265,0),MATCH('SPC Backing (Hide)'!M$3,Demand!$E$5:$S$5,0))</f>
        <v>0</v>
      </c>
      <c r="N192" s="5">
        <f>INDEX(Demand!$E$6:$S$265,MATCH('SPC Backing (Hide)'!$B192,Demand!$B$6:$B$265,0),MATCH('SPC Backing (Hide)'!N$3,Demand!$E$5:$S$5,0))</f>
        <v>0</v>
      </c>
      <c r="O192" s="5">
        <f>INDEX(Demand!$E$6:$S$265,MATCH('SPC Backing (Hide)'!$B192,Demand!$B$6:$B$265,0),MATCH('SPC Backing (Hide)'!O$3,Demand!$E$5:$S$5,0))</f>
        <v>0</v>
      </c>
      <c r="P192" s="5">
        <f>INDEX(Demand!$E$6:$S$265,MATCH('SPC Backing (Hide)'!$B192,Demand!$B$6:$B$265,0),MATCH('SPC Backing (Hide)'!P$3,Demand!$E$5:$S$5,0))</f>
        <v>0</v>
      </c>
      <c r="Q192" s="6">
        <f>INDEX(Demand!$E$6:$S$265,MATCH('SPC Backing (Hide)'!$B192,Demand!$B$6:$B$265,0),MATCH('SPC Backing (Hide)'!Q$3,Demand!$E$5:$S$5,0))</f>
        <v>0</v>
      </c>
      <c r="R192">
        <f>IF(SPC!$B$11="Yes",IF(ROW(A189)&gt;=Demand!$A$5-52,1,0),IF(AND(B192&gt;=SPC!$B$12,B192&lt;SPC!$B$13),1,0))</f>
        <v>1</v>
      </c>
      <c r="S192" cm="1">
        <f t="array" ref="S192">INDEX($C$4:$Q$263,ROW(A189),MATCH($T$2,$C$3:$Q$3,0))</f>
        <v>0</v>
      </c>
      <c r="T192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92" cm="1">
        <f t="array" ref="U192">ABS(INDEX($C$4:$Q$263,ROW(A189),MATCH($T$2,$C$3:$Q$3,0))-INDEX($C$4:$Q$263,ROW(A188),MATCH($T$2,$C$3:$Q$3,0)))</f>
        <v>0</v>
      </c>
      <c r="V192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92">
        <f t="shared" si="30"/>
        <v>40.813595610865789</v>
      </c>
      <c r="X192">
        <f t="shared" si="31"/>
        <v>108.80449618627055</v>
      </c>
      <c r="Y192">
        <f t="shared" si="32"/>
        <v>149.61809179713634</v>
      </c>
      <c r="Z192">
        <f t="shared" si="33"/>
        <v>190.43168740800212</v>
      </c>
      <c r="AA192">
        <f t="shared" si="34"/>
        <v>272.05887862973373</v>
      </c>
      <c r="AB192">
        <f t="shared" si="35"/>
        <v>312.8724742405995</v>
      </c>
      <c r="AC192">
        <f t="shared" si="36"/>
        <v>353.68606985146528</v>
      </c>
      <c r="AD192">
        <f t="shared" si="37"/>
        <v>0</v>
      </c>
      <c r="AE192">
        <f t="shared" si="44"/>
        <v>-2</v>
      </c>
      <c r="AF192">
        <f t="shared" si="38"/>
        <v>0</v>
      </c>
      <c r="AG192">
        <f t="shared" si="39"/>
        <v>0</v>
      </c>
      <c r="AH192" t="e">
        <f t="shared" si="40"/>
        <v>#N/A</v>
      </c>
      <c r="AI192">
        <f t="shared" si="41"/>
        <v>-1</v>
      </c>
      <c r="AJ192">
        <f t="shared" si="42"/>
        <v>0</v>
      </c>
      <c r="AK192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92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92">
        <f t="shared" si="43"/>
        <v>14.699999999999989</v>
      </c>
    </row>
    <row r="193" spans="2:39" x14ac:dyDescent="0.35">
      <c r="B193" s="12" t="str">
        <f>Demand!B195</f>
        <v/>
      </c>
      <c r="C193" s="7">
        <f>INDEX(Demand!$E$6:$S$265,MATCH('SPC Backing (Hide)'!$B193,Demand!$B$6:$B$265,0),MATCH('SPC Backing (Hide)'!C$3,Demand!$E$5:$S$5,0))</f>
        <v>0</v>
      </c>
      <c r="D193" s="5">
        <f>INDEX(Demand!$E$6:$S$265,MATCH('SPC Backing (Hide)'!$B193,Demand!$B$6:$B$265,0),MATCH('SPC Backing (Hide)'!D$3,Demand!$E$5:$S$5,0))</f>
        <v>0</v>
      </c>
      <c r="E193" s="5">
        <f>INDEX(Demand!$E$6:$S$265,MATCH('SPC Backing (Hide)'!$B193,Demand!$B$6:$B$265,0),MATCH('SPC Backing (Hide)'!E$3,Demand!$E$5:$S$5,0))</f>
        <v>0</v>
      </c>
      <c r="F193" s="5">
        <f>INDEX(Demand!$E$6:$S$265,MATCH('SPC Backing (Hide)'!$B193,Demand!$B$6:$B$265,0),MATCH('SPC Backing (Hide)'!F$3,Demand!$E$5:$S$5,0))</f>
        <v>0</v>
      </c>
      <c r="G193" s="5">
        <f>INDEX(Demand!$E$6:$S$265,MATCH('SPC Backing (Hide)'!$B193,Demand!$B$6:$B$265,0),MATCH('SPC Backing (Hide)'!G$3,Demand!$E$5:$S$5,0))</f>
        <v>0</v>
      </c>
      <c r="H193" s="5">
        <f>INDEX(Demand!$E$6:$S$265,MATCH('SPC Backing (Hide)'!$B193,Demand!$B$6:$B$265,0),MATCH('SPC Backing (Hide)'!H$3,Demand!$E$5:$S$5,0))</f>
        <v>0</v>
      </c>
      <c r="I193" s="5">
        <f>INDEX(Demand!$E$6:$S$265,MATCH('SPC Backing (Hide)'!$B193,Demand!$B$6:$B$265,0),MATCH('SPC Backing (Hide)'!I$3,Demand!$E$5:$S$5,0))</f>
        <v>0</v>
      </c>
      <c r="J193" s="5">
        <f>INDEX(Demand!$E$6:$S$265,MATCH('SPC Backing (Hide)'!$B193,Demand!$B$6:$B$265,0),MATCH('SPC Backing (Hide)'!J$3,Demand!$E$5:$S$5,0))</f>
        <v>0</v>
      </c>
      <c r="K193" s="5">
        <f>INDEX(Demand!$E$6:$S$265,MATCH('SPC Backing (Hide)'!$B193,Demand!$B$6:$B$265,0),MATCH('SPC Backing (Hide)'!K$3,Demand!$E$5:$S$5,0))</f>
        <v>0</v>
      </c>
      <c r="L193" s="5">
        <f>INDEX(Demand!$E$6:$S$265,MATCH('SPC Backing (Hide)'!$B193,Demand!$B$6:$B$265,0),MATCH('SPC Backing (Hide)'!L$3,Demand!$E$5:$S$5,0))</f>
        <v>0</v>
      </c>
      <c r="M193" s="5">
        <f>INDEX(Demand!$E$6:$S$265,MATCH('SPC Backing (Hide)'!$B193,Demand!$B$6:$B$265,0),MATCH('SPC Backing (Hide)'!M$3,Demand!$E$5:$S$5,0))</f>
        <v>0</v>
      </c>
      <c r="N193" s="5">
        <f>INDEX(Demand!$E$6:$S$265,MATCH('SPC Backing (Hide)'!$B193,Demand!$B$6:$B$265,0),MATCH('SPC Backing (Hide)'!N$3,Demand!$E$5:$S$5,0))</f>
        <v>0</v>
      </c>
      <c r="O193" s="5">
        <f>INDEX(Demand!$E$6:$S$265,MATCH('SPC Backing (Hide)'!$B193,Demand!$B$6:$B$265,0),MATCH('SPC Backing (Hide)'!O$3,Demand!$E$5:$S$5,0))</f>
        <v>0</v>
      </c>
      <c r="P193" s="5">
        <f>INDEX(Demand!$E$6:$S$265,MATCH('SPC Backing (Hide)'!$B193,Demand!$B$6:$B$265,0),MATCH('SPC Backing (Hide)'!P$3,Demand!$E$5:$S$5,0))</f>
        <v>0</v>
      </c>
      <c r="Q193" s="6">
        <f>INDEX(Demand!$E$6:$S$265,MATCH('SPC Backing (Hide)'!$B193,Demand!$B$6:$B$265,0),MATCH('SPC Backing (Hide)'!Q$3,Demand!$E$5:$S$5,0))</f>
        <v>0</v>
      </c>
      <c r="R193">
        <f>IF(SPC!$B$11="Yes",IF(ROW(A190)&gt;=Demand!$A$5-52,1,0),IF(AND(B193&gt;=SPC!$B$12,B193&lt;SPC!$B$13),1,0))</f>
        <v>1</v>
      </c>
      <c r="S193" cm="1">
        <f t="array" ref="S193">INDEX($C$4:$Q$263,ROW(A190),MATCH($T$2,$C$3:$Q$3,0))</f>
        <v>0</v>
      </c>
      <c r="T193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93" cm="1">
        <f t="array" ref="U193">ABS(INDEX($C$4:$Q$263,ROW(A190),MATCH($T$2,$C$3:$Q$3,0))-INDEX($C$4:$Q$263,ROW(A189),MATCH($T$2,$C$3:$Q$3,0)))</f>
        <v>0</v>
      </c>
      <c r="V193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93">
        <f t="shared" si="30"/>
        <v>40.813595610865789</v>
      </c>
      <c r="X193">
        <f t="shared" si="31"/>
        <v>108.80449618627055</v>
      </c>
      <c r="Y193">
        <f t="shared" si="32"/>
        <v>149.61809179713634</v>
      </c>
      <c r="Z193">
        <f t="shared" si="33"/>
        <v>190.43168740800212</v>
      </c>
      <c r="AA193">
        <f t="shared" si="34"/>
        <v>272.05887862973373</v>
      </c>
      <c r="AB193">
        <f t="shared" si="35"/>
        <v>312.8724742405995</v>
      </c>
      <c r="AC193">
        <f t="shared" si="36"/>
        <v>353.68606985146528</v>
      </c>
      <c r="AD193">
        <f t="shared" si="37"/>
        <v>0</v>
      </c>
      <c r="AE193">
        <f t="shared" si="44"/>
        <v>-2</v>
      </c>
      <c r="AF193">
        <f t="shared" si="38"/>
        <v>0</v>
      </c>
      <c r="AG193">
        <f t="shared" si="39"/>
        <v>0</v>
      </c>
      <c r="AH193" t="e">
        <f t="shared" si="40"/>
        <v>#N/A</v>
      </c>
      <c r="AI193">
        <f t="shared" si="41"/>
        <v>-1</v>
      </c>
      <c r="AJ193">
        <f t="shared" si="42"/>
        <v>0</v>
      </c>
      <c r="AK193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93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93">
        <f t="shared" si="43"/>
        <v>14.699999999999989</v>
      </c>
    </row>
    <row r="194" spans="2:39" x14ac:dyDescent="0.35">
      <c r="B194" s="12" t="str">
        <f>Demand!B196</f>
        <v/>
      </c>
      <c r="C194" s="7">
        <f>INDEX(Demand!$E$6:$S$265,MATCH('SPC Backing (Hide)'!$B194,Demand!$B$6:$B$265,0),MATCH('SPC Backing (Hide)'!C$3,Demand!$E$5:$S$5,0))</f>
        <v>0</v>
      </c>
      <c r="D194" s="5">
        <f>INDEX(Demand!$E$6:$S$265,MATCH('SPC Backing (Hide)'!$B194,Demand!$B$6:$B$265,0),MATCH('SPC Backing (Hide)'!D$3,Demand!$E$5:$S$5,0))</f>
        <v>0</v>
      </c>
      <c r="E194" s="5">
        <f>INDEX(Demand!$E$6:$S$265,MATCH('SPC Backing (Hide)'!$B194,Demand!$B$6:$B$265,0),MATCH('SPC Backing (Hide)'!E$3,Demand!$E$5:$S$5,0))</f>
        <v>0</v>
      </c>
      <c r="F194" s="5">
        <f>INDEX(Demand!$E$6:$S$265,MATCH('SPC Backing (Hide)'!$B194,Demand!$B$6:$B$265,0),MATCH('SPC Backing (Hide)'!F$3,Demand!$E$5:$S$5,0))</f>
        <v>0</v>
      </c>
      <c r="G194" s="5">
        <f>INDEX(Demand!$E$6:$S$265,MATCH('SPC Backing (Hide)'!$B194,Demand!$B$6:$B$265,0),MATCH('SPC Backing (Hide)'!G$3,Demand!$E$5:$S$5,0))</f>
        <v>0</v>
      </c>
      <c r="H194" s="5">
        <f>INDEX(Demand!$E$6:$S$265,MATCH('SPC Backing (Hide)'!$B194,Demand!$B$6:$B$265,0),MATCH('SPC Backing (Hide)'!H$3,Demand!$E$5:$S$5,0))</f>
        <v>0</v>
      </c>
      <c r="I194" s="5">
        <f>INDEX(Demand!$E$6:$S$265,MATCH('SPC Backing (Hide)'!$B194,Demand!$B$6:$B$265,0),MATCH('SPC Backing (Hide)'!I$3,Demand!$E$5:$S$5,0))</f>
        <v>0</v>
      </c>
      <c r="J194" s="5">
        <f>INDEX(Demand!$E$6:$S$265,MATCH('SPC Backing (Hide)'!$B194,Demand!$B$6:$B$265,0),MATCH('SPC Backing (Hide)'!J$3,Demand!$E$5:$S$5,0))</f>
        <v>0</v>
      </c>
      <c r="K194" s="5">
        <f>INDEX(Demand!$E$6:$S$265,MATCH('SPC Backing (Hide)'!$B194,Demand!$B$6:$B$265,0),MATCH('SPC Backing (Hide)'!K$3,Demand!$E$5:$S$5,0))</f>
        <v>0</v>
      </c>
      <c r="L194" s="5">
        <f>INDEX(Demand!$E$6:$S$265,MATCH('SPC Backing (Hide)'!$B194,Demand!$B$6:$B$265,0),MATCH('SPC Backing (Hide)'!L$3,Demand!$E$5:$S$5,0))</f>
        <v>0</v>
      </c>
      <c r="M194" s="5">
        <f>INDEX(Demand!$E$6:$S$265,MATCH('SPC Backing (Hide)'!$B194,Demand!$B$6:$B$265,0),MATCH('SPC Backing (Hide)'!M$3,Demand!$E$5:$S$5,0))</f>
        <v>0</v>
      </c>
      <c r="N194" s="5">
        <f>INDEX(Demand!$E$6:$S$265,MATCH('SPC Backing (Hide)'!$B194,Demand!$B$6:$B$265,0),MATCH('SPC Backing (Hide)'!N$3,Demand!$E$5:$S$5,0))</f>
        <v>0</v>
      </c>
      <c r="O194" s="5">
        <f>INDEX(Demand!$E$6:$S$265,MATCH('SPC Backing (Hide)'!$B194,Demand!$B$6:$B$265,0),MATCH('SPC Backing (Hide)'!O$3,Demand!$E$5:$S$5,0))</f>
        <v>0</v>
      </c>
      <c r="P194" s="5">
        <f>INDEX(Demand!$E$6:$S$265,MATCH('SPC Backing (Hide)'!$B194,Demand!$B$6:$B$265,0),MATCH('SPC Backing (Hide)'!P$3,Demand!$E$5:$S$5,0))</f>
        <v>0</v>
      </c>
      <c r="Q194" s="6">
        <f>INDEX(Demand!$E$6:$S$265,MATCH('SPC Backing (Hide)'!$B194,Demand!$B$6:$B$265,0),MATCH('SPC Backing (Hide)'!Q$3,Demand!$E$5:$S$5,0))</f>
        <v>0</v>
      </c>
      <c r="R194">
        <f>IF(SPC!$B$11="Yes",IF(ROW(A191)&gt;=Demand!$A$5-52,1,0),IF(AND(B194&gt;=SPC!$B$12,B194&lt;SPC!$B$13),1,0))</f>
        <v>1</v>
      </c>
      <c r="S194" cm="1">
        <f t="array" ref="S194">INDEX($C$4:$Q$263,ROW(A191),MATCH($T$2,$C$3:$Q$3,0))</f>
        <v>0</v>
      </c>
      <c r="T194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94" cm="1">
        <f t="array" ref="U194">ABS(INDEX($C$4:$Q$263,ROW(A191),MATCH($T$2,$C$3:$Q$3,0))-INDEX($C$4:$Q$263,ROW(A190),MATCH($T$2,$C$3:$Q$3,0)))</f>
        <v>0</v>
      </c>
      <c r="V194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94">
        <f t="shared" si="30"/>
        <v>40.813595610865789</v>
      </c>
      <c r="X194">
        <f t="shared" si="31"/>
        <v>108.80449618627055</v>
      </c>
      <c r="Y194">
        <f t="shared" si="32"/>
        <v>149.61809179713634</v>
      </c>
      <c r="Z194">
        <f t="shared" si="33"/>
        <v>190.43168740800212</v>
      </c>
      <c r="AA194">
        <f t="shared" si="34"/>
        <v>272.05887862973373</v>
      </c>
      <c r="AB194">
        <f t="shared" si="35"/>
        <v>312.8724742405995</v>
      </c>
      <c r="AC194">
        <f t="shared" si="36"/>
        <v>353.68606985146528</v>
      </c>
      <c r="AD194">
        <f t="shared" si="37"/>
        <v>0</v>
      </c>
      <c r="AE194">
        <f t="shared" si="44"/>
        <v>-2</v>
      </c>
      <c r="AF194">
        <f t="shared" si="38"/>
        <v>0</v>
      </c>
      <c r="AG194">
        <f t="shared" si="39"/>
        <v>0</v>
      </c>
      <c r="AH194" t="e">
        <f t="shared" si="40"/>
        <v>#N/A</v>
      </c>
      <c r="AI194">
        <f t="shared" si="41"/>
        <v>-1</v>
      </c>
      <c r="AJ194">
        <f t="shared" si="42"/>
        <v>0</v>
      </c>
      <c r="AK194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94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94">
        <f t="shared" si="43"/>
        <v>14.699999999999989</v>
      </c>
    </row>
    <row r="195" spans="2:39" x14ac:dyDescent="0.35">
      <c r="B195" s="12" t="str">
        <f>Demand!B197</f>
        <v/>
      </c>
      <c r="C195" s="7">
        <f>INDEX(Demand!$E$6:$S$265,MATCH('SPC Backing (Hide)'!$B195,Demand!$B$6:$B$265,0),MATCH('SPC Backing (Hide)'!C$3,Demand!$E$5:$S$5,0))</f>
        <v>0</v>
      </c>
      <c r="D195" s="5">
        <f>INDEX(Demand!$E$6:$S$265,MATCH('SPC Backing (Hide)'!$B195,Demand!$B$6:$B$265,0),MATCH('SPC Backing (Hide)'!D$3,Demand!$E$5:$S$5,0))</f>
        <v>0</v>
      </c>
      <c r="E195" s="5">
        <f>INDEX(Demand!$E$6:$S$265,MATCH('SPC Backing (Hide)'!$B195,Demand!$B$6:$B$265,0),MATCH('SPC Backing (Hide)'!E$3,Demand!$E$5:$S$5,0))</f>
        <v>0</v>
      </c>
      <c r="F195" s="5">
        <f>INDEX(Demand!$E$6:$S$265,MATCH('SPC Backing (Hide)'!$B195,Demand!$B$6:$B$265,0),MATCH('SPC Backing (Hide)'!F$3,Demand!$E$5:$S$5,0))</f>
        <v>0</v>
      </c>
      <c r="G195" s="5">
        <f>INDEX(Demand!$E$6:$S$265,MATCH('SPC Backing (Hide)'!$B195,Demand!$B$6:$B$265,0),MATCH('SPC Backing (Hide)'!G$3,Demand!$E$5:$S$5,0))</f>
        <v>0</v>
      </c>
      <c r="H195" s="5">
        <f>INDEX(Demand!$E$6:$S$265,MATCH('SPC Backing (Hide)'!$B195,Demand!$B$6:$B$265,0),MATCH('SPC Backing (Hide)'!H$3,Demand!$E$5:$S$5,0))</f>
        <v>0</v>
      </c>
      <c r="I195" s="5">
        <f>INDEX(Demand!$E$6:$S$265,MATCH('SPC Backing (Hide)'!$B195,Demand!$B$6:$B$265,0),MATCH('SPC Backing (Hide)'!I$3,Demand!$E$5:$S$5,0))</f>
        <v>0</v>
      </c>
      <c r="J195" s="5">
        <f>INDEX(Demand!$E$6:$S$265,MATCH('SPC Backing (Hide)'!$B195,Demand!$B$6:$B$265,0),MATCH('SPC Backing (Hide)'!J$3,Demand!$E$5:$S$5,0))</f>
        <v>0</v>
      </c>
      <c r="K195" s="5">
        <f>INDEX(Demand!$E$6:$S$265,MATCH('SPC Backing (Hide)'!$B195,Demand!$B$6:$B$265,0),MATCH('SPC Backing (Hide)'!K$3,Demand!$E$5:$S$5,0))</f>
        <v>0</v>
      </c>
      <c r="L195" s="5">
        <f>INDEX(Demand!$E$6:$S$265,MATCH('SPC Backing (Hide)'!$B195,Demand!$B$6:$B$265,0),MATCH('SPC Backing (Hide)'!L$3,Demand!$E$5:$S$5,0))</f>
        <v>0</v>
      </c>
      <c r="M195" s="5">
        <f>INDEX(Demand!$E$6:$S$265,MATCH('SPC Backing (Hide)'!$B195,Demand!$B$6:$B$265,0),MATCH('SPC Backing (Hide)'!M$3,Demand!$E$5:$S$5,0))</f>
        <v>0</v>
      </c>
      <c r="N195" s="5">
        <f>INDEX(Demand!$E$6:$S$265,MATCH('SPC Backing (Hide)'!$B195,Demand!$B$6:$B$265,0),MATCH('SPC Backing (Hide)'!N$3,Demand!$E$5:$S$5,0))</f>
        <v>0</v>
      </c>
      <c r="O195" s="5">
        <f>INDEX(Demand!$E$6:$S$265,MATCH('SPC Backing (Hide)'!$B195,Demand!$B$6:$B$265,0),MATCH('SPC Backing (Hide)'!O$3,Demand!$E$5:$S$5,0))</f>
        <v>0</v>
      </c>
      <c r="P195" s="5">
        <f>INDEX(Demand!$E$6:$S$265,MATCH('SPC Backing (Hide)'!$B195,Demand!$B$6:$B$265,0),MATCH('SPC Backing (Hide)'!P$3,Demand!$E$5:$S$5,0))</f>
        <v>0</v>
      </c>
      <c r="Q195" s="6">
        <f>INDEX(Demand!$E$6:$S$265,MATCH('SPC Backing (Hide)'!$B195,Demand!$B$6:$B$265,0),MATCH('SPC Backing (Hide)'!Q$3,Demand!$E$5:$S$5,0))</f>
        <v>0</v>
      </c>
      <c r="R195">
        <f>IF(SPC!$B$11="Yes",IF(ROW(A192)&gt;=Demand!$A$5-52,1,0),IF(AND(B195&gt;=SPC!$B$12,B195&lt;SPC!$B$13),1,0))</f>
        <v>1</v>
      </c>
      <c r="S195" cm="1">
        <f t="array" ref="S195">INDEX($C$4:$Q$263,ROW(A192),MATCH($T$2,$C$3:$Q$3,0))</f>
        <v>0</v>
      </c>
      <c r="T195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95" cm="1">
        <f t="array" ref="U195">ABS(INDEX($C$4:$Q$263,ROW(A192),MATCH($T$2,$C$3:$Q$3,0))-INDEX($C$4:$Q$263,ROW(A191),MATCH($T$2,$C$3:$Q$3,0)))</f>
        <v>0</v>
      </c>
      <c r="V195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95">
        <f t="shared" si="30"/>
        <v>40.813595610865789</v>
      </c>
      <c r="X195">
        <f t="shared" si="31"/>
        <v>108.80449618627055</v>
      </c>
      <c r="Y195">
        <f t="shared" si="32"/>
        <v>149.61809179713634</v>
      </c>
      <c r="Z195">
        <f t="shared" si="33"/>
        <v>190.43168740800212</v>
      </c>
      <c r="AA195">
        <f t="shared" si="34"/>
        <v>272.05887862973373</v>
      </c>
      <c r="AB195">
        <f t="shared" si="35"/>
        <v>312.8724742405995</v>
      </c>
      <c r="AC195">
        <f t="shared" si="36"/>
        <v>353.68606985146528</v>
      </c>
      <c r="AD195">
        <f t="shared" si="37"/>
        <v>0</v>
      </c>
      <c r="AE195">
        <f t="shared" si="44"/>
        <v>-2</v>
      </c>
      <c r="AF195">
        <f t="shared" si="38"/>
        <v>0</v>
      </c>
      <c r="AG195">
        <f t="shared" si="39"/>
        <v>0</v>
      </c>
      <c r="AH195" t="e">
        <f t="shared" si="40"/>
        <v>#N/A</v>
      </c>
      <c r="AI195">
        <f t="shared" si="41"/>
        <v>-1</v>
      </c>
      <c r="AJ195">
        <f t="shared" si="42"/>
        <v>0</v>
      </c>
      <c r="AK195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95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95">
        <f t="shared" si="43"/>
        <v>14.699999999999989</v>
      </c>
    </row>
    <row r="196" spans="2:39" x14ac:dyDescent="0.35">
      <c r="B196" s="12" t="str">
        <f>Demand!B198</f>
        <v/>
      </c>
      <c r="C196" s="7">
        <f>INDEX(Demand!$E$6:$S$265,MATCH('SPC Backing (Hide)'!$B196,Demand!$B$6:$B$265,0),MATCH('SPC Backing (Hide)'!C$3,Demand!$E$5:$S$5,0))</f>
        <v>0</v>
      </c>
      <c r="D196" s="5">
        <f>INDEX(Demand!$E$6:$S$265,MATCH('SPC Backing (Hide)'!$B196,Demand!$B$6:$B$265,0),MATCH('SPC Backing (Hide)'!D$3,Demand!$E$5:$S$5,0))</f>
        <v>0</v>
      </c>
      <c r="E196" s="5">
        <f>INDEX(Demand!$E$6:$S$265,MATCH('SPC Backing (Hide)'!$B196,Demand!$B$6:$B$265,0),MATCH('SPC Backing (Hide)'!E$3,Demand!$E$5:$S$5,0))</f>
        <v>0</v>
      </c>
      <c r="F196" s="5">
        <f>INDEX(Demand!$E$6:$S$265,MATCH('SPC Backing (Hide)'!$B196,Demand!$B$6:$B$265,0),MATCH('SPC Backing (Hide)'!F$3,Demand!$E$5:$S$5,0))</f>
        <v>0</v>
      </c>
      <c r="G196" s="5">
        <f>INDEX(Demand!$E$6:$S$265,MATCH('SPC Backing (Hide)'!$B196,Demand!$B$6:$B$265,0),MATCH('SPC Backing (Hide)'!G$3,Demand!$E$5:$S$5,0))</f>
        <v>0</v>
      </c>
      <c r="H196" s="5">
        <f>INDEX(Demand!$E$6:$S$265,MATCH('SPC Backing (Hide)'!$B196,Demand!$B$6:$B$265,0),MATCH('SPC Backing (Hide)'!H$3,Demand!$E$5:$S$5,0))</f>
        <v>0</v>
      </c>
      <c r="I196" s="5">
        <f>INDEX(Demand!$E$6:$S$265,MATCH('SPC Backing (Hide)'!$B196,Demand!$B$6:$B$265,0),MATCH('SPC Backing (Hide)'!I$3,Demand!$E$5:$S$5,0))</f>
        <v>0</v>
      </c>
      <c r="J196" s="5">
        <f>INDEX(Demand!$E$6:$S$265,MATCH('SPC Backing (Hide)'!$B196,Demand!$B$6:$B$265,0),MATCH('SPC Backing (Hide)'!J$3,Demand!$E$5:$S$5,0))</f>
        <v>0</v>
      </c>
      <c r="K196" s="5">
        <f>INDEX(Demand!$E$6:$S$265,MATCH('SPC Backing (Hide)'!$B196,Demand!$B$6:$B$265,0),MATCH('SPC Backing (Hide)'!K$3,Demand!$E$5:$S$5,0))</f>
        <v>0</v>
      </c>
      <c r="L196" s="5">
        <f>INDEX(Demand!$E$6:$S$265,MATCH('SPC Backing (Hide)'!$B196,Demand!$B$6:$B$265,0),MATCH('SPC Backing (Hide)'!L$3,Demand!$E$5:$S$5,0))</f>
        <v>0</v>
      </c>
      <c r="M196" s="5">
        <f>INDEX(Demand!$E$6:$S$265,MATCH('SPC Backing (Hide)'!$B196,Demand!$B$6:$B$265,0),MATCH('SPC Backing (Hide)'!M$3,Demand!$E$5:$S$5,0))</f>
        <v>0</v>
      </c>
      <c r="N196" s="5">
        <f>INDEX(Demand!$E$6:$S$265,MATCH('SPC Backing (Hide)'!$B196,Demand!$B$6:$B$265,0),MATCH('SPC Backing (Hide)'!N$3,Demand!$E$5:$S$5,0))</f>
        <v>0</v>
      </c>
      <c r="O196" s="5">
        <f>INDEX(Demand!$E$6:$S$265,MATCH('SPC Backing (Hide)'!$B196,Demand!$B$6:$B$265,0),MATCH('SPC Backing (Hide)'!O$3,Demand!$E$5:$S$5,0))</f>
        <v>0</v>
      </c>
      <c r="P196" s="5">
        <f>INDEX(Demand!$E$6:$S$265,MATCH('SPC Backing (Hide)'!$B196,Demand!$B$6:$B$265,0),MATCH('SPC Backing (Hide)'!P$3,Demand!$E$5:$S$5,0))</f>
        <v>0</v>
      </c>
      <c r="Q196" s="6">
        <f>INDEX(Demand!$E$6:$S$265,MATCH('SPC Backing (Hide)'!$B196,Demand!$B$6:$B$265,0),MATCH('SPC Backing (Hide)'!Q$3,Demand!$E$5:$S$5,0))</f>
        <v>0</v>
      </c>
      <c r="R196">
        <f>IF(SPC!$B$11="Yes",IF(ROW(A193)&gt;=Demand!$A$5-52,1,0),IF(AND(B196&gt;=SPC!$B$12,B196&lt;SPC!$B$13),1,0))</f>
        <v>1</v>
      </c>
      <c r="S196" cm="1">
        <f t="array" ref="S196">INDEX($C$4:$Q$263,ROW(A193),MATCH($T$2,$C$3:$Q$3,0))</f>
        <v>0</v>
      </c>
      <c r="T196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96" cm="1">
        <f t="array" ref="U196">ABS(INDEX($C$4:$Q$263,ROW(A193),MATCH($T$2,$C$3:$Q$3,0))-INDEX($C$4:$Q$263,ROW(A192),MATCH($T$2,$C$3:$Q$3,0)))</f>
        <v>0</v>
      </c>
      <c r="V196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96">
        <f t="shared" si="30"/>
        <v>40.813595610865789</v>
      </c>
      <c r="X196">
        <f t="shared" si="31"/>
        <v>108.80449618627055</v>
      </c>
      <c r="Y196">
        <f t="shared" si="32"/>
        <v>149.61809179713634</v>
      </c>
      <c r="Z196">
        <f t="shared" si="33"/>
        <v>190.43168740800212</v>
      </c>
      <c r="AA196">
        <f t="shared" si="34"/>
        <v>272.05887862973373</v>
      </c>
      <c r="AB196">
        <f t="shared" si="35"/>
        <v>312.8724742405995</v>
      </c>
      <c r="AC196">
        <f t="shared" si="36"/>
        <v>353.68606985146528</v>
      </c>
      <c r="AD196">
        <f t="shared" si="37"/>
        <v>0</v>
      </c>
      <c r="AE196">
        <f t="shared" si="44"/>
        <v>-2</v>
      </c>
      <c r="AF196">
        <f t="shared" si="38"/>
        <v>0</v>
      </c>
      <c r="AG196">
        <f t="shared" si="39"/>
        <v>0</v>
      </c>
      <c r="AH196" t="e">
        <f t="shared" si="40"/>
        <v>#N/A</v>
      </c>
      <c r="AI196">
        <f t="shared" si="41"/>
        <v>-1</v>
      </c>
      <c r="AJ196">
        <f t="shared" si="42"/>
        <v>0</v>
      </c>
      <c r="AK196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96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96">
        <f t="shared" si="43"/>
        <v>14.699999999999989</v>
      </c>
    </row>
    <row r="197" spans="2:39" x14ac:dyDescent="0.35">
      <c r="B197" s="12" t="str">
        <f>Demand!B199</f>
        <v/>
      </c>
      <c r="C197" s="7">
        <f>INDEX(Demand!$E$6:$S$265,MATCH('SPC Backing (Hide)'!$B197,Demand!$B$6:$B$265,0),MATCH('SPC Backing (Hide)'!C$3,Demand!$E$5:$S$5,0))</f>
        <v>0</v>
      </c>
      <c r="D197" s="5">
        <f>INDEX(Demand!$E$6:$S$265,MATCH('SPC Backing (Hide)'!$B197,Demand!$B$6:$B$265,0),MATCH('SPC Backing (Hide)'!D$3,Demand!$E$5:$S$5,0))</f>
        <v>0</v>
      </c>
      <c r="E197" s="5">
        <f>INDEX(Demand!$E$6:$S$265,MATCH('SPC Backing (Hide)'!$B197,Demand!$B$6:$B$265,0),MATCH('SPC Backing (Hide)'!E$3,Demand!$E$5:$S$5,0))</f>
        <v>0</v>
      </c>
      <c r="F197" s="5">
        <f>INDEX(Demand!$E$6:$S$265,MATCH('SPC Backing (Hide)'!$B197,Demand!$B$6:$B$265,0),MATCH('SPC Backing (Hide)'!F$3,Demand!$E$5:$S$5,0))</f>
        <v>0</v>
      </c>
      <c r="G197" s="5">
        <f>INDEX(Demand!$E$6:$S$265,MATCH('SPC Backing (Hide)'!$B197,Demand!$B$6:$B$265,0),MATCH('SPC Backing (Hide)'!G$3,Demand!$E$5:$S$5,0))</f>
        <v>0</v>
      </c>
      <c r="H197" s="5">
        <f>INDEX(Demand!$E$6:$S$265,MATCH('SPC Backing (Hide)'!$B197,Demand!$B$6:$B$265,0),MATCH('SPC Backing (Hide)'!H$3,Demand!$E$5:$S$5,0))</f>
        <v>0</v>
      </c>
      <c r="I197" s="5">
        <f>INDEX(Demand!$E$6:$S$265,MATCH('SPC Backing (Hide)'!$B197,Demand!$B$6:$B$265,0),MATCH('SPC Backing (Hide)'!I$3,Demand!$E$5:$S$5,0))</f>
        <v>0</v>
      </c>
      <c r="J197" s="5">
        <f>INDEX(Demand!$E$6:$S$265,MATCH('SPC Backing (Hide)'!$B197,Demand!$B$6:$B$265,0),MATCH('SPC Backing (Hide)'!J$3,Demand!$E$5:$S$5,0))</f>
        <v>0</v>
      </c>
      <c r="K197" s="5">
        <f>INDEX(Demand!$E$6:$S$265,MATCH('SPC Backing (Hide)'!$B197,Demand!$B$6:$B$265,0),MATCH('SPC Backing (Hide)'!K$3,Demand!$E$5:$S$5,0))</f>
        <v>0</v>
      </c>
      <c r="L197" s="5">
        <f>INDEX(Demand!$E$6:$S$265,MATCH('SPC Backing (Hide)'!$B197,Demand!$B$6:$B$265,0),MATCH('SPC Backing (Hide)'!L$3,Demand!$E$5:$S$5,0))</f>
        <v>0</v>
      </c>
      <c r="M197" s="5">
        <f>INDEX(Demand!$E$6:$S$265,MATCH('SPC Backing (Hide)'!$B197,Demand!$B$6:$B$265,0),MATCH('SPC Backing (Hide)'!M$3,Demand!$E$5:$S$5,0))</f>
        <v>0</v>
      </c>
      <c r="N197" s="5">
        <f>INDEX(Demand!$E$6:$S$265,MATCH('SPC Backing (Hide)'!$B197,Demand!$B$6:$B$265,0),MATCH('SPC Backing (Hide)'!N$3,Demand!$E$5:$S$5,0))</f>
        <v>0</v>
      </c>
      <c r="O197" s="5">
        <f>INDEX(Demand!$E$6:$S$265,MATCH('SPC Backing (Hide)'!$B197,Demand!$B$6:$B$265,0),MATCH('SPC Backing (Hide)'!O$3,Demand!$E$5:$S$5,0))</f>
        <v>0</v>
      </c>
      <c r="P197" s="5">
        <f>INDEX(Demand!$E$6:$S$265,MATCH('SPC Backing (Hide)'!$B197,Demand!$B$6:$B$265,0),MATCH('SPC Backing (Hide)'!P$3,Demand!$E$5:$S$5,0))</f>
        <v>0</v>
      </c>
      <c r="Q197" s="6">
        <f>INDEX(Demand!$E$6:$S$265,MATCH('SPC Backing (Hide)'!$B197,Demand!$B$6:$B$265,0),MATCH('SPC Backing (Hide)'!Q$3,Demand!$E$5:$S$5,0))</f>
        <v>0</v>
      </c>
      <c r="R197">
        <f>IF(SPC!$B$11="Yes",IF(ROW(A194)&gt;=Demand!$A$5-52,1,0),IF(AND(B197&gt;=SPC!$B$12,B197&lt;SPC!$B$13),1,0))</f>
        <v>1</v>
      </c>
      <c r="S197" cm="1">
        <f t="array" ref="S197">INDEX($C$4:$Q$263,ROW(A194),MATCH($T$2,$C$3:$Q$3,0))</f>
        <v>0</v>
      </c>
      <c r="T197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97" cm="1">
        <f t="array" ref="U197">ABS(INDEX($C$4:$Q$263,ROW(A194),MATCH($T$2,$C$3:$Q$3,0))-INDEX($C$4:$Q$263,ROW(A193),MATCH($T$2,$C$3:$Q$3,0)))</f>
        <v>0</v>
      </c>
      <c r="V197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97">
        <f t="shared" ref="W197:W260" si="45">V197/1.128</f>
        <v>40.813595610865789</v>
      </c>
      <c r="X197">
        <f t="shared" ref="X197:X260" si="46">MAX(0,T197-(3*W197))</f>
        <v>108.80449618627055</v>
      </c>
      <c r="Y197">
        <f t="shared" ref="Y197:Y260" si="47">MAX(0,T197-(2*W197))</f>
        <v>149.61809179713634</v>
      </c>
      <c r="Z197">
        <f t="shared" ref="Z197:Z260" si="48">MAX(0,T197-W197)</f>
        <v>190.43168740800212</v>
      </c>
      <c r="AA197">
        <f t="shared" ref="AA197:AA260" si="49">T197+W197</f>
        <v>272.05887862973373</v>
      </c>
      <c r="AB197">
        <f t="shared" ref="AB197:AB260" si="50">T197+(2*W197)</f>
        <v>312.8724742405995</v>
      </c>
      <c r="AC197">
        <f t="shared" ref="AC197:AC260" si="51">T197+(3*W197)</f>
        <v>353.68606985146528</v>
      </c>
      <c r="AD197">
        <f t="shared" ref="AD197:AD260" si="52">IF(OR(S197&gt;AC197,S197&lt;X197),S197,NA())</f>
        <v>0</v>
      </c>
      <c r="AE197">
        <f t="shared" si="44"/>
        <v>-2</v>
      </c>
      <c r="AF197">
        <f t="shared" ref="AF197:AF260" si="53">IF(ABS(SUM(AE197:AE199))&gt;=5,S197,NA())</f>
        <v>0</v>
      </c>
      <c r="AG197">
        <f t="shared" ref="AG197:AG260" si="54">IF(S198&gt;S197,1,IF(S198&lt;S197,-1,0))</f>
        <v>0</v>
      </c>
      <c r="AH197" t="e">
        <f t="shared" ref="AH197:AH260" si="55">IF(ABS(SUM(AG197:AG202))=6,S197,NA())</f>
        <v>#N/A</v>
      </c>
      <c r="AI197">
        <f t="shared" ref="AI197:AI260" si="56">IF(S197&lt;T197,-1,IF(S197&gt;T197,1,0))</f>
        <v>-1</v>
      </c>
      <c r="AJ197">
        <f t="shared" ref="AJ197:AJ260" si="57">IF(ABS(SUM(AI197:AI205))=9,S197,NA())</f>
        <v>0</v>
      </c>
      <c r="AK197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97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97">
        <f t="shared" ref="AM197:AM260" si="58">AL197-AK197</f>
        <v>14.699999999999989</v>
      </c>
    </row>
    <row r="198" spans="2:39" x14ac:dyDescent="0.35">
      <c r="B198" s="12" t="str">
        <f>Demand!B200</f>
        <v/>
      </c>
      <c r="C198" s="7">
        <f>INDEX(Demand!$E$6:$S$265,MATCH('SPC Backing (Hide)'!$B198,Demand!$B$6:$B$265,0),MATCH('SPC Backing (Hide)'!C$3,Demand!$E$5:$S$5,0))</f>
        <v>0</v>
      </c>
      <c r="D198" s="5">
        <f>INDEX(Demand!$E$6:$S$265,MATCH('SPC Backing (Hide)'!$B198,Demand!$B$6:$B$265,0),MATCH('SPC Backing (Hide)'!D$3,Demand!$E$5:$S$5,0))</f>
        <v>0</v>
      </c>
      <c r="E198" s="5">
        <f>INDEX(Demand!$E$6:$S$265,MATCH('SPC Backing (Hide)'!$B198,Demand!$B$6:$B$265,0),MATCH('SPC Backing (Hide)'!E$3,Demand!$E$5:$S$5,0))</f>
        <v>0</v>
      </c>
      <c r="F198" s="5">
        <f>INDEX(Demand!$E$6:$S$265,MATCH('SPC Backing (Hide)'!$B198,Demand!$B$6:$B$265,0),MATCH('SPC Backing (Hide)'!F$3,Demand!$E$5:$S$5,0))</f>
        <v>0</v>
      </c>
      <c r="G198" s="5">
        <f>INDEX(Demand!$E$6:$S$265,MATCH('SPC Backing (Hide)'!$B198,Demand!$B$6:$B$265,0),MATCH('SPC Backing (Hide)'!G$3,Demand!$E$5:$S$5,0))</f>
        <v>0</v>
      </c>
      <c r="H198" s="5">
        <f>INDEX(Demand!$E$6:$S$265,MATCH('SPC Backing (Hide)'!$B198,Demand!$B$6:$B$265,0),MATCH('SPC Backing (Hide)'!H$3,Demand!$E$5:$S$5,0))</f>
        <v>0</v>
      </c>
      <c r="I198" s="5">
        <f>INDEX(Demand!$E$6:$S$265,MATCH('SPC Backing (Hide)'!$B198,Demand!$B$6:$B$265,0),MATCH('SPC Backing (Hide)'!I$3,Demand!$E$5:$S$5,0))</f>
        <v>0</v>
      </c>
      <c r="J198" s="5">
        <f>INDEX(Demand!$E$6:$S$265,MATCH('SPC Backing (Hide)'!$B198,Demand!$B$6:$B$265,0),MATCH('SPC Backing (Hide)'!J$3,Demand!$E$5:$S$5,0))</f>
        <v>0</v>
      </c>
      <c r="K198" s="5">
        <f>INDEX(Demand!$E$6:$S$265,MATCH('SPC Backing (Hide)'!$B198,Demand!$B$6:$B$265,0),MATCH('SPC Backing (Hide)'!K$3,Demand!$E$5:$S$5,0))</f>
        <v>0</v>
      </c>
      <c r="L198" s="5">
        <f>INDEX(Demand!$E$6:$S$265,MATCH('SPC Backing (Hide)'!$B198,Demand!$B$6:$B$265,0),MATCH('SPC Backing (Hide)'!L$3,Demand!$E$5:$S$5,0))</f>
        <v>0</v>
      </c>
      <c r="M198" s="5">
        <f>INDEX(Demand!$E$6:$S$265,MATCH('SPC Backing (Hide)'!$B198,Demand!$B$6:$B$265,0),MATCH('SPC Backing (Hide)'!M$3,Demand!$E$5:$S$5,0))</f>
        <v>0</v>
      </c>
      <c r="N198" s="5">
        <f>INDEX(Demand!$E$6:$S$265,MATCH('SPC Backing (Hide)'!$B198,Demand!$B$6:$B$265,0),MATCH('SPC Backing (Hide)'!N$3,Demand!$E$5:$S$5,0))</f>
        <v>0</v>
      </c>
      <c r="O198" s="5">
        <f>INDEX(Demand!$E$6:$S$265,MATCH('SPC Backing (Hide)'!$B198,Demand!$B$6:$B$265,0),MATCH('SPC Backing (Hide)'!O$3,Demand!$E$5:$S$5,0))</f>
        <v>0</v>
      </c>
      <c r="P198" s="5">
        <f>INDEX(Demand!$E$6:$S$265,MATCH('SPC Backing (Hide)'!$B198,Demand!$B$6:$B$265,0),MATCH('SPC Backing (Hide)'!P$3,Demand!$E$5:$S$5,0))</f>
        <v>0</v>
      </c>
      <c r="Q198" s="6">
        <f>INDEX(Demand!$E$6:$S$265,MATCH('SPC Backing (Hide)'!$B198,Demand!$B$6:$B$265,0),MATCH('SPC Backing (Hide)'!Q$3,Demand!$E$5:$S$5,0))</f>
        <v>0</v>
      </c>
      <c r="R198">
        <f>IF(SPC!$B$11="Yes",IF(ROW(A195)&gt;=Demand!$A$5-52,1,0),IF(AND(B198&gt;=SPC!$B$12,B198&lt;SPC!$B$13),1,0))</f>
        <v>1</v>
      </c>
      <c r="S198" cm="1">
        <f t="array" ref="S198">INDEX($C$4:$Q$263,ROW(A195),MATCH($T$2,$C$3:$Q$3,0))</f>
        <v>0</v>
      </c>
      <c r="T198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98" cm="1">
        <f t="array" ref="U198">ABS(INDEX($C$4:$Q$263,ROW(A195),MATCH($T$2,$C$3:$Q$3,0))-INDEX($C$4:$Q$263,ROW(A194),MATCH($T$2,$C$3:$Q$3,0)))</f>
        <v>0</v>
      </c>
      <c r="V198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98">
        <f t="shared" si="45"/>
        <v>40.813595610865789</v>
      </c>
      <c r="X198">
        <f t="shared" si="46"/>
        <v>108.80449618627055</v>
      </c>
      <c r="Y198">
        <f t="shared" si="47"/>
        <v>149.61809179713634</v>
      </c>
      <c r="Z198">
        <f t="shared" si="48"/>
        <v>190.43168740800212</v>
      </c>
      <c r="AA198">
        <f t="shared" si="49"/>
        <v>272.05887862973373</v>
      </c>
      <c r="AB198">
        <f t="shared" si="50"/>
        <v>312.8724742405995</v>
      </c>
      <c r="AC198">
        <f t="shared" si="51"/>
        <v>353.68606985146528</v>
      </c>
      <c r="AD198">
        <f t="shared" si="52"/>
        <v>0</v>
      </c>
      <c r="AE198">
        <f t="shared" ref="AE198:AE261" si="59">IF(S198&gt;AB198,2,IF(S198&lt;Y198,-2,IF(S198&gt;T198,1,IF(S198&lt;T198,-1,0))))</f>
        <v>-2</v>
      </c>
      <c r="AF198">
        <f t="shared" si="53"/>
        <v>0</v>
      </c>
      <c r="AG198">
        <f t="shared" si="54"/>
        <v>0</v>
      </c>
      <c r="AH198" t="e">
        <f t="shared" si="55"/>
        <v>#N/A</v>
      </c>
      <c r="AI198">
        <f t="shared" si="56"/>
        <v>-1</v>
      </c>
      <c r="AJ198">
        <f t="shared" si="57"/>
        <v>0</v>
      </c>
      <c r="AK198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98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98">
        <f t="shared" si="58"/>
        <v>14.699999999999989</v>
      </c>
    </row>
    <row r="199" spans="2:39" x14ac:dyDescent="0.35">
      <c r="B199" s="12" t="str">
        <f>Demand!B201</f>
        <v/>
      </c>
      <c r="C199" s="7">
        <f>INDEX(Demand!$E$6:$S$265,MATCH('SPC Backing (Hide)'!$B199,Demand!$B$6:$B$265,0),MATCH('SPC Backing (Hide)'!C$3,Demand!$E$5:$S$5,0))</f>
        <v>0</v>
      </c>
      <c r="D199" s="5">
        <f>INDEX(Demand!$E$6:$S$265,MATCH('SPC Backing (Hide)'!$B199,Demand!$B$6:$B$265,0),MATCH('SPC Backing (Hide)'!D$3,Demand!$E$5:$S$5,0))</f>
        <v>0</v>
      </c>
      <c r="E199" s="5">
        <f>INDEX(Demand!$E$6:$S$265,MATCH('SPC Backing (Hide)'!$B199,Demand!$B$6:$B$265,0),MATCH('SPC Backing (Hide)'!E$3,Demand!$E$5:$S$5,0))</f>
        <v>0</v>
      </c>
      <c r="F199" s="5">
        <f>INDEX(Demand!$E$6:$S$265,MATCH('SPC Backing (Hide)'!$B199,Demand!$B$6:$B$265,0),MATCH('SPC Backing (Hide)'!F$3,Demand!$E$5:$S$5,0))</f>
        <v>0</v>
      </c>
      <c r="G199" s="5">
        <f>INDEX(Demand!$E$6:$S$265,MATCH('SPC Backing (Hide)'!$B199,Demand!$B$6:$B$265,0),MATCH('SPC Backing (Hide)'!G$3,Demand!$E$5:$S$5,0))</f>
        <v>0</v>
      </c>
      <c r="H199" s="5">
        <f>INDEX(Demand!$E$6:$S$265,MATCH('SPC Backing (Hide)'!$B199,Demand!$B$6:$B$265,0),MATCH('SPC Backing (Hide)'!H$3,Demand!$E$5:$S$5,0))</f>
        <v>0</v>
      </c>
      <c r="I199" s="5">
        <f>INDEX(Demand!$E$6:$S$265,MATCH('SPC Backing (Hide)'!$B199,Demand!$B$6:$B$265,0),MATCH('SPC Backing (Hide)'!I$3,Demand!$E$5:$S$5,0))</f>
        <v>0</v>
      </c>
      <c r="J199" s="5">
        <f>INDEX(Demand!$E$6:$S$265,MATCH('SPC Backing (Hide)'!$B199,Demand!$B$6:$B$265,0),MATCH('SPC Backing (Hide)'!J$3,Demand!$E$5:$S$5,0))</f>
        <v>0</v>
      </c>
      <c r="K199" s="5">
        <f>INDEX(Demand!$E$6:$S$265,MATCH('SPC Backing (Hide)'!$B199,Demand!$B$6:$B$265,0),MATCH('SPC Backing (Hide)'!K$3,Demand!$E$5:$S$5,0))</f>
        <v>0</v>
      </c>
      <c r="L199" s="5">
        <f>INDEX(Demand!$E$6:$S$265,MATCH('SPC Backing (Hide)'!$B199,Demand!$B$6:$B$265,0),MATCH('SPC Backing (Hide)'!L$3,Demand!$E$5:$S$5,0))</f>
        <v>0</v>
      </c>
      <c r="M199" s="5">
        <f>INDEX(Demand!$E$6:$S$265,MATCH('SPC Backing (Hide)'!$B199,Demand!$B$6:$B$265,0),MATCH('SPC Backing (Hide)'!M$3,Demand!$E$5:$S$5,0))</f>
        <v>0</v>
      </c>
      <c r="N199" s="5">
        <f>INDEX(Demand!$E$6:$S$265,MATCH('SPC Backing (Hide)'!$B199,Demand!$B$6:$B$265,0),MATCH('SPC Backing (Hide)'!N$3,Demand!$E$5:$S$5,0))</f>
        <v>0</v>
      </c>
      <c r="O199" s="5">
        <f>INDEX(Demand!$E$6:$S$265,MATCH('SPC Backing (Hide)'!$B199,Demand!$B$6:$B$265,0),MATCH('SPC Backing (Hide)'!O$3,Demand!$E$5:$S$5,0))</f>
        <v>0</v>
      </c>
      <c r="P199" s="5">
        <f>INDEX(Demand!$E$6:$S$265,MATCH('SPC Backing (Hide)'!$B199,Demand!$B$6:$B$265,0),MATCH('SPC Backing (Hide)'!P$3,Demand!$E$5:$S$5,0))</f>
        <v>0</v>
      </c>
      <c r="Q199" s="6">
        <f>INDEX(Demand!$E$6:$S$265,MATCH('SPC Backing (Hide)'!$B199,Demand!$B$6:$B$265,0),MATCH('SPC Backing (Hide)'!Q$3,Demand!$E$5:$S$5,0))</f>
        <v>0</v>
      </c>
      <c r="R199">
        <f>IF(SPC!$B$11="Yes",IF(ROW(A196)&gt;=Demand!$A$5-52,1,0),IF(AND(B199&gt;=SPC!$B$12,B199&lt;SPC!$B$13),1,0))</f>
        <v>1</v>
      </c>
      <c r="S199" cm="1">
        <f t="array" ref="S199">INDEX($C$4:$Q$263,ROW(A196),MATCH($T$2,$C$3:$Q$3,0))</f>
        <v>0</v>
      </c>
      <c r="T199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199" cm="1">
        <f t="array" ref="U199">ABS(INDEX($C$4:$Q$263,ROW(A196),MATCH($T$2,$C$3:$Q$3,0))-INDEX($C$4:$Q$263,ROW(A195),MATCH($T$2,$C$3:$Q$3,0)))</f>
        <v>0</v>
      </c>
      <c r="V199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199">
        <f t="shared" si="45"/>
        <v>40.813595610865789</v>
      </c>
      <c r="X199">
        <f t="shared" si="46"/>
        <v>108.80449618627055</v>
      </c>
      <c r="Y199">
        <f t="shared" si="47"/>
        <v>149.61809179713634</v>
      </c>
      <c r="Z199">
        <f t="shared" si="48"/>
        <v>190.43168740800212</v>
      </c>
      <c r="AA199">
        <f t="shared" si="49"/>
        <v>272.05887862973373</v>
      </c>
      <c r="AB199">
        <f t="shared" si="50"/>
        <v>312.8724742405995</v>
      </c>
      <c r="AC199">
        <f t="shared" si="51"/>
        <v>353.68606985146528</v>
      </c>
      <c r="AD199">
        <f t="shared" si="52"/>
        <v>0</v>
      </c>
      <c r="AE199">
        <f t="shared" si="59"/>
        <v>-2</v>
      </c>
      <c r="AF199">
        <f t="shared" si="53"/>
        <v>0</v>
      </c>
      <c r="AG199">
        <f t="shared" si="54"/>
        <v>0</v>
      </c>
      <c r="AH199" t="e">
        <f t="shared" si="55"/>
        <v>#N/A</v>
      </c>
      <c r="AI199">
        <f t="shared" si="56"/>
        <v>-1</v>
      </c>
      <c r="AJ199">
        <f t="shared" si="57"/>
        <v>0</v>
      </c>
      <c r="AK199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199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199">
        <f t="shared" si="58"/>
        <v>14.699999999999989</v>
      </c>
    </row>
    <row r="200" spans="2:39" x14ac:dyDescent="0.35">
      <c r="B200" s="12" t="str">
        <f>Demand!B202</f>
        <v/>
      </c>
      <c r="C200" s="7">
        <f>INDEX(Demand!$E$6:$S$265,MATCH('SPC Backing (Hide)'!$B200,Demand!$B$6:$B$265,0),MATCH('SPC Backing (Hide)'!C$3,Demand!$E$5:$S$5,0))</f>
        <v>0</v>
      </c>
      <c r="D200" s="5">
        <f>INDEX(Demand!$E$6:$S$265,MATCH('SPC Backing (Hide)'!$B200,Demand!$B$6:$B$265,0),MATCH('SPC Backing (Hide)'!D$3,Demand!$E$5:$S$5,0))</f>
        <v>0</v>
      </c>
      <c r="E200" s="5">
        <f>INDEX(Demand!$E$6:$S$265,MATCH('SPC Backing (Hide)'!$B200,Demand!$B$6:$B$265,0),MATCH('SPC Backing (Hide)'!E$3,Demand!$E$5:$S$5,0))</f>
        <v>0</v>
      </c>
      <c r="F200" s="5">
        <f>INDEX(Demand!$E$6:$S$265,MATCH('SPC Backing (Hide)'!$B200,Demand!$B$6:$B$265,0),MATCH('SPC Backing (Hide)'!F$3,Demand!$E$5:$S$5,0))</f>
        <v>0</v>
      </c>
      <c r="G200" s="5">
        <f>INDEX(Demand!$E$6:$S$265,MATCH('SPC Backing (Hide)'!$B200,Demand!$B$6:$B$265,0),MATCH('SPC Backing (Hide)'!G$3,Demand!$E$5:$S$5,0))</f>
        <v>0</v>
      </c>
      <c r="H200" s="5">
        <f>INDEX(Demand!$E$6:$S$265,MATCH('SPC Backing (Hide)'!$B200,Demand!$B$6:$B$265,0),MATCH('SPC Backing (Hide)'!H$3,Demand!$E$5:$S$5,0))</f>
        <v>0</v>
      </c>
      <c r="I200" s="5">
        <f>INDEX(Demand!$E$6:$S$265,MATCH('SPC Backing (Hide)'!$B200,Demand!$B$6:$B$265,0),MATCH('SPC Backing (Hide)'!I$3,Demand!$E$5:$S$5,0))</f>
        <v>0</v>
      </c>
      <c r="J200" s="5">
        <f>INDEX(Demand!$E$6:$S$265,MATCH('SPC Backing (Hide)'!$B200,Demand!$B$6:$B$265,0),MATCH('SPC Backing (Hide)'!J$3,Demand!$E$5:$S$5,0))</f>
        <v>0</v>
      </c>
      <c r="K200" s="5">
        <f>INDEX(Demand!$E$6:$S$265,MATCH('SPC Backing (Hide)'!$B200,Demand!$B$6:$B$265,0),MATCH('SPC Backing (Hide)'!K$3,Demand!$E$5:$S$5,0))</f>
        <v>0</v>
      </c>
      <c r="L200" s="5">
        <f>INDEX(Demand!$E$6:$S$265,MATCH('SPC Backing (Hide)'!$B200,Demand!$B$6:$B$265,0),MATCH('SPC Backing (Hide)'!L$3,Demand!$E$5:$S$5,0))</f>
        <v>0</v>
      </c>
      <c r="M200" s="5">
        <f>INDEX(Demand!$E$6:$S$265,MATCH('SPC Backing (Hide)'!$B200,Demand!$B$6:$B$265,0),MATCH('SPC Backing (Hide)'!M$3,Demand!$E$5:$S$5,0))</f>
        <v>0</v>
      </c>
      <c r="N200" s="5">
        <f>INDEX(Demand!$E$6:$S$265,MATCH('SPC Backing (Hide)'!$B200,Demand!$B$6:$B$265,0),MATCH('SPC Backing (Hide)'!N$3,Demand!$E$5:$S$5,0))</f>
        <v>0</v>
      </c>
      <c r="O200" s="5">
        <f>INDEX(Demand!$E$6:$S$265,MATCH('SPC Backing (Hide)'!$B200,Demand!$B$6:$B$265,0),MATCH('SPC Backing (Hide)'!O$3,Demand!$E$5:$S$5,0))</f>
        <v>0</v>
      </c>
      <c r="P200" s="5">
        <f>INDEX(Demand!$E$6:$S$265,MATCH('SPC Backing (Hide)'!$B200,Demand!$B$6:$B$265,0),MATCH('SPC Backing (Hide)'!P$3,Demand!$E$5:$S$5,0))</f>
        <v>0</v>
      </c>
      <c r="Q200" s="6">
        <f>INDEX(Demand!$E$6:$S$265,MATCH('SPC Backing (Hide)'!$B200,Demand!$B$6:$B$265,0),MATCH('SPC Backing (Hide)'!Q$3,Demand!$E$5:$S$5,0))</f>
        <v>0</v>
      </c>
      <c r="R200">
        <f>IF(SPC!$B$11="Yes",IF(ROW(A197)&gt;=Demand!$A$5-52,1,0),IF(AND(B200&gt;=SPC!$B$12,B200&lt;SPC!$B$13),1,0))</f>
        <v>1</v>
      </c>
      <c r="S200" cm="1">
        <f t="array" ref="S200">INDEX($C$4:$Q$263,ROW(A197),MATCH($T$2,$C$3:$Q$3,0))</f>
        <v>0</v>
      </c>
      <c r="T200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200" cm="1">
        <f t="array" ref="U200">ABS(INDEX($C$4:$Q$263,ROW(A197),MATCH($T$2,$C$3:$Q$3,0))-INDEX($C$4:$Q$263,ROW(A196),MATCH($T$2,$C$3:$Q$3,0)))</f>
        <v>0</v>
      </c>
      <c r="V200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200">
        <f t="shared" si="45"/>
        <v>40.813595610865789</v>
      </c>
      <c r="X200">
        <f t="shared" si="46"/>
        <v>108.80449618627055</v>
      </c>
      <c r="Y200">
        <f t="shared" si="47"/>
        <v>149.61809179713634</v>
      </c>
      <c r="Z200">
        <f t="shared" si="48"/>
        <v>190.43168740800212</v>
      </c>
      <c r="AA200">
        <f t="shared" si="49"/>
        <v>272.05887862973373</v>
      </c>
      <c r="AB200">
        <f t="shared" si="50"/>
        <v>312.8724742405995</v>
      </c>
      <c r="AC200">
        <f t="shared" si="51"/>
        <v>353.68606985146528</v>
      </c>
      <c r="AD200">
        <f t="shared" si="52"/>
        <v>0</v>
      </c>
      <c r="AE200">
        <f t="shared" si="59"/>
        <v>-2</v>
      </c>
      <c r="AF200">
        <f t="shared" si="53"/>
        <v>0</v>
      </c>
      <c r="AG200">
        <f t="shared" si="54"/>
        <v>0</v>
      </c>
      <c r="AH200" t="e">
        <f t="shared" si="55"/>
        <v>#N/A</v>
      </c>
      <c r="AI200">
        <f t="shared" si="56"/>
        <v>-1</v>
      </c>
      <c r="AJ200">
        <f t="shared" si="57"/>
        <v>0</v>
      </c>
      <c r="AK200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200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200">
        <f t="shared" si="58"/>
        <v>14.699999999999989</v>
      </c>
    </row>
    <row r="201" spans="2:39" x14ac:dyDescent="0.35">
      <c r="B201" s="12" t="str">
        <f>Demand!B203</f>
        <v/>
      </c>
      <c r="C201" s="7">
        <f>INDEX(Demand!$E$6:$S$265,MATCH('SPC Backing (Hide)'!$B201,Demand!$B$6:$B$265,0),MATCH('SPC Backing (Hide)'!C$3,Demand!$E$5:$S$5,0))</f>
        <v>0</v>
      </c>
      <c r="D201" s="5">
        <f>INDEX(Demand!$E$6:$S$265,MATCH('SPC Backing (Hide)'!$B201,Demand!$B$6:$B$265,0),MATCH('SPC Backing (Hide)'!D$3,Demand!$E$5:$S$5,0))</f>
        <v>0</v>
      </c>
      <c r="E201" s="5">
        <f>INDEX(Demand!$E$6:$S$265,MATCH('SPC Backing (Hide)'!$B201,Demand!$B$6:$B$265,0),MATCH('SPC Backing (Hide)'!E$3,Demand!$E$5:$S$5,0))</f>
        <v>0</v>
      </c>
      <c r="F201" s="5">
        <f>INDEX(Demand!$E$6:$S$265,MATCH('SPC Backing (Hide)'!$B201,Demand!$B$6:$B$265,0),MATCH('SPC Backing (Hide)'!F$3,Demand!$E$5:$S$5,0))</f>
        <v>0</v>
      </c>
      <c r="G201" s="5">
        <f>INDEX(Demand!$E$6:$S$265,MATCH('SPC Backing (Hide)'!$B201,Demand!$B$6:$B$265,0),MATCH('SPC Backing (Hide)'!G$3,Demand!$E$5:$S$5,0))</f>
        <v>0</v>
      </c>
      <c r="H201" s="5">
        <f>INDEX(Demand!$E$6:$S$265,MATCH('SPC Backing (Hide)'!$B201,Demand!$B$6:$B$265,0),MATCH('SPC Backing (Hide)'!H$3,Demand!$E$5:$S$5,0))</f>
        <v>0</v>
      </c>
      <c r="I201" s="5">
        <f>INDEX(Demand!$E$6:$S$265,MATCH('SPC Backing (Hide)'!$B201,Demand!$B$6:$B$265,0),MATCH('SPC Backing (Hide)'!I$3,Demand!$E$5:$S$5,0))</f>
        <v>0</v>
      </c>
      <c r="J201" s="5">
        <f>INDEX(Demand!$E$6:$S$265,MATCH('SPC Backing (Hide)'!$B201,Demand!$B$6:$B$265,0),MATCH('SPC Backing (Hide)'!J$3,Demand!$E$5:$S$5,0))</f>
        <v>0</v>
      </c>
      <c r="K201" s="5">
        <f>INDEX(Demand!$E$6:$S$265,MATCH('SPC Backing (Hide)'!$B201,Demand!$B$6:$B$265,0),MATCH('SPC Backing (Hide)'!K$3,Demand!$E$5:$S$5,0))</f>
        <v>0</v>
      </c>
      <c r="L201" s="5">
        <f>INDEX(Demand!$E$6:$S$265,MATCH('SPC Backing (Hide)'!$B201,Demand!$B$6:$B$265,0),MATCH('SPC Backing (Hide)'!L$3,Demand!$E$5:$S$5,0))</f>
        <v>0</v>
      </c>
      <c r="M201" s="5">
        <f>INDEX(Demand!$E$6:$S$265,MATCH('SPC Backing (Hide)'!$B201,Demand!$B$6:$B$265,0),MATCH('SPC Backing (Hide)'!M$3,Demand!$E$5:$S$5,0))</f>
        <v>0</v>
      </c>
      <c r="N201" s="5">
        <f>INDEX(Demand!$E$6:$S$265,MATCH('SPC Backing (Hide)'!$B201,Demand!$B$6:$B$265,0),MATCH('SPC Backing (Hide)'!N$3,Demand!$E$5:$S$5,0))</f>
        <v>0</v>
      </c>
      <c r="O201" s="5">
        <f>INDEX(Demand!$E$6:$S$265,MATCH('SPC Backing (Hide)'!$B201,Demand!$B$6:$B$265,0),MATCH('SPC Backing (Hide)'!O$3,Demand!$E$5:$S$5,0))</f>
        <v>0</v>
      </c>
      <c r="P201" s="5">
        <f>INDEX(Demand!$E$6:$S$265,MATCH('SPC Backing (Hide)'!$B201,Demand!$B$6:$B$265,0),MATCH('SPC Backing (Hide)'!P$3,Demand!$E$5:$S$5,0))</f>
        <v>0</v>
      </c>
      <c r="Q201" s="6">
        <f>INDEX(Demand!$E$6:$S$265,MATCH('SPC Backing (Hide)'!$B201,Demand!$B$6:$B$265,0),MATCH('SPC Backing (Hide)'!Q$3,Demand!$E$5:$S$5,0))</f>
        <v>0</v>
      </c>
      <c r="R201">
        <f>IF(SPC!$B$11="Yes",IF(ROW(A198)&gt;=Demand!$A$5-52,1,0),IF(AND(B201&gt;=SPC!$B$12,B201&lt;SPC!$B$13),1,0))</f>
        <v>1</v>
      </c>
      <c r="S201" cm="1">
        <f t="array" ref="S201">INDEX($C$4:$Q$263,ROW(A198),MATCH($T$2,$C$3:$Q$3,0))</f>
        <v>0</v>
      </c>
      <c r="T201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201" cm="1">
        <f t="array" ref="U201">ABS(INDEX($C$4:$Q$263,ROW(A198),MATCH($T$2,$C$3:$Q$3,0))-INDEX($C$4:$Q$263,ROW(A197),MATCH($T$2,$C$3:$Q$3,0)))</f>
        <v>0</v>
      </c>
      <c r="V201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201">
        <f t="shared" si="45"/>
        <v>40.813595610865789</v>
      </c>
      <c r="X201">
        <f t="shared" si="46"/>
        <v>108.80449618627055</v>
      </c>
      <c r="Y201">
        <f t="shared" si="47"/>
        <v>149.61809179713634</v>
      </c>
      <c r="Z201">
        <f t="shared" si="48"/>
        <v>190.43168740800212</v>
      </c>
      <c r="AA201">
        <f t="shared" si="49"/>
        <v>272.05887862973373</v>
      </c>
      <c r="AB201">
        <f t="shared" si="50"/>
        <v>312.8724742405995</v>
      </c>
      <c r="AC201">
        <f t="shared" si="51"/>
        <v>353.68606985146528</v>
      </c>
      <c r="AD201">
        <f t="shared" si="52"/>
        <v>0</v>
      </c>
      <c r="AE201">
        <f t="shared" si="59"/>
        <v>-2</v>
      </c>
      <c r="AF201">
        <f t="shared" si="53"/>
        <v>0</v>
      </c>
      <c r="AG201">
        <f t="shared" si="54"/>
        <v>0</v>
      </c>
      <c r="AH201" t="e">
        <f t="shared" si="55"/>
        <v>#N/A</v>
      </c>
      <c r="AI201">
        <f t="shared" si="56"/>
        <v>-1</v>
      </c>
      <c r="AJ201">
        <f t="shared" si="57"/>
        <v>0</v>
      </c>
      <c r="AK201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201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201">
        <f t="shared" si="58"/>
        <v>14.699999999999989</v>
      </c>
    </row>
    <row r="202" spans="2:39" x14ac:dyDescent="0.35">
      <c r="B202" s="12" t="str">
        <f>Demand!B204</f>
        <v/>
      </c>
      <c r="C202" s="7">
        <f>INDEX(Demand!$E$6:$S$265,MATCH('SPC Backing (Hide)'!$B202,Demand!$B$6:$B$265,0),MATCH('SPC Backing (Hide)'!C$3,Demand!$E$5:$S$5,0))</f>
        <v>0</v>
      </c>
      <c r="D202" s="5">
        <f>INDEX(Demand!$E$6:$S$265,MATCH('SPC Backing (Hide)'!$B202,Demand!$B$6:$B$265,0),MATCH('SPC Backing (Hide)'!D$3,Demand!$E$5:$S$5,0))</f>
        <v>0</v>
      </c>
      <c r="E202" s="5">
        <f>INDEX(Demand!$E$6:$S$265,MATCH('SPC Backing (Hide)'!$B202,Demand!$B$6:$B$265,0),MATCH('SPC Backing (Hide)'!E$3,Demand!$E$5:$S$5,0))</f>
        <v>0</v>
      </c>
      <c r="F202" s="5">
        <f>INDEX(Demand!$E$6:$S$265,MATCH('SPC Backing (Hide)'!$B202,Demand!$B$6:$B$265,0),MATCH('SPC Backing (Hide)'!F$3,Demand!$E$5:$S$5,0))</f>
        <v>0</v>
      </c>
      <c r="G202" s="5">
        <f>INDEX(Demand!$E$6:$S$265,MATCH('SPC Backing (Hide)'!$B202,Demand!$B$6:$B$265,0),MATCH('SPC Backing (Hide)'!G$3,Demand!$E$5:$S$5,0))</f>
        <v>0</v>
      </c>
      <c r="H202" s="5">
        <f>INDEX(Demand!$E$6:$S$265,MATCH('SPC Backing (Hide)'!$B202,Demand!$B$6:$B$265,0),MATCH('SPC Backing (Hide)'!H$3,Demand!$E$5:$S$5,0))</f>
        <v>0</v>
      </c>
      <c r="I202" s="5">
        <f>INDEX(Demand!$E$6:$S$265,MATCH('SPC Backing (Hide)'!$B202,Demand!$B$6:$B$265,0),MATCH('SPC Backing (Hide)'!I$3,Demand!$E$5:$S$5,0))</f>
        <v>0</v>
      </c>
      <c r="J202" s="5">
        <f>INDEX(Demand!$E$6:$S$265,MATCH('SPC Backing (Hide)'!$B202,Demand!$B$6:$B$265,0),MATCH('SPC Backing (Hide)'!J$3,Demand!$E$5:$S$5,0))</f>
        <v>0</v>
      </c>
      <c r="K202" s="5">
        <f>INDEX(Demand!$E$6:$S$265,MATCH('SPC Backing (Hide)'!$B202,Demand!$B$6:$B$265,0),MATCH('SPC Backing (Hide)'!K$3,Demand!$E$5:$S$5,0))</f>
        <v>0</v>
      </c>
      <c r="L202" s="5">
        <f>INDEX(Demand!$E$6:$S$265,MATCH('SPC Backing (Hide)'!$B202,Demand!$B$6:$B$265,0),MATCH('SPC Backing (Hide)'!L$3,Demand!$E$5:$S$5,0))</f>
        <v>0</v>
      </c>
      <c r="M202" s="5">
        <f>INDEX(Demand!$E$6:$S$265,MATCH('SPC Backing (Hide)'!$B202,Demand!$B$6:$B$265,0),MATCH('SPC Backing (Hide)'!M$3,Demand!$E$5:$S$5,0))</f>
        <v>0</v>
      </c>
      <c r="N202" s="5">
        <f>INDEX(Demand!$E$6:$S$265,MATCH('SPC Backing (Hide)'!$B202,Demand!$B$6:$B$265,0),MATCH('SPC Backing (Hide)'!N$3,Demand!$E$5:$S$5,0))</f>
        <v>0</v>
      </c>
      <c r="O202" s="5">
        <f>INDEX(Demand!$E$6:$S$265,MATCH('SPC Backing (Hide)'!$B202,Demand!$B$6:$B$265,0),MATCH('SPC Backing (Hide)'!O$3,Demand!$E$5:$S$5,0))</f>
        <v>0</v>
      </c>
      <c r="P202" s="5">
        <f>INDEX(Demand!$E$6:$S$265,MATCH('SPC Backing (Hide)'!$B202,Demand!$B$6:$B$265,0),MATCH('SPC Backing (Hide)'!P$3,Demand!$E$5:$S$5,0))</f>
        <v>0</v>
      </c>
      <c r="Q202" s="6">
        <f>INDEX(Demand!$E$6:$S$265,MATCH('SPC Backing (Hide)'!$B202,Demand!$B$6:$B$265,0),MATCH('SPC Backing (Hide)'!Q$3,Demand!$E$5:$S$5,0))</f>
        <v>0</v>
      </c>
      <c r="R202">
        <f>IF(SPC!$B$11="Yes",IF(ROW(A199)&gt;=Demand!$A$5-52,1,0),IF(AND(B202&gt;=SPC!$B$12,B202&lt;SPC!$B$13),1,0))</f>
        <v>1</v>
      </c>
      <c r="S202" cm="1">
        <f t="array" ref="S202">INDEX($C$4:$Q$263,ROW(A199),MATCH($T$2,$C$3:$Q$3,0))</f>
        <v>0</v>
      </c>
      <c r="T202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202" cm="1">
        <f t="array" ref="U202">ABS(INDEX($C$4:$Q$263,ROW(A199),MATCH($T$2,$C$3:$Q$3,0))-INDEX($C$4:$Q$263,ROW(A198),MATCH($T$2,$C$3:$Q$3,0)))</f>
        <v>0</v>
      </c>
      <c r="V202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202">
        <f t="shared" si="45"/>
        <v>40.813595610865789</v>
      </c>
      <c r="X202">
        <f t="shared" si="46"/>
        <v>108.80449618627055</v>
      </c>
      <c r="Y202">
        <f t="shared" si="47"/>
        <v>149.61809179713634</v>
      </c>
      <c r="Z202">
        <f t="shared" si="48"/>
        <v>190.43168740800212</v>
      </c>
      <c r="AA202">
        <f t="shared" si="49"/>
        <v>272.05887862973373</v>
      </c>
      <c r="AB202">
        <f t="shared" si="50"/>
        <v>312.8724742405995</v>
      </c>
      <c r="AC202">
        <f t="shared" si="51"/>
        <v>353.68606985146528</v>
      </c>
      <c r="AD202">
        <f t="shared" si="52"/>
        <v>0</v>
      </c>
      <c r="AE202">
        <f t="shared" si="59"/>
        <v>-2</v>
      </c>
      <c r="AF202">
        <f t="shared" si="53"/>
        <v>0</v>
      </c>
      <c r="AG202">
        <f t="shared" si="54"/>
        <v>0</v>
      </c>
      <c r="AH202" t="e">
        <f t="shared" si="55"/>
        <v>#N/A</v>
      </c>
      <c r="AI202">
        <f t="shared" si="56"/>
        <v>-1</v>
      </c>
      <c r="AJ202">
        <f t="shared" si="57"/>
        <v>0</v>
      </c>
      <c r="AK202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202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202">
        <f t="shared" si="58"/>
        <v>14.699999999999989</v>
      </c>
    </row>
    <row r="203" spans="2:39" x14ac:dyDescent="0.35">
      <c r="B203" s="12" t="str">
        <f>Demand!B205</f>
        <v/>
      </c>
      <c r="C203" s="7">
        <f>INDEX(Demand!$E$6:$S$265,MATCH('SPC Backing (Hide)'!$B203,Demand!$B$6:$B$265,0),MATCH('SPC Backing (Hide)'!C$3,Demand!$E$5:$S$5,0))</f>
        <v>0</v>
      </c>
      <c r="D203" s="5">
        <f>INDEX(Demand!$E$6:$S$265,MATCH('SPC Backing (Hide)'!$B203,Demand!$B$6:$B$265,0),MATCH('SPC Backing (Hide)'!D$3,Demand!$E$5:$S$5,0))</f>
        <v>0</v>
      </c>
      <c r="E203" s="5">
        <f>INDEX(Demand!$E$6:$S$265,MATCH('SPC Backing (Hide)'!$B203,Demand!$B$6:$B$265,0),MATCH('SPC Backing (Hide)'!E$3,Demand!$E$5:$S$5,0))</f>
        <v>0</v>
      </c>
      <c r="F203" s="5">
        <f>INDEX(Demand!$E$6:$S$265,MATCH('SPC Backing (Hide)'!$B203,Demand!$B$6:$B$265,0),MATCH('SPC Backing (Hide)'!F$3,Demand!$E$5:$S$5,0))</f>
        <v>0</v>
      </c>
      <c r="G203" s="5">
        <f>INDEX(Demand!$E$6:$S$265,MATCH('SPC Backing (Hide)'!$B203,Demand!$B$6:$B$265,0),MATCH('SPC Backing (Hide)'!G$3,Demand!$E$5:$S$5,0))</f>
        <v>0</v>
      </c>
      <c r="H203" s="5">
        <f>INDEX(Demand!$E$6:$S$265,MATCH('SPC Backing (Hide)'!$B203,Demand!$B$6:$B$265,0),MATCH('SPC Backing (Hide)'!H$3,Demand!$E$5:$S$5,0))</f>
        <v>0</v>
      </c>
      <c r="I203" s="5">
        <f>INDEX(Demand!$E$6:$S$265,MATCH('SPC Backing (Hide)'!$B203,Demand!$B$6:$B$265,0),MATCH('SPC Backing (Hide)'!I$3,Demand!$E$5:$S$5,0))</f>
        <v>0</v>
      </c>
      <c r="J203" s="5">
        <f>INDEX(Demand!$E$6:$S$265,MATCH('SPC Backing (Hide)'!$B203,Demand!$B$6:$B$265,0),MATCH('SPC Backing (Hide)'!J$3,Demand!$E$5:$S$5,0))</f>
        <v>0</v>
      </c>
      <c r="K203" s="5">
        <f>INDEX(Demand!$E$6:$S$265,MATCH('SPC Backing (Hide)'!$B203,Demand!$B$6:$B$265,0),MATCH('SPC Backing (Hide)'!K$3,Demand!$E$5:$S$5,0))</f>
        <v>0</v>
      </c>
      <c r="L203" s="5">
        <f>INDEX(Demand!$E$6:$S$265,MATCH('SPC Backing (Hide)'!$B203,Demand!$B$6:$B$265,0),MATCH('SPC Backing (Hide)'!L$3,Demand!$E$5:$S$5,0))</f>
        <v>0</v>
      </c>
      <c r="M203" s="5">
        <f>INDEX(Demand!$E$6:$S$265,MATCH('SPC Backing (Hide)'!$B203,Demand!$B$6:$B$265,0),MATCH('SPC Backing (Hide)'!M$3,Demand!$E$5:$S$5,0))</f>
        <v>0</v>
      </c>
      <c r="N203" s="5">
        <f>INDEX(Demand!$E$6:$S$265,MATCH('SPC Backing (Hide)'!$B203,Demand!$B$6:$B$265,0),MATCH('SPC Backing (Hide)'!N$3,Demand!$E$5:$S$5,0))</f>
        <v>0</v>
      </c>
      <c r="O203" s="5">
        <f>INDEX(Demand!$E$6:$S$265,MATCH('SPC Backing (Hide)'!$B203,Demand!$B$6:$B$265,0),MATCH('SPC Backing (Hide)'!O$3,Demand!$E$5:$S$5,0))</f>
        <v>0</v>
      </c>
      <c r="P203" s="5">
        <f>INDEX(Demand!$E$6:$S$265,MATCH('SPC Backing (Hide)'!$B203,Demand!$B$6:$B$265,0),MATCH('SPC Backing (Hide)'!P$3,Demand!$E$5:$S$5,0))</f>
        <v>0</v>
      </c>
      <c r="Q203" s="6">
        <f>INDEX(Demand!$E$6:$S$265,MATCH('SPC Backing (Hide)'!$B203,Demand!$B$6:$B$265,0),MATCH('SPC Backing (Hide)'!Q$3,Demand!$E$5:$S$5,0))</f>
        <v>0</v>
      </c>
      <c r="R203">
        <f>IF(SPC!$B$11="Yes",IF(ROW(A200)&gt;=Demand!$A$5-52,1,0),IF(AND(B203&gt;=SPC!$B$12,B203&lt;SPC!$B$13),1,0))</f>
        <v>1</v>
      </c>
      <c r="S203" cm="1">
        <f t="array" ref="S203">INDEX($C$4:$Q$263,ROW(A200),MATCH($T$2,$C$3:$Q$3,0))</f>
        <v>0</v>
      </c>
      <c r="T203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203" cm="1">
        <f t="array" ref="U203">ABS(INDEX($C$4:$Q$263,ROW(A200),MATCH($T$2,$C$3:$Q$3,0))-INDEX($C$4:$Q$263,ROW(A199),MATCH($T$2,$C$3:$Q$3,0)))</f>
        <v>0</v>
      </c>
      <c r="V203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203">
        <f t="shared" si="45"/>
        <v>40.813595610865789</v>
      </c>
      <c r="X203">
        <f t="shared" si="46"/>
        <v>108.80449618627055</v>
      </c>
      <c r="Y203">
        <f t="shared" si="47"/>
        <v>149.61809179713634</v>
      </c>
      <c r="Z203">
        <f t="shared" si="48"/>
        <v>190.43168740800212</v>
      </c>
      <c r="AA203">
        <f t="shared" si="49"/>
        <v>272.05887862973373</v>
      </c>
      <c r="AB203">
        <f t="shared" si="50"/>
        <v>312.8724742405995</v>
      </c>
      <c r="AC203">
        <f t="shared" si="51"/>
        <v>353.68606985146528</v>
      </c>
      <c r="AD203">
        <f t="shared" si="52"/>
        <v>0</v>
      </c>
      <c r="AE203">
        <f t="shared" si="59"/>
        <v>-2</v>
      </c>
      <c r="AF203">
        <f t="shared" si="53"/>
        <v>0</v>
      </c>
      <c r="AG203">
        <f t="shared" si="54"/>
        <v>0</v>
      </c>
      <c r="AH203" t="e">
        <f t="shared" si="55"/>
        <v>#N/A</v>
      </c>
      <c r="AI203">
        <f t="shared" si="56"/>
        <v>-1</v>
      </c>
      <c r="AJ203">
        <f t="shared" si="57"/>
        <v>0</v>
      </c>
      <c r="AK203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203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203">
        <f t="shared" si="58"/>
        <v>14.699999999999989</v>
      </c>
    </row>
    <row r="204" spans="2:39" x14ac:dyDescent="0.35">
      <c r="B204" s="12" t="str">
        <f>Demand!B206</f>
        <v/>
      </c>
      <c r="C204" s="7">
        <f>INDEX(Demand!$E$6:$S$265,MATCH('SPC Backing (Hide)'!$B204,Demand!$B$6:$B$265,0),MATCH('SPC Backing (Hide)'!C$3,Demand!$E$5:$S$5,0))</f>
        <v>0</v>
      </c>
      <c r="D204" s="5">
        <f>INDEX(Demand!$E$6:$S$265,MATCH('SPC Backing (Hide)'!$B204,Demand!$B$6:$B$265,0),MATCH('SPC Backing (Hide)'!D$3,Demand!$E$5:$S$5,0))</f>
        <v>0</v>
      </c>
      <c r="E204" s="5">
        <f>INDEX(Demand!$E$6:$S$265,MATCH('SPC Backing (Hide)'!$B204,Demand!$B$6:$B$265,0),MATCH('SPC Backing (Hide)'!E$3,Demand!$E$5:$S$5,0))</f>
        <v>0</v>
      </c>
      <c r="F204" s="5">
        <f>INDEX(Demand!$E$6:$S$265,MATCH('SPC Backing (Hide)'!$B204,Demand!$B$6:$B$265,0),MATCH('SPC Backing (Hide)'!F$3,Demand!$E$5:$S$5,0))</f>
        <v>0</v>
      </c>
      <c r="G204" s="5">
        <f>INDEX(Demand!$E$6:$S$265,MATCH('SPC Backing (Hide)'!$B204,Demand!$B$6:$B$265,0),MATCH('SPC Backing (Hide)'!G$3,Demand!$E$5:$S$5,0))</f>
        <v>0</v>
      </c>
      <c r="H204" s="5">
        <f>INDEX(Demand!$E$6:$S$265,MATCH('SPC Backing (Hide)'!$B204,Demand!$B$6:$B$265,0),MATCH('SPC Backing (Hide)'!H$3,Demand!$E$5:$S$5,0))</f>
        <v>0</v>
      </c>
      <c r="I204" s="5">
        <f>INDEX(Demand!$E$6:$S$265,MATCH('SPC Backing (Hide)'!$B204,Demand!$B$6:$B$265,0),MATCH('SPC Backing (Hide)'!I$3,Demand!$E$5:$S$5,0))</f>
        <v>0</v>
      </c>
      <c r="J204" s="5">
        <f>INDEX(Demand!$E$6:$S$265,MATCH('SPC Backing (Hide)'!$B204,Demand!$B$6:$B$265,0),MATCH('SPC Backing (Hide)'!J$3,Demand!$E$5:$S$5,0))</f>
        <v>0</v>
      </c>
      <c r="K204" s="5">
        <f>INDEX(Demand!$E$6:$S$265,MATCH('SPC Backing (Hide)'!$B204,Demand!$B$6:$B$265,0),MATCH('SPC Backing (Hide)'!K$3,Demand!$E$5:$S$5,0))</f>
        <v>0</v>
      </c>
      <c r="L204" s="5">
        <f>INDEX(Demand!$E$6:$S$265,MATCH('SPC Backing (Hide)'!$B204,Demand!$B$6:$B$265,0),MATCH('SPC Backing (Hide)'!L$3,Demand!$E$5:$S$5,0))</f>
        <v>0</v>
      </c>
      <c r="M204" s="5">
        <f>INDEX(Demand!$E$6:$S$265,MATCH('SPC Backing (Hide)'!$B204,Demand!$B$6:$B$265,0),MATCH('SPC Backing (Hide)'!M$3,Demand!$E$5:$S$5,0))</f>
        <v>0</v>
      </c>
      <c r="N204" s="5">
        <f>INDEX(Demand!$E$6:$S$265,MATCH('SPC Backing (Hide)'!$B204,Demand!$B$6:$B$265,0),MATCH('SPC Backing (Hide)'!N$3,Demand!$E$5:$S$5,0))</f>
        <v>0</v>
      </c>
      <c r="O204" s="5">
        <f>INDEX(Demand!$E$6:$S$265,MATCH('SPC Backing (Hide)'!$B204,Demand!$B$6:$B$265,0),MATCH('SPC Backing (Hide)'!O$3,Demand!$E$5:$S$5,0))</f>
        <v>0</v>
      </c>
      <c r="P204" s="5">
        <f>INDEX(Demand!$E$6:$S$265,MATCH('SPC Backing (Hide)'!$B204,Demand!$B$6:$B$265,0),MATCH('SPC Backing (Hide)'!P$3,Demand!$E$5:$S$5,0))</f>
        <v>0</v>
      </c>
      <c r="Q204" s="6">
        <f>INDEX(Demand!$E$6:$S$265,MATCH('SPC Backing (Hide)'!$B204,Demand!$B$6:$B$265,0),MATCH('SPC Backing (Hide)'!Q$3,Demand!$E$5:$S$5,0))</f>
        <v>0</v>
      </c>
      <c r="R204">
        <f>IF(SPC!$B$11="Yes",IF(ROW(A201)&gt;=Demand!$A$5-52,1,0),IF(AND(B204&gt;=SPC!$B$12,B204&lt;SPC!$B$13),1,0))</f>
        <v>1</v>
      </c>
      <c r="S204" cm="1">
        <f t="array" ref="S204">INDEX($C$4:$Q$263,ROW(A201),MATCH($T$2,$C$3:$Q$3,0))</f>
        <v>0</v>
      </c>
      <c r="T204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204" cm="1">
        <f t="array" ref="U204">ABS(INDEX($C$4:$Q$263,ROW(A201),MATCH($T$2,$C$3:$Q$3,0))-INDEX($C$4:$Q$263,ROW(A200),MATCH($T$2,$C$3:$Q$3,0)))</f>
        <v>0</v>
      </c>
      <c r="V204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204">
        <f t="shared" si="45"/>
        <v>40.813595610865789</v>
      </c>
      <c r="X204">
        <f t="shared" si="46"/>
        <v>108.80449618627055</v>
      </c>
      <c r="Y204">
        <f t="shared" si="47"/>
        <v>149.61809179713634</v>
      </c>
      <c r="Z204">
        <f t="shared" si="48"/>
        <v>190.43168740800212</v>
      </c>
      <c r="AA204">
        <f t="shared" si="49"/>
        <v>272.05887862973373</v>
      </c>
      <c r="AB204">
        <f t="shared" si="50"/>
        <v>312.8724742405995</v>
      </c>
      <c r="AC204">
        <f t="shared" si="51"/>
        <v>353.68606985146528</v>
      </c>
      <c r="AD204">
        <f t="shared" si="52"/>
        <v>0</v>
      </c>
      <c r="AE204">
        <f t="shared" si="59"/>
        <v>-2</v>
      </c>
      <c r="AF204">
        <f t="shared" si="53"/>
        <v>0</v>
      </c>
      <c r="AG204">
        <f t="shared" si="54"/>
        <v>0</v>
      </c>
      <c r="AH204" t="e">
        <f t="shared" si="55"/>
        <v>#N/A</v>
      </c>
      <c r="AI204">
        <f t="shared" si="56"/>
        <v>-1</v>
      </c>
      <c r="AJ204">
        <f t="shared" si="57"/>
        <v>0</v>
      </c>
      <c r="AK204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204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204">
        <f t="shared" si="58"/>
        <v>14.699999999999989</v>
      </c>
    </row>
    <row r="205" spans="2:39" x14ac:dyDescent="0.35">
      <c r="B205" s="12" t="str">
        <f>Demand!B207</f>
        <v/>
      </c>
      <c r="C205" s="7">
        <f>INDEX(Demand!$E$6:$S$265,MATCH('SPC Backing (Hide)'!$B205,Demand!$B$6:$B$265,0),MATCH('SPC Backing (Hide)'!C$3,Demand!$E$5:$S$5,0))</f>
        <v>0</v>
      </c>
      <c r="D205" s="5">
        <f>INDEX(Demand!$E$6:$S$265,MATCH('SPC Backing (Hide)'!$B205,Demand!$B$6:$B$265,0),MATCH('SPC Backing (Hide)'!D$3,Demand!$E$5:$S$5,0))</f>
        <v>0</v>
      </c>
      <c r="E205" s="5">
        <f>INDEX(Demand!$E$6:$S$265,MATCH('SPC Backing (Hide)'!$B205,Demand!$B$6:$B$265,0),MATCH('SPC Backing (Hide)'!E$3,Demand!$E$5:$S$5,0))</f>
        <v>0</v>
      </c>
      <c r="F205" s="5">
        <f>INDEX(Demand!$E$6:$S$265,MATCH('SPC Backing (Hide)'!$B205,Demand!$B$6:$B$265,0),MATCH('SPC Backing (Hide)'!F$3,Demand!$E$5:$S$5,0))</f>
        <v>0</v>
      </c>
      <c r="G205" s="5">
        <f>INDEX(Demand!$E$6:$S$265,MATCH('SPC Backing (Hide)'!$B205,Demand!$B$6:$B$265,0),MATCH('SPC Backing (Hide)'!G$3,Demand!$E$5:$S$5,0))</f>
        <v>0</v>
      </c>
      <c r="H205" s="5">
        <f>INDEX(Demand!$E$6:$S$265,MATCH('SPC Backing (Hide)'!$B205,Demand!$B$6:$B$265,0),MATCH('SPC Backing (Hide)'!H$3,Demand!$E$5:$S$5,0))</f>
        <v>0</v>
      </c>
      <c r="I205" s="5">
        <f>INDEX(Demand!$E$6:$S$265,MATCH('SPC Backing (Hide)'!$B205,Demand!$B$6:$B$265,0),MATCH('SPC Backing (Hide)'!I$3,Demand!$E$5:$S$5,0))</f>
        <v>0</v>
      </c>
      <c r="J205" s="5">
        <f>INDEX(Demand!$E$6:$S$265,MATCH('SPC Backing (Hide)'!$B205,Demand!$B$6:$B$265,0),MATCH('SPC Backing (Hide)'!J$3,Demand!$E$5:$S$5,0))</f>
        <v>0</v>
      </c>
      <c r="K205" s="5">
        <f>INDEX(Demand!$E$6:$S$265,MATCH('SPC Backing (Hide)'!$B205,Demand!$B$6:$B$265,0),MATCH('SPC Backing (Hide)'!K$3,Demand!$E$5:$S$5,0))</f>
        <v>0</v>
      </c>
      <c r="L205" s="5">
        <f>INDEX(Demand!$E$6:$S$265,MATCH('SPC Backing (Hide)'!$B205,Demand!$B$6:$B$265,0),MATCH('SPC Backing (Hide)'!L$3,Demand!$E$5:$S$5,0))</f>
        <v>0</v>
      </c>
      <c r="M205" s="5">
        <f>INDEX(Demand!$E$6:$S$265,MATCH('SPC Backing (Hide)'!$B205,Demand!$B$6:$B$265,0),MATCH('SPC Backing (Hide)'!M$3,Demand!$E$5:$S$5,0))</f>
        <v>0</v>
      </c>
      <c r="N205" s="5">
        <f>INDEX(Demand!$E$6:$S$265,MATCH('SPC Backing (Hide)'!$B205,Demand!$B$6:$B$265,0),MATCH('SPC Backing (Hide)'!N$3,Demand!$E$5:$S$5,0))</f>
        <v>0</v>
      </c>
      <c r="O205" s="5">
        <f>INDEX(Demand!$E$6:$S$265,MATCH('SPC Backing (Hide)'!$B205,Demand!$B$6:$B$265,0),MATCH('SPC Backing (Hide)'!O$3,Demand!$E$5:$S$5,0))</f>
        <v>0</v>
      </c>
      <c r="P205" s="5">
        <f>INDEX(Demand!$E$6:$S$265,MATCH('SPC Backing (Hide)'!$B205,Demand!$B$6:$B$265,0),MATCH('SPC Backing (Hide)'!P$3,Demand!$E$5:$S$5,0))</f>
        <v>0</v>
      </c>
      <c r="Q205" s="6">
        <f>INDEX(Demand!$E$6:$S$265,MATCH('SPC Backing (Hide)'!$B205,Demand!$B$6:$B$265,0),MATCH('SPC Backing (Hide)'!Q$3,Demand!$E$5:$S$5,0))</f>
        <v>0</v>
      </c>
      <c r="R205">
        <f>IF(SPC!$B$11="Yes",IF(ROW(A202)&gt;=Demand!$A$5-52,1,0),IF(AND(B205&gt;=SPC!$B$12,B205&lt;SPC!$B$13),1,0))</f>
        <v>1</v>
      </c>
      <c r="S205" cm="1">
        <f t="array" ref="S205">INDEX($C$4:$Q$263,ROW(A202),MATCH($T$2,$C$3:$Q$3,0))</f>
        <v>0</v>
      </c>
      <c r="T205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205" cm="1">
        <f t="array" ref="U205">ABS(INDEX($C$4:$Q$263,ROW(A202),MATCH($T$2,$C$3:$Q$3,0))-INDEX($C$4:$Q$263,ROW(A201),MATCH($T$2,$C$3:$Q$3,0)))</f>
        <v>0</v>
      </c>
      <c r="V205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205">
        <f t="shared" si="45"/>
        <v>40.813595610865789</v>
      </c>
      <c r="X205">
        <f t="shared" si="46"/>
        <v>108.80449618627055</v>
      </c>
      <c r="Y205">
        <f t="shared" si="47"/>
        <v>149.61809179713634</v>
      </c>
      <c r="Z205">
        <f t="shared" si="48"/>
        <v>190.43168740800212</v>
      </c>
      <c r="AA205">
        <f t="shared" si="49"/>
        <v>272.05887862973373</v>
      </c>
      <c r="AB205">
        <f t="shared" si="50"/>
        <v>312.8724742405995</v>
      </c>
      <c r="AC205">
        <f t="shared" si="51"/>
        <v>353.68606985146528</v>
      </c>
      <c r="AD205">
        <f t="shared" si="52"/>
        <v>0</v>
      </c>
      <c r="AE205">
        <f t="shared" si="59"/>
        <v>-2</v>
      </c>
      <c r="AF205">
        <f t="shared" si="53"/>
        <v>0</v>
      </c>
      <c r="AG205">
        <f t="shared" si="54"/>
        <v>0</v>
      </c>
      <c r="AH205" t="e">
        <f t="shared" si="55"/>
        <v>#N/A</v>
      </c>
      <c r="AI205">
        <f t="shared" si="56"/>
        <v>-1</v>
      </c>
      <c r="AJ205">
        <f t="shared" si="57"/>
        <v>0</v>
      </c>
      <c r="AK205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205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205">
        <f t="shared" si="58"/>
        <v>14.699999999999989</v>
      </c>
    </row>
    <row r="206" spans="2:39" x14ac:dyDescent="0.35">
      <c r="B206" s="12" t="str">
        <f>Demand!B208</f>
        <v/>
      </c>
      <c r="C206" s="7">
        <f>INDEX(Demand!$E$6:$S$265,MATCH('SPC Backing (Hide)'!$B206,Demand!$B$6:$B$265,0),MATCH('SPC Backing (Hide)'!C$3,Demand!$E$5:$S$5,0))</f>
        <v>0</v>
      </c>
      <c r="D206" s="5">
        <f>INDEX(Demand!$E$6:$S$265,MATCH('SPC Backing (Hide)'!$B206,Demand!$B$6:$B$265,0),MATCH('SPC Backing (Hide)'!D$3,Demand!$E$5:$S$5,0))</f>
        <v>0</v>
      </c>
      <c r="E206" s="5">
        <f>INDEX(Demand!$E$6:$S$265,MATCH('SPC Backing (Hide)'!$B206,Demand!$B$6:$B$265,0),MATCH('SPC Backing (Hide)'!E$3,Demand!$E$5:$S$5,0))</f>
        <v>0</v>
      </c>
      <c r="F206" s="5">
        <f>INDEX(Demand!$E$6:$S$265,MATCH('SPC Backing (Hide)'!$B206,Demand!$B$6:$B$265,0),MATCH('SPC Backing (Hide)'!F$3,Demand!$E$5:$S$5,0))</f>
        <v>0</v>
      </c>
      <c r="G206" s="5">
        <f>INDEX(Demand!$E$6:$S$265,MATCH('SPC Backing (Hide)'!$B206,Demand!$B$6:$B$265,0),MATCH('SPC Backing (Hide)'!G$3,Demand!$E$5:$S$5,0))</f>
        <v>0</v>
      </c>
      <c r="H206" s="5">
        <f>INDEX(Demand!$E$6:$S$265,MATCH('SPC Backing (Hide)'!$B206,Demand!$B$6:$B$265,0),MATCH('SPC Backing (Hide)'!H$3,Demand!$E$5:$S$5,0))</f>
        <v>0</v>
      </c>
      <c r="I206" s="5">
        <f>INDEX(Demand!$E$6:$S$265,MATCH('SPC Backing (Hide)'!$B206,Demand!$B$6:$B$265,0),MATCH('SPC Backing (Hide)'!I$3,Demand!$E$5:$S$5,0))</f>
        <v>0</v>
      </c>
      <c r="J206" s="5">
        <f>INDEX(Demand!$E$6:$S$265,MATCH('SPC Backing (Hide)'!$B206,Demand!$B$6:$B$265,0),MATCH('SPC Backing (Hide)'!J$3,Demand!$E$5:$S$5,0))</f>
        <v>0</v>
      </c>
      <c r="K206" s="5">
        <f>INDEX(Demand!$E$6:$S$265,MATCH('SPC Backing (Hide)'!$B206,Demand!$B$6:$B$265,0),MATCH('SPC Backing (Hide)'!K$3,Demand!$E$5:$S$5,0))</f>
        <v>0</v>
      </c>
      <c r="L206" s="5">
        <f>INDEX(Demand!$E$6:$S$265,MATCH('SPC Backing (Hide)'!$B206,Demand!$B$6:$B$265,0),MATCH('SPC Backing (Hide)'!L$3,Demand!$E$5:$S$5,0))</f>
        <v>0</v>
      </c>
      <c r="M206" s="5">
        <f>INDEX(Demand!$E$6:$S$265,MATCH('SPC Backing (Hide)'!$B206,Demand!$B$6:$B$265,0),MATCH('SPC Backing (Hide)'!M$3,Demand!$E$5:$S$5,0))</f>
        <v>0</v>
      </c>
      <c r="N206" s="5">
        <f>INDEX(Demand!$E$6:$S$265,MATCH('SPC Backing (Hide)'!$B206,Demand!$B$6:$B$265,0),MATCH('SPC Backing (Hide)'!N$3,Demand!$E$5:$S$5,0))</f>
        <v>0</v>
      </c>
      <c r="O206" s="5">
        <f>INDEX(Demand!$E$6:$S$265,MATCH('SPC Backing (Hide)'!$B206,Demand!$B$6:$B$265,0),MATCH('SPC Backing (Hide)'!O$3,Demand!$E$5:$S$5,0))</f>
        <v>0</v>
      </c>
      <c r="P206" s="5">
        <f>INDEX(Demand!$E$6:$S$265,MATCH('SPC Backing (Hide)'!$B206,Demand!$B$6:$B$265,0),MATCH('SPC Backing (Hide)'!P$3,Demand!$E$5:$S$5,0))</f>
        <v>0</v>
      </c>
      <c r="Q206" s="6">
        <f>INDEX(Demand!$E$6:$S$265,MATCH('SPC Backing (Hide)'!$B206,Demand!$B$6:$B$265,0),MATCH('SPC Backing (Hide)'!Q$3,Demand!$E$5:$S$5,0))</f>
        <v>0</v>
      </c>
      <c r="R206">
        <f>IF(SPC!$B$11="Yes",IF(ROW(A203)&gt;=Demand!$A$5-52,1,0),IF(AND(B206&gt;=SPC!$B$12,B206&lt;SPC!$B$13),1,0))</f>
        <v>1</v>
      </c>
      <c r="S206" cm="1">
        <f t="array" ref="S206">INDEX($C$4:$Q$263,ROW(A203),MATCH($T$2,$C$3:$Q$3,0))</f>
        <v>0</v>
      </c>
      <c r="T206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206" cm="1">
        <f t="array" ref="U206">ABS(INDEX($C$4:$Q$263,ROW(A203),MATCH($T$2,$C$3:$Q$3,0))-INDEX($C$4:$Q$263,ROW(A202),MATCH($T$2,$C$3:$Q$3,0)))</f>
        <v>0</v>
      </c>
      <c r="V206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206">
        <f t="shared" si="45"/>
        <v>40.813595610865789</v>
      </c>
      <c r="X206">
        <f t="shared" si="46"/>
        <v>108.80449618627055</v>
      </c>
      <c r="Y206">
        <f t="shared" si="47"/>
        <v>149.61809179713634</v>
      </c>
      <c r="Z206">
        <f t="shared" si="48"/>
        <v>190.43168740800212</v>
      </c>
      <c r="AA206">
        <f t="shared" si="49"/>
        <v>272.05887862973373</v>
      </c>
      <c r="AB206">
        <f t="shared" si="50"/>
        <v>312.8724742405995</v>
      </c>
      <c r="AC206">
        <f t="shared" si="51"/>
        <v>353.68606985146528</v>
      </c>
      <c r="AD206">
        <f t="shared" si="52"/>
        <v>0</v>
      </c>
      <c r="AE206">
        <f t="shared" si="59"/>
        <v>-2</v>
      </c>
      <c r="AF206">
        <f t="shared" si="53"/>
        <v>0</v>
      </c>
      <c r="AG206">
        <f t="shared" si="54"/>
        <v>0</v>
      </c>
      <c r="AH206" t="e">
        <f t="shared" si="55"/>
        <v>#N/A</v>
      </c>
      <c r="AI206">
        <f t="shared" si="56"/>
        <v>-1</v>
      </c>
      <c r="AJ206">
        <f t="shared" si="57"/>
        <v>0</v>
      </c>
      <c r="AK206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206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206">
        <f t="shared" si="58"/>
        <v>14.699999999999989</v>
      </c>
    </row>
    <row r="207" spans="2:39" x14ac:dyDescent="0.35">
      <c r="B207" s="12" t="str">
        <f>Demand!B209</f>
        <v/>
      </c>
      <c r="C207" s="7">
        <f>INDEX(Demand!$E$6:$S$265,MATCH('SPC Backing (Hide)'!$B207,Demand!$B$6:$B$265,0),MATCH('SPC Backing (Hide)'!C$3,Demand!$E$5:$S$5,0))</f>
        <v>0</v>
      </c>
      <c r="D207" s="5">
        <f>INDEX(Demand!$E$6:$S$265,MATCH('SPC Backing (Hide)'!$B207,Demand!$B$6:$B$265,0),MATCH('SPC Backing (Hide)'!D$3,Demand!$E$5:$S$5,0))</f>
        <v>0</v>
      </c>
      <c r="E207" s="5">
        <f>INDEX(Demand!$E$6:$S$265,MATCH('SPC Backing (Hide)'!$B207,Demand!$B$6:$B$265,0),MATCH('SPC Backing (Hide)'!E$3,Demand!$E$5:$S$5,0))</f>
        <v>0</v>
      </c>
      <c r="F207" s="5">
        <f>INDEX(Demand!$E$6:$S$265,MATCH('SPC Backing (Hide)'!$B207,Demand!$B$6:$B$265,0),MATCH('SPC Backing (Hide)'!F$3,Demand!$E$5:$S$5,0))</f>
        <v>0</v>
      </c>
      <c r="G207" s="5">
        <f>INDEX(Demand!$E$6:$S$265,MATCH('SPC Backing (Hide)'!$B207,Demand!$B$6:$B$265,0),MATCH('SPC Backing (Hide)'!G$3,Demand!$E$5:$S$5,0))</f>
        <v>0</v>
      </c>
      <c r="H207" s="5">
        <f>INDEX(Demand!$E$6:$S$265,MATCH('SPC Backing (Hide)'!$B207,Demand!$B$6:$B$265,0),MATCH('SPC Backing (Hide)'!H$3,Demand!$E$5:$S$5,0))</f>
        <v>0</v>
      </c>
      <c r="I207" s="5">
        <f>INDEX(Demand!$E$6:$S$265,MATCH('SPC Backing (Hide)'!$B207,Demand!$B$6:$B$265,0),MATCH('SPC Backing (Hide)'!I$3,Demand!$E$5:$S$5,0))</f>
        <v>0</v>
      </c>
      <c r="J207" s="5">
        <f>INDEX(Demand!$E$6:$S$265,MATCH('SPC Backing (Hide)'!$B207,Demand!$B$6:$B$265,0),MATCH('SPC Backing (Hide)'!J$3,Demand!$E$5:$S$5,0))</f>
        <v>0</v>
      </c>
      <c r="K207" s="5">
        <f>INDEX(Demand!$E$6:$S$265,MATCH('SPC Backing (Hide)'!$B207,Demand!$B$6:$B$265,0),MATCH('SPC Backing (Hide)'!K$3,Demand!$E$5:$S$5,0))</f>
        <v>0</v>
      </c>
      <c r="L207" s="5">
        <f>INDEX(Demand!$E$6:$S$265,MATCH('SPC Backing (Hide)'!$B207,Demand!$B$6:$B$265,0),MATCH('SPC Backing (Hide)'!L$3,Demand!$E$5:$S$5,0))</f>
        <v>0</v>
      </c>
      <c r="M207" s="5">
        <f>INDEX(Demand!$E$6:$S$265,MATCH('SPC Backing (Hide)'!$B207,Demand!$B$6:$B$265,0),MATCH('SPC Backing (Hide)'!M$3,Demand!$E$5:$S$5,0))</f>
        <v>0</v>
      </c>
      <c r="N207" s="5">
        <f>INDEX(Demand!$E$6:$S$265,MATCH('SPC Backing (Hide)'!$B207,Demand!$B$6:$B$265,0),MATCH('SPC Backing (Hide)'!N$3,Demand!$E$5:$S$5,0))</f>
        <v>0</v>
      </c>
      <c r="O207" s="5">
        <f>INDEX(Demand!$E$6:$S$265,MATCH('SPC Backing (Hide)'!$B207,Demand!$B$6:$B$265,0),MATCH('SPC Backing (Hide)'!O$3,Demand!$E$5:$S$5,0))</f>
        <v>0</v>
      </c>
      <c r="P207" s="5">
        <f>INDEX(Demand!$E$6:$S$265,MATCH('SPC Backing (Hide)'!$B207,Demand!$B$6:$B$265,0),MATCH('SPC Backing (Hide)'!P$3,Demand!$E$5:$S$5,0))</f>
        <v>0</v>
      </c>
      <c r="Q207" s="6">
        <f>INDEX(Demand!$E$6:$S$265,MATCH('SPC Backing (Hide)'!$B207,Demand!$B$6:$B$265,0),MATCH('SPC Backing (Hide)'!Q$3,Demand!$E$5:$S$5,0))</f>
        <v>0</v>
      </c>
      <c r="R207">
        <f>IF(SPC!$B$11="Yes",IF(ROW(A204)&gt;=Demand!$A$5-52,1,0),IF(AND(B207&gt;=SPC!$B$12,B207&lt;SPC!$B$13),1,0))</f>
        <v>1</v>
      </c>
      <c r="S207" cm="1">
        <f t="array" ref="S207">INDEX($C$4:$Q$263,ROW(A204),MATCH($T$2,$C$3:$Q$3,0))</f>
        <v>0</v>
      </c>
      <c r="T207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207" cm="1">
        <f t="array" ref="U207">ABS(INDEX($C$4:$Q$263,ROW(A204),MATCH($T$2,$C$3:$Q$3,0))-INDEX($C$4:$Q$263,ROW(A203),MATCH($T$2,$C$3:$Q$3,0)))</f>
        <v>0</v>
      </c>
      <c r="V207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207">
        <f t="shared" si="45"/>
        <v>40.813595610865789</v>
      </c>
      <c r="X207">
        <f t="shared" si="46"/>
        <v>108.80449618627055</v>
      </c>
      <c r="Y207">
        <f t="shared" si="47"/>
        <v>149.61809179713634</v>
      </c>
      <c r="Z207">
        <f t="shared" si="48"/>
        <v>190.43168740800212</v>
      </c>
      <c r="AA207">
        <f t="shared" si="49"/>
        <v>272.05887862973373</v>
      </c>
      <c r="AB207">
        <f t="shared" si="50"/>
        <v>312.8724742405995</v>
      </c>
      <c r="AC207">
        <f t="shared" si="51"/>
        <v>353.68606985146528</v>
      </c>
      <c r="AD207">
        <f t="shared" si="52"/>
        <v>0</v>
      </c>
      <c r="AE207">
        <f t="shared" si="59"/>
        <v>-2</v>
      </c>
      <c r="AF207">
        <f t="shared" si="53"/>
        <v>0</v>
      </c>
      <c r="AG207">
        <f t="shared" si="54"/>
        <v>0</v>
      </c>
      <c r="AH207" t="e">
        <f t="shared" si="55"/>
        <v>#N/A</v>
      </c>
      <c r="AI207">
        <f t="shared" si="56"/>
        <v>-1</v>
      </c>
      <c r="AJ207">
        <f t="shared" si="57"/>
        <v>0</v>
      </c>
      <c r="AK207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207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207">
        <f t="shared" si="58"/>
        <v>14.699999999999989</v>
      </c>
    </row>
    <row r="208" spans="2:39" x14ac:dyDescent="0.35">
      <c r="B208" s="12" t="str">
        <f>Demand!B210</f>
        <v/>
      </c>
      <c r="C208" s="7">
        <f>INDEX(Demand!$E$6:$S$265,MATCH('SPC Backing (Hide)'!$B208,Demand!$B$6:$B$265,0),MATCH('SPC Backing (Hide)'!C$3,Demand!$E$5:$S$5,0))</f>
        <v>0</v>
      </c>
      <c r="D208" s="5">
        <f>INDEX(Demand!$E$6:$S$265,MATCH('SPC Backing (Hide)'!$B208,Demand!$B$6:$B$265,0),MATCH('SPC Backing (Hide)'!D$3,Demand!$E$5:$S$5,0))</f>
        <v>0</v>
      </c>
      <c r="E208" s="5">
        <f>INDEX(Demand!$E$6:$S$265,MATCH('SPC Backing (Hide)'!$B208,Demand!$B$6:$B$265,0),MATCH('SPC Backing (Hide)'!E$3,Demand!$E$5:$S$5,0))</f>
        <v>0</v>
      </c>
      <c r="F208" s="5">
        <f>INDEX(Demand!$E$6:$S$265,MATCH('SPC Backing (Hide)'!$B208,Demand!$B$6:$B$265,0),MATCH('SPC Backing (Hide)'!F$3,Demand!$E$5:$S$5,0))</f>
        <v>0</v>
      </c>
      <c r="G208" s="5">
        <f>INDEX(Demand!$E$6:$S$265,MATCH('SPC Backing (Hide)'!$B208,Demand!$B$6:$B$265,0),MATCH('SPC Backing (Hide)'!G$3,Demand!$E$5:$S$5,0))</f>
        <v>0</v>
      </c>
      <c r="H208" s="5">
        <f>INDEX(Demand!$E$6:$S$265,MATCH('SPC Backing (Hide)'!$B208,Demand!$B$6:$B$265,0),MATCH('SPC Backing (Hide)'!H$3,Demand!$E$5:$S$5,0))</f>
        <v>0</v>
      </c>
      <c r="I208" s="5">
        <f>INDEX(Demand!$E$6:$S$265,MATCH('SPC Backing (Hide)'!$B208,Demand!$B$6:$B$265,0),MATCH('SPC Backing (Hide)'!I$3,Demand!$E$5:$S$5,0))</f>
        <v>0</v>
      </c>
      <c r="J208" s="5">
        <f>INDEX(Demand!$E$6:$S$265,MATCH('SPC Backing (Hide)'!$B208,Demand!$B$6:$B$265,0),MATCH('SPC Backing (Hide)'!J$3,Demand!$E$5:$S$5,0))</f>
        <v>0</v>
      </c>
      <c r="K208" s="5">
        <f>INDEX(Demand!$E$6:$S$265,MATCH('SPC Backing (Hide)'!$B208,Demand!$B$6:$B$265,0),MATCH('SPC Backing (Hide)'!K$3,Demand!$E$5:$S$5,0))</f>
        <v>0</v>
      </c>
      <c r="L208" s="5">
        <f>INDEX(Demand!$E$6:$S$265,MATCH('SPC Backing (Hide)'!$B208,Demand!$B$6:$B$265,0),MATCH('SPC Backing (Hide)'!L$3,Demand!$E$5:$S$5,0))</f>
        <v>0</v>
      </c>
      <c r="M208" s="5">
        <f>INDEX(Demand!$E$6:$S$265,MATCH('SPC Backing (Hide)'!$B208,Demand!$B$6:$B$265,0),MATCH('SPC Backing (Hide)'!M$3,Demand!$E$5:$S$5,0))</f>
        <v>0</v>
      </c>
      <c r="N208" s="5">
        <f>INDEX(Demand!$E$6:$S$265,MATCH('SPC Backing (Hide)'!$B208,Demand!$B$6:$B$265,0),MATCH('SPC Backing (Hide)'!N$3,Demand!$E$5:$S$5,0))</f>
        <v>0</v>
      </c>
      <c r="O208" s="5">
        <f>INDEX(Demand!$E$6:$S$265,MATCH('SPC Backing (Hide)'!$B208,Demand!$B$6:$B$265,0),MATCH('SPC Backing (Hide)'!O$3,Demand!$E$5:$S$5,0))</f>
        <v>0</v>
      </c>
      <c r="P208" s="5">
        <f>INDEX(Demand!$E$6:$S$265,MATCH('SPC Backing (Hide)'!$B208,Demand!$B$6:$B$265,0),MATCH('SPC Backing (Hide)'!P$3,Demand!$E$5:$S$5,0))</f>
        <v>0</v>
      </c>
      <c r="Q208" s="6">
        <f>INDEX(Demand!$E$6:$S$265,MATCH('SPC Backing (Hide)'!$B208,Demand!$B$6:$B$265,0),MATCH('SPC Backing (Hide)'!Q$3,Demand!$E$5:$S$5,0))</f>
        <v>0</v>
      </c>
      <c r="R208">
        <f>IF(SPC!$B$11="Yes",IF(ROW(A205)&gt;=Demand!$A$5-52,1,0),IF(AND(B208&gt;=SPC!$B$12,B208&lt;SPC!$B$13),1,0))</f>
        <v>1</v>
      </c>
      <c r="S208" cm="1">
        <f t="array" ref="S208">INDEX($C$4:$Q$263,ROW(A205),MATCH($T$2,$C$3:$Q$3,0))</f>
        <v>0</v>
      </c>
      <c r="T208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208" cm="1">
        <f t="array" ref="U208">ABS(INDEX($C$4:$Q$263,ROW(A205),MATCH($T$2,$C$3:$Q$3,0))-INDEX($C$4:$Q$263,ROW(A204),MATCH($T$2,$C$3:$Q$3,0)))</f>
        <v>0</v>
      </c>
      <c r="V208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208">
        <f t="shared" si="45"/>
        <v>40.813595610865789</v>
      </c>
      <c r="X208">
        <f t="shared" si="46"/>
        <v>108.80449618627055</v>
      </c>
      <c r="Y208">
        <f t="shared" si="47"/>
        <v>149.61809179713634</v>
      </c>
      <c r="Z208">
        <f t="shared" si="48"/>
        <v>190.43168740800212</v>
      </c>
      <c r="AA208">
        <f t="shared" si="49"/>
        <v>272.05887862973373</v>
      </c>
      <c r="AB208">
        <f t="shared" si="50"/>
        <v>312.8724742405995</v>
      </c>
      <c r="AC208">
        <f t="shared" si="51"/>
        <v>353.68606985146528</v>
      </c>
      <c r="AD208">
        <f t="shared" si="52"/>
        <v>0</v>
      </c>
      <c r="AE208">
        <f t="shared" si="59"/>
        <v>-2</v>
      </c>
      <c r="AF208">
        <f t="shared" si="53"/>
        <v>0</v>
      </c>
      <c r="AG208">
        <f t="shared" si="54"/>
        <v>0</v>
      </c>
      <c r="AH208" t="e">
        <f t="shared" si="55"/>
        <v>#N/A</v>
      </c>
      <c r="AI208">
        <f t="shared" si="56"/>
        <v>-1</v>
      </c>
      <c r="AJ208">
        <f t="shared" si="57"/>
        <v>0</v>
      </c>
      <c r="AK208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208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208">
        <f t="shared" si="58"/>
        <v>14.699999999999989</v>
      </c>
    </row>
    <row r="209" spans="2:39" x14ac:dyDescent="0.35">
      <c r="B209" s="12" t="str">
        <f>Demand!B211</f>
        <v/>
      </c>
      <c r="C209" s="7">
        <f>INDEX(Demand!$E$6:$S$265,MATCH('SPC Backing (Hide)'!$B209,Demand!$B$6:$B$265,0),MATCH('SPC Backing (Hide)'!C$3,Demand!$E$5:$S$5,0))</f>
        <v>0</v>
      </c>
      <c r="D209" s="5">
        <f>INDEX(Demand!$E$6:$S$265,MATCH('SPC Backing (Hide)'!$B209,Demand!$B$6:$B$265,0),MATCH('SPC Backing (Hide)'!D$3,Demand!$E$5:$S$5,0))</f>
        <v>0</v>
      </c>
      <c r="E209" s="5">
        <f>INDEX(Demand!$E$6:$S$265,MATCH('SPC Backing (Hide)'!$B209,Demand!$B$6:$B$265,0),MATCH('SPC Backing (Hide)'!E$3,Demand!$E$5:$S$5,0))</f>
        <v>0</v>
      </c>
      <c r="F209" s="5">
        <f>INDEX(Demand!$E$6:$S$265,MATCH('SPC Backing (Hide)'!$B209,Demand!$B$6:$B$265,0),MATCH('SPC Backing (Hide)'!F$3,Demand!$E$5:$S$5,0))</f>
        <v>0</v>
      </c>
      <c r="G209" s="5">
        <f>INDEX(Demand!$E$6:$S$265,MATCH('SPC Backing (Hide)'!$B209,Demand!$B$6:$B$265,0),MATCH('SPC Backing (Hide)'!G$3,Demand!$E$5:$S$5,0))</f>
        <v>0</v>
      </c>
      <c r="H209" s="5">
        <f>INDEX(Demand!$E$6:$S$265,MATCH('SPC Backing (Hide)'!$B209,Demand!$B$6:$B$265,0),MATCH('SPC Backing (Hide)'!H$3,Demand!$E$5:$S$5,0))</f>
        <v>0</v>
      </c>
      <c r="I209" s="5">
        <f>INDEX(Demand!$E$6:$S$265,MATCH('SPC Backing (Hide)'!$B209,Demand!$B$6:$B$265,0),MATCH('SPC Backing (Hide)'!I$3,Demand!$E$5:$S$5,0))</f>
        <v>0</v>
      </c>
      <c r="J209" s="5">
        <f>INDEX(Demand!$E$6:$S$265,MATCH('SPC Backing (Hide)'!$B209,Demand!$B$6:$B$265,0),MATCH('SPC Backing (Hide)'!J$3,Demand!$E$5:$S$5,0))</f>
        <v>0</v>
      </c>
      <c r="K209" s="5">
        <f>INDEX(Demand!$E$6:$S$265,MATCH('SPC Backing (Hide)'!$B209,Demand!$B$6:$B$265,0),MATCH('SPC Backing (Hide)'!K$3,Demand!$E$5:$S$5,0))</f>
        <v>0</v>
      </c>
      <c r="L209" s="5">
        <f>INDEX(Demand!$E$6:$S$265,MATCH('SPC Backing (Hide)'!$B209,Demand!$B$6:$B$265,0),MATCH('SPC Backing (Hide)'!L$3,Demand!$E$5:$S$5,0))</f>
        <v>0</v>
      </c>
      <c r="M209" s="5">
        <f>INDEX(Demand!$E$6:$S$265,MATCH('SPC Backing (Hide)'!$B209,Demand!$B$6:$B$265,0),MATCH('SPC Backing (Hide)'!M$3,Demand!$E$5:$S$5,0))</f>
        <v>0</v>
      </c>
      <c r="N209" s="5">
        <f>INDEX(Demand!$E$6:$S$265,MATCH('SPC Backing (Hide)'!$B209,Demand!$B$6:$B$265,0),MATCH('SPC Backing (Hide)'!N$3,Demand!$E$5:$S$5,0))</f>
        <v>0</v>
      </c>
      <c r="O209" s="5">
        <f>INDEX(Demand!$E$6:$S$265,MATCH('SPC Backing (Hide)'!$B209,Demand!$B$6:$B$265,0),MATCH('SPC Backing (Hide)'!O$3,Demand!$E$5:$S$5,0))</f>
        <v>0</v>
      </c>
      <c r="P209" s="5">
        <f>INDEX(Demand!$E$6:$S$265,MATCH('SPC Backing (Hide)'!$B209,Demand!$B$6:$B$265,0),MATCH('SPC Backing (Hide)'!P$3,Demand!$E$5:$S$5,0))</f>
        <v>0</v>
      </c>
      <c r="Q209" s="6">
        <f>INDEX(Demand!$E$6:$S$265,MATCH('SPC Backing (Hide)'!$B209,Demand!$B$6:$B$265,0),MATCH('SPC Backing (Hide)'!Q$3,Demand!$E$5:$S$5,0))</f>
        <v>0</v>
      </c>
      <c r="R209">
        <f>IF(SPC!$B$11="Yes",IF(ROW(A206)&gt;=Demand!$A$5-52,1,0),IF(AND(B209&gt;=SPC!$B$12,B209&lt;SPC!$B$13),1,0))</f>
        <v>1</v>
      </c>
      <c r="S209" cm="1">
        <f t="array" ref="S209">INDEX($C$4:$Q$263,ROW(A206),MATCH($T$2,$C$3:$Q$3,0))</f>
        <v>0</v>
      </c>
      <c r="T209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209" cm="1">
        <f t="array" ref="U209">ABS(INDEX($C$4:$Q$263,ROW(A206),MATCH($T$2,$C$3:$Q$3,0))-INDEX($C$4:$Q$263,ROW(A205),MATCH($T$2,$C$3:$Q$3,0)))</f>
        <v>0</v>
      </c>
      <c r="V209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209">
        <f t="shared" si="45"/>
        <v>40.813595610865789</v>
      </c>
      <c r="X209">
        <f t="shared" si="46"/>
        <v>108.80449618627055</v>
      </c>
      <c r="Y209">
        <f t="shared" si="47"/>
        <v>149.61809179713634</v>
      </c>
      <c r="Z209">
        <f t="shared" si="48"/>
        <v>190.43168740800212</v>
      </c>
      <c r="AA209">
        <f t="shared" si="49"/>
        <v>272.05887862973373</v>
      </c>
      <c r="AB209">
        <f t="shared" si="50"/>
        <v>312.8724742405995</v>
      </c>
      <c r="AC209">
        <f t="shared" si="51"/>
        <v>353.68606985146528</v>
      </c>
      <c r="AD209">
        <f t="shared" si="52"/>
        <v>0</v>
      </c>
      <c r="AE209">
        <f t="shared" si="59"/>
        <v>-2</v>
      </c>
      <c r="AF209">
        <f t="shared" si="53"/>
        <v>0</v>
      </c>
      <c r="AG209">
        <f t="shared" si="54"/>
        <v>0</v>
      </c>
      <c r="AH209" t="e">
        <f t="shared" si="55"/>
        <v>#N/A</v>
      </c>
      <c r="AI209">
        <f t="shared" si="56"/>
        <v>-1</v>
      </c>
      <c r="AJ209">
        <f t="shared" si="57"/>
        <v>0</v>
      </c>
      <c r="AK209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209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209">
        <f t="shared" si="58"/>
        <v>14.699999999999989</v>
      </c>
    </row>
    <row r="210" spans="2:39" x14ac:dyDescent="0.35">
      <c r="B210" s="12" t="str">
        <f>Demand!B212</f>
        <v/>
      </c>
      <c r="C210" s="7">
        <f>INDEX(Demand!$E$6:$S$265,MATCH('SPC Backing (Hide)'!$B210,Demand!$B$6:$B$265,0),MATCH('SPC Backing (Hide)'!C$3,Demand!$E$5:$S$5,0))</f>
        <v>0</v>
      </c>
      <c r="D210" s="5">
        <f>INDEX(Demand!$E$6:$S$265,MATCH('SPC Backing (Hide)'!$B210,Demand!$B$6:$B$265,0),MATCH('SPC Backing (Hide)'!D$3,Demand!$E$5:$S$5,0))</f>
        <v>0</v>
      </c>
      <c r="E210" s="5">
        <f>INDEX(Demand!$E$6:$S$265,MATCH('SPC Backing (Hide)'!$B210,Demand!$B$6:$B$265,0),MATCH('SPC Backing (Hide)'!E$3,Demand!$E$5:$S$5,0))</f>
        <v>0</v>
      </c>
      <c r="F210" s="5">
        <f>INDEX(Demand!$E$6:$S$265,MATCH('SPC Backing (Hide)'!$B210,Demand!$B$6:$B$265,0),MATCH('SPC Backing (Hide)'!F$3,Demand!$E$5:$S$5,0))</f>
        <v>0</v>
      </c>
      <c r="G210" s="5">
        <f>INDEX(Demand!$E$6:$S$265,MATCH('SPC Backing (Hide)'!$B210,Demand!$B$6:$B$265,0),MATCH('SPC Backing (Hide)'!G$3,Demand!$E$5:$S$5,0))</f>
        <v>0</v>
      </c>
      <c r="H210" s="5">
        <f>INDEX(Demand!$E$6:$S$265,MATCH('SPC Backing (Hide)'!$B210,Demand!$B$6:$B$265,0),MATCH('SPC Backing (Hide)'!H$3,Demand!$E$5:$S$5,0))</f>
        <v>0</v>
      </c>
      <c r="I210" s="5">
        <f>INDEX(Demand!$E$6:$S$265,MATCH('SPC Backing (Hide)'!$B210,Demand!$B$6:$B$265,0),MATCH('SPC Backing (Hide)'!I$3,Demand!$E$5:$S$5,0))</f>
        <v>0</v>
      </c>
      <c r="J210" s="5">
        <f>INDEX(Demand!$E$6:$S$265,MATCH('SPC Backing (Hide)'!$B210,Demand!$B$6:$B$265,0),MATCH('SPC Backing (Hide)'!J$3,Demand!$E$5:$S$5,0))</f>
        <v>0</v>
      </c>
      <c r="K210" s="5">
        <f>INDEX(Demand!$E$6:$S$265,MATCH('SPC Backing (Hide)'!$B210,Demand!$B$6:$B$265,0),MATCH('SPC Backing (Hide)'!K$3,Demand!$E$5:$S$5,0))</f>
        <v>0</v>
      </c>
      <c r="L210" s="5">
        <f>INDEX(Demand!$E$6:$S$265,MATCH('SPC Backing (Hide)'!$B210,Demand!$B$6:$B$265,0),MATCH('SPC Backing (Hide)'!L$3,Demand!$E$5:$S$5,0))</f>
        <v>0</v>
      </c>
      <c r="M210" s="5">
        <f>INDEX(Demand!$E$6:$S$265,MATCH('SPC Backing (Hide)'!$B210,Demand!$B$6:$B$265,0),MATCH('SPC Backing (Hide)'!M$3,Demand!$E$5:$S$5,0))</f>
        <v>0</v>
      </c>
      <c r="N210" s="5">
        <f>INDEX(Demand!$E$6:$S$265,MATCH('SPC Backing (Hide)'!$B210,Demand!$B$6:$B$265,0),MATCH('SPC Backing (Hide)'!N$3,Demand!$E$5:$S$5,0))</f>
        <v>0</v>
      </c>
      <c r="O210" s="5">
        <f>INDEX(Demand!$E$6:$S$265,MATCH('SPC Backing (Hide)'!$B210,Demand!$B$6:$B$265,0),MATCH('SPC Backing (Hide)'!O$3,Demand!$E$5:$S$5,0))</f>
        <v>0</v>
      </c>
      <c r="P210" s="5">
        <f>INDEX(Demand!$E$6:$S$265,MATCH('SPC Backing (Hide)'!$B210,Demand!$B$6:$B$265,0),MATCH('SPC Backing (Hide)'!P$3,Demand!$E$5:$S$5,0))</f>
        <v>0</v>
      </c>
      <c r="Q210" s="6">
        <f>INDEX(Demand!$E$6:$S$265,MATCH('SPC Backing (Hide)'!$B210,Demand!$B$6:$B$265,0),MATCH('SPC Backing (Hide)'!Q$3,Demand!$E$5:$S$5,0))</f>
        <v>0</v>
      </c>
      <c r="R210">
        <f>IF(SPC!$B$11="Yes",IF(ROW(A207)&gt;=Demand!$A$5-52,1,0),IF(AND(B210&gt;=SPC!$B$12,B210&lt;SPC!$B$13),1,0))</f>
        <v>1</v>
      </c>
      <c r="S210" cm="1">
        <f t="array" ref="S210">INDEX($C$4:$Q$263,ROW(A207),MATCH($T$2,$C$3:$Q$3,0))</f>
        <v>0</v>
      </c>
      <c r="T210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210" cm="1">
        <f t="array" ref="U210">ABS(INDEX($C$4:$Q$263,ROW(A207),MATCH($T$2,$C$3:$Q$3,0))-INDEX($C$4:$Q$263,ROW(A206),MATCH($T$2,$C$3:$Q$3,0)))</f>
        <v>0</v>
      </c>
      <c r="V210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210">
        <f t="shared" si="45"/>
        <v>40.813595610865789</v>
      </c>
      <c r="X210">
        <f t="shared" si="46"/>
        <v>108.80449618627055</v>
      </c>
      <c r="Y210">
        <f t="shared" si="47"/>
        <v>149.61809179713634</v>
      </c>
      <c r="Z210">
        <f t="shared" si="48"/>
        <v>190.43168740800212</v>
      </c>
      <c r="AA210">
        <f t="shared" si="49"/>
        <v>272.05887862973373</v>
      </c>
      <c r="AB210">
        <f t="shared" si="50"/>
        <v>312.8724742405995</v>
      </c>
      <c r="AC210">
        <f t="shared" si="51"/>
        <v>353.68606985146528</v>
      </c>
      <c r="AD210">
        <f t="shared" si="52"/>
        <v>0</v>
      </c>
      <c r="AE210">
        <f t="shared" si="59"/>
        <v>-2</v>
      </c>
      <c r="AF210">
        <f t="shared" si="53"/>
        <v>0</v>
      </c>
      <c r="AG210">
        <f t="shared" si="54"/>
        <v>0</v>
      </c>
      <c r="AH210" t="e">
        <f t="shared" si="55"/>
        <v>#N/A</v>
      </c>
      <c r="AI210">
        <f t="shared" si="56"/>
        <v>-1</v>
      </c>
      <c r="AJ210">
        <f t="shared" si="57"/>
        <v>0</v>
      </c>
      <c r="AK210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210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210">
        <f t="shared" si="58"/>
        <v>14.699999999999989</v>
      </c>
    </row>
    <row r="211" spans="2:39" x14ac:dyDescent="0.35">
      <c r="B211" s="12" t="str">
        <f>Demand!B213</f>
        <v/>
      </c>
      <c r="C211" s="7">
        <f>INDEX(Demand!$E$6:$S$265,MATCH('SPC Backing (Hide)'!$B211,Demand!$B$6:$B$265,0),MATCH('SPC Backing (Hide)'!C$3,Demand!$E$5:$S$5,0))</f>
        <v>0</v>
      </c>
      <c r="D211" s="5">
        <f>INDEX(Demand!$E$6:$S$265,MATCH('SPC Backing (Hide)'!$B211,Demand!$B$6:$B$265,0),MATCH('SPC Backing (Hide)'!D$3,Demand!$E$5:$S$5,0))</f>
        <v>0</v>
      </c>
      <c r="E211" s="5">
        <f>INDEX(Demand!$E$6:$S$265,MATCH('SPC Backing (Hide)'!$B211,Demand!$B$6:$B$265,0),MATCH('SPC Backing (Hide)'!E$3,Demand!$E$5:$S$5,0))</f>
        <v>0</v>
      </c>
      <c r="F211" s="5">
        <f>INDEX(Demand!$E$6:$S$265,MATCH('SPC Backing (Hide)'!$B211,Demand!$B$6:$B$265,0),MATCH('SPC Backing (Hide)'!F$3,Demand!$E$5:$S$5,0))</f>
        <v>0</v>
      </c>
      <c r="G211" s="5">
        <f>INDEX(Demand!$E$6:$S$265,MATCH('SPC Backing (Hide)'!$B211,Demand!$B$6:$B$265,0),MATCH('SPC Backing (Hide)'!G$3,Demand!$E$5:$S$5,0))</f>
        <v>0</v>
      </c>
      <c r="H211" s="5">
        <f>INDEX(Demand!$E$6:$S$265,MATCH('SPC Backing (Hide)'!$B211,Demand!$B$6:$B$265,0),MATCH('SPC Backing (Hide)'!H$3,Demand!$E$5:$S$5,0))</f>
        <v>0</v>
      </c>
      <c r="I211" s="5">
        <f>INDEX(Demand!$E$6:$S$265,MATCH('SPC Backing (Hide)'!$B211,Demand!$B$6:$B$265,0),MATCH('SPC Backing (Hide)'!I$3,Demand!$E$5:$S$5,0))</f>
        <v>0</v>
      </c>
      <c r="J211" s="5">
        <f>INDEX(Demand!$E$6:$S$265,MATCH('SPC Backing (Hide)'!$B211,Demand!$B$6:$B$265,0),MATCH('SPC Backing (Hide)'!J$3,Demand!$E$5:$S$5,0))</f>
        <v>0</v>
      </c>
      <c r="K211" s="5">
        <f>INDEX(Demand!$E$6:$S$265,MATCH('SPC Backing (Hide)'!$B211,Demand!$B$6:$B$265,0),MATCH('SPC Backing (Hide)'!K$3,Demand!$E$5:$S$5,0))</f>
        <v>0</v>
      </c>
      <c r="L211" s="5">
        <f>INDEX(Demand!$E$6:$S$265,MATCH('SPC Backing (Hide)'!$B211,Demand!$B$6:$B$265,0),MATCH('SPC Backing (Hide)'!L$3,Demand!$E$5:$S$5,0))</f>
        <v>0</v>
      </c>
      <c r="M211" s="5">
        <f>INDEX(Demand!$E$6:$S$265,MATCH('SPC Backing (Hide)'!$B211,Demand!$B$6:$B$265,0),MATCH('SPC Backing (Hide)'!M$3,Demand!$E$5:$S$5,0))</f>
        <v>0</v>
      </c>
      <c r="N211" s="5">
        <f>INDEX(Demand!$E$6:$S$265,MATCH('SPC Backing (Hide)'!$B211,Demand!$B$6:$B$265,0),MATCH('SPC Backing (Hide)'!N$3,Demand!$E$5:$S$5,0))</f>
        <v>0</v>
      </c>
      <c r="O211" s="5">
        <f>INDEX(Demand!$E$6:$S$265,MATCH('SPC Backing (Hide)'!$B211,Demand!$B$6:$B$265,0),MATCH('SPC Backing (Hide)'!O$3,Demand!$E$5:$S$5,0))</f>
        <v>0</v>
      </c>
      <c r="P211" s="5">
        <f>INDEX(Demand!$E$6:$S$265,MATCH('SPC Backing (Hide)'!$B211,Demand!$B$6:$B$265,0),MATCH('SPC Backing (Hide)'!P$3,Demand!$E$5:$S$5,0))</f>
        <v>0</v>
      </c>
      <c r="Q211" s="6">
        <f>INDEX(Demand!$E$6:$S$265,MATCH('SPC Backing (Hide)'!$B211,Demand!$B$6:$B$265,0),MATCH('SPC Backing (Hide)'!Q$3,Demand!$E$5:$S$5,0))</f>
        <v>0</v>
      </c>
      <c r="R211">
        <f>IF(SPC!$B$11="Yes",IF(ROW(A208)&gt;=Demand!$A$5-52,1,0),IF(AND(B211&gt;=SPC!$B$12,B211&lt;SPC!$B$13),1,0))</f>
        <v>1</v>
      </c>
      <c r="S211" cm="1">
        <f t="array" ref="S211">INDEX($C$4:$Q$263,ROW(A208),MATCH($T$2,$C$3:$Q$3,0))</f>
        <v>0</v>
      </c>
      <c r="T211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211" cm="1">
        <f t="array" ref="U211">ABS(INDEX($C$4:$Q$263,ROW(A208),MATCH($T$2,$C$3:$Q$3,0))-INDEX($C$4:$Q$263,ROW(A207),MATCH($T$2,$C$3:$Q$3,0)))</f>
        <v>0</v>
      </c>
      <c r="V211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211">
        <f t="shared" si="45"/>
        <v>40.813595610865789</v>
      </c>
      <c r="X211">
        <f t="shared" si="46"/>
        <v>108.80449618627055</v>
      </c>
      <c r="Y211">
        <f t="shared" si="47"/>
        <v>149.61809179713634</v>
      </c>
      <c r="Z211">
        <f t="shared" si="48"/>
        <v>190.43168740800212</v>
      </c>
      <c r="AA211">
        <f t="shared" si="49"/>
        <v>272.05887862973373</v>
      </c>
      <c r="AB211">
        <f t="shared" si="50"/>
        <v>312.8724742405995</v>
      </c>
      <c r="AC211">
        <f t="shared" si="51"/>
        <v>353.68606985146528</v>
      </c>
      <c r="AD211">
        <f t="shared" si="52"/>
        <v>0</v>
      </c>
      <c r="AE211">
        <f t="shared" si="59"/>
        <v>-2</v>
      </c>
      <c r="AF211">
        <f t="shared" si="53"/>
        <v>0</v>
      </c>
      <c r="AG211">
        <f t="shared" si="54"/>
        <v>0</v>
      </c>
      <c r="AH211" t="e">
        <f t="shared" si="55"/>
        <v>#N/A</v>
      </c>
      <c r="AI211">
        <f t="shared" si="56"/>
        <v>-1</v>
      </c>
      <c r="AJ211">
        <f t="shared" si="57"/>
        <v>0</v>
      </c>
      <c r="AK211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211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211">
        <f t="shared" si="58"/>
        <v>14.699999999999989</v>
      </c>
    </row>
    <row r="212" spans="2:39" x14ac:dyDescent="0.35">
      <c r="B212" s="12" t="str">
        <f>Demand!B214</f>
        <v/>
      </c>
      <c r="C212" s="7">
        <f>INDEX(Demand!$E$6:$S$265,MATCH('SPC Backing (Hide)'!$B212,Demand!$B$6:$B$265,0),MATCH('SPC Backing (Hide)'!C$3,Demand!$E$5:$S$5,0))</f>
        <v>0</v>
      </c>
      <c r="D212" s="5">
        <f>INDEX(Demand!$E$6:$S$265,MATCH('SPC Backing (Hide)'!$B212,Demand!$B$6:$B$265,0),MATCH('SPC Backing (Hide)'!D$3,Demand!$E$5:$S$5,0))</f>
        <v>0</v>
      </c>
      <c r="E212" s="5">
        <f>INDEX(Demand!$E$6:$S$265,MATCH('SPC Backing (Hide)'!$B212,Demand!$B$6:$B$265,0),MATCH('SPC Backing (Hide)'!E$3,Demand!$E$5:$S$5,0))</f>
        <v>0</v>
      </c>
      <c r="F212" s="5">
        <f>INDEX(Demand!$E$6:$S$265,MATCH('SPC Backing (Hide)'!$B212,Demand!$B$6:$B$265,0),MATCH('SPC Backing (Hide)'!F$3,Demand!$E$5:$S$5,0))</f>
        <v>0</v>
      </c>
      <c r="G212" s="5">
        <f>INDEX(Demand!$E$6:$S$265,MATCH('SPC Backing (Hide)'!$B212,Demand!$B$6:$B$265,0),MATCH('SPC Backing (Hide)'!G$3,Demand!$E$5:$S$5,0))</f>
        <v>0</v>
      </c>
      <c r="H212" s="5">
        <f>INDEX(Demand!$E$6:$S$265,MATCH('SPC Backing (Hide)'!$B212,Demand!$B$6:$B$265,0),MATCH('SPC Backing (Hide)'!H$3,Demand!$E$5:$S$5,0))</f>
        <v>0</v>
      </c>
      <c r="I212" s="5">
        <f>INDEX(Demand!$E$6:$S$265,MATCH('SPC Backing (Hide)'!$B212,Demand!$B$6:$B$265,0),MATCH('SPC Backing (Hide)'!I$3,Demand!$E$5:$S$5,0))</f>
        <v>0</v>
      </c>
      <c r="J212" s="5">
        <f>INDEX(Demand!$E$6:$S$265,MATCH('SPC Backing (Hide)'!$B212,Demand!$B$6:$B$265,0),MATCH('SPC Backing (Hide)'!J$3,Demand!$E$5:$S$5,0))</f>
        <v>0</v>
      </c>
      <c r="K212" s="5">
        <f>INDEX(Demand!$E$6:$S$265,MATCH('SPC Backing (Hide)'!$B212,Demand!$B$6:$B$265,0),MATCH('SPC Backing (Hide)'!K$3,Demand!$E$5:$S$5,0))</f>
        <v>0</v>
      </c>
      <c r="L212" s="5">
        <f>INDEX(Demand!$E$6:$S$265,MATCH('SPC Backing (Hide)'!$B212,Demand!$B$6:$B$265,0),MATCH('SPC Backing (Hide)'!L$3,Demand!$E$5:$S$5,0))</f>
        <v>0</v>
      </c>
      <c r="M212" s="5">
        <f>INDEX(Demand!$E$6:$S$265,MATCH('SPC Backing (Hide)'!$B212,Demand!$B$6:$B$265,0),MATCH('SPC Backing (Hide)'!M$3,Demand!$E$5:$S$5,0))</f>
        <v>0</v>
      </c>
      <c r="N212" s="5">
        <f>INDEX(Demand!$E$6:$S$265,MATCH('SPC Backing (Hide)'!$B212,Demand!$B$6:$B$265,0),MATCH('SPC Backing (Hide)'!N$3,Demand!$E$5:$S$5,0))</f>
        <v>0</v>
      </c>
      <c r="O212" s="5">
        <f>INDEX(Demand!$E$6:$S$265,MATCH('SPC Backing (Hide)'!$B212,Demand!$B$6:$B$265,0),MATCH('SPC Backing (Hide)'!O$3,Demand!$E$5:$S$5,0))</f>
        <v>0</v>
      </c>
      <c r="P212" s="5">
        <f>INDEX(Demand!$E$6:$S$265,MATCH('SPC Backing (Hide)'!$B212,Demand!$B$6:$B$265,0),MATCH('SPC Backing (Hide)'!P$3,Demand!$E$5:$S$5,0))</f>
        <v>0</v>
      </c>
      <c r="Q212" s="6">
        <f>INDEX(Demand!$E$6:$S$265,MATCH('SPC Backing (Hide)'!$B212,Demand!$B$6:$B$265,0),MATCH('SPC Backing (Hide)'!Q$3,Demand!$E$5:$S$5,0))</f>
        <v>0</v>
      </c>
      <c r="R212">
        <f>IF(SPC!$B$11="Yes",IF(ROW(A209)&gt;=Demand!$A$5-52,1,0),IF(AND(B212&gt;=SPC!$B$12,B212&lt;SPC!$B$13),1,0))</f>
        <v>1</v>
      </c>
      <c r="S212" cm="1">
        <f t="array" ref="S212">INDEX($C$4:$Q$263,ROW(A209),MATCH($T$2,$C$3:$Q$3,0))</f>
        <v>0</v>
      </c>
      <c r="T212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212" cm="1">
        <f t="array" ref="U212">ABS(INDEX($C$4:$Q$263,ROW(A209),MATCH($T$2,$C$3:$Q$3,0))-INDEX($C$4:$Q$263,ROW(A208),MATCH($T$2,$C$3:$Q$3,0)))</f>
        <v>0</v>
      </c>
      <c r="V212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212">
        <f t="shared" si="45"/>
        <v>40.813595610865789</v>
      </c>
      <c r="X212">
        <f t="shared" si="46"/>
        <v>108.80449618627055</v>
      </c>
      <c r="Y212">
        <f t="shared" si="47"/>
        <v>149.61809179713634</v>
      </c>
      <c r="Z212">
        <f t="shared" si="48"/>
        <v>190.43168740800212</v>
      </c>
      <c r="AA212">
        <f t="shared" si="49"/>
        <v>272.05887862973373</v>
      </c>
      <c r="AB212">
        <f t="shared" si="50"/>
        <v>312.8724742405995</v>
      </c>
      <c r="AC212">
        <f t="shared" si="51"/>
        <v>353.68606985146528</v>
      </c>
      <c r="AD212">
        <f t="shared" si="52"/>
        <v>0</v>
      </c>
      <c r="AE212">
        <f t="shared" si="59"/>
        <v>-2</v>
      </c>
      <c r="AF212">
        <f t="shared" si="53"/>
        <v>0</v>
      </c>
      <c r="AG212">
        <f t="shared" si="54"/>
        <v>0</v>
      </c>
      <c r="AH212" t="e">
        <f t="shared" si="55"/>
        <v>#N/A</v>
      </c>
      <c r="AI212">
        <f t="shared" si="56"/>
        <v>-1</v>
      </c>
      <c r="AJ212">
        <f t="shared" si="57"/>
        <v>0</v>
      </c>
      <c r="AK212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212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212">
        <f t="shared" si="58"/>
        <v>14.699999999999989</v>
      </c>
    </row>
    <row r="213" spans="2:39" x14ac:dyDescent="0.35">
      <c r="B213" s="12" t="str">
        <f>Demand!B215</f>
        <v/>
      </c>
      <c r="C213" s="7">
        <f>INDEX(Demand!$E$6:$S$265,MATCH('SPC Backing (Hide)'!$B213,Demand!$B$6:$B$265,0),MATCH('SPC Backing (Hide)'!C$3,Demand!$E$5:$S$5,0))</f>
        <v>0</v>
      </c>
      <c r="D213" s="5">
        <f>INDEX(Demand!$E$6:$S$265,MATCH('SPC Backing (Hide)'!$B213,Demand!$B$6:$B$265,0),MATCH('SPC Backing (Hide)'!D$3,Demand!$E$5:$S$5,0))</f>
        <v>0</v>
      </c>
      <c r="E213" s="5">
        <f>INDEX(Demand!$E$6:$S$265,MATCH('SPC Backing (Hide)'!$B213,Demand!$B$6:$B$265,0),MATCH('SPC Backing (Hide)'!E$3,Demand!$E$5:$S$5,0))</f>
        <v>0</v>
      </c>
      <c r="F213" s="5">
        <f>INDEX(Demand!$E$6:$S$265,MATCH('SPC Backing (Hide)'!$B213,Demand!$B$6:$B$265,0),MATCH('SPC Backing (Hide)'!F$3,Demand!$E$5:$S$5,0))</f>
        <v>0</v>
      </c>
      <c r="G213" s="5">
        <f>INDEX(Demand!$E$6:$S$265,MATCH('SPC Backing (Hide)'!$B213,Demand!$B$6:$B$265,0),MATCH('SPC Backing (Hide)'!G$3,Demand!$E$5:$S$5,0))</f>
        <v>0</v>
      </c>
      <c r="H213" s="5">
        <f>INDEX(Demand!$E$6:$S$265,MATCH('SPC Backing (Hide)'!$B213,Demand!$B$6:$B$265,0),MATCH('SPC Backing (Hide)'!H$3,Demand!$E$5:$S$5,0))</f>
        <v>0</v>
      </c>
      <c r="I213" s="5">
        <f>INDEX(Demand!$E$6:$S$265,MATCH('SPC Backing (Hide)'!$B213,Demand!$B$6:$B$265,0),MATCH('SPC Backing (Hide)'!I$3,Demand!$E$5:$S$5,0))</f>
        <v>0</v>
      </c>
      <c r="J213" s="5">
        <f>INDEX(Demand!$E$6:$S$265,MATCH('SPC Backing (Hide)'!$B213,Demand!$B$6:$B$265,0),MATCH('SPC Backing (Hide)'!J$3,Demand!$E$5:$S$5,0))</f>
        <v>0</v>
      </c>
      <c r="K213" s="5">
        <f>INDEX(Demand!$E$6:$S$265,MATCH('SPC Backing (Hide)'!$B213,Demand!$B$6:$B$265,0),MATCH('SPC Backing (Hide)'!K$3,Demand!$E$5:$S$5,0))</f>
        <v>0</v>
      </c>
      <c r="L213" s="5">
        <f>INDEX(Demand!$E$6:$S$265,MATCH('SPC Backing (Hide)'!$B213,Demand!$B$6:$B$265,0),MATCH('SPC Backing (Hide)'!L$3,Demand!$E$5:$S$5,0))</f>
        <v>0</v>
      </c>
      <c r="M213" s="5">
        <f>INDEX(Demand!$E$6:$S$265,MATCH('SPC Backing (Hide)'!$B213,Demand!$B$6:$B$265,0),MATCH('SPC Backing (Hide)'!M$3,Demand!$E$5:$S$5,0))</f>
        <v>0</v>
      </c>
      <c r="N213" s="5">
        <f>INDEX(Demand!$E$6:$S$265,MATCH('SPC Backing (Hide)'!$B213,Demand!$B$6:$B$265,0),MATCH('SPC Backing (Hide)'!N$3,Demand!$E$5:$S$5,0))</f>
        <v>0</v>
      </c>
      <c r="O213" s="5">
        <f>INDEX(Demand!$E$6:$S$265,MATCH('SPC Backing (Hide)'!$B213,Demand!$B$6:$B$265,0),MATCH('SPC Backing (Hide)'!O$3,Demand!$E$5:$S$5,0))</f>
        <v>0</v>
      </c>
      <c r="P213" s="5">
        <f>INDEX(Demand!$E$6:$S$265,MATCH('SPC Backing (Hide)'!$B213,Demand!$B$6:$B$265,0),MATCH('SPC Backing (Hide)'!P$3,Demand!$E$5:$S$5,0))</f>
        <v>0</v>
      </c>
      <c r="Q213" s="6">
        <f>INDEX(Demand!$E$6:$S$265,MATCH('SPC Backing (Hide)'!$B213,Demand!$B$6:$B$265,0),MATCH('SPC Backing (Hide)'!Q$3,Demand!$E$5:$S$5,0))</f>
        <v>0</v>
      </c>
      <c r="R213">
        <f>IF(SPC!$B$11="Yes",IF(ROW(A210)&gt;=Demand!$A$5-52,1,0),IF(AND(B213&gt;=SPC!$B$12,B213&lt;SPC!$B$13),1,0))</f>
        <v>1</v>
      </c>
      <c r="S213" cm="1">
        <f t="array" ref="S213">INDEX($C$4:$Q$263,ROW(A210),MATCH($T$2,$C$3:$Q$3,0))</f>
        <v>0</v>
      </c>
      <c r="T213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213" cm="1">
        <f t="array" ref="U213">ABS(INDEX($C$4:$Q$263,ROW(A210),MATCH($T$2,$C$3:$Q$3,0))-INDEX($C$4:$Q$263,ROW(A209),MATCH($T$2,$C$3:$Q$3,0)))</f>
        <v>0</v>
      </c>
      <c r="V213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213">
        <f t="shared" si="45"/>
        <v>40.813595610865789</v>
      </c>
      <c r="X213">
        <f t="shared" si="46"/>
        <v>108.80449618627055</v>
      </c>
      <c r="Y213">
        <f t="shared" si="47"/>
        <v>149.61809179713634</v>
      </c>
      <c r="Z213">
        <f t="shared" si="48"/>
        <v>190.43168740800212</v>
      </c>
      <c r="AA213">
        <f t="shared" si="49"/>
        <v>272.05887862973373</v>
      </c>
      <c r="AB213">
        <f t="shared" si="50"/>
        <v>312.8724742405995</v>
      </c>
      <c r="AC213">
        <f t="shared" si="51"/>
        <v>353.68606985146528</v>
      </c>
      <c r="AD213">
        <f t="shared" si="52"/>
        <v>0</v>
      </c>
      <c r="AE213">
        <f t="shared" si="59"/>
        <v>-2</v>
      </c>
      <c r="AF213">
        <f t="shared" si="53"/>
        <v>0</v>
      </c>
      <c r="AG213">
        <f t="shared" si="54"/>
        <v>0</v>
      </c>
      <c r="AH213" t="e">
        <f t="shared" si="55"/>
        <v>#N/A</v>
      </c>
      <c r="AI213">
        <f t="shared" si="56"/>
        <v>-1</v>
      </c>
      <c r="AJ213">
        <f t="shared" si="57"/>
        <v>0</v>
      </c>
      <c r="AK213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213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213">
        <f t="shared" si="58"/>
        <v>14.699999999999989</v>
      </c>
    </row>
    <row r="214" spans="2:39" x14ac:dyDescent="0.35">
      <c r="B214" s="12" t="str">
        <f>Demand!B216</f>
        <v/>
      </c>
      <c r="C214" s="7">
        <f>INDEX(Demand!$E$6:$S$265,MATCH('SPC Backing (Hide)'!$B214,Demand!$B$6:$B$265,0),MATCH('SPC Backing (Hide)'!C$3,Demand!$E$5:$S$5,0))</f>
        <v>0</v>
      </c>
      <c r="D214" s="5">
        <f>INDEX(Demand!$E$6:$S$265,MATCH('SPC Backing (Hide)'!$B214,Demand!$B$6:$B$265,0),MATCH('SPC Backing (Hide)'!D$3,Demand!$E$5:$S$5,0))</f>
        <v>0</v>
      </c>
      <c r="E214" s="5">
        <f>INDEX(Demand!$E$6:$S$265,MATCH('SPC Backing (Hide)'!$B214,Demand!$B$6:$B$265,0),MATCH('SPC Backing (Hide)'!E$3,Demand!$E$5:$S$5,0))</f>
        <v>0</v>
      </c>
      <c r="F214" s="5">
        <f>INDEX(Demand!$E$6:$S$265,MATCH('SPC Backing (Hide)'!$B214,Demand!$B$6:$B$265,0),MATCH('SPC Backing (Hide)'!F$3,Demand!$E$5:$S$5,0))</f>
        <v>0</v>
      </c>
      <c r="G214" s="5">
        <f>INDEX(Demand!$E$6:$S$265,MATCH('SPC Backing (Hide)'!$B214,Demand!$B$6:$B$265,0),MATCH('SPC Backing (Hide)'!G$3,Demand!$E$5:$S$5,0))</f>
        <v>0</v>
      </c>
      <c r="H214" s="5">
        <f>INDEX(Demand!$E$6:$S$265,MATCH('SPC Backing (Hide)'!$B214,Demand!$B$6:$B$265,0),MATCH('SPC Backing (Hide)'!H$3,Demand!$E$5:$S$5,0))</f>
        <v>0</v>
      </c>
      <c r="I214" s="5">
        <f>INDEX(Demand!$E$6:$S$265,MATCH('SPC Backing (Hide)'!$B214,Demand!$B$6:$B$265,0),MATCH('SPC Backing (Hide)'!I$3,Demand!$E$5:$S$5,0))</f>
        <v>0</v>
      </c>
      <c r="J214" s="5">
        <f>INDEX(Demand!$E$6:$S$265,MATCH('SPC Backing (Hide)'!$B214,Demand!$B$6:$B$265,0),MATCH('SPC Backing (Hide)'!J$3,Demand!$E$5:$S$5,0))</f>
        <v>0</v>
      </c>
      <c r="K214" s="5">
        <f>INDEX(Demand!$E$6:$S$265,MATCH('SPC Backing (Hide)'!$B214,Demand!$B$6:$B$265,0),MATCH('SPC Backing (Hide)'!K$3,Demand!$E$5:$S$5,0))</f>
        <v>0</v>
      </c>
      <c r="L214" s="5">
        <f>INDEX(Demand!$E$6:$S$265,MATCH('SPC Backing (Hide)'!$B214,Demand!$B$6:$B$265,0),MATCH('SPC Backing (Hide)'!L$3,Demand!$E$5:$S$5,0))</f>
        <v>0</v>
      </c>
      <c r="M214" s="5">
        <f>INDEX(Demand!$E$6:$S$265,MATCH('SPC Backing (Hide)'!$B214,Demand!$B$6:$B$265,0),MATCH('SPC Backing (Hide)'!M$3,Demand!$E$5:$S$5,0))</f>
        <v>0</v>
      </c>
      <c r="N214" s="5">
        <f>INDEX(Demand!$E$6:$S$265,MATCH('SPC Backing (Hide)'!$B214,Demand!$B$6:$B$265,0),MATCH('SPC Backing (Hide)'!N$3,Demand!$E$5:$S$5,0))</f>
        <v>0</v>
      </c>
      <c r="O214" s="5">
        <f>INDEX(Demand!$E$6:$S$265,MATCH('SPC Backing (Hide)'!$B214,Demand!$B$6:$B$265,0),MATCH('SPC Backing (Hide)'!O$3,Demand!$E$5:$S$5,0))</f>
        <v>0</v>
      </c>
      <c r="P214" s="5">
        <f>INDEX(Demand!$E$6:$S$265,MATCH('SPC Backing (Hide)'!$B214,Demand!$B$6:$B$265,0),MATCH('SPC Backing (Hide)'!P$3,Demand!$E$5:$S$5,0))</f>
        <v>0</v>
      </c>
      <c r="Q214" s="6">
        <f>INDEX(Demand!$E$6:$S$265,MATCH('SPC Backing (Hide)'!$B214,Demand!$B$6:$B$265,0),MATCH('SPC Backing (Hide)'!Q$3,Demand!$E$5:$S$5,0))</f>
        <v>0</v>
      </c>
      <c r="R214">
        <f>IF(SPC!$B$11="Yes",IF(ROW(A211)&gt;=Demand!$A$5-52,1,0),IF(AND(B214&gt;=SPC!$B$12,B214&lt;SPC!$B$13),1,0))</f>
        <v>1</v>
      </c>
      <c r="S214" cm="1">
        <f t="array" ref="S214">INDEX($C$4:$Q$263,ROW(A211),MATCH($T$2,$C$3:$Q$3,0))</f>
        <v>0</v>
      </c>
      <c r="T214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214" cm="1">
        <f t="array" ref="U214">ABS(INDEX($C$4:$Q$263,ROW(A211),MATCH($T$2,$C$3:$Q$3,0))-INDEX($C$4:$Q$263,ROW(A210),MATCH($T$2,$C$3:$Q$3,0)))</f>
        <v>0</v>
      </c>
      <c r="V214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214">
        <f t="shared" si="45"/>
        <v>40.813595610865789</v>
      </c>
      <c r="X214">
        <f t="shared" si="46"/>
        <v>108.80449618627055</v>
      </c>
      <c r="Y214">
        <f t="shared" si="47"/>
        <v>149.61809179713634</v>
      </c>
      <c r="Z214">
        <f t="shared" si="48"/>
        <v>190.43168740800212</v>
      </c>
      <c r="AA214">
        <f t="shared" si="49"/>
        <v>272.05887862973373</v>
      </c>
      <c r="AB214">
        <f t="shared" si="50"/>
        <v>312.8724742405995</v>
      </c>
      <c r="AC214">
        <f t="shared" si="51"/>
        <v>353.68606985146528</v>
      </c>
      <c r="AD214">
        <f t="shared" si="52"/>
        <v>0</v>
      </c>
      <c r="AE214">
        <f t="shared" si="59"/>
        <v>-2</v>
      </c>
      <c r="AF214">
        <f t="shared" si="53"/>
        <v>0</v>
      </c>
      <c r="AG214">
        <f t="shared" si="54"/>
        <v>0</v>
      </c>
      <c r="AH214" t="e">
        <f t="shared" si="55"/>
        <v>#N/A</v>
      </c>
      <c r="AI214">
        <f t="shared" si="56"/>
        <v>-1</v>
      </c>
      <c r="AJ214">
        <f t="shared" si="57"/>
        <v>0</v>
      </c>
      <c r="AK214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214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214">
        <f t="shared" si="58"/>
        <v>14.699999999999989</v>
      </c>
    </row>
    <row r="215" spans="2:39" x14ac:dyDescent="0.35">
      <c r="B215" s="12" t="str">
        <f>Demand!B217</f>
        <v/>
      </c>
      <c r="C215" s="7">
        <f>INDEX(Demand!$E$6:$S$265,MATCH('SPC Backing (Hide)'!$B215,Demand!$B$6:$B$265,0),MATCH('SPC Backing (Hide)'!C$3,Demand!$E$5:$S$5,0))</f>
        <v>0</v>
      </c>
      <c r="D215" s="5">
        <f>INDEX(Demand!$E$6:$S$265,MATCH('SPC Backing (Hide)'!$B215,Demand!$B$6:$B$265,0),MATCH('SPC Backing (Hide)'!D$3,Demand!$E$5:$S$5,0))</f>
        <v>0</v>
      </c>
      <c r="E215" s="5">
        <f>INDEX(Demand!$E$6:$S$265,MATCH('SPC Backing (Hide)'!$B215,Demand!$B$6:$B$265,0),MATCH('SPC Backing (Hide)'!E$3,Demand!$E$5:$S$5,0))</f>
        <v>0</v>
      </c>
      <c r="F215" s="5">
        <f>INDEX(Demand!$E$6:$S$265,MATCH('SPC Backing (Hide)'!$B215,Demand!$B$6:$B$265,0),MATCH('SPC Backing (Hide)'!F$3,Demand!$E$5:$S$5,0))</f>
        <v>0</v>
      </c>
      <c r="G215" s="5">
        <f>INDEX(Demand!$E$6:$S$265,MATCH('SPC Backing (Hide)'!$B215,Demand!$B$6:$B$265,0),MATCH('SPC Backing (Hide)'!G$3,Demand!$E$5:$S$5,0))</f>
        <v>0</v>
      </c>
      <c r="H215" s="5">
        <f>INDEX(Demand!$E$6:$S$265,MATCH('SPC Backing (Hide)'!$B215,Demand!$B$6:$B$265,0),MATCH('SPC Backing (Hide)'!H$3,Demand!$E$5:$S$5,0))</f>
        <v>0</v>
      </c>
      <c r="I215" s="5">
        <f>INDEX(Demand!$E$6:$S$265,MATCH('SPC Backing (Hide)'!$B215,Demand!$B$6:$B$265,0),MATCH('SPC Backing (Hide)'!I$3,Demand!$E$5:$S$5,0))</f>
        <v>0</v>
      </c>
      <c r="J215" s="5">
        <f>INDEX(Demand!$E$6:$S$265,MATCH('SPC Backing (Hide)'!$B215,Demand!$B$6:$B$265,0),MATCH('SPC Backing (Hide)'!J$3,Demand!$E$5:$S$5,0))</f>
        <v>0</v>
      </c>
      <c r="K215" s="5">
        <f>INDEX(Demand!$E$6:$S$265,MATCH('SPC Backing (Hide)'!$B215,Demand!$B$6:$B$265,0),MATCH('SPC Backing (Hide)'!K$3,Demand!$E$5:$S$5,0))</f>
        <v>0</v>
      </c>
      <c r="L215" s="5">
        <f>INDEX(Demand!$E$6:$S$265,MATCH('SPC Backing (Hide)'!$B215,Demand!$B$6:$B$265,0),MATCH('SPC Backing (Hide)'!L$3,Demand!$E$5:$S$5,0))</f>
        <v>0</v>
      </c>
      <c r="M215" s="5">
        <f>INDEX(Demand!$E$6:$S$265,MATCH('SPC Backing (Hide)'!$B215,Demand!$B$6:$B$265,0),MATCH('SPC Backing (Hide)'!M$3,Demand!$E$5:$S$5,0))</f>
        <v>0</v>
      </c>
      <c r="N215" s="5">
        <f>INDEX(Demand!$E$6:$S$265,MATCH('SPC Backing (Hide)'!$B215,Demand!$B$6:$B$265,0),MATCH('SPC Backing (Hide)'!N$3,Demand!$E$5:$S$5,0))</f>
        <v>0</v>
      </c>
      <c r="O215" s="5">
        <f>INDEX(Demand!$E$6:$S$265,MATCH('SPC Backing (Hide)'!$B215,Demand!$B$6:$B$265,0),MATCH('SPC Backing (Hide)'!O$3,Demand!$E$5:$S$5,0))</f>
        <v>0</v>
      </c>
      <c r="P215" s="5">
        <f>INDEX(Demand!$E$6:$S$265,MATCH('SPC Backing (Hide)'!$B215,Demand!$B$6:$B$265,0),MATCH('SPC Backing (Hide)'!P$3,Demand!$E$5:$S$5,0))</f>
        <v>0</v>
      </c>
      <c r="Q215" s="6">
        <f>INDEX(Demand!$E$6:$S$265,MATCH('SPC Backing (Hide)'!$B215,Demand!$B$6:$B$265,0),MATCH('SPC Backing (Hide)'!Q$3,Demand!$E$5:$S$5,0))</f>
        <v>0</v>
      </c>
      <c r="R215">
        <f>IF(SPC!$B$11="Yes",IF(ROW(A212)&gt;=Demand!$A$5-52,1,0),IF(AND(B215&gt;=SPC!$B$12,B215&lt;SPC!$B$13),1,0))</f>
        <v>1</v>
      </c>
      <c r="S215" cm="1">
        <f t="array" ref="S215">INDEX($C$4:$Q$263,ROW(A212),MATCH($T$2,$C$3:$Q$3,0))</f>
        <v>0</v>
      </c>
      <c r="T215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215" cm="1">
        <f t="array" ref="U215">ABS(INDEX($C$4:$Q$263,ROW(A212),MATCH($T$2,$C$3:$Q$3,0))-INDEX($C$4:$Q$263,ROW(A211),MATCH($T$2,$C$3:$Q$3,0)))</f>
        <v>0</v>
      </c>
      <c r="V215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215">
        <f t="shared" si="45"/>
        <v>40.813595610865789</v>
      </c>
      <c r="X215">
        <f t="shared" si="46"/>
        <v>108.80449618627055</v>
      </c>
      <c r="Y215">
        <f t="shared" si="47"/>
        <v>149.61809179713634</v>
      </c>
      <c r="Z215">
        <f t="shared" si="48"/>
        <v>190.43168740800212</v>
      </c>
      <c r="AA215">
        <f t="shared" si="49"/>
        <v>272.05887862973373</v>
      </c>
      <c r="AB215">
        <f t="shared" si="50"/>
        <v>312.8724742405995</v>
      </c>
      <c r="AC215">
        <f t="shared" si="51"/>
        <v>353.68606985146528</v>
      </c>
      <c r="AD215">
        <f t="shared" si="52"/>
        <v>0</v>
      </c>
      <c r="AE215">
        <f t="shared" si="59"/>
        <v>-2</v>
      </c>
      <c r="AF215">
        <f t="shared" si="53"/>
        <v>0</v>
      </c>
      <c r="AG215">
        <f t="shared" si="54"/>
        <v>0</v>
      </c>
      <c r="AH215" t="e">
        <f t="shared" si="55"/>
        <v>#N/A</v>
      </c>
      <c r="AI215">
        <f t="shared" si="56"/>
        <v>-1</v>
      </c>
      <c r="AJ215">
        <f t="shared" si="57"/>
        <v>0</v>
      </c>
      <c r="AK215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215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215">
        <f t="shared" si="58"/>
        <v>14.699999999999989</v>
      </c>
    </row>
    <row r="216" spans="2:39" x14ac:dyDescent="0.35">
      <c r="B216" s="12" t="str">
        <f>Demand!B218</f>
        <v/>
      </c>
      <c r="C216" s="7">
        <f>INDEX(Demand!$E$6:$S$265,MATCH('SPC Backing (Hide)'!$B216,Demand!$B$6:$B$265,0),MATCH('SPC Backing (Hide)'!C$3,Demand!$E$5:$S$5,0))</f>
        <v>0</v>
      </c>
      <c r="D216" s="5">
        <f>INDEX(Demand!$E$6:$S$265,MATCH('SPC Backing (Hide)'!$B216,Demand!$B$6:$B$265,0),MATCH('SPC Backing (Hide)'!D$3,Demand!$E$5:$S$5,0))</f>
        <v>0</v>
      </c>
      <c r="E216" s="5">
        <f>INDEX(Demand!$E$6:$S$265,MATCH('SPC Backing (Hide)'!$B216,Demand!$B$6:$B$265,0),MATCH('SPC Backing (Hide)'!E$3,Demand!$E$5:$S$5,0))</f>
        <v>0</v>
      </c>
      <c r="F216" s="5">
        <f>INDEX(Demand!$E$6:$S$265,MATCH('SPC Backing (Hide)'!$B216,Demand!$B$6:$B$265,0),MATCH('SPC Backing (Hide)'!F$3,Demand!$E$5:$S$5,0))</f>
        <v>0</v>
      </c>
      <c r="G216" s="5">
        <f>INDEX(Demand!$E$6:$S$265,MATCH('SPC Backing (Hide)'!$B216,Demand!$B$6:$B$265,0),MATCH('SPC Backing (Hide)'!G$3,Demand!$E$5:$S$5,0))</f>
        <v>0</v>
      </c>
      <c r="H216" s="5">
        <f>INDEX(Demand!$E$6:$S$265,MATCH('SPC Backing (Hide)'!$B216,Demand!$B$6:$B$265,0),MATCH('SPC Backing (Hide)'!H$3,Demand!$E$5:$S$5,0))</f>
        <v>0</v>
      </c>
      <c r="I216" s="5">
        <f>INDEX(Demand!$E$6:$S$265,MATCH('SPC Backing (Hide)'!$B216,Demand!$B$6:$B$265,0),MATCH('SPC Backing (Hide)'!I$3,Demand!$E$5:$S$5,0))</f>
        <v>0</v>
      </c>
      <c r="J216" s="5">
        <f>INDEX(Demand!$E$6:$S$265,MATCH('SPC Backing (Hide)'!$B216,Demand!$B$6:$B$265,0),MATCH('SPC Backing (Hide)'!J$3,Demand!$E$5:$S$5,0))</f>
        <v>0</v>
      </c>
      <c r="K216" s="5">
        <f>INDEX(Demand!$E$6:$S$265,MATCH('SPC Backing (Hide)'!$B216,Demand!$B$6:$B$265,0),MATCH('SPC Backing (Hide)'!K$3,Demand!$E$5:$S$5,0))</f>
        <v>0</v>
      </c>
      <c r="L216" s="5">
        <f>INDEX(Demand!$E$6:$S$265,MATCH('SPC Backing (Hide)'!$B216,Demand!$B$6:$B$265,0),MATCH('SPC Backing (Hide)'!L$3,Demand!$E$5:$S$5,0))</f>
        <v>0</v>
      </c>
      <c r="M216" s="5">
        <f>INDEX(Demand!$E$6:$S$265,MATCH('SPC Backing (Hide)'!$B216,Demand!$B$6:$B$265,0),MATCH('SPC Backing (Hide)'!M$3,Demand!$E$5:$S$5,0))</f>
        <v>0</v>
      </c>
      <c r="N216" s="5">
        <f>INDEX(Demand!$E$6:$S$265,MATCH('SPC Backing (Hide)'!$B216,Demand!$B$6:$B$265,0),MATCH('SPC Backing (Hide)'!N$3,Demand!$E$5:$S$5,0))</f>
        <v>0</v>
      </c>
      <c r="O216" s="5">
        <f>INDEX(Demand!$E$6:$S$265,MATCH('SPC Backing (Hide)'!$B216,Demand!$B$6:$B$265,0),MATCH('SPC Backing (Hide)'!O$3,Demand!$E$5:$S$5,0))</f>
        <v>0</v>
      </c>
      <c r="P216" s="5">
        <f>INDEX(Demand!$E$6:$S$265,MATCH('SPC Backing (Hide)'!$B216,Demand!$B$6:$B$265,0),MATCH('SPC Backing (Hide)'!P$3,Demand!$E$5:$S$5,0))</f>
        <v>0</v>
      </c>
      <c r="Q216" s="6">
        <f>INDEX(Demand!$E$6:$S$265,MATCH('SPC Backing (Hide)'!$B216,Demand!$B$6:$B$265,0),MATCH('SPC Backing (Hide)'!Q$3,Demand!$E$5:$S$5,0))</f>
        <v>0</v>
      </c>
      <c r="R216">
        <f>IF(SPC!$B$11="Yes",IF(ROW(A213)&gt;=Demand!$A$5-52,1,0),IF(AND(B216&gt;=SPC!$B$12,B216&lt;SPC!$B$13),1,0))</f>
        <v>1</v>
      </c>
      <c r="S216" cm="1">
        <f t="array" ref="S216">INDEX($C$4:$Q$263,ROW(A213),MATCH($T$2,$C$3:$Q$3,0))</f>
        <v>0</v>
      </c>
      <c r="T216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216" cm="1">
        <f t="array" ref="U216">ABS(INDEX($C$4:$Q$263,ROW(A213),MATCH($T$2,$C$3:$Q$3,0))-INDEX($C$4:$Q$263,ROW(A212),MATCH($T$2,$C$3:$Q$3,0)))</f>
        <v>0</v>
      </c>
      <c r="V216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216">
        <f t="shared" si="45"/>
        <v>40.813595610865789</v>
      </c>
      <c r="X216">
        <f t="shared" si="46"/>
        <v>108.80449618627055</v>
      </c>
      <c r="Y216">
        <f t="shared" si="47"/>
        <v>149.61809179713634</v>
      </c>
      <c r="Z216">
        <f t="shared" si="48"/>
        <v>190.43168740800212</v>
      </c>
      <c r="AA216">
        <f t="shared" si="49"/>
        <v>272.05887862973373</v>
      </c>
      <c r="AB216">
        <f t="shared" si="50"/>
        <v>312.8724742405995</v>
      </c>
      <c r="AC216">
        <f t="shared" si="51"/>
        <v>353.68606985146528</v>
      </c>
      <c r="AD216">
        <f t="shared" si="52"/>
        <v>0</v>
      </c>
      <c r="AE216">
        <f t="shared" si="59"/>
        <v>-2</v>
      </c>
      <c r="AF216">
        <f t="shared" si="53"/>
        <v>0</v>
      </c>
      <c r="AG216">
        <f t="shared" si="54"/>
        <v>0</v>
      </c>
      <c r="AH216" t="e">
        <f t="shared" si="55"/>
        <v>#N/A</v>
      </c>
      <c r="AI216">
        <f t="shared" si="56"/>
        <v>-1</v>
      </c>
      <c r="AJ216">
        <f t="shared" si="57"/>
        <v>0</v>
      </c>
      <c r="AK216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216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216">
        <f t="shared" si="58"/>
        <v>14.699999999999989</v>
      </c>
    </row>
    <row r="217" spans="2:39" x14ac:dyDescent="0.35">
      <c r="B217" s="12" t="str">
        <f>Demand!B219</f>
        <v/>
      </c>
      <c r="C217" s="7">
        <f>INDEX(Demand!$E$6:$S$265,MATCH('SPC Backing (Hide)'!$B217,Demand!$B$6:$B$265,0),MATCH('SPC Backing (Hide)'!C$3,Demand!$E$5:$S$5,0))</f>
        <v>0</v>
      </c>
      <c r="D217" s="5">
        <f>INDEX(Demand!$E$6:$S$265,MATCH('SPC Backing (Hide)'!$B217,Demand!$B$6:$B$265,0),MATCH('SPC Backing (Hide)'!D$3,Demand!$E$5:$S$5,0))</f>
        <v>0</v>
      </c>
      <c r="E217" s="5">
        <f>INDEX(Demand!$E$6:$S$265,MATCH('SPC Backing (Hide)'!$B217,Demand!$B$6:$B$265,0),MATCH('SPC Backing (Hide)'!E$3,Demand!$E$5:$S$5,0))</f>
        <v>0</v>
      </c>
      <c r="F217" s="5">
        <f>INDEX(Demand!$E$6:$S$265,MATCH('SPC Backing (Hide)'!$B217,Demand!$B$6:$B$265,0),MATCH('SPC Backing (Hide)'!F$3,Demand!$E$5:$S$5,0))</f>
        <v>0</v>
      </c>
      <c r="G217" s="5">
        <f>INDEX(Demand!$E$6:$S$265,MATCH('SPC Backing (Hide)'!$B217,Demand!$B$6:$B$265,0),MATCH('SPC Backing (Hide)'!G$3,Demand!$E$5:$S$5,0))</f>
        <v>0</v>
      </c>
      <c r="H217" s="5">
        <f>INDEX(Demand!$E$6:$S$265,MATCH('SPC Backing (Hide)'!$B217,Demand!$B$6:$B$265,0),MATCH('SPC Backing (Hide)'!H$3,Demand!$E$5:$S$5,0))</f>
        <v>0</v>
      </c>
      <c r="I217" s="5">
        <f>INDEX(Demand!$E$6:$S$265,MATCH('SPC Backing (Hide)'!$B217,Demand!$B$6:$B$265,0),MATCH('SPC Backing (Hide)'!I$3,Demand!$E$5:$S$5,0))</f>
        <v>0</v>
      </c>
      <c r="J217" s="5">
        <f>INDEX(Demand!$E$6:$S$265,MATCH('SPC Backing (Hide)'!$B217,Demand!$B$6:$B$265,0),MATCH('SPC Backing (Hide)'!J$3,Demand!$E$5:$S$5,0))</f>
        <v>0</v>
      </c>
      <c r="K217" s="5">
        <f>INDEX(Demand!$E$6:$S$265,MATCH('SPC Backing (Hide)'!$B217,Demand!$B$6:$B$265,0),MATCH('SPC Backing (Hide)'!K$3,Demand!$E$5:$S$5,0))</f>
        <v>0</v>
      </c>
      <c r="L217" s="5">
        <f>INDEX(Demand!$E$6:$S$265,MATCH('SPC Backing (Hide)'!$B217,Demand!$B$6:$B$265,0),MATCH('SPC Backing (Hide)'!L$3,Demand!$E$5:$S$5,0))</f>
        <v>0</v>
      </c>
      <c r="M217" s="5">
        <f>INDEX(Demand!$E$6:$S$265,MATCH('SPC Backing (Hide)'!$B217,Demand!$B$6:$B$265,0),MATCH('SPC Backing (Hide)'!M$3,Demand!$E$5:$S$5,0))</f>
        <v>0</v>
      </c>
      <c r="N217" s="5">
        <f>INDEX(Demand!$E$6:$S$265,MATCH('SPC Backing (Hide)'!$B217,Demand!$B$6:$B$265,0),MATCH('SPC Backing (Hide)'!N$3,Demand!$E$5:$S$5,0))</f>
        <v>0</v>
      </c>
      <c r="O217" s="5">
        <f>INDEX(Demand!$E$6:$S$265,MATCH('SPC Backing (Hide)'!$B217,Demand!$B$6:$B$265,0),MATCH('SPC Backing (Hide)'!O$3,Demand!$E$5:$S$5,0))</f>
        <v>0</v>
      </c>
      <c r="P217" s="5">
        <f>INDEX(Demand!$E$6:$S$265,MATCH('SPC Backing (Hide)'!$B217,Demand!$B$6:$B$265,0),MATCH('SPC Backing (Hide)'!P$3,Demand!$E$5:$S$5,0))</f>
        <v>0</v>
      </c>
      <c r="Q217" s="6">
        <f>INDEX(Demand!$E$6:$S$265,MATCH('SPC Backing (Hide)'!$B217,Demand!$B$6:$B$265,0),MATCH('SPC Backing (Hide)'!Q$3,Demand!$E$5:$S$5,0))</f>
        <v>0</v>
      </c>
      <c r="R217">
        <f>IF(SPC!$B$11="Yes",IF(ROW(A214)&gt;=Demand!$A$5-52,1,0),IF(AND(B217&gt;=SPC!$B$12,B217&lt;SPC!$B$13),1,0))</f>
        <v>1</v>
      </c>
      <c r="S217" cm="1">
        <f t="array" ref="S217">INDEX($C$4:$Q$263,ROW(A214),MATCH($T$2,$C$3:$Q$3,0))</f>
        <v>0</v>
      </c>
      <c r="T217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217" cm="1">
        <f t="array" ref="U217">ABS(INDEX($C$4:$Q$263,ROW(A214),MATCH($T$2,$C$3:$Q$3,0))-INDEX($C$4:$Q$263,ROW(A213),MATCH($T$2,$C$3:$Q$3,0)))</f>
        <v>0</v>
      </c>
      <c r="V217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217">
        <f t="shared" si="45"/>
        <v>40.813595610865789</v>
      </c>
      <c r="X217">
        <f t="shared" si="46"/>
        <v>108.80449618627055</v>
      </c>
      <c r="Y217">
        <f t="shared" si="47"/>
        <v>149.61809179713634</v>
      </c>
      <c r="Z217">
        <f t="shared" si="48"/>
        <v>190.43168740800212</v>
      </c>
      <c r="AA217">
        <f t="shared" si="49"/>
        <v>272.05887862973373</v>
      </c>
      <c r="AB217">
        <f t="shared" si="50"/>
        <v>312.8724742405995</v>
      </c>
      <c r="AC217">
        <f t="shared" si="51"/>
        <v>353.68606985146528</v>
      </c>
      <c r="AD217">
        <f t="shared" si="52"/>
        <v>0</v>
      </c>
      <c r="AE217">
        <f t="shared" si="59"/>
        <v>-2</v>
      </c>
      <c r="AF217">
        <f t="shared" si="53"/>
        <v>0</v>
      </c>
      <c r="AG217">
        <f t="shared" si="54"/>
        <v>0</v>
      </c>
      <c r="AH217" t="e">
        <f t="shared" si="55"/>
        <v>#N/A</v>
      </c>
      <c r="AI217">
        <f t="shared" si="56"/>
        <v>-1</v>
      </c>
      <c r="AJ217">
        <f t="shared" si="57"/>
        <v>0</v>
      </c>
      <c r="AK217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217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217">
        <f t="shared" si="58"/>
        <v>14.699999999999989</v>
      </c>
    </row>
    <row r="218" spans="2:39" x14ac:dyDescent="0.35">
      <c r="B218" s="12" t="str">
        <f>Demand!B220</f>
        <v/>
      </c>
      <c r="C218" s="7">
        <f>INDEX(Demand!$E$6:$S$265,MATCH('SPC Backing (Hide)'!$B218,Demand!$B$6:$B$265,0),MATCH('SPC Backing (Hide)'!C$3,Demand!$E$5:$S$5,0))</f>
        <v>0</v>
      </c>
      <c r="D218" s="5">
        <f>INDEX(Demand!$E$6:$S$265,MATCH('SPC Backing (Hide)'!$B218,Demand!$B$6:$B$265,0),MATCH('SPC Backing (Hide)'!D$3,Demand!$E$5:$S$5,0))</f>
        <v>0</v>
      </c>
      <c r="E218" s="5">
        <f>INDEX(Demand!$E$6:$S$265,MATCH('SPC Backing (Hide)'!$B218,Demand!$B$6:$B$265,0),MATCH('SPC Backing (Hide)'!E$3,Demand!$E$5:$S$5,0))</f>
        <v>0</v>
      </c>
      <c r="F218" s="5">
        <f>INDEX(Demand!$E$6:$S$265,MATCH('SPC Backing (Hide)'!$B218,Demand!$B$6:$B$265,0),MATCH('SPC Backing (Hide)'!F$3,Demand!$E$5:$S$5,0))</f>
        <v>0</v>
      </c>
      <c r="G218" s="5">
        <f>INDEX(Demand!$E$6:$S$265,MATCH('SPC Backing (Hide)'!$B218,Demand!$B$6:$B$265,0),MATCH('SPC Backing (Hide)'!G$3,Demand!$E$5:$S$5,0))</f>
        <v>0</v>
      </c>
      <c r="H218" s="5">
        <f>INDEX(Demand!$E$6:$S$265,MATCH('SPC Backing (Hide)'!$B218,Demand!$B$6:$B$265,0),MATCH('SPC Backing (Hide)'!H$3,Demand!$E$5:$S$5,0))</f>
        <v>0</v>
      </c>
      <c r="I218" s="5">
        <f>INDEX(Demand!$E$6:$S$265,MATCH('SPC Backing (Hide)'!$B218,Demand!$B$6:$B$265,0),MATCH('SPC Backing (Hide)'!I$3,Demand!$E$5:$S$5,0))</f>
        <v>0</v>
      </c>
      <c r="J218" s="5">
        <f>INDEX(Demand!$E$6:$S$265,MATCH('SPC Backing (Hide)'!$B218,Demand!$B$6:$B$265,0),MATCH('SPC Backing (Hide)'!J$3,Demand!$E$5:$S$5,0))</f>
        <v>0</v>
      </c>
      <c r="K218" s="5">
        <f>INDEX(Demand!$E$6:$S$265,MATCH('SPC Backing (Hide)'!$B218,Demand!$B$6:$B$265,0),MATCH('SPC Backing (Hide)'!K$3,Demand!$E$5:$S$5,0))</f>
        <v>0</v>
      </c>
      <c r="L218" s="5">
        <f>INDEX(Demand!$E$6:$S$265,MATCH('SPC Backing (Hide)'!$B218,Demand!$B$6:$B$265,0),MATCH('SPC Backing (Hide)'!L$3,Demand!$E$5:$S$5,0))</f>
        <v>0</v>
      </c>
      <c r="M218" s="5">
        <f>INDEX(Demand!$E$6:$S$265,MATCH('SPC Backing (Hide)'!$B218,Demand!$B$6:$B$265,0),MATCH('SPC Backing (Hide)'!M$3,Demand!$E$5:$S$5,0))</f>
        <v>0</v>
      </c>
      <c r="N218" s="5">
        <f>INDEX(Demand!$E$6:$S$265,MATCH('SPC Backing (Hide)'!$B218,Demand!$B$6:$B$265,0),MATCH('SPC Backing (Hide)'!N$3,Demand!$E$5:$S$5,0))</f>
        <v>0</v>
      </c>
      <c r="O218" s="5">
        <f>INDEX(Demand!$E$6:$S$265,MATCH('SPC Backing (Hide)'!$B218,Demand!$B$6:$B$265,0),MATCH('SPC Backing (Hide)'!O$3,Demand!$E$5:$S$5,0))</f>
        <v>0</v>
      </c>
      <c r="P218" s="5">
        <f>INDEX(Demand!$E$6:$S$265,MATCH('SPC Backing (Hide)'!$B218,Demand!$B$6:$B$265,0),MATCH('SPC Backing (Hide)'!P$3,Demand!$E$5:$S$5,0))</f>
        <v>0</v>
      </c>
      <c r="Q218" s="6">
        <f>INDEX(Demand!$E$6:$S$265,MATCH('SPC Backing (Hide)'!$B218,Demand!$B$6:$B$265,0),MATCH('SPC Backing (Hide)'!Q$3,Demand!$E$5:$S$5,0))</f>
        <v>0</v>
      </c>
      <c r="R218">
        <f>IF(SPC!$B$11="Yes",IF(ROW(A215)&gt;=Demand!$A$5-52,1,0),IF(AND(B218&gt;=SPC!$B$12,B218&lt;SPC!$B$13),1,0))</f>
        <v>1</v>
      </c>
      <c r="S218" cm="1">
        <f t="array" ref="S218">INDEX($C$4:$Q$263,ROW(A215),MATCH($T$2,$C$3:$Q$3,0))</f>
        <v>0</v>
      </c>
      <c r="T218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218" cm="1">
        <f t="array" ref="U218">ABS(INDEX($C$4:$Q$263,ROW(A215),MATCH($T$2,$C$3:$Q$3,0))-INDEX($C$4:$Q$263,ROW(A214),MATCH($T$2,$C$3:$Q$3,0)))</f>
        <v>0</v>
      </c>
      <c r="V218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218">
        <f t="shared" si="45"/>
        <v>40.813595610865789</v>
      </c>
      <c r="X218">
        <f t="shared" si="46"/>
        <v>108.80449618627055</v>
      </c>
      <c r="Y218">
        <f t="shared" si="47"/>
        <v>149.61809179713634</v>
      </c>
      <c r="Z218">
        <f t="shared" si="48"/>
        <v>190.43168740800212</v>
      </c>
      <c r="AA218">
        <f t="shared" si="49"/>
        <v>272.05887862973373</v>
      </c>
      <c r="AB218">
        <f t="shared" si="50"/>
        <v>312.8724742405995</v>
      </c>
      <c r="AC218">
        <f t="shared" si="51"/>
        <v>353.68606985146528</v>
      </c>
      <c r="AD218">
        <f t="shared" si="52"/>
        <v>0</v>
      </c>
      <c r="AE218">
        <f t="shared" si="59"/>
        <v>-2</v>
      </c>
      <c r="AF218">
        <f t="shared" si="53"/>
        <v>0</v>
      </c>
      <c r="AG218">
        <f t="shared" si="54"/>
        <v>0</v>
      </c>
      <c r="AH218" t="e">
        <f t="shared" si="55"/>
        <v>#N/A</v>
      </c>
      <c r="AI218">
        <f t="shared" si="56"/>
        <v>-1</v>
      </c>
      <c r="AJ218">
        <f t="shared" si="57"/>
        <v>0</v>
      </c>
      <c r="AK218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218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218">
        <f t="shared" si="58"/>
        <v>14.699999999999989</v>
      </c>
    </row>
    <row r="219" spans="2:39" x14ac:dyDescent="0.35">
      <c r="B219" s="12" t="str">
        <f>Demand!B221</f>
        <v/>
      </c>
      <c r="C219" s="7">
        <f>INDEX(Demand!$E$6:$S$265,MATCH('SPC Backing (Hide)'!$B219,Demand!$B$6:$B$265,0),MATCH('SPC Backing (Hide)'!C$3,Demand!$E$5:$S$5,0))</f>
        <v>0</v>
      </c>
      <c r="D219" s="5">
        <f>INDEX(Demand!$E$6:$S$265,MATCH('SPC Backing (Hide)'!$B219,Demand!$B$6:$B$265,0),MATCH('SPC Backing (Hide)'!D$3,Demand!$E$5:$S$5,0))</f>
        <v>0</v>
      </c>
      <c r="E219" s="5">
        <f>INDEX(Demand!$E$6:$S$265,MATCH('SPC Backing (Hide)'!$B219,Demand!$B$6:$B$265,0),MATCH('SPC Backing (Hide)'!E$3,Demand!$E$5:$S$5,0))</f>
        <v>0</v>
      </c>
      <c r="F219" s="5">
        <f>INDEX(Demand!$E$6:$S$265,MATCH('SPC Backing (Hide)'!$B219,Demand!$B$6:$B$265,0),MATCH('SPC Backing (Hide)'!F$3,Demand!$E$5:$S$5,0))</f>
        <v>0</v>
      </c>
      <c r="G219" s="5">
        <f>INDEX(Demand!$E$6:$S$265,MATCH('SPC Backing (Hide)'!$B219,Demand!$B$6:$B$265,0),MATCH('SPC Backing (Hide)'!G$3,Demand!$E$5:$S$5,0))</f>
        <v>0</v>
      </c>
      <c r="H219" s="5">
        <f>INDEX(Demand!$E$6:$S$265,MATCH('SPC Backing (Hide)'!$B219,Demand!$B$6:$B$265,0),MATCH('SPC Backing (Hide)'!H$3,Demand!$E$5:$S$5,0))</f>
        <v>0</v>
      </c>
      <c r="I219" s="5">
        <f>INDEX(Demand!$E$6:$S$265,MATCH('SPC Backing (Hide)'!$B219,Demand!$B$6:$B$265,0),MATCH('SPC Backing (Hide)'!I$3,Demand!$E$5:$S$5,0))</f>
        <v>0</v>
      </c>
      <c r="J219" s="5">
        <f>INDEX(Demand!$E$6:$S$265,MATCH('SPC Backing (Hide)'!$B219,Demand!$B$6:$B$265,0),MATCH('SPC Backing (Hide)'!J$3,Demand!$E$5:$S$5,0))</f>
        <v>0</v>
      </c>
      <c r="K219" s="5">
        <f>INDEX(Demand!$E$6:$S$265,MATCH('SPC Backing (Hide)'!$B219,Demand!$B$6:$B$265,0),MATCH('SPC Backing (Hide)'!K$3,Demand!$E$5:$S$5,0))</f>
        <v>0</v>
      </c>
      <c r="L219" s="5">
        <f>INDEX(Demand!$E$6:$S$265,MATCH('SPC Backing (Hide)'!$B219,Demand!$B$6:$B$265,0),MATCH('SPC Backing (Hide)'!L$3,Demand!$E$5:$S$5,0))</f>
        <v>0</v>
      </c>
      <c r="M219" s="5">
        <f>INDEX(Demand!$E$6:$S$265,MATCH('SPC Backing (Hide)'!$B219,Demand!$B$6:$B$265,0),MATCH('SPC Backing (Hide)'!M$3,Demand!$E$5:$S$5,0))</f>
        <v>0</v>
      </c>
      <c r="N219" s="5">
        <f>INDEX(Demand!$E$6:$S$265,MATCH('SPC Backing (Hide)'!$B219,Demand!$B$6:$B$265,0),MATCH('SPC Backing (Hide)'!N$3,Demand!$E$5:$S$5,0))</f>
        <v>0</v>
      </c>
      <c r="O219" s="5">
        <f>INDEX(Demand!$E$6:$S$265,MATCH('SPC Backing (Hide)'!$B219,Demand!$B$6:$B$265,0),MATCH('SPC Backing (Hide)'!O$3,Demand!$E$5:$S$5,0))</f>
        <v>0</v>
      </c>
      <c r="P219" s="5">
        <f>INDEX(Demand!$E$6:$S$265,MATCH('SPC Backing (Hide)'!$B219,Demand!$B$6:$B$265,0),MATCH('SPC Backing (Hide)'!P$3,Demand!$E$5:$S$5,0))</f>
        <v>0</v>
      </c>
      <c r="Q219" s="6">
        <f>INDEX(Demand!$E$6:$S$265,MATCH('SPC Backing (Hide)'!$B219,Demand!$B$6:$B$265,0),MATCH('SPC Backing (Hide)'!Q$3,Demand!$E$5:$S$5,0))</f>
        <v>0</v>
      </c>
      <c r="R219">
        <f>IF(SPC!$B$11="Yes",IF(ROW(A216)&gt;=Demand!$A$5-52,1,0),IF(AND(B219&gt;=SPC!$B$12,B219&lt;SPC!$B$13),1,0))</f>
        <v>1</v>
      </c>
      <c r="S219" cm="1">
        <f t="array" ref="S219">INDEX($C$4:$Q$263,ROW(A216),MATCH($T$2,$C$3:$Q$3,0))</f>
        <v>0</v>
      </c>
      <c r="T219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219" cm="1">
        <f t="array" ref="U219">ABS(INDEX($C$4:$Q$263,ROW(A216),MATCH($T$2,$C$3:$Q$3,0))-INDEX($C$4:$Q$263,ROW(A215),MATCH($T$2,$C$3:$Q$3,0)))</f>
        <v>0</v>
      </c>
      <c r="V219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219">
        <f t="shared" si="45"/>
        <v>40.813595610865789</v>
      </c>
      <c r="X219">
        <f t="shared" si="46"/>
        <v>108.80449618627055</v>
      </c>
      <c r="Y219">
        <f t="shared" si="47"/>
        <v>149.61809179713634</v>
      </c>
      <c r="Z219">
        <f t="shared" si="48"/>
        <v>190.43168740800212</v>
      </c>
      <c r="AA219">
        <f t="shared" si="49"/>
        <v>272.05887862973373</v>
      </c>
      <c r="AB219">
        <f t="shared" si="50"/>
        <v>312.8724742405995</v>
      </c>
      <c r="AC219">
        <f t="shared" si="51"/>
        <v>353.68606985146528</v>
      </c>
      <c r="AD219">
        <f t="shared" si="52"/>
        <v>0</v>
      </c>
      <c r="AE219">
        <f t="shared" si="59"/>
        <v>-2</v>
      </c>
      <c r="AF219">
        <f t="shared" si="53"/>
        <v>0</v>
      </c>
      <c r="AG219">
        <f t="shared" si="54"/>
        <v>0</v>
      </c>
      <c r="AH219" t="e">
        <f t="shared" si="55"/>
        <v>#N/A</v>
      </c>
      <c r="AI219">
        <f t="shared" si="56"/>
        <v>-1</v>
      </c>
      <c r="AJ219">
        <f t="shared" si="57"/>
        <v>0</v>
      </c>
      <c r="AK219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219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219">
        <f t="shared" si="58"/>
        <v>14.699999999999989</v>
      </c>
    </row>
    <row r="220" spans="2:39" x14ac:dyDescent="0.35">
      <c r="B220" s="12" t="str">
        <f>Demand!B222</f>
        <v/>
      </c>
      <c r="C220" s="7">
        <f>INDEX(Demand!$E$6:$S$265,MATCH('SPC Backing (Hide)'!$B220,Demand!$B$6:$B$265,0),MATCH('SPC Backing (Hide)'!C$3,Demand!$E$5:$S$5,0))</f>
        <v>0</v>
      </c>
      <c r="D220" s="5">
        <f>INDEX(Demand!$E$6:$S$265,MATCH('SPC Backing (Hide)'!$B220,Demand!$B$6:$B$265,0),MATCH('SPC Backing (Hide)'!D$3,Demand!$E$5:$S$5,0))</f>
        <v>0</v>
      </c>
      <c r="E220" s="5">
        <f>INDEX(Demand!$E$6:$S$265,MATCH('SPC Backing (Hide)'!$B220,Demand!$B$6:$B$265,0),MATCH('SPC Backing (Hide)'!E$3,Demand!$E$5:$S$5,0))</f>
        <v>0</v>
      </c>
      <c r="F220" s="5">
        <f>INDEX(Demand!$E$6:$S$265,MATCH('SPC Backing (Hide)'!$B220,Demand!$B$6:$B$265,0),MATCH('SPC Backing (Hide)'!F$3,Demand!$E$5:$S$5,0))</f>
        <v>0</v>
      </c>
      <c r="G220" s="5">
        <f>INDEX(Demand!$E$6:$S$265,MATCH('SPC Backing (Hide)'!$B220,Demand!$B$6:$B$265,0),MATCH('SPC Backing (Hide)'!G$3,Demand!$E$5:$S$5,0))</f>
        <v>0</v>
      </c>
      <c r="H220" s="5">
        <f>INDEX(Demand!$E$6:$S$265,MATCH('SPC Backing (Hide)'!$B220,Demand!$B$6:$B$265,0),MATCH('SPC Backing (Hide)'!H$3,Demand!$E$5:$S$5,0))</f>
        <v>0</v>
      </c>
      <c r="I220" s="5">
        <f>INDEX(Demand!$E$6:$S$265,MATCH('SPC Backing (Hide)'!$B220,Demand!$B$6:$B$265,0),MATCH('SPC Backing (Hide)'!I$3,Demand!$E$5:$S$5,0))</f>
        <v>0</v>
      </c>
      <c r="J220" s="5">
        <f>INDEX(Demand!$E$6:$S$265,MATCH('SPC Backing (Hide)'!$B220,Demand!$B$6:$B$265,0),MATCH('SPC Backing (Hide)'!J$3,Demand!$E$5:$S$5,0))</f>
        <v>0</v>
      </c>
      <c r="K220" s="5">
        <f>INDEX(Demand!$E$6:$S$265,MATCH('SPC Backing (Hide)'!$B220,Demand!$B$6:$B$265,0),MATCH('SPC Backing (Hide)'!K$3,Demand!$E$5:$S$5,0))</f>
        <v>0</v>
      </c>
      <c r="L220" s="5">
        <f>INDEX(Demand!$E$6:$S$265,MATCH('SPC Backing (Hide)'!$B220,Demand!$B$6:$B$265,0),MATCH('SPC Backing (Hide)'!L$3,Demand!$E$5:$S$5,0))</f>
        <v>0</v>
      </c>
      <c r="M220" s="5">
        <f>INDEX(Demand!$E$6:$S$265,MATCH('SPC Backing (Hide)'!$B220,Demand!$B$6:$B$265,0),MATCH('SPC Backing (Hide)'!M$3,Demand!$E$5:$S$5,0))</f>
        <v>0</v>
      </c>
      <c r="N220" s="5">
        <f>INDEX(Demand!$E$6:$S$265,MATCH('SPC Backing (Hide)'!$B220,Demand!$B$6:$B$265,0),MATCH('SPC Backing (Hide)'!N$3,Demand!$E$5:$S$5,0))</f>
        <v>0</v>
      </c>
      <c r="O220" s="5">
        <f>INDEX(Demand!$E$6:$S$265,MATCH('SPC Backing (Hide)'!$B220,Demand!$B$6:$B$265,0),MATCH('SPC Backing (Hide)'!O$3,Demand!$E$5:$S$5,0))</f>
        <v>0</v>
      </c>
      <c r="P220" s="5">
        <f>INDEX(Demand!$E$6:$S$265,MATCH('SPC Backing (Hide)'!$B220,Demand!$B$6:$B$265,0),MATCH('SPC Backing (Hide)'!P$3,Demand!$E$5:$S$5,0))</f>
        <v>0</v>
      </c>
      <c r="Q220" s="6">
        <f>INDEX(Demand!$E$6:$S$265,MATCH('SPC Backing (Hide)'!$B220,Demand!$B$6:$B$265,0),MATCH('SPC Backing (Hide)'!Q$3,Demand!$E$5:$S$5,0))</f>
        <v>0</v>
      </c>
      <c r="R220">
        <f>IF(SPC!$B$11="Yes",IF(ROW(A217)&gt;=Demand!$A$5-52,1,0),IF(AND(B220&gt;=SPC!$B$12,B220&lt;SPC!$B$13),1,0))</f>
        <v>1</v>
      </c>
      <c r="S220" cm="1">
        <f t="array" ref="S220">INDEX($C$4:$Q$263,ROW(A217),MATCH($T$2,$C$3:$Q$3,0))</f>
        <v>0</v>
      </c>
      <c r="T220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220" cm="1">
        <f t="array" ref="U220">ABS(INDEX($C$4:$Q$263,ROW(A217),MATCH($T$2,$C$3:$Q$3,0))-INDEX($C$4:$Q$263,ROW(A216),MATCH($T$2,$C$3:$Q$3,0)))</f>
        <v>0</v>
      </c>
      <c r="V220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220">
        <f t="shared" si="45"/>
        <v>40.813595610865789</v>
      </c>
      <c r="X220">
        <f t="shared" si="46"/>
        <v>108.80449618627055</v>
      </c>
      <c r="Y220">
        <f t="shared" si="47"/>
        <v>149.61809179713634</v>
      </c>
      <c r="Z220">
        <f t="shared" si="48"/>
        <v>190.43168740800212</v>
      </c>
      <c r="AA220">
        <f t="shared" si="49"/>
        <v>272.05887862973373</v>
      </c>
      <c r="AB220">
        <f t="shared" si="50"/>
        <v>312.8724742405995</v>
      </c>
      <c r="AC220">
        <f t="shared" si="51"/>
        <v>353.68606985146528</v>
      </c>
      <c r="AD220">
        <f t="shared" si="52"/>
        <v>0</v>
      </c>
      <c r="AE220">
        <f t="shared" si="59"/>
        <v>-2</v>
      </c>
      <c r="AF220">
        <f t="shared" si="53"/>
        <v>0</v>
      </c>
      <c r="AG220">
        <f t="shared" si="54"/>
        <v>0</v>
      </c>
      <c r="AH220" t="e">
        <f t="shared" si="55"/>
        <v>#N/A</v>
      </c>
      <c r="AI220">
        <f t="shared" si="56"/>
        <v>-1</v>
      </c>
      <c r="AJ220">
        <f t="shared" si="57"/>
        <v>0</v>
      </c>
      <c r="AK220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220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220">
        <f t="shared" si="58"/>
        <v>14.699999999999989</v>
      </c>
    </row>
    <row r="221" spans="2:39" x14ac:dyDescent="0.35">
      <c r="B221" s="12" t="str">
        <f>Demand!B223</f>
        <v/>
      </c>
      <c r="C221" s="7">
        <f>INDEX(Demand!$E$6:$S$265,MATCH('SPC Backing (Hide)'!$B221,Demand!$B$6:$B$265,0),MATCH('SPC Backing (Hide)'!C$3,Demand!$E$5:$S$5,0))</f>
        <v>0</v>
      </c>
      <c r="D221" s="5">
        <f>INDEX(Demand!$E$6:$S$265,MATCH('SPC Backing (Hide)'!$B221,Demand!$B$6:$B$265,0),MATCH('SPC Backing (Hide)'!D$3,Demand!$E$5:$S$5,0))</f>
        <v>0</v>
      </c>
      <c r="E221" s="5">
        <f>INDEX(Demand!$E$6:$S$265,MATCH('SPC Backing (Hide)'!$B221,Demand!$B$6:$B$265,0),MATCH('SPC Backing (Hide)'!E$3,Demand!$E$5:$S$5,0))</f>
        <v>0</v>
      </c>
      <c r="F221" s="5">
        <f>INDEX(Demand!$E$6:$S$265,MATCH('SPC Backing (Hide)'!$B221,Demand!$B$6:$B$265,0),MATCH('SPC Backing (Hide)'!F$3,Demand!$E$5:$S$5,0))</f>
        <v>0</v>
      </c>
      <c r="G221" s="5">
        <f>INDEX(Demand!$E$6:$S$265,MATCH('SPC Backing (Hide)'!$B221,Demand!$B$6:$B$265,0),MATCH('SPC Backing (Hide)'!G$3,Demand!$E$5:$S$5,0))</f>
        <v>0</v>
      </c>
      <c r="H221" s="5">
        <f>INDEX(Demand!$E$6:$S$265,MATCH('SPC Backing (Hide)'!$B221,Demand!$B$6:$B$265,0),MATCH('SPC Backing (Hide)'!H$3,Demand!$E$5:$S$5,0))</f>
        <v>0</v>
      </c>
      <c r="I221" s="5">
        <f>INDEX(Demand!$E$6:$S$265,MATCH('SPC Backing (Hide)'!$B221,Demand!$B$6:$B$265,0),MATCH('SPC Backing (Hide)'!I$3,Demand!$E$5:$S$5,0))</f>
        <v>0</v>
      </c>
      <c r="J221" s="5">
        <f>INDEX(Demand!$E$6:$S$265,MATCH('SPC Backing (Hide)'!$B221,Demand!$B$6:$B$265,0),MATCH('SPC Backing (Hide)'!J$3,Demand!$E$5:$S$5,0))</f>
        <v>0</v>
      </c>
      <c r="K221" s="5">
        <f>INDEX(Demand!$E$6:$S$265,MATCH('SPC Backing (Hide)'!$B221,Demand!$B$6:$B$265,0),MATCH('SPC Backing (Hide)'!K$3,Demand!$E$5:$S$5,0))</f>
        <v>0</v>
      </c>
      <c r="L221" s="5">
        <f>INDEX(Demand!$E$6:$S$265,MATCH('SPC Backing (Hide)'!$B221,Demand!$B$6:$B$265,0),MATCH('SPC Backing (Hide)'!L$3,Demand!$E$5:$S$5,0))</f>
        <v>0</v>
      </c>
      <c r="M221" s="5">
        <f>INDEX(Demand!$E$6:$S$265,MATCH('SPC Backing (Hide)'!$B221,Demand!$B$6:$B$265,0),MATCH('SPC Backing (Hide)'!M$3,Demand!$E$5:$S$5,0))</f>
        <v>0</v>
      </c>
      <c r="N221" s="5">
        <f>INDEX(Demand!$E$6:$S$265,MATCH('SPC Backing (Hide)'!$B221,Demand!$B$6:$B$265,0),MATCH('SPC Backing (Hide)'!N$3,Demand!$E$5:$S$5,0))</f>
        <v>0</v>
      </c>
      <c r="O221" s="5">
        <f>INDEX(Demand!$E$6:$S$265,MATCH('SPC Backing (Hide)'!$B221,Demand!$B$6:$B$265,0),MATCH('SPC Backing (Hide)'!O$3,Demand!$E$5:$S$5,0))</f>
        <v>0</v>
      </c>
      <c r="P221" s="5">
        <f>INDEX(Demand!$E$6:$S$265,MATCH('SPC Backing (Hide)'!$B221,Demand!$B$6:$B$265,0),MATCH('SPC Backing (Hide)'!P$3,Demand!$E$5:$S$5,0))</f>
        <v>0</v>
      </c>
      <c r="Q221" s="6">
        <f>INDEX(Demand!$E$6:$S$265,MATCH('SPC Backing (Hide)'!$B221,Demand!$B$6:$B$265,0),MATCH('SPC Backing (Hide)'!Q$3,Demand!$E$5:$S$5,0))</f>
        <v>0</v>
      </c>
      <c r="R221">
        <f>IF(SPC!$B$11="Yes",IF(ROW(A218)&gt;=Demand!$A$5-52,1,0),IF(AND(B221&gt;=SPC!$B$12,B221&lt;SPC!$B$13),1,0))</f>
        <v>1</v>
      </c>
      <c r="S221" cm="1">
        <f t="array" ref="S221">INDEX($C$4:$Q$263,ROW(A218),MATCH($T$2,$C$3:$Q$3,0))</f>
        <v>0</v>
      </c>
      <c r="T221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221" cm="1">
        <f t="array" ref="U221">ABS(INDEX($C$4:$Q$263,ROW(A218),MATCH($T$2,$C$3:$Q$3,0))-INDEX($C$4:$Q$263,ROW(A217),MATCH($T$2,$C$3:$Q$3,0)))</f>
        <v>0</v>
      </c>
      <c r="V221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221">
        <f t="shared" si="45"/>
        <v>40.813595610865789</v>
      </c>
      <c r="X221">
        <f t="shared" si="46"/>
        <v>108.80449618627055</v>
      </c>
      <c r="Y221">
        <f t="shared" si="47"/>
        <v>149.61809179713634</v>
      </c>
      <c r="Z221">
        <f t="shared" si="48"/>
        <v>190.43168740800212</v>
      </c>
      <c r="AA221">
        <f t="shared" si="49"/>
        <v>272.05887862973373</v>
      </c>
      <c r="AB221">
        <f t="shared" si="50"/>
        <v>312.8724742405995</v>
      </c>
      <c r="AC221">
        <f t="shared" si="51"/>
        <v>353.68606985146528</v>
      </c>
      <c r="AD221">
        <f t="shared" si="52"/>
        <v>0</v>
      </c>
      <c r="AE221">
        <f t="shared" si="59"/>
        <v>-2</v>
      </c>
      <c r="AF221">
        <f t="shared" si="53"/>
        <v>0</v>
      </c>
      <c r="AG221">
        <f t="shared" si="54"/>
        <v>0</v>
      </c>
      <c r="AH221" t="e">
        <f t="shared" si="55"/>
        <v>#N/A</v>
      </c>
      <c r="AI221">
        <f t="shared" si="56"/>
        <v>-1</v>
      </c>
      <c r="AJ221">
        <f t="shared" si="57"/>
        <v>0</v>
      </c>
      <c r="AK221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221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221">
        <f t="shared" si="58"/>
        <v>14.699999999999989</v>
      </c>
    </row>
    <row r="222" spans="2:39" x14ac:dyDescent="0.35">
      <c r="B222" s="12" t="str">
        <f>Demand!B224</f>
        <v/>
      </c>
      <c r="C222" s="7">
        <f>INDEX(Demand!$E$6:$S$265,MATCH('SPC Backing (Hide)'!$B222,Demand!$B$6:$B$265,0),MATCH('SPC Backing (Hide)'!C$3,Demand!$E$5:$S$5,0))</f>
        <v>0</v>
      </c>
      <c r="D222" s="5">
        <f>INDEX(Demand!$E$6:$S$265,MATCH('SPC Backing (Hide)'!$B222,Demand!$B$6:$B$265,0),MATCH('SPC Backing (Hide)'!D$3,Demand!$E$5:$S$5,0))</f>
        <v>0</v>
      </c>
      <c r="E222" s="5">
        <f>INDEX(Demand!$E$6:$S$265,MATCH('SPC Backing (Hide)'!$B222,Demand!$B$6:$B$265,0),MATCH('SPC Backing (Hide)'!E$3,Demand!$E$5:$S$5,0))</f>
        <v>0</v>
      </c>
      <c r="F222" s="5">
        <f>INDEX(Demand!$E$6:$S$265,MATCH('SPC Backing (Hide)'!$B222,Demand!$B$6:$B$265,0),MATCH('SPC Backing (Hide)'!F$3,Demand!$E$5:$S$5,0))</f>
        <v>0</v>
      </c>
      <c r="G222" s="5">
        <f>INDEX(Demand!$E$6:$S$265,MATCH('SPC Backing (Hide)'!$B222,Demand!$B$6:$B$265,0),MATCH('SPC Backing (Hide)'!G$3,Demand!$E$5:$S$5,0))</f>
        <v>0</v>
      </c>
      <c r="H222" s="5">
        <f>INDEX(Demand!$E$6:$S$265,MATCH('SPC Backing (Hide)'!$B222,Demand!$B$6:$B$265,0),MATCH('SPC Backing (Hide)'!H$3,Demand!$E$5:$S$5,0))</f>
        <v>0</v>
      </c>
      <c r="I222" s="5">
        <f>INDEX(Demand!$E$6:$S$265,MATCH('SPC Backing (Hide)'!$B222,Demand!$B$6:$B$265,0),MATCH('SPC Backing (Hide)'!I$3,Demand!$E$5:$S$5,0))</f>
        <v>0</v>
      </c>
      <c r="J222" s="5">
        <f>INDEX(Demand!$E$6:$S$265,MATCH('SPC Backing (Hide)'!$B222,Demand!$B$6:$B$265,0),MATCH('SPC Backing (Hide)'!J$3,Demand!$E$5:$S$5,0))</f>
        <v>0</v>
      </c>
      <c r="K222" s="5">
        <f>INDEX(Demand!$E$6:$S$265,MATCH('SPC Backing (Hide)'!$B222,Demand!$B$6:$B$265,0),MATCH('SPC Backing (Hide)'!K$3,Demand!$E$5:$S$5,0))</f>
        <v>0</v>
      </c>
      <c r="L222" s="5">
        <f>INDEX(Demand!$E$6:$S$265,MATCH('SPC Backing (Hide)'!$B222,Demand!$B$6:$B$265,0),MATCH('SPC Backing (Hide)'!L$3,Demand!$E$5:$S$5,0))</f>
        <v>0</v>
      </c>
      <c r="M222" s="5">
        <f>INDEX(Demand!$E$6:$S$265,MATCH('SPC Backing (Hide)'!$B222,Demand!$B$6:$B$265,0),MATCH('SPC Backing (Hide)'!M$3,Demand!$E$5:$S$5,0))</f>
        <v>0</v>
      </c>
      <c r="N222" s="5">
        <f>INDEX(Demand!$E$6:$S$265,MATCH('SPC Backing (Hide)'!$B222,Demand!$B$6:$B$265,0),MATCH('SPC Backing (Hide)'!N$3,Demand!$E$5:$S$5,0))</f>
        <v>0</v>
      </c>
      <c r="O222" s="5">
        <f>INDEX(Demand!$E$6:$S$265,MATCH('SPC Backing (Hide)'!$B222,Demand!$B$6:$B$265,0),MATCH('SPC Backing (Hide)'!O$3,Demand!$E$5:$S$5,0))</f>
        <v>0</v>
      </c>
      <c r="P222" s="5">
        <f>INDEX(Demand!$E$6:$S$265,MATCH('SPC Backing (Hide)'!$B222,Demand!$B$6:$B$265,0),MATCH('SPC Backing (Hide)'!P$3,Demand!$E$5:$S$5,0))</f>
        <v>0</v>
      </c>
      <c r="Q222" s="6">
        <f>INDEX(Demand!$E$6:$S$265,MATCH('SPC Backing (Hide)'!$B222,Demand!$B$6:$B$265,0),MATCH('SPC Backing (Hide)'!Q$3,Demand!$E$5:$S$5,0))</f>
        <v>0</v>
      </c>
      <c r="R222">
        <f>IF(SPC!$B$11="Yes",IF(ROW(A219)&gt;=Demand!$A$5-52,1,0),IF(AND(B222&gt;=SPC!$B$12,B222&lt;SPC!$B$13),1,0))</f>
        <v>1</v>
      </c>
      <c r="S222" cm="1">
        <f t="array" ref="S222">INDEX($C$4:$Q$263,ROW(A219),MATCH($T$2,$C$3:$Q$3,0))</f>
        <v>0</v>
      </c>
      <c r="T222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222" cm="1">
        <f t="array" ref="U222">ABS(INDEX($C$4:$Q$263,ROW(A219),MATCH($T$2,$C$3:$Q$3,0))-INDEX($C$4:$Q$263,ROW(A218),MATCH($T$2,$C$3:$Q$3,0)))</f>
        <v>0</v>
      </c>
      <c r="V222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222">
        <f t="shared" si="45"/>
        <v>40.813595610865789</v>
      </c>
      <c r="X222">
        <f t="shared" si="46"/>
        <v>108.80449618627055</v>
      </c>
      <c r="Y222">
        <f t="shared" si="47"/>
        <v>149.61809179713634</v>
      </c>
      <c r="Z222">
        <f t="shared" si="48"/>
        <v>190.43168740800212</v>
      </c>
      <c r="AA222">
        <f t="shared" si="49"/>
        <v>272.05887862973373</v>
      </c>
      <c r="AB222">
        <f t="shared" si="50"/>
        <v>312.8724742405995</v>
      </c>
      <c r="AC222">
        <f t="shared" si="51"/>
        <v>353.68606985146528</v>
      </c>
      <c r="AD222">
        <f t="shared" si="52"/>
        <v>0</v>
      </c>
      <c r="AE222">
        <f t="shared" si="59"/>
        <v>-2</v>
      </c>
      <c r="AF222">
        <f t="shared" si="53"/>
        <v>0</v>
      </c>
      <c r="AG222">
        <f t="shared" si="54"/>
        <v>0</v>
      </c>
      <c r="AH222" t="e">
        <f t="shared" si="55"/>
        <v>#N/A</v>
      </c>
      <c r="AI222">
        <f t="shared" si="56"/>
        <v>-1</v>
      </c>
      <c r="AJ222">
        <f t="shared" si="57"/>
        <v>0</v>
      </c>
      <c r="AK222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222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222">
        <f t="shared" si="58"/>
        <v>14.699999999999989</v>
      </c>
    </row>
    <row r="223" spans="2:39" x14ac:dyDescent="0.35">
      <c r="B223" s="12" t="str">
        <f>Demand!B225</f>
        <v/>
      </c>
      <c r="C223" s="7">
        <f>INDEX(Demand!$E$6:$S$265,MATCH('SPC Backing (Hide)'!$B223,Demand!$B$6:$B$265,0),MATCH('SPC Backing (Hide)'!C$3,Demand!$E$5:$S$5,0))</f>
        <v>0</v>
      </c>
      <c r="D223" s="5">
        <f>INDEX(Demand!$E$6:$S$265,MATCH('SPC Backing (Hide)'!$B223,Demand!$B$6:$B$265,0),MATCH('SPC Backing (Hide)'!D$3,Demand!$E$5:$S$5,0))</f>
        <v>0</v>
      </c>
      <c r="E223" s="5">
        <f>INDEX(Demand!$E$6:$S$265,MATCH('SPC Backing (Hide)'!$B223,Demand!$B$6:$B$265,0),MATCH('SPC Backing (Hide)'!E$3,Demand!$E$5:$S$5,0))</f>
        <v>0</v>
      </c>
      <c r="F223" s="5">
        <f>INDEX(Demand!$E$6:$S$265,MATCH('SPC Backing (Hide)'!$B223,Demand!$B$6:$B$265,0),MATCH('SPC Backing (Hide)'!F$3,Demand!$E$5:$S$5,0))</f>
        <v>0</v>
      </c>
      <c r="G223" s="5">
        <f>INDEX(Demand!$E$6:$S$265,MATCH('SPC Backing (Hide)'!$B223,Demand!$B$6:$B$265,0),MATCH('SPC Backing (Hide)'!G$3,Demand!$E$5:$S$5,0))</f>
        <v>0</v>
      </c>
      <c r="H223" s="5">
        <f>INDEX(Demand!$E$6:$S$265,MATCH('SPC Backing (Hide)'!$B223,Demand!$B$6:$B$265,0),MATCH('SPC Backing (Hide)'!H$3,Demand!$E$5:$S$5,0))</f>
        <v>0</v>
      </c>
      <c r="I223" s="5">
        <f>INDEX(Demand!$E$6:$S$265,MATCH('SPC Backing (Hide)'!$B223,Demand!$B$6:$B$265,0),MATCH('SPC Backing (Hide)'!I$3,Demand!$E$5:$S$5,0))</f>
        <v>0</v>
      </c>
      <c r="J223" s="5">
        <f>INDEX(Demand!$E$6:$S$265,MATCH('SPC Backing (Hide)'!$B223,Demand!$B$6:$B$265,0),MATCH('SPC Backing (Hide)'!J$3,Demand!$E$5:$S$5,0))</f>
        <v>0</v>
      </c>
      <c r="K223" s="5">
        <f>INDEX(Demand!$E$6:$S$265,MATCH('SPC Backing (Hide)'!$B223,Demand!$B$6:$B$265,0),MATCH('SPC Backing (Hide)'!K$3,Demand!$E$5:$S$5,0))</f>
        <v>0</v>
      </c>
      <c r="L223" s="5">
        <f>INDEX(Demand!$E$6:$S$265,MATCH('SPC Backing (Hide)'!$B223,Demand!$B$6:$B$265,0),MATCH('SPC Backing (Hide)'!L$3,Demand!$E$5:$S$5,0))</f>
        <v>0</v>
      </c>
      <c r="M223" s="5">
        <f>INDEX(Demand!$E$6:$S$265,MATCH('SPC Backing (Hide)'!$B223,Demand!$B$6:$B$265,0),MATCH('SPC Backing (Hide)'!M$3,Demand!$E$5:$S$5,0))</f>
        <v>0</v>
      </c>
      <c r="N223" s="5">
        <f>INDEX(Demand!$E$6:$S$265,MATCH('SPC Backing (Hide)'!$B223,Demand!$B$6:$B$265,0),MATCH('SPC Backing (Hide)'!N$3,Demand!$E$5:$S$5,0))</f>
        <v>0</v>
      </c>
      <c r="O223" s="5">
        <f>INDEX(Demand!$E$6:$S$265,MATCH('SPC Backing (Hide)'!$B223,Demand!$B$6:$B$265,0),MATCH('SPC Backing (Hide)'!O$3,Demand!$E$5:$S$5,0))</f>
        <v>0</v>
      </c>
      <c r="P223" s="5">
        <f>INDEX(Demand!$E$6:$S$265,MATCH('SPC Backing (Hide)'!$B223,Demand!$B$6:$B$265,0),MATCH('SPC Backing (Hide)'!P$3,Demand!$E$5:$S$5,0))</f>
        <v>0</v>
      </c>
      <c r="Q223" s="6">
        <f>INDEX(Demand!$E$6:$S$265,MATCH('SPC Backing (Hide)'!$B223,Demand!$B$6:$B$265,0),MATCH('SPC Backing (Hide)'!Q$3,Demand!$E$5:$S$5,0))</f>
        <v>0</v>
      </c>
      <c r="R223">
        <f>IF(SPC!$B$11="Yes",IF(ROW(A220)&gt;=Demand!$A$5-52,1,0),IF(AND(B223&gt;=SPC!$B$12,B223&lt;SPC!$B$13),1,0))</f>
        <v>1</v>
      </c>
      <c r="S223" cm="1">
        <f t="array" ref="S223">INDEX($C$4:$Q$263,ROW(A220),MATCH($T$2,$C$3:$Q$3,0))</f>
        <v>0</v>
      </c>
      <c r="T223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223" cm="1">
        <f t="array" ref="U223">ABS(INDEX($C$4:$Q$263,ROW(A220),MATCH($T$2,$C$3:$Q$3,0))-INDEX($C$4:$Q$263,ROW(A219),MATCH($T$2,$C$3:$Q$3,0)))</f>
        <v>0</v>
      </c>
      <c r="V223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223">
        <f t="shared" si="45"/>
        <v>40.813595610865789</v>
      </c>
      <c r="X223">
        <f t="shared" si="46"/>
        <v>108.80449618627055</v>
      </c>
      <c r="Y223">
        <f t="shared" si="47"/>
        <v>149.61809179713634</v>
      </c>
      <c r="Z223">
        <f t="shared" si="48"/>
        <v>190.43168740800212</v>
      </c>
      <c r="AA223">
        <f t="shared" si="49"/>
        <v>272.05887862973373</v>
      </c>
      <c r="AB223">
        <f t="shared" si="50"/>
        <v>312.8724742405995</v>
      </c>
      <c r="AC223">
        <f t="shared" si="51"/>
        <v>353.68606985146528</v>
      </c>
      <c r="AD223">
        <f t="shared" si="52"/>
        <v>0</v>
      </c>
      <c r="AE223">
        <f t="shared" si="59"/>
        <v>-2</v>
      </c>
      <c r="AF223">
        <f t="shared" si="53"/>
        <v>0</v>
      </c>
      <c r="AG223">
        <f t="shared" si="54"/>
        <v>0</v>
      </c>
      <c r="AH223" t="e">
        <f t="shared" si="55"/>
        <v>#N/A</v>
      </c>
      <c r="AI223">
        <f t="shared" si="56"/>
        <v>-1</v>
      </c>
      <c r="AJ223">
        <f t="shared" si="57"/>
        <v>0</v>
      </c>
      <c r="AK223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223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223">
        <f t="shared" si="58"/>
        <v>14.699999999999989</v>
      </c>
    </row>
    <row r="224" spans="2:39" x14ac:dyDescent="0.35">
      <c r="B224" s="12" t="str">
        <f>Demand!B226</f>
        <v/>
      </c>
      <c r="C224" s="7">
        <f>INDEX(Demand!$E$6:$S$265,MATCH('SPC Backing (Hide)'!$B224,Demand!$B$6:$B$265,0),MATCH('SPC Backing (Hide)'!C$3,Demand!$E$5:$S$5,0))</f>
        <v>0</v>
      </c>
      <c r="D224" s="5">
        <f>INDEX(Demand!$E$6:$S$265,MATCH('SPC Backing (Hide)'!$B224,Demand!$B$6:$B$265,0),MATCH('SPC Backing (Hide)'!D$3,Demand!$E$5:$S$5,0))</f>
        <v>0</v>
      </c>
      <c r="E224" s="5">
        <f>INDEX(Demand!$E$6:$S$265,MATCH('SPC Backing (Hide)'!$B224,Demand!$B$6:$B$265,0),MATCH('SPC Backing (Hide)'!E$3,Demand!$E$5:$S$5,0))</f>
        <v>0</v>
      </c>
      <c r="F224" s="5">
        <f>INDEX(Demand!$E$6:$S$265,MATCH('SPC Backing (Hide)'!$B224,Demand!$B$6:$B$265,0),MATCH('SPC Backing (Hide)'!F$3,Demand!$E$5:$S$5,0))</f>
        <v>0</v>
      </c>
      <c r="G224" s="5">
        <f>INDEX(Demand!$E$6:$S$265,MATCH('SPC Backing (Hide)'!$B224,Demand!$B$6:$B$265,0),MATCH('SPC Backing (Hide)'!G$3,Demand!$E$5:$S$5,0))</f>
        <v>0</v>
      </c>
      <c r="H224" s="5">
        <f>INDEX(Demand!$E$6:$S$265,MATCH('SPC Backing (Hide)'!$B224,Demand!$B$6:$B$265,0),MATCH('SPC Backing (Hide)'!H$3,Demand!$E$5:$S$5,0))</f>
        <v>0</v>
      </c>
      <c r="I224" s="5">
        <f>INDEX(Demand!$E$6:$S$265,MATCH('SPC Backing (Hide)'!$B224,Demand!$B$6:$B$265,0),MATCH('SPC Backing (Hide)'!I$3,Demand!$E$5:$S$5,0))</f>
        <v>0</v>
      </c>
      <c r="J224" s="5">
        <f>INDEX(Demand!$E$6:$S$265,MATCH('SPC Backing (Hide)'!$B224,Demand!$B$6:$B$265,0),MATCH('SPC Backing (Hide)'!J$3,Demand!$E$5:$S$5,0))</f>
        <v>0</v>
      </c>
      <c r="K224" s="5">
        <f>INDEX(Demand!$E$6:$S$265,MATCH('SPC Backing (Hide)'!$B224,Demand!$B$6:$B$265,0),MATCH('SPC Backing (Hide)'!K$3,Demand!$E$5:$S$5,0))</f>
        <v>0</v>
      </c>
      <c r="L224" s="5">
        <f>INDEX(Demand!$E$6:$S$265,MATCH('SPC Backing (Hide)'!$B224,Demand!$B$6:$B$265,0),MATCH('SPC Backing (Hide)'!L$3,Demand!$E$5:$S$5,0))</f>
        <v>0</v>
      </c>
      <c r="M224" s="5">
        <f>INDEX(Demand!$E$6:$S$265,MATCH('SPC Backing (Hide)'!$B224,Demand!$B$6:$B$265,0),MATCH('SPC Backing (Hide)'!M$3,Demand!$E$5:$S$5,0))</f>
        <v>0</v>
      </c>
      <c r="N224" s="5">
        <f>INDEX(Demand!$E$6:$S$265,MATCH('SPC Backing (Hide)'!$B224,Demand!$B$6:$B$265,0),MATCH('SPC Backing (Hide)'!N$3,Demand!$E$5:$S$5,0))</f>
        <v>0</v>
      </c>
      <c r="O224" s="5">
        <f>INDEX(Demand!$E$6:$S$265,MATCH('SPC Backing (Hide)'!$B224,Demand!$B$6:$B$265,0),MATCH('SPC Backing (Hide)'!O$3,Demand!$E$5:$S$5,0))</f>
        <v>0</v>
      </c>
      <c r="P224" s="5">
        <f>INDEX(Demand!$E$6:$S$265,MATCH('SPC Backing (Hide)'!$B224,Demand!$B$6:$B$265,0),MATCH('SPC Backing (Hide)'!P$3,Demand!$E$5:$S$5,0))</f>
        <v>0</v>
      </c>
      <c r="Q224" s="6">
        <f>INDEX(Demand!$E$6:$S$265,MATCH('SPC Backing (Hide)'!$B224,Demand!$B$6:$B$265,0),MATCH('SPC Backing (Hide)'!Q$3,Demand!$E$5:$S$5,0))</f>
        <v>0</v>
      </c>
      <c r="R224">
        <f>IF(SPC!$B$11="Yes",IF(ROW(A221)&gt;=Demand!$A$5-52,1,0),IF(AND(B224&gt;=SPC!$B$12,B224&lt;SPC!$B$13),1,0))</f>
        <v>1</v>
      </c>
      <c r="S224" cm="1">
        <f t="array" ref="S224">INDEX($C$4:$Q$263,ROW(A221),MATCH($T$2,$C$3:$Q$3,0))</f>
        <v>0</v>
      </c>
      <c r="T224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224" cm="1">
        <f t="array" ref="U224">ABS(INDEX($C$4:$Q$263,ROW(A221),MATCH($T$2,$C$3:$Q$3,0))-INDEX($C$4:$Q$263,ROW(A220),MATCH($T$2,$C$3:$Q$3,0)))</f>
        <v>0</v>
      </c>
      <c r="V224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224">
        <f t="shared" si="45"/>
        <v>40.813595610865789</v>
      </c>
      <c r="X224">
        <f t="shared" si="46"/>
        <v>108.80449618627055</v>
      </c>
      <c r="Y224">
        <f t="shared" si="47"/>
        <v>149.61809179713634</v>
      </c>
      <c r="Z224">
        <f t="shared" si="48"/>
        <v>190.43168740800212</v>
      </c>
      <c r="AA224">
        <f t="shared" si="49"/>
        <v>272.05887862973373</v>
      </c>
      <c r="AB224">
        <f t="shared" si="50"/>
        <v>312.8724742405995</v>
      </c>
      <c r="AC224">
        <f t="shared" si="51"/>
        <v>353.68606985146528</v>
      </c>
      <c r="AD224">
        <f t="shared" si="52"/>
        <v>0</v>
      </c>
      <c r="AE224">
        <f t="shared" si="59"/>
        <v>-2</v>
      </c>
      <c r="AF224">
        <f t="shared" si="53"/>
        <v>0</v>
      </c>
      <c r="AG224">
        <f t="shared" si="54"/>
        <v>0</v>
      </c>
      <c r="AH224" t="e">
        <f t="shared" si="55"/>
        <v>#N/A</v>
      </c>
      <c r="AI224">
        <f t="shared" si="56"/>
        <v>-1</v>
      </c>
      <c r="AJ224">
        <f t="shared" si="57"/>
        <v>0</v>
      </c>
      <c r="AK224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224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224">
        <f t="shared" si="58"/>
        <v>14.699999999999989</v>
      </c>
    </row>
    <row r="225" spans="2:39" x14ac:dyDescent="0.35">
      <c r="B225" s="12" t="str">
        <f>Demand!B227</f>
        <v/>
      </c>
      <c r="C225" s="7">
        <f>INDEX(Demand!$E$6:$S$265,MATCH('SPC Backing (Hide)'!$B225,Demand!$B$6:$B$265,0),MATCH('SPC Backing (Hide)'!C$3,Demand!$E$5:$S$5,0))</f>
        <v>0</v>
      </c>
      <c r="D225" s="5">
        <f>INDEX(Demand!$E$6:$S$265,MATCH('SPC Backing (Hide)'!$B225,Demand!$B$6:$B$265,0),MATCH('SPC Backing (Hide)'!D$3,Demand!$E$5:$S$5,0))</f>
        <v>0</v>
      </c>
      <c r="E225" s="5">
        <f>INDEX(Demand!$E$6:$S$265,MATCH('SPC Backing (Hide)'!$B225,Demand!$B$6:$B$265,0),MATCH('SPC Backing (Hide)'!E$3,Demand!$E$5:$S$5,0))</f>
        <v>0</v>
      </c>
      <c r="F225" s="5">
        <f>INDEX(Demand!$E$6:$S$265,MATCH('SPC Backing (Hide)'!$B225,Demand!$B$6:$B$265,0),MATCH('SPC Backing (Hide)'!F$3,Demand!$E$5:$S$5,0))</f>
        <v>0</v>
      </c>
      <c r="G225" s="5">
        <f>INDEX(Demand!$E$6:$S$265,MATCH('SPC Backing (Hide)'!$B225,Demand!$B$6:$B$265,0),MATCH('SPC Backing (Hide)'!G$3,Demand!$E$5:$S$5,0))</f>
        <v>0</v>
      </c>
      <c r="H225" s="5">
        <f>INDEX(Demand!$E$6:$S$265,MATCH('SPC Backing (Hide)'!$B225,Demand!$B$6:$B$265,0),MATCH('SPC Backing (Hide)'!H$3,Demand!$E$5:$S$5,0))</f>
        <v>0</v>
      </c>
      <c r="I225" s="5">
        <f>INDEX(Demand!$E$6:$S$265,MATCH('SPC Backing (Hide)'!$B225,Demand!$B$6:$B$265,0),MATCH('SPC Backing (Hide)'!I$3,Demand!$E$5:$S$5,0))</f>
        <v>0</v>
      </c>
      <c r="J225" s="5">
        <f>INDEX(Demand!$E$6:$S$265,MATCH('SPC Backing (Hide)'!$B225,Demand!$B$6:$B$265,0),MATCH('SPC Backing (Hide)'!J$3,Demand!$E$5:$S$5,0))</f>
        <v>0</v>
      </c>
      <c r="K225" s="5">
        <f>INDEX(Demand!$E$6:$S$265,MATCH('SPC Backing (Hide)'!$B225,Demand!$B$6:$B$265,0),MATCH('SPC Backing (Hide)'!K$3,Demand!$E$5:$S$5,0))</f>
        <v>0</v>
      </c>
      <c r="L225" s="5">
        <f>INDEX(Demand!$E$6:$S$265,MATCH('SPC Backing (Hide)'!$B225,Demand!$B$6:$B$265,0),MATCH('SPC Backing (Hide)'!L$3,Demand!$E$5:$S$5,0))</f>
        <v>0</v>
      </c>
      <c r="M225" s="5">
        <f>INDEX(Demand!$E$6:$S$265,MATCH('SPC Backing (Hide)'!$B225,Demand!$B$6:$B$265,0),MATCH('SPC Backing (Hide)'!M$3,Demand!$E$5:$S$5,0))</f>
        <v>0</v>
      </c>
      <c r="N225" s="5">
        <f>INDEX(Demand!$E$6:$S$265,MATCH('SPC Backing (Hide)'!$B225,Demand!$B$6:$B$265,0),MATCH('SPC Backing (Hide)'!N$3,Demand!$E$5:$S$5,0))</f>
        <v>0</v>
      </c>
      <c r="O225" s="5">
        <f>INDEX(Demand!$E$6:$S$265,MATCH('SPC Backing (Hide)'!$B225,Demand!$B$6:$B$265,0),MATCH('SPC Backing (Hide)'!O$3,Demand!$E$5:$S$5,0))</f>
        <v>0</v>
      </c>
      <c r="P225" s="5">
        <f>INDEX(Demand!$E$6:$S$265,MATCH('SPC Backing (Hide)'!$B225,Demand!$B$6:$B$265,0),MATCH('SPC Backing (Hide)'!P$3,Demand!$E$5:$S$5,0))</f>
        <v>0</v>
      </c>
      <c r="Q225" s="6">
        <f>INDEX(Demand!$E$6:$S$265,MATCH('SPC Backing (Hide)'!$B225,Demand!$B$6:$B$265,0),MATCH('SPC Backing (Hide)'!Q$3,Demand!$E$5:$S$5,0))</f>
        <v>0</v>
      </c>
      <c r="R225">
        <f>IF(SPC!$B$11="Yes",IF(ROW(A222)&gt;=Demand!$A$5-52,1,0),IF(AND(B225&gt;=SPC!$B$12,B225&lt;SPC!$B$13),1,0))</f>
        <v>1</v>
      </c>
      <c r="S225" cm="1">
        <f t="array" ref="S225">INDEX($C$4:$Q$263,ROW(A222),MATCH($T$2,$C$3:$Q$3,0))</f>
        <v>0</v>
      </c>
      <c r="T225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225" cm="1">
        <f t="array" ref="U225">ABS(INDEX($C$4:$Q$263,ROW(A222),MATCH($T$2,$C$3:$Q$3,0))-INDEX($C$4:$Q$263,ROW(A221),MATCH($T$2,$C$3:$Q$3,0)))</f>
        <v>0</v>
      </c>
      <c r="V225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225">
        <f t="shared" si="45"/>
        <v>40.813595610865789</v>
      </c>
      <c r="X225">
        <f t="shared" si="46"/>
        <v>108.80449618627055</v>
      </c>
      <c r="Y225">
        <f t="shared" si="47"/>
        <v>149.61809179713634</v>
      </c>
      <c r="Z225">
        <f t="shared" si="48"/>
        <v>190.43168740800212</v>
      </c>
      <c r="AA225">
        <f t="shared" si="49"/>
        <v>272.05887862973373</v>
      </c>
      <c r="AB225">
        <f t="shared" si="50"/>
        <v>312.8724742405995</v>
      </c>
      <c r="AC225">
        <f t="shared" si="51"/>
        <v>353.68606985146528</v>
      </c>
      <c r="AD225">
        <f t="shared" si="52"/>
        <v>0</v>
      </c>
      <c r="AE225">
        <f t="shared" si="59"/>
        <v>-2</v>
      </c>
      <c r="AF225">
        <f t="shared" si="53"/>
        <v>0</v>
      </c>
      <c r="AG225">
        <f t="shared" si="54"/>
        <v>0</v>
      </c>
      <c r="AH225" t="e">
        <f t="shared" si="55"/>
        <v>#N/A</v>
      </c>
      <c r="AI225">
        <f t="shared" si="56"/>
        <v>-1</v>
      </c>
      <c r="AJ225">
        <f t="shared" si="57"/>
        <v>0</v>
      </c>
      <c r="AK225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225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225">
        <f t="shared" si="58"/>
        <v>14.699999999999989</v>
      </c>
    </row>
    <row r="226" spans="2:39" x14ac:dyDescent="0.35">
      <c r="B226" s="12" t="str">
        <f>Demand!B228</f>
        <v/>
      </c>
      <c r="C226" s="7">
        <f>INDEX(Demand!$E$6:$S$265,MATCH('SPC Backing (Hide)'!$B226,Demand!$B$6:$B$265,0),MATCH('SPC Backing (Hide)'!C$3,Demand!$E$5:$S$5,0))</f>
        <v>0</v>
      </c>
      <c r="D226" s="5">
        <f>INDEX(Demand!$E$6:$S$265,MATCH('SPC Backing (Hide)'!$B226,Demand!$B$6:$B$265,0),MATCH('SPC Backing (Hide)'!D$3,Demand!$E$5:$S$5,0))</f>
        <v>0</v>
      </c>
      <c r="E226" s="5">
        <f>INDEX(Demand!$E$6:$S$265,MATCH('SPC Backing (Hide)'!$B226,Demand!$B$6:$B$265,0),MATCH('SPC Backing (Hide)'!E$3,Demand!$E$5:$S$5,0))</f>
        <v>0</v>
      </c>
      <c r="F226" s="5">
        <f>INDEX(Demand!$E$6:$S$265,MATCH('SPC Backing (Hide)'!$B226,Demand!$B$6:$B$265,0),MATCH('SPC Backing (Hide)'!F$3,Demand!$E$5:$S$5,0))</f>
        <v>0</v>
      </c>
      <c r="G226" s="5">
        <f>INDEX(Demand!$E$6:$S$265,MATCH('SPC Backing (Hide)'!$B226,Demand!$B$6:$B$265,0),MATCH('SPC Backing (Hide)'!G$3,Demand!$E$5:$S$5,0))</f>
        <v>0</v>
      </c>
      <c r="H226" s="5">
        <f>INDEX(Demand!$E$6:$S$265,MATCH('SPC Backing (Hide)'!$B226,Demand!$B$6:$B$265,0),MATCH('SPC Backing (Hide)'!H$3,Demand!$E$5:$S$5,0))</f>
        <v>0</v>
      </c>
      <c r="I226" s="5">
        <f>INDEX(Demand!$E$6:$S$265,MATCH('SPC Backing (Hide)'!$B226,Demand!$B$6:$B$265,0),MATCH('SPC Backing (Hide)'!I$3,Demand!$E$5:$S$5,0))</f>
        <v>0</v>
      </c>
      <c r="J226" s="5">
        <f>INDEX(Demand!$E$6:$S$265,MATCH('SPC Backing (Hide)'!$B226,Demand!$B$6:$B$265,0),MATCH('SPC Backing (Hide)'!J$3,Demand!$E$5:$S$5,0))</f>
        <v>0</v>
      </c>
      <c r="K226" s="5">
        <f>INDEX(Demand!$E$6:$S$265,MATCH('SPC Backing (Hide)'!$B226,Demand!$B$6:$B$265,0),MATCH('SPC Backing (Hide)'!K$3,Demand!$E$5:$S$5,0))</f>
        <v>0</v>
      </c>
      <c r="L226" s="5">
        <f>INDEX(Demand!$E$6:$S$265,MATCH('SPC Backing (Hide)'!$B226,Demand!$B$6:$B$265,0),MATCH('SPC Backing (Hide)'!L$3,Demand!$E$5:$S$5,0))</f>
        <v>0</v>
      </c>
      <c r="M226" s="5">
        <f>INDEX(Demand!$E$6:$S$265,MATCH('SPC Backing (Hide)'!$B226,Demand!$B$6:$B$265,0),MATCH('SPC Backing (Hide)'!M$3,Demand!$E$5:$S$5,0))</f>
        <v>0</v>
      </c>
      <c r="N226" s="5">
        <f>INDEX(Demand!$E$6:$S$265,MATCH('SPC Backing (Hide)'!$B226,Demand!$B$6:$B$265,0),MATCH('SPC Backing (Hide)'!N$3,Demand!$E$5:$S$5,0))</f>
        <v>0</v>
      </c>
      <c r="O226" s="5">
        <f>INDEX(Demand!$E$6:$S$265,MATCH('SPC Backing (Hide)'!$B226,Demand!$B$6:$B$265,0),MATCH('SPC Backing (Hide)'!O$3,Demand!$E$5:$S$5,0))</f>
        <v>0</v>
      </c>
      <c r="P226" s="5">
        <f>INDEX(Demand!$E$6:$S$265,MATCH('SPC Backing (Hide)'!$B226,Demand!$B$6:$B$265,0),MATCH('SPC Backing (Hide)'!P$3,Demand!$E$5:$S$5,0))</f>
        <v>0</v>
      </c>
      <c r="Q226" s="6">
        <f>INDEX(Demand!$E$6:$S$265,MATCH('SPC Backing (Hide)'!$B226,Demand!$B$6:$B$265,0),MATCH('SPC Backing (Hide)'!Q$3,Demand!$E$5:$S$5,0))</f>
        <v>0</v>
      </c>
      <c r="R226">
        <f>IF(SPC!$B$11="Yes",IF(ROW(A223)&gt;=Demand!$A$5-52,1,0),IF(AND(B226&gt;=SPC!$B$12,B226&lt;SPC!$B$13),1,0))</f>
        <v>1</v>
      </c>
      <c r="S226" cm="1">
        <f t="array" ref="S226">INDEX($C$4:$Q$263,ROW(A223),MATCH($T$2,$C$3:$Q$3,0))</f>
        <v>0</v>
      </c>
      <c r="T226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226" cm="1">
        <f t="array" ref="U226">ABS(INDEX($C$4:$Q$263,ROW(A223),MATCH($T$2,$C$3:$Q$3,0))-INDEX($C$4:$Q$263,ROW(A222),MATCH($T$2,$C$3:$Q$3,0)))</f>
        <v>0</v>
      </c>
      <c r="V226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226">
        <f t="shared" si="45"/>
        <v>40.813595610865789</v>
      </c>
      <c r="X226">
        <f t="shared" si="46"/>
        <v>108.80449618627055</v>
      </c>
      <c r="Y226">
        <f t="shared" si="47"/>
        <v>149.61809179713634</v>
      </c>
      <c r="Z226">
        <f t="shared" si="48"/>
        <v>190.43168740800212</v>
      </c>
      <c r="AA226">
        <f t="shared" si="49"/>
        <v>272.05887862973373</v>
      </c>
      <c r="AB226">
        <f t="shared" si="50"/>
        <v>312.8724742405995</v>
      </c>
      <c r="AC226">
        <f t="shared" si="51"/>
        <v>353.68606985146528</v>
      </c>
      <c r="AD226">
        <f t="shared" si="52"/>
        <v>0</v>
      </c>
      <c r="AE226">
        <f t="shared" si="59"/>
        <v>-2</v>
      </c>
      <c r="AF226">
        <f t="shared" si="53"/>
        <v>0</v>
      </c>
      <c r="AG226">
        <f t="shared" si="54"/>
        <v>0</v>
      </c>
      <c r="AH226" t="e">
        <f t="shared" si="55"/>
        <v>#N/A</v>
      </c>
      <c r="AI226">
        <f t="shared" si="56"/>
        <v>-1</v>
      </c>
      <c r="AJ226">
        <f t="shared" si="57"/>
        <v>0</v>
      </c>
      <c r="AK226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226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226">
        <f t="shared" si="58"/>
        <v>14.699999999999989</v>
      </c>
    </row>
    <row r="227" spans="2:39" x14ac:dyDescent="0.35">
      <c r="B227" s="12" t="str">
        <f>Demand!B229</f>
        <v/>
      </c>
      <c r="C227" s="7">
        <f>INDEX(Demand!$E$6:$S$265,MATCH('SPC Backing (Hide)'!$B227,Demand!$B$6:$B$265,0),MATCH('SPC Backing (Hide)'!C$3,Demand!$E$5:$S$5,0))</f>
        <v>0</v>
      </c>
      <c r="D227" s="5">
        <f>INDEX(Demand!$E$6:$S$265,MATCH('SPC Backing (Hide)'!$B227,Demand!$B$6:$B$265,0),MATCH('SPC Backing (Hide)'!D$3,Demand!$E$5:$S$5,0))</f>
        <v>0</v>
      </c>
      <c r="E227" s="5">
        <f>INDEX(Demand!$E$6:$S$265,MATCH('SPC Backing (Hide)'!$B227,Demand!$B$6:$B$265,0),MATCH('SPC Backing (Hide)'!E$3,Demand!$E$5:$S$5,0))</f>
        <v>0</v>
      </c>
      <c r="F227" s="5">
        <f>INDEX(Demand!$E$6:$S$265,MATCH('SPC Backing (Hide)'!$B227,Demand!$B$6:$B$265,0),MATCH('SPC Backing (Hide)'!F$3,Demand!$E$5:$S$5,0))</f>
        <v>0</v>
      </c>
      <c r="G227" s="5">
        <f>INDEX(Demand!$E$6:$S$265,MATCH('SPC Backing (Hide)'!$B227,Demand!$B$6:$B$265,0),MATCH('SPC Backing (Hide)'!G$3,Demand!$E$5:$S$5,0))</f>
        <v>0</v>
      </c>
      <c r="H227" s="5">
        <f>INDEX(Demand!$E$6:$S$265,MATCH('SPC Backing (Hide)'!$B227,Demand!$B$6:$B$265,0),MATCH('SPC Backing (Hide)'!H$3,Demand!$E$5:$S$5,0))</f>
        <v>0</v>
      </c>
      <c r="I227" s="5">
        <f>INDEX(Demand!$E$6:$S$265,MATCH('SPC Backing (Hide)'!$B227,Demand!$B$6:$B$265,0),MATCH('SPC Backing (Hide)'!I$3,Demand!$E$5:$S$5,0))</f>
        <v>0</v>
      </c>
      <c r="J227" s="5">
        <f>INDEX(Demand!$E$6:$S$265,MATCH('SPC Backing (Hide)'!$B227,Demand!$B$6:$B$265,0),MATCH('SPC Backing (Hide)'!J$3,Demand!$E$5:$S$5,0))</f>
        <v>0</v>
      </c>
      <c r="K227" s="5">
        <f>INDEX(Demand!$E$6:$S$265,MATCH('SPC Backing (Hide)'!$B227,Demand!$B$6:$B$265,0),MATCH('SPC Backing (Hide)'!K$3,Demand!$E$5:$S$5,0))</f>
        <v>0</v>
      </c>
      <c r="L227" s="5">
        <f>INDEX(Demand!$E$6:$S$265,MATCH('SPC Backing (Hide)'!$B227,Demand!$B$6:$B$265,0),MATCH('SPC Backing (Hide)'!L$3,Demand!$E$5:$S$5,0))</f>
        <v>0</v>
      </c>
      <c r="M227" s="5">
        <f>INDEX(Demand!$E$6:$S$265,MATCH('SPC Backing (Hide)'!$B227,Demand!$B$6:$B$265,0),MATCH('SPC Backing (Hide)'!M$3,Demand!$E$5:$S$5,0))</f>
        <v>0</v>
      </c>
      <c r="N227" s="5">
        <f>INDEX(Demand!$E$6:$S$265,MATCH('SPC Backing (Hide)'!$B227,Demand!$B$6:$B$265,0),MATCH('SPC Backing (Hide)'!N$3,Demand!$E$5:$S$5,0))</f>
        <v>0</v>
      </c>
      <c r="O227" s="5">
        <f>INDEX(Demand!$E$6:$S$265,MATCH('SPC Backing (Hide)'!$B227,Demand!$B$6:$B$265,0),MATCH('SPC Backing (Hide)'!O$3,Demand!$E$5:$S$5,0))</f>
        <v>0</v>
      </c>
      <c r="P227" s="5">
        <f>INDEX(Demand!$E$6:$S$265,MATCH('SPC Backing (Hide)'!$B227,Demand!$B$6:$B$265,0),MATCH('SPC Backing (Hide)'!P$3,Demand!$E$5:$S$5,0))</f>
        <v>0</v>
      </c>
      <c r="Q227" s="6">
        <f>INDEX(Demand!$E$6:$S$265,MATCH('SPC Backing (Hide)'!$B227,Demand!$B$6:$B$265,0),MATCH('SPC Backing (Hide)'!Q$3,Demand!$E$5:$S$5,0))</f>
        <v>0</v>
      </c>
      <c r="R227">
        <f>IF(SPC!$B$11="Yes",IF(ROW(A224)&gt;=Demand!$A$5-52,1,0),IF(AND(B227&gt;=SPC!$B$12,B227&lt;SPC!$B$13),1,0))</f>
        <v>1</v>
      </c>
      <c r="S227" cm="1">
        <f t="array" ref="S227">INDEX($C$4:$Q$263,ROW(A224),MATCH($T$2,$C$3:$Q$3,0))</f>
        <v>0</v>
      </c>
      <c r="T227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227" cm="1">
        <f t="array" ref="U227">ABS(INDEX($C$4:$Q$263,ROW(A224),MATCH($T$2,$C$3:$Q$3,0))-INDEX($C$4:$Q$263,ROW(A223),MATCH($T$2,$C$3:$Q$3,0)))</f>
        <v>0</v>
      </c>
      <c r="V227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227">
        <f t="shared" si="45"/>
        <v>40.813595610865789</v>
      </c>
      <c r="X227">
        <f t="shared" si="46"/>
        <v>108.80449618627055</v>
      </c>
      <c r="Y227">
        <f t="shared" si="47"/>
        <v>149.61809179713634</v>
      </c>
      <c r="Z227">
        <f t="shared" si="48"/>
        <v>190.43168740800212</v>
      </c>
      <c r="AA227">
        <f t="shared" si="49"/>
        <v>272.05887862973373</v>
      </c>
      <c r="AB227">
        <f t="shared" si="50"/>
        <v>312.8724742405995</v>
      </c>
      <c r="AC227">
        <f t="shared" si="51"/>
        <v>353.68606985146528</v>
      </c>
      <c r="AD227">
        <f t="shared" si="52"/>
        <v>0</v>
      </c>
      <c r="AE227">
        <f t="shared" si="59"/>
        <v>-2</v>
      </c>
      <c r="AF227">
        <f t="shared" si="53"/>
        <v>0</v>
      </c>
      <c r="AG227">
        <f t="shared" si="54"/>
        <v>0</v>
      </c>
      <c r="AH227" t="e">
        <f t="shared" si="55"/>
        <v>#N/A</v>
      </c>
      <c r="AI227">
        <f t="shared" si="56"/>
        <v>-1</v>
      </c>
      <c r="AJ227">
        <f t="shared" si="57"/>
        <v>0</v>
      </c>
      <c r="AK227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227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227">
        <f t="shared" si="58"/>
        <v>14.699999999999989</v>
      </c>
    </row>
    <row r="228" spans="2:39" x14ac:dyDescent="0.35">
      <c r="B228" s="12" t="str">
        <f>Demand!B230</f>
        <v/>
      </c>
      <c r="C228" s="7">
        <f>INDEX(Demand!$E$6:$S$265,MATCH('SPC Backing (Hide)'!$B228,Demand!$B$6:$B$265,0),MATCH('SPC Backing (Hide)'!C$3,Demand!$E$5:$S$5,0))</f>
        <v>0</v>
      </c>
      <c r="D228" s="5">
        <f>INDEX(Demand!$E$6:$S$265,MATCH('SPC Backing (Hide)'!$B228,Demand!$B$6:$B$265,0),MATCH('SPC Backing (Hide)'!D$3,Demand!$E$5:$S$5,0))</f>
        <v>0</v>
      </c>
      <c r="E228" s="5">
        <f>INDEX(Demand!$E$6:$S$265,MATCH('SPC Backing (Hide)'!$B228,Demand!$B$6:$B$265,0),MATCH('SPC Backing (Hide)'!E$3,Demand!$E$5:$S$5,0))</f>
        <v>0</v>
      </c>
      <c r="F228" s="5">
        <f>INDEX(Demand!$E$6:$S$265,MATCH('SPC Backing (Hide)'!$B228,Demand!$B$6:$B$265,0),MATCH('SPC Backing (Hide)'!F$3,Demand!$E$5:$S$5,0))</f>
        <v>0</v>
      </c>
      <c r="G228" s="5">
        <f>INDEX(Demand!$E$6:$S$265,MATCH('SPC Backing (Hide)'!$B228,Demand!$B$6:$B$265,0),MATCH('SPC Backing (Hide)'!G$3,Demand!$E$5:$S$5,0))</f>
        <v>0</v>
      </c>
      <c r="H228" s="5">
        <f>INDEX(Demand!$E$6:$S$265,MATCH('SPC Backing (Hide)'!$B228,Demand!$B$6:$B$265,0),MATCH('SPC Backing (Hide)'!H$3,Demand!$E$5:$S$5,0))</f>
        <v>0</v>
      </c>
      <c r="I228" s="5">
        <f>INDEX(Demand!$E$6:$S$265,MATCH('SPC Backing (Hide)'!$B228,Demand!$B$6:$B$265,0),MATCH('SPC Backing (Hide)'!I$3,Demand!$E$5:$S$5,0))</f>
        <v>0</v>
      </c>
      <c r="J228" s="5">
        <f>INDEX(Demand!$E$6:$S$265,MATCH('SPC Backing (Hide)'!$B228,Demand!$B$6:$B$265,0),MATCH('SPC Backing (Hide)'!J$3,Demand!$E$5:$S$5,0))</f>
        <v>0</v>
      </c>
      <c r="K228" s="5">
        <f>INDEX(Demand!$E$6:$S$265,MATCH('SPC Backing (Hide)'!$B228,Demand!$B$6:$B$265,0),MATCH('SPC Backing (Hide)'!K$3,Demand!$E$5:$S$5,0))</f>
        <v>0</v>
      </c>
      <c r="L228" s="5">
        <f>INDEX(Demand!$E$6:$S$265,MATCH('SPC Backing (Hide)'!$B228,Demand!$B$6:$B$265,0),MATCH('SPC Backing (Hide)'!L$3,Demand!$E$5:$S$5,0))</f>
        <v>0</v>
      </c>
      <c r="M228" s="5">
        <f>INDEX(Demand!$E$6:$S$265,MATCH('SPC Backing (Hide)'!$B228,Demand!$B$6:$B$265,0),MATCH('SPC Backing (Hide)'!M$3,Demand!$E$5:$S$5,0))</f>
        <v>0</v>
      </c>
      <c r="N228" s="5">
        <f>INDEX(Demand!$E$6:$S$265,MATCH('SPC Backing (Hide)'!$B228,Demand!$B$6:$B$265,0),MATCH('SPC Backing (Hide)'!N$3,Demand!$E$5:$S$5,0))</f>
        <v>0</v>
      </c>
      <c r="O228" s="5">
        <f>INDEX(Demand!$E$6:$S$265,MATCH('SPC Backing (Hide)'!$B228,Demand!$B$6:$B$265,0),MATCH('SPC Backing (Hide)'!O$3,Demand!$E$5:$S$5,0))</f>
        <v>0</v>
      </c>
      <c r="P228" s="5">
        <f>INDEX(Demand!$E$6:$S$265,MATCH('SPC Backing (Hide)'!$B228,Demand!$B$6:$B$265,0),MATCH('SPC Backing (Hide)'!P$3,Demand!$E$5:$S$5,0))</f>
        <v>0</v>
      </c>
      <c r="Q228" s="6">
        <f>INDEX(Demand!$E$6:$S$265,MATCH('SPC Backing (Hide)'!$B228,Demand!$B$6:$B$265,0),MATCH('SPC Backing (Hide)'!Q$3,Demand!$E$5:$S$5,0))</f>
        <v>0</v>
      </c>
      <c r="R228">
        <f>IF(SPC!$B$11="Yes",IF(ROW(A225)&gt;=Demand!$A$5-52,1,0),IF(AND(B228&gt;=SPC!$B$12,B228&lt;SPC!$B$13),1,0))</f>
        <v>1</v>
      </c>
      <c r="S228" cm="1">
        <f t="array" ref="S228">INDEX($C$4:$Q$263,ROW(A225),MATCH($T$2,$C$3:$Q$3,0))</f>
        <v>0</v>
      </c>
      <c r="T228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228" cm="1">
        <f t="array" ref="U228">ABS(INDEX($C$4:$Q$263,ROW(A225),MATCH($T$2,$C$3:$Q$3,0))-INDEX($C$4:$Q$263,ROW(A224),MATCH($T$2,$C$3:$Q$3,0)))</f>
        <v>0</v>
      </c>
      <c r="V228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228">
        <f t="shared" si="45"/>
        <v>40.813595610865789</v>
      </c>
      <c r="X228">
        <f t="shared" si="46"/>
        <v>108.80449618627055</v>
      </c>
      <c r="Y228">
        <f t="shared" si="47"/>
        <v>149.61809179713634</v>
      </c>
      <c r="Z228">
        <f t="shared" si="48"/>
        <v>190.43168740800212</v>
      </c>
      <c r="AA228">
        <f t="shared" si="49"/>
        <v>272.05887862973373</v>
      </c>
      <c r="AB228">
        <f t="shared" si="50"/>
        <v>312.8724742405995</v>
      </c>
      <c r="AC228">
        <f t="shared" si="51"/>
        <v>353.68606985146528</v>
      </c>
      <c r="AD228">
        <f t="shared" si="52"/>
        <v>0</v>
      </c>
      <c r="AE228">
        <f t="shared" si="59"/>
        <v>-2</v>
      </c>
      <c r="AF228">
        <f t="shared" si="53"/>
        <v>0</v>
      </c>
      <c r="AG228">
        <f t="shared" si="54"/>
        <v>0</v>
      </c>
      <c r="AH228" t="e">
        <f t="shared" si="55"/>
        <v>#N/A</v>
      </c>
      <c r="AI228">
        <f t="shared" si="56"/>
        <v>-1</v>
      </c>
      <c r="AJ228">
        <f t="shared" si="57"/>
        <v>0</v>
      </c>
      <c r="AK228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228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228">
        <f t="shared" si="58"/>
        <v>14.699999999999989</v>
      </c>
    </row>
    <row r="229" spans="2:39" x14ac:dyDescent="0.35">
      <c r="B229" s="12" t="str">
        <f>Demand!B231</f>
        <v/>
      </c>
      <c r="C229" s="7">
        <f>INDEX(Demand!$E$6:$S$265,MATCH('SPC Backing (Hide)'!$B229,Demand!$B$6:$B$265,0),MATCH('SPC Backing (Hide)'!C$3,Demand!$E$5:$S$5,0))</f>
        <v>0</v>
      </c>
      <c r="D229" s="5">
        <f>INDEX(Demand!$E$6:$S$265,MATCH('SPC Backing (Hide)'!$B229,Demand!$B$6:$B$265,0),MATCH('SPC Backing (Hide)'!D$3,Demand!$E$5:$S$5,0))</f>
        <v>0</v>
      </c>
      <c r="E229" s="5">
        <f>INDEX(Demand!$E$6:$S$265,MATCH('SPC Backing (Hide)'!$B229,Demand!$B$6:$B$265,0),MATCH('SPC Backing (Hide)'!E$3,Demand!$E$5:$S$5,0))</f>
        <v>0</v>
      </c>
      <c r="F229" s="5">
        <f>INDEX(Demand!$E$6:$S$265,MATCH('SPC Backing (Hide)'!$B229,Demand!$B$6:$B$265,0),MATCH('SPC Backing (Hide)'!F$3,Demand!$E$5:$S$5,0))</f>
        <v>0</v>
      </c>
      <c r="G229" s="5">
        <f>INDEX(Demand!$E$6:$S$265,MATCH('SPC Backing (Hide)'!$B229,Demand!$B$6:$B$265,0),MATCH('SPC Backing (Hide)'!G$3,Demand!$E$5:$S$5,0))</f>
        <v>0</v>
      </c>
      <c r="H229" s="5">
        <f>INDEX(Demand!$E$6:$S$265,MATCH('SPC Backing (Hide)'!$B229,Demand!$B$6:$B$265,0),MATCH('SPC Backing (Hide)'!H$3,Demand!$E$5:$S$5,0))</f>
        <v>0</v>
      </c>
      <c r="I229" s="5">
        <f>INDEX(Demand!$E$6:$S$265,MATCH('SPC Backing (Hide)'!$B229,Demand!$B$6:$B$265,0),MATCH('SPC Backing (Hide)'!I$3,Demand!$E$5:$S$5,0))</f>
        <v>0</v>
      </c>
      <c r="J229" s="5">
        <f>INDEX(Demand!$E$6:$S$265,MATCH('SPC Backing (Hide)'!$B229,Demand!$B$6:$B$265,0),MATCH('SPC Backing (Hide)'!J$3,Demand!$E$5:$S$5,0))</f>
        <v>0</v>
      </c>
      <c r="K229" s="5">
        <f>INDEX(Demand!$E$6:$S$265,MATCH('SPC Backing (Hide)'!$B229,Demand!$B$6:$B$265,0),MATCH('SPC Backing (Hide)'!K$3,Demand!$E$5:$S$5,0))</f>
        <v>0</v>
      </c>
      <c r="L229" s="5">
        <f>INDEX(Demand!$E$6:$S$265,MATCH('SPC Backing (Hide)'!$B229,Demand!$B$6:$B$265,0),MATCH('SPC Backing (Hide)'!L$3,Demand!$E$5:$S$5,0))</f>
        <v>0</v>
      </c>
      <c r="M229" s="5">
        <f>INDEX(Demand!$E$6:$S$265,MATCH('SPC Backing (Hide)'!$B229,Demand!$B$6:$B$265,0),MATCH('SPC Backing (Hide)'!M$3,Demand!$E$5:$S$5,0))</f>
        <v>0</v>
      </c>
      <c r="N229" s="5">
        <f>INDEX(Demand!$E$6:$S$265,MATCH('SPC Backing (Hide)'!$B229,Demand!$B$6:$B$265,0),MATCH('SPC Backing (Hide)'!N$3,Demand!$E$5:$S$5,0))</f>
        <v>0</v>
      </c>
      <c r="O229" s="5">
        <f>INDEX(Demand!$E$6:$S$265,MATCH('SPC Backing (Hide)'!$B229,Demand!$B$6:$B$265,0),MATCH('SPC Backing (Hide)'!O$3,Demand!$E$5:$S$5,0))</f>
        <v>0</v>
      </c>
      <c r="P229" s="5">
        <f>INDEX(Demand!$E$6:$S$265,MATCH('SPC Backing (Hide)'!$B229,Demand!$B$6:$B$265,0),MATCH('SPC Backing (Hide)'!P$3,Demand!$E$5:$S$5,0))</f>
        <v>0</v>
      </c>
      <c r="Q229" s="6">
        <f>INDEX(Demand!$E$6:$S$265,MATCH('SPC Backing (Hide)'!$B229,Demand!$B$6:$B$265,0),MATCH('SPC Backing (Hide)'!Q$3,Demand!$E$5:$S$5,0))</f>
        <v>0</v>
      </c>
      <c r="R229">
        <f>IF(SPC!$B$11="Yes",IF(ROW(A226)&gt;=Demand!$A$5-52,1,0),IF(AND(B229&gt;=SPC!$B$12,B229&lt;SPC!$B$13),1,0))</f>
        <v>1</v>
      </c>
      <c r="S229" cm="1">
        <f t="array" ref="S229">INDEX($C$4:$Q$263,ROW(A226),MATCH($T$2,$C$3:$Q$3,0))</f>
        <v>0</v>
      </c>
      <c r="T229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229" cm="1">
        <f t="array" ref="U229">ABS(INDEX($C$4:$Q$263,ROW(A226),MATCH($T$2,$C$3:$Q$3,0))-INDEX($C$4:$Q$263,ROW(A225),MATCH($T$2,$C$3:$Q$3,0)))</f>
        <v>0</v>
      </c>
      <c r="V229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229">
        <f t="shared" si="45"/>
        <v>40.813595610865789</v>
      </c>
      <c r="X229">
        <f t="shared" si="46"/>
        <v>108.80449618627055</v>
      </c>
      <c r="Y229">
        <f t="shared" si="47"/>
        <v>149.61809179713634</v>
      </c>
      <c r="Z229">
        <f t="shared" si="48"/>
        <v>190.43168740800212</v>
      </c>
      <c r="AA229">
        <f t="shared" si="49"/>
        <v>272.05887862973373</v>
      </c>
      <c r="AB229">
        <f t="shared" si="50"/>
        <v>312.8724742405995</v>
      </c>
      <c r="AC229">
        <f t="shared" si="51"/>
        <v>353.68606985146528</v>
      </c>
      <c r="AD229">
        <f t="shared" si="52"/>
        <v>0</v>
      </c>
      <c r="AE229">
        <f t="shared" si="59"/>
        <v>-2</v>
      </c>
      <c r="AF229">
        <f t="shared" si="53"/>
        <v>0</v>
      </c>
      <c r="AG229">
        <f t="shared" si="54"/>
        <v>0</v>
      </c>
      <c r="AH229" t="e">
        <f t="shared" si="55"/>
        <v>#N/A</v>
      </c>
      <c r="AI229">
        <f t="shared" si="56"/>
        <v>-1</v>
      </c>
      <c r="AJ229">
        <f t="shared" si="57"/>
        <v>0</v>
      </c>
      <c r="AK229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229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229">
        <f t="shared" si="58"/>
        <v>14.699999999999989</v>
      </c>
    </row>
    <row r="230" spans="2:39" x14ac:dyDescent="0.35">
      <c r="B230" s="12" t="str">
        <f>Demand!B232</f>
        <v/>
      </c>
      <c r="C230" s="7">
        <f>INDEX(Demand!$E$6:$S$265,MATCH('SPC Backing (Hide)'!$B230,Demand!$B$6:$B$265,0),MATCH('SPC Backing (Hide)'!C$3,Demand!$E$5:$S$5,0))</f>
        <v>0</v>
      </c>
      <c r="D230" s="5">
        <f>INDEX(Demand!$E$6:$S$265,MATCH('SPC Backing (Hide)'!$B230,Demand!$B$6:$B$265,0),MATCH('SPC Backing (Hide)'!D$3,Demand!$E$5:$S$5,0))</f>
        <v>0</v>
      </c>
      <c r="E230" s="5">
        <f>INDEX(Demand!$E$6:$S$265,MATCH('SPC Backing (Hide)'!$B230,Demand!$B$6:$B$265,0),MATCH('SPC Backing (Hide)'!E$3,Demand!$E$5:$S$5,0))</f>
        <v>0</v>
      </c>
      <c r="F230" s="5">
        <f>INDEX(Demand!$E$6:$S$265,MATCH('SPC Backing (Hide)'!$B230,Demand!$B$6:$B$265,0),MATCH('SPC Backing (Hide)'!F$3,Demand!$E$5:$S$5,0))</f>
        <v>0</v>
      </c>
      <c r="G230" s="5">
        <f>INDEX(Demand!$E$6:$S$265,MATCH('SPC Backing (Hide)'!$B230,Demand!$B$6:$B$265,0),MATCH('SPC Backing (Hide)'!G$3,Demand!$E$5:$S$5,0))</f>
        <v>0</v>
      </c>
      <c r="H230" s="5">
        <f>INDEX(Demand!$E$6:$S$265,MATCH('SPC Backing (Hide)'!$B230,Demand!$B$6:$B$265,0),MATCH('SPC Backing (Hide)'!H$3,Demand!$E$5:$S$5,0))</f>
        <v>0</v>
      </c>
      <c r="I230" s="5">
        <f>INDEX(Demand!$E$6:$S$265,MATCH('SPC Backing (Hide)'!$B230,Demand!$B$6:$B$265,0),MATCH('SPC Backing (Hide)'!I$3,Demand!$E$5:$S$5,0))</f>
        <v>0</v>
      </c>
      <c r="J230" s="5">
        <f>INDEX(Demand!$E$6:$S$265,MATCH('SPC Backing (Hide)'!$B230,Demand!$B$6:$B$265,0),MATCH('SPC Backing (Hide)'!J$3,Demand!$E$5:$S$5,0))</f>
        <v>0</v>
      </c>
      <c r="K230" s="5">
        <f>INDEX(Demand!$E$6:$S$265,MATCH('SPC Backing (Hide)'!$B230,Demand!$B$6:$B$265,0),MATCH('SPC Backing (Hide)'!K$3,Demand!$E$5:$S$5,0))</f>
        <v>0</v>
      </c>
      <c r="L230" s="5">
        <f>INDEX(Demand!$E$6:$S$265,MATCH('SPC Backing (Hide)'!$B230,Demand!$B$6:$B$265,0),MATCH('SPC Backing (Hide)'!L$3,Demand!$E$5:$S$5,0))</f>
        <v>0</v>
      </c>
      <c r="M230" s="5">
        <f>INDEX(Demand!$E$6:$S$265,MATCH('SPC Backing (Hide)'!$B230,Demand!$B$6:$B$265,0),MATCH('SPC Backing (Hide)'!M$3,Demand!$E$5:$S$5,0))</f>
        <v>0</v>
      </c>
      <c r="N230" s="5">
        <f>INDEX(Demand!$E$6:$S$265,MATCH('SPC Backing (Hide)'!$B230,Demand!$B$6:$B$265,0),MATCH('SPC Backing (Hide)'!N$3,Demand!$E$5:$S$5,0))</f>
        <v>0</v>
      </c>
      <c r="O230" s="5">
        <f>INDEX(Demand!$E$6:$S$265,MATCH('SPC Backing (Hide)'!$B230,Demand!$B$6:$B$265,0),MATCH('SPC Backing (Hide)'!O$3,Demand!$E$5:$S$5,0))</f>
        <v>0</v>
      </c>
      <c r="P230" s="5">
        <f>INDEX(Demand!$E$6:$S$265,MATCH('SPC Backing (Hide)'!$B230,Demand!$B$6:$B$265,0),MATCH('SPC Backing (Hide)'!P$3,Demand!$E$5:$S$5,0))</f>
        <v>0</v>
      </c>
      <c r="Q230" s="6">
        <f>INDEX(Demand!$E$6:$S$265,MATCH('SPC Backing (Hide)'!$B230,Demand!$B$6:$B$265,0),MATCH('SPC Backing (Hide)'!Q$3,Demand!$E$5:$S$5,0))</f>
        <v>0</v>
      </c>
      <c r="R230">
        <f>IF(SPC!$B$11="Yes",IF(ROW(A227)&gt;=Demand!$A$5-52,1,0),IF(AND(B230&gt;=SPC!$B$12,B230&lt;SPC!$B$13),1,0))</f>
        <v>1</v>
      </c>
      <c r="S230" cm="1">
        <f t="array" ref="S230">INDEX($C$4:$Q$263,ROW(A227),MATCH($T$2,$C$3:$Q$3,0))</f>
        <v>0</v>
      </c>
      <c r="T230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230" cm="1">
        <f t="array" ref="U230">ABS(INDEX($C$4:$Q$263,ROW(A227),MATCH($T$2,$C$3:$Q$3,0))-INDEX($C$4:$Q$263,ROW(A226),MATCH($T$2,$C$3:$Q$3,0)))</f>
        <v>0</v>
      </c>
      <c r="V230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230">
        <f t="shared" si="45"/>
        <v>40.813595610865789</v>
      </c>
      <c r="X230">
        <f t="shared" si="46"/>
        <v>108.80449618627055</v>
      </c>
      <c r="Y230">
        <f t="shared" si="47"/>
        <v>149.61809179713634</v>
      </c>
      <c r="Z230">
        <f t="shared" si="48"/>
        <v>190.43168740800212</v>
      </c>
      <c r="AA230">
        <f t="shared" si="49"/>
        <v>272.05887862973373</v>
      </c>
      <c r="AB230">
        <f t="shared" si="50"/>
        <v>312.8724742405995</v>
      </c>
      <c r="AC230">
        <f t="shared" si="51"/>
        <v>353.68606985146528</v>
      </c>
      <c r="AD230">
        <f t="shared" si="52"/>
        <v>0</v>
      </c>
      <c r="AE230">
        <f t="shared" si="59"/>
        <v>-2</v>
      </c>
      <c r="AF230">
        <f t="shared" si="53"/>
        <v>0</v>
      </c>
      <c r="AG230">
        <f t="shared" si="54"/>
        <v>0</v>
      </c>
      <c r="AH230" t="e">
        <f t="shared" si="55"/>
        <v>#N/A</v>
      </c>
      <c r="AI230">
        <f t="shared" si="56"/>
        <v>-1</v>
      </c>
      <c r="AJ230">
        <f t="shared" si="57"/>
        <v>0</v>
      </c>
      <c r="AK230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230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230">
        <f t="shared" si="58"/>
        <v>14.699999999999989</v>
      </c>
    </row>
    <row r="231" spans="2:39" x14ac:dyDescent="0.35">
      <c r="B231" s="12" t="str">
        <f>Demand!B233</f>
        <v/>
      </c>
      <c r="C231" s="7">
        <f>INDEX(Demand!$E$6:$S$265,MATCH('SPC Backing (Hide)'!$B231,Demand!$B$6:$B$265,0),MATCH('SPC Backing (Hide)'!C$3,Demand!$E$5:$S$5,0))</f>
        <v>0</v>
      </c>
      <c r="D231" s="5">
        <f>INDEX(Demand!$E$6:$S$265,MATCH('SPC Backing (Hide)'!$B231,Demand!$B$6:$B$265,0),MATCH('SPC Backing (Hide)'!D$3,Demand!$E$5:$S$5,0))</f>
        <v>0</v>
      </c>
      <c r="E231" s="5">
        <f>INDEX(Demand!$E$6:$S$265,MATCH('SPC Backing (Hide)'!$B231,Demand!$B$6:$B$265,0),MATCH('SPC Backing (Hide)'!E$3,Demand!$E$5:$S$5,0))</f>
        <v>0</v>
      </c>
      <c r="F231" s="5">
        <f>INDEX(Demand!$E$6:$S$265,MATCH('SPC Backing (Hide)'!$B231,Demand!$B$6:$B$265,0),MATCH('SPC Backing (Hide)'!F$3,Demand!$E$5:$S$5,0))</f>
        <v>0</v>
      </c>
      <c r="G231" s="5">
        <f>INDEX(Demand!$E$6:$S$265,MATCH('SPC Backing (Hide)'!$B231,Demand!$B$6:$B$265,0),MATCH('SPC Backing (Hide)'!G$3,Demand!$E$5:$S$5,0))</f>
        <v>0</v>
      </c>
      <c r="H231" s="5">
        <f>INDEX(Demand!$E$6:$S$265,MATCH('SPC Backing (Hide)'!$B231,Demand!$B$6:$B$265,0),MATCH('SPC Backing (Hide)'!H$3,Demand!$E$5:$S$5,0))</f>
        <v>0</v>
      </c>
      <c r="I231" s="5">
        <f>INDEX(Demand!$E$6:$S$265,MATCH('SPC Backing (Hide)'!$B231,Demand!$B$6:$B$265,0),MATCH('SPC Backing (Hide)'!I$3,Demand!$E$5:$S$5,0))</f>
        <v>0</v>
      </c>
      <c r="J231" s="5">
        <f>INDEX(Demand!$E$6:$S$265,MATCH('SPC Backing (Hide)'!$B231,Demand!$B$6:$B$265,0),MATCH('SPC Backing (Hide)'!J$3,Demand!$E$5:$S$5,0))</f>
        <v>0</v>
      </c>
      <c r="K231" s="5">
        <f>INDEX(Demand!$E$6:$S$265,MATCH('SPC Backing (Hide)'!$B231,Demand!$B$6:$B$265,0),MATCH('SPC Backing (Hide)'!K$3,Demand!$E$5:$S$5,0))</f>
        <v>0</v>
      </c>
      <c r="L231" s="5">
        <f>INDEX(Demand!$E$6:$S$265,MATCH('SPC Backing (Hide)'!$B231,Demand!$B$6:$B$265,0),MATCH('SPC Backing (Hide)'!L$3,Demand!$E$5:$S$5,0))</f>
        <v>0</v>
      </c>
      <c r="M231" s="5">
        <f>INDEX(Demand!$E$6:$S$265,MATCH('SPC Backing (Hide)'!$B231,Demand!$B$6:$B$265,0),MATCH('SPC Backing (Hide)'!M$3,Demand!$E$5:$S$5,0))</f>
        <v>0</v>
      </c>
      <c r="N231" s="5">
        <f>INDEX(Demand!$E$6:$S$265,MATCH('SPC Backing (Hide)'!$B231,Demand!$B$6:$B$265,0),MATCH('SPC Backing (Hide)'!N$3,Demand!$E$5:$S$5,0))</f>
        <v>0</v>
      </c>
      <c r="O231" s="5">
        <f>INDEX(Demand!$E$6:$S$265,MATCH('SPC Backing (Hide)'!$B231,Demand!$B$6:$B$265,0),MATCH('SPC Backing (Hide)'!O$3,Demand!$E$5:$S$5,0))</f>
        <v>0</v>
      </c>
      <c r="P231" s="5">
        <f>INDEX(Demand!$E$6:$S$265,MATCH('SPC Backing (Hide)'!$B231,Demand!$B$6:$B$265,0),MATCH('SPC Backing (Hide)'!P$3,Demand!$E$5:$S$5,0))</f>
        <v>0</v>
      </c>
      <c r="Q231" s="6">
        <f>INDEX(Demand!$E$6:$S$265,MATCH('SPC Backing (Hide)'!$B231,Demand!$B$6:$B$265,0),MATCH('SPC Backing (Hide)'!Q$3,Demand!$E$5:$S$5,0))</f>
        <v>0</v>
      </c>
      <c r="R231">
        <f>IF(SPC!$B$11="Yes",IF(ROW(A228)&gt;=Demand!$A$5-52,1,0),IF(AND(B231&gt;=SPC!$B$12,B231&lt;SPC!$B$13),1,0))</f>
        <v>1</v>
      </c>
      <c r="S231" cm="1">
        <f t="array" ref="S231">INDEX($C$4:$Q$263,ROW(A228),MATCH($T$2,$C$3:$Q$3,0))</f>
        <v>0</v>
      </c>
      <c r="T231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231" cm="1">
        <f t="array" ref="U231">ABS(INDEX($C$4:$Q$263,ROW(A228),MATCH($T$2,$C$3:$Q$3,0))-INDEX($C$4:$Q$263,ROW(A227),MATCH($T$2,$C$3:$Q$3,0)))</f>
        <v>0</v>
      </c>
      <c r="V231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231">
        <f t="shared" si="45"/>
        <v>40.813595610865789</v>
      </c>
      <c r="X231">
        <f t="shared" si="46"/>
        <v>108.80449618627055</v>
      </c>
      <c r="Y231">
        <f t="shared" si="47"/>
        <v>149.61809179713634</v>
      </c>
      <c r="Z231">
        <f t="shared" si="48"/>
        <v>190.43168740800212</v>
      </c>
      <c r="AA231">
        <f t="shared" si="49"/>
        <v>272.05887862973373</v>
      </c>
      <c r="AB231">
        <f t="shared" si="50"/>
        <v>312.8724742405995</v>
      </c>
      <c r="AC231">
        <f t="shared" si="51"/>
        <v>353.68606985146528</v>
      </c>
      <c r="AD231">
        <f t="shared" si="52"/>
        <v>0</v>
      </c>
      <c r="AE231">
        <f t="shared" si="59"/>
        <v>-2</v>
      </c>
      <c r="AF231">
        <f t="shared" si="53"/>
        <v>0</v>
      </c>
      <c r="AG231">
        <f t="shared" si="54"/>
        <v>0</v>
      </c>
      <c r="AH231" t="e">
        <f t="shared" si="55"/>
        <v>#N/A</v>
      </c>
      <c r="AI231">
        <f t="shared" si="56"/>
        <v>-1</v>
      </c>
      <c r="AJ231">
        <f t="shared" si="57"/>
        <v>0</v>
      </c>
      <c r="AK231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231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231">
        <f t="shared" si="58"/>
        <v>14.699999999999989</v>
      </c>
    </row>
    <row r="232" spans="2:39" x14ac:dyDescent="0.35">
      <c r="B232" s="12" t="str">
        <f>Demand!B234</f>
        <v/>
      </c>
      <c r="C232" s="7">
        <f>INDEX(Demand!$E$6:$S$265,MATCH('SPC Backing (Hide)'!$B232,Demand!$B$6:$B$265,0),MATCH('SPC Backing (Hide)'!C$3,Demand!$E$5:$S$5,0))</f>
        <v>0</v>
      </c>
      <c r="D232" s="5">
        <f>INDEX(Demand!$E$6:$S$265,MATCH('SPC Backing (Hide)'!$B232,Demand!$B$6:$B$265,0),MATCH('SPC Backing (Hide)'!D$3,Demand!$E$5:$S$5,0))</f>
        <v>0</v>
      </c>
      <c r="E232" s="5">
        <f>INDEX(Demand!$E$6:$S$265,MATCH('SPC Backing (Hide)'!$B232,Demand!$B$6:$B$265,0),MATCH('SPC Backing (Hide)'!E$3,Demand!$E$5:$S$5,0))</f>
        <v>0</v>
      </c>
      <c r="F232" s="5">
        <f>INDEX(Demand!$E$6:$S$265,MATCH('SPC Backing (Hide)'!$B232,Demand!$B$6:$B$265,0),MATCH('SPC Backing (Hide)'!F$3,Demand!$E$5:$S$5,0))</f>
        <v>0</v>
      </c>
      <c r="G232" s="5">
        <f>INDEX(Demand!$E$6:$S$265,MATCH('SPC Backing (Hide)'!$B232,Demand!$B$6:$B$265,0),MATCH('SPC Backing (Hide)'!G$3,Demand!$E$5:$S$5,0))</f>
        <v>0</v>
      </c>
      <c r="H232" s="5">
        <f>INDEX(Demand!$E$6:$S$265,MATCH('SPC Backing (Hide)'!$B232,Demand!$B$6:$B$265,0),MATCH('SPC Backing (Hide)'!H$3,Demand!$E$5:$S$5,0))</f>
        <v>0</v>
      </c>
      <c r="I232" s="5">
        <f>INDEX(Demand!$E$6:$S$265,MATCH('SPC Backing (Hide)'!$B232,Demand!$B$6:$B$265,0),MATCH('SPC Backing (Hide)'!I$3,Demand!$E$5:$S$5,0))</f>
        <v>0</v>
      </c>
      <c r="J232" s="5">
        <f>INDEX(Demand!$E$6:$S$265,MATCH('SPC Backing (Hide)'!$B232,Demand!$B$6:$B$265,0),MATCH('SPC Backing (Hide)'!J$3,Demand!$E$5:$S$5,0))</f>
        <v>0</v>
      </c>
      <c r="K232" s="5">
        <f>INDEX(Demand!$E$6:$S$265,MATCH('SPC Backing (Hide)'!$B232,Demand!$B$6:$B$265,0),MATCH('SPC Backing (Hide)'!K$3,Demand!$E$5:$S$5,0))</f>
        <v>0</v>
      </c>
      <c r="L232" s="5">
        <f>INDEX(Demand!$E$6:$S$265,MATCH('SPC Backing (Hide)'!$B232,Demand!$B$6:$B$265,0),MATCH('SPC Backing (Hide)'!L$3,Demand!$E$5:$S$5,0))</f>
        <v>0</v>
      </c>
      <c r="M232" s="5">
        <f>INDEX(Demand!$E$6:$S$265,MATCH('SPC Backing (Hide)'!$B232,Demand!$B$6:$B$265,0),MATCH('SPC Backing (Hide)'!M$3,Demand!$E$5:$S$5,0))</f>
        <v>0</v>
      </c>
      <c r="N232" s="5">
        <f>INDEX(Demand!$E$6:$S$265,MATCH('SPC Backing (Hide)'!$B232,Demand!$B$6:$B$265,0),MATCH('SPC Backing (Hide)'!N$3,Demand!$E$5:$S$5,0))</f>
        <v>0</v>
      </c>
      <c r="O232" s="5">
        <f>INDEX(Demand!$E$6:$S$265,MATCH('SPC Backing (Hide)'!$B232,Demand!$B$6:$B$265,0),MATCH('SPC Backing (Hide)'!O$3,Demand!$E$5:$S$5,0))</f>
        <v>0</v>
      </c>
      <c r="P232" s="5">
        <f>INDEX(Demand!$E$6:$S$265,MATCH('SPC Backing (Hide)'!$B232,Demand!$B$6:$B$265,0),MATCH('SPC Backing (Hide)'!P$3,Demand!$E$5:$S$5,0))</f>
        <v>0</v>
      </c>
      <c r="Q232" s="6">
        <f>INDEX(Demand!$E$6:$S$265,MATCH('SPC Backing (Hide)'!$B232,Demand!$B$6:$B$265,0),MATCH('SPC Backing (Hide)'!Q$3,Demand!$E$5:$S$5,0))</f>
        <v>0</v>
      </c>
      <c r="R232">
        <f>IF(SPC!$B$11="Yes",IF(ROW(A229)&gt;=Demand!$A$5-52,1,0),IF(AND(B232&gt;=SPC!$B$12,B232&lt;SPC!$B$13),1,0))</f>
        <v>1</v>
      </c>
      <c r="S232" cm="1">
        <f t="array" ref="S232">INDEX($C$4:$Q$263,ROW(A229),MATCH($T$2,$C$3:$Q$3,0))</f>
        <v>0</v>
      </c>
      <c r="T232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232" cm="1">
        <f t="array" ref="U232">ABS(INDEX($C$4:$Q$263,ROW(A229),MATCH($T$2,$C$3:$Q$3,0))-INDEX($C$4:$Q$263,ROW(A228),MATCH($T$2,$C$3:$Q$3,0)))</f>
        <v>0</v>
      </c>
      <c r="V232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232">
        <f t="shared" si="45"/>
        <v>40.813595610865789</v>
      </c>
      <c r="X232">
        <f t="shared" si="46"/>
        <v>108.80449618627055</v>
      </c>
      <c r="Y232">
        <f t="shared" si="47"/>
        <v>149.61809179713634</v>
      </c>
      <c r="Z232">
        <f t="shared" si="48"/>
        <v>190.43168740800212</v>
      </c>
      <c r="AA232">
        <f t="shared" si="49"/>
        <v>272.05887862973373</v>
      </c>
      <c r="AB232">
        <f t="shared" si="50"/>
        <v>312.8724742405995</v>
      </c>
      <c r="AC232">
        <f t="shared" si="51"/>
        <v>353.68606985146528</v>
      </c>
      <c r="AD232">
        <f t="shared" si="52"/>
        <v>0</v>
      </c>
      <c r="AE232">
        <f t="shared" si="59"/>
        <v>-2</v>
      </c>
      <c r="AF232">
        <f t="shared" si="53"/>
        <v>0</v>
      </c>
      <c r="AG232">
        <f t="shared" si="54"/>
        <v>0</v>
      </c>
      <c r="AH232" t="e">
        <f t="shared" si="55"/>
        <v>#N/A</v>
      </c>
      <c r="AI232">
        <f t="shared" si="56"/>
        <v>-1</v>
      </c>
      <c r="AJ232">
        <f t="shared" si="57"/>
        <v>0</v>
      </c>
      <c r="AK232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232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232">
        <f t="shared" si="58"/>
        <v>14.699999999999989</v>
      </c>
    </row>
    <row r="233" spans="2:39" x14ac:dyDescent="0.35">
      <c r="B233" s="12" t="str">
        <f>Demand!B235</f>
        <v/>
      </c>
      <c r="C233" s="7">
        <f>INDEX(Demand!$E$6:$S$265,MATCH('SPC Backing (Hide)'!$B233,Demand!$B$6:$B$265,0),MATCH('SPC Backing (Hide)'!C$3,Demand!$E$5:$S$5,0))</f>
        <v>0</v>
      </c>
      <c r="D233" s="5">
        <f>INDEX(Demand!$E$6:$S$265,MATCH('SPC Backing (Hide)'!$B233,Demand!$B$6:$B$265,0),MATCH('SPC Backing (Hide)'!D$3,Demand!$E$5:$S$5,0))</f>
        <v>0</v>
      </c>
      <c r="E233" s="5">
        <f>INDEX(Demand!$E$6:$S$265,MATCH('SPC Backing (Hide)'!$B233,Demand!$B$6:$B$265,0),MATCH('SPC Backing (Hide)'!E$3,Demand!$E$5:$S$5,0))</f>
        <v>0</v>
      </c>
      <c r="F233" s="5">
        <f>INDEX(Demand!$E$6:$S$265,MATCH('SPC Backing (Hide)'!$B233,Demand!$B$6:$B$265,0),MATCH('SPC Backing (Hide)'!F$3,Demand!$E$5:$S$5,0))</f>
        <v>0</v>
      </c>
      <c r="G233" s="5">
        <f>INDEX(Demand!$E$6:$S$265,MATCH('SPC Backing (Hide)'!$B233,Demand!$B$6:$B$265,0),MATCH('SPC Backing (Hide)'!G$3,Demand!$E$5:$S$5,0))</f>
        <v>0</v>
      </c>
      <c r="H233" s="5">
        <f>INDEX(Demand!$E$6:$S$265,MATCH('SPC Backing (Hide)'!$B233,Demand!$B$6:$B$265,0),MATCH('SPC Backing (Hide)'!H$3,Demand!$E$5:$S$5,0))</f>
        <v>0</v>
      </c>
      <c r="I233" s="5">
        <f>INDEX(Demand!$E$6:$S$265,MATCH('SPC Backing (Hide)'!$B233,Demand!$B$6:$B$265,0),MATCH('SPC Backing (Hide)'!I$3,Demand!$E$5:$S$5,0))</f>
        <v>0</v>
      </c>
      <c r="J233" s="5">
        <f>INDEX(Demand!$E$6:$S$265,MATCH('SPC Backing (Hide)'!$B233,Demand!$B$6:$B$265,0),MATCH('SPC Backing (Hide)'!J$3,Demand!$E$5:$S$5,0))</f>
        <v>0</v>
      </c>
      <c r="K233" s="5">
        <f>INDEX(Demand!$E$6:$S$265,MATCH('SPC Backing (Hide)'!$B233,Demand!$B$6:$B$265,0),MATCH('SPC Backing (Hide)'!K$3,Demand!$E$5:$S$5,0))</f>
        <v>0</v>
      </c>
      <c r="L233" s="5">
        <f>INDEX(Demand!$E$6:$S$265,MATCH('SPC Backing (Hide)'!$B233,Demand!$B$6:$B$265,0),MATCH('SPC Backing (Hide)'!L$3,Demand!$E$5:$S$5,0))</f>
        <v>0</v>
      </c>
      <c r="M233" s="5">
        <f>INDEX(Demand!$E$6:$S$265,MATCH('SPC Backing (Hide)'!$B233,Demand!$B$6:$B$265,0),MATCH('SPC Backing (Hide)'!M$3,Demand!$E$5:$S$5,0))</f>
        <v>0</v>
      </c>
      <c r="N233" s="5">
        <f>INDEX(Demand!$E$6:$S$265,MATCH('SPC Backing (Hide)'!$B233,Demand!$B$6:$B$265,0),MATCH('SPC Backing (Hide)'!N$3,Demand!$E$5:$S$5,0))</f>
        <v>0</v>
      </c>
      <c r="O233" s="5">
        <f>INDEX(Demand!$E$6:$S$265,MATCH('SPC Backing (Hide)'!$B233,Demand!$B$6:$B$265,0),MATCH('SPC Backing (Hide)'!O$3,Demand!$E$5:$S$5,0))</f>
        <v>0</v>
      </c>
      <c r="P233" s="5">
        <f>INDEX(Demand!$E$6:$S$265,MATCH('SPC Backing (Hide)'!$B233,Demand!$B$6:$B$265,0),MATCH('SPC Backing (Hide)'!P$3,Demand!$E$5:$S$5,0))</f>
        <v>0</v>
      </c>
      <c r="Q233" s="6">
        <f>INDEX(Demand!$E$6:$S$265,MATCH('SPC Backing (Hide)'!$B233,Demand!$B$6:$B$265,0),MATCH('SPC Backing (Hide)'!Q$3,Demand!$E$5:$S$5,0))</f>
        <v>0</v>
      </c>
      <c r="R233">
        <f>IF(SPC!$B$11="Yes",IF(ROW(A230)&gt;=Demand!$A$5-52,1,0),IF(AND(B233&gt;=SPC!$B$12,B233&lt;SPC!$B$13),1,0))</f>
        <v>1</v>
      </c>
      <c r="S233" cm="1">
        <f t="array" ref="S233">INDEX($C$4:$Q$263,ROW(A230),MATCH($T$2,$C$3:$Q$3,0))</f>
        <v>0</v>
      </c>
      <c r="T233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233" cm="1">
        <f t="array" ref="U233">ABS(INDEX($C$4:$Q$263,ROW(A230),MATCH($T$2,$C$3:$Q$3,0))-INDEX($C$4:$Q$263,ROW(A229),MATCH($T$2,$C$3:$Q$3,0)))</f>
        <v>0</v>
      </c>
      <c r="V233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233">
        <f t="shared" si="45"/>
        <v>40.813595610865789</v>
      </c>
      <c r="X233">
        <f t="shared" si="46"/>
        <v>108.80449618627055</v>
      </c>
      <c r="Y233">
        <f t="shared" si="47"/>
        <v>149.61809179713634</v>
      </c>
      <c r="Z233">
        <f t="shared" si="48"/>
        <v>190.43168740800212</v>
      </c>
      <c r="AA233">
        <f t="shared" si="49"/>
        <v>272.05887862973373</v>
      </c>
      <c r="AB233">
        <f t="shared" si="50"/>
        <v>312.8724742405995</v>
      </c>
      <c r="AC233">
        <f t="shared" si="51"/>
        <v>353.68606985146528</v>
      </c>
      <c r="AD233">
        <f t="shared" si="52"/>
        <v>0</v>
      </c>
      <c r="AE233">
        <f t="shared" si="59"/>
        <v>-2</v>
      </c>
      <c r="AF233">
        <f t="shared" si="53"/>
        <v>0</v>
      </c>
      <c r="AG233">
        <f t="shared" si="54"/>
        <v>0</v>
      </c>
      <c r="AH233" t="e">
        <f t="shared" si="55"/>
        <v>#N/A</v>
      </c>
      <c r="AI233">
        <f t="shared" si="56"/>
        <v>-1</v>
      </c>
      <c r="AJ233">
        <f t="shared" si="57"/>
        <v>0</v>
      </c>
      <c r="AK233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233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233">
        <f t="shared" si="58"/>
        <v>14.699999999999989</v>
      </c>
    </row>
    <row r="234" spans="2:39" x14ac:dyDescent="0.35">
      <c r="B234" s="12" t="str">
        <f>Demand!B236</f>
        <v/>
      </c>
      <c r="C234" s="7">
        <f>INDEX(Demand!$E$6:$S$265,MATCH('SPC Backing (Hide)'!$B234,Demand!$B$6:$B$265,0),MATCH('SPC Backing (Hide)'!C$3,Demand!$E$5:$S$5,0))</f>
        <v>0</v>
      </c>
      <c r="D234" s="5">
        <f>INDEX(Demand!$E$6:$S$265,MATCH('SPC Backing (Hide)'!$B234,Demand!$B$6:$B$265,0),MATCH('SPC Backing (Hide)'!D$3,Demand!$E$5:$S$5,0))</f>
        <v>0</v>
      </c>
      <c r="E234" s="5">
        <f>INDEX(Demand!$E$6:$S$265,MATCH('SPC Backing (Hide)'!$B234,Demand!$B$6:$B$265,0),MATCH('SPC Backing (Hide)'!E$3,Demand!$E$5:$S$5,0))</f>
        <v>0</v>
      </c>
      <c r="F234" s="5">
        <f>INDEX(Demand!$E$6:$S$265,MATCH('SPC Backing (Hide)'!$B234,Demand!$B$6:$B$265,0),MATCH('SPC Backing (Hide)'!F$3,Demand!$E$5:$S$5,0))</f>
        <v>0</v>
      </c>
      <c r="G234" s="5">
        <f>INDEX(Demand!$E$6:$S$265,MATCH('SPC Backing (Hide)'!$B234,Demand!$B$6:$B$265,0),MATCH('SPC Backing (Hide)'!G$3,Demand!$E$5:$S$5,0))</f>
        <v>0</v>
      </c>
      <c r="H234" s="5">
        <f>INDEX(Demand!$E$6:$S$265,MATCH('SPC Backing (Hide)'!$B234,Demand!$B$6:$B$265,0),MATCH('SPC Backing (Hide)'!H$3,Demand!$E$5:$S$5,0))</f>
        <v>0</v>
      </c>
      <c r="I234" s="5">
        <f>INDEX(Demand!$E$6:$S$265,MATCH('SPC Backing (Hide)'!$B234,Demand!$B$6:$B$265,0),MATCH('SPC Backing (Hide)'!I$3,Demand!$E$5:$S$5,0))</f>
        <v>0</v>
      </c>
      <c r="J234" s="5">
        <f>INDEX(Demand!$E$6:$S$265,MATCH('SPC Backing (Hide)'!$B234,Demand!$B$6:$B$265,0),MATCH('SPC Backing (Hide)'!J$3,Demand!$E$5:$S$5,0))</f>
        <v>0</v>
      </c>
      <c r="K234" s="5">
        <f>INDEX(Demand!$E$6:$S$265,MATCH('SPC Backing (Hide)'!$B234,Demand!$B$6:$B$265,0),MATCH('SPC Backing (Hide)'!K$3,Demand!$E$5:$S$5,0))</f>
        <v>0</v>
      </c>
      <c r="L234" s="5">
        <f>INDEX(Demand!$E$6:$S$265,MATCH('SPC Backing (Hide)'!$B234,Demand!$B$6:$B$265,0),MATCH('SPC Backing (Hide)'!L$3,Demand!$E$5:$S$5,0))</f>
        <v>0</v>
      </c>
      <c r="M234" s="5">
        <f>INDEX(Demand!$E$6:$S$265,MATCH('SPC Backing (Hide)'!$B234,Demand!$B$6:$B$265,0),MATCH('SPC Backing (Hide)'!M$3,Demand!$E$5:$S$5,0))</f>
        <v>0</v>
      </c>
      <c r="N234" s="5">
        <f>INDEX(Demand!$E$6:$S$265,MATCH('SPC Backing (Hide)'!$B234,Demand!$B$6:$B$265,0),MATCH('SPC Backing (Hide)'!N$3,Demand!$E$5:$S$5,0))</f>
        <v>0</v>
      </c>
      <c r="O234" s="5">
        <f>INDEX(Demand!$E$6:$S$265,MATCH('SPC Backing (Hide)'!$B234,Demand!$B$6:$B$265,0),MATCH('SPC Backing (Hide)'!O$3,Demand!$E$5:$S$5,0))</f>
        <v>0</v>
      </c>
      <c r="P234" s="5">
        <f>INDEX(Demand!$E$6:$S$265,MATCH('SPC Backing (Hide)'!$B234,Demand!$B$6:$B$265,0),MATCH('SPC Backing (Hide)'!P$3,Demand!$E$5:$S$5,0))</f>
        <v>0</v>
      </c>
      <c r="Q234" s="6">
        <f>INDEX(Demand!$E$6:$S$265,MATCH('SPC Backing (Hide)'!$B234,Demand!$B$6:$B$265,0),MATCH('SPC Backing (Hide)'!Q$3,Demand!$E$5:$S$5,0))</f>
        <v>0</v>
      </c>
      <c r="R234">
        <f>IF(SPC!$B$11="Yes",IF(ROW(A231)&gt;=Demand!$A$5-52,1,0),IF(AND(B234&gt;=SPC!$B$12,B234&lt;SPC!$B$13),1,0))</f>
        <v>1</v>
      </c>
      <c r="S234" cm="1">
        <f t="array" ref="S234">INDEX($C$4:$Q$263,ROW(A231),MATCH($T$2,$C$3:$Q$3,0))</f>
        <v>0</v>
      </c>
      <c r="T234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234" cm="1">
        <f t="array" ref="U234">ABS(INDEX($C$4:$Q$263,ROW(A231),MATCH($T$2,$C$3:$Q$3,0))-INDEX($C$4:$Q$263,ROW(A230),MATCH($T$2,$C$3:$Q$3,0)))</f>
        <v>0</v>
      </c>
      <c r="V234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234">
        <f t="shared" si="45"/>
        <v>40.813595610865789</v>
      </c>
      <c r="X234">
        <f t="shared" si="46"/>
        <v>108.80449618627055</v>
      </c>
      <c r="Y234">
        <f t="shared" si="47"/>
        <v>149.61809179713634</v>
      </c>
      <c r="Z234">
        <f t="shared" si="48"/>
        <v>190.43168740800212</v>
      </c>
      <c r="AA234">
        <f t="shared" si="49"/>
        <v>272.05887862973373</v>
      </c>
      <c r="AB234">
        <f t="shared" si="50"/>
        <v>312.8724742405995</v>
      </c>
      <c r="AC234">
        <f t="shared" si="51"/>
        <v>353.68606985146528</v>
      </c>
      <c r="AD234">
        <f t="shared" si="52"/>
        <v>0</v>
      </c>
      <c r="AE234">
        <f t="shared" si="59"/>
        <v>-2</v>
      </c>
      <c r="AF234">
        <f t="shared" si="53"/>
        <v>0</v>
      </c>
      <c r="AG234">
        <f t="shared" si="54"/>
        <v>0</v>
      </c>
      <c r="AH234" t="e">
        <f t="shared" si="55"/>
        <v>#N/A</v>
      </c>
      <c r="AI234">
        <f t="shared" si="56"/>
        <v>-1</v>
      </c>
      <c r="AJ234">
        <f t="shared" si="57"/>
        <v>0</v>
      </c>
      <c r="AK234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234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234">
        <f t="shared" si="58"/>
        <v>14.699999999999989</v>
      </c>
    </row>
    <row r="235" spans="2:39" x14ac:dyDescent="0.35">
      <c r="B235" s="12" t="str">
        <f>Demand!B237</f>
        <v/>
      </c>
      <c r="C235" s="7">
        <f>INDEX(Demand!$E$6:$S$265,MATCH('SPC Backing (Hide)'!$B235,Demand!$B$6:$B$265,0),MATCH('SPC Backing (Hide)'!C$3,Demand!$E$5:$S$5,0))</f>
        <v>0</v>
      </c>
      <c r="D235" s="5">
        <f>INDEX(Demand!$E$6:$S$265,MATCH('SPC Backing (Hide)'!$B235,Demand!$B$6:$B$265,0),MATCH('SPC Backing (Hide)'!D$3,Demand!$E$5:$S$5,0))</f>
        <v>0</v>
      </c>
      <c r="E235" s="5">
        <f>INDEX(Demand!$E$6:$S$265,MATCH('SPC Backing (Hide)'!$B235,Demand!$B$6:$B$265,0),MATCH('SPC Backing (Hide)'!E$3,Demand!$E$5:$S$5,0))</f>
        <v>0</v>
      </c>
      <c r="F235" s="5">
        <f>INDEX(Demand!$E$6:$S$265,MATCH('SPC Backing (Hide)'!$B235,Demand!$B$6:$B$265,0),MATCH('SPC Backing (Hide)'!F$3,Demand!$E$5:$S$5,0))</f>
        <v>0</v>
      </c>
      <c r="G235" s="5">
        <f>INDEX(Demand!$E$6:$S$265,MATCH('SPC Backing (Hide)'!$B235,Demand!$B$6:$B$265,0),MATCH('SPC Backing (Hide)'!G$3,Demand!$E$5:$S$5,0))</f>
        <v>0</v>
      </c>
      <c r="H235" s="5">
        <f>INDEX(Demand!$E$6:$S$265,MATCH('SPC Backing (Hide)'!$B235,Demand!$B$6:$B$265,0),MATCH('SPC Backing (Hide)'!H$3,Demand!$E$5:$S$5,0))</f>
        <v>0</v>
      </c>
      <c r="I235" s="5">
        <f>INDEX(Demand!$E$6:$S$265,MATCH('SPC Backing (Hide)'!$B235,Demand!$B$6:$B$265,0),MATCH('SPC Backing (Hide)'!I$3,Demand!$E$5:$S$5,0))</f>
        <v>0</v>
      </c>
      <c r="J235" s="5">
        <f>INDEX(Demand!$E$6:$S$265,MATCH('SPC Backing (Hide)'!$B235,Demand!$B$6:$B$265,0),MATCH('SPC Backing (Hide)'!J$3,Demand!$E$5:$S$5,0))</f>
        <v>0</v>
      </c>
      <c r="K235" s="5">
        <f>INDEX(Demand!$E$6:$S$265,MATCH('SPC Backing (Hide)'!$B235,Demand!$B$6:$B$265,0),MATCH('SPC Backing (Hide)'!K$3,Demand!$E$5:$S$5,0))</f>
        <v>0</v>
      </c>
      <c r="L235" s="5">
        <f>INDEX(Demand!$E$6:$S$265,MATCH('SPC Backing (Hide)'!$B235,Demand!$B$6:$B$265,0),MATCH('SPC Backing (Hide)'!L$3,Demand!$E$5:$S$5,0))</f>
        <v>0</v>
      </c>
      <c r="M235" s="5">
        <f>INDEX(Demand!$E$6:$S$265,MATCH('SPC Backing (Hide)'!$B235,Demand!$B$6:$B$265,0),MATCH('SPC Backing (Hide)'!M$3,Demand!$E$5:$S$5,0))</f>
        <v>0</v>
      </c>
      <c r="N235" s="5">
        <f>INDEX(Demand!$E$6:$S$265,MATCH('SPC Backing (Hide)'!$B235,Demand!$B$6:$B$265,0),MATCH('SPC Backing (Hide)'!N$3,Demand!$E$5:$S$5,0))</f>
        <v>0</v>
      </c>
      <c r="O235" s="5">
        <f>INDEX(Demand!$E$6:$S$265,MATCH('SPC Backing (Hide)'!$B235,Demand!$B$6:$B$265,0),MATCH('SPC Backing (Hide)'!O$3,Demand!$E$5:$S$5,0))</f>
        <v>0</v>
      </c>
      <c r="P235" s="5">
        <f>INDEX(Demand!$E$6:$S$265,MATCH('SPC Backing (Hide)'!$B235,Demand!$B$6:$B$265,0),MATCH('SPC Backing (Hide)'!P$3,Demand!$E$5:$S$5,0))</f>
        <v>0</v>
      </c>
      <c r="Q235" s="6">
        <f>INDEX(Demand!$E$6:$S$265,MATCH('SPC Backing (Hide)'!$B235,Demand!$B$6:$B$265,0),MATCH('SPC Backing (Hide)'!Q$3,Demand!$E$5:$S$5,0))</f>
        <v>0</v>
      </c>
      <c r="R235">
        <f>IF(SPC!$B$11="Yes",IF(ROW(A232)&gt;=Demand!$A$5-52,1,0),IF(AND(B235&gt;=SPC!$B$12,B235&lt;SPC!$B$13),1,0))</f>
        <v>1</v>
      </c>
      <c r="S235" cm="1">
        <f t="array" ref="S235">INDEX($C$4:$Q$263,ROW(A232),MATCH($T$2,$C$3:$Q$3,0))</f>
        <v>0</v>
      </c>
      <c r="T235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235" cm="1">
        <f t="array" ref="U235">ABS(INDEX($C$4:$Q$263,ROW(A232),MATCH($T$2,$C$3:$Q$3,0))-INDEX($C$4:$Q$263,ROW(A231),MATCH($T$2,$C$3:$Q$3,0)))</f>
        <v>0</v>
      </c>
      <c r="V235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235">
        <f t="shared" si="45"/>
        <v>40.813595610865789</v>
      </c>
      <c r="X235">
        <f t="shared" si="46"/>
        <v>108.80449618627055</v>
      </c>
      <c r="Y235">
        <f t="shared" si="47"/>
        <v>149.61809179713634</v>
      </c>
      <c r="Z235">
        <f t="shared" si="48"/>
        <v>190.43168740800212</v>
      </c>
      <c r="AA235">
        <f t="shared" si="49"/>
        <v>272.05887862973373</v>
      </c>
      <c r="AB235">
        <f t="shared" si="50"/>
        <v>312.8724742405995</v>
      </c>
      <c r="AC235">
        <f t="shared" si="51"/>
        <v>353.68606985146528</v>
      </c>
      <c r="AD235">
        <f t="shared" si="52"/>
        <v>0</v>
      </c>
      <c r="AE235">
        <f t="shared" si="59"/>
        <v>-2</v>
      </c>
      <c r="AF235">
        <f t="shared" si="53"/>
        <v>0</v>
      </c>
      <c r="AG235">
        <f t="shared" si="54"/>
        <v>0</v>
      </c>
      <c r="AH235" t="e">
        <f t="shared" si="55"/>
        <v>#N/A</v>
      </c>
      <c r="AI235">
        <f t="shared" si="56"/>
        <v>-1</v>
      </c>
      <c r="AJ235">
        <f t="shared" si="57"/>
        <v>0</v>
      </c>
      <c r="AK235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235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235">
        <f t="shared" si="58"/>
        <v>14.699999999999989</v>
      </c>
    </row>
    <row r="236" spans="2:39" x14ac:dyDescent="0.35">
      <c r="B236" s="12" t="str">
        <f>Demand!B238</f>
        <v/>
      </c>
      <c r="C236" s="7">
        <f>INDEX(Demand!$E$6:$S$265,MATCH('SPC Backing (Hide)'!$B236,Demand!$B$6:$B$265,0),MATCH('SPC Backing (Hide)'!C$3,Demand!$E$5:$S$5,0))</f>
        <v>0</v>
      </c>
      <c r="D236" s="5">
        <f>INDEX(Demand!$E$6:$S$265,MATCH('SPC Backing (Hide)'!$B236,Demand!$B$6:$B$265,0),MATCH('SPC Backing (Hide)'!D$3,Demand!$E$5:$S$5,0))</f>
        <v>0</v>
      </c>
      <c r="E236" s="5">
        <f>INDEX(Demand!$E$6:$S$265,MATCH('SPC Backing (Hide)'!$B236,Demand!$B$6:$B$265,0),MATCH('SPC Backing (Hide)'!E$3,Demand!$E$5:$S$5,0))</f>
        <v>0</v>
      </c>
      <c r="F236" s="5">
        <f>INDEX(Demand!$E$6:$S$265,MATCH('SPC Backing (Hide)'!$B236,Demand!$B$6:$B$265,0),MATCH('SPC Backing (Hide)'!F$3,Demand!$E$5:$S$5,0))</f>
        <v>0</v>
      </c>
      <c r="G236" s="5">
        <f>INDEX(Demand!$E$6:$S$265,MATCH('SPC Backing (Hide)'!$B236,Demand!$B$6:$B$265,0),MATCH('SPC Backing (Hide)'!G$3,Demand!$E$5:$S$5,0))</f>
        <v>0</v>
      </c>
      <c r="H236" s="5">
        <f>INDEX(Demand!$E$6:$S$265,MATCH('SPC Backing (Hide)'!$B236,Demand!$B$6:$B$265,0),MATCH('SPC Backing (Hide)'!H$3,Demand!$E$5:$S$5,0))</f>
        <v>0</v>
      </c>
      <c r="I236" s="5">
        <f>INDEX(Demand!$E$6:$S$265,MATCH('SPC Backing (Hide)'!$B236,Demand!$B$6:$B$265,0),MATCH('SPC Backing (Hide)'!I$3,Demand!$E$5:$S$5,0))</f>
        <v>0</v>
      </c>
      <c r="J236" s="5">
        <f>INDEX(Demand!$E$6:$S$265,MATCH('SPC Backing (Hide)'!$B236,Demand!$B$6:$B$265,0),MATCH('SPC Backing (Hide)'!J$3,Demand!$E$5:$S$5,0))</f>
        <v>0</v>
      </c>
      <c r="K236" s="5">
        <f>INDEX(Demand!$E$6:$S$265,MATCH('SPC Backing (Hide)'!$B236,Demand!$B$6:$B$265,0),MATCH('SPC Backing (Hide)'!K$3,Demand!$E$5:$S$5,0))</f>
        <v>0</v>
      </c>
      <c r="L236" s="5">
        <f>INDEX(Demand!$E$6:$S$265,MATCH('SPC Backing (Hide)'!$B236,Demand!$B$6:$B$265,0),MATCH('SPC Backing (Hide)'!L$3,Demand!$E$5:$S$5,0))</f>
        <v>0</v>
      </c>
      <c r="M236" s="5">
        <f>INDEX(Demand!$E$6:$S$265,MATCH('SPC Backing (Hide)'!$B236,Demand!$B$6:$B$265,0),MATCH('SPC Backing (Hide)'!M$3,Demand!$E$5:$S$5,0))</f>
        <v>0</v>
      </c>
      <c r="N236" s="5">
        <f>INDEX(Demand!$E$6:$S$265,MATCH('SPC Backing (Hide)'!$B236,Demand!$B$6:$B$265,0),MATCH('SPC Backing (Hide)'!N$3,Demand!$E$5:$S$5,0))</f>
        <v>0</v>
      </c>
      <c r="O236" s="5">
        <f>INDEX(Demand!$E$6:$S$265,MATCH('SPC Backing (Hide)'!$B236,Demand!$B$6:$B$265,0),MATCH('SPC Backing (Hide)'!O$3,Demand!$E$5:$S$5,0))</f>
        <v>0</v>
      </c>
      <c r="P236" s="5">
        <f>INDEX(Demand!$E$6:$S$265,MATCH('SPC Backing (Hide)'!$B236,Demand!$B$6:$B$265,0),MATCH('SPC Backing (Hide)'!P$3,Demand!$E$5:$S$5,0))</f>
        <v>0</v>
      </c>
      <c r="Q236" s="6">
        <f>INDEX(Demand!$E$6:$S$265,MATCH('SPC Backing (Hide)'!$B236,Demand!$B$6:$B$265,0),MATCH('SPC Backing (Hide)'!Q$3,Demand!$E$5:$S$5,0))</f>
        <v>0</v>
      </c>
      <c r="R236">
        <f>IF(SPC!$B$11="Yes",IF(ROW(A233)&gt;=Demand!$A$5-52,1,0),IF(AND(B236&gt;=SPC!$B$12,B236&lt;SPC!$B$13),1,0))</f>
        <v>1</v>
      </c>
      <c r="S236" cm="1">
        <f t="array" ref="S236">INDEX($C$4:$Q$263,ROW(A233),MATCH($T$2,$C$3:$Q$3,0))</f>
        <v>0</v>
      </c>
      <c r="T236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236" cm="1">
        <f t="array" ref="U236">ABS(INDEX($C$4:$Q$263,ROW(A233),MATCH($T$2,$C$3:$Q$3,0))-INDEX($C$4:$Q$263,ROW(A232),MATCH($T$2,$C$3:$Q$3,0)))</f>
        <v>0</v>
      </c>
      <c r="V236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236">
        <f t="shared" si="45"/>
        <v>40.813595610865789</v>
      </c>
      <c r="X236">
        <f t="shared" si="46"/>
        <v>108.80449618627055</v>
      </c>
      <c r="Y236">
        <f t="shared" si="47"/>
        <v>149.61809179713634</v>
      </c>
      <c r="Z236">
        <f t="shared" si="48"/>
        <v>190.43168740800212</v>
      </c>
      <c r="AA236">
        <f t="shared" si="49"/>
        <v>272.05887862973373</v>
      </c>
      <c r="AB236">
        <f t="shared" si="50"/>
        <v>312.8724742405995</v>
      </c>
      <c r="AC236">
        <f t="shared" si="51"/>
        <v>353.68606985146528</v>
      </c>
      <c r="AD236">
        <f t="shared" si="52"/>
        <v>0</v>
      </c>
      <c r="AE236">
        <f t="shared" si="59"/>
        <v>-2</v>
      </c>
      <c r="AF236">
        <f t="shared" si="53"/>
        <v>0</v>
      </c>
      <c r="AG236">
        <f t="shared" si="54"/>
        <v>0</v>
      </c>
      <c r="AH236" t="e">
        <f t="shared" si="55"/>
        <v>#N/A</v>
      </c>
      <c r="AI236">
        <f t="shared" si="56"/>
        <v>-1</v>
      </c>
      <c r="AJ236">
        <f t="shared" si="57"/>
        <v>0</v>
      </c>
      <c r="AK236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236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236">
        <f t="shared" si="58"/>
        <v>14.699999999999989</v>
      </c>
    </row>
    <row r="237" spans="2:39" x14ac:dyDescent="0.35">
      <c r="B237" s="12" t="str">
        <f>Demand!B239</f>
        <v/>
      </c>
      <c r="C237" s="7">
        <f>INDEX(Demand!$E$6:$S$265,MATCH('SPC Backing (Hide)'!$B237,Demand!$B$6:$B$265,0),MATCH('SPC Backing (Hide)'!C$3,Demand!$E$5:$S$5,0))</f>
        <v>0</v>
      </c>
      <c r="D237" s="5">
        <f>INDEX(Demand!$E$6:$S$265,MATCH('SPC Backing (Hide)'!$B237,Demand!$B$6:$B$265,0),MATCH('SPC Backing (Hide)'!D$3,Demand!$E$5:$S$5,0))</f>
        <v>0</v>
      </c>
      <c r="E237" s="5">
        <f>INDEX(Demand!$E$6:$S$265,MATCH('SPC Backing (Hide)'!$B237,Demand!$B$6:$B$265,0),MATCH('SPC Backing (Hide)'!E$3,Demand!$E$5:$S$5,0))</f>
        <v>0</v>
      </c>
      <c r="F237" s="5">
        <f>INDEX(Demand!$E$6:$S$265,MATCH('SPC Backing (Hide)'!$B237,Demand!$B$6:$B$265,0),MATCH('SPC Backing (Hide)'!F$3,Demand!$E$5:$S$5,0))</f>
        <v>0</v>
      </c>
      <c r="G237" s="5">
        <f>INDEX(Demand!$E$6:$S$265,MATCH('SPC Backing (Hide)'!$B237,Demand!$B$6:$B$265,0),MATCH('SPC Backing (Hide)'!G$3,Demand!$E$5:$S$5,0))</f>
        <v>0</v>
      </c>
      <c r="H237" s="5">
        <f>INDEX(Demand!$E$6:$S$265,MATCH('SPC Backing (Hide)'!$B237,Demand!$B$6:$B$265,0),MATCH('SPC Backing (Hide)'!H$3,Demand!$E$5:$S$5,0))</f>
        <v>0</v>
      </c>
      <c r="I237" s="5">
        <f>INDEX(Demand!$E$6:$S$265,MATCH('SPC Backing (Hide)'!$B237,Demand!$B$6:$B$265,0),MATCH('SPC Backing (Hide)'!I$3,Demand!$E$5:$S$5,0))</f>
        <v>0</v>
      </c>
      <c r="J237" s="5">
        <f>INDEX(Demand!$E$6:$S$265,MATCH('SPC Backing (Hide)'!$B237,Demand!$B$6:$B$265,0),MATCH('SPC Backing (Hide)'!J$3,Demand!$E$5:$S$5,0))</f>
        <v>0</v>
      </c>
      <c r="K237" s="5">
        <f>INDEX(Demand!$E$6:$S$265,MATCH('SPC Backing (Hide)'!$B237,Demand!$B$6:$B$265,0),MATCH('SPC Backing (Hide)'!K$3,Demand!$E$5:$S$5,0))</f>
        <v>0</v>
      </c>
      <c r="L237" s="5">
        <f>INDEX(Demand!$E$6:$S$265,MATCH('SPC Backing (Hide)'!$B237,Demand!$B$6:$B$265,0),MATCH('SPC Backing (Hide)'!L$3,Demand!$E$5:$S$5,0))</f>
        <v>0</v>
      </c>
      <c r="M237" s="5">
        <f>INDEX(Demand!$E$6:$S$265,MATCH('SPC Backing (Hide)'!$B237,Demand!$B$6:$B$265,0),MATCH('SPC Backing (Hide)'!M$3,Demand!$E$5:$S$5,0))</f>
        <v>0</v>
      </c>
      <c r="N237" s="5">
        <f>INDEX(Demand!$E$6:$S$265,MATCH('SPC Backing (Hide)'!$B237,Demand!$B$6:$B$265,0),MATCH('SPC Backing (Hide)'!N$3,Demand!$E$5:$S$5,0))</f>
        <v>0</v>
      </c>
      <c r="O237" s="5">
        <f>INDEX(Demand!$E$6:$S$265,MATCH('SPC Backing (Hide)'!$B237,Demand!$B$6:$B$265,0),MATCH('SPC Backing (Hide)'!O$3,Demand!$E$5:$S$5,0))</f>
        <v>0</v>
      </c>
      <c r="P237" s="5">
        <f>INDEX(Demand!$E$6:$S$265,MATCH('SPC Backing (Hide)'!$B237,Demand!$B$6:$B$265,0),MATCH('SPC Backing (Hide)'!P$3,Demand!$E$5:$S$5,0))</f>
        <v>0</v>
      </c>
      <c r="Q237" s="6">
        <f>INDEX(Demand!$E$6:$S$265,MATCH('SPC Backing (Hide)'!$B237,Demand!$B$6:$B$265,0),MATCH('SPC Backing (Hide)'!Q$3,Demand!$E$5:$S$5,0))</f>
        <v>0</v>
      </c>
      <c r="R237">
        <f>IF(SPC!$B$11="Yes",IF(ROW(A234)&gt;=Demand!$A$5-52,1,0),IF(AND(B237&gt;=SPC!$B$12,B237&lt;SPC!$B$13),1,0))</f>
        <v>1</v>
      </c>
      <c r="S237" cm="1">
        <f t="array" ref="S237">INDEX($C$4:$Q$263,ROW(A234),MATCH($T$2,$C$3:$Q$3,0))</f>
        <v>0</v>
      </c>
      <c r="T237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237" cm="1">
        <f t="array" ref="U237">ABS(INDEX($C$4:$Q$263,ROW(A234),MATCH($T$2,$C$3:$Q$3,0))-INDEX($C$4:$Q$263,ROW(A233),MATCH($T$2,$C$3:$Q$3,0)))</f>
        <v>0</v>
      </c>
      <c r="V237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237">
        <f t="shared" si="45"/>
        <v>40.813595610865789</v>
      </c>
      <c r="X237">
        <f t="shared" si="46"/>
        <v>108.80449618627055</v>
      </c>
      <c r="Y237">
        <f t="shared" si="47"/>
        <v>149.61809179713634</v>
      </c>
      <c r="Z237">
        <f t="shared" si="48"/>
        <v>190.43168740800212</v>
      </c>
      <c r="AA237">
        <f t="shared" si="49"/>
        <v>272.05887862973373</v>
      </c>
      <c r="AB237">
        <f t="shared" si="50"/>
        <v>312.8724742405995</v>
      </c>
      <c r="AC237">
        <f t="shared" si="51"/>
        <v>353.68606985146528</v>
      </c>
      <c r="AD237">
        <f t="shared" si="52"/>
        <v>0</v>
      </c>
      <c r="AE237">
        <f t="shared" si="59"/>
        <v>-2</v>
      </c>
      <c r="AF237">
        <f t="shared" si="53"/>
        <v>0</v>
      </c>
      <c r="AG237">
        <f t="shared" si="54"/>
        <v>0</v>
      </c>
      <c r="AH237" t="e">
        <f t="shared" si="55"/>
        <v>#N/A</v>
      </c>
      <c r="AI237">
        <f t="shared" si="56"/>
        <v>-1</v>
      </c>
      <c r="AJ237">
        <f t="shared" si="57"/>
        <v>0</v>
      </c>
      <c r="AK237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237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237">
        <f t="shared" si="58"/>
        <v>14.699999999999989</v>
      </c>
    </row>
    <row r="238" spans="2:39" x14ac:dyDescent="0.35">
      <c r="B238" s="12" t="str">
        <f>Demand!B240</f>
        <v/>
      </c>
      <c r="C238" s="7">
        <f>INDEX(Demand!$E$6:$S$265,MATCH('SPC Backing (Hide)'!$B238,Demand!$B$6:$B$265,0),MATCH('SPC Backing (Hide)'!C$3,Demand!$E$5:$S$5,0))</f>
        <v>0</v>
      </c>
      <c r="D238" s="5">
        <f>INDEX(Demand!$E$6:$S$265,MATCH('SPC Backing (Hide)'!$B238,Demand!$B$6:$B$265,0),MATCH('SPC Backing (Hide)'!D$3,Demand!$E$5:$S$5,0))</f>
        <v>0</v>
      </c>
      <c r="E238" s="5">
        <f>INDEX(Demand!$E$6:$S$265,MATCH('SPC Backing (Hide)'!$B238,Demand!$B$6:$B$265,0),MATCH('SPC Backing (Hide)'!E$3,Demand!$E$5:$S$5,0))</f>
        <v>0</v>
      </c>
      <c r="F238" s="5">
        <f>INDEX(Demand!$E$6:$S$265,MATCH('SPC Backing (Hide)'!$B238,Demand!$B$6:$B$265,0),MATCH('SPC Backing (Hide)'!F$3,Demand!$E$5:$S$5,0))</f>
        <v>0</v>
      </c>
      <c r="G238" s="5">
        <f>INDEX(Demand!$E$6:$S$265,MATCH('SPC Backing (Hide)'!$B238,Demand!$B$6:$B$265,0),MATCH('SPC Backing (Hide)'!G$3,Demand!$E$5:$S$5,0))</f>
        <v>0</v>
      </c>
      <c r="H238" s="5">
        <f>INDEX(Demand!$E$6:$S$265,MATCH('SPC Backing (Hide)'!$B238,Demand!$B$6:$B$265,0),MATCH('SPC Backing (Hide)'!H$3,Demand!$E$5:$S$5,0))</f>
        <v>0</v>
      </c>
      <c r="I238" s="5">
        <f>INDEX(Demand!$E$6:$S$265,MATCH('SPC Backing (Hide)'!$B238,Demand!$B$6:$B$265,0),MATCH('SPC Backing (Hide)'!I$3,Demand!$E$5:$S$5,0))</f>
        <v>0</v>
      </c>
      <c r="J238" s="5">
        <f>INDEX(Demand!$E$6:$S$265,MATCH('SPC Backing (Hide)'!$B238,Demand!$B$6:$B$265,0),MATCH('SPC Backing (Hide)'!J$3,Demand!$E$5:$S$5,0))</f>
        <v>0</v>
      </c>
      <c r="K238" s="5">
        <f>INDEX(Demand!$E$6:$S$265,MATCH('SPC Backing (Hide)'!$B238,Demand!$B$6:$B$265,0),MATCH('SPC Backing (Hide)'!K$3,Demand!$E$5:$S$5,0))</f>
        <v>0</v>
      </c>
      <c r="L238" s="5">
        <f>INDEX(Demand!$E$6:$S$265,MATCH('SPC Backing (Hide)'!$B238,Demand!$B$6:$B$265,0),MATCH('SPC Backing (Hide)'!L$3,Demand!$E$5:$S$5,0))</f>
        <v>0</v>
      </c>
      <c r="M238" s="5">
        <f>INDEX(Demand!$E$6:$S$265,MATCH('SPC Backing (Hide)'!$B238,Demand!$B$6:$B$265,0),MATCH('SPC Backing (Hide)'!M$3,Demand!$E$5:$S$5,0))</f>
        <v>0</v>
      </c>
      <c r="N238" s="5">
        <f>INDEX(Demand!$E$6:$S$265,MATCH('SPC Backing (Hide)'!$B238,Demand!$B$6:$B$265,0),MATCH('SPC Backing (Hide)'!N$3,Demand!$E$5:$S$5,0))</f>
        <v>0</v>
      </c>
      <c r="O238" s="5">
        <f>INDEX(Demand!$E$6:$S$265,MATCH('SPC Backing (Hide)'!$B238,Demand!$B$6:$B$265,0),MATCH('SPC Backing (Hide)'!O$3,Demand!$E$5:$S$5,0))</f>
        <v>0</v>
      </c>
      <c r="P238" s="5">
        <f>INDEX(Demand!$E$6:$S$265,MATCH('SPC Backing (Hide)'!$B238,Demand!$B$6:$B$265,0),MATCH('SPC Backing (Hide)'!P$3,Demand!$E$5:$S$5,0))</f>
        <v>0</v>
      </c>
      <c r="Q238" s="6">
        <f>INDEX(Demand!$E$6:$S$265,MATCH('SPC Backing (Hide)'!$B238,Demand!$B$6:$B$265,0),MATCH('SPC Backing (Hide)'!Q$3,Demand!$E$5:$S$5,0))</f>
        <v>0</v>
      </c>
      <c r="R238">
        <f>IF(SPC!$B$11="Yes",IF(ROW(A235)&gt;=Demand!$A$5-52,1,0),IF(AND(B238&gt;=SPC!$B$12,B238&lt;SPC!$B$13),1,0))</f>
        <v>1</v>
      </c>
      <c r="S238" cm="1">
        <f t="array" ref="S238">INDEX($C$4:$Q$263,ROW(A235),MATCH($T$2,$C$3:$Q$3,0))</f>
        <v>0</v>
      </c>
      <c r="T238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238" cm="1">
        <f t="array" ref="U238">ABS(INDEX($C$4:$Q$263,ROW(A235),MATCH($T$2,$C$3:$Q$3,0))-INDEX($C$4:$Q$263,ROW(A234),MATCH($T$2,$C$3:$Q$3,0)))</f>
        <v>0</v>
      </c>
      <c r="V238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238">
        <f t="shared" si="45"/>
        <v>40.813595610865789</v>
      </c>
      <c r="X238">
        <f t="shared" si="46"/>
        <v>108.80449618627055</v>
      </c>
      <c r="Y238">
        <f t="shared" si="47"/>
        <v>149.61809179713634</v>
      </c>
      <c r="Z238">
        <f t="shared" si="48"/>
        <v>190.43168740800212</v>
      </c>
      <c r="AA238">
        <f t="shared" si="49"/>
        <v>272.05887862973373</v>
      </c>
      <c r="AB238">
        <f t="shared" si="50"/>
        <v>312.8724742405995</v>
      </c>
      <c r="AC238">
        <f t="shared" si="51"/>
        <v>353.68606985146528</v>
      </c>
      <c r="AD238">
        <f t="shared" si="52"/>
        <v>0</v>
      </c>
      <c r="AE238">
        <f t="shared" si="59"/>
        <v>-2</v>
      </c>
      <c r="AF238">
        <f t="shared" si="53"/>
        <v>0</v>
      </c>
      <c r="AG238">
        <f t="shared" si="54"/>
        <v>0</v>
      </c>
      <c r="AH238" t="e">
        <f t="shared" si="55"/>
        <v>#N/A</v>
      </c>
      <c r="AI238">
        <f t="shared" si="56"/>
        <v>-1</v>
      </c>
      <c r="AJ238">
        <f t="shared" si="57"/>
        <v>0</v>
      </c>
      <c r="AK238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238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238">
        <f t="shared" si="58"/>
        <v>14.699999999999989</v>
      </c>
    </row>
    <row r="239" spans="2:39" x14ac:dyDescent="0.35">
      <c r="B239" s="12" t="str">
        <f>Demand!B241</f>
        <v/>
      </c>
      <c r="C239" s="7">
        <f>INDEX(Demand!$E$6:$S$265,MATCH('SPC Backing (Hide)'!$B239,Demand!$B$6:$B$265,0),MATCH('SPC Backing (Hide)'!C$3,Demand!$E$5:$S$5,0))</f>
        <v>0</v>
      </c>
      <c r="D239" s="5">
        <f>INDEX(Demand!$E$6:$S$265,MATCH('SPC Backing (Hide)'!$B239,Demand!$B$6:$B$265,0),MATCH('SPC Backing (Hide)'!D$3,Demand!$E$5:$S$5,0))</f>
        <v>0</v>
      </c>
      <c r="E239" s="5">
        <f>INDEX(Demand!$E$6:$S$265,MATCH('SPC Backing (Hide)'!$B239,Demand!$B$6:$B$265,0),MATCH('SPC Backing (Hide)'!E$3,Demand!$E$5:$S$5,0))</f>
        <v>0</v>
      </c>
      <c r="F239" s="5">
        <f>INDEX(Demand!$E$6:$S$265,MATCH('SPC Backing (Hide)'!$B239,Demand!$B$6:$B$265,0),MATCH('SPC Backing (Hide)'!F$3,Demand!$E$5:$S$5,0))</f>
        <v>0</v>
      </c>
      <c r="G239" s="5">
        <f>INDEX(Demand!$E$6:$S$265,MATCH('SPC Backing (Hide)'!$B239,Demand!$B$6:$B$265,0),MATCH('SPC Backing (Hide)'!G$3,Demand!$E$5:$S$5,0))</f>
        <v>0</v>
      </c>
      <c r="H239" s="5">
        <f>INDEX(Demand!$E$6:$S$265,MATCH('SPC Backing (Hide)'!$B239,Demand!$B$6:$B$265,0),MATCH('SPC Backing (Hide)'!H$3,Demand!$E$5:$S$5,0))</f>
        <v>0</v>
      </c>
      <c r="I239" s="5">
        <f>INDEX(Demand!$E$6:$S$265,MATCH('SPC Backing (Hide)'!$B239,Demand!$B$6:$B$265,0),MATCH('SPC Backing (Hide)'!I$3,Demand!$E$5:$S$5,0))</f>
        <v>0</v>
      </c>
      <c r="J239" s="5">
        <f>INDEX(Demand!$E$6:$S$265,MATCH('SPC Backing (Hide)'!$B239,Demand!$B$6:$B$265,0),MATCH('SPC Backing (Hide)'!J$3,Demand!$E$5:$S$5,0))</f>
        <v>0</v>
      </c>
      <c r="K239" s="5">
        <f>INDEX(Demand!$E$6:$S$265,MATCH('SPC Backing (Hide)'!$B239,Demand!$B$6:$B$265,0),MATCH('SPC Backing (Hide)'!K$3,Demand!$E$5:$S$5,0))</f>
        <v>0</v>
      </c>
      <c r="L239" s="5">
        <f>INDEX(Demand!$E$6:$S$265,MATCH('SPC Backing (Hide)'!$B239,Demand!$B$6:$B$265,0),MATCH('SPC Backing (Hide)'!L$3,Demand!$E$5:$S$5,0))</f>
        <v>0</v>
      </c>
      <c r="M239" s="5">
        <f>INDEX(Demand!$E$6:$S$265,MATCH('SPC Backing (Hide)'!$B239,Demand!$B$6:$B$265,0),MATCH('SPC Backing (Hide)'!M$3,Demand!$E$5:$S$5,0))</f>
        <v>0</v>
      </c>
      <c r="N239" s="5">
        <f>INDEX(Demand!$E$6:$S$265,MATCH('SPC Backing (Hide)'!$B239,Demand!$B$6:$B$265,0),MATCH('SPC Backing (Hide)'!N$3,Demand!$E$5:$S$5,0))</f>
        <v>0</v>
      </c>
      <c r="O239" s="5">
        <f>INDEX(Demand!$E$6:$S$265,MATCH('SPC Backing (Hide)'!$B239,Demand!$B$6:$B$265,0),MATCH('SPC Backing (Hide)'!O$3,Demand!$E$5:$S$5,0))</f>
        <v>0</v>
      </c>
      <c r="P239" s="5">
        <f>INDEX(Demand!$E$6:$S$265,MATCH('SPC Backing (Hide)'!$B239,Demand!$B$6:$B$265,0),MATCH('SPC Backing (Hide)'!P$3,Demand!$E$5:$S$5,0))</f>
        <v>0</v>
      </c>
      <c r="Q239" s="6">
        <f>INDEX(Demand!$E$6:$S$265,MATCH('SPC Backing (Hide)'!$B239,Demand!$B$6:$B$265,0),MATCH('SPC Backing (Hide)'!Q$3,Demand!$E$5:$S$5,0))</f>
        <v>0</v>
      </c>
      <c r="R239">
        <f>IF(SPC!$B$11="Yes",IF(ROW(A236)&gt;=Demand!$A$5-52,1,0),IF(AND(B239&gt;=SPC!$B$12,B239&lt;SPC!$B$13),1,0))</f>
        <v>1</v>
      </c>
      <c r="S239" cm="1">
        <f t="array" ref="S239">INDEX($C$4:$Q$263,ROW(A236),MATCH($T$2,$C$3:$Q$3,0))</f>
        <v>0</v>
      </c>
      <c r="T239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239" cm="1">
        <f t="array" ref="U239">ABS(INDEX($C$4:$Q$263,ROW(A236),MATCH($T$2,$C$3:$Q$3,0))-INDEX($C$4:$Q$263,ROW(A235),MATCH($T$2,$C$3:$Q$3,0)))</f>
        <v>0</v>
      </c>
      <c r="V239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239">
        <f t="shared" si="45"/>
        <v>40.813595610865789</v>
      </c>
      <c r="X239">
        <f t="shared" si="46"/>
        <v>108.80449618627055</v>
      </c>
      <c r="Y239">
        <f t="shared" si="47"/>
        <v>149.61809179713634</v>
      </c>
      <c r="Z239">
        <f t="shared" si="48"/>
        <v>190.43168740800212</v>
      </c>
      <c r="AA239">
        <f t="shared" si="49"/>
        <v>272.05887862973373</v>
      </c>
      <c r="AB239">
        <f t="shared" si="50"/>
        <v>312.8724742405995</v>
      </c>
      <c r="AC239">
        <f t="shared" si="51"/>
        <v>353.68606985146528</v>
      </c>
      <c r="AD239">
        <f t="shared" si="52"/>
        <v>0</v>
      </c>
      <c r="AE239">
        <f t="shared" si="59"/>
        <v>-2</v>
      </c>
      <c r="AF239">
        <f t="shared" si="53"/>
        <v>0</v>
      </c>
      <c r="AG239">
        <f t="shared" si="54"/>
        <v>0</v>
      </c>
      <c r="AH239" t="e">
        <f t="shared" si="55"/>
        <v>#N/A</v>
      </c>
      <c r="AI239">
        <f t="shared" si="56"/>
        <v>-1</v>
      </c>
      <c r="AJ239">
        <f t="shared" si="57"/>
        <v>0</v>
      </c>
      <c r="AK239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239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239">
        <f t="shared" si="58"/>
        <v>14.699999999999989</v>
      </c>
    </row>
    <row r="240" spans="2:39" x14ac:dyDescent="0.35">
      <c r="B240" s="12" t="str">
        <f>Demand!B242</f>
        <v/>
      </c>
      <c r="C240" s="7">
        <f>INDEX(Demand!$E$6:$S$265,MATCH('SPC Backing (Hide)'!$B240,Demand!$B$6:$B$265,0),MATCH('SPC Backing (Hide)'!C$3,Demand!$E$5:$S$5,0))</f>
        <v>0</v>
      </c>
      <c r="D240" s="5">
        <f>INDEX(Demand!$E$6:$S$265,MATCH('SPC Backing (Hide)'!$B240,Demand!$B$6:$B$265,0),MATCH('SPC Backing (Hide)'!D$3,Demand!$E$5:$S$5,0))</f>
        <v>0</v>
      </c>
      <c r="E240" s="5">
        <f>INDEX(Demand!$E$6:$S$265,MATCH('SPC Backing (Hide)'!$B240,Demand!$B$6:$B$265,0),MATCH('SPC Backing (Hide)'!E$3,Demand!$E$5:$S$5,0))</f>
        <v>0</v>
      </c>
      <c r="F240" s="5">
        <f>INDEX(Demand!$E$6:$S$265,MATCH('SPC Backing (Hide)'!$B240,Demand!$B$6:$B$265,0),MATCH('SPC Backing (Hide)'!F$3,Demand!$E$5:$S$5,0))</f>
        <v>0</v>
      </c>
      <c r="G240" s="5">
        <f>INDEX(Demand!$E$6:$S$265,MATCH('SPC Backing (Hide)'!$B240,Demand!$B$6:$B$265,0),MATCH('SPC Backing (Hide)'!G$3,Demand!$E$5:$S$5,0))</f>
        <v>0</v>
      </c>
      <c r="H240" s="5">
        <f>INDEX(Demand!$E$6:$S$265,MATCH('SPC Backing (Hide)'!$B240,Demand!$B$6:$B$265,0),MATCH('SPC Backing (Hide)'!H$3,Demand!$E$5:$S$5,0))</f>
        <v>0</v>
      </c>
      <c r="I240" s="5">
        <f>INDEX(Demand!$E$6:$S$265,MATCH('SPC Backing (Hide)'!$B240,Demand!$B$6:$B$265,0),MATCH('SPC Backing (Hide)'!I$3,Demand!$E$5:$S$5,0))</f>
        <v>0</v>
      </c>
      <c r="J240" s="5">
        <f>INDEX(Demand!$E$6:$S$265,MATCH('SPC Backing (Hide)'!$B240,Demand!$B$6:$B$265,0),MATCH('SPC Backing (Hide)'!J$3,Demand!$E$5:$S$5,0))</f>
        <v>0</v>
      </c>
      <c r="K240" s="5">
        <f>INDEX(Demand!$E$6:$S$265,MATCH('SPC Backing (Hide)'!$B240,Demand!$B$6:$B$265,0),MATCH('SPC Backing (Hide)'!K$3,Demand!$E$5:$S$5,0))</f>
        <v>0</v>
      </c>
      <c r="L240" s="5">
        <f>INDEX(Demand!$E$6:$S$265,MATCH('SPC Backing (Hide)'!$B240,Demand!$B$6:$B$265,0),MATCH('SPC Backing (Hide)'!L$3,Demand!$E$5:$S$5,0))</f>
        <v>0</v>
      </c>
      <c r="M240" s="5">
        <f>INDEX(Demand!$E$6:$S$265,MATCH('SPC Backing (Hide)'!$B240,Demand!$B$6:$B$265,0),MATCH('SPC Backing (Hide)'!M$3,Demand!$E$5:$S$5,0))</f>
        <v>0</v>
      </c>
      <c r="N240" s="5">
        <f>INDEX(Demand!$E$6:$S$265,MATCH('SPC Backing (Hide)'!$B240,Demand!$B$6:$B$265,0),MATCH('SPC Backing (Hide)'!N$3,Demand!$E$5:$S$5,0))</f>
        <v>0</v>
      </c>
      <c r="O240" s="5">
        <f>INDEX(Demand!$E$6:$S$265,MATCH('SPC Backing (Hide)'!$B240,Demand!$B$6:$B$265,0),MATCH('SPC Backing (Hide)'!O$3,Demand!$E$5:$S$5,0))</f>
        <v>0</v>
      </c>
      <c r="P240" s="5">
        <f>INDEX(Demand!$E$6:$S$265,MATCH('SPC Backing (Hide)'!$B240,Demand!$B$6:$B$265,0),MATCH('SPC Backing (Hide)'!P$3,Demand!$E$5:$S$5,0))</f>
        <v>0</v>
      </c>
      <c r="Q240" s="6">
        <f>INDEX(Demand!$E$6:$S$265,MATCH('SPC Backing (Hide)'!$B240,Demand!$B$6:$B$265,0),MATCH('SPC Backing (Hide)'!Q$3,Demand!$E$5:$S$5,0))</f>
        <v>0</v>
      </c>
      <c r="R240">
        <f>IF(SPC!$B$11="Yes",IF(ROW(A237)&gt;=Demand!$A$5-52,1,0),IF(AND(B240&gt;=SPC!$B$12,B240&lt;SPC!$B$13),1,0))</f>
        <v>1</v>
      </c>
      <c r="S240" cm="1">
        <f t="array" ref="S240">INDEX($C$4:$Q$263,ROW(A237),MATCH($T$2,$C$3:$Q$3,0))</f>
        <v>0</v>
      </c>
      <c r="T240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240" cm="1">
        <f t="array" ref="U240">ABS(INDEX($C$4:$Q$263,ROW(A237),MATCH($T$2,$C$3:$Q$3,0))-INDEX($C$4:$Q$263,ROW(A236),MATCH($T$2,$C$3:$Q$3,0)))</f>
        <v>0</v>
      </c>
      <c r="V240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240">
        <f t="shared" si="45"/>
        <v>40.813595610865789</v>
      </c>
      <c r="X240">
        <f t="shared" si="46"/>
        <v>108.80449618627055</v>
      </c>
      <c r="Y240">
        <f t="shared" si="47"/>
        <v>149.61809179713634</v>
      </c>
      <c r="Z240">
        <f t="shared" si="48"/>
        <v>190.43168740800212</v>
      </c>
      <c r="AA240">
        <f t="shared" si="49"/>
        <v>272.05887862973373</v>
      </c>
      <c r="AB240">
        <f t="shared" si="50"/>
        <v>312.8724742405995</v>
      </c>
      <c r="AC240">
        <f t="shared" si="51"/>
        <v>353.68606985146528</v>
      </c>
      <c r="AD240">
        <f t="shared" si="52"/>
        <v>0</v>
      </c>
      <c r="AE240">
        <f t="shared" si="59"/>
        <v>-2</v>
      </c>
      <c r="AF240">
        <f t="shared" si="53"/>
        <v>0</v>
      </c>
      <c r="AG240">
        <f t="shared" si="54"/>
        <v>0</v>
      </c>
      <c r="AH240" t="e">
        <f t="shared" si="55"/>
        <v>#N/A</v>
      </c>
      <c r="AI240">
        <f t="shared" si="56"/>
        <v>-1</v>
      </c>
      <c r="AJ240">
        <f t="shared" si="57"/>
        <v>0</v>
      </c>
      <c r="AK240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240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240">
        <f t="shared" si="58"/>
        <v>14.699999999999989</v>
      </c>
    </row>
    <row r="241" spans="2:39" x14ac:dyDescent="0.35">
      <c r="B241" s="12" t="str">
        <f>Demand!B243</f>
        <v/>
      </c>
      <c r="C241" s="7">
        <f>INDEX(Demand!$E$6:$S$265,MATCH('SPC Backing (Hide)'!$B241,Demand!$B$6:$B$265,0),MATCH('SPC Backing (Hide)'!C$3,Demand!$E$5:$S$5,0))</f>
        <v>0</v>
      </c>
      <c r="D241" s="5">
        <f>INDEX(Demand!$E$6:$S$265,MATCH('SPC Backing (Hide)'!$B241,Demand!$B$6:$B$265,0),MATCH('SPC Backing (Hide)'!D$3,Demand!$E$5:$S$5,0))</f>
        <v>0</v>
      </c>
      <c r="E241" s="5">
        <f>INDEX(Demand!$E$6:$S$265,MATCH('SPC Backing (Hide)'!$B241,Demand!$B$6:$B$265,0),MATCH('SPC Backing (Hide)'!E$3,Demand!$E$5:$S$5,0))</f>
        <v>0</v>
      </c>
      <c r="F241" s="5">
        <f>INDEX(Demand!$E$6:$S$265,MATCH('SPC Backing (Hide)'!$B241,Demand!$B$6:$B$265,0),MATCH('SPC Backing (Hide)'!F$3,Demand!$E$5:$S$5,0))</f>
        <v>0</v>
      </c>
      <c r="G241" s="5">
        <f>INDEX(Demand!$E$6:$S$265,MATCH('SPC Backing (Hide)'!$B241,Demand!$B$6:$B$265,0),MATCH('SPC Backing (Hide)'!G$3,Demand!$E$5:$S$5,0))</f>
        <v>0</v>
      </c>
      <c r="H241" s="5">
        <f>INDEX(Demand!$E$6:$S$265,MATCH('SPC Backing (Hide)'!$B241,Demand!$B$6:$B$265,0),MATCH('SPC Backing (Hide)'!H$3,Demand!$E$5:$S$5,0))</f>
        <v>0</v>
      </c>
      <c r="I241" s="5">
        <f>INDEX(Demand!$E$6:$S$265,MATCH('SPC Backing (Hide)'!$B241,Demand!$B$6:$B$265,0),MATCH('SPC Backing (Hide)'!I$3,Demand!$E$5:$S$5,0))</f>
        <v>0</v>
      </c>
      <c r="J241" s="5">
        <f>INDEX(Demand!$E$6:$S$265,MATCH('SPC Backing (Hide)'!$B241,Demand!$B$6:$B$265,0),MATCH('SPC Backing (Hide)'!J$3,Demand!$E$5:$S$5,0))</f>
        <v>0</v>
      </c>
      <c r="K241" s="5">
        <f>INDEX(Demand!$E$6:$S$265,MATCH('SPC Backing (Hide)'!$B241,Demand!$B$6:$B$265,0),MATCH('SPC Backing (Hide)'!K$3,Demand!$E$5:$S$5,0))</f>
        <v>0</v>
      </c>
      <c r="L241" s="5">
        <f>INDEX(Demand!$E$6:$S$265,MATCH('SPC Backing (Hide)'!$B241,Demand!$B$6:$B$265,0),MATCH('SPC Backing (Hide)'!L$3,Demand!$E$5:$S$5,0))</f>
        <v>0</v>
      </c>
      <c r="M241" s="5">
        <f>INDEX(Demand!$E$6:$S$265,MATCH('SPC Backing (Hide)'!$B241,Demand!$B$6:$B$265,0),MATCH('SPC Backing (Hide)'!M$3,Demand!$E$5:$S$5,0))</f>
        <v>0</v>
      </c>
      <c r="N241" s="5">
        <f>INDEX(Demand!$E$6:$S$265,MATCH('SPC Backing (Hide)'!$B241,Demand!$B$6:$B$265,0),MATCH('SPC Backing (Hide)'!N$3,Demand!$E$5:$S$5,0))</f>
        <v>0</v>
      </c>
      <c r="O241" s="5">
        <f>INDEX(Demand!$E$6:$S$265,MATCH('SPC Backing (Hide)'!$B241,Demand!$B$6:$B$265,0),MATCH('SPC Backing (Hide)'!O$3,Demand!$E$5:$S$5,0))</f>
        <v>0</v>
      </c>
      <c r="P241" s="5">
        <f>INDEX(Demand!$E$6:$S$265,MATCH('SPC Backing (Hide)'!$B241,Demand!$B$6:$B$265,0),MATCH('SPC Backing (Hide)'!P$3,Demand!$E$5:$S$5,0))</f>
        <v>0</v>
      </c>
      <c r="Q241" s="6">
        <f>INDEX(Demand!$E$6:$S$265,MATCH('SPC Backing (Hide)'!$B241,Demand!$B$6:$B$265,0),MATCH('SPC Backing (Hide)'!Q$3,Demand!$E$5:$S$5,0))</f>
        <v>0</v>
      </c>
      <c r="R241">
        <f>IF(SPC!$B$11="Yes",IF(ROW(A238)&gt;=Demand!$A$5-52,1,0),IF(AND(B241&gt;=SPC!$B$12,B241&lt;SPC!$B$13),1,0))</f>
        <v>1</v>
      </c>
      <c r="S241" cm="1">
        <f t="array" ref="S241">INDEX($C$4:$Q$263,ROW(A238),MATCH($T$2,$C$3:$Q$3,0))</f>
        <v>0</v>
      </c>
      <c r="T241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241" cm="1">
        <f t="array" ref="U241">ABS(INDEX($C$4:$Q$263,ROW(A238),MATCH($T$2,$C$3:$Q$3,0))-INDEX($C$4:$Q$263,ROW(A237),MATCH($T$2,$C$3:$Q$3,0)))</f>
        <v>0</v>
      </c>
      <c r="V241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241">
        <f t="shared" si="45"/>
        <v>40.813595610865789</v>
      </c>
      <c r="X241">
        <f t="shared" si="46"/>
        <v>108.80449618627055</v>
      </c>
      <c r="Y241">
        <f t="shared" si="47"/>
        <v>149.61809179713634</v>
      </c>
      <c r="Z241">
        <f t="shared" si="48"/>
        <v>190.43168740800212</v>
      </c>
      <c r="AA241">
        <f t="shared" si="49"/>
        <v>272.05887862973373</v>
      </c>
      <c r="AB241">
        <f t="shared" si="50"/>
        <v>312.8724742405995</v>
      </c>
      <c r="AC241">
        <f t="shared" si="51"/>
        <v>353.68606985146528</v>
      </c>
      <c r="AD241">
        <f t="shared" si="52"/>
        <v>0</v>
      </c>
      <c r="AE241">
        <f t="shared" si="59"/>
        <v>-2</v>
      </c>
      <c r="AF241">
        <f t="shared" si="53"/>
        <v>0</v>
      </c>
      <c r="AG241">
        <f t="shared" si="54"/>
        <v>0</v>
      </c>
      <c r="AH241" t="e">
        <f t="shared" si="55"/>
        <v>#N/A</v>
      </c>
      <c r="AI241">
        <f t="shared" si="56"/>
        <v>-1</v>
      </c>
      <c r="AJ241">
        <f t="shared" si="57"/>
        <v>0</v>
      </c>
      <c r="AK241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241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241">
        <f t="shared" si="58"/>
        <v>14.699999999999989</v>
      </c>
    </row>
    <row r="242" spans="2:39" x14ac:dyDescent="0.35">
      <c r="B242" s="12" t="str">
        <f>Demand!B244</f>
        <v/>
      </c>
      <c r="C242" s="7">
        <f>INDEX(Demand!$E$6:$S$265,MATCH('SPC Backing (Hide)'!$B242,Demand!$B$6:$B$265,0),MATCH('SPC Backing (Hide)'!C$3,Demand!$E$5:$S$5,0))</f>
        <v>0</v>
      </c>
      <c r="D242" s="5">
        <f>INDEX(Demand!$E$6:$S$265,MATCH('SPC Backing (Hide)'!$B242,Demand!$B$6:$B$265,0),MATCH('SPC Backing (Hide)'!D$3,Demand!$E$5:$S$5,0))</f>
        <v>0</v>
      </c>
      <c r="E242" s="5">
        <f>INDEX(Demand!$E$6:$S$265,MATCH('SPC Backing (Hide)'!$B242,Demand!$B$6:$B$265,0),MATCH('SPC Backing (Hide)'!E$3,Demand!$E$5:$S$5,0))</f>
        <v>0</v>
      </c>
      <c r="F242" s="5">
        <f>INDEX(Demand!$E$6:$S$265,MATCH('SPC Backing (Hide)'!$B242,Demand!$B$6:$B$265,0),MATCH('SPC Backing (Hide)'!F$3,Demand!$E$5:$S$5,0))</f>
        <v>0</v>
      </c>
      <c r="G242" s="5">
        <f>INDEX(Demand!$E$6:$S$265,MATCH('SPC Backing (Hide)'!$B242,Demand!$B$6:$B$265,0),MATCH('SPC Backing (Hide)'!G$3,Demand!$E$5:$S$5,0))</f>
        <v>0</v>
      </c>
      <c r="H242" s="5">
        <f>INDEX(Demand!$E$6:$S$265,MATCH('SPC Backing (Hide)'!$B242,Demand!$B$6:$B$265,0),MATCH('SPC Backing (Hide)'!H$3,Demand!$E$5:$S$5,0))</f>
        <v>0</v>
      </c>
      <c r="I242" s="5">
        <f>INDEX(Demand!$E$6:$S$265,MATCH('SPC Backing (Hide)'!$B242,Demand!$B$6:$B$265,0),MATCH('SPC Backing (Hide)'!I$3,Demand!$E$5:$S$5,0))</f>
        <v>0</v>
      </c>
      <c r="J242" s="5">
        <f>INDEX(Demand!$E$6:$S$265,MATCH('SPC Backing (Hide)'!$B242,Demand!$B$6:$B$265,0),MATCH('SPC Backing (Hide)'!J$3,Demand!$E$5:$S$5,0))</f>
        <v>0</v>
      </c>
      <c r="K242" s="5">
        <f>INDEX(Demand!$E$6:$S$265,MATCH('SPC Backing (Hide)'!$B242,Demand!$B$6:$B$265,0),MATCH('SPC Backing (Hide)'!K$3,Demand!$E$5:$S$5,0))</f>
        <v>0</v>
      </c>
      <c r="L242" s="5">
        <f>INDEX(Demand!$E$6:$S$265,MATCH('SPC Backing (Hide)'!$B242,Demand!$B$6:$B$265,0),MATCH('SPC Backing (Hide)'!L$3,Demand!$E$5:$S$5,0))</f>
        <v>0</v>
      </c>
      <c r="M242" s="5">
        <f>INDEX(Demand!$E$6:$S$265,MATCH('SPC Backing (Hide)'!$B242,Demand!$B$6:$B$265,0),MATCH('SPC Backing (Hide)'!M$3,Demand!$E$5:$S$5,0))</f>
        <v>0</v>
      </c>
      <c r="N242" s="5">
        <f>INDEX(Demand!$E$6:$S$265,MATCH('SPC Backing (Hide)'!$B242,Demand!$B$6:$B$265,0),MATCH('SPC Backing (Hide)'!N$3,Demand!$E$5:$S$5,0))</f>
        <v>0</v>
      </c>
      <c r="O242" s="5">
        <f>INDEX(Demand!$E$6:$S$265,MATCH('SPC Backing (Hide)'!$B242,Demand!$B$6:$B$265,0),MATCH('SPC Backing (Hide)'!O$3,Demand!$E$5:$S$5,0))</f>
        <v>0</v>
      </c>
      <c r="P242" s="5">
        <f>INDEX(Demand!$E$6:$S$265,MATCH('SPC Backing (Hide)'!$B242,Demand!$B$6:$B$265,0),MATCH('SPC Backing (Hide)'!P$3,Demand!$E$5:$S$5,0))</f>
        <v>0</v>
      </c>
      <c r="Q242" s="6">
        <f>INDEX(Demand!$E$6:$S$265,MATCH('SPC Backing (Hide)'!$B242,Demand!$B$6:$B$265,0),MATCH('SPC Backing (Hide)'!Q$3,Demand!$E$5:$S$5,0))</f>
        <v>0</v>
      </c>
      <c r="R242">
        <f>IF(SPC!$B$11="Yes",IF(ROW(A239)&gt;=Demand!$A$5-52,1,0),IF(AND(B242&gt;=SPC!$B$12,B242&lt;SPC!$B$13),1,0))</f>
        <v>1</v>
      </c>
      <c r="S242" cm="1">
        <f t="array" ref="S242">INDEX($C$4:$Q$263,ROW(A239),MATCH($T$2,$C$3:$Q$3,0))</f>
        <v>0</v>
      </c>
      <c r="T242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242" cm="1">
        <f t="array" ref="U242">ABS(INDEX($C$4:$Q$263,ROW(A239),MATCH($T$2,$C$3:$Q$3,0))-INDEX($C$4:$Q$263,ROW(A238),MATCH($T$2,$C$3:$Q$3,0)))</f>
        <v>0</v>
      </c>
      <c r="V242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242">
        <f t="shared" si="45"/>
        <v>40.813595610865789</v>
      </c>
      <c r="X242">
        <f t="shared" si="46"/>
        <v>108.80449618627055</v>
      </c>
      <c r="Y242">
        <f t="shared" si="47"/>
        <v>149.61809179713634</v>
      </c>
      <c r="Z242">
        <f t="shared" si="48"/>
        <v>190.43168740800212</v>
      </c>
      <c r="AA242">
        <f t="shared" si="49"/>
        <v>272.05887862973373</v>
      </c>
      <c r="AB242">
        <f t="shared" si="50"/>
        <v>312.8724742405995</v>
      </c>
      <c r="AC242">
        <f t="shared" si="51"/>
        <v>353.68606985146528</v>
      </c>
      <c r="AD242">
        <f t="shared" si="52"/>
        <v>0</v>
      </c>
      <c r="AE242">
        <f t="shared" si="59"/>
        <v>-2</v>
      </c>
      <c r="AF242">
        <f t="shared" si="53"/>
        <v>0</v>
      </c>
      <c r="AG242">
        <f t="shared" si="54"/>
        <v>0</v>
      </c>
      <c r="AH242" t="e">
        <f t="shared" si="55"/>
        <v>#N/A</v>
      </c>
      <c r="AI242">
        <f t="shared" si="56"/>
        <v>-1</v>
      </c>
      <c r="AJ242">
        <f t="shared" si="57"/>
        <v>0</v>
      </c>
      <c r="AK242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242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242">
        <f t="shared" si="58"/>
        <v>14.699999999999989</v>
      </c>
    </row>
    <row r="243" spans="2:39" x14ac:dyDescent="0.35">
      <c r="B243" s="12" t="str">
        <f>Demand!B245</f>
        <v/>
      </c>
      <c r="C243" s="7">
        <f>INDEX(Demand!$E$6:$S$265,MATCH('SPC Backing (Hide)'!$B243,Demand!$B$6:$B$265,0),MATCH('SPC Backing (Hide)'!C$3,Demand!$E$5:$S$5,0))</f>
        <v>0</v>
      </c>
      <c r="D243" s="5">
        <f>INDEX(Demand!$E$6:$S$265,MATCH('SPC Backing (Hide)'!$B243,Demand!$B$6:$B$265,0),MATCH('SPC Backing (Hide)'!D$3,Demand!$E$5:$S$5,0))</f>
        <v>0</v>
      </c>
      <c r="E243" s="5">
        <f>INDEX(Demand!$E$6:$S$265,MATCH('SPC Backing (Hide)'!$B243,Demand!$B$6:$B$265,0),MATCH('SPC Backing (Hide)'!E$3,Demand!$E$5:$S$5,0))</f>
        <v>0</v>
      </c>
      <c r="F243" s="5">
        <f>INDEX(Demand!$E$6:$S$265,MATCH('SPC Backing (Hide)'!$B243,Demand!$B$6:$B$265,0),MATCH('SPC Backing (Hide)'!F$3,Demand!$E$5:$S$5,0))</f>
        <v>0</v>
      </c>
      <c r="G243" s="5">
        <f>INDEX(Demand!$E$6:$S$265,MATCH('SPC Backing (Hide)'!$B243,Demand!$B$6:$B$265,0),MATCH('SPC Backing (Hide)'!G$3,Demand!$E$5:$S$5,0))</f>
        <v>0</v>
      </c>
      <c r="H243" s="5">
        <f>INDEX(Demand!$E$6:$S$265,MATCH('SPC Backing (Hide)'!$B243,Demand!$B$6:$B$265,0),MATCH('SPC Backing (Hide)'!H$3,Demand!$E$5:$S$5,0))</f>
        <v>0</v>
      </c>
      <c r="I243" s="5">
        <f>INDEX(Demand!$E$6:$S$265,MATCH('SPC Backing (Hide)'!$B243,Demand!$B$6:$B$265,0),MATCH('SPC Backing (Hide)'!I$3,Demand!$E$5:$S$5,0))</f>
        <v>0</v>
      </c>
      <c r="J243" s="5">
        <f>INDEX(Demand!$E$6:$S$265,MATCH('SPC Backing (Hide)'!$B243,Demand!$B$6:$B$265,0),MATCH('SPC Backing (Hide)'!J$3,Demand!$E$5:$S$5,0))</f>
        <v>0</v>
      </c>
      <c r="K243" s="5">
        <f>INDEX(Demand!$E$6:$S$265,MATCH('SPC Backing (Hide)'!$B243,Demand!$B$6:$B$265,0),MATCH('SPC Backing (Hide)'!K$3,Demand!$E$5:$S$5,0))</f>
        <v>0</v>
      </c>
      <c r="L243" s="5">
        <f>INDEX(Demand!$E$6:$S$265,MATCH('SPC Backing (Hide)'!$B243,Demand!$B$6:$B$265,0),MATCH('SPC Backing (Hide)'!L$3,Demand!$E$5:$S$5,0))</f>
        <v>0</v>
      </c>
      <c r="M243" s="5">
        <f>INDEX(Demand!$E$6:$S$265,MATCH('SPC Backing (Hide)'!$B243,Demand!$B$6:$B$265,0),MATCH('SPC Backing (Hide)'!M$3,Demand!$E$5:$S$5,0))</f>
        <v>0</v>
      </c>
      <c r="N243" s="5">
        <f>INDEX(Demand!$E$6:$S$265,MATCH('SPC Backing (Hide)'!$B243,Demand!$B$6:$B$265,0),MATCH('SPC Backing (Hide)'!N$3,Demand!$E$5:$S$5,0))</f>
        <v>0</v>
      </c>
      <c r="O243" s="5">
        <f>INDEX(Demand!$E$6:$S$265,MATCH('SPC Backing (Hide)'!$B243,Demand!$B$6:$B$265,0),MATCH('SPC Backing (Hide)'!O$3,Demand!$E$5:$S$5,0))</f>
        <v>0</v>
      </c>
      <c r="P243" s="5">
        <f>INDEX(Demand!$E$6:$S$265,MATCH('SPC Backing (Hide)'!$B243,Demand!$B$6:$B$265,0),MATCH('SPC Backing (Hide)'!P$3,Demand!$E$5:$S$5,0))</f>
        <v>0</v>
      </c>
      <c r="Q243" s="6">
        <f>INDEX(Demand!$E$6:$S$265,MATCH('SPC Backing (Hide)'!$B243,Demand!$B$6:$B$265,0),MATCH('SPC Backing (Hide)'!Q$3,Demand!$E$5:$S$5,0))</f>
        <v>0</v>
      </c>
      <c r="R243">
        <f>IF(SPC!$B$11="Yes",IF(ROW(A240)&gt;=Demand!$A$5-52,1,0),IF(AND(B243&gt;=SPC!$B$12,B243&lt;SPC!$B$13),1,0))</f>
        <v>1</v>
      </c>
      <c r="S243" cm="1">
        <f t="array" ref="S243">INDEX($C$4:$Q$263,ROW(A240),MATCH($T$2,$C$3:$Q$3,0))</f>
        <v>0</v>
      </c>
      <c r="T243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243" cm="1">
        <f t="array" ref="U243">ABS(INDEX($C$4:$Q$263,ROW(A240),MATCH($T$2,$C$3:$Q$3,0))-INDEX($C$4:$Q$263,ROW(A239),MATCH($T$2,$C$3:$Q$3,0)))</f>
        <v>0</v>
      </c>
      <c r="V243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243">
        <f t="shared" si="45"/>
        <v>40.813595610865789</v>
      </c>
      <c r="X243">
        <f t="shared" si="46"/>
        <v>108.80449618627055</v>
      </c>
      <c r="Y243">
        <f t="shared" si="47"/>
        <v>149.61809179713634</v>
      </c>
      <c r="Z243">
        <f t="shared" si="48"/>
        <v>190.43168740800212</v>
      </c>
      <c r="AA243">
        <f t="shared" si="49"/>
        <v>272.05887862973373</v>
      </c>
      <c r="AB243">
        <f t="shared" si="50"/>
        <v>312.8724742405995</v>
      </c>
      <c r="AC243">
        <f t="shared" si="51"/>
        <v>353.68606985146528</v>
      </c>
      <c r="AD243">
        <f t="shared" si="52"/>
        <v>0</v>
      </c>
      <c r="AE243">
        <f t="shared" si="59"/>
        <v>-2</v>
      </c>
      <c r="AF243">
        <f t="shared" si="53"/>
        <v>0</v>
      </c>
      <c r="AG243">
        <f t="shared" si="54"/>
        <v>0</v>
      </c>
      <c r="AH243" t="e">
        <f t="shared" si="55"/>
        <v>#N/A</v>
      </c>
      <c r="AI243">
        <f t="shared" si="56"/>
        <v>-1</v>
      </c>
      <c r="AJ243">
        <f t="shared" si="57"/>
        <v>0</v>
      </c>
      <c r="AK243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243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243">
        <f t="shared" si="58"/>
        <v>14.699999999999989</v>
      </c>
    </row>
    <row r="244" spans="2:39" x14ac:dyDescent="0.35">
      <c r="B244" s="12" t="str">
        <f>Demand!B246</f>
        <v/>
      </c>
      <c r="C244" s="7">
        <f>INDEX(Demand!$E$6:$S$265,MATCH('SPC Backing (Hide)'!$B244,Demand!$B$6:$B$265,0),MATCH('SPC Backing (Hide)'!C$3,Demand!$E$5:$S$5,0))</f>
        <v>0</v>
      </c>
      <c r="D244" s="5">
        <f>INDEX(Demand!$E$6:$S$265,MATCH('SPC Backing (Hide)'!$B244,Demand!$B$6:$B$265,0),MATCH('SPC Backing (Hide)'!D$3,Demand!$E$5:$S$5,0))</f>
        <v>0</v>
      </c>
      <c r="E244" s="5">
        <f>INDEX(Demand!$E$6:$S$265,MATCH('SPC Backing (Hide)'!$B244,Demand!$B$6:$B$265,0),MATCH('SPC Backing (Hide)'!E$3,Demand!$E$5:$S$5,0))</f>
        <v>0</v>
      </c>
      <c r="F244" s="5">
        <f>INDEX(Demand!$E$6:$S$265,MATCH('SPC Backing (Hide)'!$B244,Demand!$B$6:$B$265,0),MATCH('SPC Backing (Hide)'!F$3,Demand!$E$5:$S$5,0))</f>
        <v>0</v>
      </c>
      <c r="G244" s="5">
        <f>INDEX(Demand!$E$6:$S$265,MATCH('SPC Backing (Hide)'!$B244,Demand!$B$6:$B$265,0),MATCH('SPC Backing (Hide)'!G$3,Demand!$E$5:$S$5,0))</f>
        <v>0</v>
      </c>
      <c r="H244" s="5">
        <f>INDEX(Demand!$E$6:$S$265,MATCH('SPC Backing (Hide)'!$B244,Demand!$B$6:$B$265,0),MATCH('SPC Backing (Hide)'!H$3,Demand!$E$5:$S$5,0))</f>
        <v>0</v>
      </c>
      <c r="I244" s="5">
        <f>INDEX(Demand!$E$6:$S$265,MATCH('SPC Backing (Hide)'!$B244,Demand!$B$6:$B$265,0),MATCH('SPC Backing (Hide)'!I$3,Demand!$E$5:$S$5,0))</f>
        <v>0</v>
      </c>
      <c r="J244" s="5">
        <f>INDEX(Demand!$E$6:$S$265,MATCH('SPC Backing (Hide)'!$B244,Demand!$B$6:$B$265,0),MATCH('SPC Backing (Hide)'!J$3,Demand!$E$5:$S$5,0))</f>
        <v>0</v>
      </c>
      <c r="K244" s="5">
        <f>INDEX(Demand!$E$6:$S$265,MATCH('SPC Backing (Hide)'!$B244,Demand!$B$6:$B$265,0),MATCH('SPC Backing (Hide)'!K$3,Demand!$E$5:$S$5,0))</f>
        <v>0</v>
      </c>
      <c r="L244" s="5">
        <f>INDEX(Demand!$E$6:$S$265,MATCH('SPC Backing (Hide)'!$B244,Demand!$B$6:$B$265,0),MATCH('SPC Backing (Hide)'!L$3,Demand!$E$5:$S$5,0))</f>
        <v>0</v>
      </c>
      <c r="M244" s="5">
        <f>INDEX(Demand!$E$6:$S$265,MATCH('SPC Backing (Hide)'!$B244,Demand!$B$6:$B$265,0),MATCH('SPC Backing (Hide)'!M$3,Demand!$E$5:$S$5,0))</f>
        <v>0</v>
      </c>
      <c r="N244" s="5">
        <f>INDEX(Demand!$E$6:$S$265,MATCH('SPC Backing (Hide)'!$B244,Demand!$B$6:$B$265,0),MATCH('SPC Backing (Hide)'!N$3,Demand!$E$5:$S$5,0))</f>
        <v>0</v>
      </c>
      <c r="O244" s="5">
        <f>INDEX(Demand!$E$6:$S$265,MATCH('SPC Backing (Hide)'!$B244,Demand!$B$6:$B$265,0),MATCH('SPC Backing (Hide)'!O$3,Demand!$E$5:$S$5,0))</f>
        <v>0</v>
      </c>
      <c r="P244" s="5">
        <f>INDEX(Demand!$E$6:$S$265,MATCH('SPC Backing (Hide)'!$B244,Demand!$B$6:$B$265,0),MATCH('SPC Backing (Hide)'!P$3,Demand!$E$5:$S$5,0))</f>
        <v>0</v>
      </c>
      <c r="Q244" s="6">
        <f>INDEX(Demand!$E$6:$S$265,MATCH('SPC Backing (Hide)'!$B244,Demand!$B$6:$B$265,0),MATCH('SPC Backing (Hide)'!Q$3,Demand!$E$5:$S$5,0))</f>
        <v>0</v>
      </c>
      <c r="R244">
        <f>IF(SPC!$B$11="Yes",IF(ROW(A241)&gt;=Demand!$A$5-52,1,0),IF(AND(B244&gt;=SPC!$B$12,B244&lt;SPC!$B$13),1,0))</f>
        <v>1</v>
      </c>
      <c r="S244" cm="1">
        <f t="array" ref="S244">INDEX($C$4:$Q$263,ROW(A241),MATCH($T$2,$C$3:$Q$3,0))</f>
        <v>0</v>
      </c>
      <c r="T244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244" cm="1">
        <f t="array" ref="U244">ABS(INDEX($C$4:$Q$263,ROW(A241),MATCH($T$2,$C$3:$Q$3,0))-INDEX($C$4:$Q$263,ROW(A240),MATCH($T$2,$C$3:$Q$3,0)))</f>
        <v>0</v>
      </c>
      <c r="V244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244">
        <f t="shared" si="45"/>
        <v>40.813595610865789</v>
      </c>
      <c r="X244">
        <f t="shared" si="46"/>
        <v>108.80449618627055</v>
      </c>
      <c r="Y244">
        <f t="shared" si="47"/>
        <v>149.61809179713634</v>
      </c>
      <c r="Z244">
        <f t="shared" si="48"/>
        <v>190.43168740800212</v>
      </c>
      <c r="AA244">
        <f t="shared" si="49"/>
        <v>272.05887862973373</v>
      </c>
      <c r="AB244">
        <f t="shared" si="50"/>
        <v>312.8724742405995</v>
      </c>
      <c r="AC244">
        <f t="shared" si="51"/>
        <v>353.68606985146528</v>
      </c>
      <c r="AD244">
        <f t="shared" si="52"/>
        <v>0</v>
      </c>
      <c r="AE244">
        <f t="shared" si="59"/>
        <v>-2</v>
      </c>
      <c r="AF244">
        <f t="shared" si="53"/>
        <v>0</v>
      </c>
      <c r="AG244">
        <f t="shared" si="54"/>
        <v>0</v>
      </c>
      <c r="AH244" t="e">
        <f t="shared" si="55"/>
        <v>#N/A</v>
      </c>
      <c r="AI244">
        <f t="shared" si="56"/>
        <v>-1</v>
      </c>
      <c r="AJ244">
        <f t="shared" si="57"/>
        <v>0</v>
      </c>
      <c r="AK244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244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244">
        <f t="shared" si="58"/>
        <v>14.699999999999989</v>
      </c>
    </row>
    <row r="245" spans="2:39" x14ac:dyDescent="0.35">
      <c r="B245" s="12" t="str">
        <f>Demand!B247</f>
        <v/>
      </c>
      <c r="C245" s="7">
        <f>INDEX(Demand!$E$6:$S$265,MATCH('SPC Backing (Hide)'!$B245,Demand!$B$6:$B$265,0),MATCH('SPC Backing (Hide)'!C$3,Demand!$E$5:$S$5,0))</f>
        <v>0</v>
      </c>
      <c r="D245" s="5">
        <f>INDEX(Demand!$E$6:$S$265,MATCH('SPC Backing (Hide)'!$B245,Demand!$B$6:$B$265,0),MATCH('SPC Backing (Hide)'!D$3,Demand!$E$5:$S$5,0))</f>
        <v>0</v>
      </c>
      <c r="E245" s="5">
        <f>INDEX(Demand!$E$6:$S$265,MATCH('SPC Backing (Hide)'!$B245,Demand!$B$6:$B$265,0),MATCH('SPC Backing (Hide)'!E$3,Demand!$E$5:$S$5,0))</f>
        <v>0</v>
      </c>
      <c r="F245" s="5">
        <f>INDEX(Demand!$E$6:$S$265,MATCH('SPC Backing (Hide)'!$B245,Demand!$B$6:$B$265,0),MATCH('SPC Backing (Hide)'!F$3,Demand!$E$5:$S$5,0))</f>
        <v>0</v>
      </c>
      <c r="G245" s="5">
        <f>INDEX(Demand!$E$6:$S$265,MATCH('SPC Backing (Hide)'!$B245,Demand!$B$6:$B$265,0),MATCH('SPC Backing (Hide)'!G$3,Demand!$E$5:$S$5,0))</f>
        <v>0</v>
      </c>
      <c r="H245" s="5">
        <f>INDEX(Demand!$E$6:$S$265,MATCH('SPC Backing (Hide)'!$B245,Demand!$B$6:$B$265,0),MATCH('SPC Backing (Hide)'!H$3,Demand!$E$5:$S$5,0))</f>
        <v>0</v>
      </c>
      <c r="I245" s="5">
        <f>INDEX(Demand!$E$6:$S$265,MATCH('SPC Backing (Hide)'!$B245,Demand!$B$6:$B$265,0),MATCH('SPC Backing (Hide)'!I$3,Demand!$E$5:$S$5,0))</f>
        <v>0</v>
      </c>
      <c r="J245" s="5">
        <f>INDEX(Demand!$E$6:$S$265,MATCH('SPC Backing (Hide)'!$B245,Demand!$B$6:$B$265,0),MATCH('SPC Backing (Hide)'!J$3,Demand!$E$5:$S$5,0))</f>
        <v>0</v>
      </c>
      <c r="K245" s="5">
        <f>INDEX(Demand!$E$6:$S$265,MATCH('SPC Backing (Hide)'!$B245,Demand!$B$6:$B$265,0),MATCH('SPC Backing (Hide)'!K$3,Demand!$E$5:$S$5,0))</f>
        <v>0</v>
      </c>
      <c r="L245" s="5">
        <f>INDEX(Demand!$E$6:$S$265,MATCH('SPC Backing (Hide)'!$B245,Demand!$B$6:$B$265,0),MATCH('SPC Backing (Hide)'!L$3,Demand!$E$5:$S$5,0))</f>
        <v>0</v>
      </c>
      <c r="M245" s="5">
        <f>INDEX(Demand!$E$6:$S$265,MATCH('SPC Backing (Hide)'!$B245,Demand!$B$6:$B$265,0),MATCH('SPC Backing (Hide)'!M$3,Demand!$E$5:$S$5,0))</f>
        <v>0</v>
      </c>
      <c r="N245" s="5">
        <f>INDEX(Demand!$E$6:$S$265,MATCH('SPC Backing (Hide)'!$B245,Demand!$B$6:$B$265,0),MATCH('SPC Backing (Hide)'!N$3,Demand!$E$5:$S$5,0))</f>
        <v>0</v>
      </c>
      <c r="O245" s="5">
        <f>INDEX(Demand!$E$6:$S$265,MATCH('SPC Backing (Hide)'!$B245,Demand!$B$6:$B$265,0),MATCH('SPC Backing (Hide)'!O$3,Demand!$E$5:$S$5,0))</f>
        <v>0</v>
      </c>
      <c r="P245" s="5">
        <f>INDEX(Demand!$E$6:$S$265,MATCH('SPC Backing (Hide)'!$B245,Demand!$B$6:$B$265,0),MATCH('SPC Backing (Hide)'!P$3,Demand!$E$5:$S$5,0))</f>
        <v>0</v>
      </c>
      <c r="Q245" s="6">
        <f>INDEX(Demand!$E$6:$S$265,MATCH('SPC Backing (Hide)'!$B245,Demand!$B$6:$B$265,0),MATCH('SPC Backing (Hide)'!Q$3,Demand!$E$5:$S$5,0))</f>
        <v>0</v>
      </c>
      <c r="R245">
        <f>IF(SPC!$B$11="Yes",IF(ROW(A242)&gt;=Demand!$A$5-52,1,0),IF(AND(B245&gt;=SPC!$B$12,B245&lt;SPC!$B$13),1,0))</f>
        <v>1</v>
      </c>
      <c r="S245" cm="1">
        <f t="array" ref="S245">INDEX($C$4:$Q$263,ROW(A242),MATCH($T$2,$C$3:$Q$3,0))</f>
        <v>0</v>
      </c>
      <c r="T245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245" cm="1">
        <f t="array" ref="U245">ABS(INDEX($C$4:$Q$263,ROW(A242),MATCH($T$2,$C$3:$Q$3,0))-INDEX($C$4:$Q$263,ROW(A241),MATCH($T$2,$C$3:$Q$3,0)))</f>
        <v>0</v>
      </c>
      <c r="V245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245">
        <f t="shared" si="45"/>
        <v>40.813595610865789</v>
      </c>
      <c r="X245">
        <f t="shared" si="46"/>
        <v>108.80449618627055</v>
      </c>
      <c r="Y245">
        <f t="shared" si="47"/>
        <v>149.61809179713634</v>
      </c>
      <c r="Z245">
        <f t="shared" si="48"/>
        <v>190.43168740800212</v>
      </c>
      <c r="AA245">
        <f t="shared" si="49"/>
        <v>272.05887862973373</v>
      </c>
      <c r="AB245">
        <f t="shared" si="50"/>
        <v>312.8724742405995</v>
      </c>
      <c r="AC245">
        <f t="shared" si="51"/>
        <v>353.68606985146528</v>
      </c>
      <c r="AD245">
        <f t="shared" si="52"/>
        <v>0</v>
      </c>
      <c r="AE245">
        <f t="shared" si="59"/>
        <v>-2</v>
      </c>
      <c r="AF245">
        <f t="shared" si="53"/>
        <v>0</v>
      </c>
      <c r="AG245">
        <f t="shared" si="54"/>
        <v>0</v>
      </c>
      <c r="AH245" t="e">
        <f t="shared" si="55"/>
        <v>#N/A</v>
      </c>
      <c r="AI245">
        <f t="shared" si="56"/>
        <v>-1</v>
      </c>
      <c r="AJ245">
        <f t="shared" si="57"/>
        <v>0</v>
      </c>
      <c r="AK245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245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245">
        <f t="shared" si="58"/>
        <v>14.699999999999989</v>
      </c>
    </row>
    <row r="246" spans="2:39" x14ac:dyDescent="0.35">
      <c r="B246" s="12" t="str">
        <f>Demand!B248</f>
        <v/>
      </c>
      <c r="C246" s="7">
        <f>INDEX(Demand!$E$6:$S$265,MATCH('SPC Backing (Hide)'!$B246,Demand!$B$6:$B$265,0),MATCH('SPC Backing (Hide)'!C$3,Demand!$E$5:$S$5,0))</f>
        <v>0</v>
      </c>
      <c r="D246" s="5">
        <f>INDEX(Demand!$E$6:$S$265,MATCH('SPC Backing (Hide)'!$B246,Demand!$B$6:$B$265,0),MATCH('SPC Backing (Hide)'!D$3,Demand!$E$5:$S$5,0))</f>
        <v>0</v>
      </c>
      <c r="E246" s="5">
        <f>INDEX(Demand!$E$6:$S$265,MATCH('SPC Backing (Hide)'!$B246,Demand!$B$6:$B$265,0),MATCH('SPC Backing (Hide)'!E$3,Demand!$E$5:$S$5,0))</f>
        <v>0</v>
      </c>
      <c r="F246" s="5">
        <f>INDEX(Demand!$E$6:$S$265,MATCH('SPC Backing (Hide)'!$B246,Demand!$B$6:$B$265,0),MATCH('SPC Backing (Hide)'!F$3,Demand!$E$5:$S$5,0))</f>
        <v>0</v>
      </c>
      <c r="G246" s="5">
        <f>INDEX(Demand!$E$6:$S$265,MATCH('SPC Backing (Hide)'!$B246,Demand!$B$6:$B$265,0),MATCH('SPC Backing (Hide)'!G$3,Demand!$E$5:$S$5,0))</f>
        <v>0</v>
      </c>
      <c r="H246" s="5">
        <f>INDEX(Demand!$E$6:$S$265,MATCH('SPC Backing (Hide)'!$B246,Demand!$B$6:$B$265,0),MATCH('SPC Backing (Hide)'!H$3,Demand!$E$5:$S$5,0))</f>
        <v>0</v>
      </c>
      <c r="I246" s="5">
        <f>INDEX(Demand!$E$6:$S$265,MATCH('SPC Backing (Hide)'!$B246,Demand!$B$6:$B$265,0),MATCH('SPC Backing (Hide)'!I$3,Demand!$E$5:$S$5,0))</f>
        <v>0</v>
      </c>
      <c r="J246" s="5">
        <f>INDEX(Demand!$E$6:$S$265,MATCH('SPC Backing (Hide)'!$B246,Demand!$B$6:$B$265,0),MATCH('SPC Backing (Hide)'!J$3,Demand!$E$5:$S$5,0))</f>
        <v>0</v>
      </c>
      <c r="K246" s="5">
        <f>INDEX(Demand!$E$6:$S$265,MATCH('SPC Backing (Hide)'!$B246,Demand!$B$6:$B$265,0),MATCH('SPC Backing (Hide)'!K$3,Demand!$E$5:$S$5,0))</f>
        <v>0</v>
      </c>
      <c r="L246" s="5">
        <f>INDEX(Demand!$E$6:$S$265,MATCH('SPC Backing (Hide)'!$B246,Demand!$B$6:$B$265,0),MATCH('SPC Backing (Hide)'!L$3,Demand!$E$5:$S$5,0))</f>
        <v>0</v>
      </c>
      <c r="M246" s="5">
        <f>INDEX(Demand!$E$6:$S$265,MATCH('SPC Backing (Hide)'!$B246,Demand!$B$6:$B$265,0),MATCH('SPC Backing (Hide)'!M$3,Demand!$E$5:$S$5,0))</f>
        <v>0</v>
      </c>
      <c r="N246" s="5">
        <f>INDEX(Demand!$E$6:$S$265,MATCH('SPC Backing (Hide)'!$B246,Demand!$B$6:$B$265,0),MATCH('SPC Backing (Hide)'!N$3,Demand!$E$5:$S$5,0))</f>
        <v>0</v>
      </c>
      <c r="O246" s="5">
        <f>INDEX(Demand!$E$6:$S$265,MATCH('SPC Backing (Hide)'!$B246,Demand!$B$6:$B$265,0),MATCH('SPC Backing (Hide)'!O$3,Demand!$E$5:$S$5,0))</f>
        <v>0</v>
      </c>
      <c r="P246" s="5">
        <f>INDEX(Demand!$E$6:$S$265,MATCH('SPC Backing (Hide)'!$B246,Demand!$B$6:$B$265,0),MATCH('SPC Backing (Hide)'!P$3,Demand!$E$5:$S$5,0))</f>
        <v>0</v>
      </c>
      <c r="Q246" s="6">
        <f>INDEX(Demand!$E$6:$S$265,MATCH('SPC Backing (Hide)'!$B246,Demand!$B$6:$B$265,0),MATCH('SPC Backing (Hide)'!Q$3,Demand!$E$5:$S$5,0))</f>
        <v>0</v>
      </c>
      <c r="R246">
        <f>IF(SPC!$B$11="Yes",IF(ROW(A243)&gt;=Demand!$A$5-52,1,0),IF(AND(B246&gt;=SPC!$B$12,B246&lt;SPC!$B$13),1,0))</f>
        <v>1</v>
      </c>
      <c r="S246" cm="1">
        <f t="array" ref="S246">INDEX($C$4:$Q$263,ROW(A243),MATCH($T$2,$C$3:$Q$3,0))</f>
        <v>0</v>
      </c>
      <c r="T246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246" cm="1">
        <f t="array" ref="U246">ABS(INDEX($C$4:$Q$263,ROW(A243),MATCH($T$2,$C$3:$Q$3,0))-INDEX($C$4:$Q$263,ROW(A242),MATCH($T$2,$C$3:$Q$3,0)))</f>
        <v>0</v>
      </c>
      <c r="V246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246">
        <f t="shared" si="45"/>
        <v>40.813595610865789</v>
      </c>
      <c r="X246">
        <f t="shared" si="46"/>
        <v>108.80449618627055</v>
      </c>
      <c r="Y246">
        <f t="shared" si="47"/>
        <v>149.61809179713634</v>
      </c>
      <c r="Z246">
        <f t="shared" si="48"/>
        <v>190.43168740800212</v>
      </c>
      <c r="AA246">
        <f t="shared" si="49"/>
        <v>272.05887862973373</v>
      </c>
      <c r="AB246">
        <f t="shared" si="50"/>
        <v>312.8724742405995</v>
      </c>
      <c r="AC246">
        <f t="shared" si="51"/>
        <v>353.68606985146528</v>
      </c>
      <c r="AD246">
        <f t="shared" si="52"/>
        <v>0</v>
      </c>
      <c r="AE246">
        <f t="shared" si="59"/>
        <v>-2</v>
      </c>
      <c r="AF246">
        <f t="shared" si="53"/>
        <v>0</v>
      </c>
      <c r="AG246">
        <f t="shared" si="54"/>
        <v>0</v>
      </c>
      <c r="AH246" t="e">
        <f t="shared" si="55"/>
        <v>#N/A</v>
      </c>
      <c r="AI246">
        <f t="shared" si="56"/>
        <v>-1</v>
      </c>
      <c r="AJ246">
        <f t="shared" si="57"/>
        <v>0</v>
      </c>
      <c r="AK246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246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246">
        <f t="shared" si="58"/>
        <v>14.699999999999989</v>
      </c>
    </row>
    <row r="247" spans="2:39" x14ac:dyDescent="0.35">
      <c r="B247" s="12" t="str">
        <f>Demand!B249</f>
        <v/>
      </c>
      <c r="C247" s="7">
        <f>INDEX(Demand!$E$6:$S$265,MATCH('SPC Backing (Hide)'!$B247,Demand!$B$6:$B$265,0),MATCH('SPC Backing (Hide)'!C$3,Demand!$E$5:$S$5,0))</f>
        <v>0</v>
      </c>
      <c r="D247" s="5">
        <f>INDEX(Demand!$E$6:$S$265,MATCH('SPC Backing (Hide)'!$B247,Demand!$B$6:$B$265,0),MATCH('SPC Backing (Hide)'!D$3,Demand!$E$5:$S$5,0))</f>
        <v>0</v>
      </c>
      <c r="E247" s="5">
        <f>INDEX(Demand!$E$6:$S$265,MATCH('SPC Backing (Hide)'!$B247,Demand!$B$6:$B$265,0),MATCH('SPC Backing (Hide)'!E$3,Demand!$E$5:$S$5,0))</f>
        <v>0</v>
      </c>
      <c r="F247" s="5">
        <f>INDEX(Demand!$E$6:$S$265,MATCH('SPC Backing (Hide)'!$B247,Demand!$B$6:$B$265,0),MATCH('SPC Backing (Hide)'!F$3,Demand!$E$5:$S$5,0))</f>
        <v>0</v>
      </c>
      <c r="G247" s="5">
        <f>INDEX(Demand!$E$6:$S$265,MATCH('SPC Backing (Hide)'!$B247,Demand!$B$6:$B$265,0),MATCH('SPC Backing (Hide)'!G$3,Demand!$E$5:$S$5,0))</f>
        <v>0</v>
      </c>
      <c r="H247" s="5">
        <f>INDEX(Demand!$E$6:$S$265,MATCH('SPC Backing (Hide)'!$B247,Demand!$B$6:$B$265,0),MATCH('SPC Backing (Hide)'!H$3,Demand!$E$5:$S$5,0))</f>
        <v>0</v>
      </c>
      <c r="I247" s="5">
        <f>INDEX(Demand!$E$6:$S$265,MATCH('SPC Backing (Hide)'!$B247,Demand!$B$6:$B$265,0),MATCH('SPC Backing (Hide)'!I$3,Demand!$E$5:$S$5,0))</f>
        <v>0</v>
      </c>
      <c r="J247" s="5">
        <f>INDEX(Demand!$E$6:$S$265,MATCH('SPC Backing (Hide)'!$B247,Demand!$B$6:$B$265,0),MATCH('SPC Backing (Hide)'!J$3,Demand!$E$5:$S$5,0))</f>
        <v>0</v>
      </c>
      <c r="K247" s="5">
        <f>INDEX(Demand!$E$6:$S$265,MATCH('SPC Backing (Hide)'!$B247,Demand!$B$6:$B$265,0),MATCH('SPC Backing (Hide)'!K$3,Demand!$E$5:$S$5,0))</f>
        <v>0</v>
      </c>
      <c r="L247" s="5">
        <f>INDEX(Demand!$E$6:$S$265,MATCH('SPC Backing (Hide)'!$B247,Demand!$B$6:$B$265,0),MATCH('SPC Backing (Hide)'!L$3,Demand!$E$5:$S$5,0))</f>
        <v>0</v>
      </c>
      <c r="M247" s="5">
        <f>INDEX(Demand!$E$6:$S$265,MATCH('SPC Backing (Hide)'!$B247,Demand!$B$6:$B$265,0),MATCH('SPC Backing (Hide)'!M$3,Demand!$E$5:$S$5,0))</f>
        <v>0</v>
      </c>
      <c r="N247" s="5">
        <f>INDEX(Demand!$E$6:$S$265,MATCH('SPC Backing (Hide)'!$B247,Demand!$B$6:$B$265,0),MATCH('SPC Backing (Hide)'!N$3,Demand!$E$5:$S$5,0))</f>
        <v>0</v>
      </c>
      <c r="O247" s="5">
        <f>INDEX(Demand!$E$6:$S$265,MATCH('SPC Backing (Hide)'!$B247,Demand!$B$6:$B$265,0),MATCH('SPC Backing (Hide)'!O$3,Demand!$E$5:$S$5,0))</f>
        <v>0</v>
      </c>
      <c r="P247" s="5">
        <f>INDEX(Demand!$E$6:$S$265,MATCH('SPC Backing (Hide)'!$B247,Demand!$B$6:$B$265,0),MATCH('SPC Backing (Hide)'!P$3,Demand!$E$5:$S$5,0))</f>
        <v>0</v>
      </c>
      <c r="Q247" s="6">
        <f>INDEX(Demand!$E$6:$S$265,MATCH('SPC Backing (Hide)'!$B247,Demand!$B$6:$B$265,0),MATCH('SPC Backing (Hide)'!Q$3,Demand!$E$5:$S$5,0))</f>
        <v>0</v>
      </c>
      <c r="R247">
        <f>IF(SPC!$B$11="Yes",IF(ROW(A244)&gt;=Demand!$A$5-52,1,0),IF(AND(B247&gt;=SPC!$B$12,B247&lt;SPC!$B$13),1,0))</f>
        <v>1</v>
      </c>
      <c r="S247" cm="1">
        <f t="array" ref="S247">INDEX($C$4:$Q$263,ROW(A244),MATCH($T$2,$C$3:$Q$3,0))</f>
        <v>0</v>
      </c>
      <c r="T247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247" cm="1">
        <f t="array" ref="U247">ABS(INDEX($C$4:$Q$263,ROW(A244),MATCH($T$2,$C$3:$Q$3,0))-INDEX($C$4:$Q$263,ROW(A243),MATCH($T$2,$C$3:$Q$3,0)))</f>
        <v>0</v>
      </c>
      <c r="V247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247">
        <f t="shared" si="45"/>
        <v>40.813595610865789</v>
      </c>
      <c r="X247">
        <f t="shared" si="46"/>
        <v>108.80449618627055</v>
      </c>
      <c r="Y247">
        <f t="shared" si="47"/>
        <v>149.61809179713634</v>
      </c>
      <c r="Z247">
        <f t="shared" si="48"/>
        <v>190.43168740800212</v>
      </c>
      <c r="AA247">
        <f t="shared" si="49"/>
        <v>272.05887862973373</v>
      </c>
      <c r="AB247">
        <f t="shared" si="50"/>
        <v>312.8724742405995</v>
      </c>
      <c r="AC247">
        <f t="shared" si="51"/>
        <v>353.68606985146528</v>
      </c>
      <c r="AD247">
        <f t="shared" si="52"/>
        <v>0</v>
      </c>
      <c r="AE247">
        <f t="shared" si="59"/>
        <v>-2</v>
      </c>
      <c r="AF247">
        <f t="shared" si="53"/>
        <v>0</v>
      </c>
      <c r="AG247">
        <f t="shared" si="54"/>
        <v>0</v>
      </c>
      <c r="AH247" t="e">
        <f t="shared" si="55"/>
        <v>#N/A</v>
      </c>
      <c r="AI247">
        <f t="shared" si="56"/>
        <v>-1</v>
      </c>
      <c r="AJ247">
        <f t="shared" si="57"/>
        <v>0</v>
      </c>
      <c r="AK247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247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247">
        <f t="shared" si="58"/>
        <v>14.699999999999989</v>
      </c>
    </row>
    <row r="248" spans="2:39" x14ac:dyDescent="0.35">
      <c r="B248" s="12" t="str">
        <f>Demand!B250</f>
        <v/>
      </c>
      <c r="C248" s="7">
        <f>INDEX(Demand!$E$6:$S$265,MATCH('SPC Backing (Hide)'!$B248,Demand!$B$6:$B$265,0),MATCH('SPC Backing (Hide)'!C$3,Demand!$E$5:$S$5,0))</f>
        <v>0</v>
      </c>
      <c r="D248" s="5">
        <f>INDEX(Demand!$E$6:$S$265,MATCH('SPC Backing (Hide)'!$B248,Demand!$B$6:$B$265,0),MATCH('SPC Backing (Hide)'!D$3,Demand!$E$5:$S$5,0))</f>
        <v>0</v>
      </c>
      <c r="E248" s="5">
        <f>INDEX(Demand!$E$6:$S$265,MATCH('SPC Backing (Hide)'!$B248,Demand!$B$6:$B$265,0),MATCH('SPC Backing (Hide)'!E$3,Demand!$E$5:$S$5,0))</f>
        <v>0</v>
      </c>
      <c r="F248" s="5">
        <f>INDEX(Demand!$E$6:$S$265,MATCH('SPC Backing (Hide)'!$B248,Demand!$B$6:$B$265,0),MATCH('SPC Backing (Hide)'!F$3,Demand!$E$5:$S$5,0))</f>
        <v>0</v>
      </c>
      <c r="G248" s="5">
        <f>INDEX(Demand!$E$6:$S$265,MATCH('SPC Backing (Hide)'!$B248,Demand!$B$6:$B$265,0),MATCH('SPC Backing (Hide)'!G$3,Demand!$E$5:$S$5,0))</f>
        <v>0</v>
      </c>
      <c r="H248" s="5">
        <f>INDEX(Demand!$E$6:$S$265,MATCH('SPC Backing (Hide)'!$B248,Demand!$B$6:$B$265,0),MATCH('SPC Backing (Hide)'!H$3,Demand!$E$5:$S$5,0))</f>
        <v>0</v>
      </c>
      <c r="I248" s="5">
        <f>INDEX(Demand!$E$6:$S$265,MATCH('SPC Backing (Hide)'!$B248,Demand!$B$6:$B$265,0),MATCH('SPC Backing (Hide)'!I$3,Demand!$E$5:$S$5,0))</f>
        <v>0</v>
      </c>
      <c r="J248" s="5">
        <f>INDEX(Demand!$E$6:$S$265,MATCH('SPC Backing (Hide)'!$B248,Demand!$B$6:$B$265,0),MATCH('SPC Backing (Hide)'!J$3,Demand!$E$5:$S$5,0))</f>
        <v>0</v>
      </c>
      <c r="K248" s="5">
        <f>INDEX(Demand!$E$6:$S$265,MATCH('SPC Backing (Hide)'!$B248,Demand!$B$6:$B$265,0),MATCH('SPC Backing (Hide)'!K$3,Demand!$E$5:$S$5,0))</f>
        <v>0</v>
      </c>
      <c r="L248" s="5">
        <f>INDEX(Demand!$E$6:$S$265,MATCH('SPC Backing (Hide)'!$B248,Demand!$B$6:$B$265,0),MATCH('SPC Backing (Hide)'!L$3,Demand!$E$5:$S$5,0))</f>
        <v>0</v>
      </c>
      <c r="M248" s="5">
        <f>INDEX(Demand!$E$6:$S$265,MATCH('SPC Backing (Hide)'!$B248,Demand!$B$6:$B$265,0),MATCH('SPC Backing (Hide)'!M$3,Demand!$E$5:$S$5,0))</f>
        <v>0</v>
      </c>
      <c r="N248" s="5">
        <f>INDEX(Demand!$E$6:$S$265,MATCH('SPC Backing (Hide)'!$B248,Demand!$B$6:$B$265,0),MATCH('SPC Backing (Hide)'!N$3,Demand!$E$5:$S$5,0))</f>
        <v>0</v>
      </c>
      <c r="O248" s="5">
        <f>INDEX(Demand!$E$6:$S$265,MATCH('SPC Backing (Hide)'!$B248,Demand!$B$6:$B$265,0),MATCH('SPC Backing (Hide)'!O$3,Demand!$E$5:$S$5,0))</f>
        <v>0</v>
      </c>
      <c r="P248" s="5">
        <f>INDEX(Demand!$E$6:$S$265,MATCH('SPC Backing (Hide)'!$B248,Demand!$B$6:$B$265,0),MATCH('SPC Backing (Hide)'!P$3,Demand!$E$5:$S$5,0))</f>
        <v>0</v>
      </c>
      <c r="Q248" s="6">
        <f>INDEX(Demand!$E$6:$S$265,MATCH('SPC Backing (Hide)'!$B248,Demand!$B$6:$B$265,0),MATCH('SPC Backing (Hide)'!Q$3,Demand!$E$5:$S$5,0))</f>
        <v>0</v>
      </c>
      <c r="R248">
        <f>IF(SPC!$B$11="Yes",IF(ROW(A245)&gt;=Demand!$A$5-52,1,0),IF(AND(B248&gt;=SPC!$B$12,B248&lt;SPC!$B$13),1,0))</f>
        <v>1</v>
      </c>
      <c r="S248" cm="1">
        <f t="array" ref="S248">INDEX($C$4:$Q$263,ROW(A245),MATCH($T$2,$C$3:$Q$3,0))</f>
        <v>0</v>
      </c>
      <c r="T248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248" cm="1">
        <f t="array" ref="U248">ABS(INDEX($C$4:$Q$263,ROW(A245),MATCH($T$2,$C$3:$Q$3,0))-INDEX($C$4:$Q$263,ROW(A244),MATCH($T$2,$C$3:$Q$3,0)))</f>
        <v>0</v>
      </c>
      <c r="V248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248">
        <f t="shared" si="45"/>
        <v>40.813595610865789</v>
      </c>
      <c r="X248">
        <f t="shared" si="46"/>
        <v>108.80449618627055</v>
      </c>
      <c r="Y248">
        <f t="shared" si="47"/>
        <v>149.61809179713634</v>
      </c>
      <c r="Z248">
        <f t="shared" si="48"/>
        <v>190.43168740800212</v>
      </c>
      <c r="AA248">
        <f t="shared" si="49"/>
        <v>272.05887862973373</v>
      </c>
      <c r="AB248">
        <f t="shared" si="50"/>
        <v>312.8724742405995</v>
      </c>
      <c r="AC248">
        <f t="shared" si="51"/>
        <v>353.68606985146528</v>
      </c>
      <c r="AD248">
        <f t="shared" si="52"/>
        <v>0</v>
      </c>
      <c r="AE248">
        <f t="shared" si="59"/>
        <v>-2</v>
      </c>
      <c r="AF248">
        <f t="shared" si="53"/>
        <v>0</v>
      </c>
      <c r="AG248">
        <f t="shared" si="54"/>
        <v>0</v>
      </c>
      <c r="AH248" t="e">
        <f t="shared" si="55"/>
        <v>#N/A</v>
      </c>
      <c r="AI248">
        <f t="shared" si="56"/>
        <v>-1</v>
      </c>
      <c r="AJ248">
        <f t="shared" si="57"/>
        <v>0</v>
      </c>
      <c r="AK248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248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248">
        <f t="shared" si="58"/>
        <v>14.699999999999989</v>
      </c>
    </row>
    <row r="249" spans="2:39" x14ac:dyDescent="0.35">
      <c r="B249" s="12" t="str">
        <f>Demand!B251</f>
        <v/>
      </c>
      <c r="C249" s="7">
        <f>INDEX(Demand!$E$6:$S$265,MATCH('SPC Backing (Hide)'!$B249,Demand!$B$6:$B$265,0),MATCH('SPC Backing (Hide)'!C$3,Demand!$E$5:$S$5,0))</f>
        <v>0</v>
      </c>
      <c r="D249" s="5">
        <f>INDEX(Demand!$E$6:$S$265,MATCH('SPC Backing (Hide)'!$B249,Demand!$B$6:$B$265,0),MATCH('SPC Backing (Hide)'!D$3,Demand!$E$5:$S$5,0))</f>
        <v>0</v>
      </c>
      <c r="E249" s="5">
        <f>INDEX(Demand!$E$6:$S$265,MATCH('SPC Backing (Hide)'!$B249,Demand!$B$6:$B$265,0),MATCH('SPC Backing (Hide)'!E$3,Demand!$E$5:$S$5,0))</f>
        <v>0</v>
      </c>
      <c r="F249" s="5">
        <f>INDEX(Demand!$E$6:$S$265,MATCH('SPC Backing (Hide)'!$B249,Demand!$B$6:$B$265,0),MATCH('SPC Backing (Hide)'!F$3,Demand!$E$5:$S$5,0))</f>
        <v>0</v>
      </c>
      <c r="G249" s="5">
        <f>INDEX(Demand!$E$6:$S$265,MATCH('SPC Backing (Hide)'!$B249,Demand!$B$6:$B$265,0),MATCH('SPC Backing (Hide)'!G$3,Demand!$E$5:$S$5,0))</f>
        <v>0</v>
      </c>
      <c r="H249" s="5">
        <f>INDEX(Demand!$E$6:$S$265,MATCH('SPC Backing (Hide)'!$B249,Demand!$B$6:$B$265,0),MATCH('SPC Backing (Hide)'!H$3,Demand!$E$5:$S$5,0))</f>
        <v>0</v>
      </c>
      <c r="I249" s="5">
        <f>INDEX(Demand!$E$6:$S$265,MATCH('SPC Backing (Hide)'!$B249,Demand!$B$6:$B$265,0),MATCH('SPC Backing (Hide)'!I$3,Demand!$E$5:$S$5,0))</f>
        <v>0</v>
      </c>
      <c r="J249" s="5">
        <f>INDEX(Demand!$E$6:$S$265,MATCH('SPC Backing (Hide)'!$B249,Demand!$B$6:$B$265,0),MATCH('SPC Backing (Hide)'!J$3,Demand!$E$5:$S$5,0))</f>
        <v>0</v>
      </c>
      <c r="K249" s="5">
        <f>INDEX(Demand!$E$6:$S$265,MATCH('SPC Backing (Hide)'!$B249,Demand!$B$6:$B$265,0),MATCH('SPC Backing (Hide)'!K$3,Demand!$E$5:$S$5,0))</f>
        <v>0</v>
      </c>
      <c r="L249" s="5">
        <f>INDEX(Demand!$E$6:$S$265,MATCH('SPC Backing (Hide)'!$B249,Demand!$B$6:$B$265,0),MATCH('SPC Backing (Hide)'!L$3,Demand!$E$5:$S$5,0))</f>
        <v>0</v>
      </c>
      <c r="M249" s="5">
        <f>INDEX(Demand!$E$6:$S$265,MATCH('SPC Backing (Hide)'!$B249,Demand!$B$6:$B$265,0),MATCH('SPC Backing (Hide)'!M$3,Demand!$E$5:$S$5,0))</f>
        <v>0</v>
      </c>
      <c r="N249" s="5">
        <f>INDEX(Demand!$E$6:$S$265,MATCH('SPC Backing (Hide)'!$B249,Demand!$B$6:$B$265,0),MATCH('SPC Backing (Hide)'!N$3,Demand!$E$5:$S$5,0))</f>
        <v>0</v>
      </c>
      <c r="O249" s="5">
        <f>INDEX(Demand!$E$6:$S$265,MATCH('SPC Backing (Hide)'!$B249,Demand!$B$6:$B$265,0),MATCH('SPC Backing (Hide)'!O$3,Demand!$E$5:$S$5,0))</f>
        <v>0</v>
      </c>
      <c r="P249" s="5">
        <f>INDEX(Demand!$E$6:$S$265,MATCH('SPC Backing (Hide)'!$B249,Demand!$B$6:$B$265,0),MATCH('SPC Backing (Hide)'!P$3,Demand!$E$5:$S$5,0))</f>
        <v>0</v>
      </c>
      <c r="Q249" s="6">
        <f>INDEX(Demand!$E$6:$S$265,MATCH('SPC Backing (Hide)'!$B249,Demand!$B$6:$B$265,0),MATCH('SPC Backing (Hide)'!Q$3,Demand!$E$5:$S$5,0))</f>
        <v>0</v>
      </c>
      <c r="R249">
        <f>IF(SPC!$B$11="Yes",IF(ROW(A246)&gt;=Demand!$A$5-52,1,0),IF(AND(B249&gt;=SPC!$B$12,B249&lt;SPC!$B$13),1,0))</f>
        <v>1</v>
      </c>
      <c r="S249" cm="1">
        <f t="array" ref="S249">INDEX($C$4:$Q$263,ROW(A246),MATCH($T$2,$C$3:$Q$3,0))</f>
        <v>0</v>
      </c>
      <c r="T249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249" cm="1">
        <f t="array" ref="U249">ABS(INDEX($C$4:$Q$263,ROW(A246),MATCH($T$2,$C$3:$Q$3,0))-INDEX($C$4:$Q$263,ROW(A245),MATCH($T$2,$C$3:$Q$3,0)))</f>
        <v>0</v>
      </c>
      <c r="V249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249">
        <f t="shared" si="45"/>
        <v>40.813595610865789</v>
      </c>
      <c r="X249">
        <f t="shared" si="46"/>
        <v>108.80449618627055</v>
      </c>
      <c r="Y249">
        <f t="shared" si="47"/>
        <v>149.61809179713634</v>
      </c>
      <c r="Z249">
        <f t="shared" si="48"/>
        <v>190.43168740800212</v>
      </c>
      <c r="AA249">
        <f t="shared" si="49"/>
        <v>272.05887862973373</v>
      </c>
      <c r="AB249">
        <f t="shared" si="50"/>
        <v>312.8724742405995</v>
      </c>
      <c r="AC249">
        <f t="shared" si="51"/>
        <v>353.68606985146528</v>
      </c>
      <c r="AD249">
        <f t="shared" si="52"/>
        <v>0</v>
      </c>
      <c r="AE249">
        <f t="shared" si="59"/>
        <v>-2</v>
      </c>
      <c r="AF249">
        <f t="shared" si="53"/>
        <v>0</v>
      </c>
      <c r="AG249">
        <f t="shared" si="54"/>
        <v>0</v>
      </c>
      <c r="AH249" t="e">
        <f t="shared" si="55"/>
        <v>#N/A</v>
      </c>
      <c r="AI249">
        <f t="shared" si="56"/>
        <v>-1</v>
      </c>
      <c r="AJ249">
        <f t="shared" si="57"/>
        <v>0</v>
      </c>
      <c r="AK249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249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249">
        <f t="shared" si="58"/>
        <v>14.699999999999989</v>
      </c>
    </row>
    <row r="250" spans="2:39" x14ac:dyDescent="0.35">
      <c r="B250" s="12" t="str">
        <f>Demand!B252</f>
        <v/>
      </c>
      <c r="C250" s="7">
        <f>INDEX(Demand!$E$6:$S$265,MATCH('SPC Backing (Hide)'!$B250,Demand!$B$6:$B$265,0),MATCH('SPC Backing (Hide)'!C$3,Demand!$E$5:$S$5,0))</f>
        <v>0</v>
      </c>
      <c r="D250" s="5">
        <f>INDEX(Demand!$E$6:$S$265,MATCH('SPC Backing (Hide)'!$B250,Demand!$B$6:$B$265,0),MATCH('SPC Backing (Hide)'!D$3,Demand!$E$5:$S$5,0))</f>
        <v>0</v>
      </c>
      <c r="E250" s="5">
        <f>INDEX(Demand!$E$6:$S$265,MATCH('SPC Backing (Hide)'!$B250,Demand!$B$6:$B$265,0),MATCH('SPC Backing (Hide)'!E$3,Demand!$E$5:$S$5,0))</f>
        <v>0</v>
      </c>
      <c r="F250" s="5">
        <f>INDEX(Demand!$E$6:$S$265,MATCH('SPC Backing (Hide)'!$B250,Demand!$B$6:$B$265,0),MATCH('SPC Backing (Hide)'!F$3,Demand!$E$5:$S$5,0))</f>
        <v>0</v>
      </c>
      <c r="G250" s="5">
        <f>INDEX(Demand!$E$6:$S$265,MATCH('SPC Backing (Hide)'!$B250,Demand!$B$6:$B$265,0),MATCH('SPC Backing (Hide)'!G$3,Demand!$E$5:$S$5,0))</f>
        <v>0</v>
      </c>
      <c r="H250" s="5">
        <f>INDEX(Demand!$E$6:$S$265,MATCH('SPC Backing (Hide)'!$B250,Demand!$B$6:$B$265,0),MATCH('SPC Backing (Hide)'!H$3,Demand!$E$5:$S$5,0))</f>
        <v>0</v>
      </c>
      <c r="I250" s="5">
        <f>INDEX(Demand!$E$6:$S$265,MATCH('SPC Backing (Hide)'!$B250,Demand!$B$6:$B$265,0),MATCH('SPC Backing (Hide)'!I$3,Demand!$E$5:$S$5,0))</f>
        <v>0</v>
      </c>
      <c r="J250" s="5">
        <f>INDEX(Demand!$E$6:$S$265,MATCH('SPC Backing (Hide)'!$B250,Demand!$B$6:$B$265,0),MATCH('SPC Backing (Hide)'!J$3,Demand!$E$5:$S$5,0))</f>
        <v>0</v>
      </c>
      <c r="K250" s="5">
        <f>INDEX(Demand!$E$6:$S$265,MATCH('SPC Backing (Hide)'!$B250,Demand!$B$6:$B$265,0),MATCH('SPC Backing (Hide)'!K$3,Demand!$E$5:$S$5,0))</f>
        <v>0</v>
      </c>
      <c r="L250" s="5">
        <f>INDEX(Demand!$E$6:$S$265,MATCH('SPC Backing (Hide)'!$B250,Demand!$B$6:$B$265,0),MATCH('SPC Backing (Hide)'!L$3,Demand!$E$5:$S$5,0))</f>
        <v>0</v>
      </c>
      <c r="M250" s="5">
        <f>INDEX(Demand!$E$6:$S$265,MATCH('SPC Backing (Hide)'!$B250,Demand!$B$6:$B$265,0),MATCH('SPC Backing (Hide)'!M$3,Demand!$E$5:$S$5,0))</f>
        <v>0</v>
      </c>
      <c r="N250" s="5">
        <f>INDEX(Demand!$E$6:$S$265,MATCH('SPC Backing (Hide)'!$B250,Demand!$B$6:$B$265,0),MATCH('SPC Backing (Hide)'!N$3,Demand!$E$5:$S$5,0))</f>
        <v>0</v>
      </c>
      <c r="O250" s="5">
        <f>INDEX(Demand!$E$6:$S$265,MATCH('SPC Backing (Hide)'!$B250,Demand!$B$6:$B$265,0),MATCH('SPC Backing (Hide)'!O$3,Demand!$E$5:$S$5,0))</f>
        <v>0</v>
      </c>
      <c r="P250" s="5">
        <f>INDEX(Demand!$E$6:$S$265,MATCH('SPC Backing (Hide)'!$B250,Demand!$B$6:$B$265,0),MATCH('SPC Backing (Hide)'!P$3,Demand!$E$5:$S$5,0))</f>
        <v>0</v>
      </c>
      <c r="Q250" s="6">
        <f>INDEX(Demand!$E$6:$S$265,MATCH('SPC Backing (Hide)'!$B250,Demand!$B$6:$B$265,0),MATCH('SPC Backing (Hide)'!Q$3,Demand!$E$5:$S$5,0))</f>
        <v>0</v>
      </c>
      <c r="R250">
        <f>IF(SPC!$B$11="Yes",IF(ROW(A247)&gt;=Demand!$A$5-52,1,0),IF(AND(B250&gt;=SPC!$B$12,B250&lt;SPC!$B$13),1,0))</f>
        <v>1</v>
      </c>
      <c r="S250" cm="1">
        <f t="array" ref="S250">INDEX($C$4:$Q$263,ROW(A247),MATCH($T$2,$C$3:$Q$3,0))</f>
        <v>0</v>
      </c>
      <c r="T250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250" cm="1">
        <f t="array" ref="U250">ABS(INDEX($C$4:$Q$263,ROW(A247),MATCH($T$2,$C$3:$Q$3,0))-INDEX($C$4:$Q$263,ROW(A246),MATCH($T$2,$C$3:$Q$3,0)))</f>
        <v>0</v>
      </c>
      <c r="V250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250">
        <f t="shared" si="45"/>
        <v>40.813595610865789</v>
      </c>
      <c r="X250">
        <f t="shared" si="46"/>
        <v>108.80449618627055</v>
      </c>
      <c r="Y250">
        <f t="shared" si="47"/>
        <v>149.61809179713634</v>
      </c>
      <c r="Z250">
        <f t="shared" si="48"/>
        <v>190.43168740800212</v>
      </c>
      <c r="AA250">
        <f t="shared" si="49"/>
        <v>272.05887862973373</v>
      </c>
      <c r="AB250">
        <f t="shared" si="50"/>
        <v>312.8724742405995</v>
      </c>
      <c r="AC250">
        <f t="shared" si="51"/>
        <v>353.68606985146528</v>
      </c>
      <c r="AD250">
        <f t="shared" si="52"/>
        <v>0</v>
      </c>
      <c r="AE250">
        <f t="shared" si="59"/>
        <v>-2</v>
      </c>
      <c r="AF250">
        <f t="shared" si="53"/>
        <v>0</v>
      </c>
      <c r="AG250">
        <f t="shared" si="54"/>
        <v>0</v>
      </c>
      <c r="AH250" t="e">
        <f t="shared" si="55"/>
        <v>#N/A</v>
      </c>
      <c r="AI250">
        <f t="shared" si="56"/>
        <v>-1</v>
      </c>
      <c r="AJ250">
        <f t="shared" si="57"/>
        <v>0</v>
      </c>
      <c r="AK250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250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250">
        <f t="shared" si="58"/>
        <v>14.699999999999989</v>
      </c>
    </row>
    <row r="251" spans="2:39" x14ac:dyDescent="0.35">
      <c r="B251" s="12" t="str">
        <f>Demand!B253</f>
        <v/>
      </c>
      <c r="C251" s="7">
        <f>INDEX(Demand!$E$6:$S$265,MATCH('SPC Backing (Hide)'!$B251,Demand!$B$6:$B$265,0),MATCH('SPC Backing (Hide)'!C$3,Demand!$E$5:$S$5,0))</f>
        <v>0</v>
      </c>
      <c r="D251" s="5">
        <f>INDEX(Demand!$E$6:$S$265,MATCH('SPC Backing (Hide)'!$B251,Demand!$B$6:$B$265,0),MATCH('SPC Backing (Hide)'!D$3,Demand!$E$5:$S$5,0))</f>
        <v>0</v>
      </c>
      <c r="E251" s="5">
        <f>INDEX(Demand!$E$6:$S$265,MATCH('SPC Backing (Hide)'!$B251,Demand!$B$6:$B$265,0),MATCH('SPC Backing (Hide)'!E$3,Demand!$E$5:$S$5,0))</f>
        <v>0</v>
      </c>
      <c r="F251" s="5">
        <f>INDEX(Demand!$E$6:$S$265,MATCH('SPC Backing (Hide)'!$B251,Demand!$B$6:$B$265,0),MATCH('SPC Backing (Hide)'!F$3,Demand!$E$5:$S$5,0))</f>
        <v>0</v>
      </c>
      <c r="G251" s="5">
        <f>INDEX(Demand!$E$6:$S$265,MATCH('SPC Backing (Hide)'!$B251,Demand!$B$6:$B$265,0),MATCH('SPC Backing (Hide)'!G$3,Demand!$E$5:$S$5,0))</f>
        <v>0</v>
      </c>
      <c r="H251" s="5">
        <f>INDEX(Demand!$E$6:$S$265,MATCH('SPC Backing (Hide)'!$B251,Demand!$B$6:$B$265,0),MATCH('SPC Backing (Hide)'!H$3,Demand!$E$5:$S$5,0))</f>
        <v>0</v>
      </c>
      <c r="I251" s="5">
        <f>INDEX(Demand!$E$6:$S$265,MATCH('SPC Backing (Hide)'!$B251,Demand!$B$6:$B$265,0),MATCH('SPC Backing (Hide)'!I$3,Demand!$E$5:$S$5,0))</f>
        <v>0</v>
      </c>
      <c r="J251" s="5">
        <f>INDEX(Demand!$E$6:$S$265,MATCH('SPC Backing (Hide)'!$B251,Demand!$B$6:$B$265,0),MATCH('SPC Backing (Hide)'!J$3,Demand!$E$5:$S$5,0))</f>
        <v>0</v>
      </c>
      <c r="K251" s="5">
        <f>INDEX(Demand!$E$6:$S$265,MATCH('SPC Backing (Hide)'!$B251,Demand!$B$6:$B$265,0),MATCH('SPC Backing (Hide)'!K$3,Demand!$E$5:$S$5,0))</f>
        <v>0</v>
      </c>
      <c r="L251" s="5">
        <f>INDEX(Demand!$E$6:$S$265,MATCH('SPC Backing (Hide)'!$B251,Demand!$B$6:$B$265,0),MATCH('SPC Backing (Hide)'!L$3,Demand!$E$5:$S$5,0))</f>
        <v>0</v>
      </c>
      <c r="M251" s="5">
        <f>INDEX(Demand!$E$6:$S$265,MATCH('SPC Backing (Hide)'!$B251,Demand!$B$6:$B$265,0),MATCH('SPC Backing (Hide)'!M$3,Demand!$E$5:$S$5,0))</f>
        <v>0</v>
      </c>
      <c r="N251" s="5">
        <f>INDEX(Demand!$E$6:$S$265,MATCH('SPC Backing (Hide)'!$B251,Demand!$B$6:$B$265,0),MATCH('SPC Backing (Hide)'!N$3,Demand!$E$5:$S$5,0))</f>
        <v>0</v>
      </c>
      <c r="O251" s="5">
        <f>INDEX(Demand!$E$6:$S$265,MATCH('SPC Backing (Hide)'!$B251,Demand!$B$6:$B$265,0),MATCH('SPC Backing (Hide)'!O$3,Demand!$E$5:$S$5,0))</f>
        <v>0</v>
      </c>
      <c r="P251" s="5">
        <f>INDEX(Demand!$E$6:$S$265,MATCH('SPC Backing (Hide)'!$B251,Demand!$B$6:$B$265,0),MATCH('SPC Backing (Hide)'!P$3,Demand!$E$5:$S$5,0))</f>
        <v>0</v>
      </c>
      <c r="Q251" s="6">
        <f>INDEX(Demand!$E$6:$S$265,MATCH('SPC Backing (Hide)'!$B251,Demand!$B$6:$B$265,0),MATCH('SPC Backing (Hide)'!Q$3,Demand!$E$5:$S$5,0))</f>
        <v>0</v>
      </c>
      <c r="R251">
        <f>IF(SPC!$B$11="Yes",IF(ROW(A248)&gt;=Demand!$A$5-52,1,0),IF(AND(B251&gt;=SPC!$B$12,B251&lt;SPC!$B$13),1,0))</f>
        <v>1</v>
      </c>
      <c r="S251" cm="1">
        <f t="array" ref="S251">INDEX($C$4:$Q$263,ROW(A248),MATCH($T$2,$C$3:$Q$3,0))</f>
        <v>0</v>
      </c>
      <c r="T251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251" cm="1">
        <f t="array" ref="U251">ABS(INDEX($C$4:$Q$263,ROW(A248),MATCH($T$2,$C$3:$Q$3,0))-INDEX($C$4:$Q$263,ROW(A247),MATCH($T$2,$C$3:$Q$3,0)))</f>
        <v>0</v>
      </c>
      <c r="V251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251">
        <f t="shared" si="45"/>
        <v>40.813595610865789</v>
      </c>
      <c r="X251">
        <f t="shared" si="46"/>
        <v>108.80449618627055</v>
      </c>
      <c r="Y251">
        <f t="shared" si="47"/>
        <v>149.61809179713634</v>
      </c>
      <c r="Z251">
        <f t="shared" si="48"/>
        <v>190.43168740800212</v>
      </c>
      <c r="AA251">
        <f t="shared" si="49"/>
        <v>272.05887862973373</v>
      </c>
      <c r="AB251">
        <f t="shared" si="50"/>
        <v>312.8724742405995</v>
      </c>
      <c r="AC251">
        <f t="shared" si="51"/>
        <v>353.68606985146528</v>
      </c>
      <c r="AD251">
        <f t="shared" si="52"/>
        <v>0</v>
      </c>
      <c r="AE251">
        <f t="shared" si="59"/>
        <v>-2</v>
      </c>
      <c r="AF251">
        <f t="shared" si="53"/>
        <v>0</v>
      </c>
      <c r="AG251">
        <f t="shared" si="54"/>
        <v>0</v>
      </c>
      <c r="AH251" t="e">
        <f t="shared" si="55"/>
        <v>#N/A</v>
      </c>
      <c r="AI251">
        <f t="shared" si="56"/>
        <v>-1</v>
      </c>
      <c r="AJ251">
        <f t="shared" si="57"/>
        <v>0</v>
      </c>
      <c r="AK251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251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251">
        <f t="shared" si="58"/>
        <v>14.699999999999989</v>
      </c>
    </row>
    <row r="252" spans="2:39" x14ac:dyDescent="0.35">
      <c r="B252" s="12" t="str">
        <f>Demand!B254</f>
        <v/>
      </c>
      <c r="C252" s="7">
        <f>INDEX(Demand!$E$6:$S$265,MATCH('SPC Backing (Hide)'!$B252,Demand!$B$6:$B$265,0),MATCH('SPC Backing (Hide)'!C$3,Demand!$E$5:$S$5,0))</f>
        <v>0</v>
      </c>
      <c r="D252" s="5">
        <f>INDEX(Demand!$E$6:$S$265,MATCH('SPC Backing (Hide)'!$B252,Demand!$B$6:$B$265,0),MATCH('SPC Backing (Hide)'!D$3,Demand!$E$5:$S$5,0))</f>
        <v>0</v>
      </c>
      <c r="E252" s="5">
        <f>INDEX(Demand!$E$6:$S$265,MATCH('SPC Backing (Hide)'!$B252,Demand!$B$6:$B$265,0),MATCH('SPC Backing (Hide)'!E$3,Demand!$E$5:$S$5,0))</f>
        <v>0</v>
      </c>
      <c r="F252" s="5">
        <f>INDEX(Demand!$E$6:$S$265,MATCH('SPC Backing (Hide)'!$B252,Demand!$B$6:$B$265,0),MATCH('SPC Backing (Hide)'!F$3,Demand!$E$5:$S$5,0))</f>
        <v>0</v>
      </c>
      <c r="G252" s="5">
        <f>INDEX(Demand!$E$6:$S$265,MATCH('SPC Backing (Hide)'!$B252,Demand!$B$6:$B$265,0),MATCH('SPC Backing (Hide)'!G$3,Demand!$E$5:$S$5,0))</f>
        <v>0</v>
      </c>
      <c r="H252" s="5">
        <f>INDEX(Demand!$E$6:$S$265,MATCH('SPC Backing (Hide)'!$B252,Demand!$B$6:$B$265,0),MATCH('SPC Backing (Hide)'!H$3,Demand!$E$5:$S$5,0))</f>
        <v>0</v>
      </c>
      <c r="I252" s="5">
        <f>INDEX(Demand!$E$6:$S$265,MATCH('SPC Backing (Hide)'!$B252,Demand!$B$6:$B$265,0),MATCH('SPC Backing (Hide)'!I$3,Demand!$E$5:$S$5,0))</f>
        <v>0</v>
      </c>
      <c r="J252" s="5">
        <f>INDEX(Demand!$E$6:$S$265,MATCH('SPC Backing (Hide)'!$B252,Demand!$B$6:$B$265,0),MATCH('SPC Backing (Hide)'!J$3,Demand!$E$5:$S$5,0))</f>
        <v>0</v>
      </c>
      <c r="K252" s="5">
        <f>INDEX(Demand!$E$6:$S$265,MATCH('SPC Backing (Hide)'!$B252,Demand!$B$6:$B$265,0),MATCH('SPC Backing (Hide)'!K$3,Demand!$E$5:$S$5,0))</f>
        <v>0</v>
      </c>
      <c r="L252" s="5">
        <f>INDEX(Demand!$E$6:$S$265,MATCH('SPC Backing (Hide)'!$B252,Demand!$B$6:$B$265,0),MATCH('SPC Backing (Hide)'!L$3,Demand!$E$5:$S$5,0))</f>
        <v>0</v>
      </c>
      <c r="M252" s="5">
        <f>INDEX(Demand!$E$6:$S$265,MATCH('SPC Backing (Hide)'!$B252,Demand!$B$6:$B$265,0),MATCH('SPC Backing (Hide)'!M$3,Demand!$E$5:$S$5,0))</f>
        <v>0</v>
      </c>
      <c r="N252" s="5">
        <f>INDEX(Demand!$E$6:$S$265,MATCH('SPC Backing (Hide)'!$B252,Demand!$B$6:$B$265,0),MATCH('SPC Backing (Hide)'!N$3,Demand!$E$5:$S$5,0))</f>
        <v>0</v>
      </c>
      <c r="O252" s="5">
        <f>INDEX(Demand!$E$6:$S$265,MATCH('SPC Backing (Hide)'!$B252,Demand!$B$6:$B$265,0),MATCH('SPC Backing (Hide)'!O$3,Demand!$E$5:$S$5,0))</f>
        <v>0</v>
      </c>
      <c r="P252" s="5">
        <f>INDEX(Demand!$E$6:$S$265,MATCH('SPC Backing (Hide)'!$B252,Demand!$B$6:$B$265,0),MATCH('SPC Backing (Hide)'!P$3,Demand!$E$5:$S$5,0))</f>
        <v>0</v>
      </c>
      <c r="Q252" s="6">
        <f>INDEX(Demand!$E$6:$S$265,MATCH('SPC Backing (Hide)'!$B252,Demand!$B$6:$B$265,0),MATCH('SPC Backing (Hide)'!Q$3,Demand!$E$5:$S$5,0))</f>
        <v>0</v>
      </c>
      <c r="R252">
        <f>IF(SPC!$B$11="Yes",IF(ROW(A249)&gt;=Demand!$A$5-52,1,0),IF(AND(B252&gt;=SPC!$B$12,B252&lt;SPC!$B$13),1,0))</f>
        <v>1</v>
      </c>
      <c r="S252" cm="1">
        <f t="array" ref="S252">INDEX($C$4:$Q$263,ROW(A249),MATCH($T$2,$C$3:$Q$3,0))</f>
        <v>0</v>
      </c>
      <c r="T252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252" cm="1">
        <f t="array" ref="U252">ABS(INDEX($C$4:$Q$263,ROW(A249),MATCH($T$2,$C$3:$Q$3,0))-INDEX($C$4:$Q$263,ROW(A248),MATCH($T$2,$C$3:$Q$3,0)))</f>
        <v>0</v>
      </c>
      <c r="V252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252">
        <f t="shared" si="45"/>
        <v>40.813595610865789</v>
      </c>
      <c r="X252">
        <f t="shared" si="46"/>
        <v>108.80449618627055</v>
      </c>
      <c r="Y252">
        <f t="shared" si="47"/>
        <v>149.61809179713634</v>
      </c>
      <c r="Z252">
        <f t="shared" si="48"/>
        <v>190.43168740800212</v>
      </c>
      <c r="AA252">
        <f t="shared" si="49"/>
        <v>272.05887862973373</v>
      </c>
      <c r="AB252">
        <f t="shared" si="50"/>
        <v>312.8724742405995</v>
      </c>
      <c r="AC252">
        <f t="shared" si="51"/>
        <v>353.68606985146528</v>
      </c>
      <c r="AD252">
        <f t="shared" si="52"/>
        <v>0</v>
      </c>
      <c r="AE252">
        <f t="shared" si="59"/>
        <v>-2</v>
      </c>
      <c r="AF252">
        <f t="shared" si="53"/>
        <v>0</v>
      </c>
      <c r="AG252">
        <f t="shared" si="54"/>
        <v>0</v>
      </c>
      <c r="AH252" t="e">
        <f t="shared" si="55"/>
        <v>#N/A</v>
      </c>
      <c r="AI252">
        <f t="shared" si="56"/>
        <v>-1</v>
      </c>
      <c r="AJ252">
        <f t="shared" si="57"/>
        <v>0</v>
      </c>
      <c r="AK252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252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252">
        <f t="shared" si="58"/>
        <v>14.699999999999989</v>
      </c>
    </row>
    <row r="253" spans="2:39" x14ac:dyDescent="0.35">
      <c r="B253" s="12" t="str">
        <f>Demand!B255</f>
        <v/>
      </c>
      <c r="C253" s="7">
        <f>INDEX(Demand!$E$6:$S$265,MATCH('SPC Backing (Hide)'!$B253,Demand!$B$6:$B$265,0),MATCH('SPC Backing (Hide)'!C$3,Demand!$E$5:$S$5,0))</f>
        <v>0</v>
      </c>
      <c r="D253" s="5">
        <f>INDEX(Demand!$E$6:$S$265,MATCH('SPC Backing (Hide)'!$B253,Demand!$B$6:$B$265,0),MATCH('SPC Backing (Hide)'!D$3,Demand!$E$5:$S$5,0))</f>
        <v>0</v>
      </c>
      <c r="E253" s="5">
        <f>INDEX(Demand!$E$6:$S$265,MATCH('SPC Backing (Hide)'!$B253,Demand!$B$6:$B$265,0),MATCH('SPC Backing (Hide)'!E$3,Demand!$E$5:$S$5,0))</f>
        <v>0</v>
      </c>
      <c r="F253" s="5">
        <f>INDEX(Demand!$E$6:$S$265,MATCH('SPC Backing (Hide)'!$B253,Demand!$B$6:$B$265,0),MATCH('SPC Backing (Hide)'!F$3,Demand!$E$5:$S$5,0))</f>
        <v>0</v>
      </c>
      <c r="G253" s="5">
        <f>INDEX(Demand!$E$6:$S$265,MATCH('SPC Backing (Hide)'!$B253,Demand!$B$6:$B$265,0),MATCH('SPC Backing (Hide)'!G$3,Demand!$E$5:$S$5,0))</f>
        <v>0</v>
      </c>
      <c r="H253" s="5">
        <f>INDEX(Demand!$E$6:$S$265,MATCH('SPC Backing (Hide)'!$B253,Demand!$B$6:$B$265,0),MATCH('SPC Backing (Hide)'!H$3,Demand!$E$5:$S$5,0))</f>
        <v>0</v>
      </c>
      <c r="I253" s="5">
        <f>INDEX(Demand!$E$6:$S$265,MATCH('SPC Backing (Hide)'!$B253,Demand!$B$6:$B$265,0),MATCH('SPC Backing (Hide)'!I$3,Demand!$E$5:$S$5,0))</f>
        <v>0</v>
      </c>
      <c r="J253" s="5">
        <f>INDEX(Demand!$E$6:$S$265,MATCH('SPC Backing (Hide)'!$B253,Demand!$B$6:$B$265,0),MATCH('SPC Backing (Hide)'!J$3,Demand!$E$5:$S$5,0))</f>
        <v>0</v>
      </c>
      <c r="K253" s="5">
        <f>INDEX(Demand!$E$6:$S$265,MATCH('SPC Backing (Hide)'!$B253,Demand!$B$6:$B$265,0),MATCH('SPC Backing (Hide)'!K$3,Demand!$E$5:$S$5,0))</f>
        <v>0</v>
      </c>
      <c r="L253" s="5">
        <f>INDEX(Demand!$E$6:$S$265,MATCH('SPC Backing (Hide)'!$B253,Demand!$B$6:$B$265,0),MATCH('SPC Backing (Hide)'!L$3,Demand!$E$5:$S$5,0))</f>
        <v>0</v>
      </c>
      <c r="M253" s="5">
        <f>INDEX(Demand!$E$6:$S$265,MATCH('SPC Backing (Hide)'!$B253,Demand!$B$6:$B$265,0),MATCH('SPC Backing (Hide)'!M$3,Demand!$E$5:$S$5,0))</f>
        <v>0</v>
      </c>
      <c r="N253" s="5">
        <f>INDEX(Demand!$E$6:$S$265,MATCH('SPC Backing (Hide)'!$B253,Demand!$B$6:$B$265,0),MATCH('SPC Backing (Hide)'!N$3,Demand!$E$5:$S$5,0))</f>
        <v>0</v>
      </c>
      <c r="O253" s="5">
        <f>INDEX(Demand!$E$6:$S$265,MATCH('SPC Backing (Hide)'!$B253,Demand!$B$6:$B$265,0),MATCH('SPC Backing (Hide)'!O$3,Demand!$E$5:$S$5,0))</f>
        <v>0</v>
      </c>
      <c r="P253" s="5">
        <f>INDEX(Demand!$E$6:$S$265,MATCH('SPC Backing (Hide)'!$B253,Demand!$B$6:$B$265,0),MATCH('SPC Backing (Hide)'!P$3,Demand!$E$5:$S$5,0))</f>
        <v>0</v>
      </c>
      <c r="Q253" s="6">
        <f>INDEX(Demand!$E$6:$S$265,MATCH('SPC Backing (Hide)'!$B253,Demand!$B$6:$B$265,0),MATCH('SPC Backing (Hide)'!Q$3,Demand!$E$5:$S$5,0))</f>
        <v>0</v>
      </c>
      <c r="R253">
        <f>IF(SPC!$B$11="Yes",IF(ROW(A250)&gt;=Demand!$A$5-52,1,0),IF(AND(B253&gt;=SPC!$B$12,B253&lt;SPC!$B$13),1,0))</f>
        <v>1</v>
      </c>
      <c r="S253" cm="1">
        <f t="array" ref="S253">INDEX($C$4:$Q$263,ROW(A250),MATCH($T$2,$C$3:$Q$3,0))</f>
        <v>0</v>
      </c>
      <c r="T253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253" cm="1">
        <f t="array" ref="U253">ABS(INDEX($C$4:$Q$263,ROW(A250),MATCH($T$2,$C$3:$Q$3,0))-INDEX($C$4:$Q$263,ROW(A249),MATCH($T$2,$C$3:$Q$3,0)))</f>
        <v>0</v>
      </c>
      <c r="V253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253">
        <f t="shared" si="45"/>
        <v>40.813595610865789</v>
      </c>
      <c r="X253">
        <f t="shared" si="46"/>
        <v>108.80449618627055</v>
      </c>
      <c r="Y253">
        <f t="shared" si="47"/>
        <v>149.61809179713634</v>
      </c>
      <c r="Z253">
        <f t="shared" si="48"/>
        <v>190.43168740800212</v>
      </c>
      <c r="AA253">
        <f t="shared" si="49"/>
        <v>272.05887862973373</v>
      </c>
      <c r="AB253">
        <f t="shared" si="50"/>
        <v>312.8724742405995</v>
      </c>
      <c r="AC253">
        <f t="shared" si="51"/>
        <v>353.68606985146528</v>
      </c>
      <c r="AD253">
        <f t="shared" si="52"/>
        <v>0</v>
      </c>
      <c r="AE253">
        <f t="shared" si="59"/>
        <v>-2</v>
      </c>
      <c r="AF253">
        <f t="shared" si="53"/>
        <v>0</v>
      </c>
      <c r="AG253">
        <f t="shared" si="54"/>
        <v>0</v>
      </c>
      <c r="AH253" t="e">
        <f t="shared" si="55"/>
        <v>#N/A</v>
      </c>
      <c r="AI253">
        <f t="shared" si="56"/>
        <v>-1</v>
      </c>
      <c r="AJ253">
        <f t="shared" si="57"/>
        <v>0</v>
      </c>
      <c r="AK253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253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253">
        <f t="shared" si="58"/>
        <v>14.699999999999989</v>
      </c>
    </row>
    <row r="254" spans="2:39" x14ac:dyDescent="0.35">
      <c r="B254" s="12" t="str">
        <f>Demand!B256</f>
        <v/>
      </c>
      <c r="C254" s="7">
        <f>INDEX(Demand!$E$6:$S$265,MATCH('SPC Backing (Hide)'!$B254,Demand!$B$6:$B$265,0),MATCH('SPC Backing (Hide)'!C$3,Demand!$E$5:$S$5,0))</f>
        <v>0</v>
      </c>
      <c r="D254" s="5">
        <f>INDEX(Demand!$E$6:$S$265,MATCH('SPC Backing (Hide)'!$B254,Demand!$B$6:$B$265,0),MATCH('SPC Backing (Hide)'!D$3,Demand!$E$5:$S$5,0))</f>
        <v>0</v>
      </c>
      <c r="E254" s="5">
        <f>INDEX(Demand!$E$6:$S$265,MATCH('SPC Backing (Hide)'!$B254,Demand!$B$6:$B$265,0),MATCH('SPC Backing (Hide)'!E$3,Demand!$E$5:$S$5,0))</f>
        <v>0</v>
      </c>
      <c r="F254" s="5">
        <f>INDEX(Demand!$E$6:$S$265,MATCH('SPC Backing (Hide)'!$B254,Demand!$B$6:$B$265,0),MATCH('SPC Backing (Hide)'!F$3,Demand!$E$5:$S$5,0))</f>
        <v>0</v>
      </c>
      <c r="G254" s="5">
        <f>INDEX(Demand!$E$6:$S$265,MATCH('SPC Backing (Hide)'!$B254,Demand!$B$6:$B$265,0),MATCH('SPC Backing (Hide)'!G$3,Demand!$E$5:$S$5,0))</f>
        <v>0</v>
      </c>
      <c r="H254" s="5">
        <f>INDEX(Demand!$E$6:$S$265,MATCH('SPC Backing (Hide)'!$B254,Demand!$B$6:$B$265,0),MATCH('SPC Backing (Hide)'!H$3,Demand!$E$5:$S$5,0))</f>
        <v>0</v>
      </c>
      <c r="I254" s="5">
        <f>INDEX(Demand!$E$6:$S$265,MATCH('SPC Backing (Hide)'!$B254,Demand!$B$6:$B$265,0),MATCH('SPC Backing (Hide)'!I$3,Demand!$E$5:$S$5,0))</f>
        <v>0</v>
      </c>
      <c r="J254" s="5">
        <f>INDEX(Demand!$E$6:$S$265,MATCH('SPC Backing (Hide)'!$B254,Demand!$B$6:$B$265,0),MATCH('SPC Backing (Hide)'!J$3,Demand!$E$5:$S$5,0))</f>
        <v>0</v>
      </c>
      <c r="K254" s="5">
        <f>INDEX(Demand!$E$6:$S$265,MATCH('SPC Backing (Hide)'!$B254,Demand!$B$6:$B$265,0),MATCH('SPC Backing (Hide)'!K$3,Demand!$E$5:$S$5,0))</f>
        <v>0</v>
      </c>
      <c r="L254" s="5">
        <f>INDEX(Demand!$E$6:$S$265,MATCH('SPC Backing (Hide)'!$B254,Demand!$B$6:$B$265,0),MATCH('SPC Backing (Hide)'!L$3,Demand!$E$5:$S$5,0))</f>
        <v>0</v>
      </c>
      <c r="M254" s="5">
        <f>INDEX(Demand!$E$6:$S$265,MATCH('SPC Backing (Hide)'!$B254,Demand!$B$6:$B$265,0),MATCH('SPC Backing (Hide)'!M$3,Demand!$E$5:$S$5,0))</f>
        <v>0</v>
      </c>
      <c r="N254" s="5">
        <f>INDEX(Demand!$E$6:$S$265,MATCH('SPC Backing (Hide)'!$B254,Demand!$B$6:$B$265,0),MATCH('SPC Backing (Hide)'!N$3,Demand!$E$5:$S$5,0))</f>
        <v>0</v>
      </c>
      <c r="O254" s="5">
        <f>INDEX(Demand!$E$6:$S$265,MATCH('SPC Backing (Hide)'!$B254,Demand!$B$6:$B$265,0),MATCH('SPC Backing (Hide)'!O$3,Demand!$E$5:$S$5,0))</f>
        <v>0</v>
      </c>
      <c r="P254" s="5">
        <f>INDEX(Demand!$E$6:$S$265,MATCH('SPC Backing (Hide)'!$B254,Demand!$B$6:$B$265,0),MATCH('SPC Backing (Hide)'!P$3,Demand!$E$5:$S$5,0))</f>
        <v>0</v>
      </c>
      <c r="Q254" s="6">
        <f>INDEX(Demand!$E$6:$S$265,MATCH('SPC Backing (Hide)'!$B254,Demand!$B$6:$B$265,0),MATCH('SPC Backing (Hide)'!Q$3,Demand!$E$5:$S$5,0))</f>
        <v>0</v>
      </c>
      <c r="R254">
        <f>IF(SPC!$B$11="Yes",IF(ROW(A251)&gt;=Demand!$A$5-52,1,0),IF(AND(B254&gt;=SPC!$B$12,B254&lt;SPC!$B$13),1,0))</f>
        <v>1</v>
      </c>
      <c r="S254" cm="1">
        <f t="array" ref="S254">INDEX($C$4:$Q$263,ROW(A251),MATCH($T$2,$C$3:$Q$3,0))</f>
        <v>0</v>
      </c>
      <c r="T254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254" cm="1">
        <f t="array" ref="U254">ABS(INDEX($C$4:$Q$263,ROW(A251),MATCH($T$2,$C$3:$Q$3,0))-INDEX($C$4:$Q$263,ROW(A250),MATCH($T$2,$C$3:$Q$3,0)))</f>
        <v>0</v>
      </c>
      <c r="V254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254">
        <f t="shared" si="45"/>
        <v>40.813595610865789</v>
      </c>
      <c r="X254">
        <f t="shared" si="46"/>
        <v>108.80449618627055</v>
      </c>
      <c r="Y254">
        <f t="shared" si="47"/>
        <v>149.61809179713634</v>
      </c>
      <c r="Z254">
        <f t="shared" si="48"/>
        <v>190.43168740800212</v>
      </c>
      <c r="AA254">
        <f t="shared" si="49"/>
        <v>272.05887862973373</v>
      </c>
      <c r="AB254">
        <f t="shared" si="50"/>
        <v>312.8724742405995</v>
      </c>
      <c r="AC254">
        <f t="shared" si="51"/>
        <v>353.68606985146528</v>
      </c>
      <c r="AD254">
        <f t="shared" si="52"/>
        <v>0</v>
      </c>
      <c r="AE254">
        <f t="shared" si="59"/>
        <v>-2</v>
      </c>
      <c r="AF254">
        <f t="shared" si="53"/>
        <v>0</v>
      </c>
      <c r="AG254">
        <f t="shared" si="54"/>
        <v>0</v>
      </c>
      <c r="AH254" t="e">
        <f t="shared" si="55"/>
        <v>#N/A</v>
      </c>
      <c r="AI254">
        <f t="shared" si="56"/>
        <v>-1</v>
      </c>
      <c r="AJ254">
        <f t="shared" si="57"/>
        <v>0</v>
      </c>
      <c r="AK254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254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254">
        <f t="shared" si="58"/>
        <v>14.699999999999989</v>
      </c>
    </row>
    <row r="255" spans="2:39" x14ac:dyDescent="0.35">
      <c r="B255" s="12" t="str">
        <f>Demand!B257</f>
        <v/>
      </c>
      <c r="C255" s="7">
        <f>INDEX(Demand!$E$6:$S$265,MATCH('SPC Backing (Hide)'!$B255,Demand!$B$6:$B$265,0),MATCH('SPC Backing (Hide)'!C$3,Demand!$E$5:$S$5,0))</f>
        <v>0</v>
      </c>
      <c r="D255" s="5">
        <f>INDEX(Demand!$E$6:$S$265,MATCH('SPC Backing (Hide)'!$B255,Demand!$B$6:$B$265,0),MATCH('SPC Backing (Hide)'!D$3,Demand!$E$5:$S$5,0))</f>
        <v>0</v>
      </c>
      <c r="E255" s="5">
        <f>INDEX(Demand!$E$6:$S$265,MATCH('SPC Backing (Hide)'!$B255,Demand!$B$6:$B$265,0),MATCH('SPC Backing (Hide)'!E$3,Demand!$E$5:$S$5,0))</f>
        <v>0</v>
      </c>
      <c r="F255" s="5">
        <f>INDEX(Demand!$E$6:$S$265,MATCH('SPC Backing (Hide)'!$B255,Demand!$B$6:$B$265,0),MATCH('SPC Backing (Hide)'!F$3,Demand!$E$5:$S$5,0))</f>
        <v>0</v>
      </c>
      <c r="G255" s="5">
        <f>INDEX(Demand!$E$6:$S$265,MATCH('SPC Backing (Hide)'!$B255,Demand!$B$6:$B$265,0),MATCH('SPC Backing (Hide)'!G$3,Demand!$E$5:$S$5,0))</f>
        <v>0</v>
      </c>
      <c r="H255" s="5">
        <f>INDEX(Demand!$E$6:$S$265,MATCH('SPC Backing (Hide)'!$B255,Demand!$B$6:$B$265,0),MATCH('SPC Backing (Hide)'!H$3,Demand!$E$5:$S$5,0))</f>
        <v>0</v>
      </c>
      <c r="I255" s="5">
        <f>INDEX(Demand!$E$6:$S$265,MATCH('SPC Backing (Hide)'!$B255,Demand!$B$6:$B$265,0),MATCH('SPC Backing (Hide)'!I$3,Demand!$E$5:$S$5,0))</f>
        <v>0</v>
      </c>
      <c r="J255" s="5">
        <f>INDEX(Demand!$E$6:$S$265,MATCH('SPC Backing (Hide)'!$B255,Demand!$B$6:$B$265,0),MATCH('SPC Backing (Hide)'!J$3,Demand!$E$5:$S$5,0))</f>
        <v>0</v>
      </c>
      <c r="K255" s="5">
        <f>INDEX(Demand!$E$6:$S$265,MATCH('SPC Backing (Hide)'!$B255,Demand!$B$6:$B$265,0),MATCH('SPC Backing (Hide)'!K$3,Demand!$E$5:$S$5,0))</f>
        <v>0</v>
      </c>
      <c r="L255" s="5">
        <f>INDEX(Demand!$E$6:$S$265,MATCH('SPC Backing (Hide)'!$B255,Demand!$B$6:$B$265,0),MATCH('SPC Backing (Hide)'!L$3,Demand!$E$5:$S$5,0))</f>
        <v>0</v>
      </c>
      <c r="M255" s="5">
        <f>INDEX(Demand!$E$6:$S$265,MATCH('SPC Backing (Hide)'!$B255,Demand!$B$6:$B$265,0),MATCH('SPC Backing (Hide)'!M$3,Demand!$E$5:$S$5,0))</f>
        <v>0</v>
      </c>
      <c r="N255" s="5">
        <f>INDEX(Demand!$E$6:$S$265,MATCH('SPC Backing (Hide)'!$B255,Demand!$B$6:$B$265,0),MATCH('SPC Backing (Hide)'!N$3,Demand!$E$5:$S$5,0))</f>
        <v>0</v>
      </c>
      <c r="O255" s="5">
        <f>INDEX(Demand!$E$6:$S$265,MATCH('SPC Backing (Hide)'!$B255,Demand!$B$6:$B$265,0),MATCH('SPC Backing (Hide)'!O$3,Demand!$E$5:$S$5,0))</f>
        <v>0</v>
      </c>
      <c r="P255" s="5">
        <f>INDEX(Demand!$E$6:$S$265,MATCH('SPC Backing (Hide)'!$B255,Demand!$B$6:$B$265,0),MATCH('SPC Backing (Hide)'!P$3,Demand!$E$5:$S$5,0))</f>
        <v>0</v>
      </c>
      <c r="Q255" s="6">
        <f>INDEX(Demand!$E$6:$S$265,MATCH('SPC Backing (Hide)'!$B255,Demand!$B$6:$B$265,0),MATCH('SPC Backing (Hide)'!Q$3,Demand!$E$5:$S$5,0))</f>
        <v>0</v>
      </c>
      <c r="R255">
        <f>IF(SPC!$B$11="Yes",IF(ROW(A252)&gt;=Demand!$A$5-52,1,0),IF(AND(B255&gt;=SPC!$B$12,B255&lt;SPC!$B$13),1,0))</f>
        <v>1</v>
      </c>
      <c r="S255" cm="1">
        <f t="array" ref="S255">INDEX($C$4:$Q$263,ROW(A252),MATCH($T$2,$C$3:$Q$3,0))</f>
        <v>0</v>
      </c>
      <c r="T255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255" cm="1">
        <f t="array" ref="U255">ABS(INDEX($C$4:$Q$263,ROW(A252),MATCH($T$2,$C$3:$Q$3,0))-INDEX($C$4:$Q$263,ROW(A251),MATCH($T$2,$C$3:$Q$3,0)))</f>
        <v>0</v>
      </c>
      <c r="V255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255">
        <f t="shared" si="45"/>
        <v>40.813595610865789</v>
      </c>
      <c r="X255">
        <f t="shared" si="46"/>
        <v>108.80449618627055</v>
      </c>
      <c r="Y255">
        <f t="shared" si="47"/>
        <v>149.61809179713634</v>
      </c>
      <c r="Z255">
        <f t="shared" si="48"/>
        <v>190.43168740800212</v>
      </c>
      <c r="AA255">
        <f t="shared" si="49"/>
        <v>272.05887862973373</v>
      </c>
      <c r="AB255">
        <f t="shared" si="50"/>
        <v>312.8724742405995</v>
      </c>
      <c r="AC255">
        <f t="shared" si="51"/>
        <v>353.68606985146528</v>
      </c>
      <c r="AD255">
        <f t="shared" si="52"/>
        <v>0</v>
      </c>
      <c r="AE255">
        <f t="shared" si="59"/>
        <v>-2</v>
      </c>
      <c r="AF255">
        <f t="shared" si="53"/>
        <v>0</v>
      </c>
      <c r="AG255">
        <f t="shared" si="54"/>
        <v>0</v>
      </c>
      <c r="AH255" t="e">
        <f t="shared" si="55"/>
        <v>#N/A</v>
      </c>
      <c r="AI255">
        <f t="shared" si="56"/>
        <v>-1</v>
      </c>
      <c r="AJ255">
        <f t="shared" si="57"/>
        <v>0</v>
      </c>
      <c r="AK255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255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255">
        <f t="shared" si="58"/>
        <v>14.699999999999989</v>
      </c>
    </row>
    <row r="256" spans="2:39" x14ac:dyDescent="0.35">
      <c r="B256" s="12" t="str">
        <f>Demand!B258</f>
        <v/>
      </c>
      <c r="C256" s="7">
        <f>INDEX(Demand!$E$6:$S$265,MATCH('SPC Backing (Hide)'!$B256,Demand!$B$6:$B$265,0),MATCH('SPC Backing (Hide)'!C$3,Demand!$E$5:$S$5,0))</f>
        <v>0</v>
      </c>
      <c r="D256" s="5">
        <f>INDEX(Demand!$E$6:$S$265,MATCH('SPC Backing (Hide)'!$B256,Demand!$B$6:$B$265,0),MATCH('SPC Backing (Hide)'!D$3,Demand!$E$5:$S$5,0))</f>
        <v>0</v>
      </c>
      <c r="E256" s="5">
        <f>INDEX(Demand!$E$6:$S$265,MATCH('SPC Backing (Hide)'!$B256,Demand!$B$6:$B$265,0),MATCH('SPC Backing (Hide)'!E$3,Demand!$E$5:$S$5,0))</f>
        <v>0</v>
      </c>
      <c r="F256" s="5">
        <f>INDEX(Demand!$E$6:$S$265,MATCH('SPC Backing (Hide)'!$B256,Demand!$B$6:$B$265,0),MATCH('SPC Backing (Hide)'!F$3,Demand!$E$5:$S$5,0))</f>
        <v>0</v>
      </c>
      <c r="G256" s="5">
        <f>INDEX(Demand!$E$6:$S$265,MATCH('SPC Backing (Hide)'!$B256,Demand!$B$6:$B$265,0),MATCH('SPC Backing (Hide)'!G$3,Demand!$E$5:$S$5,0))</f>
        <v>0</v>
      </c>
      <c r="H256" s="5">
        <f>INDEX(Demand!$E$6:$S$265,MATCH('SPC Backing (Hide)'!$B256,Demand!$B$6:$B$265,0),MATCH('SPC Backing (Hide)'!H$3,Demand!$E$5:$S$5,0))</f>
        <v>0</v>
      </c>
      <c r="I256" s="5">
        <f>INDEX(Demand!$E$6:$S$265,MATCH('SPC Backing (Hide)'!$B256,Demand!$B$6:$B$265,0),MATCH('SPC Backing (Hide)'!I$3,Demand!$E$5:$S$5,0))</f>
        <v>0</v>
      </c>
      <c r="J256" s="5">
        <f>INDEX(Demand!$E$6:$S$265,MATCH('SPC Backing (Hide)'!$B256,Demand!$B$6:$B$265,0),MATCH('SPC Backing (Hide)'!J$3,Demand!$E$5:$S$5,0))</f>
        <v>0</v>
      </c>
      <c r="K256" s="5">
        <f>INDEX(Demand!$E$6:$S$265,MATCH('SPC Backing (Hide)'!$B256,Demand!$B$6:$B$265,0),MATCH('SPC Backing (Hide)'!K$3,Demand!$E$5:$S$5,0))</f>
        <v>0</v>
      </c>
      <c r="L256" s="5">
        <f>INDEX(Demand!$E$6:$S$265,MATCH('SPC Backing (Hide)'!$B256,Demand!$B$6:$B$265,0),MATCH('SPC Backing (Hide)'!L$3,Demand!$E$5:$S$5,0))</f>
        <v>0</v>
      </c>
      <c r="M256" s="5">
        <f>INDEX(Demand!$E$6:$S$265,MATCH('SPC Backing (Hide)'!$B256,Demand!$B$6:$B$265,0),MATCH('SPC Backing (Hide)'!M$3,Demand!$E$5:$S$5,0))</f>
        <v>0</v>
      </c>
      <c r="N256" s="5">
        <f>INDEX(Demand!$E$6:$S$265,MATCH('SPC Backing (Hide)'!$B256,Demand!$B$6:$B$265,0),MATCH('SPC Backing (Hide)'!N$3,Demand!$E$5:$S$5,0))</f>
        <v>0</v>
      </c>
      <c r="O256" s="5">
        <f>INDEX(Demand!$E$6:$S$265,MATCH('SPC Backing (Hide)'!$B256,Demand!$B$6:$B$265,0),MATCH('SPC Backing (Hide)'!O$3,Demand!$E$5:$S$5,0))</f>
        <v>0</v>
      </c>
      <c r="P256" s="5">
        <f>INDEX(Demand!$E$6:$S$265,MATCH('SPC Backing (Hide)'!$B256,Demand!$B$6:$B$265,0),MATCH('SPC Backing (Hide)'!P$3,Demand!$E$5:$S$5,0))</f>
        <v>0</v>
      </c>
      <c r="Q256" s="6">
        <f>INDEX(Demand!$E$6:$S$265,MATCH('SPC Backing (Hide)'!$B256,Demand!$B$6:$B$265,0),MATCH('SPC Backing (Hide)'!Q$3,Demand!$E$5:$S$5,0))</f>
        <v>0</v>
      </c>
      <c r="R256">
        <f>IF(SPC!$B$11="Yes",IF(ROW(A253)&gt;=Demand!$A$5-52,1,0),IF(AND(B256&gt;=SPC!$B$12,B256&lt;SPC!$B$13),1,0))</f>
        <v>1</v>
      </c>
      <c r="S256" cm="1">
        <f t="array" ref="S256">INDEX($C$4:$Q$263,ROW(A253),MATCH($T$2,$C$3:$Q$3,0))</f>
        <v>0</v>
      </c>
      <c r="T256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256" cm="1">
        <f t="array" ref="U256">ABS(INDEX($C$4:$Q$263,ROW(A253),MATCH($T$2,$C$3:$Q$3,0))-INDEX($C$4:$Q$263,ROW(A252),MATCH($T$2,$C$3:$Q$3,0)))</f>
        <v>0</v>
      </c>
      <c r="V256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256">
        <f t="shared" si="45"/>
        <v>40.813595610865789</v>
      </c>
      <c r="X256">
        <f t="shared" si="46"/>
        <v>108.80449618627055</v>
      </c>
      <c r="Y256">
        <f t="shared" si="47"/>
        <v>149.61809179713634</v>
      </c>
      <c r="Z256">
        <f t="shared" si="48"/>
        <v>190.43168740800212</v>
      </c>
      <c r="AA256">
        <f t="shared" si="49"/>
        <v>272.05887862973373</v>
      </c>
      <c r="AB256">
        <f t="shared" si="50"/>
        <v>312.8724742405995</v>
      </c>
      <c r="AC256">
        <f t="shared" si="51"/>
        <v>353.68606985146528</v>
      </c>
      <c r="AD256">
        <f t="shared" si="52"/>
        <v>0</v>
      </c>
      <c r="AE256">
        <f t="shared" si="59"/>
        <v>-2</v>
      </c>
      <c r="AF256">
        <f t="shared" si="53"/>
        <v>0</v>
      </c>
      <c r="AG256">
        <f t="shared" si="54"/>
        <v>0</v>
      </c>
      <c r="AH256" t="e">
        <f t="shared" si="55"/>
        <v>#N/A</v>
      </c>
      <c r="AI256">
        <f t="shared" si="56"/>
        <v>-1</v>
      </c>
      <c r="AJ256" t="e">
        <f t="shared" si="57"/>
        <v>#N/A</v>
      </c>
      <c r="AK256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256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256">
        <f t="shared" si="58"/>
        <v>14.699999999999989</v>
      </c>
    </row>
    <row r="257" spans="2:39" x14ac:dyDescent="0.35">
      <c r="B257" s="12" t="str">
        <f>Demand!B259</f>
        <v/>
      </c>
      <c r="C257" s="7">
        <f>INDEX(Demand!$E$6:$S$265,MATCH('SPC Backing (Hide)'!$B257,Demand!$B$6:$B$265,0),MATCH('SPC Backing (Hide)'!C$3,Demand!$E$5:$S$5,0))</f>
        <v>0</v>
      </c>
      <c r="D257" s="5">
        <f>INDEX(Demand!$E$6:$S$265,MATCH('SPC Backing (Hide)'!$B257,Demand!$B$6:$B$265,0),MATCH('SPC Backing (Hide)'!D$3,Demand!$E$5:$S$5,0))</f>
        <v>0</v>
      </c>
      <c r="E257" s="5">
        <f>INDEX(Demand!$E$6:$S$265,MATCH('SPC Backing (Hide)'!$B257,Demand!$B$6:$B$265,0),MATCH('SPC Backing (Hide)'!E$3,Demand!$E$5:$S$5,0))</f>
        <v>0</v>
      </c>
      <c r="F257" s="5">
        <f>INDEX(Demand!$E$6:$S$265,MATCH('SPC Backing (Hide)'!$B257,Demand!$B$6:$B$265,0),MATCH('SPC Backing (Hide)'!F$3,Demand!$E$5:$S$5,0))</f>
        <v>0</v>
      </c>
      <c r="G257" s="5">
        <f>INDEX(Demand!$E$6:$S$265,MATCH('SPC Backing (Hide)'!$B257,Demand!$B$6:$B$265,0),MATCH('SPC Backing (Hide)'!G$3,Demand!$E$5:$S$5,0))</f>
        <v>0</v>
      </c>
      <c r="H257" s="5">
        <f>INDEX(Demand!$E$6:$S$265,MATCH('SPC Backing (Hide)'!$B257,Demand!$B$6:$B$265,0),MATCH('SPC Backing (Hide)'!H$3,Demand!$E$5:$S$5,0))</f>
        <v>0</v>
      </c>
      <c r="I257" s="5">
        <f>INDEX(Demand!$E$6:$S$265,MATCH('SPC Backing (Hide)'!$B257,Demand!$B$6:$B$265,0),MATCH('SPC Backing (Hide)'!I$3,Demand!$E$5:$S$5,0))</f>
        <v>0</v>
      </c>
      <c r="J257" s="5">
        <f>INDEX(Demand!$E$6:$S$265,MATCH('SPC Backing (Hide)'!$B257,Demand!$B$6:$B$265,0),MATCH('SPC Backing (Hide)'!J$3,Demand!$E$5:$S$5,0))</f>
        <v>0</v>
      </c>
      <c r="K257" s="5">
        <f>INDEX(Demand!$E$6:$S$265,MATCH('SPC Backing (Hide)'!$B257,Demand!$B$6:$B$265,0),MATCH('SPC Backing (Hide)'!K$3,Demand!$E$5:$S$5,0))</f>
        <v>0</v>
      </c>
      <c r="L257" s="5">
        <f>INDEX(Demand!$E$6:$S$265,MATCH('SPC Backing (Hide)'!$B257,Demand!$B$6:$B$265,0),MATCH('SPC Backing (Hide)'!L$3,Demand!$E$5:$S$5,0))</f>
        <v>0</v>
      </c>
      <c r="M257" s="5">
        <f>INDEX(Demand!$E$6:$S$265,MATCH('SPC Backing (Hide)'!$B257,Demand!$B$6:$B$265,0),MATCH('SPC Backing (Hide)'!M$3,Demand!$E$5:$S$5,0))</f>
        <v>0</v>
      </c>
      <c r="N257" s="5">
        <f>INDEX(Demand!$E$6:$S$265,MATCH('SPC Backing (Hide)'!$B257,Demand!$B$6:$B$265,0),MATCH('SPC Backing (Hide)'!N$3,Demand!$E$5:$S$5,0))</f>
        <v>0</v>
      </c>
      <c r="O257" s="5">
        <f>INDEX(Demand!$E$6:$S$265,MATCH('SPC Backing (Hide)'!$B257,Demand!$B$6:$B$265,0),MATCH('SPC Backing (Hide)'!O$3,Demand!$E$5:$S$5,0))</f>
        <v>0</v>
      </c>
      <c r="P257" s="5">
        <f>INDEX(Demand!$E$6:$S$265,MATCH('SPC Backing (Hide)'!$B257,Demand!$B$6:$B$265,0),MATCH('SPC Backing (Hide)'!P$3,Demand!$E$5:$S$5,0))</f>
        <v>0</v>
      </c>
      <c r="Q257" s="6">
        <f>INDEX(Demand!$E$6:$S$265,MATCH('SPC Backing (Hide)'!$B257,Demand!$B$6:$B$265,0),MATCH('SPC Backing (Hide)'!Q$3,Demand!$E$5:$S$5,0))</f>
        <v>0</v>
      </c>
      <c r="R257">
        <f>IF(SPC!$B$11="Yes",IF(ROW(A254)&gt;=Demand!$A$5-52,1,0),IF(AND(B257&gt;=SPC!$B$12,B257&lt;SPC!$B$13),1,0))</f>
        <v>1</v>
      </c>
      <c r="S257" cm="1">
        <f t="array" ref="S257">INDEX($C$4:$Q$263,ROW(A254),MATCH($T$2,$C$3:$Q$3,0))</f>
        <v>0</v>
      </c>
      <c r="T257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257" cm="1">
        <f t="array" ref="U257">ABS(INDEX($C$4:$Q$263,ROW(A254),MATCH($T$2,$C$3:$Q$3,0))-INDEX($C$4:$Q$263,ROW(A253),MATCH($T$2,$C$3:$Q$3,0)))</f>
        <v>0</v>
      </c>
      <c r="V257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257">
        <f t="shared" si="45"/>
        <v>40.813595610865789</v>
      </c>
      <c r="X257">
        <f t="shared" si="46"/>
        <v>108.80449618627055</v>
      </c>
      <c r="Y257">
        <f t="shared" si="47"/>
        <v>149.61809179713634</v>
      </c>
      <c r="Z257">
        <f t="shared" si="48"/>
        <v>190.43168740800212</v>
      </c>
      <c r="AA257">
        <f t="shared" si="49"/>
        <v>272.05887862973373</v>
      </c>
      <c r="AB257">
        <f t="shared" si="50"/>
        <v>312.8724742405995</v>
      </c>
      <c r="AC257">
        <f t="shared" si="51"/>
        <v>353.68606985146528</v>
      </c>
      <c r="AD257">
        <f t="shared" si="52"/>
        <v>0</v>
      </c>
      <c r="AE257">
        <f t="shared" si="59"/>
        <v>-2</v>
      </c>
      <c r="AF257">
        <f t="shared" si="53"/>
        <v>0</v>
      </c>
      <c r="AG257">
        <f t="shared" si="54"/>
        <v>0</v>
      </c>
      <c r="AH257" t="e">
        <f t="shared" si="55"/>
        <v>#N/A</v>
      </c>
      <c r="AI257">
        <f t="shared" si="56"/>
        <v>-1</v>
      </c>
      <c r="AJ257" t="e">
        <f t="shared" si="57"/>
        <v>#N/A</v>
      </c>
      <c r="AK257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257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257">
        <f t="shared" si="58"/>
        <v>14.699999999999989</v>
      </c>
    </row>
    <row r="258" spans="2:39" x14ac:dyDescent="0.35">
      <c r="B258" s="12" t="str">
        <f>Demand!B260</f>
        <v/>
      </c>
      <c r="C258" s="7">
        <f>INDEX(Demand!$E$6:$S$265,MATCH('SPC Backing (Hide)'!$B258,Demand!$B$6:$B$265,0),MATCH('SPC Backing (Hide)'!C$3,Demand!$E$5:$S$5,0))</f>
        <v>0</v>
      </c>
      <c r="D258" s="5">
        <f>INDEX(Demand!$E$6:$S$265,MATCH('SPC Backing (Hide)'!$B258,Demand!$B$6:$B$265,0),MATCH('SPC Backing (Hide)'!D$3,Demand!$E$5:$S$5,0))</f>
        <v>0</v>
      </c>
      <c r="E258" s="5">
        <f>INDEX(Demand!$E$6:$S$265,MATCH('SPC Backing (Hide)'!$B258,Demand!$B$6:$B$265,0),MATCH('SPC Backing (Hide)'!E$3,Demand!$E$5:$S$5,0))</f>
        <v>0</v>
      </c>
      <c r="F258" s="5">
        <f>INDEX(Demand!$E$6:$S$265,MATCH('SPC Backing (Hide)'!$B258,Demand!$B$6:$B$265,0),MATCH('SPC Backing (Hide)'!F$3,Demand!$E$5:$S$5,0))</f>
        <v>0</v>
      </c>
      <c r="G258" s="5">
        <f>INDEX(Demand!$E$6:$S$265,MATCH('SPC Backing (Hide)'!$B258,Demand!$B$6:$B$265,0),MATCH('SPC Backing (Hide)'!G$3,Demand!$E$5:$S$5,0))</f>
        <v>0</v>
      </c>
      <c r="H258" s="5">
        <f>INDEX(Demand!$E$6:$S$265,MATCH('SPC Backing (Hide)'!$B258,Demand!$B$6:$B$265,0),MATCH('SPC Backing (Hide)'!H$3,Demand!$E$5:$S$5,0))</f>
        <v>0</v>
      </c>
      <c r="I258" s="5">
        <f>INDEX(Demand!$E$6:$S$265,MATCH('SPC Backing (Hide)'!$B258,Demand!$B$6:$B$265,0),MATCH('SPC Backing (Hide)'!I$3,Demand!$E$5:$S$5,0))</f>
        <v>0</v>
      </c>
      <c r="J258" s="5">
        <f>INDEX(Demand!$E$6:$S$265,MATCH('SPC Backing (Hide)'!$B258,Demand!$B$6:$B$265,0),MATCH('SPC Backing (Hide)'!J$3,Demand!$E$5:$S$5,0))</f>
        <v>0</v>
      </c>
      <c r="K258" s="5">
        <f>INDEX(Demand!$E$6:$S$265,MATCH('SPC Backing (Hide)'!$B258,Demand!$B$6:$B$265,0),MATCH('SPC Backing (Hide)'!K$3,Demand!$E$5:$S$5,0))</f>
        <v>0</v>
      </c>
      <c r="L258" s="5">
        <f>INDEX(Demand!$E$6:$S$265,MATCH('SPC Backing (Hide)'!$B258,Demand!$B$6:$B$265,0),MATCH('SPC Backing (Hide)'!L$3,Demand!$E$5:$S$5,0))</f>
        <v>0</v>
      </c>
      <c r="M258" s="5">
        <f>INDEX(Demand!$E$6:$S$265,MATCH('SPC Backing (Hide)'!$B258,Demand!$B$6:$B$265,0),MATCH('SPC Backing (Hide)'!M$3,Demand!$E$5:$S$5,0))</f>
        <v>0</v>
      </c>
      <c r="N258" s="5">
        <f>INDEX(Demand!$E$6:$S$265,MATCH('SPC Backing (Hide)'!$B258,Demand!$B$6:$B$265,0),MATCH('SPC Backing (Hide)'!N$3,Demand!$E$5:$S$5,0))</f>
        <v>0</v>
      </c>
      <c r="O258" s="5">
        <f>INDEX(Demand!$E$6:$S$265,MATCH('SPC Backing (Hide)'!$B258,Demand!$B$6:$B$265,0),MATCH('SPC Backing (Hide)'!O$3,Demand!$E$5:$S$5,0))</f>
        <v>0</v>
      </c>
      <c r="P258" s="5">
        <f>INDEX(Demand!$E$6:$S$265,MATCH('SPC Backing (Hide)'!$B258,Demand!$B$6:$B$265,0),MATCH('SPC Backing (Hide)'!P$3,Demand!$E$5:$S$5,0))</f>
        <v>0</v>
      </c>
      <c r="Q258" s="6">
        <f>INDEX(Demand!$E$6:$S$265,MATCH('SPC Backing (Hide)'!$B258,Demand!$B$6:$B$265,0),MATCH('SPC Backing (Hide)'!Q$3,Demand!$E$5:$S$5,0))</f>
        <v>0</v>
      </c>
      <c r="R258">
        <f>IF(SPC!$B$11="Yes",IF(ROW(A255)&gt;=Demand!$A$5-52,1,0),IF(AND(B258&gt;=SPC!$B$12,B258&lt;SPC!$B$13),1,0))</f>
        <v>1</v>
      </c>
      <c r="S258" cm="1">
        <f t="array" ref="S258">INDEX($C$4:$Q$263,ROW(A255),MATCH($T$2,$C$3:$Q$3,0))</f>
        <v>0</v>
      </c>
      <c r="T258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258" cm="1">
        <f t="array" ref="U258">ABS(INDEX($C$4:$Q$263,ROW(A255),MATCH($T$2,$C$3:$Q$3,0))-INDEX($C$4:$Q$263,ROW(A254),MATCH($T$2,$C$3:$Q$3,0)))</f>
        <v>0</v>
      </c>
      <c r="V258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258">
        <f t="shared" si="45"/>
        <v>40.813595610865789</v>
      </c>
      <c r="X258">
        <f t="shared" si="46"/>
        <v>108.80449618627055</v>
      </c>
      <c r="Y258">
        <f t="shared" si="47"/>
        <v>149.61809179713634</v>
      </c>
      <c r="Z258">
        <f t="shared" si="48"/>
        <v>190.43168740800212</v>
      </c>
      <c r="AA258">
        <f t="shared" si="49"/>
        <v>272.05887862973373</v>
      </c>
      <c r="AB258">
        <f t="shared" si="50"/>
        <v>312.8724742405995</v>
      </c>
      <c r="AC258">
        <f t="shared" si="51"/>
        <v>353.68606985146528</v>
      </c>
      <c r="AD258">
        <f t="shared" si="52"/>
        <v>0</v>
      </c>
      <c r="AE258">
        <f t="shared" si="59"/>
        <v>-2</v>
      </c>
      <c r="AF258">
        <f t="shared" si="53"/>
        <v>0</v>
      </c>
      <c r="AG258">
        <f t="shared" si="54"/>
        <v>0</v>
      </c>
      <c r="AH258" t="e">
        <f t="shared" si="55"/>
        <v>#N/A</v>
      </c>
      <c r="AI258">
        <f t="shared" si="56"/>
        <v>-1</v>
      </c>
      <c r="AJ258" t="e">
        <f t="shared" si="57"/>
        <v>#N/A</v>
      </c>
      <c r="AK258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258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258">
        <f t="shared" si="58"/>
        <v>14.699999999999989</v>
      </c>
    </row>
    <row r="259" spans="2:39" x14ac:dyDescent="0.35">
      <c r="B259" s="12" t="str">
        <f>Demand!B261</f>
        <v/>
      </c>
      <c r="C259" s="7">
        <f>INDEX(Demand!$E$6:$S$265,MATCH('SPC Backing (Hide)'!$B259,Demand!$B$6:$B$265,0),MATCH('SPC Backing (Hide)'!C$3,Demand!$E$5:$S$5,0))</f>
        <v>0</v>
      </c>
      <c r="D259" s="5">
        <f>INDEX(Demand!$E$6:$S$265,MATCH('SPC Backing (Hide)'!$B259,Demand!$B$6:$B$265,0),MATCH('SPC Backing (Hide)'!D$3,Demand!$E$5:$S$5,0))</f>
        <v>0</v>
      </c>
      <c r="E259" s="5">
        <f>INDEX(Demand!$E$6:$S$265,MATCH('SPC Backing (Hide)'!$B259,Demand!$B$6:$B$265,0),MATCH('SPC Backing (Hide)'!E$3,Demand!$E$5:$S$5,0))</f>
        <v>0</v>
      </c>
      <c r="F259" s="5">
        <f>INDEX(Demand!$E$6:$S$265,MATCH('SPC Backing (Hide)'!$B259,Demand!$B$6:$B$265,0),MATCH('SPC Backing (Hide)'!F$3,Demand!$E$5:$S$5,0))</f>
        <v>0</v>
      </c>
      <c r="G259" s="5">
        <f>INDEX(Demand!$E$6:$S$265,MATCH('SPC Backing (Hide)'!$B259,Demand!$B$6:$B$265,0),MATCH('SPC Backing (Hide)'!G$3,Demand!$E$5:$S$5,0))</f>
        <v>0</v>
      </c>
      <c r="H259" s="5">
        <f>INDEX(Demand!$E$6:$S$265,MATCH('SPC Backing (Hide)'!$B259,Demand!$B$6:$B$265,0),MATCH('SPC Backing (Hide)'!H$3,Demand!$E$5:$S$5,0))</f>
        <v>0</v>
      </c>
      <c r="I259" s="5">
        <f>INDEX(Demand!$E$6:$S$265,MATCH('SPC Backing (Hide)'!$B259,Demand!$B$6:$B$265,0),MATCH('SPC Backing (Hide)'!I$3,Demand!$E$5:$S$5,0))</f>
        <v>0</v>
      </c>
      <c r="J259" s="5">
        <f>INDEX(Demand!$E$6:$S$265,MATCH('SPC Backing (Hide)'!$B259,Demand!$B$6:$B$265,0),MATCH('SPC Backing (Hide)'!J$3,Demand!$E$5:$S$5,0))</f>
        <v>0</v>
      </c>
      <c r="K259" s="5">
        <f>INDEX(Demand!$E$6:$S$265,MATCH('SPC Backing (Hide)'!$B259,Demand!$B$6:$B$265,0),MATCH('SPC Backing (Hide)'!K$3,Demand!$E$5:$S$5,0))</f>
        <v>0</v>
      </c>
      <c r="L259" s="5">
        <f>INDEX(Demand!$E$6:$S$265,MATCH('SPC Backing (Hide)'!$B259,Demand!$B$6:$B$265,0),MATCH('SPC Backing (Hide)'!L$3,Demand!$E$5:$S$5,0))</f>
        <v>0</v>
      </c>
      <c r="M259" s="5">
        <f>INDEX(Demand!$E$6:$S$265,MATCH('SPC Backing (Hide)'!$B259,Demand!$B$6:$B$265,0),MATCH('SPC Backing (Hide)'!M$3,Demand!$E$5:$S$5,0))</f>
        <v>0</v>
      </c>
      <c r="N259" s="5">
        <f>INDEX(Demand!$E$6:$S$265,MATCH('SPC Backing (Hide)'!$B259,Demand!$B$6:$B$265,0),MATCH('SPC Backing (Hide)'!N$3,Demand!$E$5:$S$5,0))</f>
        <v>0</v>
      </c>
      <c r="O259" s="5">
        <f>INDEX(Demand!$E$6:$S$265,MATCH('SPC Backing (Hide)'!$B259,Demand!$B$6:$B$265,0),MATCH('SPC Backing (Hide)'!O$3,Demand!$E$5:$S$5,0))</f>
        <v>0</v>
      </c>
      <c r="P259" s="5">
        <f>INDEX(Demand!$E$6:$S$265,MATCH('SPC Backing (Hide)'!$B259,Demand!$B$6:$B$265,0),MATCH('SPC Backing (Hide)'!P$3,Demand!$E$5:$S$5,0))</f>
        <v>0</v>
      </c>
      <c r="Q259" s="6">
        <f>INDEX(Demand!$E$6:$S$265,MATCH('SPC Backing (Hide)'!$B259,Demand!$B$6:$B$265,0),MATCH('SPC Backing (Hide)'!Q$3,Demand!$E$5:$S$5,0))</f>
        <v>0</v>
      </c>
      <c r="R259">
        <f>IF(SPC!$B$11="Yes",IF(ROW(A256)&gt;=Demand!$A$5-52,1,0),IF(AND(B259&gt;=SPC!$B$12,B259&lt;SPC!$B$13),1,0))</f>
        <v>1</v>
      </c>
      <c r="S259" cm="1">
        <f t="array" ref="S259">INDEX($C$4:$Q$263,ROW(A256),MATCH($T$2,$C$3:$Q$3,0))</f>
        <v>0</v>
      </c>
      <c r="T259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259" cm="1">
        <f t="array" ref="U259">ABS(INDEX($C$4:$Q$263,ROW(A256),MATCH($T$2,$C$3:$Q$3,0))-INDEX($C$4:$Q$263,ROW(A255),MATCH($T$2,$C$3:$Q$3,0)))</f>
        <v>0</v>
      </c>
      <c r="V259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259">
        <f t="shared" si="45"/>
        <v>40.813595610865789</v>
      </c>
      <c r="X259">
        <f t="shared" si="46"/>
        <v>108.80449618627055</v>
      </c>
      <c r="Y259">
        <f t="shared" si="47"/>
        <v>149.61809179713634</v>
      </c>
      <c r="Z259">
        <f t="shared" si="48"/>
        <v>190.43168740800212</v>
      </c>
      <c r="AA259">
        <f t="shared" si="49"/>
        <v>272.05887862973373</v>
      </c>
      <c r="AB259">
        <f t="shared" si="50"/>
        <v>312.8724742405995</v>
      </c>
      <c r="AC259">
        <f t="shared" si="51"/>
        <v>353.68606985146528</v>
      </c>
      <c r="AD259">
        <f t="shared" si="52"/>
        <v>0</v>
      </c>
      <c r="AE259">
        <f t="shared" si="59"/>
        <v>-2</v>
      </c>
      <c r="AF259">
        <f t="shared" si="53"/>
        <v>0</v>
      </c>
      <c r="AG259">
        <f t="shared" si="54"/>
        <v>0</v>
      </c>
      <c r="AH259" t="e">
        <f t="shared" si="55"/>
        <v>#N/A</v>
      </c>
      <c r="AI259">
        <f t="shared" si="56"/>
        <v>-1</v>
      </c>
      <c r="AJ259" t="e">
        <f t="shared" si="57"/>
        <v>#N/A</v>
      </c>
      <c r="AK259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259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259">
        <f t="shared" si="58"/>
        <v>14.699999999999989</v>
      </c>
    </row>
    <row r="260" spans="2:39" x14ac:dyDescent="0.35">
      <c r="B260" s="12" t="str">
        <f>Demand!B262</f>
        <v/>
      </c>
      <c r="C260" s="7">
        <f>INDEX(Demand!$E$6:$S$265,MATCH('SPC Backing (Hide)'!$B260,Demand!$B$6:$B$265,0),MATCH('SPC Backing (Hide)'!C$3,Demand!$E$5:$S$5,0))</f>
        <v>0</v>
      </c>
      <c r="D260" s="5">
        <f>INDEX(Demand!$E$6:$S$265,MATCH('SPC Backing (Hide)'!$B260,Demand!$B$6:$B$265,0),MATCH('SPC Backing (Hide)'!D$3,Demand!$E$5:$S$5,0))</f>
        <v>0</v>
      </c>
      <c r="E260" s="5">
        <f>INDEX(Demand!$E$6:$S$265,MATCH('SPC Backing (Hide)'!$B260,Demand!$B$6:$B$265,0),MATCH('SPC Backing (Hide)'!E$3,Demand!$E$5:$S$5,0))</f>
        <v>0</v>
      </c>
      <c r="F260" s="5">
        <f>INDEX(Demand!$E$6:$S$265,MATCH('SPC Backing (Hide)'!$B260,Demand!$B$6:$B$265,0),MATCH('SPC Backing (Hide)'!F$3,Demand!$E$5:$S$5,0))</f>
        <v>0</v>
      </c>
      <c r="G260" s="5">
        <f>INDEX(Demand!$E$6:$S$265,MATCH('SPC Backing (Hide)'!$B260,Demand!$B$6:$B$265,0),MATCH('SPC Backing (Hide)'!G$3,Demand!$E$5:$S$5,0))</f>
        <v>0</v>
      </c>
      <c r="H260" s="5">
        <f>INDEX(Demand!$E$6:$S$265,MATCH('SPC Backing (Hide)'!$B260,Demand!$B$6:$B$265,0),MATCH('SPC Backing (Hide)'!H$3,Demand!$E$5:$S$5,0))</f>
        <v>0</v>
      </c>
      <c r="I260" s="5">
        <f>INDEX(Demand!$E$6:$S$265,MATCH('SPC Backing (Hide)'!$B260,Demand!$B$6:$B$265,0),MATCH('SPC Backing (Hide)'!I$3,Demand!$E$5:$S$5,0))</f>
        <v>0</v>
      </c>
      <c r="J260" s="5">
        <f>INDEX(Demand!$E$6:$S$265,MATCH('SPC Backing (Hide)'!$B260,Demand!$B$6:$B$265,0),MATCH('SPC Backing (Hide)'!J$3,Demand!$E$5:$S$5,0))</f>
        <v>0</v>
      </c>
      <c r="K260" s="5">
        <f>INDEX(Demand!$E$6:$S$265,MATCH('SPC Backing (Hide)'!$B260,Demand!$B$6:$B$265,0),MATCH('SPC Backing (Hide)'!K$3,Demand!$E$5:$S$5,0))</f>
        <v>0</v>
      </c>
      <c r="L260" s="5">
        <f>INDEX(Demand!$E$6:$S$265,MATCH('SPC Backing (Hide)'!$B260,Demand!$B$6:$B$265,0),MATCH('SPC Backing (Hide)'!L$3,Demand!$E$5:$S$5,0))</f>
        <v>0</v>
      </c>
      <c r="M260" s="5">
        <f>INDEX(Demand!$E$6:$S$265,MATCH('SPC Backing (Hide)'!$B260,Demand!$B$6:$B$265,0),MATCH('SPC Backing (Hide)'!M$3,Demand!$E$5:$S$5,0))</f>
        <v>0</v>
      </c>
      <c r="N260" s="5">
        <f>INDEX(Demand!$E$6:$S$265,MATCH('SPC Backing (Hide)'!$B260,Demand!$B$6:$B$265,0),MATCH('SPC Backing (Hide)'!N$3,Demand!$E$5:$S$5,0))</f>
        <v>0</v>
      </c>
      <c r="O260" s="5">
        <f>INDEX(Demand!$E$6:$S$265,MATCH('SPC Backing (Hide)'!$B260,Demand!$B$6:$B$265,0),MATCH('SPC Backing (Hide)'!O$3,Demand!$E$5:$S$5,0))</f>
        <v>0</v>
      </c>
      <c r="P260" s="5">
        <f>INDEX(Demand!$E$6:$S$265,MATCH('SPC Backing (Hide)'!$B260,Demand!$B$6:$B$265,0),MATCH('SPC Backing (Hide)'!P$3,Demand!$E$5:$S$5,0))</f>
        <v>0</v>
      </c>
      <c r="Q260" s="6">
        <f>INDEX(Demand!$E$6:$S$265,MATCH('SPC Backing (Hide)'!$B260,Demand!$B$6:$B$265,0),MATCH('SPC Backing (Hide)'!Q$3,Demand!$E$5:$S$5,0))</f>
        <v>0</v>
      </c>
      <c r="R260">
        <f>IF(SPC!$B$11="Yes",IF(ROW(A257)&gt;=Demand!$A$5-52,1,0),IF(AND(B260&gt;=SPC!$B$12,B260&lt;SPC!$B$13),1,0))</f>
        <v>1</v>
      </c>
      <c r="S260" cm="1">
        <f t="array" ref="S260">INDEX($C$4:$Q$263,ROW(A257),MATCH($T$2,$C$3:$Q$3,0))</f>
        <v>0</v>
      </c>
      <c r="T260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260" cm="1">
        <f t="array" ref="U260">ABS(INDEX($C$4:$Q$263,ROW(A257),MATCH($T$2,$C$3:$Q$3,0))-INDEX($C$4:$Q$263,ROW(A256),MATCH($T$2,$C$3:$Q$3,0)))</f>
        <v>0</v>
      </c>
      <c r="V260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260">
        <f t="shared" si="45"/>
        <v>40.813595610865789</v>
      </c>
      <c r="X260">
        <f t="shared" si="46"/>
        <v>108.80449618627055</v>
      </c>
      <c r="Y260">
        <f t="shared" si="47"/>
        <v>149.61809179713634</v>
      </c>
      <c r="Z260">
        <f t="shared" si="48"/>
        <v>190.43168740800212</v>
      </c>
      <c r="AA260">
        <f t="shared" si="49"/>
        <v>272.05887862973373</v>
      </c>
      <c r="AB260">
        <f t="shared" si="50"/>
        <v>312.8724742405995</v>
      </c>
      <c r="AC260">
        <f t="shared" si="51"/>
        <v>353.68606985146528</v>
      </c>
      <c r="AD260">
        <f t="shared" si="52"/>
        <v>0</v>
      </c>
      <c r="AE260">
        <f t="shared" si="59"/>
        <v>-2</v>
      </c>
      <c r="AF260">
        <f t="shared" si="53"/>
        <v>0</v>
      </c>
      <c r="AG260">
        <f t="shared" si="54"/>
        <v>0</v>
      </c>
      <c r="AH260" t="e">
        <f t="shared" si="55"/>
        <v>#N/A</v>
      </c>
      <c r="AI260">
        <f t="shared" si="56"/>
        <v>-1</v>
      </c>
      <c r="AJ260" t="e">
        <f t="shared" si="57"/>
        <v>#N/A</v>
      </c>
      <c r="AK260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260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260">
        <f t="shared" si="58"/>
        <v>14.699999999999989</v>
      </c>
    </row>
    <row r="261" spans="2:39" x14ac:dyDescent="0.35">
      <c r="B261" s="12" t="str">
        <f>Demand!B263</f>
        <v/>
      </c>
      <c r="C261" s="7">
        <f>INDEX(Demand!$E$6:$S$265,MATCH('SPC Backing (Hide)'!$B261,Demand!$B$6:$B$265,0),MATCH('SPC Backing (Hide)'!C$3,Demand!$E$5:$S$5,0))</f>
        <v>0</v>
      </c>
      <c r="D261" s="5">
        <f>INDEX(Demand!$E$6:$S$265,MATCH('SPC Backing (Hide)'!$B261,Demand!$B$6:$B$265,0),MATCH('SPC Backing (Hide)'!D$3,Demand!$E$5:$S$5,0))</f>
        <v>0</v>
      </c>
      <c r="E261" s="5">
        <f>INDEX(Demand!$E$6:$S$265,MATCH('SPC Backing (Hide)'!$B261,Demand!$B$6:$B$265,0),MATCH('SPC Backing (Hide)'!E$3,Demand!$E$5:$S$5,0))</f>
        <v>0</v>
      </c>
      <c r="F261" s="5">
        <f>INDEX(Demand!$E$6:$S$265,MATCH('SPC Backing (Hide)'!$B261,Demand!$B$6:$B$265,0),MATCH('SPC Backing (Hide)'!F$3,Demand!$E$5:$S$5,0))</f>
        <v>0</v>
      </c>
      <c r="G261" s="5">
        <f>INDEX(Demand!$E$6:$S$265,MATCH('SPC Backing (Hide)'!$B261,Demand!$B$6:$B$265,0),MATCH('SPC Backing (Hide)'!G$3,Demand!$E$5:$S$5,0))</f>
        <v>0</v>
      </c>
      <c r="H261" s="5">
        <f>INDEX(Demand!$E$6:$S$265,MATCH('SPC Backing (Hide)'!$B261,Demand!$B$6:$B$265,0),MATCH('SPC Backing (Hide)'!H$3,Demand!$E$5:$S$5,0))</f>
        <v>0</v>
      </c>
      <c r="I261" s="5">
        <f>INDEX(Demand!$E$6:$S$265,MATCH('SPC Backing (Hide)'!$B261,Demand!$B$6:$B$265,0),MATCH('SPC Backing (Hide)'!I$3,Demand!$E$5:$S$5,0))</f>
        <v>0</v>
      </c>
      <c r="J261" s="5">
        <f>INDEX(Demand!$E$6:$S$265,MATCH('SPC Backing (Hide)'!$B261,Demand!$B$6:$B$265,0),MATCH('SPC Backing (Hide)'!J$3,Demand!$E$5:$S$5,0))</f>
        <v>0</v>
      </c>
      <c r="K261" s="5">
        <f>INDEX(Demand!$E$6:$S$265,MATCH('SPC Backing (Hide)'!$B261,Demand!$B$6:$B$265,0),MATCH('SPC Backing (Hide)'!K$3,Demand!$E$5:$S$5,0))</f>
        <v>0</v>
      </c>
      <c r="L261" s="5">
        <f>INDEX(Demand!$E$6:$S$265,MATCH('SPC Backing (Hide)'!$B261,Demand!$B$6:$B$265,0),MATCH('SPC Backing (Hide)'!L$3,Demand!$E$5:$S$5,0))</f>
        <v>0</v>
      </c>
      <c r="M261" s="5">
        <f>INDEX(Demand!$E$6:$S$265,MATCH('SPC Backing (Hide)'!$B261,Demand!$B$6:$B$265,0),MATCH('SPC Backing (Hide)'!M$3,Demand!$E$5:$S$5,0))</f>
        <v>0</v>
      </c>
      <c r="N261" s="5">
        <f>INDEX(Demand!$E$6:$S$265,MATCH('SPC Backing (Hide)'!$B261,Demand!$B$6:$B$265,0),MATCH('SPC Backing (Hide)'!N$3,Demand!$E$5:$S$5,0))</f>
        <v>0</v>
      </c>
      <c r="O261" s="5">
        <f>INDEX(Demand!$E$6:$S$265,MATCH('SPC Backing (Hide)'!$B261,Demand!$B$6:$B$265,0),MATCH('SPC Backing (Hide)'!O$3,Demand!$E$5:$S$5,0))</f>
        <v>0</v>
      </c>
      <c r="P261" s="5">
        <f>INDEX(Demand!$E$6:$S$265,MATCH('SPC Backing (Hide)'!$B261,Demand!$B$6:$B$265,0),MATCH('SPC Backing (Hide)'!P$3,Demand!$E$5:$S$5,0))</f>
        <v>0</v>
      </c>
      <c r="Q261" s="6">
        <f>INDEX(Demand!$E$6:$S$265,MATCH('SPC Backing (Hide)'!$B261,Demand!$B$6:$B$265,0),MATCH('SPC Backing (Hide)'!Q$3,Demand!$E$5:$S$5,0))</f>
        <v>0</v>
      </c>
      <c r="R261">
        <f>IF(SPC!$B$11="Yes",IF(ROW(A258)&gt;=Demand!$A$5-52,1,0),IF(AND(B261&gt;=SPC!$B$12,B261&lt;SPC!$B$13),1,0))</f>
        <v>1</v>
      </c>
      <c r="S261" cm="1">
        <f t="array" ref="S261">INDEX($C$4:$Q$263,ROW(A258),MATCH($T$2,$C$3:$Q$3,0))</f>
        <v>0</v>
      </c>
      <c r="T261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261" cm="1">
        <f t="array" ref="U261">ABS(INDEX($C$4:$Q$263,ROW(A258),MATCH($T$2,$C$3:$Q$3,0))-INDEX($C$4:$Q$263,ROW(A257),MATCH($T$2,$C$3:$Q$3,0)))</f>
        <v>0</v>
      </c>
      <c r="V261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261">
        <f>V261/1.128</f>
        <v>40.813595610865789</v>
      </c>
      <c r="X261">
        <f>MAX(0,T261-(3*W261))</f>
        <v>108.80449618627055</v>
      </c>
      <c r="Y261">
        <f>MAX(0,T261-(2*W261))</f>
        <v>149.61809179713634</v>
      </c>
      <c r="Z261">
        <f>MAX(0,T261-W261)</f>
        <v>190.43168740800212</v>
      </c>
      <c r="AA261">
        <f>T261+W261</f>
        <v>272.05887862973373</v>
      </c>
      <c r="AB261">
        <f>T261+(2*W261)</f>
        <v>312.8724742405995</v>
      </c>
      <c r="AC261">
        <f>T261+(3*W261)</f>
        <v>353.68606985146528</v>
      </c>
      <c r="AD261">
        <f>IF(OR(S261&gt;AC261,S261&lt;X261),S261,NA())</f>
        <v>0</v>
      </c>
      <c r="AE261">
        <f t="shared" si="59"/>
        <v>-2</v>
      </c>
      <c r="AF261">
        <f>IF(ABS(SUM(AE261:AE263))&gt;=5,S261,NA())</f>
        <v>0</v>
      </c>
      <c r="AG261">
        <f>IF(S262&gt;S261,1,IF(S262&lt;S261,-1,0))</f>
        <v>0</v>
      </c>
      <c r="AH261" t="e">
        <f>IF(ABS(SUM(AG261:AG266))=6,S261,NA())</f>
        <v>#N/A</v>
      </c>
      <c r="AI261">
        <f>IF(S261&lt;T261,-1,IF(S261&gt;T261,1,0))</f>
        <v>-1</v>
      </c>
      <c r="AJ261" t="e">
        <f>IF(ABS(SUM(AI261:AI269))=9,S261,NA())</f>
        <v>#N/A</v>
      </c>
      <c r="AK261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261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261">
        <f>AL261-AK261</f>
        <v>14.699999999999989</v>
      </c>
    </row>
    <row r="262" spans="2:39" x14ac:dyDescent="0.35">
      <c r="B262" s="12" t="str">
        <f>Demand!B264</f>
        <v/>
      </c>
      <c r="C262" s="7">
        <f>INDEX(Demand!$E$6:$S$265,MATCH('SPC Backing (Hide)'!$B262,Demand!$B$6:$B$265,0),MATCH('SPC Backing (Hide)'!C$3,Demand!$E$5:$S$5,0))</f>
        <v>0</v>
      </c>
      <c r="D262" s="5">
        <f>INDEX(Demand!$E$6:$S$265,MATCH('SPC Backing (Hide)'!$B262,Demand!$B$6:$B$265,0),MATCH('SPC Backing (Hide)'!D$3,Demand!$E$5:$S$5,0))</f>
        <v>0</v>
      </c>
      <c r="E262" s="5">
        <f>INDEX(Demand!$E$6:$S$265,MATCH('SPC Backing (Hide)'!$B262,Demand!$B$6:$B$265,0),MATCH('SPC Backing (Hide)'!E$3,Demand!$E$5:$S$5,0))</f>
        <v>0</v>
      </c>
      <c r="F262" s="5">
        <f>INDEX(Demand!$E$6:$S$265,MATCH('SPC Backing (Hide)'!$B262,Demand!$B$6:$B$265,0),MATCH('SPC Backing (Hide)'!F$3,Demand!$E$5:$S$5,0))</f>
        <v>0</v>
      </c>
      <c r="G262" s="5">
        <f>INDEX(Demand!$E$6:$S$265,MATCH('SPC Backing (Hide)'!$B262,Demand!$B$6:$B$265,0),MATCH('SPC Backing (Hide)'!G$3,Demand!$E$5:$S$5,0))</f>
        <v>0</v>
      </c>
      <c r="H262" s="5">
        <f>INDEX(Demand!$E$6:$S$265,MATCH('SPC Backing (Hide)'!$B262,Demand!$B$6:$B$265,0),MATCH('SPC Backing (Hide)'!H$3,Demand!$E$5:$S$5,0))</f>
        <v>0</v>
      </c>
      <c r="I262" s="5">
        <f>INDEX(Demand!$E$6:$S$265,MATCH('SPC Backing (Hide)'!$B262,Demand!$B$6:$B$265,0),MATCH('SPC Backing (Hide)'!I$3,Demand!$E$5:$S$5,0))</f>
        <v>0</v>
      </c>
      <c r="J262" s="5">
        <f>INDEX(Demand!$E$6:$S$265,MATCH('SPC Backing (Hide)'!$B262,Demand!$B$6:$B$265,0),MATCH('SPC Backing (Hide)'!J$3,Demand!$E$5:$S$5,0))</f>
        <v>0</v>
      </c>
      <c r="K262" s="5">
        <f>INDEX(Demand!$E$6:$S$265,MATCH('SPC Backing (Hide)'!$B262,Demand!$B$6:$B$265,0),MATCH('SPC Backing (Hide)'!K$3,Demand!$E$5:$S$5,0))</f>
        <v>0</v>
      </c>
      <c r="L262" s="5">
        <f>INDEX(Demand!$E$6:$S$265,MATCH('SPC Backing (Hide)'!$B262,Demand!$B$6:$B$265,0),MATCH('SPC Backing (Hide)'!L$3,Demand!$E$5:$S$5,0))</f>
        <v>0</v>
      </c>
      <c r="M262" s="5">
        <f>INDEX(Demand!$E$6:$S$265,MATCH('SPC Backing (Hide)'!$B262,Demand!$B$6:$B$265,0),MATCH('SPC Backing (Hide)'!M$3,Demand!$E$5:$S$5,0))</f>
        <v>0</v>
      </c>
      <c r="N262" s="5">
        <f>INDEX(Demand!$E$6:$S$265,MATCH('SPC Backing (Hide)'!$B262,Demand!$B$6:$B$265,0),MATCH('SPC Backing (Hide)'!N$3,Demand!$E$5:$S$5,0))</f>
        <v>0</v>
      </c>
      <c r="O262" s="5">
        <f>INDEX(Demand!$E$6:$S$265,MATCH('SPC Backing (Hide)'!$B262,Demand!$B$6:$B$265,0),MATCH('SPC Backing (Hide)'!O$3,Demand!$E$5:$S$5,0))</f>
        <v>0</v>
      </c>
      <c r="P262" s="5">
        <f>INDEX(Demand!$E$6:$S$265,MATCH('SPC Backing (Hide)'!$B262,Demand!$B$6:$B$265,0),MATCH('SPC Backing (Hide)'!P$3,Demand!$E$5:$S$5,0))</f>
        <v>0</v>
      </c>
      <c r="Q262" s="6">
        <f>INDEX(Demand!$E$6:$S$265,MATCH('SPC Backing (Hide)'!$B262,Demand!$B$6:$B$265,0),MATCH('SPC Backing (Hide)'!Q$3,Demand!$E$5:$S$5,0))</f>
        <v>0</v>
      </c>
      <c r="R262">
        <f>IF(SPC!$B$11="Yes",IF(ROW(A259)&gt;=Demand!$A$5-52,1,0),IF(AND(B262&gt;=SPC!$B$12,B262&lt;SPC!$B$13),1,0))</f>
        <v>1</v>
      </c>
      <c r="S262" cm="1">
        <f t="array" ref="S262">INDEX($C$4:$Q$263,ROW(A259),MATCH($T$2,$C$3:$Q$3,0))</f>
        <v>0</v>
      </c>
      <c r="T262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262" cm="1">
        <f t="array" ref="U262">ABS(INDEX($C$4:$Q$263,ROW(A259),MATCH($T$2,$C$3:$Q$3,0))-INDEX($C$4:$Q$263,ROW(A258),MATCH($T$2,$C$3:$Q$3,0)))</f>
        <v>0</v>
      </c>
      <c r="V262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262">
        <f>V262/1.128</f>
        <v>40.813595610865789</v>
      </c>
      <c r="X262">
        <f>MAX(0,T262-(3*W262))</f>
        <v>108.80449618627055</v>
      </c>
      <c r="Y262">
        <f>MAX(0,T262-(2*W262))</f>
        <v>149.61809179713634</v>
      </c>
      <c r="Z262">
        <f>MAX(0,T262-W262)</f>
        <v>190.43168740800212</v>
      </c>
      <c r="AA262">
        <f>T262+W262</f>
        <v>272.05887862973373</v>
      </c>
      <c r="AB262">
        <f>T262+(2*W262)</f>
        <v>312.8724742405995</v>
      </c>
      <c r="AC262">
        <f>T262+(3*W262)</f>
        <v>353.68606985146528</v>
      </c>
      <c r="AD262">
        <f>IF(OR(S262&gt;AC262,S262&lt;X262),S262,NA())</f>
        <v>0</v>
      </c>
      <c r="AE262">
        <f>IF(S262&gt;AB262,2,IF(S262&lt;Y262,-2,IF(S262&gt;T262,1,IF(S262&lt;T262,-1,0))))</f>
        <v>-2</v>
      </c>
      <c r="AF262" t="e">
        <f>IF(ABS(SUM(AE262:AE264))&gt;=5,S262,NA())</f>
        <v>#N/A</v>
      </c>
      <c r="AG262">
        <f>IF(S263&gt;S262,1,IF(S263&lt;S262,-1,0))</f>
        <v>0</v>
      </c>
      <c r="AH262" t="e">
        <f>IF(ABS(SUM(AG262:AG267))=6,S262,NA())</f>
        <v>#N/A</v>
      </c>
      <c r="AI262">
        <f>IF(S262&lt;T262,-1,IF(S262&gt;T262,1,0))</f>
        <v>-1</v>
      </c>
      <c r="AJ262" t="e">
        <f>IF(ABS(SUM(AI262:AI270))=9,S262,NA())</f>
        <v>#N/A</v>
      </c>
      <c r="AK262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262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262">
        <f>AL262-AK262</f>
        <v>14.699999999999989</v>
      </c>
    </row>
    <row r="263" spans="2:39" ht="15" thickBot="1" x14ac:dyDescent="0.4">
      <c r="B263" s="13" t="str">
        <f>Demand!B265</f>
        <v/>
      </c>
      <c r="C263" s="8">
        <f>INDEX(Demand!$E$6:$S$265,MATCH('SPC Backing (Hide)'!$B263,Demand!$B$6:$B$265,0),MATCH('SPC Backing (Hide)'!C$3,Demand!$E$5:$S$5,0))</f>
        <v>0</v>
      </c>
      <c r="D263" s="9">
        <f>INDEX(Demand!$E$6:$S$265,MATCH('SPC Backing (Hide)'!$B263,Demand!$B$6:$B$265,0),MATCH('SPC Backing (Hide)'!D$3,Demand!$E$5:$S$5,0))</f>
        <v>0</v>
      </c>
      <c r="E263" s="9">
        <f>INDEX(Demand!$E$6:$S$265,MATCH('SPC Backing (Hide)'!$B263,Demand!$B$6:$B$265,0),MATCH('SPC Backing (Hide)'!E$3,Demand!$E$5:$S$5,0))</f>
        <v>0</v>
      </c>
      <c r="F263" s="9">
        <f>INDEX(Demand!$E$6:$S$265,MATCH('SPC Backing (Hide)'!$B263,Demand!$B$6:$B$265,0),MATCH('SPC Backing (Hide)'!F$3,Demand!$E$5:$S$5,0))</f>
        <v>0</v>
      </c>
      <c r="G263" s="9">
        <f>INDEX(Demand!$E$6:$S$265,MATCH('SPC Backing (Hide)'!$B263,Demand!$B$6:$B$265,0),MATCH('SPC Backing (Hide)'!G$3,Demand!$E$5:$S$5,0))</f>
        <v>0</v>
      </c>
      <c r="H263" s="9">
        <f>INDEX(Demand!$E$6:$S$265,MATCH('SPC Backing (Hide)'!$B263,Demand!$B$6:$B$265,0),MATCH('SPC Backing (Hide)'!H$3,Demand!$E$5:$S$5,0))</f>
        <v>0</v>
      </c>
      <c r="I263" s="9">
        <f>INDEX(Demand!$E$6:$S$265,MATCH('SPC Backing (Hide)'!$B263,Demand!$B$6:$B$265,0),MATCH('SPC Backing (Hide)'!I$3,Demand!$E$5:$S$5,0))</f>
        <v>0</v>
      </c>
      <c r="J263" s="9">
        <f>INDEX(Demand!$E$6:$S$265,MATCH('SPC Backing (Hide)'!$B263,Demand!$B$6:$B$265,0),MATCH('SPC Backing (Hide)'!J$3,Demand!$E$5:$S$5,0))</f>
        <v>0</v>
      </c>
      <c r="K263" s="9">
        <f>INDEX(Demand!$E$6:$S$265,MATCH('SPC Backing (Hide)'!$B263,Demand!$B$6:$B$265,0),MATCH('SPC Backing (Hide)'!K$3,Demand!$E$5:$S$5,0))</f>
        <v>0</v>
      </c>
      <c r="L263" s="9">
        <f>INDEX(Demand!$E$6:$S$265,MATCH('SPC Backing (Hide)'!$B263,Demand!$B$6:$B$265,0),MATCH('SPC Backing (Hide)'!L$3,Demand!$E$5:$S$5,0))</f>
        <v>0</v>
      </c>
      <c r="M263" s="9">
        <f>INDEX(Demand!$E$6:$S$265,MATCH('SPC Backing (Hide)'!$B263,Demand!$B$6:$B$265,0),MATCH('SPC Backing (Hide)'!M$3,Demand!$E$5:$S$5,0))</f>
        <v>0</v>
      </c>
      <c r="N263" s="9">
        <f>INDEX(Demand!$E$6:$S$265,MATCH('SPC Backing (Hide)'!$B263,Demand!$B$6:$B$265,0),MATCH('SPC Backing (Hide)'!N$3,Demand!$E$5:$S$5,0))</f>
        <v>0</v>
      </c>
      <c r="O263" s="9">
        <f>INDEX(Demand!$E$6:$S$265,MATCH('SPC Backing (Hide)'!$B263,Demand!$B$6:$B$265,0),MATCH('SPC Backing (Hide)'!O$3,Demand!$E$5:$S$5,0))</f>
        <v>0</v>
      </c>
      <c r="P263" s="9">
        <f>INDEX(Demand!$E$6:$S$265,MATCH('SPC Backing (Hide)'!$B263,Demand!$B$6:$B$265,0),MATCH('SPC Backing (Hide)'!P$3,Demand!$E$5:$S$5,0))</f>
        <v>0</v>
      </c>
      <c r="Q263" s="10">
        <f>INDEX(Demand!$E$6:$S$265,MATCH('SPC Backing (Hide)'!$B263,Demand!$B$6:$B$265,0),MATCH('SPC Backing (Hide)'!Q$3,Demand!$E$5:$S$5,0))</f>
        <v>0</v>
      </c>
      <c r="R263">
        <f>IF(SPC!$B$11="Yes",IF(ROW(A260)&gt;=Demand!$A$5-52,1,0),IF(AND(B263&gt;=SPC!$B$12,B263&lt;SPC!$B$13),1,0))</f>
        <v>1</v>
      </c>
      <c r="S263" cm="1">
        <f t="array" ref="S263">INDEX($C$4:$Q$263,ROW(A260),MATCH($T$2,$C$3:$Q$3,0))</f>
        <v>0</v>
      </c>
      <c r="T263">
        <f>AVERAGE(INDEX($C$4:$Q$263,IF(SPC!$B$11="Yes",Demand!$A$5-52,MATCH(SPC!$B$12,'SPC Backing (Hide)'!$B$4:$B$263,0)),MATCH($T$2,$C$3:$Q$3,0)):INDEX($C$4:$Q$263,IF(SPC!$B$11="Yes",Demand!$A$5,MATCH(SPC!$B$13,'SPC Backing (Hide)'!$B$4:$B$263,0)-1),MATCH('SPC Backing (Hide)'!$T$2,'SPC Backing (Hide)'!$C$3:$Q$3,0)))</f>
        <v>231.24528301886792</v>
      </c>
      <c r="U263" cm="1">
        <f t="array" ref="U263">ABS(INDEX($C$4:$Q$263,ROW(A260),MATCH($T$2,$C$3:$Q$3,0))-INDEX($C$4:$Q$263,ROW(A259),MATCH($T$2,$C$3:$Q$3,0)))</f>
        <v>0</v>
      </c>
      <c r="V263">
        <f>AVERAGE(INDEX($U$4:$U$263,IF(SPC!$B$11="Yes",Demand!$A$5-53,MATCH(SPC!$B$12,'SPC Backing (Hide)'!$B$4:$B$75,0))):INDEX($U$4:$U$263,IF(SPC!$B$11="Yes",Demand!$A$5-1,MATCH(SPC!$B$13,'SPC Backing (Hide)'!$B$4:$B$75,0)-1),1))</f>
        <v>46.037735849056602</v>
      </c>
      <c r="W263">
        <f>V263/1.128</f>
        <v>40.813595610865789</v>
      </c>
      <c r="X263">
        <f>MAX(0,T263-(3*W263))</f>
        <v>108.80449618627055</v>
      </c>
      <c r="Y263">
        <f>MAX(0,T263-(2*W263))</f>
        <v>149.61809179713634</v>
      </c>
      <c r="Z263">
        <f>MAX(0,T263-W263)</f>
        <v>190.43168740800212</v>
      </c>
      <c r="AA263">
        <f>T263+W263</f>
        <v>272.05887862973373</v>
      </c>
      <c r="AB263">
        <f>T263+(2*W263)</f>
        <v>312.8724742405995</v>
      </c>
      <c r="AC263">
        <f>T263+(3*W263)</f>
        <v>353.68606985146528</v>
      </c>
      <c r="AD263">
        <f>IF(OR(S263&gt;AC263,S263&lt;X263),S263,NA())</f>
        <v>0</v>
      </c>
      <c r="AE263">
        <f>IF(S263&gt;AB263,2,IF(S263&lt;Y263,-2,IF(S263&gt;T263,1,IF(S263&lt;T263,-1,0))))</f>
        <v>-2</v>
      </c>
      <c r="AF263" t="e">
        <f>IF(ABS(SUM(AE263:AE265))&gt;=5,S263,NA())</f>
        <v>#N/A</v>
      </c>
      <c r="AG263">
        <f>IF(S264&gt;S263,1,IF(S264&lt;S263,-1,0))</f>
        <v>0</v>
      </c>
      <c r="AH263" t="e">
        <f>IF(ABS(SUM(AG263:AG268))=6,S263,NA())</f>
        <v>#N/A</v>
      </c>
      <c r="AI263">
        <f>IF(S263&lt;T263,-1,IF(S263&gt;T263,1,0))</f>
        <v>-1</v>
      </c>
      <c r="AJ263" t="e">
        <f>IF(ABS(SUM(AI263:AI271))=9,S263,NA())</f>
        <v>#N/A</v>
      </c>
      <c r="AK263">
        <f>_xlfn.PERCENTILE.INC(INDEX($S$4:$S$263,IF(SPC!$B$11="Yes",Demand!$A$5-52,MATCH(SPC!$B$12,'SPC Backing (Hide)'!$B$4:$B$263,0)),1):INDEX($S$4:$S$263,IF(SPC!$B$11="Yes",Demand!$A$5,MATCH(SPC!$B$13,'SPC Backing (Hide)'!$B$4:$B$263,0)-1),1),'SPC Backing (Hide)'!$AK$3)</f>
        <v>254</v>
      </c>
      <c r="AL263">
        <f>_xlfn.PERCENTILE.INC(INDEX($S$4:$S$263,IF(SPC!$B$11="Yes",Demand!$A$5-52,MATCH(SPC!$B$12,'SPC Backing (Hide)'!$B$4:$B$263,0)),1):INDEX($S$4:$S$263,IF(SPC!$B$11="Yes",Demand!$A$5,MATCH(SPC!$B$13,'SPC Backing (Hide)'!$B$4:$B$263,0))-1,1),'SPC Backing (Hide)'!$AL$3)</f>
        <v>268.7</v>
      </c>
      <c r="AM263">
        <f>AL263-AK263</f>
        <v>14.699999999999989</v>
      </c>
    </row>
    <row r="264" spans="2:39" x14ac:dyDescent="0.35">
      <c r="B264" s="14"/>
    </row>
    <row r="265" spans="2:39" x14ac:dyDescent="0.35">
      <c r="B265" s="14"/>
    </row>
    <row r="266" spans="2:39" x14ac:dyDescent="0.35">
      <c r="B266" s="14"/>
    </row>
    <row r="267" spans="2:39" x14ac:dyDescent="0.35">
      <c r="B267" s="14"/>
    </row>
    <row r="268" spans="2:39" x14ac:dyDescent="0.35">
      <c r="B268" s="14"/>
    </row>
    <row r="269" spans="2:39" x14ac:dyDescent="0.35">
      <c r="B269" s="14"/>
    </row>
    <row r="270" spans="2:39" x14ac:dyDescent="0.35">
      <c r="B270" s="14"/>
    </row>
    <row r="271" spans="2:39" x14ac:dyDescent="0.35">
      <c r="B271" s="14"/>
    </row>
    <row r="272" spans="2:39" x14ac:dyDescent="0.35">
      <c r="B272" s="14"/>
    </row>
    <row r="273" spans="2:2" x14ac:dyDescent="0.35">
      <c r="B273" s="14"/>
    </row>
    <row r="274" spans="2:2" x14ac:dyDescent="0.35">
      <c r="B274" s="14"/>
    </row>
    <row r="275" spans="2:2" x14ac:dyDescent="0.35">
      <c r="B275" s="14"/>
    </row>
    <row r="276" spans="2:2" x14ac:dyDescent="0.35">
      <c r="B276" s="14"/>
    </row>
    <row r="277" spans="2:2" x14ac:dyDescent="0.35">
      <c r="B277" s="14"/>
    </row>
    <row r="278" spans="2:2" x14ac:dyDescent="0.35">
      <c r="B278" s="14"/>
    </row>
    <row r="279" spans="2:2" x14ac:dyDescent="0.35">
      <c r="B279" s="14"/>
    </row>
    <row r="280" spans="2:2" x14ac:dyDescent="0.35">
      <c r="B280" s="14"/>
    </row>
    <row r="281" spans="2:2" x14ac:dyDescent="0.35">
      <c r="B281" s="14"/>
    </row>
    <row r="282" spans="2:2" x14ac:dyDescent="0.35">
      <c r="B282" s="14"/>
    </row>
    <row r="283" spans="2:2" x14ac:dyDescent="0.35">
      <c r="B283" s="14"/>
    </row>
    <row r="284" spans="2:2" x14ac:dyDescent="0.35">
      <c r="B284" s="14"/>
    </row>
    <row r="285" spans="2:2" x14ac:dyDescent="0.35">
      <c r="B285" s="14"/>
    </row>
    <row r="286" spans="2:2" x14ac:dyDescent="0.35">
      <c r="B286" s="14"/>
    </row>
    <row r="287" spans="2:2" x14ac:dyDescent="0.35">
      <c r="B287" s="14"/>
    </row>
    <row r="288" spans="2:2" x14ac:dyDescent="0.35">
      <c r="B288" s="14"/>
    </row>
    <row r="289" spans="2:2" x14ac:dyDescent="0.35">
      <c r="B289" s="14"/>
    </row>
    <row r="290" spans="2:2" x14ac:dyDescent="0.35">
      <c r="B290" s="14"/>
    </row>
    <row r="291" spans="2:2" x14ac:dyDescent="0.35">
      <c r="B291" s="14"/>
    </row>
    <row r="292" spans="2:2" x14ac:dyDescent="0.35">
      <c r="B292" s="14"/>
    </row>
    <row r="293" spans="2:2" x14ac:dyDescent="0.35">
      <c r="B293" s="14"/>
    </row>
    <row r="294" spans="2:2" x14ac:dyDescent="0.35">
      <c r="B294" s="14"/>
    </row>
    <row r="295" spans="2:2" x14ac:dyDescent="0.35">
      <c r="B295" s="14"/>
    </row>
    <row r="296" spans="2:2" x14ac:dyDescent="0.35">
      <c r="B296" s="14"/>
    </row>
    <row r="297" spans="2:2" x14ac:dyDescent="0.35">
      <c r="B297" s="14"/>
    </row>
    <row r="298" spans="2:2" x14ac:dyDescent="0.35">
      <c r="B298" s="14"/>
    </row>
    <row r="299" spans="2:2" x14ac:dyDescent="0.35">
      <c r="B299" s="14"/>
    </row>
    <row r="300" spans="2:2" x14ac:dyDescent="0.35">
      <c r="B300" s="14"/>
    </row>
    <row r="301" spans="2:2" x14ac:dyDescent="0.35">
      <c r="B301" s="14"/>
    </row>
    <row r="302" spans="2:2" x14ac:dyDescent="0.35">
      <c r="B302" s="14"/>
    </row>
    <row r="303" spans="2:2" x14ac:dyDescent="0.35">
      <c r="B303" s="14"/>
    </row>
    <row r="304" spans="2:2" x14ac:dyDescent="0.35">
      <c r="B304" s="14"/>
    </row>
    <row r="305" spans="2:2" x14ac:dyDescent="0.35">
      <c r="B305" s="14"/>
    </row>
    <row r="306" spans="2:2" x14ac:dyDescent="0.35">
      <c r="B306" s="14"/>
    </row>
    <row r="307" spans="2:2" x14ac:dyDescent="0.35">
      <c r="B307" s="14"/>
    </row>
    <row r="308" spans="2:2" x14ac:dyDescent="0.35">
      <c r="B308" s="14"/>
    </row>
    <row r="309" spans="2:2" x14ac:dyDescent="0.35">
      <c r="B309" s="14"/>
    </row>
    <row r="310" spans="2:2" x14ac:dyDescent="0.35">
      <c r="B310" s="14"/>
    </row>
    <row r="311" spans="2:2" x14ac:dyDescent="0.35">
      <c r="B311" s="14"/>
    </row>
    <row r="312" spans="2:2" x14ac:dyDescent="0.35">
      <c r="B312" s="14"/>
    </row>
    <row r="313" spans="2:2" x14ac:dyDescent="0.35">
      <c r="B313" s="14"/>
    </row>
    <row r="314" spans="2:2" x14ac:dyDescent="0.35">
      <c r="B314" s="14"/>
    </row>
    <row r="315" spans="2:2" x14ac:dyDescent="0.35">
      <c r="B315" s="14"/>
    </row>
    <row r="316" spans="2:2" x14ac:dyDescent="0.35">
      <c r="B316" s="14"/>
    </row>
    <row r="317" spans="2:2" x14ac:dyDescent="0.35">
      <c r="B317" s="14"/>
    </row>
    <row r="318" spans="2:2" x14ac:dyDescent="0.35">
      <c r="B318" s="14"/>
    </row>
    <row r="319" spans="2:2" x14ac:dyDescent="0.35">
      <c r="B319" s="14"/>
    </row>
    <row r="320" spans="2:2" x14ac:dyDescent="0.35">
      <c r="B320" s="14"/>
    </row>
    <row r="321" spans="2:2" x14ac:dyDescent="0.35">
      <c r="B321" s="14"/>
    </row>
    <row r="322" spans="2:2" x14ac:dyDescent="0.35">
      <c r="B322" s="14"/>
    </row>
    <row r="323" spans="2:2" x14ac:dyDescent="0.35">
      <c r="B323" s="14"/>
    </row>
    <row r="324" spans="2:2" x14ac:dyDescent="0.35">
      <c r="B324" s="14"/>
    </row>
    <row r="325" spans="2:2" x14ac:dyDescent="0.35">
      <c r="B325" s="14"/>
    </row>
    <row r="326" spans="2:2" x14ac:dyDescent="0.35">
      <c r="B326" s="14"/>
    </row>
    <row r="327" spans="2:2" x14ac:dyDescent="0.35">
      <c r="B327" s="14"/>
    </row>
    <row r="328" spans="2:2" x14ac:dyDescent="0.35">
      <c r="B328" s="14"/>
    </row>
    <row r="329" spans="2:2" x14ac:dyDescent="0.35">
      <c r="B329" s="14"/>
    </row>
    <row r="330" spans="2:2" x14ac:dyDescent="0.35">
      <c r="B330" s="14"/>
    </row>
    <row r="331" spans="2:2" x14ac:dyDescent="0.35">
      <c r="B331" s="14"/>
    </row>
    <row r="332" spans="2:2" x14ac:dyDescent="0.35">
      <c r="B332" s="14"/>
    </row>
    <row r="333" spans="2:2" x14ac:dyDescent="0.35">
      <c r="B333" s="14"/>
    </row>
    <row r="334" spans="2:2" x14ac:dyDescent="0.35">
      <c r="B334" s="14"/>
    </row>
    <row r="335" spans="2:2" x14ac:dyDescent="0.35">
      <c r="B335" s="14"/>
    </row>
    <row r="336" spans="2:2" x14ac:dyDescent="0.35">
      <c r="B336" s="14"/>
    </row>
    <row r="337" spans="2:2" x14ac:dyDescent="0.35">
      <c r="B337" s="14"/>
    </row>
    <row r="338" spans="2:2" x14ac:dyDescent="0.35">
      <c r="B338" s="14"/>
    </row>
    <row r="339" spans="2:2" x14ac:dyDescent="0.35">
      <c r="B339" s="14"/>
    </row>
    <row r="340" spans="2:2" x14ac:dyDescent="0.35">
      <c r="B340" s="14"/>
    </row>
    <row r="341" spans="2:2" x14ac:dyDescent="0.35">
      <c r="B341" s="14"/>
    </row>
    <row r="342" spans="2:2" x14ac:dyDescent="0.35">
      <c r="B342" s="14"/>
    </row>
    <row r="343" spans="2:2" x14ac:dyDescent="0.35">
      <c r="B343" s="14"/>
    </row>
    <row r="344" spans="2:2" x14ac:dyDescent="0.35">
      <c r="B344" s="14"/>
    </row>
    <row r="345" spans="2:2" x14ac:dyDescent="0.35">
      <c r="B345" s="14"/>
    </row>
    <row r="346" spans="2:2" x14ac:dyDescent="0.35">
      <c r="B346" s="14"/>
    </row>
    <row r="347" spans="2:2" x14ac:dyDescent="0.35">
      <c r="B347" s="14"/>
    </row>
    <row r="348" spans="2:2" x14ac:dyDescent="0.35">
      <c r="B348" s="14"/>
    </row>
    <row r="349" spans="2:2" x14ac:dyDescent="0.35">
      <c r="B349" s="14"/>
    </row>
    <row r="350" spans="2:2" x14ac:dyDescent="0.35">
      <c r="B350" s="14"/>
    </row>
    <row r="351" spans="2:2" x14ac:dyDescent="0.35">
      <c r="B351" s="14"/>
    </row>
    <row r="352" spans="2:2" x14ac:dyDescent="0.35">
      <c r="B352" s="14"/>
    </row>
    <row r="353" spans="2:2" x14ac:dyDescent="0.35">
      <c r="B353" s="14"/>
    </row>
    <row r="354" spans="2:2" x14ac:dyDescent="0.35">
      <c r="B354" s="14"/>
    </row>
    <row r="355" spans="2:2" x14ac:dyDescent="0.35">
      <c r="B355" s="14"/>
    </row>
    <row r="356" spans="2:2" x14ac:dyDescent="0.35">
      <c r="B356" s="14"/>
    </row>
    <row r="357" spans="2:2" x14ac:dyDescent="0.35">
      <c r="B357" s="14"/>
    </row>
    <row r="358" spans="2:2" x14ac:dyDescent="0.35">
      <c r="B358" s="14"/>
    </row>
    <row r="359" spans="2:2" x14ac:dyDescent="0.35">
      <c r="B359" s="14"/>
    </row>
    <row r="360" spans="2:2" x14ac:dyDescent="0.35">
      <c r="B360" s="14"/>
    </row>
    <row r="361" spans="2:2" x14ac:dyDescent="0.35">
      <c r="B361" s="14"/>
    </row>
    <row r="362" spans="2:2" x14ac:dyDescent="0.35">
      <c r="B362" s="14"/>
    </row>
    <row r="363" spans="2:2" x14ac:dyDescent="0.35">
      <c r="B363" s="14"/>
    </row>
    <row r="364" spans="2:2" x14ac:dyDescent="0.35">
      <c r="B364" s="14"/>
    </row>
    <row r="365" spans="2:2" x14ac:dyDescent="0.35">
      <c r="B365" s="14"/>
    </row>
    <row r="366" spans="2:2" x14ac:dyDescent="0.35">
      <c r="B366" s="14"/>
    </row>
    <row r="367" spans="2:2" x14ac:dyDescent="0.35">
      <c r="B367" s="14"/>
    </row>
    <row r="368" spans="2:2" x14ac:dyDescent="0.35">
      <c r="B368" s="14"/>
    </row>
    <row r="369" spans="2:2" x14ac:dyDescent="0.35">
      <c r="B369" s="14"/>
    </row>
    <row r="370" spans="2:2" x14ac:dyDescent="0.35">
      <c r="B370" s="14"/>
    </row>
    <row r="371" spans="2:2" x14ac:dyDescent="0.35">
      <c r="B371" s="14"/>
    </row>
    <row r="372" spans="2:2" x14ac:dyDescent="0.35">
      <c r="B372" s="14"/>
    </row>
    <row r="373" spans="2:2" x14ac:dyDescent="0.35">
      <c r="B373" s="14"/>
    </row>
    <row r="374" spans="2:2" x14ac:dyDescent="0.35">
      <c r="B374" s="14"/>
    </row>
    <row r="375" spans="2:2" x14ac:dyDescent="0.35">
      <c r="B375" s="14"/>
    </row>
    <row r="376" spans="2:2" x14ac:dyDescent="0.35">
      <c r="B376" s="14"/>
    </row>
    <row r="377" spans="2:2" x14ac:dyDescent="0.35">
      <c r="B377" s="14"/>
    </row>
    <row r="378" spans="2:2" x14ac:dyDescent="0.35">
      <c r="B378" s="14"/>
    </row>
    <row r="379" spans="2:2" x14ac:dyDescent="0.35">
      <c r="B379" s="14"/>
    </row>
    <row r="380" spans="2:2" x14ac:dyDescent="0.35">
      <c r="B380" s="14"/>
    </row>
    <row r="381" spans="2:2" x14ac:dyDescent="0.35">
      <c r="B381" s="14"/>
    </row>
    <row r="382" spans="2:2" x14ac:dyDescent="0.35">
      <c r="B382" s="14"/>
    </row>
    <row r="383" spans="2:2" x14ac:dyDescent="0.35">
      <c r="B383" s="14"/>
    </row>
    <row r="384" spans="2:2" x14ac:dyDescent="0.35">
      <c r="B384" s="14"/>
    </row>
    <row r="385" spans="2:2" x14ac:dyDescent="0.35">
      <c r="B385" s="14"/>
    </row>
    <row r="386" spans="2:2" x14ac:dyDescent="0.35">
      <c r="B386" s="14"/>
    </row>
    <row r="387" spans="2:2" x14ac:dyDescent="0.35">
      <c r="B387" s="14"/>
    </row>
    <row r="388" spans="2:2" x14ac:dyDescent="0.35">
      <c r="B388" s="14"/>
    </row>
    <row r="389" spans="2:2" x14ac:dyDescent="0.35">
      <c r="B389" s="14"/>
    </row>
    <row r="390" spans="2:2" x14ac:dyDescent="0.35">
      <c r="B390" s="14"/>
    </row>
    <row r="391" spans="2:2" x14ac:dyDescent="0.35">
      <c r="B391" s="14"/>
    </row>
    <row r="392" spans="2:2" x14ac:dyDescent="0.35">
      <c r="B392" s="14"/>
    </row>
    <row r="393" spans="2:2" x14ac:dyDescent="0.35">
      <c r="B393" s="14"/>
    </row>
    <row r="394" spans="2:2" x14ac:dyDescent="0.35">
      <c r="B394" s="14"/>
    </row>
    <row r="395" spans="2:2" x14ac:dyDescent="0.35">
      <c r="B395" s="14"/>
    </row>
    <row r="396" spans="2:2" x14ac:dyDescent="0.35">
      <c r="B396" s="14"/>
    </row>
    <row r="397" spans="2:2" x14ac:dyDescent="0.35">
      <c r="B397" s="14"/>
    </row>
    <row r="398" spans="2:2" x14ac:dyDescent="0.35">
      <c r="B398" s="14"/>
    </row>
    <row r="399" spans="2:2" x14ac:dyDescent="0.35">
      <c r="B399" s="14"/>
    </row>
    <row r="400" spans="2:2" x14ac:dyDescent="0.35">
      <c r="B400" s="14"/>
    </row>
    <row r="401" spans="2:2" x14ac:dyDescent="0.35">
      <c r="B401" s="14"/>
    </row>
    <row r="402" spans="2:2" x14ac:dyDescent="0.35">
      <c r="B402" s="14"/>
    </row>
    <row r="403" spans="2:2" x14ac:dyDescent="0.35">
      <c r="B403" s="1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4FD4F-A26D-4D97-AC4A-41D51ADB6249}">
  <sheetPr codeName="Sheet6"/>
  <dimension ref="B2:J79"/>
  <sheetViews>
    <sheetView showGridLines="0" zoomScaleNormal="100" workbookViewId="0">
      <selection activeCell="F4" sqref="F4"/>
    </sheetView>
  </sheetViews>
  <sheetFormatPr defaultRowHeight="14.5" x14ac:dyDescent="0.35"/>
  <cols>
    <col min="2" max="2" width="16.6328125" customWidth="1"/>
    <col min="3" max="3" width="23.1796875" customWidth="1"/>
    <col min="4" max="4" width="20.7265625" bestFit="1" customWidth="1"/>
    <col min="5" max="5" width="9.81640625" bestFit="1" customWidth="1"/>
    <col min="6" max="6" width="16.453125" customWidth="1"/>
    <col min="7" max="7" width="19.08984375" hidden="1" customWidth="1"/>
    <col min="8" max="8" width="34.6328125" bestFit="1" customWidth="1"/>
    <col min="9" max="9" width="35.26953125" customWidth="1"/>
    <col min="10" max="10" width="37.90625" customWidth="1"/>
  </cols>
  <sheetData>
    <row r="2" spans="2:10" ht="15" thickBot="1" x14ac:dyDescent="0.4"/>
    <row r="3" spans="2:10" ht="39" customHeight="1" thickBot="1" x14ac:dyDescent="0.4">
      <c r="B3" s="58" t="s">
        <v>48</v>
      </c>
      <c r="C3" s="59" t="s">
        <v>49</v>
      </c>
      <c r="D3" s="59" t="s">
        <v>50</v>
      </c>
      <c r="E3" s="59" t="s">
        <v>51</v>
      </c>
      <c r="F3" s="59" t="s">
        <v>56</v>
      </c>
      <c r="G3" s="59" t="s">
        <v>52</v>
      </c>
      <c r="H3" s="59" t="s">
        <v>53</v>
      </c>
      <c r="I3" s="59" t="s">
        <v>55</v>
      </c>
      <c r="J3" s="59" t="s">
        <v>54</v>
      </c>
    </row>
    <row r="4" spans="2:10" x14ac:dyDescent="0.35">
      <c r="B4" s="63" t="str">
        <f>'Data Validation (Hide)'!B2</f>
        <v>Caseload 1</v>
      </c>
      <c r="C4" s="3" t="s">
        <v>57</v>
      </c>
      <c r="D4" s="18">
        <v>15</v>
      </c>
      <c r="E4" s="18">
        <v>1</v>
      </c>
      <c r="F4" s="4" t="s">
        <v>99</v>
      </c>
      <c r="G4" s="4">
        <f>INDEX('Data Validation (Hide)'!K2:L7,MATCH(Service!F4,'Data Validation (Hide)'!K2:K6,0),2)</f>
        <v>0.5</v>
      </c>
      <c r="H4" s="60">
        <f t="shared" ref="H4:H35" si="0">IFERROR((G4*D4)/E4,"")</f>
        <v>7.5</v>
      </c>
      <c r="I4" s="66">
        <f>SUMIF($E$4:$E$8,1,$H$4:$H$8)</f>
        <v>7.5</v>
      </c>
      <c r="J4" s="69">
        <f>SUMIF($E$4:$E$8,"&gt;"&amp;1,$H$4:$H$8)</f>
        <v>6</v>
      </c>
    </row>
    <row r="5" spans="2:10" x14ac:dyDescent="0.35">
      <c r="B5" s="64"/>
      <c r="C5" s="7" t="s">
        <v>58</v>
      </c>
      <c r="D5" s="20">
        <v>60</v>
      </c>
      <c r="E5" s="20">
        <v>5</v>
      </c>
      <c r="F5" s="5" t="s">
        <v>99</v>
      </c>
      <c r="G5" s="19">
        <f>INDEX('Data Validation (Hide)'!K3:L8,MATCH(Service!F5,'Data Validation (Hide)'!K3:K7,0),2)</f>
        <v>0.5</v>
      </c>
      <c r="H5" s="61">
        <f t="shared" si="0"/>
        <v>6</v>
      </c>
      <c r="I5" s="67"/>
      <c r="J5" s="70"/>
    </row>
    <row r="6" spans="2:10" x14ac:dyDescent="0.35">
      <c r="B6" s="64"/>
      <c r="C6" s="7"/>
      <c r="D6" s="20"/>
      <c r="E6" s="20"/>
      <c r="F6" s="5"/>
      <c r="G6" s="5" t="e">
        <f>INDEX('Data Validation (Hide)'!K4:L9,MATCH(Service!F6,'Data Validation (Hide)'!K4:K8,0),2)</f>
        <v>#N/A</v>
      </c>
      <c r="H6" s="61" t="str">
        <f t="shared" si="0"/>
        <v/>
      </c>
      <c r="I6" s="67"/>
      <c r="J6" s="70"/>
    </row>
    <row r="7" spans="2:10" x14ac:dyDescent="0.35">
      <c r="B7" s="64"/>
      <c r="C7" s="7"/>
      <c r="D7" s="20"/>
      <c r="E7" s="20"/>
      <c r="F7" s="5"/>
      <c r="G7" s="5" t="e">
        <f>INDEX('Data Validation (Hide)'!K5:L10,MATCH(Service!F7,'Data Validation (Hide)'!K5:K9,0),2)</f>
        <v>#N/A</v>
      </c>
      <c r="H7" s="61" t="str">
        <f t="shared" si="0"/>
        <v/>
      </c>
      <c r="I7" s="67"/>
      <c r="J7" s="70"/>
    </row>
    <row r="8" spans="2:10" ht="15" thickBot="1" x14ac:dyDescent="0.4">
      <c r="B8" s="65"/>
      <c r="C8" s="8"/>
      <c r="D8" s="21"/>
      <c r="E8" s="21"/>
      <c r="F8" s="9"/>
      <c r="G8" s="9" t="e">
        <f>INDEX('Data Validation (Hide)'!K6:L11,MATCH(Service!F8,'Data Validation (Hide)'!K6:K10,0),2)</f>
        <v>#N/A</v>
      </c>
      <c r="H8" s="62" t="str">
        <f t="shared" si="0"/>
        <v/>
      </c>
      <c r="I8" s="68"/>
      <c r="J8" s="71"/>
    </row>
    <row r="9" spans="2:10" hidden="1" x14ac:dyDescent="0.35">
      <c r="B9" s="63" t="str">
        <f>'Data Validation (Hide)'!B3</f>
        <v>Medium</v>
      </c>
      <c r="C9" s="3"/>
      <c r="D9" s="18"/>
      <c r="E9" s="18"/>
      <c r="F9" s="4"/>
      <c r="G9" s="4" t="e">
        <f>INDEX('Data Validation (Hide)'!K7:L12,MATCH(Service!F9,'Data Validation (Hide)'!K7:K11,0),2)</f>
        <v>#N/A</v>
      </c>
      <c r="H9" s="60" t="str">
        <f t="shared" si="0"/>
        <v/>
      </c>
      <c r="I9" s="66">
        <f>SUMIF($E$9:$E$13,1,$H$9:$H$13)</f>
        <v>0</v>
      </c>
      <c r="J9" s="69">
        <f>SUMIF($E$9:$E$13,"&gt;"&amp;1,$H$9:$H$13)</f>
        <v>0</v>
      </c>
    </row>
    <row r="10" spans="2:10" hidden="1" x14ac:dyDescent="0.35">
      <c r="B10" s="64"/>
      <c r="C10" s="7"/>
      <c r="D10" s="20"/>
      <c r="E10" s="20"/>
      <c r="F10" s="5"/>
      <c r="G10" s="5" t="e">
        <f>INDEX('Data Validation (Hide)'!K8:L13,MATCH(Service!F10,'Data Validation (Hide)'!K8:K12,0),2)</f>
        <v>#N/A</v>
      </c>
      <c r="H10" s="61" t="str">
        <f t="shared" si="0"/>
        <v/>
      </c>
      <c r="I10" s="67"/>
      <c r="J10" s="70"/>
    </row>
    <row r="11" spans="2:10" hidden="1" x14ac:dyDescent="0.35">
      <c r="B11" s="64"/>
      <c r="C11" s="7"/>
      <c r="D11" s="20"/>
      <c r="E11" s="20"/>
      <c r="F11" s="5"/>
      <c r="G11" s="5" t="e">
        <f>INDEX('Data Validation (Hide)'!K9:L14,MATCH(Service!F11,'Data Validation (Hide)'!K9:K13,0),2)</f>
        <v>#N/A</v>
      </c>
      <c r="H11" s="61" t="str">
        <f t="shared" si="0"/>
        <v/>
      </c>
      <c r="I11" s="67"/>
      <c r="J11" s="70"/>
    </row>
    <row r="12" spans="2:10" hidden="1" x14ac:dyDescent="0.35">
      <c r="B12" s="64"/>
      <c r="C12" s="7"/>
      <c r="D12" s="20"/>
      <c r="E12" s="20"/>
      <c r="F12" s="5"/>
      <c r="G12" s="5" t="e">
        <f>INDEX('Data Validation (Hide)'!K10:L15,MATCH(Service!F12,'Data Validation (Hide)'!K10:K14,0),2)</f>
        <v>#N/A</v>
      </c>
      <c r="H12" s="61" t="str">
        <f t="shared" si="0"/>
        <v/>
      </c>
      <c r="I12" s="67"/>
      <c r="J12" s="70"/>
    </row>
    <row r="13" spans="2:10" ht="15" hidden="1" thickBot="1" x14ac:dyDescent="0.4">
      <c r="B13" s="65"/>
      <c r="C13" s="8"/>
      <c r="D13" s="21"/>
      <c r="E13" s="21"/>
      <c r="F13" s="9"/>
      <c r="G13" s="9" t="e">
        <f>INDEX('Data Validation (Hide)'!K11:L16,MATCH(Service!F13,'Data Validation (Hide)'!K11:K15,0),2)</f>
        <v>#N/A</v>
      </c>
      <c r="H13" s="62" t="str">
        <f t="shared" si="0"/>
        <v/>
      </c>
      <c r="I13" s="68"/>
      <c r="J13" s="71"/>
    </row>
    <row r="14" spans="2:10" hidden="1" x14ac:dyDescent="0.35">
      <c r="B14" s="63" t="str">
        <f>'Data Validation (Hide)'!B4</f>
        <v>low</v>
      </c>
      <c r="C14" s="3"/>
      <c r="D14" s="18"/>
      <c r="E14" s="18"/>
      <c r="F14" s="4"/>
      <c r="G14" s="4" t="e">
        <f>INDEX('Data Validation (Hide)'!K12:L17,MATCH(Service!F14,'Data Validation (Hide)'!K12:K16,0),2)</f>
        <v>#N/A</v>
      </c>
      <c r="H14" s="60" t="str">
        <f t="shared" si="0"/>
        <v/>
      </c>
      <c r="I14" s="66">
        <f>SUMIF($E$14:$E$18,1,$H$14:$H$18)</f>
        <v>0</v>
      </c>
      <c r="J14" s="69">
        <f>SUMIF($E$14:$E$18,"&gt;"&amp;1,$H$14:$H$18)</f>
        <v>0</v>
      </c>
    </row>
    <row r="15" spans="2:10" hidden="1" x14ac:dyDescent="0.35">
      <c r="B15" s="64"/>
      <c r="C15" s="7"/>
      <c r="D15" s="20"/>
      <c r="E15" s="20"/>
      <c r="F15" s="5"/>
      <c r="G15" s="5" t="e">
        <f>INDEX('Data Validation (Hide)'!K13:L18,MATCH(Service!F15,'Data Validation (Hide)'!K13:K17,0),2)</f>
        <v>#N/A</v>
      </c>
      <c r="H15" s="61" t="str">
        <f t="shared" si="0"/>
        <v/>
      </c>
      <c r="I15" s="67"/>
      <c r="J15" s="70"/>
    </row>
    <row r="16" spans="2:10" hidden="1" x14ac:dyDescent="0.35">
      <c r="B16" s="64"/>
      <c r="C16" s="7"/>
      <c r="D16" s="20"/>
      <c r="E16" s="20"/>
      <c r="F16" s="5"/>
      <c r="G16" s="5" t="e">
        <f>INDEX('Data Validation (Hide)'!K14:L19,MATCH(Service!F16,'Data Validation (Hide)'!K14:K18,0),2)</f>
        <v>#N/A</v>
      </c>
      <c r="H16" s="61" t="str">
        <f t="shared" si="0"/>
        <v/>
      </c>
      <c r="I16" s="67"/>
      <c r="J16" s="70"/>
    </row>
    <row r="17" spans="2:10" hidden="1" x14ac:dyDescent="0.35">
      <c r="B17" s="64"/>
      <c r="C17" s="7"/>
      <c r="D17" s="20"/>
      <c r="E17" s="20"/>
      <c r="F17" s="5"/>
      <c r="G17" s="5" t="e">
        <f>INDEX('Data Validation (Hide)'!K15:L20,MATCH(Service!F17,'Data Validation (Hide)'!K15:K19,0),2)</f>
        <v>#N/A</v>
      </c>
      <c r="H17" s="61" t="str">
        <f t="shared" si="0"/>
        <v/>
      </c>
      <c r="I17" s="67"/>
      <c r="J17" s="70"/>
    </row>
    <row r="18" spans="2:10" ht="15" hidden="1" thickBot="1" x14ac:dyDescent="0.4">
      <c r="B18" s="65"/>
      <c r="C18" s="8"/>
      <c r="D18" s="21"/>
      <c r="E18" s="21"/>
      <c r="F18" s="9"/>
      <c r="G18" s="9" t="e">
        <f>INDEX('Data Validation (Hide)'!K16:L21,MATCH(Service!F18,'Data Validation (Hide)'!K16:K20,0),2)</f>
        <v>#N/A</v>
      </c>
      <c r="H18" s="62" t="str">
        <f t="shared" si="0"/>
        <v/>
      </c>
      <c r="I18" s="68"/>
      <c r="J18" s="71"/>
    </row>
    <row r="19" spans="2:10" hidden="1" x14ac:dyDescent="0.35">
      <c r="B19" s="63" t="str">
        <f>'Data Validation (Hide)'!B5</f>
        <v>very low</v>
      </c>
      <c r="C19" s="3"/>
      <c r="D19" s="18"/>
      <c r="E19" s="18"/>
      <c r="F19" s="4"/>
      <c r="G19" s="4" t="e">
        <f>INDEX('Data Validation (Hide)'!K17:L22,MATCH(Service!F19,'Data Validation (Hide)'!K17:K21,0),2)</f>
        <v>#N/A</v>
      </c>
      <c r="H19" s="60" t="str">
        <f t="shared" si="0"/>
        <v/>
      </c>
      <c r="I19" s="66">
        <f>SUMIF($E$19:$E$23,1,$H$19:$H$23)</f>
        <v>0</v>
      </c>
      <c r="J19" s="69">
        <f>SUMIF($E$19:$E$23,"&gt;"&amp;1,$H$19:$H$23)</f>
        <v>0</v>
      </c>
    </row>
    <row r="20" spans="2:10" hidden="1" x14ac:dyDescent="0.35">
      <c r="B20" s="64"/>
      <c r="C20" s="7"/>
      <c r="D20" s="20"/>
      <c r="E20" s="20"/>
      <c r="F20" s="5"/>
      <c r="G20" s="5" t="e">
        <f>INDEX('Data Validation (Hide)'!K18:L23,MATCH(Service!F20,'Data Validation (Hide)'!K18:K22,0),2)</f>
        <v>#N/A</v>
      </c>
      <c r="H20" s="61" t="str">
        <f t="shared" si="0"/>
        <v/>
      </c>
      <c r="I20" s="67"/>
      <c r="J20" s="70"/>
    </row>
    <row r="21" spans="2:10" hidden="1" x14ac:dyDescent="0.35">
      <c r="B21" s="64"/>
      <c r="C21" s="7"/>
      <c r="D21" s="20"/>
      <c r="E21" s="20"/>
      <c r="F21" s="5"/>
      <c r="G21" s="5" t="e">
        <f>INDEX('Data Validation (Hide)'!K19:L24,MATCH(Service!F21,'Data Validation (Hide)'!K19:K23,0),2)</f>
        <v>#N/A</v>
      </c>
      <c r="H21" s="61" t="str">
        <f t="shared" si="0"/>
        <v/>
      </c>
      <c r="I21" s="67"/>
      <c r="J21" s="70"/>
    </row>
    <row r="22" spans="2:10" hidden="1" x14ac:dyDescent="0.35">
      <c r="B22" s="64"/>
      <c r="C22" s="7"/>
      <c r="D22" s="20"/>
      <c r="E22" s="20"/>
      <c r="F22" s="5"/>
      <c r="G22" s="5" t="e">
        <f>INDEX('Data Validation (Hide)'!K20:L25,MATCH(Service!F22,'Data Validation (Hide)'!K20:K24,0),2)</f>
        <v>#N/A</v>
      </c>
      <c r="H22" s="61" t="str">
        <f t="shared" si="0"/>
        <v/>
      </c>
      <c r="I22" s="67"/>
      <c r="J22" s="70"/>
    </row>
    <row r="23" spans="2:10" ht="15" hidden="1" thickBot="1" x14ac:dyDescent="0.4">
      <c r="B23" s="65"/>
      <c r="C23" s="8"/>
      <c r="D23" s="21"/>
      <c r="E23" s="21"/>
      <c r="F23" s="9"/>
      <c r="G23" s="9" t="e">
        <f>INDEX('Data Validation (Hide)'!K21:L26,MATCH(Service!F23,'Data Validation (Hide)'!K21:K25,0),2)</f>
        <v>#N/A</v>
      </c>
      <c r="H23" s="62" t="str">
        <f t="shared" si="0"/>
        <v/>
      </c>
      <c r="I23" s="68"/>
      <c r="J23" s="71"/>
    </row>
    <row r="24" spans="2:10" hidden="1" x14ac:dyDescent="0.35">
      <c r="B24" s="63" t="str">
        <f>'Data Validation (Hide)'!B6</f>
        <v>Caseload 5</v>
      </c>
      <c r="C24" s="3"/>
      <c r="D24" s="18"/>
      <c r="E24" s="18"/>
      <c r="F24" s="4"/>
      <c r="G24" s="4" t="e">
        <f>INDEX('Data Validation (Hide)'!K22:L27,MATCH(Service!F24,'Data Validation (Hide)'!K22:K26,0),2)</f>
        <v>#N/A</v>
      </c>
      <c r="H24" s="60" t="str">
        <f t="shared" si="0"/>
        <v/>
      </c>
      <c r="I24" s="66">
        <f>SUMIF($E$24:$E$28,1,$H$24:$H$28)</f>
        <v>0</v>
      </c>
      <c r="J24" s="69">
        <f>SUMIF($E$24:$E$28,"&gt;"&amp;1,$H$24:$H$28)</f>
        <v>0</v>
      </c>
    </row>
    <row r="25" spans="2:10" hidden="1" x14ac:dyDescent="0.35">
      <c r="B25" s="64"/>
      <c r="C25" s="7"/>
      <c r="D25" s="20"/>
      <c r="E25" s="20"/>
      <c r="F25" s="5"/>
      <c r="G25" s="5" t="e">
        <f>INDEX('Data Validation (Hide)'!K23:L28,MATCH(Service!F25,'Data Validation (Hide)'!K23:K27,0),2)</f>
        <v>#N/A</v>
      </c>
      <c r="H25" s="61" t="str">
        <f t="shared" si="0"/>
        <v/>
      </c>
      <c r="I25" s="67"/>
      <c r="J25" s="70"/>
    </row>
    <row r="26" spans="2:10" hidden="1" x14ac:dyDescent="0.35">
      <c r="B26" s="64"/>
      <c r="C26" s="7"/>
      <c r="D26" s="20"/>
      <c r="E26" s="20"/>
      <c r="F26" s="5"/>
      <c r="G26" s="5" t="e">
        <f>INDEX('Data Validation (Hide)'!K24:L29,MATCH(Service!F26,'Data Validation (Hide)'!K24:K28,0),2)</f>
        <v>#N/A</v>
      </c>
      <c r="H26" s="61" t="str">
        <f t="shared" si="0"/>
        <v/>
      </c>
      <c r="I26" s="67"/>
      <c r="J26" s="70"/>
    </row>
    <row r="27" spans="2:10" hidden="1" x14ac:dyDescent="0.35">
      <c r="B27" s="64"/>
      <c r="C27" s="7"/>
      <c r="D27" s="20"/>
      <c r="E27" s="20"/>
      <c r="F27" s="5"/>
      <c r="G27" s="5" t="e">
        <f>INDEX('Data Validation (Hide)'!K25:L30,MATCH(Service!F27,'Data Validation (Hide)'!K25:K29,0),2)</f>
        <v>#N/A</v>
      </c>
      <c r="H27" s="61" t="str">
        <f t="shared" si="0"/>
        <v/>
      </c>
      <c r="I27" s="67"/>
      <c r="J27" s="70"/>
    </row>
    <row r="28" spans="2:10" ht="15" hidden="1" thickBot="1" x14ac:dyDescent="0.4">
      <c r="B28" s="65"/>
      <c r="C28" s="8"/>
      <c r="D28" s="21"/>
      <c r="E28" s="21"/>
      <c r="F28" s="9"/>
      <c r="G28" s="9" t="e">
        <f>INDEX('Data Validation (Hide)'!K26:L31,MATCH(Service!F28,'Data Validation (Hide)'!K26:K30,0),2)</f>
        <v>#N/A</v>
      </c>
      <c r="H28" s="62" t="str">
        <f t="shared" si="0"/>
        <v/>
      </c>
      <c r="I28" s="68"/>
      <c r="J28" s="71"/>
    </row>
    <row r="29" spans="2:10" hidden="1" x14ac:dyDescent="0.35">
      <c r="B29" s="63" t="str">
        <f>'Data Validation (Hide)'!B7</f>
        <v>Caseload 6</v>
      </c>
      <c r="C29" s="3"/>
      <c r="D29" s="18"/>
      <c r="E29" s="18"/>
      <c r="F29" s="4"/>
      <c r="G29" s="4" t="e">
        <f>INDEX('Data Validation (Hide)'!K27:L32,MATCH(Service!F29,'Data Validation (Hide)'!K27:K31,0),2)</f>
        <v>#N/A</v>
      </c>
      <c r="H29" s="60" t="str">
        <f t="shared" si="0"/>
        <v/>
      </c>
      <c r="I29" s="66">
        <f>SUMIF($E$29:$E$33,1,$H$29:$H$33)</f>
        <v>0</v>
      </c>
      <c r="J29" s="69">
        <f>SUMIF($E$29:$E$33,"&gt;"&amp;1,$H$29:$H$33)</f>
        <v>0</v>
      </c>
    </row>
    <row r="30" spans="2:10" hidden="1" x14ac:dyDescent="0.35">
      <c r="B30" s="64"/>
      <c r="C30" s="7"/>
      <c r="D30" s="20"/>
      <c r="E30" s="20"/>
      <c r="F30" s="5"/>
      <c r="G30" s="5" t="e">
        <f>INDEX('Data Validation (Hide)'!K28:L33,MATCH(Service!F30,'Data Validation (Hide)'!K28:K32,0),2)</f>
        <v>#N/A</v>
      </c>
      <c r="H30" s="61" t="str">
        <f t="shared" si="0"/>
        <v/>
      </c>
      <c r="I30" s="67"/>
      <c r="J30" s="70"/>
    </row>
    <row r="31" spans="2:10" hidden="1" x14ac:dyDescent="0.35">
      <c r="B31" s="64"/>
      <c r="C31" s="7"/>
      <c r="D31" s="20"/>
      <c r="E31" s="20"/>
      <c r="F31" s="5"/>
      <c r="G31" s="5" t="e">
        <f>INDEX('Data Validation (Hide)'!K29:L34,MATCH(Service!F31,'Data Validation (Hide)'!K29:K33,0),2)</f>
        <v>#N/A</v>
      </c>
      <c r="H31" s="61" t="str">
        <f t="shared" si="0"/>
        <v/>
      </c>
      <c r="I31" s="67"/>
      <c r="J31" s="70"/>
    </row>
    <row r="32" spans="2:10" hidden="1" x14ac:dyDescent="0.35">
      <c r="B32" s="64"/>
      <c r="C32" s="7"/>
      <c r="D32" s="20"/>
      <c r="E32" s="20"/>
      <c r="F32" s="5"/>
      <c r="G32" s="5" t="e">
        <f>INDEX('Data Validation (Hide)'!K30:L35,MATCH(Service!F32,'Data Validation (Hide)'!K30:K34,0),2)</f>
        <v>#N/A</v>
      </c>
      <c r="H32" s="61" t="str">
        <f t="shared" si="0"/>
        <v/>
      </c>
      <c r="I32" s="67"/>
      <c r="J32" s="70"/>
    </row>
    <row r="33" spans="2:10" ht="15" hidden="1" thickBot="1" x14ac:dyDescent="0.4">
      <c r="B33" s="65"/>
      <c r="C33" s="8"/>
      <c r="D33" s="21"/>
      <c r="E33" s="21"/>
      <c r="F33" s="9"/>
      <c r="G33" s="9" t="e">
        <f>INDEX('Data Validation (Hide)'!K31:L36,MATCH(Service!F33,'Data Validation (Hide)'!K31:K35,0),2)</f>
        <v>#N/A</v>
      </c>
      <c r="H33" s="62" t="str">
        <f t="shared" si="0"/>
        <v/>
      </c>
      <c r="I33" s="68"/>
      <c r="J33" s="71"/>
    </row>
    <row r="34" spans="2:10" hidden="1" x14ac:dyDescent="0.35">
      <c r="B34" s="63" t="str">
        <f>'Data Validation (Hide)'!B8</f>
        <v>Caseload 7</v>
      </c>
      <c r="C34" s="3"/>
      <c r="D34" s="18"/>
      <c r="E34" s="18"/>
      <c r="F34" s="4"/>
      <c r="G34" s="4" t="e">
        <f>INDEX('Data Validation (Hide)'!K32:L37,MATCH(Service!F34,'Data Validation (Hide)'!K32:K36,0),2)</f>
        <v>#N/A</v>
      </c>
      <c r="H34" s="60" t="str">
        <f t="shared" si="0"/>
        <v/>
      </c>
      <c r="I34" s="66">
        <f>SUMIF($E$34:$E$38,1,$H$34:$H$38)</f>
        <v>0</v>
      </c>
      <c r="J34" s="69">
        <f>SUMIF($E$34:$E$38,"&gt;"&amp;1,$H$34:$H$38)</f>
        <v>0</v>
      </c>
    </row>
    <row r="35" spans="2:10" hidden="1" x14ac:dyDescent="0.35">
      <c r="B35" s="64"/>
      <c r="C35" s="7"/>
      <c r="D35" s="20"/>
      <c r="E35" s="20"/>
      <c r="F35" s="5"/>
      <c r="G35" s="5" t="e">
        <f>INDEX('Data Validation (Hide)'!K33:L38,MATCH(Service!F35,'Data Validation (Hide)'!K33:K37,0),2)</f>
        <v>#N/A</v>
      </c>
      <c r="H35" s="61" t="str">
        <f t="shared" si="0"/>
        <v/>
      </c>
      <c r="I35" s="67"/>
      <c r="J35" s="70"/>
    </row>
    <row r="36" spans="2:10" hidden="1" x14ac:dyDescent="0.35">
      <c r="B36" s="64"/>
      <c r="C36" s="7"/>
      <c r="D36" s="20"/>
      <c r="E36" s="20"/>
      <c r="F36" s="5"/>
      <c r="G36" s="5" t="e">
        <f>INDEX('Data Validation (Hide)'!K34:L39,MATCH(Service!F36,'Data Validation (Hide)'!K34:K38,0),2)</f>
        <v>#N/A</v>
      </c>
      <c r="H36" s="61" t="str">
        <f t="shared" ref="H36:H67" si="1">IFERROR((G36*D36)/E36,"")</f>
        <v/>
      </c>
      <c r="I36" s="67"/>
      <c r="J36" s="70"/>
    </row>
    <row r="37" spans="2:10" hidden="1" x14ac:dyDescent="0.35">
      <c r="B37" s="64"/>
      <c r="C37" s="7"/>
      <c r="D37" s="20"/>
      <c r="E37" s="20"/>
      <c r="F37" s="5"/>
      <c r="G37" s="5" t="e">
        <f>INDEX('Data Validation (Hide)'!K35:L40,MATCH(Service!F37,'Data Validation (Hide)'!K35:K39,0),2)</f>
        <v>#N/A</v>
      </c>
      <c r="H37" s="61" t="str">
        <f t="shared" si="1"/>
        <v/>
      </c>
      <c r="I37" s="67"/>
      <c r="J37" s="70"/>
    </row>
    <row r="38" spans="2:10" ht="15" hidden="1" thickBot="1" x14ac:dyDescent="0.4">
      <c r="B38" s="65"/>
      <c r="C38" s="8"/>
      <c r="D38" s="21"/>
      <c r="E38" s="21"/>
      <c r="F38" s="9"/>
      <c r="G38" s="9" t="e">
        <f>INDEX('Data Validation (Hide)'!K36:L41,MATCH(Service!F38,'Data Validation (Hide)'!K36:K40,0),2)</f>
        <v>#N/A</v>
      </c>
      <c r="H38" s="62" t="str">
        <f t="shared" si="1"/>
        <v/>
      </c>
      <c r="I38" s="68"/>
      <c r="J38" s="71"/>
    </row>
    <row r="39" spans="2:10" hidden="1" x14ac:dyDescent="0.35">
      <c r="B39" s="63" t="str">
        <f>'Data Validation (Hide)'!B9</f>
        <v>Caseload 8</v>
      </c>
      <c r="C39" s="3"/>
      <c r="D39" s="18"/>
      <c r="E39" s="18"/>
      <c r="F39" s="4"/>
      <c r="G39" s="4" t="e">
        <f>INDEX('Data Validation (Hide)'!K37:L42,MATCH(Service!F39,'Data Validation (Hide)'!K37:K41,0),2)</f>
        <v>#N/A</v>
      </c>
      <c r="H39" s="60" t="str">
        <f t="shared" si="1"/>
        <v/>
      </c>
      <c r="I39" s="66">
        <f>SUMIF($E$39:$E$43,1,$H$39:$H$43)</f>
        <v>0</v>
      </c>
      <c r="J39" s="69">
        <f>SUMIF($E$39:$E$43,"&gt;"&amp;1,$H$39:$H$43)</f>
        <v>0</v>
      </c>
    </row>
    <row r="40" spans="2:10" hidden="1" x14ac:dyDescent="0.35">
      <c r="B40" s="64"/>
      <c r="C40" s="7"/>
      <c r="D40" s="20"/>
      <c r="E40" s="20"/>
      <c r="F40" s="5"/>
      <c r="G40" s="5" t="e">
        <f>INDEX('Data Validation (Hide)'!K38:L43,MATCH(Service!F40,'Data Validation (Hide)'!K38:K42,0),2)</f>
        <v>#N/A</v>
      </c>
      <c r="H40" s="61" t="str">
        <f t="shared" si="1"/>
        <v/>
      </c>
      <c r="I40" s="67"/>
      <c r="J40" s="70"/>
    </row>
    <row r="41" spans="2:10" hidden="1" x14ac:dyDescent="0.35">
      <c r="B41" s="64"/>
      <c r="C41" s="7"/>
      <c r="D41" s="20"/>
      <c r="E41" s="20"/>
      <c r="F41" s="5"/>
      <c r="G41" s="5" t="e">
        <f>INDEX('Data Validation (Hide)'!K39:L44,MATCH(Service!F41,'Data Validation (Hide)'!K39:K43,0),2)</f>
        <v>#N/A</v>
      </c>
      <c r="H41" s="61" t="str">
        <f t="shared" si="1"/>
        <v/>
      </c>
      <c r="I41" s="67"/>
      <c r="J41" s="70"/>
    </row>
    <row r="42" spans="2:10" hidden="1" x14ac:dyDescent="0.35">
      <c r="B42" s="64"/>
      <c r="C42" s="7"/>
      <c r="D42" s="20"/>
      <c r="E42" s="20"/>
      <c r="F42" s="5"/>
      <c r="G42" s="5" t="e">
        <f>INDEX('Data Validation (Hide)'!K40:L45,MATCH(Service!F42,'Data Validation (Hide)'!K40:K44,0),2)</f>
        <v>#N/A</v>
      </c>
      <c r="H42" s="61" t="str">
        <f t="shared" si="1"/>
        <v/>
      </c>
      <c r="I42" s="67"/>
      <c r="J42" s="70"/>
    </row>
    <row r="43" spans="2:10" ht="15" hidden="1" thickBot="1" x14ac:dyDescent="0.4">
      <c r="B43" s="65"/>
      <c r="C43" s="8"/>
      <c r="D43" s="21"/>
      <c r="E43" s="21"/>
      <c r="F43" s="9"/>
      <c r="G43" s="9" t="e">
        <f>INDEX('Data Validation (Hide)'!K41:L46,MATCH(Service!F43,'Data Validation (Hide)'!K41:K45,0),2)</f>
        <v>#N/A</v>
      </c>
      <c r="H43" s="62" t="str">
        <f t="shared" si="1"/>
        <v/>
      </c>
      <c r="I43" s="68"/>
      <c r="J43" s="71"/>
    </row>
    <row r="44" spans="2:10" hidden="1" x14ac:dyDescent="0.35">
      <c r="B44" s="63" t="str">
        <f>'Data Validation (Hide)'!B10</f>
        <v>Caseload 9</v>
      </c>
      <c r="C44" s="3"/>
      <c r="D44" s="18"/>
      <c r="E44" s="18"/>
      <c r="F44" s="4"/>
      <c r="G44" s="4" t="e">
        <f>INDEX('Data Validation (Hide)'!K42:L47,MATCH(Service!F44,'Data Validation (Hide)'!K42:K46,0),2)</f>
        <v>#N/A</v>
      </c>
      <c r="H44" s="60" t="str">
        <f t="shared" si="1"/>
        <v/>
      </c>
      <c r="I44" s="66">
        <f>SUMIF($E$44:$E$48,1,$H$44:$H$48)</f>
        <v>0</v>
      </c>
      <c r="J44" s="69">
        <f>SUMIF($E$44:$E$48,"&gt;"&amp;1,$H$44:$H$48)</f>
        <v>0</v>
      </c>
    </row>
    <row r="45" spans="2:10" hidden="1" x14ac:dyDescent="0.35">
      <c r="B45" s="64"/>
      <c r="C45" s="7"/>
      <c r="D45" s="20"/>
      <c r="E45" s="20"/>
      <c r="F45" s="5"/>
      <c r="G45" s="5" t="e">
        <f>INDEX('Data Validation (Hide)'!K43:L48,MATCH(Service!F45,'Data Validation (Hide)'!K43:K47,0),2)</f>
        <v>#N/A</v>
      </c>
      <c r="H45" s="61" t="str">
        <f t="shared" si="1"/>
        <v/>
      </c>
      <c r="I45" s="67"/>
      <c r="J45" s="70"/>
    </row>
    <row r="46" spans="2:10" hidden="1" x14ac:dyDescent="0.35">
      <c r="B46" s="64"/>
      <c r="C46" s="7"/>
      <c r="D46" s="20"/>
      <c r="E46" s="20"/>
      <c r="F46" s="5"/>
      <c r="G46" s="5" t="e">
        <f>INDEX('Data Validation (Hide)'!K44:L49,MATCH(Service!F46,'Data Validation (Hide)'!K44:K48,0),2)</f>
        <v>#N/A</v>
      </c>
      <c r="H46" s="61" t="str">
        <f t="shared" si="1"/>
        <v/>
      </c>
      <c r="I46" s="67"/>
      <c r="J46" s="70"/>
    </row>
    <row r="47" spans="2:10" hidden="1" x14ac:dyDescent="0.35">
      <c r="B47" s="64"/>
      <c r="C47" s="7"/>
      <c r="D47" s="20"/>
      <c r="E47" s="20"/>
      <c r="F47" s="5"/>
      <c r="G47" s="5" t="e">
        <f>INDEX('Data Validation (Hide)'!K45:L50,MATCH(Service!F47,'Data Validation (Hide)'!K45:K49,0),2)</f>
        <v>#N/A</v>
      </c>
      <c r="H47" s="61" t="str">
        <f t="shared" si="1"/>
        <v/>
      </c>
      <c r="I47" s="67"/>
      <c r="J47" s="70"/>
    </row>
    <row r="48" spans="2:10" ht="15" hidden="1" thickBot="1" x14ac:dyDescent="0.4">
      <c r="B48" s="65"/>
      <c r="C48" s="8"/>
      <c r="D48" s="21"/>
      <c r="E48" s="21"/>
      <c r="F48" s="9"/>
      <c r="G48" s="9" t="e">
        <f>INDEX('Data Validation (Hide)'!K46:L51,MATCH(Service!F48,'Data Validation (Hide)'!K46:K50,0),2)</f>
        <v>#N/A</v>
      </c>
      <c r="H48" s="62" t="str">
        <f t="shared" si="1"/>
        <v/>
      </c>
      <c r="I48" s="68"/>
      <c r="J48" s="71"/>
    </row>
    <row r="49" spans="2:10" hidden="1" x14ac:dyDescent="0.35">
      <c r="B49" s="63" t="str">
        <f>'Data Validation (Hide)'!B11</f>
        <v>Caseload 10</v>
      </c>
      <c r="C49" s="3"/>
      <c r="D49" s="18"/>
      <c r="E49" s="18"/>
      <c r="F49" s="4"/>
      <c r="G49" s="4" t="e">
        <f>INDEX('Data Validation (Hide)'!K47:L52,MATCH(Service!F49,'Data Validation (Hide)'!K47:K51,0),2)</f>
        <v>#N/A</v>
      </c>
      <c r="H49" s="60" t="str">
        <f t="shared" si="1"/>
        <v/>
      </c>
      <c r="I49" s="66">
        <f>SUMIF($E$49:$E$53,1,$H$49:$H$53)</f>
        <v>0</v>
      </c>
      <c r="J49" s="69">
        <f>SUMIF($E$49:$E$53,"&gt;"&amp;1,$H$49:$H$53)</f>
        <v>0</v>
      </c>
    </row>
    <row r="50" spans="2:10" hidden="1" x14ac:dyDescent="0.35">
      <c r="B50" s="64"/>
      <c r="C50" s="7"/>
      <c r="D50" s="20"/>
      <c r="E50" s="20"/>
      <c r="F50" s="5"/>
      <c r="G50" s="5" t="e">
        <f>INDEX('Data Validation (Hide)'!K48:L53,MATCH(Service!F50,'Data Validation (Hide)'!K48:K52,0),2)</f>
        <v>#N/A</v>
      </c>
      <c r="H50" s="61" t="str">
        <f t="shared" si="1"/>
        <v/>
      </c>
      <c r="I50" s="67"/>
      <c r="J50" s="70"/>
    </row>
    <row r="51" spans="2:10" hidden="1" x14ac:dyDescent="0.35">
      <c r="B51" s="64"/>
      <c r="C51" s="7"/>
      <c r="D51" s="20"/>
      <c r="E51" s="20"/>
      <c r="F51" s="5"/>
      <c r="G51" s="5" t="e">
        <f>INDEX('Data Validation (Hide)'!K49:L54,MATCH(Service!F51,'Data Validation (Hide)'!K49:K53,0),2)</f>
        <v>#N/A</v>
      </c>
      <c r="H51" s="61" t="str">
        <f t="shared" si="1"/>
        <v/>
      </c>
      <c r="I51" s="67"/>
      <c r="J51" s="70"/>
    </row>
    <row r="52" spans="2:10" hidden="1" x14ac:dyDescent="0.35">
      <c r="B52" s="64"/>
      <c r="C52" s="7"/>
      <c r="D52" s="20"/>
      <c r="E52" s="20"/>
      <c r="F52" s="5"/>
      <c r="G52" s="5" t="e">
        <f>INDEX('Data Validation (Hide)'!K50:L55,MATCH(Service!F52,'Data Validation (Hide)'!K50:K54,0),2)</f>
        <v>#N/A</v>
      </c>
      <c r="H52" s="61" t="str">
        <f t="shared" si="1"/>
        <v/>
      </c>
      <c r="I52" s="67"/>
      <c r="J52" s="70"/>
    </row>
    <row r="53" spans="2:10" ht="15" hidden="1" thickBot="1" x14ac:dyDescent="0.4">
      <c r="B53" s="65"/>
      <c r="C53" s="8"/>
      <c r="D53" s="21"/>
      <c r="E53" s="21"/>
      <c r="F53" s="9"/>
      <c r="G53" s="9" t="e">
        <f>INDEX('Data Validation (Hide)'!K51:L56,MATCH(Service!F53,'Data Validation (Hide)'!K51:K55,0),2)</f>
        <v>#N/A</v>
      </c>
      <c r="H53" s="62" t="str">
        <f t="shared" si="1"/>
        <v/>
      </c>
      <c r="I53" s="68"/>
      <c r="J53" s="71"/>
    </row>
    <row r="54" spans="2:10" hidden="1" x14ac:dyDescent="0.35">
      <c r="B54" s="63" t="str">
        <f>'Data Validation (Hide)'!B12</f>
        <v>Caseload 11</v>
      </c>
      <c r="C54" s="3"/>
      <c r="D54" s="18"/>
      <c r="E54" s="18"/>
      <c r="F54" s="4"/>
      <c r="G54" s="4" t="e">
        <f>INDEX('Data Validation (Hide)'!K52:L57,MATCH(Service!F54,'Data Validation (Hide)'!K52:K56,0),2)</f>
        <v>#N/A</v>
      </c>
      <c r="H54" s="60" t="str">
        <f t="shared" si="1"/>
        <v/>
      </c>
      <c r="I54" s="66">
        <f>SUMIF($E$54:$E$58,1,$H$54:$H$58)</f>
        <v>0</v>
      </c>
      <c r="J54" s="69">
        <f>SUMIF($E$54:$E$58,"&gt;"&amp;1,$H$54:$H$58)</f>
        <v>0</v>
      </c>
    </row>
    <row r="55" spans="2:10" hidden="1" x14ac:dyDescent="0.35">
      <c r="B55" s="64"/>
      <c r="C55" s="7"/>
      <c r="D55" s="20"/>
      <c r="E55" s="20"/>
      <c r="F55" s="5"/>
      <c r="G55" s="5" t="e">
        <f>INDEX('Data Validation (Hide)'!K53:L58,MATCH(Service!F55,'Data Validation (Hide)'!K53:K57,0),2)</f>
        <v>#N/A</v>
      </c>
      <c r="H55" s="61" t="str">
        <f t="shared" si="1"/>
        <v/>
      </c>
      <c r="I55" s="67"/>
      <c r="J55" s="70"/>
    </row>
    <row r="56" spans="2:10" hidden="1" x14ac:dyDescent="0.35">
      <c r="B56" s="64"/>
      <c r="C56" s="7"/>
      <c r="D56" s="20"/>
      <c r="E56" s="20"/>
      <c r="F56" s="5"/>
      <c r="G56" s="5" t="e">
        <f>INDEX('Data Validation (Hide)'!K54:L59,MATCH(Service!F56,'Data Validation (Hide)'!K54:K58,0),2)</f>
        <v>#N/A</v>
      </c>
      <c r="H56" s="61" t="str">
        <f t="shared" si="1"/>
        <v/>
      </c>
      <c r="I56" s="67"/>
      <c r="J56" s="70"/>
    </row>
    <row r="57" spans="2:10" hidden="1" x14ac:dyDescent="0.35">
      <c r="B57" s="64"/>
      <c r="C57" s="7"/>
      <c r="D57" s="20"/>
      <c r="E57" s="20"/>
      <c r="F57" s="5"/>
      <c r="G57" s="5" t="e">
        <f>INDEX('Data Validation (Hide)'!K55:L60,MATCH(Service!F57,'Data Validation (Hide)'!K55:K59,0),2)</f>
        <v>#N/A</v>
      </c>
      <c r="H57" s="61" t="str">
        <f t="shared" si="1"/>
        <v/>
      </c>
      <c r="I57" s="67"/>
      <c r="J57" s="70"/>
    </row>
    <row r="58" spans="2:10" ht="15" hidden="1" thickBot="1" x14ac:dyDescent="0.4">
      <c r="B58" s="65"/>
      <c r="C58" s="8"/>
      <c r="D58" s="21"/>
      <c r="E58" s="21"/>
      <c r="F58" s="9"/>
      <c r="G58" s="9" t="e">
        <f>INDEX('Data Validation (Hide)'!K56:L61,MATCH(Service!F58,'Data Validation (Hide)'!K56:K60,0),2)</f>
        <v>#N/A</v>
      </c>
      <c r="H58" s="62" t="str">
        <f t="shared" si="1"/>
        <v/>
      </c>
      <c r="I58" s="68"/>
      <c r="J58" s="71"/>
    </row>
    <row r="59" spans="2:10" hidden="1" x14ac:dyDescent="0.35">
      <c r="B59" s="63" t="str">
        <f>'Data Validation (Hide)'!B13</f>
        <v>Caseload 12</v>
      </c>
      <c r="C59" s="3"/>
      <c r="D59" s="18"/>
      <c r="E59" s="18"/>
      <c r="F59" s="4"/>
      <c r="G59" s="4" t="e">
        <f>INDEX('Data Validation (Hide)'!K57:L62,MATCH(Service!F59,'Data Validation (Hide)'!K57:K61,0),2)</f>
        <v>#N/A</v>
      </c>
      <c r="H59" s="60" t="str">
        <f t="shared" si="1"/>
        <v/>
      </c>
      <c r="I59" s="66">
        <f>SUMIF($E$59:$E$63,1,$H$59:$H$63)</f>
        <v>0</v>
      </c>
      <c r="J59" s="69">
        <f>SUMIF($E$59:$E$63,"&gt;"&amp;1,$H$59:$H$63)</f>
        <v>0</v>
      </c>
    </row>
    <row r="60" spans="2:10" hidden="1" x14ac:dyDescent="0.35">
      <c r="B60" s="64"/>
      <c r="C60" s="7"/>
      <c r="D60" s="20"/>
      <c r="E60" s="20"/>
      <c r="F60" s="5"/>
      <c r="G60" s="5" t="e">
        <f>INDEX('Data Validation (Hide)'!K58:L63,MATCH(Service!F60,'Data Validation (Hide)'!K58:K62,0),2)</f>
        <v>#N/A</v>
      </c>
      <c r="H60" s="61" t="str">
        <f t="shared" si="1"/>
        <v/>
      </c>
      <c r="I60" s="67"/>
      <c r="J60" s="70"/>
    </row>
    <row r="61" spans="2:10" hidden="1" x14ac:dyDescent="0.35">
      <c r="B61" s="64"/>
      <c r="C61" s="7"/>
      <c r="D61" s="20"/>
      <c r="E61" s="20"/>
      <c r="F61" s="5"/>
      <c r="G61" s="5" t="e">
        <f>INDEX('Data Validation (Hide)'!K59:L64,MATCH(Service!F61,'Data Validation (Hide)'!K59:K63,0),2)</f>
        <v>#N/A</v>
      </c>
      <c r="H61" s="61" t="str">
        <f t="shared" si="1"/>
        <v/>
      </c>
      <c r="I61" s="67"/>
      <c r="J61" s="70"/>
    </row>
    <row r="62" spans="2:10" hidden="1" x14ac:dyDescent="0.35">
      <c r="B62" s="64"/>
      <c r="C62" s="7"/>
      <c r="D62" s="20"/>
      <c r="E62" s="20"/>
      <c r="F62" s="5"/>
      <c r="G62" s="5" t="e">
        <f>INDEX('Data Validation (Hide)'!K60:L65,MATCH(Service!F62,'Data Validation (Hide)'!K60:K64,0),2)</f>
        <v>#N/A</v>
      </c>
      <c r="H62" s="61" t="str">
        <f t="shared" si="1"/>
        <v/>
      </c>
      <c r="I62" s="67"/>
      <c r="J62" s="70"/>
    </row>
    <row r="63" spans="2:10" ht="15" hidden="1" thickBot="1" x14ac:dyDescent="0.4">
      <c r="B63" s="65"/>
      <c r="C63" s="8"/>
      <c r="D63" s="21"/>
      <c r="E63" s="21"/>
      <c r="F63" s="9"/>
      <c r="G63" s="9" t="e">
        <f>INDEX('Data Validation (Hide)'!K61:L66,MATCH(Service!F63,'Data Validation (Hide)'!K61:K65,0),2)</f>
        <v>#N/A</v>
      </c>
      <c r="H63" s="62" t="str">
        <f t="shared" si="1"/>
        <v/>
      </c>
      <c r="I63" s="68"/>
      <c r="J63" s="71"/>
    </row>
    <row r="64" spans="2:10" hidden="1" x14ac:dyDescent="0.35">
      <c r="B64" s="63" t="str">
        <f>'Data Validation (Hide)'!B14</f>
        <v>Caseload 13</v>
      </c>
      <c r="C64" s="3"/>
      <c r="D64" s="18"/>
      <c r="E64" s="18"/>
      <c r="F64" s="4"/>
      <c r="G64" s="4" t="e">
        <f>INDEX('Data Validation (Hide)'!K62:L67,MATCH(Service!F64,'Data Validation (Hide)'!K62:K66,0),2)</f>
        <v>#N/A</v>
      </c>
      <c r="H64" s="60" t="str">
        <f t="shared" si="1"/>
        <v/>
      </c>
      <c r="I64" s="66">
        <f>SUMIF($E$64:$E$68,1,$H$64:$H$68)</f>
        <v>0</v>
      </c>
      <c r="J64" s="69">
        <f>SUMIF($E$64:$E$68,"&gt;"&amp;1,$H$64:$H$68)</f>
        <v>0</v>
      </c>
    </row>
    <row r="65" spans="2:10" hidden="1" x14ac:dyDescent="0.35">
      <c r="B65" s="64"/>
      <c r="C65" s="7"/>
      <c r="D65" s="20"/>
      <c r="E65" s="20"/>
      <c r="F65" s="5"/>
      <c r="G65" s="5" t="e">
        <f>INDEX('Data Validation (Hide)'!K63:L68,MATCH(Service!F65,'Data Validation (Hide)'!K63:K67,0),2)</f>
        <v>#N/A</v>
      </c>
      <c r="H65" s="61" t="str">
        <f t="shared" si="1"/>
        <v/>
      </c>
      <c r="I65" s="67"/>
      <c r="J65" s="70"/>
    </row>
    <row r="66" spans="2:10" hidden="1" x14ac:dyDescent="0.35">
      <c r="B66" s="64"/>
      <c r="C66" s="7"/>
      <c r="D66" s="20"/>
      <c r="E66" s="20"/>
      <c r="F66" s="5"/>
      <c r="G66" s="5" t="e">
        <f>INDEX('Data Validation (Hide)'!K64:L69,MATCH(Service!F66,'Data Validation (Hide)'!K64:K68,0),2)</f>
        <v>#N/A</v>
      </c>
      <c r="H66" s="61" t="str">
        <f t="shared" si="1"/>
        <v/>
      </c>
      <c r="I66" s="67"/>
      <c r="J66" s="70"/>
    </row>
    <row r="67" spans="2:10" hidden="1" x14ac:dyDescent="0.35">
      <c r="B67" s="64"/>
      <c r="C67" s="7"/>
      <c r="D67" s="20"/>
      <c r="E67" s="20"/>
      <c r="F67" s="5"/>
      <c r="G67" s="5" t="e">
        <f>INDEX('Data Validation (Hide)'!K65:L70,MATCH(Service!F67,'Data Validation (Hide)'!K65:K69,0),2)</f>
        <v>#N/A</v>
      </c>
      <c r="H67" s="61" t="str">
        <f t="shared" si="1"/>
        <v/>
      </c>
      <c r="I67" s="67"/>
      <c r="J67" s="70"/>
    </row>
    <row r="68" spans="2:10" ht="15" hidden="1" thickBot="1" x14ac:dyDescent="0.4">
      <c r="B68" s="65"/>
      <c r="C68" s="8"/>
      <c r="D68" s="21"/>
      <c r="E68" s="21"/>
      <c r="F68" s="9"/>
      <c r="G68" s="9" t="e">
        <f>INDEX('Data Validation (Hide)'!K66:L71,MATCH(Service!F68,'Data Validation (Hide)'!K66:K70,0),2)</f>
        <v>#N/A</v>
      </c>
      <c r="H68" s="62" t="str">
        <f t="shared" ref="H68:H78" si="2">IFERROR((G68*D68)/E68,"")</f>
        <v/>
      </c>
      <c r="I68" s="68"/>
      <c r="J68" s="71"/>
    </row>
    <row r="69" spans="2:10" hidden="1" x14ac:dyDescent="0.35">
      <c r="B69" s="63" t="str">
        <f>'Data Validation (Hide)'!B15</f>
        <v>Caseload 14</v>
      </c>
      <c r="C69" s="3"/>
      <c r="D69" s="18"/>
      <c r="E69" s="18"/>
      <c r="F69" s="4"/>
      <c r="G69" s="4" t="e">
        <f>INDEX('Data Validation (Hide)'!K67:L72,MATCH(Service!F69,'Data Validation (Hide)'!K67:K71,0),2)</f>
        <v>#N/A</v>
      </c>
      <c r="H69" s="60" t="str">
        <f t="shared" si="2"/>
        <v/>
      </c>
      <c r="I69" s="66">
        <f>SUMIF($E$69:$E$73,1,$H$69:$H$73)</f>
        <v>0</v>
      </c>
      <c r="J69" s="69">
        <f>SUMIF($E$69:$E$73,"&gt;"&amp;1,$H$69:$H$73)</f>
        <v>0</v>
      </c>
    </row>
    <row r="70" spans="2:10" hidden="1" x14ac:dyDescent="0.35">
      <c r="B70" s="64"/>
      <c r="C70" s="7"/>
      <c r="D70" s="20"/>
      <c r="E70" s="20"/>
      <c r="F70" s="5"/>
      <c r="G70" s="5" t="e">
        <f>INDEX('Data Validation (Hide)'!K68:L73,MATCH(Service!F70,'Data Validation (Hide)'!K68:K72,0),2)</f>
        <v>#N/A</v>
      </c>
      <c r="H70" s="61" t="str">
        <f t="shared" si="2"/>
        <v/>
      </c>
      <c r="I70" s="67"/>
      <c r="J70" s="70"/>
    </row>
    <row r="71" spans="2:10" hidden="1" x14ac:dyDescent="0.35">
      <c r="B71" s="64"/>
      <c r="C71" s="7"/>
      <c r="D71" s="20"/>
      <c r="E71" s="20"/>
      <c r="F71" s="5"/>
      <c r="G71" s="5" t="e">
        <f>INDEX('Data Validation (Hide)'!K69:L74,MATCH(Service!F71,'Data Validation (Hide)'!K69:K73,0),2)</f>
        <v>#N/A</v>
      </c>
      <c r="H71" s="61" t="str">
        <f t="shared" si="2"/>
        <v/>
      </c>
      <c r="I71" s="67"/>
      <c r="J71" s="70"/>
    </row>
    <row r="72" spans="2:10" hidden="1" x14ac:dyDescent="0.35">
      <c r="B72" s="64"/>
      <c r="C72" s="7"/>
      <c r="D72" s="20"/>
      <c r="E72" s="20"/>
      <c r="F72" s="5"/>
      <c r="G72" s="5" t="e">
        <f>INDEX('Data Validation (Hide)'!K70:L75,MATCH(Service!F72,'Data Validation (Hide)'!K70:K74,0),2)</f>
        <v>#N/A</v>
      </c>
      <c r="H72" s="61" t="str">
        <f t="shared" si="2"/>
        <v/>
      </c>
      <c r="I72" s="67"/>
      <c r="J72" s="70"/>
    </row>
    <row r="73" spans="2:10" ht="15" hidden="1" thickBot="1" x14ac:dyDescent="0.4">
      <c r="B73" s="65"/>
      <c r="C73" s="8"/>
      <c r="D73" s="21"/>
      <c r="E73" s="21"/>
      <c r="F73" s="9"/>
      <c r="G73" s="9" t="e">
        <f>INDEX('Data Validation (Hide)'!K71:L76,MATCH(Service!F73,'Data Validation (Hide)'!K71:K75,0),2)</f>
        <v>#N/A</v>
      </c>
      <c r="H73" s="62" t="str">
        <f t="shared" si="2"/>
        <v/>
      </c>
      <c r="I73" s="68"/>
      <c r="J73" s="71"/>
    </row>
    <row r="74" spans="2:10" hidden="1" x14ac:dyDescent="0.35">
      <c r="B74" s="63" t="str">
        <f>'Data Validation (Hide)'!B16</f>
        <v>Caseload 15</v>
      </c>
      <c r="C74" s="3"/>
      <c r="D74" s="18"/>
      <c r="E74" s="18"/>
      <c r="F74" s="4"/>
      <c r="G74" s="4" t="e">
        <f>INDEX('Data Validation (Hide)'!K72:L77,MATCH(Service!F74,'Data Validation (Hide)'!K72:K76,0),2)</f>
        <v>#N/A</v>
      </c>
      <c r="H74" s="60" t="str">
        <f t="shared" si="2"/>
        <v/>
      </c>
      <c r="I74" s="66">
        <f>SUMIF($E$74:$E$78,1,$H$74:$H$78)</f>
        <v>0</v>
      </c>
      <c r="J74" s="69">
        <f>SUMIF($E$74:$E$78,"&gt;"&amp;1,$H$74:$H$78)</f>
        <v>0</v>
      </c>
    </row>
    <row r="75" spans="2:10" hidden="1" x14ac:dyDescent="0.35">
      <c r="B75" s="64"/>
      <c r="C75" s="7"/>
      <c r="D75" s="20"/>
      <c r="E75" s="20"/>
      <c r="F75" s="5"/>
      <c r="G75" s="5" t="e">
        <f>INDEX('Data Validation (Hide)'!K73:L78,MATCH(Service!F75,'Data Validation (Hide)'!K73:K77,0),2)</f>
        <v>#N/A</v>
      </c>
      <c r="H75" s="61" t="str">
        <f t="shared" si="2"/>
        <v/>
      </c>
      <c r="I75" s="67"/>
      <c r="J75" s="70"/>
    </row>
    <row r="76" spans="2:10" hidden="1" x14ac:dyDescent="0.35">
      <c r="B76" s="64"/>
      <c r="C76" s="7"/>
      <c r="D76" s="20"/>
      <c r="E76" s="20"/>
      <c r="F76" s="5"/>
      <c r="G76" s="5" t="e">
        <f>INDEX('Data Validation (Hide)'!K74:L79,MATCH(Service!F76,'Data Validation (Hide)'!K74:K78,0),2)</f>
        <v>#N/A</v>
      </c>
      <c r="H76" s="61" t="str">
        <f t="shared" si="2"/>
        <v/>
      </c>
      <c r="I76" s="67"/>
      <c r="J76" s="70"/>
    </row>
    <row r="77" spans="2:10" hidden="1" x14ac:dyDescent="0.35">
      <c r="B77" s="64"/>
      <c r="C77" s="7"/>
      <c r="D77" s="20"/>
      <c r="E77" s="20"/>
      <c r="F77" s="5"/>
      <c r="G77" s="5" t="e">
        <f>INDEX('Data Validation (Hide)'!K75:L80,MATCH(Service!F77,'Data Validation (Hide)'!K75:K79,0),2)</f>
        <v>#N/A</v>
      </c>
      <c r="H77" s="61" t="str">
        <f t="shared" si="2"/>
        <v/>
      </c>
      <c r="I77" s="67"/>
      <c r="J77" s="70"/>
    </row>
    <row r="78" spans="2:10" ht="15" hidden="1" thickBot="1" x14ac:dyDescent="0.4">
      <c r="B78" s="65"/>
      <c r="C78" s="8"/>
      <c r="D78" s="21"/>
      <c r="E78" s="21"/>
      <c r="F78" s="9"/>
      <c r="G78" s="9" t="e">
        <f>INDEX('Data Validation (Hide)'!K76:L81,MATCH(Service!F78,'Data Validation (Hide)'!K76:K80,0),2)</f>
        <v>#N/A</v>
      </c>
      <c r="H78" s="62" t="str">
        <f t="shared" si="2"/>
        <v/>
      </c>
      <c r="I78" s="68"/>
      <c r="J78" s="71"/>
    </row>
    <row r="79" spans="2:10" x14ac:dyDescent="0.35">
      <c r="E79" s="32"/>
      <c r="H79" s="32"/>
      <c r="I79" s="32"/>
      <c r="J79" s="32"/>
    </row>
  </sheetData>
  <mergeCells count="45">
    <mergeCell ref="J74:J78"/>
    <mergeCell ref="J44:J48"/>
    <mergeCell ref="J49:J53"/>
    <mergeCell ref="J54:J58"/>
    <mergeCell ref="J59:J63"/>
    <mergeCell ref="J64:J68"/>
    <mergeCell ref="J69:J73"/>
    <mergeCell ref="I69:I73"/>
    <mergeCell ref="I74:I78"/>
    <mergeCell ref="J4:J8"/>
    <mergeCell ref="J9:J13"/>
    <mergeCell ref="J14:J18"/>
    <mergeCell ref="J19:J23"/>
    <mergeCell ref="J24:J28"/>
    <mergeCell ref="J29:J33"/>
    <mergeCell ref="J34:J38"/>
    <mergeCell ref="J39:J43"/>
    <mergeCell ref="I39:I43"/>
    <mergeCell ref="I44:I48"/>
    <mergeCell ref="I49:I53"/>
    <mergeCell ref="I54:I58"/>
    <mergeCell ref="I59:I63"/>
    <mergeCell ref="I64:I68"/>
    <mergeCell ref="B64:B68"/>
    <mergeCell ref="B69:B73"/>
    <mergeCell ref="B74:B78"/>
    <mergeCell ref="I4:I8"/>
    <mergeCell ref="I9:I13"/>
    <mergeCell ref="I14:I18"/>
    <mergeCell ref="I19:I23"/>
    <mergeCell ref="I24:I28"/>
    <mergeCell ref="I29:I33"/>
    <mergeCell ref="I34:I38"/>
    <mergeCell ref="B34:B38"/>
    <mergeCell ref="B39:B43"/>
    <mergeCell ref="B44:B48"/>
    <mergeCell ref="B49:B53"/>
    <mergeCell ref="B54:B58"/>
    <mergeCell ref="B59:B63"/>
    <mergeCell ref="B29:B33"/>
    <mergeCell ref="B4:B8"/>
    <mergeCell ref="B9:B13"/>
    <mergeCell ref="B14:B18"/>
    <mergeCell ref="B19:B23"/>
    <mergeCell ref="B24:B28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C132FB8-EA0F-4FF0-A557-4654A52771FB}">
          <x14:formula1>
            <xm:f>'Data Validation (Hide)'!$K$2:$K$7</xm:f>
          </x14:formula1>
          <xm:sqref>F4:F78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36726-2245-45DE-8F56-988E501B4782}">
  <sheetPr codeName="Sheet7"/>
  <dimension ref="A1:DA391"/>
  <sheetViews>
    <sheetView workbookViewId="0">
      <selection activeCell="DA5" sqref="DA5"/>
    </sheetView>
  </sheetViews>
  <sheetFormatPr defaultRowHeight="14.5" x14ac:dyDescent="0.35"/>
  <cols>
    <col min="1" max="1" width="14.81640625" style="5" bestFit="1" customWidth="1"/>
    <col min="2" max="2" width="17.81640625" style="5" bestFit="1" customWidth="1"/>
    <col min="3" max="3" width="17.54296875" style="5" bestFit="1" customWidth="1"/>
    <col min="5" max="5" width="12.08984375" bestFit="1" customWidth="1"/>
    <col min="6" max="9" width="12" bestFit="1" customWidth="1"/>
    <col min="10" max="11" width="12" customWidth="1"/>
    <col min="12" max="15" width="12" bestFit="1" customWidth="1"/>
    <col min="16" max="17" width="12" customWidth="1"/>
    <col min="18" max="21" width="12" bestFit="1" customWidth="1"/>
    <col min="22" max="23" width="12" customWidth="1"/>
    <col min="24" max="27" width="12" bestFit="1" customWidth="1"/>
    <col min="28" max="29" width="12" customWidth="1"/>
    <col min="30" max="33" width="12" bestFit="1" customWidth="1"/>
    <col min="34" max="35" width="12" customWidth="1"/>
    <col min="36" max="39" width="12" bestFit="1" customWidth="1"/>
    <col min="40" max="41" width="12" customWidth="1"/>
    <col min="42" max="45" width="12" bestFit="1" customWidth="1"/>
    <col min="46" max="47" width="12" customWidth="1"/>
    <col min="48" max="51" width="12" bestFit="1" customWidth="1"/>
    <col min="52" max="53" width="12" customWidth="1"/>
    <col min="54" max="57" width="12" bestFit="1" customWidth="1"/>
    <col min="58" max="59" width="12" customWidth="1"/>
    <col min="60" max="63" width="12" bestFit="1" customWidth="1"/>
    <col min="64" max="65" width="12" customWidth="1"/>
    <col min="66" max="69" width="12" bestFit="1" customWidth="1"/>
    <col min="70" max="71" width="12" customWidth="1"/>
    <col min="72" max="75" width="12" bestFit="1" customWidth="1"/>
    <col min="76" max="77" width="12" customWidth="1"/>
    <col min="78" max="81" width="12" bestFit="1" customWidth="1"/>
    <col min="82" max="83" width="12" customWidth="1"/>
    <col min="84" max="87" width="12" bestFit="1" customWidth="1"/>
    <col min="88" max="89" width="12" customWidth="1"/>
    <col min="90" max="93" width="12" bestFit="1" customWidth="1"/>
    <col min="94" max="95" width="12" customWidth="1"/>
    <col min="96" max="101" width="12" bestFit="1" customWidth="1"/>
    <col min="103" max="104" width="12" bestFit="1" customWidth="1"/>
    <col min="105" max="105" width="9.90625" bestFit="1" customWidth="1"/>
  </cols>
  <sheetData>
    <row r="1" spans="1:105" x14ac:dyDescent="0.35">
      <c r="A1" s="5" t="s">
        <v>61</v>
      </c>
      <c r="E1" s="3" t="s">
        <v>64</v>
      </c>
      <c r="F1" s="3" t="str" cm="1">
        <f t="array" ref="F1">INDEX($A$5:$A$19,ROUNDUP(COLUMN(A1)/6,0),1)</f>
        <v>Caseload 1</v>
      </c>
      <c r="G1" s="15" t="str" cm="1">
        <f t="array" ref="G1">INDEX($A$5:$A$19,ROUNDUP(COLUMN(B1)/6,0),1)</f>
        <v>Caseload 1</v>
      </c>
      <c r="H1" s="3" t="str" cm="1">
        <f t="array" ref="H1">INDEX($A$5:$A$19,ROUNDUP(COLUMN(C1)/6,0),1)</f>
        <v>Caseload 1</v>
      </c>
      <c r="I1" s="15" t="str" cm="1">
        <f t="array" ref="I1">INDEX($A$5:$A$19,ROUNDUP(COLUMN(D1)/6,0),1)</f>
        <v>Caseload 1</v>
      </c>
      <c r="J1" s="4" t="str" cm="1">
        <f t="array" ref="J1">INDEX($A$5:$A$19,ROUNDUP(COLUMN(E1)/6,0),1)</f>
        <v>Caseload 1</v>
      </c>
      <c r="K1" s="15" t="str" cm="1">
        <f t="array" ref="K1">INDEX($A$5:$A$19,ROUNDUP(COLUMN(F1)/6,0),1)</f>
        <v>Caseload 1</v>
      </c>
      <c r="L1" s="3" t="str" cm="1">
        <f t="array" ref="L1">INDEX($A$5:$A$19,ROUNDUP(COLUMN(G1)/6,0),1)</f>
        <v>Medium</v>
      </c>
      <c r="M1" s="15" t="str" cm="1">
        <f t="array" ref="M1">INDEX($A$5:$A$19,ROUNDUP(COLUMN(H1)/6,0),1)</f>
        <v>Medium</v>
      </c>
      <c r="N1" s="3" t="str" cm="1">
        <f t="array" ref="N1">INDEX($A$5:$A$19,ROUNDUP(COLUMN(I1)/6,0),1)</f>
        <v>Medium</v>
      </c>
      <c r="O1" s="15" t="str" cm="1">
        <f t="array" ref="O1">INDEX($A$5:$A$19,ROUNDUP(COLUMN(J1)/6,0),1)</f>
        <v>Medium</v>
      </c>
      <c r="P1" s="4" t="str" cm="1">
        <f t="array" ref="P1">INDEX($A$5:$A$19,ROUNDUP(COLUMN(K1)/6,0),1)</f>
        <v>Medium</v>
      </c>
      <c r="Q1" s="15" t="str" cm="1">
        <f t="array" ref="Q1">INDEX($A$5:$A$19,ROUNDUP(COLUMN(L1)/6,0),1)</f>
        <v>Medium</v>
      </c>
      <c r="R1" s="3" t="str" cm="1">
        <f t="array" ref="R1">INDEX($A$5:$A$19,ROUNDUP(COLUMN(M1)/6,0),1)</f>
        <v>low</v>
      </c>
      <c r="S1" s="15" t="str" cm="1">
        <f t="array" ref="S1">INDEX($A$5:$A$19,ROUNDUP(COLUMN(N1)/6,0),1)</f>
        <v>low</v>
      </c>
      <c r="T1" s="3" t="str" cm="1">
        <f t="array" ref="T1">INDEX($A$5:$A$19,ROUNDUP(COLUMN(O1)/6,0),1)</f>
        <v>low</v>
      </c>
      <c r="U1" s="15" t="str" cm="1">
        <f t="array" ref="U1">INDEX($A$5:$A$19,ROUNDUP(COLUMN(P1)/6,0),1)</f>
        <v>low</v>
      </c>
      <c r="V1" s="4" t="str" cm="1">
        <f t="array" ref="V1">INDEX($A$5:$A$19,ROUNDUP(COLUMN(Q1)/6,0),1)</f>
        <v>low</v>
      </c>
      <c r="W1" s="15" t="str" cm="1">
        <f t="array" ref="W1">INDEX($A$5:$A$19,ROUNDUP(COLUMN(R1)/6,0),1)</f>
        <v>low</v>
      </c>
      <c r="X1" s="3" t="str" cm="1">
        <f t="array" ref="X1">INDEX($A$5:$A$19,ROUNDUP(COLUMN(S1)/6,0),1)</f>
        <v>very low</v>
      </c>
      <c r="Y1" s="15" t="str" cm="1">
        <f t="array" ref="Y1">INDEX($A$5:$A$19,ROUNDUP(COLUMN(T1)/6,0),1)</f>
        <v>very low</v>
      </c>
      <c r="Z1" s="3" t="str" cm="1">
        <f t="array" ref="Z1">INDEX($A$5:$A$19,ROUNDUP(COLUMN(U1)/6,0),1)</f>
        <v>very low</v>
      </c>
      <c r="AA1" s="15" t="str" cm="1">
        <f t="array" ref="AA1">INDEX($A$5:$A$19,ROUNDUP(COLUMN(V1)/6,0),1)</f>
        <v>very low</v>
      </c>
      <c r="AB1" s="4" t="str" cm="1">
        <f t="array" ref="AB1">INDEX($A$5:$A$19,ROUNDUP(COLUMN(W1)/6,0),1)</f>
        <v>very low</v>
      </c>
      <c r="AC1" s="15" t="str" cm="1">
        <f t="array" ref="AC1">INDEX($A$5:$A$19,ROUNDUP(COLUMN(X1)/6,0),1)</f>
        <v>very low</v>
      </c>
      <c r="AD1" s="3" t="str" cm="1">
        <f t="array" ref="AD1">INDEX($A$5:$A$19,ROUNDUP(COLUMN(Y1)/6,0),1)</f>
        <v>Caseload 5</v>
      </c>
      <c r="AE1" s="15" t="str" cm="1">
        <f t="array" ref="AE1">INDEX($A$5:$A$19,ROUNDUP(COLUMN(Z1)/6,0),1)</f>
        <v>Caseload 5</v>
      </c>
      <c r="AF1" s="3" t="str" cm="1">
        <f t="array" ref="AF1">INDEX($A$5:$A$19,ROUNDUP(COLUMN(AA1)/6,0),1)</f>
        <v>Caseload 5</v>
      </c>
      <c r="AG1" s="15" t="str" cm="1">
        <f t="array" ref="AG1">INDEX($A$5:$A$19,ROUNDUP(COLUMN(AB1)/6,0),1)</f>
        <v>Caseload 5</v>
      </c>
      <c r="AH1" s="4" t="str" cm="1">
        <f t="array" ref="AH1">INDEX($A$5:$A$19,ROUNDUP(COLUMN(AC1)/6,0),1)</f>
        <v>Caseload 5</v>
      </c>
      <c r="AI1" s="15" t="str" cm="1">
        <f t="array" ref="AI1">INDEX($A$5:$A$19,ROUNDUP(COLUMN(AD1)/6,0),1)</f>
        <v>Caseload 5</v>
      </c>
      <c r="AJ1" s="3" t="str" cm="1">
        <f t="array" ref="AJ1">INDEX($A$5:$A$19,ROUNDUP(COLUMN(AE1)/6,0),1)</f>
        <v>Caseload 6</v>
      </c>
      <c r="AK1" s="15" t="str" cm="1">
        <f t="array" ref="AK1">INDEX($A$5:$A$19,ROUNDUP(COLUMN(AF1)/6,0),1)</f>
        <v>Caseload 6</v>
      </c>
      <c r="AL1" s="3" t="str" cm="1">
        <f t="array" ref="AL1">INDEX($A$5:$A$19,ROUNDUP(COLUMN(AG1)/6,0),1)</f>
        <v>Caseload 6</v>
      </c>
      <c r="AM1" s="15" t="str" cm="1">
        <f t="array" ref="AM1">INDEX($A$5:$A$19,ROUNDUP(COLUMN(AH1)/6,0),1)</f>
        <v>Caseload 6</v>
      </c>
      <c r="AN1" s="4" t="str" cm="1">
        <f t="array" ref="AN1">INDEX($A$5:$A$19,ROUNDUP(COLUMN(AI1)/6,0),1)</f>
        <v>Caseload 6</v>
      </c>
      <c r="AO1" s="15" t="str" cm="1">
        <f t="array" ref="AO1">INDEX($A$5:$A$19,ROUNDUP(COLUMN(AJ1)/6,0),1)</f>
        <v>Caseload 6</v>
      </c>
      <c r="AP1" s="3" t="str" cm="1">
        <f t="array" ref="AP1">INDEX($A$5:$A$19,ROUNDUP(COLUMN(AK1)/6,0),1)</f>
        <v>Caseload 7</v>
      </c>
      <c r="AQ1" s="15" t="str" cm="1">
        <f t="array" ref="AQ1">INDEX($A$5:$A$19,ROUNDUP(COLUMN(AL1)/6,0),1)</f>
        <v>Caseload 7</v>
      </c>
      <c r="AR1" s="3" t="str" cm="1">
        <f t="array" ref="AR1">INDEX($A$5:$A$19,ROUNDUP(COLUMN(AM1)/6,0),1)</f>
        <v>Caseload 7</v>
      </c>
      <c r="AS1" s="15" t="str" cm="1">
        <f t="array" ref="AS1">INDEX($A$5:$A$19,ROUNDUP(COLUMN(AN1)/6,0),1)</f>
        <v>Caseload 7</v>
      </c>
      <c r="AT1" s="4" t="str" cm="1">
        <f t="array" ref="AT1">INDEX($A$5:$A$19,ROUNDUP(COLUMN(AO1)/6,0),1)</f>
        <v>Caseload 7</v>
      </c>
      <c r="AU1" s="15" t="str" cm="1">
        <f t="array" ref="AU1">INDEX($A$5:$A$19,ROUNDUP(COLUMN(AP1)/6,0),1)</f>
        <v>Caseload 7</v>
      </c>
      <c r="AV1" s="3" t="str" cm="1">
        <f t="array" ref="AV1">INDEX($A$5:$A$19,ROUNDUP(COLUMN(AQ1)/6,0),1)</f>
        <v>Caseload 8</v>
      </c>
      <c r="AW1" s="15" t="str" cm="1">
        <f t="array" ref="AW1">INDEX($A$5:$A$19,ROUNDUP(COLUMN(AR1)/6,0),1)</f>
        <v>Caseload 8</v>
      </c>
      <c r="AX1" s="3" t="str" cm="1">
        <f t="array" ref="AX1">INDEX($A$5:$A$19,ROUNDUP(COLUMN(AS1)/6,0),1)</f>
        <v>Caseload 8</v>
      </c>
      <c r="AY1" s="15" t="str" cm="1">
        <f t="array" ref="AY1">INDEX($A$5:$A$19,ROUNDUP(COLUMN(AT1)/6,0),1)</f>
        <v>Caseload 8</v>
      </c>
      <c r="AZ1" s="4" t="str" cm="1">
        <f t="array" ref="AZ1">INDEX($A$5:$A$19,ROUNDUP(COLUMN(AU1)/6,0),1)</f>
        <v>Caseload 8</v>
      </c>
      <c r="BA1" s="15" t="str" cm="1">
        <f t="array" ref="BA1">INDEX($A$5:$A$19,ROUNDUP(COLUMN(AV1)/6,0),1)</f>
        <v>Caseload 8</v>
      </c>
      <c r="BB1" s="3" t="str" cm="1">
        <f t="array" ref="BB1">INDEX($A$5:$A$19,ROUNDUP(COLUMN(AW1)/6,0),1)</f>
        <v>Caseload 9</v>
      </c>
      <c r="BC1" s="15" t="str" cm="1">
        <f t="array" ref="BC1">INDEX($A$5:$A$19,ROUNDUP(COLUMN(AX1)/6,0),1)</f>
        <v>Caseload 9</v>
      </c>
      <c r="BD1" s="3" t="str" cm="1">
        <f t="array" ref="BD1">INDEX($A$5:$A$19,ROUNDUP(COLUMN(AY1)/6,0),1)</f>
        <v>Caseload 9</v>
      </c>
      <c r="BE1" s="15" t="str" cm="1">
        <f t="array" ref="BE1">INDEX($A$5:$A$19,ROUNDUP(COLUMN(AZ1)/6,0),1)</f>
        <v>Caseload 9</v>
      </c>
      <c r="BF1" s="4" t="str" cm="1">
        <f t="array" ref="BF1">INDEX($A$5:$A$19,ROUNDUP(COLUMN(BA1)/6,0),1)</f>
        <v>Caseload 9</v>
      </c>
      <c r="BG1" s="15" t="str" cm="1">
        <f t="array" ref="BG1">INDEX($A$5:$A$19,ROUNDUP(COLUMN(BB1)/6,0),1)</f>
        <v>Caseload 9</v>
      </c>
      <c r="BH1" s="3" t="str" cm="1">
        <f t="array" ref="BH1">INDEX($A$5:$A$19,ROUNDUP(COLUMN(BC1)/6,0),1)</f>
        <v>Caseload 10</v>
      </c>
      <c r="BI1" s="15" t="str" cm="1">
        <f t="array" ref="BI1">INDEX($A$5:$A$19,ROUNDUP(COLUMN(BD1)/6,0),1)</f>
        <v>Caseload 10</v>
      </c>
      <c r="BJ1" s="3" t="str" cm="1">
        <f t="array" ref="BJ1">INDEX($A$5:$A$19,ROUNDUP(COLUMN(BE1)/6,0),1)</f>
        <v>Caseload 10</v>
      </c>
      <c r="BK1" s="15" t="str" cm="1">
        <f t="array" ref="BK1">INDEX($A$5:$A$19,ROUNDUP(COLUMN(BF1)/6,0),1)</f>
        <v>Caseload 10</v>
      </c>
      <c r="BL1" s="4" t="str" cm="1">
        <f t="array" ref="BL1">INDEX($A$5:$A$19,ROUNDUP(COLUMN(BG1)/6,0),1)</f>
        <v>Caseload 10</v>
      </c>
      <c r="BM1" s="15" t="str" cm="1">
        <f t="array" ref="BM1">INDEX($A$5:$A$19,ROUNDUP(COLUMN(BH1)/6,0),1)</f>
        <v>Caseload 10</v>
      </c>
      <c r="BN1" s="3" t="str" cm="1">
        <f t="array" ref="BN1">INDEX($A$5:$A$19,ROUNDUP(COLUMN(BI1)/6,0),1)</f>
        <v>Caseload 11</v>
      </c>
      <c r="BO1" s="15" t="str" cm="1">
        <f t="array" ref="BO1">INDEX($A$5:$A$19,ROUNDUP(COLUMN(BJ1)/6,0),1)</f>
        <v>Caseload 11</v>
      </c>
      <c r="BP1" s="3" t="str" cm="1">
        <f t="array" ref="BP1">INDEX($A$5:$A$19,ROUNDUP(COLUMN(BK1)/6,0),1)</f>
        <v>Caseload 11</v>
      </c>
      <c r="BQ1" s="15" t="str" cm="1">
        <f t="array" ref="BQ1">INDEX($A$5:$A$19,ROUNDUP(COLUMN(BL1)/6,0),1)</f>
        <v>Caseload 11</v>
      </c>
      <c r="BR1" s="4" t="str" cm="1">
        <f t="array" ref="BR1">INDEX($A$5:$A$19,ROUNDUP(COLUMN(BM1)/6,0),1)</f>
        <v>Caseload 11</v>
      </c>
      <c r="BS1" s="15" t="str" cm="1">
        <f t="array" ref="BS1">INDEX($A$5:$A$19,ROUNDUP(COLUMN(BN1)/6,0),1)</f>
        <v>Caseload 11</v>
      </c>
      <c r="BT1" s="3" t="str" cm="1">
        <f t="array" ref="BT1">INDEX($A$5:$A$19,ROUNDUP(COLUMN(BO1)/6,0),1)</f>
        <v>Caseload 12</v>
      </c>
      <c r="BU1" s="15" t="str" cm="1">
        <f t="array" ref="BU1">INDEX($A$5:$A$19,ROUNDUP(COLUMN(BP1)/6,0),1)</f>
        <v>Caseload 12</v>
      </c>
      <c r="BV1" s="3" t="str" cm="1">
        <f t="array" ref="BV1">INDEX($A$5:$A$19,ROUNDUP(COLUMN(BQ1)/6,0),1)</f>
        <v>Caseload 12</v>
      </c>
      <c r="BW1" s="15" t="str" cm="1">
        <f t="array" ref="BW1">INDEX($A$5:$A$19,ROUNDUP(COLUMN(BR1)/6,0),1)</f>
        <v>Caseload 12</v>
      </c>
      <c r="BX1" s="4" t="str" cm="1">
        <f t="array" ref="BX1">INDEX($A$5:$A$19,ROUNDUP(COLUMN(BS1)/6,0),1)</f>
        <v>Caseload 12</v>
      </c>
      <c r="BY1" s="15" t="str" cm="1">
        <f t="array" ref="BY1">INDEX($A$5:$A$19,ROUNDUP(COLUMN(BT1)/6,0),1)</f>
        <v>Caseload 12</v>
      </c>
      <c r="BZ1" s="3" t="str" cm="1">
        <f t="array" ref="BZ1">INDEX($A$5:$A$19,ROUNDUP(COLUMN(BU1)/6,0),1)</f>
        <v>Caseload 13</v>
      </c>
      <c r="CA1" s="15" t="str" cm="1">
        <f t="array" ref="CA1">INDEX($A$5:$A$19,ROUNDUP(COLUMN(BV1)/6,0),1)</f>
        <v>Caseload 13</v>
      </c>
      <c r="CB1" s="3" t="str" cm="1">
        <f t="array" ref="CB1">INDEX($A$5:$A$19,ROUNDUP(COLUMN(BW1)/6,0),1)</f>
        <v>Caseload 13</v>
      </c>
      <c r="CC1" s="15" t="str" cm="1">
        <f t="array" ref="CC1">INDEX($A$5:$A$19,ROUNDUP(COLUMN(BX1)/6,0),1)</f>
        <v>Caseload 13</v>
      </c>
      <c r="CD1" s="4" t="str" cm="1">
        <f t="array" ref="CD1">INDEX($A$5:$A$19,ROUNDUP(COLUMN(BY1)/6,0),1)</f>
        <v>Caseload 13</v>
      </c>
      <c r="CE1" s="15" t="str" cm="1">
        <f t="array" ref="CE1">INDEX($A$5:$A$19,ROUNDUP(COLUMN(BZ1)/6,0),1)</f>
        <v>Caseload 13</v>
      </c>
      <c r="CF1" s="3" t="str" cm="1">
        <f t="array" ref="CF1">INDEX($A$5:$A$19,ROUNDUP(COLUMN(CA1)/6,0),1)</f>
        <v>Caseload 14</v>
      </c>
      <c r="CG1" s="15" t="str" cm="1">
        <f t="array" ref="CG1">INDEX($A$5:$A$19,ROUNDUP(COLUMN(CB1)/6,0),1)</f>
        <v>Caseload 14</v>
      </c>
      <c r="CH1" s="3" t="str" cm="1">
        <f t="array" ref="CH1">INDEX($A$5:$A$19,ROUNDUP(COLUMN(CC1)/6,0),1)</f>
        <v>Caseload 14</v>
      </c>
      <c r="CI1" s="15" t="str" cm="1">
        <f t="array" ref="CI1">INDEX($A$5:$A$19,ROUNDUP(COLUMN(CD1)/6,0),1)</f>
        <v>Caseload 14</v>
      </c>
      <c r="CJ1" s="4" t="str" cm="1">
        <f t="array" ref="CJ1">INDEX($A$5:$A$19,ROUNDUP(COLUMN(CE1)/6,0),1)</f>
        <v>Caseload 14</v>
      </c>
      <c r="CK1" s="15" t="str" cm="1">
        <f t="array" ref="CK1">INDEX($A$5:$A$19,ROUNDUP(COLUMN(CF1)/6,0),1)</f>
        <v>Caseload 14</v>
      </c>
      <c r="CL1" s="3" t="str" cm="1">
        <f t="array" ref="CL1">INDEX($A$5:$A$19,ROUNDUP(COLUMN(CG1)/6,0),1)</f>
        <v>Caseload 15</v>
      </c>
      <c r="CM1" s="15" t="str" cm="1">
        <f t="array" ref="CM1">INDEX($A$5:$A$19,ROUNDUP(COLUMN(CH1)/6,0),1)</f>
        <v>Caseload 15</v>
      </c>
      <c r="CN1" s="3" t="str" cm="1">
        <f t="array" ref="CN1">INDEX($A$5:$A$19,ROUNDUP(COLUMN(CI1)/6,0),1)</f>
        <v>Caseload 15</v>
      </c>
      <c r="CO1" s="15" t="str" cm="1">
        <f t="array" ref="CO1">INDEX($A$5:$A$19,ROUNDUP(COLUMN(CJ1)/6,0),1)</f>
        <v>Caseload 15</v>
      </c>
      <c r="CP1" s="4" t="str" cm="1">
        <f t="array" ref="CP1">INDEX($A$5:$A$19,ROUNDUP(COLUMN(CK1)/6,0),1)</f>
        <v>Caseload 15</v>
      </c>
      <c r="CQ1" s="15" t="str" cm="1">
        <f t="array" ref="CQ1">INDEX($A$5:$A$19,ROUNDUP(COLUMN(CL1)/6,0),1)</f>
        <v>Caseload 15</v>
      </c>
      <c r="CR1" s="3" t="s">
        <v>71</v>
      </c>
      <c r="CS1" s="15" t="s">
        <v>71</v>
      </c>
      <c r="CT1" s="3" t="s">
        <v>71</v>
      </c>
      <c r="CU1" s="15" t="s">
        <v>71</v>
      </c>
      <c r="CV1" s="4" t="s">
        <v>71</v>
      </c>
      <c r="CW1" s="15" t="s">
        <v>71</v>
      </c>
      <c r="CY1" s="3" t="s">
        <v>72</v>
      </c>
      <c r="CZ1" s="4"/>
      <c r="DA1" s="15"/>
    </row>
    <row r="2" spans="1:105" ht="15" thickBot="1" x14ac:dyDescent="0.4">
      <c r="E2" s="7"/>
      <c r="F2" s="7" t="s">
        <v>66</v>
      </c>
      <c r="G2" s="6" t="s">
        <v>66</v>
      </c>
      <c r="H2" s="7" t="s">
        <v>58</v>
      </c>
      <c r="I2" s="6" t="s">
        <v>58</v>
      </c>
      <c r="J2" s="19" t="s">
        <v>71</v>
      </c>
      <c r="K2" s="23" t="s">
        <v>71</v>
      </c>
      <c r="L2" s="7" t="s">
        <v>66</v>
      </c>
      <c r="M2" s="6" t="s">
        <v>66</v>
      </c>
      <c r="N2" s="7" t="s">
        <v>58</v>
      </c>
      <c r="O2" s="6" t="s">
        <v>58</v>
      </c>
      <c r="P2" s="19" t="s">
        <v>71</v>
      </c>
      <c r="Q2" s="23" t="s">
        <v>71</v>
      </c>
      <c r="R2" s="7" t="s">
        <v>66</v>
      </c>
      <c r="S2" s="6" t="s">
        <v>66</v>
      </c>
      <c r="T2" s="7" t="s">
        <v>58</v>
      </c>
      <c r="U2" s="6" t="s">
        <v>58</v>
      </c>
      <c r="V2" s="19" t="s">
        <v>71</v>
      </c>
      <c r="W2" s="23" t="s">
        <v>71</v>
      </c>
      <c r="X2" s="7" t="s">
        <v>66</v>
      </c>
      <c r="Y2" s="6" t="s">
        <v>66</v>
      </c>
      <c r="Z2" s="7" t="s">
        <v>58</v>
      </c>
      <c r="AA2" s="6" t="s">
        <v>58</v>
      </c>
      <c r="AB2" s="19" t="s">
        <v>71</v>
      </c>
      <c r="AC2" s="23" t="s">
        <v>71</v>
      </c>
      <c r="AD2" s="7" t="s">
        <v>66</v>
      </c>
      <c r="AE2" s="6" t="s">
        <v>66</v>
      </c>
      <c r="AF2" s="7" t="s">
        <v>58</v>
      </c>
      <c r="AG2" s="6" t="s">
        <v>58</v>
      </c>
      <c r="AH2" s="19" t="s">
        <v>71</v>
      </c>
      <c r="AI2" s="23" t="s">
        <v>71</v>
      </c>
      <c r="AJ2" s="7" t="s">
        <v>66</v>
      </c>
      <c r="AK2" s="6" t="s">
        <v>66</v>
      </c>
      <c r="AL2" s="7" t="s">
        <v>58</v>
      </c>
      <c r="AM2" s="6" t="s">
        <v>58</v>
      </c>
      <c r="AN2" s="19" t="s">
        <v>71</v>
      </c>
      <c r="AO2" s="23" t="s">
        <v>71</v>
      </c>
      <c r="AP2" s="7" t="s">
        <v>66</v>
      </c>
      <c r="AQ2" s="6" t="s">
        <v>66</v>
      </c>
      <c r="AR2" s="7" t="s">
        <v>58</v>
      </c>
      <c r="AS2" s="6" t="s">
        <v>58</v>
      </c>
      <c r="AT2" s="19" t="s">
        <v>71</v>
      </c>
      <c r="AU2" s="23" t="s">
        <v>71</v>
      </c>
      <c r="AV2" s="7" t="s">
        <v>66</v>
      </c>
      <c r="AW2" s="6" t="s">
        <v>66</v>
      </c>
      <c r="AX2" s="7" t="s">
        <v>58</v>
      </c>
      <c r="AY2" s="6" t="s">
        <v>58</v>
      </c>
      <c r="AZ2" s="19" t="s">
        <v>71</v>
      </c>
      <c r="BA2" s="23" t="s">
        <v>71</v>
      </c>
      <c r="BB2" s="7" t="s">
        <v>66</v>
      </c>
      <c r="BC2" s="6" t="s">
        <v>66</v>
      </c>
      <c r="BD2" s="7" t="s">
        <v>58</v>
      </c>
      <c r="BE2" s="6" t="s">
        <v>58</v>
      </c>
      <c r="BF2" s="19" t="s">
        <v>71</v>
      </c>
      <c r="BG2" s="23" t="s">
        <v>71</v>
      </c>
      <c r="BH2" s="7" t="s">
        <v>66</v>
      </c>
      <c r="BI2" s="6" t="s">
        <v>66</v>
      </c>
      <c r="BJ2" s="7" t="s">
        <v>58</v>
      </c>
      <c r="BK2" s="6" t="s">
        <v>58</v>
      </c>
      <c r="BL2" s="19" t="s">
        <v>71</v>
      </c>
      <c r="BM2" s="23" t="s">
        <v>71</v>
      </c>
      <c r="BN2" s="7" t="s">
        <v>66</v>
      </c>
      <c r="BO2" s="6" t="s">
        <v>66</v>
      </c>
      <c r="BP2" s="7" t="s">
        <v>58</v>
      </c>
      <c r="BQ2" s="6" t="s">
        <v>58</v>
      </c>
      <c r="BR2" s="19" t="s">
        <v>71</v>
      </c>
      <c r="BS2" s="23" t="s">
        <v>71</v>
      </c>
      <c r="BT2" s="7" t="s">
        <v>66</v>
      </c>
      <c r="BU2" s="6" t="s">
        <v>66</v>
      </c>
      <c r="BV2" s="7" t="s">
        <v>58</v>
      </c>
      <c r="BW2" s="6" t="s">
        <v>58</v>
      </c>
      <c r="BX2" s="19" t="s">
        <v>71</v>
      </c>
      <c r="BY2" s="23" t="s">
        <v>71</v>
      </c>
      <c r="BZ2" s="7" t="s">
        <v>66</v>
      </c>
      <c r="CA2" s="6" t="s">
        <v>66</v>
      </c>
      <c r="CB2" s="7" t="s">
        <v>58</v>
      </c>
      <c r="CC2" s="6" t="s">
        <v>58</v>
      </c>
      <c r="CD2" s="19" t="s">
        <v>71</v>
      </c>
      <c r="CE2" s="23" t="s">
        <v>71</v>
      </c>
      <c r="CF2" s="7" t="s">
        <v>66</v>
      </c>
      <c r="CG2" s="6" t="s">
        <v>66</v>
      </c>
      <c r="CH2" s="7" t="s">
        <v>58</v>
      </c>
      <c r="CI2" s="6" t="s">
        <v>58</v>
      </c>
      <c r="CJ2" s="19" t="s">
        <v>71</v>
      </c>
      <c r="CK2" s="23" t="s">
        <v>71</v>
      </c>
      <c r="CL2" s="7" t="s">
        <v>66</v>
      </c>
      <c r="CM2" s="6" t="s">
        <v>66</v>
      </c>
      <c r="CN2" s="7" t="s">
        <v>58</v>
      </c>
      <c r="CO2" s="6" t="s">
        <v>58</v>
      </c>
      <c r="CP2" s="19" t="s">
        <v>71</v>
      </c>
      <c r="CQ2" s="23" t="s">
        <v>71</v>
      </c>
      <c r="CR2" s="7" t="s">
        <v>66</v>
      </c>
      <c r="CS2" s="6" t="s">
        <v>66</v>
      </c>
      <c r="CT2" s="7" t="s">
        <v>58</v>
      </c>
      <c r="CU2" s="6" t="s">
        <v>58</v>
      </c>
      <c r="CV2" s="19" t="s">
        <v>71</v>
      </c>
      <c r="CW2" s="23" t="s">
        <v>71</v>
      </c>
      <c r="CY2" s="7"/>
      <c r="CZ2" s="5"/>
      <c r="DA2" s="6"/>
    </row>
    <row r="3" spans="1:105" ht="15" thickBot="1" x14ac:dyDescent="0.4">
      <c r="E3" s="7"/>
      <c r="F3" s="29">
        <f>INDEX(Service!$I$4:$J$78,MATCH('Required Capacity (Hide)'!F$1,Service!$B$4:$B$78,0),1)/IF(Summary!$B$5="Minutes",1,60)</f>
        <v>0.125</v>
      </c>
      <c r="G3" s="31"/>
      <c r="H3" s="29">
        <f>INDEX(Service!$I$4:$J$78,MATCH('Required Capacity (Hide)'!F$1,Service!$B$4:$B$78,0),2)/IF(Summary!$B$5="Minutes",1,60)</f>
        <v>0.1</v>
      </c>
      <c r="I3" s="31"/>
      <c r="J3" s="30"/>
      <c r="K3" s="31"/>
      <c r="L3" s="29">
        <f>INDEX(Service!$I$4:$J$78,MATCH('Required Capacity (Hide)'!L$1,Service!$B$4:$B$78,0),1)/IF(Summary!$B$5="Minutes",1,60)</f>
        <v>0</v>
      </c>
      <c r="M3" s="31"/>
      <c r="N3" s="29">
        <f>INDEX(Service!$I$4:$J$78,MATCH('Required Capacity (Hide)'!L$1,Service!$B$4:$B$78,0),2)/IF(Summary!$B$5="Minutes",1,60)</f>
        <v>0</v>
      </c>
      <c r="O3" s="31"/>
      <c r="P3" s="30"/>
      <c r="Q3" s="31"/>
      <c r="R3" s="29">
        <f>INDEX(Service!$I$4:$J$78,MATCH('Required Capacity (Hide)'!R$1,Service!$B$4:$B$78,0),1)/IF(Summary!$B$5="Minutes",1,60)</f>
        <v>0</v>
      </c>
      <c r="S3" s="31"/>
      <c r="T3" s="29">
        <f>INDEX(Service!$I$4:$J$78,MATCH('Required Capacity (Hide)'!R$1,Service!$B$4:$B$78,0),2)/IF(Summary!$B$5="Minutes",1,60)</f>
        <v>0</v>
      </c>
      <c r="U3" s="31"/>
      <c r="V3" s="30"/>
      <c r="W3" s="31"/>
      <c r="X3" s="29">
        <f>INDEX(Service!$I$4:$J$78,MATCH('Required Capacity (Hide)'!X$1,Service!$B$4:$B$78,0),1)/IF(Summary!$B$5="Minutes",1,60)</f>
        <v>0</v>
      </c>
      <c r="Y3" s="31"/>
      <c r="Z3" s="29">
        <f>INDEX(Service!$I$4:$J$78,MATCH('Required Capacity (Hide)'!X$1,Service!$B$4:$B$78,0),2)/IF(Summary!$B$5="Minutes",1,60)</f>
        <v>0</v>
      </c>
      <c r="AA3" s="31"/>
      <c r="AB3" s="30"/>
      <c r="AC3" s="31"/>
      <c r="AD3" s="29">
        <f>INDEX(Service!$I$4:$J$78,MATCH('Required Capacity (Hide)'!AD$1,Service!$B$4:$B$78,0),1)/IF(Summary!$B$5="Minutes",1,60)</f>
        <v>0</v>
      </c>
      <c r="AE3" s="31"/>
      <c r="AF3" s="29">
        <f>INDEX(Service!$I$4:$J$78,MATCH('Required Capacity (Hide)'!AD$1,Service!$B$4:$B$78,0),2)/IF(Summary!$B$5="Minutes",1,60)</f>
        <v>0</v>
      </c>
      <c r="AG3" s="31"/>
      <c r="AH3" s="30"/>
      <c r="AI3" s="31"/>
      <c r="AJ3" s="29">
        <f>INDEX(Service!$I$4:$J$78,MATCH('Required Capacity (Hide)'!AJ$1,Service!$B$4:$B$78,0),1)/IF(Summary!$B$5="Minutes",1,60)</f>
        <v>0</v>
      </c>
      <c r="AK3" s="31"/>
      <c r="AL3" s="29">
        <f>INDEX(Service!$I$4:$J$78,MATCH('Required Capacity (Hide)'!AJ$1,Service!$B$4:$B$78,0),2)/IF(Summary!$B$5="Minutes",1,60)</f>
        <v>0</v>
      </c>
      <c r="AM3" s="31"/>
      <c r="AN3" s="30"/>
      <c r="AO3" s="31"/>
      <c r="AP3" s="29">
        <f>INDEX(Service!$I$4:$J$78,MATCH('Required Capacity (Hide)'!AP$1,Service!$B$4:$B$78,0),1)/IF(Summary!$B$5="Minutes",1,60)</f>
        <v>0</v>
      </c>
      <c r="AQ3" s="31"/>
      <c r="AR3" s="29">
        <f>INDEX(Service!$I$4:$J$78,MATCH('Required Capacity (Hide)'!AP$1,Service!$B$4:$B$78,0),2)/IF(Summary!$B$5="Minutes",1,60)</f>
        <v>0</v>
      </c>
      <c r="AS3" s="31"/>
      <c r="AT3" s="30"/>
      <c r="AU3" s="31"/>
      <c r="AV3" s="29">
        <f>INDEX(Service!$I$4:$J$78,MATCH('Required Capacity (Hide)'!AV$1,Service!$B$4:$B$78,0),1)/IF(Summary!$B$5="Minutes",1,60)</f>
        <v>0</v>
      </c>
      <c r="AW3" s="31"/>
      <c r="AX3" s="29">
        <f>INDEX(Service!$I$4:$J$78,MATCH('Required Capacity (Hide)'!AV$1,Service!$B$4:$B$78,0),2)/IF(Summary!$B$5="Minutes",1,60)</f>
        <v>0</v>
      </c>
      <c r="AY3" s="31"/>
      <c r="AZ3" s="30"/>
      <c r="BA3" s="31"/>
      <c r="BB3" s="29">
        <f>INDEX(Service!$I$4:$J$78,MATCH('Required Capacity (Hide)'!BB$1,Service!$B$4:$B$78,0),1)/IF(Summary!$B$5="Minutes",1,60)</f>
        <v>0</v>
      </c>
      <c r="BC3" s="31"/>
      <c r="BD3" s="29">
        <f>INDEX(Service!$I$4:$J$78,MATCH('Required Capacity (Hide)'!BB$1,Service!$B$4:$B$78,0),2)/IF(Summary!$B$5="Minutes",1,60)</f>
        <v>0</v>
      </c>
      <c r="BE3" s="31"/>
      <c r="BF3" s="30"/>
      <c r="BG3" s="31"/>
      <c r="BH3" s="29">
        <f>INDEX(Service!$I$4:$J$78,MATCH('Required Capacity (Hide)'!BH$1,Service!$B$4:$B$78,0),1)/IF(Summary!$B$5="Minutes",1,60)</f>
        <v>0</v>
      </c>
      <c r="BI3" s="31"/>
      <c r="BJ3" s="29">
        <f>INDEX(Service!$I$4:$J$78,MATCH('Required Capacity (Hide)'!BH$1,Service!$B$4:$B$78,0),2)/IF(Summary!$B$5="Minutes",1,60)</f>
        <v>0</v>
      </c>
      <c r="BK3" s="31"/>
      <c r="BL3" s="30"/>
      <c r="BM3" s="31"/>
      <c r="BN3" s="29">
        <f>INDEX(Service!$I$4:$J$78,MATCH('Required Capacity (Hide)'!BN$1,Service!$B$4:$B$78,0),1)/IF(Summary!$B$5="Minutes",1,60)</f>
        <v>0</v>
      </c>
      <c r="BO3" s="31"/>
      <c r="BP3" s="29">
        <f>INDEX(Service!$I$4:$J$78,MATCH('Required Capacity (Hide)'!BN$1,Service!$B$4:$B$78,0),2)/IF(Summary!$B$5="Minutes",1,60)</f>
        <v>0</v>
      </c>
      <c r="BQ3" s="31"/>
      <c r="BR3" s="30"/>
      <c r="BS3" s="31"/>
      <c r="BT3" s="29">
        <f>INDEX(Service!$I$4:$J$78,MATCH('Required Capacity (Hide)'!BT$1,Service!$B$4:$B$78,0),1)/IF(Summary!$B$5="Minutes",1,60)</f>
        <v>0</v>
      </c>
      <c r="BU3" s="31"/>
      <c r="BV3" s="29">
        <f>INDEX(Service!$I$4:$J$78,MATCH('Required Capacity (Hide)'!BT$1,Service!$B$4:$B$78,0),2)/IF(Summary!$B$5="Minutes",1,60)</f>
        <v>0</v>
      </c>
      <c r="BW3" s="31"/>
      <c r="BX3" s="30"/>
      <c r="BY3" s="31"/>
      <c r="BZ3" s="29">
        <f>INDEX(Service!$I$4:$J$78,MATCH('Required Capacity (Hide)'!BZ$1,Service!$B$4:$B$78,0),1)/IF(Summary!$B$5="Minutes",1,60)</f>
        <v>0</v>
      </c>
      <c r="CA3" s="31"/>
      <c r="CB3" s="29">
        <f>INDEX(Service!$I$4:$J$78,MATCH('Required Capacity (Hide)'!BZ$1,Service!$B$4:$B$78,0),2)/IF(Summary!$B$5="Minutes",1,60)</f>
        <v>0</v>
      </c>
      <c r="CC3" s="31"/>
      <c r="CD3" s="30"/>
      <c r="CE3" s="31"/>
      <c r="CF3" s="29">
        <f>INDEX(Service!$I$4:$J$78,MATCH('Required Capacity (Hide)'!CF$1,Service!$B$4:$B$78,0),1)/IF(Summary!$B$5="Minutes",1,60)</f>
        <v>0</v>
      </c>
      <c r="CG3" s="31"/>
      <c r="CH3" s="29">
        <f>INDEX(Service!$I$4:$J$78,MATCH('Required Capacity (Hide)'!CF$1,Service!$B$4:$B$78,0),2)/IF(Summary!$B$5="Minutes",1,60)</f>
        <v>0</v>
      </c>
      <c r="CI3" s="31"/>
      <c r="CJ3" s="30"/>
      <c r="CK3" s="31"/>
      <c r="CL3" s="29">
        <f>INDEX(Service!$I$4:$J$78,MATCH('Required Capacity (Hide)'!CL$1,Service!$B$4:$B$78,0),1)/IF(Summary!$B$5="Minutes",1,60)</f>
        <v>0</v>
      </c>
      <c r="CM3" s="31"/>
      <c r="CN3" s="29">
        <f>INDEX(Service!$I$4:$J$78,MATCH('Required Capacity (Hide)'!CL$1,Service!$B$4:$B$78,0),2)/IF(Summary!$B$5="Minutes",1,60)</f>
        <v>0</v>
      </c>
      <c r="CO3" s="31"/>
      <c r="CP3" s="30"/>
      <c r="CQ3" s="31"/>
      <c r="CR3" s="29"/>
      <c r="CS3" s="31"/>
      <c r="CT3" s="29"/>
      <c r="CU3" s="31"/>
      <c r="CV3" s="30"/>
      <c r="CW3" s="31"/>
      <c r="CY3" s="7"/>
      <c r="CZ3" s="5"/>
      <c r="DA3" s="6"/>
    </row>
    <row r="4" spans="1:105" ht="15" thickBot="1" x14ac:dyDescent="0.4">
      <c r="A4" s="29" t="s">
        <v>16</v>
      </c>
      <c r="B4" s="36" t="s">
        <v>62</v>
      </c>
      <c r="C4" s="31" t="s">
        <v>63</v>
      </c>
      <c r="E4" s="17" t="s">
        <v>65</v>
      </c>
      <c r="F4" s="24" t="s">
        <v>67</v>
      </c>
      <c r="G4" s="26" t="s">
        <v>68</v>
      </c>
      <c r="H4" s="24" t="s">
        <v>67</v>
      </c>
      <c r="I4" s="26" t="s">
        <v>68</v>
      </c>
      <c r="J4" s="25" t="s">
        <v>59</v>
      </c>
      <c r="K4" s="26" t="s">
        <v>68</v>
      </c>
      <c r="L4" s="24" t="s">
        <v>67</v>
      </c>
      <c r="M4" s="26" t="s">
        <v>68</v>
      </c>
      <c r="N4" s="24" t="s">
        <v>67</v>
      </c>
      <c r="O4" s="26" t="s">
        <v>68</v>
      </c>
      <c r="P4" s="25" t="s">
        <v>59</v>
      </c>
      <c r="Q4" s="26" t="s">
        <v>68</v>
      </c>
      <c r="R4" s="24" t="s">
        <v>67</v>
      </c>
      <c r="S4" s="26" t="s">
        <v>68</v>
      </c>
      <c r="T4" s="24" t="s">
        <v>67</v>
      </c>
      <c r="U4" s="26" t="s">
        <v>68</v>
      </c>
      <c r="V4" s="25" t="s">
        <v>59</v>
      </c>
      <c r="W4" s="26" t="s">
        <v>68</v>
      </c>
      <c r="X4" s="24" t="s">
        <v>67</v>
      </c>
      <c r="Y4" s="26" t="s">
        <v>68</v>
      </c>
      <c r="Z4" s="24" t="s">
        <v>67</v>
      </c>
      <c r="AA4" s="26" t="s">
        <v>68</v>
      </c>
      <c r="AB4" s="25" t="s">
        <v>59</v>
      </c>
      <c r="AC4" s="26" t="s">
        <v>68</v>
      </c>
      <c r="AD4" s="24" t="s">
        <v>67</v>
      </c>
      <c r="AE4" s="26" t="s">
        <v>68</v>
      </c>
      <c r="AF4" s="24" t="s">
        <v>67</v>
      </c>
      <c r="AG4" s="26" t="s">
        <v>68</v>
      </c>
      <c r="AH4" s="25" t="s">
        <v>59</v>
      </c>
      <c r="AI4" s="26" t="s">
        <v>68</v>
      </c>
      <c r="AJ4" s="24" t="s">
        <v>67</v>
      </c>
      <c r="AK4" s="26" t="s">
        <v>68</v>
      </c>
      <c r="AL4" s="24" t="s">
        <v>67</v>
      </c>
      <c r="AM4" s="26" t="s">
        <v>68</v>
      </c>
      <c r="AN4" s="25" t="s">
        <v>59</v>
      </c>
      <c r="AO4" s="26" t="s">
        <v>68</v>
      </c>
      <c r="AP4" s="24" t="s">
        <v>67</v>
      </c>
      <c r="AQ4" s="26" t="s">
        <v>68</v>
      </c>
      <c r="AR4" s="24" t="s">
        <v>67</v>
      </c>
      <c r="AS4" s="26" t="s">
        <v>68</v>
      </c>
      <c r="AT4" s="25" t="s">
        <v>59</v>
      </c>
      <c r="AU4" s="26" t="s">
        <v>68</v>
      </c>
      <c r="AV4" s="24" t="s">
        <v>67</v>
      </c>
      <c r="AW4" s="26" t="s">
        <v>68</v>
      </c>
      <c r="AX4" s="24" t="s">
        <v>67</v>
      </c>
      <c r="AY4" s="26" t="s">
        <v>68</v>
      </c>
      <c r="AZ4" s="25" t="s">
        <v>59</v>
      </c>
      <c r="BA4" s="26" t="s">
        <v>68</v>
      </c>
      <c r="BB4" s="24" t="s">
        <v>67</v>
      </c>
      <c r="BC4" s="26" t="s">
        <v>68</v>
      </c>
      <c r="BD4" s="24" t="s">
        <v>67</v>
      </c>
      <c r="BE4" s="26" t="s">
        <v>68</v>
      </c>
      <c r="BF4" s="25" t="s">
        <v>59</v>
      </c>
      <c r="BG4" s="26" t="s">
        <v>68</v>
      </c>
      <c r="BH4" s="24" t="s">
        <v>67</v>
      </c>
      <c r="BI4" s="26" t="s">
        <v>68</v>
      </c>
      <c r="BJ4" s="24" t="s">
        <v>67</v>
      </c>
      <c r="BK4" s="26" t="s">
        <v>68</v>
      </c>
      <c r="BL4" s="25" t="s">
        <v>59</v>
      </c>
      <c r="BM4" s="26" t="s">
        <v>68</v>
      </c>
      <c r="BN4" s="24" t="s">
        <v>67</v>
      </c>
      <c r="BO4" s="26" t="s">
        <v>68</v>
      </c>
      <c r="BP4" s="24" t="s">
        <v>67</v>
      </c>
      <c r="BQ4" s="26" t="s">
        <v>68</v>
      </c>
      <c r="BR4" s="25" t="s">
        <v>59</v>
      </c>
      <c r="BS4" s="26" t="s">
        <v>68</v>
      </c>
      <c r="BT4" s="24" t="s">
        <v>67</v>
      </c>
      <c r="BU4" s="26" t="s">
        <v>68</v>
      </c>
      <c r="BV4" s="24" t="s">
        <v>67</v>
      </c>
      <c r="BW4" s="26" t="s">
        <v>68</v>
      </c>
      <c r="BX4" s="25" t="s">
        <v>59</v>
      </c>
      <c r="BY4" s="26" t="s">
        <v>68</v>
      </c>
      <c r="BZ4" s="24" t="s">
        <v>67</v>
      </c>
      <c r="CA4" s="26" t="s">
        <v>68</v>
      </c>
      <c r="CB4" s="24" t="s">
        <v>67</v>
      </c>
      <c r="CC4" s="26" t="s">
        <v>68</v>
      </c>
      <c r="CD4" s="25" t="s">
        <v>59</v>
      </c>
      <c r="CE4" s="26" t="s">
        <v>68</v>
      </c>
      <c r="CF4" s="24" t="s">
        <v>67</v>
      </c>
      <c r="CG4" s="26" t="s">
        <v>68</v>
      </c>
      <c r="CH4" s="24" t="s">
        <v>67</v>
      </c>
      <c r="CI4" s="26" t="s">
        <v>68</v>
      </c>
      <c r="CJ4" s="25" t="s">
        <v>59</v>
      </c>
      <c r="CK4" s="26" t="s">
        <v>68</v>
      </c>
      <c r="CL4" s="24" t="s">
        <v>67</v>
      </c>
      <c r="CM4" s="26" t="s">
        <v>68</v>
      </c>
      <c r="CN4" s="24" t="s">
        <v>67</v>
      </c>
      <c r="CO4" s="26" t="s">
        <v>68</v>
      </c>
      <c r="CP4" s="25" t="s">
        <v>59</v>
      </c>
      <c r="CQ4" s="26" t="s">
        <v>68</v>
      </c>
      <c r="CR4" s="24" t="s">
        <v>59</v>
      </c>
      <c r="CS4" s="26" t="s">
        <v>68</v>
      </c>
      <c r="CT4" s="24" t="s">
        <v>59</v>
      </c>
      <c r="CU4" s="26" t="s">
        <v>68</v>
      </c>
      <c r="CV4" s="25" t="s">
        <v>59</v>
      </c>
      <c r="CW4" s="26" t="s">
        <v>68</v>
      </c>
      <c r="CY4" s="29" t="s">
        <v>67</v>
      </c>
      <c r="CZ4" s="30" t="s">
        <v>68</v>
      </c>
      <c r="DA4" s="31" t="s">
        <v>47</v>
      </c>
    </row>
    <row r="5" spans="1:105" x14ac:dyDescent="0.35">
      <c r="A5" s="7" t="str">
        <f>'Data Validation (Hide)'!B2</f>
        <v>Caseload 1</v>
      </c>
      <c r="B5" s="22">
        <f>_xlfn.PERCENTILE.INC(INDEX('SPC Backing (Hide)'!$C$4:$Q$263,MATCH(SPC!$B$12,'SPC Backing (Hide)'!$B$4:$B$263,0),MATCH('Required Capacity (Hide)'!$A5,'SPC Backing (Hide)'!$C$3:$Q$3,0)):INDEX('SPC Backing (Hide)'!$C$4:$Q$263,MATCH(SPC!$B$13,'SPC Backing (Hide)'!$B$4:$B$263,0)-1,MATCH('Required Capacity (Hide)'!$A5,'SPC Backing (Hide)'!$C$3:$Q$3,0)),'SPC Backing (Hide)'!$AK$3)</f>
        <v>256.89999999999998</v>
      </c>
      <c r="C5" s="33">
        <f>_xlfn.PERCENTILE.INC(INDEX('SPC Backing (Hide)'!$C$4:$Q$263,MATCH(SPC!$B$12,'SPC Backing (Hide)'!$B$4:$B$263,0),MATCH('Required Capacity (Hide)'!$A5,'SPC Backing (Hide)'!$C$3:$Q$3,0)):INDEX('SPC Backing (Hide)'!$C$4:$Q$263,MATCH(SPC!$B$13,'SPC Backing (Hide)'!$B$4:$B$263,0)-1,MATCH('Required Capacity (Hide)'!$A5,'SPC Backing (Hide)'!$C$3:$Q$3,0)),0.85)</f>
        <v>271.69999999999987</v>
      </c>
      <c r="E5" s="12" cm="1">
        <f t="array" ref="E5">INDEX(Demand!B6:B265,Demand!A5,1)+7</f>
        <v>44121</v>
      </c>
      <c r="F5" s="7">
        <f>INDEX($B$5:$C$19,MATCH(F$1,$A$5:$A$19,0),1)*F$3</f>
        <v>32.112499999999997</v>
      </c>
      <c r="G5" s="6">
        <f>INDEX($B$5:$C$19,MATCH(F$1,$A$5:$A$19,0),2)*F$3</f>
        <v>33.962499999999984</v>
      </c>
      <c r="H5" s="7">
        <f>INDEX($B$5:$C$19,MATCH(F$1,$A$5:$A$19,0),1)*H$3</f>
        <v>25.689999999999998</v>
      </c>
      <c r="I5" s="6">
        <f>INDEX($B$5:$C$19,MATCH(F$1,$A$5:$A$19,0),2)*H$3</f>
        <v>27.169999999999987</v>
      </c>
      <c r="J5" s="5">
        <f>SUMIF(F$4:I$4,J$4,F5:I5)</f>
        <v>57.802499999999995</v>
      </c>
      <c r="K5" s="6">
        <f>SUMIF(F$4:I$4,K$4,F5:I5)</f>
        <v>61.132499999999972</v>
      </c>
      <c r="L5" s="7">
        <f>INDEX($B$5:$C$19,MATCH(L$1,$A$5:$A$19,0),1)*L$3</f>
        <v>0</v>
      </c>
      <c r="M5" s="6">
        <f>INDEX($B$5:$C$19,MATCH(L$1,$A$5:$A$19,0),2)*L$3</f>
        <v>0</v>
      </c>
      <c r="N5" s="7">
        <f>INDEX($B$5:$C$19,MATCH(L$1,$A$5:$A$19,0),1)*N$3</f>
        <v>0</v>
      </c>
      <c r="O5" s="6">
        <f>INDEX($B$5:$C$19,MATCH(L$1,$A$5:$A$19,0),2)*N$3</f>
        <v>0</v>
      </c>
      <c r="P5" s="5">
        <f>SUMIF(L$4:O$4,P$4,L5:O5)</f>
        <v>0</v>
      </c>
      <c r="Q5" s="6">
        <f>SUMIF(L$4:O$4,Q$4,L5:O5)</f>
        <v>0</v>
      </c>
      <c r="R5" s="7">
        <f>INDEX($B$5:$C$19,MATCH(R$1,$A$5:$A$19,0),1)*R$3</f>
        <v>0</v>
      </c>
      <c r="S5" s="6">
        <f>INDEX($B$5:$C$19,MATCH(R$1,$A$5:$A$19,0),2)*R$3</f>
        <v>0</v>
      </c>
      <c r="T5" s="7">
        <f>INDEX($B$5:$C$19,MATCH(R$1,$A$5:$A$19,0),1)*T$3</f>
        <v>0</v>
      </c>
      <c r="U5" s="6">
        <f>INDEX($B$5:$C$19,MATCH(R$1,$A$5:$A$19,0),2)*T$3</f>
        <v>0</v>
      </c>
      <c r="V5" s="5">
        <f>SUMIF(R$4:U$4,V$4,R5:U5)</f>
        <v>0</v>
      </c>
      <c r="W5" s="6">
        <f>SUMIF(R$4:U$4,W$4,R5:U5)</f>
        <v>0</v>
      </c>
      <c r="X5" s="7">
        <f>INDEX($B$5:$C$19,MATCH(X$1,$A$5:$A$19,0),1)*X$3</f>
        <v>0</v>
      </c>
      <c r="Y5" s="6">
        <f>INDEX($B$5:$C$19,MATCH(X$1,$A$5:$A$19,0),2)*X$3</f>
        <v>0</v>
      </c>
      <c r="Z5" s="7">
        <f>INDEX($B$5:$C$19,MATCH(X$1,$A$5:$A$19,0),1)*Z$3</f>
        <v>0</v>
      </c>
      <c r="AA5" s="6">
        <f>INDEX($B$5:$C$19,MATCH(X$1,$A$5:$A$19,0),2)*Z$3</f>
        <v>0</v>
      </c>
      <c r="AB5" s="5">
        <f>SUMIF(X$4:AA$4,AB$4,X5:AA5)</f>
        <v>0</v>
      </c>
      <c r="AC5" s="6">
        <f>SUMIF(X$4:AA$4,AC$4,X5:AA5)</f>
        <v>0</v>
      </c>
      <c r="AD5" s="7">
        <f>INDEX($B$5:$C$19,MATCH(AD$1,$A$5:$A$19,0),1)*AD$3</f>
        <v>0</v>
      </c>
      <c r="AE5" s="6">
        <f>INDEX($B$5:$C$19,MATCH(AD$1,$A$5:$A$19,0),2)*AD$3</f>
        <v>0</v>
      </c>
      <c r="AF5" s="7">
        <f>INDEX($B$5:$C$19,MATCH(AD$1,$A$5:$A$19,0),1)*AF$3</f>
        <v>0</v>
      </c>
      <c r="AG5" s="6">
        <f>INDEX($B$5:$C$19,MATCH(AD$1,$A$5:$A$19,0),2)*AF$3</f>
        <v>0</v>
      </c>
      <c r="AH5" s="5">
        <f>SUMIF(AD$4:AG$4,AH$4,AD5:AG5)</f>
        <v>0</v>
      </c>
      <c r="AI5" s="6">
        <f>SUMIF(AD$4:AG$4,AI$4,AD5:AG5)</f>
        <v>0</v>
      </c>
      <c r="AJ5" s="7">
        <f>INDEX($B$5:$C$19,MATCH(AJ$1,$A$5:$A$19,0),1)*AJ$3</f>
        <v>0</v>
      </c>
      <c r="AK5" s="6">
        <f>INDEX($B$5:$C$19,MATCH(AJ$1,$A$5:$A$19,0),2)*AJ$3</f>
        <v>0</v>
      </c>
      <c r="AL5" s="7">
        <f>INDEX($B$5:$C$19,MATCH(AJ$1,$A$5:$A$19,0),1)*AL$3</f>
        <v>0</v>
      </c>
      <c r="AM5" s="6">
        <f>INDEX($B$5:$C$19,MATCH(AJ$1,$A$5:$A$19,0),2)*AL$3</f>
        <v>0</v>
      </c>
      <c r="AN5" s="5">
        <f>SUMIF(AJ$4:AM$4,AN$4,AJ5:AM5)</f>
        <v>0</v>
      </c>
      <c r="AO5" s="6">
        <f>SUMIF(AJ$4:AM$4,AO$4,AJ5:AM5)</f>
        <v>0</v>
      </c>
      <c r="AP5" s="7">
        <f>INDEX($B$5:$C$19,MATCH(AP$1,$A$5:$A$19,0),1)*AP$3</f>
        <v>0</v>
      </c>
      <c r="AQ5" s="6">
        <f>INDEX($B$5:$C$19,MATCH(AP$1,$A$5:$A$19,0),2)*AP$3</f>
        <v>0</v>
      </c>
      <c r="AR5" s="7">
        <f>INDEX($B$5:$C$19,MATCH(AP$1,$A$5:$A$19,0),1)*AR$3</f>
        <v>0</v>
      </c>
      <c r="AS5" s="6">
        <f>INDEX($B$5:$C$19,MATCH(AP$1,$A$5:$A$19,0),2)*AR$3</f>
        <v>0</v>
      </c>
      <c r="AT5" s="5">
        <f>SUMIF(AP$4:AS$4,AT$4,AP5:AS5)</f>
        <v>0</v>
      </c>
      <c r="AU5" s="6">
        <f>SUMIF(AP$4:AS$4,AU$4,AP5:AS5)</f>
        <v>0</v>
      </c>
      <c r="AV5" s="7">
        <f>INDEX($B$5:$C$19,MATCH(AV$1,$A$5:$A$19,0),1)*AV$3</f>
        <v>0</v>
      </c>
      <c r="AW5" s="6">
        <f>INDEX($B$5:$C$19,MATCH(AV$1,$A$5:$A$19,0),2)*AV$3</f>
        <v>0</v>
      </c>
      <c r="AX5" s="7">
        <f>INDEX($B$5:$C$19,MATCH(AV$1,$A$5:$A$19,0),1)*AX$3</f>
        <v>0</v>
      </c>
      <c r="AY5" s="6">
        <f>INDEX($B$5:$C$19,MATCH(AV$1,$A$5:$A$19,0),2)*AX$3</f>
        <v>0</v>
      </c>
      <c r="AZ5" s="5">
        <f>SUMIF(AV$4:AY$4,AZ$4,AV5:AY5)</f>
        <v>0</v>
      </c>
      <c r="BA5" s="6">
        <f>SUMIF(AV$4:AY$4,BA$4,AV5:AY5)</f>
        <v>0</v>
      </c>
      <c r="BB5" s="7">
        <f>INDEX($B$5:$C$19,MATCH(BB$1,$A$5:$A$19,0),1)*BB$3</f>
        <v>0</v>
      </c>
      <c r="BC5" s="6">
        <f>INDEX($B$5:$C$19,MATCH(BB$1,$A$5:$A$19,0),2)*BB$3</f>
        <v>0</v>
      </c>
      <c r="BD5" s="7">
        <f>INDEX($B$5:$C$19,MATCH(BB$1,$A$5:$A$19,0),1)*BD$3</f>
        <v>0</v>
      </c>
      <c r="BE5" s="6">
        <f>INDEX($B$5:$C$19,MATCH(BB$1,$A$5:$A$19,0),2)*BD$3</f>
        <v>0</v>
      </c>
      <c r="BF5" s="5">
        <f>SUMIF(BB$4:BE$4,BF$4,BB5:BE5)</f>
        <v>0</v>
      </c>
      <c r="BG5" s="6">
        <f>SUMIF(BB$4:BE$4,BG$4,BB5:BE5)</f>
        <v>0</v>
      </c>
      <c r="BH5" s="7">
        <f>INDEX($B$5:$C$19,MATCH(BH$1,$A$5:$A$19,0),1)*BH$3</f>
        <v>0</v>
      </c>
      <c r="BI5" s="6">
        <f>INDEX($B$5:$C$19,MATCH(BH$1,$A$5:$A$19,0),2)*BH$3</f>
        <v>0</v>
      </c>
      <c r="BJ5" s="7">
        <f>INDEX($B$5:$C$19,MATCH(BH$1,$A$5:$A$19,0),1)*BJ$3</f>
        <v>0</v>
      </c>
      <c r="BK5" s="6">
        <f>INDEX($B$5:$C$19,MATCH(BH$1,$A$5:$A$19,0),2)*BJ$3</f>
        <v>0</v>
      </c>
      <c r="BL5" s="5">
        <f>SUMIF(BH$4:BK$4,BL$4,BH5:BK5)</f>
        <v>0</v>
      </c>
      <c r="BM5" s="6">
        <f>SUMIF(BH$4:BK$4,BM$4,BH5:BK5)</f>
        <v>0</v>
      </c>
      <c r="BN5" s="7">
        <f>INDEX($B$5:$C$19,MATCH(BN$1,$A$5:$A$19,0),1)*BN$3</f>
        <v>0</v>
      </c>
      <c r="BO5" s="6">
        <f>INDEX($B$5:$C$19,MATCH(BN$1,$A$5:$A$19,0),2)*BN$3</f>
        <v>0</v>
      </c>
      <c r="BP5" s="7">
        <f>INDEX($B$5:$C$19,MATCH(BN$1,$A$5:$A$19,0),1)*BP$3</f>
        <v>0</v>
      </c>
      <c r="BQ5" s="6">
        <f>INDEX($B$5:$C$19,MATCH(BN$1,$A$5:$A$19,0),2)*BP$3</f>
        <v>0</v>
      </c>
      <c r="BR5" s="5">
        <f>SUMIF(BN$4:BQ$4,BR$4,BN5:BQ5)</f>
        <v>0</v>
      </c>
      <c r="BS5" s="6">
        <f>SUMIF(BN$4:BQ$4,BS$4,BN5:BQ5)</f>
        <v>0</v>
      </c>
      <c r="BT5" s="7">
        <f>INDEX($B$5:$C$19,MATCH(BT$1,$A$5:$A$19,0),1)*BT$3</f>
        <v>0</v>
      </c>
      <c r="BU5" s="6">
        <f>INDEX($B$5:$C$19,MATCH(BT$1,$A$5:$A$19,0),2)*BT$3</f>
        <v>0</v>
      </c>
      <c r="BV5" s="7">
        <f>INDEX($B$5:$C$19,MATCH(BT$1,$A$5:$A$19,0),1)*BV$3</f>
        <v>0</v>
      </c>
      <c r="BW5" s="6">
        <f>INDEX($B$5:$C$19,MATCH(BT$1,$A$5:$A$19,0),2)*BV$3</f>
        <v>0</v>
      </c>
      <c r="BX5" s="5">
        <f>SUMIF(BT$4:BW$4,BX$4,BT5:BW5)</f>
        <v>0</v>
      </c>
      <c r="BY5" s="6">
        <f>SUMIF(BT$4:BW$4,BY$4,BT5:BW5)</f>
        <v>0</v>
      </c>
      <c r="BZ5" s="7">
        <f>INDEX($B$5:$C$19,MATCH(BZ$1,$A$5:$A$19,0),1)*BZ$3</f>
        <v>0</v>
      </c>
      <c r="CA5" s="6">
        <f>INDEX($B$5:$C$19,MATCH(BZ$1,$A$5:$A$19,0),2)*BZ$3</f>
        <v>0</v>
      </c>
      <c r="CB5" s="7">
        <f>INDEX($B$5:$C$19,MATCH(BZ$1,$A$5:$A$19,0),1)*CB$3</f>
        <v>0</v>
      </c>
      <c r="CC5" s="6">
        <f>INDEX($B$5:$C$19,MATCH(BZ$1,$A$5:$A$19,0),2)*CB$3</f>
        <v>0</v>
      </c>
      <c r="CD5" s="5">
        <f>SUMIF(BZ$4:CC$4,CD$4,BZ5:CC5)</f>
        <v>0</v>
      </c>
      <c r="CE5" s="6">
        <f>SUMIF(BZ$4:CC$4,CE$4,BZ5:CC5)</f>
        <v>0</v>
      </c>
      <c r="CF5" s="7">
        <f>INDEX($B$5:$C$19,MATCH(CF$1,$A$5:$A$19,0),1)*CF$3</f>
        <v>0</v>
      </c>
      <c r="CG5" s="6">
        <f>INDEX($B$5:$C$19,MATCH(CF$1,$A$5:$A$19,0),2)*CF$3</f>
        <v>0</v>
      </c>
      <c r="CH5" s="7">
        <f>INDEX($B$5:$C$19,MATCH(CF$1,$A$5:$A$19,0),1)*CH$3</f>
        <v>0</v>
      </c>
      <c r="CI5" s="6">
        <f>INDEX($B$5:$C$19,MATCH(CF$1,$A$5:$A$19,0),2)*CH$3</f>
        <v>0</v>
      </c>
      <c r="CJ5" s="5">
        <f>SUMIF(CF$4:CI$4,CJ$4,CF5:CI5)</f>
        <v>0</v>
      </c>
      <c r="CK5" s="6">
        <f>SUMIF(CF$4:CI$4,CK$4,CF5:CI5)</f>
        <v>0</v>
      </c>
      <c r="CL5" s="7">
        <f>INDEX($B$5:$C$19,MATCH(CL$1,$A$5:$A$19,0),1)*CL$3</f>
        <v>0</v>
      </c>
      <c r="CM5" s="6">
        <f>INDEX($B$5:$C$19,MATCH(CL$1,$A$5:$A$19,0),2)*CL$3</f>
        <v>0</v>
      </c>
      <c r="CN5" s="7">
        <f>INDEX($B$5:$C$19,MATCH(CL$1,$A$5:$A$19,0),1)*CN$3</f>
        <v>0</v>
      </c>
      <c r="CO5" s="6">
        <f>INDEX($B$5:$C$19,MATCH(CL$1,$A$5:$A$19,0),2)*CN$3</f>
        <v>0</v>
      </c>
      <c r="CP5" s="5">
        <f>SUMIF(CL$4:CO$4,CP$4,CL5:CO5)</f>
        <v>0</v>
      </c>
      <c r="CQ5" s="6">
        <f>SUMIF(CL$4:CO$4,CQ$4,CL5:CO5)</f>
        <v>0</v>
      </c>
      <c r="CR5" s="7">
        <f t="shared" ref="CR5:CU24" si="0">SUMIFS($F5:$CO5,$F$2:$CO$2,CR$2,$F$4:$CO$4,CR$4)</f>
        <v>32.112499999999997</v>
      </c>
      <c r="CS5" s="6">
        <f t="shared" si="0"/>
        <v>33.962499999999984</v>
      </c>
      <c r="CT5" s="7">
        <f t="shared" si="0"/>
        <v>25.689999999999998</v>
      </c>
      <c r="CU5" s="6">
        <f t="shared" si="0"/>
        <v>27.169999999999987</v>
      </c>
      <c r="CV5" s="5">
        <f>SUM(CR5,CT5)</f>
        <v>57.802499999999995</v>
      </c>
      <c r="CW5" s="6">
        <f>SUM(CS5,CU5)</f>
        <v>61.132499999999972</v>
      </c>
      <c r="CY5" s="7">
        <f t="array" ref="CY5:CY56">Summary_LowerBound</f>
        <v>57.802499999999995</v>
      </c>
      <c r="CZ5" s="5">
        <f t="array" ref="CZ5">Summary_UpperBound</f>
        <v>61.132499999999972</v>
      </c>
      <c r="DA5" s="6">
        <f>CZ5-CY5</f>
        <v>3.329999999999977</v>
      </c>
    </row>
    <row r="6" spans="1:105" x14ac:dyDescent="0.35">
      <c r="A6" s="7" t="str">
        <f>'Data Validation (Hide)'!B3</f>
        <v>Medium</v>
      </c>
      <c r="B6" s="22">
        <f>_xlfn.PERCENTILE.INC(INDEX('SPC Backing (Hide)'!$C$4:$Q$263,MATCH(SPC!$B$12,'SPC Backing (Hide)'!$B$4:$B$263,0),MATCH('Required Capacity (Hide)'!$A6,'SPC Backing (Hide)'!$C$3:$Q$3,0)):INDEX('SPC Backing (Hide)'!$C$4:$Q$263,MATCH(SPC!$B$13,'SPC Backing (Hide)'!$B$4:$B$263,0)-1,MATCH('Required Capacity (Hide)'!$A6,'SPC Backing (Hide)'!$C$3:$Q$3,0)),'SPC Backing (Hide)'!$AK$3)</f>
        <v>0</v>
      </c>
      <c r="C6" s="33">
        <f>_xlfn.PERCENTILE.INC(INDEX('SPC Backing (Hide)'!$C$4:$Q$263,MATCH(SPC!$B$12,'SPC Backing (Hide)'!$B$4:$B$263,0),MATCH('Required Capacity (Hide)'!$A6,'SPC Backing (Hide)'!$C$3:$Q$3,0)):INDEX('SPC Backing (Hide)'!$C$4:$Q$263,MATCH(SPC!$B$13,'SPC Backing (Hide)'!$B$4:$B$263,0)-1,MATCH('Required Capacity (Hide)'!$A6,'SPC Backing (Hide)'!$C$3:$Q$3,0)),0.85)</f>
        <v>0</v>
      </c>
      <c r="E6" s="12">
        <f>E5+7</f>
        <v>44128</v>
      </c>
      <c r="F6" s="7">
        <f t="shared" ref="F6:F56" si="1">INDEX($B$5:$C$19,MATCH(F$1,$A$5:$A$19,0),1)*F$3</f>
        <v>32.112499999999997</v>
      </c>
      <c r="G6" s="6">
        <f t="shared" ref="G6:G56" si="2">INDEX($B$5:$C$19,MATCH(F$1,$A$5:$A$19,0),2)*F$3</f>
        <v>33.962499999999984</v>
      </c>
      <c r="H6" s="7">
        <f t="shared" ref="H6:H56" si="3">INDEX($B$5:$C$19,MATCH(F$1,$A$5:$A$19,0),1)*H$3</f>
        <v>25.689999999999998</v>
      </c>
      <c r="I6" s="6">
        <f t="shared" ref="I6:I56" si="4">INDEX($B$5:$C$19,MATCH(F$1,$A$5:$A$19,0),2)*H$3</f>
        <v>27.169999999999987</v>
      </c>
      <c r="J6" s="5">
        <f t="shared" ref="J6:J56" si="5">SUMIF(F$4:I$4,J$4,F6:I6)</f>
        <v>57.802499999999995</v>
      </c>
      <c r="K6" s="6">
        <f t="shared" ref="K6:K56" si="6">SUMIF(F$4:I$4,K$4,F6:I6)</f>
        <v>61.132499999999972</v>
      </c>
      <c r="L6" s="7">
        <f t="shared" ref="L6:L56" si="7">INDEX($B$5:$C$19,MATCH(L$1,$A$5:$A$19,0),1)*L$3</f>
        <v>0</v>
      </c>
      <c r="M6" s="6">
        <f t="shared" ref="M6:M56" si="8">INDEX($B$5:$C$19,MATCH(L$1,$A$5:$A$19,0),2)*L$3</f>
        <v>0</v>
      </c>
      <c r="N6" s="7">
        <f t="shared" ref="N6:N56" si="9">INDEX($B$5:$C$19,MATCH(L$1,$A$5:$A$19,0),1)*N$3</f>
        <v>0</v>
      </c>
      <c r="O6" s="6">
        <f t="shared" ref="O6:O56" si="10">INDEX($B$5:$C$19,MATCH(L$1,$A$5:$A$19,0),2)*N$3</f>
        <v>0</v>
      </c>
      <c r="P6" s="5">
        <f t="shared" ref="P6:P56" si="11">SUMIF(L$4:O$4,P$4,L6:O6)</f>
        <v>0</v>
      </c>
      <c r="Q6" s="6">
        <f t="shared" ref="Q6:Q56" si="12">SUMIF(L$4:O$4,Q$4,L6:O6)</f>
        <v>0</v>
      </c>
      <c r="R6" s="7">
        <f t="shared" ref="R6:R56" si="13">INDEX($B$5:$C$19,MATCH(R$1,$A$5:$A$19,0),1)*R$3</f>
        <v>0</v>
      </c>
      <c r="S6" s="6">
        <f t="shared" ref="S6:S56" si="14">INDEX($B$5:$C$19,MATCH(R$1,$A$5:$A$19,0),2)*R$3</f>
        <v>0</v>
      </c>
      <c r="T6" s="7">
        <f t="shared" ref="T6:T56" si="15">INDEX($B$5:$C$19,MATCH(R$1,$A$5:$A$19,0),1)*T$3</f>
        <v>0</v>
      </c>
      <c r="U6" s="6">
        <f t="shared" ref="U6:U56" si="16">INDEX($B$5:$C$19,MATCH(R$1,$A$5:$A$19,0),2)*T$3</f>
        <v>0</v>
      </c>
      <c r="V6" s="5">
        <f t="shared" ref="V6:V56" si="17">SUMIF(R$4:U$4,V$4,R6:U6)</f>
        <v>0</v>
      </c>
      <c r="W6" s="6">
        <f t="shared" ref="W6:W56" si="18">SUMIF(R$4:U$4,W$4,R6:U6)</f>
        <v>0</v>
      </c>
      <c r="X6" s="7">
        <f t="shared" ref="X6:X56" si="19">INDEX($B$5:$C$19,MATCH(X$1,$A$5:$A$19,0),1)*X$3</f>
        <v>0</v>
      </c>
      <c r="Y6" s="6">
        <f t="shared" ref="Y6:Y56" si="20">INDEX($B$5:$C$19,MATCH(X$1,$A$5:$A$19,0),2)*X$3</f>
        <v>0</v>
      </c>
      <c r="Z6" s="7">
        <f t="shared" ref="Z6:Z56" si="21">INDEX($B$5:$C$19,MATCH(X$1,$A$5:$A$19,0),1)*Z$3</f>
        <v>0</v>
      </c>
      <c r="AA6" s="6">
        <f t="shared" ref="AA6:AA56" si="22">INDEX($B$5:$C$19,MATCH(X$1,$A$5:$A$19,0),2)*Z$3</f>
        <v>0</v>
      </c>
      <c r="AB6" s="5">
        <f t="shared" ref="AB6:AB56" si="23">SUMIF(X$4:AA$4,AB$4,X6:AA6)</f>
        <v>0</v>
      </c>
      <c r="AC6" s="6">
        <f t="shared" ref="AC6:AC56" si="24">SUMIF(X$4:AA$4,AC$4,X6:AA6)</f>
        <v>0</v>
      </c>
      <c r="AD6" s="7">
        <f t="shared" ref="AD6:AD56" si="25">INDEX($B$5:$C$19,MATCH(AD$1,$A$5:$A$19,0),1)*AD$3</f>
        <v>0</v>
      </c>
      <c r="AE6" s="6">
        <f t="shared" ref="AE6:AE56" si="26">INDEX($B$5:$C$19,MATCH(AD$1,$A$5:$A$19,0),2)*AD$3</f>
        <v>0</v>
      </c>
      <c r="AF6" s="7">
        <f t="shared" ref="AF6:AF56" si="27">INDEX($B$5:$C$19,MATCH(AD$1,$A$5:$A$19,0),1)*AF$3</f>
        <v>0</v>
      </c>
      <c r="AG6" s="6">
        <f t="shared" ref="AG6:AG56" si="28">INDEX($B$5:$C$19,MATCH(AD$1,$A$5:$A$19,0),2)*AF$3</f>
        <v>0</v>
      </c>
      <c r="AH6" s="5">
        <f t="shared" ref="AH6:AH56" si="29">SUMIF(AD$4:AG$4,AH$4,AD6:AG6)</f>
        <v>0</v>
      </c>
      <c r="AI6" s="6">
        <f t="shared" ref="AI6:AI56" si="30">SUMIF(AD$4:AG$4,AI$4,AD6:AG6)</f>
        <v>0</v>
      </c>
      <c r="AJ6" s="7">
        <f t="shared" ref="AJ6:AJ56" si="31">INDEX($B$5:$C$19,MATCH(AJ$1,$A$5:$A$19,0),1)*AJ$3</f>
        <v>0</v>
      </c>
      <c r="AK6" s="6">
        <f t="shared" ref="AK6:AK56" si="32">INDEX($B$5:$C$19,MATCH(AJ$1,$A$5:$A$19,0),2)*AJ$3</f>
        <v>0</v>
      </c>
      <c r="AL6" s="7">
        <f t="shared" ref="AL6:AL56" si="33">INDEX($B$5:$C$19,MATCH(AJ$1,$A$5:$A$19,0),1)*AL$3</f>
        <v>0</v>
      </c>
      <c r="AM6" s="6">
        <f t="shared" ref="AM6:AM56" si="34">INDEX($B$5:$C$19,MATCH(AJ$1,$A$5:$A$19,0),2)*AL$3</f>
        <v>0</v>
      </c>
      <c r="AN6" s="5">
        <f t="shared" ref="AN6:AN56" si="35">SUMIF(AJ$4:AM$4,AN$4,AJ6:AM6)</f>
        <v>0</v>
      </c>
      <c r="AO6" s="6">
        <f t="shared" ref="AO6:AO56" si="36">SUMIF(AJ$4:AM$4,AO$4,AJ6:AM6)</f>
        <v>0</v>
      </c>
      <c r="AP6" s="7">
        <f t="shared" ref="AP6:AP56" si="37">INDEX($B$5:$C$19,MATCH(AP$1,$A$5:$A$19,0),1)*AP$3</f>
        <v>0</v>
      </c>
      <c r="AQ6" s="6">
        <f t="shared" ref="AQ6:AQ56" si="38">INDEX($B$5:$C$19,MATCH(AP$1,$A$5:$A$19,0),2)*AP$3</f>
        <v>0</v>
      </c>
      <c r="AR6" s="7">
        <f t="shared" ref="AR6:AR56" si="39">INDEX($B$5:$C$19,MATCH(AP$1,$A$5:$A$19,0),1)*AR$3</f>
        <v>0</v>
      </c>
      <c r="AS6" s="6">
        <f t="shared" ref="AS6:AS56" si="40">INDEX($B$5:$C$19,MATCH(AP$1,$A$5:$A$19,0),2)*AR$3</f>
        <v>0</v>
      </c>
      <c r="AT6" s="5">
        <f t="shared" ref="AT6:AT56" si="41">SUMIF(AP$4:AS$4,AT$4,AP6:AS6)</f>
        <v>0</v>
      </c>
      <c r="AU6" s="6">
        <f t="shared" ref="AU6:AU56" si="42">SUMIF(AP$4:AS$4,AU$4,AP6:AS6)</f>
        <v>0</v>
      </c>
      <c r="AV6" s="7">
        <f t="shared" ref="AV6:AV56" si="43">INDEX($B$5:$C$19,MATCH(AV$1,$A$5:$A$19,0),1)*AV$3</f>
        <v>0</v>
      </c>
      <c r="AW6" s="6">
        <f t="shared" ref="AW6:AW56" si="44">INDEX($B$5:$C$19,MATCH(AV$1,$A$5:$A$19,0),2)*AV$3</f>
        <v>0</v>
      </c>
      <c r="AX6" s="7">
        <f t="shared" ref="AX6:AX56" si="45">INDEX($B$5:$C$19,MATCH(AV$1,$A$5:$A$19,0),1)*AX$3</f>
        <v>0</v>
      </c>
      <c r="AY6" s="6">
        <f t="shared" ref="AY6:AY56" si="46">INDEX($B$5:$C$19,MATCH(AV$1,$A$5:$A$19,0),2)*AX$3</f>
        <v>0</v>
      </c>
      <c r="AZ6" s="5">
        <f t="shared" ref="AZ6:AZ56" si="47">SUMIF(AV$4:AY$4,AZ$4,AV6:AY6)</f>
        <v>0</v>
      </c>
      <c r="BA6" s="6">
        <f t="shared" ref="BA6:BA56" si="48">SUMIF(AV$4:AY$4,BA$4,AV6:AY6)</f>
        <v>0</v>
      </c>
      <c r="BB6" s="7">
        <f t="shared" ref="BB6:BB56" si="49">INDEX($B$5:$C$19,MATCH(BB$1,$A$5:$A$19,0),1)*BB$3</f>
        <v>0</v>
      </c>
      <c r="BC6" s="6">
        <f t="shared" ref="BC6:BC56" si="50">INDEX($B$5:$C$19,MATCH(BB$1,$A$5:$A$19,0),2)*BB$3</f>
        <v>0</v>
      </c>
      <c r="BD6" s="7">
        <f t="shared" ref="BD6:BD56" si="51">INDEX($B$5:$C$19,MATCH(BB$1,$A$5:$A$19,0),1)*BD$3</f>
        <v>0</v>
      </c>
      <c r="BE6" s="6">
        <f t="shared" ref="BE6:BE56" si="52">INDEX($B$5:$C$19,MATCH(BB$1,$A$5:$A$19,0),2)*BD$3</f>
        <v>0</v>
      </c>
      <c r="BF6" s="5">
        <f t="shared" ref="BF6:BF56" si="53">SUMIF(BB$4:BE$4,BF$4,BB6:BE6)</f>
        <v>0</v>
      </c>
      <c r="BG6" s="6">
        <f t="shared" ref="BG6:BG56" si="54">SUMIF(BB$4:BE$4,BG$4,BB6:BE6)</f>
        <v>0</v>
      </c>
      <c r="BH6" s="7">
        <f t="shared" ref="BH6:BH56" si="55">INDEX($B$5:$C$19,MATCH(BH$1,$A$5:$A$19,0),1)*BH$3</f>
        <v>0</v>
      </c>
      <c r="BI6" s="6">
        <f t="shared" ref="BI6:BI56" si="56">INDEX($B$5:$C$19,MATCH(BH$1,$A$5:$A$19,0),2)*BH$3</f>
        <v>0</v>
      </c>
      <c r="BJ6" s="7">
        <f t="shared" ref="BJ6:BJ56" si="57">INDEX($B$5:$C$19,MATCH(BH$1,$A$5:$A$19,0),1)*BJ$3</f>
        <v>0</v>
      </c>
      <c r="BK6" s="6">
        <f t="shared" ref="BK6:BK56" si="58">INDEX($B$5:$C$19,MATCH(BH$1,$A$5:$A$19,0),2)*BJ$3</f>
        <v>0</v>
      </c>
      <c r="BL6" s="5">
        <f t="shared" ref="BL6:BL56" si="59">SUMIF(BH$4:BK$4,BL$4,BH6:BK6)</f>
        <v>0</v>
      </c>
      <c r="BM6" s="6">
        <f t="shared" ref="BM6:BM56" si="60">SUMIF(BH$4:BK$4,BM$4,BH6:BK6)</f>
        <v>0</v>
      </c>
      <c r="BN6" s="7">
        <f t="shared" ref="BN6:BN56" si="61">INDEX($B$5:$C$19,MATCH(BN$1,$A$5:$A$19,0),1)*BN$3</f>
        <v>0</v>
      </c>
      <c r="BO6" s="6">
        <f t="shared" ref="BO6:BO56" si="62">INDEX($B$5:$C$19,MATCH(BN$1,$A$5:$A$19,0),2)*BN$3</f>
        <v>0</v>
      </c>
      <c r="BP6" s="7">
        <f t="shared" ref="BP6:BP56" si="63">INDEX($B$5:$C$19,MATCH(BN$1,$A$5:$A$19,0),1)*BP$3</f>
        <v>0</v>
      </c>
      <c r="BQ6" s="6">
        <f t="shared" ref="BQ6:BQ56" si="64">INDEX($B$5:$C$19,MATCH(BN$1,$A$5:$A$19,0),2)*BP$3</f>
        <v>0</v>
      </c>
      <c r="BR6" s="5">
        <f t="shared" ref="BR6:BR56" si="65">SUMIF(BN$4:BQ$4,BR$4,BN6:BQ6)</f>
        <v>0</v>
      </c>
      <c r="BS6" s="6">
        <f t="shared" ref="BS6:BS56" si="66">SUMIF(BN$4:BQ$4,BS$4,BN6:BQ6)</f>
        <v>0</v>
      </c>
      <c r="BT6" s="7">
        <f t="shared" ref="BT6:BT56" si="67">INDEX($B$5:$C$19,MATCH(BT$1,$A$5:$A$19,0),1)*BT$3</f>
        <v>0</v>
      </c>
      <c r="BU6" s="6">
        <f t="shared" ref="BU6:BU56" si="68">INDEX($B$5:$C$19,MATCH(BT$1,$A$5:$A$19,0),2)*BT$3</f>
        <v>0</v>
      </c>
      <c r="BV6" s="7">
        <f t="shared" ref="BV6:BV56" si="69">INDEX($B$5:$C$19,MATCH(BT$1,$A$5:$A$19,0),1)*BV$3</f>
        <v>0</v>
      </c>
      <c r="BW6" s="6">
        <f t="shared" ref="BW6:BW56" si="70">INDEX($B$5:$C$19,MATCH(BT$1,$A$5:$A$19,0),2)*BV$3</f>
        <v>0</v>
      </c>
      <c r="BX6" s="5">
        <f t="shared" ref="BX6:BX56" si="71">SUMIF(BT$4:BW$4,BX$4,BT6:BW6)</f>
        <v>0</v>
      </c>
      <c r="BY6" s="6">
        <f t="shared" ref="BY6:BY56" si="72">SUMIF(BT$4:BW$4,BY$4,BT6:BW6)</f>
        <v>0</v>
      </c>
      <c r="BZ6" s="7">
        <f t="shared" ref="BZ6:BZ56" si="73">INDEX($B$5:$C$19,MATCH(BZ$1,$A$5:$A$19,0),1)*BZ$3</f>
        <v>0</v>
      </c>
      <c r="CA6" s="6">
        <f t="shared" ref="CA6:CA56" si="74">INDEX($B$5:$C$19,MATCH(BZ$1,$A$5:$A$19,0),2)*BZ$3</f>
        <v>0</v>
      </c>
      <c r="CB6" s="7">
        <f t="shared" ref="CB6:CB56" si="75">INDEX($B$5:$C$19,MATCH(BZ$1,$A$5:$A$19,0),1)*CB$3</f>
        <v>0</v>
      </c>
      <c r="CC6" s="6">
        <f t="shared" ref="CC6:CC56" si="76">INDEX($B$5:$C$19,MATCH(BZ$1,$A$5:$A$19,0),2)*CB$3</f>
        <v>0</v>
      </c>
      <c r="CD6" s="5">
        <f t="shared" ref="CD6:CD56" si="77">SUMIF(BZ$4:CC$4,CD$4,BZ6:CC6)</f>
        <v>0</v>
      </c>
      <c r="CE6" s="6">
        <f t="shared" ref="CE6:CE56" si="78">SUMIF(BZ$4:CC$4,CE$4,BZ6:CC6)</f>
        <v>0</v>
      </c>
      <c r="CF6" s="7">
        <f t="shared" ref="CF6:CF56" si="79">INDEX($B$5:$C$19,MATCH(CF$1,$A$5:$A$19,0),1)*CF$3</f>
        <v>0</v>
      </c>
      <c r="CG6" s="6">
        <f t="shared" ref="CG6:CG56" si="80">INDEX($B$5:$C$19,MATCH(CF$1,$A$5:$A$19,0),2)*CF$3</f>
        <v>0</v>
      </c>
      <c r="CH6" s="7">
        <f t="shared" ref="CH6:CH56" si="81">INDEX($B$5:$C$19,MATCH(CF$1,$A$5:$A$19,0),1)*CH$3</f>
        <v>0</v>
      </c>
      <c r="CI6" s="6">
        <f t="shared" ref="CI6:CI56" si="82">INDEX($B$5:$C$19,MATCH(CF$1,$A$5:$A$19,0),2)*CH$3</f>
        <v>0</v>
      </c>
      <c r="CJ6" s="5">
        <f t="shared" ref="CJ6:CJ56" si="83">SUMIF(CF$4:CI$4,CJ$4,CF6:CI6)</f>
        <v>0</v>
      </c>
      <c r="CK6" s="6">
        <f t="shared" ref="CK6:CK56" si="84">SUMIF(CF$4:CI$4,CK$4,CF6:CI6)</f>
        <v>0</v>
      </c>
      <c r="CL6" s="7">
        <f t="shared" ref="CL6:CL56" si="85">INDEX($B$5:$C$19,MATCH(CL$1,$A$5:$A$19,0),1)*CL$3</f>
        <v>0</v>
      </c>
      <c r="CM6" s="6">
        <f t="shared" ref="CM6:CM56" si="86">INDEX($B$5:$C$19,MATCH(CL$1,$A$5:$A$19,0),2)*CL$3</f>
        <v>0</v>
      </c>
      <c r="CN6" s="7">
        <f t="shared" ref="CN6:CN56" si="87">INDEX($B$5:$C$19,MATCH(CL$1,$A$5:$A$19,0),1)*CN$3</f>
        <v>0</v>
      </c>
      <c r="CO6" s="6">
        <f t="shared" ref="CO6:CO56" si="88">INDEX($B$5:$C$19,MATCH(CL$1,$A$5:$A$19,0),2)*CN$3</f>
        <v>0</v>
      </c>
      <c r="CP6" s="5">
        <f t="shared" ref="CP6:CP56" si="89">SUMIF(CL$4:CO$4,CP$4,CL6:CO6)</f>
        <v>0</v>
      </c>
      <c r="CQ6" s="6">
        <f t="shared" ref="CQ6:CQ56" si="90">SUMIF(CL$4:CO$4,CQ$4,CL6:CO6)</f>
        <v>0</v>
      </c>
      <c r="CR6" s="7">
        <f t="shared" si="0"/>
        <v>32.112499999999997</v>
      </c>
      <c r="CS6" s="6">
        <f t="shared" si="0"/>
        <v>33.962499999999984</v>
      </c>
      <c r="CT6" s="7">
        <f t="shared" si="0"/>
        <v>25.689999999999998</v>
      </c>
      <c r="CU6" s="6">
        <f t="shared" si="0"/>
        <v>27.169999999999987</v>
      </c>
      <c r="CV6" s="5">
        <f t="shared" ref="CV6:CV56" si="91">SUM(CR6,CT6)</f>
        <v>57.802499999999995</v>
      </c>
      <c r="CW6" s="6">
        <f t="shared" ref="CW6:CW56" si="92">SUM(CS6,CU6)</f>
        <v>61.132499999999972</v>
      </c>
      <c r="CY6" s="7">
        <v>57.802499999999995</v>
      </c>
      <c r="CZ6" s="5">
        <f t="array" ref="CZ6">Summary_UpperBound</f>
        <v>61.132499999999972</v>
      </c>
      <c r="DA6" s="6">
        <f t="shared" ref="DA6:DA56" si="93">CZ6-CY6</f>
        <v>3.329999999999977</v>
      </c>
    </row>
    <row r="7" spans="1:105" x14ac:dyDescent="0.35">
      <c r="A7" s="7" t="str">
        <f>'Data Validation (Hide)'!B4</f>
        <v>low</v>
      </c>
      <c r="B7" s="22">
        <f>_xlfn.PERCENTILE.INC(INDEX('SPC Backing (Hide)'!$C$4:$Q$263,MATCH(SPC!$B$12,'SPC Backing (Hide)'!$B$4:$B$263,0),MATCH('Required Capacity (Hide)'!$A7,'SPC Backing (Hide)'!$C$3:$Q$3,0)):INDEX('SPC Backing (Hide)'!$C$4:$Q$263,MATCH(SPC!$B$13,'SPC Backing (Hide)'!$B$4:$B$263,0)-1,MATCH('Required Capacity (Hide)'!$A7,'SPC Backing (Hide)'!$C$3:$Q$3,0)),'SPC Backing (Hide)'!$AK$3)</f>
        <v>0</v>
      </c>
      <c r="C7" s="33">
        <f>_xlfn.PERCENTILE.INC(INDEX('SPC Backing (Hide)'!$C$4:$Q$263,MATCH(SPC!$B$12,'SPC Backing (Hide)'!$B$4:$B$263,0),MATCH('Required Capacity (Hide)'!$A7,'SPC Backing (Hide)'!$C$3:$Q$3,0)):INDEX('SPC Backing (Hide)'!$C$4:$Q$263,MATCH(SPC!$B$13,'SPC Backing (Hide)'!$B$4:$B$263,0)-1,MATCH('Required Capacity (Hide)'!$A7,'SPC Backing (Hide)'!$C$3:$Q$3,0)),0.85)</f>
        <v>0</v>
      </c>
      <c r="E7" s="12">
        <f t="shared" ref="E7:E56" si="94">E6+7</f>
        <v>44135</v>
      </c>
      <c r="F7" s="7">
        <f t="shared" si="1"/>
        <v>32.112499999999997</v>
      </c>
      <c r="G7" s="6">
        <f t="shared" si="2"/>
        <v>33.962499999999984</v>
      </c>
      <c r="H7" s="7">
        <f t="shared" si="3"/>
        <v>25.689999999999998</v>
      </c>
      <c r="I7" s="6">
        <f t="shared" si="4"/>
        <v>27.169999999999987</v>
      </c>
      <c r="J7" s="5">
        <f t="shared" si="5"/>
        <v>57.802499999999995</v>
      </c>
      <c r="K7" s="6">
        <f t="shared" si="6"/>
        <v>61.132499999999972</v>
      </c>
      <c r="L7" s="7">
        <f t="shared" si="7"/>
        <v>0</v>
      </c>
      <c r="M7" s="6">
        <f t="shared" si="8"/>
        <v>0</v>
      </c>
      <c r="N7" s="7">
        <f t="shared" si="9"/>
        <v>0</v>
      </c>
      <c r="O7" s="6">
        <f t="shared" si="10"/>
        <v>0</v>
      </c>
      <c r="P7" s="5">
        <f t="shared" si="11"/>
        <v>0</v>
      </c>
      <c r="Q7" s="6">
        <f t="shared" si="12"/>
        <v>0</v>
      </c>
      <c r="R7" s="7">
        <f t="shared" si="13"/>
        <v>0</v>
      </c>
      <c r="S7" s="6">
        <f t="shared" si="14"/>
        <v>0</v>
      </c>
      <c r="T7" s="7">
        <f t="shared" si="15"/>
        <v>0</v>
      </c>
      <c r="U7" s="6">
        <f t="shared" si="16"/>
        <v>0</v>
      </c>
      <c r="V7" s="5">
        <f t="shared" si="17"/>
        <v>0</v>
      </c>
      <c r="W7" s="6">
        <f t="shared" si="18"/>
        <v>0</v>
      </c>
      <c r="X7" s="7">
        <f t="shared" si="19"/>
        <v>0</v>
      </c>
      <c r="Y7" s="6">
        <f t="shared" si="20"/>
        <v>0</v>
      </c>
      <c r="Z7" s="7">
        <f t="shared" si="21"/>
        <v>0</v>
      </c>
      <c r="AA7" s="6">
        <f t="shared" si="22"/>
        <v>0</v>
      </c>
      <c r="AB7" s="5">
        <f t="shared" si="23"/>
        <v>0</v>
      </c>
      <c r="AC7" s="6">
        <f t="shared" si="24"/>
        <v>0</v>
      </c>
      <c r="AD7" s="7">
        <f t="shared" si="25"/>
        <v>0</v>
      </c>
      <c r="AE7" s="6">
        <f t="shared" si="26"/>
        <v>0</v>
      </c>
      <c r="AF7" s="7">
        <f t="shared" si="27"/>
        <v>0</v>
      </c>
      <c r="AG7" s="6">
        <f t="shared" si="28"/>
        <v>0</v>
      </c>
      <c r="AH7" s="5">
        <f t="shared" si="29"/>
        <v>0</v>
      </c>
      <c r="AI7" s="6">
        <f t="shared" si="30"/>
        <v>0</v>
      </c>
      <c r="AJ7" s="7">
        <f t="shared" si="31"/>
        <v>0</v>
      </c>
      <c r="AK7" s="6">
        <f t="shared" si="32"/>
        <v>0</v>
      </c>
      <c r="AL7" s="7">
        <f t="shared" si="33"/>
        <v>0</v>
      </c>
      <c r="AM7" s="6">
        <f t="shared" si="34"/>
        <v>0</v>
      </c>
      <c r="AN7" s="5">
        <f t="shared" si="35"/>
        <v>0</v>
      </c>
      <c r="AO7" s="6">
        <f t="shared" si="36"/>
        <v>0</v>
      </c>
      <c r="AP7" s="7">
        <f t="shared" si="37"/>
        <v>0</v>
      </c>
      <c r="AQ7" s="6">
        <f t="shared" si="38"/>
        <v>0</v>
      </c>
      <c r="AR7" s="7">
        <f t="shared" si="39"/>
        <v>0</v>
      </c>
      <c r="AS7" s="6">
        <f t="shared" si="40"/>
        <v>0</v>
      </c>
      <c r="AT7" s="5">
        <f t="shared" si="41"/>
        <v>0</v>
      </c>
      <c r="AU7" s="6">
        <f t="shared" si="42"/>
        <v>0</v>
      </c>
      <c r="AV7" s="7">
        <f t="shared" si="43"/>
        <v>0</v>
      </c>
      <c r="AW7" s="6">
        <f t="shared" si="44"/>
        <v>0</v>
      </c>
      <c r="AX7" s="7">
        <f t="shared" si="45"/>
        <v>0</v>
      </c>
      <c r="AY7" s="6">
        <f t="shared" si="46"/>
        <v>0</v>
      </c>
      <c r="AZ7" s="5">
        <f t="shared" si="47"/>
        <v>0</v>
      </c>
      <c r="BA7" s="6">
        <f t="shared" si="48"/>
        <v>0</v>
      </c>
      <c r="BB7" s="7">
        <f t="shared" si="49"/>
        <v>0</v>
      </c>
      <c r="BC7" s="6">
        <f t="shared" si="50"/>
        <v>0</v>
      </c>
      <c r="BD7" s="7">
        <f t="shared" si="51"/>
        <v>0</v>
      </c>
      <c r="BE7" s="6">
        <f t="shared" si="52"/>
        <v>0</v>
      </c>
      <c r="BF7" s="5">
        <f t="shared" si="53"/>
        <v>0</v>
      </c>
      <c r="BG7" s="6">
        <f t="shared" si="54"/>
        <v>0</v>
      </c>
      <c r="BH7" s="7">
        <f t="shared" si="55"/>
        <v>0</v>
      </c>
      <c r="BI7" s="6">
        <f t="shared" si="56"/>
        <v>0</v>
      </c>
      <c r="BJ7" s="7">
        <f t="shared" si="57"/>
        <v>0</v>
      </c>
      <c r="BK7" s="6">
        <f t="shared" si="58"/>
        <v>0</v>
      </c>
      <c r="BL7" s="5">
        <f t="shared" si="59"/>
        <v>0</v>
      </c>
      <c r="BM7" s="6">
        <f t="shared" si="60"/>
        <v>0</v>
      </c>
      <c r="BN7" s="7">
        <f t="shared" si="61"/>
        <v>0</v>
      </c>
      <c r="BO7" s="6">
        <f t="shared" si="62"/>
        <v>0</v>
      </c>
      <c r="BP7" s="7">
        <f t="shared" si="63"/>
        <v>0</v>
      </c>
      <c r="BQ7" s="6">
        <f t="shared" si="64"/>
        <v>0</v>
      </c>
      <c r="BR7" s="5">
        <f t="shared" si="65"/>
        <v>0</v>
      </c>
      <c r="BS7" s="6">
        <f t="shared" si="66"/>
        <v>0</v>
      </c>
      <c r="BT7" s="7">
        <f t="shared" si="67"/>
        <v>0</v>
      </c>
      <c r="BU7" s="6">
        <f t="shared" si="68"/>
        <v>0</v>
      </c>
      <c r="BV7" s="7">
        <f t="shared" si="69"/>
        <v>0</v>
      </c>
      <c r="BW7" s="6">
        <f t="shared" si="70"/>
        <v>0</v>
      </c>
      <c r="BX7" s="5">
        <f t="shared" si="71"/>
        <v>0</v>
      </c>
      <c r="BY7" s="6">
        <f t="shared" si="72"/>
        <v>0</v>
      </c>
      <c r="BZ7" s="7">
        <f t="shared" si="73"/>
        <v>0</v>
      </c>
      <c r="CA7" s="6">
        <f t="shared" si="74"/>
        <v>0</v>
      </c>
      <c r="CB7" s="7">
        <f t="shared" si="75"/>
        <v>0</v>
      </c>
      <c r="CC7" s="6">
        <f t="shared" si="76"/>
        <v>0</v>
      </c>
      <c r="CD7" s="5">
        <f t="shared" si="77"/>
        <v>0</v>
      </c>
      <c r="CE7" s="6">
        <f t="shared" si="78"/>
        <v>0</v>
      </c>
      <c r="CF7" s="7">
        <f t="shared" si="79"/>
        <v>0</v>
      </c>
      <c r="CG7" s="6">
        <f t="shared" si="80"/>
        <v>0</v>
      </c>
      <c r="CH7" s="7">
        <f t="shared" si="81"/>
        <v>0</v>
      </c>
      <c r="CI7" s="6">
        <f t="shared" si="82"/>
        <v>0</v>
      </c>
      <c r="CJ7" s="5">
        <f t="shared" si="83"/>
        <v>0</v>
      </c>
      <c r="CK7" s="6">
        <f t="shared" si="84"/>
        <v>0</v>
      </c>
      <c r="CL7" s="7">
        <f t="shared" si="85"/>
        <v>0</v>
      </c>
      <c r="CM7" s="6">
        <f t="shared" si="86"/>
        <v>0</v>
      </c>
      <c r="CN7" s="7">
        <f t="shared" si="87"/>
        <v>0</v>
      </c>
      <c r="CO7" s="6">
        <f t="shared" si="88"/>
        <v>0</v>
      </c>
      <c r="CP7" s="5">
        <f t="shared" si="89"/>
        <v>0</v>
      </c>
      <c r="CQ7" s="6">
        <f t="shared" si="90"/>
        <v>0</v>
      </c>
      <c r="CR7" s="7">
        <f t="shared" si="0"/>
        <v>32.112499999999997</v>
      </c>
      <c r="CS7" s="6">
        <f t="shared" si="0"/>
        <v>33.962499999999984</v>
      </c>
      <c r="CT7" s="7">
        <f t="shared" si="0"/>
        <v>25.689999999999998</v>
      </c>
      <c r="CU7" s="6">
        <f t="shared" si="0"/>
        <v>27.169999999999987</v>
      </c>
      <c r="CV7" s="5">
        <f t="shared" si="91"/>
        <v>57.802499999999995</v>
      </c>
      <c r="CW7" s="6">
        <f t="shared" si="92"/>
        <v>61.132499999999972</v>
      </c>
      <c r="CY7" s="7">
        <v>57.802499999999995</v>
      </c>
      <c r="CZ7" s="5">
        <f t="array" ref="CZ7">Summary_UpperBound</f>
        <v>61.132499999999972</v>
      </c>
      <c r="DA7" s="6">
        <f t="shared" si="93"/>
        <v>3.329999999999977</v>
      </c>
    </row>
    <row r="8" spans="1:105" x14ac:dyDescent="0.35">
      <c r="A8" s="7" t="str">
        <f>'Data Validation (Hide)'!B5</f>
        <v>very low</v>
      </c>
      <c r="B8" s="22">
        <f>_xlfn.PERCENTILE.INC(INDEX('SPC Backing (Hide)'!$C$4:$Q$263,MATCH(SPC!$B$12,'SPC Backing (Hide)'!$B$4:$B$263,0),MATCH('Required Capacity (Hide)'!$A8,'SPC Backing (Hide)'!$C$3:$Q$3,0)):INDEX('SPC Backing (Hide)'!$C$4:$Q$263,MATCH(SPC!$B$13,'SPC Backing (Hide)'!$B$4:$B$263,0)-1,MATCH('Required Capacity (Hide)'!$A8,'SPC Backing (Hide)'!$C$3:$Q$3,0)),'SPC Backing (Hide)'!$AK$3)</f>
        <v>0</v>
      </c>
      <c r="C8" s="33">
        <f>_xlfn.PERCENTILE.INC(INDEX('SPC Backing (Hide)'!$C$4:$Q$263,MATCH(SPC!$B$12,'SPC Backing (Hide)'!$B$4:$B$263,0),MATCH('Required Capacity (Hide)'!$A8,'SPC Backing (Hide)'!$C$3:$Q$3,0)):INDEX('SPC Backing (Hide)'!$C$4:$Q$263,MATCH(SPC!$B$13,'SPC Backing (Hide)'!$B$4:$B$263,0)-1,MATCH('Required Capacity (Hide)'!$A8,'SPC Backing (Hide)'!$C$3:$Q$3,0)),0.85)</f>
        <v>0</v>
      </c>
      <c r="E8" s="12">
        <f t="shared" si="94"/>
        <v>44142</v>
      </c>
      <c r="F8" s="7">
        <f t="shared" si="1"/>
        <v>32.112499999999997</v>
      </c>
      <c r="G8" s="6">
        <f t="shared" si="2"/>
        <v>33.962499999999984</v>
      </c>
      <c r="H8" s="7">
        <f t="shared" si="3"/>
        <v>25.689999999999998</v>
      </c>
      <c r="I8" s="6">
        <f t="shared" si="4"/>
        <v>27.169999999999987</v>
      </c>
      <c r="J8" s="5">
        <f t="shared" si="5"/>
        <v>57.802499999999995</v>
      </c>
      <c r="K8" s="6">
        <f t="shared" si="6"/>
        <v>61.132499999999972</v>
      </c>
      <c r="L8" s="7">
        <f t="shared" si="7"/>
        <v>0</v>
      </c>
      <c r="M8" s="6">
        <f t="shared" si="8"/>
        <v>0</v>
      </c>
      <c r="N8" s="7">
        <f t="shared" si="9"/>
        <v>0</v>
      </c>
      <c r="O8" s="6">
        <f t="shared" si="10"/>
        <v>0</v>
      </c>
      <c r="P8" s="5">
        <f t="shared" si="11"/>
        <v>0</v>
      </c>
      <c r="Q8" s="6">
        <f t="shared" si="12"/>
        <v>0</v>
      </c>
      <c r="R8" s="7">
        <f t="shared" si="13"/>
        <v>0</v>
      </c>
      <c r="S8" s="6">
        <f t="shared" si="14"/>
        <v>0</v>
      </c>
      <c r="T8" s="7">
        <f t="shared" si="15"/>
        <v>0</v>
      </c>
      <c r="U8" s="6">
        <f t="shared" si="16"/>
        <v>0</v>
      </c>
      <c r="V8" s="5">
        <f t="shared" si="17"/>
        <v>0</v>
      </c>
      <c r="W8" s="6">
        <f t="shared" si="18"/>
        <v>0</v>
      </c>
      <c r="X8" s="7">
        <f t="shared" si="19"/>
        <v>0</v>
      </c>
      <c r="Y8" s="6">
        <f t="shared" si="20"/>
        <v>0</v>
      </c>
      <c r="Z8" s="7">
        <f t="shared" si="21"/>
        <v>0</v>
      </c>
      <c r="AA8" s="6">
        <f t="shared" si="22"/>
        <v>0</v>
      </c>
      <c r="AB8" s="5">
        <f t="shared" si="23"/>
        <v>0</v>
      </c>
      <c r="AC8" s="6">
        <f t="shared" si="24"/>
        <v>0</v>
      </c>
      <c r="AD8" s="7">
        <f t="shared" si="25"/>
        <v>0</v>
      </c>
      <c r="AE8" s="6">
        <f t="shared" si="26"/>
        <v>0</v>
      </c>
      <c r="AF8" s="7">
        <f t="shared" si="27"/>
        <v>0</v>
      </c>
      <c r="AG8" s="6">
        <f t="shared" si="28"/>
        <v>0</v>
      </c>
      <c r="AH8" s="5">
        <f t="shared" si="29"/>
        <v>0</v>
      </c>
      <c r="AI8" s="6">
        <f t="shared" si="30"/>
        <v>0</v>
      </c>
      <c r="AJ8" s="7">
        <f t="shared" si="31"/>
        <v>0</v>
      </c>
      <c r="AK8" s="6">
        <f t="shared" si="32"/>
        <v>0</v>
      </c>
      <c r="AL8" s="7">
        <f t="shared" si="33"/>
        <v>0</v>
      </c>
      <c r="AM8" s="6">
        <f t="shared" si="34"/>
        <v>0</v>
      </c>
      <c r="AN8" s="5">
        <f t="shared" si="35"/>
        <v>0</v>
      </c>
      <c r="AO8" s="6">
        <f t="shared" si="36"/>
        <v>0</v>
      </c>
      <c r="AP8" s="7">
        <f t="shared" si="37"/>
        <v>0</v>
      </c>
      <c r="AQ8" s="6">
        <f t="shared" si="38"/>
        <v>0</v>
      </c>
      <c r="AR8" s="7">
        <f t="shared" si="39"/>
        <v>0</v>
      </c>
      <c r="AS8" s="6">
        <f t="shared" si="40"/>
        <v>0</v>
      </c>
      <c r="AT8" s="5">
        <f t="shared" si="41"/>
        <v>0</v>
      </c>
      <c r="AU8" s="6">
        <f t="shared" si="42"/>
        <v>0</v>
      </c>
      <c r="AV8" s="7">
        <f t="shared" si="43"/>
        <v>0</v>
      </c>
      <c r="AW8" s="6">
        <f t="shared" si="44"/>
        <v>0</v>
      </c>
      <c r="AX8" s="7">
        <f t="shared" si="45"/>
        <v>0</v>
      </c>
      <c r="AY8" s="6">
        <f t="shared" si="46"/>
        <v>0</v>
      </c>
      <c r="AZ8" s="5">
        <f t="shared" si="47"/>
        <v>0</v>
      </c>
      <c r="BA8" s="6">
        <f t="shared" si="48"/>
        <v>0</v>
      </c>
      <c r="BB8" s="7">
        <f t="shared" si="49"/>
        <v>0</v>
      </c>
      <c r="BC8" s="6">
        <f t="shared" si="50"/>
        <v>0</v>
      </c>
      <c r="BD8" s="7">
        <f t="shared" si="51"/>
        <v>0</v>
      </c>
      <c r="BE8" s="6">
        <f t="shared" si="52"/>
        <v>0</v>
      </c>
      <c r="BF8" s="5">
        <f t="shared" si="53"/>
        <v>0</v>
      </c>
      <c r="BG8" s="6">
        <f t="shared" si="54"/>
        <v>0</v>
      </c>
      <c r="BH8" s="7">
        <f t="shared" si="55"/>
        <v>0</v>
      </c>
      <c r="BI8" s="6">
        <f t="shared" si="56"/>
        <v>0</v>
      </c>
      <c r="BJ8" s="7">
        <f t="shared" si="57"/>
        <v>0</v>
      </c>
      <c r="BK8" s="6">
        <f t="shared" si="58"/>
        <v>0</v>
      </c>
      <c r="BL8" s="5">
        <f t="shared" si="59"/>
        <v>0</v>
      </c>
      <c r="BM8" s="6">
        <f t="shared" si="60"/>
        <v>0</v>
      </c>
      <c r="BN8" s="7">
        <f t="shared" si="61"/>
        <v>0</v>
      </c>
      <c r="BO8" s="6">
        <f t="shared" si="62"/>
        <v>0</v>
      </c>
      <c r="BP8" s="7">
        <f t="shared" si="63"/>
        <v>0</v>
      </c>
      <c r="BQ8" s="6">
        <f t="shared" si="64"/>
        <v>0</v>
      </c>
      <c r="BR8" s="5">
        <f t="shared" si="65"/>
        <v>0</v>
      </c>
      <c r="BS8" s="6">
        <f t="shared" si="66"/>
        <v>0</v>
      </c>
      <c r="BT8" s="7">
        <f t="shared" si="67"/>
        <v>0</v>
      </c>
      <c r="BU8" s="6">
        <f t="shared" si="68"/>
        <v>0</v>
      </c>
      <c r="BV8" s="7">
        <f t="shared" si="69"/>
        <v>0</v>
      </c>
      <c r="BW8" s="6">
        <f t="shared" si="70"/>
        <v>0</v>
      </c>
      <c r="BX8" s="5">
        <f t="shared" si="71"/>
        <v>0</v>
      </c>
      <c r="BY8" s="6">
        <f t="shared" si="72"/>
        <v>0</v>
      </c>
      <c r="BZ8" s="7">
        <f t="shared" si="73"/>
        <v>0</v>
      </c>
      <c r="CA8" s="6">
        <f t="shared" si="74"/>
        <v>0</v>
      </c>
      <c r="CB8" s="7">
        <f t="shared" si="75"/>
        <v>0</v>
      </c>
      <c r="CC8" s="6">
        <f t="shared" si="76"/>
        <v>0</v>
      </c>
      <c r="CD8" s="5">
        <f t="shared" si="77"/>
        <v>0</v>
      </c>
      <c r="CE8" s="6">
        <f t="shared" si="78"/>
        <v>0</v>
      </c>
      <c r="CF8" s="7">
        <f t="shared" si="79"/>
        <v>0</v>
      </c>
      <c r="CG8" s="6">
        <f t="shared" si="80"/>
        <v>0</v>
      </c>
      <c r="CH8" s="7">
        <f t="shared" si="81"/>
        <v>0</v>
      </c>
      <c r="CI8" s="6">
        <f t="shared" si="82"/>
        <v>0</v>
      </c>
      <c r="CJ8" s="5">
        <f t="shared" si="83"/>
        <v>0</v>
      </c>
      <c r="CK8" s="6">
        <f t="shared" si="84"/>
        <v>0</v>
      </c>
      <c r="CL8" s="7">
        <f t="shared" si="85"/>
        <v>0</v>
      </c>
      <c r="CM8" s="6">
        <f t="shared" si="86"/>
        <v>0</v>
      </c>
      <c r="CN8" s="7">
        <f t="shared" si="87"/>
        <v>0</v>
      </c>
      <c r="CO8" s="6">
        <f t="shared" si="88"/>
        <v>0</v>
      </c>
      <c r="CP8" s="5">
        <f t="shared" si="89"/>
        <v>0</v>
      </c>
      <c r="CQ8" s="6">
        <f t="shared" si="90"/>
        <v>0</v>
      </c>
      <c r="CR8" s="7">
        <f t="shared" si="0"/>
        <v>32.112499999999997</v>
      </c>
      <c r="CS8" s="6">
        <f t="shared" si="0"/>
        <v>33.962499999999984</v>
      </c>
      <c r="CT8" s="7">
        <f t="shared" si="0"/>
        <v>25.689999999999998</v>
      </c>
      <c r="CU8" s="6">
        <f t="shared" si="0"/>
        <v>27.169999999999987</v>
      </c>
      <c r="CV8" s="5">
        <f t="shared" si="91"/>
        <v>57.802499999999995</v>
      </c>
      <c r="CW8" s="6">
        <f t="shared" si="92"/>
        <v>61.132499999999972</v>
      </c>
      <c r="CY8" s="7">
        <v>57.802499999999995</v>
      </c>
      <c r="CZ8" s="5">
        <f t="array" ref="CZ8">Summary_UpperBound</f>
        <v>61.132499999999972</v>
      </c>
      <c r="DA8" s="6">
        <f t="shared" si="93"/>
        <v>3.329999999999977</v>
      </c>
    </row>
    <row r="9" spans="1:105" x14ac:dyDescent="0.35">
      <c r="A9" s="7" t="str">
        <f>'Data Validation (Hide)'!B6</f>
        <v>Caseload 5</v>
      </c>
      <c r="B9" s="22">
        <f>_xlfn.PERCENTILE.INC(INDEX('SPC Backing (Hide)'!$C$4:$Q$263,MATCH(SPC!$B$12,'SPC Backing (Hide)'!$B$4:$B$263,0),MATCH('Required Capacity (Hide)'!$A9,'SPC Backing (Hide)'!$C$3:$Q$3,0)):INDEX('SPC Backing (Hide)'!$C$4:$Q$263,MATCH(SPC!$B$13,'SPC Backing (Hide)'!$B$4:$B$263,0)-1,MATCH('Required Capacity (Hide)'!$A9,'SPC Backing (Hide)'!$C$3:$Q$3,0)),'SPC Backing (Hide)'!$AK$3)</f>
        <v>0</v>
      </c>
      <c r="C9" s="33">
        <f>_xlfn.PERCENTILE.INC(INDEX('SPC Backing (Hide)'!$C$4:$Q$263,MATCH(SPC!$B$12,'SPC Backing (Hide)'!$B$4:$B$263,0),MATCH('Required Capacity (Hide)'!$A9,'SPC Backing (Hide)'!$C$3:$Q$3,0)):INDEX('SPC Backing (Hide)'!$C$4:$Q$263,MATCH(SPC!$B$13,'SPC Backing (Hide)'!$B$4:$B$263,0)-1,MATCH('Required Capacity (Hide)'!$A9,'SPC Backing (Hide)'!$C$3:$Q$3,0)),0.85)</f>
        <v>0</v>
      </c>
      <c r="E9" s="12">
        <f t="shared" si="94"/>
        <v>44149</v>
      </c>
      <c r="F9" s="7">
        <f t="shared" si="1"/>
        <v>32.112499999999997</v>
      </c>
      <c r="G9" s="6">
        <f t="shared" si="2"/>
        <v>33.962499999999984</v>
      </c>
      <c r="H9" s="7">
        <f t="shared" si="3"/>
        <v>25.689999999999998</v>
      </c>
      <c r="I9" s="6">
        <f t="shared" si="4"/>
        <v>27.169999999999987</v>
      </c>
      <c r="J9" s="5">
        <f t="shared" si="5"/>
        <v>57.802499999999995</v>
      </c>
      <c r="K9" s="6">
        <f t="shared" si="6"/>
        <v>61.132499999999972</v>
      </c>
      <c r="L9" s="7">
        <f t="shared" si="7"/>
        <v>0</v>
      </c>
      <c r="M9" s="6">
        <f t="shared" si="8"/>
        <v>0</v>
      </c>
      <c r="N9" s="7">
        <f t="shared" si="9"/>
        <v>0</v>
      </c>
      <c r="O9" s="6">
        <f t="shared" si="10"/>
        <v>0</v>
      </c>
      <c r="P9" s="5">
        <f t="shared" si="11"/>
        <v>0</v>
      </c>
      <c r="Q9" s="6">
        <f t="shared" si="12"/>
        <v>0</v>
      </c>
      <c r="R9" s="7">
        <f t="shared" si="13"/>
        <v>0</v>
      </c>
      <c r="S9" s="6">
        <f t="shared" si="14"/>
        <v>0</v>
      </c>
      <c r="T9" s="7">
        <f t="shared" si="15"/>
        <v>0</v>
      </c>
      <c r="U9" s="6">
        <f t="shared" si="16"/>
        <v>0</v>
      </c>
      <c r="V9" s="5">
        <f t="shared" si="17"/>
        <v>0</v>
      </c>
      <c r="W9" s="6">
        <f t="shared" si="18"/>
        <v>0</v>
      </c>
      <c r="X9" s="7">
        <f t="shared" si="19"/>
        <v>0</v>
      </c>
      <c r="Y9" s="6">
        <f t="shared" si="20"/>
        <v>0</v>
      </c>
      <c r="Z9" s="7">
        <f t="shared" si="21"/>
        <v>0</v>
      </c>
      <c r="AA9" s="6">
        <f t="shared" si="22"/>
        <v>0</v>
      </c>
      <c r="AB9" s="5">
        <f t="shared" si="23"/>
        <v>0</v>
      </c>
      <c r="AC9" s="6">
        <f t="shared" si="24"/>
        <v>0</v>
      </c>
      <c r="AD9" s="7">
        <f t="shared" si="25"/>
        <v>0</v>
      </c>
      <c r="AE9" s="6">
        <f t="shared" si="26"/>
        <v>0</v>
      </c>
      <c r="AF9" s="7">
        <f t="shared" si="27"/>
        <v>0</v>
      </c>
      <c r="AG9" s="6">
        <f t="shared" si="28"/>
        <v>0</v>
      </c>
      <c r="AH9" s="5">
        <f t="shared" si="29"/>
        <v>0</v>
      </c>
      <c r="AI9" s="6">
        <f t="shared" si="30"/>
        <v>0</v>
      </c>
      <c r="AJ9" s="7">
        <f t="shared" si="31"/>
        <v>0</v>
      </c>
      <c r="AK9" s="6">
        <f t="shared" si="32"/>
        <v>0</v>
      </c>
      <c r="AL9" s="7">
        <f t="shared" si="33"/>
        <v>0</v>
      </c>
      <c r="AM9" s="6">
        <f t="shared" si="34"/>
        <v>0</v>
      </c>
      <c r="AN9" s="5">
        <f t="shared" si="35"/>
        <v>0</v>
      </c>
      <c r="AO9" s="6">
        <f t="shared" si="36"/>
        <v>0</v>
      </c>
      <c r="AP9" s="7">
        <f t="shared" si="37"/>
        <v>0</v>
      </c>
      <c r="AQ9" s="6">
        <f t="shared" si="38"/>
        <v>0</v>
      </c>
      <c r="AR9" s="7">
        <f t="shared" si="39"/>
        <v>0</v>
      </c>
      <c r="AS9" s="6">
        <f t="shared" si="40"/>
        <v>0</v>
      </c>
      <c r="AT9" s="5">
        <f t="shared" si="41"/>
        <v>0</v>
      </c>
      <c r="AU9" s="6">
        <f t="shared" si="42"/>
        <v>0</v>
      </c>
      <c r="AV9" s="7">
        <f t="shared" si="43"/>
        <v>0</v>
      </c>
      <c r="AW9" s="6">
        <f t="shared" si="44"/>
        <v>0</v>
      </c>
      <c r="AX9" s="7">
        <f t="shared" si="45"/>
        <v>0</v>
      </c>
      <c r="AY9" s="6">
        <f t="shared" si="46"/>
        <v>0</v>
      </c>
      <c r="AZ9" s="5">
        <f t="shared" si="47"/>
        <v>0</v>
      </c>
      <c r="BA9" s="6">
        <f t="shared" si="48"/>
        <v>0</v>
      </c>
      <c r="BB9" s="7">
        <f t="shared" si="49"/>
        <v>0</v>
      </c>
      <c r="BC9" s="6">
        <f t="shared" si="50"/>
        <v>0</v>
      </c>
      <c r="BD9" s="7">
        <f t="shared" si="51"/>
        <v>0</v>
      </c>
      <c r="BE9" s="6">
        <f t="shared" si="52"/>
        <v>0</v>
      </c>
      <c r="BF9" s="5">
        <f t="shared" si="53"/>
        <v>0</v>
      </c>
      <c r="BG9" s="6">
        <f t="shared" si="54"/>
        <v>0</v>
      </c>
      <c r="BH9" s="7">
        <f t="shared" si="55"/>
        <v>0</v>
      </c>
      <c r="BI9" s="6">
        <f t="shared" si="56"/>
        <v>0</v>
      </c>
      <c r="BJ9" s="7">
        <f t="shared" si="57"/>
        <v>0</v>
      </c>
      <c r="BK9" s="6">
        <f t="shared" si="58"/>
        <v>0</v>
      </c>
      <c r="BL9" s="5">
        <f t="shared" si="59"/>
        <v>0</v>
      </c>
      <c r="BM9" s="6">
        <f t="shared" si="60"/>
        <v>0</v>
      </c>
      <c r="BN9" s="7">
        <f t="shared" si="61"/>
        <v>0</v>
      </c>
      <c r="BO9" s="6">
        <f t="shared" si="62"/>
        <v>0</v>
      </c>
      <c r="BP9" s="7">
        <f t="shared" si="63"/>
        <v>0</v>
      </c>
      <c r="BQ9" s="6">
        <f t="shared" si="64"/>
        <v>0</v>
      </c>
      <c r="BR9" s="5">
        <f t="shared" si="65"/>
        <v>0</v>
      </c>
      <c r="BS9" s="6">
        <f t="shared" si="66"/>
        <v>0</v>
      </c>
      <c r="BT9" s="7">
        <f t="shared" si="67"/>
        <v>0</v>
      </c>
      <c r="BU9" s="6">
        <f t="shared" si="68"/>
        <v>0</v>
      </c>
      <c r="BV9" s="7">
        <f t="shared" si="69"/>
        <v>0</v>
      </c>
      <c r="BW9" s="6">
        <f t="shared" si="70"/>
        <v>0</v>
      </c>
      <c r="BX9" s="5">
        <f t="shared" si="71"/>
        <v>0</v>
      </c>
      <c r="BY9" s="6">
        <f t="shared" si="72"/>
        <v>0</v>
      </c>
      <c r="BZ9" s="7">
        <f t="shared" si="73"/>
        <v>0</v>
      </c>
      <c r="CA9" s="6">
        <f t="shared" si="74"/>
        <v>0</v>
      </c>
      <c r="CB9" s="7">
        <f t="shared" si="75"/>
        <v>0</v>
      </c>
      <c r="CC9" s="6">
        <f t="shared" si="76"/>
        <v>0</v>
      </c>
      <c r="CD9" s="5">
        <f t="shared" si="77"/>
        <v>0</v>
      </c>
      <c r="CE9" s="6">
        <f t="shared" si="78"/>
        <v>0</v>
      </c>
      <c r="CF9" s="7">
        <f t="shared" si="79"/>
        <v>0</v>
      </c>
      <c r="CG9" s="6">
        <f t="shared" si="80"/>
        <v>0</v>
      </c>
      <c r="CH9" s="7">
        <f t="shared" si="81"/>
        <v>0</v>
      </c>
      <c r="CI9" s="6">
        <f t="shared" si="82"/>
        <v>0</v>
      </c>
      <c r="CJ9" s="5">
        <f t="shared" si="83"/>
        <v>0</v>
      </c>
      <c r="CK9" s="6">
        <f t="shared" si="84"/>
        <v>0</v>
      </c>
      <c r="CL9" s="7">
        <f t="shared" si="85"/>
        <v>0</v>
      </c>
      <c r="CM9" s="6">
        <f t="shared" si="86"/>
        <v>0</v>
      </c>
      <c r="CN9" s="7">
        <f t="shared" si="87"/>
        <v>0</v>
      </c>
      <c r="CO9" s="6">
        <f t="shared" si="88"/>
        <v>0</v>
      </c>
      <c r="CP9" s="5">
        <f t="shared" si="89"/>
        <v>0</v>
      </c>
      <c r="CQ9" s="6">
        <f t="shared" si="90"/>
        <v>0</v>
      </c>
      <c r="CR9" s="7">
        <f t="shared" si="0"/>
        <v>32.112499999999997</v>
      </c>
      <c r="CS9" s="6">
        <f t="shared" si="0"/>
        <v>33.962499999999984</v>
      </c>
      <c r="CT9" s="7">
        <f t="shared" si="0"/>
        <v>25.689999999999998</v>
      </c>
      <c r="CU9" s="6">
        <f t="shared" si="0"/>
        <v>27.169999999999987</v>
      </c>
      <c r="CV9" s="5">
        <f t="shared" si="91"/>
        <v>57.802499999999995</v>
      </c>
      <c r="CW9" s="6">
        <f t="shared" si="92"/>
        <v>61.132499999999972</v>
      </c>
      <c r="CY9" s="7">
        <v>57.802499999999995</v>
      </c>
      <c r="CZ9" s="5">
        <f t="array" ref="CZ9">Summary_UpperBound</f>
        <v>61.132499999999972</v>
      </c>
      <c r="DA9" s="6">
        <f t="shared" si="93"/>
        <v>3.329999999999977</v>
      </c>
    </row>
    <row r="10" spans="1:105" x14ac:dyDescent="0.35">
      <c r="A10" s="7" t="str">
        <f>'Data Validation (Hide)'!B7</f>
        <v>Caseload 6</v>
      </c>
      <c r="B10" s="22">
        <f>_xlfn.PERCENTILE.INC(INDEX('SPC Backing (Hide)'!$C$4:$Q$263,MATCH(SPC!$B$12,'SPC Backing (Hide)'!$B$4:$B$263,0),MATCH('Required Capacity (Hide)'!$A10,'SPC Backing (Hide)'!$C$3:$Q$3,0)):INDEX('SPC Backing (Hide)'!$C$4:$Q$263,MATCH(SPC!$B$13,'SPC Backing (Hide)'!$B$4:$B$263,0)-1,MATCH('Required Capacity (Hide)'!$A10,'SPC Backing (Hide)'!$C$3:$Q$3,0)),'SPC Backing (Hide)'!$AK$3)</f>
        <v>0</v>
      </c>
      <c r="C10" s="33">
        <f>_xlfn.PERCENTILE.INC(INDEX('SPC Backing (Hide)'!$C$4:$Q$263,MATCH(SPC!$B$12,'SPC Backing (Hide)'!$B$4:$B$263,0),MATCH('Required Capacity (Hide)'!$A10,'SPC Backing (Hide)'!$C$3:$Q$3,0)):INDEX('SPC Backing (Hide)'!$C$4:$Q$263,MATCH(SPC!$B$13,'SPC Backing (Hide)'!$B$4:$B$263,0)-1,MATCH('Required Capacity (Hide)'!$A10,'SPC Backing (Hide)'!$C$3:$Q$3,0)),0.85)</f>
        <v>0</v>
      </c>
      <c r="E10" s="12">
        <f t="shared" si="94"/>
        <v>44156</v>
      </c>
      <c r="F10" s="7">
        <f t="shared" si="1"/>
        <v>32.112499999999997</v>
      </c>
      <c r="G10" s="6">
        <f t="shared" si="2"/>
        <v>33.962499999999984</v>
      </c>
      <c r="H10" s="7">
        <f t="shared" si="3"/>
        <v>25.689999999999998</v>
      </c>
      <c r="I10" s="6">
        <f t="shared" si="4"/>
        <v>27.169999999999987</v>
      </c>
      <c r="J10" s="5">
        <f t="shared" si="5"/>
        <v>57.802499999999995</v>
      </c>
      <c r="K10" s="6">
        <f t="shared" si="6"/>
        <v>61.132499999999972</v>
      </c>
      <c r="L10" s="7">
        <f t="shared" si="7"/>
        <v>0</v>
      </c>
      <c r="M10" s="6">
        <f t="shared" si="8"/>
        <v>0</v>
      </c>
      <c r="N10" s="7">
        <f t="shared" si="9"/>
        <v>0</v>
      </c>
      <c r="O10" s="6">
        <f t="shared" si="10"/>
        <v>0</v>
      </c>
      <c r="P10" s="5">
        <f t="shared" si="11"/>
        <v>0</v>
      </c>
      <c r="Q10" s="6">
        <f t="shared" si="12"/>
        <v>0</v>
      </c>
      <c r="R10" s="7">
        <f t="shared" si="13"/>
        <v>0</v>
      </c>
      <c r="S10" s="6">
        <f t="shared" si="14"/>
        <v>0</v>
      </c>
      <c r="T10" s="7">
        <f t="shared" si="15"/>
        <v>0</v>
      </c>
      <c r="U10" s="6">
        <f t="shared" si="16"/>
        <v>0</v>
      </c>
      <c r="V10" s="5">
        <f t="shared" si="17"/>
        <v>0</v>
      </c>
      <c r="W10" s="6">
        <f t="shared" si="18"/>
        <v>0</v>
      </c>
      <c r="X10" s="7">
        <f t="shared" si="19"/>
        <v>0</v>
      </c>
      <c r="Y10" s="6">
        <f t="shared" si="20"/>
        <v>0</v>
      </c>
      <c r="Z10" s="7">
        <f t="shared" si="21"/>
        <v>0</v>
      </c>
      <c r="AA10" s="6">
        <f t="shared" si="22"/>
        <v>0</v>
      </c>
      <c r="AB10" s="5">
        <f t="shared" si="23"/>
        <v>0</v>
      </c>
      <c r="AC10" s="6">
        <f t="shared" si="24"/>
        <v>0</v>
      </c>
      <c r="AD10" s="7">
        <f t="shared" si="25"/>
        <v>0</v>
      </c>
      <c r="AE10" s="6">
        <f t="shared" si="26"/>
        <v>0</v>
      </c>
      <c r="AF10" s="7">
        <f t="shared" si="27"/>
        <v>0</v>
      </c>
      <c r="AG10" s="6">
        <f t="shared" si="28"/>
        <v>0</v>
      </c>
      <c r="AH10" s="5">
        <f t="shared" si="29"/>
        <v>0</v>
      </c>
      <c r="AI10" s="6">
        <f t="shared" si="30"/>
        <v>0</v>
      </c>
      <c r="AJ10" s="7">
        <f t="shared" si="31"/>
        <v>0</v>
      </c>
      <c r="AK10" s="6">
        <f t="shared" si="32"/>
        <v>0</v>
      </c>
      <c r="AL10" s="7">
        <f t="shared" si="33"/>
        <v>0</v>
      </c>
      <c r="AM10" s="6">
        <f t="shared" si="34"/>
        <v>0</v>
      </c>
      <c r="AN10" s="5">
        <f t="shared" si="35"/>
        <v>0</v>
      </c>
      <c r="AO10" s="6">
        <f t="shared" si="36"/>
        <v>0</v>
      </c>
      <c r="AP10" s="7">
        <f t="shared" si="37"/>
        <v>0</v>
      </c>
      <c r="AQ10" s="6">
        <f t="shared" si="38"/>
        <v>0</v>
      </c>
      <c r="AR10" s="7">
        <f t="shared" si="39"/>
        <v>0</v>
      </c>
      <c r="AS10" s="6">
        <f t="shared" si="40"/>
        <v>0</v>
      </c>
      <c r="AT10" s="5">
        <f t="shared" si="41"/>
        <v>0</v>
      </c>
      <c r="AU10" s="6">
        <f t="shared" si="42"/>
        <v>0</v>
      </c>
      <c r="AV10" s="7">
        <f t="shared" si="43"/>
        <v>0</v>
      </c>
      <c r="AW10" s="6">
        <f t="shared" si="44"/>
        <v>0</v>
      </c>
      <c r="AX10" s="7">
        <f t="shared" si="45"/>
        <v>0</v>
      </c>
      <c r="AY10" s="6">
        <f t="shared" si="46"/>
        <v>0</v>
      </c>
      <c r="AZ10" s="5">
        <f t="shared" si="47"/>
        <v>0</v>
      </c>
      <c r="BA10" s="6">
        <f t="shared" si="48"/>
        <v>0</v>
      </c>
      <c r="BB10" s="7">
        <f t="shared" si="49"/>
        <v>0</v>
      </c>
      <c r="BC10" s="6">
        <f t="shared" si="50"/>
        <v>0</v>
      </c>
      <c r="BD10" s="7">
        <f t="shared" si="51"/>
        <v>0</v>
      </c>
      <c r="BE10" s="6">
        <f t="shared" si="52"/>
        <v>0</v>
      </c>
      <c r="BF10" s="5">
        <f t="shared" si="53"/>
        <v>0</v>
      </c>
      <c r="BG10" s="6">
        <f t="shared" si="54"/>
        <v>0</v>
      </c>
      <c r="BH10" s="7">
        <f t="shared" si="55"/>
        <v>0</v>
      </c>
      <c r="BI10" s="6">
        <f t="shared" si="56"/>
        <v>0</v>
      </c>
      <c r="BJ10" s="7">
        <f t="shared" si="57"/>
        <v>0</v>
      </c>
      <c r="BK10" s="6">
        <f t="shared" si="58"/>
        <v>0</v>
      </c>
      <c r="BL10" s="5">
        <f t="shared" si="59"/>
        <v>0</v>
      </c>
      <c r="BM10" s="6">
        <f t="shared" si="60"/>
        <v>0</v>
      </c>
      <c r="BN10" s="7">
        <f t="shared" si="61"/>
        <v>0</v>
      </c>
      <c r="BO10" s="6">
        <f t="shared" si="62"/>
        <v>0</v>
      </c>
      <c r="BP10" s="7">
        <f t="shared" si="63"/>
        <v>0</v>
      </c>
      <c r="BQ10" s="6">
        <f t="shared" si="64"/>
        <v>0</v>
      </c>
      <c r="BR10" s="5">
        <f t="shared" si="65"/>
        <v>0</v>
      </c>
      <c r="BS10" s="6">
        <f t="shared" si="66"/>
        <v>0</v>
      </c>
      <c r="BT10" s="7">
        <f t="shared" si="67"/>
        <v>0</v>
      </c>
      <c r="BU10" s="6">
        <f t="shared" si="68"/>
        <v>0</v>
      </c>
      <c r="BV10" s="7">
        <f t="shared" si="69"/>
        <v>0</v>
      </c>
      <c r="BW10" s="6">
        <f t="shared" si="70"/>
        <v>0</v>
      </c>
      <c r="BX10" s="5">
        <f t="shared" si="71"/>
        <v>0</v>
      </c>
      <c r="BY10" s="6">
        <f t="shared" si="72"/>
        <v>0</v>
      </c>
      <c r="BZ10" s="7">
        <f t="shared" si="73"/>
        <v>0</v>
      </c>
      <c r="CA10" s="6">
        <f t="shared" si="74"/>
        <v>0</v>
      </c>
      <c r="CB10" s="7">
        <f t="shared" si="75"/>
        <v>0</v>
      </c>
      <c r="CC10" s="6">
        <f t="shared" si="76"/>
        <v>0</v>
      </c>
      <c r="CD10" s="5">
        <f t="shared" si="77"/>
        <v>0</v>
      </c>
      <c r="CE10" s="6">
        <f t="shared" si="78"/>
        <v>0</v>
      </c>
      <c r="CF10" s="7">
        <f t="shared" si="79"/>
        <v>0</v>
      </c>
      <c r="CG10" s="6">
        <f t="shared" si="80"/>
        <v>0</v>
      </c>
      <c r="CH10" s="7">
        <f t="shared" si="81"/>
        <v>0</v>
      </c>
      <c r="CI10" s="6">
        <f t="shared" si="82"/>
        <v>0</v>
      </c>
      <c r="CJ10" s="5">
        <f t="shared" si="83"/>
        <v>0</v>
      </c>
      <c r="CK10" s="6">
        <f t="shared" si="84"/>
        <v>0</v>
      </c>
      <c r="CL10" s="7">
        <f t="shared" si="85"/>
        <v>0</v>
      </c>
      <c r="CM10" s="6">
        <f t="shared" si="86"/>
        <v>0</v>
      </c>
      <c r="CN10" s="7">
        <f t="shared" si="87"/>
        <v>0</v>
      </c>
      <c r="CO10" s="6">
        <f t="shared" si="88"/>
        <v>0</v>
      </c>
      <c r="CP10" s="5">
        <f t="shared" si="89"/>
        <v>0</v>
      </c>
      <c r="CQ10" s="6">
        <f t="shared" si="90"/>
        <v>0</v>
      </c>
      <c r="CR10" s="7">
        <f t="shared" si="0"/>
        <v>32.112499999999997</v>
      </c>
      <c r="CS10" s="6">
        <f t="shared" si="0"/>
        <v>33.962499999999984</v>
      </c>
      <c r="CT10" s="7">
        <f t="shared" si="0"/>
        <v>25.689999999999998</v>
      </c>
      <c r="CU10" s="6">
        <f t="shared" si="0"/>
        <v>27.169999999999987</v>
      </c>
      <c r="CV10" s="5">
        <f t="shared" si="91"/>
        <v>57.802499999999995</v>
      </c>
      <c r="CW10" s="6">
        <f t="shared" si="92"/>
        <v>61.132499999999972</v>
      </c>
      <c r="CY10" s="7">
        <v>57.802499999999995</v>
      </c>
      <c r="CZ10" s="5">
        <f t="array" ref="CZ10">Summary_UpperBound</f>
        <v>61.132499999999972</v>
      </c>
      <c r="DA10" s="6">
        <f t="shared" si="93"/>
        <v>3.329999999999977</v>
      </c>
    </row>
    <row r="11" spans="1:105" x14ac:dyDescent="0.35">
      <c r="A11" s="7" t="str">
        <f>'Data Validation (Hide)'!B8</f>
        <v>Caseload 7</v>
      </c>
      <c r="B11" s="22">
        <f>_xlfn.PERCENTILE.INC(INDEX('SPC Backing (Hide)'!$C$4:$Q$263,MATCH(SPC!$B$12,'SPC Backing (Hide)'!$B$4:$B$263,0),MATCH('Required Capacity (Hide)'!$A11,'SPC Backing (Hide)'!$C$3:$Q$3,0)):INDEX('SPC Backing (Hide)'!$C$4:$Q$263,MATCH(SPC!$B$13,'SPC Backing (Hide)'!$B$4:$B$263,0)-1,MATCH('Required Capacity (Hide)'!$A11,'SPC Backing (Hide)'!$C$3:$Q$3,0)),'SPC Backing (Hide)'!$AK$3)</f>
        <v>0</v>
      </c>
      <c r="C11" s="33">
        <f>_xlfn.PERCENTILE.INC(INDEX('SPC Backing (Hide)'!$C$4:$Q$263,MATCH(SPC!$B$12,'SPC Backing (Hide)'!$B$4:$B$263,0),MATCH('Required Capacity (Hide)'!$A11,'SPC Backing (Hide)'!$C$3:$Q$3,0)):INDEX('SPC Backing (Hide)'!$C$4:$Q$263,MATCH(SPC!$B$13,'SPC Backing (Hide)'!$B$4:$B$263,0)-1,MATCH('Required Capacity (Hide)'!$A11,'SPC Backing (Hide)'!$C$3:$Q$3,0)),0.85)</f>
        <v>0</v>
      </c>
      <c r="E11" s="12">
        <f t="shared" si="94"/>
        <v>44163</v>
      </c>
      <c r="F11" s="7">
        <f t="shared" si="1"/>
        <v>32.112499999999997</v>
      </c>
      <c r="G11" s="6">
        <f t="shared" si="2"/>
        <v>33.962499999999984</v>
      </c>
      <c r="H11" s="7">
        <f t="shared" si="3"/>
        <v>25.689999999999998</v>
      </c>
      <c r="I11" s="6">
        <f t="shared" si="4"/>
        <v>27.169999999999987</v>
      </c>
      <c r="J11" s="5">
        <f t="shared" si="5"/>
        <v>57.802499999999995</v>
      </c>
      <c r="K11" s="6">
        <f t="shared" si="6"/>
        <v>61.132499999999972</v>
      </c>
      <c r="L11" s="7">
        <f t="shared" si="7"/>
        <v>0</v>
      </c>
      <c r="M11" s="6">
        <f t="shared" si="8"/>
        <v>0</v>
      </c>
      <c r="N11" s="7">
        <f t="shared" si="9"/>
        <v>0</v>
      </c>
      <c r="O11" s="6">
        <f t="shared" si="10"/>
        <v>0</v>
      </c>
      <c r="P11" s="5">
        <f t="shared" si="11"/>
        <v>0</v>
      </c>
      <c r="Q11" s="6">
        <f t="shared" si="12"/>
        <v>0</v>
      </c>
      <c r="R11" s="7">
        <f t="shared" si="13"/>
        <v>0</v>
      </c>
      <c r="S11" s="6">
        <f t="shared" si="14"/>
        <v>0</v>
      </c>
      <c r="T11" s="7">
        <f t="shared" si="15"/>
        <v>0</v>
      </c>
      <c r="U11" s="6">
        <f t="shared" si="16"/>
        <v>0</v>
      </c>
      <c r="V11" s="5">
        <f t="shared" si="17"/>
        <v>0</v>
      </c>
      <c r="W11" s="6">
        <f t="shared" si="18"/>
        <v>0</v>
      </c>
      <c r="X11" s="7">
        <f t="shared" si="19"/>
        <v>0</v>
      </c>
      <c r="Y11" s="6">
        <f t="shared" si="20"/>
        <v>0</v>
      </c>
      <c r="Z11" s="7">
        <f t="shared" si="21"/>
        <v>0</v>
      </c>
      <c r="AA11" s="6">
        <f t="shared" si="22"/>
        <v>0</v>
      </c>
      <c r="AB11" s="5">
        <f t="shared" si="23"/>
        <v>0</v>
      </c>
      <c r="AC11" s="6">
        <f t="shared" si="24"/>
        <v>0</v>
      </c>
      <c r="AD11" s="7">
        <f t="shared" si="25"/>
        <v>0</v>
      </c>
      <c r="AE11" s="6">
        <f t="shared" si="26"/>
        <v>0</v>
      </c>
      <c r="AF11" s="7">
        <f t="shared" si="27"/>
        <v>0</v>
      </c>
      <c r="AG11" s="6">
        <f t="shared" si="28"/>
        <v>0</v>
      </c>
      <c r="AH11" s="5">
        <f t="shared" si="29"/>
        <v>0</v>
      </c>
      <c r="AI11" s="6">
        <f t="shared" si="30"/>
        <v>0</v>
      </c>
      <c r="AJ11" s="7">
        <f t="shared" si="31"/>
        <v>0</v>
      </c>
      <c r="AK11" s="6">
        <f t="shared" si="32"/>
        <v>0</v>
      </c>
      <c r="AL11" s="7">
        <f t="shared" si="33"/>
        <v>0</v>
      </c>
      <c r="AM11" s="6">
        <f t="shared" si="34"/>
        <v>0</v>
      </c>
      <c r="AN11" s="5">
        <f t="shared" si="35"/>
        <v>0</v>
      </c>
      <c r="AO11" s="6">
        <f t="shared" si="36"/>
        <v>0</v>
      </c>
      <c r="AP11" s="7">
        <f t="shared" si="37"/>
        <v>0</v>
      </c>
      <c r="AQ11" s="6">
        <f t="shared" si="38"/>
        <v>0</v>
      </c>
      <c r="AR11" s="7">
        <f t="shared" si="39"/>
        <v>0</v>
      </c>
      <c r="AS11" s="6">
        <f t="shared" si="40"/>
        <v>0</v>
      </c>
      <c r="AT11" s="5">
        <f t="shared" si="41"/>
        <v>0</v>
      </c>
      <c r="AU11" s="6">
        <f t="shared" si="42"/>
        <v>0</v>
      </c>
      <c r="AV11" s="7">
        <f t="shared" si="43"/>
        <v>0</v>
      </c>
      <c r="AW11" s="6">
        <f t="shared" si="44"/>
        <v>0</v>
      </c>
      <c r="AX11" s="7">
        <f t="shared" si="45"/>
        <v>0</v>
      </c>
      <c r="AY11" s="6">
        <f t="shared" si="46"/>
        <v>0</v>
      </c>
      <c r="AZ11" s="5">
        <f t="shared" si="47"/>
        <v>0</v>
      </c>
      <c r="BA11" s="6">
        <f t="shared" si="48"/>
        <v>0</v>
      </c>
      <c r="BB11" s="7">
        <f t="shared" si="49"/>
        <v>0</v>
      </c>
      <c r="BC11" s="6">
        <f t="shared" si="50"/>
        <v>0</v>
      </c>
      <c r="BD11" s="7">
        <f t="shared" si="51"/>
        <v>0</v>
      </c>
      <c r="BE11" s="6">
        <f t="shared" si="52"/>
        <v>0</v>
      </c>
      <c r="BF11" s="5">
        <f t="shared" si="53"/>
        <v>0</v>
      </c>
      <c r="BG11" s="6">
        <f t="shared" si="54"/>
        <v>0</v>
      </c>
      <c r="BH11" s="7">
        <f t="shared" si="55"/>
        <v>0</v>
      </c>
      <c r="BI11" s="6">
        <f t="shared" si="56"/>
        <v>0</v>
      </c>
      <c r="BJ11" s="7">
        <f t="shared" si="57"/>
        <v>0</v>
      </c>
      <c r="BK11" s="6">
        <f t="shared" si="58"/>
        <v>0</v>
      </c>
      <c r="BL11" s="5">
        <f t="shared" si="59"/>
        <v>0</v>
      </c>
      <c r="BM11" s="6">
        <f t="shared" si="60"/>
        <v>0</v>
      </c>
      <c r="BN11" s="7">
        <f t="shared" si="61"/>
        <v>0</v>
      </c>
      <c r="BO11" s="6">
        <f t="shared" si="62"/>
        <v>0</v>
      </c>
      <c r="BP11" s="7">
        <f t="shared" si="63"/>
        <v>0</v>
      </c>
      <c r="BQ11" s="6">
        <f t="shared" si="64"/>
        <v>0</v>
      </c>
      <c r="BR11" s="5">
        <f t="shared" si="65"/>
        <v>0</v>
      </c>
      <c r="BS11" s="6">
        <f t="shared" si="66"/>
        <v>0</v>
      </c>
      <c r="BT11" s="7">
        <f t="shared" si="67"/>
        <v>0</v>
      </c>
      <c r="BU11" s="6">
        <f t="shared" si="68"/>
        <v>0</v>
      </c>
      <c r="BV11" s="7">
        <f t="shared" si="69"/>
        <v>0</v>
      </c>
      <c r="BW11" s="6">
        <f t="shared" si="70"/>
        <v>0</v>
      </c>
      <c r="BX11" s="5">
        <f t="shared" si="71"/>
        <v>0</v>
      </c>
      <c r="BY11" s="6">
        <f t="shared" si="72"/>
        <v>0</v>
      </c>
      <c r="BZ11" s="7">
        <f t="shared" si="73"/>
        <v>0</v>
      </c>
      <c r="CA11" s="6">
        <f t="shared" si="74"/>
        <v>0</v>
      </c>
      <c r="CB11" s="7">
        <f t="shared" si="75"/>
        <v>0</v>
      </c>
      <c r="CC11" s="6">
        <f t="shared" si="76"/>
        <v>0</v>
      </c>
      <c r="CD11" s="5">
        <f t="shared" si="77"/>
        <v>0</v>
      </c>
      <c r="CE11" s="6">
        <f t="shared" si="78"/>
        <v>0</v>
      </c>
      <c r="CF11" s="7">
        <f t="shared" si="79"/>
        <v>0</v>
      </c>
      <c r="CG11" s="6">
        <f t="shared" si="80"/>
        <v>0</v>
      </c>
      <c r="CH11" s="7">
        <f t="shared" si="81"/>
        <v>0</v>
      </c>
      <c r="CI11" s="6">
        <f t="shared" si="82"/>
        <v>0</v>
      </c>
      <c r="CJ11" s="5">
        <f t="shared" si="83"/>
        <v>0</v>
      </c>
      <c r="CK11" s="6">
        <f t="shared" si="84"/>
        <v>0</v>
      </c>
      <c r="CL11" s="7">
        <f t="shared" si="85"/>
        <v>0</v>
      </c>
      <c r="CM11" s="6">
        <f t="shared" si="86"/>
        <v>0</v>
      </c>
      <c r="CN11" s="7">
        <f t="shared" si="87"/>
        <v>0</v>
      </c>
      <c r="CO11" s="6">
        <f t="shared" si="88"/>
        <v>0</v>
      </c>
      <c r="CP11" s="5">
        <f t="shared" si="89"/>
        <v>0</v>
      </c>
      <c r="CQ11" s="6">
        <f t="shared" si="90"/>
        <v>0</v>
      </c>
      <c r="CR11" s="7">
        <f t="shared" si="0"/>
        <v>32.112499999999997</v>
      </c>
      <c r="CS11" s="6">
        <f t="shared" si="0"/>
        <v>33.962499999999984</v>
      </c>
      <c r="CT11" s="7">
        <f t="shared" si="0"/>
        <v>25.689999999999998</v>
      </c>
      <c r="CU11" s="6">
        <f t="shared" si="0"/>
        <v>27.169999999999987</v>
      </c>
      <c r="CV11" s="5">
        <f t="shared" si="91"/>
        <v>57.802499999999995</v>
      </c>
      <c r="CW11" s="6">
        <f t="shared" si="92"/>
        <v>61.132499999999972</v>
      </c>
      <c r="CY11" s="7">
        <v>57.802499999999995</v>
      </c>
      <c r="CZ11" s="5">
        <f t="array" ref="CZ11">Summary_UpperBound</f>
        <v>61.132499999999972</v>
      </c>
      <c r="DA11" s="6">
        <f t="shared" si="93"/>
        <v>3.329999999999977</v>
      </c>
    </row>
    <row r="12" spans="1:105" x14ac:dyDescent="0.35">
      <c r="A12" s="7" t="str">
        <f>'Data Validation (Hide)'!B9</f>
        <v>Caseload 8</v>
      </c>
      <c r="B12" s="22">
        <f>_xlfn.PERCENTILE.INC(INDEX('SPC Backing (Hide)'!$C$4:$Q$263,MATCH(SPC!$B$12,'SPC Backing (Hide)'!$B$4:$B$263,0),MATCH('Required Capacity (Hide)'!$A12,'SPC Backing (Hide)'!$C$3:$Q$3,0)):INDEX('SPC Backing (Hide)'!$C$4:$Q$263,MATCH(SPC!$B$13,'SPC Backing (Hide)'!$B$4:$B$263,0)-1,MATCH('Required Capacity (Hide)'!$A12,'SPC Backing (Hide)'!$C$3:$Q$3,0)),'SPC Backing (Hide)'!$AK$3)</f>
        <v>0</v>
      </c>
      <c r="C12" s="33">
        <f>_xlfn.PERCENTILE.INC(INDEX('SPC Backing (Hide)'!$C$4:$Q$263,MATCH(SPC!$B$12,'SPC Backing (Hide)'!$B$4:$B$263,0),MATCH('Required Capacity (Hide)'!$A12,'SPC Backing (Hide)'!$C$3:$Q$3,0)):INDEX('SPC Backing (Hide)'!$C$4:$Q$263,MATCH(SPC!$B$13,'SPC Backing (Hide)'!$B$4:$B$263,0)-1,MATCH('Required Capacity (Hide)'!$A12,'SPC Backing (Hide)'!$C$3:$Q$3,0)),0.85)</f>
        <v>0</v>
      </c>
      <c r="E12" s="12">
        <f t="shared" si="94"/>
        <v>44170</v>
      </c>
      <c r="F12" s="7">
        <f t="shared" si="1"/>
        <v>32.112499999999997</v>
      </c>
      <c r="G12" s="6">
        <f t="shared" si="2"/>
        <v>33.962499999999984</v>
      </c>
      <c r="H12" s="7">
        <f t="shared" si="3"/>
        <v>25.689999999999998</v>
      </c>
      <c r="I12" s="6">
        <f t="shared" si="4"/>
        <v>27.169999999999987</v>
      </c>
      <c r="J12" s="5">
        <f t="shared" si="5"/>
        <v>57.802499999999995</v>
      </c>
      <c r="K12" s="6">
        <f t="shared" si="6"/>
        <v>61.132499999999972</v>
      </c>
      <c r="L12" s="7">
        <f t="shared" si="7"/>
        <v>0</v>
      </c>
      <c r="M12" s="6">
        <f t="shared" si="8"/>
        <v>0</v>
      </c>
      <c r="N12" s="7">
        <f t="shared" si="9"/>
        <v>0</v>
      </c>
      <c r="O12" s="6">
        <f t="shared" si="10"/>
        <v>0</v>
      </c>
      <c r="P12" s="5">
        <f t="shared" si="11"/>
        <v>0</v>
      </c>
      <c r="Q12" s="6">
        <f t="shared" si="12"/>
        <v>0</v>
      </c>
      <c r="R12" s="7">
        <f t="shared" si="13"/>
        <v>0</v>
      </c>
      <c r="S12" s="6">
        <f t="shared" si="14"/>
        <v>0</v>
      </c>
      <c r="T12" s="7">
        <f t="shared" si="15"/>
        <v>0</v>
      </c>
      <c r="U12" s="6">
        <f t="shared" si="16"/>
        <v>0</v>
      </c>
      <c r="V12" s="5">
        <f t="shared" si="17"/>
        <v>0</v>
      </c>
      <c r="W12" s="6">
        <f t="shared" si="18"/>
        <v>0</v>
      </c>
      <c r="X12" s="7">
        <f t="shared" si="19"/>
        <v>0</v>
      </c>
      <c r="Y12" s="6">
        <f t="shared" si="20"/>
        <v>0</v>
      </c>
      <c r="Z12" s="7">
        <f t="shared" si="21"/>
        <v>0</v>
      </c>
      <c r="AA12" s="6">
        <f t="shared" si="22"/>
        <v>0</v>
      </c>
      <c r="AB12" s="5">
        <f t="shared" si="23"/>
        <v>0</v>
      </c>
      <c r="AC12" s="6">
        <f t="shared" si="24"/>
        <v>0</v>
      </c>
      <c r="AD12" s="7">
        <f t="shared" si="25"/>
        <v>0</v>
      </c>
      <c r="AE12" s="6">
        <f t="shared" si="26"/>
        <v>0</v>
      </c>
      <c r="AF12" s="7">
        <f t="shared" si="27"/>
        <v>0</v>
      </c>
      <c r="AG12" s="6">
        <f t="shared" si="28"/>
        <v>0</v>
      </c>
      <c r="AH12" s="5">
        <f t="shared" si="29"/>
        <v>0</v>
      </c>
      <c r="AI12" s="6">
        <f t="shared" si="30"/>
        <v>0</v>
      </c>
      <c r="AJ12" s="7">
        <f t="shared" si="31"/>
        <v>0</v>
      </c>
      <c r="AK12" s="6">
        <f t="shared" si="32"/>
        <v>0</v>
      </c>
      <c r="AL12" s="7">
        <f t="shared" si="33"/>
        <v>0</v>
      </c>
      <c r="AM12" s="6">
        <f t="shared" si="34"/>
        <v>0</v>
      </c>
      <c r="AN12" s="5">
        <f t="shared" si="35"/>
        <v>0</v>
      </c>
      <c r="AO12" s="6">
        <f t="shared" si="36"/>
        <v>0</v>
      </c>
      <c r="AP12" s="7">
        <f t="shared" si="37"/>
        <v>0</v>
      </c>
      <c r="AQ12" s="6">
        <f t="shared" si="38"/>
        <v>0</v>
      </c>
      <c r="AR12" s="7">
        <f t="shared" si="39"/>
        <v>0</v>
      </c>
      <c r="AS12" s="6">
        <f t="shared" si="40"/>
        <v>0</v>
      </c>
      <c r="AT12" s="5">
        <f t="shared" si="41"/>
        <v>0</v>
      </c>
      <c r="AU12" s="6">
        <f t="shared" si="42"/>
        <v>0</v>
      </c>
      <c r="AV12" s="7">
        <f t="shared" si="43"/>
        <v>0</v>
      </c>
      <c r="AW12" s="6">
        <f t="shared" si="44"/>
        <v>0</v>
      </c>
      <c r="AX12" s="7">
        <f t="shared" si="45"/>
        <v>0</v>
      </c>
      <c r="AY12" s="6">
        <f t="shared" si="46"/>
        <v>0</v>
      </c>
      <c r="AZ12" s="5">
        <f t="shared" si="47"/>
        <v>0</v>
      </c>
      <c r="BA12" s="6">
        <f t="shared" si="48"/>
        <v>0</v>
      </c>
      <c r="BB12" s="7">
        <f t="shared" si="49"/>
        <v>0</v>
      </c>
      <c r="BC12" s="6">
        <f t="shared" si="50"/>
        <v>0</v>
      </c>
      <c r="BD12" s="7">
        <f t="shared" si="51"/>
        <v>0</v>
      </c>
      <c r="BE12" s="6">
        <f t="shared" si="52"/>
        <v>0</v>
      </c>
      <c r="BF12" s="5">
        <f t="shared" si="53"/>
        <v>0</v>
      </c>
      <c r="BG12" s="6">
        <f t="shared" si="54"/>
        <v>0</v>
      </c>
      <c r="BH12" s="7">
        <f t="shared" si="55"/>
        <v>0</v>
      </c>
      <c r="BI12" s="6">
        <f t="shared" si="56"/>
        <v>0</v>
      </c>
      <c r="BJ12" s="7">
        <f t="shared" si="57"/>
        <v>0</v>
      </c>
      <c r="BK12" s="6">
        <f t="shared" si="58"/>
        <v>0</v>
      </c>
      <c r="BL12" s="5">
        <f t="shared" si="59"/>
        <v>0</v>
      </c>
      <c r="BM12" s="6">
        <f t="shared" si="60"/>
        <v>0</v>
      </c>
      <c r="BN12" s="7">
        <f t="shared" si="61"/>
        <v>0</v>
      </c>
      <c r="BO12" s="6">
        <f t="shared" si="62"/>
        <v>0</v>
      </c>
      <c r="BP12" s="7">
        <f t="shared" si="63"/>
        <v>0</v>
      </c>
      <c r="BQ12" s="6">
        <f t="shared" si="64"/>
        <v>0</v>
      </c>
      <c r="BR12" s="5">
        <f t="shared" si="65"/>
        <v>0</v>
      </c>
      <c r="BS12" s="6">
        <f t="shared" si="66"/>
        <v>0</v>
      </c>
      <c r="BT12" s="7">
        <f t="shared" si="67"/>
        <v>0</v>
      </c>
      <c r="BU12" s="6">
        <f t="shared" si="68"/>
        <v>0</v>
      </c>
      <c r="BV12" s="7">
        <f t="shared" si="69"/>
        <v>0</v>
      </c>
      <c r="BW12" s="6">
        <f t="shared" si="70"/>
        <v>0</v>
      </c>
      <c r="BX12" s="5">
        <f t="shared" si="71"/>
        <v>0</v>
      </c>
      <c r="BY12" s="6">
        <f t="shared" si="72"/>
        <v>0</v>
      </c>
      <c r="BZ12" s="7">
        <f t="shared" si="73"/>
        <v>0</v>
      </c>
      <c r="CA12" s="6">
        <f t="shared" si="74"/>
        <v>0</v>
      </c>
      <c r="CB12" s="7">
        <f t="shared" si="75"/>
        <v>0</v>
      </c>
      <c r="CC12" s="6">
        <f t="shared" si="76"/>
        <v>0</v>
      </c>
      <c r="CD12" s="5">
        <f t="shared" si="77"/>
        <v>0</v>
      </c>
      <c r="CE12" s="6">
        <f t="shared" si="78"/>
        <v>0</v>
      </c>
      <c r="CF12" s="7">
        <f t="shared" si="79"/>
        <v>0</v>
      </c>
      <c r="CG12" s="6">
        <f t="shared" si="80"/>
        <v>0</v>
      </c>
      <c r="CH12" s="7">
        <f t="shared" si="81"/>
        <v>0</v>
      </c>
      <c r="CI12" s="6">
        <f t="shared" si="82"/>
        <v>0</v>
      </c>
      <c r="CJ12" s="5">
        <f t="shared" si="83"/>
        <v>0</v>
      </c>
      <c r="CK12" s="6">
        <f t="shared" si="84"/>
        <v>0</v>
      </c>
      <c r="CL12" s="7">
        <f t="shared" si="85"/>
        <v>0</v>
      </c>
      <c r="CM12" s="6">
        <f t="shared" si="86"/>
        <v>0</v>
      </c>
      <c r="CN12" s="7">
        <f t="shared" si="87"/>
        <v>0</v>
      </c>
      <c r="CO12" s="6">
        <f t="shared" si="88"/>
        <v>0</v>
      </c>
      <c r="CP12" s="5">
        <f t="shared" si="89"/>
        <v>0</v>
      </c>
      <c r="CQ12" s="6">
        <f t="shared" si="90"/>
        <v>0</v>
      </c>
      <c r="CR12" s="7">
        <f t="shared" si="0"/>
        <v>32.112499999999997</v>
      </c>
      <c r="CS12" s="6">
        <f t="shared" si="0"/>
        <v>33.962499999999984</v>
      </c>
      <c r="CT12" s="7">
        <f t="shared" si="0"/>
        <v>25.689999999999998</v>
      </c>
      <c r="CU12" s="6">
        <f t="shared" si="0"/>
        <v>27.169999999999987</v>
      </c>
      <c r="CV12" s="5">
        <f t="shared" si="91"/>
        <v>57.802499999999995</v>
      </c>
      <c r="CW12" s="6">
        <f t="shared" si="92"/>
        <v>61.132499999999972</v>
      </c>
      <c r="CY12" s="7">
        <v>57.802499999999995</v>
      </c>
      <c r="CZ12" s="5">
        <f t="array" ref="CZ12">Summary_UpperBound</f>
        <v>61.132499999999972</v>
      </c>
      <c r="DA12" s="6">
        <f t="shared" si="93"/>
        <v>3.329999999999977</v>
      </c>
    </row>
    <row r="13" spans="1:105" x14ac:dyDescent="0.35">
      <c r="A13" s="7" t="str">
        <f>'Data Validation (Hide)'!B10</f>
        <v>Caseload 9</v>
      </c>
      <c r="B13" s="22">
        <f>_xlfn.PERCENTILE.INC(INDEX('SPC Backing (Hide)'!$C$4:$Q$263,MATCH(SPC!$B$12,'SPC Backing (Hide)'!$B$4:$B$263,0),MATCH('Required Capacity (Hide)'!$A13,'SPC Backing (Hide)'!$C$3:$Q$3,0)):INDEX('SPC Backing (Hide)'!$C$4:$Q$263,MATCH(SPC!$B$13,'SPC Backing (Hide)'!$B$4:$B$263,0)-1,MATCH('Required Capacity (Hide)'!$A13,'SPC Backing (Hide)'!$C$3:$Q$3,0)),'SPC Backing (Hide)'!$AK$3)</f>
        <v>0</v>
      </c>
      <c r="C13" s="33">
        <f>_xlfn.PERCENTILE.INC(INDEX('SPC Backing (Hide)'!$C$4:$Q$263,MATCH(SPC!$B$12,'SPC Backing (Hide)'!$B$4:$B$263,0),MATCH('Required Capacity (Hide)'!$A13,'SPC Backing (Hide)'!$C$3:$Q$3,0)):INDEX('SPC Backing (Hide)'!$C$4:$Q$263,MATCH(SPC!$B$13,'SPC Backing (Hide)'!$B$4:$B$263,0)-1,MATCH('Required Capacity (Hide)'!$A13,'SPC Backing (Hide)'!$C$3:$Q$3,0)),0.85)</f>
        <v>0</v>
      </c>
      <c r="E13" s="12">
        <f t="shared" si="94"/>
        <v>44177</v>
      </c>
      <c r="F13" s="7">
        <f t="shared" si="1"/>
        <v>32.112499999999997</v>
      </c>
      <c r="G13" s="6">
        <f t="shared" si="2"/>
        <v>33.962499999999984</v>
      </c>
      <c r="H13" s="7">
        <f t="shared" si="3"/>
        <v>25.689999999999998</v>
      </c>
      <c r="I13" s="6">
        <f t="shared" si="4"/>
        <v>27.169999999999987</v>
      </c>
      <c r="J13" s="5">
        <f t="shared" si="5"/>
        <v>57.802499999999995</v>
      </c>
      <c r="K13" s="6">
        <f t="shared" si="6"/>
        <v>61.132499999999972</v>
      </c>
      <c r="L13" s="7">
        <f t="shared" si="7"/>
        <v>0</v>
      </c>
      <c r="M13" s="6">
        <f t="shared" si="8"/>
        <v>0</v>
      </c>
      <c r="N13" s="7">
        <f t="shared" si="9"/>
        <v>0</v>
      </c>
      <c r="O13" s="6">
        <f t="shared" si="10"/>
        <v>0</v>
      </c>
      <c r="P13" s="5">
        <f t="shared" si="11"/>
        <v>0</v>
      </c>
      <c r="Q13" s="6">
        <f t="shared" si="12"/>
        <v>0</v>
      </c>
      <c r="R13" s="7">
        <f t="shared" si="13"/>
        <v>0</v>
      </c>
      <c r="S13" s="6">
        <f t="shared" si="14"/>
        <v>0</v>
      </c>
      <c r="T13" s="7">
        <f t="shared" si="15"/>
        <v>0</v>
      </c>
      <c r="U13" s="6">
        <f t="shared" si="16"/>
        <v>0</v>
      </c>
      <c r="V13" s="5">
        <f t="shared" si="17"/>
        <v>0</v>
      </c>
      <c r="W13" s="6">
        <f t="shared" si="18"/>
        <v>0</v>
      </c>
      <c r="X13" s="7">
        <f t="shared" si="19"/>
        <v>0</v>
      </c>
      <c r="Y13" s="6">
        <f t="shared" si="20"/>
        <v>0</v>
      </c>
      <c r="Z13" s="7">
        <f t="shared" si="21"/>
        <v>0</v>
      </c>
      <c r="AA13" s="6">
        <f t="shared" si="22"/>
        <v>0</v>
      </c>
      <c r="AB13" s="5">
        <f t="shared" si="23"/>
        <v>0</v>
      </c>
      <c r="AC13" s="6">
        <f t="shared" si="24"/>
        <v>0</v>
      </c>
      <c r="AD13" s="7">
        <f t="shared" si="25"/>
        <v>0</v>
      </c>
      <c r="AE13" s="6">
        <f t="shared" si="26"/>
        <v>0</v>
      </c>
      <c r="AF13" s="7">
        <f t="shared" si="27"/>
        <v>0</v>
      </c>
      <c r="AG13" s="6">
        <f t="shared" si="28"/>
        <v>0</v>
      </c>
      <c r="AH13" s="5">
        <f t="shared" si="29"/>
        <v>0</v>
      </c>
      <c r="AI13" s="6">
        <f t="shared" si="30"/>
        <v>0</v>
      </c>
      <c r="AJ13" s="7">
        <f t="shared" si="31"/>
        <v>0</v>
      </c>
      <c r="AK13" s="6">
        <f t="shared" si="32"/>
        <v>0</v>
      </c>
      <c r="AL13" s="7">
        <f t="shared" si="33"/>
        <v>0</v>
      </c>
      <c r="AM13" s="6">
        <f t="shared" si="34"/>
        <v>0</v>
      </c>
      <c r="AN13" s="5">
        <f t="shared" si="35"/>
        <v>0</v>
      </c>
      <c r="AO13" s="6">
        <f t="shared" si="36"/>
        <v>0</v>
      </c>
      <c r="AP13" s="7">
        <f t="shared" si="37"/>
        <v>0</v>
      </c>
      <c r="AQ13" s="6">
        <f t="shared" si="38"/>
        <v>0</v>
      </c>
      <c r="AR13" s="7">
        <f t="shared" si="39"/>
        <v>0</v>
      </c>
      <c r="AS13" s="6">
        <f t="shared" si="40"/>
        <v>0</v>
      </c>
      <c r="AT13" s="5">
        <f t="shared" si="41"/>
        <v>0</v>
      </c>
      <c r="AU13" s="6">
        <f t="shared" si="42"/>
        <v>0</v>
      </c>
      <c r="AV13" s="7">
        <f t="shared" si="43"/>
        <v>0</v>
      </c>
      <c r="AW13" s="6">
        <f t="shared" si="44"/>
        <v>0</v>
      </c>
      <c r="AX13" s="7">
        <f t="shared" si="45"/>
        <v>0</v>
      </c>
      <c r="AY13" s="6">
        <f t="shared" si="46"/>
        <v>0</v>
      </c>
      <c r="AZ13" s="5">
        <f t="shared" si="47"/>
        <v>0</v>
      </c>
      <c r="BA13" s="6">
        <f t="shared" si="48"/>
        <v>0</v>
      </c>
      <c r="BB13" s="7">
        <f t="shared" si="49"/>
        <v>0</v>
      </c>
      <c r="BC13" s="6">
        <f t="shared" si="50"/>
        <v>0</v>
      </c>
      <c r="BD13" s="7">
        <f t="shared" si="51"/>
        <v>0</v>
      </c>
      <c r="BE13" s="6">
        <f t="shared" si="52"/>
        <v>0</v>
      </c>
      <c r="BF13" s="5">
        <f t="shared" si="53"/>
        <v>0</v>
      </c>
      <c r="BG13" s="6">
        <f t="shared" si="54"/>
        <v>0</v>
      </c>
      <c r="BH13" s="7">
        <f t="shared" si="55"/>
        <v>0</v>
      </c>
      <c r="BI13" s="6">
        <f t="shared" si="56"/>
        <v>0</v>
      </c>
      <c r="BJ13" s="7">
        <f t="shared" si="57"/>
        <v>0</v>
      </c>
      <c r="BK13" s="6">
        <f t="shared" si="58"/>
        <v>0</v>
      </c>
      <c r="BL13" s="5">
        <f t="shared" si="59"/>
        <v>0</v>
      </c>
      <c r="BM13" s="6">
        <f t="shared" si="60"/>
        <v>0</v>
      </c>
      <c r="BN13" s="7">
        <f t="shared" si="61"/>
        <v>0</v>
      </c>
      <c r="BO13" s="6">
        <f t="shared" si="62"/>
        <v>0</v>
      </c>
      <c r="BP13" s="7">
        <f t="shared" si="63"/>
        <v>0</v>
      </c>
      <c r="BQ13" s="6">
        <f t="shared" si="64"/>
        <v>0</v>
      </c>
      <c r="BR13" s="5">
        <f t="shared" si="65"/>
        <v>0</v>
      </c>
      <c r="BS13" s="6">
        <f t="shared" si="66"/>
        <v>0</v>
      </c>
      <c r="BT13" s="7">
        <f t="shared" si="67"/>
        <v>0</v>
      </c>
      <c r="BU13" s="6">
        <f t="shared" si="68"/>
        <v>0</v>
      </c>
      <c r="BV13" s="7">
        <f t="shared" si="69"/>
        <v>0</v>
      </c>
      <c r="BW13" s="6">
        <f t="shared" si="70"/>
        <v>0</v>
      </c>
      <c r="BX13" s="5">
        <f t="shared" si="71"/>
        <v>0</v>
      </c>
      <c r="BY13" s="6">
        <f t="shared" si="72"/>
        <v>0</v>
      </c>
      <c r="BZ13" s="7">
        <f t="shared" si="73"/>
        <v>0</v>
      </c>
      <c r="CA13" s="6">
        <f t="shared" si="74"/>
        <v>0</v>
      </c>
      <c r="CB13" s="7">
        <f t="shared" si="75"/>
        <v>0</v>
      </c>
      <c r="CC13" s="6">
        <f t="shared" si="76"/>
        <v>0</v>
      </c>
      <c r="CD13" s="5">
        <f t="shared" si="77"/>
        <v>0</v>
      </c>
      <c r="CE13" s="6">
        <f t="shared" si="78"/>
        <v>0</v>
      </c>
      <c r="CF13" s="7">
        <f t="shared" si="79"/>
        <v>0</v>
      </c>
      <c r="CG13" s="6">
        <f t="shared" si="80"/>
        <v>0</v>
      </c>
      <c r="CH13" s="7">
        <f t="shared" si="81"/>
        <v>0</v>
      </c>
      <c r="CI13" s="6">
        <f t="shared" si="82"/>
        <v>0</v>
      </c>
      <c r="CJ13" s="5">
        <f t="shared" si="83"/>
        <v>0</v>
      </c>
      <c r="CK13" s="6">
        <f t="shared" si="84"/>
        <v>0</v>
      </c>
      <c r="CL13" s="7">
        <f t="shared" si="85"/>
        <v>0</v>
      </c>
      <c r="CM13" s="6">
        <f t="shared" si="86"/>
        <v>0</v>
      </c>
      <c r="CN13" s="7">
        <f t="shared" si="87"/>
        <v>0</v>
      </c>
      <c r="CO13" s="6">
        <f t="shared" si="88"/>
        <v>0</v>
      </c>
      <c r="CP13" s="5">
        <f t="shared" si="89"/>
        <v>0</v>
      </c>
      <c r="CQ13" s="6">
        <f t="shared" si="90"/>
        <v>0</v>
      </c>
      <c r="CR13" s="7">
        <f t="shared" si="0"/>
        <v>32.112499999999997</v>
      </c>
      <c r="CS13" s="6">
        <f t="shared" si="0"/>
        <v>33.962499999999984</v>
      </c>
      <c r="CT13" s="7">
        <f t="shared" si="0"/>
        <v>25.689999999999998</v>
      </c>
      <c r="CU13" s="6">
        <f t="shared" si="0"/>
        <v>27.169999999999987</v>
      </c>
      <c r="CV13" s="5">
        <f t="shared" si="91"/>
        <v>57.802499999999995</v>
      </c>
      <c r="CW13" s="6">
        <f t="shared" si="92"/>
        <v>61.132499999999972</v>
      </c>
      <c r="CY13" s="7">
        <v>57.802499999999995</v>
      </c>
      <c r="CZ13" s="5">
        <f t="array" ref="CZ13">Summary_UpperBound</f>
        <v>61.132499999999972</v>
      </c>
      <c r="DA13" s="6">
        <f t="shared" si="93"/>
        <v>3.329999999999977</v>
      </c>
    </row>
    <row r="14" spans="1:105" x14ac:dyDescent="0.35">
      <c r="A14" s="7" t="str">
        <f>'Data Validation (Hide)'!B11</f>
        <v>Caseload 10</v>
      </c>
      <c r="B14" s="22">
        <f>_xlfn.PERCENTILE.INC(INDEX('SPC Backing (Hide)'!$C$4:$Q$263,MATCH(SPC!$B$12,'SPC Backing (Hide)'!$B$4:$B$263,0),MATCH('Required Capacity (Hide)'!$A14,'SPC Backing (Hide)'!$C$3:$Q$3,0)):INDEX('SPC Backing (Hide)'!$C$4:$Q$263,MATCH(SPC!$B$13,'SPC Backing (Hide)'!$B$4:$B$263,0)-1,MATCH('Required Capacity (Hide)'!$A14,'SPC Backing (Hide)'!$C$3:$Q$3,0)),'SPC Backing (Hide)'!$AK$3)</f>
        <v>0</v>
      </c>
      <c r="C14" s="33">
        <f>_xlfn.PERCENTILE.INC(INDEX('SPC Backing (Hide)'!$C$4:$Q$263,MATCH(SPC!$B$12,'SPC Backing (Hide)'!$B$4:$B$263,0),MATCH('Required Capacity (Hide)'!$A14,'SPC Backing (Hide)'!$C$3:$Q$3,0)):INDEX('SPC Backing (Hide)'!$C$4:$Q$263,MATCH(SPC!$B$13,'SPC Backing (Hide)'!$B$4:$B$263,0)-1,MATCH('Required Capacity (Hide)'!$A14,'SPC Backing (Hide)'!$C$3:$Q$3,0)),0.85)</f>
        <v>0</v>
      </c>
      <c r="E14" s="12">
        <f t="shared" si="94"/>
        <v>44184</v>
      </c>
      <c r="F14" s="7">
        <f t="shared" si="1"/>
        <v>32.112499999999997</v>
      </c>
      <c r="G14" s="6">
        <f t="shared" si="2"/>
        <v>33.962499999999984</v>
      </c>
      <c r="H14" s="7">
        <f t="shared" si="3"/>
        <v>25.689999999999998</v>
      </c>
      <c r="I14" s="6">
        <f t="shared" si="4"/>
        <v>27.169999999999987</v>
      </c>
      <c r="J14" s="5">
        <f t="shared" si="5"/>
        <v>57.802499999999995</v>
      </c>
      <c r="K14" s="6">
        <f t="shared" si="6"/>
        <v>61.132499999999972</v>
      </c>
      <c r="L14" s="7">
        <f t="shared" si="7"/>
        <v>0</v>
      </c>
      <c r="M14" s="6">
        <f t="shared" si="8"/>
        <v>0</v>
      </c>
      <c r="N14" s="7">
        <f t="shared" si="9"/>
        <v>0</v>
      </c>
      <c r="O14" s="6">
        <f t="shared" si="10"/>
        <v>0</v>
      </c>
      <c r="P14" s="5">
        <f t="shared" si="11"/>
        <v>0</v>
      </c>
      <c r="Q14" s="6">
        <f t="shared" si="12"/>
        <v>0</v>
      </c>
      <c r="R14" s="7">
        <f t="shared" si="13"/>
        <v>0</v>
      </c>
      <c r="S14" s="6">
        <f t="shared" si="14"/>
        <v>0</v>
      </c>
      <c r="T14" s="7">
        <f t="shared" si="15"/>
        <v>0</v>
      </c>
      <c r="U14" s="6">
        <f t="shared" si="16"/>
        <v>0</v>
      </c>
      <c r="V14" s="5">
        <f t="shared" si="17"/>
        <v>0</v>
      </c>
      <c r="W14" s="6">
        <f t="shared" si="18"/>
        <v>0</v>
      </c>
      <c r="X14" s="7">
        <f t="shared" si="19"/>
        <v>0</v>
      </c>
      <c r="Y14" s="6">
        <f t="shared" si="20"/>
        <v>0</v>
      </c>
      <c r="Z14" s="7">
        <f t="shared" si="21"/>
        <v>0</v>
      </c>
      <c r="AA14" s="6">
        <f t="shared" si="22"/>
        <v>0</v>
      </c>
      <c r="AB14" s="5">
        <f t="shared" si="23"/>
        <v>0</v>
      </c>
      <c r="AC14" s="6">
        <f t="shared" si="24"/>
        <v>0</v>
      </c>
      <c r="AD14" s="7">
        <f t="shared" si="25"/>
        <v>0</v>
      </c>
      <c r="AE14" s="6">
        <f t="shared" si="26"/>
        <v>0</v>
      </c>
      <c r="AF14" s="7">
        <f t="shared" si="27"/>
        <v>0</v>
      </c>
      <c r="AG14" s="6">
        <f t="shared" si="28"/>
        <v>0</v>
      </c>
      <c r="AH14" s="5">
        <f t="shared" si="29"/>
        <v>0</v>
      </c>
      <c r="AI14" s="6">
        <f t="shared" si="30"/>
        <v>0</v>
      </c>
      <c r="AJ14" s="7">
        <f t="shared" si="31"/>
        <v>0</v>
      </c>
      <c r="AK14" s="6">
        <f t="shared" si="32"/>
        <v>0</v>
      </c>
      <c r="AL14" s="7">
        <f t="shared" si="33"/>
        <v>0</v>
      </c>
      <c r="AM14" s="6">
        <f t="shared" si="34"/>
        <v>0</v>
      </c>
      <c r="AN14" s="5">
        <f t="shared" si="35"/>
        <v>0</v>
      </c>
      <c r="AO14" s="6">
        <f t="shared" si="36"/>
        <v>0</v>
      </c>
      <c r="AP14" s="7">
        <f t="shared" si="37"/>
        <v>0</v>
      </c>
      <c r="AQ14" s="6">
        <f t="shared" si="38"/>
        <v>0</v>
      </c>
      <c r="AR14" s="7">
        <f t="shared" si="39"/>
        <v>0</v>
      </c>
      <c r="AS14" s="6">
        <f t="shared" si="40"/>
        <v>0</v>
      </c>
      <c r="AT14" s="5">
        <f t="shared" si="41"/>
        <v>0</v>
      </c>
      <c r="AU14" s="6">
        <f t="shared" si="42"/>
        <v>0</v>
      </c>
      <c r="AV14" s="7">
        <f t="shared" si="43"/>
        <v>0</v>
      </c>
      <c r="AW14" s="6">
        <f t="shared" si="44"/>
        <v>0</v>
      </c>
      <c r="AX14" s="7">
        <f t="shared" si="45"/>
        <v>0</v>
      </c>
      <c r="AY14" s="6">
        <f t="shared" si="46"/>
        <v>0</v>
      </c>
      <c r="AZ14" s="5">
        <f t="shared" si="47"/>
        <v>0</v>
      </c>
      <c r="BA14" s="6">
        <f t="shared" si="48"/>
        <v>0</v>
      </c>
      <c r="BB14" s="7">
        <f t="shared" si="49"/>
        <v>0</v>
      </c>
      <c r="BC14" s="6">
        <f t="shared" si="50"/>
        <v>0</v>
      </c>
      <c r="BD14" s="7">
        <f t="shared" si="51"/>
        <v>0</v>
      </c>
      <c r="BE14" s="6">
        <f t="shared" si="52"/>
        <v>0</v>
      </c>
      <c r="BF14" s="5">
        <f t="shared" si="53"/>
        <v>0</v>
      </c>
      <c r="BG14" s="6">
        <f t="shared" si="54"/>
        <v>0</v>
      </c>
      <c r="BH14" s="7">
        <f t="shared" si="55"/>
        <v>0</v>
      </c>
      <c r="BI14" s="6">
        <f t="shared" si="56"/>
        <v>0</v>
      </c>
      <c r="BJ14" s="7">
        <f t="shared" si="57"/>
        <v>0</v>
      </c>
      <c r="BK14" s="6">
        <f t="shared" si="58"/>
        <v>0</v>
      </c>
      <c r="BL14" s="5">
        <f t="shared" si="59"/>
        <v>0</v>
      </c>
      <c r="BM14" s="6">
        <f t="shared" si="60"/>
        <v>0</v>
      </c>
      <c r="BN14" s="7">
        <f t="shared" si="61"/>
        <v>0</v>
      </c>
      <c r="BO14" s="6">
        <f t="shared" si="62"/>
        <v>0</v>
      </c>
      <c r="BP14" s="7">
        <f t="shared" si="63"/>
        <v>0</v>
      </c>
      <c r="BQ14" s="6">
        <f t="shared" si="64"/>
        <v>0</v>
      </c>
      <c r="BR14" s="5">
        <f t="shared" si="65"/>
        <v>0</v>
      </c>
      <c r="BS14" s="6">
        <f t="shared" si="66"/>
        <v>0</v>
      </c>
      <c r="BT14" s="7">
        <f t="shared" si="67"/>
        <v>0</v>
      </c>
      <c r="BU14" s="6">
        <f t="shared" si="68"/>
        <v>0</v>
      </c>
      <c r="BV14" s="7">
        <f t="shared" si="69"/>
        <v>0</v>
      </c>
      <c r="BW14" s="6">
        <f t="shared" si="70"/>
        <v>0</v>
      </c>
      <c r="BX14" s="5">
        <f t="shared" si="71"/>
        <v>0</v>
      </c>
      <c r="BY14" s="6">
        <f t="shared" si="72"/>
        <v>0</v>
      </c>
      <c r="BZ14" s="7">
        <f t="shared" si="73"/>
        <v>0</v>
      </c>
      <c r="CA14" s="6">
        <f t="shared" si="74"/>
        <v>0</v>
      </c>
      <c r="CB14" s="7">
        <f t="shared" si="75"/>
        <v>0</v>
      </c>
      <c r="CC14" s="6">
        <f t="shared" si="76"/>
        <v>0</v>
      </c>
      <c r="CD14" s="5">
        <f t="shared" si="77"/>
        <v>0</v>
      </c>
      <c r="CE14" s="6">
        <f t="shared" si="78"/>
        <v>0</v>
      </c>
      <c r="CF14" s="7">
        <f t="shared" si="79"/>
        <v>0</v>
      </c>
      <c r="CG14" s="6">
        <f t="shared" si="80"/>
        <v>0</v>
      </c>
      <c r="CH14" s="7">
        <f t="shared" si="81"/>
        <v>0</v>
      </c>
      <c r="CI14" s="6">
        <f t="shared" si="82"/>
        <v>0</v>
      </c>
      <c r="CJ14" s="5">
        <f t="shared" si="83"/>
        <v>0</v>
      </c>
      <c r="CK14" s="6">
        <f t="shared" si="84"/>
        <v>0</v>
      </c>
      <c r="CL14" s="7">
        <f t="shared" si="85"/>
        <v>0</v>
      </c>
      <c r="CM14" s="6">
        <f t="shared" si="86"/>
        <v>0</v>
      </c>
      <c r="CN14" s="7">
        <f t="shared" si="87"/>
        <v>0</v>
      </c>
      <c r="CO14" s="6">
        <f t="shared" si="88"/>
        <v>0</v>
      </c>
      <c r="CP14" s="5">
        <f t="shared" si="89"/>
        <v>0</v>
      </c>
      <c r="CQ14" s="6">
        <f t="shared" si="90"/>
        <v>0</v>
      </c>
      <c r="CR14" s="7">
        <f t="shared" si="0"/>
        <v>32.112499999999997</v>
      </c>
      <c r="CS14" s="6">
        <f t="shared" si="0"/>
        <v>33.962499999999984</v>
      </c>
      <c r="CT14" s="7">
        <f t="shared" si="0"/>
        <v>25.689999999999998</v>
      </c>
      <c r="CU14" s="6">
        <f t="shared" si="0"/>
        <v>27.169999999999987</v>
      </c>
      <c r="CV14" s="5">
        <f t="shared" si="91"/>
        <v>57.802499999999995</v>
      </c>
      <c r="CW14" s="6">
        <f t="shared" si="92"/>
        <v>61.132499999999972</v>
      </c>
      <c r="CY14" s="7">
        <v>57.802499999999995</v>
      </c>
      <c r="CZ14" s="5">
        <f t="array" ref="CZ14">Summary_UpperBound</f>
        <v>61.132499999999972</v>
      </c>
      <c r="DA14" s="6">
        <f t="shared" si="93"/>
        <v>3.329999999999977</v>
      </c>
    </row>
    <row r="15" spans="1:105" x14ac:dyDescent="0.35">
      <c r="A15" s="7" t="str">
        <f>'Data Validation (Hide)'!B12</f>
        <v>Caseload 11</v>
      </c>
      <c r="B15" s="22">
        <f>_xlfn.PERCENTILE.INC(INDEX('SPC Backing (Hide)'!$C$4:$Q$263,MATCH(SPC!$B$12,'SPC Backing (Hide)'!$B$4:$B$263,0),MATCH('Required Capacity (Hide)'!$A15,'SPC Backing (Hide)'!$C$3:$Q$3,0)):INDEX('SPC Backing (Hide)'!$C$4:$Q$263,MATCH(SPC!$B$13,'SPC Backing (Hide)'!$B$4:$B$263,0)-1,MATCH('Required Capacity (Hide)'!$A15,'SPC Backing (Hide)'!$C$3:$Q$3,0)),'SPC Backing (Hide)'!$AK$3)</f>
        <v>0</v>
      </c>
      <c r="C15" s="33">
        <f>_xlfn.PERCENTILE.INC(INDEX('SPC Backing (Hide)'!$C$4:$Q$263,MATCH(SPC!$B$12,'SPC Backing (Hide)'!$B$4:$B$263,0),MATCH('Required Capacity (Hide)'!$A15,'SPC Backing (Hide)'!$C$3:$Q$3,0)):INDEX('SPC Backing (Hide)'!$C$4:$Q$263,MATCH(SPC!$B$13,'SPC Backing (Hide)'!$B$4:$B$263,0)-1,MATCH('Required Capacity (Hide)'!$A15,'SPC Backing (Hide)'!$C$3:$Q$3,0)),0.85)</f>
        <v>0</v>
      </c>
      <c r="E15" s="12">
        <f t="shared" si="94"/>
        <v>44191</v>
      </c>
      <c r="F15" s="7">
        <f t="shared" si="1"/>
        <v>32.112499999999997</v>
      </c>
      <c r="G15" s="6">
        <f t="shared" si="2"/>
        <v>33.962499999999984</v>
      </c>
      <c r="H15" s="7">
        <f t="shared" si="3"/>
        <v>25.689999999999998</v>
      </c>
      <c r="I15" s="6">
        <f t="shared" si="4"/>
        <v>27.169999999999987</v>
      </c>
      <c r="J15" s="5">
        <f t="shared" si="5"/>
        <v>57.802499999999995</v>
      </c>
      <c r="K15" s="6">
        <f t="shared" si="6"/>
        <v>61.132499999999972</v>
      </c>
      <c r="L15" s="7">
        <f t="shared" si="7"/>
        <v>0</v>
      </c>
      <c r="M15" s="6">
        <f t="shared" si="8"/>
        <v>0</v>
      </c>
      <c r="N15" s="7">
        <f t="shared" si="9"/>
        <v>0</v>
      </c>
      <c r="O15" s="6">
        <f t="shared" si="10"/>
        <v>0</v>
      </c>
      <c r="P15" s="5">
        <f t="shared" si="11"/>
        <v>0</v>
      </c>
      <c r="Q15" s="6">
        <f t="shared" si="12"/>
        <v>0</v>
      </c>
      <c r="R15" s="7">
        <f t="shared" si="13"/>
        <v>0</v>
      </c>
      <c r="S15" s="6">
        <f t="shared" si="14"/>
        <v>0</v>
      </c>
      <c r="T15" s="7">
        <f t="shared" si="15"/>
        <v>0</v>
      </c>
      <c r="U15" s="6">
        <f t="shared" si="16"/>
        <v>0</v>
      </c>
      <c r="V15" s="5">
        <f t="shared" si="17"/>
        <v>0</v>
      </c>
      <c r="W15" s="6">
        <f t="shared" si="18"/>
        <v>0</v>
      </c>
      <c r="X15" s="7">
        <f t="shared" si="19"/>
        <v>0</v>
      </c>
      <c r="Y15" s="6">
        <f t="shared" si="20"/>
        <v>0</v>
      </c>
      <c r="Z15" s="7">
        <f t="shared" si="21"/>
        <v>0</v>
      </c>
      <c r="AA15" s="6">
        <f t="shared" si="22"/>
        <v>0</v>
      </c>
      <c r="AB15" s="5">
        <f t="shared" si="23"/>
        <v>0</v>
      </c>
      <c r="AC15" s="6">
        <f t="shared" si="24"/>
        <v>0</v>
      </c>
      <c r="AD15" s="7">
        <f t="shared" si="25"/>
        <v>0</v>
      </c>
      <c r="AE15" s="6">
        <f t="shared" si="26"/>
        <v>0</v>
      </c>
      <c r="AF15" s="7">
        <f t="shared" si="27"/>
        <v>0</v>
      </c>
      <c r="AG15" s="6">
        <f t="shared" si="28"/>
        <v>0</v>
      </c>
      <c r="AH15" s="5">
        <f t="shared" si="29"/>
        <v>0</v>
      </c>
      <c r="AI15" s="6">
        <f t="shared" si="30"/>
        <v>0</v>
      </c>
      <c r="AJ15" s="7">
        <f t="shared" si="31"/>
        <v>0</v>
      </c>
      <c r="AK15" s="6">
        <f t="shared" si="32"/>
        <v>0</v>
      </c>
      <c r="AL15" s="7">
        <f t="shared" si="33"/>
        <v>0</v>
      </c>
      <c r="AM15" s="6">
        <f t="shared" si="34"/>
        <v>0</v>
      </c>
      <c r="AN15" s="5">
        <f t="shared" si="35"/>
        <v>0</v>
      </c>
      <c r="AO15" s="6">
        <f t="shared" si="36"/>
        <v>0</v>
      </c>
      <c r="AP15" s="7">
        <f t="shared" si="37"/>
        <v>0</v>
      </c>
      <c r="AQ15" s="6">
        <f t="shared" si="38"/>
        <v>0</v>
      </c>
      <c r="AR15" s="7">
        <f t="shared" si="39"/>
        <v>0</v>
      </c>
      <c r="AS15" s="6">
        <f t="shared" si="40"/>
        <v>0</v>
      </c>
      <c r="AT15" s="5">
        <f t="shared" si="41"/>
        <v>0</v>
      </c>
      <c r="AU15" s="6">
        <f t="shared" si="42"/>
        <v>0</v>
      </c>
      <c r="AV15" s="7">
        <f t="shared" si="43"/>
        <v>0</v>
      </c>
      <c r="AW15" s="6">
        <f t="shared" si="44"/>
        <v>0</v>
      </c>
      <c r="AX15" s="7">
        <f t="shared" si="45"/>
        <v>0</v>
      </c>
      <c r="AY15" s="6">
        <f t="shared" si="46"/>
        <v>0</v>
      </c>
      <c r="AZ15" s="5">
        <f t="shared" si="47"/>
        <v>0</v>
      </c>
      <c r="BA15" s="6">
        <f t="shared" si="48"/>
        <v>0</v>
      </c>
      <c r="BB15" s="7">
        <f t="shared" si="49"/>
        <v>0</v>
      </c>
      <c r="BC15" s="6">
        <f t="shared" si="50"/>
        <v>0</v>
      </c>
      <c r="BD15" s="7">
        <f t="shared" si="51"/>
        <v>0</v>
      </c>
      <c r="BE15" s="6">
        <f t="shared" si="52"/>
        <v>0</v>
      </c>
      <c r="BF15" s="5">
        <f t="shared" si="53"/>
        <v>0</v>
      </c>
      <c r="BG15" s="6">
        <f t="shared" si="54"/>
        <v>0</v>
      </c>
      <c r="BH15" s="7">
        <f t="shared" si="55"/>
        <v>0</v>
      </c>
      <c r="BI15" s="6">
        <f t="shared" si="56"/>
        <v>0</v>
      </c>
      <c r="BJ15" s="7">
        <f t="shared" si="57"/>
        <v>0</v>
      </c>
      <c r="BK15" s="6">
        <f t="shared" si="58"/>
        <v>0</v>
      </c>
      <c r="BL15" s="5">
        <f t="shared" si="59"/>
        <v>0</v>
      </c>
      <c r="BM15" s="6">
        <f t="shared" si="60"/>
        <v>0</v>
      </c>
      <c r="BN15" s="7">
        <f t="shared" si="61"/>
        <v>0</v>
      </c>
      <c r="BO15" s="6">
        <f t="shared" si="62"/>
        <v>0</v>
      </c>
      <c r="BP15" s="7">
        <f t="shared" si="63"/>
        <v>0</v>
      </c>
      <c r="BQ15" s="6">
        <f t="shared" si="64"/>
        <v>0</v>
      </c>
      <c r="BR15" s="5">
        <f t="shared" si="65"/>
        <v>0</v>
      </c>
      <c r="BS15" s="6">
        <f t="shared" si="66"/>
        <v>0</v>
      </c>
      <c r="BT15" s="7">
        <f t="shared" si="67"/>
        <v>0</v>
      </c>
      <c r="BU15" s="6">
        <f t="shared" si="68"/>
        <v>0</v>
      </c>
      <c r="BV15" s="7">
        <f t="shared" si="69"/>
        <v>0</v>
      </c>
      <c r="BW15" s="6">
        <f t="shared" si="70"/>
        <v>0</v>
      </c>
      <c r="BX15" s="5">
        <f t="shared" si="71"/>
        <v>0</v>
      </c>
      <c r="BY15" s="6">
        <f t="shared" si="72"/>
        <v>0</v>
      </c>
      <c r="BZ15" s="7">
        <f t="shared" si="73"/>
        <v>0</v>
      </c>
      <c r="CA15" s="6">
        <f t="shared" si="74"/>
        <v>0</v>
      </c>
      <c r="CB15" s="7">
        <f t="shared" si="75"/>
        <v>0</v>
      </c>
      <c r="CC15" s="6">
        <f t="shared" si="76"/>
        <v>0</v>
      </c>
      <c r="CD15" s="5">
        <f t="shared" si="77"/>
        <v>0</v>
      </c>
      <c r="CE15" s="6">
        <f t="shared" si="78"/>
        <v>0</v>
      </c>
      <c r="CF15" s="7">
        <f t="shared" si="79"/>
        <v>0</v>
      </c>
      <c r="CG15" s="6">
        <f t="shared" si="80"/>
        <v>0</v>
      </c>
      <c r="CH15" s="7">
        <f t="shared" si="81"/>
        <v>0</v>
      </c>
      <c r="CI15" s="6">
        <f t="shared" si="82"/>
        <v>0</v>
      </c>
      <c r="CJ15" s="5">
        <f t="shared" si="83"/>
        <v>0</v>
      </c>
      <c r="CK15" s="6">
        <f t="shared" si="84"/>
        <v>0</v>
      </c>
      <c r="CL15" s="7">
        <f t="shared" si="85"/>
        <v>0</v>
      </c>
      <c r="CM15" s="6">
        <f t="shared" si="86"/>
        <v>0</v>
      </c>
      <c r="CN15" s="7">
        <f t="shared" si="87"/>
        <v>0</v>
      </c>
      <c r="CO15" s="6">
        <f t="shared" si="88"/>
        <v>0</v>
      </c>
      <c r="CP15" s="5">
        <f t="shared" si="89"/>
        <v>0</v>
      </c>
      <c r="CQ15" s="6">
        <f t="shared" si="90"/>
        <v>0</v>
      </c>
      <c r="CR15" s="7">
        <f t="shared" si="0"/>
        <v>32.112499999999997</v>
      </c>
      <c r="CS15" s="6">
        <f t="shared" si="0"/>
        <v>33.962499999999984</v>
      </c>
      <c r="CT15" s="7">
        <f t="shared" si="0"/>
        <v>25.689999999999998</v>
      </c>
      <c r="CU15" s="6">
        <f t="shared" si="0"/>
        <v>27.169999999999987</v>
      </c>
      <c r="CV15" s="5">
        <f t="shared" si="91"/>
        <v>57.802499999999995</v>
      </c>
      <c r="CW15" s="6">
        <f t="shared" si="92"/>
        <v>61.132499999999972</v>
      </c>
      <c r="CY15" s="7">
        <v>57.802499999999995</v>
      </c>
      <c r="CZ15" s="5">
        <f t="array" ref="CZ15">Summary_UpperBound</f>
        <v>61.132499999999972</v>
      </c>
      <c r="DA15" s="6">
        <f t="shared" si="93"/>
        <v>3.329999999999977</v>
      </c>
    </row>
    <row r="16" spans="1:105" x14ac:dyDescent="0.35">
      <c r="A16" s="7" t="str">
        <f>'Data Validation (Hide)'!B13</f>
        <v>Caseload 12</v>
      </c>
      <c r="B16" s="22">
        <f>_xlfn.PERCENTILE.INC(INDEX('SPC Backing (Hide)'!$C$4:$Q$263,MATCH(SPC!$B$12,'SPC Backing (Hide)'!$B$4:$B$263,0),MATCH('Required Capacity (Hide)'!$A16,'SPC Backing (Hide)'!$C$3:$Q$3,0)):INDEX('SPC Backing (Hide)'!$C$4:$Q$263,MATCH(SPC!$B$13,'SPC Backing (Hide)'!$B$4:$B$263,0)-1,MATCH('Required Capacity (Hide)'!$A16,'SPC Backing (Hide)'!$C$3:$Q$3,0)),'SPC Backing (Hide)'!$AK$3)</f>
        <v>0</v>
      </c>
      <c r="C16" s="33">
        <f>_xlfn.PERCENTILE.INC(INDEX('SPC Backing (Hide)'!$C$4:$Q$263,MATCH(SPC!$B$12,'SPC Backing (Hide)'!$B$4:$B$263,0),MATCH('Required Capacity (Hide)'!$A16,'SPC Backing (Hide)'!$C$3:$Q$3,0)):INDEX('SPC Backing (Hide)'!$C$4:$Q$263,MATCH(SPC!$B$13,'SPC Backing (Hide)'!$B$4:$B$263,0)-1,MATCH('Required Capacity (Hide)'!$A16,'SPC Backing (Hide)'!$C$3:$Q$3,0)),0.85)</f>
        <v>0</v>
      </c>
      <c r="E16" s="12">
        <f t="shared" si="94"/>
        <v>44198</v>
      </c>
      <c r="F16" s="7">
        <f t="shared" si="1"/>
        <v>32.112499999999997</v>
      </c>
      <c r="G16" s="6">
        <f t="shared" si="2"/>
        <v>33.962499999999984</v>
      </c>
      <c r="H16" s="7">
        <f t="shared" si="3"/>
        <v>25.689999999999998</v>
      </c>
      <c r="I16" s="6">
        <f t="shared" si="4"/>
        <v>27.169999999999987</v>
      </c>
      <c r="J16" s="5">
        <f t="shared" si="5"/>
        <v>57.802499999999995</v>
      </c>
      <c r="K16" s="6">
        <f t="shared" si="6"/>
        <v>61.132499999999972</v>
      </c>
      <c r="L16" s="7">
        <f t="shared" si="7"/>
        <v>0</v>
      </c>
      <c r="M16" s="6">
        <f t="shared" si="8"/>
        <v>0</v>
      </c>
      <c r="N16" s="7">
        <f t="shared" si="9"/>
        <v>0</v>
      </c>
      <c r="O16" s="6">
        <f t="shared" si="10"/>
        <v>0</v>
      </c>
      <c r="P16" s="5">
        <f t="shared" si="11"/>
        <v>0</v>
      </c>
      <c r="Q16" s="6">
        <f t="shared" si="12"/>
        <v>0</v>
      </c>
      <c r="R16" s="7">
        <f t="shared" si="13"/>
        <v>0</v>
      </c>
      <c r="S16" s="6">
        <f t="shared" si="14"/>
        <v>0</v>
      </c>
      <c r="T16" s="7">
        <f t="shared" si="15"/>
        <v>0</v>
      </c>
      <c r="U16" s="6">
        <f t="shared" si="16"/>
        <v>0</v>
      </c>
      <c r="V16" s="5">
        <f t="shared" si="17"/>
        <v>0</v>
      </c>
      <c r="W16" s="6">
        <f t="shared" si="18"/>
        <v>0</v>
      </c>
      <c r="X16" s="7">
        <f t="shared" si="19"/>
        <v>0</v>
      </c>
      <c r="Y16" s="6">
        <f t="shared" si="20"/>
        <v>0</v>
      </c>
      <c r="Z16" s="7">
        <f t="shared" si="21"/>
        <v>0</v>
      </c>
      <c r="AA16" s="6">
        <f t="shared" si="22"/>
        <v>0</v>
      </c>
      <c r="AB16" s="5">
        <f t="shared" si="23"/>
        <v>0</v>
      </c>
      <c r="AC16" s="6">
        <f t="shared" si="24"/>
        <v>0</v>
      </c>
      <c r="AD16" s="7">
        <f t="shared" si="25"/>
        <v>0</v>
      </c>
      <c r="AE16" s="6">
        <f t="shared" si="26"/>
        <v>0</v>
      </c>
      <c r="AF16" s="7">
        <f t="shared" si="27"/>
        <v>0</v>
      </c>
      <c r="AG16" s="6">
        <f t="shared" si="28"/>
        <v>0</v>
      </c>
      <c r="AH16" s="5">
        <f t="shared" si="29"/>
        <v>0</v>
      </c>
      <c r="AI16" s="6">
        <f t="shared" si="30"/>
        <v>0</v>
      </c>
      <c r="AJ16" s="7">
        <f t="shared" si="31"/>
        <v>0</v>
      </c>
      <c r="AK16" s="6">
        <f t="shared" si="32"/>
        <v>0</v>
      </c>
      <c r="AL16" s="7">
        <f t="shared" si="33"/>
        <v>0</v>
      </c>
      <c r="AM16" s="6">
        <f t="shared" si="34"/>
        <v>0</v>
      </c>
      <c r="AN16" s="5">
        <f t="shared" si="35"/>
        <v>0</v>
      </c>
      <c r="AO16" s="6">
        <f t="shared" si="36"/>
        <v>0</v>
      </c>
      <c r="AP16" s="7">
        <f t="shared" si="37"/>
        <v>0</v>
      </c>
      <c r="AQ16" s="6">
        <f t="shared" si="38"/>
        <v>0</v>
      </c>
      <c r="AR16" s="7">
        <f t="shared" si="39"/>
        <v>0</v>
      </c>
      <c r="AS16" s="6">
        <f t="shared" si="40"/>
        <v>0</v>
      </c>
      <c r="AT16" s="5">
        <f t="shared" si="41"/>
        <v>0</v>
      </c>
      <c r="AU16" s="6">
        <f t="shared" si="42"/>
        <v>0</v>
      </c>
      <c r="AV16" s="7">
        <f t="shared" si="43"/>
        <v>0</v>
      </c>
      <c r="AW16" s="6">
        <f t="shared" si="44"/>
        <v>0</v>
      </c>
      <c r="AX16" s="7">
        <f t="shared" si="45"/>
        <v>0</v>
      </c>
      <c r="AY16" s="6">
        <f t="shared" si="46"/>
        <v>0</v>
      </c>
      <c r="AZ16" s="5">
        <f t="shared" si="47"/>
        <v>0</v>
      </c>
      <c r="BA16" s="6">
        <f t="shared" si="48"/>
        <v>0</v>
      </c>
      <c r="BB16" s="7">
        <f t="shared" si="49"/>
        <v>0</v>
      </c>
      <c r="BC16" s="6">
        <f t="shared" si="50"/>
        <v>0</v>
      </c>
      <c r="BD16" s="7">
        <f t="shared" si="51"/>
        <v>0</v>
      </c>
      <c r="BE16" s="6">
        <f t="shared" si="52"/>
        <v>0</v>
      </c>
      <c r="BF16" s="5">
        <f t="shared" si="53"/>
        <v>0</v>
      </c>
      <c r="BG16" s="6">
        <f t="shared" si="54"/>
        <v>0</v>
      </c>
      <c r="BH16" s="7">
        <f t="shared" si="55"/>
        <v>0</v>
      </c>
      <c r="BI16" s="6">
        <f t="shared" si="56"/>
        <v>0</v>
      </c>
      <c r="BJ16" s="7">
        <f t="shared" si="57"/>
        <v>0</v>
      </c>
      <c r="BK16" s="6">
        <f t="shared" si="58"/>
        <v>0</v>
      </c>
      <c r="BL16" s="5">
        <f t="shared" si="59"/>
        <v>0</v>
      </c>
      <c r="BM16" s="6">
        <f t="shared" si="60"/>
        <v>0</v>
      </c>
      <c r="BN16" s="7">
        <f t="shared" si="61"/>
        <v>0</v>
      </c>
      <c r="BO16" s="6">
        <f t="shared" si="62"/>
        <v>0</v>
      </c>
      <c r="BP16" s="7">
        <f t="shared" si="63"/>
        <v>0</v>
      </c>
      <c r="BQ16" s="6">
        <f t="shared" si="64"/>
        <v>0</v>
      </c>
      <c r="BR16" s="5">
        <f t="shared" si="65"/>
        <v>0</v>
      </c>
      <c r="BS16" s="6">
        <f t="shared" si="66"/>
        <v>0</v>
      </c>
      <c r="BT16" s="7">
        <f t="shared" si="67"/>
        <v>0</v>
      </c>
      <c r="BU16" s="6">
        <f t="shared" si="68"/>
        <v>0</v>
      </c>
      <c r="BV16" s="7">
        <f t="shared" si="69"/>
        <v>0</v>
      </c>
      <c r="BW16" s="6">
        <f t="shared" si="70"/>
        <v>0</v>
      </c>
      <c r="BX16" s="5">
        <f t="shared" si="71"/>
        <v>0</v>
      </c>
      <c r="BY16" s="6">
        <f t="shared" si="72"/>
        <v>0</v>
      </c>
      <c r="BZ16" s="7">
        <f t="shared" si="73"/>
        <v>0</v>
      </c>
      <c r="CA16" s="6">
        <f t="shared" si="74"/>
        <v>0</v>
      </c>
      <c r="CB16" s="7">
        <f t="shared" si="75"/>
        <v>0</v>
      </c>
      <c r="CC16" s="6">
        <f t="shared" si="76"/>
        <v>0</v>
      </c>
      <c r="CD16" s="5">
        <f t="shared" si="77"/>
        <v>0</v>
      </c>
      <c r="CE16" s="6">
        <f t="shared" si="78"/>
        <v>0</v>
      </c>
      <c r="CF16" s="7">
        <f t="shared" si="79"/>
        <v>0</v>
      </c>
      <c r="CG16" s="6">
        <f t="shared" si="80"/>
        <v>0</v>
      </c>
      <c r="CH16" s="7">
        <f t="shared" si="81"/>
        <v>0</v>
      </c>
      <c r="CI16" s="6">
        <f t="shared" si="82"/>
        <v>0</v>
      </c>
      <c r="CJ16" s="5">
        <f t="shared" si="83"/>
        <v>0</v>
      </c>
      <c r="CK16" s="6">
        <f t="shared" si="84"/>
        <v>0</v>
      </c>
      <c r="CL16" s="7">
        <f t="shared" si="85"/>
        <v>0</v>
      </c>
      <c r="CM16" s="6">
        <f t="shared" si="86"/>
        <v>0</v>
      </c>
      <c r="CN16" s="7">
        <f t="shared" si="87"/>
        <v>0</v>
      </c>
      <c r="CO16" s="6">
        <f t="shared" si="88"/>
        <v>0</v>
      </c>
      <c r="CP16" s="5">
        <f t="shared" si="89"/>
        <v>0</v>
      </c>
      <c r="CQ16" s="6">
        <f t="shared" si="90"/>
        <v>0</v>
      </c>
      <c r="CR16" s="7">
        <f t="shared" si="0"/>
        <v>32.112499999999997</v>
      </c>
      <c r="CS16" s="6">
        <f t="shared" si="0"/>
        <v>33.962499999999984</v>
      </c>
      <c r="CT16" s="7">
        <f t="shared" si="0"/>
        <v>25.689999999999998</v>
      </c>
      <c r="CU16" s="6">
        <f t="shared" si="0"/>
        <v>27.169999999999987</v>
      </c>
      <c r="CV16" s="5">
        <f t="shared" si="91"/>
        <v>57.802499999999995</v>
      </c>
      <c r="CW16" s="6">
        <f t="shared" si="92"/>
        <v>61.132499999999972</v>
      </c>
      <c r="CY16" s="7">
        <v>57.802499999999995</v>
      </c>
      <c r="CZ16" s="5">
        <f t="array" ref="CZ16">Summary_UpperBound</f>
        <v>61.132499999999972</v>
      </c>
      <c r="DA16" s="6">
        <f t="shared" si="93"/>
        <v>3.329999999999977</v>
      </c>
    </row>
    <row r="17" spans="1:105" x14ac:dyDescent="0.35">
      <c r="A17" s="7" t="str">
        <f>'Data Validation (Hide)'!B14</f>
        <v>Caseload 13</v>
      </c>
      <c r="B17" s="22">
        <f>_xlfn.PERCENTILE.INC(INDEX('SPC Backing (Hide)'!$C$4:$Q$263,MATCH(SPC!$B$12,'SPC Backing (Hide)'!$B$4:$B$263,0),MATCH('Required Capacity (Hide)'!$A17,'SPC Backing (Hide)'!$C$3:$Q$3,0)):INDEX('SPC Backing (Hide)'!$C$4:$Q$263,MATCH(SPC!$B$13,'SPC Backing (Hide)'!$B$4:$B$263,0)-1,MATCH('Required Capacity (Hide)'!$A17,'SPC Backing (Hide)'!$C$3:$Q$3,0)),'SPC Backing (Hide)'!$AK$3)</f>
        <v>0</v>
      </c>
      <c r="C17" s="33">
        <f>_xlfn.PERCENTILE.INC(INDEX('SPC Backing (Hide)'!$C$4:$Q$263,MATCH(SPC!$B$12,'SPC Backing (Hide)'!$B$4:$B$263,0),MATCH('Required Capacity (Hide)'!$A17,'SPC Backing (Hide)'!$C$3:$Q$3,0)):INDEX('SPC Backing (Hide)'!$C$4:$Q$263,MATCH(SPC!$B$13,'SPC Backing (Hide)'!$B$4:$B$263,0)-1,MATCH('Required Capacity (Hide)'!$A17,'SPC Backing (Hide)'!$C$3:$Q$3,0)),0.85)</f>
        <v>0</v>
      </c>
      <c r="E17" s="12">
        <f t="shared" si="94"/>
        <v>44205</v>
      </c>
      <c r="F17" s="7">
        <f t="shared" si="1"/>
        <v>32.112499999999997</v>
      </c>
      <c r="G17" s="6">
        <f t="shared" si="2"/>
        <v>33.962499999999984</v>
      </c>
      <c r="H17" s="7">
        <f t="shared" si="3"/>
        <v>25.689999999999998</v>
      </c>
      <c r="I17" s="6">
        <f t="shared" si="4"/>
        <v>27.169999999999987</v>
      </c>
      <c r="J17" s="5">
        <f t="shared" si="5"/>
        <v>57.802499999999995</v>
      </c>
      <c r="K17" s="6">
        <f t="shared" si="6"/>
        <v>61.132499999999972</v>
      </c>
      <c r="L17" s="7">
        <f t="shared" si="7"/>
        <v>0</v>
      </c>
      <c r="M17" s="6">
        <f t="shared" si="8"/>
        <v>0</v>
      </c>
      <c r="N17" s="7">
        <f t="shared" si="9"/>
        <v>0</v>
      </c>
      <c r="O17" s="6">
        <f t="shared" si="10"/>
        <v>0</v>
      </c>
      <c r="P17" s="5">
        <f t="shared" si="11"/>
        <v>0</v>
      </c>
      <c r="Q17" s="6">
        <f t="shared" si="12"/>
        <v>0</v>
      </c>
      <c r="R17" s="7">
        <f t="shared" si="13"/>
        <v>0</v>
      </c>
      <c r="S17" s="6">
        <f t="shared" si="14"/>
        <v>0</v>
      </c>
      <c r="T17" s="7">
        <f t="shared" si="15"/>
        <v>0</v>
      </c>
      <c r="U17" s="6">
        <f t="shared" si="16"/>
        <v>0</v>
      </c>
      <c r="V17" s="5">
        <f t="shared" si="17"/>
        <v>0</v>
      </c>
      <c r="W17" s="6">
        <f t="shared" si="18"/>
        <v>0</v>
      </c>
      <c r="X17" s="7">
        <f t="shared" si="19"/>
        <v>0</v>
      </c>
      <c r="Y17" s="6">
        <f t="shared" si="20"/>
        <v>0</v>
      </c>
      <c r="Z17" s="7">
        <f t="shared" si="21"/>
        <v>0</v>
      </c>
      <c r="AA17" s="6">
        <f t="shared" si="22"/>
        <v>0</v>
      </c>
      <c r="AB17" s="5">
        <f t="shared" si="23"/>
        <v>0</v>
      </c>
      <c r="AC17" s="6">
        <f t="shared" si="24"/>
        <v>0</v>
      </c>
      <c r="AD17" s="7">
        <f t="shared" si="25"/>
        <v>0</v>
      </c>
      <c r="AE17" s="6">
        <f t="shared" si="26"/>
        <v>0</v>
      </c>
      <c r="AF17" s="7">
        <f t="shared" si="27"/>
        <v>0</v>
      </c>
      <c r="AG17" s="6">
        <f t="shared" si="28"/>
        <v>0</v>
      </c>
      <c r="AH17" s="5">
        <f t="shared" si="29"/>
        <v>0</v>
      </c>
      <c r="AI17" s="6">
        <f t="shared" si="30"/>
        <v>0</v>
      </c>
      <c r="AJ17" s="7">
        <f t="shared" si="31"/>
        <v>0</v>
      </c>
      <c r="AK17" s="6">
        <f t="shared" si="32"/>
        <v>0</v>
      </c>
      <c r="AL17" s="7">
        <f t="shared" si="33"/>
        <v>0</v>
      </c>
      <c r="AM17" s="6">
        <f t="shared" si="34"/>
        <v>0</v>
      </c>
      <c r="AN17" s="5">
        <f t="shared" si="35"/>
        <v>0</v>
      </c>
      <c r="AO17" s="6">
        <f t="shared" si="36"/>
        <v>0</v>
      </c>
      <c r="AP17" s="7">
        <f t="shared" si="37"/>
        <v>0</v>
      </c>
      <c r="AQ17" s="6">
        <f t="shared" si="38"/>
        <v>0</v>
      </c>
      <c r="AR17" s="7">
        <f t="shared" si="39"/>
        <v>0</v>
      </c>
      <c r="AS17" s="6">
        <f t="shared" si="40"/>
        <v>0</v>
      </c>
      <c r="AT17" s="5">
        <f t="shared" si="41"/>
        <v>0</v>
      </c>
      <c r="AU17" s="6">
        <f t="shared" si="42"/>
        <v>0</v>
      </c>
      <c r="AV17" s="7">
        <f t="shared" si="43"/>
        <v>0</v>
      </c>
      <c r="AW17" s="6">
        <f t="shared" si="44"/>
        <v>0</v>
      </c>
      <c r="AX17" s="7">
        <f t="shared" si="45"/>
        <v>0</v>
      </c>
      <c r="AY17" s="6">
        <f t="shared" si="46"/>
        <v>0</v>
      </c>
      <c r="AZ17" s="5">
        <f t="shared" si="47"/>
        <v>0</v>
      </c>
      <c r="BA17" s="6">
        <f t="shared" si="48"/>
        <v>0</v>
      </c>
      <c r="BB17" s="7">
        <f t="shared" si="49"/>
        <v>0</v>
      </c>
      <c r="BC17" s="6">
        <f t="shared" si="50"/>
        <v>0</v>
      </c>
      <c r="BD17" s="7">
        <f t="shared" si="51"/>
        <v>0</v>
      </c>
      <c r="BE17" s="6">
        <f t="shared" si="52"/>
        <v>0</v>
      </c>
      <c r="BF17" s="5">
        <f t="shared" si="53"/>
        <v>0</v>
      </c>
      <c r="BG17" s="6">
        <f t="shared" si="54"/>
        <v>0</v>
      </c>
      <c r="BH17" s="7">
        <f t="shared" si="55"/>
        <v>0</v>
      </c>
      <c r="BI17" s="6">
        <f t="shared" si="56"/>
        <v>0</v>
      </c>
      <c r="BJ17" s="7">
        <f t="shared" si="57"/>
        <v>0</v>
      </c>
      <c r="BK17" s="6">
        <f t="shared" si="58"/>
        <v>0</v>
      </c>
      <c r="BL17" s="5">
        <f t="shared" si="59"/>
        <v>0</v>
      </c>
      <c r="BM17" s="6">
        <f t="shared" si="60"/>
        <v>0</v>
      </c>
      <c r="BN17" s="7">
        <f t="shared" si="61"/>
        <v>0</v>
      </c>
      <c r="BO17" s="6">
        <f t="shared" si="62"/>
        <v>0</v>
      </c>
      <c r="BP17" s="7">
        <f t="shared" si="63"/>
        <v>0</v>
      </c>
      <c r="BQ17" s="6">
        <f t="shared" si="64"/>
        <v>0</v>
      </c>
      <c r="BR17" s="5">
        <f t="shared" si="65"/>
        <v>0</v>
      </c>
      <c r="BS17" s="6">
        <f t="shared" si="66"/>
        <v>0</v>
      </c>
      <c r="BT17" s="7">
        <f t="shared" si="67"/>
        <v>0</v>
      </c>
      <c r="BU17" s="6">
        <f t="shared" si="68"/>
        <v>0</v>
      </c>
      <c r="BV17" s="7">
        <f t="shared" si="69"/>
        <v>0</v>
      </c>
      <c r="BW17" s="6">
        <f t="shared" si="70"/>
        <v>0</v>
      </c>
      <c r="BX17" s="5">
        <f t="shared" si="71"/>
        <v>0</v>
      </c>
      <c r="BY17" s="6">
        <f t="shared" si="72"/>
        <v>0</v>
      </c>
      <c r="BZ17" s="7">
        <f t="shared" si="73"/>
        <v>0</v>
      </c>
      <c r="CA17" s="6">
        <f t="shared" si="74"/>
        <v>0</v>
      </c>
      <c r="CB17" s="7">
        <f t="shared" si="75"/>
        <v>0</v>
      </c>
      <c r="CC17" s="6">
        <f t="shared" si="76"/>
        <v>0</v>
      </c>
      <c r="CD17" s="5">
        <f t="shared" si="77"/>
        <v>0</v>
      </c>
      <c r="CE17" s="6">
        <f t="shared" si="78"/>
        <v>0</v>
      </c>
      <c r="CF17" s="7">
        <f t="shared" si="79"/>
        <v>0</v>
      </c>
      <c r="CG17" s="6">
        <f t="shared" si="80"/>
        <v>0</v>
      </c>
      <c r="CH17" s="7">
        <f t="shared" si="81"/>
        <v>0</v>
      </c>
      <c r="CI17" s="6">
        <f t="shared" si="82"/>
        <v>0</v>
      </c>
      <c r="CJ17" s="5">
        <f t="shared" si="83"/>
        <v>0</v>
      </c>
      <c r="CK17" s="6">
        <f t="shared" si="84"/>
        <v>0</v>
      </c>
      <c r="CL17" s="7">
        <f t="shared" si="85"/>
        <v>0</v>
      </c>
      <c r="CM17" s="6">
        <f t="shared" si="86"/>
        <v>0</v>
      </c>
      <c r="CN17" s="7">
        <f t="shared" si="87"/>
        <v>0</v>
      </c>
      <c r="CO17" s="6">
        <f t="shared" si="88"/>
        <v>0</v>
      </c>
      <c r="CP17" s="5">
        <f t="shared" si="89"/>
        <v>0</v>
      </c>
      <c r="CQ17" s="6">
        <f t="shared" si="90"/>
        <v>0</v>
      </c>
      <c r="CR17" s="7">
        <f t="shared" si="0"/>
        <v>32.112499999999997</v>
      </c>
      <c r="CS17" s="6">
        <f t="shared" si="0"/>
        <v>33.962499999999984</v>
      </c>
      <c r="CT17" s="7">
        <f t="shared" si="0"/>
        <v>25.689999999999998</v>
      </c>
      <c r="CU17" s="6">
        <f t="shared" si="0"/>
        <v>27.169999999999987</v>
      </c>
      <c r="CV17" s="5">
        <f t="shared" si="91"/>
        <v>57.802499999999995</v>
      </c>
      <c r="CW17" s="6">
        <f t="shared" si="92"/>
        <v>61.132499999999972</v>
      </c>
      <c r="CY17" s="7">
        <v>57.802499999999995</v>
      </c>
      <c r="CZ17" s="5">
        <f t="array" ref="CZ17">Summary_UpperBound</f>
        <v>61.132499999999972</v>
      </c>
      <c r="DA17" s="6">
        <f t="shared" si="93"/>
        <v>3.329999999999977</v>
      </c>
    </row>
    <row r="18" spans="1:105" x14ac:dyDescent="0.35">
      <c r="A18" s="7" t="str">
        <f>'Data Validation (Hide)'!B15</f>
        <v>Caseload 14</v>
      </c>
      <c r="B18" s="22">
        <f>_xlfn.PERCENTILE.INC(INDEX('SPC Backing (Hide)'!$C$4:$Q$263,MATCH(SPC!$B$12,'SPC Backing (Hide)'!$B$4:$B$263,0),MATCH('Required Capacity (Hide)'!$A18,'SPC Backing (Hide)'!$C$3:$Q$3,0)):INDEX('SPC Backing (Hide)'!$C$4:$Q$263,MATCH(SPC!$B$13,'SPC Backing (Hide)'!$B$4:$B$263,0)-1,MATCH('Required Capacity (Hide)'!$A18,'SPC Backing (Hide)'!$C$3:$Q$3,0)),'SPC Backing (Hide)'!$AK$3)</f>
        <v>0</v>
      </c>
      <c r="C18" s="33">
        <f>_xlfn.PERCENTILE.INC(INDEX('SPC Backing (Hide)'!$C$4:$Q$263,MATCH(SPC!$B$12,'SPC Backing (Hide)'!$B$4:$B$263,0),MATCH('Required Capacity (Hide)'!$A18,'SPC Backing (Hide)'!$C$3:$Q$3,0)):INDEX('SPC Backing (Hide)'!$C$4:$Q$263,MATCH(SPC!$B$13,'SPC Backing (Hide)'!$B$4:$B$263,0)-1,MATCH('Required Capacity (Hide)'!$A18,'SPC Backing (Hide)'!$C$3:$Q$3,0)),0.85)</f>
        <v>0</v>
      </c>
      <c r="E18" s="12">
        <f t="shared" si="94"/>
        <v>44212</v>
      </c>
      <c r="F18" s="7">
        <f t="shared" si="1"/>
        <v>32.112499999999997</v>
      </c>
      <c r="G18" s="6">
        <f t="shared" si="2"/>
        <v>33.962499999999984</v>
      </c>
      <c r="H18" s="7">
        <f t="shared" si="3"/>
        <v>25.689999999999998</v>
      </c>
      <c r="I18" s="6">
        <f t="shared" si="4"/>
        <v>27.169999999999987</v>
      </c>
      <c r="J18" s="5">
        <f t="shared" si="5"/>
        <v>57.802499999999995</v>
      </c>
      <c r="K18" s="6">
        <f t="shared" si="6"/>
        <v>61.132499999999972</v>
      </c>
      <c r="L18" s="7">
        <f t="shared" si="7"/>
        <v>0</v>
      </c>
      <c r="M18" s="6">
        <f t="shared" si="8"/>
        <v>0</v>
      </c>
      <c r="N18" s="7">
        <f t="shared" si="9"/>
        <v>0</v>
      </c>
      <c r="O18" s="6">
        <f t="shared" si="10"/>
        <v>0</v>
      </c>
      <c r="P18" s="5">
        <f t="shared" si="11"/>
        <v>0</v>
      </c>
      <c r="Q18" s="6">
        <f t="shared" si="12"/>
        <v>0</v>
      </c>
      <c r="R18" s="7">
        <f t="shared" si="13"/>
        <v>0</v>
      </c>
      <c r="S18" s="6">
        <f t="shared" si="14"/>
        <v>0</v>
      </c>
      <c r="T18" s="7">
        <f t="shared" si="15"/>
        <v>0</v>
      </c>
      <c r="U18" s="6">
        <f t="shared" si="16"/>
        <v>0</v>
      </c>
      <c r="V18" s="5">
        <f t="shared" si="17"/>
        <v>0</v>
      </c>
      <c r="W18" s="6">
        <f t="shared" si="18"/>
        <v>0</v>
      </c>
      <c r="X18" s="7">
        <f t="shared" si="19"/>
        <v>0</v>
      </c>
      <c r="Y18" s="6">
        <f t="shared" si="20"/>
        <v>0</v>
      </c>
      <c r="Z18" s="7">
        <f t="shared" si="21"/>
        <v>0</v>
      </c>
      <c r="AA18" s="6">
        <f t="shared" si="22"/>
        <v>0</v>
      </c>
      <c r="AB18" s="5">
        <f t="shared" si="23"/>
        <v>0</v>
      </c>
      <c r="AC18" s="6">
        <f t="shared" si="24"/>
        <v>0</v>
      </c>
      <c r="AD18" s="7">
        <f t="shared" si="25"/>
        <v>0</v>
      </c>
      <c r="AE18" s="6">
        <f t="shared" si="26"/>
        <v>0</v>
      </c>
      <c r="AF18" s="7">
        <f t="shared" si="27"/>
        <v>0</v>
      </c>
      <c r="AG18" s="6">
        <f t="shared" si="28"/>
        <v>0</v>
      </c>
      <c r="AH18" s="5">
        <f t="shared" si="29"/>
        <v>0</v>
      </c>
      <c r="AI18" s="6">
        <f t="shared" si="30"/>
        <v>0</v>
      </c>
      <c r="AJ18" s="7">
        <f t="shared" si="31"/>
        <v>0</v>
      </c>
      <c r="AK18" s="6">
        <f t="shared" si="32"/>
        <v>0</v>
      </c>
      <c r="AL18" s="7">
        <f t="shared" si="33"/>
        <v>0</v>
      </c>
      <c r="AM18" s="6">
        <f t="shared" si="34"/>
        <v>0</v>
      </c>
      <c r="AN18" s="5">
        <f t="shared" si="35"/>
        <v>0</v>
      </c>
      <c r="AO18" s="6">
        <f t="shared" si="36"/>
        <v>0</v>
      </c>
      <c r="AP18" s="7">
        <f t="shared" si="37"/>
        <v>0</v>
      </c>
      <c r="AQ18" s="6">
        <f t="shared" si="38"/>
        <v>0</v>
      </c>
      <c r="AR18" s="7">
        <f t="shared" si="39"/>
        <v>0</v>
      </c>
      <c r="AS18" s="6">
        <f t="shared" si="40"/>
        <v>0</v>
      </c>
      <c r="AT18" s="5">
        <f t="shared" si="41"/>
        <v>0</v>
      </c>
      <c r="AU18" s="6">
        <f t="shared" si="42"/>
        <v>0</v>
      </c>
      <c r="AV18" s="7">
        <f t="shared" si="43"/>
        <v>0</v>
      </c>
      <c r="AW18" s="6">
        <f t="shared" si="44"/>
        <v>0</v>
      </c>
      <c r="AX18" s="7">
        <f t="shared" si="45"/>
        <v>0</v>
      </c>
      <c r="AY18" s="6">
        <f t="shared" si="46"/>
        <v>0</v>
      </c>
      <c r="AZ18" s="5">
        <f t="shared" si="47"/>
        <v>0</v>
      </c>
      <c r="BA18" s="6">
        <f t="shared" si="48"/>
        <v>0</v>
      </c>
      <c r="BB18" s="7">
        <f t="shared" si="49"/>
        <v>0</v>
      </c>
      <c r="BC18" s="6">
        <f t="shared" si="50"/>
        <v>0</v>
      </c>
      <c r="BD18" s="7">
        <f t="shared" si="51"/>
        <v>0</v>
      </c>
      <c r="BE18" s="6">
        <f t="shared" si="52"/>
        <v>0</v>
      </c>
      <c r="BF18" s="5">
        <f t="shared" si="53"/>
        <v>0</v>
      </c>
      <c r="BG18" s="6">
        <f t="shared" si="54"/>
        <v>0</v>
      </c>
      <c r="BH18" s="7">
        <f t="shared" si="55"/>
        <v>0</v>
      </c>
      <c r="BI18" s="6">
        <f t="shared" si="56"/>
        <v>0</v>
      </c>
      <c r="BJ18" s="7">
        <f t="shared" si="57"/>
        <v>0</v>
      </c>
      <c r="BK18" s="6">
        <f t="shared" si="58"/>
        <v>0</v>
      </c>
      <c r="BL18" s="5">
        <f t="shared" si="59"/>
        <v>0</v>
      </c>
      <c r="BM18" s="6">
        <f t="shared" si="60"/>
        <v>0</v>
      </c>
      <c r="BN18" s="7">
        <f t="shared" si="61"/>
        <v>0</v>
      </c>
      <c r="BO18" s="6">
        <f t="shared" si="62"/>
        <v>0</v>
      </c>
      <c r="BP18" s="7">
        <f t="shared" si="63"/>
        <v>0</v>
      </c>
      <c r="BQ18" s="6">
        <f t="shared" si="64"/>
        <v>0</v>
      </c>
      <c r="BR18" s="5">
        <f t="shared" si="65"/>
        <v>0</v>
      </c>
      <c r="BS18" s="6">
        <f t="shared" si="66"/>
        <v>0</v>
      </c>
      <c r="BT18" s="7">
        <f t="shared" si="67"/>
        <v>0</v>
      </c>
      <c r="BU18" s="6">
        <f t="shared" si="68"/>
        <v>0</v>
      </c>
      <c r="BV18" s="7">
        <f t="shared" si="69"/>
        <v>0</v>
      </c>
      <c r="BW18" s="6">
        <f t="shared" si="70"/>
        <v>0</v>
      </c>
      <c r="BX18" s="5">
        <f t="shared" si="71"/>
        <v>0</v>
      </c>
      <c r="BY18" s="6">
        <f t="shared" si="72"/>
        <v>0</v>
      </c>
      <c r="BZ18" s="7">
        <f t="shared" si="73"/>
        <v>0</v>
      </c>
      <c r="CA18" s="6">
        <f t="shared" si="74"/>
        <v>0</v>
      </c>
      <c r="CB18" s="7">
        <f t="shared" si="75"/>
        <v>0</v>
      </c>
      <c r="CC18" s="6">
        <f t="shared" si="76"/>
        <v>0</v>
      </c>
      <c r="CD18" s="5">
        <f t="shared" si="77"/>
        <v>0</v>
      </c>
      <c r="CE18" s="6">
        <f t="shared" si="78"/>
        <v>0</v>
      </c>
      <c r="CF18" s="7">
        <f t="shared" si="79"/>
        <v>0</v>
      </c>
      <c r="CG18" s="6">
        <f t="shared" si="80"/>
        <v>0</v>
      </c>
      <c r="CH18" s="7">
        <f t="shared" si="81"/>
        <v>0</v>
      </c>
      <c r="CI18" s="6">
        <f t="shared" si="82"/>
        <v>0</v>
      </c>
      <c r="CJ18" s="5">
        <f t="shared" si="83"/>
        <v>0</v>
      </c>
      <c r="CK18" s="6">
        <f t="shared" si="84"/>
        <v>0</v>
      </c>
      <c r="CL18" s="7">
        <f t="shared" si="85"/>
        <v>0</v>
      </c>
      <c r="CM18" s="6">
        <f t="shared" si="86"/>
        <v>0</v>
      </c>
      <c r="CN18" s="7">
        <f t="shared" si="87"/>
        <v>0</v>
      </c>
      <c r="CO18" s="6">
        <f t="shared" si="88"/>
        <v>0</v>
      </c>
      <c r="CP18" s="5">
        <f t="shared" si="89"/>
        <v>0</v>
      </c>
      <c r="CQ18" s="6">
        <f t="shared" si="90"/>
        <v>0</v>
      </c>
      <c r="CR18" s="7">
        <f t="shared" si="0"/>
        <v>32.112499999999997</v>
      </c>
      <c r="CS18" s="6">
        <f t="shared" si="0"/>
        <v>33.962499999999984</v>
      </c>
      <c r="CT18" s="7">
        <f t="shared" si="0"/>
        <v>25.689999999999998</v>
      </c>
      <c r="CU18" s="6">
        <f t="shared" si="0"/>
        <v>27.169999999999987</v>
      </c>
      <c r="CV18" s="5">
        <f t="shared" si="91"/>
        <v>57.802499999999995</v>
      </c>
      <c r="CW18" s="6">
        <f t="shared" si="92"/>
        <v>61.132499999999972</v>
      </c>
      <c r="CY18" s="7">
        <v>57.802499999999995</v>
      </c>
      <c r="CZ18" s="5">
        <f t="array" ref="CZ18">Summary_UpperBound</f>
        <v>61.132499999999972</v>
      </c>
      <c r="DA18" s="6">
        <f t="shared" si="93"/>
        <v>3.329999999999977</v>
      </c>
    </row>
    <row r="19" spans="1:105" ht="15" thickBot="1" x14ac:dyDescent="0.4">
      <c r="A19" s="8" t="str">
        <f>'Data Validation (Hide)'!B16</f>
        <v>Caseload 15</v>
      </c>
      <c r="B19" s="34">
        <f>_xlfn.PERCENTILE.INC(INDEX('SPC Backing (Hide)'!$C$4:$Q$263,MATCH(SPC!$B$12,'SPC Backing (Hide)'!$B$4:$B$263,0),MATCH('Required Capacity (Hide)'!$A19,'SPC Backing (Hide)'!$C$3:$Q$3,0)):INDEX('SPC Backing (Hide)'!$C$4:$Q$263,MATCH(SPC!$B$13,'SPC Backing (Hide)'!$B$4:$B$263,0)-1,MATCH('Required Capacity (Hide)'!$A19,'SPC Backing (Hide)'!$C$3:$Q$3,0)),'SPC Backing (Hide)'!$AK$3)</f>
        <v>0</v>
      </c>
      <c r="C19" s="35">
        <f>_xlfn.PERCENTILE.INC(INDEX('SPC Backing (Hide)'!$C$4:$Q$263,MATCH(SPC!$B$12,'SPC Backing (Hide)'!$B$4:$B$263,0),MATCH('Required Capacity (Hide)'!$A19,'SPC Backing (Hide)'!$C$3:$Q$3,0)):INDEX('SPC Backing (Hide)'!$C$4:$Q$263,MATCH(SPC!$B$13,'SPC Backing (Hide)'!$B$4:$B$263,0)-1,MATCH('Required Capacity (Hide)'!$A19,'SPC Backing (Hide)'!$C$3:$Q$3,0)),0.85)</f>
        <v>0</v>
      </c>
      <c r="E19" s="12">
        <f t="shared" si="94"/>
        <v>44219</v>
      </c>
      <c r="F19" s="7">
        <f t="shared" si="1"/>
        <v>32.112499999999997</v>
      </c>
      <c r="G19" s="6">
        <f t="shared" si="2"/>
        <v>33.962499999999984</v>
      </c>
      <c r="H19" s="7">
        <f t="shared" si="3"/>
        <v>25.689999999999998</v>
      </c>
      <c r="I19" s="6">
        <f t="shared" si="4"/>
        <v>27.169999999999987</v>
      </c>
      <c r="J19" s="5">
        <f t="shared" si="5"/>
        <v>57.802499999999995</v>
      </c>
      <c r="K19" s="6">
        <f t="shared" si="6"/>
        <v>61.132499999999972</v>
      </c>
      <c r="L19" s="7">
        <f t="shared" si="7"/>
        <v>0</v>
      </c>
      <c r="M19" s="6">
        <f t="shared" si="8"/>
        <v>0</v>
      </c>
      <c r="N19" s="7">
        <f t="shared" si="9"/>
        <v>0</v>
      </c>
      <c r="O19" s="6">
        <f t="shared" si="10"/>
        <v>0</v>
      </c>
      <c r="P19" s="5">
        <f t="shared" si="11"/>
        <v>0</v>
      </c>
      <c r="Q19" s="6">
        <f t="shared" si="12"/>
        <v>0</v>
      </c>
      <c r="R19" s="7">
        <f t="shared" si="13"/>
        <v>0</v>
      </c>
      <c r="S19" s="6">
        <f t="shared" si="14"/>
        <v>0</v>
      </c>
      <c r="T19" s="7">
        <f t="shared" si="15"/>
        <v>0</v>
      </c>
      <c r="U19" s="6">
        <f t="shared" si="16"/>
        <v>0</v>
      </c>
      <c r="V19" s="5">
        <f t="shared" si="17"/>
        <v>0</v>
      </c>
      <c r="W19" s="6">
        <f t="shared" si="18"/>
        <v>0</v>
      </c>
      <c r="X19" s="7">
        <f t="shared" si="19"/>
        <v>0</v>
      </c>
      <c r="Y19" s="6">
        <f t="shared" si="20"/>
        <v>0</v>
      </c>
      <c r="Z19" s="7">
        <f t="shared" si="21"/>
        <v>0</v>
      </c>
      <c r="AA19" s="6">
        <f t="shared" si="22"/>
        <v>0</v>
      </c>
      <c r="AB19" s="5">
        <f t="shared" si="23"/>
        <v>0</v>
      </c>
      <c r="AC19" s="6">
        <f t="shared" si="24"/>
        <v>0</v>
      </c>
      <c r="AD19" s="7">
        <f t="shared" si="25"/>
        <v>0</v>
      </c>
      <c r="AE19" s="6">
        <f t="shared" si="26"/>
        <v>0</v>
      </c>
      <c r="AF19" s="7">
        <f t="shared" si="27"/>
        <v>0</v>
      </c>
      <c r="AG19" s="6">
        <f t="shared" si="28"/>
        <v>0</v>
      </c>
      <c r="AH19" s="5">
        <f t="shared" si="29"/>
        <v>0</v>
      </c>
      <c r="AI19" s="6">
        <f t="shared" si="30"/>
        <v>0</v>
      </c>
      <c r="AJ19" s="7">
        <f t="shared" si="31"/>
        <v>0</v>
      </c>
      <c r="AK19" s="6">
        <f t="shared" si="32"/>
        <v>0</v>
      </c>
      <c r="AL19" s="7">
        <f t="shared" si="33"/>
        <v>0</v>
      </c>
      <c r="AM19" s="6">
        <f t="shared" si="34"/>
        <v>0</v>
      </c>
      <c r="AN19" s="5">
        <f t="shared" si="35"/>
        <v>0</v>
      </c>
      <c r="AO19" s="6">
        <f t="shared" si="36"/>
        <v>0</v>
      </c>
      <c r="AP19" s="7">
        <f t="shared" si="37"/>
        <v>0</v>
      </c>
      <c r="AQ19" s="6">
        <f t="shared" si="38"/>
        <v>0</v>
      </c>
      <c r="AR19" s="7">
        <f t="shared" si="39"/>
        <v>0</v>
      </c>
      <c r="AS19" s="6">
        <f t="shared" si="40"/>
        <v>0</v>
      </c>
      <c r="AT19" s="5">
        <f t="shared" si="41"/>
        <v>0</v>
      </c>
      <c r="AU19" s="6">
        <f t="shared" si="42"/>
        <v>0</v>
      </c>
      <c r="AV19" s="7">
        <f t="shared" si="43"/>
        <v>0</v>
      </c>
      <c r="AW19" s="6">
        <f t="shared" si="44"/>
        <v>0</v>
      </c>
      <c r="AX19" s="7">
        <f t="shared" si="45"/>
        <v>0</v>
      </c>
      <c r="AY19" s="6">
        <f t="shared" si="46"/>
        <v>0</v>
      </c>
      <c r="AZ19" s="5">
        <f t="shared" si="47"/>
        <v>0</v>
      </c>
      <c r="BA19" s="6">
        <f t="shared" si="48"/>
        <v>0</v>
      </c>
      <c r="BB19" s="7">
        <f t="shared" si="49"/>
        <v>0</v>
      </c>
      <c r="BC19" s="6">
        <f t="shared" si="50"/>
        <v>0</v>
      </c>
      <c r="BD19" s="7">
        <f t="shared" si="51"/>
        <v>0</v>
      </c>
      <c r="BE19" s="6">
        <f t="shared" si="52"/>
        <v>0</v>
      </c>
      <c r="BF19" s="5">
        <f t="shared" si="53"/>
        <v>0</v>
      </c>
      <c r="BG19" s="6">
        <f t="shared" si="54"/>
        <v>0</v>
      </c>
      <c r="BH19" s="7">
        <f t="shared" si="55"/>
        <v>0</v>
      </c>
      <c r="BI19" s="6">
        <f t="shared" si="56"/>
        <v>0</v>
      </c>
      <c r="BJ19" s="7">
        <f t="shared" si="57"/>
        <v>0</v>
      </c>
      <c r="BK19" s="6">
        <f t="shared" si="58"/>
        <v>0</v>
      </c>
      <c r="BL19" s="5">
        <f t="shared" si="59"/>
        <v>0</v>
      </c>
      <c r="BM19" s="6">
        <f t="shared" si="60"/>
        <v>0</v>
      </c>
      <c r="BN19" s="7">
        <f t="shared" si="61"/>
        <v>0</v>
      </c>
      <c r="BO19" s="6">
        <f t="shared" si="62"/>
        <v>0</v>
      </c>
      <c r="BP19" s="7">
        <f t="shared" si="63"/>
        <v>0</v>
      </c>
      <c r="BQ19" s="6">
        <f t="shared" si="64"/>
        <v>0</v>
      </c>
      <c r="BR19" s="5">
        <f t="shared" si="65"/>
        <v>0</v>
      </c>
      <c r="BS19" s="6">
        <f t="shared" si="66"/>
        <v>0</v>
      </c>
      <c r="BT19" s="7">
        <f t="shared" si="67"/>
        <v>0</v>
      </c>
      <c r="BU19" s="6">
        <f t="shared" si="68"/>
        <v>0</v>
      </c>
      <c r="BV19" s="7">
        <f t="shared" si="69"/>
        <v>0</v>
      </c>
      <c r="BW19" s="6">
        <f t="shared" si="70"/>
        <v>0</v>
      </c>
      <c r="BX19" s="5">
        <f t="shared" si="71"/>
        <v>0</v>
      </c>
      <c r="BY19" s="6">
        <f t="shared" si="72"/>
        <v>0</v>
      </c>
      <c r="BZ19" s="7">
        <f t="shared" si="73"/>
        <v>0</v>
      </c>
      <c r="CA19" s="6">
        <f t="shared" si="74"/>
        <v>0</v>
      </c>
      <c r="CB19" s="7">
        <f t="shared" si="75"/>
        <v>0</v>
      </c>
      <c r="CC19" s="6">
        <f t="shared" si="76"/>
        <v>0</v>
      </c>
      <c r="CD19" s="5">
        <f t="shared" si="77"/>
        <v>0</v>
      </c>
      <c r="CE19" s="6">
        <f t="shared" si="78"/>
        <v>0</v>
      </c>
      <c r="CF19" s="7">
        <f t="shared" si="79"/>
        <v>0</v>
      </c>
      <c r="CG19" s="6">
        <f t="shared" si="80"/>
        <v>0</v>
      </c>
      <c r="CH19" s="7">
        <f t="shared" si="81"/>
        <v>0</v>
      </c>
      <c r="CI19" s="6">
        <f t="shared" si="82"/>
        <v>0</v>
      </c>
      <c r="CJ19" s="5">
        <f t="shared" si="83"/>
        <v>0</v>
      </c>
      <c r="CK19" s="6">
        <f t="shared" si="84"/>
        <v>0</v>
      </c>
      <c r="CL19" s="7">
        <f t="shared" si="85"/>
        <v>0</v>
      </c>
      <c r="CM19" s="6">
        <f t="shared" si="86"/>
        <v>0</v>
      </c>
      <c r="CN19" s="7">
        <f t="shared" si="87"/>
        <v>0</v>
      </c>
      <c r="CO19" s="6">
        <f t="shared" si="88"/>
        <v>0</v>
      </c>
      <c r="CP19" s="5">
        <f t="shared" si="89"/>
        <v>0</v>
      </c>
      <c r="CQ19" s="6">
        <f t="shared" si="90"/>
        <v>0</v>
      </c>
      <c r="CR19" s="7">
        <f t="shared" si="0"/>
        <v>32.112499999999997</v>
      </c>
      <c r="CS19" s="6">
        <f t="shared" si="0"/>
        <v>33.962499999999984</v>
      </c>
      <c r="CT19" s="7">
        <f t="shared" si="0"/>
        <v>25.689999999999998</v>
      </c>
      <c r="CU19" s="6">
        <f t="shared" si="0"/>
        <v>27.169999999999987</v>
      </c>
      <c r="CV19" s="5">
        <f t="shared" si="91"/>
        <v>57.802499999999995</v>
      </c>
      <c r="CW19" s="6">
        <f t="shared" si="92"/>
        <v>61.132499999999972</v>
      </c>
      <c r="CY19" s="7">
        <v>57.802499999999995</v>
      </c>
      <c r="CZ19" s="5">
        <f t="array" ref="CZ19">Summary_UpperBound</f>
        <v>61.132499999999972</v>
      </c>
      <c r="DA19" s="6">
        <f t="shared" si="93"/>
        <v>3.329999999999977</v>
      </c>
    </row>
    <row r="20" spans="1:105" x14ac:dyDescent="0.35">
      <c r="B20" s="14"/>
      <c r="E20" s="12">
        <f t="shared" si="94"/>
        <v>44226</v>
      </c>
      <c r="F20" s="7">
        <f t="shared" si="1"/>
        <v>32.112499999999997</v>
      </c>
      <c r="G20" s="6">
        <f t="shared" si="2"/>
        <v>33.962499999999984</v>
      </c>
      <c r="H20" s="7">
        <f t="shared" si="3"/>
        <v>25.689999999999998</v>
      </c>
      <c r="I20" s="6">
        <f t="shared" si="4"/>
        <v>27.169999999999987</v>
      </c>
      <c r="J20" s="5">
        <f t="shared" si="5"/>
        <v>57.802499999999995</v>
      </c>
      <c r="K20" s="6">
        <f t="shared" si="6"/>
        <v>61.132499999999972</v>
      </c>
      <c r="L20" s="7">
        <f t="shared" si="7"/>
        <v>0</v>
      </c>
      <c r="M20" s="6">
        <f t="shared" si="8"/>
        <v>0</v>
      </c>
      <c r="N20" s="7">
        <f t="shared" si="9"/>
        <v>0</v>
      </c>
      <c r="O20" s="6">
        <f t="shared" si="10"/>
        <v>0</v>
      </c>
      <c r="P20" s="5">
        <f t="shared" si="11"/>
        <v>0</v>
      </c>
      <c r="Q20" s="6">
        <f t="shared" si="12"/>
        <v>0</v>
      </c>
      <c r="R20" s="7">
        <f t="shared" si="13"/>
        <v>0</v>
      </c>
      <c r="S20" s="6">
        <f t="shared" si="14"/>
        <v>0</v>
      </c>
      <c r="T20" s="7">
        <f t="shared" si="15"/>
        <v>0</v>
      </c>
      <c r="U20" s="6">
        <f t="shared" si="16"/>
        <v>0</v>
      </c>
      <c r="V20" s="5">
        <f t="shared" si="17"/>
        <v>0</v>
      </c>
      <c r="W20" s="6">
        <f t="shared" si="18"/>
        <v>0</v>
      </c>
      <c r="X20" s="7">
        <f t="shared" si="19"/>
        <v>0</v>
      </c>
      <c r="Y20" s="6">
        <f t="shared" si="20"/>
        <v>0</v>
      </c>
      <c r="Z20" s="7">
        <f t="shared" si="21"/>
        <v>0</v>
      </c>
      <c r="AA20" s="6">
        <f t="shared" si="22"/>
        <v>0</v>
      </c>
      <c r="AB20" s="5">
        <f t="shared" si="23"/>
        <v>0</v>
      </c>
      <c r="AC20" s="6">
        <f t="shared" si="24"/>
        <v>0</v>
      </c>
      <c r="AD20" s="7">
        <f t="shared" si="25"/>
        <v>0</v>
      </c>
      <c r="AE20" s="6">
        <f t="shared" si="26"/>
        <v>0</v>
      </c>
      <c r="AF20" s="7">
        <f t="shared" si="27"/>
        <v>0</v>
      </c>
      <c r="AG20" s="6">
        <f t="shared" si="28"/>
        <v>0</v>
      </c>
      <c r="AH20" s="5">
        <f t="shared" si="29"/>
        <v>0</v>
      </c>
      <c r="AI20" s="6">
        <f t="shared" si="30"/>
        <v>0</v>
      </c>
      <c r="AJ20" s="7">
        <f t="shared" si="31"/>
        <v>0</v>
      </c>
      <c r="AK20" s="6">
        <f t="shared" si="32"/>
        <v>0</v>
      </c>
      <c r="AL20" s="7">
        <f t="shared" si="33"/>
        <v>0</v>
      </c>
      <c r="AM20" s="6">
        <f t="shared" si="34"/>
        <v>0</v>
      </c>
      <c r="AN20" s="5">
        <f t="shared" si="35"/>
        <v>0</v>
      </c>
      <c r="AO20" s="6">
        <f t="shared" si="36"/>
        <v>0</v>
      </c>
      <c r="AP20" s="7">
        <f t="shared" si="37"/>
        <v>0</v>
      </c>
      <c r="AQ20" s="6">
        <f t="shared" si="38"/>
        <v>0</v>
      </c>
      <c r="AR20" s="7">
        <f t="shared" si="39"/>
        <v>0</v>
      </c>
      <c r="AS20" s="6">
        <f t="shared" si="40"/>
        <v>0</v>
      </c>
      <c r="AT20" s="5">
        <f t="shared" si="41"/>
        <v>0</v>
      </c>
      <c r="AU20" s="6">
        <f t="shared" si="42"/>
        <v>0</v>
      </c>
      <c r="AV20" s="7">
        <f t="shared" si="43"/>
        <v>0</v>
      </c>
      <c r="AW20" s="6">
        <f t="shared" si="44"/>
        <v>0</v>
      </c>
      <c r="AX20" s="7">
        <f t="shared" si="45"/>
        <v>0</v>
      </c>
      <c r="AY20" s="6">
        <f t="shared" si="46"/>
        <v>0</v>
      </c>
      <c r="AZ20" s="5">
        <f t="shared" si="47"/>
        <v>0</v>
      </c>
      <c r="BA20" s="6">
        <f t="shared" si="48"/>
        <v>0</v>
      </c>
      <c r="BB20" s="7">
        <f t="shared" si="49"/>
        <v>0</v>
      </c>
      <c r="BC20" s="6">
        <f t="shared" si="50"/>
        <v>0</v>
      </c>
      <c r="BD20" s="7">
        <f t="shared" si="51"/>
        <v>0</v>
      </c>
      <c r="BE20" s="6">
        <f t="shared" si="52"/>
        <v>0</v>
      </c>
      <c r="BF20" s="5">
        <f t="shared" si="53"/>
        <v>0</v>
      </c>
      <c r="BG20" s="6">
        <f t="shared" si="54"/>
        <v>0</v>
      </c>
      <c r="BH20" s="7">
        <f t="shared" si="55"/>
        <v>0</v>
      </c>
      <c r="BI20" s="6">
        <f t="shared" si="56"/>
        <v>0</v>
      </c>
      <c r="BJ20" s="7">
        <f t="shared" si="57"/>
        <v>0</v>
      </c>
      <c r="BK20" s="6">
        <f t="shared" si="58"/>
        <v>0</v>
      </c>
      <c r="BL20" s="5">
        <f t="shared" si="59"/>
        <v>0</v>
      </c>
      <c r="BM20" s="6">
        <f t="shared" si="60"/>
        <v>0</v>
      </c>
      <c r="BN20" s="7">
        <f t="shared" si="61"/>
        <v>0</v>
      </c>
      <c r="BO20" s="6">
        <f t="shared" si="62"/>
        <v>0</v>
      </c>
      <c r="BP20" s="7">
        <f t="shared" si="63"/>
        <v>0</v>
      </c>
      <c r="BQ20" s="6">
        <f t="shared" si="64"/>
        <v>0</v>
      </c>
      <c r="BR20" s="5">
        <f t="shared" si="65"/>
        <v>0</v>
      </c>
      <c r="BS20" s="6">
        <f t="shared" si="66"/>
        <v>0</v>
      </c>
      <c r="BT20" s="7">
        <f t="shared" si="67"/>
        <v>0</v>
      </c>
      <c r="BU20" s="6">
        <f t="shared" si="68"/>
        <v>0</v>
      </c>
      <c r="BV20" s="7">
        <f t="shared" si="69"/>
        <v>0</v>
      </c>
      <c r="BW20" s="6">
        <f t="shared" si="70"/>
        <v>0</v>
      </c>
      <c r="BX20" s="5">
        <f t="shared" si="71"/>
        <v>0</v>
      </c>
      <c r="BY20" s="6">
        <f t="shared" si="72"/>
        <v>0</v>
      </c>
      <c r="BZ20" s="7">
        <f t="shared" si="73"/>
        <v>0</v>
      </c>
      <c r="CA20" s="6">
        <f t="shared" si="74"/>
        <v>0</v>
      </c>
      <c r="CB20" s="7">
        <f t="shared" si="75"/>
        <v>0</v>
      </c>
      <c r="CC20" s="6">
        <f t="shared" si="76"/>
        <v>0</v>
      </c>
      <c r="CD20" s="5">
        <f t="shared" si="77"/>
        <v>0</v>
      </c>
      <c r="CE20" s="6">
        <f t="shared" si="78"/>
        <v>0</v>
      </c>
      <c r="CF20" s="7">
        <f t="shared" si="79"/>
        <v>0</v>
      </c>
      <c r="CG20" s="6">
        <f t="shared" si="80"/>
        <v>0</v>
      </c>
      <c r="CH20" s="7">
        <f t="shared" si="81"/>
        <v>0</v>
      </c>
      <c r="CI20" s="6">
        <f t="shared" si="82"/>
        <v>0</v>
      </c>
      <c r="CJ20" s="5">
        <f t="shared" si="83"/>
        <v>0</v>
      </c>
      <c r="CK20" s="6">
        <f t="shared" si="84"/>
        <v>0</v>
      </c>
      <c r="CL20" s="7">
        <f t="shared" si="85"/>
        <v>0</v>
      </c>
      <c r="CM20" s="6">
        <f t="shared" si="86"/>
        <v>0</v>
      </c>
      <c r="CN20" s="7">
        <f t="shared" si="87"/>
        <v>0</v>
      </c>
      <c r="CO20" s="6">
        <f t="shared" si="88"/>
        <v>0</v>
      </c>
      <c r="CP20" s="5">
        <f t="shared" si="89"/>
        <v>0</v>
      </c>
      <c r="CQ20" s="6">
        <f t="shared" si="90"/>
        <v>0</v>
      </c>
      <c r="CR20" s="7">
        <f t="shared" si="0"/>
        <v>32.112499999999997</v>
      </c>
      <c r="CS20" s="6">
        <f t="shared" si="0"/>
        <v>33.962499999999984</v>
      </c>
      <c r="CT20" s="7">
        <f t="shared" si="0"/>
        <v>25.689999999999998</v>
      </c>
      <c r="CU20" s="6">
        <f t="shared" si="0"/>
        <v>27.169999999999987</v>
      </c>
      <c r="CV20" s="5">
        <f t="shared" si="91"/>
        <v>57.802499999999995</v>
      </c>
      <c r="CW20" s="6">
        <f t="shared" si="92"/>
        <v>61.132499999999972</v>
      </c>
      <c r="CY20" s="7">
        <v>57.802499999999995</v>
      </c>
      <c r="CZ20" s="5">
        <f t="array" ref="CZ20">Summary_UpperBound</f>
        <v>61.132499999999972</v>
      </c>
      <c r="DA20" s="6">
        <f t="shared" si="93"/>
        <v>3.329999999999977</v>
      </c>
    </row>
    <row r="21" spans="1:105" x14ac:dyDescent="0.35">
      <c r="B21" s="14"/>
      <c r="E21" s="12">
        <f t="shared" si="94"/>
        <v>44233</v>
      </c>
      <c r="F21" s="7">
        <f t="shared" si="1"/>
        <v>32.112499999999997</v>
      </c>
      <c r="G21" s="6">
        <f t="shared" si="2"/>
        <v>33.962499999999984</v>
      </c>
      <c r="H21" s="7">
        <f t="shared" si="3"/>
        <v>25.689999999999998</v>
      </c>
      <c r="I21" s="6">
        <f t="shared" si="4"/>
        <v>27.169999999999987</v>
      </c>
      <c r="J21" s="5">
        <f t="shared" si="5"/>
        <v>57.802499999999995</v>
      </c>
      <c r="K21" s="6">
        <f t="shared" si="6"/>
        <v>61.132499999999972</v>
      </c>
      <c r="L21" s="7">
        <f t="shared" si="7"/>
        <v>0</v>
      </c>
      <c r="M21" s="6">
        <f t="shared" si="8"/>
        <v>0</v>
      </c>
      <c r="N21" s="7">
        <f t="shared" si="9"/>
        <v>0</v>
      </c>
      <c r="O21" s="6">
        <f t="shared" si="10"/>
        <v>0</v>
      </c>
      <c r="P21" s="5">
        <f t="shared" si="11"/>
        <v>0</v>
      </c>
      <c r="Q21" s="6">
        <f t="shared" si="12"/>
        <v>0</v>
      </c>
      <c r="R21" s="7">
        <f t="shared" si="13"/>
        <v>0</v>
      </c>
      <c r="S21" s="6">
        <f t="shared" si="14"/>
        <v>0</v>
      </c>
      <c r="T21" s="7">
        <f t="shared" si="15"/>
        <v>0</v>
      </c>
      <c r="U21" s="6">
        <f t="shared" si="16"/>
        <v>0</v>
      </c>
      <c r="V21" s="5">
        <f t="shared" si="17"/>
        <v>0</v>
      </c>
      <c r="W21" s="6">
        <f t="shared" si="18"/>
        <v>0</v>
      </c>
      <c r="X21" s="7">
        <f t="shared" si="19"/>
        <v>0</v>
      </c>
      <c r="Y21" s="6">
        <f t="shared" si="20"/>
        <v>0</v>
      </c>
      <c r="Z21" s="7">
        <f t="shared" si="21"/>
        <v>0</v>
      </c>
      <c r="AA21" s="6">
        <f t="shared" si="22"/>
        <v>0</v>
      </c>
      <c r="AB21" s="5">
        <f t="shared" si="23"/>
        <v>0</v>
      </c>
      <c r="AC21" s="6">
        <f t="shared" si="24"/>
        <v>0</v>
      </c>
      <c r="AD21" s="7">
        <f t="shared" si="25"/>
        <v>0</v>
      </c>
      <c r="AE21" s="6">
        <f t="shared" si="26"/>
        <v>0</v>
      </c>
      <c r="AF21" s="7">
        <f t="shared" si="27"/>
        <v>0</v>
      </c>
      <c r="AG21" s="6">
        <f t="shared" si="28"/>
        <v>0</v>
      </c>
      <c r="AH21" s="5">
        <f t="shared" si="29"/>
        <v>0</v>
      </c>
      <c r="AI21" s="6">
        <f t="shared" si="30"/>
        <v>0</v>
      </c>
      <c r="AJ21" s="7">
        <f t="shared" si="31"/>
        <v>0</v>
      </c>
      <c r="AK21" s="6">
        <f t="shared" si="32"/>
        <v>0</v>
      </c>
      <c r="AL21" s="7">
        <f t="shared" si="33"/>
        <v>0</v>
      </c>
      <c r="AM21" s="6">
        <f t="shared" si="34"/>
        <v>0</v>
      </c>
      <c r="AN21" s="5">
        <f t="shared" si="35"/>
        <v>0</v>
      </c>
      <c r="AO21" s="6">
        <f t="shared" si="36"/>
        <v>0</v>
      </c>
      <c r="AP21" s="7">
        <f t="shared" si="37"/>
        <v>0</v>
      </c>
      <c r="AQ21" s="6">
        <f t="shared" si="38"/>
        <v>0</v>
      </c>
      <c r="AR21" s="7">
        <f t="shared" si="39"/>
        <v>0</v>
      </c>
      <c r="AS21" s="6">
        <f t="shared" si="40"/>
        <v>0</v>
      </c>
      <c r="AT21" s="5">
        <f t="shared" si="41"/>
        <v>0</v>
      </c>
      <c r="AU21" s="6">
        <f t="shared" si="42"/>
        <v>0</v>
      </c>
      <c r="AV21" s="7">
        <f t="shared" si="43"/>
        <v>0</v>
      </c>
      <c r="AW21" s="6">
        <f t="shared" si="44"/>
        <v>0</v>
      </c>
      <c r="AX21" s="7">
        <f t="shared" si="45"/>
        <v>0</v>
      </c>
      <c r="AY21" s="6">
        <f t="shared" si="46"/>
        <v>0</v>
      </c>
      <c r="AZ21" s="5">
        <f t="shared" si="47"/>
        <v>0</v>
      </c>
      <c r="BA21" s="6">
        <f t="shared" si="48"/>
        <v>0</v>
      </c>
      <c r="BB21" s="7">
        <f t="shared" si="49"/>
        <v>0</v>
      </c>
      <c r="BC21" s="6">
        <f t="shared" si="50"/>
        <v>0</v>
      </c>
      <c r="BD21" s="7">
        <f t="shared" si="51"/>
        <v>0</v>
      </c>
      <c r="BE21" s="6">
        <f t="shared" si="52"/>
        <v>0</v>
      </c>
      <c r="BF21" s="5">
        <f t="shared" si="53"/>
        <v>0</v>
      </c>
      <c r="BG21" s="6">
        <f t="shared" si="54"/>
        <v>0</v>
      </c>
      <c r="BH21" s="7">
        <f t="shared" si="55"/>
        <v>0</v>
      </c>
      <c r="BI21" s="6">
        <f t="shared" si="56"/>
        <v>0</v>
      </c>
      <c r="BJ21" s="7">
        <f t="shared" si="57"/>
        <v>0</v>
      </c>
      <c r="BK21" s="6">
        <f t="shared" si="58"/>
        <v>0</v>
      </c>
      <c r="BL21" s="5">
        <f t="shared" si="59"/>
        <v>0</v>
      </c>
      <c r="BM21" s="6">
        <f t="shared" si="60"/>
        <v>0</v>
      </c>
      <c r="BN21" s="7">
        <f t="shared" si="61"/>
        <v>0</v>
      </c>
      <c r="BO21" s="6">
        <f t="shared" si="62"/>
        <v>0</v>
      </c>
      <c r="BP21" s="7">
        <f t="shared" si="63"/>
        <v>0</v>
      </c>
      <c r="BQ21" s="6">
        <f t="shared" si="64"/>
        <v>0</v>
      </c>
      <c r="BR21" s="5">
        <f t="shared" si="65"/>
        <v>0</v>
      </c>
      <c r="BS21" s="6">
        <f t="shared" si="66"/>
        <v>0</v>
      </c>
      <c r="BT21" s="7">
        <f t="shared" si="67"/>
        <v>0</v>
      </c>
      <c r="BU21" s="6">
        <f t="shared" si="68"/>
        <v>0</v>
      </c>
      <c r="BV21" s="7">
        <f t="shared" si="69"/>
        <v>0</v>
      </c>
      <c r="BW21" s="6">
        <f t="shared" si="70"/>
        <v>0</v>
      </c>
      <c r="BX21" s="5">
        <f t="shared" si="71"/>
        <v>0</v>
      </c>
      <c r="BY21" s="6">
        <f t="shared" si="72"/>
        <v>0</v>
      </c>
      <c r="BZ21" s="7">
        <f t="shared" si="73"/>
        <v>0</v>
      </c>
      <c r="CA21" s="6">
        <f t="shared" si="74"/>
        <v>0</v>
      </c>
      <c r="CB21" s="7">
        <f t="shared" si="75"/>
        <v>0</v>
      </c>
      <c r="CC21" s="6">
        <f t="shared" si="76"/>
        <v>0</v>
      </c>
      <c r="CD21" s="5">
        <f t="shared" si="77"/>
        <v>0</v>
      </c>
      <c r="CE21" s="6">
        <f t="shared" si="78"/>
        <v>0</v>
      </c>
      <c r="CF21" s="7">
        <f t="shared" si="79"/>
        <v>0</v>
      </c>
      <c r="CG21" s="6">
        <f t="shared" si="80"/>
        <v>0</v>
      </c>
      <c r="CH21" s="7">
        <f t="shared" si="81"/>
        <v>0</v>
      </c>
      <c r="CI21" s="6">
        <f t="shared" si="82"/>
        <v>0</v>
      </c>
      <c r="CJ21" s="5">
        <f t="shared" si="83"/>
        <v>0</v>
      </c>
      <c r="CK21" s="6">
        <f t="shared" si="84"/>
        <v>0</v>
      </c>
      <c r="CL21" s="7">
        <f t="shared" si="85"/>
        <v>0</v>
      </c>
      <c r="CM21" s="6">
        <f t="shared" si="86"/>
        <v>0</v>
      </c>
      <c r="CN21" s="7">
        <f t="shared" si="87"/>
        <v>0</v>
      </c>
      <c r="CO21" s="6">
        <f t="shared" si="88"/>
        <v>0</v>
      </c>
      <c r="CP21" s="5">
        <f t="shared" si="89"/>
        <v>0</v>
      </c>
      <c r="CQ21" s="6">
        <f t="shared" si="90"/>
        <v>0</v>
      </c>
      <c r="CR21" s="7">
        <f t="shared" si="0"/>
        <v>32.112499999999997</v>
      </c>
      <c r="CS21" s="6">
        <f t="shared" si="0"/>
        <v>33.962499999999984</v>
      </c>
      <c r="CT21" s="7">
        <f t="shared" si="0"/>
        <v>25.689999999999998</v>
      </c>
      <c r="CU21" s="6">
        <f t="shared" si="0"/>
        <v>27.169999999999987</v>
      </c>
      <c r="CV21" s="5">
        <f t="shared" si="91"/>
        <v>57.802499999999995</v>
      </c>
      <c r="CW21" s="6">
        <f t="shared" si="92"/>
        <v>61.132499999999972</v>
      </c>
      <c r="CY21" s="7">
        <v>57.802499999999995</v>
      </c>
      <c r="CZ21" s="5">
        <f t="array" ref="CZ21">Summary_UpperBound</f>
        <v>61.132499999999972</v>
      </c>
      <c r="DA21" s="6">
        <f t="shared" si="93"/>
        <v>3.329999999999977</v>
      </c>
    </row>
    <row r="22" spans="1:105" x14ac:dyDescent="0.35">
      <c r="B22" s="14"/>
      <c r="E22" s="12">
        <f t="shared" si="94"/>
        <v>44240</v>
      </c>
      <c r="F22" s="7">
        <f t="shared" si="1"/>
        <v>32.112499999999997</v>
      </c>
      <c r="G22" s="6">
        <f t="shared" si="2"/>
        <v>33.962499999999984</v>
      </c>
      <c r="H22" s="7">
        <f t="shared" si="3"/>
        <v>25.689999999999998</v>
      </c>
      <c r="I22" s="6">
        <f t="shared" si="4"/>
        <v>27.169999999999987</v>
      </c>
      <c r="J22" s="5">
        <f t="shared" si="5"/>
        <v>57.802499999999995</v>
      </c>
      <c r="K22" s="6">
        <f t="shared" si="6"/>
        <v>61.132499999999972</v>
      </c>
      <c r="L22" s="7">
        <f t="shared" si="7"/>
        <v>0</v>
      </c>
      <c r="M22" s="6">
        <f t="shared" si="8"/>
        <v>0</v>
      </c>
      <c r="N22" s="7">
        <f t="shared" si="9"/>
        <v>0</v>
      </c>
      <c r="O22" s="6">
        <f t="shared" si="10"/>
        <v>0</v>
      </c>
      <c r="P22" s="5">
        <f t="shared" si="11"/>
        <v>0</v>
      </c>
      <c r="Q22" s="6">
        <f t="shared" si="12"/>
        <v>0</v>
      </c>
      <c r="R22" s="7">
        <f t="shared" si="13"/>
        <v>0</v>
      </c>
      <c r="S22" s="6">
        <f t="shared" si="14"/>
        <v>0</v>
      </c>
      <c r="T22" s="7">
        <f t="shared" si="15"/>
        <v>0</v>
      </c>
      <c r="U22" s="6">
        <f t="shared" si="16"/>
        <v>0</v>
      </c>
      <c r="V22" s="5">
        <f t="shared" si="17"/>
        <v>0</v>
      </c>
      <c r="W22" s="6">
        <f t="shared" si="18"/>
        <v>0</v>
      </c>
      <c r="X22" s="7">
        <f t="shared" si="19"/>
        <v>0</v>
      </c>
      <c r="Y22" s="6">
        <f t="shared" si="20"/>
        <v>0</v>
      </c>
      <c r="Z22" s="7">
        <f t="shared" si="21"/>
        <v>0</v>
      </c>
      <c r="AA22" s="6">
        <f t="shared" si="22"/>
        <v>0</v>
      </c>
      <c r="AB22" s="5">
        <f t="shared" si="23"/>
        <v>0</v>
      </c>
      <c r="AC22" s="6">
        <f t="shared" si="24"/>
        <v>0</v>
      </c>
      <c r="AD22" s="7">
        <f t="shared" si="25"/>
        <v>0</v>
      </c>
      <c r="AE22" s="6">
        <f t="shared" si="26"/>
        <v>0</v>
      </c>
      <c r="AF22" s="7">
        <f t="shared" si="27"/>
        <v>0</v>
      </c>
      <c r="AG22" s="6">
        <f t="shared" si="28"/>
        <v>0</v>
      </c>
      <c r="AH22" s="5">
        <f t="shared" si="29"/>
        <v>0</v>
      </c>
      <c r="AI22" s="6">
        <f t="shared" si="30"/>
        <v>0</v>
      </c>
      <c r="AJ22" s="7">
        <f t="shared" si="31"/>
        <v>0</v>
      </c>
      <c r="AK22" s="6">
        <f t="shared" si="32"/>
        <v>0</v>
      </c>
      <c r="AL22" s="7">
        <f t="shared" si="33"/>
        <v>0</v>
      </c>
      <c r="AM22" s="6">
        <f t="shared" si="34"/>
        <v>0</v>
      </c>
      <c r="AN22" s="5">
        <f t="shared" si="35"/>
        <v>0</v>
      </c>
      <c r="AO22" s="6">
        <f t="shared" si="36"/>
        <v>0</v>
      </c>
      <c r="AP22" s="7">
        <f t="shared" si="37"/>
        <v>0</v>
      </c>
      <c r="AQ22" s="6">
        <f t="shared" si="38"/>
        <v>0</v>
      </c>
      <c r="AR22" s="7">
        <f t="shared" si="39"/>
        <v>0</v>
      </c>
      <c r="AS22" s="6">
        <f t="shared" si="40"/>
        <v>0</v>
      </c>
      <c r="AT22" s="5">
        <f t="shared" si="41"/>
        <v>0</v>
      </c>
      <c r="AU22" s="6">
        <f t="shared" si="42"/>
        <v>0</v>
      </c>
      <c r="AV22" s="7">
        <f t="shared" si="43"/>
        <v>0</v>
      </c>
      <c r="AW22" s="6">
        <f t="shared" si="44"/>
        <v>0</v>
      </c>
      <c r="AX22" s="7">
        <f t="shared" si="45"/>
        <v>0</v>
      </c>
      <c r="AY22" s="6">
        <f t="shared" si="46"/>
        <v>0</v>
      </c>
      <c r="AZ22" s="5">
        <f t="shared" si="47"/>
        <v>0</v>
      </c>
      <c r="BA22" s="6">
        <f t="shared" si="48"/>
        <v>0</v>
      </c>
      <c r="BB22" s="7">
        <f t="shared" si="49"/>
        <v>0</v>
      </c>
      <c r="BC22" s="6">
        <f t="shared" si="50"/>
        <v>0</v>
      </c>
      <c r="BD22" s="7">
        <f t="shared" si="51"/>
        <v>0</v>
      </c>
      <c r="BE22" s="6">
        <f t="shared" si="52"/>
        <v>0</v>
      </c>
      <c r="BF22" s="5">
        <f t="shared" si="53"/>
        <v>0</v>
      </c>
      <c r="BG22" s="6">
        <f t="shared" si="54"/>
        <v>0</v>
      </c>
      <c r="BH22" s="7">
        <f t="shared" si="55"/>
        <v>0</v>
      </c>
      <c r="BI22" s="6">
        <f t="shared" si="56"/>
        <v>0</v>
      </c>
      <c r="BJ22" s="7">
        <f t="shared" si="57"/>
        <v>0</v>
      </c>
      <c r="BK22" s="6">
        <f t="shared" si="58"/>
        <v>0</v>
      </c>
      <c r="BL22" s="5">
        <f t="shared" si="59"/>
        <v>0</v>
      </c>
      <c r="BM22" s="6">
        <f t="shared" si="60"/>
        <v>0</v>
      </c>
      <c r="BN22" s="7">
        <f t="shared" si="61"/>
        <v>0</v>
      </c>
      <c r="BO22" s="6">
        <f t="shared" si="62"/>
        <v>0</v>
      </c>
      <c r="BP22" s="7">
        <f t="shared" si="63"/>
        <v>0</v>
      </c>
      <c r="BQ22" s="6">
        <f t="shared" si="64"/>
        <v>0</v>
      </c>
      <c r="BR22" s="5">
        <f t="shared" si="65"/>
        <v>0</v>
      </c>
      <c r="BS22" s="6">
        <f t="shared" si="66"/>
        <v>0</v>
      </c>
      <c r="BT22" s="7">
        <f t="shared" si="67"/>
        <v>0</v>
      </c>
      <c r="BU22" s="6">
        <f t="shared" si="68"/>
        <v>0</v>
      </c>
      <c r="BV22" s="7">
        <f t="shared" si="69"/>
        <v>0</v>
      </c>
      <c r="BW22" s="6">
        <f t="shared" si="70"/>
        <v>0</v>
      </c>
      <c r="BX22" s="5">
        <f t="shared" si="71"/>
        <v>0</v>
      </c>
      <c r="BY22" s="6">
        <f t="shared" si="72"/>
        <v>0</v>
      </c>
      <c r="BZ22" s="7">
        <f t="shared" si="73"/>
        <v>0</v>
      </c>
      <c r="CA22" s="6">
        <f t="shared" si="74"/>
        <v>0</v>
      </c>
      <c r="CB22" s="7">
        <f t="shared" si="75"/>
        <v>0</v>
      </c>
      <c r="CC22" s="6">
        <f t="shared" si="76"/>
        <v>0</v>
      </c>
      <c r="CD22" s="5">
        <f t="shared" si="77"/>
        <v>0</v>
      </c>
      <c r="CE22" s="6">
        <f t="shared" si="78"/>
        <v>0</v>
      </c>
      <c r="CF22" s="7">
        <f t="shared" si="79"/>
        <v>0</v>
      </c>
      <c r="CG22" s="6">
        <f t="shared" si="80"/>
        <v>0</v>
      </c>
      <c r="CH22" s="7">
        <f t="shared" si="81"/>
        <v>0</v>
      </c>
      <c r="CI22" s="6">
        <f t="shared" si="82"/>
        <v>0</v>
      </c>
      <c r="CJ22" s="5">
        <f t="shared" si="83"/>
        <v>0</v>
      </c>
      <c r="CK22" s="6">
        <f t="shared" si="84"/>
        <v>0</v>
      </c>
      <c r="CL22" s="7">
        <f t="shared" si="85"/>
        <v>0</v>
      </c>
      <c r="CM22" s="6">
        <f t="shared" si="86"/>
        <v>0</v>
      </c>
      <c r="CN22" s="7">
        <f t="shared" si="87"/>
        <v>0</v>
      </c>
      <c r="CO22" s="6">
        <f t="shared" si="88"/>
        <v>0</v>
      </c>
      <c r="CP22" s="5">
        <f t="shared" si="89"/>
        <v>0</v>
      </c>
      <c r="CQ22" s="6">
        <f t="shared" si="90"/>
        <v>0</v>
      </c>
      <c r="CR22" s="7">
        <f t="shared" si="0"/>
        <v>32.112499999999997</v>
      </c>
      <c r="CS22" s="6">
        <f t="shared" si="0"/>
        <v>33.962499999999984</v>
      </c>
      <c r="CT22" s="7">
        <f t="shared" si="0"/>
        <v>25.689999999999998</v>
      </c>
      <c r="CU22" s="6">
        <f t="shared" si="0"/>
        <v>27.169999999999987</v>
      </c>
      <c r="CV22" s="5">
        <f t="shared" si="91"/>
        <v>57.802499999999995</v>
      </c>
      <c r="CW22" s="6">
        <f t="shared" si="92"/>
        <v>61.132499999999972</v>
      </c>
      <c r="CY22" s="7">
        <v>57.802499999999995</v>
      </c>
      <c r="CZ22" s="5">
        <f t="array" ref="CZ22">Summary_UpperBound</f>
        <v>61.132499999999972</v>
      </c>
      <c r="DA22" s="6">
        <f t="shared" si="93"/>
        <v>3.329999999999977</v>
      </c>
    </row>
    <row r="23" spans="1:105" x14ac:dyDescent="0.35">
      <c r="B23" s="14"/>
      <c r="E23" s="12">
        <f t="shared" si="94"/>
        <v>44247</v>
      </c>
      <c r="F23" s="7">
        <f t="shared" si="1"/>
        <v>32.112499999999997</v>
      </c>
      <c r="G23" s="6">
        <f t="shared" si="2"/>
        <v>33.962499999999984</v>
      </c>
      <c r="H23" s="7">
        <f t="shared" si="3"/>
        <v>25.689999999999998</v>
      </c>
      <c r="I23" s="6">
        <f t="shared" si="4"/>
        <v>27.169999999999987</v>
      </c>
      <c r="J23" s="5">
        <f t="shared" si="5"/>
        <v>57.802499999999995</v>
      </c>
      <c r="K23" s="6">
        <f t="shared" si="6"/>
        <v>61.132499999999972</v>
      </c>
      <c r="L23" s="7">
        <f t="shared" si="7"/>
        <v>0</v>
      </c>
      <c r="M23" s="6">
        <f t="shared" si="8"/>
        <v>0</v>
      </c>
      <c r="N23" s="7">
        <f t="shared" si="9"/>
        <v>0</v>
      </c>
      <c r="O23" s="6">
        <f t="shared" si="10"/>
        <v>0</v>
      </c>
      <c r="P23" s="5">
        <f t="shared" si="11"/>
        <v>0</v>
      </c>
      <c r="Q23" s="6">
        <f t="shared" si="12"/>
        <v>0</v>
      </c>
      <c r="R23" s="7">
        <f t="shared" si="13"/>
        <v>0</v>
      </c>
      <c r="S23" s="6">
        <f t="shared" si="14"/>
        <v>0</v>
      </c>
      <c r="T23" s="7">
        <f t="shared" si="15"/>
        <v>0</v>
      </c>
      <c r="U23" s="6">
        <f t="shared" si="16"/>
        <v>0</v>
      </c>
      <c r="V23" s="5">
        <f t="shared" si="17"/>
        <v>0</v>
      </c>
      <c r="W23" s="6">
        <f t="shared" si="18"/>
        <v>0</v>
      </c>
      <c r="X23" s="7">
        <f t="shared" si="19"/>
        <v>0</v>
      </c>
      <c r="Y23" s="6">
        <f t="shared" si="20"/>
        <v>0</v>
      </c>
      <c r="Z23" s="7">
        <f t="shared" si="21"/>
        <v>0</v>
      </c>
      <c r="AA23" s="6">
        <f t="shared" si="22"/>
        <v>0</v>
      </c>
      <c r="AB23" s="5">
        <f t="shared" si="23"/>
        <v>0</v>
      </c>
      <c r="AC23" s="6">
        <f t="shared" si="24"/>
        <v>0</v>
      </c>
      <c r="AD23" s="7">
        <f t="shared" si="25"/>
        <v>0</v>
      </c>
      <c r="AE23" s="6">
        <f t="shared" si="26"/>
        <v>0</v>
      </c>
      <c r="AF23" s="7">
        <f t="shared" si="27"/>
        <v>0</v>
      </c>
      <c r="AG23" s="6">
        <f t="shared" si="28"/>
        <v>0</v>
      </c>
      <c r="AH23" s="5">
        <f t="shared" si="29"/>
        <v>0</v>
      </c>
      <c r="AI23" s="6">
        <f t="shared" si="30"/>
        <v>0</v>
      </c>
      <c r="AJ23" s="7">
        <f t="shared" si="31"/>
        <v>0</v>
      </c>
      <c r="AK23" s="6">
        <f t="shared" si="32"/>
        <v>0</v>
      </c>
      <c r="AL23" s="7">
        <f t="shared" si="33"/>
        <v>0</v>
      </c>
      <c r="AM23" s="6">
        <f t="shared" si="34"/>
        <v>0</v>
      </c>
      <c r="AN23" s="5">
        <f t="shared" si="35"/>
        <v>0</v>
      </c>
      <c r="AO23" s="6">
        <f t="shared" si="36"/>
        <v>0</v>
      </c>
      <c r="AP23" s="7">
        <f t="shared" si="37"/>
        <v>0</v>
      </c>
      <c r="AQ23" s="6">
        <f t="shared" si="38"/>
        <v>0</v>
      </c>
      <c r="AR23" s="7">
        <f t="shared" si="39"/>
        <v>0</v>
      </c>
      <c r="AS23" s="6">
        <f t="shared" si="40"/>
        <v>0</v>
      </c>
      <c r="AT23" s="5">
        <f t="shared" si="41"/>
        <v>0</v>
      </c>
      <c r="AU23" s="6">
        <f t="shared" si="42"/>
        <v>0</v>
      </c>
      <c r="AV23" s="7">
        <f t="shared" si="43"/>
        <v>0</v>
      </c>
      <c r="AW23" s="6">
        <f t="shared" si="44"/>
        <v>0</v>
      </c>
      <c r="AX23" s="7">
        <f t="shared" si="45"/>
        <v>0</v>
      </c>
      <c r="AY23" s="6">
        <f t="shared" si="46"/>
        <v>0</v>
      </c>
      <c r="AZ23" s="5">
        <f t="shared" si="47"/>
        <v>0</v>
      </c>
      <c r="BA23" s="6">
        <f t="shared" si="48"/>
        <v>0</v>
      </c>
      <c r="BB23" s="7">
        <f t="shared" si="49"/>
        <v>0</v>
      </c>
      <c r="BC23" s="6">
        <f t="shared" si="50"/>
        <v>0</v>
      </c>
      <c r="BD23" s="7">
        <f t="shared" si="51"/>
        <v>0</v>
      </c>
      <c r="BE23" s="6">
        <f t="shared" si="52"/>
        <v>0</v>
      </c>
      <c r="BF23" s="5">
        <f t="shared" si="53"/>
        <v>0</v>
      </c>
      <c r="BG23" s="6">
        <f t="shared" si="54"/>
        <v>0</v>
      </c>
      <c r="BH23" s="7">
        <f t="shared" si="55"/>
        <v>0</v>
      </c>
      <c r="BI23" s="6">
        <f t="shared" si="56"/>
        <v>0</v>
      </c>
      <c r="BJ23" s="7">
        <f t="shared" si="57"/>
        <v>0</v>
      </c>
      <c r="BK23" s="6">
        <f t="shared" si="58"/>
        <v>0</v>
      </c>
      <c r="BL23" s="5">
        <f t="shared" si="59"/>
        <v>0</v>
      </c>
      <c r="BM23" s="6">
        <f t="shared" si="60"/>
        <v>0</v>
      </c>
      <c r="BN23" s="7">
        <f t="shared" si="61"/>
        <v>0</v>
      </c>
      <c r="BO23" s="6">
        <f t="shared" si="62"/>
        <v>0</v>
      </c>
      <c r="BP23" s="7">
        <f t="shared" si="63"/>
        <v>0</v>
      </c>
      <c r="BQ23" s="6">
        <f t="shared" si="64"/>
        <v>0</v>
      </c>
      <c r="BR23" s="5">
        <f t="shared" si="65"/>
        <v>0</v>
      </c>
      <c r="BS23" s="6">
        <f t="shared" si="66"/>
        <v>0</v>
      </c>
      <c r="BT23" s="7">
        <f t="shared" si="67"/>
        <v>0</v>
      </c>
      <c r="BU23" s="6">
        <f t="shared" si="68"/>
        <v>0</v>
      </c>
      <c r="BV23" s="7">
        <f t="shared" si="69"/>
        <v>0</v>
      </c>
      <c r="BW23" s="6">
        <f t="shared" si="70"/>
        <v>0</v>
      </c>
      <c r="BX23" s="5">
        <f t="shared" si="71"/>
        <v>0</v>
      </c>
      <c r="BY23" s="6">
        <f t="shared" si="72"/>
        <v>0</v>
      </c>
      <c r="BZ23" s="7">
        <f t="shared" si="73"/>
        <v>0</v>
      </c>
      <c r="CA23" s="6">
        <f t="shared" si="74"/>
        <v>0</v>
      </c>
      <c r="CB23" s="7">
        <f t="shared" si="75"/>
        <v>0</v>
      </c>
      <c r="CC23" s="6">
        <f t="shared" si="76"/>
        <v>0</v>
      </c>
      <c r="CD23" s="5">
        <f t="shared" si="77"/>
        <v>0</v>
      </c>
      <c r="CE23" s="6">
        <f t="shared" si="78"/>
        <v>0</v>
      </c>
      <c r="CF23" s="7">
        <f t="shared" si="79"/>
        <v>0</v>
      </c>
      <c r="CG23" s="6">
        <f t="shared" si="80"/>
        <v>0</v>
      </c>
      <c r="CH23" s="7">
        <f t="shared" si="81"/>
        <v>0</v>
      </c>
      <c r="CI23" s="6">
        <f t="shared" si="82"/>
        <v>0</v>
      </c>
      <c r="CJ23" s="5">
        <f t="shared" si="83"/>
        <v>0</v>
      </c>
      <c r="CK23" s="6">
        <f t="shared" si="84"/>
        <v>0</v>
      </c>
      <c r="CL23" s="7">
        <f t="shared" si="85"/>
        <v>0</v>
      </c>
      <c r="CM23" s="6">
        <f t="shared" si="86"/>
        <v>0</v>
      </c>
      <c r="CN23" s="7">
        <f t="shared" si="87"/>
        <v>0</v>
      </c>
      <c r="CO23" s="6">
        <f t="shared" si="88"/>
        <v>0</v>
      </c>
      <c r="CP23" s="5">
        <f t="shared" si="89"/>
        <v>0</v>
      </c>
      <c r="CQ23" s="6">
        <f t="shared" si="90"/>
        <v>0</v>
      </c>
      <c r="CR23" s="7">
        <f t="shared" si="0"/>
        <v>32.112499999999997</v>
      </c>
      <c r="CS23" s="6">
        <f t="shared" si="0"/>
        <v>33.962499999999984</v>
      </c>
      <c r="CT23" s="7">
        <f t="shared" si="0"/>
        <v>25.689999999999998</v>
      </c>
      <c r="CU23" s="6">
        <f t="shared" si="0"/>
        <v>27.169999999999987</v>
      </c>
      <c r="CV23" s="5">
        <f t="shared" si="91"/>
        <v>57.802499999999995</v>
      </c>
      <c r="CW23" s="6">
        <f t="shared" si="92"/>
        <v>61.132499999999972</v>
      </c>
      <c r="CY23" s="7">
        <v>57.802499999999995</v>
      </c>
      <c r="CZ23" s="5">
        <f t="array" ref="CZ23">Summary_UpperBound</f>
        <v>61.132499999999972</v>
      </c>
      <c r="DA23" s="6">
        <f t="shared" si="93"/>
        <v>3.329999999999977</v>
      </c>
    </row>
    <row r="24" spans="1:105" x14ac:dyDescent="0.35">
      <c r="B24" s="14"/>
      <c r="E24" s="12">
        <f t="shared" si="94"/>
        <v>44254</v>
      </c>
      <c r="F24" s="7">
        <f t="shared" si="1"/>
        <v>32.112499999999997</v>
      </c>
      <c r="G24" s="6">
        <f t="shared" si="2"/>
        <v>33.962499999999984</v>
      </c>
      <c r="H24" s="7">
        <f t="shared" si="3"/>
        <v>25.689999999999998</v>
      </c>
      <c r="I24" s="6">
        <f t="shared" si="4"/>
        <v>27.169999999999987</v>
      </c>
      <c r="J24" s="5">
        <f t="shared" si="5"/>
        <v>57.802499999999995</v>
      </c>
      <c r="K24" s="6">
        <f t="shared" si="6"/>
        <v>61.132499999999972</v>
      </c>
      <c r="L24" s="7">
        <f t="shared" si="7"/>
        <v>0</v>
      </c>
      <c r="M24" s="6">
        <f t="shared" si="8"/>
        <v>0</v>
      </c>
      <c r="N24" s="7">
        <f t="shared" si="9"/>
        <v>0</v>
      </c>
      <c r="O24" s="6">
        <f t="shared" si="10"/>
        <v>0</v>
      </c>
      <c r="P24" s="5">
        <f t="shared" si="11"/>
        <v>0</v>
      </c>
      <c r="Q24" s="6">
        <f t="shared" si="12"/>
        <v>0</v>
      </c>
      <c r="R24" s="7">
        <f t="shared" si="13"/>
        <v>0</v>
      </c>
      <c r="S24" s="6">
        <f t="shared" si="14"/>
        <v>0</v>
      </c>
      <c r="T24" s="7">
        <f t="shared" si="15"/>
        <v>0</v>
      </c>
      <c r="U24" s="6">
        <f t="shared" si="16"/>
        <v>0</v>
      </c>
      <c r="V24" s="5">
        <f t="shared" si="17"/>
        <v>0</v>
      </c>
      <c r="W24" s="6">
        <f t="shared" si="18"/>
        <v>0</v>
      </c>
      <c r="X24" s="7">
        <f t="shared" si="19"/>
        <v>0</v>
      </c>
      <c r="Y24" s="6">
        <f t="shared" si="20"/>
        <v>0</v>
      </c>
      <c r="Z24" s="7">
        <f t="shared" si="21"/>
        <v>0</v>
      </c>
      <c r="AA24" s="6">
        <f t="shared" si="22"/>
        <v>0</v>
      </c>
      <c r="AB24" s="5">
        <f t="shared" si="23"/>
        <v>0</v>
      </c>
      <c r="AC24" s="6">
        <f t="shared" si="24"/>
        <v>0</v>
      </c>
      <c r="AD24" s="7">
        <f t="shared" si="25"/>
        <v>0</v>
      </c>
      <c r="AE24" s="6">
        <f t="shared" si="26"/>
        <v>0</v>
      </c>
      <c r="AF24" s="7">
        <f t="shared" si="27"/>
        <v>0</v>
      </c>
      <c r="AG24" s="6">
        <f t="shared" si="28"/>
        <v>0</v>
      </c>
      <c r="AH24" s="5">
        <f t="shared" si="29"/>
        <v>0</v>
      </c>
      <c r="AI24" s="6">
        <f t="shared" si="30"/>
        <v>0</v>
      </c>
      <c r="AJ24" s="7">
        <f t="shared" si="31"/>
        <v>0</v>
      </c>
      <c r="AK24" s="6">
        <f t="shared" si="32"/>
        <v>0</v>
      </c>
      <c r="AL24" s="7">
        <f t="shared" si="33"/>
        <v>0</v>
      </c>
      <c r="AM24" s="6">
        <f t="shared" si="34"/>
        <v>0</v>
      </c>
      <c r="AN24" s="5">
        <f t="shared" si="35"/>
        <v>0</v>
      </c>
      <c r="AO24" s="6">
        <f t="shared" si="36"/>
        <v>0</v>
      </c>
      <c r="AP24" s="7">
        <f t="shared" si="37"/>
        <v>0</v>
      </c>
      <c r="AQ24" s="6">
        <f t="shared" si="38"/>
        <v>0</v>
      </c>
      <c r="AR24" s="7">
        <f t="shared" si="39"/>
        <v>0</v>
      </c>
      <c r="AS24" s="6">
        <f t="shared" si="40"/>
        <v>0</v>
      </c>
      <c r="AT24" s="5">
        <f t="shared" si="41"/>
        <v>0</v>
      </c>
      <c r="AU24" s="6">
        <f t="shared" si="42"/>
        <v>0</v>
      </c>
      <c r="AV24" s="7">
        <f t="shared" si="43"/>
        <v>0</v>
      </c>
      <c r="AW24" s="6">
        <f t="shared" si="44"/>
        <v>0</v>
      </c>
      <c r="AX24" s="7">
        <f t="shared" si="45"/>
        <v>0</v>
      </c>
      <c r="AY24" s="6">
        <f t="shared" si="46"/>
        <v>0</v>
      </c>
      <c r="AZ24" s="5">
        <f t="shared" si="47"/>
        <v>0</v>
      </c>
      <c r="BA24" s="6">
        <f t="shared" si="48"/>
        <v>0</v>
      </c>
      <c r="BB24" s="7">
        <f t="shared" si="49"/>
        <v>0</v>
      </c>
      <c r="BC24" s="6">
        <f t="shared" si="50"/>
        <v>0</v>
      </c>
      <c r="BD24" s="7">
        <f t="shared" si="51"/>
        <v>0</v>
      </c>
      <c r="BE24" s="6">
        <f t="shared" si="52"/>
        <v>0</v>
      </c>
      <c r="BF24" s="5">
        <f t="shared" si="53"/>
        <v>0</v>
      </c>
      <c r="BG24" s="6">
        <f t="shared" si="54"/>
        <v>0</v>
      </c>
      <c r="BH24" s="7">
        <f t="shared" si="55"/>
        <v>0</v>
      </c>
      <c r="BI24" s="6">
        <f t="shared" si="56"/>
        <v>0</v>
      </c>
      <c r="BJ24" s="7">
        <f t="shared" si="57"/>
        <v>0</v>
      </c>
      <c r="BK24" s="6">
        <f t="shared" si="58"/>
        <v>0</v>
      </c>
      <c r="BL24" s="5">
        <f t="shared" si="59"/>
        <v>0</v>
      </c>
      <c r="BM24" s="6">
        <f t="shared" si="60"/>
        <v>0</v>
      </c>
      <c r="BN24" s="7">
        <f t="shared" si="61"/>
        <v>0</v>
      </c>
      <c r="BO24" s="6">
        <f t="shared" si="62"/>
        <v>0</v>
      </c>
      <c r="BP24" s="7">
        <f t="shared" si="63"/>
        <v>0</v>
      </c>
      <c r="BQ24" s="6">
        <f t="shared" si="64"/>
        <v>0</v>
      </c>
      <c r="BR24" s="5">
        <f t="shared" si="65"/>
        <v>0</v>
      </c>
      <c r="BS24" s="6">
        <f t="shared" si="66"/>
        <v>0</v>
      </c>
      <c r="BT24" s="7">
        <f t="shared" si="67"/>
        <v>0</v>
      </c>
      <c r="BU24" s="6">
        <f t="shared" si="68"/>
        <v>0</v>
      </c>
      <c r="BV24" s="7">
        <f t="shared" si="69"/>
        <v>0</v>
      </c>
      <c r="BW24" s="6">
        <f t="shared" si="70"/>
        <v>0</v>
      </c>
      <c r="BX24" s="5">
        <f t="shared" si="71"/>
        <v>0</v>
      </c>
      <c r="BY24" s="6">
        <f t="shared" si="72"/>
        <v>0</v>
      </c>
      <c r="BZ24" s="7">
        <f t="shared" si="73"/>
        <v>0</v>
      </c>
      <c r="CA24" s="6">
        <f t="shared" si="74"/>
        <v>0</v>
      </c>
      <c r="CB24" s="7">
        <f t="shared" si="75"/>
        <v>0</v>
      </c>
      <c r="CC24" s="6">
        <f t="shared" si="76"/>
        <v>0</v>
      </c>
      <c r="CD24" s="5">
        <f t="shared" si="77"/>
        <v>0</v>
      </c>
      <c r="CE24" s="6">
        <f t="shared" si="78"/>
        <v>0</v>
      </c>
      <c r="CF24" s="7">
        <f t="shared" si="79"/>
        <v>0</v>
      </c>
      <c r="CG24" s="6">
        <f t="shared" si="80"/>
        <v>0</v>
      </c>
      <c r="CH24" s="7">
        <f t="shared" si="81"/>
        <v>0</v>
      </c>
      <c r="CI24" s="6">
        <f t="shared" si="82"/>
        <v>0</v>
      </c>
      <c r="CJ24" s="5">
        <f t="shared" si="83"/>
        <v>0</v>
      </c>
      <c r="CK24" s="6">
        <f t="shared" si="84"/>
        <v>0</v>
      </c>
      <c r="CL24" s="7">
        <f t="shared" si="85"/>
        <v>0</v>
      </c>
      <c r="CM24" s="6">
        <f t="shared" si="86"/>
        <v>0</v>
      </c>
      <c r="CN24" s="7">
        <f t="shared" si="87"/>
        <v>0</v>
      </c>
      <c r="CO24" s="6">
        <f t="shared" si="88"/>
        <v>0</v>
      </c>
      <c r="CP24" s="5">
        <f t="shared" si="89"/>
        <v>0</v>
      </c>
      <c r="CQ24" s="6">
        <f t="shared" si="90"/>
        <v>0</v>
      </c>
      <c r="CR24" s="7">
        <f t="shared" si="0"/>
        <v>32.112499999999997</v>
      </c>
      <c r="CS24" s="6">
        <f t="shared" si="0"/>
        <v>33.962499999999984</v>
      </c>
      <c r="CT24" s="7">
        <f t="shared" si="0"/>
        <v>25.689999999999998</v>
      </c>
      <c r="CU24" s="6">
        <f t="shared" si="0"/>
        <v>27.169999999999987</v>
      </c>
      <c r="CV24" s="5">
        <f t="shared" si="91"/>
        <v>57.802499999999995</v>
      </c>
      <c r="CW24" s="6">
        <f t="shared" si="92"/>
        <v>61.132499999999972</v>
      </c>
      <c r="CY24" s="7">
        <v>57.802499999999995</v>
      </c>
      <c r="CZ24" s="5">
        <f t="array" ref="CZ24">Summary_UpperBound</f>
        <v>61.132499999999972</v>
      </c>
      <c r="DA24" s="6">
        <f t="shared" si="93"/>
        <v>3.329999999999977</v>
      </c>
    </row>
    <row r="25" spans="1:105" x14ac:dyDescent="0.35">
      <c r="B25" s="14"/>
      <c r="E25" s="12">
        <f t="shared" si="94"/>
        <v>44261</v>
      </c>
      <c r="F25" s="7">
        <f t="shared" si="1"/>
        <v>32.112499999999997</v>
      </c>
      <c r="G25" s="6">
        <f t="shared" si="2"/>
        <v>33.962499999999984</v>
      </c>
      <c r="H25" s="7">
        <f t="shared" si="3"/>
        <v>25.689999999999998</v>
      </c>
      <c r="I25" s="6">
        <f t="shared" si="4"/>
        <v>27.169999999999987</v>
      </c>
      <c r="J25" s="5">
        <f t="shared" si="5"/>
        <v>57.802499999999995</v>
      </c>
      <c r="K25" s="6">
        <f t="shared" si="6"/>
        <v>61.132499999999972</v>
      </c>
      <c r="L25" s="7">
        <f t="shared" si="7"/>
        <v>0</v>
      </c>
      <c r="M25" s="6">
        <f t="shared" si="8"/>
        <v>0</v>
      </c>
      <c r="N25" s="7">
        <f t="shared" si="9"/>
        <v>0</v>
      </c>
      <c r="O25" s="6">
        <f t="shared" si="10"/>
        <v>0</v>
      </c>
      <c r="P25" s="5">
        <f t="shared" si="11"/>
        <v>0</v>
      </c>
      <c r="Q25" s="6">
        <f t="shared" si="12"/>
        <v>0</v>
      </c>
      <c r="R25" s="7">
        <f t="shared" si="13"/>
        <v>0</v>
      </c>
      <c r="S25" s="6">
        <f t="shared" si="14"/>
        <v>0</v>
      </c>
      <c r="T25" s="7">
        <f t="shared" si="15"/>
        <v>0</v>
      </c>
      <c r="U25" s="6">
        <f t="shared" si="16"/>
        <v>0</v>
      </c>
      <c r="V25" s="5">
        <f t="shared" si="17"/>
        <v>0</v>
      </c>
      <c r="W25" s="6">
        <f t="shared" si="18"/>
        <v>0</v>
      </c>
      <c r="X25" s="7">
        <f t="shared" si="19"/>
        <v>0</v>
      </c>
      <c r="Y25" s="6">
        <f t="shared" si="20"/>
        <v>0</v>
      </c>
      <c r="Z25" s="7">
        <f t="shared" si="21"/>
        <v>0</v>
      </c>
      <c r="AA25" s="6">
        <f t="shared" si="22"/>
        <v>0</v>
      </c>
      <c r="AB25" s="5">
        <f t="shared" si="23"/>
        <v>0</v>
      </c>
      <c r="AC25" s="6">
        <f t="shared" si="24"/>
        <v>0</v>
      </c>
      <c r="AD25" s="7">
        <f t="shared" si="25"/>
        <v>0</v>
      </c>
      <c r="AE25" s="6">
        <f t="shared" si="26"/>
        <v>0</v>
      </c>
      <c r="AF25" s="7">
        <f t="shared" si="27"/>
        <v>0</v>
      </c>
      <c r="AG25" s="6">
        <f t="shared" si="28"/>
        <v>0</v>
      </c>
      <c r="AH25" s="5">
        <f t="shared" si="29"/>
        <v>0</v>
      </c>
      <c r="AI25" s="6">
        <f t="shared" si="30"/>
        <v>0</v>
      </c>
      <c r="AJ25" s="7">
        <f t="shared" si="31"/>
        <v>0</v>
      </c>
      <c r="AK25" s="6">
        <f t="shared" si="32"/>
        <v>0</v>
      </c>
      <c r="AL25" s="7">
        <f t="shared" si="33"/>
        <v>0</v>
      </c>
      <c r="AM25" s="6">
        <f t="shared" si="34"/>
        <v>0</v>
      </c>
      <c r="AN25" s="5">
        <f t="shared" si="35"/>
        <v>0</v>
      </c>
      <c r="AO25" s="6">
        <f t="shared" si="36"/>
        <v>0</v>
      </c>
      <c r="AP25" s="7">
        <f t="shared" si="37"/>
        <v>0</v>
      </c>
      <c r="AQ25" s="6">
        <f t="shared" si="38"/>
        <v>0</v>
      </c>
      <c r="AR25" s="7">
        <f t="shared" si="39"/>
        <v>0</v>
      </c>
      <c r="AS25" s="6">
        <f t="shared" si="40"/>
        <v>0</v>
      </c>
      <c r="AT25" s="5">
        <f t="shared" si="41"/>
        <v>0</v>
      </c>
      <c r="AU25" s="6">
        <f t="shared" si="42"/>
        <v>0</v>
      </c>
      <c r="AV25" s="7">
        <f t="shared" si="43"/>
        <v>0</v>
      </c>
      <c r="AW25" s="6">
        <f t="shared" si="44"/>
        <v>0</v>
      </c>
      <c r="AX25" s="7">
        <f t="shared" si="45"/>
        <v>0</v>
      </c>
      <c r="AY25" s="6">
        <f t="shared" si="46"/>
        <v>0</v>
      </c>
      <c r="AZ25" s="5">
        <f t="shared" si="47"/>
        <v>0</v>
      </c>
      <c r="BA25" s="6">
        <f t="shared" si="48"/>
        <v>0</v>
      </c>
      <c r="BB25" s="7">
        <f t="shared" si="49"/>
        <v>0</v>
      </c>
      <c r="BC25" s="6">
        <f t="shared" si="50"/>
        <v>0</v>
      </c>
      <c r="BD25" s="7">
        <f t="shared" si="51"/>
        <v>0</v>
      </c>
      <c r="BE25" s="6">
        <f t="shared" si="52"/>
        <v>0</v>
      </c>
      <c r="BF25" s="5">
        <f t="shared" si="53"/>
        <v>0</v>
      </c>
      <c r="BG25" s="6">
        <f t="shared" si="54"/>
        <v>0</v>
      </c>
      <c r="BH25" s="7">
        <f t="shared" si="55"/>
        <v>0</v>
      </c>
      <c r="BI25" s="6">
        <f t="shared" si="56"/>
        <v>0</v>
      </c>
      <c r="BJ25" s="7">
        <f t="shared" si="57"/>
        <v>0</v>
      </c>
      <c r="BK25" s="6">
        <f t="shared" si="58"/>
        <v>0</v>
      </c>
      <c r="BL25" s="5">
        <f t="shared" si="59"/>
        <v>0</v>
      </c>
      <c r="BM25" s="6">
        <f t="shared" si="60"/>
        <v>0</v>
      </c>
      <c r="BN25" s="7">
        <f t="shared" si="61"/>
        <v>0</v>
      </c>
      <c r="BO25" s="6">
        <f t="shared" si="62"/>
        <v>0</v>
      </c>
      <c r="BP25" s="7">
        <f t="shared" si="63"/>
        <v>0</v>
      </c>
      <c r="BQ25" s="6">
        <f t="shared" si="64"/>
        <v>0</v>
      </c>
      <c r="BR25" s="5">
        <f t="shared" si="65"/>
        <v>0</v>
      </c>
      <c r="BS25" s="6">
        <f t="shared" si="66"/>
        <v>0</v>
      </c>
      <c r="BT25" s="7">
        <f t="shared" si="67"/>
        <v>0</v>
      </c>
      <c r="BU25" s="6">
        <f t="shared" si="68"/>
        <v>0</v>
      </c>
      <c r="BV25" s="7">
        <f t="shared" si="69"/>
        <v>0</v>
      </c>
      <c r="BW25" s="6">
        <f t="shared" si="70"/>
        <v>0</v>
      </c>
      <c r="BX25" s="5">
        <f t="shared" si="71"/>
        <v>0</v>
      </c>
      <c r="BY25" s="6">
        <f t="shared" si="72"/>
        <v>0</v>
      </c>
      <c r="BZ25" s="7">
        <f t="shared" si="73"/>
        <v>0</v>
      </c>
      <c r="CA25" s="6">
        <f t="shared" si="74"/>
        <v>0</v>
      </c>
      <c r="CB25" s="7">
        <f t="shared" si="75"/>
        <v>0</v>
      </c>
      <c r="CC25" s="6">
        <f t="shared" si="76"/>
        <v>0</v>
      </c>
      <c r="CD25" s="5">
        <f t="shared" si="77"/>
        <v>0</v>
      </c>
      <c r="CE25" s="6">
        <f t="shared" si="78"/>
        <v>0</v>
      </c>
      <c r="CF25" s="7">
        <f t="shared" si="79"/>
        <v>0</v>
      </c>
      <c r="CG25" s="6">
        <f t="shared" si="80"/>
        <v>0</v>
      </c>
      <c r="CH25" s="7">
        <f t="shared" si="81"/>
        <v>0</v>
      </c>
      <c r="CI25" s="6">
        <f t="shared" si="82"/>
        <v>0</v>
      </c>
      <c r="CJ25" s="5">
        <f t="shared" si="83"/>
        <v>0</v>
      </c>
      <c r="CK25" s="6">
        <f t="shared" si="84"/>
        <v>0</v>
      </c>
      <c r="CL25" s="7">
        <f t="shared" si="85"/>
        <v>0</v>
      </c>
      <c r="CM25" s="6">
        <f t="shared" si="86"/>
        <v>0</v>
      </c>
      <c r="CN25" s="7">
        <f t="shared" si="87"/>
        <v>0</v>
      </c>
      <c r="CO25" s="6">
        <f t="shared" si="88"/>
        <v>0</v>
      </c>
      <c r="CP25" s="5">
        <f t="shared" si="89"/>
        <v>0</v>
      </c>
      <c r="CQ25" s="6">
        <f t="shared" si="90"/>
        <v>0</v>
      </c>
      <c r="CR25" s="7">
        <f t="shared" ref="CR25:CU44" si="95">SUMIFS($F25:$CO25,$F$2:$CO$2,CR$2,$F$4:$CO$4,CR$4)</f>
        <v>32.112499999999997</v>
      </c>
      <c r="CS25" s="6">
        <f t="shared" si="95"/>
        <v>33.962499999999984</v>
      </c>
      <c r="CT25" s="7">
        <f t="shared" si="95"/>
        <v>25.689999999999998</v>
      </c>
      <c r="CU25" s="6">
        <f t="shared" si="95"/>
        <v>27.169999999999987</v>
      </c>
      <c r="CV25" s="5">
        <f t="shared" si="91"/>
        <v>57.802499999999995</v>
      </c>
      <c r="CW25" s="6">
        <f t="shared" si="92"/>
        <v>61.132499999999972</v>
      </c>
      <c r="CY25" s="7">
        <v>57.802499999999995</v>
      </c>
      <c r="CZ25" s="5">
        <f t="array" ref="CZ25">Summary_UpperBound</f>
        <v>61.132499999999972</v>
      </c>
      <c r="DA25" s="6">
        <f t="shared" si="93"/>
        <v>3.329999999999977</v>
      </c>
    </row>
    <row r="26" spans="1:105" x14ac:dyDescent="0.35">
      <c r="B26" s="14"/>
      <c r="E26" s="12">
        <f t="shared" si="94"/>
        <v>44268</v>
      </c>
      <c r="F26" s="7">
        <f t="shared" si="1"/>
        <v>32.112499999999997</v>
      </c>
      <c r="G26" s="6">
        <f t="shared" si="2"/>
        <v>33.962499999999984</v>
      </c>
      <c r="H26" s="7">
        <f t="shared" si="3"/>
        <v>25.689999999999998</v>
      </c>
      <c r="I26" s="6">
        <f t="shared" si="4"/>
        <v>27.169999999999987</v>
      </c>
      <c r="J26" s="5">
        <f t="shared" si="5"/>
        <v>57.802499999999995</v>
      </c>
      <c r="K26" s="6">
        <f t="shared" si="6"/>
        <v>61.132499999999972</v>
      </c>
      <c r="L26" s="7">
        <f t="shared" si="7"/>
        <v>0</v>
      </c>
      <c r="M26" s="6">
        <f t="shared" si="8"/>
        <v>0</v>
      </c>
      <c r="N26" s="7">
        <f t="shared" si="9"/>
        <v>0</v>
      </c>
      <c r="O26" s="6">
        <f t="shared" si="10"/>
        <v>0</v>
      </c>
      <c r="P26" s="5">
        <f t="shared" si="11"/>
        <v>0</v>
      </c>
      <c r="Q26" s="6">
        <f t="shared" si="12"/>
        <v>0</v>
      </c>
      <c r="R26" s="7">
        <f t="shared" si="13"/>
        <v>0</v>
      </c>
      <c r="S26" s="6">
        <f t="shared" si="14"/>
        <v>0</v>
      </c>
      <c r="T26" s="7">
        <f t="shared" si="15"/>
        <v>0</v>
      </c>
      <c r="U26" s="6">
        <f t="shared" si="16"/>
        <v>0</v>
      </c>
      <c r="V26" s="5">
        <f t="shared" si="17"/>
        <v>0</v>
      </c>
      <c r="W26" s="6">
        <f t="shared" si="18"/>
        <v>0</v>
      </c>
      <c r="X26" s="7">
        <f t="shared" si="19"/>
        <v>0</v>
      </c>
      <c r="Y26" s="6">
        <f t="shared" si="20"/>
        <v>0</v>
      </c>
      <c r="Z26" s="7">
        <f t="shared" si="21"/>
        <v>0</v>
      </c>
      <c r="AA26" s="6">
        <f t="shared" si="22"/>
        <v>0</v>
      </c>
      <c r="AB26" s="5">
        <f t="shared" si="23"/>
        <v>0</v>
      </c>
      <c r="AC26" s="6">
        <f t="shared" si="24"/>
        <v>0</v>
      </c>
      <c r="AD26" s="7">
        <f t="shared" si="25"/>
        <v>0</v>
      </c>
      <c r="AE26" s="6">
        <f t="shared" si="26"/>
        <v>0</v>
      </c>
      <c r="AF26" s="7">
        <f t="shared" si="27"/>
        <v>0</v>
      </c>
      <c r="AG26" s="6">
        <f t="shared" si="28"/>
        <v>0</v>
      </c>
      <c r="AH26" s="5">
        <f t="shared" si="29"/>
        <v>0</v>
      </c>
      <c r="AI26" s="6">
        <f t="shared" si="30"/>
        <v>0</v>
      </c>
      <c r="AJ26" s="7">
        <f t="shared" si="31"/>
        <v>0</v>
      </c>
      <c r="AK26" s="6">
        <f t="shared" si="32"/>
        <v>0</v>
      </c>
      <c r="AL26" s="7">
        <f t="shared" si="33"/>
        <v>0</v>
      </c>
      <c r="AM26" s="6">
        <f t="shared" si="34"/>
        <v>0</v>
      </c>
      <c r="AN26" s="5">
        <f t="shared" si="35"/>
        <v>0</v>
      </c>
      <c r="AO26" s="6">
        <f t="shared" si="36"/>
        <v>0</v>
      </c>
      <c r="AP26" s="7">
        <f t="shared" si="37"/>
        <v>0</v>
      </c>
      <c r="AQ26" s="6">
        <f t="shared" si="38"/>
        <v>0</v>
      </c>
      <c r="AR26" s="7">
        <f t="shared" si="39"/>
        <v>0</v>
      </c>
      <c r="AS26" s="6">
        <f t="shared" si="40"/>
        <v>0</v>
      </c>
      <c r="AT26" s="5">
        <f t="shared" si="41"/>
        <v>0</v>
      </c>
      <c r="AU26" s="6">
        <f t="shared" si="42"/>
        <v>0</v>
      </c>
      <c r="AV26" s="7">
        <f t="shared" si="43"/>
        <v>0</v>
      </c>
      <c r="AW26" s="6">
        <f t="shared" si="44"/>
        <v>0</v>
      </c>
      <c r="AX26" s="7">
        <f t="shared" si="45"/>
        <v>0</v>
      </c>
      <c r="AY26" s="6">
        <f t="shared" si="46"/>
        <v>0</v>
      </c>
      <c r="AZ26" s="5">
        <f t="shared" si="47"/>
        <v>0</v>
      </c>
      <c r="BA26" s="6">
        <f t="shared" si="48"/>
        <v>0</v>
      </c>
      <c r="BB26" s="7">
        <f t="shared" si="49"/>
        <v>0</v>
      </c>
      <c r="BC26" s="6">
        <f t="shared" si="50"/>
        <v>0</v>
      </c>
      <c r="BD26" s="7">
        <f t="shared" si="51"/>
        <v>0</v>
      </c>
      <c r="BE26" s="6">
        <f t="shared" si="52"/>
        <v>0</v>
      </c>
      <c r="BF26" s="5">
        <f t="shared" si="53"/>
        <v>0</v>
      </c>
      <c r="BG26" s="6">
        <f t="shared" si="54"/>
        <v>0</v>
      </c>
      <c r="BH26" s="7">
        <f t="shared" si="55"/>
        <v>0</v>
      </c>
      <c r="BI26" s="6">
        <f t="shared" si="56"/>
        <v>0</v>
      </c>
      <c r="BJ26" s="7">
        <f t="shared" si="57"/>
        <v>0</v>
      </c>
      <c r="BK26" s="6">
        <f t="shared" si="58"/>
        <v>0</v>
      </c>
      <c r="BL26" s="5">
        <f t="shared" si="59"/>
        <v>0</v>
      </c>
      <c r="BM26" s="6">
        <f t="shared" si="60"/>
        <v>0</v>
      </c>
      <c r="BN26" s="7">
        <f t="shared" si="61"/>
        <v>0</v>
      </c>
      <c r="BO26" s="6">
        <f t="shared" si="62"/>
        <v>0</v>
      </c>
      <c r="BP26" s="7">
        <f t="shared" si="63"/>
        <v>0</v>
      </c>
      <c r="BQ26" s="6">
        <f t="shared" si="64"/>
        <v>0</v>
      </c>
      <c r="BR26" s="5">
        <f t="shared" si="65"/>
        <v>0</v>
      </c>
      <c r="BS26" s="6">
        <f t="shared" si="66"/>
        <v>0</v>
      </c>
      <c r="BT26" s="7">
        <f t="shared" si="67"/>
        <v>0</v>
      </c>
      <c r="BU26" s="6">
        <f t="shared" si="68"/>
        <v>0</v>
      </c>
      <c r="BV26" s="7">
        <f t="shared" si="69"/>
        <v>0</v>
      </c>
      <c r="BW26" s="6">
        <f t="shared" si="70"/>
        <v>0</v>
      </c>
      <c r="BX26" s="5">
        <f t="shared" si="71"/>
        <v>0</v>
      </c>
      <c r="BY26" s="6">
        <f t="shared" si="72"/>
        <v>0</v>
      </c>
      <c r="BZ26" s="7">
        <f t="shared" si="73"/>
        <v>0</v>
      </c>
      <c r="CA26" s="6">
        <f t="shared" si="74"/>
        <v>0</v>
      </c>
      <c r="CB26" s="7">
        <f t="shared" si="75"/>
        <v>0</v>
      </c>
      <c r="CC26" s="6">
        <f t="shared" si="76"/>
        <v>0</v>
      </c>
      <c r="CD26" s="5">
        <f t="shared" si="77"/>
        <v>0</v>
      </c>
      <c r="CE26" s="6">
        <f t="shared" si="78"/>
        <v>0</v>
      </c>
      <c r="CF26" s="7">
        <f t="shared" si="79"/>
        <v>0</v>
      </c>
      <c r="CG26" s="6">
        <f t="shared" si="80"/>
        <v>0</v>
      </c>
      <c r="CH26" s="7">
        <f t="shared" si="81"/>
        <v>0</v>
      </c>
      <c r="CI26" s="6">
        <f t="shared" si="82"/>
        <v>0</v>
      </c>
      <c r="CJ26" s="5">
        <f t="shared" si="83"/>
        <v>0</v>
      </c>
      <c r="CK26" s="6">
        <f t="shared" si="84"/>
        <v>0</v>
      </c>
      <c r="CL26" s="7">
        <f t="shared" si="85"/>
        <v>0</v>
      </c>
      <c r="CM26" s="6">
        <f t="shared" si="86"/>
        <v>0</v>
      </c>
      <c r="CN26" s="7">
        <f t="shared" si="87"/>
        <v>0</v>
      </c>
      <c r="CO26" s="6">
        <f t="shared" si="88"/>
        <v>0</v>
      </c>
      <c r="CP26" s="5">
        <f t="shared" si="89"/>
        <v>0</v>
      </c>
      <c r="CQ26" s="6">
        <f t="shared" si="90"/>
        <v>0</v>
      </c>
      <c r="CR26" s="7">
        <f t="shared" si="95"/>
        <v>32.112499999999997</v>
      </c>
      <c r="CS26" s="6">
        <f t="shared" si="95"/>
        <v>33.962499999999984</v>
      </c>
      <c r="CT26" s="7">
        <f t="shared" si="95"/>
        <v>25.689999999999998</v>
      </c>
      <c r="CU26" s="6">
        <f t="shared" si="95"/>
        <v>27.169999999999987</v>
      </c>
      <c r="CV26" s="5">
        <f t="shared" si="91"/>
        <v>57.802499999999995</v>
      </c>
      <c r="CW26" s="6">
        <f t="shared" si="92"/>
        <v>61.132499999999972</v>
      </c>
      <c r="CY26" s="7">
        <v>57.802499999999995</v>
      </c>
      <c r="CZ26" s="5">
        <f t="array" ref="CZ26">Summary_UpperBound</f>
        <v>61.132499999999972</v>
      </c>
      <c r="DA26" s="6">
        <f t="shared" si="93"/>
        <v>3.329999999999977</v>
      </c>
    </row>
    <row r="27" spans="1:105" x14ac:dyDescent="0.35">
      <c r="B27" s="14"/>
      <c r="E27" s="12">
        <f t="shared" si="94"/>
        <v>44275</v>
      </c>
      <c r="F27" s="7">
        <f t="shared" si="1"/>
        <v>32.112499999999997</v>
      </c>
      <c r="G27" s="6">
        <f t="shared" si="2"/>
        <v>33.962499999999984</v>
      </c>
      <c r="H27" s="7">
        <f t="shared" si="3"/>
        <v>25.689999999999998</v>
      </c>
      <c r="I27" s="6">
        <f t="shared" si="4"/>
        <v>27.169999999999987</v>
      </c>
      <c r="J27" s="5">
        <f t="shared" si="5"/>
        <v>57.802499999999995</v>
      </c>
      <c r="K27" s="6">
        <f t="shared" si="6"/>
        <v>61.132499999999972</v>
      </c>
      <c r="L27" s="7">
        <f t="shared" si="7"/>
        <v>0</v>
      </c>
      <c r="M27" s="6">
        <f t="shared" si="8"/>
        <v>0</v>
      </c>
      <c r="N27" s="7">
        <f t="shared" si="9"/>
        <v>0</v>
      </c>
      <c r="O27" s="6">
        <f t="shared" si="10"/>
        <v>0</v>
      </c>
      <c r="P27" s="5">
        <f t="shared" si="11"/>
        <v>0</v>
      </c>
      <c r="Q27" s="6">
        <f t="shared" si="12"/>
        <v>0</v>
      </c>
      <c r="R27" s="7">
        <f t="shared" si="13"/>
        <v>0</v>
      </c>
      <c r="S27" s="6">
        <f t="shared" si="14"/>
        <v>0</v>
      </c>
      <c r="T27" s="7">
        <f t="shared" si="15"/>
        <v>0</v>
      </c>
      <c r="U27" s="6">
        <f t="shared" si="16"/>
        <v>0</v>
      </c>
      <c r="V27" s="5">
        <f t="shared" si="17"/>
        <v>0</v>
      </c>
      <c r="W27" s="6">
        <f t="shared" si="18"/>
        <v>0</v>
      </c>
      <c r="X27" s="7">
        <f t="shared" si="19"/>
        <v>0</v>
      </c>
      <c r="Y27" s="6">
        <f t="shared" si="20"/>
        <v>0</v>
      </c>
      <c r="Z27" s="7">
        <f t="shared" si="21"/>
        <v>0</v>
      </c>
      <c r="AA27" s="6">
        <f t="shared" si="22"/>
        <v>0</v>
      </c>
      <c r="AB27" s="5">
        <f t="shared" si="23"/>
        <v>0</v>
      </c>
      <c r="AC27" s="6">
        <f t="shared" si="24"/>
        <v>0</v>
      </c>
      <c r="AD27" s="7">
        <f t="shared" si="25"/>
        <v>0</v>
      </c>
      <c r="AE27" s="6">
        <f t="shared" si="26"/>
        <v>0</v>
      </c>
      <c r="AF27" s="7">
        <f t="shared" si="27"/>
        <v>0</v>
      </c>
      <c r="AG27" s="6">
        <f t="shared" si="28"/>
        <v>0</v>
      </c>
      <c r="AH27" s="5">
        <f t="shared" si="29"/>
        <v>0</v>
      </c>
      <c r="AI27" s="6">
        <f t="shared" si="30"/>
        <v>0</v>
      </c>
      <c r="AJ27" s="7">
        <f t="shared" si="31"/>
        <v>0</v>
      </c>
      <c r="AK27" s="6">
        <f t="shared" si="32"/>
        <v>0</v>
      </c>
      <c r="AL27" s="7">
        <f t="shared" si="33"/>
        <v>0</v>
      </c>
      <c r="AM27" s="6">
        <f t="shared" si="34"/>
        <v>0</v>
      </c>
      <c r="AN27" s="5">
        <f t="shared" si="35"/>
        <v>0</v>
      </c>
      <c r="AO27" s="6">
        <f t="shared" si="36"/>
        <v>0</v>
      </c>
      <c r="AP27" s="7">
        <f t="shared" si="37"/>
        <v>0</v>
      </c>
      <c r="AQ27" s="6">
        <f t="shared" si="38"/>
        <v>0</v>
      </c>
      <c r="AR27" s="7">
        <f t="shared" si="39"/>
        <v>0</v>
      </c>
      <c r="AS27" s="6">
        <f t="shared" si="40"/>
        <v>0</v>
      </c>
      <c r="AT27" s="5">
        <f t="shared" si="41"/>
        <v>0</v>
      </c>
      <c r="AU27" s="6">
        <f t="shared" si="42"/>
        <v>0</v>
      </c>
      <c r="AV27" s="7">
        <f t="shared" si="43"/>
        <v>0</v>
      </c>
      <c r="AW27" s="6">
        <f t="shared" si="44"/>
        <v>0</v>
      </c>
      <c r="AX27" s="7">
        <f t="shared" si="45"/>
        <v>0</v>
      </c>
      <c r="AY27" s="6">
        <f t="shared" si="46"/>
        <v>0</v>
      </c>
      <c r="AZ27" s="5">
        <f t="shared" si="47"/>
        <v>0</v>
      </c>
      <c r="BA27" s="6">
        <f t="shared" si="48"/>
        <v>0</v>
      </c>
      <c r="BB27" s="7">
        <f t="shared" si="49"/>
        <v>0</v>
      </c>
      <c r="BC27" s="6">
        <f t="shared" si="50"/>
        <v>0</v>
      </c>
      <c r="BD27" s="7">
        <f t="shared" si="51"/>
        <v>0</v>
      </c>
      <c r="BE27" s="6">
        <f t="shared" si="52"/>
        <v>0</v>
      </c>
      <c r="BF27" s="5">
        <f t="shared" si="53"/>
        <v>0</v>
      </c>
      <c r="BG27" s="6">
        <f t="shared" si="54"/>
        <v>0</v>
      </c>
      <c r="BH27" s="7">
        <f t="shared" si="55"/>
        <v>0</v>
      </c>
      <c r="BI27" s="6">
        <f t="shared" si="56"/>
        <v>0</v>
      </c>
      <c r="BJ27" s="7">
        <f t="shared" si="57"/>
        <v>0</v>
      </c>
      <c r="BK27" s="6">
        <f t="shared" si="58"/>
        <v>0</v>
      </c>
      <c r="BL27" s="5">
        <f t="shared" si="59"/>
        <v>0</v>
      </c>
      <c r="BM27" s="6">
        <f t="shared" si="60"/>
        <v>0</v>
      </c>
      <c r="BN27" s="7">
        <f t="shared" si="61"/>
        <v>0</v>
      </c>
      <c r="BO27" s="6">
        <f t="shared" si="62"/>
        <v>0</v>
      </c>
      <c r="BP27" s="7">
        <f t="shared" si="63"/>
        <v>0</v>
      </c>
      <c r="BQ27" s="6">
        <f t="shared" si="64"/>
        <v>0</v>
      </c>
      <c r="BR27" s="5">
        <f t="shared" si="65"/>
        <v>0</v>
      </c>
      <c r="BS27" s="6">
        <f t="shared" si="66"/>
        <v>0</v>
      </c>
      <c r="BT27" s="7">
        <f t="shared" si="67"/>
        <v>0</v>
      </c>
      <c r="BU27" s="6">
        <f t="shared" si="68"/>
        <v>0</v>
      </c>
      <c r="BV27" s="7">
        <f t="shared" si="69"/>
        <v>0</v>
      </c>
      <c r="BW27" s="6">
        <f t="shared" si="70"/>
        <v>0</v>
      </c>
      <c r="BX27" s="5">
        <f t="shared" si="71"/>
        <v>0</v>
      </c>
      <c r="BY27" s="6">
        <f t="shared" si="72"/>
        <v>0</v>
      </c>
      <c r="BZ27" s="7">
        <f t="shared" si="73"/>
        <v>0</v>
      </c>
      <c r="CA27" s="6">
        <f t="shared" si="74"/>
        <v>0</v>
      </c>
      <c r="CB27" s="7">
        <f t="shared" si="75"/>
        <v>0</v>
      </c>
      <c r="CC27" s="6">
        <f t="shared" si="76"/>
        <v>0</v>
      </c>
      <c r="CD27" s="5">
        <f t="shared" si="77"/>
        <v>0</v>
      </c>
      <c r="CE27" s="6">
        <f t="shared" si="78"/>
        <v>0</v>
      </c>
      <c r="CF27" s="7">
        <f t="shared" si="79"/>
        <v>0</v>
      </c>
      <c r="CG27" s="6">
        <f t="shared" si="80"/>
        <v>0</v>
      </c>
      <c r="CH27" s="7">
        <f t="shared" si="81"/>
        <v>0</v>
      </c>
      <c r="CI27" s="6">
        <f t="shared" si="82"/>
        <v>0</v>
      </c>
      <c r="CJ27" s="5">
        <f t="shared" si="83"/>
        <v>0</v>
      </c>
      <c r="CK27" s="6">
        <f t="shared" si="84"/>
        <v>0</v>
      </c>
      <c r="CL27" s="7">
        <f t="shared" si="85"/>
        <v>0</v>
      </c>
      <c r="CM27" s="6">
        <f t="shared" si="86"/>
        <v>0</v>
      </c>
      <c r="CN27" s="7">
        <f t="shared" si="87"/>
        <v>0</v>
      </c>
      <c r="CO27" s="6">
        <f t="shared" si="88"/>
        <v>0</v>
      </c>
      <c r="CP27" s="5">
        <f t="shared" si="89"/>
        <v>0</v>
      </c>
      <c r="CQ27" s="6">
        <f t="shared" si="90"/>
        <v>0</v>
      </c>
      <c r="CR27" s="7">
        <f t="shared" si="95"/>
        <v>32.112499999999997</v>
      </c>
      <c r="CS27" s="6">
        <f t="shared" si="95"/>
        <v>33.962499999999984</v>
      </c>
      <c r="CT27" s="7">
        <f t="shared" si="95"/>
        <v>25.689999999999998</v>
      </c>
      <c r="CU27" s="6">
        <f t="shared" si="95"/>
        <v>27.169999999999987</v>
      </c>
      <c r="CV27" s="5">
        <f t="shared" si="91"/>
        <v>57.802499999999995</v>
      </c>
      <c r="CW27" s="6">
        <f t="shared" si="92"/>
        <v>61.132499999999972</v>
      </c>
      <c r="CY27" s="7">
        <v>57.802499999999995</v>
      </c>
      <c r="CZ27" s="5">
        <f t="array" ref="CZ27">Summary_UpperBound</f>
        <v>61.132499999999972</v>
      </c>
      <c r="DA27" s="6">
        <f t="shared" si="93"/>
        <v>3.329999999999977</v>
      </c>
    </row>
    <row r="28" spans="1:105" x14ac:dyDescent="0.35">
      <c r="B28" s="14"/>
      <c r="E28" s="12">
        <f t="shared" si="94"/>
        <v>44282</v>
      </c>
      <c r="F28" s="7">
        <f t="shared" si="1"/>
        <v>32.112499999999997</v>
      </c>
      <c r="G28" s="6">
        <f t="shared" si="2"/>
        <v>33.962499999999984</v>
      </c>
      <c r="H28" s="7">
        <f t="shared" si="3"/>
        <v>25.689999999999998</v>
      </c>
      <c r="I28" s="6">
        <f t="shared" si="4"/>
        <v>27.169999999999987</v>
      </c>
      <c r="J28" s="5">
        <f t="shared" si="5"/>
        <v>57.802499999999995</v>
      </c>
      <c r="K28" s="6">
        <f t="shared" si="6"/>
        <v>61.132499999999972</v>
      </c>
      <c r="L28" s="7">
        <f t="shared" si="7"/>
        <v>0</v>
      </c>
      <c r="M28" s="6">
        <f t="shared" si="8"/>
        <v>0</v>
      </c>
      <c r="N28" s="7">
        <f t="shared" si="9"/>
        <v>0</v>
      </c>
      <c r="O28" s="6">
        <f t="shared" si="10"/>
        <v>0</v>
      </c>
      <c r="P28" s="5">
        <f t="shared" si="11"/>
        <v>0</v>
      </c>
      <c r="Q28" s="6">
        <f t="shared" si="12"/>
        <v>0</v>
      </c>
      <c r="R28" s="7">
        <f t="shared" si="13"/>
        <v>0</v>
      </c>
      <c r="S28" s="6">
        <f t="shared" si="14"/>
        <v>0</v>
      </c>
      <c r="T28" s="7">
        <f t="shared" si="15"/>
        <v>0</v>
      </c>
      <c r="U28" s="6">
        <f t="shared" si="16"/>
        <v>0</v>
      </c>
      <c r="V28" s="5">
        <f t="shared" si="17"/>
        <v>0</v>
      </c>
      <c r="W28" s="6">
        <f t="shared" si="18"/>
        <v>0</v>
      </c>
      <c r="X28" s="7">
        <f t="shared" si="19"/>
        <v>0</v>
      </c>
      <c r="Y28" s="6">
        <f t="shared" si="20"/>
        <v>0</v>
      </c>
      <c r="Z28" s="7">
        <f t="shared" si="21"/>
        <v>0</v>
      </c>
      <c r="AA28" s="6">
        <f t="shared" si="22"/>
        <v>0</v>
      </c>
      <c r="AB28" s="5">
        <f t="shared" si="23"/>
        <v>0</v>
      </c>
      <c r="AC28" s="6">
        <f t="shared" si="24"/>
        <v>0</v>
      </c>
      <c r="AD28" s="7">
        <f t="shared" si="25"/>
        <v>0</v>
      </c>
      <c r="AE28" s="6">
        <f t="shared" si="26"/>
        <v>0</v>
      </c>
      <c r="AF28" s="7">
        <f t="shared" si="27"/>
        <v>0</v>
      </c>
      <c r="AG28" s="6">
        <f t="shared" si="28"/>
        <v>0</v>
      </c>
      <c r="AH28" s="5">
        <f t="shared" si="29"/>
        <v>0</v>
      </c>
      <c r="AI28" s="6">
        <f t="shared" si="30"/>
        <v>0</v>
      </c>
      <c r="AJ28" s="7">
        <f t="shared" si="31"/>
        <v>0</v>
      </c>
      <c r="AK28" s="6">
        <f t="shared" si="32"/>
        <v>0</v>
      </c>
      <c r="AL28" s="7">
        <f t="shared" si="33"/>
        <v>0</v>
      </c>
      <c r="AM28" s="6">
        <f t="shared" si="34"/>
        <v>0</v>
      </c>
      <c r="AN28" s="5">
        <f t="shared" si="35"/>
        <v>0</v>
      </c>
      <c r="AO28" s="6">
        <f t="shared" si="36"/>
        <v>0</v>
      </c>
      <c r="AP28" s="7">
        <f t="shared" si="37"/>
        <v>0</v>
      </c>
      <c r="AQ28" s="6">
        <f t="shared" si="38"/>
        <v>0</v>
      </c>
      <c r="AR28" s="7">
        <f t="shared" si="39"/>
        <v>0</v>
      </c>
      <c r="AS28" s="6">
        <f t="shared" si="40"/>
        <v>0</v>
      </c>
      <c r="AT28" s="5">
        <f t="shared" si="41"/>
        <v>0</v>
      </c>
      <c r="AU28" s="6">
        <f t="shared" si="42"/>
        <v>0</v>
      </c>
      <c r="AV28" s="7">
        <f t="shared" si="43"/>
        <v>0</v>
      </c>
      <c r="AW28" s="6">
        <f t="shared" si="44"/>
        <v>0</v>
      </c>
      <c r="AX28" s="7">
        <f t="shared" si="45"/>
        <v>0</v>
      </c>
      <c r="AY28" s="6">
        <f t="shared" si="46"/>
        <v>0</v>
      </c>
      <c r="AZ28" s="5">
        <f t="shared" si="47"/>
        <v>0</v>
      </c>
      <c r="BA28" s="6">
        <f t="shared" si="48"/>
        <v>0</v>
      </c>
      <c r="BB28" s="7">
        <f t="shared" si="49"/>
        <v>0</v>
      </c>
      <c r="BC28" s="6">
        <f t="shared" si="50"/>
        <v>0</v>
      </c>
      <c r="BD28" s="7">
        <f t="shared" si="51"/>
        <v>0</v>
      </c>
      <c r="BE28" s="6">
        <f t="shared" si="52"/>
        <v>0</v>
      </c>
      <c r="BF28" s="5">
        <f t="shared" si="53"/>
        <v>0</v>
      </c>
      <c r="BG28" s="6">
        <f t="shared" si="54"/>
        <v>0</v>
      </c>
      <c r="BH28" s="7">
        <f t="shared" si="55"/>
        <v>0</v>
      </c>
      <c r="BI28" s="6">
        <f t="shared" si="56"/>
        <v>0</v>
      </c>
      <c r="BJ28" s="7">
        <f t="shared" si="57"/>
        <v>0</v>
      </c>
      <c r="BK28" s="6">
        <f t="shared" si="58"/>
        <v>0</v>
      </c>
      <c r="BL28" s="5">
        <f t="shared" si="59"/>
        <v>0</v>
      </c>
      <c r="BM28" s="6">
        <f t="shared" si="60"/>
        <v>0</v>
      </c>
      <c r="BN28" s="7">
        <f t="shared" si="61"/>
        <v>0</v>
      </c>
      <c r="BO28" s="6">
        <f t="shared" si="62"/>
        <v>0</v>
      </c>
      <c r="BP28" s="7">
        <f t="shared" si="63"/>
        <v>0</v>
      </c>
      <c r="BQ28" s="6">
        <f t="shared" si="64"/>
        <v>0</v>
      </c>
      <c r="BR28" s="5">
        <f t="shared" si="65"/>
        <v>0</v>
      </c>
      <c r="BS28" s="6">
        <f t="shared" si="66"/>
        <v>0</v>
      </c>
      <c r="BT28" s="7">
        <f t="shared" si="67"/>
        <v>0</v>
      </c>
      <c r="BU28" s="6">
        <f t="shared" si="68"/>
        <v>0</v>
      </c>
      <c r="BV28" s="7">
        <f t="shared" si="69"/>
        <v>0</v>
      </c>
      <c r="BW28" s="6">
        <f t="shared" si="70"/>
        <v>0</v>
      </c>
      <c r="BX28" s="5">
        <f t="shared" si="71"/>
        <v>0</v>
      </c>
      <c r="BY28" s="6">
        <f t="shared" si="72"/>
        <v>0</v>
      </c>
      <c r="BZ28" s="7">
        <f t="shared" si="73"/>
        <v>0</v>
      </c>
      <c r="CA28" s="6">
        <f t="shared" si="74"/>
        <v>0</v>
      </c>
      <c r="CB28" s="7">
        <f t="shared" si="75"/>
        <v>0</v>
      </c>
      <c r="CC28" s="6">
        <f t="shared" si="76"/>
        <v>0</v>
      </c>
      <c r="CD28" s="5">
        <f t="shared" si="77"/>
        <v>0</v>
      </c>
      <c r="CE28" s="6">
        <f t="shared" si="78"/>
        <v>0</v>
      </c>
      <c r="CF28" s="7">
        <f t="shared" si="79"/>
        <v>0</v>
      </c>
      <c r="CG28" s="6">
        <f t="shared" si="80"/>
        <v>0</v>
      </c>
      <c r="CH28" s="7">
        <f t="shared" si="81"/>
        <v>0</v>
      </c>
      <c r="CI28" s="6">
        <f t="shared" si="82"/>
        <v>0</v>
      </c>
      <c r="CJ28" s="5">
        <f t="shared" si="83"/>
        <v>0</v>
      </c>
      <c r="CK28" s="6">
        <f t="shared" si="84"/>
        <v>0</v>
      </c>
      <c r="CL28" s="7">
        <f t="shared" si="85"/>
        <v>0</v>
      </c>
      <c r="CM28" s="6">
        <f t="shared" si="86"/>
        <v>0</v>
      </c>
      <c r="CN28" s="7">
        <f t="shared" si="87"/>
        <v>0</v>
      </c>
      <c r="CO28" s="6">
        <f t="shared" si="88"/>
        <v>0</v>
      </c>
      <c r="CP28" s="5">
        <f t="shared" si="89"/>
        <v>0</v>
      </c>
      <c r="CQ28" s="6">
        <f t="shared" si="90"/>
        <v>0</v>
      </c>
      <c r="CR28" s="7">
        <f t="shared" si="95"/>
        <v>32.112499999999997</v>
      </c>
      <c r="CS28" s="6">
        <f t="shared" si="95"/>
        <v>33.962499999999984</v>
      </c>
      <c r="CT28" s="7">
        <f t="shared" si="95"/>
        <v>25.689999999999998</v>
      </c>
      <c r="CU28" s="6">
        <f t="shared" si="95"/>
        <v>27.169999999999987</v>
      </c>
      <c r="CV28" s="5">
        <f t="shared" si="91"/>
        <v>57.802499999999995</v>
      </c>
      <c r="CW28" s="6">
        <f t="shared" si="92"/>
        <v>61.132499999999972</v>
      </c>
      <c r="CY28" s="7">
        <v>57.802499999999995</v>
      </c>
      <c r="CZ28" s="5">
        <f t="array" ref="CZ28">Summary_UpperBound</f>
        <v>61.132499999999972</v>
      </c>
      <c r="DA28" s="6">
        <f t="shared" si="93"/>
        <v>3.329999999999977</v>
      </c>
    </row>
    <row r="29" spans="1:105" x14ac:dyDescent="0.35">
      <c r="B29" s="14"/>
      <c r="E29" s="12">
        <f t="shared" si="94"/>
        <v>44289</v>
      </c>
      <c r="F29" s="7">
        <f t="shared" si="1"/>
        <v>32.112499999999997</v>
      </c>
      <c r="G29" s="6">
        <f t="shared" si="2"/>
        <v>33.962499999999984</v>
      </c>
      <c r="H29" s="7">
        <f t="shared" si="3"/>
        <v>25.689999999999998</v>
      </c>
      <c r="I29" s="6">
        <f t="shared" si="4"/>
        <v>27.169999999999987</v>
      </c>
      <c r="J29" s="5">
        <f t="shared" si="5"/>
        <v>57.802499999999995</v>
      </c>
      <c r="K29" s="6">
        <f t="shared" si="6"/>
        <v>61.132499999999972</v>
      </c>
      <c r="L29" s="7">
        <f t="shared" si="7"/>
        <v>0</v>
      </c>
      <c r="M29" s="6">
        <f t="shared" si="8"/>
        <v>0</v>
      </c>
      <c r="N29" s="7">
        <f t="shared" si="9"/>
        <v>0</v>
      </c>
      <c r="O29" s="6">
        <f t="shared" si="10"/>
        <v>0</v>
      </c>
      <c r="P29" s="5">
        <f t="shared" si="11"/>
        <v>0</v>
      </c>
      <c r="Q29" s="6">
        <f t="shared" si="12"/>
        <v>0</v>
      </c>
      <c r="R29" s="7">
        <f t="shared" si="13"/>
        <v>0</v>
      </c>
      <c r="S29" s="6">
        <f t="shared" si="14"/>
        <v>0</v>
      </c>
      <c r="T29" s="7">
        <f t="shared" si="15"/>
        <v>0</v>
      </c>
      <c r="U29" s="6">
        <f t="shared" si="16"/>
        <v>0</v>
      </c>
      <c r="V29" s="5">
        <f t="shared" si="17"/>
        <v>0</v>
      </c>
      <c r="W29" s="6">
        <f t="shared" si="18"/>
        <v>0</v>
      </c>
      <c r="X29" s="7">
        <f t="shared" si="19"/>
        <v>0</v>
      </c>
      <c r="Y29" s="6">
        <f t="shared" si="20"/>
        <v>0</v>
      </c>
      <c r="Z29" s="7">
        <f t="shared" si="21"/>
        <v>0</v>
      </c>
      <c r="AA29" s="6">
        <f t="shared" si="22"/>
        <v>0</v>
      </c>
      <c r="AB29" s="5">
        <f t="shared" si="23"/>
        <v>0</v>
      </c>
      <c r="AC29" s="6">
        <f t="shared" si="24"/>
        <v>0</v>
      </c>
      <c r="AD29" s="7">
        <f t="shared" si="25"/>
        <v>0</v>
      </c>
      <c r="AE29" s="6">
        <f t="shared" si="26"/>
        <v>0</v>
      </c>
      <c r="AF29" s="7">
        <f t="shared" si="27"/>
        <v>0</v>
      </c>
      <c r="AG29" s="6">
        <f t="shared" si="28"/>
        <v>0</v>
      </c>
      <c r="AH29" s="5">
        <f t="shared" si="29"/>
        <v>0</v>
      </c>
      <c r="AI29" s="6">
        <f t="shared" si="30"/>
        <v>0</v>
      </c>
      <c r="AJ29" s="7">
        <f t="shared" si="31"/>
        <v>0</v>
      </c>
      <c r="AK29" s="6">
        <f t="shared" si="32"/>
        <v>0</v>
      </c>
      <c r="AL29" s="7">
        <f t="shared" si="33"/>
        <v>0</v>
      </c>
      <c r="AM29" s="6">
        <f t="shared" si="34"/>
        <v>0</v>
      </c>
      <c r="AN29" s="5">
        <f t="shared" si="35"/>
        <v>0</v>
      </c>
      <c r="AO29" s="6">
        <f t="shared" si="36"/>
        <v>0</v>
      </c>
      <c r="AP29" s="7">
        <f t="shared" si="37"/>
        <v>0</v>
      </c>
      <c r="AQ29" s="6">
        <f t="shared" si="38"/>
        <v>0</v>
      </c>
      <c r="AR29" s="7">
        <f t="shared" si="39"/>
        <v>0</v>
      </c>
      <c r="AS29" s="6">
        <f t="shared" si="40"/>
        <v>0</v>
      </c>
      <c r="AT29" s="5">
        <f t="shared" si="41"/>
        <v>0</v>
      </c>
      <c r="AU29" s="6">
        <f t="shared" si="42"/>
        <v>0</v>
      </c>
      <c r="AV29" s="7">
        <f t="shared" si="43"/>
        <v>0</v>
      </c>
      <c r="AW29" s="6">
        <f t="shared" si="44"/>
        <v>0</v>
      </c>
      <c r="AX29" s="7">
        <f t="shared" si="45"/>
        <v>0</v>
      </c>
      <c r="AY29" s="6">
        <f t="shared" si="46"/>
        <v>0</v>
      </c>
      <c r="AZ29" s="5">
        <f t="shared" si="47"/>
        <v>0</v>
      </c>
      <c r="BA29" s="6">
        <f t="shared" si="48"/>
        <v>0</v>
      </c>
      <c r="BB29" s="7">
        <f t="shared" si="49"/>
        <v>0</v>
      </c>
      <c r="BC29" s="6">
        <f t="shared" si="50"/>
        <v>0</v>
      </c>
      <c r="BD29" s="7">
        <f t="shared" si="51"/>
        <v>0</v>
      </c>
      <c r="BE29" s="6">
        <f t="shared" si="52"/>
        <v>0</v>
      </c>
      <c r="BF29" s="5">
        <f t="shared" si="53"/>
        <v>0</v>
      </c>
      <c r="BG29" s="6">
        <f t="shared" si="54"/>
        <v>0</v>
      </c>
      <c r="BH29" s="7">
        <f t="shared" si="55"/>
        <v>0</v>
      </c>
      <c r="BI29" s="6">
        <f t="shared" si="56"/>
        <v>0</v>
      </c>
      <c r="BJ29" s="7">
        <f t="shared" si="57"/>
        <v>0</v>
      </c>
      <c r="BK29" s="6">
        <f t="shared" si="58"/>
        <v>0</v>
      </c>
      <c r="BL29" s="5">
        <f t="shared" si="59"/>
        <v>0</v>
      </c>
      <c r="BM29" s="6">
        <f t="shared" si="60"/>
        <v>0</v>
      </c>
      <c r="BN29" s="7">
        <f t="shared" si="61"/>
        <v>0</v>
      </c>
      <c r="BO29" s="6">
        <f t="shared" si="62"/>
        <v>0</v>
      </c>
      <c r="BP29" s="7">
        <f t="shared" si="63"/>
        <v>0</v>
      </c>
      <c r="BQ29" s="6">
        <f t="shared" si="64"/>
        <v>0</v>
      </c>
      <c r="BR29" s="5">
        <f t="shared" si="65"/>
        <v>0</v>
      </c>
      <c r="BS29" s="6">
        <f t="shared" si="66"/>
        <v>0</v>
      </c>
      <c r="BT29" s="7">
        <f t="shared" si="67"/>
        <v>0</v>
      </c>
      <c r="BU29" s="6">
        <f t="shared" si="68"/>
        <v>0</v>
      </c>
      <c r="BV29" s="7">
        <f t="shared" si="69"/>
        <v>0</v>
      </c>
      <c r="BW29" s="6">
        <f t="shared" si="70"/>
        <v>0</v>
      </c>
      <c r="BX29" s="5">
        <f t="shared" si="71"/>
        <v>0</v>
      </c>
      <c r="BY29" s="6">
        <f t="shared" si="72"/>
        <v>0</v>
      </c>
      <c r="BZ29" s="7">
        <f t="shared" si="73"/>
        <v>0</v>
      </c>
      <c r="CA29" s="6">
        <f t="shared" si="74"/>
        <v>0</v>
      </c>
      <c r="CB29" s="7">
        <f t="shared" si="75"/>
        <v>0</v>
      </c>
      <c r="CC29" s="6">
        <f t="shared" si="76"/>
        <v>0</v>
      </c>
      <c r="CD29" s="5">
        <f t="shared" si="77"/>
        <v>0</v>
      </c>
      <c r="CE29" s="6">
        <f t="shared" si="78"/>
        <v>0</v>
      </c>
      <c r="CF29" s="7">
        <f t="shared" si="79"/>
        <v>0</v>
      </c>
      <c r="CG29" s="6">
        <f t="shared" si="80"/>
        <v>0</v>
      </c>
      <c r="CH29" s="7">
        <f t="shared" si="81"/>
        <v>0</v>
      </c>
      <c r="CI29" s="6">
        <f t="shared" si="82"/>
        <v>0</v>
      </c>
      <c r="CJ29" s="5">
        <f t="shared" si="83"/>
        <v>0</v>
      </c>
      <c r="CK29" s="6">
        <f t="shared" si="84"/>
        <v>0</v>
      </c>
      <c r="CL29" s="7">
        <f t="shared" si="85"/>
        <v>0</v>
      </c>
      <c r="CM29" s="6">
        <f t="shared" si="86"/>
        <v>0</v>
      </c>
      <c r="CN29" s="7">
        <f t="shared" si="87"/>
        <v>0</v>
      </c>
      <c r="CO29" s="6">
        <f t="shared" si="88"/>
        <v>0</v>
      </c>
      <c r="CP29" s="5">
        <f t="shared" si="89"/>
        <v>0</v>
      </c>
      <c r="CQ29" s="6">
        <f t="shared" si="90"/>
        <v>0</v>
      </c>
      <c r="CR29" s="7">
        <f t="shared" si="95"/>
        <v>32.112499999999997</v>
      </c>
      <c r="CS29" s="6">
        <f t="shared" si="95"/>
        <v>33.962499999999984</v>
      </c>
      <c r="CT29" s="7">
        <f t="shared" si="95"/>
        <v>25.689999999999998</v>
      </c>
      <c r="CU29" s="6">
        <f t="shared" si="95"/>
        <v>27.169999999999987</v>
      </c>
      <c r="CV29" s="5">
        <f t="shared" si="91"/>
        <v>57.802499999999995</v>
      </c>
      <c r="CW29" s="6">
        <f t="shared" si="92"/>
        <v>61.132499999999972</v>
      </c>
      <c r="CY29" s="7">
        <v>57.802499999999995</v>
      </c>
      <c r="CZ29" s="5">
        <f t="array" ref="CZ29">Summary_UpperBound</f>
        <v>61.132499999999972</v>
      </c>
      <c r="DA29" s="6">
        <f t="shared" si="93"/>
        <v>3.329999999999977</v>
      </c>
    </row>
    <row r="30" spans="1:105" x14ac:dyDescent="0.35">
      <c r="B30" s="14"/>
      <c r="E30" s="12">
        <f t="shared" si="94"/>
        <v>44296</v>
      </c>
      <c r="F30" s="7">
        <f t="shared" si="1"/>
        <v>32.112499999999997</v>
      </c>
      <c r="G30" s="6">
        <f t="shared" si="2"/>
        <v>33.962499999999984</v>
      </c>
      <c r="H30" s="7">
        <f t="shared" si="3"/>
        <v>25.689999999999998</v>
      </c>
      <c r="I30" s="6">
        <f t="shared" si="4"/>
        <v>27.169999999999987</v>
      </c>
      <c r="J30" s="5">
        <f t="shared" si="5"/>
        <v>57.802499999999995</v>
      </c>
      <c r="K30" s="6">
        <f t="shared" si="6"/>
        <v>61.132499999999972</v>
      </c>
      <c r="L30" s="7">
        <f t="shared" si="7"/>
        <v>0</v>
      </c>
      <c r="M30" s="6">
        <f t="shared" si="8"/>
        <v>0</v>
      </c>
      <c r="N30" s="7">
        <f t="shared" si="9"/>
        <v>0</v>
      </c>
      <c r="O30" s="6">
        <f t="shared" si="10"/>
        <v>0</v>
      </c>
      <c r="P30" s="5">
        <f t="shared" si="11"/>
        <v>0</v>
      </c>
      <c r="Q30" s="6">
        <f t="shared" si="12"/>
        <v>0</v>
      </c>
      <c r="R30" s="7">
        <f t="shared" si="13"/>
        <v>0</v>
      </c>
      <c r="S30" s="6">
        <f t="shared" si="14"/>
        <v>0</v>
      </c>
      <c r="T30" s="7">
        <f t="shared" si="15"/>
        <v>0</v>
      </c>
      <c r="U30" s="6">
        <f t="shared" si="16"/>
        <v>0</v>
      </c>
      <c r="V30" s="5">
        <f t="shared" si="17"/>
        <v>0</v>
      </c>
      <c r="W30" s="6">
        <f t="shared" si="18"/>
        <v>0</v>
      </c>
      <c r="X30" s="7">
        <f t="shared" si="19"/>
        <v>0</v>
      </c>
      <c r="Y30" s="6">
        <f t="shared" si="20"/>
        <v>0</v>
      </c>
      <c r="Z30" s="7">
        <f t="shared" si="21"/>
        <v>0</v>
      </c>
      <c r="AA30" s="6">
        <f t="shared" si="22"/>
        <v>0</v>
      </c>
      <c r="AB30" s="5">
        <f t="shared" si="23"/>
        <v>0</v>
      </c>
      <c r="AC30" s="6">
        <f t="shared" si="24"/>
        <v>0</v>
      </c>
      <c r="AD30" s="7">
        <f t="shared" si="25"/>
        <v>0</v>
      </c>
      <c r="AE30" s="6">
        <f t="shared" si="26"/>
        <v>0</v>
      </c>
      <c r="AF30" s="7">
        <f t="shared" si="27"/>
        <v>0</v>
      </c>
      <c r="AG30" s="6">
        <f t="shared" si="28"/>
        <v>0</v>
      </c>
      <c r="AH30" s="5">
        <f t="shared" si="29"/>
        <v>0</v>
      </c>
      <c r="AI30" s="6">
        <f t="shared" si="30"/>
        <v>0</v>
      </c>
      <c r="AJ30" s="7">
        <f t="shared" si="31"/>
        <v>0</v>
      </c>
      <c r="AK30" s="6">
        <f t="shared" si="32"/>
        <v>0</v>
      </c>
      <c r="AL30" s="7">
        <f t="shared" si="33"/>
        <v>0</v>
      </c>
      <c r="AM30" s="6">
        <f t="shared" si="34"/>
        <v>0</v>
      </c>
      <c r="AN30" s="5">
        <f t="shared" si="35"/>
        <v>0</v>
      </c>
      <c r="AO30" s="6">
        <f t="shared" si="36"/>
        <v>0</v>
      </c>
      <c r="AP30" s="7">
        <f t="shared" si="37"/>
        <v>0</v>
      </c>
      <c r="AQ30" s="6">
        <f t="shared" si="38"/>
        <v>0</v>
      </c>
      <c r="AR30" s="7">
        <f t="shared" si="39"/>
        <v>0</v>
      </c>
      <c r="AS30" s="6">
        <f t="shared" si="40"/>
        <v>0</v>
      </c>
      <c r="AT30" s="5">
        <f t="shared" si="41"/>
        <v>0</v>
      </c>
      <c r="AU30" s="6">
        <f t="shared" si="42"/>
        <v>0</v>
      </c>
      <c r="AV30" s="7">
        <f t="shared" si="43"/>
        <v>0</v>
      </c>
      <c r="AW30" s="6">
        <f t="shared" si="44"/>
        <v>0</v>
      </c>
      <c r="AX30" s="7">
        <f t="shared" si="45"/>
        <v>0</v>
      </c>
      <c r="AY30" s="6">
        <f t="shared" si="46"/>
        <v>0</v>
      </c>
      <c r="AZ30" s="5">
        <f t="shared" si="47"/>
        <v>0</v>
      </c>
      <c r="BA30" s="6">
        <f t="shared" si="48"/>
        <v>0</v>
      </c>
      <c r="BB30" s="7">
        <f t="shared" si="49"/>
        <v>0</v>
      </c>
      <c r="BC30" s="6">
        <f t="shared" si="50"/>
        <v>0</v>
      </c>
      <c r="BD30" s="7">
        <f t="shared" si="51"/>
        <v>0</v>
      </c>
      <c r="BE30" s="6">
        <f t="shared" si="52"/>
        <v>0</v>
      </c>
      <c r="BF30" s="5">
        <f t="shared" si="53"/>
        <v>0</v>
      </c>
      <c r="BG30" s="6">
        <f t="shared" si="54"/>
        <v>0</v>
      </c>
      <c r="BH30" s="7">
        <f t="shared" si="55"/>
        <v>0</v>
      </c>
      <c r="BI30" s="6">
        <f t="shared" si="56"/>
        <v>0</v>
      </c>
      <c r="BJ30" s="7">
        <f t="shared" si="57"/>
        <v>0</v>
      </c>
      <c r="BK30" s="6">
        <f t="shared" si="58"/>
        <v>0</v>
      </c>
      <c r="BL30" s="5">
        <f t="shared" si="59"/>
        <v>0</v>
      </c>
      <c r="BM30" s="6">
        <f t="shared" si="60"/>
        <v>0</v>
      </c>
      <c r="BN30" s="7">
        <f t="shared" si="61"/>
        <v>0</v>
      </c>
      <c r="BO30" s="6">
        <f t="shared" si="62"/>
        <v>0</v>
      </c>
      <c r="BP30" s="7">
        <f t="shared" si="63"/>
        <v>0</v>
      </c>
      <c r="BQ30" s="6">
        <f t="shared" si="64"/>
        <v>0</v>
      </c>
      <c r="BR30" s="5">
        <f t="shared" si="65"/>
        <v>0</v>
      </c>
      <c r="BS30" s="6">
        <f t="shared" si="66"/>
        <v>0</v>
      </c>
      <c r="BT30" s="7">
        <f t="shared" si="67"/>
        <v>0</v>
      </c>
      <c r="BU30" s="6">
        <f t="shared" si="68"/>
        <v>0</v>
      </c>
      <c r="BV30" s="7">
        <f t="shared" si="69"/>
        <v>0</v>
      </c>
      <c r="BW30" s="6">
        <f t="shared" si="70"/>
        <v>0</v>
      </c>
      <c r="BX30" s="5">
        <f t="shared" si="71"/>
        <v>0</v>
      </c>
      <c r="BY30" s="6">
        <f t="shared" si="72"/>
        <v>0</v>
      </c>
      <c r="BZ30" s="7">
        <f t="shared" si="73"/>
        <v>0</v>
      </c>
      <c r="CA30" s="6">
        <f t="shared" si="74"/>
        <v>0</v>
      </c>
      <c r="CB30" s="7">
        <f t="shared" si="75"/>
        <v>0</v>
      </c>
      <c r="CC30" s="6">
        <f t="shared" si="76"/>
        <v>0</v>
      </c>
      <c r="CD30" s="5">
        <f t="shared" si="77"/>
        <v>0</v>
      </c>
      <c r="CE30" s="6">
        <f t="shared" si="78"/>
        <v>0</v>
      </c>
      <c r="CF30" s="7">
        <f t="shared" si="79"/>
        <v>0</v>
      </c>
      <c r="CG30" s="6">
        <f t="shared" si="80"/>
        <v>0</v>
      </c>
      <c r="CH30" s="7">
        <f t="shared" si="81"/>
        <v>0</v>
      </c>
      <c r="CI30" s="6">
        <f t="shared" si="82"/>
        <v>0</v>
      </c>
      <c r="CJ30" s="5">
        <f t="shared" si="83"/>
        <v>0</v>
      </c>
      <c r="CK30" s="6">
        <f t="shared" si="84"/>
        <v>0</v>
      </c>
      <c r="CL30" s="7">
        <f t="shared" si="85"/>
        <v>0</v>
      </c>
      <c r="CM30" s="6">
        <f t="shared" si="86"/>
        <v>0</v>
      </c>
      <c r="CN30" s="7">
        <f t="shared" si="87"/>
        <v>0</v>
      </c>
      <c r="CO30" s="6">
        <f t="shared" si="88"/>
        <v>0</v>
      </c>
      <c r="CP30" s="5">
        <f t="shared" si="89"/>
        <v>0</v>
      </c>
      <c r="CQ30" s="6">
        <f t="shared" si="90"/>
        <v>0</v>
      </c>
      <c r="CR30" s="7">
        <f t="shared" si="95"/>
        <v>32.112499999999997</v>
      </c>
      <c r="CS30" s="6">
        <f t="shared" si="95"/>
        <v>33.962499999999984</v>
      </c>
      <c r="CT30" s="7">
        <f t="shared" si="95"/>
        <v>25.689999999999998</v>
      </c>
      <c r="CU30" s="6">
        <f t="shared" si="95"/>
        <v>27.169999999999987</v>
      </c>
      <c r="CV30" s="5">
        <f t="shared" si="91"/>
        <v>57.802499999999995</v>
      </c>
      <c r="CW30" s="6">
        <f t="shared" si="92"/>
        <v>61.132499999999972</v>
      </c>
      <c r="CY30" s="7">
        <v>57.802499999999995</v>
      </c>
      <c r="CZ30" s="5">
        <f t="array" ref="CZ30">Summary_UpperBound</f>
        <v>61.132499999999972</v>
      </c>
      <c r="DA30" s="6">
        <f t="shared" si="93"/>
        <v>3.329999999999977</v>
      </c>
    </row>
    <row r="31" spans="1:105" x14ac:dyDescent="0.35">
      <c r="B31" s="14"/>
      <c r="E31" s="12">
        <f t="shared" si="94"/>
        <v>44303</v>
      </c>
      <c r="F31" s="7">
        <f t="shared" si="1"/>
        <v>32.112499999999997</v>
      </c>
      <c r="G31" s="6">
        <f t="shared" si="2"/>
        <v>33.962499999999984</v>
      </c>
      <c r="H31" s="7">
        <f t="shared" si="3"/>
        <v>25.689999999999998</v>
      </c>
      <c r="I31" s="6">
        <f t="shared" si="4"/>
        <v>27.169999999999987</v>
      </c>
      <c r="J31" s="5">
        <f t="shared" si="5"/>
        <v>57.802499999999995</v>
      </c>
      <c r="K31" s="6">
        <f t="shared" si="6"/>
        <v>61.132499999999972</v>
      </c>
      <c r="L31" s="7">
        <f t="shared" si="7"/>
        <v>0</v>
      </c>
      <c r="M31" s="6">
        <f t="shared" si="8"/>
        <v>0</v>
      </c>
      <c r="N31" s="7">
        <f t="shared" si="9"/>
        <v>0</v>
      </c>
      <c r="O31" s="6">
        <f t="shared" si="10"/>
        <v>0</v>
      </c>
      <c r="P31" s="5">
        <f t="shared" si="11"/>
        <v>0</v>
      </c>
      <c r="Q31" s="6">
        <f t="shared" si="12"/>
        <v>0</v>
      </c>
      <c r="R31" s="7">
        <f t="shared" si="13"/>
        <v>0</v>
      </c>
      <c r="S31" s="6">
        <f t="shared" si="14"/>
        <v>0</v>
      </c>
      <c r="T31" s="7">
        <f t="shared" si="15"/>
        <v>0</v>
      </c>
      <c r="U31" s="6">
        <f t="shared" si="16"/>
        <v>0</v>
      </c>
      <c r="V31" s="5">
        <f t="shared" si="17"/>
        <v>0</v>
      </c>
      <c r="W31" s="6">
        <f t="shared" si="18"/>
        <v>0</v>
      </c>
      <c r="X31" s="7">
        <f t="shared" si="19"/>
        <v>0</v>
      </c>
      <c r="Y31" s="6">
        <f t="shared" si="20"/>
        <v>0</v>
      </c>
      <c r="Z31" s="7">
        <f t="shared" si="21"/>
        <v>0</v>
      </c>
      <c r="AA31" s="6">
        <f t="shared" si="22"/>
        <v>0</v>
      </c>
      <c r="AB31" s="5">
        <f t="shared" si="23"/>
        <v>0</v>
      </c>
      <c r="AC31" s="6">
        <f t="shared" si="24"/>
        <v>0</v>
      </c>
      <c r="AD31" s="7">
        <f t="shared" si="25"/>
        <v>0</v>
      </c>
      <c r="AE31" s="6">
        <f t="shared" si="26"/>
        <v>0</v>
      </c>
      <c r="AF31" s="7">
        <f t="shared" si="27"/>
        <v>0</v>
      </c>
      <c r="AG31" s="6">
        <f t="shared" si="28"/>
        <v>0</v>
      </c>
      <c r="AH31" s="5">
        <f t="shared" si="29"/>
        <v>0</v>
      </c>
      <c r="AI31" s="6">
        <f t="shared" si="30"/>
        <v>0</v>
      </c>
      <c r="AJ31" s="7">
        <f t="shared" si="31"/>
        <v>0</v>
      </c>
      <c r="AK31" s="6">
        <f t="shared" si="32"/>
        <v>0</v>
      </c>
      <c r="AL31" s="7">
        <f t="shared" si="33"/>
        <v>0</v>
      </c>
      <c r="AM31" s="6">
        <f t="shared" si="34"/>
        <v>0</v>
      </c>
      <c r="AN31" s="5">
        <f t="shared" si="35"/>
        <v>0</v>
      </c>
      <c r="AO31" s="6">
        <f t="shared" si="36"/>
        <v>0</v>
      </c>
      <c r="AP31" s="7">
        <f t="shared" si="37"/>
        <v>0</v>
      </c>
      <c r="AQ31" s="6">
        <f t="shared" si="38"/>
        <v>0</v>
      </c>
      <c r="AR31" s="7">
        <f t="shared" si="39"/>
        <v>0</v>
      </c>
      <c r="AS31" s="6">
        <f t="shared" si="40"/>
        <v>0</v>
      </c>
      <c r="AT31" s="5">
        <f t="shared" si="41"/>
        <v>0</v>
      </c>
      <c r="AU31" s="6">
        <f t="shared" si="42"/>
        <v>0</v>
      </c>
      <c r="AV31" s="7">
        <f t="shared" si="43"/>
        <v>0</v>
      </c>
      <c r="AW31" s="6">
        <f t="shared" si="44"/>
        <v>0</v>
      </c>
      <c r="AX31" s="7">
        <f t="shared" si="45"/>
        <v>0</v>
      </c>
      <c r="AY31" s="6">
        <f t="shared" si="46"/>
        <v>0</v>
      </c>
      <c r="AZ31" s="5">
        <f t="shared" si="47"/>
        <v>0</v>
      </c>
      <c r="BA31" s="6">
        <f t="shared" si="48"/>
        <v>0</v>
      </c>
      <c r="BB31" s="7">
        <f t="shared" si="49"/>
        <v>0</v>
      </c>
      <c r="BC31" s="6">
        <f t="shared" si="50"/>
        <v>0</v>
      </c>
      <c r="BD31" s="7">
        <f t="shared" si="51"/>
        <v>0</v>
      </c>
      <c r="BE31" s="6">
        <f t="shared" si="52"/>
        <v>0</v>
      </c>
      <c r="BF31" s="5">
        <f t="shared" si="53"/>
        <v>0</v>
      </c>
      <c r="BG31" s="6">
        <f t="shared" si="54"/>
        <v>0</v>
      </c>
      <c r="BH31" s="7">
        <f t="shared" si="55"/>
        <v>0</v>
      </c>
      <c r="BI31" s="6">
        <f t="shared" si="56"/>
        <v>0</v>
      </c>
      <c r="BJ31" s="7">
        <f t="shared" si="57"/>
        <v>0</v>
      </c>
      <c r="BK31" s="6">
        <f t="shared" si="58"/>
        <v>0</v>
      </c>
      <c r="BL31" s="5">
        <f t="shared" si="59"/>
        <v>0</v>
      </c>
      <c r="BM31" s="6">
        <f t="shared" si="60"/>
        <v>0</v>
      </c>
      <c r="BN31" s="7">
        <f t="shared" si="61"/>
        <v>0</v>
      </c>
      <c r="BO31" s="6">
        <f t="shared" si="62"/>
        <v>0</v>
      </c>
      <c r="BP31" s="7">
        <f t="shared" si="63"/>
        <v>0</v>
      </c>
      <c r="BQ31" s="6">
        <f t="shared" si="64"/>
        <v>0</v>
      </c>
      <c r="BR31" s="5">
        <f t="shared" si="65"/>
        <v>0</v>
      </c>
      <c r="BS31" s="6">
        <f t="shared" si="66"/>
        <v>0</v>
      </c>
      <c r="BT31" s="7">
        <f t="shared" si="67"/>
        <v>0</v>
      </c>
      <c r="BU31" s="6">
        <f t="shared" si="68"/>
        <v>0</v>
      </c>
      <c r="BV31" s="7">
        <f t="shared" si="69"/>
        <v>0</v>
      </c>
      <c r="BW31" s="6">
        <f t="shared" si="70"/>
        <v>0</v>
      </c>
      <c r="BX31" s="5">
        <f t="shared" si="71"/>
        <v>0</v>
      </c>
      <c r="BY31" s="6">
        <f t="shared" si="72"/>
        <v>0</v>
      </c>
      <c r="BZ31" s="7">
        <f t="shared" si="73"/>
        <v>0</v>
      </c>
      <c r="CA31" s="6">
        <f t="shared" si="74"/>
        <v>0</v>
      </c>
      <c r="CB31" s="7">
        <f t="shared" si="75"/>
        <v>0</v>
      </c>
      <c r="CC31" s="6">
        <f t="shared" si="76"/>
        <v>0</v>
      </c>
      <c r="CD31" s="5">
        <f t="shared" si="77"/>
        <v>0</v>
      </c>
      <c r="CE31" s="6">
        <f t="shared" si="78"/>
        <v>0</v>
      </c>
      <c r="CF31" s="7">
        <f t="shared" si="79"/>
        <v>0</v>
      </c>
      <c r="CG31" s="6">
        <f t="shared" si="80"/>
        <v>0</v>
      </c>
      <c r="CH31" s="7">
        <f t="shared" si="81"/>
        <v>0</v>
      </c>
      <c r="CI31" s="6">
        <f t="shared" si="82"/>
        <v>0</v>
      </c>
      <c r="CJ31" s="5">
        <f t="shared" si="83"/>
        <v>0</v>
      </c>
      <c r="CK31" s="6">
        <f t="shared" si="84"/>
        <v>0</v>
      </c>
      <c r="CL31" s="7">
        <f t="shared" si="85"/>
        <v>0</v>
      </c>
      <c r="CM31" s="6">
        <f t="shared" si="86"/>
        <v>0</v>
      </c>
      <c r="CN31" s="7">
        <f t="shared" si="87"/>
        <v>0</v>
      </c>
      <c r="CO31" s="6">
        <f t="shared" si="88"/>
        <v>0</v>
      </c>
      <c r="CP31" s="5">
        <f t="shared" si="89"/>
        <v>0</v>
      </c>
      <c r="CQ31" s="6">
        <f t="shared" si="90"/>
        <v>0</v>
      </c>
      <c r="CR31" s="7">
        <f t="shared" si="95"/>
        <v>32.112499999999997</v>
      </c>
      <c r="CS31" s="6">
        <f t="shared" si="95"/>
        <v>33.962499999999984</v>
      </c>
      <c r="CT31" s="7">
        <f t="shared" si="95"/>
        <v>25.689999999999998</v>
      </c>
      <c r="CU31" s="6">
        <f t="shared" si="95"/>
        <v>27.169999999999987</v>
      </c>
      <c r="CV31" s="5">
        <f t="shared" si="91"/>
        <v>57.802499999999995</v>
      </c>
      <c r="CW31" s="6">
        <f t="shared" si="92"/>
        <v>61.132499999999972</v>
      </c>
      <c r="CY31" s="7">
        <v>57.802499999999995</v>
      </c>
      <c r="CZ31" s="5">
        <f t="array" ref="CZ31">Summary_UpperBound</f>
        <v>61.132499999999972</v>
      </c>
      <c r="DA31" s="6">
        <f t="shared" si="93"/>
        <v>3.329999999999977</v>
      </c>
    </row>
    <row r="32" spans="1:105" x14ac:dyDescent="0.35">
      <c r="B32" s="14"/>
      <c r="E32" s="12">
        <f t="shared" si="94"/>
        <v>44310</v>
      </c>
      <c r="F32" s="7">
        <f t="shared" si="1"/>
        <v>32.112499999999997</v>
      </c>
      <c r="G32" s="6">
        <f t="shared" si="2"/>
        <v>33.962499999999984</v>
      </c>
      <c r="H32" s="7">
        <f t="shared" si="3"/>
        <v>25.689999999999998</v>
      </c>
      <c r="I32" s="6">
        <f t="shared" si="4"/>
        <v>27.169999999999987</v>
      </c>
      <c r="J32" s="5">
        <f t="shared" si="5"/>
        <v>57.802499999999995</v>
      </c>
      <c r="K32" s="6">
        <f t="shared" si="6"/>
        <v>61.132499999999972</v>
      </c>
      <c r="L32" s="7">
        <f t="shared" si="7"/>
        <v>0</v>
      </c>
      <c r="M32" s="6">
        <f t="shared" si="8"/>
        <v>0</v>
      </c>
      <c r="N32" s="7">
        <f t="shared" si="9"/>
        <v>0</v>
      </c>
      <c r="O32" s="6">
        <f t="shared" si="10"/>
        <v>0</v>
      </c>
      <c r="P32" s="5">
        <f t="shared" si="11"/>
        <v>0</v>
      </c>
      <c r="Q32" s="6">
        <f t="shared" si="12"/>
        <v>0</v>
      </c>
      <c r="R32" s="7">
        <f t="shared" si="13"/>
        <v>0</v>
      </c>
      <c r="S32" s="6">
        <f t="shared" si="14"/>
        <v>0</v>
      </c>
      <c r="T32" s="7">
        <f t="shared" si="15"/>
        <v>0</v>
      </c>
      <c r="U32" s="6">
        <f t="shared" si="16"/>
        <v>0</v>
      </c>
      <c r="V32" s="5">
        <f t="shared" si="17"/>
        <v>0</v>
      </c>
      <c r="W32" s="6">
        <f t="shared" si="18"/>
        <v>0</v>
      </c>
      <c r="X32" s="7">
        <f t="shared" si="19"/>
        <v>0</v>
      </c>
      <c r="Y32" s="6">
        <f t="shared" si="20"/>
        <v>0</v>
      </c>
      <c r="Z32" s="7">
        <f t="shared" si="21"/>
        <v>0</v>
      </c>
      <c r="AA32" s="6">
        <f t="shared" si="22"/>
        <v>0</v>
      </c>
      <c r="AB32" s="5">
        <f t="shared" si="23"/>
        <v>0</v>
      </c>
      <c r="AC32" s="6">
        <f t="shared" si="24"/>
        <v>0</v>
      </c>
      <c r="AD32" s="7">
        <f t="shared" si="25"/>
        <v>0</v>
      </c>
      <c r="AE32" s="6">
        <f t="shared" si="26"/>
        <v>0</v>
      </c>
      <c r="AF32" s="7">
        <f t="shared" si="27"/>
        <v>0</v>
      </c>
      <c r="AG32" s="6">
        <f t="shared" si="28"/>
        <v>0</v>
      </c>
      <c r="AH32" s="5">
        <f t="shared" si="29"/>
        <v>0</v>
      </c>
      <c r="AI32" s="6">
        <f t="shared" si="30"/>
        <v>0</v>
      </c>
      <c r="AJ32" s="7">
        <f t="shared" si="31"/>
        <v>0</v>
      </c>
      <c r="AK32" s="6">
        <f t="shared" si="32"/>
        <v>0</v>
      </c>
      <c r="AL32" s="7">
        <f t="shared" si="33"/>
        <v>0</v>
      </c>
      <c r="AM32" s="6">
        <f t="shared" si="34"/>
        <v>0</v>
      </c>
      <c r="AN32" s="5">
        <f t="shared" si="35"/>
        <v>0</v>
      </c>
      <c r="AO32" s="6">
        <f t="shared" si="36"/>
        <v>0</v>
      </c>
      <c r="AP32" s="7">
        <f t="shared" si="37"/>
        <v>0</v>
      </c>
      <c r="AQ32" s="6">
        <f t="shared" si="38"/>
        <v>0</v>
      </c>
      <c r="AR32" s="7">
        <f t="shared" si="39"/>
        <v>0</v>
      </c>
      <c r="AS32" s="6">
        <f t="shared" si="40"/>
        <v>0</v>
      </c>
      <c r="AT32" s="5">
        <f t="shared" si="41"/>
        <v>0</v>
      </c>
      <c r="AU32" s="6">
        <f t="shared" si="42"/>
        <v>0</v>
      </c>
      <c r="AV32" s="7">
        <f t="shared" si="43"/>
        <v>0</v>
      </c>
      <c r="AW32" s="6">
        <f t="shared" si="44"/>
        <v>0</v>
      </c>
      <c r="AX32" s="7">
        <f t="shared" si="45"/>
        <v>0</v>
      </c>
      <c r="AY32" s="6">
        <f t="shared" si="46"/>
        <v>0</v>
      </c>
      <c r="AZ32" s="5">
        <f t="shared" si="47"/>
        <v>0</v>
      </c>
      <c r="BA32" s="6">
        <f t="shared" si="48"/>
        <v>0</v>
      </c>
      <c r="BB32" s="7">
        <f t="shared" si="49"/>
        <v>0</v>
      </c>
      <c r="BC32" s="6">
        <f t="shared" si="50"/>
        <v>0</v>
      </c>
      <c r="BD32" s="7">
        <f t="shared" si="51"/>
        <v>0</v>
      </c>
      <c r="BE32" s="6">
        <f t="shared" si="52"/>
        <v>0</v>
      </c>
      <c r="BF32" s="5">
        <f t="shared" si="53"/>
        <v>0</v>
      </c>
      <c r="BG32" s="6">
        <f t="shared" si="54"/>
        <v>0</v>
      </c>
      <c r="BH32" s="7">
        <f t="shared" si="55"/>
        <v>0</v>
      </c>
      <c r="BI32" s="6">
        <f t="shared" si="56"/>
        <v>0</v>
      </c>
      <c r="BJ32" s="7">
        <f t="shared" si="57"/>
        <v>0</v>
      </c>
      <c r="BK32" s="6">
        <f t="shared" si="58"/>
        <v>0</v>
      </c>
      <c r="BL32" s="5">
        <f t="shared" si="59"/>
        <v>0</v>
      </c>
      <c r="BM32" s="6">
        <f t="shared" si="60"/>
        <v>0</v>
      </c>
      <c r="BN32" s="7">
        <f t="shared" si="61"/>
        <v>0</v>
      </c>
      <c r="BO32" s="6">
        <f t="shared" si="62"/>
        <v>0</v>
      </c>
      <c r="BP32" s="7">
        <f t="shared" si="63"/>
        <v>0</v>
      </c>
      <c r="BQ32" s="6">
        <f t="shared" si="64"/>
        <v>0</v>
      </c>
      <c r="BR32" s="5">
        <f t="shared" si="65"/>
        <v>0</v>
      </c>
      <c r="BS32" s="6">
        <f t="shared" si="66"/>
        <v>0</v>
      </c>
      <c r="BT32" s="7">
        <f t="shared" si="67"/>
        <v>0</v>
      </c>
      <c r="BU32" s="6">
        <f t="shared" si="68"/>
        <v>0</v>
      </c>
      <c r="BV32" s="7">
        <f t="shared" si="69"/>
        <v>0</v>
      </c>
      <c r="BW32" s="6">
        <f t="shared" si="70"/>
        <v>0</v>
      </c>
      <c r="BX32" s="5">
        <f t="shared" si="71"/>
        <v>0</v>
      </c>
      <c r="BY32" s="6">
        <f t="shared" si="72"/>
        <v>0</v>
      </c>
      <c r="BZ32" s="7">
        <f t="shared" si="73"/>
        <v>0</v>
      </c>
      <c r="CA32" s="6">
        <f t="shared" si="74"/>
        <v>0</v>
      </c>
      <c r="CB32" s="7">
        <f t="shared" si="75"/>
        <v>0</v>
      </c>
      <c r="CC32" s="6">
        <f t="shared" si="76"/>
        <v>0</v>
      </c>
      <c r="CD32" s="5">
        <f t="shared" si="77"/>
        <v>0</v>
      </c>
      <c r="CE32" s="6">
        <f t="shared" si="78"/>
        <v>0</v>
      </c>
      <c r="CF32" s="7">
        <f t="shared" si="79"/>
        <v>0</v>
      </c>
      <c r="CG32" s="6">
        <f t="shared" si="80"/>
        <v>0</v>
      </c>
      <c r="CH32" s="7">
        <f t="shared" si="81"/>
        <v>0</v>
      </c>
      <c r="CI32" s="6">
        <f t="shared" si="82"/>
        <v>0</v>
      </c>
      <c r="CJ32" s="5">
        <f t="shared" si="83"/>
        <v>0</v>
      </c>
      <c r="CK32" s="6">
        <f t="shared" si="84"/>
        <v>0</v>
      </c>
      <c r="CL32" s="7">
        <f t="shared" si="85"/>
        <v>0</v>
      </c>
      <c r="CM32" s="6">
        <f t="shared" si="86"/>
        <v>0</v>
      </c>
      <c r="CN32" s="7">
        <f t="shared" si="87"/>
        <v>0</v>
      </c>
      <c r="CO32" s="6">
        <f t="shared" si="88"/>
        <v>0</v>
      </c>
      <c r="CP32" s="5">
        <f t="shared" si="89"/>
        <v>0</v>
      </c>
      <c r="CQ32" s="6">
        <f t="shared" si="90"/>
        <v>0</v>
      </c>
      <c r="CR32" s="7">
        <f t="shared" si="95"/>
        <v>32.112499999999997</v>
      </c>
      <c r="CS32" s="6">
        <f t="shared" si="95"/>
        <v>33.962499999999984</v>
      </c>
      <c r="CT32" s="7">
        <f t="shared" si="95"/>
        <v>25.689999999999998</v>
      </c>
      <c r="CU32" s="6">
        <f t="shared" si="95"/>
        <v>27.169999999999987</v>
      </c>
      <c r="CV32" s="5">
        <f t="shared" si="91"/>
        <v>57.802499999999995</v>
      </c>
      <c r="CW32" s="6">
        <f t="shared" si="92"/>
        <v>61.132499999999972</v>
      </c>
      <c r="CY32" s="7">
        <v>57.802499999999995</v>
      </c>
      <c r="CZ32" s="5">
        <f t="array" ref="CZ32">Summary_UpperBound</f>
        <v>61.132499999999972</v>
      </c>
      <c r="DA32" s="6">
        <f t="shared" si="93"/>
        <v>3.329999999999977</v>
      </c>
    </row>
    <row r="33" spans="2:105" x14ac:dyDescent="0.35">
      <c r="B33" s="14"/>
      <c r="E33" s="12">
        <f t="shared" si="94"/>
        <v>44317</v>
      </c>
      <c r="F33" s="7">
        <f t="shared" si="1"/>
        <v>32.112499999999997</v>
      </c>
      <c r="G33" s="6">
        <f t="shared" si="2"/>
        <v>33.962499999999984</v>
      </c>
      <c r="H33" s="7">
        <f t="shared" si="3"/>
        <v>25.689999999999998</v>
      </c>
      <c r="I33" s="6">
        <f t="shared" si="4"/>
        <v>27.169999999999987</v>
      </c>
      <c r="J33" s="5">
        <f t="shared" si="5"/>
        <v>57.802499999999995</v>
      </c>
      <c r="K33" s="6">
        <f t="shared" si="6"/>
        <v>61.132499999999972</v>
      </c>
      <c r="L33" s="7">
        <f t="shared" si="7"/>
        <v>0</v>
      </c>
      <c r="M33" s="6">
        <f t="shared" si="8"/>
        <v>0</v>
      </c>
      <c r="N33" s="7">
        <f t="shared" si="9"/>
        <v>0</v>
      </c>
      <c r="O33" s="6">
        <f t="shared" si="10"/>
        <v>0</v>
      </c>
      <c r="P33" s="5">
        <f t="shared" si="11"/>
        <v>0</v>
      </c>
      <c r="Q33" s="6">
        <f t="shared" si="12"/>
        <v>0</v>
      </c>
      <c r="R33" s="7">
        <f t="shared" si="13"/>
        <v>0</v>
      </c>
      <c r="S33" s="6">
        <f t="shared" si="14"/>
        <v>0</v>
      </c>
      <c r="T33" s="7">
        <f t="shared" si="15"/>
        <v>0</v>
      </c>
      <c r="U33" s="6">
        <f t="shared" si="16"/>
        <v>0</v>
      </c>
      <c r="V33" s="5">
        <f t="shared" si="17"/>
        <v>0</v>
      </c>
      <c r="W33" s="6">
        <f t="shared" si="18"/>
        <v>0</v>
      </c>
      <c r="X33" s="7">
        <f t="shared" si="19"/>
        <v>0</v>
      </c>
      <c r="Y33" s="6">
        <f t="shared" si="20"/>
        <v>0</v>
      </c>
      <c r="Z33" s="7">
        <f t="shared" si="21"/>
        <v>0</v>
      </c>
      <c r="AA33" s="6">
        <f t="shared" si="22"/>
        <v>0</v>
      </c>
      <c r="AB33" s="5">
        <f t="shared" si="23"/>
        <v>0</v>
      </c>
      <c r="AC33" s="6">
        <f t="shared" si="24"/>
        <v>0</v>
      </c>
      <c r="AD33" s="7">
        <f t="shared" si="25"/>
        <v>0</v>
      </c>
      <c r="AE33" s="6">
        <f t="shared" si="26"/>
        <v>0</v>
      </c>
      <c r="AF33" s="7">
        <f t="shared" si="27"/>
        <v>0</v>
      </c>
      <c r="AG33" s="6">
        <f t="shared" si="28"/>
        <v>0</v>
      </c>
      <c r="AH33" s="5">
        <f t="shared" si="29"/>
        <v>0</v>
      </c>
      <c r="AI33" s="6">
        <f t="shared" si="30"/>
        <v>0</v>
      </c>
      <c r="AJ33" s="7">
        <f t="shared" si="31"/>
        <v>0</v>
      </c>
      <c r="AK33" s="6">
        <f t="shared" si="32"/>
        <v>0</v>
      </c>
      <c r="AL33" s="7">
        <f t="shared" si="33"/>
        <v>0</v>
      </c>
      <c r="AM33" s="6">
        <f t="shared" si="34"/>
        <v>0</v>
      </c>
      <c r="AN33" s="5">
        <f t="shared" si="35"/>
        <v>0</v>
      </c>
      <c r="AO33" s="6">
        <f t="shared" si="36"/>
        <v>0</v>
      </c>
      <c r="AP33" s="7">
        <f t="shared" si="37"/>
        <v>0</v>
      </c>
      <c r="AQ33" s="6">
        <f t="shared" si="38"/>
        <v>0</v>
      </c>
      <c r="AR33" s="7">
        <f t="shared" si="39"/>
        <v>0</v>
      </c>
      <c r="AS33" s="6">
        <f t="shared" si="40"/>
        <v>0</v>
      </c>
      <c r="AT33" s="5">
        <f t="shared" si="41"/>
        <v>0</v>
      </c>
      <c r="AU33" s="6">
        <f t="shared" si="42"/>
        <v>0</v>
      </c>
      <c r="AV33" s="7">
        <f t="shared" si="43"/>
        <v>0</v>
      </c>
      <c r="AW33" s="6">
        <f t="shared" si="44"/>
        <v>0</v>
      </c>
      <c r="AX33" s="7">
        <f t="shared" si="45"/>
        <v>0</v>
      </c>
      <c r="AY33" s="6">
        <f t="shared" si="46"/>
        <v>0</v>
      </c>
      <c r="AZ33" s="5">
        <f t="shared" si="47"/>
        <v>0</v>
      </c>
      <c r="BA33" s="6">
        <f t="shared" si="48"/>
        <v>0</v>
      </c>
      <c r="BB33" s="7">
        <f t="shared" si="49"/>
        <v>0</v>
      </c>
      <c r="BC33" s="6">
        <f t="shared" si="50"/>
        <v>0</v>
      </c>
      <c r="BD33" s="7">
        <f t="shared" si="51"/>
        <v>0</v>
      </c>
      <c r="BE33" s="6">
        <f t="shared" si="52"/>
        <v>0</v>
      </c>
      <c r="BF33" s="5">
        <f t="shared" si="53"/>
        <v>0</v>
      </c>
      <c r="BG33" s="6">
        <f t="shared" si="54"/>
        <v>0</v>
      </c>
      <c r="BH33" s="7">
        <f t="shared" si="55"/>
        <v>0</v>
      </c>
      <c r="BI33" s="6">
        <f t="shared" si="56"/>
        <v>0</v>
      </c>
      <c r="BJ33" s="7">
        <f t="shared" si="57"/>
        <v>0</v>
      </c>
      <c r="BK33" s="6">
        <f t="shared" si="58"/>
        <v>0</v>
      </c>
      <c r="BL33" s="5">
        <f t="shared" si="59"/>
        <v>0</v>
      </c>
      <c r="BM33" s="6">
        <f t="shared" si="60"/>
        <v>0</v>
      </c>
      <c r="BN33" s="7">
        <f t="shared" si="61"/>
        <v>0</v>
      </c>
      <c r="BO33" s="6">
        <f t="shared" si="62"/>
        <v>0</v>
      </c>
      <c r="BP33" s="7">
        <f t="shared" si="63"/>
        <v>0</v>
      </c>
      <c r="BQ33" s="6">
        <f t="shared" si="64"/>
        <v>0</v>
      </c>
      <c r="BR33" s="5">
        <f t="shared" si="65"/>
        <v>0</v>
      </c>
      <c r="BS33" s="6">
        <f t="shared" si="66"/>
        <v>0</v>
      </c>
      <c r="BT33" s="7">
        <f t="shared" si="67"/>
        <v>0</v>
      </c>
      <c r="BU33" s="6">
        <f t="shared" si="68"/>
        <v>0</v>
      </c>
      <c r="BV33" s="7">
        <f t="shared" si="69"/>
        <v>0</v>
      </c>
      <c r="BW33" s="6">
        <f t="shared" si="70"/>
        <v>0</v>
      </c>
      <c r="BX33" s="5">
        <f t="shared" si="71"/>
        <v>0</v>
      </c>
      <c r="BY33" s="6">
        <f t="shared" si="72"/>
        <v>0</v>
      </c>
      <c r="BZ33" s="7">
        <f t="shared" si="73"/>
        <v>0</v>
      </c>
      <c r="CA33" s="6">
        <f t="shared" si="74"/>
        <v>0</v>
      </c>
      <c r="CB33" s="7">
        <f t="shared" si="75"/>
        <v>0</v>
      </c>
      <c r="CC33" s="6">
        <f t="shared" si="76"/>
        <v>0</v>
      </c>
      <c r="CD33" s="5">
        <f t="shared" si="77"/>
        <v>0</v>
      </c>
      <c r="CE33" s="6">
        <f t="shared" si="78"/>
        <v>0</v>
      </c>
      <c r="CF33" s="7">
        <f t="shared" si="79"/>
        <v>0</v>
      </c>
      <c r="CG33" s="6">
        <f t="shared" si="80"/>
        <v>0</v>
      </c>
      <c r="CH33" s="7">
        <f t="shared" si="81"/>
        <v>0</v>
      </c>
      <c r="CI33" s="6">
        <f t="shared" si="82"/>
        <v>0</v>
      </c>
      <c r="CJ33" s="5">
        <f t="shared" si="83"/>
        <v>0</v>
      </c>
      <c r="CK33" s="6">
        <f t="shared" si="84"/>
        <v>0</v>
      </c>
      <c r="CL33" s="7">
        <f t="shared" si="85"/>
        <v>0</v>
      </c>
      <c r="CM33" s="6">
        <f t="shared" si="86"/>
        <v>0</v>
      </c>
      <c r="CN33" s="7">
        <f t="shared" si="87"/>
        <v>0</v>
      </c>
      <c r="CO33" s="6">
        <f t="shared" si="88"/>
        <v>0</v>
      </c>
      <c r="CP33" s="5">
        <f t="shared" si="89"/>
        <v>0</v>
      </c>
      <c r="CQ33" s="6">
        <f t="shared" si="90"/>
        <v>0</v>
      </c>
      <c r="CR33" s="7">
        <f t="shared" si="95"/>
        <v>32.112499999999997</v>
      </c>
      <c r="CS33" s="6">
        <f t="shared" si="95"/>
        <v>33.962499999999984</v>
      </c>
      <c r="CT33" s="7">
        <f t="shared" si="95"/>
        <v>25.689999999999998</v>
      </c>
      <c r="CU33" s="6">
        <f t="shared" si="95"/>
        <v>27.169999999999987</v>
      </c>
      <c r="CV33" s="5">
        <f t="shared" si="91"/>
        <v>57.802499999999995</v>
      </c>
      <c r="CW33" s="6">
        <f t="shared" si="92"/>
        <v>61.132499999999972</v>
      </c>
      <c r="CY33" s="7">
        <v>57.802499999999995</v>
      </c>
      <c r="CZ33" s="5">
        <f t="array" ref="CZ33">Summary_UpperBound</f>
        <v>61.132499999999972</v>
      </c>
      <c r="DA33" s="6">
        <f t="shared" si="93"/>
        <v>3.329999999999977</v>
      </c>
    </row>
    <row r="34" spans="2:105" x14ac:dyDescent="0.35">
      <c r="B34" s="14"/>
      <c r="E34" s="12">
        <f t="shared" si="94"/>
        <v>44324</v>
      </c>
      <c r="F34" s="7">
        <f t="shared" si="1"/>
        <v>32.112499999999997</v>
      </c>
      <c r="G34" s="6">
        <f t="shared" si="2"/>
        <v>33.962499999999984</v>
      </c>
      <c r="H34" s="7">
        <f t="shared" si="3"/>
        <v>25.689999999999998</v>
      </c>
      <c r="I34" s="6">
        <f t="shared" si="4"/>
        <v>27.169999999999987</v>
      </c>
      <c r="J34" s="5">
        <f t="shared" si="5"/>
        <v>57.802499999999995</v>
      </c>
      <c r="K34" s="6">
        <f t="shared" si="6"/>
        <v>61.132499999999972</v>
      </c>
      <c r="L34" s="7">
        <f t="shared" si="7"/>
        <v>0</v>
      </c>
      <c r="M34" s="6">
        <f t="shared" si="8"/>
        <v>0</v>
      </c>
      <c r="N34" s="7">
        <f t="shared" si="9"/>
        <v>0</v>
      </c>
      <c r="O34" s="6">
        <f t="shared" si="10"/>
        <v>0</v>
      </c>
      <c r="P34" s="5">
        <f t="shared" si="11"/>
        <v>0</v>
      </c>
      <c r="Q34" s="6">
        <f t="shared" si="12"/>
        <v>0</v>
      </c>
      <c r="R34" s="7">
        <f t="shared" si="13"/>
        <v>0</v>
      </c>
      <c r="S34" s="6">
        <f t="shared" si="14"/>
        <v>0</v>
      </c>
      <c r="T34" s="7">
        <f t="shared" si="15"/>
        <v>0</v>
      </c>
      <c r="U34" s="6">
        <f t="shared" si="16"/>
        <v>0</v>
      </c>
      <c r="V34" s="5">
        <f t="shared" si="17"/>
        <v>0</v>
      </c>
      <c r="W34" s="6">
        <f t="shared" si="18"/>
        <v>0</v>
      </c>
      <c r="X34" s="7">
        <f t="shared" si="19"/>
        <v>0</v>
      </c>
      <c r="Y34" s="6">
        <f t="shared" si="20"/>
        <v>0</v>
      </c>
      <c r="Z34" s="7">
        <f t="shared" si="21"/>
        <v>0</v>
      </c>
      <c r="AA34" s="6">
        <f t="shared" si="22"/>
        <v>0</v>
      </c>
      <c r="AB34" s="5">
        <f t="shared" si="23"/>
        <v>0</v>
      </c>
      <c r="AC34" s="6">
        <f t="shared" si="24"/>
        <v>0</v>
      </c>
      <c r="AD34" s="7">
        <f t="shared" si="25"/>
        <v>0</v>
      </c>
      <c r="AE34" s="6">
        <f t="shared" si="26"/>
        <v>0</v>
      </c>
      <c r="AF34" s="7">
        <f t="shared" si="27"/>
        <v>0</v>
      </c>
      <c r="AG34" s="6">
        <f t="shared" si="28"/>
        <v>0</v>
      </c>
      <c r="AH34" s="5">
        <f t="shared" si="29"/>
        <v>0</v>
      </c>
      <c r="AI34" s="6">
        <f t="shared" si="30"/>
        <v>0</v>
      </c>
      <c r="AJ34" s="7">
        <f t="shared" si="31"/>
        <v>0</v>
      </c>
      <c r="AK34" s="6">
        <f t="shared" si="32"/>
        <v>0</v>
      </c>
      <c r="AL34" s="7">
        <f t="shared" si="33"/>
        <v>0</v>
      </c>
      <c r="AM34" s="6">
        <f t="shared" si="34"/>
        <v>0</v>
      </c>
      <c r="AN34" s="5">
        <f t="shared" si="35"/>
        <v>0</v>
      </c>
      <c r="AO34" s="6">
        <f t="shared" si="36"/>
        <v>0</v>
      </c>
      <c r="AP34" s="7">
        <f t="shared" si="37"/>
        <v>0</v>
      </c>
      <c r="AQ34" s="6">
        <f t="shared" si="38"/>
        <v>0</v>
      </c>
      <c r="AR34" s="7">
        <f t="shared" si="39"/>
        <v>0</v>
      </c>
      <c r="AS34" s="6">
        <f t="shared" si="40"/>
        <v>0</v>
      </c>
      <c r="AT34" s="5">
        <f t="shared" si="41"/>
        <v>0</v>
      </c>
      <c r="AU34" s="6">
        <f t="shared" si="42"/>
        <v>0</v>
      </c>
      <c r="AV34" s="7">
        <f t="shared" si="43"/>
        <v>0</v>
      </c>
      <c r="AW34" s="6">
        <f t="shared" si="44"/>
        <v>0</v>
      </c>
      <c r="AX34" s="7">
        <f t="shared" si="45"/>
        <v>0</v>
      </c>
      <c r="AY34" s="6">
        <f t="shared" si="46"/>
        <v>0</v>
      </c>
      <c r="AZ34" s="5">
        <f t="shared" si="47"/>
        <v>0</v>
      </c>
      <c r="BA34" s="6">
        <f t="shared" si="48"/>
        <v>0</v>
      </c>
      <c r="BB34" s="7">
        <f t="shared" si="49"/>
        <v>0</v>
      </c>
      <c r="BC34" s="6">
        <f t="shared" si="50"/>
        <v>0</v>
      </c>
      <c r="BD34" s="7">
        <f t="shared" si="51"/>
        <v>0</v>
      </c>
      <c r="BE34" s="6">
        <f t="shared" si="52"/>
        <v>0</v>
      </c>
      <c r="BF34" s="5">
        <f t="shared" si="53"/>
        <v>0</v>
      </c>
      <c r="BG34" s="6">
        <f t="shared" si="54"/>
        <v>0</v>
      </c>
      <c r="BH34" s="7">
        <f t="shared" si="55"/>
        <v>0</v>
      </c>
      <c r="BI34" s="6">
        <f t="shared" si="56"/>
        <v>0</v>
      </c>
      <c r="BJ34" s="7">
        <f t="shared" si="57"/>
        <v>0</v>
      </c>
      <c r="BK34" s="6">
        <f t="shared" si="58"/>
        <v>0</v>
      </c>
      <c r="BL34" s="5">
        <f t="shared" si="59"/>
        <v>0</v>
      </c>
      <c r="BM34" s="6">
        <f t="shared" si="60"/>
        <v>0</v>
      </c>
      <c r="BN34" s="7">
        <f t="shared" si="61"/>
        <v>0</v>
      </c>
      <c r="BO34" s="6">
        <f t="shared" si="62"/>
        <v>0</v>
      </c>
      <c r="BP34" s="7">
        <f t="shared" si="63"/>
        <v>0</v>
      </c>
      <c r="BQ34" s="6">
        <f t="shared" si="64"/>
        <v>0</v>
      </c>
      <c r="BR34" s="5">
        <f t="shared" si="65"/>
        <v>0</v>
      </c>
      <c r="BS34" s="6">
        <f t="shared" si="66"/>
        <v>0</v>
      </c>
      <c r="BT34" s="7">
        <f t="shared" si="67"/>
        <v>0</v>
      </c>
      <c r="BU34" s="6">
        <f t="shared" si="68"/>
        <v>0</v>
      </c>
      <c r="BV34" s="7">
        <f t="shared" si="69"/>
        <v>0</v>
      </c>
      <c r="BW34" s="6">
        <f t="shared" si="70"/>
        <v>0</v>
      </c>
      <c r="BX34" s="5">
        <f t="shared" si="71"/>
        <v>0</v>
      </c>
      <c r="BY34" s="6">
        <f t="shared" si="72"/>
        <v>0</v>
      </c>
      <c r="BZ34" s="7">
        <f t="shared" si="73"/>
        <v>0</v>
      </c>
      <c r="CA34" s="6">
        <f t="shared" si="74"/>
        <v>0</v>
      </c>
      <c r="CB34" s="7">
        <f t="shared" si="75"/>
        <v>0</v>
      </c>
      <c r="CC34" s="6">
        <f t="shared" si="76"/>
        <v>0</v>
      </c>
      <c r="CD34" s="5">
        <f t="shared" si="77"/>
        <v>0</v>
      </c>
      <c r="CE34" s="6">
        <f t="shared" si="78"/>
        <v>0</v>
      </c>
      <c r="CF34" s="7">
        <f t="shared" si="79"/>
        <v>0</v>
      </c>
      <c r="CG34" s="6">
        <f t="shared" si="80"/>
        <v>0</v>
      </c>
      <c r="CH34" s="7">
        <f t="shared" si="81"/>
        <v>0</v>
      </c>
      <c r="CI34" s="6">
        <f t="shared" si="82"/>
        <v>0</v>
      </c>
      <c r="CJ34" s="5">
        <f t="shared" si="83"/>
        <v>0</v>
      </c>
      <c r="CK34" s="6">
        <f t="shared" si="84"/>
        <v>0</v>
      </c>
      <c r="CL34" s="7">
        <f t="shared" si="85"/>
        <v>0</v>
      </c>
      <c r="CM34" s="6">
        <f t="shared" si="86"/>
        <v>0</v>
      </c>
      <c r="CN34" s="7">
        <f t="shared" si="87"/>
        <v>0</v>
      </c>
      <c r="CO34" s="6">
        <f t="shared" si="88"/>
        <v>0</v>
      </c>
      <c r="CP34" s="5">
        <f t="shared" si="89"/>
        <v>0</v>
      </c>
      <c r="CQ34" s="6">
        <f t="shared" si="90"/>
        <v>0</v>
      </c>
      <c r="CR34" s="7">
        <f t="shared" si="95"/>
        <v>32.112499999999997</v>
      </c>
      <c r="CS34" s="6">
        <f t="shared" si="95"/>
        <v>33.962499999999984</v>
      </c>
      <c r="CT34" s="7">
        <f t="shared" si="95"/>
        <v>25.689999999999998</v>
      </c>
      <c r="CU34" s="6">
        <f t="shared" si="95"/>
        <v>27.169999999999987</v>
      </c>
      <c r="CV34" s="5">
        <f t="shared" si="91"/>
        <v>57.802499999999995</v>
      </c>
      <c r="CW34" s="6">
        <f t="shared" si="92"/>
        <v>61.132499999999972</v>
      </c>
      <c r="CY34" s="7">
        <v>57.802499999999995</v>
      </c>
      <c r="CZ34" s="5">
        <f t="array" ref="CZ34">Summary_UpperBound</f>
        <v>61.132499999999972</v>
      </c>
      <c r="DA34" s="6">
        <f t="shared" si="93"/>
        <v>3.329999999999977</v>
      </c>
    </row>
    <row r="35" spans="2:105" x14ac:dyDescent="0.35">
      <c r="B35" s="14"/>
      <c r="E35" s="12">
        <f t="shared" si="94"/>
        <v>44331</v>
      </c>
      <c r="F35" s="7">
        <f t="shared" si="1"/>
        <v>32.112499999999997</v>
      </c>
      <c r="G35" s="6">
        <f t="shared" si="2"/>
        <v>33.962499999999984</v>
      </c>
      <c r="H35" s="7">
        <f t="shared" si="3"/>
        <v>25.689999999999998</v>
      </c>
      <c r="I35" s="6">
        <f t="shared" si="4"/>
        <v>27.169999999999987</v>
      </c>
      <c r="J35" s="5">
        <f t="shared" si="5"/>
        <v>57.802499999999995</v>
      </c>
      <c r="K35" s="6">
        <f t="shared" si="6"/>
        <v>61.132499999999972</v>
      </c>
      <c r="L35" s="7">
        <f t="shared" si="7"/>
        <v>0</v>
      </c>
      <c r="M35" s="6">
        <f t="shared" si="8"/>
        <v>0</v>
      </c>
      <c r="N35" s="7">
        <f t="shared" si="9"/>
        <v>0</v>
      </c>
      <c r="O35" s="6">
        <f t="shared" si="10"/>
        <v>0</v>
      </c>
      <c r="P35" s="5">
        <f t="shared" si="11"/>
        <v>0</v>
      </c>
      <c r="Q35" s="6">
        <f t="shared" si="12"/>
        <v>0</v>
      </c>
      <c r="R35" s="7">
        <f t="shared" si="13"/>
        <v>0</v>
      </c>
      <c r="S35" s="6">
        <f t="shared" si="14"/>
        <v>0</v>
      </c>
      <c r="T35" s="7">
        <f t="shared" si="15"/>
        <v>0</v>
      </c>
      <c r="U35" s="6">
        <f t="shared" si="16"/>
        <v>0</v>
      </c>
      <c r="V35" s="5">
        <f t="shared" si="17"/>
        <v>0</v>
      </c>
      <c r="W35" s="6">
        <f t="shared" si="18"/>
        <v>0</v>
      </c>
      <c r="X35" s="7">
        <f t="shared" si="19"/>
        <v>0</v>
      </c>
      <c r="Y35" s="6">
        <f t="shared" si="20"/>
        <v>0</v>
      </c>
      <c r="Z35" s="7">
        <f t="shared" si="21"/>
        <v>0</v>
      </c>
      <c r="AA35" s="6">
        <f t="shared" si="22"/>
        <v>0</v>
      </c>
      <c r="AB35" s="5">
        <f t="shared" si="23"/>
        <v>0</v>
      </c>
      <c r="AC35" s="6">
        <f t="shared" si="24"/>
        <v>0</v>
      </c>
      <c r="AD35" s="7">
        <f t="shared" si="25"/>
        <v>0</v>
      </c>
      <c r="AE35" s="6">
        <f t="shared" si="26"/>
        <v>0</v>
      </c>
      <c r="AF35" s="7">
        <f t="shared" si="27"/>
        <v>0</v>
      </c>
      <c r="AG35" s="6">
        <f t="shared" si="28"/>
        <v>0</v>
      </c>
      <c r="AH35" s="5">
        <f t="shared" si="29"/>
        <v>0</v>
      </c>
      <c r="AI35" s="6">
        <f t="shared" si="30"/>
        <v>0</v>
      </c>
      <c r="AJ35" s="7">
        <f t="shared" si="31"/>
        <v>0</v>
      </c>
      <c r="AK35" s="6">
        <f t="shared" si="32"/>
        <v>0</v>
      </c>
      <c r="AL35" s="7">
        <f t="shared" si="33"/>
        <v>0</v>
      </c>
      <c r="AM35" s="6">
        <f t="shared" si="34"/>
        <v>0</v>
      </c>
      <c r="AN35" s="5">
        <f t="shared" si="35"/>
        <v>0</v>
      </c>
      <c r="AO35" s="6">
        <f t="shared" si="36"/>
        <v>0</v>
      </c>
      <c r="AP35" s="7">
        <f t="shared" si="37"/>
        <v>0</v>
      </c>
      <c r="AQ35" s="6">
        <f t="shared" si="38"/>
        <v>0</v>
      </c>
      <c r="AR35" s="7">
        <f t="shared" si="39"/>
        <v>0</v>
      </c>
      <c r="AS35" s="6">
        <f t="shared" si="40"/>
        <v>0</v>
      </c>
      <c r="AT35" s="5">
        <f t="shared" si="41"/>
        <v>0</v>
      </c>
      <c r="AU35" s="6">
        <f t="shared" si="42"/>
        <v>0</v>
      </c>
      <c r="AV35" s="7">
        <f t="shared" si="43"/>
        <v>0</v>
      </c>
      <c r="AW35" s="6">
        <f t="shared" si="44"/>
        <v>0</v>
      </c>
      <c r="AX35" s="7">
        <f t="shared" si="45"/>
        <v>0</v>
      </c>
      <c r="AY35" s="6">
        <f t="shared" si="46"/>
        <v>0</v>
      </c>
      <c r="AZ35" s="5">
        <f t="shared" si="47"/>
        <v>0</v>
      </c>
      <c r="BA35" s="6">
        <f t="shared" si="48"/>
        <v>0</v>
      </c>
      <c r="BB35" s="7">
        <f t="shared" si="49"/>
        <v>0</v>
      </c>
      <c r="BC35" s="6">
        <f t="shared" si="50"/>
        <v>0</v>
      </c>
      <c r="BD35" s="7">
        <f t="shared" si="51"/>
        <v>0</v>
      </c>
      <c r="BE35" s="6">
        <f t="shared" si="52"/>
        <v>0</v>
      </c>
      <c r="BF35" s="5">
        <f t="shared" si="53"/>
        <v>0</v>
      </c>
      <c r="BG35" s="6">
        <f t="shared" si="54"/>
        <v>0</v>
      </c>
      <c r="BH35" s="7">
        <f t="shared" si="55"/>
        <v>0</v>
      </c>
      <c r="BI35" s="6">
        <f t="shared" si="56"/>
        <v>0</v>
      </c>
      <c r="BJ35" s="7">
        <f t="shared" si="57"/>
        <v>0</v>
      </c>
      <c r="BK35" s="6">
        <f t="shared" si="58"/>
        <v>0</v>
      </c>
      <c r="BL35" s="5">
        <f t="shared" si="59"/>
        <v>0</v>
      </c>
      <c r="BM35" s="6">
        <f t="shared" si="60"/>
        <v>0</v>
      </c>
      <c r="BN35" s="7">
        <f t="shared" si="61"/>
        <v>0</v>
      </c>
      <c r="BO35" s="6">
        <f t="shared" si="62"/>
        <v>0</v>
      </c>
      <c r="BP35" s="7">
        <f t="shared" si="63"/>
        <v>0</v>
      </c>
      <c r="BQ35" s="6">
        <f t="shared" si="64"/>
        <v>0</v>
      </c>
      <c r="BR35" s="5">
        <f t="shared" si="65"/>
        <v>0</v>
      </c>
      <c r="BS35" s="6">
        <f t="shared" si="66"/>
        <v>0</v>
      </c>
      <c r="BT35" s="7">
        <f t="shared" si="67"/>
        <v>0</v>
      </c>
      <c r="BU35" s="6">
        <f t="shared" si="68"/>
        <v>0</v>
      </c>
      <c r="BV35" s="7">
        <f t="shared" si="69"/>
        <v>0</v>
      </c>
      <c r="BW35" s="6">
        <f t="shared" si="70"/>
        <v>0</v>
      </c>
      <c r="BX35" s="5">
        <f t="shared" si="71"/>
        <v>0</v>
      </c>
      <c r="BY35" s="6">
        <f t="shared" si="72"/>
        <v>0</v>
      </c>
      <c r="BZ35" s="7">
        <f t="shared" si="73"/>
        <v>0</v>
      </c>
      <c r="CA35" s="6">
        <f t="shared" si="74"/>
        <v>0</v>
      </c>
      <c r="CB35" s="7">
        <f t="shared" si="75"/>
        <v>0</v>
      </c>
      <c r="CC35" s="6">
        <f t="shared" si="76"/>
        <v>0</v>
      </c>
      <c r="CD35" s="5">
        <f t="shared" si="77"/>
        <v>0</v>
      </c>
      <c r="CE35" s="6">
        <f t="shared" si="78"/>
        <v>0</v>
      </c>
      <c r="CF35" s="7">
        <f t="shared" si="79"/>
        <v>0</v>
      </c>
      <c r="CG35" s="6">
        <f t="shared" si="80"/>
        <v>0</v>
      </c>
      <c r="CH35" s="7">
        <f t="shared" si="81"/>
        <v>0</v>
      </c>
      <c r="CI35" s="6">
        <f t="shared" si="82"/>
        <v>0</v>
      </c>
      <c r="CJ35" s="5">
        <f t="shared" si="83"/>
        <v>0</v>
      </c>
      <c r="CK35" s="6">
        <f t="shared" si="84"/>
        <v>0</v>
      </c>
      <c r="CL35" s="7">
        <f t="shared" si="85"/>
        <v>0</v>
      </c>
      <c r="CM35" s="6">
        <f t="shared" si="86"/>
        <v>0</v>
      </c>
      <c r="CN35" s="7">
        <f t="shared" si="87"/>
        <v>0</v>
      </c>
      <c r="CO35" s="6">
        <f t="shared" si="88"/>
        <v>0</v>
      </c>
      <c r="CP35" s="5">
        <f t="shared" si="89"/>
        <v>0</v>
      </c>
      <c r="CQ35" s="6">
        <f t="shared" si="90"/>
        <v>0</v>
      </c>
      <c r="CR35" s="7">
        <f t="shared" si="95"/>
        <v>32.112499999999997</v>
      </c>
      <c r="CS35" s="6">
        <f t="shared" si="95"/>
        <v>33.962499999999984</v>
      </c>
      <c r="CT35" s="7">
        <f t="shared" si="95"/>
        <v>25.689999999999998</v>
      </c>
      <c r="CU35" s="6">
        <f t="shared" si="95"/>
        <v>27.169999999999987</v>
      </c>
      <c r="CV35" s="5">
        <f t="shared" si="91"/>
        <v>57.802499999999995</v>
      </c>
      <c r="CW35" s="6">
        <f t="shared" si="92"/>
        <v>61.132499999999972</v>
      </c>
      <c r="CY35" s="7">
        <v>57.802499999999995</v>
      </c>
      <c r="CZ35" s="5">
        <f t="array" ref="CZ35">Summary_UpperBound</f>
        <v>61.132499999999972</v>
      </c>
      <c r="DA35" s="6">
        <f t="shared" si="93"/>
        <v>3.329999999999977</v>
      </c>
    </row>
    <row r="36" spans="2:105" x14ac:dyDescent="0.35">
      <c r="B36" s="14"/>
      <c r="E36" s="12">
        <f t="shared" si="94"/>
        <v>44338</v>
      </c>
      <c r="F36" s="7">
        <f t="shared" si="1"/>
        <v>32.112499999999997</v>
      </c>
      <c r="G36" s="6">
        <f t="shared" si="2"/>
        <v>33.962499999999984</v>
      </c>
      <c r="H36" s="7">
        <f t="shared" si="3"/>
        <v>25.689999999999998</v>
      </c>
      <c r="I36" s="6">
        <f t="shared" si="4"/>
        <v>27.169999999999987</v>
      </c>
      <c r="J36" s="5">
        <f t="shared" si="5"/>
        <v>57.802499999999995</v>
      </c>
      <c r="K36" s="6">
        <f t="shared" si="6"/>
        <v>61.132499999999972</v>
      </c>
      <c r="L36" s="7">
        <f t="shared" si="7"/>
        <v>0</v>
      </c>
      <c r="M36" s="6">
        <f t="shared" si="8"/>
        <v>0</v>
      </c>
      <c r="N36" s="7">
        <f t="shared" si="9"/>
        <v>0</v>
      </c>
      <c r="O36" s="6">
        <f t="shared" si="10"/>
        <v>0</v>
      </c>
      <c r="P36" s="5">
        <f t="shared" si="11"/>
        <v>0</v>
      </c>
      <c r="Q36" s="6">
        <f t="shared" si="12"/>
        <v>0</v>
      </c>
      <c r="R36" s="7">
        <f t="shared" si="13"/>
        <v>0</v>
      </c>
      <c r="S36" s="6">
        <f t="shared" si="14"/>
        <v>0</v>
      </c>
      <c r="T36" s="7">
        <f t="shared" si="15"/>
        <v>0</v>
      </c>
      <c r="U36" s="6">
        <f t="shared" si="16"/>
        <v>0</v>
      </c>
      <c r="V36" s="5">
        <f t="shared" si="17"/>
        <v>0</v>
      </c>
      <c r="W36" s="6">
        <f t="shared" si="18"/>
        <v>0</v>
      </c>
      <c r="X36" s="7">
        <f t="shared" si="19"/>
        <v>0</v>
      </c>
      <c r="Y36" s="6">
        <f t="shared" si="20"/>
        <v>0</v>
      </c>
      <c r="Z36" s="7">
        <f t="shared" si="21"/>
        <v>0</v>
      </c>
      <c r="AA36" s="6">
        <f t="shared" si="22"/>
        <v>0</v>
      </c>
      <c r="AB36" s="5">
        <f t="shared" si="23"/>
        <v>0</v>
      </c>
      <c r="AC36" s="6">
        <f t="shared" si="24"/>
        <v>0</v>
      </c>
      <c r="AD36" s="7">
        <f t="shared" si="25"/>
        <v>0</v>
      </c>
      <c r="AE36" s="6">
        <f t="shared" si="26"/>
        <v>0</v>
      </c>
      <c r="AF36" s="7">
        <f t="shared" si="27"/>
        <v>0</v>
      </c>
      <c r="AG36" s="6">
        <f t="shared" si="28"/>
        <v>0</v>
      </c>
      <c r="AH36" s="5">
        <f t="shared" si="29"/>
        <v>0</v>
      </c>
      <c r="AI36" s="6">
        <f t="shared" si="30"/>
        <v>0</v>
      </c>
      <c r="AJ36" s="7">
        <f t="shared" si="31"/>
        <v>0</v>
      </c>
      <c r="AK36" s="6">
        <f t="shared" si="32"/>
        <v>0</v>
      </c>
      <c r="AL36" s="7">
        <f t="shared" si="33"/>
        <v>0</v>
      </c>
      <c r="AM36" s="6">
        <f t="shared" si="34"/>
        <v>0</v>
      </c>
      <c r="AN36" s="5">
        <f t="shared" si="35"/>
        <v>0</v>
      </c>
      <c r="AO36" s="6">
        <f t="shared" si="36"/>
        <v>0</v>
      </c>
      <c r="AP36" s="7">
        <f t="shared" si="37"/>
        <v>0</v>
      </c>
      <c r="AQ36" s="6">
        <f t="shared" si="38"/>
        <v>0</v>
      </c>
      <c r="AR36" s="7">
        <f t="shared" si="39"/>
        <v>0</v>
      </c>
      <c r="AS36" s="6">
        <f t="shared" si="40"/>
        <v>0</v>
      </c>
      <c r="AT36" s="5">
        <f t="shared" si="41"/>
        <v>0</v>
      </c>
      <c r="AU36" s="6">
        <f t="shared" si="42"/>
        <v>0</v>
      </c>
      <c r="AV36" s="7">
        <f t="shared" si="43"/>
        <v>0</v>
      </c>
      <c r="AW36" s="6">
        <f t="shared" si="44"/>
        <v>0</v>
      </c>
      <c r="AX36" s="7">
        <f t="shared" si="45"/>
        <v>0</v>
      </c>
      <c r="AY36" s="6">
        <f t="shared" si="46"/>
        <v>0</v>
      </c>
      <c r="AZ36" s="5">
        <f t="shared" si="47"/>
        <v>0</v>
      </c>
      <c r="BA36" s="6">
        <f t="shared" si="48"/>
        <v>0</v>
      </c>
      <c r="BB36" s="7">
        <f t="shared" si="49"/>
        <v>0</v>
      </c>
      <c r="BC36" s="6">
        <f t="shared" si="50"/>
        <v>0</v>
      </c>
      <c r="BD36" s="7">
        <f t="shared" si="51"/>
        <v>0</v>
      </c>
      <c r="BE36" s="6">
        <f t="shared" si="52"/>
        <v>0</v>
      </c>
      <c r="BF36" s="5">
        <f t="shared" si="53"/>
        <v>0</v>
      </c>
      <c r="BG36" s="6">
        <f t="shared" si="54"/>
        <v>0</v>
      </c>
      <c r="BH36" s="7">
        <f t="shared" si="55"/>
        <v>0</v>
      </c>
      <c r="BI36" s="6">
        <f t="shared" si="56"/>
        <v>0</v>
      </c>
      <c r="BJ36" s="7">
        <f t="shared" si="57"/>
        <v>0</v>
      </c>
      <c r="BK36" s="6">
        <f t="shared" si="58"/>
        <v>0</v>
      </c>
      <c r="BL36" s="5">
        <f t="shared" si="59"/>
        <v>0</v>
      </c>
      <c r="BM36" s="6">
        <f t="shared" si="60"/>
        <v>0</v>
      </c>
      <c r="BN36" s="7">
        <f t="shared" si="61"/>
        <v>0</v>
      </c>
      <c r="BO36" s="6">
        <f t="shared" si="62"/>
        <v>0</v>
      </c>
      <c r="BP36" s="7">
        <f t="shared" si="63"/>
        <v>0</v>
      </c>
      <c r="BQ36" s="6">
        <f t="shared" si="64"/>
        <v>0</v>
      </c>
      <c r="BR36" s="5">
        <f t="shared" si="65"/>
        <v>0</v>
      </c>
      <c r="BS36" s="6">
        <f t="shared" si="66"/>
        <v>0</v>
      </c>
      <c r="BT36" s="7">
        <f t="shared" si="67"/>
        <v>0</v>
      </c>
      <c r="BU36" s="6">
        <f t="shared" si="68"/>
        <v>0</v>
      </c>
      <c r="BV36" s="7">
        <f t="shared" si="69"/>
        <v>0</v>
      </c>
      <c r="BW36" s="6">
        <f t="shared" si="70"/>
        <v>0</v>
      </c>
      <c r="BX36" s="5">
        <f t="shared" si="71"/>
        <v>0</v>
      </c>
      <c r="BY36" s="6">
        <f t="shared" si="72"/>
        <v>0</v>
      </c>
      <c r="BZ36" s="7">
        <f t="shared" si="73"/>
        <v>0</v>
      </c>
      <c r="CA36" s="6">
        <f t="shared" si="74"/>
        <v>0</v>
      </c>
      <c r="CB36" s="7">
        <f t="shared" si="75"/>
        <v>0</v>
      </c>
      <c r="CC36" s="6">
        <f t="shared" si="76"/>
        <v>0</v>
      </c>
      <c r="CD36" s="5">
        <f t="shared" si="77"/>
        <v>0</v>
      </c>
      <c r="CE36" s="6">
        <f t="shared" si="78"/>
        <v>0</v>
      </c>
      <c r="CF36" s="7">
        <f t="shared" si="79"/>
        <v>0</v>
      </c>
      <c r="CG36" s="6">
        <f t="shared" si="80"/>
        <v>0</v>
      </c>
      <c r="CH36" s="7">
        <f t="shared" si="81"/>
        <v>0</v>
      </c>
      <c r="CI36" s="6">
        <f t="shared" si="82"/>
        <v>0</v>
      </c>
      <c r="CJ36" s="5">
        <f t="shared" si="83"/>
        <v>0</v>
      </c>
      <c r="CK36" s="6">
        <f t="shared" si="84"/>
        <v>0</v>
      </c>
      <c r="CL36" s="7">
        <f t="shared" si="85"/>
        <v>0</v>
      </c>
      <c r="CM36" s="6">
        <f t="shared" si="86"/>
        <v>0</v>
      </c>
      <c r="CN36" s="7">
        <f t="shared" si="87"/>
        <v>0</v>
      </c>
      <c r="CO36" s="6">
        <f t="shared" si="88"/>
        <v>0</v>
      </c>
      <c r="CP36" s="5">
        <f t="shared" si="89"/>
        <v>0</v>
      </c>
      <c r="CQ36" s="6">
        <f t="shared" si="90"/>
        <v>0</v>
      </c>
      <c r="CR36" s="7">
        <f t="shared" si="95"/>
        <v>32.112499999999997</v>
      </c>
      <c r="CS36" s="6">
        <f t="shared" si="95"/>
        <v>33.962499999999984</v>
      </c>
      <c r="CT36" s="7">
        <f t="shared" si="95"/>
        <v>25.689999999999998</v>
      </c>
      <c r="CU36" s="6">
        <f t="shared" si="95"/>
        <v>27.169999999999987</v>
      </c>
      <c r="CV36" s="5">
        <f t="shared" si="91"/>
        <v>57.802499999999995</v>
      </c>
      <c r="CW36" s="6">
        <f t="shared" si="92"/>
        <v>61.132499999999972</v>
      </c>
      <c r="CY36" s="7">
        <v>57.802499999999995</v>
      </c>
      <c r="CZ36" s="5">
        <f t="array" ref="CZ36">Summary_UpperBound</f>
        <v>61.132499999999972</v>
      </c>
      <c r="DA36" s="6">
        <f t="shared" si="93"/>
        <v>3.329999999999977</v>
      </c>
    </row>
    <row r="37" spans="2:105" x14ac:dyDescent="0.35">
      <c r="B37" s="14"/>
      <c r="E37" s="12">
        <f t="shared" si="94"/>
        <v>44345</v>
      </c>
      <c r="F37" s="7">
        <f t="shared" si="1"/>
        <v>32.112499999999997</v>
      </c>
      <c r="G37" s="6">
        <f t="shared" si="2"/>
        <v>33.962499999999984</v>
      </c>
      <c r="H37" s="7">
        <f t="shared" si="3"/>
        <v>25.689999999999998</v>
      </c>
      <c r="I37" s="6">
        <f t="shared" si="4"/>
        <v>27.169999999999987</v>
      </c>
      <c r="J37" s="5">
        <f t="shared" si="5"/>
        <v>57.802499999999995</v>
      </c>
      <c r="K37" s="6">
        <f t="shared" si="6"/>
        <v>61.132499999999972</v>
      </c>
      <c r="L37" s="7">
        <f t="shared" si="7"/>
        <v>0</v>
      </c>
      <c r="M37" s="6">
        <f t="shared" si="8"/>
        <v>0</v>
      </c>
      <c r="N37" s="7">
        <f t="shared" si="9"/>
        <v>0</v>
      </c>
      <c r="O37" s="6">
        <f t="shared" si="10"/>
        <v>0</v>
      </c>
      <c r="P37" s="5">
        <f t="shared" si="11"/>
        <v>0</v>
      </c>
      <c r="Q37" s="6">
        <f t="shared" si="12"/>
        <v>0</v>
      </c>
      <c r="R37" s="7">
        <f t="shared" si="13"/>
        <v>0</v>
      </c>
      <c r="S37" s="6">
        <f t="shared" si="14"/>
        <v>0</v>
      </c>
      <c r="T37" s="7">
        <f t="shared" si="15"/>
        <v>0</v>
      </c>
      <c r="U37" s="6">
        <f t="shared" si="16"/>
        <v>0</v>
      </c>
      <c r="V37" s="5">
        <f t="shared" si="17"/>
        <v>0</v>
      </c>
      <c r="W37" s="6">
        <f t="shared" si="18"/>
        <v>0</v>
      </c>
      <c r="X37" s="7">
        <f t="shared" si="19"/>
        <v>0</v>
      </c>
      <c r="Y37" s="6">
        <f t="shared" si="20"/>
        <v>0</v>
      </c>
      <c r="Z37" s="7">
        <f t="shared" si="21"/>
        <v>0</v>
      </c>
      <c r="AA37" s="6">
        <f t="shared" si="22"/>
        <v>0</v>
      </c>
      <c r="AB37" s="5">
        <f t="shared" si="23"/>
        <v>0</v>
      </c>
      <c r="AC37" s="6">
        <f t="shared" si="24"/>
        <v>0</v>
      </c>
      <c r="AD37" s="7">
        <f t="shared" si="25"/>
        <v>0</v>
      </c>
      <c r="AE37" s="6">
        <f t="shared" si="26"/>
        <v>0</v>
      </c>
      <c r="AF37" s="7">
        <f t="shared" si="27"/>
        <v>0</v>
      </c>
      <c r="AG37" s="6">
        <f t="shared" si="28"/>
        <v>0</v>
      </c>
      <c r="AH37" s="5">
        <f t="shared" si="29"/>
        <v>0</v>
      </c>
      <c r="AI37" s="6">
        <f t="shared" si="30"/>
        <v>0</v>
      </c>
      <c r="AJ37" s="7">
        <f t="shared" si="31"/>
        <v>0</v>
      </c>
      <c r="AK37" s="6">
        <f t="shared" si="32"/>
        <v>0</v>
      </c>
      <c r="AL37" s="7">
        <f t="shared" si="33"/>
        <v>0</v>
      </c>
      <c r="AM37" s="6">
        <f t="shared" si="34"/>
        <v>0</v>
      </c>
      <c r="AN37" s="5">
        <f t="shared" si="35"/>
        <v>0</v>
      </c>
      <c r="AO37" s="6">
        <f t="shared" si="36"/>
        <v>0</v>
      </c>
      <c r="AP37" s="7">
        <f t="shared" si="37"/>
        <v>0</v>
      </c>
      <c r="AQ37" s="6">
        <f t="shared" si="38"/>
        <v>0</v>
      </c>
      <c r="AR37" s="7">
        <f t="shared" si="39"/>
        <v>0</v>
      </c>
      <c r="AS37" s="6">
        <f t="shared" si="40"/>
        <v>0</v>
      </c>
      <c r="AT37" s="5">
        <f t="shared" si="41"/>
        <v>0</v>
      </c>
      <c r="AU37" s="6">
        <f t="shared" si="42"/>
        <v>0</v>
      </c>
      <c r="AV37" s="7">
        <f t="shared" si="43"/>
        <v>0</v>
      </c>
      <c r="AW37" s="6">
        <f t="shared" si="44"/>
        <v>0</v>
      </c>
      <c r="AX37" s="7">
        <f t="shared" si="45"/>
        <v>0</v>
      </c>
      <c r="AY37" s="6">
        <f t="shared" si="46"/>
        <v>0</v>
      </c>
      <c r="AZ37" s="5">
        <f t="shared" si="47"/>
        <v>0</v>
      </c>
      <c r="BA37" s="6">
        <f t="shared" si="48"/>
        <v>0</v>
      </c>
      <c r="BB37" s="7">
        <f t="shared" si="49"/>
        <v>0</v>
      </c>
      <c r="BC37" s="6">
        <f t="shared" si="50"/>
        <v>0</v>
      </c>
      <c r="BD37" s="7">
        <f t="shared" si="51"/>
        <v>0</v>
      </c>
      <c r="BE37" s="6">
        <f t="shared" si="52"/>
        <v>0</v>
      </c>
      <c r="BF37" s="5">
        <f t="shared" si="53"/>
        <v>0</v>
      </c>
      <c r="BG37" s="6">
        <f t="shared" si="54"/>
        <v>0</v>
      </c>
      <c r="BH37" s="7">
        <f t="shared" si="55"/>
        <v>0</v>
      </c>
      <c r="BI37" s="6">
        <f t="shared" si="56"/>
        <v>0</v>
      </c>
      <c r="BJ37" s="7">
        <f t="shared" si="57"/>
        <v>0</v>
      </c>
      <c r="BK37" s="6">
        <f t="shared" si="58"/>
        <v>0</v>
      </c>
      <c r="BL37" s="5">
        <f t="shared" si="59"/>
        <v>0</v>
      </c>
      <c r="BM37" s="6">
        <f t="shared" si="60"/>
        <v>0</v>
      </c>
      <c r="BN37" s="7">
        <f t="shared" si="61"/>
        <v>0</v>
      </c>
      <c r="BO37" s="6">
        <f t="shared" si="62"/>
        <v>0</v>
      </c>
      <c r="BP37" s="7">
        <f t="shared" si="63"/>
        <v>0</v>
      </c>
      <c r="BQ37" s="6">
        <f t="shared" si="64"/>
        <v>0</v>
      </c>
      <c r="BR37" s="5">
        <f t="shared" si="65"/>
        <v>0</v>
      </c>
      <c r="BS37" s="6">
        <f t="shared" si="66"/>
        <v>0</v>
      </c>
      <c r="BT37" s="7">
        <f t="shared" si="67"/>
        <v>0</v>
      </c>
      <c r="BU37" s="6">
        <f t="shared" si="68"/>
        <v>0</v>
      </c>
      <c r="BV37" s="7">
        <f t="shared" si="69"/>
        <v>0</v>
      </c>
      <c r="BW37" s="6">
        <f t="shared" si="70"/>
        <v>0</v>
      </c>
      <c r="BX37" s="5">
        <f t="shared" si="71"/>
        <v>0</v>
      </c>
      <c r="BY37" s="6">
        <f t="shared" si="72"/>
        <v>0</v>
      </c>
      <c r="BZ37" s="7">
        <f t="shared" si="73"/>
        <v>0</v>
      </c>
      <c r="CA37" s="6">
        <f t="shared" si="74"/>
        <v>0</v>
      </c>
      <c r="CB37" s="7">
        <f t="shared" si="75"/>
        <v>0</v>
      </c>
      <c r="CC37" s="6">
        <f t="shared" si="76"/>
        <v>0</v>
      </c>
      <c r="CD37" s="5">
        <f t="shared" si="77"/>
        <v>0</v>
      </c>
      <c r="CE37" s="6">
        <f t="shared" si="78"/>
        <v>0</v>
      </c>
      <c r="CF37" s="7">
        <f t="shared" si="79"/>
        <v>0</v>
      </c>
      <c r="CG37" s="6">
        <f t="shared" si="80"/>
        <v>0</v>
      </c>
      <c r="CH37" s="7">
        <f t="shared" si="81"/>
        <v>0</v>
      </c>
      <c r="CI37" s="6">
        <f t="shared" si="82"/>
        <v>0</v>
      </c>
      <c r="CJ37" s="5">
        <f t="shared" si="83"/>
        <v>0</v>
      </c>
      <c r="CK37" s="6">
        <f t="shared" si="84"/>
        <v>0</v>
      </c>
      <c r="CL37" s="7">
        <f t="shared" si="85"/>
        <v>0</v>
      </c>
      <c r="CM37" s="6">
        <f t="shared" si="86"/>
        <v>0</v>
      </c>
      <c r="CN37" s="7">
        <f t="shared" si="87"/>
        <v>0</v>
      </c>
      <c r="CO37" s="6">
        <f t="shared" si="88"/>
        <v>0</v>
      </c>
      <c r="CP37" s="5">
        <f t="shared" si="89"/>
        <v>0</v>
      </c>
      <c r="CQ37" s="6">
        <f t="shared" si="90"/>
        <v>0</v>
      </c>
      <c r="CR37" s="7">
        <f t="shared" si="95"/>
        <v>32.112499999999997</v>
      </c>
      <c r="CS37" s="6">
        <f t="shared" si="95"/>
        <v>33.962499999999984</v>
      </c>
      <c r="CT37" s="7">
        <f t="shared" si="95"/>
        <v>25.689999999999998</v>
      </c>
      <c r="CU37" s="6">
        <f t="shared" si="95"/>
        <v>27.169999999999987</v>
      </c>
      <c r="CV37" s="5">
        <f t="shared" si="91"/>
        <v>57.802499999999995</v>
      </c>
      <c r="CW37" s="6">
        <f t="shared" si="92"/>
        <v>61.132499999999972</v>
      </c>
      <c r="CY37" s="7">
        <v>57.802499999999995</v>
      </c>
      <c r="CZ37" s="5">
        <f t="array" ref="CZ37">Summary_UpperBound</f>
        <v>61.132499999999972</v>
      </c>
      <c r="DA37" s="6">
        <f t="shared" si="93"/>
        <v>3.329999999999977</v>
      </c>
    </row>
    <row r="38" spans="2:105" x14ac:dyDescent="0.35">
      <c r="B38" s="14"/>
      <c r="E38" s="12">
        <f t="shared" si="94"/>
        <v>44352</v>
      </c>
      <c r="F38" s="7">
        <f t="shared" si="1"/>
        <v>32.112499999999997</v>
      </c>
      <c r="G38" s="6">
        <f t="shared" si="2"/>
        <v>33.962499999999984</v>
      </c>
      <c r="H38" s="7">
        <f t="shared" si="3"/>
        <v>25.689999999999998</v>
      </c>
      <c r="I38" s="6">
        <f t="shared" si="4"/>
        <v>27.169999999999987</v>
      </c>
      <c r="J38" s="5">
        <f t="shared" si="5"/>
        <v>57.802499999999995</v>
      </c>
      <c r="K38" s="6">
        <f t="shared" si="6"/>
        <v>61.132499999999972</v>
      </c>
      <c r="L38" s="7">
        <f t="shared" si="7"/>
        <v>0</v>
      </c>
      <c r="M38" s="6">
        <f t="shared" si="8"/>
        <v>0</v>
      </c>
      <c r="N38" s="7">
        <f t="shared" si="9"/>
        <v>0</v>
      </c>
      <c r="O38" s="6">
        <f t="shared" si="10"/>
        <v>0</v>
      </c>
      <c r="P38" s="5">
        <f t="shared" si="11"/>
        <v>0</v>
      </c>
      <c r="Q38" s="6">
        <f t="shared" si="12"/>
        <v>0</v>
      </c>
      <c r="R38" s="7">
        <f t="shared" si="13"/>
        <v>0</v>
      </c>
      <c r="S38" s="6">
        <f t="shared" si="14"/>
        <v>0</v>
      </c>
      <c r="T38" s="7">
        <f t="shared" si="15"/>
        <v>0</v>
      </c>
      <c r="U38" s="6">
        <f t="shared" si="16"/>
        <v>0</v>
      </c>
      <c r="V38" s="5">
        <f t="shared" si="17"/>
        <v>0</v>
      </c>
      <c r="W38" s="6">
        <f t="shared" si="18"/>
        <v>0</v>
      </c>
      <c r="X38" s="7">
        <f t="shared" si="19"/>
        <v>0</v>
      </c>
      <c r="Y38" s="6">
        <f t="shared" si="20"/>
        <v>0</v>
      </c>
      <c r="Z38" s="7">
        <f t="shared" si="21"/>
        <v>0</v>
      </c>
      <c r="AA38" s="6">
        <f t="shared" si="22"/>
        <v>0</v>
      </c>
      <c r="AB38" s="5">
        <f t="shared" si="23"/>
        <v>0</v>
      </c>
      <c r="AC38" s="6">
        <f t="shared" si="24"/>
        <v>0</v>
      </c>
      <c r="AD38" s="7">
        <f t="shared" si="25"/>
        <v>0</v>
      </c>
      <c r="AE38" s="6">
        <f t="shared" si="26"/>
        <v>0</v>
      </c>
      <c r="AF38" s="7">
        <f t="shared" si="27"/>
        <v>0</v>
      </c>
      <c r="AG38" s="6">
        <f t="shared" si="28"/>
        <v>0</v>
      </c>
      <c r="AH38" s="5">
        <f t="shared" si="29"/>
        <v>0</v>
      </c>
      <c r="AI38" s="6">
        <f t="shared" si="30"/>
        <v>0</v>
      </c>
      <c r="AJ38" s="7">
        <f t="shared" si="31"/>
        <v>0</v>
      </c>
      <c r="AK38" s="6">
        <f t="shared" si="32"/>
        <v>0</v>
      </c>
      <c r="AL38" s="7">
        <f t="shared" si="33"/>
        <v>0</v>
      </c>
      <c r="AM38" s="6">
        <f t="shared" si="34"/>
        <v>0</v>
      </c>
      <c r="AN38" s="5">
        <f t="shared" si="35"/>
        <v>0</v>
      </c>
      <c r="AO38" s="6">
        <f t="shared" si="36"/>
        <v>0</v>
      </c>
      <c r="AP38" s="7">
        <f t="shared" si="37"/>
        <v>0</v>
      </c>
      <c r="AQ38" s="6">
        <f t="shared" si="38"/>
        <v>0</v>
      </c>
      <c r="AR38" s="7">
        <f t="shared" si="39"/>
        <v>0</v>
      </c>
      <c r="AS38" s="6">
        <f t="shared" si="40"/>
        <v>0</v>
      </c>
      <c r="AT38" s="5">
        <f t="shared" si="41"/>
        <v>0</v>
      </c>
      <c r="AU38" s="6">
        <f t="shared" si="42"/>
        <v>0</v>
      </c>
      <c r="AV38" s="7">
        <f t="shared" si="43"/>
        <v>0</v>
      </c>
      <c r="AW38" s="6">
        <f t="shared" si="44"/>
        <v>0</v>
      </c>
      <c r="AX38" s="7">
        <f t="shared" si="45"/>
        <v>0</v>
      </c>
      <c r="AY38" s="6">
        <f t="shared" si="46"/>
        <v>0</v>
      </c>
      <c r="AZ38" s="5">
        <f t="shared" si="47"/>
        <v>0</v>
      </c>
      <c r="BA38" s="6">
        <f t="shared" si="48"/>
        <v>0</v>
      </c>
      <c r="BB38" s="7">
        <f t="shared" si="49"/>
        <v>0</v>
      </c>
      <c r="BC38" s="6">
        <f t="shared" si="50"/>
        <v>0</v>
      </c>
      <c r="BD38" s="7">
        <f t="shared" si="51"/>
        <v>0</v>
      </c>
      <c r="BE38" s="6">
        <f t="shared" si="52"/>
        <v>0</v>
      </c>
      <c r="BF38" s="5">
        <f t="shared" si="53"/>
        <v>0</v>
      </c>
      <c r="BG38" s="6">
        <f t="shared" si="54"/>
        <v>0</v>
      </c>
      <c r="BH38" s="7">
        <f t="shared" si="55"/>
        <v>0</v>
      </c>
      <c r="BI38" s="6">
        <f t="shared" si="56"/>
        <v>0</v>
      </c>
      <c r="BJ38" s="7">
        <f t="shared" si="57"/>
        <v>0</v>
      </c>
      <c r="BK38" s="6">
        <f t="shared" si="58"/>
        <v>0</v>
      </c>
      <c r="BL38" s="5">
        <f t="shared" si="59"/>
        <v>0</v>
      </c>
      <c r="BM38" s="6">
        <f t="shared" si="60"/>
        <v>0</v>
      </c>
      <c r="BN38" s="7">
        <f t="shared" si="61"/>
        <v>0</v>
      </c>
      <c r="BO38" s="6">
        <f t="shared" si="62"/>
        <v>0</v>
      </c>
      <c r="BP38" s="7">
        <f t="shared" si="63"/>
        <v>0</v>
      </c>
      <c r="BQ38" s="6">
        <f t="shared" si="64"/>
        <v>0</v>
      </c>
      <c r="BR38" s="5">
        <f t="shared" si="65"/>
        <v>0</v>
      </c>
      <c r="BS38" s="6">
        <f t="shared" si="66"/>
        <v>0</v>
      </c>
      <c r="BT38" s="7">
        <f t="shared" si="67"/>
        <v>0</v>
      </c>
      <c r="BU38" s="6">
        <f t="shared" si="68"/>
        <v>0</v>
      </c>
      <c r="BV38" s="7">
        <f t="shared" si="69"/>
        <v>0</v>
      </c>
      <c r="BW38" s="6">
        <f t="shared" si="70"/>
        <v>0</v>
      </c>
      <c r="BX38" s="5">
        <f t="shared" si="71"/>
        <v>0</v>
      </c>
      <c r="BY38" s="6">
        <f t="shared" si="72"/>
        <v>0</v>
      </c>
      <c r="BZ38" s="7">
        <f t="shared" si="73"/>
        <v>0</v>
      </c>
      <c r="CA38" s="6">
        <f t="shared" si="74"/>
        <v>0</v>
      </c>
      <c r="CB38" s="7">
        <f t="shared" si="75"/>
        <v>0</v>
      </c>
      <c r="CC38" s="6">
        <f t="shared" si="76"/>
        <v>0</v>
      </c>
      <c r="CD38" s="5">
        <f t="shared" si="77"/>
        <v>0</v>
      </c>
      <c r="CE38" s="6">
        <f t="shared" si="78"/>
        <v>0</v>
      </c>
      <c r="CF38" s="7">
        <f t="shared" si="79"/>
        <v>0</v>
      </c>
      <c r="CG38" s="6">
        <f t="shared" si="80"/>
        <v>0</v>
      </c>
      <c r="CH38" s="7">
        <f t="shared" si="81"/>
        <v>0</v>
      </c>
      <c r="CI38" s="6">
        <f t="shared" si="82"/>
        <v>0</v>
      </c>
      <c r="CJ38" s="5">
        <f t="shared" si="83"/>
        <v>0</v>
      </c>
      <c r="CK38" s="6">
        <f t="shared" si="84"/>
        <v>0</v>
      </c>
      <c r="CL38" s="7">
        <f t="shared" si="85"/>
        <v>0</v>
      </c>
      <c r="CM38" s="6">
        <f t="shared" si="86"/>
        <v>0</v>
      </c>
      <c r="CN38" s="7">
        <f t="shared" si="87"/>
        <v>0</v>
      </c>
      <c r="CO38" s="6">
        <f t="shared" si="88"/>
        <v>0</v>
      </c>
      <c r="CP38" s="5">
        <f t="shared" si="89"/>
        <v>0</v>
      </c>
      <c r="CQ38" s="6">
        <f t="shared" si="90"/>
        <v>0</v>
      </c>
      <c r="CR38" s="7">
        <f t="shared" si="95"/>
        <v>32.112499999999997</v>
      </c>
      <c r="CS38" s="6">
        <f t="shared" si="95"/>
        <v>33.962499999999984</v>
      </c>
      <c r="CT38" s="7">
        <f t="shared" si="95"/>
        <v>25.689999999999998</v>
      </c>
      <c r="CU38" s="6">
        <f t="shared" si="95"/>
        <v>27.169999999999987</v>
      </c>
      <c r="CV38" s="5">
        <f t="shared" si="91"/>
        <v>57.802499999999995</v>
      </c>
      <c r="CW38" s="6">
        <f t="shared" si="92"/>
        <v>61.132499999999972</v>
      </c>
      <c r="CY38" s="7">
        <v>57.802499999999995</v>
      </c>
      <c r="CZ38" s="5">
        <f t="array" ref="CZ38">Summary_UpperBound</f>
        <v>61.132499999999972</v>
      </c>
      <c r="DA38" s="6">
        <f t="shared" si="93"/>
        <v>3.329999999999977</v>
      </c>
    </row>
    <row r="39" spans="2:105" x14ac:dyDescent="0.35">
      <c r="B39" s="14"/>
      <c r="E39" s="12">
        <f t="shared" si="94"/>
        <v>44359</v>
      </c>
      <c r="F39" s="7">
        <f t="shared" si="1"/>
        <v>32.112499999999997</v>
      </c>
      <c r="G39" s="6">
        <f t="shared" si="2"/>
        <v>33.962499999999984</v>
      </c>
      <c r="H39" s="7">
        <f t="shared" si="3"/>
        <v>25.689999999999998</v>
      </c>
      <c r="I39" s="6">
        <f t="shared" si="4"/>
        <v>27.169999999999987</v>
      </c>
      <c r="J39" s="5">
        <f t="shared" si="5"/>
        <v>57.802499999999995</v>
      </c>
      <c r="K39" s="6">
        <f t="shared" si="6"/>
        <v>61.132499999999972</v>
      </c>
      <c r="L39" s="7">
        <f t="shared" si="7"/>
        <v>0</v>
      </c>
      <c r="M39" s="6">
        <f t="shared" si="8"/>
        <v>0</v>
      </c>
      <c r="N39" s="7">
        <f t="shared" si="9"/>
        <v>0</v>
      </c>
      <c r="O39" s="6">
        <f t="shared" si="10"/>
        <v>0</v>
      </c>
      <c r="P39" s="5">
        <f t="shared" si="11"/>
        <v>0</v>
      </c>
      <c r="Q39" s="6">
        <f t="shared" si="12"/>
        <v>0</v>
      </c>
      <c r="R39" s="7">
        <f t="shared" si="13"/>
        <v>0</v>
      </c>
      <c r="S39" s="6">
        <f t="shared" si="14"/>
        <v>0</v>
      </c>
      <c r="T39" s="7">
        <f t="shared" si="15"/>
        <v>0</v>
      </c>
      <c r="U39" s="6">
        <f t="shared" si="16"/>
        <v>0</v>
      </c>
      <c r="V39" s="5">
        <f t="shared" si="17"/>
        <v>0</v>
      </c>
      <c r="W39" s="6">
        <f t="shared" si="18"/>
        <v>0</v>
      </c>
      <c r="X39" s="7">
        <f t="shared" si="19"/>
        <v>0</v>
      </c>
      <c r="Y39" s="6">
        <f t="shared" si="20"/>
        <v>0</v>
      </c>
      <c r="Z39" s="7">
        <f t="shared" si="21"/>
        <v>0</v>
      </c>
      <c r="AA39" s="6">
        <f t="shared" si="22"/>
        <v>0</v>
      </c>
      <c r="AB39" s="5">
        <f t="shared" si="23"/>
        <v>0</v>
      </c>
      <c r="AC39" s="6">
        <f t="shared" si="24"/>
        <v>0</v>
      </c>
      <c r="AD39" s="7">
        <f t="shared" si="25"/>
        <v>0</v>
      </c>
      <c r="AE39" s="6">
        <f t="shared" si="26"/>
        <v>0</v>
      </c>
      <c r="AF39" s="7">
        <f t="shared" si="27"/>
        <v>0</v>
      </c>
      <c r="AG39" s="6">
        <f t="shared" si="28"/>
        <v>0</v>
      </c>
      <c r="AH39" s="5">
        <f t="shared" si="29"/>
        <v>0</v>
      </c>
      <c r="AI39" s="6">
        <f t="shared" si="30"/>
        <v>0</v>
      </c>
      <c r="AJ39" s="7">
        <f t="shared" si="31"/>
        <v>0</v>
      </c>
      <c r="AK39" s="6">
        <f t="shared" si="32"/>
        <v>0</v>
      </c>
      <c r="AL39" s="7">
        <f t="shared" si="33"/>
        <v>0</v>
      </c>
      <c r="AM39" s="6">
        <f t="shared" si="34"/>
        <v>0</v>
      </c>
      <c r="AN39" s="5">
        <f t="shared" si="35"/>
        <v>0</v>
      </c>
      <c r="AO39" s="6">
        <f t="shared" si="36"/>
        <v>0</v>
      </c>
      <c r="AP39" s="7">
        <f t="shared" si="37"/>
        <v>0</v>
      </c>
      <c r="AQ39" s="6">
        <f t="shared" si="38"/>
        <v>0</v>
      </c>
      <c r="AR39" s="7">
        <f t="shared" si="39"/>
        <v>0</v>
      </c>
      <c r="AS39" s="6">
        <f t="shared" si="40"/>
        <v>0</v>
      </c>
      <c r="AT39" s="5">
        <f t="shared" si="41"/>
        <v>0</v>
      </c>
      <c r="AU39" s="6">
        <f t="shared" si="42"/>
        <v>0</v>
      </c>
      <c r="AV39" s="7">
        <f t="shared" si="43"/>
        <v>0</v>
      </c>
      <c r="AW39" s="6">
        <f t="shared" si="44"/>
        <v>0</v>
      </c>
      <c r="AX39" s="7">
        <f t="shared" si="45"/>
        <v>0</v>
      </c>
      <c r="AY39" s="6">
        <f t="shared" si="46"/>
        <v>0</v>
      </c>
      <c r="AZ39" s="5">
        <f t="shared" si="47"/>
        <v>0</v>
      </c>
      <c r="BA39" s="6">
        <f t="shared" si="48"/>
        <v>0</v>
      </c>
      <c r="BB39" s="7">
        <f t="shared" si="49"/>
        <v>0</v>
      </c>
      <c r="BC39" s="6">
        <f t="shared" si="50"/>
        <v>0</v>
      </c>
      <c r="BD39" s="7">
        <f t="shared" si="51"/>
        <v>0</v>
      </c>
      <c r="BE39" s="6">
        <f t="shared" si="52"/>
        <v>0</v>
      </c>
      <c r="BF39" s="5">
        <f t="shared" si="53"/>
        <v>0</v>
      </c>
      <c r="BG39" s="6">
        <f t="shared" si="54"/>
        <v>0</v>
      </c>
      <c r="BH39" s="7">
        <f t="shared" si="55"/>
        <v>0</v>
      </c>
      <c r="BI39" s="6">
        <f t="shared" si="56"/>
        <v>0</v>
      </c>
      <c r="BJ39" s="7">
        <f t="shared" si="57"/>
        <v>0</v>
      </c>
      <c r="BK39" s="6">
        <f t="shared" si="58"/>
        <v>0</v>
      </c>
      <c r="BL39" s="5">
        <f t="shared" si="59"/>
        <v>0</v>
      </c>
      <c r="BM39" s="6">
        <f t="shared" si="60"/>
        <v>0</v>
      </c>
      <c r="BN39" s="7">
        <f t="shared" si="61"/>
        <v>0</v>
      </c>
      <c r="BO39" s="6">
        <f t="shared" si="62"/>
        <v>0</v>
      </c>
      <c r="BP39" s="7">
        <f t="shared" si="63"/>
        <v>0</v>
      </c>
      <c r="BQ39" s="6">
        <f t="shared" si="64"/>
        <v>0</v>
      </c>
      <c r="BR39" s="5">
        <f t="shared" si="65"/>
        <v>0</v>
      </c>
      <c r="BS39" s="6">
        <f t="shared" si="66"/>
        <v>0</v>
      </c>
      <c r="BT39" s="7">
        <f t="shared" si="67"/>
        <v>0</v>
      </c>
      <c r="BU39" s="6">
        <f t="shared" si="68"/>
        <v>0</v>
      </c>
      <c r="BV39" s="7">
        <f t="shared" si="69"/>
        <v>0</v>
      </c>
      <c r="BW39" s="6">
        <f t="shared" si="70"/>
        <v>0</v>
      </c>
      <c r="BX39" s="5">
        <f t="shared" si="71"/>
        <v>0</v>
      </c>
      <c r="BY39" s="6">
        <f t="shared" si="72"/>
        <v>0</v>
      </c>
      <c r="BZ39" s="7">
        <f t="shared" si="73"/>
        <v>0</v>
      </c>
      <c r="CA39" s="6">
        <f t="shared" si="74"/>
        <v>0</v>
      </c>
      <c r="CB39" s="7">
        <f t="shared" si="75"/>
        <v>0</v>
      </c>
      <c r="CC39" s="6">
        <f t="shared" si="76"/>
        <v>0</v>
      </c>
      <c r="CD39" s="5">
        <f t="shared" si="77"/>
        <v>0</v>
      </c>
      <c r="CE39" s="6">
        <f t="shared" si="78"/>
        <v>0</v>
      </c>
      <c r="CF39" s="7">
        <f t="shared" si="79"/>
        <v>0</v>
      </c>
      <c r="CG39" s="6">
        <f t="shared" si="80"/>
        <v>0</v>
      </c>
      <c r="CH39" s="7">
        <f t="shared" si="81"/>
        <v>0</v>
      </c>
      <c r="CI39" s="6">
        <f t="shared" si="82"/>
        <v>0</v>
      </c>
      <c r="CJ39" s="5">
        <f t="shared" si="83"/>
        <v>0</v>
      </c>
      <c r="CK39" s="6">
        <f t="shared" si="84"/>
        <v>0</v>
      </c>
      <c r="CL39" s="7">
        <f t="shared" si="85"/>
        <v>0</v>
      </c>
      <c r="CM39" s="6">
        <f t="shared" si="86"/>
        <v>0</v>
      </c>
      <c r="CN39" s="7">
        <f t="shared" si="87"/>
        <v>0</v>
      </c>
      <c r="CO39" s="6">
        <f t="shared" si="88"/>
        <v>0</v>
      </c>
      <c r="CP39" s="5">
        <f t="shared" si="89"/>
        <v>0</v>
      </c>
      <c r="CQ39" s="6">
        <f t="shared" si="90"/>
        <v>0</v>
      </c>
      <c r="CR39" s="7">
        <f t="shared" si="95"/>
        <v>32.112499999999997</v>
      </c>
      <c r="CS39" s="6">
        <f t="shared" si="95"/>
        <v>33.962499999999984</v>
      </c>
      <c r="CT39" s="7">
        <f t="shared" si="95"/>
        <v>25.689999999999998</v>
      </c>
      <c r="CU39" s="6">
        <f t="shared" si="95"/>
        <v>27.169999999999987</v>
      </c>
      <c r="CV39" s="5">
        <f t="shared" si="91"/>
        <v>57.802499999999995</v>
      </c>
      <c r="CW39" s="6">
        <f t="shared" si="92"/>
        <v>61.132499999999972</v>
      </c>
      <c r="CY39" s="7">
        <v>57.802499999999995</v>
      </c>
      <c r="CZ39" s="5">
        <f t="array" ref="CZ39">Summary_UpperBound</f>
        <v>61.132499999999972</v>
      </c>
      <c r="DA39" s="6">
        <f t="shared" si="93"/>
        <v>3.329999999999977</v>
      </c>
    </row>
    <row r="40" spans="2:105" x14ac:dyDescent="0.35">
      <c r="B40" s="14"/>
      <c r="E40" s="12">
        <f t="shared" si="94"/>
        <v>44366</v>
      </c>
      <c r="F40" s="7">
        <f t="shared" si="1"/>
        <v>32.112499999999997</v>
      </c>
      <c r="G40" s="6">
        <f t="shared" si="2"/>
        <v>33.962499999999984</v>
      </c>
      <c r="H40" s="7">
        <f t="shared" si="3"/>
        <v>25.689999999999998</v>
      </c>
      <c r="I40" s="6">
        <f t="shared" si="4"/>
        <v>27.169999999999987</v>
      </c>
      <c r="J40" s="5">
        <f t="shared" si="5"/>
        <v>57.802499999999995</v>
      </c>
      <c r="K40" s="6">
        <f t="shared" si="6"/>
        <v>61.132499999999972</v>
      </c>
      <c r="L40" s="7">
        <f t="shared" si="7"/>
        <v>0</v>
      </c>
      <c r="M40" s="6">
        <f t="shared" si="8"/>
        <v>0</v>
      </c>
      <c r="N40" s="7">
        <f t="shared" si="9"/>
        <v>0</v>
      </c>
      <c r="O40" s="6">
        <f t="shared" si="10"/>
        <v>0</v>
      </c>
      <c r="P40" s="5">
        <f t="shared" si="11"/>
        <v>0</v>
      </c>
      <c r="Q40" s="6">
        <f t="shared" si="12"/>
        <v>0</v>
      </c>
      <c r="R40" s="7">
        <f t="shared" si="13"/>
        <v>0</v>
      </c>
      <c r="S40" s="6">
        <f t="shared" si="14"/>
        <v>0</v>
      </c>
      <c r="T40" s="7">
        <f t="shared" si="15"/>
        <v>0</v>
      </c>
      <c r="U40" s="6">
        <f t="shared" si="16"/>
        <v>0</v>
      </c>
      <c r="V40" s="5">
        <f t="shared" si="17"/>
        <v>0</v>
      </c>
      <c r="W40" s="6">
        <f t="shared" si="18"/>
        <v>0</v>
      </c>
      <c r="X40" s="7">
        <f t="shared" si="19"/>
        <v>0</v>
      </c>
      <c r="Y40" s="6">
        <f t="shared" si="20"/>
        <v>0</v>
      </c>
      <c r="Z40" s="7">
        <f t="shared" si="21"/>
        <v>0</v>
      </c>
      <c r="AA40" s="6">
        <f t="shared" si="22"/>
        <v>0</v>
      </c>
      <c r="AB40" s="5">
        <f t="shared" si="23"/>
        <v>0</v>
      </c>
      <c r="AC40" s="6">
        <f t="shared" si="24"/>
        <v>0</v>
      </c>
      <c r="AD40" s="7">
        <f t="shared" si="25"/>
        <v>0</v>
      </c>
      <c r="AE40" s="6">
        <f t="shared" si="26"/>
        <v>0</v>
      </c>
      <c r="AF40" s="7">
        <f t="shared" si="27"/>
        <v>0</v>
      </c>
      <c r="AG40" s="6">
        <f t="shared" si="28"/>
        <v>0</v>
      </c>
      <c r="AH40" s="5">
        <f t="shared" si="29"/>
        <v>0</v>
      </c>
      <c r="AI40" s="6">
        <f t="shared" si="30"/>
        <v>0</v>
      </c>
      <c r="AJ40" s="7">
        <f t="shared" si="31"/>
        <v>0</v>
      </c>
      <c r="AK40" s="6">
        <f t="shared" si="32"/>
        <v>0</v>
      </c>
      <c r="AL40" s="7">
        <f t="shared" si="33"/>
        <v>0</v>
      </c>
      <c r="AM40" s="6">
        <f t="shared" si="34"/>
        <v>0</v>
      </c>
      <c r="AN40" s="5">
        <f t="shared" si="35"/>
        <v>0</v>
      </c>
      <c r="AO40" s="6">
        <f t="shared" si="36"/>
        <v>0</v>
      </c>
      <c r="AP40" s="7">
        <f t="shared" si="37"/>
        <v>0</v>
      </c>
      <c r="AQ40" s="6">
        <f t="shared" si="38"/>
        <v>0</v>
      </c>
      <c r="AR40" s="7">
        <f t="shared" si="39"/>
        <v>0</v>
      </c>
      <c r="AS40" s="6">
        <f t="shared" si="40"/>
        <v>0</v>
      </c>
      <c r="AT40" s="5">
        <f t="shared" si="41"/>
        <v>0</v>
      </c>
      <c r="AU40" s="6">
        <f t="shared" si="42"/>
        <v>0</v>
      </c>
      <c r="AV40" s="7">
        <f t="shared" si="43"/>
        <v>0</v>
      </c>
      <c r="AW40" s="6">
        <f t="shared" si="44"/>
        <v>0</v>
      </c>
      <c r="AX40" s="7">
        <f t="shared" si="45"/>
        <v>0</v>
      </c>
      <c r="AY40" s="6">
        <f t="shared" si="46"/>
        <v>0</v>
      </c>
      <c r="AZ40" s="5">
        <f t="shared" si="47"/>
        <v>0</v>
      </c>
      <c r="BA40" s="6">
        <f t="shared" si="48"/>
        <v>0</v>
      </c>
      <c r="BB40" s="7">
        <f t="shared" si="49"/>
        <v>0</v>
      </c>
      <c r="BC40" s="6">
        <f t="shared" si="50"/>
        <v>0</v>
      </c>
      <c r="BD40" s="7">
        <f t="shared" si="51"/>
        <v>0</v>
      </c>
      <c r="BE40" s="6">
        <f t="shared" si="52"/>
        <v>0</v>
      </c>
      <c r="BF40" s="5">
        <f t="shared" si="53"/>
        <v>0</v>
      </c>
      <c r="BG40" s="6">
        <f t="shared" si="54"/>
        <v>0</v>
      </c>
      <c r="BH40" s="7">
        <f t="shared" si="55"/>
        <v>0</v>
      </c>
      <c r="BI40" s="6">
        <f t="shared" si="56"/>
        <v>0</v>
      </c>
      <c r="BJ40" s="7">
        <f t="shared" si="57"/>
        <v>0</v>
      </c>
      <c r="BK40" s="6">
        <f t="shared" si="58"/>
        <v>0</v>
      </c>
      <c r="BL40" s="5">
        <f t="shared" si="59"/>
        <v>0</v>
      </c>
      <c r="BM40" s="6">
        <f t="shared" si="60"/>
        <v>0</v>
      </c>
      <c r="BN40" s="7">
        <f t="shared" si="61"/>
        <v>0</v>
      </c>
      <c r="BO40" s="6">
        <f t="shared" si="62"/>
        <v>0</v>
      </c>
      <c r="BP40" s="7">
        <f t="shared" si="63"/>
        <v>0</v>
      </c>
      <c r="BQ40" s="6">
        <f t="shared" si="64"/>
        <v>0</v>
      </c>
      <c r="BR40" s="5">
        <f t="shared" si="65"/>
        <v>0</v>
      </c>
      <c r="BS40" s="6">
        <f t="shared" si="66"/>
        <v>0</v>
      </c>
      <c r="BT40" s="7">
        <f t="shared" si="67"/>
        <v>0</v>
      </c>
      <c r="BU40" s="6">
        <f t="shared" si="68"/>
        <v>0</v>
      </c>
      <c r="BV40" s="7">
        <f t="shared" si="69"/>
        <v>0</v>
      </c>
      <c r="BW40" s="6">
        <f t="shared" si="70"/>
        <v>0</v>
      </c>
      <c r="BX40" s="5">
        <f t="shared" si="71"/>
        <v>0</v>
      </c>
      <c r="BY40" s="6">
        <f t="shared" si="72"/>
        <v>0</v>
      </c>
      <c r="BZ40" s="7">
        <f t="shared" si="73"/>
        <v>0</v>
      </c>
      <c r="CA40" s="6">
        <f t="shared" si="74"/>
        <v>0</v>
      </c>
      <c r="CB40" s="7">
        <f t="shared" si="75"/>
        <v>0</v>
      </c>
      <c r="CC40" s="6">
        <f t="shared" si="76"/>
        <v>0</v>
      </c>
      <c r="CD40" s="5">
        <f t="shared" si="77"/>
        <v>0</v>
      </c>
      <c r="CE40" s="6">
        <f t="shared" si="78"/>
        <v>0</v>
      </c>
      <c r="CF40" s="7">
        <f t="shared" si="79"/>
        <v>0</v>
      </c>
      <c r="CG40" s="6">
        <f t="shared" si="80"/>
        <v>0</v>
      </c>
      <c r="CH40" s="7">
        <f t="shared" si="81"/>
        <v>0</v>
      </c>
      <c r="CI40" s="6">
        <f t="shared" si="82"/>
        <v>0</v>
      </c>
      <c r="CJ40" s="5">
        <f t="shared" si="83"/>
        <v>0</v>
      </c>
      <c r="CK40" s="6">
        <f t="shared" si="84"/>
        <v>0</v>
      </c>
      <c r="CL40" s="7">
        <f t="shared" si="85"/>
        <v>0</v>
      </c>
      <c r="CM40" s="6">
        <f t="shared" si="86"/>
        <v>0</v>
      </c>
      <c r="CN40" s="7">
        <f t="shared" si="87"/>
        <v>0</v>
      </c>
      <c r="CO40" s="6">
        <f t="shared" si="88"/>
        <v>0</v>
      </c>
      <c r="CP40" s="5">
        <f t="shared" si="89"/>
        <v>0</v>
      </c>
      <c r="CQ40" s="6">
        <f t="shared" si="90"/>
        <v>0</v>
      </c>
      <c r="CR40" s="7">
        <f t="shared" si="95"/>
        <v>32.112499999999997</v>
      </c>
      <c r="CS40" s="6">
        <f t="shared" si="95"/>
        <v>33.962499999999984</v>
      </c>
      <c r="CT40" s="7">
        <f t="shared" si="95"/>
        <v>25.689999999999998</v>
      </c>
      <c r="CU40" s="6">
        <f t="shared" si="95"/>
        <v>27.169999999999987</v>
      </c>
      <c r="CV40" s="5">
        <f t="shared" si="91"/>
        <v>57.802499999999995</v>
      </c>
      <c r="CW40" s="6">
        <f t="shared" si="92"/>
        <v>61.132499999999972</v>
      </c>
      <c r="CY40" s="7">
        <v>57.802499999999995</v>
      </c>
      <c r="CZ40" s="5">
        <f t="array" ref="CZ40">Summary_UpperBound</f>
        <v>61.132499999999972</v>
      </c>
      <c r="DA40" s="6">
        <f t="shared" si="93"/>
        <v>3.329999999999977</v>
      </c>
    </row>
    <row r="41" spans="2:105" x14ac:dyDescent="0.35">
      <c r="B41" s="14"/>
      <c r="E41" s="12">
        <f t="shared" si="94"/>
        <v>44373</v>
      </c>
      <c r="F41" s="7">
        <f t="shared" si="1"/>
        <v>32.112499999999997</v>
      </c>
      <c r="G41" s="6">
        <f t="shared" si="2"/>
        <v>33.962499999999984</v>
      </c>
      <c r="H41" s="7">
        <f t="shared" si="3"/>
        <v>25.689999999999998</v>
      </c>
      <c r="I41" s="6">
        <f t="shared" si="4"/>
        <v>27.169999999999987</v>
      </c>
      <c r="J41" s="5">
        <f t="shared" si="5"/>
        <v>57.802499999999995</v>
      </c>
      <c r="K41" s="6">
        <f t="shared" si="6"/>
        <v>61.132499999999972</v>
      </c>
      <c r="L41" s="7">
        <f t="shared" si="7"/>
        <v>0</v>
      </c>
      <c r="M41" s="6">
        <f t="shared" si="8"/>
        <v>0</v>
      </c>
      <c r="N41" s="7">
        <f t="shared" si="9"/>
        <v>0</v>
      </c>
      <c r="O41" s="6">
        <f t="shared" si="10"/>
        <v>0</v>
      </c>
      <c r="P41" s="5">
        <f t="shared" si="11"/>
        <v>0</v>
      </c>
      <c r="Q41" s="6">
        <f t="shared" si="12"/>
        <v>0</v>
      </c>
      <c r="R41" s="7">
        <f t="shared" si="13"/>
        <v>0</v>
      </c>
      <c r="S41" s="6">
        <f t="shared" si="14"/>
        <v>0</v>
      </c>
      <c r="T41" s="7">
        <f t="shared" si="15"/>
        <v>0</v>
      </c>
      <c r="U41" s="6">
        <f t="shared" si="16"/>
        <v>0</v>
      </c>
      <c r="V41" s="5">
        <f t="shared" si="17"/>
        <v>0</v>
      </c>
      <c r="W41" s="6">
        <f t="shared" si="18"/>
        <v>0</v>
      </c>
      <c r="X41" s="7">
        <f t="shared" si="19"/>
        <v>0</v>
      </c>
      <c r="Y41" s="6">
        <f t="shared" si="20"/>
        <v>0</v>
      </c>
      <c r="Z41" s="7">
        <f t="shared" si="21"/>
        <v>0</v>
      </c>
      <c r="AA41" s="6">
        <f t="shared" si="22"/>
        <v>0</v>
      </c>
      <c r="AB41" s="5">
        <f t="shared" si="23"/>
        <v>0</v>
      </c>
      <c r="AC41" s="6">
        <f t="shared" si="24"/>
        <v>0</v>
      </c>
      <c r="AD41" s="7">
        <f t="shared" si="25"/>
        <v>0</v>
      </c>
      <c r="AE41" s="6">
        <f t="shared" si="26"/>
        <v>0</v>
      </c>
      <c r="AF41" s="7">
        <f t="shared" si="27"/>
        <v>0</v>
      </c>
      <c r="AG41" s="6">
        <f t="shared" si="28"/>
        <v>0</v>
      </c>
      <c r="AH41" s="5">
        <f t="shared" si="29"/>
        <v>0</v>
      </c>
      <c r="AI41" s="6">
        <f t="shared" si="30"/>
        <v>0</v>
      </c>
      <c r="AJ41" s="7">
        <f t="shared" si="31"/>
        <v>0</v>
      </c>
      <c r="AK41" s="6">
        <f t="shared" si="32"/>
        <v>0</v>
      </c>
      <c r="AL41" s="7">
        <f t="shared" si="33"/>
        <v>0</v>
      </c>
      <c r="AM41" s="6">
        <f t="shared" si="34"/>
        <v>0</v>
      </c>
      <c r="AN41" s="5">
        <f t="shared" si="35"/>
        <v>0</v>
      </c>
      <c r="AO41" s="6">
        <f t="shared" si="36"/>
        <v>0</v>
      </c>
      <c r="AP41" s="7">
        <f t="shared" si="37"/>
        <v>0</v>
      </c>
      <c r="AQ41" s="6">
        <f t="shared" si="38"/>
        <v>0</v>
      </c>
      <c r="AR41" s="7">
        <f t="shared" si="39"/>
        <v>0</v>
      </c>
      <c r="AS41" s="6">
        <f t="shared" si="40"/>
        <v>0</v>
      </c>
      <c r="AT41" s="5">
        <f t="shared" si="41"/>
        <v>0</v>
      </c>
      <c r="AU41" s="6">
        <f t="shared" si="42"/>
        <v>0</v>
      </c>
      <c r="AV41" s="7">
        <f t="shared" si="43"/>
        <v>0</v>
      </c>
      <c r="AW41" s="6">
        <f t="shared" si="44"/>
        <v>0</v>
      </c>
      <c r="AX41" s="7">
        <f t="shared" si="45"/>
        <v>0</v>
      </c>
      <c r="AY41" s="6">
        <f t="shared" si="46"/>
        <v>0</v>
      </c>
      <c r="AZ41" s="5">
        <f t="shared" si="47"/>
        <v>0</v>
      </c>
      <c r="BA41" s="6">
        <f t="shared" si="48"/>
        <v>0</v>
      </c>
      <c r="BB41" s="7">
        <f t="shared" si="49"/>
        <v>0</v>
      </c>
      <c r="BC41" s="6">
        <f t="shared" si="50"/>
        <v>0</v>
      </c>
      <c r="BD41" s="7">
        <f t="shared" si="51"/>
        <v>0</v>
      </c>
      <c r="BE41" s="6">
        <f t="shared" si="52"/>
        <v>0</v>
      </c>
      <c r="BF41" s="5">
        <f t="shared" si="53"/>
        <v>0</v>
      </c>
      <c r="BG41" s="6">
        <f t="shared" si="54"/>
        <v>0</v>
      </c>
      <c r="BH41" s="7">
        <f t="shared" si="55"/>
        <v>0</v>
      </c>
      <c r="BI41" s="6">
        <f t="shared" si="56"/>
        <v>0</v>
      </c>
      <c r="BJ41" s="7">
        <f t="shared" si="57"/>
        <v>0</v>
      </c>
      <c r="BK41" s="6">
        <f t="shared" si="58"/>
        <v>0</v>
      </c>
      <c r="BL41" s="5">
        <f t="shared" si="59"/>
        <v>0</v>
      </c>
      <c r="BM41" s="6">
        <f t="shared" si="60"/>
        <v>0</v>
      </c>
      <c r="BN41" s="7">
        <f t="shared" si="61"/>
        <v>0</v>
      </c>
      <c r="BO41" s="6">
        <f t="shared" si="62"/>
        <v>0</v>
      </c>
      <c r="BP41" s="7">
        <f t="shared" si="63"/>
        <v>0</v>
      </c>
      <c r="BQ41" s="6">
        <f t="shared" si="64"/>
        <v>0</v>
      </c>
      <c r="BR41" s="5">
        <f t="shared" si="65"/>
        <v>0</v>
      </c>
      <c r="BS41" s="6">
        <f t="shared" si="66"/>
        <v>0</v>
      </c>
      <c r="BT41" s="7">
        <f t="shared" si="67"/>
        <v>0</v>
      </c>
      <c r="BU41" s="6">
        <f t="shared" si="68"/>
        <v>0</v>
      </c>
      <c r="BV41" s="7">
        <f t="shared" si="69"/>
        <v>0</v>
      </c>
      <c r="BW41" s="6">
        <f t="shared" si="70"/>
        <v>0</v>
      </c>
      <c r="BX41" s="5">
        <f t="shared" si="71"/>
        <v>0</v>
      </c>
      <c r="BY41" s="6">
        <f t="shared" si="72"/>
        <v>0</v>
      </c>
      <c r="BZ41" s="7">
        <f t="shared" si="73"/>
        <v>0</v>
      </c>
      <c r="CA41" s="6">
        <f t="shared" si="74"/>
        <v>0</v>
      </c>
      <c r="CB41" s="7">
        <f t="shared" si="75"/>
        <v>0</v>
      </c>
      <c r="CC41" s="6">
        <f t="shared" si="76"/>
        <v>0</v>
      </c>
      <c r="CD41" s="5">
        <f t="shared" si="77"/>
        <v>0</v>
      </c>
      <c r="CE41" s="6">
        <f t="shared" si="78"/>
        <v>0</v>
      </c>
      <c r="CF41" s="7">
        <f t="shared" si="79"/>
        <v>0</v>
      </c>
      <c r="CG41" s="6">
        <f t="shared" si="80"/>
        <v>0</v>
      </c>
      <c r="CH41" s="7">
        <f t="shared" si="81"/>
        <v>0</v>
      </c>
      <c r="CI41" s="6">
        <f t="shared" si="82"/>
        <v>0</v>
      </c>
      <c r="CJ41" s="5">
        <f t="shared" si="83"/>
        <v>0</v>
      </c>
      <c r="CK41" s="6">
        <f t="shared" si="84"/>
        <v>0</v>
      </c>
      <c r="CL41" s="7">
        <f t="shared" si="85"/>
        <v>0</v>
      </c>
      <c r="CM41" s="6">
        <f t="shared" si="86"/>
        <v>0</v>
      </c>
      <c r="CN41" s="7">
        <f t="shared" si="87"/>
        <v>0</v>
      </c>
      <c r="CO41" s="6">
        <f t="shared" si="88"/>
        <v>0</v>
      </c>
      <c r="CP41" s="5">
        <f t="shared" si="89"/>
        <v>0</v>
      </c>
      <c r="CQ41" s="6">
        <f t="shared" si="90"/>
        <v>0</v>
      </c>
      <c r="CR41" s="7">
        <f t="shared" si="95"/>
        <v>32.112499999999997</v>
      </c>
      <c r="CS41" s="6">
        <f t="shared" si="95"/>
        <v>33.962499999999984</v>
      </c>
      <c r="CT41" s="7">
        <f t="shared" si="95"/>
        <v>25.689999999999998</v>
      </c>
      <c r="CU41" s="6">
        <f t="shared" si="95"/>
        <v>27.169999999999987</v>
      </c>
      <c r="CV41" s="5">
        <f t="shared" si="91"/>
        <v>57.802499999999995</v>
      </c>
      <c r="CW41" s="6">
        <f t="shared" si="92"/>
        <v>61.132499999999972</v>
      </c>
      <c r="CY41" s="7">
        <v>57.802499999999995</v>
      </c>
      <c r="CZ41" s="5">
        <f t="array" ref="CZ41">Summary_UpperBound</f>
        <v>61.132499999999972</v>
      </c>
      <c r="DA41" s="6">
        <f t="shared" si="93"/>
        <v>3.329999999999977</v>
      </c>
    </row>
    <row r="42" spans="2:105" x14ac:dyDescent="0.35">
      <c r="B42" s="14"/>
      <c r="E42" s="12">
        <f t="shared" si="94"/>
        <v>44380</v>
      </c>
      <c r="F42" s="7">
        <f t="shared" si="1"/>
        <v>32.112499999999997</v>
      </c>
      <c r="G42" s="6">
        <f t="shared" si="2"/>
        <v>33.962499999999984</v>
      </c>
      <c r="H42" s="7">
        <f t="shared" si="3"/>
        <v>25.689999999999998</v>
      </c>
      <c r="I42" s="6">
        <f t="shared" si="4"/>
        <v>27.169999999999987</v>
      </c>
      <c r="J42" s="5">
        <f t="shared" si="5"/>
        <v>57.802499999999995</v>
      </c>
      <c r="K42" s="6">
        <f t="shared" si="6"/>
        <v>61.132499999999972</v>
      </c>
      <c r="L42" s="7">
        <f t="shared" si="7"/>
        <v>0</v>
      </c>
      <c r="M42" s="6">
        <f t="shared" si="8"/>
        <v>0</v>
      </c>
      <c r="N42" s="7">
        <f t="shared" si="9"/>
        <v>0</v>
      </c>
      <c r="O42" s="6">
        <f t="shared" si="10"/>
        <v>0</v>
      </c>
      <c r="P42" s="5">
        <f t="shared" si="11"/>
        <v>0</v>
      </c>
      <c r="Q42" s="6">
        <f t="shared" si="12"/>
        <v>0</v>
      </c>
      <c r="R42" s="7">
        <f t="shared" si="13"/>
        <v>0</v>
      </c>
      <c r="S42" s="6">
        <f t="shared" si="14"/>
        <v>0</v>
      </c>
      <c r="T42" s="7">
        <f t="shared" si="15"/>
        <v>0</v>
      </c>
      <c r="U42" s="6">
        <f t="shared" si="16"/>
        <v>0</v>
      </c>
      <c r="V42" s="5">
        <f t="shared" si="17"/>
        <v>0</v>
      </c>
      <c r="W42" s="6">
        <f t="shared" si="18"/>
        <v>0</v>
      </c>
      <c r="X42" s="7">
        <f t="shared" si="19"/>
        <v>0</v>
      </c>
      <c r="Y42" s="6">
        <f t="shared" si="20"/>
        <v>0</v>
      </c>
      <c r="Z42" s="7">
        <f t="shared" si="21"/>
        <v>0</v>
      </c>
      <c r="AA42" s="6">
        <f t="shared" si="22"/>
        <v>0</v>
      </c>
      <c r="AB42" s="5">
        <f t="shared" si="23"/>
        <v>0</v>
      </c>
      <c r="AC42" s="6">
        <f t="shared" si="24"/>
        <v>0</v>
      </c>
      <c r="AD42" s="7">
        <f t="shared" si="25"/>
        <v>0</v>
      </c>
      <c r="AE42" s="6">
        <f t="shared" si="26"/>
        <v>0</v>
      </c>
      <c r="AF42" s="7">
        <f t="shared" si="27"/>
        <v>0</v>
      </c>
      <c r="AG42" s="6">
        <f t="shared" si="28"/>
        <v>0</v>
      </c>
      <c r="AH42" s="5">
        <f t="shared" si="29"/>
        <v>0</v>
      </c>
      <c r="AI42" s="6">
        <f t="shared" si="30"/>
        <v>0</v>
      </c>
      <c r="AJ42" s="7">
        <f t="shared" si="31"/>
        <v>0</v>
      </c>
      <c r="AK42" s="6">
        <f t="shared" si="32"/>
        <v>0</v>
      </c>
      <c r="AL42" s="7">
        <f t="shared" si="33"/>
        <v>0</v>
      </c>
      <c r="AM42" s="6">
        <f t="shared" si="34"/>
        <v>0</v>
      </c>
      <c r="AN42" s="5">
        <f t="shared" si="35"/>
        <v>0</v>
      </c>
      <c r="AO42" s="6">
        <f t="shared" si="36"/>
        <v>0</v>
      </c>
      <c r="AP42" s="7">
        <f t="shared" si="37"/>
        <v>0</v>
      </c>
      <c r="AQ42" s="6">
        <f t="shared" si="38"/>
        <v>0</v>
      </c>
      <c r="AR42" s="7">
        <f t="shared" si="39"/>
        <v>0</v>
      </c>
      <c r="AS42" s="6">
        <f t="shared" si="40"/>
        <v>0</v>
      </c>
      <c r="AT42" s="5">
        <f t="shared" si="41"/>
        <v>0</v>
      </c>
      <c r="AU42" s="6">
        <f t="shared" si="42"/>
        <v>0</v>
      </c>
      <c r="AV42" s="7">
        <f t="shared" si="43"/>
        <v>0</v>
      </c>
      <c r="AW42" s="6">
        <f t="shared" si="44"/>
        <v>0</v>
      </c>
      <c r="AX42" s="7">
        <f t="shared" si="45"/>
        <v>0</v>
      </c>
      <c r="AY42" s="6">
        <f t="shared" si="46"/>
        <v>0</v>
      </c>
      <c r="AZ42" s="5">
        <f t="shared" si="47"/>
        <v>0</v>
      </c>
      <c r="BA42" s="6">
        <f t="shared" si="48"/>
        <v>0</v>
      </c>
      <c r="BB42" s="7">
        <f t="shared" si="49"/>
        <v>0</v>
      </c>
      <c r="BC42" s="6">
        <f t="shared" si="50"/>
        <v>0</v>
      </c>
      <c r="BD42" s="7">
        <f t="shared" si="51"/>
        <v>0</v>
      </c>
      <c r="BE42" s="6">
        <f t="shared" si="52"/>
        <v>0</v>
      </c>
      <c r="BF42" s="5">
        <f t="shared" si="53"/>
        <v>0</v>
      </c>
      <c r="BG42" s="6">
        <f t="shared" si="54"/>
        <v>0</v>
      </c>
      <c r="BH42" s="7">
        <f t="shared" si="55"/>
        <v>0</v>
      </c>
      <c r="BI42" s="6">
        <f t="shared" si="56"/>
        <v>0</v>
      </c>
      <c r="BJ42" s="7">
        <f t="shared" si="57"/>
        <v>0</v>
      </c>
      <c r="BK42" s="6">
        <f t="shared" si="58"/>
        <v>0</v>
      </c>
      <c r="BL42" s="5">
        <f t="shared" si="59"/>
        <v>0</v>
      </c>
      <c r="BM42" s="6">
        <f t="shared" si="60"/>
        <v>0</v>
      </c>
      <c r="BN42" s="7">
        <f t="shared" si="61"/>
        <v>0</v>
      </c>
      <c r="BO42" s="6">
        <f t="shared" si="62"/>
        <v>0</v>
      </c>
      <c r="BP42" s="7">
        <f t="shared" si="63"/>
        <v>0</v>
      </c>
      <c r="BQ42" s="6">
        <f t="shared" si="64"/>
        <v>0</v>
      </c>
      <c r="BR42" s="5">
        <f t="shared" si="65"/>
        <v>0</v>
      </c>
      <c r="BS42" s="6">
        <f t="shared" si="66"/>
        <v>0</v>
      </c>
      <c r="BT42" s="7">
        <f t="shared" si="67"/>
        <v>0</v>
      </c>
      <c r="BU42" s="6">
        <f t="shared" si="68"/>
        <v>0</v>
      </c>
      <c r="BV42" s="7">
        <f t="shared" si="69"/>
        <v>0</v>
      </c>
      <c r="BW42" s="6">
        <f t="shared" si="70"/>
        <v>0</v>
      </c>
      <c r="BX42" s="5">
        <f t="shared" si="71"/>
        <v>0</v>
      </c>
      <c r="BY42" s="6">
        <f t="shared" si="72"/>
        <v>0</v>
      </c>
      <c r="BZ42" s="7">
        <f t="shared" si="73"/>
        <v>0</v>
      </c>
      <c r="CA42" s="6">
        <f t="shared" si="74"/>
        <v>0</v>
      </c>
      <c r="CB42" s="7">
        <f t="shared" si="75"/>
        <v>0</v>
      </c>
      <c r="CC42" s="6">
        <f t="shared" si="76"/>
        <v>0</v>
      </c>
      <c r="CD42" s="5">
        <f t="shared" si="77"/>
        <v>0</v>
      </c>
      <c r="CE42" s="6">
        <f t="shared" si="78"/>
        <v>0</v>
      </c>
      <c r="CF42" s="7">
        <f t="shared" si="79"/>
        <v>0</v>
      </c>
      <c r="CG42" s="6">
        <f t="shared" si="80"/>
        <v>0</v>
      </c>
      <c r="CH42" s="7">
        <f t="shared" si="81"/>
        <v>0</v>
      </c>
      <c r="CI42" s="6">
        <f t="shared" si="82"/>
        <v>0</v>
      </c>
      <c r="CJ42" s="5">
        <f t="shared" si="83"/>
        <v>0</v>
      </c>
      <c r="CK42" s="6">
        <f t="shared" si="84"/>
        <v>0</v>
      </c>
      <c r="CL42" s="7">
        <f t="shared" si="85"/>
        <v>0</v>
      </c>
      <c r="CM42" s="6">
        <f t="shared" si="86"/>
        <v>0</v>
      </c>
      <c r="CN42" s="7">
        <f t="shared" si="87"/>
        <v>0</v>
      </c>
      <c r="CO42" s="6">
        <f t="shared" si="88"/>
        <v>0</v>
      </c>
      <c r="CP42" s="5">
        <f t="shared" si="89"/>
        <v>0</v>
      </c>
      <c r="CQ42" s="6">
        <f t="shared" si="90"/>
        <v>0</v>
      </c>
      <c r="CR42" s="7">
        <f t="shared" si="95"/>
        <v>32.112499999999997</v>
      </c>
      <c r="CS42" s="6">
        <f t="shared" si="95"/>
        <v>33.962499999999984</v>
      </c>
      <c r="CT42" s="7">
        <f t="shared" si="95"/>
        <v>25.689999999999998</v>
      </c>
      <c r="CU42" s="6">
        <f t="shared" si="95"/>
        <v>27.169999999999987</v>
      </c>
      <c r="CV42" s="5">
        <f t="shared" si="91"/>
        <v>57.802499999999995</v>
      </c>
      <c r="CW42" s="6">
        <f t="shared" si="92"/>
        <v>61.132499999999972</v>
      </c>
      <c r="CY42" s="7">
        <v>57.802499999999995</v>
      </c>
      <c r="CZ42" s="5">
        <f t="array" ref="CZ42">Summary_UpperBound</f>
        <v>61.132499999999972</v>
      </c>
      <c r="DA42" s="6">
        <f t="shared" si="93"/>
        <v>3.329999999999977</v>
      </c>
    </row>
    <row r="43" spans="2:105" x14ac:dyDescent="0.35">
      <c r="B43" s="14"/>
      <c r="E43" s="12">
        <f t="shared" si="94"/>
        <v>44387</v>
      </c>
      <c r="F43" s="7">
        <f t="shared" si="1"/>
        <v>32.112499999999997</v>
      </c>
      <c r="G43" s="6">
        <f t="shared" si="2"/>
        <v>33.962499999999984</v>
      </c>
      <c r="H43" s="7">
        <f t="shared" si="3"/>
        <v>25.689999999999998</v>
      </c>
      <c r="I43" s="6">
        <f t="shared" si="4"/>
        <v>27.169999999999987</v>
      </c>
      <c r="J43" s="5">
        <f t="shared" si="5"/>
        <v>57.802499999999995</v>
      </c>
      <c r="K43" s="6">
        <f t="shared" si="6"/>
        <v>61.132499999999972</v>
      </c>
      <c r="L43" s="7">
        <f t="shared" si="7"/>
        <v>0</v>
      </c>
      <c r="M43" s="6">
        <f t="shared" si="8"/>
        <v>0</v>
      </c>
      <c r="N43" s="7">
        <f t="shared" si="9"/>
        <v>0</v>
      </c>
      <c r="O43" s="6">
        <f t="shared" si="10"/>
        <v>0</v>
      </c>
      <c r="P43" s="5">
        <f t="shared" si="11"/>
        <v>0</v>
      </c>
      <c r="Q43" s="6">
        <f t="shared" si="12"/>
        <v>0</v>
      </c>
      <c r="R43" s="7">
        <f t="shared" si="13"/>
        <v>0</v>
      </c>
      <c r="S43" s="6">
        <f t="shared" si="14"/>
        <v>0</v>
      </c>
      <c r="T43" s="7">
        <f t="shared" si="15"/>
        <v>0</v>
      </c>
      <c r="U43" s="6">
        <f t="shared" si="16"/>
        <v>0</v>
      </c>
      <c r="V43" s="5">
        <f t="shared" si="17"/>
        <v>0</v>
      </c>
      <c r="W43" s="6">
        <f t="shared" si="18"/>
        <v>0</v>
      </c>
      <c r="X43" s="7">
        <f t="shared" si="19"/>
        <v>0</v>
      </c>
      <c r="Y43" s="6">
        <f t="shared" si="20"/>
        <v>0</v>
      </c>
      <c r="Z43" s="7">
        <f t="shared" si="21"/>
        <v>0</v>
      </c>
      <c r="AA43" s="6">
        <f t="shared" si="22"/>
        <v>0</v>
      </c>
      <c r="AB43" s="5">
        <f t="shared" si="23"/>
        <v>0</v>
      </c>
      <c r="AC43" s="6">
        <f t="shared" si="24"/>
        <v>0</v>
      </c>
      <c r="AD43" s="7">
        <f t="shared" si="25"/>
        <v>0</v>
      </c>
      <c r="AE43" s="6">
        <f t="shared" si="26"/>
        <v>0</v>
      </c>
      <c r="AF43" s="7">
        <f t="shared" si="27"/>
        <v>0</v>
      </c>
      <c r="AG43" s="6">
        <f t="shared" si="28"/>
        <v>0</v>
      </c>
      <c r="AH43" s="5">
        <f t="shared" si="29"/>
        <v>0</v>
      </c>
      <c r="AI43" s="6">
        <f t="shared" si="30"/>
        <v>0</v>
      </c>
      <c r="AJ43" s="7">
        <f t="shared" si="31"/>
        <v>0</v>
      </c>
      <c r="AK43" s="6">
        <f t="shared" si="32"/>
        <v>0</v>
      </c>
      <c r="AL43" s="7">
        <f t="shared" si="33"/>
        <v>0</v>
      </c>
      <c r="AM43" s="6">
        <f t="shared" si="34"/>
        <v>0</v>
      </c>
      <c r="AN43" s="5">
        <f t="shared" si="35"/>
        <v>0</v>
      </c>
      <c r="AO43" s="6">
        <f t="shared" si="36"/>
        <v>0</v>
      </c>
      <c r="AP43" s="7">
        <f t="shared" si="37"/>
        <v>0</v>
      </c>
      <c r="AQ43" s="6">
        <f t="shared" si="38"/>
        <v>0</v>
      </c>
      <c r="AR43" s="7">
        <f t="shared" si="39"/>
        <v>0</v>
      </c>
      <c r="AS43" s="6">
        <f t="shared" si="40"/>
        <v>0</v>
      </c>
      <c r="AT43" s="5">
        <f t="shared" si="41"/>
        <v>0</v>
      </c>
      <c r="AU43" s="6">
        <f t="shared" si="42"/>
        <v>0</v>
      </c>
      <c r="AV43" s="7">
        <f t="shared" si="43"/>
        <v>0</v>
      </c>
      <c r="AW43" s="6">
        <f t="shared" si="44"/>
        <v>0</v>
      </c>
      <c r="AX43" s="7">
        <f t="shared" si="45"/>
        <v>0</v>
      </c>
      <c r="AY43" s="6">
        <f t="shared" si="46"/>
        <v>0</v>
      </c>
      <c r="AZ43" s="5">
        <f t="shared" si="47"/>
        <v>0</v>
      </c>
      <c r="BA43" s="6">
        <f t="shared" si="48"/>
        <v>0</v>
      </c>
      <c r="BB43" s="7">
        <f t="shared" si="49"/>
        <v>0</v>
      </c>
      <c r="BC43" s="6">
        <f t="shared" si="50"/>
        <v>0</v>
      </c>
      <c r="BD43" s="7">
        <f t="shared" si="51"/>
        <v>0</v>
      </c>
      <c r="BE43" s="6">
        <f t="shared" si="52"/>
        <v>0</v>
      </c>
      <c r="BF43" s="5">
        <f t="shared" si="53"/>
        <v>0</v>
      </c>
      <c r="BG43" s="6">
        <f t="shared" si="54"/>
        <v>0</v>
      </c>
      <c r="BH43" s="7">
        <f t="shared" si="55"/>
        <v>0</v>
      </c>
      <c r="BI43" s="6">
        <f t="shared" si="56"/>
        <v>0</v>
      </c>
      <c r="BJ43" s="7">
        <f t="shared" si="57"/>
        <v>0</v>
      </c>
      <c r="BK43" s="6">
        <f t="shared" si="58"/>
        <v>0</v>
      </c>
      <c r="BL43" s="5">
        <f t="shared" si="59"/>
        <v>0</v>
      </c>
      <c r="BM43" s="6">
        <f t="shared" si="60"/>
        <v>0</v>
      </c>
      <c r="BN43" s="7">
        <f t="shared" si="61"/>
        <v>0</v>
      </c>
      <c r="BO43" s="6">
        <f t="shared" si="62"/>
        <v>0</v>
      </c>
      <c r="BP43" s="7">
        <f t="shared" si="63"/>
        <v>0</v>
      </c>
      <c r="BQ43" s="6">
        <f t="shared" si="64"/>
        <v>0</v>
      </c>
      <c r="BR43" s="5">
        <f t="shared" si="65"/>
        <v>0</v>
      </c>
      <c r="BS43" s="6">
        <f t="shared" si="66"/>
        <v>0</v>
      </c>
      <c r="BT43" s="7">
        <f t="shared" si="67"/>
        <v>0</v>
      </c>
      <c r="BU43" s="6">
        <f t="shared" si="68"/>
        <v>0</v>
      </c>
      <c r="BV43" s="7">
        <f t="shared" si="69"/>
        <v>0</v>
      </c>
      <c r="BW43" s="6">
        <f t="shared" si="70"/>
        <v>0</v>
      </c>
      <c r="BX43" s="5">
        <f t="shared" si="71"/>
        <v>0</v>
      </c>
      <c r="BY43" s="6">
        <f t="shared" si="72"/>
        <v>0</v>
      </c>
      <c r="BZ43" s="7">
        <f t="shared" si="73"/>
        <v>0</v>
      </c>
      <c r="CA43" s="6">
        <f t="shared" si="74"/>
        <v>0</v>
      </c>
      <c r="CB43" s="7">
        <f t="shared" si="75"/>
        <v>0</v>
      </c>
      <c r="CC43" s="6">
        <f t="shared" si="76"/>
        <v>0</v>
      </c>
      <c r="CD43" s="5">
        <f t="shared" si="77"/>
        <v>0</v>
      </c>
      <c r="CE43" s="6">
        <f t="shared" si="78"/>
        <v>0</v>
      </c>
      <c r="CF43" s="7">
        <f t="shared" si="79"/>
        <v>0</v>
      </c>
      <c r="CG43" s="6">
        <f t="shared" si="80"/>
        <v>0</v>
      </c>
      <c r="CH43" s="7">
        <f t="shared" si="81"/>
        <v>0</v>
      </c>
      <c r="CI43" s="6">
        <f t="shared" si="82"/>
        <v>0</v>
      </c>
      <c r="CJ43" s="5">
        <f t="shared" si="83"/>
        <v>0</v>
      </c>
      <c r="CK43" s="6">
        <f t="shared" si="84"/>
        <v>0</v>
      </c>
      <c r="CL43" s="7">
        <f t="shared" si="85"/>
        <v>0</v>
      </c>
      <c r="CM43" s="6">
        <f t="shared" si="86"/>
        <v>0</v>
      </c>
      <c r="CN43" s="7">
        <f t="shared" si="87"/>
        <v>0</v>
      </c>
      <c r="CO43" s="6">
        <f t="shared" si="88"/>
        <v>0</v>
      </c>
      <c r="CP43" s="5">
        <f t="shared" si="89"/>
        <v>0</v>
      </c>
      <c r="CQ43" s="6">
        <f t="shared" si="90"/>
        <v>0</v>
      </c>
      <c r="CR43" s="7">
        <f t="shared" si="95"/>
        <v>32.112499999999997</v>
      </c>
      <c r="CS43" s="6">
        <f t="shared" si="95"/>
        <v>33.962499999999984</v>
      </c>
      <c r="CT43" s="7">
        <f t="shared" si="95"/>
        <v>25.689999999999998</v>
      </c>
      <c r="CU43" s="6">
        <f t="shared" si="95"/>
        <v>27.169999999999987</v>
      </c>
      <c r="CV43" s="5">
        <f t="shared" si="91"/>
        <v>57.802499999999995</v>
      </c>
      <c r="CW43" s="6">
        <f t="shared" si="92"/>
        <v>61.132499999999972</v>
      </c>
      <c r="CY43" s="7">
        <v>57.802499999999995</v>
      </c>
      <c r="CZ43" s="5">
        <f t="array" ref="CZ43">Summary_UpperBound</f>
        <v>61.132499999999972</v>
      </c>
      <c r="DA43" s="6">
        <f t="shared" si="93"/>
        <v>3.329999999999977</v>
      </c>
    </row>
    <row r="44" spans="2:105" x14ac:dyDescent="0.35">
      <c r="B44" s="14"/>
      <c r="E44" s="12">
        <f t="shared" si="94"/>
        <v>44394</v>
      </c>
      <c r="F44" s="7">
        <f t="shared" si="1"/>
        <v>32.112499999999997</v>
      </c>
      <c r="G44" s="6">
        <f t="shared" si="2"/>
        <v>33.962499999999984</v>
      </c>
      <c r="H44" s="7">
        <f t="shared" si="3"/>
        <v>25.689999999999998</v>
      </c>
      <c r="I44" s="6">
        <f t="shared" si="4"/>
        <v>27.169999999999987</v>
      </c>
      <c r="J44" s="5">
        <f t="shared" si="5"/>
        <v>57.802499999999995</v>
      </c>
      <c r="K44" s="6">
        <f t="shared" si="6"/>
        <v>61.132499999999972</v>
      </c>
      <c r="L44" s="7">
        <f t="shared" si="7"/>
        <v>0</v>
      </c>
      <c r="M44" s="6">
        <f t="shared" si="8"/>
        <v>0</v>
      </c>
      <c r="N44" s="7">
        <f t="shared" si="9"/>
        <v>0</v>
      </c>
      <c r="O44" s="6">
        <f t="shared" si="10"/>
        <v>0</v>
      </c>
      <c r="P44" s="5">
        <f t="shared" si="11"/>
        <v>0</v>
      </c>
      <c r="Q44" s="6">
        <f t="shared" si="12"/>
        <v>0</v>
      </c>
      <c r="R44" s="7">
        <f t="shared" si="13"/>
        <v>0</v>
      </c>
      <c r="S44" s="6">
        <f t="shared" si="14"/>
        <v>0</v>
      </c>
      <c r="T44" s="7">
        <f t="shared" si="15"/>
        <v>0</v>
      </c>
      <c r="U44" s="6">
        <f t="shared" si="16"/>
        <v>0</v>
      </c>
      <c r="V44" s="5">
        <f t="shared" si="17"/>
        <v>0</v>
      </c>
      <c r="W44" s="6">
        <f t="shared" si="18"/>
        <v>0</v>
      </c>
      <c r="X44" s="7">
        <f t="shared" si="19"/>
        <v>0</v>
      </c>
      <c r="Y44" s="6">
        <f t="shared" si="20"/>
        <v>0</v>
      </c>
      <c r="Z44" s="7">
        <f t="shared" si="21"/>
        <v>0</v>
      </c>
      <c r="AA44" s="6">
        <f t="shared" si="22"/>
        <v>0</v>
      </c>
      <c r="AB44" s="5">
        <f t="shared" si="23"/>
        <v>0</v>
      </c>
      <c r="AC44" s="6">
        <f t="shared" si="24"/>
        <v>0</v>
      </c>
      <c r="AD44" s="7">
        <f t="shared" si="25"/>
        <v>0</v>
      </c>
      <c r="AE44" s="6">
        <f t="shared" si="26"/>
        <v>0</v>
      </c>
      <c r="AF44" s="7">
        <f t="shared" si="27"/>
        <v>0</v>
      </c>
      <c r="AG44" s="6">
        <f t="shared" si="28"/>
        <v>0</v>
      </c>
      <c r="AH44" s="5">
        <f t="shared" si="29"/>
        <v>0</v>
      </c>
      <c r="AI44" s="6">
        <f t="shared" si="30"/>
        <v>0</v>
      </c>
      <c r="AJ44" s="7">
        <f t="shared" si="31"/>
        <v>0</v>
      </c>
      <c r="AK44" s="6">
        <f t="shared" si="32"/>
        <v>0</v>
      </c>
      <c r="AL44" s="7">
        <f t="shared" si="33"/>
        <v>0</v>
      </c>
      <c r="AM44" s="6">
        <f t="shared" si="34"/>
        <v>0</v>
      </c>
      <c r="AN44" s="5">
        <f t="shared" si="35"/>
        <v>0</v>
      </c>
      <c r="AO44" s="6">
        <f t="shared" si="36"/>
        <v>0</v>
      </c>
      <c r="AP44" s="7">
        <f t="shared" si="37"/>
        <v>0</v>
      </c>
      <c r="AQ44" s="6">
        <f t="shared" si="38"/>
        <v>0</v>
      </c>
      <c r="AR44" s="7">
        <f t="shared" si="39"/>
        <v>0</v>
      </c>
      <c r="AS44" s="6">
        <f t="shared" si="40"/>
        <v>0</v>
      </c>
      <c r="AT44" s="5">
        <f t="shared" si="41"/>
        <v>0</v>
      </c>
      <c r="AU44" s="6">
        <f t="shared" si="42"/>
        <v>0</v>
      </c>
      <c r="AV44" s="7">
        <f t="shared" si="43"/>
        <v>0</v>
      </c>
      <c r="AW44" s="6">
        <f t="shared" si="44"/>
        <v>0</v>
      </c>
      <c r="AX44" s="7">
        <f t="shared" si="45"/>
        <v>0</v>
      </c>
      <c r="AY44" s="6">
        <f t="shared" si="46"/>
        <v>0</v>
      </c>
      <c r="AZ44" s="5">
        <f t="shared" si="47"/>
        <v>0</v>
      </c>
      <c r="BA44" s="6">
        <f t="shared" si="48"/>
        <v>0</v>
      </c>
      <c r="BB44" s="7">
        <f t="shared" si="49"/>
        <v>0</v>
      </c>
      <c r="BC44" s="6">
        <f t="shared" si="50"/>
        <v>0</v>
      </c>
      <c r="BD44" s="7">
        <f t="shared" si="51"/>
        <v>0</v>
      </c>
      <c r="BE44" s="6">
        <f t="shared" si="52"/>
        <v>0</v>
      </c>
      <c r="BF44" s="5">
        <f t="shared" si="53"/>
        <v>0</v>
      </c>
      <c r="BG44" s="6">
        <f t="shared" si="54"/>
        <v>0</v>
      </c>
      <c r="BH44" s="7">
        <f t="shared" si="55"/>
        <v>0</v>
      </c>
      <c r="BI44" s="6">
        <f t="shared" si="56"/>
        <v>0</v>
      </c>
      <c r="BJ44" s="7">
        <f t="shared" si="57"/>
        <v>0</v>
      </c>
      <c r="BK44" s="6">
        <f t="shared" si="58"/>
        <v>0</v>
      </c>
      <c r="BL44" s="5">
        <f t="shared" si="59"/>
        <v>0</v>
      </c>
      <c r="BM44" s="6">
        <f t="shared" si="60"/>
        <v>0</v>
      </c>
      <c r="BN44" s="7">
        <f t="shared" si="61"/>
        <v>0</v>
      </c>
      <c r="BO44" s="6">
        <f t="shared" si="62"/>
        <v>0</v>
      </c>
      <c r="BP44" s="7">
        <f t="shared" si="63"/>
        <v>0</v>
      </c>
      <c r="BQ44" s="6">
        <f t="shared" si="64"/>
        <v>0</v>
      </c>
      <c r="BR44" s="5">
        <f t="shared" si="65"/>
        <v>0</v>
      </c>
      <c r="BS44" s="6">
        <f t="shared" si="66"/>
        <v>0</v>
      </c>
      <c r="BT44" s="7">
        <f t="shared" si="67"/>
        <v>0</v>
      </c>
      <c r="BU44" s="6">
        <f t="shared" si="68"/>
        <v>0</v>
      </c>
      <c r="BV44" s="7">
        <f t="shared" si="69"/>
        <v>0</v>
      </c>
      <c r="BW44" s="6">
        <f t="shared" si="70"/>
        <v>0</v>
      </c>
      <c r="BX44" s="5">
        <f t="shared" si="71"/>
        <v>0</v>
      </c>
      <c r="BY44" s="6">
        <f t="shared" si="72"/>
        <v>0</v>
      </c>
      <c r="BZ44" s="7">
        <f t="shared" si="73"/>
        <v>0</v>
      </c>
      <c r="CA44" s="6">
        <f t="shared" si="74"/>
        <v>0</v>
      </c>
      <c r="CB44" s="7">
        <f t="shared" si="75"/>
        <v>0</v>
      </c>
      <c r="CC44" s="6">
        <f t="shared" si="76"/>
        <v>0</v>
      </c>
      <c r="CD44" s="5">
        <f t="shared" si="77"/>
        <v>0</v>
      </c>
      <c r="CE44" s="6">
        <f t="shared" si="78"/>
        <v>0</v>
      </c>
      <c r="CF44" s="7">
        <f t="shared" si="79"/>
        <v>0</v>
      </c>
      <c r="CG44" s="6">
        <f t="shared" si="80"/>
        <v>0</v>
      </c>
      <c r="CH44" s="7">
        <f t="shared" si="81"/>
        <v>0</v>
      </c>
      <c r="CI44" s="6">
        <f t="shared" si="82"/>
        <v>0</v>
      </c>
      <c r="CJ44" s="5">
        <f t="shared" si="83"/>
        <v>0</v>
      </c>
      <c r="CK44" s="6">
        <f t="shared" si="84"/>
        <v>0</v>
      </c>
      <c r="CL44" s="7">
        <f t="shared" si="85"/>
        <v>0</v>
      </c>
      <c r="CM44" s="6">
        <f t="shared" si="86"/>
        <v>0</v>
      </c>
      <c r="CN44" s="7">
        <f t="shared" si="87"/>
        <v>0</v>
      </c>
      <c r="CO44" s="6">
        <f t="shared" si="88"/>
        <v>0</v>
      </c>
      <c r="CP44" s="5">
        <f t="shared" si="89"/>
        <v>0</v>
      </c>
      <c r="CQ44" s="6">
        <f t="shared" si="90"/>
        <v>0</v>
      </c>
      <c r="CR44" s="7">
        <f t="shared" si="95"/>
        <v>32.112499999999997</v>
      </c>
      <c r="CS44" s="6">
        <f t="shared" si="95"/>
        <v>33.962499999999984</v>
      </c>
      <c r="CT44" s="7">
        <f t="shared" si="95"/>
        <v>25.689999999999998</v>
      </c>
      <c r="CU44" s="6">
        <f t="shared" si="95"/>
        <v>27.169999999999987</v>
      </c>
      <c r="CV44" s="5">
        <f t="shared" si="91"/>
        <v>57.802499999999995</v>
      </c>
      <c r="CW44" s="6">
        <f t="shared" si="92"/>
        <v>61.132499999999972</v>
      </c>
      <c r="CY44" s="7">
        <v>57.802499999999995</v>
      </c>
      <c r="CZ44" s="5">
        <f t="array" ref="CZ44">Summary_UpperBound</f>
        <v>61.132499999999972</v>
      </c>
      <c r="DA44" s="6">
        <f t="shared" si="93"/>
        <v>3.329999999999977</v>
      </c>
    </row>
    <row r="45" spans="2:105" x14ac:dyDescent="0.35">
      <c r="B45" s="14"/>
      <c r="E45" s="12">
        <f t="shared" si="94"/>
        <v>44401</v>
      </c>
      <c r="F45" s="7">
        <f t="shared" si="1"/>
        <v>32.112499999999997</v>
      </c>
      <c r="G45" s="6">
        <f t="shared" si="2"/>
        <v>33.962499999999984</v>
      </c>
      <c r="H45" s="7">
        <f t="shared" si="3"/>
        <v>25.689999999999998</v>
      </c>
      <c r="I45" s="6">
        <f t="shared" si="4"/>
        <v>27.169999999999987</v>
      </c>
      <c r="J45" s="5">
        <f t="shared" si="5"/>
        <v>57.802499999999995</v>
      </c>
      <c r="K45" s="6">
        <f t="shared" si="6"/>
        <v>61.132499999999972</v>
      </c>
      <c r="L45" s="7">
        <f t="shared" si="7"/>
        <v>0</v>
      </c>
      <c r="M45" s="6">
        <f t="shared" si="8"/>
        <v>0</v>
      </c>
      <c r="N45" s="7">
        <f t="shared" si="9"/>
        <v>0</v>
      </c>
      <c r="O45" s="6">
        <f t="shared" si="10"/>
        <v>0</v>
      </c>
      <c r="P45" s="5">
        <f t="shared" si="11"/>
        <v>0</v>
      </c>
      <c r="Q45" s="6">
        <f t="shared" si="12"/>
        <v>0</v>
      </c>
      <c r="R45" s="7">
        <f t="shared" si="13"/>
        <v>0</v>
      </c>
      <c r="S45" s="6">
        <f t="shared" si="14"/>
        <v>0</v>
      </c>
      <c r="T45" s="7">
        <f t="shared" si="15"/>
        <v>0</v>
      </c>
      <c r="U45" s="6">
        <f t="shared" si="16"/>
        <v>0</v>
      </c>
      <c r="V45" s="5">
        <f t="shared" si="17"/>
        <v>0</v>
      </c>
      <c r="W45" s="6">
        <f t="shared" si="18"/>
        <v>0</v>
      </c>
      <c r="X45" s="7">
        <f t="shared" si="19"/>
        <v>0</v>
      </c>
      <c r="Y45" s="6">
        <f t="shared" si="20"/>
        <v>0</v>
      </c>
      <c r="Z45" s="7">
        <f t="shared" si="21"/>
        <v>0</v>
      </c>
      <c r="AA45" s="6">
        <f t="shared" si="22"/>
        <v>0</v>
      </c>
      <c r="AB45" s="5">
        <f t="shared" si="23"/>
        <v>0</v>
      </c>
      <c r="AC45" s="6">
        <f t="shared" si="24"/>
        <v>0</v>
      </c>
      <c r="AD45" s="7">
        <f t="shared" si="25"/>
        <v>0</v>
      </c>
      <c r="AE45" s="6">
        <f t="shared" si="26"/>
        <v>0</v>
      </c>
      <c r="AF45" s="7">
        <f t="shared" si="27"/>
        <v>0</v>
      </c>
      <c r="AG45" s="6">
        <f t="shared" si="28"/>
        <v>0</v>
      </c>
      <c r="AH45" s="5">
        <f t="shared" si="29"/>
        <v>0</v>
      </c>
      <c r="AI45" s="6">
        <f t="shared" si="30"/>
        <v>0</v>
      </c>
      <c r="AJ45" s="7">
        <f t="shared" si="31"/>
        <v>0</v>
      </c>
      <c r="AK45" s="6">
        <f t="shared" si="32"/>
        <v>0</v>
      </c>
      <c r="AL45" s="7">
        <f t="shared" si="33"/>
        <v>0</v>
      </c>
      <c r="AM45" s="6">
        <f t="shared" si="34"/>
        <v>0</v>
      </c>
      <c r="AN45" s="5">
        <f t="shared" si="35"/>
        <v>0</v>
      </c>
      <c r="AO45" s="6">
        <f t="shared" si="36"/>
        <v>0</v>
      </c>
      <c r="AP45" s="7">
        <f t="shared" si="37"/>
        <v>0</v>
      </c>
      <c r="AQ45" s="6">
        <f t="shared" si="38"/>
        <v>0</v>
      </c>
      <c r="AR45" s="7">
        <f t="shared" si="39"/>
        <v>0</v>
      </c>
      <c r="AS45" s="6">
        <f t="shared" si="40"/>
        <v>0</v>
      </c>
      <c r="AT45" s="5">
        <f t="shared" si="41"/>
        <v>0</v>
      </c>
      <c r="AU45" s="6">
        <f t="shared" si="42"/>
        <v>0</v>
      </c>
      <c r="AV45" s="7">
        <f t="shared" si="43"/>
        <v>0</v>
      </c>
      <c r="AW45" s="6">
        <f t="shared" si="44"/>
        <v>0</v>
      </c>
      <c r="AX45" s="7">
        <f t="shared" si="45"/>
        <v>0</v>
      </c>
      <c r="AY45" s="6">
        <f t="shared" si="46"/>
        <v>0</v>
      </c>
      <c r="AZ45" s="5">
        <f t="shared" si="47"/>
        <v>0</v>
      </c>
      <c r="BA45" s="6">
        <f t="shared" si="48"/>
        <v>0</v>
      </c>
      <c r="BB45" s="7">
        <f t="shared" si="49"/>
        <v>0</v>
      </c>
      <c r="BC45" s="6">
        <f t="shared" si="50"/>
        <v>0</v>
      </c>
      <c r="BD45" s="7">
        <f t="shared" si="51"/>
        <v>0</v>
      </c>
      <c r="BE45" s="6">
        <f t="shared" si="52"/>
        <v>0</v>
      </c>
      <c r="BF45" s="5">
        <f t="shared" si="53"/>
        <v>0</v>
      </c>
      <c r="BG45" s="6">
        <f t="shared" si="54"/>
        <v>0</v>
      </c>
      <c r="BH45" s="7">
        <f t="shared" si="55"/>
        <v>0</v>
      </c>
      <c r="BI45" s="6">
        <f t="shared" si="56"/>
        <v>0</v>
      </c>
      <c r="BJ45" s="7">
        <f t="shared" si="57"/>
        <v>0</v>
      </c>
      <c r="BK45" s="6">
        <f t="shared" si="58"/>
        <v>0</v>
      </c>
      <c r="BL45" s="5">
        <f t="shared" si="59"/>
        <v>0</v>
      </c>
      <c r="BM45" s="6">
        <f t="shared" si="60"/>
        <v>0</v>
      </c>
      <c r="BN45" s="7">
        <f t="shared" si="61"/>
        <v>0</v>
      </c>
      <c r="BO45" s="6">
        <f t="shared" si="62"/>
        <v>0</v>
      </c>
      <c r="BP45" s="7">
        <f t="shared" si="63"/>
        <v>0</v>
      </c>
      <c r="BQ45" s="6">
        <f t="shared" si="64"/>
        <v>0</v>
      </c>
      <c r="BR45" s="5">
        <f t="shared" si="65"/>
        <v>0</v>
      </c>
      <c r="BS45" s="6">
        <f t="shared" si="66"/>
        <v>0</v>
      </c>
      <c r="BT45" s="7">
        <f t="shared" si="67"/>
        <v>0</v>
      </c>
      <c r="BU45" s="6">
        <f t="shared" si="68"/>
        <v>0</v>
      </c>
      <c r="BV45" s="7">
        <f t="shared" si="69"/>
        <v>0</v>
      </c>
      <c r="BW45" s="6">
        <f t="shared" si="70"/>
        <v>0</v>
      </c>
      <c r="BX45" s="5">
        <f t="shared" si="71"/>
        <v>0</v>
      </c>
      <c r="BY45" s="6">
        <f t="shared" si="72"/>
        <v>0</v>
      </c>
      <c r="BZ45" s="7">
        <f t="shared" si="73"/>
        <v>0</v>
      </c>
      <c r="CA45" s="6">
        <f t="shared" si="74"/>
        <v>0</v>
      </c>
      <c r="CB45" s="7">
        <f t="shared" si="75"/>
        <v>0</v>
      </c>
      <c r="CC45" s="6">
        <f t="shared" si="76"/>
        <v>0</v>
      </c>
      <c r="CD45" s="5">
        <f t="shared" si="77"/>
        <v>0</v>
      </c>
      <c r="CE45" s="6">
        <f t="shared" si="78"/>
        <v>0</v>
      </c>
      <c r="CF45" s="7">
        <f t="shared" si="79"/>
        <v>0</v>
      </c>
      <c r="CG45" s="6">
        <f t="shared" si="80"/>
        <v>0</v>
      </c>
      <c r="CH45" s="7">
        <f t="shared" si="81"/>
        <v>0</v>
      </c>
      <c r="CI45" s="6">
        <f t="shared" si="82"/>
        <v>0</v>
      </c>
      <c r="CJ45" s="5">
        <f t="shared" si="83"/>
        <v>0</v>
      </c>
      <c r="CK45" s="6">
        <f t="shared" si="84"/>
        <v>0</v>
      </c>
      <c r="CL45" s="7">
        <f t="shared" si="85"/>
        <v>0</v>
      </c>
      <c r="CM45" s="6">
        <f t="shared" si="86"/>
        <v>0</v>
      </c>
      <c r="CN45" s="7">
        <f t="shared" si="87"/>
        <v>0</v>
      </c>
      <c r="CO45" s="6">
        <f t="shared" si="88"/>
        <v>0</v>
      </c>
      <c r="CP45" s="5">
        <f t="shared" si="89"/>
        <v>0</v>
      </c>
      <c r="CQ45" s="6">
        <f t="shared" si="90"/>
        <v>0</v>
      </c>
      <c r="CR45" s="7">
        <f t="shared" ref="CR45:CU56" si="96">SUMIFS($F45:$CO45,$F$2:$CO$2,CR$2,$F$4:$CO$4,CR$4)</f>
        <v>32.112499999999997</v>
      </c>
      <c r="CS45" s="6">
        <f t="shared" si="96"/>
        <v>33.962499999999984</v>
      </c>
      <c r="CT45" s="7">
        <f t="shared" si="96"/>
        <v>25.689999999999998</v>
      </c>
      <c r="CU45" s="6">
        <f t="shared" si="96"/>
        <v>27.169999999999987</v>
      </c>
      <c r="CV45" s="5">
        <f t="shared" si="91"/>
        <v>57.802499999999995</v>
      </c>
      <c r="CW45" s="6">
        <f t="shared" si="92"/>
        <v>61.132499999999972</v>
      </c>
      <c r="CY45" s="7">
        <v>57.802499999999995</v>
      </c>
      <c r="CZ45" s="5">
        <f t="array" ref="CZ45">Summary_UpperBound</f>
        <v>61.132499999999972</v>
      </c>
      <c r="DA45" s="6">
        <f t="shared" si="93"/>
        <v>3.329999999999977</v>
      </c>
    </row>
    <row r="46" spans="2:105" x14ac:dyDescent="0.35">
      <c r="B46" s="14"/>
      <c r="E46" s="12">
        <f t="shared" si="94"/>
        <v>44408</v>
      </c>
      <c r="F46" s="7">
        <f t="shared" si="1"/>
        <v>32.112499999999997</v>
      </c>
      <c r="G46" s="6">
        <f t="shared" si="2"/>
        <v>33.962499999999984</v>
      </c>
      <c r="H46" s="7">
        <f t="shared" si="3"/>
        <v>25.689999999999998</v>
      </c>
      <c r="I46" s="6">
        <f t="shared" si="4"/>
        <v>27.169999999999987</v>
      </c>
      <c r="J46" s="5">
        <f t="shared" si="5"/>
        <v>57.802499999999995</v>
      </c>
      <c r="K46" s="6">
        <f t="shared" si="6"/>
        <v>61.132499999999972</v>
      </c>
      <c r="L46" s="7">
        <f t="shared" si="7"/>
        <v>0</v>
      </c>
      <c r="M46" s="6">
        <f t="shared" si="8"/>
        <v>0</v>
      </c>
      <c r="N46" s="7">
        <f t="shared" si="9"/>
        <v>0</v>
      </c>
      <c r="O46" s="6">
        <f t="shared" si="10"/>
        <v>0</v>
      </c>
      <c r="P46" s="5">
        <f t="shared" si="11"/>
        <v>0</v>
      </c>
      <c r="Q46" s="6">
        <f t="shared" si="12"/>
        <v>0</v>
      </c>
      <c r="R46" s="7">
        <f t="shared" si="13"/>
        <v>0</v>
      </c>
      <c r="S46" s="6">
        <f t="shared" si="14"/>
        <v>0</v>
      </c>
      <c r="T46" s="7">
        <f t="shared" si="15"/>
        <v>0</v>
      </c>
      <c r="U46" s="6">
        <f t="shared" si="16"/>
        <v>0</v>
      </c>
      <c r="V46" s="5">
        <f t="shared" si="17"/>
        <v>0</v>
      </c>
      <c r="W46" s="6">
        <f t="shared" si="18"/>
        <v>0</v>
      </c>
      <c r="X46" s="7">
        <f t="shared" si="19"/>
        <v>0</v>
      </c>
      <c r="Y46" s="6">
        <f t="shared" si="20"/>
        <v>0</v>
      </c>
      <c r="Z46" s="7">
        <f t="shared" si="21"/>
        <v>0</v>
      </c>
      <c r="AA46" s="6">
        <f t="shared" si="22"/>
        <v>0</v>
      </c>
      <c r="AB46" s="5">
        <f t="shared" si="23"/>
        <v>0</v>
      </c>
      <c r="AC46" s="6">
        <f t="shared" si="24"/>
        <v>0</v>
      </c>
      <c r="AD46" s="7">
        <f t="shared" si="25"/>
        <v>0</v>
      </c>
      <c r="AE46" s="6">
        <f t="shared" si="26"/>
        <v>0</v>
      </c>
      <c r="AF46" s="7">
        <f t="shared" si="27"/>
        <v>0</v>
      </c>
      <c r="AG46" s="6">
        <f t="shared" si="28"/>
        <v>0</v>
      </c>
      <c r="AH46" s="5">
        <f t="shared" si="29"/>
        <v>0</v>
      </c>
      <c r="AI46" s="6">
        <f t="shared" si="30"/>
        <v>0</v>
      </c>
      <c r="AJ46" s="7">
        <f t="shared" si="31"/>
        <v>0</v>
      </c>
      <c r="AK46" s="6">
        <f t="shared" si="32"/>
        <v>0</v>
      </c>
      <c r="AL46" s="7">
        <f t="shared" si="33"/>
        <v>0</v>
      </c>
      <c r="AM46" s="6">
        <f t="shared" si="34"/>
        <v>0</v>
      </c>
      <c r="AN46" s="5">
        <f t="shared" si="35"/>
        <v>0</v>
      </c>
      <c r="AO46" s="6">
        <f t="shared" si="36"/>
        <v>0</v>
      </c>
      <c r="AP46" s="7">
        <f t="shared" si="37"/>
        <v>0</v>
      </c>
      <c r="AQ46" s="6">
        <f t="shared" si="38"/>
        <v>0</v>
      </c>
      <c r="AR46" s="7">
        <f t="shared" si="39"/>
        <v>0</v>
      </c>
      <c r="AS46" s="6">
        <f t="shared" si="40"/>
        <v>0</v>
      </c>
      <c r="AT46" s="5">
        <f t="shared" si="41"/>
        <v>0</v>
      </c>
      <c r="AU46" s="6">
        <f t="shared" si="42"/>
        <v>0</v>
      </c>
      <c r="AV46" s="7">
        <f t="shared" si="43"/>
        <v>0</v>
      </c>
      <c r="AW46" s="6">
        <f t="shared" si="44"/>
        <v>0</v>
      </c>
      <c r="AX46" s="7">
        <f t="shared" si="45"/>
        <v>0</v>
      </c>
      <c r="AY46" s="6">
        <f t="shared" si="46"/>
        <v>0</v>
      </c>
      <c r="AZ46" s="5">
        <f t="shared" si="47"/>
        <v>0</v>
      </c>
      <c r="BA46" s="6">
        <f t="shared" si="48"/>
        <v>0</v>
      </c>
      <c r="BB46" s="7">
        <f t="shared" si="49"/>
        <v>0</v>
      </c>
      <c r="BC46" s="6">
        <f t="shared" si="50"/>
        <v>0</v>
      </c>
      <c r="BD46" s="7">
        <f t="shared" si="51"/>
        <v>0</v>
      </c>
      <c r="BE46" s="6">
        <f t="shared" si="52"/>
        <v>0</v>
      </c>
      <c r="BF46" s="5">
        <f t="shared" si="53"/>
        <v>0</v>
      </c>
      <c r="BG46" s="6">
        <f t="shared" si="54"/>
        <v>0</v>
      </c>
      <c r="BH46" s="7">
        <f t="shared" si="55"/>
        <v>0</v>
      </c>
      <c r="BI46" s="6">
        <f t="shared" si="56"/>
        <v>0</v>
      </c>
      <c r="BJ46" s="7">
        <f t="shared" si="57"/>
        <v>0</v>
      </c>
      <c r="BK46" s="6">
        <f t="shared" si="58"/>
        <v>0</v>
      </c>
      <c r="BL46" s="5">
        <f t="shared" si="59"/>
        <v>0</v>
      </c>
      <c r="BM46" s="6">
        <f t="shared" si="60"/>
        <v>0</v>
      </c>
      <c r="BN46" s="7">
        <f t="shared" si="61"/>
        <v>0</v>
      </c>
      <c r="BO46" s="6">
        <f t="shared" si="62"/>
        <v>0</v>
      </c>
      <c r="BP46" s="7">
        <f t="shared" si="63"/>
        <v>0</v>
      </c>
      <c r="BQ46" s="6">
        <f t="shared" si="64"/>
        <v>0</v>
      </c>
      <c r="BR46" s="5">
        <f t="shared" si="65"/>
        <v>0</v>
      </c>
      <c r="BS46" s="6">
        <f t="shared" si="66"/>
        <v>0</v>
      </c>
      <c r="BT46" s="7">
        <f t="shared" si="67"/>
        <v>0</v>
      </c>
      <c r="BU46" s="6">
        <f t="shared" si="68"/>
        <v>0</v>
      </c>
      <c r="BV46" s="7">
        <f t="shared" si="69"/>
        <v>0</v>
      </c>
      <c r="BW46" s="6">
        <f t="shared" si="70"/>
        <v>0</v>
      </c>
      <c r="BX46" s="5">
        <f t="shared" si="71"/>
        <v>0</v>
      </c>
      <c r="BY46" s="6">
        <f t="shared" si="72"/>
        <v>0</v>
      </c>
      <c r="BZ46" s="7">
        <f t="shared" si="73"/>
        <v>0</v>
      </c>
      <c r="CA46" s="6">
        <f t="shared" si="74"/>
        <v>0</v>
      </c>
      <c r="CB46" s="7">
        <f t="shared" si="75"/>
        <v>0</v>
      </c>
      <c r="CC46" s="6">
        <f t="shared" si="76"/>
        <v>0</v>
      </c>
      <c r="CD46" s="5">
        <f t="shared" si="77"/>
        <v>0</v>
      </c>
      <c r="CE46" s="6">
        <f t="shared" si="78"/>
        <v>0</v>
      </c>
      <c r="CF46" s="7">
        <f t="shared" si="79"/>
        <v>0</v>
      </c>
      <c r="CG46" s="6">
        <f t="shared" si="80"/>
        <v>0</v>
      </c>
      <c r="CH46" s="7">
        <f t="shared" si="81"/>
        <v>0</v>
      </c>
      <c r="CI46" s="6">
        <f t="shared" si="82"/>
        <v>0</v>
      </c>
      <c r="CJ46" s="5">
        <f t="shared" si="83"/>
        <v>0</v>
      </c>
      <c r="CK46" s="6">
        <f t="shared" si="84"/>
        <v>0</v>
      </c>
      <c r="CL46" s="7">
        <f t="shared" si="85"/>
        <v>0</v>
      </c>
      <c r="CM46" s="6">
        <f t="shared" si="86"/>
        <v>0</v>
      </c>
      <c r="CN46" s="7">
        <f t="shared" si="87"/>
        <v>0</v>
      </c>
      <c r="CO46" s="6">
        <f t="shared" si="88"/>
        <v>0</v>
      </c>
      <c r="CP46" s="5">
        <f t="shared" si="89"/>
        <v>0</v>
      </c>
      <c r="CQ46" s="6">
        <f t="shared" si="90"/>
        <v>0</v>
      </c>
      <c r="CR46" s="7">
        <f t="shared" si="96"/>
        <v>32.112499999999997</v>
      </c>
      <c r="CS46" s="6">
        <f t="shared" si="96"/>
        <v>33.962499999999984</v>
      </c>
      <c r="CT46" s="7">
        <f t="shared" si="96"/>
        <v>25.689999999999998</v>
      </c>
      <c r="CU46" s="6">
        <f t="shared" si="96"/>
        <v>27.169999999999987</v>
      </c>
      <c r="CV46" s="5">
        <f t="shared" si="91"/>
        <v>57.802499999999995</v>
      </c>
      <c r="CW46" s="6">
        <f t="shared" si="92"/>
        <v>61.132499999999972</v>
      </c>
      <c r="CY46" s="7">
        <v>57.802499999999995</v>
      </c>
      <c r="CZ46" s="5">
        <f t="array" ref="CZ46">Summary_UpperBound</f>
        <v>61.132499999999972</v>
      </c>
      <c r="DA46" s="6">
        <f t="shared" si="93"/>
        <v>3.329999999999977</v>
      </c>
    </row>
    <row r="47" spans="2:105" x14ac:dyDescent="0.35">
      <c r="B47" s="14"/>
      <c r="E47" s="12">
        <f t="shared" si="94"/>
        <v>44415</v>
      </c>
      <c r="F47" s="7">
        <f t="shared" si="1"/>
        <v>32.112499999999997</v>
      </c>
      <c r="G47" s="6">
        <f t="shared" si="2"/>
        <v>33.962499999999984</v>
      </c>
      <c r="H47" s="7">
        <f t="shared" si="3"/>
        <v>25.689999999999998</v>
      </c>
      <c r="I47" s="6">
        <f t="shared" si="4"/>
        <v>27.169999999999987</v>
      </c>
      <c r="J47" s="5">
        <f t="shared" si="5"/>
        <v>57.802499999999995</v>
      </c>
      <c r="K47" s="6">
        <f t="shared" si="6"/>
        <v>61.132499999999972</v>
      </c>
      <c r="L47" s="7">
        <f t="shared" si="7"/>
        <v>0</v>
      </c>
      <c r="M47" s="6">
        <f t="shared" si="8"/>
        <v>0</v>
      </c>
      <c r="N47" s="7">
        <f t="shared" si="9"/>
        <v>0</v>
      </c>
      <c r="O47" s="6">
        <f t="shared" si="10"/>
        <v>0</v>
      </c>
      <c r="P47" s="5">
        <f t="shared" si="11"/>
        <v>0</v>
      </c>
      <c r="Q47" s="6">
        <f t="shared" si="12"/>
        <v>0</v>
      </c>
      <c r="R47" s="7">
        <f t="shared" si="13"/>
        <v>0</v>
      </c>
      <c r="S47" s="6">
        <f t="shared" si="14"/>
        <v>0</v>
      </c>
      <c r="T47" s="7">
        <f t="shared" si="15"/>
        <v>0</v>
      </c>
      <c r="U47" s="6">
        <f t="shared" si="16"/>
        <v>0</v>
      </c>
      <c r="V47" s="5">
        <f t="shared" si="17"/>
        <v>0</v>
      </c>
      <c r="W47" s="6">
        <f t="shared" si="18"/>
        <v>0</v>
      </c>
      <c r="X47" s="7">
        <f t="shared" si="19"/>
        <v>0</v>
      </c>
      <c r="Y47" s="6">
        <f t="shared" si="20"/>
        <v>0</v>
      </c>
      <c r="Z47" s="7">
        <f t="shared" si="21"/>
        <v>0</v>
      </c>
      <c r="AA47" s="6">
        <f t="shared" si="22"/>
        <v>0</v>
      </c>
      <c r="AB47" s="5">
        <f t="shared" si="23"/>
        <v>0</v>
      </c>
      <c r="AC47" s="6">
        <f t="shared" si="24"/>
        <v>0</v>
      </c>
      <c r="AD47" s="7">
        <f t="shared" si="25"/>
        <v>0</v>
      </c>
      <c r="AE47" s="6">
        <f t="shared" si="26"/>
        <v>0</v>
      </c>
      <c r="AF47" s="7">
        <f t="shared" si="27"/>
        <v>0</v>
      </c>
      <c r="AG47" s="6">
        <f t="shared" si="28"/>
        <v>0</v>
      </c>
      <c r="AH47" s="5">
        <f t="shared" si="29"/>
        <v>0</v>
      </c>
      <c r="AI47" s="6">
        <f t="shared" si="30"/>
        <v>0</v>
      </c>
      <c r="AJ47" s="7">
        <f t="shared" si="31"/>
        <v>0</v>
      </c>
      <c r="AK47" s="6">
        <f t="shared" si="32"/>
        <v>0</v>
      </c>
      <c r="AL47" s="7">
        <f t="shared" si="33"/>
        <v>0</v>
      </c>
      <c r="AM47" s="6">
        <f t="shared" si="34"/>
        <v>0</v>
      </c>
      <c r="AN47" s="5">
        <f t="shared" si="35"/>
        <v>0</v>
      </c>
      <c r="AO47" s="6">
        <f t="shared" si="36"/>
        <v>0</v>
      </c>
      <c r="AP47" s="7">
        <f t="shared" si="37"/>
        <v>0</v>
      </c>
      <c r="AQ47" s="6">
        <f t="shared" si="38"/>
        <v>0</v>
      </c>
      <c r="AR47" s="7">
        <f t="shared" si="39"/>
        <v>0</v>
      </c>
      <c r="AS47" s="6">
        <f t="shared" si="40"/>
        <v>0</v>
      </c>
      <c r="AT47" s="5">
        <f t="shared" si="41"/>
        <v>0</v>
      </c>
      <c r="AU47" s="6">
        <f t="shared" si="42"/>
        <v>0</v>
      </c>
      <c r="AV47" s="7">
        <f t="shared" si="43"/>
        <v>0</v>
      </c>
      <c r="AW47" s="6">
        <f t="shared" si="44"/>
        <v>0</v>
      </c>
      <c r="AX47" s="7">
        <f t="shared" si="45"/>
        <v>0</v>
      </c>
      <c r="AY47" s="6">
        <f t="shared" si="46"/>
        <v>0</v>
      </c>
      <c r="AZ47" s="5">
        <f t="shared" si="47"/>
        <v>0</v>
      </c>
      <c r="BA47" s="6">
        <f t="shared" si="48"/>
        <v>0</v>
      </c>
      <c r="BB47" s="7">
        <f t="shared" si="49"/>
        <v>0</v>
      </c>
      <c r="BC47" s="6">
        <f t="shared" si="50"/>
        <v>0</v>
      </c>
      <c r="BD47" s="7">
        <f t="shared" si="51"/>
        <v>0</v>
      </c>
      <c r="BE47" s="6">
        <f t="shared" si="52"/>
        <v>0</v>
      </c>
      <c r="BF47" s="5">
        <f t="shared" si="53"/>
        <v>0</v>
      </c>
      <c r="BG47" s="6">
        <f t="shared" si="54"/>
        <v>0</v>
      </c>
      <c r="BH47" s="7">
        <f t="shared" si="55"/>
        <v>0</v>
      </c>
      <c r="BI47" s="6">
        <f t="shared" si="56"/>
        <v>0</v>
      </c>
      <c r="BJ47" s="7">
        <f t="shared" si="57"/>
        <v>0</v>
      </c>
      <c r="BK47" s="6">
        <f t="shared" si="58"/>
        <v>0</v>
      </c>
      <c r="BL47" s="5">
        <f t="shared" si="59"/>
        <v>0</v>
      </c>
      <c r="BM47" s="6">
        <f t="shared" si="60"/>
        <v>0</v>
      </c>
      <c r="BN47" s="7">
        <f t="shared" si="61"/>
        <v>0</v>
      </c>
      <c r="BO47" s="6">
        <f t="shared" si="62"/>
        <v>0</v>
      </c>
      <c r="BP47" s="7">
        <f t="shared" si="63"/>
        <v>0</v>
      </c>
      <c r="BQ47" s="6">
        <f t="shared" si="64"/>
        <v>0</v>
      </c>
      <c r="BR47" s="5">
        <f t="shared" si="65"/>
        <v>0</v>
      </c>
      <c r="BS47" s="6">
        <f t="shared" si="66"/>
        <v>0</v>
      </c>
      <c r="BT47" s="7">
        <f t="shared" si="67"/>
        <v>0</v>
      </c>
      <c r="BU47" s="6">
        <f t="shared" si="68"/>
        <v>0</v>
      </c>
      <c r="BV47" s="7">
        <f t="shared" si="69"/>
        <v>0</v>
      </c>
      <c r="BW47" s="6">
        <f t="shared" si="70"/>
        <v>0</v>
      </c>
      <c r="BX47" s="5">
        <f t="shared" si="71"/>
        <v>0</v>
      </c>
      <c r="BY47" s="6">
        <f t="shared" si="72"/>
        <v>0</v>
      </c>
      <c r="BZ47" s="7">
        <f t="shared" si="73"/>
        <v>0</v>
      </c>
      <c r="CA47" s="6">
        <f t="shared" si="74"/>
        <v>0</v>
      </c>
      <c r="CB47" s="7">
        <f t="shared" si="75"/>
        <v>0</v>
      </c>
      <c r="CC47" s="6">
        <f t="shared" si="76"/>
        <v>0</v>
      </c>
      <c r="CD47" s="5">
        <f t="shared" si="77"/>
        <v>0</v>
      </c>
      <c r="CE47" s="6">
        <f t="shared" si="78"/>
        <v>0</v>
      </c>
      <c r="CF47" s="7">
        <f t="shared" si="79"/>
        <v>0</v>
      </c>
      <c r="CG47" s="6">
        <f t="shared" si="80"/>
        <v>0</v>
      </c>
      <c r="CH47" s="7">
        <f t="shared" si="81"/>
        <v>0</v>
      </c>
      <c r="CI47" s="6">
        <f t="shared" si="82"/>
        <v>0</v>
      </c>
      <c r="CJ47" s="5">
        <f t="shared" si="83"/>
        <v>0</v>
      </c>
      <c r="CK47" s="6">
        <f t="shared" si="84"/>
        <v>0</v>
      </c>
      <c r="CL47" s="7">
        <f t="shared" si="85"/>
        <v>0</v>
      </c>
      <c r="CM47" s="6">
        <f t="shared" si="86"/>
        <v>0</v>
      </c>
      <c r="CN47" s="7">
        <f t="shared" si="87"/>
        <v>0</v>
      </c>
      <c r="CO47" s="6">
        <f t="shared" si="88"/>
        <v>0</v>
      </c>
      <c r="CP47" s="5">
        <f t="shared" si="89"/>
        <v>0</v>
      </c>
      <c r="CQ47" s="6">
        <f t="shared" si="90"/>
        <v>0</v>
      </c>
      <c r="CR47" s="7">
        <f t="shared" si="96"/>
        <v>32.112499999999997</v>
      </c>
      <c r="CS47" s="6">
        <f t="shared" si="96"/>
        <v>33.962499999999984</v>
      </c>
      <c r="CT47" s="7">
        <f t="shared" si="96"/>
        <v>25.689999999999998</v>
      </c>
      <c r="CU47" s="6">
        <f t="shared" si="96"/>
        <v>27.169999999999987</v>
      </c>
      <c r="CV47" s="5">
        <f t="shared" si="91"/>
        <v>57.802499999999995</v>
      </c>
      <c r="CW47" s="6">
        <f t="shared" si="92"/>
        <v>61.132499999999972</v>
      </c>
      <c r="CY47" s="7">
        <v>57.802499999999995</v>
      </c>
      <c r="CZ47" s="5">
        <f t="array" ref="CZ47">Summary_UpperBound</f>
        <v>61.132499999999972</v>
      </c>
      <c r="DA47" s="6">
        <f t="shared" si="93"/>
        <v>3.329999999999977</v>
      </c>
    </row>
    <row r="48" spans="2:105" x14ac:dyDescent="0.35">
      <c r="B48" s="14"/>
      <c r="E48" s="12">
        <f t="shared" si="94"/>
        <v>44422</v>
      </c>
      <c r="F48" s="7">
        <f t="shared" si="1"/>
        <v>32.112499999999997</v>
      </c>
      <c r="G48" s="6">
        <f t="shared" si="2"/>
        <v>33.962499999999984</v>
      </c>
      <c r="H48" s="7">
        <f t="shared" si="3"/>
        <v>25.689999999999998</v>
      </c>
      <c r="I48" s="6">
        <f t="shared" si="4"/>
        <v>27.169999999999987</v>
      </c>
      <c r="J48" s="5">
        <f t="shared" si="5"/>
        <v>57.802499999999995</v>
      </c>
      <c r="K48" s="6">
        <f t="shared" si="6"/>
        <v>61.132499999999972</v>
      </c>
      <c r="L48" s="7">
        <f t="shared" si="7"/>
        <v>0</v>
      </c>
      <c r="M48" s="6">
        <f t="shared" si="8"/>
        <v>0</v>
      </c>
      <c r="N48" s="7">
        <f t="shared" si="9"/>
        <v>0</v>
      </c>
      <c r="O48" s="6">
        <f t="shared" si="10"/>
        <v>0</v>
      </c>
      <c r="P48" s="5">
        <f t="shared" si="11"/>
        <v>0</v>
      </c>
      <c r="Q48" s="6">
        <f t="shared" si="12"/>
        <v>0</v>
      </c>
      <c r="R48" s="7">
        <f t="shared" si="13"/>
        <v>0</v>
      </c>
      <c r="S48" s="6">
        <f t="shared" si="14"/>
        <v>0</v>
      </c>
      <c r="T48" s="7">
        <f t="shared" si="15"/>
        <v>0</v>
      </c>
      <c r="U48" s="6">
        <f t="shared" si="16"/>
        <v>0</v>
      </c>
      <c r="V48" s="5">
        <f t="shared" si="17"/>
        <v>0</v>
      </c>
      <c r="W48" s="6">
        <f t="shared" si="18"/>
        <v>0</v>
      </c>
      <c r="X48" s="7">
        <f t="shared" si="19"/>
        <v>0</v>
      </c>
      <c r="Y48" s="6">
        <f t="shared" si="20"/>
        <v>0</v>
      </c>
      <c r="Z48" s="7">
        <f t="shared" si="21"/>
        <v>0</v>
      </c>
      <c r="AA48" s="6">
        <f t="shared" si="22"/>
        <v>0</v>
      </c>
      <c r="AB48" s="5">
        <f t="shared" si="23"/>
        <v>0</v>
      </c>
      <c r="AC48" s="6">
        <f t="shared" si="24"/>
        <v>0</v>
      </c>
      <c r="AD48" s="7">
        <f t="shared" si="25"/>
        <v>0</v>
      </c>
      <c r="AE48" s="6">
        <f t="shared" si="26"/>
        <v>0</v>
      </c>
      <c r="AF48" s="7">
        <f t="shared" si="27"/>
        <v>0</v>
      </c>
      <c r="AG48" s="6">
        <f t="shared" si="28"/>
        <v>0</v>
      </c>
      <c r="AH48" s="5">
        <f t="shared" si="29"/>
        <v>0</v>
      </c>
      <c r="AI48" s="6">
        <f t="shared" si="30"/>
        <v>0</v>
      </c>
      <c r="AJ48" s="7">
        <f t="shared" si="31"/>
        <v>0</v>
      </c>
      <c r="AK48" s="6">
        <f t="shared" si="32"/>
        <v>0</v>
      </c>
      <c r="AL48" s="7">
        <f t="shared" si="33"/>
        <v>0</v>
      </c>
      <c r="AM48" s="6">
        <f t="shared" si="34"/>
        <v>0</v>
      </c>
      <c r="AN48" s="5">
        <f t="shared" si="35"/>
        <v>0</v>
      </c>
      <c r="AO48" s="6">
        <f t="shared" si="36"/>
        <v>0</v>
      </c>
      <c r="AP48" s="7">
        <f t="shared" si="37"/>
        <v>0</v>
      </c>
      <c r="AQ48" s="6">
        <f t="shared" si="38"/>
        <v>0</v>
      </c>
      <c r="AR48" s="7">
        <f t="shared" si="39"/>
        <v>0</v>
      </c>
      <c r="AS48" s="6">
        <f t="shared" si="40"/>
        <v>0</v>
      </c>
      <c r="AT48" s="5">
        <f t="shared" si="41"/>
        <v>0</v>
      </c>
      <c r="AU48" s="6">
        <f t="shared" si="42"/>
        <v>0</v>
      </c>
      <c r="AV48" s="7">
        <f t="shared" si="43"/>
        <v>0</v>
      </c>
      <c r="AW48" s="6">
        <f t="shared" si="44"/>
        <v>0</v>
      </c>
      <c r="AX48" s="7">
        <f t="shared" si="45"/>
        <v>0</v>
      </c>
      <c r="AY48" s="6">
        <f t="shared" si="46"/>
        <v>0</v>
      </c>
      <c r="AZ48" s="5">
        <f t="shared" si="47"/>
        <v>0</v>
      </c>
      <c r="BA48" s="6">
        <f t="shared" si="48"/>
        <v>0</v>
      </c>
      <c r="BB48" s="7">
        <f t="shared" si="49"/>
        <v>0</v>
      </c>
      <c r="BC48" s="6">
        <f t="shared" si="50"/>
        <v>0</v>
      </c>
      <c r="BD48" s="7">
        <f t="shared" si="51"/>
        <v>0</v>
      </c>
      <c r="BE48" s="6">
        <f t="shared" si="52"/>
        <v>0</v>
      </c>
      <c r="BF48" s="5">
        <f t="shared" si="53"/>
        <v>0</v>
      </c>
      <c r="BG48" s="6">
        <f t="shared" si="54"/>
        <v>0</v>
      </c>
      <c r="BH48" s="7">
        <f t="shared" si="55"/>
        <v>0</v>
      </c>
      <c r="BI48" s="6">
        <f t="shared" si="56"/>
        <v>0</v>
      </c>
      <c r="BJ48" s="7">
        <f t="shared" si="57"/>
        <v>0</v>
      </c>
      <c r="BK48" s="6">
        <f t="shared" si="58"/>
        <v>0</v>
      </c>
      <c r="BL48" s="5">
        <f t="shared" si="59"/>
        <v>0</v>
      </c>
      <c r="BM48" s="6">
        <f t="shared" si="60"/>
        <v>0</v>
      </c>
      <c r="BN48" s="7">
        <f t="shared" si="61"/>
        <v>0</v>
      </c>
      <c r="BO48" s="6">
        <f t="shared" si="62"/>
        <v>0</v>
      </c>
      <c r="BP48" s="7">
        <f t="shared" si="63"/>
        <v>0</v>
      </c>
      <c r="BQ48" s="6">
        <f t="shared" si="64"/>
        <v>0</v>
      </c>
      <c r="BR48" s="5">
        <f t="shared" si="65"/>
        <v>0</v>
      </c>
      <c r="BS48" s="6">
        <f t="shared" si="66"/>
        <v>0</v>
      </c>
      <c r="BT48" s="7">
        <f t="shared" si="67"/>
        <v>0</v>
      </c>
      <c r="BU48" s="6">
        <f t="shared" si="68"/>
        <v>0</v>
      </c>
      <c r="BV48" s="7">
        <f t="shared" si="69"/>
        <v>0</v>
      </c>
      <c r="BW48" s="6">
        <f t="shared" si="70"/>
        <v>0</v>
      </c>
      <c r="BX48" s="5">
        <f t="shared" si="71"/>
        <v>0</v>
      </c>
      <c r="BY48" s="6">
        <f t="shared" si="72"/>
        <v>0</v>
      </c>
      <c r="BZ48" s="7">
        <f t="shared" si="73"/>
        <v>0</v>
      </c>
      <c r="CA48" s="6">
        <f t="shared" si="74"/>
        <v>0</v>
      </c>
      <c r="CB48" s="7">
        <f t="shared" si="75"/>
        <v>0</v>
      </c>
      <c r="CC48" s="6">
        <f t="shared" si="76"/>
        <v>0</v>
      </c>
      <c r="CD48" s="5">
        <f t="shared" si="77"/>
        <v>0</v>
      </c>
      <c r="CE48" s="6">
        <f t="shared" si="78"/>
        <v>0</v>
      </c>
      <c r="CF48" s="7">
        <f t="shared" si="79"/>
        <v>0</v>
      </c>
      <c r="CG48" s="6">
        <f t="shared" si="80"/>
        <v>0</v>
      </c>
      <c r="CH48" s="7">
        <f t="shared" si="81"/>
        <v>0</v>
      </c>
      <c r="CI48" s="6">
        <f t="shared" si="82"/>
        <v>0</v>
      </c>
      <c r="CJ48" s="5">
        <f t="shared" si="83"/>
        <v>0</v>
      </c>
      <c r="CK48" s="6">
        <f t="shared" si="84"/>
        <v>0</v>
      </c>
      <c r="CL48" s="7">
        <f t="shared" si="85"/>
        <v>0</v>
      </c>
      <c r="CM48" s="6">
        <f t="shared" si="86"/>
        <v>0</v>
      </c>
      <c r="CN48" s="7">
        <f t="shared" si="87"/>
        <v>0</v>
      </c>
      <c r="CO48" s="6">
        <f t="shared" si="88"/>
        <v>0</v>
      </c>
      <c r="CP48" s="5">
        <f t="shared" si="89"/>
        <v>0</v>
      </c>
      <c r="CQ48" s="6">
        <f t="shared" si="90"/>
        <v>0</v>
      </c>
      <c r="CR48" s="7">
        <f t="shared" si="96"/>
        <v>32.112499999999997</v>
      </c>
      <c r="CS48" s="6">
        <f t="shared" si="96"/>
        <v>33.962499999999984</v>
      </c>
      <c r="CT48" s="7">
        <f t="shared" si="96"/>
        <v>25.689999999999998</v>
      </c>
      <c r="CU48" s="6">
        <f t="shared" si="96"/>
        <v>27.169999999999987</v>
      </c>
      <c r="CV48" s="5">
        <f t="shared" si="91"/>
        <v>57.802499999999995</v>
      </c>
      <c r="CW48" s="6">
        <f t="shared" si="92"/>
        <v>61.132499999999972</v>
      </c>
      <c r="CY48" s="7">
        <v>57.802499999999995</v>
      </c>
      <c r="CZ48" s="5">
        <f t="array" ref="CZ48">Summary_UpperBound</f>
        <v>61.132499999999972</v>
      </c>
      <c r="DA48" s="6">
        <f t="shared" si="93"/>
        <v>3.329999999999977</v>
      </c>
    </row>
    <row r="49" spans="2:105" x14ac:dyDescent="0.35">
      <c r="B49" s="14"/>
      <c r="E49" s="12">
        <f t="shared" si="94"/>
        <v>44429</v>
      </c>
      <c r="F49" s="7">
        <f t="shared" si="1"/>
        <v>32.112499999999997</v>
      </c>
      <c r="G49" s="6">
        <f t="shared" si="2"/>
        <v>33.962499999999984</v>
      </c>
      <c r="H49" s="7">
        <f t="shared" si="3"/>
        <v>25.689999999999998</v>
      </c>
      <c r="I49" s="6">
        <f t="shared" si="4"/>
        <v>27.169999999999987</v>
      </c>
      <c r="J49" s="5">
        <f t="shared" si="5"/>
        <v>57.802499999999995</v>
      </c>
      <c r="K49" s="6">
        <f t="shared" si="6"/>
        <v>61.132499999999972</v>
      </c>
      <c r="L49" s="7">
        <f t="shared" si="7"/>
        <v>0</v>
      </c>
      <c r="M49" s="6">
        <f t="shared" si="8"/>
        <v>0</v>
      </c>
      <c r="N49" s="7">
        <f t="shared" si="9"/>
        <v>0</v>
      </c>
      <c r="O49" s="6">
        <f t="shared" si="10"/>
        <v>0</v>
      </c>
      <c r="P49" s="5">
        <f t="shared" si="11"/>
        <v>0</v>
      </c>
      <c r="Q49" s="6">
        <f t="shared" si="12"/>
        <v>0</v>
      </c>
      <c r="R49" s="7">
        <f t="shared" si="13"/>
        <v>0</v>
      </c>
      <c r="S49" s="6">
        <f t="shared" si="14"/>
        <v>0</v>
      </c>
      <c r="T49" s="7">
        <f t="shared" si="15"/>
        <v>0</v>
      </c>
      <c r="U49" s="6">
        <f t="shared" si="16"/>
        <v>0</v>
      </c>
      <c r="V49" s="5">
        <f t="shared" si="17"/>
        <v>0</v>
      </c>
      <c r="W49" s="6">
        <f t="shared" si="18"/>
        <v>0</v>
      </c>
      <c r="X49" s="7">
        <f t="shared" si="19"/>
        <v>0</v>
      </c>
      <c r="Y49" s="6">
        <f t="shared" si="20"/>
        <v>0</v>
      </c>
      <c r="Z49" s="7">
        <f t="shared" si="21"/>
        <v>0</v>
      </c>
      <c r="AA49" s="6">
        <f t="shared" si="22"/>
        <v>0</v>
      </c>
      <c r="AB49" s="5">
        <f t="shared" si="23"/>
        <v>0</v>
      </c>
      <c r="AC49" s="6">
        <f t="shared" si="24"/>
        <v>0</v>
      </c>
      <c r="AD49" s="7">
        <f t="shared" si="25"/>
        <v>0</v>
      </c>
      <c r="AE49" s="6">
        <f t="shared" si="26"/>
        <v>0</v>
      </c>
      <c r="AF49" s="7">
        <f t="shared" si="27"/>
        <v>0</v>
      </c>
      <c r="AG49" s="6">
        <f t="shared" si="28"/>
        <v>0</v>
      </c>
      <c r="AH49" s="5">
        <f t="shared" si="29"/>
        <v>0</v>
      </c>
      <c r="AI49" s="6">
        <f t="shared" si="30"/>
        <v>0</v>
      </c>
      <c r="AJ49" s="7">
        <f t="shared" si="31"/>
        <v>0</v>
      </c>
      <c r="AK49" s="6">
        <f t="shared" si="32"/>
        <v>0</v>
      </c>
      <c r="AL49" s="7">
        <f t="shared" si="33"/>
        <v>0</v>
      </c>
      <c r="AM49" s="6">
        <f t="shared" si="34"/>
        <v>0</v>
      </c>
      <c r="AN49" s="5">
        <f t="shared" si="35"/>
        <v>0</v>
      </c>
      <c r="AO49" s="6">
        <f t="shared" si="36"/>
        <v>0</v>
      </c>
      <c r="AP49" s="7">
        <f t="shared" si="37"/>
        <v>0</v>
      </c>
      <c r="AQ49" s="6">
        <f t="shared" si="38"/>
        <v>0</v>
      </c>
      <c r="AR49" s="7">
        <f t="shared" si="39"/>
        <v>0</v>
      </c>
      <c r="AS49" s="6">
        <f t="shared" si="40"/>
        <v>0</v>
      </c>
      <c r="AT49" s="5">
        <f t="shared" si="41"/>
        <v>0</v>
      </c>
      <c r="AU49" s="6">
        <f t="shared" si="42"/>
        <v>0</v>
      </c>
      <c r="AV49" s="7">
        <f t="shared" si="43"/>
        <v>0</v>
      </c>
      <c r="AW49" s="6">
        <f t="shared" si="44"/>
        <v>0</v>
      </c>
      <c r="AX49" s="7">
        <f t="shared" si="45"/>
        <v>0</v>
      </c>
      <c r="AY49" s="6">
        <f t="shared" si="46"/>
        <v>0</v>
      </c>
      <c r="AZ49" s="5">
        <f t="shared" si="47"/>
        <v>0</v>
      </c>
      <c r="BA49" s="6">
        <f t="shared" si="48"/>
        <v>0</v>
      </c>
      <c r="BB49" s="7">
        <f t="shared" si="49"/>
        <v>0</v>
      </c>
      <c r="BC49" s="6">
        <f t="shared" si="50"/>
        <v>0</v>
      </c>
      <c r="BD49" s="7">
        <f t="shared" si="51"/>
        <v>0</v>
      </c>
      <c r="BE49" s="6">
        <f t="shared" si="52"/>
        <v>0</v>
      </c>
      <c r="BF49" s="5">
        <f t="shared" si="53"/>
        <v>0</v>
      </c>
      <c r="BG49" s="6">
        <f t="shared" si="54"/>
        <v>0</v>
      </c>
      <c r="BH49" s="7">
        <f t="shared" si="55"/>
        <v>0</v>
      </c>
      <c r="BI49" s="6">
        <f t="shared" si="56"/>
        <v>0</v>
      </c>
      <c r="BJ49" s="7">
        <f t="shared" si="57"/>
        <v>0</v>
      </c>
      <c r="BK49" s="6">
        <f t="shared" si="58"/>
        <v>0</v>
      </c>
      <c r="BL49" s="5">
        <f t="shared" si="59"/>
        <v>0</v>
      </c>
      <c r="BM49" s="6">
        <f t="shared" si="60"/>
        <v>0</v>
      </c>
      <c r="BN49" s="7">
        <f t="shared" si="61"/>
        <v>0</v>
      </c>
      <c r="BO49" s="6">
        <f t="shared" si="62"/>
        <v>0</v>
      </c>
      <c r="BP49" s="7">
        <f t="shared" si="63"/>
        <v>0</v>
      </c>
      <c r="BQ49" s="6">
        <f t="shared" si="64"/>
        <v>0</v>
      </c>
      <c r="BR49" s="5">
        <f t="shared" si="65"/>
        <v>0</v>
      </c>
      <c r="BS49" s="6">
        <f t="shared" si="66"/>
        <v>0</v>
      </c>
      <c r="BT49" s="7">
        <f t="shared" si="67"/>
        <v>0</v>
      </c>
      <c r="BU49" s="6">
        <f t="shared" si="68"/>
        <v>0</v>
      </c>
      <c r="BV49" s="7">
        <f t="shared" si="69"/>
        <v>0</v>
      </c>
      <c r="BW49" s="6">
        <f t="shared" si="70"/>
        <v>0</v>
      </c>
      <c r="BX49" s="5">
        <f t="shared" si="71"/>
        <v>0</v>
      </c>
      <c r="BY49" s="6">
        <f t="shared" si="72"/>
        <v>0</v>
      </c>
      <c r="BZ49" s="7">
        <f t="shared" si="73"/>
        <v>0</v>
      </c>
      <c r="CA49" s="6">
        <f t="shared" si="74"/>
        <v>0</v>
      </c>
      <c r="CB49" s="7">
        <f t="shared" si="75"/>
        <v>0</v>
      </c>
      <c r="CC49" s="6">
        <f t="shared" si="76"/>
        <v>0</v>
      </c>
      <c r="CD49" s="5">
        <f t="shared" si="77"/>
        <v>0</v>
      </c>
      <c r="CE49" s="6">
        <f t="shared" si="78"/>
        <v>0</v>
      </c>
      <c r="CF49" s="7">
        <f t="shared" si="79"/>
        <v>0</v>
      </c>
      <c r="CG49" s="6">
        <f t="shared" si="80"/>
        <v>0</v>
      </c>
      <c r="CH49" s="7">
        <f t="shared" si="81"/>
        <v>0</v>
      </c>
      <c r="CI49" s="6">
        <f t="shared" si="82"/>
        <v>0</v>
      </c>
      <c r="CJ49" s="5">
        <f t="shared" si="83"/>
        <v>0</v>
      </c>
      <c r="CK49" s="6">
        <f t="shared" si="84"/>
        <v>0</v>
      </c>
      <c r="CL49" s="7">
        <f t="shared" si="85"/>
        <v>0</v>
      </c>
      <c r="CM49" s="6">
        <f t="shared" si="86"/>
        <v>0</v>
      </c>
      <c r="CN49" s="7">
        <f t="shared" si="87"/>
        <v>0</v>
      </c>
      <c r="CO49" s="6">
        <f t="shared" si="88"/>
        <v>0</v>
      </c>
      <c r="CP49" s="5">
        <f t="shared" si="89"/>
        <v>0</v>
      </c>
      <c r="CQ49" s="6">
        <f t="shared" si="90"/>
        <v>0</v>
      </c>
      <c r="CR49" s="7">
        <f t="shared" si="96"/>
        <v>32.112499999999997</v>
      </c>
      <c r="CS49" s="6">
        <f t="shared" si="96"/>
        <v>33.962499999999984</v>
      </c>
      <c r="CT49" s="7">
        <f t="shared" si="96"/>
        <v>25.689999999999998</v>
      </c>
      <c r="CU49" s="6">
        <f t="shared" si="96"/>
        <v>27.169999999999987</v>
      </c>
      <c r="CV49" s="5">
        <f t="shared" si="91"/>
        <v>57.802499999999995</v>
      </c>
      <c r="CW49" s="6">
        <f t="shared" si="92"/>
        <v>61.132499999999972</v>
      </c>
      <c r="CY49" s="7">
        <v>57.802499999999995</v>
      </c>
      <c r="CZ49" s="5">
        <f t="array" ref="CZ49">Summary_UpperBound</f>
        <v>61.132499999999972</v>
      </c>
      <c r="DA49" s="6">
        <f t="shared" si="93"/>
        <v>3.329999999999977</v>
      </c>
    </row>
    <row r="50" spans="2:105" x14ac:dyDescent="0.35">
      <c r="B50" s="14"/>
      <c r="E50" s="12">
        <f t="shared" si="94"/>
        <v>44436</v>
      </c>
      <c r="F50" s="7">
        <f t="shared" si="1"/>
        <v>32.112499999999997</v>
      </c>
      <c r="G50" s="6">
        <f t="shared" si="2"/>
        <v>33.962499999999984</v>
      </c>
      <c r="H50" s="7">
        <f t="shared" si="3"/>
        <v>25.689999999999998</v>
      </c>
      <c r="I50" s="6">
        <f t="shared" si="4"/>
        <v>27.169999999999987</v>
      </c>
      <c r="J50" s="5">
        <f t="shared" si="5"/>
        <v>57.802499999999995</v>
      </c>
      <c r="K50" s="6">
        <f t="shared" si="6"/>
        <v>61.132499999999972</v>
      </c>
      <c r="L50" s="7">
        <f t="shared" si="7"/>
        <v>0</v>
      </c>
      <c r="M50" s="6">
        <f t="shared" si="8"/>
        <v>0</v>
      </c>
      <c r="N50" s="7">
        <f t="shared" si="9"/>
        <v>0</v>
      </c>
      <c r="O50" s="6">
        <f t="shared" si="10"/>
        <v>0</v>
      </c>
      <c r="P50" s="5">
        <f t="shared" si="11"/>
        <v>0</v>
      </c>
      <c r="Q50" s="6">
        <f t="shared" si="12"/>
        <v>0</v>
      </c>
      <c r="R50" s="7">
        <f t="shared" si="13"/>
        <v>0</v>
      </c>
      <c r="S50" s="6">
        <f t="shared" si="14"/>
        <v>0</v>
      </c>
      <c r="T50" s="7">
        <f t="shared" si="15"/>
        <v>0</v>
      </c>
      <c r="U50" s="6">
        <f t="shared" si="16"/>
        <v>0</v>
      </c>
      <c r="V50" s="5">
        <f t="shared" si="17"/>
        <v>0</v>
      </c>
      <c r="W50" s="6">
        <f t="shared" si="18"/>
        <v>0</v>
      </c>
      <c r="X50" s="7">
        <f t="shared" si="19"/>
        <v>0</v>
      </c>
      <c r="Y50" s="6">
        <f t="shared" si="20"/>
        <v>0</v>
      </c>
      <c r="Z50" s="7">
        <f t="shared" si="21"/>
        <v>0</v>
      </c>
      <c r="AA50" s="6">
        <f t="shared" si="22"/>
        <v>0</v>
      </c>
      <c r="AB50" s="5">
        <f t="shared" si="23"/>
        <v>0</v>
      </c>
      <c r="AC50" s="6">
        <f t="shared" si="24"/>
        <v>0</v>
      </c>
      <c r="AD50" s="7">
        <f t="shared" si="25"/>
        <v>0</v>
      </c>
      <c r="AE50" s="6">
        <f t="shared" si="26"/>
        <v>0</v>
      </c>
      <c r="AF50" s="7">
        <f t="shared" si="27"/>
        <v>0</v>
      </c>
      <c r="AG50" s="6">
        <f t="shared" si="28"/>
        <v>0</v>
      </c>
      <c r="AH50" s="5">
        <f t="shared" si="29"/>
        <v>0</v>
      </c>
      <c r="AI50" s="6">
        <f t="shared" si="30"/>
        <v>0</v>
      </c>
      <c r="AJ50" s="7">
        <f t="shared" si="31"/>
        <v>0</v>
      </c>
      <c r="AK50" s="6">
        <f t="shared" si="32"/>
        <v>0</v>
      </c>
      <c r="AL50" s="7">
        <f t="shared" si="33"/>
        <v>0</v>
      </c>
      <c r="AM50" s="6">
        <f t="shared" si="34"/>
        <v>0</v>
      </c>
      <c r="AN50" s="5">
        <f t="shared" si="35"/>
        <v>0</v>
      </c>
      <c r="AO50" s="6">
        <f t="shared" si="36"/>
        <v>0</v>
      </c>
      <c r="AP50" s="7">
        <f t="shared" si="37"/>
        <v>0</v>
      </c>
      <c r="AQ50" s="6">
        <f t="shared" si="38"/>
        <v>0</v>
      </c>
      <c r="AR50" s="7">
        <f t="shared" si="39"/>
        <v>0</v>
      </c>
      <c r="AS50" s="6">
        <f t="shared" si="40"/>
        <v>0</v>
      </c>
      <c r="AT50" s="5">
        <f t="shared" si="41"/>
        <v>0</v>
      </c>
      <c r="AU50" s="6">
        <f t="shared" si="42"/>
        <v>0</v>
      </c>
      <c r="AV50" s="7">
        <f t="shared" si="43"/>
        <v>0</v>
      </c>
      <c r="AW50" s="6">
        <f t="shared" si="44"/>
        <v>0</v>
      </c>
      <c r="AX50" s="7">
        <f t="shared" si="45"/>
        <v>0</v>
      </c>
      <c r="AY50" s="6">
        <f t="shared" si="46"/>
        <v>0</v>
      </c>
      <c r="AZ50" s="5">
        <f t="shared" si="47"/>
        <v>0</v>
      </c>
      <c r="BA50" s="6">
        <f t="shared" si="48"/>
        <v>0</v>
      </c>
      <c r="BB50" s="7">
        <f t="shared" si="49"/>
        <v>0</v>
      </c>
      <c r="BC50" s="6">
        <f t="shared" si="50"/>
        <v>0</v>
      </c>
      <c r="BD50" s="7">
        <f t="shared" si="51"/>
        <v>0</v>
      </c>
      <c r="BE50" s="6">
        <f t="shared" si="52"/>
        <v>0</v>
      </c>
      <c r="BF50" s="5">
        <f t="shared" si="53"/>
        <v>0</v>
      </c>
      <c r="BG50" s="6">
        <f t="shared" si="54"/>
        <v>0</v>
      </c>
      <c r="BH50" s="7">
        <f t="shared" si="55"/>
        <v>0</v>
      </c>
      <c r="BI50" s="6">
        <f t="shared" si="56"/>
        <v>0</v>
      </c>
      <c r="BJ50" s="7">
        <f t="shared" si="57"/>
        <v>0</v>
      </c>
      <c r="BK50" s="6">
        <f t="shared" si="58"/>
        <v>0</v>
      </c>
      <c r="BL50" s="5">
        <f t="shared" si="59"/>
        <v>0</v>
      </c>
      <c r="BM50" s="6">
        <f t="shared" si="60"/>
        <v>0</v>
      </c>
      <c r="BN50" s="7">
        <f t="shared" si="61"/>
        <v>0</v>
      </c>
      <c r="BO50" s="6">
        <f t="shared" si="62"/>
        <v>0</v>
      </c>
      <c r="BP50" s="7">
        <f t="shared" si="63"/>
        <v>0</v>
      </c>
      <c r="BQ50" s="6">
        <f t="shared" si="64"/>
        <v>0</v>
      </c>
      <c r="BR50" s="5">
        <f t="shared" si="65"/>
        <v>0</v>
      </c>
      <c r="BS50" s="6">
        <f t="shared" si="66"/>
        <v>0</v>
      </c>
      <c r="BT50" s="7">
        <f t="shared" si="67"/>
        <v>0</v>
      </c>
      <c r="BU50" s="6">
        <f t="shared" si="68"/>
        <v>0</v>
      </c>
      <c r="BV50" s="7">
        <f t="shared" si="69"/>
        <v>0</v>
      </c>
      <c r="BW50" s="6">
        <f t="shared" si="70"/>
        <v>0</v>
      </c>
      <c r="BX50" s="5">
        <f t="shared" si="71"/>
        <v>0</v>
      </c>
      <c r="BY50" s="6">
        <f t="shared" si="72"/>
        <v>0</v>
      </c>
      <c r="BZ50" s="7">
        <f t="shared" si="73"/>
        <v>0</v>
      </c>
      <c r="CA50" s="6">
        <f t="shared" si="74"/>
        <v>0</v>
      </c>
      <c r="CB50" s="7">
        <f t="shared" si="75"/>
        <v>0</v>
      </c>
      <c r="CC50" s="6">
        <f t="shared" si="76"/>
        <v>0</v>
      </c>
      <c r="CD50" s="5">
        <f t="shared" si="77"/>
        <v>0</v>
      </c>
      <c r="CE50" s="6">
        <f t="shared" si="78"/>
        <v>0</v>
      </c>
      <c r="CF50" s="7">
        <f t="shared" si="79"/>
        <v>0</v>
      </c>
      <c r="CG50" s="6">
        <f t="shared" si="80"/>
        <v>0</v>
      </c>
      <c r="CH50" s="7">
        <f t="shared" si="81"/>
        <v>0</v>
      </c>
      <c r="CI50" s="6">
        <f t="shared" si="82"/>
        <v>0</v>
      </c>
      <c r="CJ50" s="5">
        <f t="shared" si="83"/>
        <v>0</v>
      </c>
      <c r="CK50" s="6">
        <f t="shared" si="84"/>
        <v>0</v>
      </c>
      <c r="CL50" s="7">
        <f t="shared" si="85"/>
        <v>0</v>
      </c>
      <c r="CM50" s="6">
        <f t="shared" si="86"/>
        <v>0</v>
      </c>
      <c r="CN50" s="7">
        <f t="shared" si="87"/>
        <v>0</v>
      </c>
      <c r="CO50" s="6">
        <f t="shared" si="88"/>
        <v>0</v>
      </c>
      <c r="CP50" s="5">
        <f t="shared" si="89"/>
        <v>0</v>
      </c>
      <c r="CQ50" s="6">
        <f t="shared" si="90"/>
        <v>0</v>
      </c>
      <c r="CR50" s="7">
        <f t="shared" si="96"/>
        <v>32.112499999999997</v>
      </c>
      <c r="CS50" s="6">
        <f t="shared" si="96"/>
        <v>33.962499999999984</v>
      </c>
      <c r="CT50" s="7">
        <f t="shared" si="96"/>
        <v>25.689999999999998</v>
      </c>
      <c r="CU50" s="6">
        <f t="shared" si="96"/>
        <v>27.169999999999987</v>
      </c>
      <c r="CV50" s="5">
        <f t="shared" si="91"/>
        <v>57.802499999999995</v>
      </c>
      <c r="CW50" s="6">
        <f t="shared" si="92"/>
        <v>61.132499999999972</v>
      </c>
      <c r="CY50" s="7">
        <v>57.802499999999995</v>
      </c>
      <c r="CZ50" s="5">
        <f t="array" ref="CZ50">Summary_UpperBound</f>
        <v>61.132499999999972</v>
      </c>
      <c r="DA50" s="6">
        <f t="shared" si="93"/>
        <v>3.329999999999977</v>
      </c>
    </row>
    <row r="51" spans="2:105" x14ac:dyDescent="0.35">
      <c r="B51" s="14"/>
      <c r="E51" s="12">
        <f t="shared" si="94"/>
        <v>44443</v>
      </c>
      <c r="F51" s="7">
        <f t="shared" si="1"/>
        <v>32.112499999999997</v>
      </c>
      <c r="G51" s="6">
        <f t="shared" si="2"/>
        <v>33.962499999999984</v>
      </c>
      <c r="H51" s="7">
        <f t="shared" si="3"/>
        <v>25.689999999999998</v>
      </c>
      <c r="I51" s="6">
        <f t="shared" si="4"/>
        <v>27.169999999999987</v>
      </c>
      <c r="J51" s="5">
        <f t="shared" si="5"/>
        <v>57.802499999999995</v>
      </c>
      <c r="K51" s="6">
        <f t="shared" si="6"/>
        <v>61.132499999999972</v>
      </c>
      <c r="L51" s="7">
        <f t="shared" si="7"/>
        <v>0</v>
      </c>
      <c r="M51" s="6">
        <f t="shared" si="8"/>
        <v>0</v>
      </c>
      <c r="N51" s="7">
        <f t="shared" si="9"/>
        <v>0</v>
      </c>
      <c r="O51" s="6">
        <f t="shared" si="10"/>
        <v>0</v>
      </c>
      <c r="P51" s="5">
        <f t="shared" si="11"/>
        <v>0</v>
      </c>
      <c r="Q51" s="6">
        <f t="shared" si="12"/>
        <v>0</v>
      </c>
      <c r="R51" s="7">
        <f t="shared" si="13"/>
        <v>0</v>
      </c>
      <c r="S51" s="6">
        <f t="shared" si="14"/>
        <v>0</v>
      </c>
      <c r="T51" s="7">
        <f t="shared" si="15"/>
        <v>0</v>
      </c>
      <c r="U51" s="6">
        <f t="shared" si="16"/>
        <v>0</v>
      </c>
      <c r="V51" s="5">
        <f t="shared" si="17"/>
        <v>0</v>
      </c>
      <c r="W51" s="6">
        <f t="shared" si="18"/>
        <v>0</v>
      </c>
      <c r="X51" s="7">
        <f t="shared" si="19"/>
        <v>0</v>
      </c>
      <c r="Y51" s="6">
        <f t="shared" si="20"/>
        <v>0</v>
      </c>
      <c r="Z51" s="7">
        <f t="shared" si="21"/>
        <v>0</v>
      </c>
      <c r="AA51" s="6">
        <f t="shared" si="22"/>
        <v>0</v>
      </c>
      <c r="AB51" s="5">
        <f t="shared" si="23"/>
        <v>0</v>
      </c>
      <c r="AC51" s="6">
        <f t="shared" si="24"/>
        <v>0</v>
      </c>
      <c r="AD51" s="7">
        <f t="shared" si="25"/>
        <v>0</v>
      </c>
      <c r="AE51" s="6">
        <f t="shared" si="26"/>
        <v>0</v>
      </c>
      <c r="AF51" s="7">
        <f t="shared" si="27"/>
        <v>0</v>
      </c>
      <c r="AG51" s="6">
        <f t="shared" si="28"/>
        <v>0</v>
      </c>
      <c r="AH51" s="5">
        <f t="shared" si="29"/>
        <v>0</v>
      </c>
      <c r="AI51" s="6">
        <f t="shared" si="30"/>
        <v>0</v>
      </c>
      <c r="AJ51" s="7">
        <f t="shared" si="31"/>
        <v>0</v>
      </c>
      <c r="AK51" s="6">
        <f t="shared" si="32"/>
        <v>0</v>
      </c>
      <c r="AL51" s="7">
        <f t="shared" si="33"/>
        <v>0</v>
      </c>
      <c r="AM51" s="6">
        <f t="shared" si="34"/>
        <v>0</v>
      </c>
      <c r="AN51" s="5">
        <f t="shared" si="35"/>
        <v>0</v>
      </c>
      <c r="AO51" s="6">
        <f t="shared" si="36"/>
        <v>0</v>
      </c>
      <c r="AP51" s="7">
        <f t="shared" si="37"/>
        <v>0</v>
      </c>
      <c r="AQ51" s="6">
        <f t="shared" si="38"/>
        <v>0</v>
      </c>
      <c r="AR51" s="7">
        <f t="shared" si="39"/>
        <v>0</v>
      </c>
      <c r="AS51" s="6">
        <f t="shared" si="40"/>
        <v>0</v>
      </c>
      <c r="AT51" s="5">
        <f t="shared" si="41"/>
        <v>0</v>
      </c>
      <c r="AU51" s="6">
        <f t="shared" si="42"/>
        <v>0</v>
      </c>
      <c r="AV51" s="7">
        <f t="shared" si="43"/>
        <v>0</v>
      </c>
      <c r="AW51" s="6">
        <f t="shared" si="44"/>
        <v>0</v>
      </c>
      <c r="AX51" s="7">
        <f t="shared" si="45"/>
        <v>0</v>
      </c>
      <c r="AY51" s="6">
        <f t="shared" si="46"/>
        <v>0</v>
      </c>
      <c r="AZ51" s="5">
        <f t="shared" si="47"/>
        <v>0</v>
      </c>
      <c r="BA51" s="6">
        <f t="shared" si="48"/>
        <v>0</v>
      </c>
      <c r="BB51" s="7">
        <f t="shared" si="49"/>
        <v>0</v>
      </c>
      <c r="BC51" s="6">
        <f t="shared" si="50"/>
        <v>0</v>
      </c>
      <c r="BD51" s="7">
        <f t="shared" si="51"/>
        <v>0</v>
      </c>
      <c r="BE51" s="6">
        <f t="shared" si="52"/>
        <v>0</v>
      </c>
      <c r="BF51" s="5">
        <f t="shared" si="53"/>
        <v>0</v>
      </c>
      <c r="BG51" s="6">
        <f t="shared" si="54"/>
        <v>0</v>
      </c>
      <c r="BH51" s="7">
        <f t="shared" si="55"/>
        <v>0</v>
      </c>
      <c r="BI51" s="6">
        <f t="shared" si="56"/>
        <v>0</v>
      </c>
      <c r="BJ51" s="7">
        <f t="shared" si="57"/>
        <v>0</v>
      </c>
      <c r="BK51" s="6">
        <f t="shared" si="58"/>
        <v>0</v>
      </c>
      <c r="BL51" s="5">
        <f t="shared" si="59"/>
        <v>0</v>
      </c>
      <c r="BM51" s="6">
        <f t="shared" si="60"/>
        <v>0</v>
      </c>
      <c r="BN51" s="7">
        <f t="shared" si="61"/>
        <v>0</v>
      </c>
      <c r="BO51" s="6">
        <f t="shared" si="62"/>
        <v>0</v>
      </c>
      <c r="BP51" s="7">
        <f t="shared" si="63"/>
        <v>0</v>
      </c>
      <c r="BQ51" s="6">
        <f t="shared" si="64"/>
        <v>0</v>
      </c>
      <c r="BR51" s="5">
        <f t="shared" si="65"/>
        <v>0</v>
      </c>
      <c r="BS51" s="6">
        <f t="shared" si="66"/>
        <v>0</v>
      </c>
      <c r="BT51" s="7">
        <f t="shared" si="67"/>
        <v>0</v>
      </c>
      <c r="BU51" s="6">
        <f t="shared" si="68"/>
        <v>0</v>
      </c>
      <c r="BV51" s="7">
        <f t="shared" si="69"/>
        <v>0</v>
      </c>
      <c r="BW51" s="6">
        <f t="shared" si="70"/>
        <v>0</v>
      </c>
      <c r="BX51" s="5">
        <f t="shared" si="71"/>
        <v>0</v>
      </c>
      <c r="BY51" s="6">
        <f t="shared" si="72"/>
        <v>0</v>
      </c>
      <c r="BZ51" s="7">
        <f t="shared" si="73"/>
        <v>0</v>
      </c>
      <c r="CA51" s="6">
        <f t="shared" si="74"/>
        <v>0</v>
      </c>
      <c r="CB51" s="7">
        <f t="shared" si="75"/>
        <v>0</v>
      </c>
      <c r="CC51" s="6">
        <f t="shared" si="76"/>
        <v>0</v>
      </c>
      <c r="CD51" s="5">
        <f t="shared" si="77"/>
        <v>0</v>
      </c>
      <c r="CE51" s="6">
        <f t="shared" si="78"/>
        <v>0</v>
      </c>
      <c r="CF51" s="7">
        <f t="shared" si="79"/>
        <v>0</v>
      </c>
      <c r="CG51" s="6">
        <f t="shared" si="80"/>
        <v>0</v>
      </c>
      <c r="CH51" s="7">
        <f t="shared" si="81"/>
        <v>0</v>
      </c>
      <c r="CI51" s="6">
        <f t="shared" si="82"/>
        <v>0</v>
      </c>
      <c r="CJ51" s="5">
        <f t="shared" si="83"/>
        <v>0</v>
      </c>
      <c r="CK51" s="6">
        <f t="shared" si="84"/>
        <v>0</v>
      </c>
      <c r="CL51" s="7">
        <f t="shared" si="85"/>
        <v>0</v>
      </c>
      <c r="CM51" s="6">
        <f t="shared" si="86"/>
        <v>0</v>
      </c>
      <c r="CN51" s="7">
        <f t="shared" si="87"/>
        <v>0</v>
      </c>
      <c r="CO51" s="6">
        <f t="shared" si="88"/>
        <v>0</v>
      </c>
      <c r="CP51" s="5">
        <f t="shared" si="89"/>
        <v>0</v>
      </c>
      <c r="CQ51" s="6">
        <f t="shared" si="90"/>
        <v>0</v>
      </c>
      <c r="CR51" s="7">
        <f t="shared" si="96"/>
        <v>32.112499999999997</v>
      </c>
      <c r="CS51" s="6">
        <f t="shared" si="96"/>
        <v>33.962499999999984</v>
      </c>
      <c r="CT51" s="7">
        <f t="shared" si="96"/>
        <v>25.689999999999998</v>
      </c>
      <c r="CU51" s="6">
        <f t="shared" si="96"/>
        <v>27.169999999999987</v>
      </c>
      <c r="CV51" s="5">
        <f t="shared" si="91"/>
        <v>57.802499999999995</v>
      </c>
      <c r="CW51" s="6">
        <f t="shared" si="92"/>
        <v>61.132499999999972</v>
      </c>
      <c r="CY51" s="7">
        <v>57.802499999999995</v>
      </c>
      <c r="CZ51" s="5">
        <f t="array" ref="CZ51">Summary_UpperBound</f>
        <v>61.132499999999972</v>
      </c>
      <c r="DA51" s="6">
        <f t="shared" si="93"/>
        <v>3.329999999999977</v>
      </c>
    </row>
    <row r="52" spans="2:105" x14ac:dyDescent="0.35">
      <c r="B52" s="14"/>
      <c r="E52" s="12">
        <f t="shared" si="94"/>
        <v>44450</v>
      </c>
      <c r="F52" s="7">
        <f t="shared" si="1"/>
        <v>32.112499999999997</v>
      </c>
      <c r="G52" s="6">
        <f t="shared" si="2"/>
        <v>33.962499999999984</v>
      </c>
      <c r="H52" s="7">
        <f t="shared" si="3"/>
        <v>25.689999999999998</v>
      </c>
      <c r="I52" s="6">
        <f t="shared" si="4"/>
        <v>27.169999999999987</v>
      </c>
      <c r="J52" s="5">
        <f t="shared" si="5"/>
        <v>57.802499999999995</v>
      </c>
      <c r="K52" s="6">
        <f t="shared" si="6"/>
        <v>61.132499999999972</v>
      </c>
      <c r="L52" s="7">
        <f t="shared" si="7"/>
        <v>0</v>
      </c>
      <c r="M52" s="6">
        <f t="shared" si="8"/>
        <v>0</v>
      </c>
      <c r="N52" s="7">
        <f t="shared" si="9"/>
        <v>0</v>
      </c>
      <c r="O52" s="6">
        <f t="shared" si="10"/>
        <v>0</v>
      </c>
      <c r="P52" s="5">
        <f t="shared" si="11"/>
        <v>0</v>
      </c>
      <c r="Q52" s="6">
        <f t="shared" si="12"/>
        <v>0</v>
      </c>
      <c r="R52" s="7">
        <f t="shared" si="13"/>
        <v>0</v>
      </c>
      <c r="S52" s="6">
        <f t="shared" si="14"/>
        <v>0</v>
      </c>
      <c r="T52" s="7">
        <f t="shared" si="15"/>
        <v>0</v>
      </c>
      <c r="U52" s="6">
        <f t="shared" si="16"/>
        <v>0</v>
      </c>
      <c r="V52" s="5">
        <f t="shared" si="17"/>
        <v>0</v>
      </c>
      <c r="W52" s="6">
        <f t="shared" si="18"/>
        <v>0</v>
      </c>
      <c r="X52" s="7">
        <f t="shared" si="19"/>
        <v>0</v>
      </c>
      <c r="Y52" s="6">
        <f t="shared" si="20"/>
        <v>0</v>
      </c>
      <c r="Z52" s="7">
        <f t="shared" si="21"/>
        <v>0</v>
      </c>
      <c r="AA52" s="6">
        <f t="shared" si="22"/>
        <v>0</v>
      </c>
      <c r="AB52" s="5">
        <f t="shared" si="23"/>
        <v>0</v>
      </c>
      <c r="AC52" s="6">
        <f t="shared" si="24"/>
        <v>0</v>
      </c>
      <c r="AD52" s="7">
        <f t="shared" si="25"/>
        <v>0</v>
      </c>
      <c r="AE52" s="6">
        <f t="shared" si="26"/>
        <v>0</v>
      </c>
      <c r="AF52" s="7">
        <f t="shared" si="27"/>
        <v>0</v>
      </c>
      <c r="AG52" s="6">
        <f t="shared" si="28"/>
        <v>0</v>
      </c>
      <c r="AH52" s="5">
        <f t="shared" si="29"/>
        <v>0</v>
      </c>
      <c r="AI52" s="6">
        <f t="shared" si="30"/>
        <v>0</v>
      </c>
      <c r="AJ52" s="7">
        <f t="shared" si="31"/>
        <v>0</v>
      </c>
      <c r="AK52" s="6">
        <f t="shared" si="32"/>
        <v>0</v>
      </c>
      <c r="AL52" s="7">
        <f t="shared" si="33"/>
        <v>0</v>
      </c>
      <c r="AM52" s="6">
        <f t="shared" si="34"/>
        <v>0</v>
      </c>
      <c r="AN52" s="5">
        <f t="shared" si="35"/>
        <v>0</v>
      </c>
      <c r="AO52" s="6">
        <f t="shared" si="36"/>
        <v>0</v>
      </c>
      <c r="AP52" s="7">
        <f t="shared" si="37"/>
        <v>0</v>
      </c>
      <c r="AQ52" s="6">
        <f t="shared" si="38"/>
        <v>0</v>
      </c>
      <c r="AR52" s="7">
        <f t="shared" si="39"/>
        <v>0</v>
      </c>
      <c r="AS52" s="6">
        <f t="shared" si="40"/>
        <v>0</v>
      </c>
      <c r="AT52" s="5">
        <f t="shared" si="41"/>
        <v>0</v>
      </c>
      <c r="AU52" s="6">
        <f t="shared" si="42"/>
        <v>0</v>
      </c>
      <c r="AV52" s="7">
        <f t="shared" si="43"/>
        <v>0</v>
      </c>
      <c r="AW52" s="6">
        <f t="shared" si="44"/>
        <v>0</v>
      </c>
      <c r="AX52" s="7">
        <f t="shared" si="45"/>
        <v>0</v>
      </c>
      <c r="AY52" s="6">
        <f t="shared" si="46"/>
        <v>0</v>
      </c>
      <c r="AZ52" s="5">
        <f t="shared" si="47"/>
        <v>0</v>
      </c>
      <c r="BA52" s="6">
        <f t="shared" si="48"/>
        <v>0</v>
      </c>
      <c r="BB52" s="7">
        <f t="shared" si="49"/>
        <v>0</v>
      </c>
      <c r="BC52" s="6">
        <f t="shared" si="50"/>
        <v>0</v>
      </c>
      <c r="BD52" s="7">
        <f t="shared" si="51"/>
        <v>0</v>
      </c>
      <c r="BE52" s="6">
        <f t="shared" si="52"/>
        <v>0</v>
      </c>
      <c r="BF52" s="5">
        <f t="shared" si="53"/>
        <v>0</v>
      </c>
      <c r="BG52" s="6">
        <f t="shared" si="54"/>
        <v>0</v>
      </c>
      <c r="BH52" s="7">
        <f t="shared" si="55"/>
        <v>0</v>
      </c>
      <c r="BI52" s="6">
        <f t="shared" si="56"/>
        <v>0</v>
      </c>
      <c r="BJ52" s="7">
        <f t="shared" si="57"/>
        <v>0</v>
      </c>
      <c r="BK52" s="6">
        <f t="shared" si="58"/>
        <v>0</v>
      </c>
      <c r="BL52" s="5">
        <f t="shared" si="59"/>
        <v>0</v>
      </c>
      <c r="BM52" s="6">
        <f t="shared" si="60"/>
        <v>0</v>
      </c>
      <c r="BN52" s="7">
        <f t="shared" si="61"/>
        <v>0</v>
      </c>
      <c r="BO52" s="6">
        <f t="shared" si="62"/>
        <v>0</v>
      </c>
      <c r="BP52" s="7">
        <f t="shared" si="63"/>
        <v>0</v>
      </c>
      <c r="BQ52" s="6">
        <f t="shared" si="64"/>
        <v>0</v>
      </c>
      <c r="BR52" s="5">
        <f t="shared" si="65"/>
        <v>0</v>
      </c>
      <c r="BS52" s="6">
        <f t="shared" si="66"/>
        <v>0</v>
      </c>
      <c r="BT52" s="7">
        <f t="shared" si="67"/>
        <v>0</v>
      </c>
      <c r="BU52" s="6">
        <f t="shared" si="68"/>
        <v>0</v>
      </c>
      <c r="BV52" s="7">
        <f t="shared" si="69"/>
        <v>0</v>
      </c>
      <c r="BW52" s="6">
        <f t="shared" si="70"/>
        <v>0</v>
      </c>
      <c r="BX52" s="5">
        <f t="shared" si="71"/>
        <v>0</v>
      </c>
      <c r="BY52" s="6">
        <f t="shared" si="72"/>
        <v>0</v>
      </c>
      <c r="BZ52" s="7">
        <f t="shared" si="73"/>
        <v>0</v>
      </c>
      <c r="CA52" s="6">
        <f t="shared" si="74"/>
        <v>0</v>
      </c>
      <c r="CB52" s="7">
        <f t="shared" si="75"/>
        <v>0</v>
      </c>
      <c r="CC52" s="6">
        <f t="shared" si="76"/>
        <v>0</v>
      </c>
      <c r="CD52" s="5">
        <f t="shared" si="77"/>
        <v>0</v>
      </c>
      <c r="CE52" s="6">
        <f t="shared" si="78"/>
        <v>0</v>
      </c>
      <c r="CF52" s="7">
        <f t="shared" si="79"/>
        <v>0</v>
      </c>
      <c r="CG52" s="6">
        <f t="shared" si="80"/>
        <v>0</v>
      </c>
      <c r="CH52" s="7">
        <f t="shared" si="81"/>
        <v>0</v>
      </c>
      <c r="CI52" s="6">
        <f t="shared" si="82"/>
        <v>0</v>
      </c>
      <c r="CJ52" s="5">
        <f t="shared" si="83"/>
        <v>0</v>
      </c>
      <c r="CK52" s="6">
        <f t="shared" si="84"/>
        <v>0</v>
      </c>
      <c r="CL52" s="7">
        <f t="shared" si="85"/>
        <v>0</v>
      </c>
      <c r="CM52" s="6">
        <f t="shared" si="86"/>
        <v>0</v>
      </c>
      <c r="CN52" s="7">
        <f t="shared" si="87"/>
        <v>0</v>
      </c>
      <c r="CO52" s="6">
        <f t="shared" si="88"/>
        <v>0</v>
      </c>
      <c r="CP52" s="5">
        <f t="shared" si="89"/>
        <v>0</v>
      </c>
      <c r="CQ52" s="6">
        <f t="shared" si="90"/>
        <v>0</v>
      </c>
      <c r="CR52" s="7">
        <f t="shared" si="96"/>
        <v>32.112499999999997</v>
      </c>
      <c r="CS52" s="6">
        <f t="shared" si="96"/>
        <v>33.962499999999984</v>
      </c>
      <c r="CT52" s="7">
        <f t="shared" si="96"/>
        <v>25.689999999999998</v>
      </c>
      <c r="CU52" s="6">
        <f t="shared" si="96"/>
        <v>27.169999999999987</v>
      </c>
      <c r="CV52" s="5">
        <f t="shared" si="91"/>
        <v>57.802499999999995</v>
      </c>
      <c r="CW52" s="6">
        <f t="shared" si="92"/>
        <v>61.132499999999972</v>
      </c>
      <c r="CY52" s="7">
        <v>57.802499999999995</v>
      </c>
      <c r="CZ52" s="5">
        <f t="array" ref="CZ52">Summary_UpperBound</f>
        <v>61.132499999999972</v>
      </c>
      <c r="DA52" s="6">
        <f t="shared" si="93"/>
        <v>3.329999999999977</v>
      </c>
    </row>
    <row r="53" spans="2:105" x14ac:dyDescent="0.35">
      <c r="B53" s="14"/>
      <c r="E53" s="12">
        <f t="shared" si="94"/>
        <v>44457</v>
      </c>
      <c r="F53" s="7">
        <f t="shared" si="1"/>
        <v>32.112499999999997</v>
      </c>
      <c r="G53" s="6">
        <f t="shared" si="2"/>
        <v>33.962499999999984</v>
      </c>
      <c r="H53" s="7">
        <f t="shared" si="3"/>
        <v>25.689999999999998</v>
      </c>
      <c r="I53" s="6">
        <f t="shared" si="4"/>
        <v>27.169999999999987</v>
      </c>
      <c r="J53" s="5">
        <f t="shared" si="5"/>
        <v>57.802499999999995</v>
      </c>
      <c r="K53" s="6">
        <f t="shared" si="6"/>
        <v>61.132499999999972</v>
      </c>
      <c r="L53" s="7">
        <f t="shared" si="7"/>
        <v>0</v>
      </c>
      <c r="M53" s="6">
        <f t="shared" si="8"/>
        <v>0</v>
      </c>
      <c r="N53" s="7">
        <f t="shared" si="9"/>
        <v>0</v>
      </c>
      <c r="O53" s="6">
        <f t="shared" si="10"/>
        <v>0</v>
      </c>
      <c r="P53" s="5">
        <f t="shared" si="11"/>
        <v>0</v>
      </c>
      <c r="Q53" s="6">
        <f t="shared" si="12"/>
        <v>0</v>
      </c>
      <c r="R53" s="7">
        <f t="shared" si="13"/>
        <v>0</v>
      </c>
      <c r="S53" s="6">
        <f t="shared" si="14"/>
        <v>0</v>
      </c>
      <c r="T53" s="7">
        <f t="shared" si="15"/>
        <v>0</v>
      </c>
      <c r="U53" s="6">
        <f t="shared" si="16"/>
        <v>0</v>
      </c>
      <c r="V53" s="5">
        <f t="shared" si="17"/>
        <v>0</v>
      </c>
      <c r="W53" s="6">
        <f t="shared" si="18"/>
        <v>0</v>
      </c>
      <c r="X53" s="7">
        <f t="shared" si="19"/>
        <v>0</v>
      </c>
      <c r="Y53" s="6">
        <f t="shared" si="20"/>
        <v>0</v>
      </c>
      <c r="Z53" s="7">
        <f t="shared" si="21"/>
        <v>0</v>
      </c>
      <c r="AA53" s="6">
        <f t="shared" si="22"/>
        <v>0</v>
      </c>
      <c r="AB53" s="5">
        <f t="shared" si="23"/>
        <v>0</v>
      </c>
      <c r="AC53" s="6">
        <f t="shared" si="24"/>
        <v>0</v>
      </c>
      <c r="AD53" s="7">
        <f t="shared" si="25"/>
        <v>0</v>
      </c>
      <c r="AE53" s="6">
        <f t="shared" si="26"/>
        <v>0</v>
      </c>
      <c r="AF53" s="7">
        <f t="shared" si="27"/>
        <v>0</v>
      </c>
      <c r="AG53" s="6">
        <f t="shared" si="28"/>
        <v>0</v>
      </c>
      <c r="AH53" s="5">
        <f t="shared" si="29"/>
        <v>0</v>
      </c>
      <c r="AI53" s="6">
        <f t="shared" si="30"/>
        <v>0</v>
      </c>
      <c r="AJ53" s="7">
        <f t="shared" si="31"/>
        <v>0</v>
      </c>
      <c r="AK53" s="6">
        <f t="shared" si="32"/>
        <v>0</v>
      </c>
      <c r="AL53" s="7">
        <f t="shared" si="33"/>
        <v>0</v>
      </c>
      <c r="AM53" s="6">
        <f t="shared" si="34"/>
        <v>0</v>
      </c>
      <c r="AN53" s="5">
        <f t="shared" si="35"/>
        <v>0</v>
      </c>
      <c r="AO53" s="6">
        <f t="shared" si="36"/>
        <v>0</v>
      </c>
      <c r="AP53" s="7">
        <f t="shared" si="37"/>
        <v>0</v>
      </c>
      <c r="AQ53" s="6">
        <f t="shared" si="38"/>
        <v>0</v>
      </c>
      <c r="AR53" s="7">
        <f t="shared" si="39"/>
        <v>0</v>
      </c>
      <c r="AS53" s="6">
        <f t="shared" si="40"/>
        <v>0</v>
      </c>
      <c r="AT53" s="5">
        <f t="shared" si="41"/>
        <v>0</v>
      </c>
      <c r="AU53" s="6">
        <f t="shared" si="42"/>
        <v>0</v>
      </c>
      <c r="AV53" s="7">
        <f t="shared" si="43"/>
        <v>0</v>
      </c>
      <c r="AW53" s="6">
        <f t="shared" si="44"/>
        <v>0</v>
      </c>
      <c r="AX53" s="7">
        <f t="shared" si="45"/>
        <v>0</v>
      </c>
      <c r="AY53" s="6">
        <f t="shared" si="46"/>
        <v>0</v>
      </c>
      <c r="AZ53" s="5">
        <f t="shared" si="47"/>
        <v>0</v>
      </c>
      <c r="BA53" s="6">
        <f t="shared" si="48"/>
        <v>0</v>
      </c>
      <c r="BB53" s="7">
        <f t="shared" si="49"/>
        <v>0</v>
      </c>
      <c r="BC53" s="6">
        <f t="shared" si="50"/>
        <v>0</v>
      </c>
      <c r="BD53" s="7">
        <f t="shared" si="51"/>
        <v>0</v>
      </c>
      <c r="BE53" s="6">
        <f t="shared" si="52"/>
        <v>0</v>
      </c>
      <c r="BF53" s="5">
        <f t="shared" si="53"/>
        <v>0</v>
      </c>
      <c r="BG53" s="6">
        <f t="shared" si="54"/>
        <v>0</v>
      </c>
      <c r="BH53" s="7">
        <f t="shared" si="55"/>
        <v>0</v>
      </c>
      <c r="BI53" s="6">
        <f t="shared" si="56"/>
        <v>0</v>
      </c>
      <c r="BJ53" s="7">
        <f t="shared" si="57"/>
        <v>0</v>
      </c>
      <c r="BK53" s="6">
        <f t="shared" si="58"/>
        <v>0</v>
      </c>
      <c r="BL53" s="5">
        <f t="shared" si="59"/>
        <v>0</v>
      </c>
      <c r="BM53" s="6">
        <f t="shared" si="60"/>
        <v>0</v>
      </c>
      <c r="BN53" s="7">
        <f t="shared" si="61"/>
        <v>0</v>
      </c>
      <c r="BO53" s="6">
        <f t="shared" si="62"/>
        <v>0</v>
      </c>
      <c r="BP53" s="7">
        <f t="shared" si="63"/>
        <v>0</v>
      </c>
      <c r="BQ53" s="6">
        <f t="shared" si="64"/>
        <v>0</v>
      </c>
      <c r="BR53" s="5">
        <f t="shared" si="65"/>
        <v>0</v>
      </c>
      <c r="BS53" s="6">
        <f t="shared" si="66"/>
        <v>0</v>
      </c>
      <c r="BT53" s="7">
        <f t="shared" si="67"/>
        <v>0</v>
      </c>
      <c r="BU53" s="6">
        <f t="shared" si="68"/>
        <v>0</v>
      </c>
      <c r="BV53" s="7">
        <f t="shared" si="69"/>
        <v>0</v>
      </c>
      <c r="BW53" s="6">
        <f t="shared" si="70"/>
        <v>0</v>
      </c>
      <c r="BX53" s="5">
        <f t="shared" si="71"/>
        <v>0</v>
      </c>
      <c r="BY53" s="6">
        <f t="shared" si="72"/>
        <v>0</v>
      </c>
      <c r="BZ53" s="7">
        <f t="shared" si="73"/>
        <v>0</v>
      </c>
      <c r="CA53" s="6">
        <f t="shared" si="74"/>
        <v>0</v>
      </c>
      <c r="CB53" s="7">
        <f t="shared" si="75"/>
        <v>0</v>
      </c>
      <c r="CC53" s="6">
        <f t="shared" si="76"/>
        <v>0</v>
      </c>
      <c r="CD53" s="5">
        <f t="shared" si="77"/>
        <v>0</v>
      </c>
      <c r="CE53" s="6">
        <f t="shared" si="78"/>
        <v>0</v>
      </c>
      <c r="CF53" s="7">
        <f t="shared" si="79"/>
        <v>0</v>
      </c>
      <c r="CG53" s="6">
        <f t="shared" si="80"/>
        <v>0</v>
      </c>
      <c r="CH53" s="7">
        <f t="shared" si="81"/>
        <v>0</v>
      </c>
      <c r="CI53" s="6">
        <f t="shared" si="82"/>
        <v>0</v>
      </c>
      <c r="CJ53" s="5">
        <f t="shared" si="83"/>
        <v>0</v>
      </c>
      <c r="CK53" s="6">
        <f t="shared" si="84"/>
        <v>0</v>
      </c>
      <c r="CL53" s="7">
        <f t="shared" si="85"/>
        <v>0</v>
      </c>
      <c r="CM53" s="6">
        <f t="shared" si="86"/>
        <v>0</v>
      </c>
      <c r="CN53" s="7">
        <f t="shared" si="87"/>
        <v>0</v>
      </c>
      <c r="CO53" s="6">
        <f t="shared" si="88"/>
        <v>0</v>
      </c>
      <c r="CP53" s="5">
        <f t="shared" si="89"/>
        <v>0</v>
      </c>
      <c r="CQ53" s="6">
        <f t="shared" si="90"/>
        <v>0</v>
      </c>
      <c r="CR53" s="7">
        <f t="shared" si="96"/>
        <v>32.112499999999997</v>
      </c>
      <c r="CS53" s="6">
        <f t="shared" si="96"/>
        <v>33.962499999999984</v>
      </c>
      <c r="CT53" s="7">
        <f t="shared" si="96"/>
        <v>25.689999999999998</v>
      </c>
      <c r="CU53" s="6">
        <f t="shared" si="96"/>
        <v>27.169999999999987</v>
      </c>
      <c r="CV53" s="5">
        <f t="shared" si="91"/>
        <v>57.802499999999995</v>
      </c>
      <c r="CW53" s="6">
        <f t="shared" si="92"/>
        <v>61.132499999999972</v>
      </c>
      <c r="CY53" s="7">
        <v>57.802499999999995</v>
      </c>
      <c r="CZ53" s="5">
        <f t="array" ref="CZ53">Summary_UpperBound</f>
        <v>61.132499999999972</v>
      </c>
      <c r="DA53" s="6">
        <f t="shared" si="93"/>
        <v>3.329999999999977</v>
      </c>
    </row>
    <row r="54" spans="2:105" x14ac:dyDescent="0.35">
      <c r="B54" s="14"/>
      <c r="E54" s="12">
        <f t="shared" si="94"/>
        <v>44464</v>
      </c>
      <c r="F54" s="7">
        <f t="shared" si="1"/>
        <v>32.112499999999997</v>
      </c>
      <c r="G54" s="6">
        <f t="shared" si="2"/>
        <v>33.962499999999984</v>
      </c>
      <c r="H54" s="7">
        <f t="shared" si="3"/>
        <v>25.689999999999998</v>
      </c>
      <c r="I54" s="6">
        <f t="shared" si="4"/>
        <v>27.169999999999987</v>
      </c>
      <c r="J54" s="5">
        <f t="shared" si="5"/>
        <v>57.802499999999995</v>
      </c>
      <c r="K54" s="6">
        <f t="shared" si="6"/>
        <v>61.132499999999972</v>
      </c>
      <c r="L54" s="7">
        <f t="shared" si="7"/>
        <v>0</v>
      </c>
      <c r="M54" s="6">
        <f t="shared" si="8"/>
        <v>0</v>
      </c>
      <c r="N54" s="7">
        <f t="shared" si="9"/>
        <v>0</v>
      </c>
      <c r="O54" s="6">
        <f t="shared" si="10"/>
        <v>0</v>
      </c>
      <c r="P54" s="5">
        <f t="shared" si="11"/>
        <v>0</v>
      </c>
      <c r="Q54" s="6">
        <f t="shared" si="12"/>
        <v>0</v>
      </c>
      <c r="R54" s="7">
        <f t="shared" si="13"/>
        <v>0</v>
      </c>
      <c r="S54" s="6">
        <f t="shared" si="14"/>
        <v>0</v>
      </c>
      <c r="T54" s="7">
        <f t="shared" si="15"/>
        <v>0</v>
      </c>
      <c r="U54" s="6">
        <f t="shared" si="16"/>
        <v>0</v>
      </c>
      <c r="V54" s="5">
        <f t="shared" si="17"/>
        <v>0</v>
      </c>
      <c r="W54" s="6">
        <f t="shared" si="18"/>
        <v>0</v>
      </c>
      <c r="X54" s="7">
        <f t="shared" si="19"/>
        <v>0</v>
      </c>
      <c r="Y54" s="6">
        <f t="shared" si="20"/>
        <v>0</v>
      </c>
      <c r="Z54" s="7">
        <f t="shared" si="21"/>
        <v>0</v>
      </c>
      <c r="AA54" s="6">
        <f t="shared" si="22"/>
        <v>0</v>
      </c>
      <c r="AB54" s="5">
        <f t="shared" si="23"/>
        <v>0</v>
      </c>
      <c r="AC54" s="6">
        <f t="shared" si="24"/>
        <v>0</v>
      </c>
      <c r="AD54" s="7">
        <f t="shared" si="25"/>
        <v>0</v>
      </c>
      <c r="AE54" s="6">
        <f t="shared" si="26"/>
        <v>0</v>
      </c>
      <c r="AF54" s="7">
        <f t="shared" si="27"/>
        <v>0</v>
      </c>
      <c r="AG54" s="6">
        <f t="shared" si="28"/>
        <v>0</v>
      </c>
      <c r="AH54" s="5">
        <f t="shared" si="29"/>
        <v>0</v>
      </c>
      <c r="AI54" s="6">
        <f t="shared" si="30"/>
        <v>0</v>
      </c>
      <c r="AJ54" s="7">
        <f t="shared" si="31"/>
        <v>0</v>
      </c>
      <c r="AK54" s="6">
        <f t="shared" si="32"/>
        <v>0</v>
      </c>
      <c r="AL54" s="7">
        <f t="shared" si="33"/>
        <v>0</v>
      </c>
      <c r="AM54" s="6">
        <f t="shared" si="34"/>
        <v>0</v>
      </c>
      <c r="AN54" s="5">
        <f t="shared" si="35"/>
        <v>0</v>
      </c>
      <c r="AO54" s="6">
        <f t="shared" si="36"/>
        <v>0</v>
      </c>
      <c r="AP54" s="7">
        <f t="shared" si="37"/>
        <v>0</v>
      </c>
      <c r="AQ54" s="6">
        <f t="shared" si="38"/>
        <v>0</v>
      </c>
      <c r="AR54" s="7">
        <f t="shared" si="39"/>
        <v>0</v>
      </c>
      <c r="AS54" s="6">
        <f t="shared" si="40"/>
        <v>0</v>
      </c>
      <c r="AT54" s="5">
        <f t="shared" si="41"/>
        <v>0</v>
      </c>
      <c r="AU54" s="6">
        <f t="shared" si="42"/>
        <v>0</v>
      </c>
      <c r="AV54" s="7">
        <f t="shared" si="43"/>
        <v>0</v>
      </c>
      <c r="AW54" s="6">
        <f t="shared" si="44"/>
        <v>0</v>
      </c>
      <c r="AX54" s="7">
        <f t="shared" si="45"/>
        <v>0</v>
      </c>
      <c r="AY54" s="6">
        <f t="shared" si="46"/>
        <v>0</v>
      </c>
      <c r="AZ54" s="5">
        <f t="shared" si="47"/>
        <v>0</v>
      </c>
      <c r="BA54" s="6">
        <f t="shared" si="48"/>
        <v>0</v>
      </c>
      <c r="BB54" s="7">
        <f t="shared" si="49"/>
        <v>0</v>
      </c>
      <c r="BC54" s="6">
        <f t="shared" si="50"/>
        <v>0</v>
      </c>
      <c r="BD54" s="7">
        <f t="shared" si="51"/>
        <v>0</v>
      </c>
      <c r="BE54" s="6">
        <f t="shared" si="52"/>
        <v>0</v>
      </c>
      <c r="BF54" s="5">
        <f t="shared" si="53"/>
        <v>0</v>
      </c>
      <c r="BG54" s="6">
        <f t="shared" si="54"/>
        <v>0</v>
      </c>
      <c r="BH54" s="7">
        <f t="shared" si="55"/>
        <v>0</v>
      </c>
      <c r="BI54" s="6">
        <f t="shared" si="56"/>
        <v>0</v>
      </c>
      <c r="BJ54" s="7">
        <f t="shared" si="57"/>
        <v>0</v>
      </c>
      <c r="BK54" s="6">
        <f t="shared" si="58"/>
        <v>0</v>
      </c>
      <c r="BL54" s="5">
        <f t="shared" si="59"/>
        <v>0</v>
      </c>
      <c r="BM54" s="6">
        <f t="shared" si="60"/>
        <v>0</v>
      </c>
      <c r="BN54" s="7">
        <f t="shared" si="61"/>
        <v>0</v>
      </c>
      <c r="BO54" s="6">
        <f t="shared" si="62"/>
        <v>0</v>
      </c>
      <c r="BP54" s="7">
        <f t="shared" si="63"/>
        <v>0</v>
      </c>
      <c r="BQ54" s="6">
        <f t="shared" si="64"/>
        <v>0</v>
      </c>
      <c r="BR54" s="5">
        <f t="shared" si="65"/>
        <v>0</v>
      </c>
      <c r="BS54" s="6">
        <f t="shared" si="66"/>
        <v>0</v>
      </c>
      <c r="BT54" s="7">
        <f t="shared" si="67"/>
        <v>0</v>
      </c>
      <c r="BU54" s="6">
        <f t="shared" si="68"/>
        <v>0</v>
      </c>
      <c r="BV54" s="7">
        <f t="shared" si="69"/>
        <v>0</v>
      </c>
      <c r="BW54" s="6">
        <f t="shared" si="70"/>
        <v>0</v>
      </c>
      <c r="BX54" s="5">
        <f t="shared" si="71"/>
        <v>0</v>
      </c>
      <c r="BY54" s="6">
        <f t="shared" si="72"/>
        <v>0</v>
      </c>
      <c r="BZ54" s="7">
        <f t="shared" si="73"/>
        <v>0</v>
      </c>
      <c r="CA54" s="6">
        <f t="shared" si="74"/>
        <v>0</v>
      </c>
      <c r="CB54" s="7">
        <f t="shared" si="75"/>
        <v>0</v>
      </c>
      <c r="CC54" s="6">
        <f t="shared" si="76"/>
        <v>0</v>
      </c>
      <c r="CD54" s="5">
        <f t="shared" si="77"/>
        <v>0</v>
      </c>
      <c r="CE54" s="6">
        <f t="shared" si="78"/>
        <v>0</v>
      </c>
      <c r="CF54" s="7">
        <f t="shared" si="79"/>
        <v>0</v>
      </c>
      <c r="CG54" s="6">
        <f t="shared" si="80"/>
        <v>0</v>
      </c>
      <c r="CH54" s="7">
        <f t="shared" si="81"/>
        <v>0</v>
      </c>
      <c r="CI54" s="6">
        <f t="shared" si="82"/>
        <v>0</v>
      </c>
      <c r="CJ54" s="5">
        <f t="shared" si="83"/>
        <v>0</v>
      </c>
      <c r="CK54" s="6">
        <f t="shared" si="84"/>
        <v>0</v>
      </c>
      <c r="CL54" s="7">
        <f t="shared" si="85"/>
        <v>0</v>
      </c>
      <c r="CM54" s="6">
        <f t="shared" si="86"/>
        <v>0</v>
      </c>
      <c r="CN54" s="7">
        <f t="shared" si="87"/>
        <v>0</v>
      </c>
      <c r="CO54" s="6">
        <f t="shared" si="88"/>
        <v>0</v>
      </c>
      <c r="CP54" s="5">
        <f t="shared" si="89"/>
        <v>0</v>
      </c>
      <c r="CQ54" s="6">
        <f t="shared" si="90"/>
        <v>0</v>
      </c>
      <c r="CR54" s="7">
        <f t="shared" si="96"/>
        <v>32.112499999999997</v>
      </c>
      <c r="CS54" s="6">
        <f t="shared" si="96"/>
        <v>33.962499999999984</v>
      </c>
      <c r="CT54" s="7">
        <f t="shared" si="96"/>
        <v>25.689999999999998</v>
      </c>
      <c r="CU54" s="6">
        <f t="shared" si="96"/>
        <v>27.169999999999987</v>
      </c>
      <c r="CV54" s="5">
        <f t="shared" si="91"/>
        <v>57.802499999999995</v>
      </c>
      <c r="CW54" s="6">
        <f t="shared" si="92"/>
        <v>61.132499999999972</v>
      </c>
      <c r="CY54" s="7">
        <v>57.802499999999995</v>
      </c>
      <c r="CZ54" s="5">
        <f t="array" ref="CZ54">Summary_UpperBound</f>
        <v>61.132499999999972</v>
      </c>
      <c r="DA54" s="6">
        <f t="shared" si="93"/>
        <v>3.329999999999977</v>
      </c>
    </row>
    <row r="55" spans="2:105" x14ac:dyDescent="0.35">
      <c r="B55" s="14"/>
      <c r="E55" s="12">
        <f t="shared" si="94"/>
        <v>44471</v>
      </c>
      <c r="F55" s="7">
        <f t="shared" si="1"/>
        <v>32.112499999999997</v>
      </c>
      <c r="G55" s="6">
        <f t="shared" si="2"/>
        <v>33.962499999999984</v>
      </c>
      <c r="H55" s="7">
        <f t="shared" si="3"/>
        <v>25.689999999999998</v>
      </c>
      <c r="I55" s="6">
        <f t="shared" si="4"/>
        <v>27.169999999999987</v>
      </c>
      <c r="J55" s="5">
        <f t="shared" si="5"/>
        <v>57.802499999999995</v>
      </c>
      <c r="K55" s="6">
        <f t="shared" si="6"/>
        <v>61.132499999999972</v>
      </c>
      <c r="L55" s="7">
        <f t="shared" si="7"/>
        <v>0</v>
      </c>
      <c r="M55" s="6">
        <f t="shared" si="8"/>
        <v>0</v>
      </c>
      <c r="N55" s="7">
        <f t="shared" si="9"/>
        <v>0</v>
      </c>
      <c r="O55" s="6">
        <f t="shared" si="10"/>
        <v>0</v>
      </c>
      <c r="P55" s="5">
        <f t="shared" si="11"/>
        <v>0</v>
      </c>
      <c r="Q55" s="6">
        <f t="shared" si="12"/>
        <v>0</v>
      </c>
      <c r="R55" s="7">
        <f t="shared" si="13"/>
        <v>0</v>
      </c>
      <c r="S55" s="6">
        <f t="shared" si="14"/>
        <v>0</v>
      </c>
      <c r="T55" s="7">
        <f t="shared" si="15"/>
        <v>0</v>
      </c>
      <c r="U55" s="6">
        <f t="shared" si="16"/>
        <v>0</v>
      </c>
      <c r="V55" s="5">
        <f t="shared" si="17"/>
        <v>0</v>
      </c>
      <c r="W55" s="6">
        <f t="shared" si="18"/>
        <v>0</v>
      </c>
      <c r="X55" s="7">
        <f t="shared" si="19"/>
        <v>0</v>
      </c>
      <c r="Y55" s="6">
        <f t="shared" si="20"/>
        <v>0</v>
      </c>
      <c r="Z55" s="7">
        <f t="shared" si="21"/>
        <v>0</v>
      </c>
      <c r="AA55" s="6">
        <f t="shared" si="22"/>
        <v>0</v>
      </c>
      <c r="AB55" s="5">
        <f t="shared" si="23"/>
        <v>0</v>
      </c>
      <c r="AC55" s="6">
        <f t="shared" si="24"/>
        <v>0</v>
      </c>
      <c r="AD55" s="7">
        <f t="shared" si="25"/>
        <v>0</v>
      </c>
      <c r="AE55" s="6">
        <f t="shared" si="26"/>
        <v>0</v>
      </c>
      <c r="AF55" s="7">
        <f t="shared" si="27"/>
        <v>0</v>
      </c>
      <c r="AG55" s="6">
        <f t="shared" si="28"/>
        <v>0</v>
      </c>
      <c r="AH55" s="5">
        <f t="shared" si="29"/>
        <v>0</v>
      </c>
      <c r="AI55" s="6">
        <f t="shared" si="30"/>
        <v>0</v>
      </c>
      <c r="AJ55" s="7">
        <f t="shared" si="31"/>
        <v>0</v>
      </c>
      <c r="AK55" s="6">
        <f t="shared" si="32"/>
        <v>0</v>
      </c>
      <c r="AL55" s="7">
        <f t="shared" si="33"/>
        <v>0</v>
      </c>
      <c r="AM55" s="6">
        <f t="shared" si="34"/>
        <v>0</v>
      </c>
      <c r="AN55" s="5">
        <f t="shared" si="35"/>
        <v>0</v>
      </c>
      <c r="AO55" s="6">
        <f t="shared" si="36"/>
        <v>0</v>
      </c>
      <c r="AP55" s="7">
        <f t="shared" si="37"/>
        <v>0</v>
      </c>
      <c r="AQ55" s="6">
        <f t="shared" si="38"/>
        <v>0</v>
      </c>
      <c r="AR55" s="7">
        <f t="shared" si="39"/>
        <v>0</v>
      </c>
      <c r="AS55" s="6">
        <f t="shared" si="40"/>
        <v>0</v>
      </c>
      <c r="AT55" s="5">
        <f t="shared" si="41"/>
        <v>0</v>
      </c>
      <c r="AU55" s="6">
        <f t="shared" si="42"/>
        <v>0</v>
      </c>
      <c r="AV55" s="7">
        <f t="shared" si="43"/>
        <v>0</v>
      </c>
      <c r="AW55" s="6">
        <f t="shared" si="44"/>
        <v>0</v>
      </c>
      <c r="AX55" s="7">
        <f t="shared" si="45"/>
        <v>0</v>
      </c>
      <c r="AY55" s="6">
        <f t="shared" si="46"/>
        <v>0</v>
      </c>
      <c r="AZ55" s="5">
        <f t="shared" si="47"/>
        <v>0</v>
      </c>
      <c r="BA55" s="6">
        <f t="shared" si="48"/>
        <v>0</v>
      </c>
      <c r="BB55" s="7">
        <f t="shared" si="49"/>
        <v>0</v>
      </c>
      <c r="BC55" s="6">
        <f t="shared" si="50"/>
        <v>0</v>
      </c>
      <c r="BD55" s="7">
        <f t="shared" si="51"/>
        <v>0</v>
      </c>
      <c r="BE55" s="6">
        <f t="shared" si="52"/>
        <v>0</v>
      </c>
      <c r="BF55" s="5">
        <f t="shared" si="53"/>
        <v>0</v>
      </c>
      <c r="BG55" s="6">
        <f t="shared" si="54"/>
        <v>0</v>
      </c>
      <c r="BH55" s="7">
        <f t="shared" si="55"/>
        <v>0</v>
      </c>
      <c r="BI55" s="6">
        <f t="shared" si="56"/>
        <v>0</v>
      </c>
      <c r="BJ55" s="7">
        <f t="shared" si="57"/>
        <v>0</v>
      </c>
      <c r="BK55" s="6">
        <f t="shared" si="58"/>
        <v>0</v>
      </c>
      <c r="BL55" s="5">
        <f t="shared" si="59"/>
        <v>0</v>
      </c>
      <c r="BM55" s="6">
        <f t="shared" si="60"/>
        <v>0</v>
      </c>
      <c r="BN55" s="7">
        <f t="shared" si="61"/>
        <v>0</v>
      </c>
      <c r="BO55" s="6">
        <f t="shared" si="62"/>
        <v>0</v>
      </c>
      <c r="BP55" s="7">
        <f t="shared" si="63"/>
        <v>0</v>
      </c>
      <c r="BQ55" s="6">
        <f t="shared" si="64"/>
        <v>0</v>
      </c>
      <c r="BR55" s="5">
        <f t="shared" si="65"/>
        <v>0</v>
      </c>
      <c r="BS55" s="6">
        <f t="shared" si="66"/>
        <v>0</v>
      </c>
      <c r="BT55" s="7">
        <f t="shared" si="67"/>
        <v>0</v>
      </c>
      <c r="BU55" s="6">
        <f t="shared" si="68"/>
        <v>0</v>
      </c>
      <c r="BV55" s="7">
        <f t="shared" si="69"/>
        <v>0</v>
      </c>
      <c r="BW55" s="6">
        <f t="shared" si="70"/>
        <v>0</v>
      </c>
      <c r="BX55" s="5">
        <f t="shared" si="71"/>
        <v>0</v>
      </c>
      <c r="BY55" s="6">
        <f t="shared" si="72"/>
        <v>0</v>
      </c>
      <c r="BZ55" s="7">
        <f t="shared" si="73"/>
        <v>0</v>
      </c>
      <c r="CA55" s="6">
        <f t="shared" si="74"/>
        <v>0</v>
      </c>
      <c r="CB55" s="7">
        <f t="shared" si="75"/>
        <v>0</v>
      </c>
      <c r="CC55" s="6">
        <f t="shared" si="76"/>
        <v>0</v>
      </c>
      <c r="CD55" s="5">
        <f t="shared" si="77"/>
        <v>0</v>
      </c>
      <c r="CE55" s="6">
        <f t="shared" si="78"/>
        <v>0</v>
      </c>
      <c r="CF55" s="7">
        <f t="shared" si="79"/>
        <v>0</v>
      </c>
      <c r="CG55" s="6">
        <f t="shared" si="80"/>
        <v>0</v>
      </c>
      <c r="CH55" s="7">
        <f t="shared" si="81"/>
        <v>0</v>
      </c>
      <c r="CI55" s="6">
        <f t="shared" si="82"/>
        <v>0</v>
      </c>
      <c r="CJ55" s="5">
        <f t="shared" si="83"/>
        <v>0</v>
      </c>
      <c r="CK55" s="6">
        <f t="shared" si="84"/>
        <v>0</v>
      </c>
      <c r="CL55" s="7">
        <f t="shared" si="85"/>
        <v>0</v>
      </c>
      <c r="CM55" s="6">
        <f t="shared" si="86"/>
        <v>0</v>
      </c>
      <c r="CN55" s="7">
        <f t="shared" si="87"/>
        <v>0</v>
      </c>
      <c r="CO55" s="6">
        <f t="shared" si="88"/>
        <v>0</v>
      </c>
      <c r="CP55" s="5">
        <f t="shared" si="89"/>
        <v>0</v>
      </c>
      <c r="CQ55" s="6">
        <f t="shared" si="90"/>
        <v>0</v>
      </c>
      <c r="CR55" s="7">
        <f t="shared" si="96"/>
        <v>32.112499999999997</v>
      </c>
      <c r="CS55" s="6">
        <f t="shared" si="96"/>
        <v>33.962499999999984</v>
      </c>
      <c r="CT55" s="7">
        <f t="shared" si="96"/>
        <v>25.689999999999998</v>
      </c>
      <c r="CU55" s="6">
        <f t="shared" si="96"/>
        <v>27.169999999999987</v>
      </c>
      <c r="CV55" s="5">
        <f t="shared" si="91"/>
        <v>57.802499999999995</v>
      </c>
      <c r="CW55" s="6">
        <f t="shared" si="92"/>
        <v>61.132499999999972</v>
      </c>
      <c r="CY55" s="7">
        <v>57.802499999999995</v>
      </c>
      <c r="CZ55" s="5">
        <f t="array" ref="CZ55">Summary_UpperBound</f>
        <v>61.132499999999972</v>
      </c>
      <c r="DA55" s="6">
        <f t="shared" si="93"/>
        <v>3.329999999999977</v>
      </c>
    </row>
    <row r="56" spans="2:105" ht="15" thickBot="1" x14ac:dyDescent="0.4">
      <c r="B56" s="14"/>
      <c r="E56" s="13">
        <f t="shared" si="94"/>
        <v>44478</v>
      </c>
      <c r="F56" s="8">
        <f t="shared" si="1"/>
        <v>32.112499999999997</v>
      </c>
      <c r="G56" s="10">
        <f t="shared" si="2"/>
        <v>33.962499999999984</v>
      </c>
      <c r="H56" s="8">
        <f t="shared" si="3"/>
        <v>25.689999999999998</v>
      </c>
      <c r="I56" s="10">
        <f t="shared" si="4"/>
        <v>27.169999999999987</v>
      </c>
      <c r="J56" s="9">
        <f t="shared" si="5"/>
        <v>57.802499999999995</v>
      </c>
      <c r="K56" s="10">
        <f t="shared" si="6"/>
        <v>61.132499999999972</v>
      </c>
      <c r="L56" s="8">
        <f t="shared" si="7"/>
        <v>0</v>
      </c>
      <c r="M56" s="10">
        <f t="shared" si="8"/>
        <v>0</v>
      </c>
      <c r="N56" s="8">
        <f t="shared" si="9"/>
        <v>0</v>
      </c>
      <c r="O56" s="10">
        <f t="shared" si="10"/>
        <v>0</v>
      </c>
      <c r="P56" s="9">
        <f t="shared" si="11"/>
        <v>0</v>
      </c>
      <c r="Q56" s="10">
        <f t="shared" si="12"/>
        <v>0</v>
      </c>
      <c r="R56" s="8">
        <f t="shared" si="13"/>
        <v>0</v>
      </c>
      <c r="S56" s="10">
        <f t="shared" si="14"/>
        <v>0</v>
      </c>
      <c r="T56" s="8">
        <f t="shared" si="15"/>
        <v>0</v>
      </c>
      <c r="U56" s="10">
        <f t="shared" si="16"/>
        <v>0</v>
      </c>
      <c r="V56" s="9">
        <f t="shared" si="17"/>
        <v>0</v>
      </c>
      <c r="W56" s="10">
        <f t="shared" si="18"/>
        <v>0</v>
      </c>
      <c r="X56" s="8">
        <f t="shared" si="19"/>
        <v>0</v>
      </c>
      <c r="Y56" s="10">
        <f t="shared" si="20"/>
        <v>0</v>
      </c>
      <c r="Z56" s="8">
        <f t="shared" si="21"/>
        <v>0</v>
      </c>
      <c r="AA56" s="10">
        <f t="shared" si="22"/>
        <v>0</v>
      </c>
      <c r="AB56" s="9">
        <f t="shared" si="23"/>
        <v>0</v>
      </c>
      <c r="AC56" s="10">
        <f t="shared" si="24"/>
        <v>0</v>
      </c>
      <c r="AD56" s="8">
        <f t="shared" si="25"/>
        <v>0</v>
      </c>
      <c r="AE56" s="10">
        <f t="shared" si="26"/>
        <v>0</v>
      </c>
      <c r="AF56" s="8">
        <f t="shared" si="27"/>
        <v>0</v>
      </c>
      <c r="AG56" s="10">
        <f t="shared" si="28"/>
        <v>0</v>
      </c>
      <c r="AH56" s="9">
        <f t="shared" si="29"/>
        <v>0</v>
      </c>
      <c r="AI56" s="10">
        <f t="shared" si="30"/>
        <v>0</v>
      </c>
      <c r="AJ56" s="8">
        <f t="shared" si="31"/>
        <v>0</v>
      </c>
      <c r="AK56" s="10">
        <f t="shared" si="32"/>
        <v>0</v>
      </c>
      <c r="AL56" s="8">
        <f t="shared" si="33"/>
        <v>0</v>
      </c>
      <c r="AM56" s="10">
        <f t="shared" si="34"/>
        <v>0</v>
      </c>
      <c r="AN56" s="9">
        <f t="shared" si="35"/>
        <v>0</v>
      </c>
      <c r="AO56" s="10">
        <f t="shared" si="36"/>
        <v>0</v>
      </c>
      <c r="AP56" s="8">
        <f t="shared" si="37"/>
        <v>0</v>
      </c>
      <c r="AQ56" s="10">
        <f t="shared" si="38"/>
        <v>0</v>
      </c>
      <c r="AR56" s="8">
        <f t="shared" si="39"/>
        <v>0</v>
      </c>
      <c r="AS56" s="10">
        <f t="shared" si="40"/>
        <v>0</v>
      </c>
      <c r="AT56" s="9">
        <f t="shared" si="41"/>
        <v>0</v>
      </c>
      <c r="AU56" s="10">
        <f t="shared" si="42"/>
        <v>0</v>
      </c>
      <c r="AV56" s="8">
        <f t="shared" si="43"/>
        <v>0</v>
      </c>
      <c r="AW56" s="10">
        <f t="shared" si="44"/>
        <v>0</v>
      </c>
      <c r="AX56" s="8">
        <f t="shared" si="45"/>
        <v>0</v>
      </c>
      <c r="AY56" s="10">
        <f t="shared" si="46"/>
        <v>0</v>
      </c>
      <c r="AZ56" s="9">
        <f t="shared" si="47"/>
        <v>0</v>
      </c>
      <c r="BA56" s="10">
        <f t="shared" si="48"/>
        <v>0</v>
      </c>
      <c r="BB56" s="8">
        <f t="shared" si="49"/>
        <v>0</v>
      </c>
      <c r="BC56" s="10">
        <f t="shared" si="50"/>
        <v>0</v>
      </c>
      <c r="BD56" s="8">
        <f t="shared" si="51"/>
        <v>0</v>
      </c>
      <c r="BE56" s="10">
        <f t="shared" si="52"/>
        <v>0</v>
      </c>
      <c r="BF56" s="9">
        <f t="shared" si="53"/>
        <v>0</v>
      </c>
      <c r="BG56" s="10">
        <f t="shared" si="54"/>
        <v>0</v>
      </c>
      <c r="BH56" s="8">
        <f t="shared" si="55"/>
        <v>0</v>
      </c>
      <c r="BI56" s="10">
        <f t="shared" si="56"/>
        <v>0</v>
      </c>
      <c r="BJ56" s="8">
        <f t="shared" si="57"/>
        <v>0</v>
      </c>
      <c r="BK56" s="10">
        <f t="shared" si="58"/>
        <v>0</v>
      </c>
      <c r="BL56" s="9">
        <f t="shared" si="59"/>
        <v>0</v>
      </c>
      <c r="BM56" s="10">
        <f t="shared" si="60"/>
        <v>0</v>
      </c>
      <c r="BN56" s="8">
        <f t="shared" si="61"/>
        <v>0</v>
      </c>
      <c r="BO56" s="10">
        <f t="shared" si="62"/>
        <v>0</v>
      </c>
      <c r="BP56" s="8">
        <f t="shared" si="63"/>
        <v>0</v>
      </c>
      <c r="BQ56" s="10">
        <f t="shared" si="64"/>
        <v>0</v>
      </c>
      <c r="BR56" s="9">
        <f t="shared" si="65"/>
        <v>0</v>
      </c>
      <c r="BS56" s="10">
        <f t="shared" si="66"/>
        <v>0</v>
      </c>
      <c r="BT56" s="8">
        <f t="shared" si="67"/>
        <v>0</v>
      </c>
      <c r="BU56" s="10">
        <f t="shared" si="68"/>
        <v>0</v>
      </c>
      <c r="BV56" s="8">
        <f t="shared" si="69"/>
        <v>0</v>
      </c>
      <c r="BW56" s="10">
        <f t="shared" si="70"/>
        <v>0</v>
      </c>
      <c r="BX56" s="9">
        <f t="shared" si="71"/>
        <v>0</v>
      </c>
      <c r="BY56" s="10">
        <f t="shared" si="72"/>
        <v>0</v>
      </c>
      <c r="BZ56" s="8">
        <f t="shared" si="73"/>
        <v>0</v>
      </c>
      <c r="CA56" s="10">
        <f t="shared" si="74"/>
        <v>0</v>
      </c>
      <c r="CB56" s="8">
        <f t="shared" si="75"/>
        <v>0</v>
      </c>
      <c r="CC56" s="10">
        <f t="shared" si="76"/>
        <v>0</v>
      </c>
      <c r="CD56" s="9">
        <f t="shared" si="77"/>
        <v>0</v>
      </c>
      <c r="CE56" s="10">
        <f t="shared" si="78"/>
        <v>0</v>
      </c>
      <c r="CF56" s="8">
        <f t="shared" si="79"/>
        <v>0</v>
      </c>
      <c r="CG56" s="10">
        <f t="shared" si="80"/>
        <v>0</v>
      </c>
      <c r="CH56" s="8">
        <f t="shared" si="81"/>
        <v>0</v>
      </c>
      <c r="CI56" s="10">
        <f t="shared" si="82"/>
        <v>0</v>
      </c>
      <c r="CJ56" s="9">
        <f t="shared" si="83"/>
        <v>0</v>
      </c>
      <c r="CK56" s="10">
        <f t="shared" si="84"/>
        <v>0</v>
      </c>
      <c r="CL56" s="8">
        <f t="shared" si="85"/>
        <v>0</v>
      </c>
      <c r="CM56" s="10">
        <f t="shared" si="86"/>
        <v>0</v>
      </c>
      <c r="CN56" s="8">
        <f t="shared" si="87"/>
        <v>0</v>
      </c>
      <c r="CO56" s="10">
        <f t="shared" si="88"/>
        <v>0</v>
      </c>
      <c r="CP56" s="9">
        <f t="shared" si="89"/>
        <v>0</v>
      </c>
      <c r="CQ56" s="10">
        <f t="shared" si="90"/>
        <v>0</v>
      </c>
      <c r="CR56" s="8">
        <f t="shared" si="96"/>
        <v>32.112499999999997</v>
      </c>
      <c r="CS56" s="10">
        <f t="shared" si="96"/>
        <v>33.962499999999984</v>
      </c>
      <c r="CT56" s="8">
        <f t="shared" si="96"/>
        <v>25.689999999999998</v>
      </c>
      <c r="CU56" s="10">
        <f t="shared" si="96"/>
        <v>27.169999999999987</v>
      </c>
      <c r="CV56" s="9">
        <f t="shared" si="91"/>
        <v>57.802499999999995</v>
      </c>
      <c r="CW56" s="10">
        <f t="shared" si="92"/>
        <v>61.132499999999972</v>
      </c>
      <c r="CY56" s="8">
        <v>57.802499999999995</v>
      </c>
      <c r="CZ56" s="9">
        <f t="array" ref="CZ56">Summary_UpperBound</f>
        <v>61.132499999999972</v>
      </c>
      <c r="DA56" s="10">
        <f t="shared" si="93"/>
        <v>3.329999999999977</v>
      </c>
    </row>
    <row r="57" spans="2:105" x14ac:dyDescent="0.35">
      <c r="B57" s="14"/>
      <c r="E57" s="14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</row>
    <row r="58" spans="2:105" x14ac:dyDescent="0.35">
      <c r="B58" s="14"/>
      <c r="E58" s="14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</row>
    <row r="59" spans="2:105" x14ac:dyDescent="0.35">
      <c r="B59" s="14"/>
      <c r="E59" s="14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</row>
    <row r="60" spans="2:105" x14ac:dyDescent="0.35">
      <c r="B60" s="14"/>
      <c r="E60" s="14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</row>
    <row r="61" spans="2:105" x14ac:dyDescent="0.35">
      <c r="B61" s="14"/>
      <c r="E61" s="14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</row>
    <row r="62" spans="2:105" x14ac:dyDescent="0.35">
      <c r="B62" s="14"/>
      <c r="E62" s="14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</row>
    <row r="63" spans="2:105" x14ac:dyDescent="0.35">
      <c r="B63" s="14"/>
      <c r="E63" s="14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</row>
    <row r="64" spans="2:105" x14ac:dyDescent="0.35">
      <c r="B64" s="14"/>
      <c r="E64" s="14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</row>
    <row r="65" spans="2:101" x14ac:dyDescent="0.35">
      <c r="B65" s="14"/>
      <c r="E65" s="14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</row>
    <row r="66" spans="2:101" x14ac:dyDescent="0.35">
      <c r="B66" s="14"/>
      <c r="E66" s="14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</row>
    <row r="67" spans="2:101" x14ac:dyDescent="0.35">
      <c r="B67" s="14"/>
      <c r="E67" s="14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</row>
    <row r="68" spans="2:101" x14ac:dyDescent="0.35">
      <c r="B68" s="14"/>
      <c r="E68" s="14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</row>
    <row r="69" spans="2:101" x14ac:dyDescent="0.35">
      <c r="B69" s="14"/>
      <c r="E69" s="14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</row>
    <row r="70" spans="2:101" x14ac:dyDescent="0.35">
      <c r="B70" s="14"/>
      <c r="E70" s="14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</row>
    <row r="71" spans="2:101" x14ac:dyDescent="0.35">
      <c r="B71" s="14"/>
      <c r="E71" s="14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</row>
    <row r="72" spans="2:101" x14ac:dyDescent="0.35">
      <c r="B72" s="14"/>
      <c r="E72" s="14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</row>
    <row r="73" spans="2:101" x14ac:dyDescent="0.35">
      <c r="B73" s="14"/>
      <c r="E73" s="14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</row>
    <row r="74" spans="2:101" x14ac:dyDescent="0.35">
      <c r="B74" s="14"/>
      <c r="E74" s="14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</row>
    <row r="75" spans="2:101" x14ac:dyDescent="0.35">
      <c r="B75" s="14"/>
      <c r="E75" s="14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</row>
    <row r="76" spans="2:101" x14ac:dyDescent="0.35">
      <c r="B76" s="14"/>
      <c r="E76" s="14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</row>
    <row r="77" spans="2:101" x14ac:dyDescent="0.35">
      <c r="B77" s="14"/>
      <c r="E77" s="14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</row>
    <row r="78" spans="2:101" x14ac:dyDescent="0.35">
      <c r="B78" s="14"/>
      <c r="E78" s="14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</row>
    <row r="79" spans="2:101" x14ac:dyDescent="0.35">
      <c r="B79" s="14"/>
      <c r="E79" s="14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</row>
    <row r="80" spans="2:101" x14ac:dyDescent="0.35">
      <c r="B80" s="14"/>
      <c r="E80" s="14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</row>
    <row r="81" spans="2:101" x14ac:dyDescent="0.35">
      <c r="B81" s="14"/>
      <c r="E81" s="14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</row>
    <row r="82" spans="2:101" x14ac:dyDescent="0.35">
      <c r="B82" s="14"/>
      <c r="E82" s="14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</row>
    <row r="83" spans="2:101" x14ac:dyDescent="0.35">
      <c r="B83" s="14"/>
      <c r="E83" s="14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</row>
    <row r="84" spans="2:101" x14ac:dyDescent="0.35">
      <c r="B84" s="14"/>
      <c r="E84" s="14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</row>
    <row r="85" spans="2:101" x14ac:dyDescent="0.35">
      <c r="B85" s="14"/>
      <c r="E85" s="14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</row>
    <row r="86" spans="2:101" x14ac:dyDescent="0.35">
      <c r="B86" s="14"/>
      <c r="E86" s="14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</row>
    <row r="87" spans="2:101" x14ac:dyDescent="0.35">
      <c r="B87" s="14"/>
      <c r="E87" s="14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</row>
    <row r="88" spans="2:101" x14ac:dyDescent="0.35">
      <c r="B88" s="14"/>
      <c r="E88" s="14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</row>
    <row r="89" spans="2:101" x14ac:dyDescent="0.35">
      <c r="B89" s="14"/>
      <c r="E89" s="14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</row>
    <row r="90" spans="2:101" x14ac:dyDescent="0.35">
      <c r="B90" s="14"/>
      <c r="E90" s="14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</row>
    <row r="91" spans="2:101" x14ac:dyDescent="0.35">
      <c r="B91" s="14"/>
      <c r="E91" s="14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</row>
    <row r="92" spans="2:101" x14ac:dyDescent="0.35">
      <c r="B92" s="14"/>
      <c r="E92" s="14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</row>
    <row r="93" spans="2:101" x14ac:dyDescent="0.35">
      <c r="B93" s="14"/>
      <c r="E93" s="14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</row>
    <row r="94" spans="2:101" x14ac:dyDescent="0.35">
      <c r="B94" s="14"/>
      <c r="E94" s="14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</row>
    <row r="95" spans="2:101" x14ac:dyDescent="0.35">
      <c r="B95" s="14"/>
      <c r="E95" s="14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</row>
    <row r="96" spans="2:101" x14ac:dyDescent="0.35">
      <c r="B96" s="14"/>
      <c r="E96" s="14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</row>
    <row r="97" spans="2:101" x14ac:dyDescent="0.35">
      <c r="B97" s="14"/>
      <c r="E97" s="14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</row>
    <row r="98" spans="2:101" x14ac:dyDescent="0.35">
      <c r="B98" s="14"/>
      <c r="E98" s="14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</row>
    <row r="99" spans="2:101" x14ac:dyDescent="0.35">
      <c r="B99" s="14"/>
      <c r="E99" s="14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</row>
    <row r="100" spans="2:101" x14ac:dyDescent="0.35">
      <c r="B100" s="14"/>
      <c r="E100" s="14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</row>
    <row r="101" spans="2:101" x14ac:dyDescent="0.35">
      <c r="B101" s="14"/>
      <c r="E101" s="14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</row>
    <row r="102" spans="2:101" x14ac:dyDescent="0.35">
      <c r="B102" s="14"/>
      <c r="E102" s="14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</row>
    <row r="103" spans="2:101" x14ac:dyDescent="0.35">
      <c r="B103" s="14"/>
      <c r="E103" s="14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</row>
    <row r="104" spans="2:101" x14ac:dyDescent="0.35">
      <c r="B104" s="14"/>
      <c r="E104" s="14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</row>
    <row r="105" spans="2:101" x14ac:dyDescent="0.35">
      <c r="B105" s="14"/>
      <c r="E105" s="14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</row>
    <row r="106" spans="2:101" x14ac:dyDescent="0.35">
      <c r="B106" s="14"/>
      <c r="E106" s="14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</row>
    <row r="107" spans="2:101" x14ac:dyDescent="0.35">
      <c r="B107" s="14"/>
      <c r="E107" s="14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</row>
    <row r="108" spans="2:101" x14ac:dyDescent="0.35">
      <c r="B108" s="14"/>
      <c r="E108" s="14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</row>
    <row r="109" spans="2:101" x14ac:dyDescent="0.35">
      <c r="B109" s="14"/>
      <c r="E109" s="14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</row>
    <row r="110" spans="2:101" x14ac:dyDescent="0.35">
      <c r="B110" s="14"/>
      <c r="E110" s="14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</row>
    <row r="111" spans="2:101" x14ac:dyDescent="0.35">
      <c r="B111" s="14"/>
      <c r="E111" s="14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</row>
    <row r="112" spans="2:101" x14ac:dyDescent="0.35">
      <c r="B112" s="14"/>
      <c r="E112" s="14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</row>
    <row r="113" spans="2:101" x14ac:dyDescent="0.35">
      <c r="B113" s="14"/>
      <c r="E113" s="14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</row>
    <row r="114" spans="2:101" x14ac:dyDescent="0.35">
      <c r="B114" s="14"/>
      <c r="E114" s="14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</row>
    <row r="115" spans="2:101" x14ac:dyDescent="0.35">
      <c r="B115" s="14"/>
      <c r="E115" s="14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</row>
    <row r="116" spans="2:101" x14ac:dyDescent="0.35">
      <c r="B116" s="14"/>
      <c r="E116" s="14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</row>
    <row r="117" spans="2:101" x14ac:dyDescent="0.35">
      <c r="B117" s="14"/>
      <c r="E117" s="14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</row>
    <row r="118" spans="2:101" x14ac:dyDescent="0.35">
      <c r="B118" s="14"/>
      <c r="E118" s="14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</row>
    <row r="119" spans="2:101" x14ac:dyDescent="0.35">
      <c r="B119" s="14"/>
      <c r="E119" s="14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</row>
    <row r="120" spans="2:101" x14ac:dyDescent="0.35">
      <c r="B120" s="14"/>
      <c r="E120" s="14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</row>
    <row r="121" spans="2:101" x14ac:dyDescent="0.35">
      <c r="B121" s="14"/>
      <c r="E121" s="14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</row>
    <row r="122" spans="2:101" x14ac:dyDescent="0.35">
      <c r="B122" s="14"/>
      <c r="E122" s="14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</row>
    <row r="123" spans="2:101" x14ac:dyDescent="0.35">
      <c r="B123" s="14"/>
      <c r="E123" s="14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</row>
    <row r="124" spans="2:101" x14ac:dyDescent="0.35">
      <c r="B124" s="14"/>
      <c r="E124" s="14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</row>
    <row r="125" spans="2:101" x14ac:dyDescent="0.35">
      <c r="B125" s="14"/>
      <c r="E125" s="14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</row>
    <row r="126" spans="2:101" x14ac:dyDescent="0.35">
      <c r="B126" s="14"/>
      <c r="E126" s="14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</row>
    <row r="127" spans="2:101" x14ac:dyDescent="0.35">
      <c r="B127" s="14"/>
      <c r="E127" s="14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</row>
    <row r="128" spans="2:101" x14ac:dyDescent="0.35">
      <c r="B128" s="14"/>
      <c r="E128" s="14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</row>
    <row r="129" spans="2:101" x14ac:dyDescent="0.35">
      <c r="B129" s="14"/>
      <c r="E129" s="14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</row>
    <row r="130" spans="2:101" x14ac:dyDescent="0.35">
      <c r="B130" s="14"/>
      <c r="E130" s="14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</row>
    <row r="131" spans="2:101" x14ac:dyDescent="0.35">
      <c r="B131" s="14"/>
      <c r="E131" s="14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</row>
    <row r="132" spans="2:101" x14ac:dyDescent="0.35">
      <c r="B132" s="14"/>
      <c r="E132" s="14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</row>
    <row r="133" spans="2:101" x14ac:dyDescent="0.35">
      <c r="B133" s="14"/>
      <c r="E133" s="14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</row>
    <row r="134" spans="2:101" x14ac:dyDescent="0.35">
      <c r="B134" s="14"/>
      <c r="E134" s="14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</row>
    <row r="135" spans="2:101" x14ac:dyDescent="0.35">
      <c r="B135" s="14"/>
      <c r="E135" s="14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</row>
    <row r="136" spans="2:101" x14ac:dyDescent="0.35">
      <c r="B136" s="14"/>
      <c r="E136" s="14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</row>
    <row r="137" spans="2:101" x14ac:dyDescent="0.35">
      <c r="B137" s="14"/>
      <c r="E137" s="14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</row>
    <row r="138" spans="2:101" x14ac:dyDescent="0.35">
      <c r="B138" s="14"/>
      <c r="E138" s="14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</row>
    <row r="139" spans="2:101" x14ac:dyDescent="0.35">
      <c r="B139" s="14"/>
      <c r="E139" s="14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</row>
    <row r="140" spans="2:101" x14ac:dyDescent="0.35">
      <c r="B140" s="14"/>
      <c r="E140" s="14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</row>
    <row r="141" spans="2:101" x14ac:dyDescent="0.35">
      <c r="B141" s="14"/>
      <c r="E141" s="14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</row>
    <row r="142" spans="2:101" x14ac:dyDescent="0.35">
      <c r="B142" s="14"/>
      <c r="E142" s="14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</row>
    <row r="143" spans="2:101" x14ac:dyDescent="0.35">
      <c r="B143" s="14"/>
      <c r="E143" s="14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</row>
    <row r="144" spans="2:101" x14ac:dyDescent="0.35">
      <c r="B144" s="14"/>
      <c r="E144" s="14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</row>
    <row r="145" spans="2:101" x14ac:dyDescent="0.35">
      <c r="B145" s="14"/>
      <c r="E145" s="14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</row>
    <row r="146" spans="2:101" x14ac:dyDescent="0.35">
      <c r="B146" s="14"/>
      <c r="E146" s="14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</row>
    <row r="147" spans="2:101" x14ac:dyDescent="0.35">
      <c r="B147" s="14"/>
      <c r="E147" s="14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</row>
    <row r="148" spans="2:101" x14ac:dyDescent="0.35">
      <c r="B148" s="14"/>
      <c r="E148" s="14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</row>
    <row r="149" spans="2:101" x14ac:dyDescent="0.35">
      <c r="B149" s="14"/>
      <c r="E149" s="14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</row>
    <row r="150" spans="2:101" x14ac:dyDescent="0.35">
      <c r="B150" s="14"/>
      <c r="E150" s="14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</row>
    <row r="151" spans="2:101" x14ac:dyDescent="0.35">
      <c r="B151" s="14"/>
      <c r="E151" s="14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</row>
    <row r="152" spans="2:101" x14ac:dyDescent="0.35">
      <c r="B152" s="14"/>
      <c r="E152" s="14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</row>
    <row r="153" spans="2:101" x14ac:dyDescent="0.35">
      <c r="B153" s="14"/>
      <c r="E153" s="14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</row>
    <row r="154" spans="2:101" x14ac:dyDescent="0.35">
      <c r="B154" s="14"/>
      <c r="E154" s="14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</row>
    <row r="155" spans="2:101" x14ac:dyDescent="0.35">
      <c r="B155" s="14"/>
      <c r="E155" s="14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</row>
    <row r="156" spans="2:101" x14ac:dyDescent="0.35">
      <c r="B156" s="14"/>
      <c r="E156" s="14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</row>
    <row r="157" spans="2:101" x14ac:dyDescent="0.35">
      <c r="B157" s="14"/>
      <c r="E157" s="14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</row>
    <row r="158" spans="2:101" x14ac:dyDescent="0.35">
      <c r="B158" s="14"/>
      <c r="E158" s="14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</row>
    <row r="159" spans="2:101" x14ac:dyDescent="0.35">
      <c r="B159" s="14"/>
      <c r="E159" s="14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</row>
    <row r="160" spans="2:101" x14ac:dyDescent="0.35">
      <c r="B160" s="14"/>
      <c r="E160" s="14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</row>
    <row r="161" spans="2:101" x14ac:dyDescent="0.35">
      <c r="B161" s="14"/>
      <c r="E161" s="14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</row>
    <row r="162" spans="2:101" x14ac:dyDescent="0.35">
      <c r="B162" s="14"/>
      <c r="E162" s="14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</row>
    <row r="163" spans="2:101" x14ac:dyDescent="0.35">
      <c r="B163" s="14"/>
      <c r="E163" s="14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</row>
    <row r="164" spans="2:101" x14ac:dyDescent="0.35">
      <c r="B164" s="14"/>
      <c r="E164" s="14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</row>
    <row r="165" spans="2:101" x14ac:dyDescent="0.35">
      <c r="B165" s="14"/>
      <c r="E165" s="14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</row>
    <row r="166" spans="2:101" x14ac:dyDescent="0.35">
      <c r="B166" s="14"/>
      <c r="E166" s="14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</row>
    <row r="167" spans="2:101" x14ac:dyDescent="0.35">
      <c r="B167" s="14"/>
      <c r="E167" s="14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</row>
    <row r="168" spans="2:101" x14ac:dyDescent="0.35">
      <c r="B168" s="14"/>
      <c r="E168" s="14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</row>
    <row r="169" spans="2:101" x14ac:dyDescent="0.35">
      <c r="B169" s="14"/>
      <c r="E169" s="14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</row>
    <row r="170" spans="2:101" x14ac:dyDescent="0.35">
      <c r="B170" s="14"/>
      <c r="E170" s="14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</row>
    <row r="171" spans="2:101" x14ac:dyDescent="0.35">
      <c r="B171" s="14"/>
      <c r="E171" s="14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</row>
    <row r="172" spans="2:101" x14ac:dyDescent="0.35">
      <c r="B172" s="14"/>
      <c r="E172" s="14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</row>
    <row r="173" spans="2:101" x14ac:dyDescent="0.35">
      <c r="B173" s="14"/>
      <c r="E173" s="14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</row>
    <row r="174" spans="2:101" x14ac:dyDescent="0.35">
      <c r="B174" s="14"/>
      <c r="E174" s="14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</row>
    <row r="175" spans="2:101" x14ac:dyDescent="0.35">
      <c r="B175" s="14"/>
      <c r="E175" s="14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</row>
    <row r="176" spans="2:101" x14ac:dyDescent="0.35">
      <c r="B176" s="14"/>
      <c r="E176" s="14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</row>
    <row r="177" spans="2:101" x14ac:dyDescent="0.35">
      <c r="B177" s="14"/>
      <c r="E177" s="14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</row>
    <row r="178" spans="2:101" x14ac:dyDescent="0.35">
      <c r="B178" s="14"/>
      <c r="E178" s="14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</row>
    <row r="179" spans="2:101" x14ac:dyDescent="0.35">
      <c r="B179" s="14"/>
      <c r="E179" s="14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</row>
    <row r="180" spans="2:101" x14ac:dyDescent="0.35">
      <c r="B180" s="14"/>
      <c r="E180" s="14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</row>
    <row r="181" spans="2:101" x14ac:dyDescent="0.35">
      <c r="B181" s="14"/>
      <c r="E181" s="14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</row>
    <row r="182" spans="2:101" x14ac:dyDescent="0.35">
      <c r="B182" s="14"/>
      <c r="E182" s="14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</row>
    <row r="183" spans="2:101" x14ac:dyDescent="0.35">
      <c r="B183" s="14"/>
      <c r="E183" s="14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</row>
    <row r="184" spans="2:101" x14ac:dyDescent="0.35">
      <c r="B184" s="14"/>
      <c r="E184" s="14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</row>
    <row r="185" spans="2:101" x14ac:dyDescent="0.35">
      <c r="B185" s="14"/>
      <c r="E185" s="14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</row>
    <row r="186" spans="2:101" x14ac:dyDescent="0.35">
      <c r="B186" s="14"/>
      <c r="E186" s="14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</row>
    <row r="187" spans="2:101" x14ac:dyDescent="0.35">
      <c r="B187" s="14"/>
      <c r="E187" s="14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</row>
    <row r="188" spans="2:101" x14ac:dyDescent="0.35">
      <c r="B188" s="14"/>
      <c r="E188" s="14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</row>
    <row r="189" spans="2:101" x14ac:dyDescent="0.35">
      <c r="B189" s="14"/>
      <c r="E189" s="14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</row>
    <row r="190" spans="2:101" x14ac:dyDescent="0.35">
      <c r="B190" s="14"/>
      <c r="E190" s="14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</row>
    <row r="191" spans="2:101" x14ac:dyDescent="0.35">
      <c r="B191" s="14"/>
      <c r="E191" s="14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</row>
    <row r="192" spans="2:101" x14ac:dyDescent="0.35">
      <c r="B192" s="14"/>
      <c r="E192" s="14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</row>
    <row r="193" spans="2:101" x14ac:dyDescent="0.35">
      <c r="B193" s="14"/>
      <c r="E193" s="14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</row>
    <row r="194" spans="2:101" x14ac:dyDescent="0.35">
      <c r="B194" s="14"/>
      <c r="E194" s="14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</row>
    <row r="195" spans="2:101" x14ac:dyDescent="0.35">
      <c r="B195" s="14"/>
      <c r="E195" s="14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</row>
    <row r="196" spans="2:101" x14ac:dyDescent="0.35">
      <c r="B196" s="14"/>
      <c r="E196" s="14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</row>
    <row r="197" spans="2:101" x14ac:dyDescent="0.35">
      <c r="B197" s="14"/>
      <c r="E197" s="14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</row>
    <row r="198" spans="2:101" x14ac:dyDescent="0.35">
      <c r="B198" s="14"/>
      <c r="E198" s="14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</row>
    <row r="199" spans="2:101" x14ac:dyDescent="0.35">
      <c r="B199" s="14"/>
      <c r="E199" s="14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</row>
    <row r="200" spans="2:101" x14ac:dyDescent="0.35">
      <c r="B200" s="14"/>
      <c r="E200" s="14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</row>
    <row r="201" spans="2:101" x14ac:dyDescent="0.35">
      <c r="B201" s="14"/>
      <c r="E201" s="14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</row>
    <row r="202" spans="2:101" x14ac:dyDescent="0.35">
      <c r="B202" s="14"/>
      <c r="E202" s="14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</row>
    <row r="203" spans="2:101" x14ac:dyDescent="0.35">
      <c r="B203" s="14"/>
      <c r="E203" s="14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</row>
    <row r="204" spans="2:101" x14ac:dyDescent="0.35">
      <c r="B204" s="14"/>
      <c r="E204" s="14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</row>
    <row r="205" spans="2:101" x14ac:dyDescent="0.35">
      <c r="B205" s="14"/>
      <c r="E205" s="14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</row>
    <row r="206" spans="2:101" x14ac:dyDescent="0.35">
      <c r="B206" s="14"/>
      <c r="E206" s="14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</row>
    <row r="207" spans="2:101" x14ac:dyDescent="0.35">
      <c r="B207" s="14"/>
      <c r="E207" s="14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</row>
    <row r="208" spans="2:101" x14ac:dyDescent="0.35">
      <c r="B208" s="14"/>
      <c r="E208" s="14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</row>
    <row r="209" spans="2:101" x14ac:dyDescent="0.35">
      <c r="B209" s="14"/>
      <c r="E209" s="14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</row>
    <row r="210" spans="2:101" x14ac:dyDescent="0.35">
      <c r="B210" s="14"/>
      <c r="E210" s="14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</row>
    <row r="211" spans="2:101" x14ac:dyDescent="0.35">
      <c r="B211" s="14"/>
      <c r="E211" s="14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</row>
    <row r="212" spans="2:101" x14ac:dyDescent="0.35">
      <c r="B212" s="14"/>
      <c r="E212" s="14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</row>
    <row r="213" spans="2:101" x14ac:dyDescent="0.35">
      <c r="B213" s="14"/>
      <c r="E213" s="14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</row>
    <row r="214" spans="2:101" x14ac:dyDescent="0.35">
      <c r="B214" s="14"/>
      <c r="E214" s="14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</row>
    <row r="215" spans="2:101" x14ac:dyDescent="0.35">
      <c r="B215" s="14"/>
      <c r="E215" s="14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</row>
    <row r="216" spans="2:101" x14ac:dyDescent="0.35">
      <c r="B216" s="14"/>
      <c r="E216" s="14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</row>
    <row r="217" spans="2:101" x14ac:dyDescent="0.35">
      <c r="B217" s="14"/>
      <c r="E217" s="14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</row>
    <row r="218" spans="2:101" x14ac:dyDescent="0.35">
      <c r="B218" s="14"/>
      <c r="E218" s="14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</row>
    <row r="219" spans="2:101" x14ac:dyDescent="0.35">
      <c r="B219" s="14"/>
      <c r="E219" s="14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</row>
    <row r="220" spans="2:101" x14ac:dyDescent="0.35">
      <c r="B220" s="14"/>
      <c r="E220" s="14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</row>
    <row r="221" spans="2:101" x14ac:dyDescent="0.35">
      <c r="B221" s="14"/>
      <c r="E221" s="14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</row>
    <row r="222" spans="2:101" x14ac:dyDescent="0.35">
      <c r="B222" s="14"/>
      <c r="E222" s="14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</row>
    <row r="223" spans="2:101" x14ac:dyDescent="0.35">
      <c r="B223" s="14"/>
      <c r="E223" s="14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</row>
    <row r="224" spans="2:101" x14ac:dyDescent="0.35">
      <c r="B224" s="14"/>
      <c r="E224" s="14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</row>
    <row r="225" spans="2:101" x14ac:dyDescent="0.35">
      <c r="B225" s="14"/>
      <c r="E225" s="14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</row>
    <row r="226" spans="2:101" x14ac:dyDescent="0.35">
      <c r="B226" s="14"/>
      <c r="E226" s="14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</row>
    <row r="227" spans="2:101" x14ac:dyDescent="0.35">
      <c r="B227" s="14"/>
      <c r="E227" s="14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</row>
    <row r="228" spans="2:101" x14ac:dyDescent="0.35">
      <c r="B228" s="14"/>
      <c r="E228" s="14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</row>
    <row r="229" spans="2:101" x14ac:dyDescent="0.35">
      <c r="B229" s="14"/>
      <c r="E229" s="14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</row>
    <row r="230" spans="2:101" x14ac:dyDescent="0.35">
      <c r="B230" s="14"/>
      <c r="E230" s="14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</row>
    <row r="231" spans="2:101" x14ac:dyDescent="0.35">
      <c r="B231" s="14"/>
      <c r="E231" s="14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</row>
    <row r="232" spans="2:101" x14ac:dyDescent="0.35">
      <c r="B232" s="14"/>
      <c r="E232" s="14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</row>
    <row r="233" spans="2:101" x14ac:dyDescent="0.35">
      <c r="B233" s="14"/>
      <c r="E233" s="14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</row>
    <row r="234" spans="2:101" x14ac:dyDescent="0.35">
      <c r="B234" s="14"/>
      <c r="E234" s="14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</row>
    <row r="235" spans="2:101" x14ac:dyDescent="0.35">
      <c r="B235" s="14"/>
      <c r="E235" s="14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</row>
    <row r="236" spans="2:101" x14ac:dyDescent="0.35">
      <c r="B236" s="14"/>
      <c r="E236" s="14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</row>
    <row r="237" spans="2:101" x14ac:dyDescent="0.35">
      <c r="B237" s="14"/>
      <c r="E237" s="14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</row>
    <row r="238" spans="2:101" x14ac:dyDescent="0.35">
      <c r="B238" s="14"/>
      <c r="E238" s="14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</row>
    <row r="239" spans="2:101" x14ac:dyDescent="0.35">
      <c r="B239" s="14"/>
      <c r="E239" s="14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</row>
    <row r="240" spans="2:101" x14ac:dyDescent="0.35">
      <c r="B240" s="14"/>
      <c r="E240" s="14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</row>
    <row r="241" spans="2:101" x14ac:dyDescent="0.35">
      <c r="B241" s="14"/>
      <c r="E241" s="14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</row>
    <row r="242" spans="2:101" x14ac:dyDescent="0.35">
      <c r="B242" s="14"/>
      <c r="E242" s="14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</row>
    <row r="243" spans="2:101" x14ac:dyDescent="0.35">
      <c r="B243" s="14"/>
      <c r="E243" s="14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</row>
    <row r="244" spans="2:101" x14ac:dyDescent="0.35">
      <c r="B244" s="14"/>
      <c r="E244" s="14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</row>
    <row r="245" spans="2:101" x14ac:dyDescent="0.35">
      <c r="B245" s="14"/>
      <c r="E245" s="14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</row>
    <row r="246" spans="2:101" x14ac:dyDescent="0.35">
      <c r="B246" s="14"/>
      <c r="E246" s="14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</row>
    <row r="247" spans="2:101" x14ac:dyDescent="0.35">
      <c r="B247" s="14"/>
      <c r="E247" s="14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</row>
    <row r="248" spans="2:101" x14ac:dyDescent="0.35">
      <c r="B248" s="14"/>
      <c r="E248" s="14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</row>
    <row r="249" spans="2:101" x14ac:dyDescent="0.35">
      <c r="B249" s="14"/>
      <c r="E249" s="14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</row>
    <row r="250" spans="2:101" x14ac:dyDescent="0.35">
      <c r="B250" s="14"/>
      <c r="E250" s="14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</row>
    <row r="251" spans="2:101" x14ac:dyDescent="0.35">
      <c r="B251" s="14"/>
      <c r="E251" s="14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</row>
    <row r="252" spans="2:101" x14ac:dyDescent="0.35">
      <c r="B252" s="14"/>
      <c r="E252" s="14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</row>
    <row r="253" spans="2:101" x14ac:dyDescent="0.35">
      <c r="B253" s="14"/>
      <c r="E253" s="14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</row>
    <row r="254" spans="2:101" x14ac:dyDescent="0.35">
      <c r="B254" s="14"/>
      <c r="E254" s="14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</row>
    <row r="255" spans="2:101" x14ac:dyDescent="0.35">
      <c r="B255" s="14"/>
      <c r="E255" s="14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</row>
    <row r="256" spans="2:101" x14ac:dyDescent="0.35">
      <c r="B256" s="14"/>
      <c r="E256" s="14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</row>
    <row r="257" spans="2:101" x14ac:dyDescent="0.35">
      <c r="B257" s="14"/>
      <c r="E257" s="14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</row>
    <row r="258" spans="2:101" x14ac:dyDescent="0.35">
      <c r="B258" s="14"/>
      <c r="E258" s="14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</row>
    <row r="259" spans="2:101" x14ac:dyDescent="0.35">
      <c r="B259" s="14"/>
      <c r="E259" s="14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</row>
    <row r="260" spans="2:101" x14ac:dyDescent="0.35">
      <c r="B260" s="14"/>
      <c r="E260" s="14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</row>
    <row r="261" spans="2:101" x14ac:dyDescent="0.35">
      <c r="B261" s="14"/>
      <c r="E261" s="14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</row>
    <row r="262" spans="2:101" x14ac:dyDescent="0.35">
      <c r="B262" s="14"/>
      <c r="E262" s="14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</row>
    <row r="263" spans="2:101" x14ac:dyDescent="0.35">
      <c r="B263" s="14"/>
      <c r="E263" s="14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</row>
    <row r="264" spans="2:101" x14ac:dyDescent="0.35">
      <c r="B264" s="14"/>
      <c r="E264" s="14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</row>
    <row r="265" spans="2:101" x14ac:dyDescent="0.35">
      <c r="B265" s="14"/>
      <c r="E265" s="2"/>
    </row>
    <row r="266" spans="2:101" x14ac:dyDescent="0.35">
      <c r="B266" s="14"/>
      <c r="E266" s="2"/>
    </row>
    <row r="267" spans="2:101" x14ac:dyDescent="0.35">
      <c r="B267" s="14"/>
      <c r="E267" s="2"/>
    </row>
    <row r="268" spans="2:101" x14ac:dyDescent="0.35">
      <c r="B268" s="14"/>
      <c r="E268" s="2"/>
    </row>
    <row r="269" spans="2:101" x14ac:dyDescent="0.35">
      <c r="B269" s="14"/>
      <c r="E269" s="2"/>
    </row>
    <row r="270" spans="2:101" x14ac:dyDescent="0.35">
      <c r="B270" s="14"/>
      <c r="E270" s="2"/>
    </row>
    <row r="271" spans="2:101" x14ac:dyDescent="0.35">
      <c r="B271" s="14"/>
      <c r="E271" s="2"/>
    </row>
    <row r="272" spans="2:101" x14ac:dyDescent="0.35">
      <c r="B272" s="14"/>
      <c r="E272" s="2"/>
    </row>
    <row r="273" spans="2:5" x14ac:dyDescent="0.35">
      <c r="B273" s="14"/>
      <c r="E273" s="2"/>
    </row>
    <row r="274" spans="2:5" x14ac:dyDescent="0.35">
      <c r="B274" s="14"/>
      <c r="E274" s="2"/>
    </row>
    <row r="275" spans="2:5" x14ac:dyDescent="0.35">
      <c r="B275" s="14"/>
      <c r="E275" s="2"/>
    </row>
    <row r="276" spans="2:5" x14ac:dyDescent="0.35">
      <c r="B276" s="14"/>
      <c r="E276" s="2"/>
    </row>
    <row r="277" spans="2:5" x14ac:dyDescent="0.35">
      <c r="B277" s="14"/>
      <c r="E277" s="2"/>
    </row>
    <row r="278" spans="2:5" x14ac:dyDescent="0.35">
      <c r="B278" s="14"/>
      <c r="E278" s="2"/>
    </row>
    <row r="279" spans="2:5" x14ac:dyDescent="0.35">
      <c r="B279" s="14"/>
      <c r="E279" s="2"/>
    </row>
    <row r="280" spans="2:5" x14ac:dyDescent="0.35">
      <c r="B280" s="14"/>
      <c r="E280" s="2"/>
    </row>
    <row r="281" spans="2:5" x14ac:dyDescent="0.35">
      <c r="B281" s="14"/>
      <c r="E281" s="2"/>
    </row>
    <row r="282" spans="2:5" x14ac:dyDescent="0.35">
      <c r="B282" s="14"/>
      <c r="E282" s="2"/>
    </row>
    <row r="283" spans="2:5" x14ac:dyDescent="0.35">
      <c r="B283" s="14"/>
      <c r="E283" s="2"/>
    </row>
    <row r="284" spans="2:5" x14ac:dyDescent="0.35">
      <c r="B284" s="14"/>
      <c r="E284" s="2"/>
    </row>
    <row r="285" spans="2:5" x14ac:dyDescent="0.35">
      <c r="B285" s="14"/>
      <c r="E285" s="2"/>
    </row>
    <row r="286" spans="2:5" x14ac:dyDescent="0.35">
      <c r="B286" s="14"/>
      <c r="E286" s="2"/>
    </row>
    <row r="287" spans="2:5" x14ac:dyDescent="0.35">
      <c r="B287" s="14"/>
      <c r="E287" s="2"/>
    </row>
    <row r="288" spans="2:5" x14ac:dyDescent="0.35">
      <c r="B288" s="14"/>
      <c r="E288" s="2"/>
    </row>
    <row r="289" spans="2:5" x14ac:dyDescent="0.35">
      <c r="B289" s="14"/>
      <c r="E289" s="2"/>
    </row>
    <row r="290" spans="2:5" x14ac:dyDescent="0.35">
      <c r="B290" s="14"/>
      <c r="E290" s="2"/>
    </row>
    <row r="291" spans="2:5" x14ac:dyDescent="0.35">
      <c r="B291" s="14"/>
      <c r="E291" s="2"/>
    </row>
    <row r="292" spans="2:5" x14ac:dyDescent="0.35">
      <c r="B292" s="14"/>
      <c r="E292" s="2"/>
    </row>
    <row r="293" spans="2:5" x14ac:dyDescent="0.35">
      <c r="B293" s="14"/>
      <c r="E293" s="2"/>
    </row>
    <row r="294" spans="2:5" x14ac:dyDescent="0.35">
      <c r="B294" s="14"/>
      <c r="E294" s="2"/>
    </row>
    <row r="295" spans="2:5" x14ac:dyDescent="0.35">
      <c r="B295" s="14"/>
      <c r="E295" s="2"/>
    </row>
    <row r="296" spans="2:5" x14ac:dyDescent="0.35">
      <c r="B296" s="14"/>
      <c r="E296" s="2"/>
    </row>
    <row r="297" spans="2:5" x14ac:dyDescent="0.35">
      <c r="B297" s="14"/>
      <c r="E297" s="2"/>
    </row>
    <row r="298" spans="2:5" x14ac:dyDescent="0.35">
      <c r="B298" s="14"/>
      <c r="E298" s="2"/>
    </row>
    <row r="299" spans="2:5" x14ac:dyDescent="0.35">
      <c r="B299" s="14"/>
      <c r="E299" s="2"/>
    </row>
    <row r="300" spans="2:5" x14ac:dyDescent="0.35">
      <c r="B300" s="14"/>
      <c r="E300" s="2"/>
    </row>
    <row r="301" spans="2:5" x14ac:dyDescent="0.35">
      <c r="B301" s="14"/>
      <c r="E301" s="2"/>
    </row>
    <row r="302" spans="2:5" x14ac:dyDescent="0.35">
      <c r="B302" s="14"/>
      <c r="E302" s="2"/>
    </row>
    <row r="303" spans="2:5" x14ac:dyDescent="0.35">
      <c r="B303" s="14"/>
      <c r="E303" s="2"/>
    </row>
    <row r="304" spans="2:5" x14ac:dyDescent="0.35">
      <c r="B304" s="14"/>
      <c r="E304" s="2"/>
    </row>
    <row r="305" spans="2:5" x14ac:dyDescent="0.35">
      <c r="B305" s="14"/>
      <c r="E305" s="2"/>
    </row>
    <row r="306" spans="2:5" x14ac:dyDescent="0.35">
      <c r="B306" s="14"/>
      <c r="E306" s="2"/>
    </row>
    <row r="307" spans="2:5" x14ac:dyDescent="0.35">
      <c r="B307" s="14"/>
      <c r="E307" s="2"/>
    </row>
    <row r="308" spans="2:5" x14ac:dyDescent="0.35">
      <c r="B308" s="14"/>
      <c r="E308" s="2"/>
    </row>
    <row r="309" spans="2:5" x14ac:dyDescent="0.35">
      <c r="B309" s="14"/>
      <c r="E309" s="2"/>
    </row>
    <row r="310" spans="2:5" x14ac:dyDescent="0.35">
      <c r="B310" s="14"/>
      <c r="E310" s="2"/>
    </row>
    <row r="311" spans="2:5" x14ac:dyDescent="0.35">
      <c r="B311" s="14"/>
      <c r="E311" s="2"/>
    </row>
    <row r="312" spans="2:5" x14ac:dyDescent="0.35">
      <c r="B312" s="14"/>
      <c r="E312" s="2"/>
    </row>
    <row r="313" spans="2:5" x14ac:dyDescent="0.35">
      <c r="B313" s="14"/>
      <c r="E313" s="2"/>
    </row>
    <row r="314" spans="2:5" x14ac:dyDescent="0.35">
      <c r="B314" s="14"/>
      <c r="E314" s="2"/>
    </row>
    <row r="315" spans="2:5" x14ac:dyDescent="0.35">
      <c r="B315" s="14"/>
      <c r="E315" s="2"/>
    </row>
    <row r="316" spans="2:5" x14ac:dyDescent="0.35">
      <c r="B316" s="14"/>
      <c r="E316" s="2"/>
    </row>
    <row r="317" spans="2:5" x14ac:dyDescent="0.35">
      <c r="B317" s="14"/>
      <c r="E317" s="2"/>
    </row>
    <row r="318" spans="2:5" x14ac:dyDescent="0.35">
      <c r="B318" s="14"/>
      <c r="E318" s="2"/>
    </row>
    <row r="319" spans="2:5" x14ac:dyDescent="0.35">
      <c r="B319" s="14"/>
      <c r="E319" s="2"/>
    </row>
    <row r="320" spans="2:5" x14ac:dyDescent="0.35">
      <c r="B320" s="14"/>
      <c r="E320" s="2"/>
    </row>
    <row r="321" spans="2:5" x14ac:dyDescent="0.35">
      <c r="B321" s="14"/>
      <c r="E321" s="2"/>
    </row>
    <row r="322" spans="2:5" x14ac:dyDescent="0.35">
      <c r="B322" s="14"/>
      <c r="E322" s="2"/>
    </row>
    <row r="323" spans="2:5" x14ac:dyDescent="0.35">
      <c r="B323" s="14"/>
      <c r="E323" s="2"/>
    </row>
    <row r="324" spans="2:5" x14ac:dyDescent="0.35">
      <c r="B324" s="14"/>
      <c r="E324" s="2"/>
    </row>
    <row r="325" spans="2:5" x14ac:dyDescent="0.35">
      <c r="B325" s="14"/>
      <c r="E325" s="2"/>
    </row>
    <row r="326" spans="2:5" x14ac:dyDescent="0.35">
      <c r="B326" s="14"/>
      <c r="E326" s="2"/>
    </row>
    <row r="327" spans="2:5" x14ac:dyDescent="0.35">
      <c r="B327" s="14"/>
      <c r="E327" s="2"/>
    </row>
    <row r="328" spans="2:5" x14ac:dyDescent="0.35">
      <c r="B328" s="14"/>
      <c r="E328" s="2"/>
    </row>
    <row r="329" spans="2:5" x14ac:dyDescent="0.35">
      <c r="B329" s="14"/>
      <c r="E329" s="2"/>
    </row>
    <row r="330" spans="2:5" x14ac:dyDescent="0.35">
      <c r="B330" s="14"/>
      <c r="E330" s="2"/>
    </row>
    <row r="331" spans="2:5" x14ac:dyDescent="0.35">
      <c r="B331" s="14"/>
      <c r="E331" s="2"/>
    </row>
    <row r="332" spans="2:5" x14ac:dyDescent="0.35">
      <c r="B332" s="14"/>
      <c r="E332" s="2"/>
    </row>
    <row r="333" spans="2:5" x14ac:dyDescent="0.35">
      <c r="B333" s="14"/>
      <c r="E333" s="2"/>
    </row>
    <row r="334" spans="2:5" x14ac:dyDescent="0.35">
      <c r="B334" s="14"/>
      <c r="E334" s="2"/>
    </row>
    <row r="335" spans="2:5" x14ac:dyDescent="0.35">
      <c r="B335" s="14"/>
      <c r="E335" s="2"/>
    </row>
    <row r="336" spans="2:5" x14ac:dyDescent="0.35">
      <c r="B336" s="14"/>
      <c r="E336" s="2"/>
    </row>
    <row r="337" spans="2:5" x14ac:dyDescent="0.35">
      <c r="B337" s="14"/>
      <c r="E337" s="2"/>
    </row>
    <row r="338" spans="2:5" x14ac:dyDescent="0.35">
      <c r="B338" s="14"/>
      <c r="E338" s="2"/>
    </row>
    <row r="339" spans="2:5" x14ac:dyDescent="0.35">
      <c r="B339" s="14"/>
      <c r="E339" s="2"/>
    </row>
    <row r="340" spans="2:5" x14ac:dyDescent="0.35">
      <c r="B340" s="14"/>
      <c r="E340" s="2"/>
    </row>
    <row r="341" spans="2:5" x14ac:dyDescent="0.35">
      <c r="B341" s="14"/>
      <c r="E341" s="2"/>
    </row>
    <row r="342" spans="2:5" x14ac:dyDescent="0.35">
      <c r="B342" s="14"/>
      <c r="E342" s="2"/>
    </row>
    <row r="343" spans="2:5" x14ac:dyDescent="0.35">
      <c r="B343" s="14"/>
      <c r="E343" s="2"/>
    </row>
    <row r="344" spans="2:5" x14ac:dyDescent="0.35">
      <c r="B344" s="14"/>
      <c r="E344" s="2"/>
    </row>
    <row r="345" spans="2:5" x14ac:dyDescent="0.35">
      <c r="B345" s="14"/>
      <c r="E345" s="2"/>
    </row>
    <row r="346" spans="2:5" x14ac:dyDescent="0.35">
      <c r="B346" s="14"/>
      <c r="E346" s="2"/>
    </row>
    <row r="347" spans="2:5" x14ac:dyDescent="0.35">
      <c r="B347" s="14"/>
      <c r="E347" s="2"/>
    </row>
    <row r="348" spans="2:5" x14ac:dyDescent="0.35">
      <c r="B348" s="14"/>
      <c r="E348" s="2"/>
    </row>
    <row r="349" spans="2:5" x14ac:dyDescent="0.35">
      <c r="B349" s="14"/>
      <c r="E349" s="2"/>
    </row>
    <row r="350" spans="2:5" x14ac:dyDescent="0.35">
      <c r="B350" s="14"/>
      <c r="E350" s="2"/>
    </row>
    <row r="351" spans="2:5" x14ac:dyDescent="0.35">
      <c r="B351" s="14"/>
      <c r="E351" s="2"/>
    </row>
    <row r="352" spans="2:5" x14ac:dyDescent="0.35">
      <c r="B352" s="14"/>
      <c r="E352" s="2"/>
    </row>
    <row r="353" spans="2:5" x14ac:dyDescent="0.35">
      <c r="B353" s="14"/>
      <c r="E353" s="2"/>
    </row>
    <row r="354" spans="2:5" x14ac:dyDescent="0.35">
      <c r="B354" s="14"/>
      <c r="E354" s="2"/>
    </row>
    <row r="355" spans="2:5" x14ac:dyDescent="0.35">
      <c r="B355" s="14"/>
      <c r="E355" s="2"/>
    </row>
    <row r="356" spans="2:5" x14ac:dyDescent="0.35">
      <c r="B356" s="14"/>
      <c r="E356" s="2"/>
    </row>
    <row r="357" spans="2:5" x14ac:dyDescent="0.35">
      <c r="B357" s="14"/>
      <c r="E357" s="2"/>
    </row>
    <row r="358" spans="2:5" x14ac:dyDescent="0.35">
      <c r="B358" s="14"/>
      <c r="E358" s="2"/>
    </row>
    <row r="359" spans="2:5" x14ac:dyDescent="0.35">
      <c r="B359" s="14"/>
      <c r="E359" s="2"/>
    </row>
    <row r="360" spans="2:5" x14ac:dyDescent="0.35">
      <c r="B360" s="14"/>
      <c r="E360" s="2"/>
    </row>
    <row r="361" spans="2:5" x14ac:dyDescent="0.35">
      <c r="B361" s="14"/>
      <c r="E361" s="2"/>
    </row>
    <row r="362" spans="2:5" x14ac:dyDescent="0.35">
      <c r="B362" s="14"/>
      <c r="E362" s="2"/>
    </row>
    <row r="363" spans="2:5" x14ac:dyDescent="0.35">
      <c r="B363" s="14"/>
      <c r="E363" s="2"/>
    </row>
    <row r="364" spans="2:5" x14ac:dyDescent="0.35">
      <c r="B364" s="14"/>
      <c r="E364" s="2"/>
    </row>
    <row r="365" spans="2:5" x14ac:dyDescent="0.35">
      <c r="B365" s="14"/>
      <c r="E365" s="2"/>
    </row>
    <row r="366" spans="2:5" x14ac:dyDescent="0.35">
      <c r="B366" s="14"/>
      <c r="E366" s="2"/>
    </row>
    <row r="367" spans="2:5" x14ac:dyDescent="0.35">
      <c r="B367" s="14"/>
      <c r="E367" s="2"/>
    </row>
    <row r="368" spans="2:5" x14ac:dyDescent="0.35">
      <c r="B368" s="14"/>
      <c r="E368" s="2"/>
    </row>
    <row r="369" spans="2:5" x14ac:dyDescent="0.35">
      <c r="B369" s="14"/>
      <c r="E369" s="2"/>
    </row>
    <row r="370" spans="2:5" x14ac:dyDescent="0.35">
      <c r="B370" s="14"/>
      <c r="E370" s="2"/>
    </row>
    <row r="371" spans="2:5" x14ac:dyDescent="0.35">
      <c r="B371" s="14"/>
      <c r="E371" s="2"/>
    </row>
    <row r="372" spans="2:5" x14ac:dyDescent="0.35">
      <c r="B372" s="14"/>
      <c r="E372" s="2"/>
    </row>
    <row r="373" spans="2:5" x14ac:dyDescent="0.35">
      <c r="B373" s="14"/>
      <c r="E373" s="2"/>
    </row>
    <row r="374" spans="2:5" x14ac:dyDescent="0.35">
      <c r="B374" s="14"/>
      <c r="E374" s="2"/>
    </row>
    <row r="375" spans="2:5" x14ac:dyDescent="0.35">
      <c r="B375" s="14"/>
      <c r="E375" s="2"/>
    </row>
    <row r="376" spans="2:5" x14ac:dyDescent="0.35">
      <c r="B376" s="14"/>
      <c r="E376" s="2"/>
    </row>
    <row r="377" spans="2:5" x14ac:dyDescent="0.35">
      <c r="B377" s="14"/>
      <c r="E377" s="2"/>
    </row>
    <row r="378" spans="2:5" x14ac:dyDescent="0.35">
      <c r="B378" s="14"/>
      <c r="E378" s="2"/>
    </row>
    <row r="379" spans="2:5" x14ac:dyDescent="0.35">
      <c r="B379" s="14"/>
      <c r="E379" s="2"/>
    </row>
    <row r="380" spans="2:5" x14ac:dyDescent="0.35">
      <c r="B380" s="14"/>
      <c r="E380" s="2"/>
    </row>
    <row r="381" spans="2:5" x14ac:dyDescent="0.35">
      <c r="B381" s="14"/>
      <c r="E381" s="2"/>
    </row>
    <row r="382" spans="2:5" x14ac:dyDescent="0.35">
      <c r="B382" s="14"/>
      <c r="E382" s="2"/>
    </row>
    <row r="383" spans="2:5" x14ac:dyDescent="0.35">
      <c r="B383" s="14"/>
      <c r="E383" s="2"/>
    </row>
    <row r="384" spans="2:5" x14ac:dyDescent="0.35">
      <c r="B384" s="14"/>
      <c r="E384" s="2"/>
    </row>
    <row r="385" spans="2:5" x14ac:dyDescent="0.35">
      <c r="B385" s="14"/>
      <c r="E385" s="2"/>
    </row>
    <row r="386" spans="2:5" x14ac:dyDescent="0.35">
      <c r="B386" s="14"/>
    </row>
    <row r="387" spans="2:5" x14ac:dyDescent="0.35">
      <c r="B387" s="14"/>
    </row>
    <row r="388" spans="2:5" x14ac:dyDescent="0.35">
      <c r="B388" s="14"/>
    </row>
    <row r="389" spans="2:5" x14ac:dyDescent="0.35">
      <c r="B389" s="14"/>
    </row>
    <row r="390" spans="2:5" x14ac:dyDescent="0.35">
      <c r="B390" s="14"/>
    </row>
    <row r="391" spans="2:5" x14ac:dyDescent="0.35">
      <c r="B391" s="14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6EAE8-45F5-4E1C-B5F0-90B86B82D3D3}">
  <sheetPr codeName="Sheet8"/>
  <dimension ref="B2:X12"/>
  <sheetViews>
    <sheetView showGridLines="0" workbookViewId="0">
      <selection activeCell="B8" sqref="B8"/>
    </sheetView>
  </sheetViews>
  <sheetFormatPr defaultRowHeight="14.5" x14ac:dyDescent="0.35"/>
  <cols>
    <col min="2" max="2" width="16.08984375" customWidth="1"/>
    <col min="3" max="3" width="11" customWidth="1"/>
    <col min="4" max="11" width="9.90625" hidden="1" customWidth="1"/>
    <col min="12" max="17" width="10.90625" hidden="1" customWidth="1"/>
    <col min="18" max="18" width="14" bestFit="1" customWidth="1"/>
    <col min="23" max="23" width="12" customWidth="1"/>
  </cols>
  <sheetData>
    <row r="2" spans="2:24" ht="15" thickBot="1" x14ac:dyDescent="0.4">
      <c r="C2" t="s">
        <v>123</v>
      </c>
    </row>
    <row r="3" spans="2:24" ht="44" thickBot="1" x14ac:dyDescent="0.4">
      <c r="B3" s="57" t="s">
        <v>120</v>
      </c>
      <c r="C3" s="29" t="str" cm="1">
        <f t="array" ref="C3">INDEX('Data Validation (Hide)'!$B$2:$B$16,COLUMN(A1),1)</f>
        <v>Caseload 1</v>
      </c>
      <c r="D3" s="30" t="str" cm="1">
        <f t="array" ref="D3">INDEX('Data Validation (Hide)'!$B$2:$B$16,COLUMN(B1),1)</f>
        <v>Medium</v>
      </c>
      <c r="E3" s="30" t="str" cm="1">
        <f t="array" ref="E3">INDEX('Data Validation (Hide)'!$B$2:$B$16,COLUMN(C1),1)</f>
        <v>low</v>
      </c>
      <c r="F3" s="30" t="str" cm="1">
        <f t="array" ref="F3">INDEX('Data Validation (Hide)'!$B$2:$B$16,COLUMN(D1),1)</f>
        <v>very low</v>
      </c>
      <c r="G3" s="30" t="str" cm="1">
        <f t="array" ref="G3">INDEX('Data Validation (Hide)'!$B$2:$B$16,COLUMN(E1),1)</f>
        <v>Caseload 5</v>
      </c>
      <c r="H3" s="30" t="str" cm="1">
        <f t="array" ref="H3">INDEX('Data Validation (Hide)'!$B$2:$B$16,COLUMN(F1),1)</f>
        <v>Caseload 6</v>
      </c>
      <c r="I3" s="30" t="str" cm="1">
        <f t="array" ref="I3">INDEX('Data Validation (Hide)'!$B$2:$B$16,COLUMN(G1),1)</f>
        <v>Caseload 7</v>
      </c>
      <c r="J3" s="30" t="str" cm="1">
        <f t="array" ref="J3">INDEX('Data Validation (Hide)'!$B$2:$B$16,COLUMN(H1),1)</f>
        <v>Caseload 8</v>
      </c>
      <c r="K3" s="30" t="str" cm="1">
        <f t="array" ref="K3">INDEX('Data Validation (Hide)'!$B$2:$B$16,COLUMN(I1),1)</f>
        <v>Caseload 9</v>
      </c>
      <c r="L3" s="30" t="str" cm="1">
        <f t="array" ref="L3">INDEX('Data Validation (Hide)'!$B$2:$B$16,COLUMN(J1),1)</f>
        <v>Caseload 10</v>
      </c>
      <c r="M3" s="30" t="str" cm="1">
        <f t="array" ref="M3">INDEX('Data Validation (Hide)'!$B$2:$B$16,COLUMN(K1),1)</f>
        <v>Caseload 11</v>
      </c>
      <c r="N3" s="30" t="str" cm="1">
        <f t="array" ref="N3">INDEX('Data Validation (Hide)'!$B$2:$B$16,COLUMN(L1),1)</f>
        <v>Caseload 12</v>
      </c>
      <c r="O3" s="30" t="str" cm="1">
        <f t="array" ref="O3">INDEX('Data Validation (Hide)'!$B$2:$B$16,COLUMN(M1),1)</f>
        <v>Caseload 13</v>
      </c>
      <c r="P3" s="30" t="str" cm="1">
        <f t="array" ref="P3">INDEX('Data Validation (Hide)'!$B$2:$B$16,COLUMN(N1),1)</f>
        <v>Caseload 14</v>
      </c>
      <c r="Q3" s="31" t="str" cm="1">
        <f t="array" ref="Q3">INDEX('Data Validation (Hide)'!$B$2:$B$16,COLUMN(O1),1)</f>
        <v>Caseload 15</v>
      </c>
      <c r="R3" s="17" t="s">
        <v>73</v>
      </c>
      <c r="S3" s="57" t="s">
        <v>74</v>
      </c>
      <c r="T3" s="57" t="s">
        <v>75</v>
      </c>
      <c r="U3" s="57" t="s">
        <v>76</v>
      </c>
      <c r="V3" s="57" t="s">
        <v>77</v>
      </c>
      <c r="W3" s="57" t="s">
        <v>78</v>
      </c>
      <c r="X3" s="5"/>
    </row>
    <row r="4" spans="2:24" x14ac:dyDescent="0.35">
      <c r="B4" s="11" t="s">
        <v>121</v>
      </c>
      <c r="C4" s="3" t="s">
        <v>79</v>
      </c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15"/>
      <c r="R4" s="11" t="s">
        <v>80</v>
      </c>
      <c r="S4" s="11">
        <v>52</v>
      </c>
      <c r="T4" s="11">
        <v>3600</v>
      </c>
      <c r="U4" s="11">
        <f>T4*S4</f>
        <v>187200</v>
      </c>
      <c r="V4" s="11">
        <f>U4/52</f>
        <v>3600</v>
      </c>
      <c r="W4" s="11">
        <f>V4/COUNTIF(C4:Q4,"="&amp;"x")</f>
        <v>3600</v>
      </c>
      <c r="X4" s="5"/>
    </row>
    <row r="5" spans="2:24" x14ac:dyDescent="0.35">
      <c r="B5" s="40" t="s">
        <v>122</v>
      </c>
      <c r="C5" s="7" t="s">
        <v>79</v>
      </c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6"/>
      <c r="R5" s="40" t="s">
        <v>81</v>
      </c>
      <c r="S5" s="40">
        <v>52</v>
      </c>
      <c r="T5" s="40">
        <v>60</v>
      </c>
      <c r="U5" s="40">
        <f>T5*S5</f>
        <v>3120</v>
      </c>
      <c r="V5" s="40">
        <f>U5/52</f>
        <v>60</v>
      </c>
      <c r="W5" s="40">
        <f>V5/COUNTIF(C5:Q5,"="&amp;"x")</f>
        <v>60</v>
      </c>
      <c r="X5" s="5"/>
    </row>
    <row r="6" spans="2:24" x14ac:dyDescent="0.35">
      <c r="B6" s="40" t="s">
        <v>125</v>
      </c>
      <c r="C6" s="7" t="s">
        <v>79</v>
      </c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6"/>
      <c r="R6" s="40"/>
      <c r="S6" s="40"/>
      <c r="T6" s="40"/>
      <c r="U6" s="40"/>
      <c r="V6" s="40"/>
      <c r="W6" s="40"/>
      <c r="X6" s="5"/>
    </row>
    <row r="7" spans="2:24" x14ac:dyDescent="0.35">
      <c r="B7" s="40" t="s">
        <v>126</v>
      </c>
      <c r="C7" s="7" t="s">
        <v>79</v>
      </c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6"/>
      <c r="R7" s="40"/>
      <c r="S7" s="40"/>
      <c r="T7" s="40">
        <v>150</v>
      </c>
      <c r="U7" s="40"/>
      <c r="V7" s="40"/>
      <c r="W7" s="40"/>
      <c r="X7" s="5"/>
    </row>
    <row r="8" spans="2:24" x14ac:dyDescent="0.35">
      <c r="B8" s="40" t="s">
        <v>127</v>
      </c>
      <c r="C8" s="7"/>
      <c r="D8" s="5" t="s">
        <v>79</v>
      </c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6"/>
      <c r="R8" s="40"/>
      <c r="S8" s="40"/>
      <c r="T8" s="40">
        <v>100</v>
      </c>
      <c r="U8" s="40"/>
      <c r="V8" s="40"/>
      <c r="W8" s="40"/>
      <c r="X8" s="5"/>
    </row>
    <row r="9" spans="2:24" x14ac:dyDescent="0.35">
      <c r="B9" s="40"/>
      <c r="C9" s="7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6"/>
      <c r="R9" s="40"/>
      <c r="S9" s="40"/>
      <c r="T9" s="40"/>
      <c r="U9" s="40"/>
      <c r="V9" s="40"/>
      <c r="W9" s="40"/>
      <c r="X9" s="5"/>
    </row>
    <row r="10" spans="2:24" x14ac:dyDescent="0.35">
      <c r="B10" s="40"/>
      <c r="C10" s="7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6"/>
      <c r="R10" s="40"/>
      <c r="S10" s="40"/>
      <c r="T10" s="40"/>
      <c r="U10" s="40"/>
      <c r="V10" s="40"/>
      <c r="W10" s="40"/>
      <c r="X10" s="5"/>
    </row>
    <row r="11" spans="2:24" x14ac:dyDescent="0.35">
      <c r="B11" s="40"/>
      <c r="C11" s="7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6"/>
      <c r="R11" s="40"/>
      <c r="S11" s="40"/>
      <c r="T11" s="40"/>
      <c r="U11" s="40"/>
      <c r="V11" s="40"/>
      <c r="W11" s="40"/>
      <c r="X11" s="5"/>
    </row>
    <row r="12" spans="2:24" ht="15" thickBot="1" x14ac:dyDescent="0.4">
      <c r="B12" s="41"/>
      <c r="C12" s="8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10"/>
      <c r="R12" s="41"/>
      <c r="S12" s="41"/>
      <c r="T12" s="41"/>
      <c r="U12" s="41"/>
      <c r="V12" s="41"/>
      <c r="W12" s="41"/>
      <c r="X12" s="5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5E982-0136-41E8-80DB-1958ACDAC502}">
  <sheetPr codeName="Sheet9"/>
  <dimension ref="A1:BG127"/>
  <sheetViews>
    <sheetView workbookViewId="0">
      <selection activeCell="L41" sqref="L41"/>
    </sheetView>
  </sheetViews>
  <sheetFormatPr defaultRowHeight="14.5" x14ac:dyDescent="0.35"/>
  <cols>
    <col min="1" max="1" width="13.36328125" bestFit="1" customWidth="1"/>
    <col min="2" max="45" width="10.453125" bestFit="1" customWidth="1"/>
    <col min="46" max="46" width="10.453125" customWidth="1"/>
    <col min="47" max="53" width="10.453125" bestFit="1" customWidth="1"/>
  </cols>
  <sheetData>
    <row r="1" spans="1:10" x14ac:dyDescent="0.35">
      <c r="A1" t="s">
        <v>83</v>
      </c>
      <c r="B1" t="str" cm="1">
        <f t="array" ref="B1">INDEX(Capacity!$B$4:$B$12,COLUMN(A1),1)</f>
        <v>Band 5</v>
      </c>
      <c r="C1" t="str" cm="1">
        <f t="array" ref="C1">INDEX(Capacity!$B$4:$B$12,COLUMN(B1),1)</f>
        <v>band 6</v>
      </c>
      <c r="D1" t="str" cm="1">
        <f t="array" ref="D1">INDEX(Capacity!$B$4:$B$12,COLUMN(C1),1)</f>
        <v>Wound Care specialist</v>
      </c>
      <c r="E1" t="str" cm="1">
        <f t="array" ref="E1">INDEX(Capacity!$B$4:$B$12,COLUMN(D1),1)</f>
        <v>Band 5 - C1 - High</v>
      </c>
      <c r="F1" t="str" cm="1">
        <f t="array" ref="F1">INDEX(Capacity!$B$4:$B$12,COLUMN(E1),1)</f>
        <v>Band 5 - C1 - Medium</v>
      </c>
      <c r="G1" cm="1">
        <f t="array" ref="G1">INDEX(Capacity!$B$4:$B$12,COLUMN(F1),1)</f>
        <v>0</v>
      </c>
      <c r="H1" cm="1">
        <f t="array" ref="H1">INDEX(Capacity!$B$4:$B$12,COLUMN(G1),1)</f>
        <v>0</v>
      </c>
      <c r="I1" cm="1">
        <f t="array" ref="I1">INDEX(Capacity!$B$4:$B$12,COLUMN(H1),1)</f>
        <v>0</v>
      </c>
      <c r="J1" cm="1">
        <f t="array" ref="J1">INDEX(Capacity!$B$4:$B$12,COLUMN(I1),1)</f>
        <v>0</v>
      </c>
    </row>
    <row r="2" spans="1:10" x14ac:dyDescent="0.35">
      <c r="A2" t="s">
        <v>82</v>
      </c>
      <c r="B2" t="str" cm="1">
        <f t="array" ref="B2">INDEX(Capacity!$R$4:$R$12,COLUMN(A1),1)</f>
        <v>N</v>
      </c>
      <c r="C2" t="str" cm="1">
        <f t="array" ref="C2">INDEX(Capacity!$R$4:$R$12,COLUMN(B1),1)</f>
        <v>Y</v>
      </c>
      <c r="D2" cm="1">
        <f t="array" ref="D2">INDEX(Capacity!$R$4:$R$12,COLUMN(C1),1)</f>
        <v>0</v>
      </c>
      <c r="E2" cm="1">
        <f t="array" ref="E2">INDEX(Capacity!$R$4:$R$12,COLUMN(D1),1)</f>
        <v>0</v>
      </c>
      <c r="F2" cm="1">
        <f t="array" ref="F2">INDEX(Capacity!$R$4:$R$12,COLUMN(E1),1)</f>
        <v>0</v>
      </c>
      <c r="G2" cm="1">
        <f t="array" ref="G2">INDEX(Capacity!$R$4:$R$12,COLUMN(F1),1)</f>
        <v>0</v>
      </c>
      <c r="H2" cm="1">
        <f t="array" ref="H2">INDEX(Capacity!$R$4:$R$12,COLUMN(G1),1)</f>
        <v>0</v>
      </c>
      <c r="I2" cm="1">
        <f t="array" ref="I2">INDEX(Capacity!$R$4:$R$12,COLUMN(H1),1)</f>
        <v>0</v>
      </c>
      <c r="J2" cm="1">
        <f t="array" ref="J2">INDEX(Capacity!$R$4:$R$12,COLUMN(I1),1)</f>
        <v>0</v>
      </c>
    </row>
    <row r="3" spans="1:10" x14ac:dyDescent="0.35">
      <c r="A3" t="s">
        <v>18</v>
      </c>
    </row>
    <row r="4" spans="1:10" x14ac:dyDescent="0.35">
      <c r="A4" s="2">
        <f>'Required Capacity (Hide)'!E5</f>
        <v>44121</v>
      </c>
      <c r="B4" cm="1">
        <f t="array" ref="B4">INDEX(Capacity!$W$4:$W$12,COLUMN(A1),1)/IF(Summary!B5="Minutes",1,60)</f>
        <v>60</v>
      </c>
      <c r="C4" cm="1">
        <f t="array" ref="C4">INDEX(Capacity!$W$4:$W$12,COLUMN(B1),1)/IF(Summary!C5="Minutes",1,60)</f>
        <v>1</v>
      </c>
      <c r="D4" cm="1">
        <f t="array" ref="D4">INDEX(Capacity!$W$4:$W$12,COLUMN(C1),1)/IF(Summary!D5="Minutes",1,60)</f>
        <v>0</v>
      </c>
      <c r="E4" cm="1">
        <f t="array" ref="E4">INDEX(Capacity!$W$4:$W$12,COLUMN(D1),1)/IF(Summary!E5="Minutes",1,60)</f>
        <v>0</v>
      </c>
      <c r="F4" cm="1">
        <f t="array" ref="F4">INDEX(Capacity!$W$4:$W$12,COLUMN(E1),1)/IF(Summary!F5="Minutes",1,60)</f>
        <v>0</v>
      </c>
      <c r="G4" cm="1">
        <f t="array" ref="G4">INDEX(Capacity!$W$4:$W$12,COLUMN(F1),1)/IF(Summary!G5="Minutes",1,60)</f>
        <v>0</v>
      </c>
      <c r="H4" cm="1">
        <f t="array" ref="H4">INDEX(Capacity!$W$4:$W$12,COLUMN(G1),1)/IF(Summary!H5="Minutes",1,60)</f>
        <v>0</v>
      </c>
      <c r="I4" cm="1">
        <f t="array" ref="I4">INDEX(Capacity!$W$4:$W$12,COLUMN(H1),1)/IF(Summary!I5="Minutes",1,60)</f>
        <v>0</v>
      </c>
      <c r="J4" cm="1">
        <f t="array" ref="J4">INDEX(Capacity!$W$4:$W$12,COLUMN(I1),1)/IF(Summary!J5="Minutes",1,60)</f>
        <v>0</v>
      </c>
    </row>
    <row r="5" spans="1:10" x14ac:dyDescent="0.35">
      <c r="A5" s="2">
        <f>'Required Capacity (Hide)'!E6</f>
        <v>44128</v>
      </c>
      <c r="B5" cm="1">
        <f t="array" ref="B5">INDEX(Capacity!$W$4:$W$12,COLUMN(A2),1)/IF(Summary!B6="Minutes",1,60)</f>
        <v>60</v>
      </c>
      <c r="C5" cm="1">
        <f t="array" ref="C5">INDEX(Capacity!$W$4:$W$12,COLUMN(B2),1)/IF(Summary!C6="Minutes",1,60)</f>
        <v>1</v>
      </c>
      <c r="D5" cm="1">
        <f t="array" ref="D5">INDEX(Capacity!$W$4:$W$12,COLUMN(C2),1)/IF(Summary!D6="Minutes",1,60)</f>
        <v>0</v>
      </c>
      <c r="E5" cm="1">
        <f t="array" ref="E5">INDEX(Capacity!$W$4:$W$12,COLUMN(D2),1)/IF(Summary!E6="Minutes",1,60)</f>
        <v>0</v>
      </c>
      <c r="F5" cm="1">
        <f t="array" ref="F5">INDEX(Capacity!$W$4:$W$12,COLUMN(E2),1)/IF(Summary!F6="Minutes",1,60)</f>
        <v>0</v>
      </c>
      <c r="G5" cm="1">
        <f t="array" ref="G5">INDEX(Capacity!$W$4:$W$12,COLUMN(F2),1)/IF(Summary!G6="Minutes",1,60)</f>
        <v>0</v>
      </c>
      <c r="H5" cm="1">
        <f t="array" ref="H5">INDEX(Capacity!$W$4:$W$12,COLUMN(G2),1)/IF(Summary!H6="Minutes",1,60)</f>
        <v>0</v>
      </c>
      <c r="I5" cm="1">
        <f t="array" ref="I5">INDEX(Capacity!$W$4:$W$12,COLUMN(H2),1)/IF(Summary!I6="Minutes",1,60)</f>
        <v>0</v>
      </c>
      <c r="J5" cm="1">
        <f t="array" ref="J5">INDEX(Capacity!$W$4:$W$12,COLUMN(I2),1)/IF(Summary!J6="Minutes",1,60)</f>
        <v>0</v>
      </c>
    </row>
    <row r="6" spans="1:10" x14ac:dyDescent="0.35">
      <c r="A6" s="2">
        <f>'Required Capacity (Hide)'!E7</f>
        <v>44135</v>
      </c>
      <c r="B6" cm="1">
        <f t="array" ref="B6">INDEX(Capacity!$W$4:$W$12,COLUMN(A3),1)/IF(Summary!B7="Minutes",1,60)</f>
        <v>60</v>
      </c>
      <c r="C6" cm="1">
        <f t="array" ref="C6">INDEX(Capacity!$W$4:$W$12,COLUMN(B3),1)/IF(Summary!C7="Minutes",1,60)</f>
        <v>1</v>
      </c>
      <c r="D6" cm="1">
        <f t="array" ref="D6">INDEX(Capacity!$W$4:$W$12,COLUMN(C3),1)/IF(Summary!D7="Minutes",1,60)</f>
        <v>0</v>
      </c>
      <c r="E6" cm="1">
        <f t="array" ref="E6">INDEX(Capacity!$W$4:$W$12,COLUMN(D3),1)/IF(Summary!E7="Minutes",1,60)</f>
        <v>0</v>
      </c>
      <c r="F6" cm="1">
        <f t="array" ref="F6">INDEX(Capacity!$W$4:$W$12,COLUMN(E3),1)/IF(Summary!F7="Minutes",1,60)</f>
        <v>0</v>
      </c>
      <c r="G6" cm="1">
        <f t="array" ref="G6">INDEX(Capacity!$W$4:$W$12,COLUMN(F3),1)/IF(Summary!G7="Minutes",1,60)</f>
        <v>0</v>
      </c>
      <c r="H6" cm="1">
        <f t="array" ref="H6">INDEX(Capacity!$W$4:$W$12,COLUMN(G3),1)/IF(Summary!H7="Minutes",1,60)</f>
        <v>0</v>
      </c>
      <c r="I6" cm="1">
        <f t="array" ref="I6">INDEX(Capacity!$W$4:$W$12,COLUMN(H3),1)/IF(Summary!I7="Minutes",1,60)</f>
        <v>0</v>
      </c>
      <c r="J6" cm="1">
        <f t="array" ref="J6">INDEX(Capacity!$W$4:$W$12,COLUMN(I3),1)/IF(Summary!J7="Minutes",1,60)</f>
        <v>0</v>
      </c>
    </row>
    <row r="7" spans="1:10" x14ac:dyDescent="0.35">
      <c r="A7" s="2">
        <f>'Required Capacity (Hide)'!E8</f>
        <v>44142</v>
      </c>
      <c r="B7" cm="1">
        <f t="array" ref="B7">INDEX(Capacity!$W$4:$W$12,COLUMN(A4),1)/IF(Summary!B8="Minutes",1,60)</f>
        <v>60</v>
      </c>
      <c r="C7" cm="1">
        <f t="array" ref="C7">INDEX(Capacity!$W$4:$W$12,COLUMN(B4),1)/IF(Summary!C8="Minutes",1,60)</f>
        <v>1</v>
      </c>
      <c r="D7" cm="1">
        <f t="array" ref="D7">INDEX(Capacity!$W$4:$W$12,COLUMN(C4),1)/IF(Summary!D8="Minutes",1,60)</f>
        <v>0</v>
      </c>
      <c r="E7" cm="1">
        <f t="array" ref="E7">INDEX(Capacity!$W$4:$W$12,COLUMN(D4),1)/IF(Summary!E8="Minutes",1,60)</f>
        <v>0</v>
      </c>
      <c r="F7" cm="1">
        <f t="array" ref="F7">INDEX(Capacity!$W$4:$W$12,COLUMN(E4),1)/IF(Summary!F8="Minutes",1,60)</f>
        <v>0</v>
      </c>
      <c r="G7" cm="1">
        <f t="array" ref="G7">INDEX(Capacity!$W$4:$W$12,COLUMN(F4),1)/IF(Summary!G8="Minutes",1,60)</f>
        <v>0</v>
      </c>
      <c r="H7" cm="1">
        <f t="array" ref="H7">INDEX(Capacity!$W$4:$W$12,COLUMN(G4),1)/IF(Summary!H8="Minutes",1,60)</f>
        <v>0</v>
      </c>
      <c r="I7" cm="1">
        <f t="array" ref="I7">INDEX(Capacity!$W$4:$W$12,COLUMN(H4),1)/IF(Summary!I8="Minutes",1,60)</f>
        <v>0</v>
      </c>
      <c r="J7" cm="1">
        <f t="array" ref="J7">INDEX(Capacity!$W$4:$W$12,COLUMN(I4),1)/IF(Summary!J8="Minutes",1,60)</f>
        <v>0</v>
      </c>
    </row>
    <row r="8" spans="1:10" x14ac:dyDescent="0.35">
      <c r="A8" s="2">
        <f>'Required Capacity (Hide)'!E9</f>
        <v>44149</v>
      </c>
      <c r="B8" cm="1">
        <f t="array" ref="B8">INDEX(Capacity!$W$4:$W$12,COLUMN(A5),1)/IF(Summary!B9="Minutes",1,60)</f>
        <v>60</v>
      </c>
      <c r="C8" cm="1">
        <f t="array" ref="C8">INDEX(Capacity!$W$4:$W$12,COLUMN(B5),1)/IF(Summary!C9="Minutes",1,60)</f>
        <v>1</v>
      </c>
      <c r="D8" cm="1">
        <f t="array" ref="D8">INDEX(Capacity!$W$4:$W$12,COLUMN(C5),1)/IF(Summary!D9="Minutes",1,60)</f>
        <v>0</v>
      </c>
      <c r="E8" cm="1">
        <f t="array" ref="E8">INDEX(Capacity!$W$4:$W$12,COLUMN(D5),1)/IF(Summary!E9="Minutes",1,60)</f>
        <v>0</v>
      </c>
      <c r="F8" cm="1">
        <f t="array" ref="F8">INDEX(Capacity!$W$4:$W$12,COLUMN(E5),1)/IF(Summary!F9="Minutes",1,60)</f>
        <v>0</v>
      </c>
      <c r="G8" cm="1">
        <f t="array" ref="G8">INDEX(Capacity!$W$4:$W$12,COLUMN(F5),1)/IF(Summary!G9="Minutes",1,60)</f>
        <v>0</v>
      </c>
      <c r="H8" cm="1">
        <f t="array" ref="H8">INDEX(Capacity!$W$4:$W$12,COLUMN(G5),1)/IF(Summary!H9="Minutes",1,60)</f>
        <v>0</v>
      </c>
      <c r="I8" cm="1">
        <f t="array" ref="I8">INDEX(Capacity!$W$4:$W$12,COLUMN(H5),1)/IF(Summary!I9="Minutes",1,60)</f>
        <v>0</v>
      </c>
      <c r="J8" cm="1">
        <f t="array" ref="J8">INDEX(Capacity!$W$4:$W$12,COLUMN(I5),1)/IF(Summary!J9="Minutes",1,60)</f>
        <v>0</v>
      </c>
    </row>
    <row r="9" spans="1:10" x14ac:dyDescent="0.35">
      <c r="A9" s="2">
        <f>'Required Capacity (Hide)'!E10</f>
        <v>44156</v>
      </c>
      <c r="B9" cm="1">
        <f t="array" ref="B9">INDEX(Capacity!$W$4:$W$12,COLUMN(A6),1)/IF(Summary!B10="Minutes",1,60)</f>
        <v>60</v>
      </c>
      <c r="C9" cm="1">
        <f t="array" ref="C9">INDEX(Capacity!$W$4:$W$12,COLUMN(B6),1)/IF(Summary!C10="Minutes",1,60)</f>
        <v>1</v>
      </c>
      <c r="D9" cm="1">
        <f t="array" ref="D9">INDEX(Capacity!$W$4:$W$12,COLUMN(C6),1)/IF(Summary!D10="Minutes",1,60)</f>
        <v>0</v>
      </c>
      <c r="E9" cm="1">
        <f t="array" ref="E9">INDEX(Capacity!$W$4:$W$12,COLUMN(D6),1)/IF(Summary!E10="Minutes",1,60)</f>
        <v>0</v>
      </c>
      <c r="F9" cm="1">
        <f t="array" ref="F9">INDEX(Capacity!$W$4:$W$12,COLUMN(E6),1)/IF(Summary!F10="Minutes",1,60)</f>
        <v>0</v>
      </c>
      <c r="G9" cm="1">
        <f t="array" ref="G9">INDEX(Capacity!$W$4:$W$12,COLUMN(F6),1)/IF(Summary!G10="Minutes",1,60)</f>
        <v>0</v>
      </c>
      <c r="H9" cm="1">
        <f t="array" ref="H9">INDEX(Capacity!$W$4:$W$12,COLUMN(G6),1)/IF(Summary!H10="Minutes",1,60)</f>
        <v>0</v>
      </c>
      <c r="I9" cm="1">
        <f t="array" ref="I9">INDEX(Capacity!$W$4:$W$12,COLUMN(H6),1)/IF(Summary!I10="Minutes",1,60)</f>
        <v>0</v>
      </c>
      <c r="J9" cm="1">
        <f t="array" ref="J9">INDEX(Capacity!$W$4:$W$12,COLUMN(I6),1)/IF(Summary!J10="Minutes",1,60)</f>
        <v>0</v>
      </c>
    </row>
    <row r="10" spans="1:10" x14ac:dyDescent="0.35">
      <c r="A10" s="2">
        <f>'Required Capacity (Hide)'!E11</f>
        <v>44163</v>
      </c>
      <c r="B10" cm="1">
        <f t="array" ref="B10">INDEX(Capacity!$W$4:$W$12,COLUMN(A7),1)/IF(Summary!B11="Minutes",1,60)</f>
        <v>60</v>
      </c>
      <c r="C10" cm="1">
        <f t="array" ref="C10">INDEX(Capacity!$W$4:$W$12,COLUMN(B7),1)/IF(Summary!C11="Minutes",1,60)</f>
        <v>1</v>
      </c>
      <c r="D10" cm="1">
        <f t="array" ref="D10">INDEX(Capacity!$W$4:$W$12,COLUMN(C7),1)/IF(Summary!D11="Minutes",1,60)</f>
        <v>0</v>
      </c>
      <c r="E10" cm="1">
        <f t="array" ref="E10">INDEX(Capacity!$W$4:$W$12,COLUMN(D7),1)/IF(Summary!E11="Minutes",1,60)</f>
        <v>0</v>
      </c>
      <c r="F10" cm="1">
        <f t="array" ref="F10">INDEX(Capacity!$W$4:$W$12,COLUMN(E7),1)/IF(Summary!F11="Minutes",1,60)</f>
        <v>0</v>
      </c>
      <c r="G10" cm="1">
        <f t="array" ref="G10">INDEX(Capacity!$W$4:$W$12,COLUMN(F7),1)/IF(Summary!G11="Minutes",1,60)</f>
        <v>0</v>
      </c>
      <c r="H10" cm="1">
        <f t="array" ref="H10">INDEX(Capacity!$W$4:$W$12,COLUMN(G7),1)/IF(Summary!H11="Minutes",1,60)</f>
        <v>0</v>
      </c>
      <c r="I10" cm="1">
        <f t="array" ref="I10">INDEX(Capacity!$W$4:$W$12,COLUMN(H7),1)/IF(Summary!I11="Minutes",1,60)</f>
        <v>0</v>
      </c>
      <c r="J10" cm="1">
        <f t="array" ref="J10">INDEX(Capacity!$W$4:$W$12,COLUMN(I7),1)/IF(Summary!J11="Minutes",1,60)</f>
        <v>0</v>
      </c>
    </row>
    <row r="11" spans="1:10" x14ac:dyDescent="0.35">
      <c r="A11" s="2">
        <f>'Required Capacity (Hide)'!E12</f>
        <v>44170</v>
      </c>
      <c r="B11" cm="1">
        <f t="array" ref="B11">INDEX(Capacity!$W$4:$W$12,COLUMN(A8),1)/IF(Summary!B12="Minutes",1,60)</f>
        <v>60</v>
      </c>
      <c r="C11" cm="1">
        <f t="array" ref="C11">INDEX(Capacity!$W$4:$W$12,COLUMN(B8),1)/IF(Summary!C12="Minutes",1,60)</f>
        <v>1</v>
      </c>
      <c r="D11" cm="1">
        <f t="array" ref="D11">INDEX(Capacity!$W$4:$W$12,COLUMN(C8),1)/IF(Summary!D12="Minutes",1,60)</f>
        <v>0</v>
      </c>
      <c r="E11" cm="1">
        <f t="array" ref="E11">INDEX(Capacity!$W$4:$W$12,COLUMN(D8),1)/IF(Summary!E12="Minutes",1,60)</f>
        <v>0</v>
      </c>
      <c r="F11" cm="1">
        <f t="array" ref="F11">INDEX(Capacity!$W$4:$W$12,COLUMN(E8),1)/IF(Summary!F12="Minutes",1,60)</f>
        <v>0</v>
      </c>
      <c r="G11" cm="1">
        <f t="array" ref="G11">INDEX(Capacity!$W$4:$W$12,COLUMN(F8),1)/IF(Summary!G12="Minutes",1,60)</f>
        <v>0</v>
      </c>
      <c r="H11" cm="1">
        <f t="array" ref="H11">INDEX(Capacity!$W$4:$W$12,COLUMN(G8),1)/IF(Summary!H12="Minutes",1,60)</f>
        <v>0</v>
      </c>
      <c r="I11" cm="1">
        <f t="array" ref="I11">INDEX(Capacity!$W$4:$W$12,COLUMN(H8),1)/IF(Summary!I12="Minutes",1,60)</f>
        <v>0</v>
      </c>
      <c r="J11" cm="1">
        <f t="array" ref="J11">INDEX(Capacity!$W$4:$W$12,COLUMN(I8),1)/IF(Summary!J12="Minutes",1,60)</f>
        <v>0</v>
      </c>
    </row>
    <row r="12" spans="1:10" x14ac:dyDescent="0.35">
      <c r="A12" s="2">
        <f>'Required Capacity (Hide)'!E13</f>
        <v>44177</v>
      </c>
      <c r="B12" cm="1">
        <f t="array" ref="B12">INDEX(Capacity!$W$4:$W$12,COLUMN(A9),1)/IF(Summary!B13="Minutes",1,60)</f>
        <v>60</v>
      </c>
      <c r="C12" cm="1">
        <f t="array" ref="C12">INDEX(Capacity!$W$4:$W$12,COLUMN(B9),1)/IF(Summary!C13="Minutes",1,60)</f>
        <v>1</v>
      </c>
      <c r="D12" cm="1">
        <f t="array" ref="D12">INDEX(Capacity!$W$4:$W$12,COLUMN(C9),1)/IF(Summary!D13="Minutes",1,60)</f>
        <v>0</v>
      </c>
      <c r="E12" cm="1">
        <f t="array" ref="E12">INDEX(Capacity!$W$4:$W$12,COLUMN(D9),1)/IF(Summary!E13="Minutes",1,60)</f>
        <v>0</v>
      </c>
      <c r="F12" cm="1">
        <f t="array" ref="F12">INDEX(Capacity!$W$4:$W$12,COLUMN(E9),1)/IF(Summary!F13="Minutes",1,60)</f>
        <v>0</v>
      </c>
      <c r="G12" cm="1">
        <f t="array" ref="G12">INDEX(Capacity!$W$4:$W$12,COLUMN(F9),1)/IF(Summary!G13="Minutes",1,60)</f>
        <v>0</v>
      </c>
      <c r="H12" cm="1">
        <f t="array" ref="H12">INDEX(Capacity!$W$4:$W$12,COLUMN(G9),1)/IF(Summary!H13="Minutes",1,60)</f>
        <v>0</v>
      </c>
      <c r="I12" cm="1">
        <f t="array" ref="I12">INDEX(Capacity!$W$4:$W$12,COLUMN(H9),1)/IF(Summary!I13="Minutes",1,60)</f>
        <v>0</v>
      </c>
      <c r="J12" cm="1">
        <f t="array" ref="J12">INDEX(Capacity!$W$4:$W$12,COLUMN(I9),1)/IF(Summary!J13="Minutes",1,60)</f>
        <v>0</v>
      </c>
    </row>
    <row r="13" spans="1:10" x14ac:dyDescent="0.35">
      <c r="A13" s="2">
        <f>'Required Capacity (Hide)'!E14</f>
        <v>44184</v>
      </c>
      <c r="B13" cm="1">
        <f t="array" ref="B13">INDEX(Capacity!$W$4:$W$12,COLUMN(A10),1)/IF(Summary!B14="Minutes",1,60)</f>
        <v>60</v>
      </c>
      <c r="C13" cm="1">
        <f t="array" ref="C13">INDEX(Capacity!$W$4:$W$12,COLUMN(B10),1)/IF(Summary!C14="Minutes",1,60)</f>
        <v>1</v>
      </c>
      <c r="D13" cm="1">
        <f t="array" ref="D13">INDEX(Capacity!$W$4:$W$12,COLUMN(C10),1)/IF(Summary!D14="Minutes",1,60)</f>
        <v>0</v>
      </c>
      <c r="E13" cm="1">
        <f t="array" ref="E13">INDEX(Capacity!$W$4:$W$12,COLUMN(D10),1)/IF(Summary!E14="Minutes",1,60)</f>
        <v>0</v>
      </c>
      <c r="F13" cm="1">
        <f t="array" ref="F13">INDEX(Capacity!$W$4:$W$12,COLUMN(E10),1)/IF(Summary!F14="Minutes",1,60)</f>
        <v>0</v>
      </c>
      <c r="G13" cm="1">
        <f t="array" ref="G13">INDEX(Capacity!$W$4:$W$12,COLUMN(F10),1)/IF(Summary!G14="Minutes",1,60)</f>
        <v>0</v>
      </c>
      <c r="H13" cm="1">
        <f t="array" ref="H13">INDEX(Capacity!$W$4:$W$12,COLUMN(G10),1)/IF(Summary!H14="Minutes",1,60)</f>
        <v>0</v>
      </c>
      <c r="I13" cm="1">
        <f t="array" ref="I13">INDEX(Capacity!$W$4:$W$12,COLUMN(H10),1)/IF(Summary!I14="Minutes",1,60)</f>
        <v>0</v>
      </c>
      <c r="J13" cm="1">
        <f t="array" ref="J13">INDEX(Capacity!$W$4:$W$12,COLUMN(I10),1)/IF(Summary!J14="Minutes",1,60)</f>
        <v>0</v>
      </c>
    </row>
    <row r="14" spans="1:10" x14ac:dyDescent="0.35">
      <c r="A14" s="2">
        <f>'Required Capacity (Hide)'!E15</f>
        <v>44191</v>
      </c>
      <c r="B14" cm="1">
        <f t="array" ref="B14">INDEX(Capacity!$W$4:$W$12,COLUMN(A11),1)/IF(Summary!B15="Minutes",1,60)</f>
        <v>60</v>
      </c>
      <c r="C14" cm="1">
        <f t="array" ref="C14">INDEX(Capacity!$W$4:$W$12,COLUMN(B11),1)/IF(Summary!C15="Minutes",1,60)</f>
        <v>1</v>
      </c>
      <c r="D14" cm="1">
        <f t="array" ref="D14">INDEX(Capacity!$W$4:$W$12,COLUMN(C11),1)/IF(Summary!D15="Minutes",1,60)</f>
        <v>0</v>
      </c>
      <c r="E14" cm="1">
        <f t="array" ref="E14">INDEX(Capacity!$W$4:$W$12,COLUMN(D11),1)/IF(Summary!E15="Minutes",1,60)</f>
        <v>0</v>
      </c>
      <c r="F14" cm="1">
        <f t="array" ref="F14">INDEX(Capacity!$W$4:$W$12,COLUMN(E11),1)/IF(Summary!F15="Minutes",1,60)</f>
        <v>0</v>
      </c>
      <c r="G14" cm="1">
        <f t="array" ref="G14">INDEX(Capacity!$W$4:$W$12,COLUMN(F11),1)/IF(Summary!G15="Minutes",1,60)</f>
        <v>0</v>
      </c>
      <c r="H14" cm="1">
        <f t="array" ref="H14">INDEX(Capacity!$W$4:$W$12,COLUMN(G11),1)/IF(Summary!H15="Minutes",1,60)</f>
        <v>0</v>
      </c>
      <c r="I14" cm="1">
        <f t="array" ref="I14">INDEX(Capacity!$W$4:$W$12,COLUMN(H11),1)/IF(Summary!I15="Minutes",1,60)</f>
        <v>0</v>
      </c>
      <c r="J14" cm="1">
        <f t="array" ref="J14">INDEX(Capacity!$W$4:$W$12,COLUMN(I11),1)/IF(Summary!J15="Minutes",1,60)</f>
        <v>0</v>
      </c>
    </row>
    <row r="15" spans="1:10" x14ac:dyDescent="0.35">
      <c r="A15" s="2">
        <f>'Required Capacity (Hide)'!E16</f>
        <v>44198</v>
      </c>
      <c r="B15" cm="1">
        <f t="array" ref="B15">INDEX(Capacity!$W$4:$W$12,COLUMN(A12),1)/IF(Summary!B16="Minutes",1,60)</f>
        <v>60</v>
      </c>
      <c r="C15" cm="1">
        <f t="array" ref="C15">INDEX(Capacity!$W$4:$W$12,COLUMN(B12),1)/IF(Summary!C16="Minutes",1,60)</f>
        <v>1</v>
      </c>
      <c r="D15" cm="1">
        <f t="array" ref="D15">INDEX(Capacity!$W$4:$W$12,COLUMN(C12),1)/IF(Summary!D16="Minutes",1,60)</f>
        <v>0</v>
      </c>
      <c r="E15" cm="1">
        <f t="array" ref="E15">INDEX(Capacity!$W$4:$W$12,COLUMN(D12),1)/IF(Summary!E16="Minutes",1,60)</f>
        <v>0</v>
      </c>
      <c r="F15" cm="1">
        <f t="array" ref="F15">INDEX(Capacity!$W$4:$W$12,COLUMN(E12),1)/IF(Summary!F16="Minutes",1,60)</f>
        <v>0</v>
      </c>
      <c r="G15" cm="1">
        <f t="array" ref="G15">INDEX(Capacity!$W$4:$W$12,COLUMN(F12),1)/IF(Summary!G16="Minutes",1,60)</f>
        <v>0</v>
      </c>
      <c r="H15" cm="1">
        <f t="array" ref="H15">INDEX(Capacity!$W$4:$W$12,COLUMN(G12),1)/IF(Summary!H16="Minutes",1,60)</f>
        <v>0</v>
      </c>
      <c r="I15" cm="1">
        <f t="array" ref="I15">INDEX(Capacity!$W$4:$W$12,COLUMN(H12),1)/IF(Summary!I16="Minutes",1,60)</f>
        <v>0</v>
      </c>
      <c r="J15" cm="1">
        <f t="array" ref="J15">INDEX(Capacity!$W$4:$W$12,COLUMN(I12),1)/IF(Summary!J16="Minutes",1,60)</f>
        <v>0</v>
      </c>
    </row>
    <row r="16" spans="1:10" x14ac:dyDescent="0.35">
      <c r="A16" s="2">
        <f>'Required Capacity (Hide)'!E17</f>
        <v>44205</v>
      </c>
      <c r="B16" cm="1">
        <f t="array" ref="B16">INDEX(Capacity!$W$4:$W$12,COLUMN(A13),1)/IF(Summary!B17="Minutes",1,60)</f>
        <v>60</v>
      </c>
      <c r="C16" cm="1">
        <f t="array" ref="C16">INDEX(Capacity!$W$4:$W$12,COLUMN(B13),1)/IF(Summary!C17="Minutes",1,60)</f>
        <v>1</v>
      </c>
      <c r="D16" cm="1">
        <f t="array" ref="D16">INDEX(Capacity!$W$4:$W$12,COLUMN(C13),1)/IF(Summary!D17="Minutes",1,60)</f>
        <v>0</v>
      </c>
      <c r="E16" cm="1">
        <f t="array" ref="E16">INDEX(Capacity!$W$4:$W$12,COLUMN(D13),1)/IF(Summary!E17="Minutes",1,60)</f>
        <v>0</v>
      </c>
      <c r="F16" cm="1">
        <f t="array" ref="F16">INDEX(Capacity!$W$4:$W$12,COLUMN(E13),1)/IF(Summary!F17="Minutes",1,60)</f>
        <v>0</v>
      </c>
      <c r="G16" cm="1">
        <f t="array" ref="G16">INDEX(Capacity!$W$4:$W$12,COLUMN(F13),1)/IF(Summary!G17="Minutes",1,60)</f>
        <v>0</v>
      </c>
      <c r="H16" cm="1">
        <f t="array" ref="H16">INDEX(Capacity!$W$4:$W$12,COLUMN(G13),1)/IF(Summary!H17="Minutes",1,60)</f>
        <v>0</v>
      </c>
      <c r="I16" cm="1">
        <f t="array" ref="I16">INDEX(Capacity!$W$4:$W$12,COLUMN(H13),1)/IF(Summary!I17="Minutes",1,60)</f>
        <v>0</v>
      </c>
      <c r="J16" cm="1">
        <f t="array" ref="J16">INDEX(Capacity!$W$4:$W$12,COLUMN(I13),1)/IF(Summary!J17="Minutes",1,60)</f>
        <v>0</v>
      </c>
    </row>
    <row r="17" spans="1:10" x14ac:dyDescent="0.35">
      <c r="A17" s="2">
        <f>'Required Capacity (Hide)'!E18</f>
        <v>44212</v>
      </c>
      <c r="B17" cm="1">
        <f t="array" ref="B17">INDEX(Capacity!$W$4:$W$12,COLUMN(A14),1)/IF(Summary!B18="Minutes",1,60)</f>
        <v>60</v>
      </c>
      <c r="C17" cm="1">
        <f t="array" ref="C17">INDEX(Capacity!$W$4:$W$12,COLUMN(B14),1)/IF(Summary!C18="Minutes",1,60)</f>
        <v>1</v>
      </c>
      <c r="D17" cm="1">
        <f t="array" ref="D17">INDEX(Capacity!$W$4:$W$12,COLUMN(C14),1)/IF(Summary!D18="Minutes",1,60)</f>
        <v>0</v>
      </c>
      <c r="E17" cm="1">
        <f t="array" ref="E17">INDEX(Capacity!$W$4:$W$12,COLUMN(D14),1)/IF(Summary!E18="Minutes",1,60)</f>
        <v>0</v>
      </c>
      <c r="F17" cm="1">
        <f t="array" ref="F17">INDEX(Capacity!$W$4:$W$12,COLUMN(E14),1)/IF(Summary!F18="Minutes",1,60)</f>
        <v>0</v>
      </c>
      <c r="G17" cm="1">
        <f t="array" ref="G17">INDEX(Capacity!$W$4:$W$12,COLUMN(F14),1)/IF(Summary!G18="Minutes",1,60)</f>
        <v>0</v>
      </c>
      <c r="H17" cm="1">
        <f t="array" ref="H17">INDEX(Capacity!$W$4:$W$12,COLUMN(G14),1)/IF(Summary!H18="Minutes",1,60)</f>
        <v>0</v>
      </c>
      <c r="I17" cm="1">
        <f t="array" ref="I17">INDEX(Capacity!$W$4:$W$12,COLUMN(H14),1)/IF(Summary!I18="Minutes",1,60)</f>
        <v>0</v>
      </c>
      <c r="J17" cm="1">
        <f t="array" ref="J17">INDEX(Capacity!$W$4:$W$12,COLUMN(I14),1)/IF(Summary!J18="Minutes",1,60)</f>
        <v>0</v>
      </c>
    </row>
    <row r="18" spans="1:10" x14ac:dyDescent="0.35">
      <c r="A18" s="2">
        <f>'Required Capacity (Hide)'!E19</f>
        <v>44219</v>
      </c>
      <c r="B18" cm="1">
        <f t="array" ref="B18">INDEX(Capacity!$W$4:$W$12,COLUMN(A15),1)/IF(Summary!B19="Minutes",1,60)</f>
        <v>60</v>
      </c>
      <c r="C18" cm="1">
        <f t="array" ref="C18">INDEX(Capacity!$W$4:$W$12,COLUMN(B15),1)/IF(Summary!C19="Minutes",1,60)</f>
        <v>1</v>
      </c>
      <c r="D18" cm="1">
        <f t="array" ref="D18">INDEX(Capacity!$W$4:$W$12,COLUMN(C15),1)/IF(Summary!D19="Minutes",1,60)</f>
        <v>0</v>
      </c>
      <c r="E18" cm="1">
        <f t="array" ref="E18">INDEX(Capacity!$W$4:$W$12,COLUMN(D15),1)/IF(Summary!E19="Minutes",1,60)</f>
        <v>0</v>
      </c>
      <c r="F18" cm="1">
        <f t="array" ref="F18">INDEX(Capacity!$W$4:$W$12,COLUMN(E15),1)/IF(Summary!F19="Minutes",1,60)</f>
        <v>0</v>
      </c>
      <c r="G18" cm="1">
        <f t="array" ref="G18">INDEX(Capacity!$W$4:$W$12,COLUMN(F15),1)/IF(Summary!G19="Minutes",1,60)</f>
        <v>0</v>
      </c>
      <c r="H18" cm="1">
        <f t="array" ref="H18">INDEX(Capacity!$W$4:$W$12,COLUMN(G15),1)/IF(Summary!H19="Minutes",1,60)</f>
        <v>0</v>
      </c>
      <c r="I18" cm="1">
        <f t="array" ref="I18">INDEX(Capacity!$W$4:$W$12,COLUMN(H15),1)/IF(Summary!I19="Minutes",1,60)</f>
        <v>0</v>
      </c>
      <c r="J18" cm="1">
        <f t="array" ref="J18">INDEX(Capacity!$W$4:$W$12,COLUMN(I15),1)/IF(Summary!J19="Minutes",1,60)</f>
        <v>0</v>
      </c>
    </row>
    <row r="19" spans="1:10" x14ac:dyDescent="0.35">
      <c r="A19" s="2">
        <f>'Required Capacity (Hide)'!E20</f>
        <v>44226</v>
      </c>
      <c r="B19" cm="1">
        <f t="array" ref="B19">INDEX(Capacity!$W$4:$W$12,COLUMN(A16),1)/IF(Summary!B20="Minutes",1,60)</f>
        <v>60</v>
      </c>
      <c r="C19" cm="1">
        <f t="array" ref="C19">INDEX(Capacity!$W$4:$W$12,COLUMN(B16),1)/IF(Summary!C20="Minutes",1,60)</f>
        <v>1</v>
      </c>
      <c r="D19" cm="1">
        <f t="array" ref="D19">INDEX(Capacity!$W$4:$W$12,COLUMN(C16),1)/IF(Summary!D20="Minutes",1,60)</f>
        <v>0</v>
      </c>
      <c r="E19" cm="1">
        <f t="array" ref="E19">INDEX(Capacity!$W$4:$W$12,COLUMN(D16),1)/IF(Summary!E20="Minutes",1,60)</f>
        <v>0</v>
      </c>
      <c r="F19" cm="1">
        <f t="array" ref="F19">INDEX(Capacity!$W$4:$W$12,COLUMN(E16),1)/IF(Summary!F20="Minutes",1,60)</f>
        <v>0</v>
      </c>
      <c r="G19" cm="1">
        <f t="array" ref="G19">INDEX(Capacity!$W$4:$W$12,COLUMN(F16),1)/IF(Summary!G20="Minutes",1,60)</f>
        <v>0</v>
      </c>
      <c r="H19" cm="1">
        <f t="array" ref="H19">INDEX(Capacity!$W$4:$W$12,COLUMN(G16),1)/IF(Summary!H20="Minutes",1,60)</f>
        <v>0</v>
      </c>
      <c r="I19" cm="1">
        <f t="array" ref="I19">INDEX(Capacity!$W$4:$W$12,COLUMN(H16),1)/IF(Summary!I20="Minutes",1,60)</f>
        <v>0</v>
      </c>
      <c r="J19" cm="1">
        <f t="array" ref="J19">INDEX(Capacity!$W$4:$W$12,COLUMN(I16),1)/IF(Summary!J20="Minutes",1,60)</f>
        <v>0</v>
      </c>
    </row>
    <row r="20" spans="1:10" x14ac:dyDescent="0.35">
      <c r="A20" s="2">
        <f>'Required Capacity (Hide)'!E21</f>
        <v>44233</v>
      </c>
      <c r="B20" cm="1">
        <f t="array" ref="B20">INDEX(Capacity!$W$4:$W$12,COLUMN(A17),1)/IF(Summary!B21="Minutes",1,60)</f>
        <v>60</v>
      </c>
      <c r="C20" cm="1">
        <f t="array" ref="C20">INDEX(Capacity!$W$4:$W$12,COLUMN(B17),1)/IF(Summary!C21="Minutes",1,60)</f>
        <v>1</v>
      </c>
      <c r="D20" cm="1">
        <f t="array" ref="D20">INDEX(Capacity!$W$4:$W$12,COLUMN(C17),1)/IF(Summary!D21="Minutes",1,60)</f>
        <v>0</v>
      </c>
      <c r="E20" cm="1">
        <f t="array" ref="E20">INDEX(Capacity!$W$4:$W$12,COLUMN(D17),1)/IF(Summary!E21="Minutes",1,60)</f>
        <v>0</v>
      </c>
      <c r="F20" cm="1">
        <f t="array" ref="F20">INDEX(Capacity!$W$4:$W$12,COLUMN(E17),1)/IF(Summary!F21="Minutes",1,60)</f>
        <v>0</v>
      </c>
      <c r="G20" cm="1">
        <f t="array" ref="G20">INDEX(Capacity!$W$4:$W$12,COLUMN(F17),1)/IF(Summary!G21="Minutes",1,60)</f>
        <v>0</v>
      </c>
      <c r="H20" cm="1">
        <f t="array" ref="H20">INDEX(Capacity!$W$4:$W$12,COLUMN(G17),1)/IF(Summary!H21="Minutes",1,60)</f>
        <v>0</v>
      </c>
      <c r="I20" cm="1">
        <f t="array" ref="I20">INDEX(Capacity!$W$4:$W$12,COLUMN(H17),1)/IF(Summary!I21="Minutes",1,60)</f>
        <v>0</v>
      </c>
      <c r="J20" cm="1">
        <f t="array" ref="J20">INDEX(Capacity!$W$4:$W$12,COLUMN(I17),1)/IF(Summary!J21="Minutes",1,60)</f>
        <v>0</v>
      </c>
    </row>
    <row r="21" spans="1:10" x14ac:dyDescent="0.35">
      <c r="A21" s="2">
        <f>'Required Capacity (Hide)'!E22</f>
        <v>44240</v>
      </c>
      <c r="B21" cm="1">
        <f t="array" ref="B21">INDEX(Capacity!$W$4:$W$12,COLUMN(A18),1)/IF(Summary!B22="Minutes",1,60)</f>
        <v>60</v>
      </c>
      <c r="C21" cm="1">
        <f t="array" ref="C21">INDEX(Capacity!$W$4:$W$12,COLUMN(B18),1)/IF(Summary!C22="Minutes",1,60)</f>
        <v>1</v>
      </c>
      <c r="D21" cm="1">
        <f t="array" ref="D21">INDEX(Capacity!$W$4:$W$12,COLUMN(C18),1)/IF(Summary!D22="Minutes",1,60)</f>
        <v>0</v>
      </c>
      <c r="E21" cm="1">
        <f t="array" ref="E21">INDEX(Capacity!$W$4:$W$12,COLUMN(D18),1)/IF(Summary!E22="Minutes",1,60)</f>
        <v>0</v>
      </c>
      <c r="F21" cm="1">
        <f t="array" ref="F21">INDEX(Capacity!$W$4:$W$12,COLUMN(E18),1)/IF(Summary!F22="Minutes",1,60)</f>
        <v>0</v>
      </c>
      <c r="G21" cm="1">
        <f t="array" ref="G21">INDEX(Capacity!$W$4:$W$12,COLUMN(F18),1)/IF(Summary!G22="Minutes",1,60)</f>
        <v>0</v>
      </c>
      <c r="H21" cm="1">
        <f t="array" ref="H21">INDEX(Capacity!$W$4:$W$12,COLUMN(G18),1)/IF(Summary!H22="Minutes",1,60)</f>
        <v>0</v>
      </c>
      <c r="I21" cm="1">
        <f t="array" ref="I21">INDEX(Capacity!$W$4:$W$12,COLUMN(H18),1)/IF(Summary!I22="Minutes",1,60)</f>
        <v>0</v>
      </c>
      <c r="J21" cm="1">
        <f t="array" ref="J21">INDEX(Capacity!$W$4:$W$12,COLUMN(I18),1)/IF(Summary!J22="Minutes",1,60)</f>
        <v>0</v>
      </c>
    </row>
    <row r="22" spans="1:10" x14ac:dyDescent="0.35">
      <c r="A22" s="2">
        <f>'Required Capacity (Hide)'!E23</f>
        <v>44247</v>
      </c>
      <c r="B22" cm="1">
        <f t="array" ref="B22">INDEX(Capacity!$W$4:$W$12,COLUMN(A19),1)/IF(Summary!B23="Minutes",1,60)</f>
        <v>60</v>
      </c>
      <c r="C22" cm="1">
        <f t="array" ref="C22">INDEX(Capacity!$W$4:$W$12,COLUMN(B19),1)/IF(Summary!C23="Minutes",1,60)</f>
        <v>1</v>
      </c>
      <c r="D22" cm="1">
        <f t="array" ref="D22">INDEX(Capacity!$W$4:$W$12,COLUMN(C19),1)/IF(Summary!D23="Minutes",1,60)</f>
        <v>0</v>
      </c>
      <c r="E22" cm="1">
        <f t="array" ref="E22">INDEX(Capacity!$W$4:$W$12,COLUMN(D19),1)/IF(Summary!E23="Minutes",1,60)</f>
        <v>0</v>
      </c>
      <c r="F22" cm="1">
        <f t="array" ref="F22">INDEX(Capacity!$W$4:$W$12,COLUMN(E19),1)/IF(Summary!F23="Minutes",1,60)</f>
        <v>0</v>
      </c>
      <c r="G22" cm="1">
        <f t="array" ref="G22">INDEX(Capacity!$W$4:$W$12,COLUMN(F19),1)/IF(Summary!G23="Minutes",1,60)</f>
        <v>0</v>
      </c>
      <c r="H22" cm="1">
        <f t="array" ref="H22">INDEX(Capacity!$W$4:$W$12,COLUMN(G19),1)/IF(Summary!H23="Minutes",1,60)</f>
        <v>0</v>
      </c>
      <c r="I22" cm="1">
        <f t="array" ref="I22">INDEX(Capacity!$W$4:$W$12,COLUMN(H19),1)/IF(Summary!I23="Minutes",1,60)</f>
        <v>0</v>
      </c>
      <c r="J22" cm="1">
        <f t="array" ref="J22">INDEX(Capacity!$W$4:$W$12,COLUMN(I19),1)/IF(Summary!J23="Minutes",1,60)</f>
        <v>0</v>
      </c>
    </row>
    <row r="23" spans="1:10" x14ac:dyDescent="0.35">
      <c r="A23" s="2">
        <f>'Required Capacity (Hide)'!E24</f>
        <v>44254</v>
      </c>
      <c r="B23" cm="1">
        <f t="array" ref="B23">INDEX(Capacity!$W$4:$W$12,COLUMN(A20),1)/IF(Summary!B24="Minutes",1,60)</f>
        <v>60</v>
      </c>
      <c r="C23" cm="1">
        <f t="array" ref="C23">INDEX(Capacity!$W$4:$W$12,COLUMN(B20),1)/IF(Summary!C24="Minutes",1,60)</f>
        <v>1</v>
      </c>
      <c r="D23" cm="1">
        <f t="array" ref="D23">INDEX(Capacity!$W$4:$W$12,COLUMN(C20),1)/IF(Summary!D24="Minutes",1,60)</f>
        <v>0</v>
      </c>
      <c r="E23" cm="1">
        <f t="array" ref="E23">INDEX(Capacity!$W$4:$W$12,COLUMN(D20),1)/IF(Summary!E24="Minutes",1,60)</f>
        <v>0</v>
      </c>
      <c r="F23" cm="1">
        <f t="array" ref="F23">INDEX(Capacity!$W$4:$W$12,COLUMN(E20),1)/IF(Summary!F24="Minutes",1,60)</f>
        <v>0</v>
      </c>
      <c r="G23" cm="1">
        <f t="array" ref="G23">INDEX(Capacity!$W$4:$W$12,COLUMN(F20),1)/IF(Summary!G24="Minutes",1,60)</f>
        <v>0</v>
      </c>
      <c r="H23" cm="1">
        <f t="array" ref="H23">INDEX(Capacity!$W$4:$W$12,COLUMN(G20),1)/IF(Summary!H24="Minutes",1,60)</f>
        <v>0</v>
      </c>
      <c r="I23" cm="1">
        <f t="array" ref="I23">INDEX(Capacity!$W$4:$W$12,COLUMN(H20),1)/IF(Summary!I24="Minutes",1,60)</f>
        <v>0</v>
      </c>
      <c r="J23" cm="1">
        <f t="array" ref="J23">INDEX(Capacity!$W$4:$W$12,COLUMN(I20),1)/IF(Summary!J24="Minutes",1,60)</f>
        <v>0</v>
      </c>
    </row>
    <row r="24" spans="1:10" x14ac:dyDescent="0.35">
      <c r="A24" s="2">
        <f>'Required Capacity (Hide)'!E25</f>
        <v>44261</v>
      </c>
      <c r="B24" cm="1">
        <f t="array" ref="B24">INDEX(Capacity!$W$4:$W$12,COLUMN(A21),1)/IF(Summary!B25="Minutes",1,60)</f>
        <v>60</v>
      </c>
      <c r="C24" cm="1">
        <f t="array" ref="C24">INDEX(Capacity!$W$4:$W$12,COLUMN(B21),1)/IF(Summary!C25="Minutes",1,60)</f>
        <v>1</v>
      </c>
      <c r="D24" cm="1">
        <f t="array" ref="D24">INDEX(Capacity!$W$4:$W$12,COLUMN(C21),1)/IF(Summary!D25="Minutes",1,60)</f>
        <v>0</v>
      </c>
      <c r="E24" cm="1">
        <f t="array" ref="E24">INDEX(Capacity!$W$4:$W$12,COLUMN(D21),1)/IF(Summary!E25="Minutes",1,60)</f>
        <v>0</v>
      </c>
      <c r="F24" cm="1">
        <f t="array" ref="F24">INDEX(Capacity!$W$4:$W$12,COLUMN(E21),1)/IF(Summary!F25="Minutes",1,60)</f>
        <v>0</v>
      </c>
      <c r="G24" cm="1">
        <f t="array" ref="G24">INDEX(Capacity!$W$4:$W$12,COLUMN(F21),1)/IF(Summary!G25="Minutes",1,60)</f>
        <v>0</v>
      </c>
      <c r="H24" cm="1">
        <f t="array" ref="H24">INDEX(Capacity!$W$4:$W$12,COLUMN(G21),1)/IF(Summary!H25="Minutes",1,60)</f>
        <v>0</v>
      </c>
      <c r="I24" cm="1">
        <f t="array" ref="I24">INDEX(Capacity!$W$4:$W$12,COLUMN(H21),1)/IF(Summary!I25="Minutes",1,60)</f>
        <v>0</v>
      </c>
      <c r="J24" cm="1">
        <f t="array" ref="J24">INDEX(Capacity!$W$4:$W$12,COLUMN(I21),1)/IF(Summary!J25="Minutes",1,60)</f>
        <v>0</v>
      </c>
    </row>
    <row r="25" spans="1:10" x14ac:dyDescent="0.35">
      <c r="A25" s="2">
        <f>'Required Capacity (Hide)'!E26</f>
        <v>44268</v>
      </c>
      <c r="B25" cm="1">
        <f t="array" ref="B25">INDEX(Capacity!$W$4:$W$12,COLUMN(A22),1)/IF(Summary!B26="Minutes",1,60)</f>
        <v>60</v>
      </c>
      <c r="C25" cm="1">
        <f t="array" ref="C25">INDEX(Capacity!$W$4:$W$12,COLUMN(B22),1)/IF(Summary!C26="Minutes",1,60)</f>
        <v>1</v>
      </c>
      <c r="D25" cm="1">
        <f t="array" ref="D25">INDEX(Capacity!$W$4:$W$12,COLUMN(C22),1)/IF(Summary!D26="Minutes",1,60)</f>
        <v>0</v>
      </c>
      <c r="E25" cm="1">
        <f t="array" ref="E25">INDEX(Capacity!$W$4:$W$12,COLUMN(D22),1)/IF(Summary!E26="Minutes",1,60)</f>
        <v>0</v>
      </c>
      <c r="F25" cm="1">
        <f t="array" ref="F25">INDEX(Capacity!$W$4:$W$12,COLUMN(E22),1)/IF(Summary!F26="Minutes",1,60)</f>
        <v>0</v>
      </c>
      <c r="G25" cm="1">
        <f t="array" ref="G25">INDEX(Capacity!$W$4:$W$12,COLUMN(F22),1)/IF(Summary!G26="Minutes",1,60)</f>
        <v>0</v>
      </c>
      <c r="H25" cm="1">
        <f t="array" ref="H25">INDEX(Capacity!$W$4:$W$12,COLUMN(G22),1)/IF(Summary!H26="Minutes",1,60)</f>
        <v>0</v>
      </c>
      <c r="I25" cm="1">
        <f t="array" ref="I25">INDEX(Capacity!$W$4:$W$12,COLUMN(H22),1)/IF(Summary!I26="Minutes",1,60)</f>
        <v>0</v>
      </c>
      <c r="J25" cm="1">
        <f t="array" ref="J25">INDEX(Capacity!$W$4:$W$12,COLUMN(I22),1)/IF(Summary!J26="Minutes",1,60)</f>
        <v>0</v>
      </c>
    </row>
    <row r="26" spans="1:10" x14ac:dyDescent="0.35">
      <c r="A26" s="2">
        <f>'Required Capacity (Hide)'!E27</f>
        <v>44275</v>
      </c>
      <c r="B26" cm="1">
        <f t="array" ref="B26">INDEX(Capacity!$W$4:$W$12,COLUMN(A23),1)/IF(Summary!B27="Minutes",1,60)</f>
        <v>60</v>
      </c>
      <c r="C26" cm="1">
        <f t="array" ref="C26">INDEX(Capacity!$W$4:$W$12,COLUMN(B23),1)/IF(Summary!C27="Minutes",1,60)</f>
        <v>1</v>
      </c>
      <c r="D26" cm="1">
        <f t="array" ref="D26">INDEX(Capacity!$W$4:$W$12,COLUMN(C23),1)/IF(Summary!D27="Minutes",1,60)</f>
        <v>0</v>
      </c>
      <c r="E26" cm="1">
        <f t="array" ref="E26">INDEX(Capacity!$W$4:$W$12,COLUMN(D23),1)/IF(Summary!E27="Minutes",1,60)</f>
        <v>0</v>
      </c>
      <c r="F26" cm="1">
        <f t="array" ref="F26">INDEX(Capacity!$W$4:$W$12,COLUMN(E23),1)/IF(Summary!F27="Minutes",1,60)</f>
        <v>0</v>
      </c>
      <c r="G26" cm="1">
        <f t="array" ref="G26">INDEX(Capacity!$W$4:$W$12,COLUMN(F23),1)/IF(Summary!G27="Minutes",1,60)</f>
        <v>0</v>
      </c>
      <c r="H26" cm="1">
        <f t="array" ref="H26">INDEX(Capacity!$W$4:$W$12,COLUMN(G23),1)/IF(Summary!H27="Minutes",1,60)</f>
        <v>0</v>
      </c>
      <c r="I26" cm="1">
        <f t="array" ref="I26">INDEX(Capacity!$W$4:$W$12,COLUMN(H23),1)/IF(Summary!I27="Minutes",1,60)</f>
        <v>0</v>
      </c>
      <c r="J26" cm="1">
        <f t="array" ref="J26">INDEX(Capacity!$W$4:$W$12,COLUMN(I23),1)/IF(Summary!J27="Minutes",1,60)</f>
        <v>0</v>
      </c>
    </row>
    <row r="27" spans="1:10" x14ac:dyDescent="0.35">
      <c r="A27" s="2">
        <f>'Required Capacity (Hide)'!E28</f>
        <v>44282</v>
      </c>
      <c r="B27" cm="1">
        <f t="array" ref="B27">INDEX(Capacity!$W$4:$W$12,COLUMN(A24),1)/IF(Summary!B28="Minutes",1,60)</f>
        <v>60</v>
      </c>
      <c r="C27" cm="1">
        <f t="array" ref="C27">INDEX(Capacity!$W$4:$W$12,COLUMN(B24),1)/IF(Summary!C28="Minutes",1,60)</f>
        <v>1</v>
      </c>
      <c r="D27" cm="1">
        <f t="array" ref="D27">INDEX(Capacity!$W$4:$W$12,COLUMN(C24),1)/IF(Summary!D28="Minutes",1,60)</f>
        <v>0</v>
      </c>
      <c r="E27" cm="1">
        <f t="array" ref="E27">INDEX(Capacity!$W$4:$W$12,COLUMN(D24),1)/IF(Summary!E28="Minutes",1,60)</f>
        <v>0</v>
      </c>
      <c r="F27" cm="1">
        <f t="array" ref="F27">INDEX(Capacity!$W$4:$W$12,COLUMN(E24),1)/IF(Summary!F28="Minutes",1,60)</f>
        <v>0</v>
      </c>
      <c r="G27" cm="1">
        <f t="array" ref="G27">INDEX(Capacity!$W$4:$W$12,COLUMN(F24),1)/IF(Summary!G28="Minutes",1,60)</f>
        <v>0</v>
      </c>
      <c r="H27" cm="1">
        <f t="array" ref="H27">INDEX(Capacity!$W$4:$W$12,COLUMN(G24),1)/IF(Summary!H28="Minutes",1,60)</f>
        <v>0</v>
      </c>
      <c r="I27" cm="1">
        <f t="array" ref="I27">INDEX(Capacity!$W$4:$W$12,COLUMN(H24),1)/IF(Summary!I28="Minutes",1,60)</f>
        <v>0</v>
      </c>
      <c r="J27" cm="1">
        <f t="array" ref="J27">INDEX(Capacity!$W$4:$W$12,COLUMN(I24),1)/IF(Summary!J28="Minutes",1,60)</f>
        <v>0</v>
      </c>
    </row>
    <row r="28" spans="1:10" x14ac:dyDescent="0.35">
      <c r="A28" s="2">
        <f>'Required Capacity (Hide)'!E29</f>
        <v>44289</v>
      </c>
      <c r="B28" cm="1">
        <f t="array" ref="B28">INDEX(Capacity!$W$4:$W$12,COLUMN(A25),1)/IF(Summary!B29="Minutes",1,60)</f>
        <v>60</v>
      </c>
      <c r="C28" cm="1">
        <f t="array" ref="C28">INDEX(Capacity!$W$4:$W$12,COLUMN(B25),1)/IF(Summary!C29="Minutes",1,60)</f>
        <v>1</v>
      </c>
      <c r="D28" cm="1">
        <f t="array" ref="D28">INDEX(Capacity!$W$4:$W$12,COLUMN(C25),1)/IF(Summary!D29="Minutes",1,60)</f>
        <v>0</v>
      </c>
      <c r="E28" cm="1">
        <f t="array" ref="E28">INDEX(Capacity!$W$4:$W$12,COLUMN(D25),1)/IF(Summary!E29="Minutes",1,60)</f>
        <v>0</v>
      </c>
      <c r="F28" cm="1">
        <f t="array" ref="F28">INDEX(Capacity!$W$4:$W$12,COLUMN(E25),1)/IF(Summary!F29="Minutes",1,60)</f>
        <v>0</v>
      </c>
      <c r="G28" cm="1">
        <f t="array" ref="G28">INDEX(Capacity!$W$4:$W$12,COLUMN(F25),1)/IF(Summary!G29="Minutes",1,60)</f>
        <v>0</v>
      </c>
      <c r="H28" cm="1">
        <f t="array" ref="H28">INDEX(Capacity!$W$4:$W$12,COLUMN(G25),1)/IF(Summary!H29="Minutes",1,60)</f>
        <v>0</v>
      </c>
      <c r="I28" cm="1">
        <f t="array" ref="I28">INDEX(Capacity!$W$4:$W$12,COLUMN(H25),1)/IF(Summary!I29="Minutes",1,60)</f>
        <v>0</v>
      </c>
      <c r="J28" cm="1">
        <f t="array" ref="J28">INDEX(Capacity!$W$4:$W$12,COLUMN(I25),1)/IF(Summary!J29="Minutes",1,60)</f>
        <v>0</v>
      </c>
    </row>
    <row r="29" spans="1:10" x14ac:dyDescent="0.35">
      <c r="A29" s="2">
        <f>'Required Capacity (Hide)'!E30</f>
        <v>44296</v>
      </c>
      <c r="B29" cm="1">
        <f t="array" ref="B29">INDEX(Capacity!$W$4:$W$12,COLUMN(A26),1)/IF(Summary!B30="Minutes",1,60)</f>
        <v>60</v>
      </c>
      <c r="C29" cm="1">
        <f t="array" ref="C29">INDEX(Capacity!$W$4:$W$12,COLUMN(B26),1)/IF(Summary!C30="Minutes",1,60)</f>
        <v>1</v>
      </c>
      <c r="D29" cm="1">
        <f t="array" ref="D29">INDEX(Capacity!$W$4:$W$12,COLUMN(C26),1)/IF(Summary!D30="Minutes",1,60)</f>
        <v>0</v>
      </c>
      <c r="E29" cm="1">
        <f t="array" ref="E29">INDEX(Capacity!$W$4:$W$12,COLUMN(D26),1)/IF(Summary!E30="Minutes",1,60)</f>
        <v>0</v>
      </c>
      <c r="F29" cm="1">
        <f t="array" ref="F29">INDEX(Capacity!$W$4:$W$12,COLUMN(E26),1)/IF(Summary!F30="Minutes",1,60)</f>
        <v>0</v>
      </c>
      <c r="G29" cm="1">
        <f t="array" ref="G29">INDEX(Capacity!$W$4:$W$12,COLUMN(F26),1)/IF(Summary!G30="Minutes",1,60)</f>
        <v>0</v>
      </c>
      <c r="H29" cm="1">
        <f t="array" ref="H29">INDEX(Capacity!$W$4:$W$12,COLUMN(G26),1)/IF(Summary!H30="Minutes",1,60)</f>
        <v>0</v>
      </c>
      <c r="I29" cm="1">
        <f t="array" ref="I29">INDEX(Capacity!$W$4:$W$12,COLUMN(H26),1)/IF(Summary!I30="Minutes",1,60)</f>
        <v>0</v>
      </c>
      <c r="J29" cm="1">
        <f t="array" ref="J29">INDEX(Capacity!$W$4:$W$12,COLUMN(I26),1)/IF(Summary!J30="Minutes",1,60)</f>
        <v>0</v>
      </c>
    </row>
    <row r="30" spans="1:10" x14ac:dyDescent="0.35">
      <c r="A30" s="2">
        <f>'Required Capacity (Hide)'!E31</f>
        <v>44303</v>
      </c>
      <c r="B30" cm="1">
        <f t="array" ref="B30">INDEX(Capacity!$W$4:$W$12,COLUMN(A27),1)/IF(Summary!B31="Minutes",1,60)</f>
        <v>60</v>
      </c>
      <c r="C30" cm="1">
        <f t="array" ref="C30">INDEX(Capacity!$W$4:$W$12,COLUMN(B27),1)/IF(Summary!C31="Minutes",1,60)</f>
        <v>1</v>
      </c>
      <c r="D30" cm="1">
        <f t="array" ref="D30">INDEX(Capacity!$W$4:$W$12,COLUMN(C27),1)/IF(Summary!D31="Minutes",1,60)</f>
        <v>0</v>
      </c>
      <c r="E30" cm="1">
        <f t="array" ref="E30">INDEX(Capacity!$W$4:$W$12,COLUMN(D27),1)/IF(Summary!E31="Minutes",1,60)</f>
        <v>0</v>
      </c>
      <c r="F30" cm="1">
        <f t="array" ref="F30">INDEX(Capacity!$W$4:$W$12,COLUMN(E27),1)/IF(Summary!F31="Minutes",1,60)</f>
        <v>0</v>
      </c>
      <c r="G30" cm="1">
        <f t="array" ref="G30">INDEX(Capacity!$W$4:$W$12,COLUMN(F27),1)/IF(Summary!G31="Minutes",1,60)</f>
        <v>0</v>
      </c>
      <c r="H30" cm="1">
        <f t="array" ref="H30">INDEX(Capacity!$W$4:$W$12,COLUMN(G27),1)/IF(Summary!H31="Minutes",1,60)</f>
        <v>0</v>
      </c>
      <c r="I30" cm="1">
        <f t="array" ref="I30">INDEX(Capacity!$W$4:$W$12,COLUMN(H27),1)/IF(Summary!I31="Minutes",1,60)</f>
        <v>0</v>
      </c>
      <c r="J30" cm="1">
        <f t="array" ref="J30">INDEX(Capacity!$W$4:$W$12,COLUMN(I27),1)/IF(Summary!J31="Minutes",1,60)</f>
        <v>0</v>
      </c>
    </row>
    <row r="31" spans="1:10" x14ac:dyDescent="0.35">
      <c r="A31" s="2">
        <f>'Required Capacity (Hide)'!E32</f>
        <v>44310</v>
      </c>
      <c r="B31" cm="1">
        <f t="array" ref="B31">INDEX(Capacity!$W$4:$W$12,COLUMN(A28),1)/IF(Summary!B32="Minutes",1,60)</f>
        <v>60</v>
      </c>
      <c r="C31" cm="1">
        <f t="array" ref="C31">INDEX(Capacity!$W$4:$W$12,COLUMN(B28),1)/IF(Summary!C32="Minutes",1,60)</f>
        <v>1</v>
      </c>
      <c r="D31" cm="1">
        <f t="array" ref="D31">INDEX(Capacity!$W$4:$W$12,COLUMN(C28),1)/IF(Summary!D32="Minutes",1,60)</f>
        <v>0</v>
      </c>
      <c r="E31" cm="1">
        <f t="array" ref="E31">INDEX(Capacity!$W$4:$W$12,COLUMN(D28),1)/IF(Summary!E32="Minutes",1,60)</f>
        <v>0</v>
      </c>
      <c r="F31" cm="1">
        <f t="array" ref="F31">INDEX(Capacity!$W$4:$W$12,COLUMN(E28),1)/IF(Summary!F32="Minutes",1,60)</f>
        <v>0</v>
      </c>
      <c r="G31" cm="1">
        <f t="array" ref="G31">INDEX(Capacity!$W$4:$W$12,COLUMN(F28),1)/IF(Summary!G32="Minutes",1,60)</f>
        <v>0</v>
      </c>
      <c r="H31" cm="1">
        <f t="array" ref="H31">INDEX(Capacity!$W$4:$W$12,COLUMN(G28),1)/IF(Summary!H32="Minutes",1,60)</f>
        <v>0</v>
      </c>
      <c r="I31" cm="1">
        <f t="array" ref="I31">INDEX(Capacity!$W$4:$W$12,COLUMN(H28),1)/IF(Summary!I32="Minutes",1,60)</f>
        <v>0</v>
      </c>
      <c r="J31" cm="1">
        <f t="array" ref="J31">INDEX(Capacity!$W$4:$W$12,COLUMN(I28),1)/IF(Summary!J32="Minutes",1,60)</f>
        <v>0</v>
      </c>
    </row>
    <row r="32" spans="1:10" x14ac:dyDescent="0.35">
      <c r="A32" s="2">
        <f>'Required Capacity (Hide)'!E33</f>
        <v>44317</v>
      </c>
      <c r="B32" cm="1">
        <f t="array" ref="B32">INDEX(Capacity!$W$4:$W$12,COLUMN(A29),1)/IF(Summary!B33="Minutes",1,60)</f>
        <v>60</v>
      </c>
      <c r="C32" cm="1">
        <f t="array" ref="C32">INDEX(Capacity!$W$4:$W$12,COLUMN(B29),1)/IF(Summary!C33="Minutes",1,60)</f>
        <v>1</v>
      </c>
      <c r="D32" cm="1">
        <f t="array" ref="D32">INDEX(Capacity!$W$4:$W$12,COLUMN(C29),1)/IF(Summary!D33="Minutes",1,60)</f>
        <v>0</v>
      </c>
      <c r="E32" cm="1">
        <f t="array" ref="E32">INDEX(Capacity!$W$4:$W$12,COLUMN(D29),1)/IF(Summary!E33="Minutes",1,60)</f>
        <v>0</v>
      </c>
      <c r="F32" cm="1">
        <f t="array" ref="F32">INDEX(Capacity!$W$4:$W$12,COLUMN(E29),1)/IF(Summary!F33="Minutes",1,60)</f>
        <v>0</v>
      </c>
      <c r="G32" cm="1">
        <f t="array" ref="G32">INDEX(Capacity!$W$4:$W$12,COLUMN(F29),1)/IF(Summary!G33="Minutes",1,60)</f>
        <v>0</v>
      </c>
      <c r="H32" cm="1">
        <f t="array" ref="H32">INDEX(Capacity!$W$4:$W$12,COLUMN(G29),1)/IF(Summary!H33="Minutes",1,60)</f>
        <v>0</v>
      </c>
      <c r="I32" cm="1">
        <f t="array" ref="I32">INDEX(Capacity!$W$4:$W$12,COLUMN(H29),1)/IF(Summary!I33="Minutes",1,60)</f>
        <v>0</v>
      </c>
      <c r="J32" cm="1">
        <f t="array" ref="J32">INDEX(Capacity!$W$4:$W$12,COLUMN(I29),1)/IF(Summary!J33="Minutes",1,60)</f>
        <v>0</v>
      </c>
    </row>
    <row r="33" spans="1:10" x14ac:dyDescent="0.35">
      <c r="A33" s="2">
        <f>'Required Capacity (Hide)'!E34</f>
        <v>44324</v>
      </c>
      <c r="B33" cm="1">
        <f t="array" ref="B33">INDEX(Capacity!$W$4:$W$12,COLUMN(A30),1)/IF(Summary!B34="Minutes",1,60)</f>
        <v>60</v>
      </c>
      <c r="C33" cm="1">
        <f t="array" ref="C33">INDEX(Capacity!$W$4:$W$12,COLUMN(B30),1)/IF(Summary!C34="Minutes",1,60)</f>
        <v>1</v>
      </c>
      <c r="D33" cm="1">
        <f t="array" ref="D33">INDEX(Capacity!$W$4:$W$12,COLUMN(C30),1)/IF(Summary!D34="Minutes",1,60)</f>
        <v>0</v>
      </c>
      <c r="E33" cm="1">
        <f t="array" ref="E33">INDEX(Capacity!$W$4:$W$12,COLUMN(D30),1)/IF(Summary!E34="Minutes",1,60)</f>
        <v>0</v>
      </c>
      <c r="F33" cm="1">
        <f t="array" ref="F33">INDEX(Capacity!$W$4:$W$12,COLUMN(E30),1)/IF(Summary!F34="Minutes",1,60)</f>
        <v>0</v>
      </c>
      <c r="G33" cm="1">
        <f t="array" ref="G33">INDEX(Capacity!$W$4:$W$12,COLUMN(F30),1)/IF(Summary!G34="Minutes",1,60)</f>
        <v>0</v>
      </c>
      <c r="H33" cm="1">
        <f t="array" ref="H33">INDEX(Capacity!$W$4:$W$12,COLUMN(G30),1)/IF(Summary!H34="Minutes",1,60)</f>
        <v>0</v>
      </c>
      <c r="I33" cm="1">
        <f t="array" ref="I33">INDEX(Capacity!$W$4:$W$12,COLUMN(H30),1)/IF(Summary!I34="Minutes",1,60)</f>
        <v>0</v>
      </c>
      <c r="J33" cm="1">
        <f t="array" ref="J33">INDEX(Capacity!$W$4:$W$12,COLUMN(I30),1)/IF(Summary!J34="Minutes",1,60)</f>
        <v>0</v>
      </c>
    </row>
    <row r="34" spans="1:10" x14ac:dyDescent="0.35">
      <c r="A34" s="2">
        <f>'Required Capacity (Hide)'!E35</f>
        <v>44331</v>
      </c>
      <c r="B34" cm="1">
        <f t="array" ref="B34">INDEX(Capacity!$W$4:$W$12,COLUMN(A31),1)/IF(Summary!B35="Minutes",1,60)</f>
        <v>60</v>
      </c>
      <c r="C34" cm="1">
        <f t="array" ref="C34">INDEX(Capacity!$W$4:$W$12,COLUMN(B31),1)/IF(Summary!C35="Minutes",1,60)</f>
        <v>1</v>
      </c>
      <c r="D34" cm="1">
        <f t="array" ref="D34">INDEX(Capacity!$W$4:$W$12,COLUMN(C31),1)/IF(Summary!D35="Minutes",1,60)</f>
        <v>0</v>
      </c>
      <c r="E34" cm="1">
        <f t="array" ref="E34">INDEX(Capacity!$W$4:$W$12,COLUMN(D31),1)/IF(Summary!E35="Minutes",1,60)</f>
        <v>0</v>
      </c>
      <c r="F34" cm="1">
        <f t="array" ref="F34">INDEX(Capacity!$W$4:$W$12,COLUMN(E31),1)/IF(Summary!F35="Minutes",1,60)</f>
        <v>0</v>
      </c>
      <c r="G34" cm="1">
        <f t="array" ref="G34">INDEX(Capacity!$W$4:$W$12,COLUMN(F31),1)/IF(Summary!G35="Minutes",1,60)</f>
        <v>0</v>
      </c>
      <c r="H34" cm="1">
        <f t="array" ref="H34">INDEX(Capacity!$W$4:$W$12,COLUMN(G31),1)/IF(Summary!H35="Minutes",1,60)</f>
        <v>0</v>
      </c>
      <c r="I34" cm="1">
        <f t="array" ref="I34">INDEX(Capacity!$W$4:$W$12,COLUMN(H31),1)/IF(Summary!I35="Minutes",1,60)</f>
        <v>0</v>
      </c>
      <c r="J34" cm="1">
        <f t="array" ref="J34">INDEX(Capacity!$W$4:$W$12,COLUMN(I31),1)/IF(Summary!J35="Minutes",1,60)</f>
        <v>0</v>
      </c>
    </row>
    <row r="35" spans="1:10" x14ac:dyDescent="0.35">
      <c r="A35" s="2">
        <f>'Required Capacity (Hide)'!E36</f>
        <v>44338</v>
      </c>
      <c r="B35" cm="1">
        <f t="array" ref="B35">INDEX(Capacity!$W$4:$W$12,COLUMN(A32),1)/IF(Summary!B36="Minutes",1,60)</f>
        <v>60</v>
      </c>
      <c r="C35" cm="1">
        <f t="array" ref="C35">INDEX(Capacity!$W$4:$W$12,COLUMN(B32),1)/IF(Summary!C36="Minutes",1,60)</f>
        <v>1</v>
      </c>
      <c r="D35" cm="1">
        <f t="array" ref="D35">INDEX(Capacity!$W$4:$W$12,COLUMN(C32),1)/IF(Summary!D36="Minutes",1,60)</f>
        <v>0</v>
      </c>
      <c r="E35" cm="1">
        <f t="array" ref="E35">INDEX(Capacity!$W$4:$W$12,COLUMN(D32),1)/IF(Summary!E36="Minutes",1,60)</f>
        <v>0</v>
      </c>
      <c r="F35" cm="1">
        <f t="array" ref="F35">INDEX(Capacity!$W$4:$W$12,COLUMN(E32),1)/IF(Summary!F36="Minutes",1,60)</f>
        <v>0</v>
      </c>
      <c r="G35" cm="1">
        <f t="array" ref="G35">INDEX(Capacity!$W$4:$W$12,COLUMN(F32),1)/IF(Summary!G36="Minutes",1,60)</f>
        <v>0</v>
      </c>
      <c r="H35" cm="1">
        <f t="array" ref="H35">INDEX(Capacity!$W$4:$W$12,COLUMN(G32),1)/IF(Summary!H36="Minutes",1,60)</f>
        <v>0</v>
      </c>
      <c r="I35" cm="1">
        <f t="array" ref="I35">INDEX(Capacity!$W$4:$W$12,COLUMN(H32),1)/IF(Summary!I36="Minutes",1,60)</f>
        <v>0</v>
      </c>
      <c r="J35" cm="1">
        <f t="array" ref="J35">INDEX(Capacity!$W$4:$W$12,COLUMN(I32),1)/IF(Summary!J36="Minutes",1,60)</f>
        <v>0</v>
      </c>
    </row>
    <row r="36" spans="1:10" x14ac:dyDescent="0.35">
      <c r="A36" s="2">
        <f>'Required Capacity (Hide)'!E37</f>
        <v>44345</v>
      </c>
      <c r="B36" cm="1">
        <f t="array" ref="B36">INDEX(Capacity!$W$4:$W$12,COLUMN(A33),1)/IF(Summary!B37="Minutes",1,60)</f>
        <v>60</v>
      </c>
      <c r="C36" cm="1">
        <f t="array" ref="C36">INDEX(Capacity!$W$4:$W$12,COLUMN(B33),1)/IF(Summary!C37="Minutes",1,60)</f>
        <v>1</v>
      </c>
      <c r="D36" cm="1">
        <f t="array" ref="D36">INDEX(Capacity!$W$4:$W$12,COLUMN(C33),1)/IF(Summary!D37="Minutes",1,60)</f>
        <v>0</v>
      </c>
      <c r="E36" cm="1">
        <f t="array" ref="E36">INDEX(Capacity!$W$4:$W$12,COLUMN(D33),1)/IF(Summary!E37="Minutes",1,60)</f>
        <v>0</v>
      </c>
      <c r="F36" cm="1">
        <f t="array" ref="F36">INDEX(Capacity!$W$4:$W$12,COLUMN(E33),1)/IF(Summary!F37="Minutes",1,60)</f>
        <v>0</v>
      </c>
      <c r="G36" cm="1">
        <f t="array" ref="G36">INDEX(Capacity!$W$4:$W$12,COLUMN(F33),1)/IF(Summary!G37="Minutes",1,60)</f>
        <v>0</v>
      </c>
      <c r="H36" cm="1">
        <f t="array" ref="H36">INDEX(Capacity!$W$4:$W$12,COLUMN(G33),1)/IF(Summary!H37="Minutes",1,60)</f>
        <v>0</v>
      </c>
      <c r="I36" cm="1">
        <f t="array" ref="I36">INDEX(Capacity!$W$4:$W$12,COLUMN(H33),1)/IF(Summary!I37="Minutes",1,60)</f>
        <v>0</v>
      </c>
      <c r="J36" cm="1">
        <f t="array" ref="J36">INDEX(Capacity!$W$4:$W$12,COLUMN(I33),1)/IF(Summary!J37="Minutes",1,60)</f>
        <v>0</v>
      </c>
    </row>
    <row r="37" spans="1:10" x14ac:dyDescent="0.35">
      <c r="A37" s="2">
        <f>'Required Capacity (Hide)'!E38</f>
        <v>44352</v>
      </c>
      <c r="B37" cm="1">
        <f t="array" ref="B37">INDEX(Capacity!$W$4:$W$12,COLUMN(A34),1)/IF(Summary!B38="Minutes",1,60)</f>
        <v>60</v>
      </c>
      <c r="C37" cm="1">
        <f t="array" ref="C37">INDEX(Capacity!$W$4:$W$12,COLUMN(B34),1)/IF(Summary!C38="Minutes",1,60)</f>
        <v>1</v>
      </c>
      <c r="D37" cm="1">
        <f t="array" ref="D37">INDEX(Capacity!$W$4:$W$12,COLUMN(C34),1)/IF(Summary!D38="Minutes",1,60)</f>
        <v>0</v>
      </c>
      <c r="E37" cm="1">
        <f t="array" ref="E37">INDEX(Capacity!$W$4:$W$12,COLUMN(D34),1)/IF(Summary!E38="Minutes",1,60)</f>
        <v>0</v>
      </c>
      <c r="F37" cm="1">
        <f t="array" ref="F37">INDEX(Capacity!$W$4:$W$12,COLUMN(E34),1)/IF(Summary!F38="Minutes",1,60)</f>
        <v>0</v>
      </c>
      <c r="G37" cm="1">
        <f t="array" ref="G37">INDEX(Capacity!$W$4:$W$12,COLUMN(F34),1)/IF(Summary!G38="Minutes",1,60)</f>
        <v>0</v>
      </c>
      <c r="H37" cm="1">
        <f t="array" ref="H37">INDEX(Capacity!$W$4:$W$12,COLUMN(G34),1)/IF(Summary!H38="Minutes",1,60)</f>
        <v>0</v>
      </c>
      <c r="I37" cm="1">
        <f t="array" ref="I37">INDEX(Capacity!$W$4:$W$12,COLUMN(H34),1)/IF(Summary!I38="Minutes",1,60)</f>
        <v>0</v>
      </c>
      <c r="J37" cm="1">
        <f t="array" ref="J37">INDEX(Capacity!$W$4:$W$12,COLUMN(I34),1)/IF(Summary!J38="Minutes",1,60)</f>
        <v>0</v>
      </c>
    </row>
    <row r="38" spans="1:10" x14ac:dyDescent="0.35">
      <c r="A38" s="2">
        <f>'Required Capacity (Hide)'!E39</f>
        <v>44359</v>
      </c>
      <c r="B38" cm="1">
        <f t="array" ref="B38">INDEX(Capacity!$W$4:$W$12,COLUMN(A35),1)/IF(Summary!B39="Minutes",1,60)</f>
        <v>60</v>
      </c>
      <c r="C38" cm="1">
        <f t="array" ref="C38">INDEX(Capacity!$W$4:$W$12,COLUMN(B35),1)/IF(Summary!C39="Minutes",1,60)</f>
        <v>1</v>
      </c>
      <c r="D38" cm="1">
        <f t="array" ref="D38">INDEX(Capacity!$W$4:$W$12,COLUMN(C35),1)/IF(Summary!D39="Minutes",1,60)</f>
        <v>0</v>
      </c>
      <c r="E38" cm="1">
        <f t="array" ref="E38">INDEX(Capacity!$W$4:$W$12,COLUMN(D35),1)/IF(Summary!E39="Minutes",1,60)</f>
        <v>0</v>
      </c>
      <c r="F38" cm="1">
        <f t="array" ref="F38">INDEX(Capacity!$W$4:$W$12,COLUMN(E35),1)/IF(Summary!F39="Minutes",1,60)</f>
        <v>0</v>
      </c>
      <c r="G38" cm="1">
        <f t="array" ref="G38">INDEX(Capacity!$W$4:$W$12,COLUMN(F35),1)/IF(Summary!G39="Minutes",1,60)</f>
        <v>0</v>
      </c>
      <c r="H38" cm="1">
        <f t="array" ref="H38">INDEX(Capacity!$W$4:$W$12,COLUMN(G35),1)/IF(Summary!H39="Minutes",1,60)</f>
        <v>0</v>
      </c>
      <c r="I38" cm="1">
        <f t="array" ref="I38">INDEX(Capacity!$W$4:$W$12,COLUMN(H35),1)/IF(Summary!I39="Minutes",1,60)</f>
        <v>0</v>
      </c>
      <c r="J38" cm="1">
        <f t="array" ref="J38">INDEX(Capacity!$W$4:$W$12,COLUMN(I35),1)/IF(Summary!J39="Minutes",1,60)</f>
        <v>0</v>
      </c>
    </row>
    <row r="39" spans="1:10" x14ac:dyDescent="0.35">
      <c r="A39" s="2">
        <f>'Required Capacity (Hide)'!E40</f>
        <v>44366</v>
      </c>
      <c r="B39" cm="1">
        <f t="array" ref="B39">INDEX(Capacity!$W$4:$W$12,COLUMN(A36),1)/IF(Summary!B40="Minutes",1,60)</f>
        <v>60</v>
      </c>
      <c r="C39" cm="1">
        <f t="array" ref="C39">INDEX(Capacity!$W$4:$W$12,COLUMN(B36),1)/IF(Summary!C40="Minutes",1,60)</f>
        <v>1</v>
      </c>
      <c r="D39" cm="1">
        <f t="array" ref="D39">INDEX(Capacity!$W$4:$W$12,COLUMN(C36),1)/IF(Summary!D40="Minutes",1,60)</f>
        <v>0</v>
      </c>
      <c r="E39" cm="1">
        <f t="array" ref="E39">INDEX(Capacity!$W$4:$W$12,COLUMN(D36),1)/IF(Summary!E40="Minutes",1,60)</f>
        <v>0</v>
      </c>
      <c r="F39" cm="1">
        <f t="array" ref="F39">INDEX(Capacity!$W$4:$W$12,COLUMN(E36),1)/IF(Summary!F40="Minutes",1,60)</f>
        <v>0</v>
      </c>
      <c r="G39" cm="1">
        <f t="array" ref="G39">INDEX(Capacity!$W$4:$W$12,COLUMN(F36),1)/IF(Summary!G40="Minutes",1,60)</f>
        <v>0</v>
      </c>
      <c r="H39" cm="1">
        <f t="array" ref="H39">INDEX(Capacity!$W$4:$W$12,COLUMN(G36),1)/IF(Summary!H40="Minutes",1,60)</f>
        <v>0</v>
      </c>
      <c r="I39" cm="1">
        <f t="array" ref="I39">INDEX(Capacity!$W$4:$W$12,COLUMN(H36),1)/IF(Summary!I40="Minutes",1,60)</f>
        <v>0</v>
      </c>
      <c r="J39" cm="1">
        <f t="array" ref="J39">INDEX(Capacity!$W$4:$W$12,COLUMN(I36),1)/IF(Summary!J40="Minutes",1,60)</f>
        <v>0</v>
      </c>
    </row>
    <row r="40" spans="1:10" x14ac:dyDescent="0.35">
      <c r="A40" s="2">
        <f>'Required Capacity (Hide)'!E41</f>
        <v>44373</v>
      </c>
      <c r="B40" cm="1">
        <f t="array" ref="B40">INDEX(Capacity!$W$4:$W$12,COLUMN(A37),1)/IF(Summary!B41="Minutes",1,60)</f>
        <v>60</v>
      </c>
      <c r="C40" cm="1">
        <f t="array" ref="C40">INDEX(Capacity!$W$4:$W$12,COLUMN(B37),1)/IF(Summary!C41="Minutes",1,60)</f>
        <v>1</v>
      </c>
      <c r="D40" cm="1">
        <f t="array" ref="D40">INDEX(Capacity!$W$4:$W$12,COLUMN(C37),1)/IF(Summary!D41="Minutes",1,60)</f>
        <v>0</v>
      </c>
      <c r="E40" cm="1">
        <f t="array" ref="E40">INDEX(Capacity!$W$4:$W$12,COLUMN(D37),1)/IF(Summary!E41="Minutes",1,60)</f>
        <v>0</v>
      </c>
      <c r="F40" cm="1">
        <f t="array" ref="F40">INDEX(Capacity!$W$4:$W$12,COLUMN(E37),1)/IF(Summary!F41="Minutes",1,60)</f>
        <v>0</v>
      </c>
      <c r="G40" cm="1">
        <f t="array" ref="G40">INDEX(Capacity!$W$4:$W$12,COLUMN(F37),1)/IF(Summary!G41="Minutes",1,60)</f>
        <v>0</v>
      </c>
      <c r="H40" cm="1">
        <f t="array" ref="H40">INDEX(Capacity!$W$4:$W$12,COLUMN(G37),1)/IF(Summary!H41="Minutes",1,60)</f>
        <v>0</v>
      </c>
      <c r="I40" cm="1">
        <f t="array" ref="I40">INDEX(Capacity!$W$4:$W$12,COLUMN(H37),1)/IF(Summary!I41="Minutes",1,60)</f>
        <v>0</v>
      </c>
      <c r="J40" cm="1">
        <f t="array" ref="J40">INDEX(Capacity!$W$4:$W$12,COLUMN(I37),1)/IF(Summary!J41="Minutes",1,60)</f>
        <v>0</v>
      </c>
    </row>
    <row r="41" spans="1:10" x14ac:dyDescent="0.35">
      <c r="A41" s="2">
        <f>'Required Capacity (Hide)'!E42</f>
        <v>44380</v>
      </c>
      <c r="B41" cm="1">
        <f t="array" ref="B41">INDEX(Capacity!$W$4:$W$12,COLUMN(A38),1)/IF(Summary!B42="Minutes",1,60)</f>
        <v>60</v>
      </c>
      <c r="C41" cm="1">
        <f t="array" ref="C41">INDEX(Capacity!$W$4:$W$12,COLUMN(B38),1)/IF(Summary!C42="Minutes",1,60)</f>
        <v>1</v>
      </c>
      <c r="D41" cm="1">
        <f t="array" ref="D41">INDEX(Capacity!$W$4:$W$12,COLUMN(C38),1)/IF(Summary!D42="Minutes",1,60)</f>
        <v>0</v>
      </c>
      <c r="E41" cm="1">
        <f t="array" ref="E41">INDEX(Capacity!$W$4:$W$12,COLUMN(D38),1)/IF(Summary!E42="Minutes",1,60)</f>
        <v>0</v>
      </c>
      <c r="F41" cm="1">
        <f t="array" ref="F41">INDEX(Capacity!$W$4:$W$12,COLUMN(E38),1)/IF(Summary!F42="Minutes",1,60)</f>
        <v>0</v>
      </c>
      <c r="G41" cm="1">
        <f t="array" ref="G41">INDEX(Capacity!$W$4:$W$12,COLUMN(F38),1)/IF(Summary!G42="Minutes",1,60)</f>
        <v>0</v>
      </c>
      <c r="H41" cm="1">
        <f t="array" ref="H41">INDEX(Capacity!$W$4:$W$12,COLUMN(G38),1)/IF(Summary!H42="Minutes",1,60)</f>
        <v>0</v>
      </c>
      <c r="I41" cm="1">
        <f t="array" ref="I41">INDEX(Capacity!$W$4:$W$12,COLUMN(H38),1)/IF(Summary!I42="Minutes",1,60)</f>
        <v>0</v>
      </c>
      <c r="J41" cm="1">
        <f t="array" ref="J41">INDEX(Capacity!$W$4:$W$12,COLUMN(I38),1)/IF(Summary!J42="Minutes",1,60)</f>
        <v>0</v>
      </c>
    </row>
    <row r="42" spans="1:10" x14ac:dyDescent="0.35">
      <c r="A42" s="2">
        <f>'Required Capacity (Hide)'!E43</f>
        <v>44387</v>
      </c>
      <c r="B42" cm="1">
        <f t="array" ref="B42">INDEX(Capacity!$W$4:$W$12,COLUMN(A39),1)/IF(Summary!B43="Minutes",1,60)</f>
        <v>60</v>
      </c>
      <c r="C42" cm="1">
        <f t="array" ref="C42">INDEX(Capacity!$W$4:$W$12,COLUMN(B39),1)/IF(Summary!C43="Minutes",1,60)</f>
        <v>1</v>
      </c>
      <c r="D42" cm="1">
        <f t="array" ref="D42">INDEX(Capacity!$W$4:$W$12,COLUMN(C39),1)/IF(Summary!D43="Minutes",1,60)</f>
        <v>0</v>
      </c>
      <c r="E42" cm="1">
        <f t="array" ref="E42">INDEX(Capacity!$W$4:$W$12,COLUMN(D39),1)/IF(Summary!E43="Minutes",1,60)</f>
        <v>0</v>
      </c>
      <c r="F42" cm="1">
        <f t="array" ref="F42">INDEX(Capacity!$W$4:$W$12,COLUMN(E39),1)/IF(Summary!F43="Minutes",1,60)</f>
        <v>0</v>
      </c>
      <c r="G42" cm="1">
        <f t="array" ref="G42">INDEX(Capacity!$W$4:$W$12,COLUMN(F39),1)/IF(Summary!G43="Minutes",1,60)</f>
        <v>0</v>
      </c>
      <c r="H42" cm="1">
        <f t="array" ref="H42">INDEX(Capacity!$W$4:$W$12,COLUMN(G39),1)/IF(Summary!H43="Minutes",1,60)</f>
        <v>0</v>
      </c>
      <c r="I42" cm="1">
        <f t="array" ref="I42">INDEX(Capacity!$W$4:$W$12,COLUMN(H39),1)/IF(Summary!I43="Minutes",1,60)</f>
        <v>0</v>
      </c>
      <c r="J42" cm="1">
        <f t="array" ref="J42">INDEX(Capacity!$W$4:$W$12,COLUMN(I39),1)/IF(Summary!J43="Minutes",1,60)</f>
        <v>0</v>
      </c>
    </row>
    <row r="43" spans="1:10" x14ac:dyDescent="0.35">
      <c r="A43" s="2">
        <f>'Required Capacity (Hide)'!E44</f>
        <v>44394</v>
      </c>
      <c r="B43" cm="1">
        <f t="array" ref="B43">INDEX(Capacity!$W$4:$W$12,COLUMN(A40),1)/IF(Summary!B44="Minutes",1,60)</f>
        <v>60</v>
      </c>
      <c r="C43" cm="1">
        <f t="array" ref="C43">INDEX(Capacity!$W$4:$W$12,COLUMN(B40),1)/IF(Summary!C44="Minutes",1,60)</f>
        <v>1</v>
      </c>
      <c r="D43" cm="1">
        <f t="array" ref="D43">INDEX(Capacity!$W$4:$W$12,COLUMN(C40),1)/IF(Summary!D44="Minutes",1,60)</f>
        <v>0</v>
      </c>
      <c r="E43" cm="1">
        <f t="array" ref="E43">INDEX(Capacity!$W$4:$W$12,COLUMN(D40),1)/IF(Summary!E44="Minutes",1,60)</f>
        <v>0</v>
      </c>
      <c r="F43" cm="1">
        <f t="array" ref="F43">INDEX(Capacity!$W$4:$W$12,COLUMN(E40),1)/IF(Summary!F44="Minutes",1,60)</f>
        <v>0</v>
      </c>
      <c r="G43" cm="1">
        <f t="array" ref="G43">INDEX(Capacity!$W$4:$W$12,COLUMN(F40),1)/IF(Summary!G44="Minutes",1,60)</f>
        <v>0</v>
      </c>
      <c r="H43" cm="1">
        <f t="array" ref="H43">INDEX(Capacity!$W$4:$W$12,COLUMN(G40),1)/IF(Summary!H44="Minutes",1,60)</f>
        <v>0</v>
      </c>
      <c r="I43" cm="1">
        <f t="array" ref="I43">INDEX(Capacity!$W$4:$W$12,COLUMN(H40),1)/IF(Summary!I44="Minutes",1,60)</f>
        <v>0</v>
      </c>
      <c r="J43" cm="1">
        <f t="array" ref="J43">INDEX(Capacity!$W$4:$W$12,COLUMN(I40),1)/IF(Summary!J44="Minutes",1,60)</f>
        <v>0</v>
      </c>
    </row>
    <row r="44" spans="1:10" x14ac:dyDescent="0.35">
      <c r="A44" s="2">
        <f>'Required Capacity (Hide)'!E45</f>
        <v>44401</v>
      </c>
      <c r="B44" cm="1">
        <f t="array" ref="B44">INDEX(Capacity!$W$4:$W$12,COLUMN(A41),1)/IF(Summary!B45="Minutes",1,60)</f>
        <v>60</v>
      </c>
      <c r="C44" cm="1">
        <f t="array" ref="C44">INDEX(Capacity!$W$4:$W$12,COLUMN(B41),1)/IF(Summary!C45="Minutes",1,60)</f>
        <v>1</v>
      </c>
      <c r="D44" cm="1">
        <f t="array" ref="D44">INDEX(Capacity!$W$4:$W$12,COLUMN(C41),1)/IF(Summary!D45="Minutes",1,60)</f>
        <v>0</v>
      </c>
      <c r="E44" cm="1">
        <f t="array" ref="E44">INDEX(Capacity!$W$4:$W$12,COLUMN(D41),1)/IF(Summary!E45="Minutes",1,60)</f>
        <v>0</v>
      </c>
      <c r="F44" cm="1">
        <f t="array" ref="F44">INDEX(Capacity!$W$4:$W$12,COLUMN(E41),1)/IF(Summary!F45="Minutes",1,60)</f>
        <v>0</v>
      </c>
      <c r="G44" cm="1">
        <f t="array" ref="G44">INDEX(Capacity!$W$4:$W$12,COLUMN(F41),1)/IF(Summary!G45="Minutes",1,60)</f>
        <v>0</v>
      </c>
      <c r="H44" cm="1">
        <f t="array" ref="H44">INDEX(Capacity!$W$4:$W$12,COLUMN(G41),1)/IF(Summary!H45="Minutes",1,60)</f>
        <v>0</v>
      </c>
      <c r="I44" cm="1">
        <f t="array" ref="I44">INDEX(Capacity!$W$4:$W$12,COLUMN(H41),1)/IF(Summary!I45="Minutes",1,60)</f>
        <v>0</v>
      </c>
      <c r="J44" cm="1">
        <f t="array" ref="J44">INDEX(Capacity!$W$4:$W$12,COLUMN(I41),1)/IF(Summary!J45="Minutes",1,60)</f>
        <v>0</v>
      </c>
    </row>
    <row r="45" spans="1:10" x14ac:dyDescent="0.35">
      <c r="A45" s="2">
        <f>'Required Capacity (Hide)'!E46</f>
        <v>44408</v>
      </c>
      <c r="B45" cm="1">
        <f t="array" ref="B45">INDEX(Capacity!$W$4:$W$12,COLUMN(A42),1)/IF(Summary!B46="Minutes",1,60)</f>
        <v>60</v>
      </c>
      <c r="C45" cm="1">
        <f t="array" ref="C45">INDEX(Capacity!$W$4:$W$12,COLUMN(B42),1)/IF(Summary!C46="Minutes",1,60)</f>
        <v>1</v>
      </c>
      <c r="D45" cm="1">
        <f t="array" ref="D45">INDEX(Capacity!$W$4:$W$12,COLUMN(C42),1)/IF(Summary!D46="Minutes",1,60)</f>
        <v>0</v>
      </c>
      <c r="E45" cm="1">
        <f t="array" ref="E45">INDEX(Capacity!$W$4:$W$12,COLUMN(D42),1)/IF(Summary!E46="Minutes",1,60)</f>
        <v>0</v>
      </c>
      <c r="F45" cm="1">
        <f t="array" ref="F45">INDEX(Capacity!$W$4:$W$12,COLUMN(E42),1)/IF(Summary!F46="Minutes",1,60)</f>
        <v>0</v>
      </c>
      <c r="G45" cm="1">
        <f t="array" ref="G45">INDEX(Capacity!$W$4:$W$12,COLUMN(F42),1)/IF(Summary!G46="Minutes",1,60)</f>
        <v>0</v>
      </c>
      <c r="H45" cm="1">
        <f t="array" ref="H45">INDEX(Capacity!$W$4:$W$12,COLUMN(G42),1)/IF(Summary!H46="Minutes",1,60)</f>
        <v>0</v>
      </c>
      <c r="I45" cm="1">
        <f t="array" ref="I45">INDEX(Capacity!$W$4:$W$12,COLUMN(H42),1)/IF(Summary!I46="Minutes",1,60)</f>
        <v>0</v>
      </c>
      <c r="J45" cm="1">
        <f t="array" ref="J45">INDEX(Capacity!$W$4:$W$12,COLUMN(I42),1)/IF(Summary!J46="Minutes",1,60)</f>
        <v>0</v>
      </c>
    </row>
    <row r="46" spans="1:10" x14ac:dyDescent="0.35">
      <c r="A46" s="2">
        <f>'Required Capacity (Hide)'!E47</f>
        <v>44415</v>
      </c>
      <c r="B46" cm="1">
        <f t="array" ref="B46">INDEX(Capacity!$W$4:$W$12,COLUMN(A43),1)/IF(Summary!B47="Minutes",1,60)</f>
        <v>60</v>
      </c>
      <c r="C46" cm="1">
        <f t="array" ref="C46">INDEX(Capacity!$W$4:$W$12,COLUMN(B43),1)/IF(Summary!C47="Minutes",1,60)</f>
        <v>1</v>
      </c>
      <c r="D46" cm="1">
        <f t="array" ref="D46">INDEX(Capacity!$W$4:$W$12,COLUMN(C43),1)/IF(Summary!D47="Minutes",1,60)</f>
        <v>0</v>
      </c>
      <c r="E46" cm="1">
        <f t="array" ref="E46">INDEX(Capacity!$W$4:$W$12,COLUMN(D43),1)/IF(Summary!E47="Minutes",1,60)</f>
        <v>0</v>
      </c>
      <c r="F46" cm="1">
        <f t="array" ref="F46">INDEX(Capacity!$W$4:$W$12,COLUMN(E43),1)/IF(Summary!F47="Minutes",1,60)</f>
        <v>0</v>
      </c>
      <c r="G46" cm="1">
        <f t="array" ref="G46">INDEX(Capacity!$W$4:$W$12,COLUMN(F43),1)/IF(Summary!G47="Minutes",1,60)</f>
        <v>0</v>
      </c>
      <c r="H46" cm="1">
        <f t="array" ref="H46">INDEX(Capacity!$W$4:$W$12,COLUMN(G43),1)/IF(Summary!H47="Minutes",1,60)</f>
        <v>0</v>
      </c>
      <c r="I46" cm="1">
        <f t="array" ref="I46">INDEX(Capacity!$W$4:$W$12,COLUMN(H43),1)/IF(Summary!I47="Minutes",1,60)</f>
        <v>0</v>
      </c>
      <c r="J46" cm="1">
        <f t="array" ref="J46">INDEX(Capacity!$W$4:$W$12,COLUMN(I43),1)/IF(Summary!J47="Minutes",1,60)</f>
        <v>0</v>
      </c>
    </row>
    <row r="47" spans="1:10" x14ac:dyDescent="0.35">
      <c r="A47" s="2">
        <f>'Required Capacity (Hide)'!E48</f>
        <v>44422</v>
      </c>
      <c r="B47" cm="1">
        <f t="array" ref="B47">INDEX(Capacity!$W$4:$W$12,COLUMN(A44),1)/IF(Summary!B48="Minutes",1,60)</f>
        <v>60</v>
      </c>
      <c r="C47" cm="1">
        <f t="array" ref="C47">INDEX(Capacity!$W$4:$W$12,COLUMN(B44),1)/IF(Summary!C48="Minutes",1,60)</f>
        <v>1</v>
      </c>
      <c r="D47" cm="1">
        <f t="array" ref="D47">INDEX(Capacity!$W$4:$W$12,COLUMN(C44),1)/IF(Summary!D48="Minutes",1,60)</f>
        <v>0</v>
      </c>
      <c r="E47" cm="1">
        <f t="array" ref="E47">INDEX(Capacity!$W$4:$W$12,COLUMN(D44),1)/IF(Summary!E48="Minutes",1,60)</f>
        <v>0</v>
      </c>
      <c r="F47" cm="1">
        <f t="array" ref="F47">INDEX(Capacity!$W$4:$W$12,COLUMN(E44),1)/IF(Summary!F48="Minutes",1,60)</f>
        <v>0</v>
      </c>
      <c r="G47" cm="1">
        <f t="array" ref="G47">INDEX(Capacity!$W$4:$W$12,COLUMN(F44),1)/IF(Summary!G48="Minutes",1,60)</f>
        <v>0</v>
      </c>
      <c r="H47" cm="1">
        <f t="array" ref="H47">INDEX(Capacity!$W$4:$W$12,COLUMN(G44),1)/IF(Summary!H48="Minutes",1,60)</f>
        <v>0</v>
      </c>
      <c r="I47" cm="1">
        <f t="array" ref="I47">INDEX(Capacity!$W$4:$W$12,COLUMN(H44),1)/IF(Summary!I48="Minutes",1,60)</f>
        <v>0</v>
      </c>
      <c r="J47" cm="1">
        <f t="array" ref="J47">INDEX(Capacity!$W$4:$W$12,COLUMN(I44),1)/IF(Summary!J48="Minutes",1,60)</f>
        <v>0</v>
      </c>
    </row>
    <row r="48" spans="1:10" x14ac:dyDescent="0.35">
      <c r="A48" s="2">
        <f>'Required Capacity (Hide)'!E49</f>
        <v>44429</v>
      </c>
      <c r="B48" cm="1">
        <f t="array" ref="B48">INDEX(Capacity!$W$4:$W$12,COLUMN(A45),1)/IF(Summary!B49="Minutes",1,60)</f>
        <v>60</v>
      </c>
      <c r="C48" cm="1">
        <f t="array" ref="C48">INDEX(Capacity!$W$4:$W$12,COLUMN(B45),1)/IF(Summary!C49="Minutes",1,60)</f>
        <v>1</v>
      </c>
      <c r="D48" cm="1">
        <f t="array" ref="D48">INDEX(Capacity!$W$4:$W$12,COLUMN(C45),1)/IF(Summary!D49="Minutes",1,60)</f>
        <v>0</v>
      </c>
      <c r="E48" cm="1">
        <f t="array" ref="E48">INDEX(Capacity!$W$4:$W$12,COLUMN(D45),1)/IF(Summary!E49="Minutes",1,60)</f>
        <v>0</v>
      </c>
      <c r="F48" cm="1">
        <f t="array" ref="F48">INDEX(Capacity!$W$4:$W$12,COLUMN(E45),1)/IF(Summary!F49="Minutes",1,60)</f>
        <v>0</v>
      </c>
      <c r="G48" cm="1">
        <f t="array" ref="G48">INDEX(Capacity!$W$4:$W$12,COLUMN(F45),1)/IF(Summary!G49="Minutes",1,60)</f>
        <v>0</v>
      </c>
      <c r="H48" cm="1">
        <f t="array" ref="H48">INDEX(Capacity!$W$4:$W$12,COLUMN(G45),1)/IF(Summary!H49="Minutes",1,60)</f>
        <v>0</v>
      </c>
      <c r="I48" cm="1">
        <f t="array" ref="I48">INDEX(Capacity!$W$4:$W$12,COLUMN(H45),1)/IF(Summary!I49="Minutes",1,60)</f>
        <v>0</v>
      </c>
      <c r="J48" cm="1">
        <f t="array" ref="J48">INDEX(Capacity!$W$4:$W$12,COLUMN(I45),1)/IF(Summary!J49="Minutes",1,60)</f>
        <v>0</v>
      </c>
    </row>
    <row r="49" spans="1:10" x14ac:dyDescent="0.35">
      <c r="A49" s="2">
        <f>'Required Capacity (Hide)'!E50</f>
        <v>44436</v>
      </c>
      <c r="B49" cm="1">
        <f t="array" ref="B49">INDEX(Capacity!$W$4:$W$12,COLUMN(A46),1)/IF(Summary!B50="Minutes",1,60)</f>
        <v>60</v>
      </c>
      <c r="C49" cm="1">
        <f t="array" ref="C49">INDEX(Capacity!$W$4:$W$12,COLUMN(B46),1)/IF(Summary!C50="Minutes",1,60)</f>
        <v>1</v>
      </c>
      <c r="D49" cm="1">
        <f t="array" ref="D49">INDEX(Capacity!$W$4:$W$12,COLUMN(C46),1)/IF(Summary!D50="Minutes",1,60)</f>
        <v>0</v>
      </c>
      <c r="E49" cm="1">
        <f t="array" ref="E49">INDEX(Capacity!$W$4:$W$12,COLUMN(D46),1)/IF(Summary!E50="Minutes",1,60)</f>
        <v>0</v>
      </c>
      <c r="F49" cm="1">
        <f t="array" ref="F49">INDEX(Capacity!$W$4:$W$12,COLUMN(E46),1)/IF(Summary!F50="Minutes",1,60)</f>
        <v>0</v>
      </c>
      <c r="G49" cm="1">
        <f t="array" ref="G49">INDEX(Capacity!$W$4:$W$12,COLUMN(F46),1)/IF(Summary!G50="Minutes",1,60)</f>
        <v>0</v>
      </c>
      <c r="H49" cm="1">
        <f t="array" ref="H49">INDEX(Capacity!$W$4:$W$12,COLUMN(G46),1)/IF(Summary!H50="Minutes",1,60)</f>
        <v>0</v>
      </c>
      <c r="I49" cm="1">
        <f t="array" ref="I49">INDEX(Capacity!$W$4:$W$12,COLUMN(H46),1)/IF(Summary!I50="Minutes",1,60)</f>
        <v>0</v>
      </c>
      <c r="J49" cm="1">
        <f t="array" ref="J49">INDEX(Capacity!$W$4:$W$12,COLUMN(I46),1)/IF(Summary!J50="Minutes",1,60)</f>
        <v>0</v>
      </c>
    </row>
    <row r="50" spans="1:10" x14ac:dyDescent="0.35">
      <c r="A50" s="2">
        <f>'Required Capacity (Hide)'!E51</f>
        <v>44443</v>
      </c>
      <c r="B50" cm="1">
        <f t="array" ref="B50">INDEX(Capacity!$W$4:$W$12,COLUMN(A47),1)/IF(Summary!B51="Minutes",1,60)</f>
        <v>60</v>
      </c>
      <c r="C50" cm="1">
        <f t="array" ref="C50">INDEX(Capacity!$W$4:$W$12,COLUMN(B47),1)/IF(Summary!C51="Minutes",1,60)</f>
        <v>1</v>
      </c>
      <c r="D50" cm="1">
        <f t="array" ref="D50">INDEX(Capacity!$W$4:$W$12,COLUMN(C47),1)/IF(Summary!D51="Minutes",1,60)</f>
        <v>0</v>
      </c>
      <c r="E50" cm="1">
        <f t="array" ref="E50">INDEX(Capacity!$W$4:$W$12,COLUMN(D47),1)/IF(Summary!E51="Minutes",1,60)</f>
        <v>0</v>
      </c>
      <c r="F50" cm="1">
        <f t="array" ref="F50">INDEX(Capacity!$W$4:$W$12,COLUMN(E47),1)/IF(Summary!F51="Minutes",1,60)</f>
        <v>0</v>
      </c>
      <c r="G50" cm="1">
        <f t="array" ref="G50">INDEX(Capacity!$W$4:$W$12,COLUMN(F47),1)/IF(Summary!G51="Minutes",1,60)</f>
        <v>0</v>
      </c>
      <c r="H50" cm="1">
        <f t="array" ref="H50">INDEX(Capacity!$W$4:$W$12,COLUMN(G47),1)/IF(Summary!H51="Minutes",1,60)</f>
        <v>0</v>
      </c>
      <c r="I50" cm="1">
        <f t="array" ref="I50">INDEX(Capacity!$W$4:$W$12,COLUMN(H47),1)/IF(Summary!I51="Minutes",1,60)</f>
        <v>0</v>
      </c>
      <c r="J50" cm="1">
        <f t="array" ref="J50">INDEX(Capacity!$W$4:$W$12,COLUMN(I47),1)/IF(Summary!J51="Minutes",1,60)</f>
        <v>0</v>
      </c>
    </row>
    <row r="51" spans="1:10" x14ac:dyDescent="0.35">
      <c r="A51" s="2">
        <f>'Required Capacity (Hide)'!E52</f>
        <v>44450</v>
      </c>
      <c r="B51" cm="1">
        <f t="array" ref="B51">INDEX(Capacity!$W$4:$W$12,COLUMN(A48),1)/IF(Summary!B52="Minutes",1,60)</f>
        <v>60</v>
      </c>
      <c r="C51" cm="1">
        <f t="array" ref="C51">INDEX(Capacity!$W$4:$W$12,COLUMN(B48),1)/IF(Summary!C52="Minutes",1,60)</f>
        <v>1</v>
      </c>
      <c r="D51" cm="1">
        <f t="array" ref="D51">INDEX(Capacity!$W$4:$W$12,COLUMN(C48),1)/IF(Summary!D52="Minutes",1,60)</f>
        <v>0</v>
      </c>
      <c r="E51" cm="1">
        <f t="array" ref="E51">INDEX(Capacity!$W$4:$W$12,COLUMN(D48),1)/IF(Summary!E52="Minutes",1,60)</f>
        <v>0</v>
      </c>
      <c r="F51" cm="1">
        <f t="array" ref="F51">INDEX(Capacity!$W$4:$W$12,COLUMN(E48),1)/IF(Summary!F52="Minutes",1,60)</f>
        <v>0</v>
      </c>
      <c r="G51" cm="1">
        <f t="array" ref="G51">INDEX(Capacity!$W$4:$W$12,COLUMN(F48),1)/IF(Summary!G52="Minutes",1,60)</f>
        <v>0</v>
      </c>
      <c r="H51" cm="1">
        <f t="array" ref="H51">INDEX(Capacity!$W$4:$W$12,COLUMN(G48),1)/IF(Summary!H52="Minutes",1,60)</f>
        <v>0</v>
      </c>
      <c r="I51" cm="1">
        <f t="array" ref="I51">INDEX(Capacity!$W$4:$W$12,COLUMN(H48),1)/IF(Summary!I52="Minutes",1,60)</f>
        <v>0</v>
      </c>
      <c r="J51" cm="1">
        <f t="array" ref="J51">INDEX(Capacity!$W$4:$W$12,COLUMN(I48),1)/IF(Summary!J52="Minutes",1,60)</f>
        <v>0</v>
      </c>
    </row>
    <row r="52" spans="1:10" x14ac:dyDescent="0.35">
      <c r="A52" s="2">
        <f>'Required Capacity (Hide)'!E53</f>
        <v>44457</v>
      </c>
      <c r="B52" cm="1">
        <f t="array" ref="B52">INDEX(Capacity!$W$4:$W$12,COLUMN(A49),1)/IF(Summary!B53="Minutes",1,60)</f>
        <v>60</v>
      </c>
      <c r="C52" cm="1">
        <f t="array" ref="C52">INDEX(Capacity!$W$4:$W$12,COLUMN(B49),1)/IF(Summary!C53="Minutes",1,60)</f>
        <v>1</v>
      </c>
      <c r="D52" cm="1">
        <f t="array" ref="D52">INDEX(Capacity!$W$4:$W$12,COLUMN(C49),1)/IF(Summary!D53="Minutes",1,60)</f>
        <v>0</v>
      </c>
      <c r="E52" cm="1">
        <f t="array" ref="E52">INDEX(Capacity!$W$4:$W$12,COLUMN(D49),1)/IF(Summary!E53="Minutes",1,60)</f>
        <v>0</v>
      </c>
      <c r="F52" cm="1">
        <f t="array" ref="F52">INDEX(Capacity!$W$4:$W$12,COLUMN(E49),1)/IF(Summary!F53="Minutes",1,60)</f>
        <v>0</v>
      </c>
      <c r="G52" cm="1">
        <f t="array" ref="G52">INDEX(Capacity!$W$4:$W$12,COLUMN(F49),1)/IF(Summary!G53="Minutes",1,60)</f>
        <v>0</v>
      </c>
      <c r="H52" cm="1">
        <f t="array" ref="H52">INDEX(Capacity!$W$4:$W$12,COLUMN(G49),1)/IF(Summary!H53="Minutes",1,60)</f>
        <v>0</v>
      </c>
      <c r="I52" cm="1">
        <f t="array" ref="I52">INDEX(Capacity!$W$4:$W$12,COLUMN(H49),1)/IF(Summary!I53="Minutes",1,60)</f>
        <v>0</v>
      </c>
      <c r="J52" cm="1">
        <f t="array" ref="J52">INDEX(Capacity!$W$4:$W$12,COLUMN(I49),1)/IF(Summary!J53="Minutes",1,60)</f>
        <v>0</v>
      </c>
    </row>
    <row r="53" spans="1:10" x14ac:dyDescent="0.35">
      <c r="A53" s="2">
        <f>'Required Capacity (Hide)'!E54</f>
        <v>44464</v>
      </c>
      <c r="B53" cm="1">
        <f t="array" ref="B53">INDEX(Capacity!$W$4:$W$12,COLUMN(A50),1)/IF(Summary!B54="Minutes",1,60)</f>
        <v>60</v>
      </c>
      <c r="C53" cm="1">
        <f t="array" ref="C53">INDEX(Capacity!$W$4:$W$12,COLUMN(B50),1)/IF(Summary!C54="Minutes",1,60)</f>
        <v>1</v>
      </c>
      <c r="D53" cm="1">
        <f t="array" ref="D53">INDEX(Capacity!$W$4:$W$12,COLUMN(C50),1)/IF(Summary!D54="Minutes",1,60)</f>
        <v>0</v>
      </c>
      <c r="E53" cm="1">
        <f t="array" ref="E53">INDEX(Capacity!$W$4:$W$12,COLUMN(D50),1)/IF(Summary!E54="Minutes",1,60)</f>
        <v>0</v>
      </c>
      <c r="F53" cm="1">
        <f t="array" ref="F53">INDEX(Capacity!$W$4:$W$12,COLUMN(E50),1)/IF(Summary!F54="Minutes",1,60)</f>
        <v>0</v>
      </c>
      <c r="G53" cm="1">
        <f t="array" ref="G53">INDEX(Capacity!$W$4:$W$12,COLUMN(F50),1)/IF(Summary!G54="Minutes",1,60)</f>
        <v>0</v>
      </c>
      <c r="H53" cm="1">
        <f t="array" ref="H53">INDEX(Capacity!$W$4:$W$12,COLUMN(G50),1)/IF(Summary!H54="Minutes",1,60)</f>
        <v>0</v>
      </c>
      <c r="I53" cm="1">
        <f t="array" ref="I53">INDEX(Capacity!$W$4:$W$12,COLUMN(H50),1)/IF(Summary!I54="Minutes",1,60)</f>
        <v>0</v>
      </c>
      <c r="J53" cm="1">
        <f t="array" ref="J53">INDEX(Capacity!$W$4:$W$12,COLUMN(I50),1)/IF(Summary!J54="Minutes",1,60)</f>
        <v>0</v>
      </c>
    </row>
    <row r="54" spans="1:10" x14ac:dyDescent="0.35">
      <c r="A54" s="2">
        <f>'Required Capacity (Hide)'!E55</f>
        <v>44471</v>
      </c>
      <c r="B54" cm="1">
        <f t="array" ref="B54">INDEX(Capacity!$W$4:$W$12,COLUMN(A51),1)/IF(Summary!B55="Minutes",1,60)</f>
        <v>60</v>
      </c>
      <c r="C54" cm="1">
        <f t="array" ref="C54">INDEX(Capacity!$W$4:$W$12,COLUMN(B51),1)/IF(Summary!C55="Minutes",1,60)</f>
        <v>1</v>
      </c>
      <c r="D54" cm="1">
        <f t="array" ref="D54">INDEX(Capacity!$W$4:$W$12,COLUMN(C51),1)/IF(Summary!D55="Minutes",1,60)</f>
        <v>0</v>
      </c>
      <c r="E54" cm="1">
        <f t="array" ref="E54">INDEX(Capacity!$W$4:$W$12,COLUMN(D51),1)/IF(Summary!E55="Minutes",1,60)</f>
        <v>0</v>
      </c>
      <c r="F54" cm="1">
        <f t="array" ref="F54">INDEX(Capacity!$W$4:$W$12,COLUMN(E51),1)/IF(Summary!F55="Minutes",1,60)</f>
        <v>0</v>
      </c>
      <c r="G54" cm="1">
        <f t="array" ref="G54">INDEX(Capacity!$W$4:$W$12,COLUMN(F51),1)/IF(Summary!G55="Minutes",1,60)</f>
        <v>0</v>
      </c>
      <c r="H54" cm="1">
        <f t="array" ref="H54">INDEX(Capacity!$W$4:$W$12,COLUMN(G51),1)/IF(Summary!H55="Minutes",1,60)</f>
        <v>0</v>
      </c>
      <c r="I54" cm="1">
        <f t="array" ref="I54">INDEX(Capacity!$W$4:$W$12,COLUMN(H51),1)/IF(Summary!I55="Minutes",1,60)</f>
        <v>0</v>
      </c>
      <c r="J54" cm="1">
        <f t="array" ref="J54">INDEX(Capacity!$W$4:$W$12,COLUMN(I51),1)/IF(Summary!J55="Minutes",1,60)</f>
        <v>0</v>
      </c>
    </row>
    <row r="55" spans="1:10" x14ac:dyDescent="0.35">
      <c r="A55" s="2">
        <f>'Required Capacity (Hide)'!E56</f>
        <v>44478</v>
      </c>
      <c r="B55" cm="1">
        <f t="array" ref="B55">INDEX(Capacity!$W$4:$W$12,COLUMN(A52),1)/IF(Summary!B56="Minutes",1,60)</f>
        <v>60</v>
      </c>
      <c r="C55" cm="1">
        <f t="array" ref="C55">INDEX(Capacity!$W$4:$W$12,COLUMN(B52),1)/IF(Summary!C56="Minutes",1,60)</f>
        <v>1</v>
      </c>
      <c r="D55" cm="1">
        <f t="array" ref="D55">INDEX(Capacity!$W$4:$W$12,COLUMN(C52),1)/IF(Summary!D56="Minutes",1,60)</f>
        <v>0</v>
      </c>
      <c r="E55" cm="1">
        <f t="array" ref="E55">INDEX(Capacity!$W$4:$W$12,COLUMN(D52),1)/IF(Summary!E56="Minutes",1,60)</f>
        <v>0</v>
      </c>
      <c r="F55" cm="1">
        <f t="array" ref="F55">INDEX(Capacity!$W$4:$W$12,COLUMN(E52),1)/IF(Summary!F56="Minutes",1,60)</f>
        <v>0</v>
      </c>
      <c r="G55" cm="1">
        <f t="array" ref="G55">INDEX(Capacity!$W$4:$W$12,COLUMN(F52),1)/IF(Summary!G56="Minutes",1,60)</f>
        <v>0</v>
      </c>
      <c r="H55" cm="1">
        <f t="array" ref="H55">INDEX(Capacity!$W$4:$W$12,COLUMN(G52),1)/IF(Summary!H56="Minutes",1,60)</f>
        <v>0</v>
      </c>
      <c r="I55" cm="1">
        <f t="array" ref="I55">INDEX(Capacity!$W$4:$W$12,COLUMN(H52),1)/IF(Summary!I56="Minutes",1,60)</f>
        <v>0</v>
      </c>
      <c r="J55" cm="1">
        <f t="array" ref="J55">INDEX(Capacity!$W$4:$W$12,COLUMN(I52),1)/IF(Summary!J56="Minutes",1,60)</f>
        <v>0</v>
      </c>
    </row>
    <row r="56" spans="1:10" x14ac:dyDescent="0.35">
      <c r="A56" s="2"/>
    </row>
    <row r="57" spans="1:10" x14ac:dyDescent="0.35">
      <c r="A57" s="2" t="s">
        <v>84</v>
      </c>
    </row>
    <row r="58" spans="1:10" x14ac:dyDescent="0.35">
      <c r="A58" s="2" t="str" cm="1">
        <f t="array" ref="A58">INDEX('Data Validation (Hide)'!$B$2:$B$16,ROW(A1),1)</f>
        <v>Caseload 1</v>
      </c>
      <c r="B58" t="str" cm="1">
        <f t="array" ref="B58">INDEX(Capacity!$C$4:$Q$12,COLUMN(A1),MATCH('Capacity Backing (Hide)'!$A58,Capacity!$C$3:$Q$3,0))</f>
        <v>x</v>
      </c>
      <c r="C58" t="str" cm="1">
        <f t="array" ref="C58">INDEX(Capacity!$C$4:$Q$12,COLUMN(B1),MATCH('Capacity Backing (Hide)'!$A58,Capacity!$C$3:$Q$3,0))</f>
        <v>x</v>
      </c>
      <c r="D58" t="str" cm="1">
        <f t="array" ref="D58">INDEX(Capacity!$C$4:$Q$12,COLUMN(C1),MATCH('Capacity Backing (Hide)'!$A58,Capacity!$C$3:$Q$3,0))</f>
        <v>x</v>
      </c>
      <c r="E58" t="str" cm="1">
        <f t="array" ref="E58">INDEX(Capacity!$C$4:$Q$12,COLUMN(D1),MATCH('Capacity Backing (Hide)'!$A58,Capacity!$C$3:$Q$3,0))</f>
        <v>x</v>
      </c>
      <c r="F58" cm="1">
        <f t="array" ref="F58">INDEX(Capacity!$C$4:$Q$12,COLUMN(E1),MATCH('Capacity Backing (Hide)'!$A58,Capacity!$C$3:$Q$3,0))</f>
        <v>0</v>
      </c>
      <c r="G58" cm="1">
        <f t="array" ref="G58">INDEX(Capacity!$C$4:$Q$12,COLUMN(F1),MATCH('Capacity Backing (Hide)'!$A58,Capacity!$C$3:$Q$3,0))</f>
        <v>0</v>
      </c>
      <c r="H58" cm="1">
        <f t="array" ref="H58">INDEX(Capacity!$C$4:$Q$12,COLUMN(G1),MATCH('Capacity Backing (Hide)'!$A58,Capacity!$C$3:$Q$3,0))</f>
        <v>0</v>
      </c>
      <c r="I58" cm="1">
        <f t="array" ref="I58">INDEX(Capacity!$C$4:$Q$12,COLUMN(H1),MATCH('Capacity Backing (Hide)'!$A58,Capacity!$C$3:$Q$3,0))</f>
        <v>0</v>
      </c>
      <c r="J58" cm="1">
        <f t="array" ref="J58">INDEX(Capacity!$C$4:$Q$12,COLUMN(I1),MATCH('Capacity Backing (Hide)'!$A58,Capacity!$C$3:$Q$3,0))</f>
        <v>0</v>
      </c>
    </row>
    <row r="59" spans="1:10" x14ac:dyDescent="0.35">
      <c r="A59" s="2" t="str" cm="1">
        <f t="array" ref="A59">INDEX('Data Validation (Hide)'!$B$2:$B$16,ROW(A2),1)</f>
        <v>Medium</v>
      </c>
      <c r="B59" cm="1">
        <f t="array" ref="B59">INDEX(Capacity!$C$4:$Q$12,COLUMN(A2),MATCH('Capacity Backing (Hide)'!$A59,Capacity!$C$3:$Q$3,0))</f>
        <v>0</v>
      </c>
      <c r="C59" cm="1">
        <f t="array" ref="C59">INDEX(Capacity!$C$4:$Q$12,COLUMN(B2),MATCH('Capacity Backing (Hide)'!$A59,Capacity!$C$3:$Q$3,0))</f>
        <v>0</v>
      </c>
      <c r="D59" cm="1">
        <f t="array" ref="D59">INDEX(Capacity!$C$4:$Q$12,COLUMN(C2),MATCH('Capacity Backing (Hide)'!$A59,Capacity!$C$3:$Q$3,0))</f>
        <v>0</v>
      </c>
      <c r="E59" cm="1">
        <f t="array" ref="E59">INDEX(Capacity!$C$4:$Q$12,COLUMN(D2),MATCH('Capacity Backing (Hide)'!$A59,Capacity!$C$3:$Q$3,0))</f>
        <v>0</v>
      </c>
      <c r="F59" t="str" cm="1">
        <f t="array" ref="F59">INDEX(Capacity!$C$4:$Q$12,COLUMN(E2),MATCH('Capacity Backing (Hide)'!$A59,Capacity!$C$3:$Q$3,0))</f>
        <v>x</v>
      </c>
      <c r="G59" cm="1">
        <f t="array" ref="G59">INDEX(Capacity!$C$4:$Q$12,COLUMN(F2),MATCH('Capacity Backing (Hide)'!$A59,Capacity!$C$3:$Q$3,0))</f>
        <v>0</v>
      </c>
      <c r="H59" cm="1">
        <f t="array" ref="H59">INDEX(Capacity!$C$4:$Q$12,COLUMN(G2),MATCH('Capacity Backing (Hide)'!$A59,Capacity!$C$3:$Q$3,0))</f>
        <v>0</v>
      </c>
      <c r="I59" cm="1">
        <f t="array" ref="I59">INDEX(Capacity!$C$4:$Q$12,COLUMN(H2),MATCH('Capacity Backing (Hide)'!$A59,Capacity!$C$3:$Q$3,0))</f>
        <v>0</v>
      </c>
      <c r="J59" cm="1">
        <f t="array" ref="J59">INDEX(Capacity!$C$4:$Q$12,COLUMN(I2),MATCH('Capacity Backing (Hide)'!$A59,Capacity!$C$3:$Q$3,0))</f>
        <v>0</v>
      </c>
    </row>
    <row r="60" spans="1:10" x14ac:dyDescent="0.35">
      <c r="A60" s="2" t="str" cm="1">
        <f t="array" ref="A60">INDEX('Data Validation (Hide)'!$B$2:$B$16,ROW(A3),1)</f>
        <v>low</v>
      </c>
      <c r="B60" cm="1">
        <f t="array" ref="B60">INDEX(Capacity!$C$4:$Q$12,COLUMN(A3),MATCH('Capacity Backing (Hide)'!$A60,Capacity!$C$3:$Q$3,0))</f>
        <v>0</v>
      </c>
      <c r="C60" cm="1">
        <f t="array" ref="C60">INDEX(Capacity!$C$4:$Q$12,COLUMN(B3),MATCH('Capacity Backing (Hide)'!$A60,Capacity!$C$3:$Q$3,0))</f>
        <v>0</v>
      </c>
      <c r="D60" cm="1">
        <f t="array" ref="D60">INDEX(Capacity!$C$4:$Q$12,COLUMN(C3),MATCH('Capacity Backing (Hide)'!$A60,Capacity!$C$3:$Q$3,0))</f>
        <v>0</v>
      </c>
      <c r="E60" cm="1">
        <f t="array" ref="E60">INDEX(Capacity!$C$4:$Q$12,COLUMN(D3),MATCH('Capacity Backing (Hide)'!$A60,Capacity!$C$3:$Q$3,0))</f>
        <v>0</v>
      </c>
      <c r="F60" cm="1">
        <f t="array" ref="F60">INDEX(Capacity!$C$4:$Q$12,COLUMN(E3),MATCH('Capacity Backing (Hide)'!$A60,Capacity!$C$3:$Q$3,0))</f>
        <v>0</v>
      </c>
      <c r="G60" cm="1">
        <f t="array" ref="G60">INDEX(Capacity!$C$4:$Q$12,COLUMN(F3),MATCH('Capacity Backing (Hide)'!$A60,Capacity!$C$3:$Q$3,0))</f>
        <v>0</v>
      </c>
      <c r="H60" cm="1">
        <f t="array" ref="H60">INDEX(Capacity!$C$4:$Q$12,COLUMN(G3),MATCH('Capacity Backing (Hide)'!$A60,Capacity!$C$3:$Q$3,0))</f>
        <v>0</v>
      </c>
      <c r="I60" cm="1">
        <f t="array" ref="I60">INDEX(Capacity!$C$4:$Q$12,COLUMN(H3),MATCH('Capacity Backing (Hide)'!$A60,Capacity!$C$3:$Q$3,0))</f>
        <v>0</v>
      </c>
      <c r="J60" cm="1">
        <f t="array" ref="J60">INDEX(Capacity!$C$4:$Q$12,COLUMN(I3),MATCH('Capacity Backing (Hide)'!$A60,Capacity!$C$3:$Q$3,0))</f>
        <v>0</v>
      </c>
    </row>
    <row r="61" spans="1:10" x14ac:dyDescent="0.35">
      <c r="A61" s="2" t="str" cm="1">
        <f t="array" ref="A61">INDEX('Data Validation (Hide)'!$B$2:$B$16,ROW(A4),1)</f>
        <v>very low</v>
      </c>
      <c r="B61" cm="1">
        <f t="array" ref="B61">INDEX(Capacity!$C$4:$Q$12,COLUMN(A4),MATCH('Capacity Backing (Hide)'!$A61,Capacity!$C$3:$Q$3,0))</f>
        <v>0</v>
      </c>
      <c r="C61" cm="1">
        <f t="array" ref="C61">INDEX(Capacity!$C$4:$Q$12,COLUMN(B4),MATCH('Capacity Backing (Hide)'!$A61,Capacity!$C$3:$Q$3,0))</f>
        <v>0</v>
      </c>
      <c r="D61" cm="1">
        <f t="array" ref="D61">INDEX(Capacity!$C$4:$Q$12,COLUMN(C4),MATCH('Capacity Backing (Hide)'!$A61,Capacity!$C$3:$Q$3,0))</f>
        <v>0</v>
      </c>
      <c r="E61" cm="1">
        <f t="array" ref="E61">INDEX(Capacity!$C$4:$Q$12,COLUMN(D4),MATCH('Capacity Backing (Hide)'!$A61,Capacity!$C$3:$Q$3,0))</f>
        <v>0</v>
      </c>
      <c r="F61" cm="1">
        <f t="array" ref="F61">INDEX(Capacity!$C$4:$Q$12,COLUMN(E4),MATCH('Capacity Backing (Hide)'!$A61,Capacity!$C$3:$Q$3,0))</f>
        <v>0</v>
      </c>
      <c r="G61" cm="1">
        <f t="array" ref="G61">INDEX(Capacity!$C$4:$Q$12,COLUMN(F4),MATCH('Capacity Backing (Hide)'!$A61,Capacity!$C$3:$Q$3,0))</f>
        <v>0</v>
      </c>
      <c r="H61" cm="1">
        <f t="array" ref="H61">INDEX(Capacity!$C$4:$Q$12,COLUMN(G4),MATCH('Capacity Backing (Hide)'!$A61,Capacity!$C$3:$Q$3,0))</f>
        <v>0</v>
      </c>
      <c r="I61" cm="1">
        <f t="array" ref="I61">INDEX(Capacity!$C$4:$Q$12,COLUMN(H4),MATCH('Capacity Backing (Hide)'!$A61,Capacity!$C$3:$Q$3,0))</f>
        <v>0</v>
      </c>
      <c r="J61" cm="1">
        <f t="array" ref="J61">INDEX(Capacity!$C$4:$Q$12,COLUMN(I4),MATCH('Capacity Backing (Hide)'!$A61,Capacity!$C$3:$Q$3,0))</f>
        <v>0</v>
      </c>
    </row>
    <row r="62" spans="1:10" x14ac:dyDescent="0.35">
      <c r="A62" s="2" t="str" cm="1">
        <f t="array" ref="A62">INDEX('Data Validation (Hide)'!$B$2:$B$16,ROW(A5),1)</f>
        <v>Caseload 5</v>
      </c>
      <c r="B62" cm="1">
        <f t="array" ref="B62">INDEX(Capacity!$C$4:$Q$12,COLUMN(A5),MATCH('Capacity Backing (Hide)'!$A62,Capacity!$C$3:$Q$3,0))</f>
        <v>0</v>
      </c>
      <c r="C62" cm="1">
        <f t="array" ref="C62">INDEX(Capacity!$C$4:$Q$12,COLUMN(B5),MATCH('Capacity Backing (Hide)'!$A62,Capacity!$C$3:$Q$3,0))</f>
        <v>0</v>
      </c>
      <c r="D62" cm="1">
        <f t="array" ref="D62">INDEX(Capacity!$C$4:$Q$12,COLUMN(C5),MATCH('Capacity Backing (Hide)'!$A62,Capacity!$C$3:$Q$3,0))</f>
        <v>0</v>
      </c>
      <c r="E62" cm="1">
        <f t="array" ref="E62">INDEX(Capacity!$C$4:$Q$12,COLUMN(D5),MATCH('Capacity Backing (Hide)'!$A62,Capacity!$C$3:$Q$3,0))</f>
        <v>0</v>
      </c>
      <c r="F62" cm="1">
        <f t="array" ref="F62">INDEX(Capacity!$C$4:$Q$12,COLUMN(E5),MATCH('Capacity Backing (Hide)'!$A62,Capacity!$C$3:$Q$3,0))</f>
        <v>0</v>
      </c>
      <c r="G62" cm="1">
        <f t="array" ref="G62">INDEX(Capacity!$C$4:$Q$12,COLUMN(F5),MATCH('Capacity Backing (Hide)'!$A62,Capacity!$C$3:$Q$3,0))</f>
        <v>0</v>
      </c>
      <c r="H62" cm="1">
        <f t="array" ref="H62">INDEX(Capacity!$C$4:$Q$12,COLUMN(G5),MATCH('Capacity Backing (Hide)'!$A62,Capacity!$C$3:$Q$3,0))</f>
        <v>0</v>
      </c>
      <c r="I62" cm="1">
        <f t="array" ref="I62">INDEX(Capacity!$C$4:$Q$12,COLUMN(H5),MATCH('Capacity Backing (Hide)'!$A62,Capacity!$C$3:$Q$3,0))</f>
        <v>0</v>
      </c>
      <c r="J62" cm="1">
        <f t="array" ref="J62">INDEX(Capacity!$C$4:$Q$12,COLUMN(I5),MATCH('Capacity Backing (Hide)'!$A62,Capacity!$C$3:$Q$3,0))</f>
        <v>0</v>
      </c>
    </row>
    <row r="63" spans="1:10" x14ac:dyDescent="0.35">
      <c r="A63" s="2" t="str" cm="1">
        <f t="array" ref="A63">INDEX('Data Validation (Hide)'!$B$2:$B$16,ROW(A6),1)</f>
        <v>Caseload 6</v>
      </c>
      <c r="B63" cm="1">
        <f t="array" ref="B63">INDEX(Capacity!$C$4:$Q$12,COLUMN(A6),MATCH('Capacity Backing (Hide)'!$A63,Capacity!$C$3:$Q$3,0))</f>
        <v>0</v>
      </c>
      <c r="C63" cm="1">
        <f t="array" ref="C63">INDEX(Capacity!$C$4:$Q$12,COLUMN(B6),MATCH('Capacity Backing (Hide)'!$A63,Capacity!$C$3:$Q$3,0))</f>
        <v>0</v>
      </c>
      <c r="D63" cm="1">
        <f t="array" ref="D63">INDEX(Capacity!$C$4:$Q$12,COLUMN(C6),MATCH('Capacity Backing (Hide)'!$A63,Capacity!$C$3:$Q$3,0))</f>
        <v>0</v>
      </c>
      <c r="E63" cm="1">
        <f t="array" ref="E63">INDEX(Capacity!$C$4:$Q$12,COLUMN(D6),MATCH('Capacity Backing (Hide)'!$A63,Capacity!$C$3:$Q$3,0))</f>
        <v>0</v>
      </c>
      <c r="F63" cm="1">
        <f t="array" ref="F63">INDEX(Capacity!$C$4:$Q$12,COLUMN(E6),MATCH('Capacity Backing (Hide)'!$A63,Capacity!$C$3:$Q$3,0))</f>
        <v>0</v>
      </c>
      <c r="G63" cm="1">
        <f t="array" ref="G63">INDEX(Capacity!$C$4:$Q$12,COLUMN(F6),MATCH('Capacity Backing (Hide)'!$A63,Capacity!$C$3:$Q$3,0))</f>
        <v>0</v>
      </c>
      <c r="H63" cm="1">
        <f t="array" ref="H63">INDEX(Capacity!$C$4:$Q$12,COLUMN(G6),MATCH('Capacity Backing (Hide)'!$A63,Capacity!$C$3:$Q$3,0))</f>
        <v>0</v>
      </c>
      <c r="I63" cm="1">
        <f t="array" ref="I63">INDEX(Capacity!$C$4:$Q$12,COLUMN(H6),MATCH('Capacity Backing (Hide)'!$A63,Capacity!$C$3:$Q$3,0))</f>
        <v>0</v>
      </c>
      <c r="J63" cm="1">
        <f t="array" ref="J63">INDEX(Capacity!$C$4:$Q$12,COLUMN(I6),MATCH('Capacity Backing (Hide)'!$A63,Capacity!$C$3:$Q$3,0))</f>
        <v>0</v>
      </c>
    </row>
    <row r="64" spans="1:10" x14ac:dyDescent="0.35">
      <c r="A64" s="2" t="str" cm="1">
        <f t="array" ref="A64">INDEX('Data Validation (Hide)'!$B$2:$B$16,ROW(A7),1)</f>
        <v>Caseload 7</v>
      </c>
      <c r="B64" cm="1">
        <f t="array" ref="B64">INDEX(Capacity!$C$4:$Q$12,COLUMN(A7),MATCH('Capacity Backing (Hide)'!$A64,Capacity!$C$3:$Q$3,0))</f>
        <v>0</v>
      </c>
      <c r="C64" cm="1">
        <f t="array" ref="C64">INDEX(Capacity!$C$4:$Q$12,COLUMN(B7),MATCH('Capacity Backing (Hide)'!$A64,Capacity!$C$3:$Q$3,0))</f>
        <v>0</v>
      </c>
      <c r="D64" cm="1">
        <f t="array" ref="D64">INDEX(Capacity!$C$4:$Q$12,COLUMN(C7),MATCH('Capacity Backing (Hide)'!$A64,Capacity!$C$3:$Q$3,0))</f>
        <v>0</v>
      </c>
      <c r="E64" cm="1">
        <f t="array" ref="E64">INDEX(Capacity!$C$4:$Q$12,COLUMN(D7),MATCH('Capacity Backing (Hide)'!$A64,Capacity!$C$3:$Q$3,0))</f>
        <v>0</v>
      </c>
      <c r="F64" cm="1">
        <f t="array" ref="F64">INDEX(Capacity!$C$4:$Q$12,COLUMN(E7),MATCH('Capacity Backing (Hide)'!$A64,Capacity!$C$3:$Q$3,0))</f>
        <v>0</v>
      </c>
      <c r="G64" cm="1">
        <f t="array" ref="G64">INDEX(Capacity!$C$4:$Q$12,COLUMN(F7),MATCH('Capacity Backing (Hide)'!$A64,Capacity!$C$3:$Q$3,0))</f>
        <v>0</v>
      </c>
      <c r="H64" cm="1">
        <f t="array" ref="H64">INDEX(Capacity!$C$4:$Q$12,COLUMN(G7),MATCH('Capacity Backing (Hide)'!$A64,Capacity!$C$3:$Q$3,0))</f>
        <v>0</v>
      </c>
      <c r="I64" cm="1">
        <f t="array" ref="I64">INDEX(Capacity!$C$4:$Q$12,COLUMN(H7),MATCH('Capacity Backing (Hide)'!$A64,Capacity!$C$3:$Q$3,0))</f>
        <v>0</v>
      </c>
      <c r="J64" cm="1">
        <f t="array" ref="J64">INDEX(Capacity!$C$4:$Q$12,COLUMN(I7),MATCH('Capacity Backing (Hide)'!$A64,Capacity!$C$3:$Q$3,0))</f>
        <v>0</v>
      </c>
    </row>
    <row r="65" spans="1:59" x14ac:dyDescent="0.35">
      <c r="A65" s="2" t="str" cm="1">
        <f t="array" ref="A65">INDEX('Data Validation (Hide)'!$B$2:$B$16,ROW(A8),1)</f>
        <v>Caseload 8</v>
      </c>
      <c r="B65" cm="1">
        <f t="array" ref="B65">INDEX(Capacity!$C$4:$Q$12,COLUMN(A8),MATCH('Capacity Backing (Hide)'!$A65,Capacity!$C$3:$Q$3,0))</f>
        <v>0</v>
      </c>
      <c r="C65" cm="1">
        <f t="array" ref="C65">INDEX(Capacity!$C$4:$Q$12,COLUMN(B8),MATCH('Capacity Backing (Hide)'!$A65,Capacity!$C$3:$Q$3,0))</f>
        <v>0</v>
      </c>
      <c r="D65" cm="1">
        <f t="array" ref="D65">INDEX(Capacity!$C$4:$Q$12,COLUMN(C8),MATCH('Capacity Backing (Hide)'!$A65,Capacity!$C$3:$Q$3,0))</f>
        <v>0</v>
      </c>
      <c r="E65" cm="1">
        <f t="array" ref="E65">INDEX(Capacity!$C$4:$Q$12,COLUMN(D8),MATCH('Capacity Backing (Hide)'!$A65,Capacity!$C$3:$Q$3,0))</f>
        <v>0</v>
      </c>
      <c r="F65" cm="1">
        <f t="array" ref="F65">INDEX(Capacity!$C$4:$Q$12,COLUMN(E8),MATCH('Capacity Backing (Hide)'!$A65,Capacity!$C$3:$Q$3,0))</f>
        <v>0</v>
      </c>
      <c r="G65" cm="1">
        <f t="array" ref="G65">INDEX(Capacity!$C$4:$Q$12,COLUMN(F8),MATCH('Capacity Backing (Hide)'!$A65,Capacity!$C$3:$Q$3,0))</f>
        <v>0</v>
      </c>
      <c r="H65" cm="1">
        <f t="array" ref="H65">INDEX(Capacity!$C$4:$Q$12,COLUMN(G8),MATCH('Capacity Backing (Hide)'!$A65,Capacity!$C$3:$Q$3,0))</f>
        <v>0</v>
      </c>
      <c r="I65" cm="1">
        <f t="array" ref="I65">INDEX(Capacity!$C$4:$Q$12,COLUMN(H8),MATCH('Capacity Backing (Hide)'!$A65,Capacity!$C$3:$Q$3,0))</f>
        <v>0</v>
      </c>
      <c r="J65" cm="1">
        <f t="array" ref="J65">INDEX(Capacity!$C$4:$Q$12,COLUMN(I8),MATCH('Capacity Backing (Hide)'!$A65,Capacity!$C$3:$Q$3,0))</f>
        <v>0</v>
      </c>
    </row>
    <row r="66" spans="1:59" x14ac:dyDescent="0.35">
      <c r="A66" s="2" t="str" cm="1">
        <f t="array" ref="A66">INDEX('Data Validation (Hide)'!$B$2:$B$16,ROW(A9),1)</f>
        <v>Caseload 9</v>
      </c>
      <c r="B66" cm="1">
        <f t="array" ref="B66">INDEX(Capacity!$C$4:$Q$12,COLUMN(A9),MATCH('Capacity Backing (Hide)'!$A66,Capacity!$C$3:$Q$3,0))</f>
        <v>0</v>
      </c>
      <c r="C66" cm="1">
        <f t="array" ref="C66">INDEX(Capacity!$C$4:$Q$12,COLUMN(B9),MATCH('Capacity Backing (Hide)'!$A66,Capacity!$C$3:$Q$3,0))</f>
        <v>0</v>
      </c>
      <c r="D66" cm="1">
        <f t="array" ref="D66">INDEX(Capacity!$C$4:$Q$12,COLUMN(C9),MATCH('Capacity Backing (Hide)'!$A66,Capacity!$C$3:$Q$3,0))</f>
        <v>0</v>
      </c>
      <c r="E66" cm="1">
        <f t="array" ref="E66">INDEX(Capacity!$C$4:$Q$12,COLUMN(D9),MATCH('Capacity Backing (Hide)'!$A66,Capacity!$C$3:$Q$3,0))</f>
        <v>0</v>
      </c>
      <c r="F66" cm="1">
        <f t="array" ref="F66">INDEX(Capacity!$C$4:$Q$12,COLUMN(E9),MATCH('Capacity Backing (Hide)'!$A66,Capacity!$C$3:$Q$3,0))</f>
        <v>0</v>
      </c>
      <c r="G66" cm="1">
        <f t="array" ref="G66">INDEX(Capacity!$C$4:$Q$12,COLUMN(F9),MATCH('Capacity Backing (Hide)'!$A66,Capacity!$C$3:$Q$3,0))</f>
        <v>0</v>
      </c>
      <c r="H66" cm="1">
        <f t="array" ref="H66">INDEX(Capacity!$C$4:$Q$12,COLUMN(G9),MATCH('Capacity Backing (Hide)'!$A66,Capacity!$C$3:$Q$3,0))</f>
        <v>0</v>
      </c>
      <c r="I66" cm="1">
        <f t="array" ref="I66">INDEX(Capacity!$C$4:$Q$12,COLUMN(H9),MATCH('Capacity Backing (Hide)'!$A66,Capacity!$C$3:$Q$3,0))</f>
        <v>0</v>
      </c>
      <c r="J66" cm="1">
        <f t="array" ref="J66">INDEX(Capacity!$C$4:$Q$12,COLUMN(I9),MATCH('Capacity Backing (Hide)'!$A66,Capacity!$C$3:$Q$3,0))</f>
        <v>0</v>
      </c>
    </row>
    <row r="67" spans="1:59" x14ac:dyDescent="0.35">
      <c r="A67" s="2" t="str" cm="1">
        <f t="array" ref="A67">INDEX('Data Validation (Hide)'!$B$2:$B$16,ROW(A10),1)</f>
        <v>Caseload 10</v>
      </c>
      <c r="B67" cm="1">
        <f t="array" ref="B67">INDEX(Capacity!$C$4:$Q$12,COLUMN(A10),MATCH('Capacity Backing (Hide)'!$A67,Capacity!$C$3:$Q$3,0))</f>
        <v>0</v>
      </c>
      <c r="C67" cm="1">
        <f t="array" ref="C67">INDEX(Capacity!$C$4:$Q$12,COLUMN(B10),MATCH('Capacity Backing (Hide)'!$A67,Capacity!$C$3:$Q$3,0))</f>
        <v>0</v>
      </c>
      <c r="D67" cm="1">
        <f t="array" ref="D67">INDEX(Capacity!$C$4:$Q$12,COLUMN(C10),MATCH('Capacity Backing (Hide)'!$A67,Capacity!$C$3:$Q$3,0))</f>
        <v>0</v>
      </c>
      <c r="E67" cm="1">
        <f t="array" ref="E67">INDEX(Capacity!$C$4:$Q$12,COLUMN(D10),MATCH('Capacity Backing (Hide)'!$A67,Capacity!$C$3:$Q$3,0))</f>
        <v>0</v>
      </c>
      <c r="F67" cm="1">
        <f t="array" ref="F67">INDEX(Capacity!$C$4:$Q$12,COLUMN(E10),MATCH('Capacity Backing (Hide)'!$A67,Capacity!$C$3:$Q$3,0))</f>
        <v>0</v>
      </c>
      <c r="G67" cm="1">
        <f t="array" ref="G67">INDEX(Capacity!$C$4:$Q$12,COLUMN(F10),MATCH('Capacity Backing (Hide)'!$A67,Capacity!$C$3:$Q$3,0))</f>
        <v>0</v>
      </c>
      <c r="H67" cm="1">
        <f t="array" ref="H67">INDEX(Capacity!$C$4:$Q$12,COLUMN(G10),MATCH('Capacity Backing (Hide)'!$A67,Capacity!$C$3:$Q$3,0))</f>
        <v>0</v>
      </c>
      <c r="I67" cm="1">
        <f t="array" ref="I67">INDEX(Capacity!$C$4:$Q$12,COLUMN(H10),MATCH('Capacity Backing (Hide)'!$A67,Capacity!$C$3:$Q$3,0))</f>
        <v>0</v>
      </c>
      <c r="J67" cm="1">
        <f t="array" ref="J67">INDEX(Capacity!$C$4:$Q$12,COLUMN(I10),MATCH('Capacity Backing (Hide)'!$A67,Capacity!$C$3:$Q$3,0))</f>
        <v>0</v>
      </c>
    </row>
    <row r="68" spans="1:59" x14ac:dyDescent="0.35">
      <c r="A68" s="2" t="str" cm="1">
        <f t="array" ref="A68">INDEX('Data Validation (Hide)'!$B$2:$B$16,ROW(A11),1)</f>
        <v>Caseload 11</v>
      </c>
      <c r="B68" cm="1">
        <f t="array" ref="B68">INDEX(Capacity!$C$4:$Q$12,COLUMN(A11),MATCH('Capacity Backing (Hide)'!$A68,Capacity!$C$3:$Q$3,0))</f>
        <v>0</v>
      </c>
      <c r="C68" cm="1">
        <f t="array" ref="C68">INDEX(Capacity!$C$4:$Q$12,COLUMN(B11),MATCH('Capacity Backing (Hide)'!$A68,Capacity!$C$3:$Q$3,0))</f>
        <v>0</v>
      </c>
      <c r="D68" cm="1">
        <f t="array" ref="D68">INDEX(Capacity!$C$4:$Q$12,COLUMN(C11),MATCH('Capacity Backing (Hide)'!$A68,Capacity!$C$3:$Q$3,0))</f>
        <v>0</v>
      </c>
      <c r="E68" cm="1">
        <f t="array" ref="E68">INDEX(Capacity!$C$4:$Q$12,COLUMN(D11),MATCH('Capacity Backing (Hide)'!$A68,Capacity!$C$3:$Q$3,0))</f>
        <v>0</v>
      </c>
      <c r="F68" cm="1">
        <f t="array" ref="F68">INDEX(Capacity!$C$4:$Q$12,COLUMN(E11),MATCH('Capacity Backing (Hide)'!$A68,Capacity!$C$3:$Q$3,0))</f>
        <v>0</v>
      </c>
      <c r="G68" cm="1">
        <f t="array" ref="G68">INDEX(Capacity!$C$4:$Q$12,COLUMN(F11),MATCH('Capacity Backing (Hide)'!$A68,Capacity!$C$3:$Q$3,0))</f>
        <v>0</v>
      </c>
      <c r="H68" cm="1">
        <f t="array" ref="H68">INDEX(Capacity!$C$4:$Q$12,COLUMN(G11),MATCH('Capacity Backing (Hide)'!$A68,Capacity!$C$3:$Q$3,0))</f>
        <v>0</v>
      </c>
      <c r="I68" cm="1">
        <f t="array" ref="I68">INDEX(Capacity!$C$4:$Q$12,COLUMN(H11),MATCH('Capacity Backing (Hide)'!$A68,Capacity!$C$3:$Q$3,0))</f>
        <v>0</v>
      </c>
      <c r="J68" cm="1">
        <f t="array" ref="J68">INDEX(Capacity!$C$4:$Q$12,COLUMN(I11),MATCH('Capacity Backing (Hide)'!$A68,Capacity!$C$3:$Q$3,0))</f>
        <v>0</v>
      </c>
    </row>
    <row r="69" spans="1:59" x14ac:dyDescent="0.35">
      <c r="A69" s="2" t="str" cm="1">
        <f t="array" ref="A69">INDEX('Data Validation (Hide)'!$B$2:$B$16,ROW(A12),1)</f>
        <v>Caseload 12</v>
      </c>
      <c r="B69" cm="1">
        <f t="array" ref="B69">INDEX(Capacity!$C$4:$Q$12,COLUMN(A12),MATCH('Capacity Backing (Hide)'!$A69,Capacity!$C$3:$Q$3,0))</f>
        <v>0</v>
      </c>
      <c r="C69" cm="1">
        <f t="array" ref="C69">INDEX(Capacity!$C$4:$Q$12,COLUMN(B12),MATCH('Capacity Backing (Hide)'!$A69,Capacity!$C$3:$Q$3,0))</f>
        <v>0</v>
      </c>
      <c r="D69" cm="1">
        <f t="array" ref="D69">INDEX(Capacity!$C$4:$Q$12,COLUMN(C12),MATCH('Capacity Backing (Hide)'!$A69,Capacity!$C$3:$Q$3,0))</f>
        <v>0</v>
      </c>
      <c r="E69" cm="1">
        <f t="array" ref="E69">INDEX(Capacity!$C$4:$Q$12,COLUMN(D12),MATCH('Capacity Backing (Hide)'!$A69,Capacity!$C$3:$Q$3,0))</f>
        <v>0</v>
      </c>
      <c r="F69" cm="1">
        <f t="array" ref="F69">INDEX(Capacity!$C$4:$Q$12,COLUMN(E12),MATCH('Capacity Backing (Hide)'!$A69,Capacity!$C$3:$Q$3,0))</f>
        <v>0</v>
      </c>
      <c r="G69" cm="1">
        <f t="array" ref="G69">INDEX(Capacity!$C$4:$Q$12,COLUMN(F12),MATCH('Capacity Backing (Hide)'!$A69,Capacity!$C$3:$Q$3,0))</f>
        <v>0</v>
      </c>
      <c r="H69" cm="1">
        <f t="array" ref="H69">INDEX(Capacity!$C$4:$Q$12,COLUMN(G12),MATCH('Capacity Backing (Hide)'!$A69,Capacity!$C$3:$Q$3,0))</f>
        <v>0</v>
      </c>
      <c r="I69" cm="1">
        <f t="array" ref="I69">INDEX(Capacity!$C$4:$Q$12,COLUMN(H12),MATCH('Capacity Backing (Hide)'!$A69,Capacity!$C$3:$Q$3,0))</f>
        <v>0</v>
      </c>
      <c r="J69" cm="1">
        <f t="array" ref="J69">INDEX(Capacity!$C$4:$Q$12,COLUMN(I12),MATCH('Capacity Backing (Hide)'!$A69,Capacity!$C$3:$Q$3,0))</f>
        <v>0</v>
      </c>
    </row>
    <row r="70" spans="1:59" x14ac:dyDescent="0.35">
      <c r="A70" s="2" t="str" cm="1">
        <f t="array" ref="A70">INDEX('Data Validation (Hide)'!$B$2:$B$16,ROW(A13),1)</f>
        <v>Caseload 13</v>
      </c>
      <c r="B70" cm="1">
        <f t="array" ref="B70">INDEX(Capacity!$C$4:$Q$12,COLUMN(A13),MATCH('Capacity Backing (Hide)'!$A70,Capacity!$C$3:$Q$3,0))</f>
        <v>0</v>
      </c>
      <c r="C70" cm="1">
        <f t="array" ref="C70">INDEX(Capacity!$C$4:$Q$12,COLUMN(B13),MATCH('Capacity Backing (Hide)'!$A70,Capacity!$C$3:$Q$3,0))</f>
        <v>0</v>
      </c>
      <c r="D70" cm="1">
        <f t="array" ref="D70">INDEX(Capacity!$C$4:$Q$12,COLUMN(C13),MATCH('Capacity Backing (Hide)'!$A70,Capacity!$C$3:$Q$3,0))</f>
        <v>0</v>
      </c>
      <c r="E70" cm="1">
        <f t="array" ref="E70">INDEX(Capacity!$C$4:$Q$12,COLUMN(D13),MATCH('Capacity Backing (Hide)'!$A70,Capacity!$C$3:$Q$3,0))</f>
        <v>0</v>
      </c>
      <c r="F70" cm="1">
        <f t="array" ref="F70">INDEX(Capacity!$C$4:$Q$12,COLUMN(E13),MATCH('Capacity Backing (Hide)'!$A70,Capacity!$C$3:$Q$3,0))</f>
        <v>0</v>
      </c>
      <c r="G70" cm="1">
        <f t="array" ref="G70">INDEX(Capacity!$C$4:$Q$12,COLUMN(F13),MATCH('Capacity Backing (Hide)'!$A70,Capacity!$C$3:$Q$3,0))</f>
        <v>0</v>
      </c>
      <c r="H70" cm="1">
        <f t="array" ref="H70">INDEX(Capacity!$C$4:$Q$12,COLUMN(G13),MATCH('Capacity Backing (Hide)'!$A70,Capacity!$C$3:$Q$3,0))</f>
        <v>0</v>
      </c>
      <c r="I70" cm="1">
        <f t="array" ref="I70">INDEX(Capacity!$C$4:$Q$12,COLUMN(H13),MATCH('Capacity Backing (Hide)'!$A70,Capacity!$C$3:$Q$3,0))</f>
        <v>0</v>
      </c>
      <c r="J70" cm="1">
        <f t="array" ref="J70">INDEX(Capacity!$C$4:$Q$12,COLUMN(I13),MATCH('Capacity Backing (Hide)'!$A70,Capacity!$C$3:$Q$3,0))</f>
        <v>0</v>
      </c>
    </row>
    <row r="71" spans="1:59" x14ac:dyDescent="0.35">
      <c r="A71" s="2" t="str" cm="1">
        <f t="array" ref="A71">INDEX('Data Validation (Hide)'!$B$2:$B$16,ROW(A14),1)</f>
        <v>Caseload 14</v>
      </c>
      <c r="B71" cm="1">
        <f t="array" ref="B71">INDEX(Capacity!$C$4:$Q$12,COLUMN(A14),MATCH('Capacity Backing (Hide)'!$A71,Capacity!$C$3:$Q$3,0))</f>
        <v>0</v>
      </c>
      <c r="C71" cm="1">
        <f t="array" ref="C71">INDEX(Capacity!$C$4:$Q$12,COLUMN(B14),MATCH('Capacity Backing (Hide)'!$A71,Capacity!$C$3:$Q$3,0))</f>
        <v>0</v>
      </c>
      <c r="D71" cm="1">
        <f t="array" ref="D71">INDEX(Capacity!$C$4:$Q$12,COLUMN(C14),MATCH('Capacity Backing (Hide)'!$A71,Capacity!$C$3:$Q$3,0))</f>
        <v>0</v>
      </c>
      <c r="E71" cm="1">
        <f t="array" ref="E71">INDEX(Capacity!$C$4:$Q$12,COLUMN(D14),MATCH('Capacity Backing (Hide)'!$A71,Capacity!$C$3:$Q$3,0))</f>
        <v>0</v>
      </c>
      <c r="F71" cm="1">
        <f t="array" ref="F71">INDEX(Capacity!$C$4:$Q$12,COLUMN(E14),MATCH('Capacity Backing (Hide)'!$A71,Capacity!$C$3:$Q$3,0))</f>
        <v>0</v>
      </c>
      <c r="G71" cm="1">
        <f t="array" ref="G71">INDEX(Capacity!$C$4:$Q$12,COLUMN(F14),MATCH('Capacity Backing (Hide)'!$A71,Capacity!$C$3:$Q$3,0))</f>
        <v>0</v>
      </c>
      <c r="H71" cm="1">
        <f t="array" ref="H71">INDEX(Capacity!$C$4:$Q$12,COLUMN(G14),MATCH('Capacity Backing (Hide)'!$A71,Capacity!$C$3:$Q$3,0))</f>
        <v>0</v>
      </c>
      <c r="I71" cm="1">
        <f t="array" ref="I71">INDEX(Capacity!$C$4:$Q$12,COLUMN(H14),MATCH('Capacity Backing (Hide)'!$A71,Capacity!$C$3:$Q$3,0))</f>
        <v>0</v>
      </c>
      <c r="J71" cm="1">
        <f t="array" ref="J71">INDEX(Capacity!$C$4:$Q$12,COLUMN(I14),MATCH('Capacity Backing (Hide)'!$A71,Capacity!$C$3:$Q$3,0))</f>
        <v>0</v>
      </c>
    </row>
    <row r="72" spans="1:59" x14ac:dyDescent="0.35">
      <c r="A72" s="2" t="str" cm="1">
        <f t="array" ref="A72">INDEX('Data Validation (Hide)'!$B$2:$B$16,ROW(A15),1)</f>
        <v>Caseload 15</v>
      </c>
      <c r="B72" cm="1">
        <f t="array" ref="B72">INDEX(Capacity!$C$4:$Q$12,COLUMN(A15),MATCH('Capacity Backing (Hide)'!$A72,Capacity!$C$3:$Q$3,0))</f>
        <v>0</v>
      </c>
      <c r="C72" cm="1">
        <f t="array" ref="C72">INDEX(Capacity!$C$4:$Q$12,COLUMN(B15),MATCH('Capacity Backing (Hide)'!$A72,Capacity!$C$3:$Q$3,0))</f>
        <v>0</v>
      </c>
      <c r="D72" cm="1">
        <f t="array" ref="D72">INDEX(Capacity!$C$4:$Q$12,COLUMN(C15),MATCH('Capacity Backing (Hide)'!$A72,Capacity!$C$3:$Q$3,0))</f>
        <v>0</v>
      </c>
      <c r="E72" cm="1">
        <f t="array" ref="E72">INDEX(Capacity!$C$4:$Q$12,COLUMN(D15),MATCH('Capacity Backing (Hide)'!$A72,Capacity!$C$3:$Q$3,0))</f>
        <v>0</v>
      </c>
      <c r="F72" cm="1">
        <f t="array" ref="F72">INDEX(Capacity!$C$4:$Q$12,COLUMN(E15),MATCH('Capacity Backing (Hide)'!$A72,Capacity!$C$3:$Q$3,0))</f>
        <v>0</v>
      </c>
      <c r="G72" cm="1">
        <f t="array" ref="G72">INDEX(Capacity!$C$4:$Q$12,COLUMN(F15),MATCH('Capacity Backing (Hide)'!$A72,Capacity!$C$3:$Q$3,0))</f>
        <v>0</v>
      </c>
      <c r="H72" cm="1">
        <f t="array" ref="H72">INDEX(Capacity!$C$4:$Q$12,COLUMN(G15),MATCH('Capacity Backing (Hide)'!$A72,Capacity!$C$3:$Q$3,0))</f>
        <v>0</v>
      </c>
      <c r="I72" cm="1">
        <f t="array" ref="I72">INDEX(Capacity!$C$4:$Q$12,COLUMN(H15),MATCH('Capacity Backing (Hide)'!$A72,Capacity!$C$3:$Q$3,0))</f>
        <v>0</v>
      </c>
      <c r="J72" cm="1">
        <f t="array" ref="J72">INDEX(Capacity!$C$4:$Q$12,COLUMN(I15),MATCH('Capacity Backing (Hide)'!$A72,Capacity!$C$3:$Q$3,0))</f>
        <v>0</v>
      </c>
    </row>
    <row r="73" spans="1:59" x14ac:dyDescent="0.35">
      <c r="A73" s="2"/>
    </row>
    <row r="74" spans="1:59" x14ac:dyDescent="0.35">
      <c r="A74" t="s">
        <v>60</v>
      </c>
      <c r="B74" s="2" cm="1">
        <f t="array" ref="B74">INDEX($A$4:$A$55,COLUMN(A1),1)</f>
        <v>44121</v>
      </c>
      <c r="C74" s="2" cm="1">
        <f t="array" ref="C74">INDEX($A$4:$A$55,COLUMN(B1),1)</f>
        <v>44128</v>
      </c>
      <c r="D74" s="2" cm="1">
        <f t="array" ref="D74">INDEX($A$4:$A$55,COLUMN(C1),1)</f>
        <v>44135</v>
      </c>
      <c r="E74" s="2" cm="1">
        <f t="array" ref="E74">INDEX($A$4:$A$55,COLUMN(D1),1)</f>
        <v>44142</v>
      </c>
      <c r="F74" s="2" cm="1">
        <f t="array" ref="F74">INDEX($A$4:$A$55,COLUMN(E1),1)</f>
        <v>44149</v>
      </c>
      <c r="G74" s="2" cm="1">
        <f t="array" ref="G74">INDEX($A$4:$A$55,COLUMN(F1),1)</f>
        <v>44156</v>
      </c>
      <c r="H74" s="2" cm="1">
        <f t="array" ref="H74">INDEX($A$4:$A$55,COLUMN(G1),1)</f>
        <v>44163</v>
      </c>
      <c r="I74" s="2" cm="1">
        <f t="array" ref="I74">INDEX($A$4:$A$55,COLUMN(H1),1)</f>
        <v>44170</v>
      </c>
      <c r="J74" s="2" cm="1">
        <f t="array" ref="J74">INDEX($A$4:$A$55,COLUMN(I1),1)</f>
        <v>44177</v>
      </c>
      <c r="K74" s="2" cm="1">
        <f t="array" ref="K74">INDEX($A$4:$A$55,COLUMN(J1),1)</f>
        <v>44184</v>
      </c>
      <c r="L74" s="2" cm="1">
        <f t="array" ref="L74">INDEX($A$4:$A$55,COLUMN(K1),1)</f>
        <v>44191</v>
      </c>
      <c r="M74" s="2" cm="1">
        <f t="array" ref="M74">INDEX($A$4:$A$55,COLUMN(L1),1)</f>
        <v>44198</v>
      </c>
      <c r="N74" s="2" cm="1">
        <f t="array" ref="N74">INDEX($A$4:$A$55,COLUMN(M1),1)</f>
        <v>44205</v>
      </c>
      <c r="O74" s="2" cm="1">
        <f t="array" ref="O74">INDEX($A$4:$A$55,COLUMN(N1),1)</f>
        <v>44212</v>
      </c>
      <c r="P74" s="2" cm="1">
        <f t="array" ref="P74">INDEX($A$4:$A$55,COLUMN(O1),1)</f>
        <v>44219</v>
      </c>
      <c r="Q74" s="2" cm="1">
        <f t="array" ref="Q74">INDEX($A$4:$A$55,COLUMN(P1),1)</f>
        <v>44226</v>
      </c>
      <c r="R74" s="2" cm="1">
        <f t="array" ref="R74">INDEX($A$4:$A$55,COLUMN(Q1),1)</f>
        <v>44233</v>
      </c>
      <c r="S74" s="2" cm="1">
        <f t="array" ref="S74">INDEX($A$4:$A$55,COLUMN(R1),1)</f>
        <v>44240</v>
      </c>
      <c r="T74" s="2" cm="1">
        <f t="array" ref="T74">INDEX($A$4:$A$55,COLUMN(S1),1)</f>
        <v>44247</v>
      </c>
      <c r="U74" s="2" cm="1">
        <f t="array" ref="U74">INDEX($A$4:$A$55,COLUMN(T1),1)</f>
        <v>44254</v>
      </c>
      <c r="V74" s="2" cm="1">
        <f t="array" ref="V74">INDEX($A$4:$A$55,COLUMN(U1),1)</f>
        <v>44261</v>
      </c>
      <c r="W74" s="2" cm="1">
        <f t="array" ref="W74">INDEX($A$4:$A$55,COLUMN(V1),1)</f>
        <v>44268</v>
      </c>
      <c r="X74" s="2" cm="1">
        <f t="array" ref="X74">INDEX($A$4:$A$55,COLUMN(W1),1)</f>
        <v>44275</v>
      </c>
      <c r="Y74" s="2" cm="1">
        <f t="array" ref="Y74">INDEX($A$4:$A$55,COLUMN(X1),1)</f>
        <v>44282</v>
      </c>
      <c r="Z74" s="2" cm="1">
        <f t="array" ref="Z74">INDEX($A$4:$A$55,COLUMN(Y1),1)</f>
        <v>44289</v>
      </c>
      <c r="AA74" s="2" cm="1">
        <f t="array" ref="AA74">INDEX($A$4:$A$55,COLUMN(Z1),1)</f>
        <v>44296</v>
      </c>
      <c r="AB74" s="2" cm="1">
        <f t="array" ref="AB74">INDEX($A$4:$A$55,COLUMN(AA1),1)</f>
        <v>44303</v>
      </c>
      <c r="AC74" s="2" cm="1">
        <f t="array" ref="AC74">INDEX($A$4:$A$55,COLUMN(AB1),1)</f>
        <v>44310</v>
      </c>
      <c r="AD74" s="2" cm="1">
        <f t="array" ref="AD74">INDEX($A$4:$A$55,COLUMN(AC1),1)</f>
        <v>44317</v>
      </c>
      <c r="AE74" s="2" cm="1">
        <f t="array" ref="AE74">INDEX($A$4:$A$55,COLUMN(AD1),1)</f>
        <v>44324</v>
      </c>
      <c r="AF74" s="2" cm="1">
        <f t="array" ref="AF74">INDEX($A$4:$A$55,COLUMN(AE1),1)</f>
        <v>44331</v>
      </c>
      <c r="AG74" s="2" cm="1">
        <f t="array" ref="AG74">INDEX($A$4:$A$55,COLUMN(AF1),1)</f>
        <v>44338</v>
      </c>
      <c r="AH74" s="2" cm="1">
        <f t="array" ref="AH74">INDEX($A$4:$A$55,COLUMN(AG1),1)</f>
        <v>44345</v>
      </c>
      <c r="AI74" s="2" cm="1">
        <f t="array" ref="AI74">INDEX($A$4:$A$55,COLUMN(AH1),1)</f>
        <v>44352</v>
      </c>
      <c r="AJ74" s="2" cm="1">
        <f t="array" ref="AJ74">INDEX($A$4:$A$55,COLUMN(AI1),1)</f>
        <v>44359</v>
      </c>
      <c r="AK74" s="2" cm="1">
        <f t="array" ref="AK74">INDEX($A$4:$A$55,COLUMN(AJ1),1)</f>
        <v>44366</v>
      </c>
      <c r="AL74" s="2" cm="1">
        <f t="array" ref="AL74">INDEX($A$4:$A$55,COLUMN(AK1),1)</f>
        <v>44373</v>
      </c>
      <c r="AM74" s="2" cm="1">
        <f t="array" ref="AM74">INDEX($A$4:$A$55,COLUMN(AL1),1)</f>
        <v>44380</v>
      </c>
      <c r="AN74" s="2" cm="1">
        <f t="array" ref="AN74">INDEX($A$4:$A$55,COLUMN(AM1),1)</f>
        <v>44387</v>
      </c>
      <c r="AO74" s="2" cm="1">
        <f t="array" ref="AO74">INDEX($A$4:$A$55,COLUMN(AN1),1)</f>
        <v>44394</v>
      </c>
      <c r="AP74" s="2" cm="1">
        <f t="array" ref="AP74">INDEX($A$4:$A$55,COLUMN(AO1),1)</f>
        <v>44401</v>
      </c>
      <c r="AQ74" s="2" cm="1">
        <f t="array" ref="AQ74">INDEX($A$4:$A$55,COLUMN(AP1),1)</f>
        <v>44408</v>
      </c>
      <c r="AR74" s="2" cm="1">
        <f t="array" ref="AR74">INDEX($A$4:$A$55,COLUMN(AQ1),1)</f>
        <v>44415</v>
      </c>
      <c r="AS74" s="2" cm="1">
        <f t="array" ref="AS74">INDEX($A$4:$A$55,COLUMN(AR1),1)</f>
        <v>44422</v>
      </c>
      <c r="AT74" s="2" cm="1">
        <f t="array" ref="AT74">INDEX($A$4:$A$55,COLUMN(AS1),1)</f>
        <v>44429</v>
      </c>
      <c r="AU74" s="2" cm="1">
        <f t="array" ref="AU74">INDEX($A$4:$A$55,COLUMN(AT1),1)</f>
        <v>44436</v>
      </c>
      <c r="AV74" s="2" cm="1">
        <f t="array" ref="AV74">INDEX($A$4:$A$55,COLUMN(AU1),1)</f>
        <v>44443</v>
      </c>
      <c r="AW74" s="2" cm="1">
        <f t="array" ref="AW74">INDEX($A$4:$A$55,COLUMN(AV1),1)</f>
        <v>44450</v>
      </c>
      <c r="AX74" s="2" cm="1">
        <f t="array" ref="AX74">INDEX($A$4:$A$55,COLUMN(AW1),1)</f>
        <v>44457</v>
      </c>
      <c r="AY74" s="2" cm="1">
        <f t="array" ref="AY74">INDEX($A$4:$A$55,COLUMN(AX1),1)</f>
        <v>44464</v>
      </c>
      <c r="AZ74" s="2" cm="1">
        <f t="array" ref="AZ74">INDEX($A$4:$A$55,COLUMN(AY1),1)</f>
        <v>44471</v>
      </c>
      <c r="BA74" s="2" cm="1">
        <f t="array" ref="BA74">INDEX($A$4:$A$55,COLUMN(AZ1),1)</f>
        <v>44478</v>
      </c>
      <c r="BB74" s="2"/>
      <c r="BC74" s="2"/>
      <c r="BD74" s="2"/>
      <c r="BE74" s="2"/>
      <c r="BF74" s="2"/>
      <c r="BG74" s="2"/>
    </row>
    <row r="75" spans="1:59" x14ac:dyDescent="0.35">
      <c r="A75" s="2" t="str" cm="1">
        <f t="array" ref="A75">INDEX('Data Validation (Hide)'!$B$2:$B$16,ROW(A1),1)</f>
        <v>Caseload 1</v>
      </c>
      <c r="B75">
        <f t="shared" ref="B75:B89" si="0">SUMIFS($B$4:$J$4,$B58:$J58,"="&amp;"x",$B$2:$J$2,"="&amp;"N")</f>
        <v>60</v>
      </c>
      <c r="C75">
        <f t="shared" ref="C75:BA80" si="1">SUMIFS($B$4:$J$4,$B58:$J58,"="&amp;"x",$B$2:$J$2,"="&amp;"N")</f>
        <v>60</v>
      </c>
      <c r="D75">
        <f t="shared" si="1"/>
        <v>60</v>
      </c>
      <c r="E75">
        <f t="shared" si="1"/>
        <v>60</v>
      </c>
      <c r="F75">
        <f t="shared" si="1"/>
        <v>60</v>
      </c>
      <c r="G75">
        <f t="shared" si="1"/>
        <v>60</v>
      </c>
      <c r="H75">
        <f t="shared" si="1"/>
        <v>60</v>
      </c>
      <c r="I75">
        <f t="shared" si="1"/>
        <v>60</v>
      </c>
      <c r="J75">
        <f t="shared" si="1"/>
        <v>60</v>
      </c>
      <c r="K75">
        <f t="shared" si="1"/>
        <v>60</v>
      </c>
      <c r="L75">
        <f t="shared" si="1"/>
        <v>60</v>
      </c>
      <c r="M75">
        <f t="shared" si="1"/>
        <v>60</v>
      </c>
      <c r="N75">
        <f t="shared" si="1"/>
        <v>60</v>
      </c>
      <c r="O75">
        <f t="shared" si="1"/>
        <v>60</v>
      </c>
      <c r="P75">
        <f t="shared" si="1"/>
        <v>60</v>
      </c>
      <c r="Q75">
        <f t="shared" si="1"/>
        <v>60</v>
      </c>
      <c r="R75">
        <f t="shared" si="1"/>
        <v>60</v>
      </c>
      <c r="S75">
        <f t="shared" si="1"/>
        <v>60</v>
      </c>
      <c r="T75">
        <f t="shared" si="1"/>
        <v>60</v>
      </c>
      <c r="U75">
        <f t="shared" si="1"/>
        <v>60</v>
      </c>
      <c r="V75">
        <f t="shared" si="1"/>
        <v>60</v>
      </c>
      <c r="W75">
        <f t="shared" si="1"/>
        <v>60</v>
      </c>
      <c r="X75">
        <f t="shared" si="1"/>
        <v>60</v>
      </c>
      <c r="Y75">
        <f t="shared" si="1"/>
        <v>60</v>
      </c>
      <c r="Z75">
        <f t="shared" si="1"/>
        <v>60</v>
      </c>
      <c r="AA75">
        <f t="shared" si="1"/>
        <v>60</v>
      </c>
      <c r="AB75">
        <f t="shared" si="1"/>
        <v>60</v>
      </c>
      <c r="AC75">
        <f t="shared" si="1"/>
        <v>60</v>
      </c>
      <c r="AD75">
        <f t="shared" si="1"/>
        <v>60</v>
      </c>
      <c r="AE75">
        <f t="shared" si="1"/>
        <v>60</v>
      </c>
      <c r="AF75">
        <f t="shared" si="1"/>
        <v>60</v>
      </c>
      <c r="AG75">
        <f t="shared" si="1"/>
        <v>60</v>
      </c>
      <c r="AH75">
        <f t="shared" si="1"/>
        <v>60</v>
      </c>
      <c r="AI75">
        <f t="shared" si="1"/>
        <v>60</v>
      </c>
      <c r="AJ75">
        <f t="shared" si="1"/>
        <v>60</v>
      </c>
      <c r="AK75">
        <f t="shared" si="1"/>
        <v>60</v>
      </c>
      <c r="AL75">
        <f t="shared" si="1"/>
        <v>60</v>
      </c>
      <c r="AM75">
        <f t="shared" si="1"/>
        <v>60</v>
      </c>
      <c r="AN75">
        <f t="shared" si="1"/>
        <v>60</v>
      </c>
      <c r="AO75">
        <f t="shared" si="1"/>
        <v>60</v>
      </c>
      <c r="AP75">
        <f t="shared" si="1"/>
        <v>60</v>
      </c>
      <c r="AQ75">
        <f t="shared" si="1"/>
        <v>60</v>
      </c>
      <c r="AR75">
        <f t="shared" si="1"/>
        <v>60</v>
      </c>
      <c r="AS75">
        <f t="shared" si="1"/>
        <v>60</v>
      </c>
      <c r="AT75">
        <f t="shared" si="1"/>
        <v>60</v>
      </c>
      <c r="AU75">
        <f t="shared" si="1"/>
        <v>60</v>
      </c>
      <c r="AV75">
        <f t="shared" si="1"/>
        <v>60</v>
      </c>
      <c r="AW75">
        <f t="shared" si="1"/>
        <v>60</v>
      </c>
      <c r="AX75">
        <f t="shared" si="1"/>
        <v>60</v>
      </c>
      <c r="AY75">
        <f t="shared" si="1"/>
        <v>60</v>
      </c>
      <c r="AZ75">
        <f t="shared" si="1"/>
        <v>60</v>
      </c>
      <c r="BA75">
        <f t="shared" si="1"/>
        <v>60</v>
      </c>
    </row>
    <row r="76" spans="1:59" x14ac:dyDescent="0.35">
      <c r="A76" s="2" t="str" cm="1">
        <f t="array" ref="A76">INDEX('Data Validation (Hide)'!$B$2:$B$16,ROW(A2),1)</f>
        <v>Medium</v>
      </c>
      <c r="B76">
        <f t="shared" si="0"/>
        <v>0</v>
      </c>
      <c r="C76">
        <f t="shared" ref="C76:Q76" si="2">SUMIFS($B$4:$J$4,$B59:$J59,"="&amp;"x",$B$2:$J$2,"="&amp;"N")</f>
        <v>0</v>
      </c>
      <c r="D76">
        <f t="shared" si="2"/>
        <v>0</v>
      </c>
      <c r="E76">
        <f t="shared" si="2"/>
        <v>0</v>
      </c>
      <c r="F76">
        <f t="shared" si="2"/>
        <v>0</v>
      </c>
      <c r="G76">
        <f t="shared" si="2"/>
        <v>0</v>
      </c>
      <c r="H76">
        <f t="shared" si="2"/>
        <v>0</v>
      </c>
      <c r="I76">
        <f t="shared" si="2"/>
        <v>0</v>
      </c>
      <c r="J76">
        <f t="shared" si="2"/>
        <v>0</v>
      </c>
      <c r="K76">
        <f t="shared" si="2"/>
        <v>0</v>
      </c>
      <c r="L76">
        <f t="shared" si="2"/>
        <v>0</v>
      </c>
      <c r="M76">
        <f t="shared" si="2"/>
        <v>0</v>
      </c>
      <c r="N76">
        <f t="shared" si="2"/>
        <v>0</v>
      </c>
      <c r="O76">
        <f t="shared" si="2"/>
        <v>0</v>
      </c>
      <c r="P76">
        <f t="shared" si="2"/>
        <v>0</v>
      </c>
      <c r="Q76">
        <f t="shared" si="2"/>
        <v>0</v>
      </c>
      <c r="R76">
        <f t="shared" si="1"/>
        <v>0</v>
      </c>
      <c r="S76">
        <f t="shared" si="1"/>
        <v>0</v>
      </c>
      <c r="T76">
        <f t="shared" si="1"/>
        <v>0</v>
      </c>
      <c r="U76">
        <f t="shared" si="1"/>
        <v>0</v>
      </c>
      <c r="V76">
        <f t="shared" si="1"/>
        <v>0</v>
      </c>
      <c r="W76">
        <f t="shared" si="1"/>
        <v>0</v>
      </c>
      <c r="X76">
        <f t="shared" si="1"/>
        <v>0</v>
      </c>
      <c r="Y76">
        <f t="shared" si="1"/>
        <v>0</v>
      </c>
      <c r="Z76">
        <f t="shared" si="1"/>
        <v>0</v>
      </c>
      <c r="AA76">
        <f t="shared" si="1"/>
        <v>0</v>
      </c>
      <c r="AB76">
        <f t="shared" si="1"/>
        <v>0</v>
      </c>
      <c r="AC76">
        <f t="shared" si="1"/>
        <v>0</v>
      </c>
      <c r="AD76">
        <f t="shared" si="1"/>
        <v>0</v>
      </c>
      <c r="AE76">
        <f t="shared" si="1"/>
        <v>0</v>
      </c>
      <c r="AF76">
        <f t="shared" si="1"/>
        <v>0</v>
      </c>
      <c r="AG76">
        <f t="shared" si="1"/>
        <v>0</v>
      </c>
      <c r="AH76">
        <f t="shared" si="1"/>
        <v>0</v>
      </c>
      <c r="AI76">
        <f t="shared" si="1"/>
        <v>0</v>
      </c>
      <c r="AJ76">
        <f t="shared" si="1"/>
        <v>0</v>
      </c>
      <c r="AK76">
        <f t="shared" si="1"/>
        <v>0</v>
      </c>
      <c r="AL76">
        <f t="shared" si="1"/>
        <v>0</v>
      </c>
      <c r="AM76">
        <f t="shared" si="1"/>
        <v>0</v>
      </c>
      <c r="AN76">
        <f t="shared" si="1"/>
        <v>0</v>
      </c>
      <c r="AO76">
        <f t="shared" si="1"/>
        <v>0</v>
      </c>
      <c r="AP76">
        <f t="shared" si="1"/>
        <v>0</v>
      </c>
      <c r="AQ76">
        <f t="shared" si="1"/>
        <v>0</v>
      </c>
      <c r="AR76">
        <f t="shared" si="1"/>
        <v>0</v>
      </c>
      <c r="AS76">
        <f t="shared" si="1"/>
        <v>0</v>
      </c>
      <c r="AT76">
        <f t="shared" si="1"/>
        <v>0</v>
      </c>
      <c r="AU76">
        <f t="shared" si="1"/>
        <v>0</v>
      </c>
      <c r="AV76">
        <f t="shared" si="1"/>
        <v>0</v>
      </c>
      <c r="AW76">
        <f t="shared" si="1"/>
        <v>0</v>
      </c>
      <c r="AX76">
        <f t="shared" si="1"/>
        <v>0</v>
      </c>
      <c r="AY76">
        <f t="shared" si="1"/>
        <v>0</v>
      </c>
      <c r="AZ76">
        <f t="shared" si="1"/>
        <v>0</v>
      </c>
      <c r="BA76">
        <f t="shared" si="1"/>
        <v>0</v>
      </c>
    </row>
    <row r="77" spans="1:59" x14ac:dyDescent="0.35">
      <c r="A77" s="2" t="str" cm="1">
        <f t="array" ref="A77">INDEX('Data Validation (Hide)'!$B$2:$B$16,ROW(A3),1)</f>
        <v>low</v>
      </c>
      <c r="B77">
        <f t="shared" si="0"/>
        <v>0</v>
      </c>
      <c r="C77">
        <f t="shared" si="1"/>
        <v>0</v>
      </c>
      <c r="D77">
        <f t="shared" si="1"/>
        <v>0</v>
      </c>
      <c r="E77">
        <f t="shared" si="1"/>
        <v>0</v>
      </c>
      <c r="F77">
        <f t="shared" si="1"/>
        <v>0</v>
      </c>
      <c r="G77">
        <f t="shared" si="1"/>
        <v>0</v>
      </c>
      <c r="H77">
        <f t="shared" si="1"/>
        <v>0</v>
      </c>
      <c r="I77">
        <f t="shared" si="1"/>
        <v>0</v>
      </c>
      <c r="J77">
        <f t="shared" si="1"/>
        <v>0</v>
      </c>
      <c r="K77">
        <f t="shared" si="1"/>
        <v>0</v>
      </c>
      <c r="L77">
        <f t="shared" si="1"/>
        <v>0</v>
      </c>
      <c r="M77">
        <f t="shared" si="1"/>
        <v>0</v>
      </c>
      <c r="N77">
        <f t="shared" si="1"/>
        <v>0</v>
      </c>
      <c r="O77">
        <f t="shared" si="1"/>
        <v>0</v>
      </c>
      <c r="P77">
        <f t="shared" si="1"/>
        <v>0</v>
      </c>
      <c r="Q77">
        <f t="shared" si="1"/>
        <v>0</v>
      </c>
      <c r="R77">
        <f t="shared" si="1"/>
        <v>0</v>
      </c>
      <c r="S77">
        <f t="shared" si="1"/>
        <v>0</v>
      </c>
      <c r="T77">
        <f t="shared" si="1"/>
        <v>0</v>
      </c>
      <c r="U77">
        <f t="shared" si="1"/>
        <v>0</v>
      </c>
      <c r="V77">
        <f t="shared" si="1"/>
        <v>0</v>
      </c>
      <c r="W77">
        <f t="shared" si="1"/>
        <v>0</v>
      </c>
      <c r="X77">
        <f t="shared" si="1"/>
        <v>0</v>
      </c>
      <c r="Y77">
        <f t="shared" si="1"/>
        <v>0</v>
      </c>
      <c r="Z77">
        <f t="shared" si="1"/>
        <v>0</v>
      </c>
      <c r="AA77">
        <f t="shared" si="1"/>
        <v>0</v>
      </c>
      <c r="AB77">
        <f t="shared" si="1"/>
        <v>0</v>
      </c>
      <c r="AC77">
        <f t="shared" si="1"/>
        <v>0</v>
      </c>
      <c r="AD77">
        <f t="shared" si="1"/>
        <v>0</v>
      </c>
      <c r="AE77">
        <f t="shared" si="1"/>
        <v>0</v>
      </c>
      <c r="AF77">
        <f t="shared" si="1"/>
        <v>0</v>
      </c>
      <c r="AG77">
        <f t="shared" si="1"/>
        <v>0</v>
      </c>
      <c r="AH77">
        <f t="shared" si="1"/>
        <v>0</v>
      </c>
      <c r="AI77">
        <f t="shared" si="1"/>
        <v>0</v>
      </c>
      <c r="AJ77">
        <f t="shared" si="1"/>
        <v>0</v>
      </c>
      <c r="AK77">
        <f t="shared" si="1"/>
        <v>0</v>
      </c>
      <c r="AL77">
        <f t="shared" si="1"/>
        <v>0</v>
      </c>
      <c r="AM77">
        <f t="shared" si="1"/>
        <v>0</v>
      </c>
      <c r="AN77">
        <f t="shared" si="1"/>
        <v>0</v>
      </c>
      <c r="AO77">
        <f t="shared" si="1"/>
        <v>0</v>
      </c>
      <c r="AP77">
        <f t="shared" si="1"/>
        <v>0</v>
      </c>
      <c r="AQ77">
        <f t="shared" si="1"/>
        <v>0</v>
      </c>
      <c r="AR77">
        <f t="shared" si="1"/>
        <v>0</v>
      </c>
      <c r="AS77">
        <f t="shared" si="1"/>
        <v>0</v>
      </c>
      <c r="AT77">
        <f t="shared" si="1"/>
        <v>0</v>
      </c>
      <c r="AU77">
        <f t="shared" si="1"/>
        <v>0</v>
      </c>
      <c r="AV77">
        <f t="shared" si="1"/>
        <v>0</v>
      </c>
      <c r="AW77">
        <f t="shared" si="1"/>
        <v>0</v>
      </c>
      <c r="AX77">
        <f t="shared" si="1"/>
        <v>0</v>
      </c>
      <c r="AY77">
        <f t="shared" si="1"/>
        <v>0</v>
      </c>
      <c r="AZ77">
        <f t="shared" si="1"/>
        <v>0</v>
      </c>
      <c r="BA77">
        <f t="shared" si="1"/>
        <v>0</v>
      </c>
    </row>
    <row r="78" spans="1:59" x14ac:dyDescent="0.35">
      <c r="A78" s="2" t="str" cm="1">
        <f t="array" ref="A78">INDEX('Data Validation (Hide)'!$B$2:$B$16,ROW(A4),1)</f>
        <v>very low</v>
      </c>
      <c r="B78">
        <f t="shared" si="0"/>
        <v>0</v>
      </c>
      <c r="C78">
        <f t="shared" si="1"/>
        <v>0</v>
      </c>
      <c r="D78">
        <f t="shared" si="1"/>
        <v>0</v>
      </c>
      <c r="E78">
        <f t="shared" si="1"/>
        <v>0</v>
      </c>
      <c r="F78">
        <f t="shared" si="1"/>
        <v>0</v>
      </c>
      <c r="G78">
        <f t="shared" si="1"/>
        <v>0</v>
      </c>
      <c r="H78">
        <f t="shared" si="1"/>
        <v>0</v>
      </c>
      <c r="I78">
        <f t="shared" si="1"/>
        <v>0</v>
      </c>
      <c r="J78">
        <f t="shared" si="1"/>
        <v>0</v>
      </c>
      <c r="K78">
        <f t="shared" si="1"/>
        <v>0</v>
      </c>
      <c r="L78">
        <f t="shared" si="1"/>
        <v>0</v>
      </c>
      <c r="M78">
        <f t="shared" si="1"/>
        <v>0</v>
      </c>
      <c r="N78">
        <f t="shared" si="1"/>
        <v>0</v>
      </c>
      <c r="O78">
        <f t="shared" si="1"/>
        <v>0</v>
      </c>
      <c r="P78">
        <f t="shared" si="1"/>
        <v>0</v>
      </c>
      <c r="Q78">
        <f t="shared" si="1"/>
        <v>0</v>
      </c>
      <c r="R78">
        <f t="shared" si="1"/>
        <v>0</v>
      </c>
      <c r="S78">
        <f t="shared" si="1"/>
        <v>0</v>
      </c>
      <c r="T78">
        <f t="shared" si="1"/>
        <v>0</v>
      </c>
      <c r="U78">
        <f t="shared" si="1"/>
        <v>0</v>
      </c>
      <c r="V78">
        <f t="shared" si="1"/>
        <v>0</v>
      </c>
      <c r="W78">
        <f t="shared" si="1"/>
        <v>0</v>
      </c>
      <c r="X78">
        <f t="shared" si="1"/>
        <v>0</v>
      </c>
      <c r="Y78">
        <f t="shared" si="1"/>
        <v>0</v>
      </c>
      <c r="Z78">
        <f t="shared" si="1"/>
        <v>0</v>
      </c>
      <c r="AA78">
        <f t="shared" si="1"/>
        <v>0</v>
      </c>
      <c r="AB78">
        <f t="shared" si="1"/>
        <v>0</v>
      </c>
      <c r="AC78">
        <f t="shared" si="1"/>
        <v>0</v>
      </c>
      <c r="AD78">
        <f t="shared" si="1"/>
        <v>0</v>
      </c>
      <c r="AE78">
        <f t="shared" si="1"/>
        <v>0</v>
      </c>
      <c r="AF78">
        <f t="shared" si="1"/>
        <v>0</v>
      </c>
      <c r="AG78">
        <f t="shared" si="1"/>
        <v>0</v>
      </c>
      <c r="AH78">
        <f t="shared" si="1"/>
        <v>0</v>
      </c>
      <c r="AI78">
        <f t="shared" si="1"/>
        <v>0</v>
      </c>
      <c r="AJ78">
        <f t="shared" si="1"/>
        <v>0</v>
      </c>
      <c r="AK78">
        <f t="shared" si="1"/>
        <v>0</v>
      </c>
      <c r="AL78">
        <f t="shared" si="1"/>
        <v>0</v>
      </c>
      <c r="AM78">
        <f t="shared" si="1"/>
        <v>0</v>
      </c>
      <c r="AN78">
        <f t="shared" si="1"/>
        <v>0</v>
      </c>
      <c r="AO78">
        <f t="shared" si="1"/>
        <v>0</v>
      </c>
      <c r="AP78">
        <f t="shared" si="1"/>
        <v>0</v>
      </c>
      <c r="AQ78">
        <f t="shared" si="1"/>
        <v>0</v>
      </c>
      <c r="AR78">
        <f t="shared" si="1"/>
        <v>0</v>
      </c>
      <c r="AS78">
        <f t="shared" si="1"/>
        <v>0</v>
      </c>
      <c r="AT78">
        <f t="shared" si="1"/>
        <v>0</v>
      </c>
      <c r="AU78">
        <f t="shared" si="1"/>
        <v>0</v>
      </c>
      <c r="AV78">
        <f t="shared" si="1"/>
        <v>0</v>
      </c>
      <c r="AW78">
        <f t="shared" si="1"/>
        <v>0</v>
      </c>
      <c r="AX78">
        <f t="shared" si="1"/>
        <v>0</v>
      </c>
      <c r="AY78">
        <f t="shared" si="1"/>
        <v>0</v>
      </c>
      <c r="AZ78">
        <f t="shared" si="1"/>
        <v>0</v>
      </c>
      <c r="BA78">
        <f t="shared" si="1"/>
        <v>0</v>
      </c>
    </row>
    <row r="79" spans="1:59" x14ac:dyDescent="0.35">
      <c r="A79" s="2" t="str" cm="1">
        <f t="array" ref="A79">INDEX('Data Validation (Hide)'!$B$2:$B$16,ROW(A5),1)</f>
        <v>Caseload 5</v>
      </c>
      <c r="B79">
        <f t="shared" si="0"/>
        <v>0</v>
      </c>
      <c r="C79">
        <f t="shared" si="1"/>
        <v>0</v>
      </c>
      <c r="D79">
        <f t="shared" si="1"/>
        <v>0</v>
      </c>
      <c r="E79">
        <f t="shared" si="1"/>
        <v>0</v>
      </c>
      <c r="F79">
        <f t="shared" si="1"/>
        <v>0</v>
      </c>
      <c r="G79">
        <f t="shared" si="1"/>
        <v>0</v>
      </c>
      <c r="H79">
        <f t="shared" si="1"/>
        <v>0</v>
      </c>
      <c r="I79">
        <f t="shared" si="1"/>
        <v>0</v>
      </c>
      <c r="J79">
        <f t="shared" si="1"/>
        <v>0</v>
      </c>
      <c r="K79">
        <f t="shared" si="1"/>
        <v>0</v>
      </c>
      <c r="L79">
        <f t="shared" si="1"/>
        <v>0</v>
      </c>
      <c r="M79">
        <f t="shared" si="1"/>
        <v>0</v>
      </c>
      <c r="N79">
        <f t="shared" si="1"/>
        <v>0</v>
      </c>
      <c r="O79">
        <f t="shared" si="1"/>
        <v>0</v>
      </c>
      <c r="P79">
        <f t="shared" si="1"/>
        <v>0</v>
      </c>
      <c r="Q79">
        <f t="shared" si="1"/>
        <v>0</v>
      </c>
      <c r="R79">
        <f t="shared" si="1"/>
        <v>0</v>
      </c>
      <c r="S79">
        <f t="shared" si="1"/>
        <v>0</v>
      </c>
      <c r="T79">
        <f t="shared" si="1"/>
        <v>0</v>
      </c>
      <c r="U79">
        <f t="shared" si="1"/>
        <v>0</v>
      </c>
      <c r="V79">
        <f t="shared" si="1"/>
        <v>0</v>
      </c>
      <c r="W79">
        <f t="shared" si="1"/>
        <v>0</v>
      </c>
      <c r="X79">
        <f t="shared" si="1"/>
        <v>0</v>
      </c>
      <c r="Y79">
        <f t="shared" si="1"/>
        <v>0</v>
      </c>
      <c r="Z79">
        <f t="shared" si="1"/>
        <v>0</v>
      </c>
      <c r="AA79">
        <f t="shared" si="1"/>
        <v>0</v>
      </c>
      <c r="AB79">
        <f t="shared" si="1"/>
        <v>0</v>
      </c>
      <c r="AC79">
        <f t="shared" si="1"/>
        <v>0</v>
      </c>
      <c r="AD79">
        <f t="shared" si="1"/>
        <v>0</v>
      </c>
      <c r="AE79">
        <f t="shared" si="1"/>
        <v>0</v>
      </c>
      <c r="AF79">
        <f t="shared" si="1"/>
        <v>0</v>
      </c>
      <c r="AG79">
        <f t="shared" si="1"/>
        <v>0</v>
      </c>
      <c r="AH79">
        <f t="shared" si="1"/>
        <v>0</v>
      </c>
      <c r="AI79">
        <f t="shared" si="1"/>
        <v>0</v>
      </c>
      <c r="AJ79">
        <f t="shared" si="1"/>
        <v>0</v>
      </c>
      <c r="AK79">
        <f t="shared" si="1"/>
        <v>0</v>
      </c>
      <c r="AL79">
        <f t="shared" si="1"/>
        <v>0</v>
      </c>
      <c r="AM79">
        <f t="shared" si="1"/>
        <v>0</v>
      </c>
      <c r="AN79">
        <f t="shared" si="1"/>
        <v>0</v>
      </c>
      <c r="AO79">
        <f t="shared" si="1"/>
        <v>0</v>
      </c>
      <c r="AP79">
        <f t="shared" si="1"/>
        <v>0</v>
      </c>
      <c r="AQ79">
        <f t="shared" si="1"/>
        <v>0</v>
      </c>
      <c r="AR79">
        <f t="shared" si="1"/>
        <v>0</v>
      </c>
      <c r="AS79">
        <f t="shared" si="1"/>
        <v>0</v>
      </c>
      <c r="AT79">
        <f t="shared" si="1"/>
        <v>0</v>
      </c>
      <c r="AU79">
        <f t="shared" si="1"/>
        <v>0</v>
      </c>
      <c r="AV79">
        <f t="shared" si="1"/>
        <v>0</v>
      </c>
      <c r="AW79">
        <f t="shared" si="1"/>
        <v>0</v>
      </c>
      <c r="AX79">
        <f t="shared" si="1"/>
        <v>0</v>
      </c>
      <c r="AY79">
        <f t="shared" si="1"/>
        <v>0</v>
      </c>
      <c r="AZ79">
        <f t="shared" si="1"/>
        <v>0</v>
      </c>
      <c r="BA79">
        <f t="shared" si="1"/>
        <v>0</v>
      </c>
    </row>
    <row r="80" spans="1:59" x14ac:dyDescent="0.35">
      <c r="A80" s="2" t="str" cm="1">
        <f t="array" ref="A80">INDEX('Data Validation (Hide)'!$B$2:$B$16,ROW(A6),1)</f>
        <v>Caseload 6</v>
      </c>
      <c r="B80">
        <f t="shared" si="0"/>
        <v>0</v>
      </c>
      <c r="C80">
        <f t="shared" si="1"/>
        <v>0</v>
      </c>
      <c r="D80">
        <f t="shared" si="1"/>
        <v>0</v>
      </c>
      <c r="E80">
        <f t="shared" si="1"/>
        <v>0</v>
      </c>
      <c r="F80">
        <f t="shared" si="1"/>
        <v>0</v>
      </c>
      <c r="G80">
        <f t="shared" si="1"/>
        <v>0</v>
      </c>
      <c r="H80">
        <f t="shared" si="1"/>
        <v>0</v>
      </c>
      <c r="I80">
        <f t="shared" si="1"/>
        <v>0</v>
      </c>
      <c r="J80">
        <f t="shared" si="1"/>
        <v>0</v>
      </c>
      <c r="K80">
        <f t="shared" si="1"/>
        <v>0</v>
      </c>
      <c r="L80">
        <f t="shared" si="1"/>
        <v>0</v>
      </c>
      <c r="M80">
        <f t="shared" si="1"/>
        <v>0</v>
      </c>
      <c r="N80">
        <f t="shared" si="1"/>
        <v>0</v>
      </c>
      <c r="O80">
        <f t="shared" si="1"/>
        <v>0</v>
      </c>
      <c r="P80">
        <f t="shared" si="1"/>
        <v>0</v>
      </c>
      <c r="Q80">
        <f t="shared" si="1"/>
        <v>0</v>
      </c>
      <c r="R80">
        <f t="shared" ref="C80:BA85" si="3">SUMIFS($B$4:$J$4,$B63:$J63,"="&amp;"x",$B$2:$J$2,"="&amp;"N")</f>
        <v>0</v>
      </c>
      <c r="S80">
        <f t="shared" si="3"/>
        <v>0</v>
      </c>
      <c r="T80">
        <f t="shared" si="3"/>
        <v>0</v>
      </c>
      <c r="U80">
        <f t="shared" si="3"/>
        <v>0</v>
      </c>
      <c r="V80">
        <f t="shared" si="3"/>
        <v>0</v>
      </c>
      <c r="W80">
        <f t="shared" si="3"/>
        <v>0</v>
      </c>
      <c r="X80">
        <f t="shared" si="3"/>
        <v>0</v>
      </c>
      <c r="Y80">
        <f t="shared" si="3"/>
        <v>0</v>
      </c>
      <c r="Z80">
        <f t="shared" si="3"/>
        <v>0</v>
      </c>
      <c r="AA80">
        <f t="shared" si="3"/>
        <v>0</v>
      </c>
      <c r="AB80">
        <f t="shared" si="3"/>
        <v>0</v>
      </c>
      <c r="AC80">
        <f t="shared" si="3"/>
        <v>0</v>
      </c>
      <c r="AD80">
        <f t="shared" si="3"/>
        <v>0</v>
      </c>
      <c r="AE80">
        <f t="shared" si="3"/>
        <v>0</v>
      </c>
      <c r="AF80">
        <f t="shared" si="3"/>
        <v>0</v>
      </c>
      <c r="AG80">
        <f t="shared" si="3"/>
        <v>0</v>
      </c>
      <c r="AH80">
        <f t="shared" si="3"/>
        <v>0</v>
      </c>
      <c r="AI80">
        <f t="shared" si="3"/>
        <v>0</v>
      </c>
      <c r="AJ80">
        <f t="shared" si="3"/>
        <v>0</v>
      </c>
      <c r="AK80">
        <f t="shared" si="3"/>
        <v>0</v>
      </c>
      <c r="AL80">
        <f t="shared" si="3"/>
        <v>0</v>
      </c>
      <c r="AM80">
        <f t="shared" si="3"/>
        <v>0</v>
      </c>
      <c r="AN80">
        <f t="shared" si="3"/>
        <v>0</v>
      </c>
      <c r="AO80">
        <f t="shared" si="3"/>
        <v>0</v>
      </c>
      <c r="AP80">
        <f t="shared" si="3"/>
        <v>0</v>
      </c>
      <c r="AQ80">
        <f t="shared" si="3"/>
        <v>0</v>
      </c>
      <c r="AR80">
        <f t="shared" si="3"/>
        <v>0</v>
      </c>
      <c r="AS80">
        <f t="shared" si="3"/>
        <v>0</v>
      </c>
      <c r="AT80">
        <f t="shared" si="3"/>
        <v>0</v>
      </c>
      <c r="AU80">
        <f t="shared" si="3"/>
        <v>0</v>
      </c>
      <c r="AV80">
        <f t="shared" si="3"/>
        <v>0</v>
      </c>
      <c r="AW80">
        <f t="shared" si="3"/>
        <v>0</v>
      </c>
      <c r="AX80">
        <f t="shared" si="3"/>
        <v>0</v>
      </c>
      <c r="AY80">
        <f t="shared" si="3"/>
        <v>0</v>
      </c>
      <c r="AZ80">
        <f t="shared" si="3"/>
        <v>0</v>
      </c>
      <c r="BA80">
        <f t="shared" si="3"/>
        <v>0</v>
      </c>
    </row>
    <row r="81" spans="1:53" x14ac:dyDescent="0.35">
      <c r="A81" s="2" t="str" cm="1">
        <f t="array" ref="A81">INDEX('Data Validation (Hide)'!$B$2:$B$16,ROW(A7),1)</f>
        <v>Caseload 7</v>
      </c>
      <c r="B81">
        <f t="shared" si="0"/>
        <v>0</v>
      </c>
      <c r="C81">
        <f t="shared" si="3"/>
        <v>0</v>
      </c>
      <c r="D81">
        <f t="shared" si="3"/>
        <v>0</v>
      </c>
      <c r="E81">
        <f t="shared" si="3"/>
        <v>0</v>
      </c>
      <c r="F81">
        <f t="shared" si="3"/>
        <v>0</v>
      </c>
      <c r="G81">
        <f t="shared" si="3"/>
        <v>0</v>
      </c>
      <c r="H81">
        <f t="shared" si="3"/>
        <v>0</v>
      </c>
      <c r="I81">
        <f t="shared" si="3"/>
        <v>0</v>
      </c>
      <c r="J81">
        <f t="shared" si="3"/>
        <v>0</v>
      </c>
      <c r="K81">
        <f t="shared" si="3"/>
        <v>0</v>
      </c>
      <c r="L81">
        <f t="shared" si="3"/>
        <v>0</v>
      </c>
      <c r="M81">
        <f t="shared" si="3"/>
        <v>0</v>
      </c>
      <c r="N81">
        <f t="shared" si="3"/>
        <v>0</v>
      </c>
      <c r="O81">
        <f t="shared" si="3"/>
        <v>0</v>
      </c>
      <c r="P81">
        <f t="shared" si="3"/>
        <v>0</v>
      </c>
      <c r="Q81">
        <f t="shared" si="3"/>
        <v>0</v>
      </c>
      <c r="R81">
        <f t="shared" si="3"/>
        <v>0</v>
      </c>
      <c r="S81">
        <f t="shared" si="3"/>
        <v>0</v>
      </c>
      <c r="T81">
        <f t="shared" si="3"/>
        <v>0</v>
      </c>
      <c r="U81">
        <f t="shared" si="3"/>
        <v>0</v>
      </c>
      <c r="V81">
        <f t="shared" si="3"/>
        <v>0</v>
      </c>
      <c r="W81">
        <f t="shared" si="3"/>
        <v>0</v>
      </c>
      <c r="X81">
        <f t="shared" si="3"/>
        <v>0</v>
      </c>
      <c r="Y81">
        <f t="shared" si="3"/>
        <v>0</v>
      </c>
      <c r="Z81">
        <f t="shared" si="3"/>
        <v>0</v>
      </c>
      <c r="AA81">
        <f t="shared" si="3"/>
        <v>0</v>
      </c>
      <c r="AB81">
        <f t="shared" si="3"/>
        <v>0</v>
      </c>
      <c r="AC81">
        <f t="shared" si="3"/>
        <v>0</v>
      </c>
      <c r="AD81">
        <f t="shared" si="3"/>
        <v>0</v>
      </c>
      <c r="AE81">
        <f t="shared" si="3"/>
        <v>0</v>
      </c>
      <c r="AF81">
        <f t="shared" si="3"/>
        <v>0</v>
      </c>
      <c r="AG81">
        <f t="shared" si="3"/>
        <v>0</v>
      </c>
      <c r="AH81">
        <f t="shared" si="3"/>
        <v>0</v>
      </c>
      <c r="AI81">
        <f t="shared" si="3"/>
        <v>0</v>
      </c>
      <c r="AJ81">
        <f t="shared" si="3"/>
        <v>0</v>
      </c>
      <c r="AK81">
        <f t="shared" si="3"/>
        <v>0</v>
      </c>
      <c r="AL81">
        <f t="shared" si="3"/>
        <v>0</v>
      </c>
      <c r="AM81">
        <f t="shared" si="3"/>
        <v>0</v>
      </c>
      <c r="AN81">
        <f t="shared" si="3"/>
        <v>0</v>
      </c>
      <c r="AO81">
        <f t="shared" si="3"/>
        <v>0</v>
      </c>
      <c r="AP81">
        <f t="shared" si="3"/>
        <v>0</v>
      </c>
      <c r="AQ81">
        <f t="shared" si="3"/>
        <v>0</v>
      </c>
      <c r="AR81">
        <f t="shared" si="3"/>
        <v>0</v>
      </c>
      <c r="AS81">
        <f t="shared" si="3"/>
        <v>0</v>
      </c>
      <c r="AT81">
        <f t="shared" si="3"/>
        <v>0</v>
      </c>
      <c r="AU81">
        <f t="shared" si="3"/>
        <v>0</v>
      </c>
      <c r="AV81">
        <f t="shared" si="3"/>
        <v>0</v>
      </c>
      <c r="AW81">
        <f t="shared" si="3"/>
        <v>0</v>
      </c>
      <c r="AX81">
        <f t="shared" si="3"/>
        <v>0</v>
      </c>
      <c r="AY81">
        <f t="shared" si="3"/>
        <v>0</v>
      </c>
      <c r="AZ81">
        <f t="shared" si="3"/>
        <v>0</v>
      </c>
      <c r="BA81">
        <f t="shared" si="3"/>
        <v>0</v>
      </c>
    </row>
    <row r="82" spans="1:53" x14ac:dyDescent="0.35">
      <c r="A82" s="2" t="str" cm="1">
        <f t="array" ref="A82">INDEX('Data Validation (Hide)'!$B$2:$B$16,ROW(A8),1)</f>
        <v>Caseload 8</v>
      </c>
      <c r="B82">
        <f t="shared" si="0"/>
        <v>0</v>
      </c>
      <c r="C82">
        <f t="shared" si="3"/>
        <v>0</v>
      </c>
      <c r="D82">
        <f t="shared" si="3"/>
        <v>0</v>
      </c>
      <c r="E82">
        <f t="shared" si="3"/>
        <v>0</v>
      </c>
      <c r="F82">
        <f t="shared" si="3"/>
        <v>0</v>
      </c>
      <c r="G82">
        <f t="shared" si="3"/>
        <v>0</v>
      </c>
      <c r="H82">
        <f t="shared" si="3"/>
        <v>0</v>
      </c>
      <c r="I82">
        <f t="shared" si="3"/>
        <v>0</v>
      </c>
      <c r="J82">
        <f t="shared" si="3"/>
        <v>0</v>
      </c>
      <c r="K82">
        <f t="shared" si="3"/>
        <v>0</v>
      </c>
      <c r="L82">
        <f t="shared" si="3"/>
        <v>0</v>
      </c>
      <c r="M82">
        <f t="shared" si="3"/>
        <v>0</v>
      </c>
      <c r="N82">
        <f t="shared" si="3"/>
        <v>0</v>
      </c>
      <c r="O82">
        <f t="shared" si="3"/>
        <v>0</v>
      </c>
      <c r="P82">
        <f t="shared" si="3"/>
        <v>0</v>
      </c>
      <c r="Q82">
        <f t="shared" si="3"/>
        <v>0</v>
      </c>
      <c r="R82">
        <f t="shared" si="3"/>
        <v>0</v>
      </c>
      <c r="S82">
        <f t="shared" si="3"/>
        <v>0</v>
      </c>
      <c r="T82">
        <f t="shared" si="3"/>
        <v>0</v>
      </c>
      <c r="U82">
        <f t="shared" si="3"/>
        <v>0</v>
      </c>
      <c r="V82">
        <f t="shared" si="3"/>
        <v>0</v>
      </c>
      <c r="W82">
        <f t="shared" si="3"/>
        <v>0</v>
      </c>
      <c r="X82">
        <f t="shared" si="3"/>
        <v>0</v>
      </c>
      <c r="Y82">
        <f t="shared" si="3"/>
        <v>0</v>
      </c>
      <c r="Z82">
        <f t="shared" si="3"/>
        <v>0</v>
      </c>
      <c r="AA82">
        <f t="shared" si="3"/>
        <v>0</v>
      </c>
      <c r="AB82">
        <f t="shared" si="3"/>
        <v>0</v>
      </c>
      <c r="AC82">
        <f t="shared" si="3"/>
        <v>0</v>
      </c>
      <c r="AD82">
        <f t="shared" si="3"/>
        <v>0</v>
      </c>
      <c r="AE82">
        <f t="shared" si="3"/>
        <v>0</v>
      </c>
      <c r="AF82">
        <f t="shared" si="3"/>
        <v>0</v>
      </c>
      <c r="AG82">
        <f t="shared" si="3"/>
        <v>0</v>
      </c>
      <c r="AH82">
        <f t="shared" si="3"/>
        <v>0</v>
      </c>
      <c r="AI82">
        <f t="shared" si="3"/>
        <v>0</v>
      </c>
      <c r="AJ82">
        <f t="shared" si="3"/>
        <v>0</v>
      </c>
      <c r="AK82">
        <f t="shared" si="3"/>
        <v>0</v>
      </c>
      <c r="AL82">
        <f t="shared" si="3"/>
        <v>0</v>
      </c>
      <c r="AM82">
        <f t="shared" si="3"/>
        <v>0</v>
      </c>
      <c r="AN82">
        <f t="shared" si="3"/>
        <v>0</v>
      </c>
      <c r="AO82">
        <f t="shared" si="3"/>
        <v>0</v>
      </c>
      <c r="AP82">
        <f t="shared" si="3"/>
        <v>0</v>
      </c>
      <c r="AQ82">
        <f t="shared" si="3"/>
        <v>0</v>
      </c>
      <c r="AR82">
        <f t="shared" si="3"/>
        <v>0</v>
      </c>
      <c r="AS82">
        <f t="shared" si="3"/>
        <v>0</v>
      </c>
      <c r="AT82">
        <f t="shared" si="3"/>
        <v>0</v>
      </c>
      <c r="AU82">
        <f t="shared" si="3"/>
        <v>0</v>
      </c>
      <c r="AV82">
        <f t="shared" si="3"/>
        <v>0</v>
      </c>
      <c r="AW82">
        <f t="shared" si="3"/>
        <v>0</v>
      </c>
      <c r="AX82">
        <f t="shared" si="3"/>
        <v>0</v>
      </c>
      <c r="AY82">
        <f t="shared" si="3"/>
        <v>0</v>
      </c>
      <c r="AZ82">
        <f t="shared" si="3"/>
        <v>0</v>
      </c>
      <c r="BA82">
        <f t="shared" si="3"/>
        <v>0</v>
      </c>
    </row>
    <row r="83" spans="1:53" x14ac:dyDescent="0.35">
      <c r="A83" s="2" t="str" cm="1">
        <f t="array" ref="A83">INDEX('Data Validation (Hide)'!$B$2:$B$16,ROW(A9),1)</f>
        <v>Caseload 9</v>
      </c>
      <c r="B83">
        <f t="shared" si="0"/>
        <v>0</v>
      </c>
      <c r="C83">
        <f t="shared" si="3"/>
        <v>0</v>
      </c>
      <c r="D83">
        <f t="shared" si="3"/>
        <v>0</v>
      </c>
      <c r="E83">
        <f t="shared" si="3"/>
        <v>0</v>
      </c>
      <c r="F83">
        <f t="shared" si="3"/>
        <v>0</v>
      </c>
      <c r="G83">
        <f t="shared" si="3"/>
        <v>0</v>
      </c>
      <c r="H83">
        <f t="shared" si="3"/>
        <v>0</v>
      </c>
      <c r="I83">
        <f t="shared" si="3"/>
        <v>0</v>
      </c>
      <c r="J83">
        <f t="shared" si="3"/>
        <v>0</v>
      </c>
      <c r="K83">
        <f t="shared" si="3"/>
        <v>0</v>
      </c>
      <c r="L83">
        <f t="shared" si="3"/>
        <v>0</v>
      </c>
      <c r="M83">
        <f t="shared" si="3"/>
        <v>0</v>
      </c>
      <c r="N83">
        <f t="shared" si="3"/>
        <v>0</v>
      </c>
      <c r="O83">
        <f t="shared" si="3"/>
        <v>0</v>
      </c>
      <c r="P83">
        <f t="shared" si="3"/>
        <v>0</v>
      </c>
      <c r="Q83">
        <f t="shared" si="3"/>
        <v>0</v>
      </c>
      <c r="R83">
        <f t="shared" si="3"/>
        <v>0</v>
      </c>
      <c r="S83">
        <f t="shared" si="3"/>
        <v>0</v>
      </c>
      <c r="T83">
        <f t="shared" si="3"/>
        <v>0</v>
      </c>
      <c r="U83">
        <f t="shared" si="3"/>
        <v>0</v>
      </c>
      <c r="V83">
        <f t="shared" si="3"/>
        <v>0</v>
      </c>
      <c r="W83">
        <f t="shared" si="3"/>
        <v>0</v>
      </c>
      <c r="X83">
        <f t="shared" si="3"/>
        <v>0</v>
      </c>
      <c r="Y83">
        <f t="shared" si="3"/>
        <v>0</v>
      </c>
      <c r="Z83">
        <f t="shared" si="3"/>
        <v>0</v>
      </c>
      <c r="AA83">
        <f t="shared" si="3"/>
        <v>0</v>
      </c>
      <c r="AB83">
        <f t="shared" si="3"/>
        <v>0</v>
      </c>
      <c r="AC83">
        <f t="shared" si="3"/>
        <v>0</v>
      </c>
      <c r="AD83">
        <f t="shared" si="3"/>
        <v>0</v>
      </c>
      <c r="AE83">
        <f t="shared" si="3"/>
        <v>0</v>
      </c>
      <c r="AF83">
        <f t="shared" si="3"/>
        <v>0</v>
      </c>
      <c r="AG83">
        <f t="shared" si="3"/>
        <v>0</v>
      </c>
      <c r="AH83">
        <f t="shared" si="3"/>
        <v>0</v>
      </c>
      <c r="AI83">
        <f t="shared" si="3"/>
        <v>0</v>
      </c>
      <c r="AJ83">
        <f t="shared" si="3"/>
        <v>0</v>
      </c>
      <c r="AK83">
        <f t="shared" si="3"/>
        <v>0</v>
      </c>
      <c r="AL83">
        <f t="shared" si="3"/>
        <v>0</v>
      </c>
      <c r="AM83">
        <f t="shared" si="3"/>
        <v>0</v>
      </c>
      <c r="AN83">
        <f t="shared" si="3"/>
        <v>0</v>
      </c>
      <c r="AO83">
        <f t="shared" si="3"/>
        <v>0</v>
      </c>
      <c r="AP83">
        <f t="shared" si="3"/>
        <v>0</v>
      </c>
      <c r="AQ83">
        <f t="shared" si="3"/>
        <v>0</v>
      </c>
      <c r="AR83">
        <f t="shared" si="3"/>
        <v>0</v>
      </c>
      <c r="AS83">
        <f t="shared" si="3"/>
        <v>0</v>
      </c>
      <c r="AT83">
        <f t="shared" si="3"/>
        <v>0</v>
      </c>
      <c r="AU83">
        <f t="shared" si="3"/>
        <v>0</v>
      </c>
      <c r="AV83">
        <f t="shared" si="3"/>
        <v>0</v>
      </c>
      <c r="AW83">
        <f t="shared" si="3"/>
        <v>0</v>
      </c>
      <c r="AX83">
        <f t="shared" si="3"/>
        <v>0</v>
      </c>
      <c r="AY83">
        <f t="shared" si="3"/>
        <v>0</v>
      </c>
      <c r="AZ83">
        <f t="shared" si="3"/>
        <v>0</v>
      </c>
      <c r="BA83">
        <f t="shared" si="3"/>
        <v>0</v>
      </c>
    </row>
    <row r="84" spans="1:53" x14ac:dyDescent="0.35">
      <c r="A84" s="2" t="str" cm="1">
        <f t="array" ref="A84">INDEX('Data Validation (Hide)'!$B$2:$B$16,ROW(A10),1)</f>
        <v>Caseload 10</v>
      </c>
      <c r="B84">
        <f t="shared" si="0"/>
        <v>0</v>
      </c>
      <c r="C84">
        <f t="shared" si="3"/>
        <v>0</v>
      </c>
      <c r="D84">
        <f t="shared" si="3"/>
        <v>0</v>
      </c>
      <c r="E84">
        <f t="shared" si="3"/>
        <v>0</v>
      </c>
      <c r="F84">
        <f t="shared" si="3"/>
        <v>0</v>
      </c>
      <c r="G84">
        <f t="shared" si="3"/>
        <v>0</v>
      </c>
      <c r="H84">
        <f t="shared" si="3"/>
        <v>0</v>
      </c>
      <c r="I84">
        <f t="shared" si="3"/>
        <v>0</v>
      </c>
      <c r="J84">
        <f t="shared" si="3"/>
        <v>0</v>
      </c>
      <c r="K84">
        <f t="shared" si="3"/>
        <v>0</v>
      </c>
      <c r="L84">
        <f t="shared" si="3"/>
        <v>0</v>
      </c>
      <c r="M84">
        <f t="shared" si="3"/>
        <v>0</v>
      </c>
      <c r="N84">
        <f t="shared" si="3"/>
        <v>0</v>
      </c>
      <c r="O84">
        <f t="shared" si="3"/>
        <v>0</v>
      </c>
      <c r="P84">
        <f t="shared" si="3"/>
        <v>0</v>
      </c>
      <c r="Q84">
        <f t="shared" si="3"/>
        <v>0</v>
      </c>
      <c r="R84">
        <f t="shared" si="3"/>
        <v>0</v>
      </c>
      <c r="S84">
        <f t="shared" si="3"/>
        <v>0</v>
      </c>
      <c r="T84">
        <f t="shared" si="3"/>
        <v>0</v>
      </c>
      <c r="U84">
        <f t="shared" si="3"/>
        <v>0</v>
      </c>
      <c r="V84">
        <f t="shared" si="3"/>
        <v>0</v>
      </c>
      <c r="W84">
        <f t="shared" si="3"/>
        <v>0</v>
      </c>
      <c r="X84">
        <f t="shared" si="3"/>
        <v>0</v>
      </c>
      <c r="Y84">
        <f t="shared" si="3"/>
        <v>0</v>
      </c>
      <c r="Z84">
        <f t="shared" si="3"/>
        <v>0</v>
      </c>
      <c r="AA84">
        <f t="shared" si="3"/>
        <v>0</v>
      </c>
      <c r="AB84">
        <f t="shared" si="3"/>
        <v>0</v>
      </c>
      <c r="AC84">
        <f t="shared" si="3"/>
        <v>0</v>
      </c>
      <c r="AD84">
        <f t="shared" si="3"/>
        <v>0</v>
      </c>
      <c r="AE84">
        <f t="shared" si="3"/>
        <v>0</v>
      </c>
      <c r="AF84">
        <f t="shared" si="3"/>
        <v>0</v>
      </c>
      <c r="AG84">
        <f t="shared" si="3"/>
        <v>0</v>
      </c>
      <c r="AH84">
        <f t="shared" si="3"/>
        <v>0</v>
      </c>
      <c r="AI84">
        <f t="shared" si="3"/>
        <v>0</v>
      </c>
      <c r="AJ84">
        <f t="shared" si="3"/>
        <v>0</v>
      </c>
      <c r="AK84">
        <f t="shared" si="3"/>
        <v>0</v>
      </c>
      <c r="AL84">
        <f t="shared" si="3"/>
        <v>0</v>
      </c>
      <c r="AM84">
        <f t="shared" si="3"/>
        <v>0</v>
      </c>
      <c r="AN84">
        <f t="shared" si="3"/>
        <v>0</v>
      </c>
      <c r="AO84">
        <f t="shared" si="3"/>
        <v>0</v>
      </c>
      <c r="AP84">
        <f t="shared" si="3"/>
        <v>0</v>
      </c>
      <c r="AQ84">
        <f t="shared" si="3"/>
        <v>0</v>
      </c>
      <c r="AR84">
        <f t="shared" si="3"/>
        <v>0</v>
      </c>
      <c r="AS84">
        <f t="shared" si="3"/>
        <v>0</v>
      </c>
      <c r="AT84">
        <f t="shared" si="3"/>
        <v>0</v>
      </c>
      <c r="AU84">
        <f t="shared" si="3"/>
        <v>0</v>
      </c>
      <c r="AV84">
        <f t="shared" si="3"/>
        <v>0</v>
      </c>
      <c r="AW84">
        <f t="shared" si="3"/>
        <v>0</v>
      </c>
      <c r="AX84">
        <f t="shared" si="3"/>
        <v>0</v>
      </c>
      <c r="AY84">
        <f t="shared" si="3"/>
        <v>0</v>
      </c>
      <c r="AZ84">
        <f t="shared" si="3"/>
        <v>0</v>
      </c>
      <c r="BA84">
        <f t="shared" si="3"/>
        <v>0</v>
      </c>
    </row>
    <row r="85" spans="1:53" x14ac:dyDescent="0.35">
      <c r="A85" s="2" t="str" cm="1">
        <f t="array" ref="A85">INDEX('Data Validation (Hide)'!$B$2:$B$16,ROW(A11),1)</f>
        <v>Caseload 11</v>
      </c>
      <c r="B85">
        <f t="shared" si="0"/>
        <v>0</v>
      </c>
      <c r="C85">
        <f t="shared" si="3"/>
        <v>0</v>
      </c>
      <c r="D85">
        <f t="shared" si="3"/>
        <v>0</v>
      </c>
      <c r="E85">
        <f t="shared" si="3"/>
        <v>0</v>
      </c>
      <c r="F85">
        <f t="shared" si="3"/>
        <v>0</v>
      </c>
      <c r="G85">
        <f t="shared" si="3"/>
        <v>0</v>
      </c>
      <c r="H85">
        <f t="shared" si="3"/>
        <v>0</v>
      </c>
      <c r="I85">
        <f t="shared" si="3"/>
        <v>0</v>
      </c>
      <c r="J85">
        <f t="shared" si="3"/>
        <v>0</v>
      </c>
      <c r="K85">
        <f t="shared" si="3"/>
        <v>0</v>
      </c>
      <c r="L85">
        <f t="shared" si="3"/>
        <v>0</v>
      </c>
      <c r="M85">
        <f t="shared" si="3"/>
        <v>0</v>
      </c>
      <c r="N85">
        <f t="shared" si="3"/>
        <v>0</v>
      </c>
      <c r="O85">
        <f t="shared" si="3"/>
        <v>0</v>
      </c>
      <c r="P85">
        <f t="shared" si="3"/>
        <v>0</v>
      </c>
      <c r="Q85">
        <f t="shared" si="3"/>
        <v>0</v>
      </c>
      <c r="R85">
        <f t="shared" ref="C85:BA89" si="4">SUMIFS($B$4:$J$4,$B68:$J68,"="&amp;"x",$B$2:$J$2,"="&amp;"N")</f>
        <v>0</v>
      </c>
      <c r="S85">
        <f t="shared" si="4"/>
        <v>0</v>
      </c>
      <c r="T85">
        <f t="shared" si="4"/>
        <v>0</v>
      </c>
      <c r="U85">
        <f t="shared" si="4"/>
        <v>0</v>
      </c>
      <c r="V85">
        <f t="shared" si="4"/>
        <v>0</v>
      </c>
      <c r="W85">
        <f t="shared" si="4"/>
        <v>0</v>
      </c>
      <c r="X85">
        <f t="shared" si="4"/>
        <v>0</v>
      </c>
      <c r="Y85">
        <f t="shared" si="4"/>
        <v>0</v>
      </c>
      <c r="Z85">
        <f t="shared" si="4"/>
        <v>0</v>
      </c>
      <c r="AA85">
        <f t="shared" si="4"/>
        <v>0</v>
      </c>
      <c r="AB85">
        <f t="shared" si="4"/>
        <v>0</v>
      </c>
      <c r="AC85">
        <f t="shared" si="4"/>
        <v>0</v>
      </c>
      <c r="AD85">
        <f t="shared" si="4"/>
        <v>0</v>
      </c>
      <c r="AE85">
        <f t="shared" si="4"/>
        <v>0</v>
      </c>
      <c r="AF85">
        <f t="shared" si="4"/>
        <v>0</v>
      </c>
      <c r="AG85">
        <f t="shared" si="4"/>
        <v>0</v>
      </c>
      <c r="AH85">
        <f t="shared" si="4"/>
        <v>0</v>
      </c>
      <c r="AI85">
        <f t="shared" si="4"/>
        <v>0</v>
      </c>
      <c r="AJ85">
        <f t="shared" si="4"/>
        <v>0</v>
      </c>
      <c r="AK85">
        <f t="shared" si="4"/>
        <v>0</v>
      </c>
      <c r="AL85">
        <f t="shared" si="4"/>
        <v>0</v>
      </c>
      <c r="AM85">
        <f t="shared" si="4"/>
        <v>0</v>
      </c>
      <c r="AN85">
        <f t="shared" si="4"/>
        <v>0</v>
      </c>
      <c r="AO85">
        <f t="shared" si="4"/>
        <v>0</v>
      </c>
      <c r="AP85">
        <f t="shared" si="4"/>
        <v>0</v>
      </c>
      <c r="AQ85">
        <f t="shared" si="4"/>
        <v>0</v>
      </c>
      <c r="AR85">
        <f t="shared" si="4"/>
        <v>0</v>
      </c>
      <c r="AS85">
        <f t="shared" si="4"/>
        <v>0</v>
      </c>
      <c r="AT85">
        <f t="shared" si="4"/>
        <v>0</v>
      </c>
      <c r="AU85">
        <f t="shared" si="4"/>
        <v>0</v>
      </c>
      <c r="AV85">
        <f t="shared" si="4"/>
        <v>0</v>
      </c>
      <c r="AW85">
        <f t="shared" si="4"/>
        <v>0</v>
      </c>
      <c r="AX85">
        <f t="shared" si="4"/>
        <v>0</v>
      </c>
      <c r="AY85">
        <f t="shared" si="4"/>
        <v>0</v>
      </c>
      <c r="AZ85">
        <f t="shared" si="4"/>
        <v>0</v>
      </c>
      <c r="BA85">
        <f t="shared" si="4"/>
        <v>0</v>
      </c>
    </row>
    <row r="86" spans="1:53" x14ac:dyDescent="0.35">
      <c r="A86" s="2" t="str" cm="1">
        <f t="array" ref="A86">INDEX('Data Validation (Hide)'!$B$2:$B$16,ROW(A12),1)</f>
        <v>Caseload 12</v>
      </c>
      <c r="B86">
        <f t="shared" si="0"/>
        <v>0</v>
      </c>
      <c r="C86">
        <f t="shared" si="4"/>
        <v>0</v>
      </c>
      <c r="D86">
        <f t="shared" si="4"/>
        <v>0</v>
      </c>
      <c r="E86">
        <f t="shared" si="4"/>
        <v>0</v>
      </c>
      <c r="F86">
        <f t="shared" si="4"/>
        <v>0</v>
      </c>
      <c r="G86">
        <f t="shared" si="4"/>
        <v>0</v>
      </c>
      <c r="H86">
        <f t="shared" si="4"/>
        <v>0</v>
      </c>
      <c r="I86">
        <f t="shared" si="4"/>
        <v>0</v>
      </c>
      <c r="J86">
        <f t="shared" si="4"/>
        <v>0</v>
      </c>
      <c r="K86">
        <f t="shared" si="4"/>
        <v>0</v>
      </c>
      <c r="L86">
        <f t="shared" si="4"/>
        <v>0</v>
      </c>
      <c r="M86">
        <f t="shared" si="4"/>
        <v>0</v>
      </c>
      <c r="N86">
        <f t="shared" si="4"/>
        <v>0</v>
      </c>
      <c r="O86">
        <f t="shared" si="4"/>
        <v>0</v>
      </c>
      <c r="P86">
        <f t="shared" si="4"/>
        <v>0</v>
      </c>
      <c r="Q86">
        <f t="shared" si="4"/>
        <v>0</v>
      </c>
      <c r="R86">
        <f t="shared" si="4"/>
        <v>0</v>
      </c>
      <c r="S86">
        <f t="shared" si="4"/>
        <v>0</v>
      </c>
      <c r="T86">
        <f t="shared" si="4"/>
        <v>0</v>
      </c>
      <c r="U86">
        <f t="shared" si="4"/>
        <v>0</v>
      </c>
      <c r="V86">
        <f t="shared" si="4"/>
        <v>0</v>
      </c>
      <c r="W86">
        <f t="shared" si="4"/>
        <v>0</v>
      </c>
      <c r="X86">
        <f t="shared" si="4"/>
        <v>0</v>
      </c>
      <c r="Y86">
        <f t="shared" si="4"/>
        <v>0</v>
      </c>
      <c r="Z86">
        <f t="shared" si="4"/>
        <v>0</v>
      </c>
      <c r="AA86">
        <f t="shared" si="4"/>
        <v>0</v>
      </c>
      <c r="AB86">
        <f t="shared" si="4"/>
        <v>0</v>
      </c>
      <c r="AC86">
        <f t="shared" si="4"/>
        <v>0</v>
      </c>
      <c r="AD86">
        <f t="shared" si="4"/>
        <v>0</v>
      </c>
      <c r="AE86">
        <f t="shared" si="4"/>
        <v>0</v>
      </c>
      <c r="AF86">
        <f t="shared" si="4"/>
        <v>0</v>
      </c>
      <c r="AG86">
        <f t="shared" si="4"/>
        <v>0</v>
      </c>
      <c r="AH86">
        <f t="shared" si="4"/>
        <v>0</v>
      </c>
      <c r="AI86">
        <f t="shared" si="4"/>
        <v>0</v>
      </c>
      <c r="AJ86">
        <f t="shared" si="4"/>
        <v>0</v>
      </c>
      <c r="AK86">
        <f t="shared" si="4"/>
        <v>0</v>
      </c>
      <c r="AL86">
        <f t="shared" si="4"/>
        <v>0</v>
      </c>
      <c r="AM86">
        <f t="shared" si="4"/>
        <v>0</v>
      </c>
      <c r="AN86">
        <f t="shared" si="4"/>
        <v>0</v>
      </c>
      <c r="AO86">
        <f t="shared" si="4"/>
        <v>0</v>
      </c>
      <c r="AP86">
        <f t="shared" si="4"/>
        <v>0</v>
      </c>
      <c r="AQ86">
        <f t="shared" si="4"/>
        <v>0</v>
      </c>
      <c r="AR86">
        <f t="shared" si="4"/>
        <v>0</v>
      </c>
      <c r="AS86">
        <f t="shared" si="4"/>
        <v>0</v>
      </c>
      <c r="AT86">
        <f t="shared" si="4"/>
        <v>0</v>
      </c>
      <c r="AU86">
        <f t="shared" si="4"/>
        <v>0</v>
      </c>
      <c r="AV86">
        <f t="shared" si="4"/>
        <v>0</v>
      </c>
      <c r="AW86">
        <f t="shared" si="4"/>
        <v>0</v>
      </c>
      <c r="AX86">
        <f t="shared" si="4"/>
        <v>0</v>
      </c>
      <c r="AY86">
        <f t="shared" si="4"/>
        <v>0</v>
      </c>
      <c r="AZ86">
        <f t="shared" si="4"/>
        <v>0</v>
      </c>
      <c r="BA86">
        <f t="shared" si="4"/>
        <v>0</v>
      </c>
    </row>
    <row r="87" spans="1:53" x14ac:dyDescent="0.35">
      <c r="A87" s="2" t="str" cm="1">
        <f t="array" ref="A87">INDEX('Data Validation (Hide)'!$B$2:$B$16,ROW(A13),1)</f>
        <v>Caseload 13</v>
      </c>
      <c r="B87">
        <f t="shared" si="0"/>
        <v>0</v>
      </c>
      <c r="C87">
        <f t="shared" si="4"/>
        <v>0</v>
      </c>
      <c r="D87">
        <f t="shared" si="4"/>
        <v>0</v>
      </c>
      <c r="E87">
        <f t="shared" si="4"/>
        <v>0</v>
      </c>
      <c r="F87">
        <f t="shared" si="4"/>
        <v>0</v>
      </c>
      <c r="G87">
        <f t="shared" si="4"/>
        <v>0</v>
      </c>
      <c r="H87">
        <f t="shared" si="4"/>
        <v>0</v>
      </c>
      <c r="I87">
        <f t="shared" si="4"/>
        <v>0</v>
      </c>
      <c r="J87">
        <f t="shared" si="4"/>
        <v>0</v>
      </c>
      <c r="K87">
        <f t="shared" si="4"/>
        <v>0</v>
      </c>
      <c r="L87">
        <f t="shared" si="4"/>
        <v>0</v>
      </c>
      <c r="M87">
        <f t="shared" si="4"/>
        <v>0</v>
      </c>
      <c r="N87">
        <f t="shared" si="4"/>
        <v>0</v>
      </c>
      <c r="O87">
        <f t="shared" si="4"/>
        <v>0</v>
      </c>
      <c r="P87">
        <f t="shared" si="4"/>
        <v>0</v>
      </c>
      <c r="Q87">
        <f t="shared" si="4"/>
        <v>0</v>
      </c>
      <c r="R87">
        <f t="shared" si="4"/>
        <v>0</v>
      </c>
      <c r="S87">
        <f t="shared" si="4"/>
        <v>0</v>
      </c>
      <c r="T87">
        <f t="shared" si="4"/>
        <v>0</v>
      </c>
      <c r="U87">
        <f t="shared" si="4"/>
        <v>0</v>
      </c>
      <c r="V87">
        <f t="shared" si="4"/>
        <v>0</v>
      </c>
      <c r="W87">
        <f t="shared" si="4"/>
        <v>0</v>
      </c>
      <c r="X87">
        <f t="shared" si="4"/>
        <v>0</v>
      </c>
      <c r="Y87">
        <f t="shared" si="4"/>
        <v>0</v>
      </c>
      <c r="Z87">
        <f t="shared" si="4"/>
        <v>0</v>
      </c>
      <c r="AA87">
        <f t="shared" si="4"/>
        <v>0</v>
      </c>
      <c r="AB87">
        <f t="shared" si="4"/>
        <v>0</v>
      </c>
      <c r="AC87">
        <f t="shared" si="4"/>
        <v>0</v>
      </c>
      <c r="AD87">
        <f t="shared" si="4"/>
        <v>0</v>
      </c>
      <c r="AE87">
        <f t="shared" si="4"/>
        <v>0</v>
      </c>
      <c r="AF87">
        <f t="shared" si="4"/>
        <v>0</v>
      </c>
      <c r="AG87">
        <f t="shared" si="4"/>
        <v>0</v>
      </c>
      <c r="AH87">
        <f t="shared" si="4"/>
        <v>0</v>
      </c>
      <c r="AI87">
        <f t="shared" si="4"/>
        <v>0</v>
      </c>
      <c r="AJ87">
        <f t="shared" si="4"/>
        <v>0</v>
      </c>
      <c r="AK87">
        <f t="shared" si="4"/>
        <v>0</v>
      </c>
      <c r="AL87">
        <f t="shared" si="4"/>
        <v>0</v>
      </c>
      <c r="AM87">
        <f t="shared" si="4"/>
        <v>0</v>
      </c>
      <c r="AN87">
        <f t="shared" si="4"/>
        <v>0</v>
      </c>
      <c r="AO87">
        <f t="shared" si="4"/>
        <v>0</v>
      </c>
      <c r="AP87">
        <f t="shared" si="4"/>
        <v>0</v>
      </c>
      <c r="AQ87">
        <f t="shared" si="4"/>
        <v>0</v>
      </c>
      <c r="AR87">
        <f t="shared" si="4"/>
        <v>0</v>
      </c>
      <c r="AS87">
        <f t="shared" si="4"/>
        <v>0</v>
      </c>
      <c r="AT87">
        <f t="shared" si="4"/>
        <v>0</v>
      </c>
      <c r="AU87">
        <f t="shared" si="4"/>
        <v>0</v>
      </c>
      <c r="AV87">
        <f t="shared" si="4"/>
        <v>0</v>
      </c>
      <c r="AW87">
        <f t="shared" si="4"/>
        <v>0</v>
      </c>
      <c r="AX87">
        <f t="shared" si="4"/>
        <v>0</v>
      </c>
      <c r="AY87">
        <f t="shared" si="4"/>
        <v>0</v>
      </c>
      <c r="AZ87">
        <f t="shared" si="4"/>
        <v>0</v>
      </c>
      <c r="BA87">
        <f t="shared" si="4"/>
        <v>0</v>
      </c>
    </row>
    <row r="88" spans="1:53" x14ac:dyDescent="0.35">
      <c r="A88" s="2" t="str" cm="1">
        <f t="array" ref="A88">INDEX('Data Validation (Hide)'!$B$2:$B$16,ROW(A14),1)</f>
        <v>Caseload 14</v>
      </c>
      <c r="B88">
        <f t="shared" si="0"/>
        <v>0</v>
      </c>
      <c r="C88">
        <f t="shared" si="4"/>
        <v>0</v>
      </c>
      <c r="D88">
        <f t="shared" si="4"/>
        <v>0</v>
      </c>
      <c r="E88">
        <f t="shared" si="4"/>
        <v>0</v>
      </c>
      <c r="F88">
        <f t="shared" si="4"/>
        <v>0</v>
      </c>
      <c r="G88">
        <f t="shared" si="4"/>
        <v>0</v>
      </c>
      <c r="H88">
        <f t="shared" si="4"/>
        <v>0</v>
      </c>
      <c r="I88">
        <f t="shared" si="4"/>
        <v>0</v>
      </c>
      <c r="J88">
        <f t="shared" si="4"/>
        <v>0</v>
      </c>
      <c r="K88">
        <f t="shared" si="4"/>
        <v>0</v>
      </c>
      <c r="L88">
        <f t="shared" si="4"/>
        <v>0</v>
      </c>
      <c r="M88">
        <f t="shared" si="4"/>
        <v>0</v>
      </c>
      <c r="N88">
        <f t="shared" si="4"/>
        <v>0</v>
      </c>
      <c r="O88">
        <f t="shared" si="4"/>
        <v>0</v>
      </c>
      <c r="P88">
        <f t="shared" si="4"/>
        <v>0</v>
      </c>
      <c r="Q88">
        <f t="shared" si="4"/>
        <v>0</v>
      </c>
      <c r="R88">
        <f t="shared" si="4"/>
        <v>0</v>
      </c>
      <c r="S88">
        <f t="shared" si="4"/>
        <v>0</v>
      </c>
      <c r="T88">
        <f t="shared" si="4"/>
        <v>0</v>
      </c>
      <c r="U88">
        <f t="shared" si="4"/>
        <v>0</v>
      </c>
      <c r="V88">
        <f t="shared" si="4"/>
        <v>0</v>
      </c>
      <c r="W88">
        <f t="shared" si="4"/>
        <v>0</v>
      </c>
      <c r="X88">
        <f t="shared" si="4"/>
        <v>0</v>
      </c>
      <c r="Y88">
        <f t="shared" si="4"/>
        <v>0</v>
      </c>
      <c r="Z88">
        <f t="shared" si="4"/>
        <v>0</v>
      </c>
      <c r="AA88">
        <f t="shared" si="4"/>
        <v>0</v>
      </c>
      <c r="AB88">
        <f t="shared" si="4"/>
        <v>0</v>
      </c>
      <c r="AC88">
        <f t="shared" si="4"/>
        <v>0</v>
      </c>
      <c r="AD88">
        <f t="shared" si="4"/>
        <v>0</v>
      </c>
      <c r="AE88">
        <f t="shared" si="4"/>
        <v>0</v>
      </c>
      <c r="AF88">
        <f t="shared" si="4"/>
        <v>0</v>
      </c>
      <c r="AG88">
        <f t="shared" si="4"/>
        <v>0</v>
      </c>
      <c r="AH88">
        <f t="shared" si="4"/>
        <v>0</v>
      </c>
      <c r="AI88">
        <f t="shared" si="4"/>
        <v>0</v>
      </c>
      <c r="AJ88">
        <f t="shared" si="4"/>
        <v>0</v>
      </c>
      <c r="AK88">
        <f t="shared" si="4"/>
        <v>0</v>
      </c>
      <c r="AL88">
        <f t="shared" si="4"/>
        <v>0</v>
      </c>
      <c r="AM88">
        <f t="shared" si="4"/>
        <v>0</v>
      </c>
      <c r="AN88">
        <f t="shared" si="4"/>
        <v>0</v>
      </c>
      <c r="AO88">
        <f t="shared" si="4"/>
        <v>0</v>
      </c>
      <c r="AP88">
        <f t="shared" si="4"/>
        <v>0</v>
      </c>
      <c r="AQ88">
        <f t="shared" si="4"/>
        <v>0</v>
      </c>
      <c r="AR88">
        <f t="shared" si="4"/>
        <v>0</v>
      </c>
      <c r="AS88">
        <f t="shared" si="4"/>
        <v>0</v>
      </c>
      <c r="AT88">
        <f t="shared" si="4"/>
        <v>0</v>
      </c>
      <c r="AU88">
        <f t="shared" si="4"/>
        <v>0</v>
      </c>
      <c r="AV88">
        <f t="shared" si="4"/>
        <v>0</v>
      </c>
      <c r="AW88">
        <f t="shared" si="4"/>
        <v>0</v>
      </c>
      <c r="AX88">
        <f t="shared" si="4"/>
        <v>0</v>
      </c>
      <c r="AY88">
        <f t="shared" si="4"/>
        <v>0</v>
      </c>
      <c r="AZ88">
        <f t="shared" si="4"/>
        <v>0</v>
      </c>
      <c r="BA88">
        <f t="shared" si="4"/>
        <v>0</v>
      </c>
    </row>
    <row r="89" spans="1:53" x14ac:dyDescent="0.35">
      <c r="A89" s="2" t="str" cm="1">
        <f t="array" ref="A89">INDEX('Data Validation (Hide)'!$B$2:$B$16,ROW(A15),1)</f>
        <v>Caseload 15</v>
      </c>
      <c r="B89">
        <f t="shared" si="0"/>
        <v>0</v>
      </c>
      <c r="C89">
        <f t="shared" si="4"/>
        <v>0</v>
      </c>
      <c r="D89">
        <f t="shared" si="4"/>
        <v>0</v>
      </c>
      <c r="E89">
        <f t="shared" si="4"/>
        <v>0</v>
      </c>
      <c r="F89">
        <f t="shared" si="4"/>
        <v>0</v>
      </c>
      <c r="G89">
        <f t="shared" si="4"/>
        <v>0</v>
      </c>
      <c r="H89">
        <f t="shared" si="4"/>
        <v>0</v>
      </c>
      <c r="I89">
        <f t="shared" si="4"/>
        <v>0</v>
      </c>
      <c r="J89">
        <f t="shared" si="4"/>
        <v>0</v>
      </c>
      <c r="K89">
        <f t="shared" si="4"/>
        <v>0</v>
      </c>
      <c r="L89">
        <f t="shared" si="4"/>
        <v>0</v>
      </c>
      <c r="M89">
        <f t="shared" si="4"/>
        <v>0</v>
      </c>
      <c r="N89">
        <f t="shared" si="4"/>
        <v>0</v>
      </c>
      <c r="O89">
        <f t="shared" si="4"/>
        <v>0</v>
      </c>
      <c r="P89">
        <f t="shared" si="4"/>
        <v>0</v>
      </c>
      <c r="Q89">
        <f t="shared" si="4"/>
        <v>0</v>
      </c>
      <c r="R89">
        <f t="shared" si="4"/>
        <v>0</v>
      </c>
      <c r="S89">
        <f t="shared" si="4"/>
        <v>0</v>
      </c>
      <c r="T89">
        <f t="shared" si="4"/>
        <v>0</v>
      </c>
      <c r="U89">
        <f t="shared" si="4"/>
        <v>0</v>
      </c>
      <c r="V89">
        <f t="shared" si="4"/>
        <v>0</v>
      </c>
      <c r="W89">
        <f t="shared" si="4"/>
        <v>0</v>
      </c>
      <c r="X89">
        <f t="shared" si="4"/>
        <v>0</v>
      </c>
      <c r="Y89">
        <f t="shared" si="4"/>
        <v>0</v>
      </c>
      <c r="Z89">
        <f t="shared" si="4"/>
        <v>0</v>
      </c>
      <c r="AA89">
        <f t="shared" si="4"/>
        <v>0</v>
      </c>
      <c r="AB89">
        <f t="shared" si="4"/>
        <v>0</v>
      </c>
      <c r="AC89">
        <f t="shared" si="4"/>
        <v>0</v>
      </c>
      <c r="AD89">
        <f t="shared" si="4"/>
        <v>0</v>
      </c>
      <c r="AE89">
        <f t="shared" si="4"/>
        <v>0</v>
      </c>
      <c r="AF89">
        <f t="shared" si="4"/>
        <v>0</v>
      </c>
      <c r="AG89">
        <f t="shared" si="4"/>
        <v>0</v>
      </c>
      <c r="AH89">
        <f t="shared" si="4"/>
        <v>0</v>
      </c>
      <c r="AI89">
        <f t="shared" si="4"/>
        <v>0</v>
      </c>
      <c r="AJ89">
        <f t="shared" si="4"/>
        <v>0</v>
      </c>
      <c r="AK89">
        <f t="shared" si="4"/>
        <v>0</v>
      </c>
      <c r="AL89">
        <f t="shared" si="4"/>
        <v>0</v>
      </c>
      <c r="AM89">
        <f t="shared" si="4"/>
        <v>0</v>
      </c>
      <c r="AN89">
        <f t="shared" si="4"/>
        <v>0</v>
      </c>
      <c r="AO89">
        <f t="shared" si="4"/>
        <v>0</v>
      </c>
      <c r="AP89">
        <f t="shared" si="4"/>
        <v>0</v>
      </c>
      <c r="AQ89">
        <f t="shared" si="4"/>
        <v>0</v>
      </c>
      <c r="AR89">
        <f t="shared" si="4"/>
        <v>0</v>
      </c>
      <c r="AS89">
        <f t="shared" si="4"/>
        <v>0</v>
      </c>
      <c r="AT89">
        <f t="shared" si="4"/>
        <v>0</v>
      </c>
      <c r="AU89">
        <f t="shared" si="4"/>
        <v>0</v>
      </c>
      <c r="AV89">
        <f t="shared" si="4"/>
        <v>0</v>
      </c>
      <c r="AW89">
        <f t="shared" si="4"/>
        <v>0</v>
      </c>
      <c r="AX89">
        <f t="shared" si="4"/>
        <v>0</v>
      </c>
      <c r="AY89">
        <f t="shared" si="4"/>
        <v>0</v>
      </c>
      <c r="AZ89">
        <f t="shared" si="4"/>
        <v>0</v>
      </c>
      <c r="BA89">
        <f t="shared" si="4"/>
        <v>0</v>
      </c>
    </row>
    <row r="90" spans="1:53" x14ac:dyDescent="0.35">
      <c r="A90" s="2" t="s">
        <v>71</v>
      </c>
      <c r="B90">
        <f>SUM(B75:B89)</f>
        <v>60</v>
      </c>
      <c r="C90">
        <f t="shared" ref="C90:BA90" si="5">SUM(C75:C89)</f>
        <v>60</v>
      </c>
      <c r="D90">
        <f t="shared" si="5"/>
        <v>60</v>
      </c>
      <c r="E90">
        <f t="shared" si="5"/>
        <v>60</v>
      </c>
      <c r="F90">
        <f t="shared" si="5"/>
        <v>60</v>
      </c>
      <c r="G90">
        <f t="shared" si="5"/>
        <v>60</v>
      </c>
      <c r="H90">
        <f t="shared" si="5"/>
        <v>60</v>
      </c>
      <c r="I90">
        <f t="shared" si="5"/>
        <v>60</v>
      </c>
      <c r="J90">
        <f t="shared" si="5"/>
        <v>60</v>
      </c>
      <c r="K90">
        <f t="shared" si="5"/>
        <v>60</v>
      </c>
      <c r="L90">
        <f t="shared" si="5"/>
        <v>60</v>
      </c>
      <c r="M90">
        <f t="shared" si="5"/>
        <v>60</v>
      </c>
      <c r="N90">
        <f t="shared" si="5"/>
        <v>60</v>
      </c>
      <c r="O90">
        <f t="shared" si="5"/>
        <v>60</v>
      </c>
      <c r="P90">
        <f t="shared" si="5"/>
        <v>60</v>
      </c>
      <c r="Q90">
        <f t="shared" si="5"/>
        <v>60</v>
      </c>
      <c r="R90">
        <f t="shared" si="5"/>
        <v>60</v>
      </c>
      <c r="S90">
        <f t="shared" si="5"/>
        <v>60</v>
      </c>
      <c r="T90">
        <f t="shared" si="5"/>
        <v>60</v>
      </c>
      <c r="U90">
        <f t="shared" si="5"/>
        <v>60</v>
      </c>
      <c r="V90">
        <f t="shared" si="5"/>
        <v>60</v>
      </c>
      <c r="W90">
        <f t="shared" si="5"/>
        <v>60</v>
      </c>
      <c r="X90">
        <f t="shared" si="5"/>
        <v>60</v>
      </c>
      <c r="Y90">
        <f t="shared" si="5"/>
        <v>60</v>
      </c>
      <c r="Z90">
        <f t="shared" si="5"/>
        <v>60</v>
      </c>
      <c r="AA90">
        <f t="shared" si="5"/>
        <v>60</v>
      </c>
      <c r="AB90">
        <f t="shared" si="5"/>
        <v>60</v>
      </c>
      <c r="AC90">
        <f t="shared" si="5"/>
        <v>60</v>
      </c>
      <c r="AD90">
        <f t="shared" si="5"/>
        <v>60</v>
      </c>
      <c r="AE90">
        <f t="shared" si="5"/>
        <v>60</v>
      </c>
      <c r="AF90">
        <f t="shared" si="5"/>
        <v>60</v>
      </c>
      <c r="AG90">
        <f t="shared" si="5"/>
        <v>60</v>
      </c>
      <c r="AH90">
        <f t="shared" si="5"/>
        <v>60</v>
      </c>
      <c r="AI90">
        <f t="shared" si="5"/>
        <v>60</v>
      </c>
      <c r="AJ90">
        <f t="shared" si="5"/>
        <v>60</v>
      </c>
      <c r="AK90">
        <f t="shared" si="5"/>
        <v>60</v>
      </c>
      <c r="AL90">
        <f t="shared" si="5"/>
        <v>60</v>
      </c>
      <c r="AM90">
        <f t="shared" si="5"/>
        <v>60</v>
      </c>
      <c r="AN90">
        <f t="shared" si="5"/>
        <v>60</v>
      </c>
      <c r="AO90">
        <f t="shared" si="5"/>
        <v>60</v>
      </c>
      <c r="AP90">
        <f t="shared" si="5"/>
        <v>60</v>
      </c>
      <c r="AQ90">
        <f t="shared" si="5"/>
        <v>60</v>
      </c>
      <c r="AR90">
        <f t="shared" si="5"/>
        <v>60</v>
      </c>
      <c r="AS90">
        <f t="shared" si="5"/>
        <v>60</v>
      </c>
      <c r="AT90">
        <f t="shared" si="5"/>
        <v>60</v>
      </c>
      <c r="AU90">
        <f t="shared" si="5"/>
        <v>60</v>
      </c>
      <c r="AV90">
        <f t="shared" si="5"/>
        <v>60</v>
      </c>
      <c r="AW90">
        <f t="shared" si="5"/>
        <v>60</v>
      </c>
      <c r="AX90">
        <f t="shared" si="5"/>
        <v>60</v>
      </c>
      <c r="AY90">
        <f t="shared" si="5"/>
        <v>60</v>
      </c>
      <c r="AZ90">
        <f t="shared" si="5"/>
        <v>60</v>
      </c>
      <c r="BA90">
        <f t="shared" si="5"/>
        <v>60</v>
      </c>
    </row>
    <row r="91" spans="1:53" x14ac:dyDescent="0.35">
      <c r="A91" s="2"/>
    </row>
    <row r="92" spans="1:53" x14ac:dyDescent="0.35">
      <c r="A92" s="2" t="s">
        <v>58</v>
      </c>
      <c r="B92" s="2" cm="1">
        <f t="array" ref="B92">INDEX($A$4:$A$55,COLUMN(A18),1)</f>
        <v>44121</v>
      </c>
      <c r="C92" s="2" cm="1">
        <f t="array" ref="C92">INDEX($A$4:$A$55,COLUMN(B18),1)</f>
        <v>44128</v>
      </c>
      <c r="D92" s="2" cm="1">
        <f t="array" ref="D92">INDEX($A$4:$A$55,COLUMN(C18),1)</f>
        <v>44135</v>
      </c>
      <c r="E92" s="2" cm="1">
        <f t="array" ref="E92">INDEX($A$4:$A$55,COLUMN(D18),1)</f>
        <v>44142</v>
      </c>
      <c r="F92" s="2" cm="1">
        <f t="array" ref="F92">INDEX($A$4:$A$55,COLUMN(E18),1)</f>
        <v>44149</v>
      </c>
      <c r="G92" s="2" cm="1">
        <f t="array" ref="G92">INDEX($A$4:$A$55,COLUMN(F18),1)</f>
        <v>44156</v>
      </c>
      <c r="H92" s="2" cm="1">
        <f t="array" ref="H92">INDEX($A$4:$A$55,COLUMN(G18),1)</f>
        <v>44163</v>
      </c>
      <c r="I92" s="2" cm="1">
        <f t="array" ref="I92">INDEX($A$4:$A$55,COLUMN(H18),1)</f>
        <v>44170</v>
      </c>
      <c r="J92" s="2" cm="1">
        <f t="array" ref="J92">INDEX($A$4:$A$55,COLUMN(I18),1)</f>
        <v>44177</v>
      </c>
      <c r="K92" s="2" cm="1">
        <f t="array" ref="K92">INDEX($A$4:$A$55,COLUMN(J18),1)</f>
        <v>44184</v>
      </c>
      <c r="L92" s="2" cm="1">
        <f t="array" ref="L92">INDEX($A$4:$A$55,COLUMN(K18),1)</f>
        <v>44191</v>
      </c>
      <c r="M92" s="2" cm="1">
        <f t="array" ref="M92">INDEX($A$4:$A$55,COLUMN(L18),1)</f>
        <v>44198</v>
      </c>
      <c r="N92" s="2" cm="1">
        <f t="array" ref="N92">INDEX($A$4:$A$55,COLUMN(M18),1)</f>
        <v>44205</v>
      </c>
      <c r="O92" s="2" cm="1">
        <f t="array" ref="O92">INDEX($A$4:$A$55,COLUMN(N18),1)</f>
        <v>44212</v>
      </c>
      <c r="P92" s="2" cm="1">
        <f t="array" ref="P92">INDEX($A$4:$A$55,COLUMN(O18),1)</f>
        <v>44219</v>
      </c>
      <c r="Q92" s="2" cm="1">
        <f t="array" ref="Q92">INDEX($A$4:$A$55,COLUMN(P18),1)</f>
        <v>44226</v>
      </c>
      <c r="R92" s="2" cm="1">
        <f t="array" ref="R92">INDEX($A$4:$A$55,COLUMN(Q18),1)</f>
        <v>44233</v>
      </c>
      <c r="S92" s="2" cm="1">
        <f t="array" ref="S92">INDEX($A$4:$A$55,COLUMN(R18),1)</f>
        <v>44240</v>
      </c>
      <c r="T92" s="2" cm="1">
        <f t="array" ref="T92">INDEX($A$4:$A$55,COLUMN(S18),1)</f>
        <v>44247</v>
      </c>
      <c r="U92" s="2" cm="1">
        <f t="array" ref="U92">INDEX($A$4:$A$55,COLUMN(T18),1)</f>
        <v>44254</v>
      </c>
      <c r="V92" s="2" cm="1">
        <f t="array" ref="V92">INDEX($A$4:$A$55,COLUMN(U18),1)</f>
        <v>44261</v>
      </c>
      <c r="W92" s="2" cm="1">
        <f t="array" ref="W92">INDEX($A$4:$A$55,COLUMN(V18),1)</f>
        <v>44268</v>
      </c>
      <c r="X92" s="2" cm="1">
        <f t="array" ref="X92">INDEX($A$4:$A$55,COLUMN(W18),1)</f>
        <v>44275</v>
      </c>
      <c r="Y92" s="2" cm="1">
        <f t="array" ref="Y92">INDEX($A$4:$A$55,COLUMN(X18),1)</f>
        <v>44282</v>
      </c>
      <c r="Z92" s="2" cm="1">
        <f t="array" ref="Z92">INDEX($A$4:$A$55,COLUMN(Y18),1)</f>
        <v>44289</v>
      </c>
      <c r="AA92" s="2" cm="1">
        <f t="array" ref="AA92">INDEX($A$4:$A$55,COLUMN(Z18),1)</f>
        <v>44296</v>
      </c>
      <c r="AB92" s="2" cm="1">
        <f t="array" ref="AB92">INDEX($A$4:$A$55,COLUMN(AA18),1)</f>
        <v>44303</v>
      </c>
      <c r="AC92" s="2" cm="1">
        <f t="array" ref="AC92">INDEX($A$4:$A$55,COLUMN(AB18),1)</f>
        <v>44310</v>
      </c>
      <c r="AD92" s="2" cm="1">
        <f t="array" ref="AD92">INDEX($A$4:$A$55,COLUMN(AC18),1)</f>
        <v>44317</v>
      </c>
      <c r="AE92" s="2" cm="1">
        <f t="array" ref="AE92">INDEX($A$4:$A$55,COLUMN(AD18),1)</f>
        <v>44324</v>
      </c>
      <c r="AF92" s="2" cm="1">
        <f t="array" ref="AF92">INDEX($A$4:$A$55,COLUMN(AE18),1)</f>
        <v>44331</v>
      </c>
      <c r="AG92" s="2" cm="1">
        <f t="array" ref="AG92">INDEX($A$4:$A$55,COLUMN(AF18),1)</f>
        <v>44338</v>
      </c>
      <c r="AH92" s="2" cm="1">
        <f t="array" ref="AH92">INDEX($A$4:$A$55,COLUMN(AG18),1)</f>
        <v>44345</v>
      </c>
      <c r="AI92" s="2" cm="1">
        <f t="array" ref="AI92">INDEX($A$4:$A$55,COLUMN(AH18),1)</f>
        <v>44352</v>
      </c>
      <c r="AJ92" s="2" cm="1">
        <f t="array" ref="AJ92">INDEX($A$4:$A$55,COLUMN(AI18),1)</f>
        <v>44359</v>
      </c>
      <c r="AK92" s="2" cm="1">
        <f t="array" ref="AK92">INDEX($A$4:$A$55,COLUMN(AJ18),1)</f>
        <v>44366</v>
      </c>
      <c r="AL92" s="2" cm="1">
        <f t="array" ref="AL92">INDEX($A$4:$A$55,COLUMN(AK18),1)</f>
        <v>44373</v>
      </c>
      <c r="AM92" s="2" cm="1">
        <f t="array" ref="AM92">INDEX($A$4:$A$55,COLUMN(AL18),1)</f>
        <v>44380</v>
      </c>
      <c r="AN92" s="2" cm="1">
        <f t="array" ref="AN92">INDEX($A$4:$A$55,COLUMN(AM18),1)</f>
        <v>44387</v>
      </c>
      <c r="AO92" s="2" cm="1">
        <f t="array" ref="AO92">INDEX($A$4:$A$55,COLUMN(AN18),1)</f>
        <v>44394</v>
      </c>
      <c r="AP92" s="2" cm="1">
        <f t="array" ref="AP92">INDEX($A$4:$A$55,COLUMN(AO18),1)</f>
        <v>44401</v>
      </c>
      <c r="AQ92" s="2" cm="1">
        <f t="array" ref="AQ92">INDEX($A$4:$A$55,COLUMN(AP18),1)</f>
        <v>44408</v>
      </c>
      <c r="AR92" s="2" cm="1">
        <f t="array" ref="AR92">INDEX($A$4:$A$55,COLUMN(AQ18),1)</f>
        <v>44415</v>
      </c>
      <c r="AS92" s="2" cm="1">
        <f t="array" ref="AS92">INDEX($A$4:$A$55,COLUMN(AR18),1)</f>
        <v>44422</v>
      </c>
      <c r="AT92" s="2" cm="1">
        <f t="array" ref="AT92">INDEX($A$4:$A$55,COLUMN(AS18),1)</f>
        <v>44429</v>
      </c>
      <c r="AU92" s="2" cm="1">
        <f t="array" ref="AU92">INDEX($A$4:$A$55,COLUMN(AT18),1)</f>
        <v>44436</v>
      </c>
      <c r="AV92" s="2" cm="1">
        <f t="array" ref="AV92">INDEX($A$4:$A$55,COLUMN(AU18),1)</f>
        <v>44443</v>
      </c>
      <c r="AW92" s="2" cm="1">
        <f t="array" ref="AW92">INDEX($A$4:$A$55,COLUMN(AV18),1)</f>
        <v>44450</v>
      </c>
      <c r="AX92" s="2" cm="1">
        <f t="array" ref="AX92">INDEX($A$4:$A$55,COLUMN(AW18),1)</f>
        <v>44457</v>
      </c>
      <c r="AY92" s="2" cm="1">
        <f t="array" ref="AY92">INDEX($A$4:$A$55,COLUMN(AX18),1)</f>
        <v>44464</v>
      </c>
      <c r="AZ92" s="2" cm="1">
        <f t="array" ref="AZ92">INDEX($A$4:$A$55,COLUMN(AY18),1)</f>
        <v>44471</v>
      </c>
      <c r="BA92" s="2" cm="1">
        <f t="array" ref="BA92">INDEX($A$4:$A$55,COLUMN(AZ18),1)</f>
        <v>44478</v>
      </c>
    </row>
    <row r="93" spans="1:53" x14ac:dyDescent="0.35">
      <c r="A93" s="2" t="str" cm="1">
        <f t="array" ref="A93">INDEX('Data Validation (Hide)'!$B$2:$B$16,ROW(A1),1)</f>
        <v>Caseload 1</v>
      </c>
      <c r="B93">
        <f t="shared" ref="B93:AG93" si="6">SUMIFS($B$4:$J$4,$B58:$J58,"="&amp;"x",$B$2:$J$2,"="&amp;"Y")</f>
        <v>1</v>
      </c>
      <c r="C93">
        <f t="shared" si="6"/>
        <v>1</v>
      </c>
      <c r="D93">
        <f t="shared" si="6"/>
        <v>1</v>
      </c>
      <c r="E93">
        <f t="shared" si="6"/>
        <v>1</v>
      </c>
      <c r="F93">
        <f t="shared" si="6"/>
        <v>1</v>
      </c>
      <c r="G93">
        <f t="shared" si="6"/>
        <v>1</v>
      </c>
      <c r="H93">
        <f t="shared" si="6"/>
        <v>1</v>
      </c>
      <c r="I93">
        <f t="shared" si="6"/>
        <v>1</v>
      </c>
      <c r="J93">
        <f t="shared" si="6"/>
        <v>1</v>
      </c>
      <c r="K93">
        <f t="shared" si="6"/>
        <v>1</v>
      </c>
      <c r="L93">
        <f t="shared" si="6"/>
        <v>1</v>
      </c>
      <c r="M93">
        <f t="shared" si="6"/>
        <v>1</v>
      </c>
      <c r="N93">
        <f t="shared" si="6"/>
        <v>1</v>
      </c>
      <c r="O93">
        <f t="shared" si="6"/>
        <v>1</v>
      </c>
      <c r="P93">
        <f t="shared" si="6"/>
        <v>1</v>
      </c>
      <c r="Q93">
        <f t="shared" si="6"/>
        <v>1</v>
      </c>
      <c r="R93">
        <f t="shared" si="6"/>
        <v>1</v>
      </c>
      <c r="S93">
        <f t="shared" si="6"/>
        <v>1</v>
      </c>
      <c r="T93">
        <f t="shared" si="6"/>
        <v>1</v>
      </c>
      <c r="U93">
        <f t="shared" si="6"/>
        <v>1</v>
      </c>
      <c r="V93">
        <f t="shared" si="6"/>
        <v>1</v>
      </c>
      <c r="W93">
        <f t="shared" si="6"/>
        <v>1</v>
      </c>
      <c r="X93">
        <f t="shared" si="6"/>
        <v>1</v>
      </c>
      <c r="Y93">
        <f t="shared" si="6"/>
        <v>1</v>
      </c>
      <c r="Z93">
        <f t="shared" si="6"/>
        <v>1</v>
      </c>
      <c r="AA93">
        <f t="shared" si="6"/>
        <v>1</v>
      </c>
      <c r="AB93">
        <f t="shared" si="6"/>
        <v>1</v>
      </c>
      <c r="AC93">
        <f t="shared" si="6"/>
        <v>1</v>
      </c>
      <c r="AD93">
        <f t="shared" si="6"/>
        <v>1</v>
      </c>
      <c r="AE93">
        <f t="shared" si="6"/>
        <v>1</v>
      </c>
      <c r="AF93">
        <f t="shared" si="6"/>
        <v>1</v>
      </c>
      <c r="AG93">
        <f t="shared" si="6"/>
        <v>1</v>
      </c>
      <c r="AH93">
        <f t="shared" ref="AH93:BA93" si="7">SUMIFS($B$4:$J$4,$B58:$J58,"="&amp;"x",$B$2:$J$2,"="&amp;"Y")</f>
        <v>1</v>
      </c>
      <c r="AI93">
        <f t="shared" si="7"/>
        <v>1</v>
      </c>
      <c r="AJ93">
        <f t="shared" si="7"/>
        <v>1</v>
      </c>
      <c r="AK93">
        <f t="shared" si="7"/>
        <v>1</v>
      </c>
      <c r="AL93">
        <f t="shared" si="7"/>
        <v>1</v>
      </c>
      <c r="AM93">
        <f t="shared" si="7"/>
        <v>1</v>
      </c>
      <c r="AN93">
        <f t="shared" si="7"/>
        <v>1</v>
      </c>
      <c r="AO93">
        <f t="shared" si="7"/>
        <v>1</v>
      </c>
      <c r="AP93">
        <f t="shared" si="7"/>
        <v>1</v>
      </c>
      <c r="AQ93">
        <f t="shared" si="7"/>
        <v>1</v>
      </c>
      <c r="AR93">
        <f t="shared" si="7"/>
        <v>1</v>
      </c>
      <c r="AS93">
        <f t="shared" si="7"/>
        <v>1</v>
      </c>
      <c r="AT93">
        <f t="shared" si="7"/>
        <v>1</v>
      </c>
      <c r="AU93">
        <f t="shared" si="7"/>
        <v>1</v>
      </c>
      <c r="AV93">
        <f t="shared" si="7"/>
        <v>1</v>
      </c>
      <c r="AW93">
        <f t="shared" si="7"/>
        <v>1</v>
      </c>
      <c r="AX93">
        <f t="shared" si="7"/>
        <v>1</v>
      </c>
      <c r="AY93">
        <f t="shared" si="7"/>
        <v>1</v>
      </c>
      <c r="AZ93">
        <f t="shared" si="7"/>
        <v>1</v>
      </c>
      <c r="BA93">
        <f t="shared" si="7"/>
        <v>1</v>
      </c>
    </row>
    <row r="94" spans="1:53" x14ac:dyDescent="0.35">
      <c r="A94" s="2" t="str" cm="1">
        <f t="array" ref="A94">INDEX('Data Validation (Hide)'!$B$2:$B$16,ROW(A2),1)</f>
        <v>Medium</v>
      </c>
      <c r="B94">
        <f t="shared" ref="B94:AG94" si="8">SUMIFS($B$4:$J$4,$B59:$J59,"="&amp;"x",$B$2:$J$2,"="&amp;"Y")</f>
        <v>0</v>
      </c>
      <c r="C94">
        <f t="shared" si="8"/>
        <v>0</v>
      </c>
      <c r="D94">
        <f t="shared" si="8"/>
        <v>0</v>
      </c>
      <c r="E94">
        <f t="shared" si="8"/>
        <v>0</v>
      </c>
      <c r="F94">
        <f t="shared" si="8"/>
        <v>0</v>
      </c>
      <c r="G94">
        <f t="shared" si="8"/>
        <v>0</v>
      </c>
      <c r="H94">
        <f t="shared" si="8"/>
        <v>0</v>
      </c>
      <c r="I94">
        <f t="shared" si="8"/>
        <v>0</v>
      </c>
      <c r="J94">
        <f t="shared" si="8"/>
        <v>0</v>
      </c>
      <c r="K94">
        <f t="shared" si="8"/>
        <v>0</v>
      </c>
      <c r="L94">
        <f t="shared" si="8"/>
        <v>0</v>
      </c>
      <c r="M94">
        <f t="shared" si="8"/>
        <v>0</v>
      </c>
      <c r="N94">
        <f t="shared" si="8"/>
        <v>0</v>
      </c>
      <c r="O94">
        <f t="shared" si="8"/>
        <v>0</v>
      </c>
      <c r="P94">
        <f t="shared" si="8"/>
        <v>0</v>
      </c>
      <c r="Q94">
        <f t="shared" si="8"/>
        <v>0</v>
      </c>
      <c r="R94">
        <f t="shared" si="8"/>
        <v>0</v>
      </c>
      <c r="S94">
        <f t="shared" si="8"/>
        <v>0</v>
      </c>
      <c r="T94">
        <f t="shared" si="8"/>
        <v>0</v>
      </c>
      <c r="U94">
        <f t="shared" si="8"/>
        <v>0</v>
      </c>
      <c r="V94">
        <f t="shared" si="8"/>
        <v>0</v>
      </c>
      <c r="W94">
        <f t="shared" si="8"/>
        <v>0</v>
      </c>
      <c r="X94">
        <f t="shared" si="8"/>
        <v>0</v>
      </c>
      <c r="Y94">
        <f t="shared" si="8"/>
        <v>0</v>
      </c>
      <c r="Z94">
        <f t="shared" si="8"/>
        <v>0</v>
      </c>
      <c r="AA94">
        <f t="shared" si="8"/>
        <v>0</v>
      </c>
      <c r="AB94">
        <f t="shared" si="8"/>
        <v>0</v>
      </c>
      <c r="AC94">
        <f t="shared" si="8"/>
        <v>0</v>
      </c>
      <c r="AD94">
        <f t="shared" si="8"/>
        <v>0</v>
      </c>
      <c r="AE94">
        <f t="shared" si="8"/>
        <v>0</v>
      </c>
      <c r="AF94">
        <f t="shared" si="8"/>
        <v>0</v>
      </c>
      <c r="AG94">
        <f t="shared" si="8"/>
        <v>0</v>
      </c>
      <c r="AH94">
        <f t="shared" ref="AH94:BA94" si="9">SUMIFS($B$4:$J$4,$B59:$J59,"="&amp;"x",$B$2:$J$2,"="&amp;"Y")</f>
        <v>0</v>
      </c>
      <c r="AI94">
        <f t="shared" si="9"/>
        <v>0</v>
      </c>
      <c r="AJ94">
        <f t="shared" si="9"/>
        <v>0</v>
      </c>
      <c r="AK94">
        <f t="shared" si="9"/>
        <v>0</v>
      </c>
      <c r="AL94">
        <f t="shared" si="9"/>
        <v>0</v>
      </c>
      <c r="AM94">
        <f t="shared" si="9"/>
        <v>0</v>
      </c>
      <c r="AN94">
        <f t="shared" si="9"/>
        <v>0</v>
      </c>
      <c r="AO94">
        <f t="shared" si="9"/>
        <v>0</v>
      </c>
      <c r="AP94">
        <f t="shared" si="9"/>
        <v>0</v>
      </c>
      <c r="AQ94">
        <f t="shared" si="9"/>
        <v>0</v>
      </c>
      <c r="AR94">
        <f t="shared" si="9"/>
        <v>0</v>
      </c>
      <c r="AS94">
        <f t="shared" si="9"/>
        <v>0</v>
      </c>
      <c r="AT94">
        <f t="shared" si="9"/>
        <v>0</v>
      </c>
      <c r="AU94">
        <f t="shared" si="9"/>
        <v>0</v>
      </c>
      <c r="AV94">
        <f t="shared" si="9"/>
        <v>0</v>
      </c>
      <c r="AW94">
        <f t="shared" si="9"/>
        <v>0</v>
      </c>
      <c r="AX94">
        <f t="shared" si="9"/>
        <v>0</v>
      </c>
      <c r="AY94">
        <f t="shared" si="9"/>
        <v>0</v>
      </c>
      <c r="AZ94">
        <f t="shared" si="9"/>
        <v>0</v>
      </c>
      <c r="BA94">
        <f t="shared" si="9"/>
        <v>0</v>
      </c>
    </row>
    <row r="95" spans="1:53" x14ac:dyDescent="0.35">
      <c r="A95" s="2" t="str" cm="1">
        <f t="array" ref="A95">INDEX('Data Validation (Hide)'!$B$2:$B$16,ROW(A3),1)</f>
        <v>low</v>
      </c>
      <c r="B95">
        <f t="shared" ref="B95:AG95" si="10">SUMIFS($B$4:$J$4,$B60:$J60,"="&amp;"x",$B$2:$J$2,"="&amp;"Y")</f>
        <v>0</v>
      </c>
      <c r="C95">
        <f t="shared" si="10"/>
        <v>0</v>
      </c>
      <c r="D95">
        <f t="shared" si="10"/>
        <v>0</v>
      </c>
      <c r="E95">
        <f t="shared" si="10"/>
        <v>0</v>
      </c>
      <c r="F95">
        <f t="shared" si="10"/>
        <v>0</v>
      </c>
      <c r="G95">
        <f t="shared" si="10"/>
        <v>0</v>
      </c>
      <c r="H95">
        <f t="shared" si="10"/>
        <v>0</v>
      </c>
      <c r="I95">
        <f t="shared" si="10"/>
        <v>0</v>
      </c>
      <c r="J95">
        <f t="shared" si="10"/>
        <v>0</v>
      </c>
      <c r="K95">
        <f t="shared" si="10"/>
        <v>0</v>
      </c>
      <c r="L95">
        <f t="shared" si="10"/>
        <v>0</v>
      </c>
      <c r="M95">
        <f t="shared" si="10"/>
        <v>0</v>
      </c>
      <c r="N95">
        <f t="shared" si="10"/>
        <v>0</v>
      </c>
      <c r="O95">
        <f t="shared" si="10"/>
        <v>0</v>
      </c>
      <c r="P95">
        <f t="shared" si="10"/>
        <v>0</v>
      </c>
      <c r="Q95">
        <f t="shared" si="10"/>
        <v>0</v>
      </c>
      <c r="R95">
        <f t="shared" si="10"/>
        <v>0</v>
      </c>
      <c r="S95">
        <f t="shared" si="10"/>
        <v>0</v>
      </c>
      <c r="T95">
        <f t="shared" si="10"/>
        <v>0</v>
      </c>
      <c r="U95">
        <f t="shared" si="10"/>
        <v>0</v>
      </c>
      <c r="V95">
        <f t="shared" si="10"/>
        <v>0</v>
      </c>
      <c r="W95">
        <f t="shared" si="10"/>
        <v>0</v>
      </c>
      <c r="X95">
        <f t="shared" si="10"/>
        <v>0</v>
      </c>
      <c r="Y95">
        <f t="shared" si="10"/>
        <v>0</v>
      </c>
      <c r="Z95">
        <f t="shared" si="10"/>
        <v>0</v>
      </c>
      <c r="AA95">
        <f t="shared" si="10"/>
        <v>0</v>
      </c>
      <c r="AB95">
        <f t="shared" si="10"/>
        <v>0</v>
      </c>
      <c r="AC95">
        <f t="shared" si="10"/>
        <v>0</v>
      </c>
      <c r="AD95">
        <f t="shared" si="10"/>
        <v>0</v>
      </c>
      <c r="AE95">
        <f t="shared" si="10"/>
        <v>0</v>
      </c>
      <c r="AF95">
        <f t="shared" si="10"/>
        <v>0</v>
      </c>
      <c r="AG95">
        <f t="shared" si="10"/>
        <v>0</v>
      </c>
      <c r="AH95">
        <f t="shared" ref="AH95:BA95" si="11">SUMIFS($B$4:$J$4,$B60:$J60,"="&amp;"x",$B$2:$J$2,"="&amp;"Y")</f>
        <v>0</v>
      </c>
      <c r="AI95">
        <f t="shared" si="11"/>
        <v>0</v>
      </c>
      <c r="AJ95">
        <f t="shared" si="11"/>
        <v>0</v>
      </c>
      <c r="AK95">
        <f t="shared" si="11"/>
        <v>0</v>
      </c>
      <c r="AL95">
        <f t="shared" si="11"/>
        <v>0</v>
      </c>
      <c r="AM95">
        <f t="shared" si="11"/>
        <v>0</v>
      </c>
      <c r="AN95">
        <f t="shared" si="11"/>
        <v>0</v>
      </c>
      <c r="AO95">
        <f t="shared" si="11"/>
        <v>0</v>
      </c>
      <c r="AP95">
        <f t="shared" si="11"/>
        <v>0</v>
      </c>
      <c r="AQ95">
        <f t="shared" si="11"/>
        <v>0</v>
      </c>
      <c r="AR95">
        <f t="shared" si="11"/>
        <v>0</v>
      </c>
      <c r="AS95">
        <f t="shared" si="11"/>
        <v>0</v>
      </c>
      <c r="AT95">
        <f t="shared" si="11"/>
        <v>0</v>
      </c>
      <c r="AU95">
        <f t="shared" si="11"/>
        <v>0</v>
      </c>
      <c r="AV95">
        <f t="shared" si="11"/>
        <v>0</v>
      </c>
      <c r="AW95">
        <f t="shared" si="11"/>
        <v>0</v>
      </c>
      <c r="AX95">
        <f t="shared" si="11"/>
        <v>0</v>
      </c>
      <c r="AY95">
        <f t="shared" si="11"/>
        <v>0</v>
      </c>
      <c r="AZ95">
        <f t="shared" si="11"/>
        <v>0</v>
      </c>
      <c r="BA95">
        <f t="shared" si="11"/>
        <v>0</v>
      </c>
    </row>
    <row r="96" spans="1:53" x14ac:dyDescent="0.35">
      <c r="A96" s="2" t="str" cm="1">
        <f t="array" ref="A96">INDEX('Data Validation (Hide)'!$B$2:$B$16,ROW(A4),1)</f>
        <v>very low</v>
      </c>
      <c r="B96">
        <f t="shared" ref="B96:AG96" si="12">SUMIFS($B$4:$J$4,$B61:$J61,"="&amp;"x",$B$2:$J$2,"="&amp;"Y")</f>
        <v>0</v>
      </c>
      <c r="C96">
        <f t="shared" si="12"/>
        <v>0</v>
      </c>
      <c r="D96">
        <f t="shared" si="12"/>
        <v>0</v>
      </c>
      <c r="E96">
        <f t="shared" si="12"/>
        <v>0</v>
      </c>
      <c r="F96">
        <f t="shared" si="12"/>
        <v>0</v>
      </c>
      <c r="G96">
        <f t="shared" si="12"/>
        <v>0</v>
      </c>
      <c r="H96">
        <f t="shared" si="12"/>
        <v>0</v>
      </c>
      <c r="I96">
        <f t="shared" si="12"/>
        <v>0</v>
      </c>
      <c r="J96">
        <f t="shared" si="12"/>
        <v>0</v>
      </c>
      <c r="K96">
        <f t="shared" si="12"/>
        <v>0</v>
      </c>
      <c r="L96">
        <f t="shared" si="12"/>
        <v>0</v>
      </c>
      <c r="M96">
        <f t="shared" si="12"/>
        <v>0</v>
      </c>
      <c r="N96">
        <f t="shared" si="12"/>
        <v>0</v>
      </c>
      <c r="O96">
        <f t="shared" si="12"/>
        <v>0</v>
      </c>
      <c r="P96">
        <f t="shared" si="12"/>
        <v>0</v>
      </c>
      <c r="Q96">
        <f t="shared" si="12"/>
        <v>0</v>
      </c>
      <c r="R96">
        <f t="shared" si="12"/>
        <v>0</v>
      </c>
      <c r="S96">
        <f t="shared" si="12"/>
        <v>0</v>
      </c>
      <c r="T96">
        <f t="shared" si="12"/>
        <v>0</v>
      </c>
      <c r="U96">
        <f t="shared" si="12"/>
        <v>0</v>
      </c>
      <c r="V96">
        <f t="shared" si="12"/>
        <v>0</v>
      </c>
      <c r="W96">
        <f t="shared" si="12"/>
        <v>0</v>
      </c>
      <c r="X96">
        <f t="shared" si="12"/>
        <v>0</v>
      </c>
      <c r="Y96">
        <f t="shared" si="12"/>
        <v>0</v>
      </c>
      <c r="Z96">
        <f t="shared" si="12"/>
        <v>0</v>
      </c>
      <c r="AA96">
        <f t="shared" si="12"/>
        <v>0</v>
      </c>
      <c r="AB96">
        <f t="shared" si="12"/>
        <v>0</v>
      </c>
      <c r="AC96">
        <f t="shared" si="12"/>
        <v>0</v>
      </c>
      <c r="AD96">
        <f t="shared" si="12"/>
        <v>0</v>
      </c>
      <c r="AE96">
        <f t="shared" si="12"/>
        <v>0</v>
      </c>
      <c r="AF96">
        <f t="shared" si="12"/>
        <v>0</v>
      </c>
      <c r="AG96">
        <f t="shared" si="12"/>
        <v>0</v>
      </c>
      <c r="AH96">
        <f t="shared" ref="AH96:BA96" si="13">SUMIFS($B$4:$J$4,$B61:$J61,"="&amp;"x",$B$2:$J$2,"="&amp;"Y")</f>
        <v>0</v>
      </c>
      <c r="AI96">
        <f t="shared" si="13"/>
        <v>0</v>
      </c>
      <c r="AJ96">
        <f t="shared" si="13"/>
        <v>0</v>
      </c>
      <c r="AK96">
        <f t="shared" si="13"/>
        <v>0</v>
      </c>
      <c r="AL96">
        <f t="shared" si="13"/>
        <v>0</v>
      </c>
      <c r="AM96">
        <f t="shared" si="13"/>
        <v>0</v>
      </c>
      <c r="AN96">
        <f t="shared" si="13"/>
        <v>0</v>
      </c>
      <c r="AO96">
        <f t="shared" si="13"/>
        <v>0</v>
      </c>
      <c r="AP96">
        <f t="shared" si="13"/>
        <v>0</v>
      </c>
      <c r="AQ96">
        <f t="shared" si="13"/>
        <v>0</v>
      </c>
      <c r="AR96">
        <f t="shared" si="13"/>
        <v>0</v>
      </c>
      <c r="AS96">
        <f t="shared" si="13"/>
        <v>0</v>
      </c>
      <c r="AT96">
        <f t="shared" si="13"/>
        <v>0</v>
      </c>
      <c r="AU96">
        <f t="shared" si="13"/>
        <v>0</v>
      </c>
      <c r="AV96">
        <f t="shared" si="13"/>
        <v>0</v>
      </c>
      <c r="AW96">
        <f t="shared" si="13"/>
        <v>0</v>
      </c>
      <c r="AX96">
        <f t="shared" si="13"/>
        <v>0</v>
      </c>
      <c r="AY96">
        <f t="shared" si="13"/>
        <v>0</v>
      </c>
      <c r="AZ96">
        <f t="shared" si="13"/>
        <v>0</v>
      </c>
      <c r="BA96">
        <f t="shared" si="13"/>
        <v>0</v>
      </c>
    </row>
    <row r="97" spans="1:53" x14ac:dyDescent="0.35">
      <c r="A97" s="2" t="str" cm="1">
        <f t="array" ref="A97">INDEX('Data Validation (Hide)'!$B$2:$B$16,ROW(A5),1)</f>
        <v>Caseload 5</v>
      </c>
      <c r="B97">
        <f t="shared" ref="B97:AG97" si="14">SUMIFS($B$4:$J$4,$B62:$J62,"="&amp;"x",$B$2:$J$2,"="&amp;"Y")</f>
        <v>0</v>
      </c>
      <c r="C97">
        <f t="shared" si="14"/>
        <v>0</v>
      </c>
      <c r="D97">
        <f t="shared" si="14"/>
        <v>0</v>
      </c>
      <c r="E97">
        <f t="shared" si="14"/>
        <v>0</v>
      </c>
      <c r="F97">
        <f t="shared" si="14"/>
        <v>0</v>
      </c>
      <c r="G97">
        <f t="shared" si="14"/>
        <v>0</v>
      </c>
      <c r="H97">
        <f t="shared" si="14"/>
        <v>0</v>
      </c>
      <c r="I97">
        <f t="shared" si="14"/>
        <v>0</v>
      </c>
      <c r="J97">
        <f t="shared" si="14"/>
        <v>0</v>
      </c>
      <c r="K97">
        <f t="shared" si="14"/>
        <v>0</v>
      </c>
      <c r="L97">
        <f t="shared" si="14"/>
        <v>0</v>
      </c>
      <c r="M97">
        <f t="shared" si="14"/>
        <v>0</v>
      </c>
      <c r="N97">
        <f t="shared" si="14"/>
        <v>0</v>
      </c>
      <c r="O97">
        <f t="shared" si="14"/>
        <v>0</v>
      </c>
      <c r="P97">
        <f t="shared" si="14"/>
        <v>0</v>
      </c>
      <c r="Q97">
        <f t="shared" si="14"/>
        <v>0</v>
      </c>
      <c r="R97">
        <f t="shared" si="14"/>
        <v>0</v>
      </c>
      <c r="S97">
        <f t="shared" si="14"/>
        <v>0</v>
      </c>
      <c r="T97">
        <f t="shared" si="14"/>
        <v>0</v>
      </c>
      <c r="U97">
        <f t="shared" si="14"/>
        <v>0</v>
      </c>
      <c r="V97">
        <f t="shared" si="14"/>
        <v>0</v>
      </c>
      <c r="W97">
        <f t="shared" si="14"/>
        <v>0</v>
      </c>
      <c r="X97">
        <f t="shared" si="14"/>
        <v>0</v>
      </c>
      <c r="Y97">
        <f t="shared" si="14"/>
        <v>0</v>
      </c>
      <c r="Z97">
        <f t="shared" si="14"/>
        <v>0</v>
      </c>
      <c r="AA97">
        <f t="shared" si="14"/>
        <v>0</v>
      </c>
      <c r="AB97">
        <f t="shared" si="14"/>
        <v>0</v>
      </c>
      <c r="AC97">
        <f t="shared" si="14"/>
        <v>0</v>
      </c>
      <c r="AD97">
        <f t="shared" si="14"/>
        <v>0</v>
      </c>
      <c r="AE97">
        <f t="shared" si="14"/>
        <v>0</v>
      </c>
      <c r="AF97">
        <f t="shared" si="14"/>
        <v>0</v>
      </c>
      <c r="AG97">
        <f t="shared" si="14"/>
        <v>0</v>
      </c>
      <c r="AH97">
        <f t="shared" ref="AH97:BA97" si="15">SUMIFS($B$4:$J$4,$B62:$J62,"="&amp;"x",$B$2:$J$2,"="&amp;"Y")</f>
        <v>0</v>
      </c>
      <c r="AI97">
        <f t="shared" si="15"/>
        <v>0</v>
      </c>
      <c r="AJ97">
        <f t="shared" si="15"/>
        <v>0</v>
      </c>
      <c r="AK97">
        <f t="shared" si="15"/>
        <v>0</v>
      </c>
      <c r="AL97">
        <f t="shared" si="15"/>
        <v>0</v>
      </c>
      <c r="AM97">
        <f t="shared" si="15"/>
        <v>0</v>
      </c>
      <c r="AN97">
        <f t="shared" si="15"/>
        <v>0</v>
      </c>
      <c r="AO97">
        <f t="shared" si="15"/>
        <v>0</v>
      </c>
      <c r="AP97">
        <f t="shared" si="15"/>
        <v>0</v>
      </c>
      <c r="AQ97">
        <f t="shared" si="15"/>
        <v>0</v>
      </c>
      <c r="AR97">
        <f t="shared" si="15"/>
        <v>0</v>
      </c>
      <c r="AS97">
        <f t="shared" si="15"/>
        <v>0</v>
      </c>
      <c r="AT97">
        <f t="shared" si="15"/>
        <v>0</v>
      </c>
      <c r="AU97">
        <f t="shared" si="15"/>
        <v>0</v>
      </c>
      <c r="AV97">
        <f t="shared" si="15"/>
        <v>0</v>
      </c>
      <c r="AW97">
        <f t="shared" si="15"/>
        <v>0</v>
      </c>
      <c r="AX97">
        <f t="shared" si="15"/>
        <v>0</v>
      </c>
      <c r="AY97">
        <f t="shared" si="15"/>
        <v>0</v>
      </c>
      <c r="AZ97">
        <f t="shared" si="15"/>
        <v>0</v>
      </c>
      <c r="BA97">
        <f t="shared" si="15"/>
        <v>0</v>
      </c>
    </row>
    <row r="98" spans="1:53" x14ac:dyDescent="0.35">
      <c r="A98" s="2" t="str" cm="1">
        <f t="array" ref="A98">INDEX('Data Validation (Hide)'!$B$2:$B$16,ROW(A6),1)</f>
        <v>Caseload 6</v>
      </c>
      <c r="B98">
        <f t="shared" ref="B98:AG98" si="16">SUMIFS($B$4:$J$4,$B63:$J63,"="&amp;"x",$B$2:$J$2,"="&amp;"Y")</f>
        <v>0</v>
      </c>
      <c r="C98">
        <f t="shared" si="16"/>
        <v>0</v>
      </c>
      <c r="D98">
        <f t="shared" si="16"/>
        <v>0</v>
      </c>
      <c r="E98">
        <f t="shared" si="16"/>
        <v>0</v>
      </c>
      <c r="F98">
        <f t="shared" si="16"/>
        <v>0</v>
      </c>
      <c r="G98">
        <f t="shared" si="16"/>
        <v>0</v>
      </c>
      <c r="H98">
        <f t="shared" si="16"/>
        <v>0</v>
      </c>
      <c r="I98">
        <f t="shared" si="16"/>
        <v>0</v>
      </c>
      <c r="J98">
        <f t="shared" si="16"/>
        <v>0</v>
      </c>
      <c r="K98">
        <f t="shared" si="16"/>
        <v>0</v>
      </c>
      <c r="L98">
        <f t="shared" si="16"/>
        <v>0</v>
      </c>
      <c r="M98">
        <f t="shared" si="16"/>
        <v>0</v>
      </c>
      <c r="N98">
        <f t="shared" si="16"/>
        <v>0</v>
      </c>
      <c r="O98">
        <f t="shared" si="16"/>
        <v>0</v>
      </c>
      <c r="P98">
        <f t="shared" si="16"/>
        <v>0</v>
      </c>
      <c r="Q98">
        <f t="shared" si="16"/>
        <v>0</v>
      </c>
      <c r="R98">
        <f t="shared" si="16"/>
        <v>0</v>
      </c>
      <c r="S98">
        <f t="shared" si="16"/>
        <v>0</v>
      </c>
      <c r="T98">
        <f t="shared" si="16"/>
        <v>0</v>
      </c>
      <c r="U98">
        <f t="shared" si="16"/>
        <v>0</v>
      </c>
      <c r="V98">
        <f t="shared" si="16"/>
        <v>0</v>
      </c>
      <c r="W98">
        <f t="shared" si="16"/>
        <v>0</v>
      </c>
      <c r="X98">
        <f t="shared" si="16"/>
        <v>0</v>
      </c>
      <c r="Y98">
        <f t="shared" si="16"/>
        <v>0</v>
      </c>
      <c r="Z98">
        <f t="shared" si="16"/>
        <v>0</v>
      </c>
      <c r="AA98">
        <f t="shared" si="16"/>
        <v>0</v>
      </c>
      <c r="AB98">
        <f t="shared" si="16"/>
        <v>0</v>
      </c>
      <c r="AC98">
        <f t="shared" si="16"/>
        <v>0</v>
      </c>
      <c r="AD98">
        <f t="shared" si="16"/>
        <v>0</v>
      </c>
      <c r="AE98">
        <f t="shared" si="16"/>
        <v>0</v>
      </c>
      <c r="AF98">
        <f t="shared" si="16"/>
        <v>0</v>
      </c>
      <c r="AG98">
        <f t="shared" si="16"/>
        <v>0</v>
      </c>
      <c r="AH98">
        <f t="shared" ref="AH98:BA98" si="17">SUMIFS($B$4:$J$4,$B63:$J63,"="&amp;"x",$B$2:$J$2,"="&amp;"Y")</f>
        <v>0</v>
      </c>
      <c r="AI98">
        <f t="shared" si="17"/>
        <v>0</v>
      </c>
      <c r="AJ98">
        <f t="shared" si="17"/>
        <v>0</v>
      </c>
      <c r="AK98">
        <f t="shared" si="17"/>
        <v>0</v>
      </c>
      <c r="AL98">
        <f t="shared" si="17"/>
        <v>0</v>
      </c>
      <c r="AM98">
        <f t="shared" si="17"/>
        <v>0</v>
      </c>
      <c r="AN98">
        <f t="shared" si="17"/>
        <v>0</v>
      </c>
      <c r="AO98">
        <f t="shared" si="17"/>
        <v>0</v>
      </c>
      <c r="AP98">
        <f t="shared" si="17"/>
        <v>0</v>
      </c>
      <c r="AQ98">
        <f t="shared" si="17"/>
        <v>0</v>
      </c>
      <c r="AR98">
        <f t="shared" si="17"/>
        <v>0</v>
      </c>
      <c r="AS98">
        <f t="shared" si="17"/>
        <v>0</v>
      </c>
      <c r="AT98">
        <f t="shared" si="17"/>
        <v>0</v>
      </c>
      <c r="AU98">
        <f t="shared" si="17"/>
        <v>0</v>
      </c>
      <c r="AV98">
        <f t="shared" si="17"/>
        <v>0</v>
      </c>
      <c r="AW98">
        <f t="shared" si="17"/>
        <v>0</v>
      </c>
      <c r="AX98">
        <f t="shared" si="17"/>
        <v>0</v>
      </c>
      <c r="AY98">
        <f t="shared" si="17"/>
        <v>0</v>
      </c>
      <c r="AZ98">
        <f t="shared" si="17"/>
        <v>0</v>
      </c>
      <c r="BA98">
        <f t="shared" si="17"/>
        <v>0</v>
      </c>
    </row>
    <row r="99" spans="1:53" x14ac:dyDescent="0.35">
      <c r="A99" s="2" t="str" cm="1">
        <f t="array" ref="A99">INDEX('Data Validation (Hide)'!$B$2:$B$16,ROW(A7),1)</f>
        <v>Caseload 7</v>
      </c>
      <c r="B99">
        <f t="shared" ref="B99:AG99" si="18">SUMIFS($B$4:$J$4,$B64:$J64,"="&amp;"x",$B$2:$J$2,"="&amp;"Y")</f>
        <v>0</v>
      </c>
      <c r="C99">
        <f t="shared" si="18"/>
        <v>0</v>
      </c>
      <c r="D99">
        <f t="shared" si="18"/>
        <v>0</v>
      </c>
      <c r="E99">
        <f t="shared" si="18"/>
        <v>0</v>
      </c>
      <c r="F99">
        <f t="shared" si="18"/>
        <v>0</v>
      </c>
      <c r="G99">
        <f t="shared" si="18"/>
        <v>0</v>
      </c>
      <c r="H99">
        <f t="shared" si="18"/>
        <v>0</v>
      </c>
      <c r="I99">
        <f t="shared" si="18"/>
        <v>0</v>
      </c>
      <c r="J99">
        <f t="shared" si="18"/>
        <v>0</v>
      </c>
      <c r="K99">
        <f t="shared" si="18"/>
        <v>0</v>
      </c>
      <c r="L99">
        <f t="shared" si="18"/>
        <v>0</v>
      </c>
      <c r="M99">
        <f t="shared" si="18"/>
        <v>0</v>
      </c>
      <c r="N99">
        <f t="shared" si="18"/>
        <v>0</v>
      </c>
      <c r="O99">
        <f t="shared" si="18"/>
        <v>0</v>
      </c>
      <c r="P99">
        <f t="shared" si="18"/>
        <v>0</v>
      </c>
      <c r="Q99">
        <f t="shared" si="18"/>
        <v>0</v>
      </c>
      <c r="R99">
        <f t="shared" si="18"/>
        <v>0</v>
      </c>
      <c r="S99">
        <f t="shared" si="18"/>
        <v>0</v>
      </c>
      <c r="T99">
        <f t="shared" si="18"/>
        <v>0</v>
      </c>
      <c r="U99">
        <f t="shared" si="18"/>
        <v>0</v>
      </c>
      <c r="V99">
        <f t="shared" si="18"/>
        <v>0</v>
      </c>
      <c r="W99">
        <f t="shared" si="18"/>
        <v>0</v>
      </c>
      <c r="X99">
        <f t="shared" si="18"/>
        <v>0</v>
      </c>
      <c r="Y99">
        <f t="shared" si="18"/>
        <v>0</v>
      </c>
      <c r="Z99">
        <f t="shared" si="18"/>
        <v>0</v>
      </c>
      <c r="AA99">
        <f t="shared" si="18"/>
        <v>0</v>
      </c>
      <c r="AB99">
        <f t="shared" si="18"/>
        <v>0</v>
      </c>
      <c r="AC99">
        <f t="shared" si="18"/>
        <v>0</v>
      </c>
      <c r="AD99">
        <f t="shared" si="18"/>
        <v>0</v>
      </c>
      <c r="AE99">
        <f t="shared" si="18"/>
        <v>0</v>
      </c>
      <c r="AF99">
        <f t="shared" si="18"/>
        <v>0</v>
      </c>
      <c r="AG99">
        <f t="shared" si="18"/>
        <v>0</v>
      </c>
      <c r="AH99">
        <f t="shared" ref="AH99:BA99" si="19">SUMIFS($B$4:$J$4,$B64:$J64,"="&amp;"x",$B$2:$J$2,"="&amp;"Y")</f>
        <v>0</v>
      </c>
      <c r="AI99">
        <f t="shared" si="19"/>
        <v>0</v>
      </c>
      <c r="AJ99">
        <f t="shared" si="19"/>
        <v>0</v>
      </c>
      <c r="AK99">
        <f t="shared" si="19"/>
        <v>0</v>
      </c>
      <c r="AL99">
        <f t="shared" si="19"/>
        <v>0</v>
      </c>
      <c r="AM99">
        <f t="shared" si="19"/>
        <v>0</v>
      </c>
      <c r="AN99">
        <f t="shared" si="19"/>
        <v>0</v>
      </c>
      <c r="AO99">
        <f t="shared" si="19"/>
        <v>0</v>
      </c>
      <c r="AP99">
        <f t="shared" si="19"/>
        <v>0</v>
      </c>
      <c r="AQ99">
        <f t="shared" si="19"/>
        <v>0</v>
      </c>
      <c r="AR99">
        <f t="shared" si="19"/>
        <v>0</v>
      </c>
      <c r="AS99">
        <f t="shared" si="19"/>
        <v>0</v>
      </c>
      <c r="AT99">
        <f t="shared" si="19"/>
        <v>0</v>
      </c>
      <c r="AU99">
        <f t="shared" si="19"/>
        <v>0</v>
      </c>
      <c r="AV99">
        <f t="shared" si="19"/>
        <v>0</v>
      </c>
      <c r="AW99">
        <f t="shared" si="19"/>
        <v>0</v>
      </c>
      <c r="AX99">
        <f t="shared" si="19"/>
        <v>0</v>
      </c>
      <c r="AY99">
        <f t="shared" si="19"/>
        <v>0</v>
      </c>
      <c r="AZ99">
        <f t="shared" si="19"/>
        <v>0</v>
      </c>
      <c r="BA99">
        <f t="shared" si="19"/>
        <v>0</v>
      </c>
    </row>
    <row r="100" spans="1:53" x14ac:dyDescent="0.35">
      <c r="A100" s="2" t="str" cm="1">
        <f t="array" ref="A100">INDEX('Data Validation (Hide)'!$B$2:$B$16,ROW(A8),1)</f>
        <v>Caseload 8</v>
      </c>
      <c r="B100">
        <f t="shared" ref="B100:AG100" si="20">SUMIFS($B$4:$J$4,$B65:$J65,"="&amp;"x",$B$2:$J$2,"="&amp;"Y")</f>
        <v>0</v>
      </c>
      <c r="C100">
        <f t="shared" si="20"/>
        <v>0</v>
      </c>
      <c r="D100">
        <f t="shared" si="20"/>
        <v>0</v>
      </c>
      <c r="E100">
        <f t="shared" si="20"/>
        <v>0</v>
      </c>
      <c r="F100">
        <f t="shared" si="20"/>
        <v>0</v>
      </c>
      <c r="G100">
        <f t="shared" si="20"/>
        <v>0</v>
      </c>
      <c r="H100">
        <f t="shared" si="20"/>
        <v>0</v>
      </c>
      <c r="I100">
        <f t="shared" si="20"/>
        <v>0</v>
      </c>
      <c r="J100">
        <f t="shared" si="20"/>
        <v>0</v>
      </c>
      <c r="K100">
        <f t="shared" si="20"/>
        <v>0</v>
      </c>
      <c r="L100">
        <f t="shared" si="20"/>
        <v>0</v>
      </c>
      <c r="M100">
        <f t="shared" si="20"/>
        <v>0</v>
      </c>
      <c r="N100">
        <f t="shared" si="20"/>
        <v>0</v>
      </c>
      <c r="O100">
        <f t="shared" si="20"/>
        <v>0</v>
      </c>
      <c r="P100">
        <f t="shared" si="20"/>
        <v>0</v>
      </c>
      <c r="Q100">
        <f t="shared" si="20"/>
        <v>0</v>
      </c>
      <c r="R100">
        <f t="shared" si="20"/>
        <v>0</v>
      </c>
      <c r="S100">
        <f t="shared" si="20"/>
        <v>0</v>
      </c>
      <c r="T100">
        <f t="shared" si="20"/>
        <v>0</v>
      </c>
      <c r="U100">
        <f t="shared" si="20"/>
        <v>0</v>
      </c>
      <c r="V100">
        <f t="shared" si="20"/>
        <v>0</v>
      </c>
      <c r="W100">
        <f t="shared" si="20"/>
        <v>0</v>
      </c>
      <c r="X100">
        <f t="shared" si="20"/>
        <v>0</v>
      </c>
      <c r="Y100">
        <f t="shared" si="20"/>
        <v>0</v>
      </c>
      <c r="Z100">
        <f t="shared" si="20"/>
        <v>0</v>
      </c>
      <c r="AA100">
        <f t="shared" si="20"/>
        <v>0</v>
      </c>
      <c r="AB100">
        <f t="shared" si="20"/>
        <v>0</v>
      </c>
      <c r="AC100">
        <f t="shared" si="20"/>
        <v>0</v>
      </c>
      <c r="AD100">
        <f t="shared" si="20"/>
        <v>0</v>
      </c>
      <c r="AE100">
        <f t="shared" si="20"/>
        <v>0</v>
      </c>
      <c r="AF100">
        <f t="shared" si="20"/>
        <v>0</v>
      </c>
      <c r="AG100">
        <f t="shared" si="20"/>
        <v>0</v>
      </c>
      <c r="AH100">
        <f t="shared" ref="AH100:BA100" si="21">SUMIFS($B$4:$J$4,$B65:$J65,"="&amp;"x",$B$2:$J$2,"="&amp;"Y")</f>
        <v>0</v>
      </c>
      <c r="AI100">
        <f t="shared" si="21"/>
        <v>0</v>
      </c>
      <c r="AJ100">
        <f t="shared" si="21"/>
        <v>0</v>
      </c>
      <c r="AK100">
        <f t="shared" si="21"/>
        <v>0</v>
      </c>
      <c r="AL100">
        <f t="shared" si="21"/>
        <v>0</v>
      </c>
      <c r="AM100">
        <f t="shared" si="21"/>
        <v>0</v>
      </c>
      <c r="AN100">
        <f t="shared" si="21"/>
        <v>0</v>
      </c>
      <c r="AO100">
        <f t="shared" si="21"/>
        <v>0</v>
      </c>
      <c r="AP100">
        <f t="shared" si="21"/>
        <v>0</v>
      </c>
      <c r="AQ100">
        <f t="shared" si="21"/>
        <v>0</v>
      </c>
      <c r="AR100">
        <f t="shared" si="21"/>
        <v>0</v>
      </c>
      <c r="AS100">
        <f t="shared" si="21"/>
        <v>0</v>
      </c>
      <c r="AT100">
        <f t="shared" si="21"/>
        <v>0</v>
      </c>
      <c r="AU100">
        <f t="shared" si="21"/>
        <v>0</v>
      </c>
      <c r="AV100">
        <f t="shared" si="21"/>
        <v>0</v>
      </c>
      <c r="AW100">
        <f t="shared" si="21"/>
        <v>0</v>
      </c>
      <c r="AX100">
        <f t="shared" si="21"/>
        <v>0</v>
      </c>
      <c r="AY100">
        <f t="shared" si="21"/>
        <v>0</v>
      </c>
      <c r="AZ100">
        <f t="shared" si="21"/>
        <v>0</v>
      </c>
      <c r="BA100">
        <f t="shared" si="21"/>
        <v>0</v>
      </c>
    </row>
    <row r="101" spans="1:53" x14ac:dyDescent="0.35">
      <c r="A101" s="2" t="str" cm="1">
        <f t="array" ref="A101">INDEX('Data Validation (Hide)'!$B$2:$B$16,ROW(A9),1)</f>
        <v>Caseload 9</v>
      </c>
      <c r="B101">
        <f t="shared" ref="B101:AG101" si="22">SUMIFS($B$4:$J$4,$B66:$J66,"="&amp;"x",$B$2:$J$2,"="&amp;"Y")</f>
        <v>0</v>
      </c>
      <c r="C101">
        <f t="shared" si="22"/>
        <v>0</v>
      </c>
      <c r="D101">
        <f t="shared" si="22"/>
        <v>0</v>
      </c>
      <c r="E101">
        <f t="shared" si="22"/>
        <v>0</v>
      </c>
      <c r="F101">
        <f t="shared" si="22"/>
        <v>0</v>
      </c>
      <c r="G101">
        <f t="shared" si="22"/>
        <v>0</v>
      </c>
      <c r="H101">
        <f t="shared" si="22"/>
        <v>0</v>
      </c>
      <c r="I101">
        <f t="shared" si="22"/>
        <v>0</v>
      </c>
      <c r="J101">
        <f t="shared" si="22"/>
        <v>0</v>
      </c>
      <c r="K101">
        <f t="shared" si="22"/>
        <v>0</v>
      </c>
      <c r="L101">
        <f t="shared" si="22"/>
        <v>0</v>
      </c>
      <c r="M101">
        <f t="shared" si="22"/>
        <v>0</v>
      </c>
      <c r="N101">
        <f t="shared" si="22"/>
        <v>0</v>
      </c>
      <c r="O101">
        <f t="shared" si="22"/>
        <v>0</v>
      </c>
      <c r="P101">
        <f t="shared" si="22"/>
        <v>0</v>
      </c>
      <c r="Q101">
        <f t="shared" si="22"/>
        <v>0</v>
      </c>
      <c r="R101">
        <f t="shared" si="22"/>
        <v>0</v>
      </c>
      <c r="S101">
        <f t="shared" si="22"/>
        <v>0</v>
      </c>
      <c r="T101">
        <f t="shared" si="22"/>
        <v>0</v>
      </c>
      <c r="U101">
        <f t="shared" si="22"/>
        <v>0</v>
      </c>
      <c r="V101">
        <f t="shared" si="22"/>
        <v>0</v>
      </c>
      <c r="W101">
        <f t="shared" si="22"/>
        <v>0</v>
      </c>
      <c r="X101">
        <f t="shared" si="22"/>
        <v>0</v>
      </c>
      <c r="Y101">
        <f t="shared" si="22"/>
        <v>0</v>
      </c>
      <c r="Z101">
        <f t="shared" si="22"/>
        <v>0</v>
      </c>
      <c r="AA101">
        <f t="shared" si="22"/>
        <v>0</v>
      </c>
      <c r="AB101">
        <f t="shared" si="22"/>
        <v>0</v>
      </c>
      <c r="AC101">
        <f t="shared" si="22"/>
        <v>0</v>
      </c>
      <c r="AD101">
        <f t="shared" si="22"/>
        <v>0</v>
      </c>
      <c r="AE101">
        <f t="shared" si="22"/>
        <v>0</v>
      </c>
      <c r="AF101">
        <f t="shared" si="22"/>
        <v>0</v>
      </c>
      <c r="AG101">
        <f t="shared" si="22"/>
        <v>0</v>
      </c>
      <c r="AH101">
        <f t="shared" ref="AH101:BA101" si="23">SUMIFS($B$4:$J$4,$B66:$J66,"="&amp;"x",$B$2:$J$2,"="&amp;"Y")</f>
        <v>0</v>
      </c>
      <c r="AI101">
        <f t="shared" si="23"/>
        <v>0</v>
      </c>
      <c r="AJ101">
        <f t="shared" si="23"/>
        <v>0</v>
      </c>
      <c r="AK101">
        <f t="shared" si="23"/>
        <v>0</v>
      </c>
      <c r="AL101">
        <f t="shared" si="23"/>
        <v>0</v>
      </c>
      <c r="AM101">
        <f t="shared" si="23"/>
        <v>0</v>
      </c>
      <c r="AN101">
        <f t="shared" si="23"/>
        <v>0</v>
      </c>
      <c r="AO101">
        <f t="shared" si="23"/>
        <v>0</v>
      </c>
      <c r="AP101">
        <f t="shared" si="23"/>
        <v>0</v>
      </c>
      <c r="AQ101">
        <f t="shared" si="23"/>
        <v>0</v>
      </c>
      <c r="AR101">
        <f t="shared" si="23"/>
        <v>0</v>
      </c>
      <c r="AS101">
        <f t="shared" si="23"/>
        <v>0</v>
      </c>
      <c r="AT101">
        <f t="shared" si="23"/>
        <v>0</v>
      </c>
      <c r="AU101">
        <f t="shared" si="23"/>
        <v>0</v>
      </c>
      <c r="AV101">
        <f t="shared" si="23"/>
        <v>0</v>
      </c>
      <c r="AW101">
        <f t="shared" si="23"/>
        <v>0</v>
      </c>
      <c r="AX101">
        <f t="shared" si="23"/>
        <v>0</v>
      </c>
      <c r="AY101">
        <f t="shared" si="23"/>
        <v>0</v>
      </c>
      <c r="AZ101">
        <f t="shared" si="23"/>
        <v>0</v>
      </c>
      <c r="BA101">
        <f t="shared" si="23"/>
        <v>0</v>
      </c>
    </row>
    <row r="102" spans="1:53" x14ac:dyDescent="0.35">
      <c r="A102" s="2" t="str" cm="1">
        <f t="array" ref="A102">INDEX('Data Validation (Hide)'!$B$2:$B$16,ROW(A10),1)</f>
        <v>Caseload 10</v>
      </c>
      <c r="B102">
        <f t="shared" ref="B102:AG102" si="24">SUMIFS($B$4:$J$4,$B67:$J67,"="&amp;"x",$B$2:$J$2,"="&amp;"Y")</f>
        <v>0</v>
      </c>
      <c r="C102">
        <f t="shared" si="24"/>
        <v>0</v>
      </c>
      <c r="D102">
        <f t="shared" si="24"/>
        <v>0</v>
      </c>
      <c r="E102">
        <f t="shared" si="24"/>
        <v>0</v>
      </c>
      <c r="F102">
        <f t="shared" si="24"/>
        <v>0</v>
      </c>
      <c r="G102">
        <f t="shared" si="24"/>
        <v>0</v>
      </c>
      <c r="H102">
        <f t="shared" si="24"/>
        <v>0</v>
      </c>
      <c r="I102">
        <f t="shared" si="24"/>
        <v>0</v>
      </c>
      <c r="J102">
        <f t="shared" si="24"/>
        <v>0</v>
      </c>
      <c r="K102">
        <f t="shared" si="24"/>
        <v>0</v>
      </c>
      <c r="L102">
        <f t="shared" si="24"/>
        <v>0</v>
      </c>
      <c r="M102">
        <f t="shared" si="24"/>
        <v>0</v>
      </c>
      <c r="N102">
        <f t="shared" si="24"/>
        <v>0</v>
      </c>
      <c r="O102">
        <f t="shared" si="24"/>
        <v>0</v>
      </c>
      <c r="P102">
        <f t="shared" si="24"/>
        <v>0</v>
      </c>
      <c r="Q102">
        <f t="shared" si="24"/>
        <v>0</v>
      </c>
      <c r="R102">
        <f t="shared" si="24"/>
        <v>0</v>
      </c>
      <c r="S102">
        <f t="shared" si="24"/>
        <v>0</v>
      </c>
      <c r="T102">
        <f t="shared" si="24"/>
        <v>0</v>
      </c>
      <c r="U102">
        <f t="shared" si="24"/>
        <v>0</v>
      </c>
      <c r="V102">
        <f t="shared" si="24"/>
        <v>0</v>
      </c>
      <c r="W102">
        <f t="shared" si="24"/>
        <v>0</v>
      </c>
      <c r="X102">
        <f t="shared" si="24"/>
        <v>0</v>
      </c>
      <c r="Y102">
        <f t="shared" si="24"/>
        <v>0</v>
      </c>
      <c r="Z102">
        <f t="shared" si="24"/>
        <v>0</v>
      </c>
      <c r="AA102">
        <f t="shared" si="24"/>
        <v>0</v>
      </c>
      <c r="AB102">
        <f t="shared" si="24"/>
        <v>0</v>
      </c>
      <c r="AC102">
        <f t="shared" si="24"/>
        <v>0</v>
      </c>
      <c r="AD102">
        <f t="shared" si="24"/>
        <v>0</v>
      </c>
      <c r="AE102">
        <f t="shared" si="24"/>
        <v>0</v>
      </c>
      <c r="AF102">
        <f t="shared" si="24"/>
        <v>0</v>
      </c>
      <c r="AG102">
        <f t="shared" si="24"/>
        <v>0</v>
      </c>
      <c r="AH102">
        <f t="shared" ref="AH102:BA102" si="25">SUMIFS($B$4:$J$4,$B67:$J67,"="&amp;"x",$B$2:$J$2,"="&amp;"Y")</f>
        <v>0</v>
      </c>
      <c r="AI102">
        <f t="shared" si="25"/>
        <v>0</v>
      </c>
      <c r="AJ102">
        <f t="shared" si="25"/>
        <v>0</v>
      </c>
      <c r="AK102">
        <f t="shared" si="25"/>
        <v>0</v>
      </c>
      <c r="AL102">
        <f t="shared" si="25"/>
        <v>0</v>
      </c>
      <c r="AM102">
        <f t="shared" si="25"/>
        <v>0</v>
      </c>
      <c r="AN102">
        <f t="shared" si="25"/>
        <v>0</v>
      </c>
      <c r="AO102">
        <f t="shared" si="25"/>
        <v>0</v>
      </c>
      <c r="AP102">
        <f t="shared" si="25"/>
        <v>0</v>
      </c>
      <c r="AQ102">
        <f t="shared" si="25"/>
        <v>0</v>
      </c>
      <c r="AR102">
        <f t="shared" si="25"/>
        <v>0</v>
      </c>
      <c r="AS102">
        <f t="shared" si="25"/>
        <v>0</v>
      </c>
      <c r="AT102">
        <f t="shared" si="25"/>
        <v>0</v>
      </c>
      <c r="AU102">
        <f t="shared" si="25"/>
        <v>0</v>
      </c>
      <c r="AV102">
        <f t="shared" si="25"/>
        <v>0</v>
      </c>
      <c r="AW102">
        <f t="shared" si="25"/>
        <v>0</v>
      </c>
      <c r="AX102">
        <f t="shared" si="25"/>
        <v>0</v>
      </c>
      <c r="AY102">
        <f t="shared" si="25"/>
        <v>0</v>
      </c>
      <c r="AZ102">
        <f t="shared" si="25"/>
        <v>0</v>
      </c>
      <c r="BA102">
        <f t="shared" si="25"/>
        <v>0</v>
      </c>
    </row>
    <row r="103" spans="1:53" x14ac:dyDescent="0.35">
      <c r="A103" s="2" t="str" cm="1">
        <f t="array" ref="A103">INDEX('Data Validation (Hide)'!$B$2:$B$16,ROW(A11),1)</f>
        <v>Caseload 11</v>
      </c>
      <c r="B103">
        <f t="shared" ref="B103:AG103" si="26">SUMIFS($B$4:$J$4,$B68:$J68,"="&amp;"x",$B$2:$J$2,"="&amp;"Y")</f>
        <v>0</v>
      </c>
      <c r="C103">
        <f t="shared" si="26"/>
        <v>0</v>
      </c>
      <c r="D103">
        <f t="shared" si="26"/>
        <v>0</v>
      </c>
      <c r="E103">
        <f t="shared" si="26"/>
        <v>0</v>
      </c>
      <c r="F103">
        <f t="shared" si="26"/>
        <v>0</v>
      </c>
      <c r="G103">
        <f t="shared" si="26"/>
        <v>0</v>
      </c>
      <c r="H103">
        <f t="shared" si="26"/>
        <v>0</v>
      </c>
      <c r="I103">
        <f t="shared" si="26"/>
        <v>0</v>
      </c>
      <c r="J103">
        <f t="shared" si="26"/>
        <v>0</v>
      </c>
      <c r="K103">
        <f t="shared" si="26"/>
        <v>0</v>
      </c>
      <c r="L103">
        <f t="shared" si="26"/>
        <v>0</v>
      </c>
      <c r="M103">
        <f t="shared" si="26"/>
        <v>0</v>
      </c>
      <c r="N103">
        <f t="shared" si="26"/>
        <v>0</v>
      </c>
      <c r="O103">
        <f t="shared" si="26"/>
        <v>0</v>
      </c>
      <c r="P103">
        <f t="shared" si="26"/>
        <v>0</v>
      </c>
      <c r="Q103">
        <f t="shared" si="26"/>
        <v>0</v>
      </c>
      <c r="R103">
        <f t="shared" si="26"/>
        <v>0</v>
      </c>
      <c r="S103">
        <f t="shared" si="26"/>
        <v>0</v>
      </c>
      <c r="T103">
        <f t="shared" si="26"/>
        <v>0</v>
      </c>
      <c r="U103">
        <f t="shared" si="26"/>
        <v>0</v>
      </c>
      <c r="V103">
        <f t="shared" si="26"/>
        <v>0</v>
      </c>
      <c r="W103">
        <f t="shared" si="26"/>
        <v>0</v>
      </c>
      <c r="X103">
        <f t="shared" si="26"/>
        <v>0</v>
      </c>
      <c r="Y103">
        <f t="shared" si="26"/>
        <v>0</v>
      </c>
      <c r="Z103">
        <f t="shared" si="26"/>
        <v>0</v>
      </c>
      <c r="AA103">
        <f t="shared" si="26"/>
        <v>0</v>
      </c>
      <c r="AB103">
        <f t="shared" si="26"/>
        <v>0</v>
      </c>
      <c r="AC103">
        <f t="shared" si="26"/>
        <v>0</v>
      </c>
      <c r="AD103">
        <f t="shared" si="26"/>
        <v>0</v>
      </c>
      <c r="AE103">
        <f t="shared" si="26"/>
        <v>0</v>
      </c>
      <c r="AF103">
        <f t="shared" si="26"/>
        <v>0</v>
      </c>
      <c r="AG103">
        <f t="shared" si="26"/>
        <v>0</v>
      </c>
      <c r="AH103">
        <f t="shared" ref="AH103:BA103" si="27">SUMIFS($B$4:$J$4,$B68:$J68,"="&amp;"x",$B$2:$J$2,"="&amp;"Y")</f>
        <v>0</v>
      </c>
      <c r="AI103">
        <f t="shared" si="27"/>
        <v>0</v>
      </c>
      <c r="AJ103">
        <f t="shared" si="27"/>
        <v>0</v>
      </c>
      <c r="AK103">
        <f t="shared" si="27"/>
        <v>0</v>
      </c>
      <c r="AL103">
        <f t="shared" si="27"/>
        <v>0</v>
      </c>
      <c r="AM103">
        <f t="shared" si="27"/>
        <v>0</v>
      </c>
      <c r="AN103">
        <f t="shared" si="27"/>
        <v>0</v>
      </c>
      <c r="AO103">
        <f t="shared" si="27"/>
        <v>0</v>
      </c>
      <c r="AP103">
        <f t="shared" si="27"/>
        <v>0</v>
      </c>
      <c r="AQ103">
        <f t="shared" si="27"/>
        <v>0</v>
      </c>
      <c r="AR103">
        <f t="shared" si="27"/>
        <v>0</v>
      </c>
      <c r="AS103">
        <f t="shared" si="27"/>
        <v>0</v>
      </c>
      <c r="AT103">
        <f t="shared" si="27"/>
        <v>0</v>
      </c>
      <c r="AU103">
        <f t="shared" si="27"/>
        <v>0</v>
      </c>
      <c r="AV103">
        <f t="shared" si="27"/>
        <v>0</v>
      </c>
      <c r="AW103">
        <f t="shared" si="27"/>
        <v>0</v>
      </c>
      <c r="AX103">
        <f t="shared" si="27"/>
        <v>0</v>
      </c>
      <c r="AY103">
        <f t="shared" si="27"/>
        <v>0</v>
      </c>
      <c r="AZ103">
        <f t="shared" si="27"/>
        <v>0</v>
      </c>
      <c r="BA103">
        <f t="shared" si="27"/>
        <v>0</v>
      </c>
    </row>
    <row r="104" spans="1:53" x14ac:dyDescent="0.35">
      <c r="A104" s="2" t="str" cm="1">
        <f t="array" ref="A104">INDEX('Data Validation (Hide)'!$B$2:$B$16,ROW(A12),1)</f>
        <v>Caseload 12</v>
      </c>
      <c r="B104">
        <f t="shared" ref="B104:AG104" si="28">SUMIFS($B$4:$J$4,$B69:$J69,"="&amp;"x",$B$2:$J$2,"="&amp;"Y")</f>
        <v>0</v>
      </c>
      <c r="C104">
        <f t="shared" si="28"/>
        <v>0</v>
      </c>
      <c r="D104">
        <f t="shared" si="28"/>
        <v>0</v>
      </c>
      <c r="E104">
        <f t="shared" si="28"/>
        <v>0</v>
      </c>
      <c r="F104">
        <f t="shared" si="28"/>
        <v>0</v>
      </c>
      <c r="G104">
        <f t="shared" si="28"/>
        <v>0</v>
      </c>
      <c r="H104">
        <f t="shared" si="28"/>
        <v>0</v>
      </c>
      <c r="I104">
        <f t="shared" si="28"/>
        <v>0</v>
      </c>
      <c r="J104">
        <f t="shared" si="28"/>
        <v>0</v>
      </c>
      <c r="K104">
        <f t="shared" si="28"/>
        <v>0</v>
      </c>
      <c r="L104">
        <f t="shared" si="28"/>
        <v>0</v>
      </c>
      <c r="M104">
        <f t="shared" si="28"/>
        <v>0</v>
      </c>
      <c r="N104">
        <f t="shared" si="28"/>
        <v>0</v>
      </c>
      <c r="O104">
        <f t="shared" si="28"/>
        <v>0</v>
      </c>
      <c r="P104">
        <f t="shared" si="28"/>
        <v>0</v>
      </c>
      <c r="Q104">
        <f t="shared" si="28"/>
        <v>0</v>
      </c>
      <c r="R104">
        <f t="shared" si="28"/>
        <v>0</v>
      </c>
      <c r="S104">
        <f t="shared" si="28"/>
        <v>0</v>
      </c>
      <c r="T104">
        <f t="shared" si="28"/>
        <v>0</v>
      </c>
      <c r="U104">
        <f t="shared" si="28"/>
        <v>0</v>
      </c>
      <c r="V104">
        <f t="shared" si="28"/>
        <v>0</v>
      </c>
      <c r="W104">
        <f t="shared" si="28"/>
        <v>0</v>
      </c>
      <c r="X104">
        <f t="shared" si="28"/>
        <v>0</v>
      </c>
      <c r="Y104">
        <f t="shared" si="28"/>
        <v>0</v>
      </c>
      <c r="Z104">
        <f t="shared" si="28"/>
        <v>0</v>
      </c>
      <c r="AA104">
        <f t="shared" si="28"/>
        <v>0</v>
      </c>
      <c r="AB104">
        <f t="shared" si="28"/>
        <v>0</v>
      </c>
      <c r="AC104">
        <f t="shared" si="28"/>
        <v>0</v>
      </c>
      <c r="AD104">
        <f t="shared" si="28"/>
        <v>0</v>
      </c>
      <c r="AE104">
        <f t="shared" si="28"/>
        <v>0</v>
      </c>
      <c r="AF104">
        <f t="shared" si="28"/>
        <v>0</v>
      </c>
      <c r="AG104">
        <f t="shared" si="28"/>
        <v>0</v>
      </c>
      <c r="AH104">
        <f t="shared" ref="AH104:BA104" si="29">SUMIFS($B$4:$J$4,$B69:$J69,"="&amp;"x",$B$2:$J$2,"="&amp;"Y")</f>
        <v>0</v>
      </c>
      <c r="AI104">
        <f t="shared" si="29"/>
        <v>0</v>
      </c>
      <c r="AJ104">
        <f t="shared" si="29"/>
        <v>0</v>
      </c>
      <c r="AK104">
        <f t="shared" si="29"/>
        <v>0</v>
      </c>
      <c r="AL104">
        <f t="shared" si="29"/>
        <v>0</v>
      </c>
      <c r="AM104">
        <f t="shared" si="29"/>
        <v>0</v>
      </c>
      <c r="AN104">
        <f t="shared" si="29"/>
        <v>0</v>
      </c>
      <c r="AO104">
        <f t="shared" si="29"/>
        <v>0</v>
      </c>
      <c r="AP104">
        <f t="shared" si="29"/>
        <v>0</v>
      </c>
      <c r="AQ104">
        <f t="shared" si="29"/>
        <v>0</v>
      </c>
      <c r="AR104">
        <f t="shared" si="29"/>
        <v>0</v>
      </c>
      <c r="AS104">
        <f t="shared" si="29"/>
        <v>0</v>
      </c>
      <c r="AT104">
        <f t="shared" si="29"/>
        <v>0</v>
      </c>
      <c r="AU104">
        <f t="shared" si="29"/>
        <v>0</v>
      </c>
      <c r="AV104">
        <f t="shared" si="29"/>
        <v>0</v>
      </c>
      <c r="AW104">
        <f t="shared" si="29"/>
        <v>0</v>
      </c>
      <c r="AX104">
        <f t="shared" si="29"/>
        <v>0</v>
      </c>
      <c r="AY104">
        <f t="shared" si="29"/>
        <v>0</v>
      </c>
      <c r="AZ104">
        <f t="shared" si="29"/>
        <v>0</v>
      </c>
      <c r="BA104">
        <f t="shared" si="29"/>
        <v>0</v>
      </c>
    </row>
    <row r="105" spans="1:53" x14ac:dyDescent="0.35">
      <c r="A105" s="2" t="str" cm="1">
        <f t="array" ref="A105">INDEX('Data Validation (Hide)'!$B$2:$B$16,ROW(A13),1)</f>
        <v>Caseload 13</v>
      </c>
      <c r="B105">
        <f t="shared" ref="B105:AG105" si="30">SUMIFS($B$4:$J$4,$B70:$J70,"="&amp;"x",$B$2:$J$2,"="&amp;"Y")</f>
        <v>0</v>
      </c>
      <c r="C105">
        <f t="shared" si="30"/>
        <v>0</v>
      </c>
      <c r="D105">
        <f t="shared" si="30"/>
        <v>0</v>
      </c>
      <c r="E105">
        <f t="shared" si="30"/>
        <v>0</v>
      </c>
      <c r="F105">
        <f t="shared" si="30"/>
        <v>0</v>
      </c>
      <c r="G105">
        <f t="shared" si="30"/>
        <v>0</v>
      </c>
      <c r="H105">
        <f t="shared" si="30"/>
        <v>0</v>
      </c>
      <c r="I105">
        <f t="shared" si="30"/>
        <v>0</v>
      </c>
      <c r="J105">
        <f t="shared" si="30"/>
        <v>0</v>
      </c>
      <c r="K105">
        <f t="shared" si="30"/>
        <v>0</v>
      </c>
      <c r="L105">
        <f t="shared" si="30"/>
        <v>0</v>
      </c>
      <c r="M105">
        <f t="shared" si="30"/>
        <v>0</v>
      </c>
      <c r="N105">
        <f t="shared" si="30"/>
        <v>0</v>
      </c>
      <c r="O105">
        <f t="shared" si="30"/>
        <v>0</v>
      </c>
      <c r="P105">
        <f t="shared" si="30"/>
        <v>0</v>
      </c>
      <c r="Q105">
        <f t="shared" si="30"/>
        <v>0</v>
      </c>
      <c r="R105">
        <f t="shared" si="30"/>
        <v>0</v>
      </c>
      <c r="S105">
        <f t="shared" si="30"/>
        <v>0</v>
      </c>
      <c r="T105">
        <f t="shared" si="30"/>
        <v>0</v>
      </c>
      <c r="U105">
        <f t="shared" si="30"/>
        <v>0</v>
      </c>
      <c r="V105">
        <f t="shared" si="30"/>
        <v>0</v>
      </c>
      <c r="W105">
        <f t="shared" si="30"/>
        <v>0</v>
      </c>
      <c r="X105">
        <f t="shared" si="30"/>
        <v>0</v>
      </c>
      <c r="Y105">
        <f t="shared" si="30"/>
        <v>0</v>
      </c>
      <c r="Z105">
        <f t="shared" si="30"/>
        <v>0</v>
      </c>
      <c r="AA105">
        <f t="shared" si="30"/>
        <v>0</v>
      </c>
      <c r="AB105">
        <f t="shared" si="30"/>
        <v>0</v>
      </c>
      <c r="AC105">
        <f t="shared" si="30"/>
        <v>0</v>
      </c>
      <c r="AD105">
        <f t="shared" si="30"/>
        <v>0</v>
      </c>
      <c r="AE105">
        <f t="shared" si="30"/>
        <v>0</v>
      </c>
      <c r="AF105">
        <f t="shared" si="30"/>
        <v>0</v>
      </c>
      <c r="AG105">
        <f t="shared" si="30"/>
        <v>0</v>
      </c>
      <c r="AH105">
        <f t="shared" ref="AH105:BA105" si="31">SUMIFS($B$4:$J$4,$B70:$J70,"="&amp;"x",$B$2:$J$2,"="&amp;"Y")</f>
        <v>0</v>
      </c>
      <c r="AI105">
        <f t="shared" si="31"/>
        <v>0</v>
      </c>
      <c r="AJ105">
        <f t="shared" si="31"/>
        <v>0</v>
      </c>
      <c r="AK105">
        <f t="shared" si="31"/>
        <v>0</v>
      </c>
      <c r="AL105">
        <f t="shared" si="31"/>
        <v>0</v>
      </c>
      <c r="AM105">
        <f t="shared" si="31"/>
        <v>0</v>
      </c>
      <c r="AN105">
        <f t="shared" si="31"/>
        <v>0</v>
      </c>
      <c r="AO105">
        <f t="shared" si="31"/>
        <v>0</v>
      </c>
      <c r="AP105">
        <f t="shared" si="31"/>
        <v>0</v>
      </c>
      <c r="AQ105">
        <f t="shared" si="31"/>
        <v>0</v>
      </c>
      <c r="AR105">
        <f t="shared" si="31"/>
        <v>0</v>
      </c>
      <c r="AS105">
        <f t="shared" si="31"/>
        <v>0</v>
      </c>
      <c r="AT105">
        <f t="shared" si="31"/>
        <v>0</v>
      </c>
      <c r="AU105">
        <f t="shared" si="31"/>
        <v>0</v>
      </c>
      <c r="AV105">
        <f t="shared" si="31"/>
        <v>0</v>
      </c>
      <c r="AW105">
        <f t="shared" si="31"/>
        <v>0</v>
      </c>
      <c r="AX105">
        <f t="shared" si="31"/>
        <v>0</v>
      </c>
      <c r="AY105">
        <f t="shared" si="31"/>
        <v>0</v>
      </c>
      <c r="AZ105">
        <f t="shared" si="31"/>
        <v>0</v>
      </c>
      <c r="BA105">
        <f t="shared" si="31"/>
        <v>0</v>
      </c>
    </row>
    <row r="106" spans="1:53" x14ac:dyDescent="0.35">
      <c r="A106" s="2" t="str" cm="1">
        <f t="array" ref="A106">INDEX('Data Validation (Hide)'!$B$2:$B$16,ROW(A14),1)</f>
        <v>Caseload 14</v>
      </c>
      <c r="B106">
        <f t="shared" ref="B106:AG106" si="32">SUMIFS($B$4:$J$4,$B71:$J71,"="&amp;"x",$B$2:$J$2,"="&amp;"Y")</f>
        <v>0</v>
      </c>
      <c r="C106">
        <f t="shared" si="32"/>
        <v>0</v>
      </c>
      <c r="D106">
        <f t="shared" si="32"/>
        <v>0</v>
      </c>
      <c r="E106">
        <f t="shared" si="32"/>
        <v>0</v>
      </c>
      <c r="F106">
        <f t="shared" si="32"/>
        <v>0</v>
      </c>
      <c r="G106">
        <f t="shared" si="32"/>
        <v>0</v>
      </c>
      <c r="H106">
        <f t="shared" si="32"/>
        <v>0</v>
      </c>
      <c r="I106">
        <f t="shared" si="32"/>
        <v>0</v>
      </c>
      <c r="J106">
        <f t="shared" si="32"/>
        <v>0</v>
      </c>
      <c r="K106">
        <f t="shared" si="32"/>
        <v>0</v>
      </c>
      <c r="L106">
        <f t="shared" si="32"/>
        <v>0</v>
      </c>
      <c r="M106">
        <f t="shared" si="32"/>
        <v>0</v>
      </c>
      <c r="N106">
        <f t="shared" si="32"/>
        <v>0</v>
      </c>
      <c r="O106">
        <f t="shared" si="32"/>
        <v>0</v>
      </c>
      <c r="P106">
        <f t="shared" si="32"/>
        <v>0</v>
      </c>
      <c r="Q106">
        <f t="shared" si="32"/>
        <v>0</v>
      </c>
      <c r="R106">
        <f t="shared" si="32"/>
        <v>0</v>
      </c>
      <c r="S106">
        <f t="shared" si="32"/>
        <v>0</v>
      </c>
      <c r="T106">
        <f t="shared" si="32"/>
        <v>0</v>
      </c>
      <c r="U106">
        <f t="shared" si="32"/>
        <v>0</v>
      </c>
      <c r="V106">
        <f t="shared" si="32"/>
        <v>0</v>
      </c>
      <c r="W106">
        <f t="shared" si="32"/>
        <v>0</v>
      </c>
      <c r="X106">
        <f t="shared" si="32"/>
        <v>0</v>
      </c>
      <c r="Y106">
        <f t="shared" si="32"/>
        <v>0</v>
      </c>
      <c r="Z106">
        <f t="shared" si="32"/>
        <v>0</v>
      </c>
      <c r="AA106">
        <f t="shared" si="32"/>
        <v>0</v>
      </c>
      <c r="AB106">
        <f t="shared" si="32"/>
        <v>0</v>
      </c>
      <c r="AC106">
        <f t="shared" si="32"/>
        <v>0</v>
      </c>
      <c r="AD106">
        <f t="shared" si="32"/>
        <v>0</v>
      </c>
      <c r="AE106">
        <f t="shared" si="32"/>
        <v>0</v>
      </c>
      <c r="AF106">
        <f t="shared" si="32"/>
        <v>0</v>
      </c>
      <c r="AG106">
        <f t="shared" si="32"/>
        <v>0</v>
      </c>
      <c r="AH106">
        <f t="shared" ref="AH106:BA106" si="33">SUMIFS($B$4:$J$4,$B71:$J71,"="&amp;"x",$B$2:$J$2,"="&amp;"Y")</f>
        <v>0</v>
      </c>
      <c r="AI106">
        <f t="shared" si="33"/>
        <v>0</v>
      </c>
      <c r="AJ106">
        <f t="shared" si="33"/>
        <v>0</v>
      </c>
      <c r="AK106">
        <f t="shared" si="33"/>
        <v>0</v>
      </c>
      <c r="AL106">
        <f t="shared" si="33"/>
        <v>0</v>
      </c>
      <c r="AM106">
        <f t="shared" si="33"/>
        <v>0</v>
      </c>
      <c r="AN106">
        <f t="shared" si="33"/>
        <v>0</v>
      </c>
      <c r="AO106">
        <f t="shared" si="33"/>
        <v>0</v>
      </c>
      <c r="AP106">
        <f t="shared" si="33"/>
        <v>0</v>
      </c>
      <c r="AQ106">
        <f t="shared" si="33"/>
        <v>0</v>
      </c>
      <c r="AR106">
        <f t="shared" si="33"/>
        <v>0</v>
      </c>
      <c r="AS106">
        <f t="shared" si="33"/>
        <v>0</v>
      </c>
      <c r="AT106">
        <f t="shared" si="33"/>
        <v>0</v>
      </c>
      <c r="AU106">
        <f t="shared" si="33"/>
        <v>0</v>
      </c>
      <c r="AV106">
        <f t="shared" si="33"/>
        <v>0</v>
      </c>
      <c r="AW106">
        <f t="shared" si="33"/>
        <v>0</v>
      </c>
      <c r="AX106">
        <f t="shared" si="33"/>
        <v>0</v>
      </c>
      <c r="AY106">
        <f t="shared" si="33"/>
        <v>0</v>
      </c>
      <c r="AZ106">
        <f t="shared" si="33"/>
        <v>0</v>
      </c>
      <c r="BA106">
        <f t="shared" si="33"/>
        <v>0</v>
      </c>
    </row>
    <row r="107" spans="1:53" x14ac:dyDescent="0.35">
      <c r="A107" s="2" t="str" cm="1">
        <f t="array" ref="A107">INDEX('Data Validation (Hide)'!$B$2:$B$16,ROW(A15),1)</f>
        <v>Caseload 15</v>
      </c>
      <c r="B107">
        <f t="shared" ref="B107:AG107" si="34">SUMIFS($B$4:$J$4,$B72:$J72,"="&amp;"x",$B$2:$J$2,"="&amp;"Y")</f>
        <v>0</v>
      </c>
      <c r="C107">
        <f t="shared" si="34"/>
        <v>0</v>
      </c>
      <c r="D107">
        <f t="shared" si="34"/>
        <v>0</v>
      </c>
      <c r="E107">
        <f t="shared" si="34"/>
        <v>0</v>
      </c>
      <c r="F107">
        <f t="shared" si="34"/>
        <v>0</v>
      </c>
      <c r="G107">
        <f t="shared" si="34"/>
        <v>0</v>
      </c>
      <c r="H107">
        <f t="shared" si="34"/>
        <v>0</v>
      </c>
      <c r="I107">
        <f t="shared" si="34"/>
        <v>0</v>
      </c>
      <c r="J107">
        <f t="shared" si="34"/>
        <v>0</v>
      </c>
      <c r="K107">
        <f t="shared" si="34"/>
        <v>0</v>
      </c>
      <c r="L107">
        <f t="shared" si="34"/>
        <v>0</v>
      </c>
      <c r="M107">
        <f t="shared" si="34"/>
        <v>0</v>
      </c>
      <c r="N107">
        <f t="shared" si="34"/>
        <v>0</v>
      </c>
      <c r="O107">
        <f t="shared" si="34"/>
        <v>0</v>
      </c>
      <c r="P107">
        <f t="shared" si="34"/>
        <v>0</v>
      </c>
      <c r="Q107">
        <f t="shared" si="34"/>
        <v>0</v>
      </c>
      <c r="R107">
        <f t="shared" si="34"/>
        <v>0</v>
      </c>
      <c r="S107">
        <f t="shared" si="34"/>
        <v>0</v>
      </c>
      <c r="T107">
        <f t="shared" si="34"/>
        <v>0</v>
      </c>
      <c r="U107">
        <f t="shared" si="34"/>
        <v>0</v>
      </c>
      <c r="V107">
        <f t="shared" si="34"/>
        <v>0</v>
      </c>
      <c r="W107">
        <f t="shared" si="34"/>
        <v>0</v>
      </c>
      <c r="X107">
        <f t="shared" si="34"/>
        <v>0</v>
      </c>
      <c r="Y107">
        <f t="shared" si="34"/>
        <v>0</v>
      </c>
      <c r="Z107">
        <f t="shared" si="34"/>
        <v>0</v>
      </c>
      <c r="AA107">
        <f t="shared" si="34"/>
        <v>0</v>
      </c>
      <c r="AB107">
        <f t="shared" si="34"/>
        <v>0</v>
      </c>
      <c r="AC107">
        <f t="shared" si="34"/>
        <v>0</v>
      </c>
      <c r="AD107">
        <f t="shared" si="34"/>
        <v>0</v>
      </c>
      <c r="AE107">
        <f t="shared" si="34"/>
        <v>0</v>
      </c>
      <c r="AF107">
        <f t="shared" si="34"/>
        <v>0</v>
      </c>
      <c r="AG107">
        <f t="shared" si="34"/>
        <v>0</v>
      </c>
      <c r="AH107">
        <f t="shared" ref="AH107:BA107" si="35">SUMIFS($B$4:$J$4,$B72:$J72,"="&amp;"x",$B$2:$J$2,"="&amp;"Y")</f>
        <v>0</v>
      </c>
      <c r="AI107">
        <f t="shared" si="35"/>
        <v>0</v>
      </c>
      <c r="AJ107">
        <f t="shared" si="35"/>
        <v>0</v>
      </c>
      <c r="AK107">
        <f t="shared" si="35"/>
        <v>0</v>
      </c>
      <c r="AL107">
        <f t="shared" si="35"/>
        <v>0</v>
      </c>
      <c r="AM107">
        <f t="shared" si="35"/>
        <v>0</v>
      </c>
      <c r="AN107">
        <f t="shared" si="35"/>
        <v>0</v>
      </c>
      <c r="AO107">
        <f t="shared" si="35"/>
        <v>0</v>
      </c>
      <c r="AP107">
        <f t="shared" si="35"/>
        <v>0</v>
      </c>
      <c r="AQ107">
        <f t="shared" si="35"/>
        <v>0</v>
      </c>
      <c r="AR107">
        <f t="shared" si="35"/>
        <v>0</v>
      </c>
      <c r="AS107">
        <f t="shared" si="35"/>
        <v>0</v>
      </c>
      <c r="AT107">
        <f t="shared" si="35"/>
        <v>0</v>
      </c>
      <c r="AU107">
        <f t="shared" si="35"/>
        <v>0</v>
      </c>
      <c r="AV107">
        <f t="shared" si="35"/>
        <v>0</v>
      </c>
      <c r="AW107">
        <f t="shared" si="35"/>
        <v>0</v>
      </c>
      <c r="AX107">
        <f t="shared" si="35"/>
        <v>0</v>
      </c>
      <c r="AY107">
        <f t="shared" si="35"/>
        <v>0</v>
      </c>
      <c r="AZ107">
        <f t="shared" si="35"/>
        <v>0</v>
      </c>
      <c r="BA107">
        <f t="shared" si="35"/>
        <v>0</v>
      </c>
    </row>
    <row r="108" spans="1:53" x14ac:dyDescent="0.35">
      <c r="A108" s="2" t="s">
        <v>71</v>
      </c>
      <c r="B108">
        <f>SUM(B93:B107)</f>
        <v>1</v>
      </c>
      <c r="C108">
        <f t="shared" ref="C108:BA108" si="36">SUM(C93:C107)</f>
        <v>1</v>
      </c>
      <c r="D108">
        <f t="shared" si="36"/>
        <v>1</v>
      </c>
      <c r="E108">
        <f t="shared" si="36"/>
        <v>1</v>
      </c>
      <c r="F108">
        <f t="shared" si="36"/>
        <v>1</v>
      </c>
      <c r="G108">
        <f t="shared" si="36"/>
        <v>1</v>
      </c>
      <c r="H108">
        <f t="shared" si="36"/>
        <v>1</v>
      </c>
      <c r="I108">
        <f t="shared" si="36"/>
        <v>1</v>
      </c>
      <c r="J108">
        <f t="shared" si="36"/>
        <v>1</v>
      </c>
      <c r="K108">
        <f t="shared" si="36"/>
        <v>1</v>
      </c>
      <c r="L108">
        <f t="shared" si="36"/>
        <v>1</v>
      </c>
      <c r="M108">
        <f t="shared" si="36"/>
        <v>1</v>
      </c>
      <c r="N108">
        <f t="shared" si="36"/>
        <v>1</v>
      </c>
      <c r="O108">
        <f t="shared" si="36"/>
        <v>1</v>
      </c>
      <c r="P108">
        <f t="shared" si="36"/>
        <v>1</v>
      </c>
      <c r="Q108">
        <f t="shared" si="36"/>
        <v>1</v>
      </c>
      <c r="R108">
        <f t="shared" si="36"/>
        <v>1</v>
      </c>
      <c r="S108">
        <f t="shared" si="36"/>
        <v>1</v>
      </c>
      <c r="T108">
        <f t="shared" si="36"/>
        <v>1</v>
      </c>
      <c r="U108">
        <f t="shared" si="36"/>
        <v>1</v>
      </c>
      <c r="V108">
        <f t="shared" si="36"/>
        <v>1</v>
      </c>
      <c r="W108">
        <f t="shared" si="36"/>
        <v>1</v>
      </c>
      <c r="X108">
        <f t="shared" si="36"/>
        <v>1</v>
      </c>
      <c r="Y108">
        <f t="shared" si="36"/>
        <v>1</v>
      </c>
      <c r="Z108">
        <f t="shared" si="36"/>
        <v>1</v>
      </c>
      <c r="AA108">
        <f t="shared" si="36"/>
        <v>1</v>
      </c>
      <c r="AB108">
        <f t="shared" si="36"/>
        <v>1</v>
      </c>
      <c r="AC108">
        <f t="shared" si="36"/>
        <v>1</v>
      </c>
      <c r="AD108">
        <f t="shared" si="36"/>
        <v>1</v>
      </c>
      <c r="AE108">
        <f t="shared" si="36"/>
        <v>1</v>
      </c>
      <c r="AF108">
        <f t="shared" si="36"/>
        <v>1</v>
      </c>
      <c r="AG108">
        <f t="shared" si="36"/>
        <v>1</v>
      </c>
      <c r="AH108">
        <f t="shared" si="36"/>
        <v>1</v>
      </c>
      <c r="AI108">
        <f t="shared" si="36"/>
        <v>1</v>
      </c>
      <c r="AJ108">
        <f t="shared" si="36"/>
        <v>1</v>
      </c>
      <c r="AK108">
        <f t="shared" si="36"/>
        <v>1</v>
      </c>
      <c r="AL108">
        <f t="shared" si="36"/>
        <v>1</v>
      </c>
      <c r="AM108">
        <f t="shared" si="36"/>
        <v>1</v>
      </c>
      <c r="AN108">
        <f t="shared" si="36"/>
        <v>1</v>
      </c>
      <c r="AO108">
        <f t="shared" si="36"/>
        <v>1</v>
      </c>
      <c r="AP108">
        <f t="shared" si="36"/>
        <v>1</v>
      </c>
      <c r="AQ108">
        <f t="shared" si="36"/>
        <v>1</v>
      </c>
      <c r="AR108">
        <f t="shared" si="36"/>
        <v>1</v>
      </c>
      <c r="AS108">
        <f t="shared" si="36"/>
        <v>1</v>
      </c>
      <c r="AT108">
        <f t="shared" si="36"/>
        <v>1</v>
      </c>
      <c r="AU108">
        <f t="shared" si="36"/>
        <v>1</v>
      </c>
      <c r="AV108">
        <f t="shared" si="36"/>
        <v>1</v>
      </c>
      <c r="AW108">
        <f t="shared" si="36"/>
        <v>1</v>
      </c>
      <c r="AX108">
        <f t="shared" si="36"/>
        <v>1</v>
      </c>
      <c r="AY108">
        <f t="shared" si="36"/>
        <v>1</v>
      </c>
      <c r="AZ108">
        <f t="shared" si="36"/>
        <v>1</v>
      </c>
      <c r="BA108">
        <f t="shared" si="36"/>
        <v>1</v>
      </c>
    </row>
    <row r="109" spans="1:53" x14ac:dyDescent="0.35">
      <c r="A109" s="2"/>
    </row>
    <row r="110" spans="1:53" x14ac:dyDescent="0.35">
      <c r="A110" s="2" t="s">
        <v>71</v>
      </c>
      <c r="B110" s="2" cm="1">
        <f t="array" ref="B110">INDEX($A$4:$A$55,COLUMN(A18),1)</f>
        <v>44121</v>
      </c>
      <c r="C110" s="2" cm="1">
        <f t="array" ref="C110">INDEX($A$4:$A$55,COLUMN(B18),1)</f>
        <v>44128</v>
      </c>
      <c r="D110" s="2" cm="1">
        <f t="array" ref="D110">INDEX($A$4:$A$55,COLUMN(C18),1)</f>
        <v>44135</v>
      </c>
      <c r="E110" s="2" cm="1">
        <f t="array" ref="E110">INDEX($A$4:$A$55,COLUMN(D18),1)</f>
        <v>44142</v>
      </c>
      <c r="F110" s="2" cm="1">
        <f t="array" ref="F110">INDEX($A$4:$A$55,COLUMN(E18),1)</f>
        <v>44149</v>
      </c>
      <c r="G110" s="2" cm="1">
        <f t="array" ref="G110">INDEX($A$4:$A$55,COLUMN(F18),1)</f>
        <v>44156</v>
      </c>
      <c r="H110" s="2" cm="1">
        <f t="array" ref="H110">INDEX($A$4:$A$55,COLUMN(G18),1)</f>
        <v>44163</v>
      </c>
      <c r="I110" s="2" cm="1">
        <f t="array" ref="I110">INDEX($A$4:$A$55,COLUMN(H18),1)</f>
        <v>44170</v>
      </c>
      <c r="J110" s="2" cm="1">
        <f t="array" ref="J110">INDEX($A$4:$A$55,COLUMN(I18),1)</f>
        <v>44177</v>
      </c>
      <c r="K110" s="2" cm="1">
        <f t="array" ref="K110">INDEX($A$4:$A$55,COLUMN(J18),1)</f>
        <v>44184</v>
      </c>
      <c r="L110" s="2" cm="1">
        <f t="array" ref="L110">INDEX($A$4:$A$55,COLUMN(K18),1)</f>
        <v>44191</v>
      </c>
      <c r="M110" s="2" cm="1">
        <f t="array" ref="M110">INDEX($A$4:$A$55,COLUMN(L18),1)</f>
        <v>44198</v>
      </c>
      <c r="N110" s="2" cm="1">
        <f t="array" ref="N110">INDEX($A$4:$A$55,COLUMN(M18),1)</f>
        <v>44205</v>
      </c>
      <c r="O110" s="2" cm="1">
        <f t="array" ref="O110">INDEX($A$4:$A$55,COLUMN(N18),1)</f>
        <v>44212</v>
      </c>
      <c r="P110" s="2" cm="1">
        <f t="array" ref="P110">INDEX($A$4:$A$55,COLUMN(O18),1)</f>
        <v>44219</v>
      </c>
      <c r="Q110" s="2" cm="1">
        <f t="array" ref="Q110">INDEX($A$4:$A$55,COLUMN(P18),1)</f>
        <v>44226</v>
      </c>
      <c r="R110" s="2" cm="1">
        <f t="array" ref="R110">INDEX($A$4:$A$55,COLUMN(Q18),1)</f>
        <v>44233</v>
      </c>
      <c r="S110" s="2" cm="1">
        <f t="array" ref="S110">INDEX($A$4:$A$55,COLUMN(R18),1)</f>
        <v>44240</v>
      </c>
      <c r="T110" s="2" cm="1">
        <f t="array" ref="T110">INDEX($A$4:$A$55,COLUMN(S18),1)</f>
        <v>44247</v>
      </c>
      <c r="U110" s="2" cm="1">
        <f t="array" ref="U110">INDEX($A$4:$A$55,COLUMN(T18),1)</f>
        <v>44254</v>
      </c>
      <c r="V110" s="2" cm="1">
        <f t="array" ref="V110">INDEX($A$4:$A$55,COLUMN(U18),1)</f>
        <v>44261</v>
      </c>
      <c r="W110" s="2" cm="1">
        <f t="array" ref="W110">INDEX($A$4:$A$55,COLUMN(V18),1)</f>
        <v>44268</v>
      </c>
      <c r="X110" s="2" cm="1">
        <f t="array" ref="X110">INDEX($A$4:$A$55,COLUMN(W18),1)</f>
        <v>44275</v>
      </c>
      <c r="Y110" s="2" cm="1">
        <f t="array" ref="Y110">INDEX($A$4:$A$55,COLUMN(X18),1)</f>
        <v>44282</v>
      </c>
      <c r="Z110" s="2" cm="1">
        <f t="array" ref="Z110">INDEX($A$4:$A$55,COLUMN(Y18),1)</f>
        <v>44289</v>
      </c>
      <c r="AA110" s="2" cm="1">
        <f t="array" ref="AA110">INDEX($A$4:$A$55,COLUMN(Z18),1)</f>
        <v>44296</v>
      </c>
      <c r="AB110" s="2" cm="1">
        <f t="array" ref="AB110">INDEX($A$4:$A$55,COLUMN(AA18),1)</f>
        <v>44303</v>
      </c>
      <c r="AC110" s="2" cm="1">
        <f t="array" ref="AC110">INDEX($A$4:$A$55,COLUMN(AB18),1)</f>
        <v>44310</v>
      </c>
      <c r="AD110" s="2" cm="1">
        <f t="array" ref="AD110">INDEX($A$4:$A$55,COLUMN(AC18),1)</f>
        <v>44317</v>
      </c>
      <c r="AE110" s="2" cm="1">
        <f t="array" ref="AE110">INDEX($A$4:$A$55,COLUMN(AD18),1)</f>
        <v>44324</v>
      </c>
      <c r="AF110" s="2" cm="1">
        <f t="array" ref="AF110">INDEX($A$4:$A$55,COLUMN(AE18),1)</f>
        <v>44331</v>
      </c>
      <c r="AG110" s="2" cm="1">
        <f t="array" ref="AG110">INDEX($A$4:$A$55,COLUMN(AF18),1)</f>
        <v>44338</v>
      </c>
      <c r="AH110" s="2" cm="1">
        <f t="array" ref="AH110">INDEX($A$4:$A$55,COLUMN(AG18),1)</f>
        <v>44345</v>
      </c>
      <c r="AI110" s="2" cm="1">
        <f t="array" ref="AI110">INDEX($A$4:$A$55,COLUMN(AH18),1)</f>
        <v>44352</v>
      </c>
      <c r="AJ110" s="2" cm="1">
        <f t="array" ref="AJ110">INDEX($A$4:$A$55,COLUMN(AI18),1)</f>
        <v>44359</v>
      </c>
      <c r="AK110" s="2" cm="1">
        <f t="array" ref="AK110">INDEX($A$4:$A$55,COLUMN(AJ18),1)</f>
        <v>44366</v>
      </c>
      <c r="AL110" s="2" cm="1">
        <f t="array" ref="AL110">INDEX($A$4:$A$55,COLUMN(AK18),1)</f>
        <v>44373</v>
      </c>
      <c r="AM110" s="2" cm="1">
        <f t="array" ref="AM110">INDEX($A$4:$A$55,COLUMN(AL18),1)</f>
        <v>44380</v>
      </c>
      <c r="AN110" s="2" cm="1">
        <f t="array" ref="AN110">INDEX($A$4:$A$55,COLUMN(AM18),1)</f>
        <v>44387</v>
      </c>
      <c r="AO110" s="2" cm="1">
        <f t="array" ref="AO110">INDEX($A$4:$A$55,COLUMN(AN18),1)</f>
        <v>44394</v>
      </c>
      <c r="AP110" s="2" cm="1">
        <f t="array" ref="AP110">INDEX($A$4:$A$55,COLUMN(AO18),1)</f>
        <v>44401</v>
      </c>
      <c r="AQ110" s="2" cm="1">
        <f t="array" ref="AQ110">INDEX($A$4:$A$55,COLUMN(AP18),1)</f>
        <v>44408</v>
      </c>
      <c r="AR110" s="2" cm="1">
        <f t="array" ref="AR110">INDEX($A$4:$A$55,COLUMN(AQ18),1)</f>
        <v>44415</v>
      </c>
      <c r="AS110" s="2" cm="1">
        <f t="array" ref="AS110">INDEX($A$4:$A$55,COLUMN(AR18),1)</f>
        <v>44422</v>
      </c>
      <c r="AT110" s="2" cm="1">
        <f t="array" ref="AT110">INDEX($A$4:$A$55,COLUMN(AS18),1)</f>
        <v>44429</v>
      </c>
      <c r="AU110" s="2" cm="1">
        <f t="array" ref="AU110">INDEX($A$4:$A$55,COLUMN(AT18),1)</f>
        <v>44436</v>
      </c>
      <c r="AV110" s="2" cm="1">
        <f t="array" ref="AV110">INDEX($A$4:$A$55,COLUMN(AU18),1)</f>
        <v>44443</v>
      </c>
      <c r="AW110" s="2" cm="1">
        <f t="array" ref="AW110">INDEX($A$4:$A$55,COLUMN(AV18),1)</f>
        <v>44450</v>
      </c>
      <c r="AX110" s="2" cm="1">
        <f t="array" ref="AX110">INDEX($A$4:$A$55,COLUMN(AW18),1)</f>
        <v>44457</v>
      </c>
      <c r="AY110" s="2" cm="1">
        <f t="array" ref="AY110">INDEX($A$4:$A$55,COLUMN(AX18),1)</f>
        <v>44464</v>
      </c>
      <c r="AZ110" s="2" cm="1">
        <f t="array" ref="AZ110">INDEX($A$4:$A$55,COLUMN(AY18),1)</f>
        <v>44471</v>
      </c>
      <c r="BA110" s="2" cm="1">
        <f t="array" ref="BA110">INDEX($A$4:$A$55,COLUMN(AZ18),1)</f>
        <v>44478</v>
      </c>
    </row>
    <row r="111" spans="1:53" x14ac:dyDescent="0.35">
      <c r="A111" s="2" t="str" cm="1">
        <f t="array" ref="A111">INDEX('Data Validation (Hide)'!$B$2:$B$16,ROW(A1),1)</f>
        <v>Caseload 1</v>
      </c>
      <c r="B111">
        <f t="shared" ref="B111:AG111" si="37">SUM(B75,B93)</f>
        <v>61</v>
      </c>
      <c r="C111">
        <f t="shared" si="37"/>
        <v>61</v>
      </c>
      <c r="D111">
        <f t="shared" si="37"/>
        <v>61</v>
      </c>
      <c r="E111">
        <f t="shared" si="37"/>
        <v>61</v>
      </c>
      <c r="F111">
        <f t="shared" si="37"/>
        <v>61</v>
      </c>
      <c r="G111">
        <f t="shared" si="37"/>
        <v>61</v>
      </c>
      <c r="H111">
        <f t="shared" si="37"/>
        <v>61</v>
      </c>
      <c r="I111">
        <f t="shared" si="37"/>
        <v>61</v>
      </c>
      <c r="J111">
        <f t="shared" si="37"/>
        <v>61</v>
      </c>
      <c r="K111">
        <f t="shared" si="37"/>
        <v>61</v>
      </c>
      <c r="L111">
        <f t="shared" si="37"/>
        <v>61</v>
      </c>
      <c r="M111">
        <f t="shared" si="37"/>
        <v>61</v>
      </c>
      <c r="N111">
        <f t="shared" si="37"/>
        <v>61</v>
      </c>
      <c r="O111">
        <f t="shared" si="37"/>
        <v>61</v>
      </c>
      <c r="P111">
        <f t="shared" si="37"/>
        <v>61</v>
      </c>
      <c r="Q111">
        <f t="shared" si="37"/>
        <v>61</v>
      </c>
      <c r="R111">
        <f t="shared" si="37"/>
        <v>61</v>
      </c>
      <c r="S111">
        <f t="shared" si="37"/>
        <v>61</v>
      </c>
      <c r="T111">
        <f t="shared" si="37"/>
        <v>61</v>
      </c>
      <c r="U111">
        <f t="shared" si="37"/>
        <v>61</v>
      </c>
      <c r="V111">
        <f t="shared" si="37"/>
        <v>61</v>
      </c>
      <c r="W111">
        <f t="shared" si="37"/>
        <v>61</v>
      </c>
      <c r="X111">
        <f t="shared" si="37"/>
        <v>61</v>
      </c>
      <c r="Y111">
        <f t="shared" si="37"/>
        <v>61</v>
      </c>
      <c r="Z111">
        <f t="shared" si="37"/>
        <v>61</v>
      </c>
      <c r="AA111">
        <f t="shared" si="37"/>
        <v>61</v>
      </c>
      <c r="AB111">
        <f t="shared" si="37"/>
        <v>61</v>
      </c>
      <c r="AC111">
        <f t="shared" si="37"/>
        <v>61</v>
      </c>
      <c r="AD111">
        <f t="shared" si="37"/>
        <v>61</v>
      </c>
      <c r="AE111">
        <f t="shared" si="37"/>
        <v>61</v>
      </c>
      <c r="AF111">
        <f t="shared" si="37"/>
        <v>61</v>
      </c>
      <c r="AG111">
        <f t="shared" si="37"/>
        <v>61</v>
      </c>
      <c r="AH111">
        <f t="shared" ref="AH111:BA111" si="38">SUM(AH75,AH93)</f>
        <v>61</v>
      </c>
      <c r="AI111">
        <f t="shared" si="38"/>
        <v>61</v>
      </c>
      <c r="AJ111">
        <f t="shared" si="38"/>
        <v>61</v>
      </c>
      <c r="AK111">
        <f t="shared" si="38"/>
        <v>61</v>
      </c>
      <c r="AL111">
        <f t="shared" si="38"/>
        <v>61</v>
      </c>
      <c r="AM111">
        <f t="shared" si="38"/>
        <v>61</v>
      </c>
      <c r="AN111">
        <f t="shared" si="38"/>
        <v>61</v>
      </c>
      <c r="AO111">
        <f t="shared" si="38"/>
        <v>61</v>
      </c>
      <c r="AP111">
        <f t="shared" si="38"/>
        <v>61</v>
      </c>
      <c r="AQ111">
        <f t="shared" si="38"/>
        <v>61</v>
      </c>
      <c r="AR111">
        <f t="shared" si="38"/>
        <v>61</v>
      </c>
      <c r="AS111">
        <f t="shared" si="38"/>
        <v>61</v>
      </c>
      <c r="AT111">
        <f t="shared" si="38"/>
        <v>61</v>
      </c>
      <c r="AU111">
        <f t="shared" si="38"/>
        <v>61</v>
      </c>
      <c r="AV111">
        <f t="shared" si="38"/>
        <v>61</v>
      </c>
      <c r="AW111">
        <f t="shared" si="38"/>
        <v>61</v>
      </c>
      <c r="AX111">
        <f t="shared" si="38"/>
        <v>61</v>
      </c>
      <c r="AY111">
        <f t="shared" si="38"/>
        <v>61</v>
      </c>
      <c r="AZ111">
        <f t="shared" si="38"/>
        <v>61</v>
      </c>
      <c r="BA111">
        <f t="shared" si="38"/>
        <v>61</v>
      </c>
    </row>
    <row r="112" spans="1:53" x14ac:dyDescent="0.35">
      <c r="A112" s="2" t="str" cm="1">
        <f t="array" ref="A112">INDEX('Data Validation (Hide)'!$B$2:$B$16,ROW(A2),1)</f>
        <v>Medium</v>
      </c>
      <c r="B112">
        <f t="shared" ref="B112:AG112" si="39">SUM(B76,B94)</f>
        <v>0</v>
      </c>
      <c r="C112">
        <f t="shared" si="39"/>
        <v>0</v>
      </c>
      <c r="D112">
        <f t="shared" si="39"/>
        <v>0</v>
      </c>
      <c r="E112">
        <f t="shared" si="39"/>
        <v>0</v>
      </c>
      <c r="F112">
        <f t="shared" si="39"/>
        <v>0</v>
      </c>
      <c r="G112">
        <f t="shared" si="39"/>
        <v>0</v>
      </c>
      <c r="H112">
        <f t="shared" si="39"/>
        <v>0</v>
      </c>
      <c r="I112">
        <f t="shared" si="39"/>
        <v>0</v>
      </c>
      <c r="J112">
        <f t="shared" si="39"/>
        <v>0</v>
      </c>
      <c r="K112">
        <f t="shared" si="39"/>
        <v>0</v>
      </c>
      <c r="L112">
        <f t="shared" si="39"/>
        <v>0</v>
      </c>
      <c r="M112">
        <f t="shared" si="39"/>
        <v>0</v>
      </c>
      <c r="N112">
        <f t="shared" si="39"/>
        <v>0</v>
      </c>
      <c r="O112">
        <f t="shared" si="39"/>
        <v>0</v>
      </c>
      <c r="P112">
        <f t="shared" si="39"/>
        <v>0</v>
      </c>
      <c r="Q112">
        <f t="shared" si="39"/>
        <v>0</v>
      </c>
      <c r="R112">
        <f t="shared" si="39"/>
        <v>0</v>
      </c>
      <c r="S112">
        <f t="shared" si="39"/>
        <v>0</v>
      </c>
      <c r="T112">
        <f t="shared" si="39"/>
        <v>0</v>
      </c>
      <c r="U112">
        <f t="shared" si="39"/>
        <v>0</v>
      </c>
      <c r="V112">
        <f t="shared" si="39"/>
        <v>0</v>
      </c>
      <c r="W112">
        <f t="shared" si="39"/>
        <v>0</v>
      </c>
      <c r="X112">
        <f t="shared" si="39"/>
        <v>0</v>
      </c>
      <c r="Y112">
        <f t="shared" si="39"/>
        <v>0</v>
      </c>
      <c r="Z112">
        <f t="shared" si="39"/>
        <v>0</v>
      </c>
      <c r="AA112">
        <f t="shared" si="39"/>
        <v>0</v>
      </c>
      <c r="AB112">
        <f t="shared" si="39"/>
        <v>0</v>
      </c>
      <c r="AC112">
        <f t="shared" si="39"/>
        <v>0</v>
      </c>
      <c r="AD112">
        <f t="shared" si="39"/>
        <v>0</v>
      </c>
      <c r="AE112">
        <f t="shared" si="39"/>
        <v>0</v>
      </c>
      <c r="AF112">
        <f t="shared" si="39"/>
        <v>0</v>
      </c>
      <c r="AG112">
        <f t="shared" si="39"/>
        <v>0</v>
      </c>
      <c r="AH112">
        <f t="shared" ref="AH112:BA112" si="40">SUM(AH76,AH94)</f>
        <v>0</v>
      </c>
      <c r="AI112">
        <f t="shared" si="40"/>
        <v>0</v>
      </c>
      <c r="AJ112">
        <f t="shared" si="40"/>
        <v>0</v>
      </c>
      <c r="AK112">
        <f t="shared" si="40"/>
        <v>0</v>
      </c>
      <c r="AL112">
        <f t="shared" si="40"/>
        <v>0</v>
      </c>
      <c r="AM112">
        <f t="shared" si="40"/>
        <v>0</v>
      </c>
      <c r="AN112">
        <f t="shared" si="40"/>
        <v>0</v>
      </c>
      <c r="AO112">
        <f t="shared" si="40"/>
        <v>0</v>
      </c>
      <c r="AP112">
        <f t="shared" si="40"/>
        <v>0</v>
      </c>
      <c r="AQ112">
        <f t="shared" si="40"/>
        <v>0</v>
      </c>
      <c r="AR112">
        <f t="shared" si="40"/>
        <v>0</v>
      </c>
      <c r="AS112">
        <f t="shared" si="40"/>
        <v>0</v>
      </c>
      <c r="AT112">
        <f t="shared" si="40"/>
        <v>0</v>
      </c>
      <c r="AU112">
        <f t="shared" si="40"/>
        <v>0</v>
      </c>
      <c r="AV112">
        <f t="shared" si="40"/>
        <v>0</v>
      </c>
      <c r="AW112">
        <f t="shared" si="40"/>
        <v>0</v>
      </c>
      <c r="AX112">
        <f t="shared" si="40"/>
        <v>0</v>
      </c>
      <c r="AY112">
        <f t="shared" si="40"/>
        <v>0</v>
      </c>
      <c r="AZ112">
        <f t="shared" si="40"/>
        <v>0</v>
      </c>
      <c r="BA112">
        <f t="shared" si="40"/>
        <v>0</v>
      </c>
    </row>
    <row r="113" spans="1:53" x14ac:dyDescent="0.35">
      <c r="A113" s="2" t="str" cm="1">
        <f t="array" ref="A113">INDEX('Data Validation (Hide)'!$B$2:$B$16,ROW(A3),1)</f>
        <v>low</v>
      </c>
      <c r="B113">
        <f t="shared" ref="B113:AG113" si="41">SUM(B77,B95)</f>
        <v>0</v>
      </c>
      <c r="C113">
        <f t="shared" si="41"/>
        <v>0</v>
      </c>
      <c r="D113">
        <f t="shared" si="41"/>
        <v>0</v>
      </c>
      <c r="E113">
        <f t="shared" si="41"/>
        <v>0</v>
      </c>
      <c r="F113">
        <f t="shared" si="41"/>
        <v>0</v>
      </c>
      <c r="G113">
        <f t="shared" si="41"/>
        <v>0</v>
      </c>
      <c r="H113">
        <f t="shared" si="41"/>
        <v>0</v>
      </c>
      <c r="I113">
        <f t="shared" si="41"/>
        <v>0</v>
      </c>
      <c r="J113">
        <f t="shared" si="41"/>
        <v>0</v>
      </c>
      <c r="K113">
        <f t="shared" si="41"/>
        <v>0</v>
      </c>
      <c r="L113">
        <f t="shared" si="41"/>
        <v>0</v>
      </c>
      <c r="M113">
        <f t="shared" si="41"/>
        <v>0</v>
      </c>
      <c r="N113">
        <f t="shared" si="41"/>
        <v>0</v>
      </c>
      <c r="O113">
        <f t="shared" si="41"/>
        <v>0</v>
      </c>
      <c r="P113">
        <f t="shared" si="41"/>
        <v>0</v>
      </c>
      <c r="Q113">
        <f t="shared" si="41"/>
        <v>0</v>
      </c>
      <c r="R113">
        <f t="shared" si="41"/>
        <v>0</v>
      </c>
      <c r="S113">
        <f t="shared" si="41"/>
        <v>0</v>
      </c>
      <c r="T113">
        <f t="shared" si="41"/>
        <v>0</v>
      </c>
      <c r="U113">
        <f t="shared" si="41"/>
        <v>0</v>
      </c>
      <c r="V113">
        <f t="shared" si="41"/>
        <v>0</v>
      </c>
      <c r="W113">
        <f t="shared" si="41"/>
        <v>0</v>
      </c>
      <c r="X113">
        <f t="shared" si="41"/>
        <v>0</v>
      </c>
      <c r="Y113">
        <f t="shared" si="41"/>
        <v>0</v>
      </c>
      <c r="Z113">
        <f t="shared" si="41"/>
        <v>0</v>
      </c>
      <c r="AA113">
        <f t="shared" si="41"/>
        <v>0</v>
      </c>
      <c r="AB113">
        <f t="shared" si="41"/>
        <v>0</v>
      </c>
      <c r="AC113">
        <f t="shared" si="41"/>
        <v>0</v>
      </c>
      <c r="AD113">
        <f t="shared" si="41"/>
        <v>0</v>
      </c>
      <c r="AE113">
        <f t="shared" si="41"/>
        <v>0</v>
      </c>
      <c r="AF113">
        <f t="shared" si="41"/>
        <v>0</v>
      </c>
      <c r="AG113">
        <f t="shared" si="41"/>
        <v>0</v>
      </c>
      <c r="AH113">
        <f t="shared" ref="AH113:BA113" si="42">SUM(AH77,AH95)</f>
        <v>0</v>
      </c>
      <c r="AI113">
        <f t="shared" si="42"/>
        <v>0</v>
      </c>
      <c r="AJ113">
        <f t="shared" si="42"/>
        <v>0</v>
      </c>
      <c r="AK113">
        <f t="shared" si="42"/>
        <v>0</v>
      </c>
      <c r="AL113">
        <f t="shared" si="42"/>
        <v>0</v>
      </c>
      <c r="AM113">
        <f t="shared" si="42"/>
        <v>0</v>
      </c>
      <c r="AN113">
        <f t="shared" si="42"/>
        <v>0</v>
      </c>
      <c r="AO113">
        <f t="shared" si="42"/>
        <v>0</v>
      </c>
      <c r="AP113">
        <f t="shared" si="42"/>
        <v>0</v>
      </c>
      <c r="AQ113">
        <f t="shared" si="42"/>
        <v>0</v>
      </c>
      <c r="AR113">
        <f t="shared" si="42"/>
        <v>0</v>
      </c>
      <c r="AS113">
        <f t="shared" si="42"/>
        <v>0</v>
      </c>
      <c r="AT113">
        <f t="shared" si="42"/>
        <v>0</v>
      </c>
      <c r="AU113">
        <f t="shared" si="42"/>
        <v>0</v>
      </c>
      <c r="AV113">
        <f t="shared" si="42"/>
        <v>0</v>
      </c>
      <c r="AW113">
        <f t="shared" si="42"/>
        <v>0</v>
      </c>
      <c r="AX113">
        <f t="shared" si="42"/>
        <v>0</v>
      </c>
      <c r="AY113">
        <f t="shared" si="42"/>
        <v>0</v>
      </c>
      <c r="AZ113">
        <f t="shared" si="42"/>
        <v>0</v>
      </c>
      <c r="BA113">
        <f t="shared" si="42"/>
        <v>0</v>
      </c>
    </row>
    <row r="114" spans="1:53" x14ac:dyDescent="0.35">
      <c r="A114" s="2" t="str" cm="1">
        <f t="array" ref="A114">INDEX('Data Validation (Hide)'!$B$2:$B$16,ROW(A4),1)</f>
        <v>very low</v>
      </c>
      <c r="B114">
        <f t="shared" ref="B114:AG114" si="43">SUM(B78,B96)</f>
        <v>0</v>
      </c>
      <c r="C114">
        <f t="shared" si="43"/>
        <v>0</v>
      </c>
      <c r="D114">
        <f t="shared" si="43"/>
        <v>0</v>
      </c>
      <c r="E114">
        <f t="shared" si="43"/>
        <v>0</v>
      </c>
      <c r="F114">
        <f t="shared" si="43"/>
        <v>0</v>
      </c>
      <c r="G114">
        <f t="shared" si="43"/>
        <v>0</v>
      </c>
      <c r="H114">
        <f t="shared" si="43"/>
        <v>0</v>
      </c>
      <c r="I114">
        <f t="shared" si="43"/>
        <v>0</v>
      </c>
      <c r="J114">
        <f t="shared" si="43"/>
        <v>0</v>
      </c>
      <c r="K114">
        <f t="shared" si="43"/>
        <v>0</v>
      </c>
      <c r="L114">
        <f t="shared" si="43"/>
        <v>0</v>
      </c>
      <c r="M114">
        <f t="shared" si="43"/>
        <v>0</v>
      </c>
      <c r="N114">
        <f t="shared" si="43"/>
        <v>0</v>
      </c>
      <c r="O114">
        <f t="shared" si="43"/>
        <v>0</v>
      </c>
      <c r="P114">
        <f t="shared" si="43"/>
        <v>0</v>
      </c>
      <c r="Q114">
        <f t="shared" si="43"/>
        <v>0</v>
      </c>
      <c r="R114">
        <f t="shared" si="43"/>
        <v>0</v>
      </c>
      <c r="S114">
        <f t="shared" si="43"/>
        <v>0</v>
      </c>
      <c r="T114">
        <f t="shared" si="43"/>
        <v>0</v>
      </c>
      <c r="U114">
        <f t="shared" si="43"/>
        <v>0</v>
      </c>
      <c r="V114">
        <f t="shared" si="43"/>
        <v>0</v>
      </c>
      <c r="W114">
        <f t="shared" si="43"/>
        <v>0</v>
      </c>
      <c r="X114">
        <f t="shared" si="43"/>
        <v>0</v>
      </c>
      <c r="Y114">
        <f t="shared" si="43"/>
        <v>0</v>
      </c>
      <c r="Z114">
        <f t="shared" si="43"/>
        <v>0</v>
      </c>
      <c r="AA114">
        <f t="shared" si="43"/>
        <v>0</v>
      </c>
      <c r="AB114">
        <f t="shared" si="43"/>
        <v>0</v>
      </c>
      <c r="AC114">
        <f t="shared" si="43"/>
        <v>0</v>
      </c>
      <c r="AD114">
        <f t="shared" si="43"/>
        <v>0</v>
      </c>
      <c r="AE114">
        <f t="shared" si="43"/>
        <v>0</v>
      </c>
      <c r="AF114">
        <f t="shared" si="43"/>
        <v>0</v>
      </c>
      <c r="AG114">
        <f t="shared" si="43"/>
        <v>0</v>
      </c>
      <c r="AH114">
        <f t="shared" ref="AH114:BA114" si="44">SUM(AH78,AH96)</f>
        <v>0</v>
      </c>
      <c r="AI114">
        <f t="shared" si="44"/>
        <v>0</v>
      </c>
      <c r="AJ114">
        <f t="shared" si="44"/>
        <v>0</v>
      </c>
      <c r="AK114">
        <f t="shared" si="44"/>
        <v>0</v>
      </c>
      <c r="AL114">
        <f t="shared" si="44"/>
        <v>0</v>
      </c>
      <c r="AM114">
        <f t="shared" si="44"/>
        <v>0</v>
      </c>
      <c r="AN114">
        <f t="shared" si="44"/>
        <v>0</v>
      </c>
      <c r="AO114">
        <f t="shared" si="44"/>
        <v>0</v>
      </c>
      <c r="AP114">
        <f t="shared" si="44"/>
        <v>0</v>
      </c>
      <c r="AQ114">
        <f t="shared" si="44"/>
        <v>0</v>
      </c>
      <c r="AR114">
        <f t="shared" si="44"/>
        <v>0</v>
      </c>
      <c r="AS114">
        <f t="shared" si="44"/>
        <v>0</v>
      </c>
      <c r="AT114">
        <f t="shared" si="44"/>
        <v>0</v>
      </c>
      <c r="AU114">
        <f t="shared" si="44"/>
        <v>0</v>
      </c>
      <c r="AV114">
        <f t="shared" si="44"/>
        <v>0</v>
      </c>
      <c r="AW114">
        <f t="shared" si="44"/>
        <v>0</v>
      </c>
      <c r="AX114">
        <f t="shared" si="44"/>
        <v>0</v>
      </c>
      <c r="AY114">
        <f t="shared" si="44"/>
        <v>0</v>
      </c>
      <c r="AZ114">
        <f t="shared" si="44"/>
        <v>0</v>
      </c>
      <c r="BA114">
        <f t="shared" si="44"/>
        <v>0</v>
      </c>
    </row>
    <row r="115" spans="1:53" x14ac:dyDescent="0.35">
      <c r="A115" s="2" t="str" cm="1">
        <f t="array" ref="A115">INDEX('Data Validation (Hide)'!$B$2:$B$16,ROW(A5),1)</f>
        <v>Caseload 5</v>
      </c>
      <c r="B115">
        <f t="shared" ref="B115:AG115" si="45">SUM(B79,B97)</f>
        <v>0</v>
      </c>
      <c r="C115">
        <f t="shared" si="45"/>
        <v>0</v>
      </c>
      <c r="D115">
        <f t="shared" si="45"/>
        <v>0</v>
      </c>
      <c r="E115">
        <f t="shared" si="45"/>
        <v>0</v>
      </c>
      <c r="F115">
        <f t="shared" si="45"/>
        <v>0</v>
      </c>
      <c r="G115">
        <f t="shared" si="45"/>
        <v>0</v>
      </c>
      <c r="H115">
        <f t="shared" si="45"/>
        <v>0</v>
      </c>
      <c r="I115">
        <f t="shared" si="45"/>
        <v>0</v>
      </c>
      <c r="J115">
        <f t="shared" si="45"/>
        <v>0</v>
      </c>
      <c r="K115">
        <f t="shared" si="45"/>
        <v>0</v>
      </c>
      <c r="L115">
        <f t="shared" si="45"/>
        <v>0</v>
      </c>
      <c r="M115">
        <f t="shared" si="45"/>
        <v>0</v>
      </c>
      <c r="N115">
        <f t="shared" si="45"/>
        <v>0</v>
      </c>
      <c r="O115">
        <f t="shared" si="45"/>
        <v>0</v>
      </c>
      <c r="P115">
        <f t="shared" si="45"/>
        <v>0</v>
      </c>
      <c r="Q115">
        <f t="shared" si="45"/>
        <v>0</v>
      </c>
      <c r="R115">
        <f t="shared" si="45"/>
        <v>0</v>
      </c>
      <c r="S115">
        <f t="shared" si="45"/>
        <v>0</v>
      </c>
      <c r="T115">
        <f t="shared" si="45"/>
        <v>0</v>
      </c>
      <c r="U115">
        <f t="shared" si="45"/>
        <v>0</v>
      </c>
      <c r="V115">
        <f t="shared" si="45"/>
        <v>0</v>
      </c>
      <c r="W115">
        <f t="shared" si="45"/>
        <v>0</v>
      </c>
      <c r="X115">
        <f t="shared" si="45"/>
        <v>0</v>
      </c>
      <c r="Y115">
        <f t="shared" si="45"/>
        <v>0</v>
      </c>
      <c r="Z115">
        <f t="shared" si="45"/>
        <v>0</v>
      </c>
      <c r="AA115">
        <f t="shared" si="45"/>
        <v>0</v>
      </c>
      <c r="AB115">
        <f t="shared" si="45"/>
        <v>0</v>
      </c>
      <c r="AC115">
        <f t="shared" si="45"/>
        <v>0</v>
      </c>
      <c r="AD115">
        <f t="shared" si="45"/>
        <v>0</v>
      </c>
      <c r="AE115">
        <f t="shared" si="45"/>
        <v>0</v>
      </c>
      <c r="AF115">
        <f t="shared" si="45"/>
        <v>0</v>
      </c>
      <c r="AG115">
        <f t="shared" si="45"/>
        <v>0</v>
      </c>
      <c r="AH115">
        <f t="shared" ref="AH115:BA115" si="46">SUM(AH79,AH97)</f>
        <v>0</v>
      </c>
      <c r="AI115">
        <f t="shared" si="46"/>
        <v>0</v>
      </c>
      <c r="AJ115">
        <f t="shared" si="46"/>
        <v>0</v>
      </c>
      <c r="AK115">
        <f t="shared" si="46"/>
        <v>0</v>
      </c>
      <c r="AL115">
        <f t="shared" si="46"/>
        <v>0</v>
      </c>
      <c r="AM115">
        <f t="shared" si="46"/>
        <v>0</v>
      </c>
      <c r="AN115">
        <f t="shared" si="46"/>
        <v>0</v>
      </c>
      <c r="AO115">
        <f t="shared" si="46"/>
        <v>0</v>
      </c>
      <c r="AP115">
        <f t="shared" si="46"/>
        <v>0</v>
      </c>
      <c r="AQ115">
        <f t="shared" si="46"/>
        <v>0</v>
      </c>
      <c r="AR115">
        <f t="shared" si="46"/>
        <v>0</v>
      </c>
      <c r="AS115">
        <f t="shared" si="46"/>
        <v>0</v>
      </c>
      <c r="AT115">
        <f t="shared" si="46"/>
        <v>0</v>
      </c>
      <c r="AU115">
        <f t="shared" si="46"/>
        <v>0</v>
      </c>
      <c r="AV115">
        <f t="shared" si="46"/>
        <v>0</v>
      </c>
      <c r="AW115">
        <f t="shared" si="46"/>
        <v>0</v>
      </c>
      <c r="AX115">
        <f t="shared" si="46"/>
        <v>0</v>
      </c>
      <c r="AY115">
        <f t="shared" si="46"/>
        <v>0</v>
      </c>
      <c r="AZ115">
        <f t="shared" si="46"/>
        <v>0</v>
      </c>
      <c r="BA115">
        <f t="shared" si="46"/>
        <v>0</v>
      </c>
    </row>
    <row r="116" spans="1:53" x14ac:dyDescent="0.35">
      <c r="A116" s="2" t="str" cm="1">
        <f t="array" ref="A116">INDEX('Data Validation (Hide)'!$B$2:$B$16,ROW(A6),1)</f>
        <v>Caseload 6</v>
      </c>
      <c r="B116">
        <f t="shared" ref="B116:AG116" si="47">SUM(B80,B98)</f>
        <v>0</v>
      </c>
      <c r="C116">
        <f t="shared" si="47"/>
        <v>0</v>
      </c>
      <c r="D116">
        <f t="shared" si="47"/>
        <v>0</v>
      </c>
      <c r="E116">
        <f t="shared" si="47"/>
        <v>0</v>
      </c>
      <c r="F116">
        <f t="shared" si="47"/>
        <v>0</v>
      </c>
      <c r="G116">
        <f t="shared" si="47"/>
        <v>0</v>
      </c>
      <c r="H116">
        <f t="shared" si="47"/>
        <v>0</v>
      </c>
      <c r="I116">
        <f t="shared" si="47"/>
        <v>0</v>
      </c>
      <c r="J116">
        <f t="shared" si="47"/>
        <v>0</v>
      </c>
      <c r="K116">
        <f t="shared" si="47"/>
        <v>0</v>
      </c>
      <c r="L116">
        <f t="shared" si="47"/>
        <v>0</v>
      </c>
      <c r="M116">
        <f t="shared" si="47"/>
        <v>0</v>
      </c>
      <c r="N116">
        <f t="shared" si="47"/>
        <v>0</v>
      </c>
      <c r="O116">
        <f t="shared" si="47"/>
        <v>0</v>
      </c>
      <c r="P116">
        <f t="shared" si="47"/>
        <v>0</v>
      </c>
      <c r="Q116">
        <f t="shared" si="47"/>
        <v>0</v>
      </c>
      <c r="R116">
        <f t="shared" si="47"/>
        <v>0</v>
      </c>
      <c r="S116">
        <f t="shared" si="47"/>
        <v>0</v>
      </c>
      <c r="T116">
        <f t="shared" si="47"/>
        <v>0</v>
      </c>
      <c r="U116">
        <f t="shared" si="47"/>
        <v>0</v>
      </c>
      <c r="V116">
        <f t="shared" si="47"/>
        <v>0</v>
      </c>
      <c r="W116">
        <f t="shared" si="47"/>
        <v>0</v>
      </c>
      <c r="X116">
        <f t="shared" si="47"/>
        <v>0</v>
      </c>
      <c r="Y116">
        <f t="shared" si="47"/>
        <v>0</v>
      </c>
      <c r="Z116">
        <f t="shared" si="47"/>
        <v>0</v>
      </c>
      <c r="AA116">
        <f t="shared" si="47"/>
        <v>0</v>
      </c>
      <c r="AB116">
        <f t="shared" si="47"/>
        <v>0</v>
      </c>
      <c r="AC116">
        <f t="shared" si="47"/>
        <v>0</v>
      </c>
      <c r="AD116">
        <f t="shared" si="47"/>
        <v>0</v>
      </c>
      <c r="AE116">
        <f t="shared" si="47"/>
        <v>0</v>
      </c>
      <c r="AF116">
        <f t="shared" si="47"/>
        <v>0</v>
      </c>
      <c r="AG116">
        <f t="shared" si="47"/>
        <v>0</v>
      </c>
      <c r="AH116">
        <f t="shared" ref="AH116:BA116" si="48">SUM(AH80,AH98)</f>
        <v>0</v>
      </c>
      <c r="AI116">
        <f t="shared" si="48"/>
        <v>0</v>
      </c>
      <c r="AJ116">
        <f t="shared" si="48"/>
        <v>0</v>
      </c>
      <c r="AK116">
        <f t="shared" si="48"/>
        <v>0</v>
      </c>
      <c r="AL116">
        <f t="shared" si="48"/>
        <v>0</v>
      </c>
      <c r="AM116">
        <f t="shared" si="48"/>
        <v>0</v>
      </c>
      <c r="AN116">
        <f t="shared" si="48"/>
        <v>0</v>
      </c>
      <c r="AO116">
        <f t="shared" si="48"/>
        <v>0</v>
      </c>
      <c r="AP116">
        <f t="shared" si="48"/>
        <v>0</v>
      </c>
      <c r="AQ116">
        <f t="shared" si="48"/>
        <v>0</v>
      </c>
      <c r="AR116">
        <f t="shared" si="48"/>
        <v>0</v>
      </c>
      <c r="AS116">
        <f t="shared" si="48"/>
        <v>0</v>
      </c>
      <c r="AT116">
        <f t="shared" si="48"/>
        <v>0</v>
      </c>
      <c r="AU116">
        <f t="shared" si="48"/>
        <v>0</v>
      </c>
      <c r="AV116">
        <f t="shared" si="48"/>
        <v>0</v>
      </c>
      <c r="AW116">
        <f t="shared" si="48"/>
        <v>0</v>
      </c>
      <c r="AX116">
        <f t="shared" si="48"/>
        <v>0</v>
      </c>
      <c r="AY116">
        <f t="shared" si="48"/>
        <v>0</v>
      </c>
      <c r="AZ116">
        <f t="shared" si="48"/>
        <v>0</v>
      </c>
      <c r="BA116">
        <f t="shared" si="48"/>
        <v>0</v>
      </c>
    </row>
    <row r="117" spans="1:53" x14ac:dyDescent="0.35">
      <c r="A117" s="2" t="str" cm="1">
        <f t="array" ref="A117">INDEX('Data Validation (Hide)'!$B$2:$B$16,ROW(A7),1)</f>
        <v>Caseload 7</v>
      </c>
      <c r="B117">
        <f t="shared" ref="B117:AG117" si="49">SUM(B81,B99)</f>
        <v>0</v>
      </c>
      <c r="C117">
        <f t="shared" si="49"/>
        <v>0</v>
      </c>
      <c r="D117">
        <f t="shared" si="49"/>
        <v>0</v>
      </c>
      <c r="E117">
        <f t="shared" si="49"/>
        <v>0</v>
      </c>
      <c r="F117">
        <f t="shared" si="49"/>
        <v>0</v>
      </c>
      <c r="G117">
        <f t="shared" si="49"/>
        <v>0</v>
      </c>
      <c r="H117">
        <f t="shared" si="49"/>
        <v>0</v>
      </c>
      <c r="I117">
        <f t="shared" si="49"/>
        <v>0</v>
      </c>
      <c r="J117">
        <f t="shared" si="49"/>
        <v>0</v>
      </c>
      <c r="K117">
        <f t="shared" si="49"/>
        <v>0</v>
      </c>
      <c r="L117">
        <f t="shared" si="49"/>
        <v>0</v>
      </c>
      <c r="M117">
        <f t="shared" si="49"/>
        <v>0</v>
      </c>
      <c r="N117">
        <f t="shared" si="49"/>
        <v>0</v>
      </c>
      <c r="O117">
        <f t="shared" si="49"/>
        <v>0</v>
      </c>
      <c r="P117">
        <f t="shared" si="49"/>
        <v>0</v>
      </c>
      <c r="Q117">
        <f t="shared" si="49"/>
        <v>0</v>
      </c>
      <c r="R117">
        <f t="shared" si="49"/>
        <v>0</v>
      </c>
      <c r="S117">
        <f t="shared" si="49"/>
        <v>0</v>
      </c>
      <c r="T117">
        <f t="shared" si="49"/>
        <v>0</v>
      </c>
      <c r="U117">
        <f t="shared" si="49"/>
        <v>0</v>
      </c>
      <c r="V117">
        <f t="shared" si="49"/>
        <v>0</v>
      </c>
      <c r="W117">
        <f t="shared" si="49"/>
        <v>0</v>
      </c>
      <c r="X117">
        <f t="shared" si="49"/>
        <v>0</v>
      </c>
      <c r="Y117">
        <f t="shared" si="49"/>
        <v>0</v>
      </c>
      <c r="Z117">
        <f t="shared" si="49"/>
        <v>0</v>
      </c>
      <c r="AA117">
        <f t="shared" si="49"/>
        <v>0</v>
      </c>
      <c r="AB117">
        <f t="shared" si="49"/>
        <v>0</v>
      </c>
      <c r="AC117">
        <f t="shared" si="49"/>
        <v>0</v>
      </c>
      <c r="AD117">
        <f t="shared" si="49"/>
        <v>0</v>
      </c>
      <c r="AE117">
        <f t="shared" si="49"/>
        <v>0</v>
      </c>
      <c r="AF117">
        <f t="shared" si="49"/>
        <v>0</v>
      </c>
      <c r="AG117">
        <f t="shared" si="49"/>
        <v>0</v>
      </c>
      <c r="AH117">
        <f t="shared" ref="AH117:BA117" si="50">SUM(AH81,AH99)</f>
        <v>0</v>
      </c>
      <c r="AI117">
        <f t="shared" si="50"/>
        <v>0</v>
      </c>
      <c r="AJ117">
        <f t="shared" si="50"/>
        <v>0</v>
      </c>
      <c r="AK117">
        <f t="shared" si="50"/>
        <v>0</v>
      </c>
      <c r="AL117">
        <f t="shared" si="50"/>
        <v>0</v>
      </c>
      <c r="AM117">
        <f t="shared" si="50"/>
        <v>0</v>
      </c>
      <c r="AN117">
        <f t="shared" si="50"/>
        <v>0</v>
      </c>
      <c r="AO117">
        <f t="shared" si="50"/>
        <v>0</v>
      </c>
      <c r="AP117">
        <f t="shared" si="50"/>
        <v>0</v>
      </c>
      <c r="AQ117">
        <f t="shared" si="50"/>
        <v>0</v>
      </c>
      <c r="AR117">
        <f t="shared" si="50"/>
        <v>0</v>
      </c>
      <c r="AS117">
        <f t="shared" si="50"/>
        <v>0</v>
      </c>
      <c r="AT117">
        <f t="shared" si="50"/>
        <v>0</v>
      </c>
      <c r="AU117">
        <f t="shared" si="50"/>
        <v>0</v>
      </c>
      <c r="AV117">
        <f t="shared" si="50"/>
        <v>0</v>
      </c>
      <c r="AW117">
        <f t="shared" si="50"/>
        <v>0</v>
      </c>
      <c r="AX117">
        <f t="shared" si="50"/>
        <v>0</v>
      </c>
      <c r="AY117">
        <f t="shared" si="50"/>
        <v>0</v>
      </c>
      <c r="AZ117">
        <f t="shared" si="50"/>
        <v>0</v>
      </c>
      <c r="BA117">
        <f t="shared" si="50"/>
        <v>0</v>
      </c>
    </row>
    <row r="118" spans="1:53" x14ac:dyDescent="0.35">
      <c r="A118" s="2" t="str" cm="1">
        <f t="array" ref="A118">INDEX('Data Validation (Hide)'!$B$2:$B$16,ROW(A8),1)</f>
        <v>Caseload 8</v>
      </c>
      <c r="B118">
        <f t="shared" ref="B118:AG118" si="51">SUM(B82,B100)</f>
        <v>0</v>
      </c>
      <c r="C118">
        <f t="shared" si="51"/>
        <v>0</v>
      </c>
      <c r="D118">
        <f t="shared" si="51"/>
        <v>0</v>
      </c>
      <c r="E118">
        <f t="shared" si="51"/>
        <v>0</v>
      </c>
      <c r="F118">
        <f t="shared" si="51"/>
        <v>0</v>
      </c>
      <c r="G118">
        <f t="shared" si="51"/>
        <v>0</v>
      </c>
      <c r="H118">
        <f t="shared" si="51"/>
        <v>0</v>
      </c>
      <c r="I118">
        <f t="shared" si="51"/>
        <v>0</v>
      </c>
      <c r="J118">
        <f t="shared" si="51"/>
        <v>0</v>
      </c>
      <c r="K118">
        <f t="shared" si="51"/>
        <v>0</v>
      </c>
      <c r="L118">
        <f t="shared" si="51"/>
        <v>0</v>
      </c>
      <c r="M118">
        <f t="shared" si="51"/>
        <v>0</v>
      </c>
      <c r="N118">
        <f t="shared" si="51"/>
        <v>0</v>
      </c>
      <c r="O118">
        <f t="shared" si="51"/>
        <v>0</v>
      </c>
      <c r="P118">
        <f t="shared" si="51"/>
        <v>0</v>
      </c>
      <c r="Q118">
        <f t="shared" si="51"/>
        <v>0</v>
      </c>
      <c r="R118">
        <f t="shared" si="51"/>
        <v>0</v>
      </c>
      <c r="S118">
        <f t="shared" si="51"/>
        <v>0</v>
      </c>
      <c r="T118">
        <f t="shared" si="51"/>
        <v>0</v>
      </c>
      <c r="U118">
        <f t="shared" si="51"/>
        <v>0</v>
      </c>
      <c r="V118">
        <f t="shared" si="51"/>
        <v>0</v>
      </c>
      <c r="W118">
        <f t="shared" si="51"/>
        <v>0</v>
      </c>
      <c r="X118">
        <f t="shared" si="51"/>
        <v>0</v>
      </c>
      <c r="Y118">
        <f t="shared" si="51"/>
        <v>0</v>
      </c>
      <c r="Z118">
        <f t="shared" si="51"/>
        <v>0</v>
      </c>
      <c r="AA118">
        <f t="shared" si="51"/>
        <v>0</v>
      </c>
      <c r="AB118">
        <f t="shared" si="51"/>
        <v>0</v>
      </c>
      <c r="AC118">
        <f t="shared" si="51"/>
        <v>0</v>
      </c>
      <c r="AD118">
        <f t="shared" si="51"/>
        <v>0</v>
      </c>
      <c r="AE118">
        <f t="shared" si="51"/>
        <v>0</v>
      </c>
      <c r="AF118">
        <f t="shared" si="51"/>
        <v>0</v>
      </c>
      <c r="AG118">
        <f t="shared" si="51"/>
        <v>0</v>
      </c>
      <c r="AH118">
        <f t="shared" ref="AH118:BA118" si="52">SUM(AH82,AH100)</f>
        <v>0</v>
      </c>
      <c r="AI118">
        <f t="shared" si="52"/>
        <v>0</v>
      </c>
      <c r="AJ118">
        <f t="shared" si="52"/>
        <v>0</v>
      </c>
      <c r="AK118">
        <f t="shared" si="52"/>
        <v>0</v>
      </c>
      <c r="AL118">
        <f t="shared" si="52"/>
        <v>0</v>
      </c>
      <c r="AM118">
        <f t="shared" si="52"/>
        <v>0</v>
      </c>
      <c r="AN118">
        <f t="shared" si="52"/>
        <v>0</v>
      </c>
      <c r="AO118">
        <f t="shared" si="52"/>
        <v>0</v>
      </c>
      <c r="AP118">
        <f t="shared" si="52"/>
        <v>0</v>
      </c>
      <c r="AQ118">
        <f t="shared" si="52"/>
        <v>0</v>
      </c>
      <c r="AR118">
        <f t="shared" si="52"/>
        <v>0</v>
      </c>
      <c r="AS118">
        <f t="shared" si="52"/>
        <v>0</v>
      </c>
      <c r="AT118">
        <f t="shared" si="52"/>
        <v>0</v>
      </c>
      <c r="AU118">
        <f t="shared" si="52"/>
        <v>0</v>
      </c>
      <c r="AV118">
        <f t="shared" si="52"/>
        <v>0</v>
      </c>
      <c r="AW118">
        <f t="shared" si="52"/>
        <v>0</v>
      </c>
      <c r="AX118">
        <f t="shared" si="52"/>
        <v>0</v>
      </c>
      <c r="AY118">
        <f t="shared" si="52"/>
        <v>0</v>
      </c>
      <c r="AZ118">
        <f t="shared" si="52"/>
        <v>0</v>
      </c>
      <c r="BA118">
        <f t="shared" si="52"/>
        <v>0</v>
      </c>
    </row>
    <row r="119" spans="1:53" x14ac:dyDescent="0.35">
      <c r="A119" s="2" t="str" cm="1">
        <f t="array" ref="A119">INDEX('Data Validation (Hide)'!$B$2:$B$16,ROW(A9),1)</f>
        <v>Caseload 9</v>
      </c>
      <c r="B119">
        <f t="shared" ref="B119:AG119" si="53">SUM(B83,B101)</f>
        <v>0</v>
      </c>
      <c r="C119">
        <f t="shared" si="53"/>
        <v>0</v>
      </c>
      <c r="D119">
        <f t="shared" si="53"/>
        <v>0</v>
      </c>
      <c r="E119">
        <f t="shared" si="53"/>
        <v>0</v>
      </c>
      <c r="F119">
        <f t="shared" si="53"/>
        <v>0</v>
      </c>
      <c r="G119">
        <f t="shared" si="53"/>
        <v>0</v>
      </c>
      <c r="H119">
        <f t="shared" si="53"/>
        <v>0</v>
      </c>
      <c r="I119">
        <f t="shared" si="53"/>
        <v>0</v>
      </c>
      <c r="J119">
        <f t="shared" si="53"/>
        <v>0</v>
      </c>
      <c r="K119">
        <f t="shared" si="53"/>
        <v>0</v>
      </c>
      <c r="L119">
        <f t="shared" si="53"/>
        <v>0</v>
      </c>
      <c r="M119">
        <f t="shared" si="53"/>
        <v>0</v>
      </c>
      <c r="N119">
        <f t="shared" si="53"/>
        <v>0</v>
      </c>
      <c r="O119">
        <f t="shared" si="53"/>
        <v>0</v>
      </c>
      <c r="P119">
        <f t="shared" si="53"/>
        <v>0</v>
      </c>
      <c r="Q119">
        <f t="shared" si="53"/>
        <v>0</v>
      </c>
      <c r="R119">
        <f t="shared" si="53"/>
        <v>0</v>
      </c>
      <c r="S119">
        <f t="shared" si="53"/>
        <v>0</v>
      </c>
      <c r="T119">
        <f t="shared" si="53"/>
        <v>0</v>
      </c>
      <c r="U119">
        <f t="shared" si="53"/>
        <v>0</v>
      </c>
      <c r="V119">
        <f t="shared" si="53"/>
        <v>0</v>
      </c>
      <c r="W119">
        <f t="shared" si="53"/>
        <v>0</v>
      </c>
      <c r="X119">
        <f t="shared" si="53"/>
        <v>0</v>
      </c>
      <c r="Y119">
        <f t="shared" si="53"/>
        <v>0</v>
      </c>
      <c r="Z119">
        <f t="shared" si="53"/>
        <v>0</v>
      </c>
      <c r="AA119">
        <f t="shared" si="53"/>
        <v>0</v>
      </c>
      <c r="AB119">
        <f t="shared" si="53"/>
        <v>0</v>
      </c>
      <c r="AC119">
        <f t="shared" si="53"/>
        <v>0</v>
      </c>
      <c r="AD119">
        <f t="shared" si="53"/>
        <v>0</v>
      </c>
      <c r="AE119">
        <f t="shared" si="53"/>
        <v>0</v>
      </c>
      <c r="AF119">
        <f t="shared" si="53"/>
        <v>0</v>
      </c>
      <c r="AG119">
        <f t="shared" si="53"/>
        <v>0</v>
      </c>
      <c r="AH119">
        <f t="shared" ref="AH119:BA119" si="54">SUM(AH83,AH101)</f>
        <v>0</v>
      </c>
      <c r="AI119">
        <f t="shared" si="54"/>
        <v>0</v>
      </c>
      <c r="AJ119">
        <f t="shared" si="54"/>
        <v>0</v>
      </c>
      <c r="AK119">
        <f t="shared" si="54"/>
        <v>0</v>
      </c>
      <c r="AL119">
        <f t="shared" si="54"/>
        <v>0</v>
      </c>
      <c r="AM119">
        <f t="shared" si="54"/>
        <v>0</v>
      </c>
      <c r="AN119">
        <f t="shared" si="54"/>
        <v>0</v>
      </c>
      <c r="AO119">
        <f t="shared" si="54"/>
        <v>0</v>
      </c>
      <c r="AP119">
        <f t="shared" si="54"/>
        <v>0</v>
      </c>
      <c r="AQ119">
        <f t="shared" si="54"/>
        <v>0</v>
      </c>
      <c r="AR119">
        <f t="shared" si="54"/>
        <v>0</v>
      </c>
      <c r="AS119">
        <f t="shared" si="54"/>
        <v>0</v>
      </c>
      <c r="AT119">
        <f t="shared" si="54"/>
        <v>0</v>
      </c>
      <c r="AU119">
        <f t="shared" si="54"/>
        <v>0</v>
      </c>
      <c r="AV119">
        <f t="shared" si="54"/>
        <v>0</v>
      </c>
      <c r="AW119">
        <f t="shared" si="54"/>
        <v>0</v>
      </c>
      <c r="AX119">
        <f t="shared" si="54"/>
        <v>0</v>
      </c>
      <c r="AY119">
        <f t="shared" si="54"/>
        <v>0</v>
      </c>
      <c r="AZ119">
        <f t="shared" si="54"/>
        <v>0</v>
      </c>
      <c r="BA119">
        <f t="shared" si="54"/>
        <v>0</v>
      </c>
    </row>
    <row r="120" spans="1:53" x14ac:dyDescent="0.35">
      <c r="A120" s="2" t="str" cm="1">
        <f t="array" ref="A120">INDEX('Data Validation (Hide)'!$B$2:$B$16,ROW(A10),1)</f>
        <v>Caseload 10</v>
      </c>
      <c r="B120">
        <f t="shared" ref="B120:AG120" si="55">SUM(B84,B102)</f>
        <v>0</v>
      </c>
      <c r="C120">
        <f t="shared" si="55"/>
        <v>0</v>
      </c>
      <c r="D120">
        <f t="shared" si="55"/>
        <v>0</v>
      </c>
      <c r="E120">
        <f t="shared" si="55"/>
        <v>0</v>
      </c>
      <c r="F120">
        <f t="shared" si="55"/>
        <v>0</v>
      </c>
      <c r="G120">
        <f t="shared" si="55"/>
        <v>0</v>
      </c>
      <c r="H120">
        <f t="shared" si="55"/>
        <v>0</v>
      </c>
      <c r="I120">
        <f t="shared" si="55"/>
        <v>0</v>
      </c>
      <c r="J120">
        <f t="shared" si="55"/>
        <v>0</v>
      </c>
      <c r="K120">
        <f t="shared" si="55"/>
        <v>0</v>
      </c>
      <c r="L120">
        <f t="shared" si="55"/>
        <v>0</v>
      </c>
      <c r="M120">
        <f t="shared" si="55"/>
        <v>0</v>
      </c>
      <c r="N120">
        <f t="shared" si="55"/>
        <v>0</v>
      </c>
      <c r="O120">
        <f t="shared" si="55"/>
        <v>0</v>
      </c>
      <c r="P120">
        <f t="shared" si="55"/>
        <v>0</v>
      </c>
      <c r="Q120">
        <f t="shared" si="55"/>
        <v>0</v>
      </c>
      <c r="R120">
        <f t="shared" si="55"/>
        <v>0</v>
      </c>
      <c r="S120">
        <f t="shared" si="55"/>
        <v>0</v>
      </c>
      <c r="T120">
        <f t="shared" si="55"/>
        <v>0</v>
      </c>
      <c r="U120">
        <f t="shared" si="55"/>
        <v>0</v>
      </c>
      <c r="V120">
        <f t="shared" si="55"/>
        <v>0</v>
      </c>
      <c r="W120">
        <f t="shared" si="55"/>
        <v>0</v>
      </c>
      <c r="X120">
        <f t="shared" si="55"/>
        <v>0</v>
      </c>
      <c r="Y120">
        <f t="shared" si="55"/>
        <v>0</v>
      </c>
      <c r="Z120">
        <f t="shared" si="55"/>
        <v>0</v>
      </c>
      <c r="AA120">
        <f t="shared" si="55"/>
        <v>0</v>
      </c>
      <c r="AB120">
        <f t="shared" si="55"/>
        <v>0</v>
      </c>
      <c r="AC120">
        <f t="shared" si="55"/>
        <v>0</v>
      </c>
      <c r="AD120">
        <f t="shared" si="55"/>
        <v>0</v>
      </c>
      <c r="AE120">
        <f t="shared" si="55"/>
        <v>0</v>
      </c>
      <c r="AF120">
        <f t="shared" si="55"/>
        <v>0</v>
      </c>
      <c r="AG120">
        <f t="shared" si="55"/>
        <v>0</v>
      </c>
      <c r="AH120">
        <f t="shared" ref="AH120:BA120" si="56">SUM(AH84,AH102)</f>
        <v>0</v>
      </c>
      <c r="AI120">
        <f t="shared" si="56"/>
        <v>0</v>
      </c>
      <c r="AJ120">
        <f t="shared" si="56"/>
        <v>0</v>
      </c>
      <c r="AK120">
        <f t="shared" si="56"/>
        <v>0</v>
      </c>
      <c r="AL120">
        <f t="shared" si="56"/>
        <v>0</v>
      </c>
      <c r="AM120">
        <f t="shared" si="56"/>
        <v>0</v>
      </c>
      <c r="AN120">
        <f t="shared" si="56"/>
        <v>0</v>
      </c>
      <c r="AO120">
        <f t="shared" si="56"/>
        <v>0</v>
      </c>
      <c r="AP120">
        <f t="shared" si="56"/>
        <v>0</v>
      </c>
      <c r="AQ120">
        <f t="shared" si="56"/>
        <v>0</v>
      </c>
      <c r="AR120">
        <f t="shared" si="56"/>
        <v>0</v>
      </c>
      <c r="AS120">
        <f t="shared" si="56"/>
        <v>0</v>
      </c>
      <c r="AT120">
        <f t="shared" si="56"/>
        <v>0</v>
      </c>
      <c r="AU120">
        <f t="shared" si="56"/>
        <v>0</v>
      </c>
      <c r="AV120">
        <f t="shared" si="56"/>
        <v>0</v>
      </c>
      <c r="AW120">
        <f t="shared" si="56"/>
        <v>0</v>
      </c>
      <c r="AX120">
        <f t="shared" si="56"/>
        <v>0</v>
      </c>
      <c r="AY120">
        <f t="shared" si="56"/>
        <v>0</v>
      </c>
      <c r="AZ120">
        <f t="shared" si="56"/>
        <v>0</v>
      </c>
      <c r="BA120">
        <f t="shared" si="56"/>
        <v>0</v>
      </c>
    </row>
    <row r="121" spans="1:53" x14ac:dyDescent="0.35">
      <c r="A121" s="2" t="str" cm="1">
        <f t="array" ref="A121">INDEX('Data Validation (Hide)'!$B$2:$B$16,ROW(A11),1)</f>
        <v>Caseload 11</v>
      </c>
      <c r="B121">
        <f t="shared" ref="B121:AG121" si="57">SUM(B85,B103)</f>
        <v>0</v>
      </c>
      <c r="C121">
        <f t="shared" si="57"/>
        <v>0</v>
      </c>
      <c r="D121">
        <f t="shared" si="57"/>
        <v>0</v>
      </c>
      <c r="E121">
        <f t="shared" si="57"/>
        <v>0</v>
      </c>
      <c r="F121">
        <f t="shared" si="57"/>
        <v>0</v>
      </c>
      <c r="G121">
        <f t="shared" si="57"/>
        <v>0</v>
      </c>
      <c r="H121">
        <f t="shared" si="57"/>
        <v>0</v>
      </c>
      <c r="I121">
        <f t="shared" si="57"/>
        <v>0</v>
      </c>
      <c r="J121">
        <f t="shared" si="57"/>
        <v>0</v>
      </c>
      <c r="K121">
        <f t="shared" si="57"/>
        <v>0</v>
      </c>
      <c r="L121">
        <f t="shared" si="57"/>
        <v>0</v>
      </c>
      <c r="M121">
        <f t="shared" si="57"/>
        <v>0</v>
      </c>
      <c r="N121">
        <f t="shared" si="57"/>
        <v>0</v>
      </c>
      <c r="O121">
        <f t="shared" si="57"/>
        <v>0</v>
      </c>
      <c r="P121">
        <f t="shared" si="57"/>
        <v>0</v>
      </c>
      <c r="Q121">
        <f t="shared" si="57"/>
        <v>0</v>
      </c>
      <c r="R121">
        <f t="shared" si="57"/>
        <v>0</v>
      </c>
      <c r="S121">
        <f t="shared" si="57"/>
        <v>0</v>
      </c>
      <c r="T121">
        <f t="shared" si="57"/>
        <v>0</v>
      </c>
      <c r="U121">
        <f t="shared" si="57"/>
        <v>0</v>
      </c>
      <c r="V121">
        <f t="shared" si="57"/>
        <v>0</v>
      </c>
      <c r="W121">
        <f t="shared" si="57"/>
        <v>0</v>
      </c>
      <c r="X121">
        <f t="shared" si="57"/>
        <v>0</v>
      </c>
      <c r="Y121">
        <f t="shared" si="57"/>
        <v>0</v>
      </c>
      <c r="Z121">
        <f t="shared" si="57"/>
        <v>0</v>
      </c>
      <c r="AA121">
        <f t="shared" si="57"/>
        <v>0</v>
      </c>
      <c r="AB121">
        <f t="shared" si="57"/>
        <v>0</v>
      </c>
      <c r="AC121">
        <f t="shared" si="57"/>
        <v>0</v>
      </c>
      <c r="AD121">
        <f t="shared" si="57"/>
        <v>0</v>
      </c>
      <c r="AE121">
        <f t="shared" si="57"/>
        <v>0</v>
      </c>
      <c r="AF121">
        <f t="shared" si="57"/>
        <v>0</v>
      </c>
      <c r="AG121">
        <f t="shared" si="57"/>
        <v>0</v>
      </c>
      <c r="AH121">
        <f t="shared" ref="AH121:BA121" si="58">SUM(AH85,AH103)</f>
        <v>0</v>
      </c>
      <c r="AI121">
        <f t="shared" si="58"/>
        <v>0</v>
      </c>
      <c r="AJ121">
        <f t="shared" si="58"/>
        <v>0</v>
      </c>
      <c r="AK121">
        <f t="shared" si="58"/>
        <v>0</v>
      </c>
      <c r="AL121">
        <f t="shared" si="58"/>
        <v>0</v>
      </c>
      <c r="AM121">
        <f t="shared" si="58"/>
        <v>0</v>
      </c>
      <c r="AN121">
        <f t="shared" si="58"/>
        <v>0</v>
      </c>
      <c r="AO121">
        <f t="shared" si="58"/>
        <v>0</v>
      </c>
      <c r="AP121">
        <f t="shared" si="58"/>
        <v>0</v>
      </c>
      <c r="AQ121">
        <f t="shared" si="58"/>
        <v>0</v>
      </c>
      <c r="AR121">
        <f t="shared" si="58"/>
        <v>0</v>
      </c>
      <c r="AS121">
        <f t="shared" si="58"/>
        <v>0</v>
      </c>
      <c r="AT121">
        <f t="shared" si="58"/>
        <v>0</v>
      </c>
      <c r="AU121">
        <f t="shared" si="58"/>
        <v>0</v>
      </c>
      <c r="AV121">
        <f t="shared" si="58"/>
        <v>0</v>
      </c>
      <c r="AW121">
        <f t="shared" si="58"/>
        <v>0</v>
      </c>
      <c r="AX121">
        <f t="shared" si="58"/>
        <v>0</v>
      </c>
      <c r="AY121">
        <f t="shared" si="58"/>
        <v>0</v>
      </c>
      <c r="AZ121">
        <f t="shared" si="58"/>
        <v>0</v>
      </c>
      <c r="BA121">
        <f t="shared" si="58"/>
        <v>0</v>
      </c>
    </row>
    <row r="122" spans="1:53" x14ac:dyDescent="0.35">
      <c r="A122" s="2" t="str" cm="1">
        <f t="array" ref="A122">INDEX('Data Validation (Hide)'!$B$2:$B$16,ROW(A12),1)</f>
        <v>Caseload 12</v>
      </c>
      <c r="B122">
        <f t="shared" ref="B122:AG122" si="59">SUM(B86,B104)</f>
        <v>0</v>
      </c>
      <c r="C122">
        <f t="shared" si="59"/>
        <v>0</v>
      </c>
      <c r="D122">
        <f t="shared" si="59"/>
        <v>0</v>
      </c>
      <c r="E122">
        <f t="shared" si="59"/>
        <v>0</v>
      </c>
      <c r="F122">
        <f t="shared" si="59"/>
        <v>0</v>
      </c>
      <c r="G122">
        <f t="shared" si="59"/>
        <v>0</v>
      </c>
      <c r="H122">
        <f t="shared" si="59"/>
        <v>0</v>
      </c>
      <c r="I122">
        <f t="shared" si="59"/>
        <v>0</v>
      </c>
      <c r="J122">
        <f t="shared" si="59"/>
        <v>0</v>
      </c>
      <c r="K122">
        <f t="shared" si="59"/>
        <v>0</v>
      </c>
      <c r="L122">
        <f t="shared" si="59"/>
        <v>0</v>
      </c>
      <c r="M122">
        <f t="shared" si="59"/>
        <v>0</v>
      </c>
      <c r="N122">
        <f t="shared" si="59"/>
        <v>0</v>
      </c>
      <c r="O122">
        <f t="shared" si="59"/>
        <v>0</v>
      </c>
      <c r="P122">
        <f t="shared" si="59"/>
        <v>0</v>
      </c>
      <c r="Q122">
        <f t="shared" si="59"/>
        <v>0</v>
      </c>
      <c r="R122">
        <f t="shared" si="59"/>
        <v>0</v>
      </c>
      <c r="S122">
        <f t="shared" si="59"/>
        <v>0</v>
      </c>
      <c r="T122">
        <f t="shared" si="59"/>
        <v>0</v>
      </c>
      <c r="U122">
        <f t="shared" si="59"/>
        <v>0</v>
      </c>
      <c r="V122">
        <f t="shared" si="59"/>
        <v>0</v>
      </c>
      <c r="W122">
        <f t="shared" si="59"/>
        <v>0</v>
      </c>
      <c r="X122">
        <f t="shared" si="59"/>
        <v>0</v>
      </c>
      <c r="Y122">
        <f t="shared" si="59"/>
        <v>0</v>
      </c>
      <c r="Z122">
        <f t="shared" si="59"/>
        <v>0</v>
      </c>
      <c r="AA122">
        <f t="shared" si="59"/>
        <v>0</v>
      </c>
      <c r="AB122">
        <f t="shared" si="59"/>
        <v>0</v>
      </c>
      <c r="AC122">
        <f t="shared" si="59"/>
        <v>0</v>
      </c>
      <c r="AD122">
        <f t="shared" si="59"/>
        <v>0</v>
      </c>
      <c r="AE122">
        <f t="shared" si="59"/>
        <v>0</v>
      </c>
      <c r="AF122">
        <f t="shared" si="59"/>
        <v>0</v>
      </c>
      <c r="AG122">
        <f t="shared" si="59"/>
        <v>0</v>
      </c>
      <c r="AH122">
        <f t="shared" ref="AH122:BA122" si="60">SUM(AH86,AH104)</f>
        <v>0</v>
      </c>
      <c r="AI122">
        <f t="shared" si="60"/>
        <v>0</v>
      </c>
      <c r="AJ122">
        <f t="shared" si="60"/>
        <v>0</v>
      </c>
      <c r="AK122">
        <f t="shared" si="60"/>
        <v>0</v>
      </c>
      <c r="AL122">
        <f t="shared" si="60"/>
        <v>0</v>
      </c>
      <c r="AM122">
        <f t="shared" si="60"/>
        <v>0</v>
      </c>
      <c r="AN122">
        <f t="shared" si="60"/>
        <v>0</v>
      </c>
      <c r="AO122">
        <f t="shared" si="60"/>
        <v>0</v>
      </c>
      <c r="AP122">
        <f t="shared" si="60"/>
        <v>0</v>
      </c>
      <c r="AQ122">
        <f t="shared" si="60"/>
        <v>0</v>
      </c>
      <c r="AR122">
        <f t="shared" si="60"/>
        <v>0</v>
      </c>
      <c r="AS122">
        <f t="shared" si="60"/>
        <v>0</v>
      </c>
      <c r="AT122">
        <f t="shared" si="60"/>
        <v>0</v>
      </c>
      <c r="AU122">
        <f t="shared" si="60"/>
        <v>0</v>
      </c>
      <c r="AV122">
        <f t="shared" si="60"/>
        <v>0</v>
      </c>
      <c r="AW122">
        <f t="shared" si="60"/>
        <v>0</v>
      </c>
      <c r="AX122">
        <f t="shared" si="60"/>
        <v>0</v>
      </c>
      <c r="AY122">
        <f t="shared" si="60"/>
        <v>0</v>
      </c>
      <c r="AZ122">
        <f t="shared" si="60"/>
        <v>0</v>
      </c>
      <c r="BA122">
        <f t="shared" si="60"/>
        <v>0</v>
      </c>
    </row>
    <row r="123" spans="1:53" x14ac:dyDescent="0.35">
      <c r="A123" s="2" t="str" cm="1">
        <f t="array" ref="A123">INDEX('Data Validation (Hide)'!$B$2:$B$16,ROW(A13),1)</f>
        <v>Caseload 13</v>
      </c>
      <c r="B123">
        <f t="shared" ref="B123:AG123" si="61">SUM(B87,B105)</f>
        <v>0</v>
      </c>
      <c r="C123">
        <f t="shared" si="61"/>
        <v>0</v>
      </c>
      <c r="D123">
        <f t="shared" si="61"/>
        <v>0</v>
      </c>
      <c r="E123">
        <f t="shared" si="61"/>
        <v>0</v>
      </c>
      <c r="F123">
        <f t="shared" si="61"/>
        <v>0</v>
      </c>
      <c r="G123">
        <f t="shared" si="61"/>
        <v>0</v>
      </c>
      <c r="H123">
        <f t="shared" si="61"/>
        <v>0</v>
      </c>
      <c r="I123">
        <f t="shared" si="61"/>
        <v>0</v>
      </c>
      <c r="J123">
        <f t="shared" si="61"/>
        <v>0</v>
      </c>
      <c r="K123">
        <f t="shared" si="61"/>
        <v>0</v>
      </c>
      <c r="L123">
        <f t="shared" si="61"/>
        <v>0</v>
      </c>
      <c r="M123">
        <f t="shared" si="61"/>
        <v>0</v>
      </c>
      <c r="N123">
        <f t="shared" si="61"/>
        <v>0</v>
      </c>
      <c r="O123">
        <f t="shared" si="61"/>
        <v>0</v>
      </c>
      <c r="P123">
        <f t="shared" si="61"/>
        <v>0</v>
      </c>
      <c r="Q123">
        <f t="shared" si="61"/>
        <v>0</v>
      </c>
      <c r="R123">
        <f t="shared" si="61"/>
        <v>0</v>
      </c>
      <c r="S123">
        <f t="shared" si="61"/>
        <v>0</v>
      </c>
      <c r="T123">
        <f t="shared" si="61"/>
        <v>0</v>
      </c>
      <c r="U123">
        <f t="shared" si="61"/>
        <v>0</v>
      </c>
      <c r="V123">
        <f t="shared" si="61"/>
        <v>0</v>
      </c>
      <c r="W123">
        <f t="shared" si="61"/>
        <v>0</v>
      </c>
      <c r="X123">
        <f t="shared" si="61"/>
        <v>0</v>
      </c>
      <c r="Y123">
        <f t="shared" si="61"/>
        <v>0</v>
      </c>
      <c r="Z123">
        <f t="shared" si="61"/>
        <v>0</v>
      </c>
      <c r="AA123">
        <f t="shared" si="61"/>
        <v>0</v>
      </c>
      <c r="AB123">
        <f t="shared" si="61"/>
        <v>0</v>
      </c>
      <c r="AC123">
        <f t="shared" si="61"/>
        <v>0</v>
      </c>
      <c r="AD123">
        <f t="shared" si="61"/>
        <v>0</v>
      </c>
      <c r="AE123">
        <f t="shared" si="61"/>
        <v>0</v>
      </c>
      <c r="AF123">
        <f t="shared" si="61"/>
        <v>0</v>
      </c>
      <c r="AG123">
        <f t="shared" si="61"/>
        <v>0</v>
      </c>
      <c r="AH123">
        <f t="shared" ref="AH123:BA123" si="62">SUM(AH87,AH105)</f>
        <v>0</v>
      </c>
      <c r="AI123">
        <f t="shared" si="62"/>
        <v>0</v>
      </c>
      <c r="AJ123">
        <f t="shared" si="62"/>
        <v>0</v>
      </c>
      <c r="AK123">
        <f t="shared" si="62"/>
        <v>0</v>
      </c>
      <c r="AL123">
        <f t="shared" si="62"/>
        <v>0</v>
      </c>
      <c r="AM123">
        <f t="shared" si="62"/>
        <v>0</v>
      </c>
      <c r="AN123">
        <f t="shared" si="62"/>
        <v>0</v>
      </c>
      <c r="AO123">
        <f t="shared" si="62"/>
        <v>0</v>
      </c>
      <c r="AP123">
        <f t="shared" si="62"/>
        <v>0</v>
      </c>
      <c r="AQ123">
        <f t="shared" si="62"/>
        <v>0</v>
      </c>
      <c r="AR123">
        <f t="shared" si="62"/>
        <v>0</v>
      </c>
      <c r="AS123">
        <f t="shared" si="62"/>
        <v>0</v>
      </c>
      <c r="AT123">
        <f t="shared" si="62"/>
        <v>0</v>
      </c>
      <c r="AU123">
        <f t="shared" si="62"/>
        <v>0</v>
      </c>
      <c r="AV123">
        <f t="shared" si="62"/>
        <v>0</v>
      </c>
      <c r="AW123">
        <f t="shared" si="62"/>
        <v>0</v>
      </c>
      <c r="AX123">
        <f t="shared" si="62"/>
        <v>0</v>
      </c>
      <c r="AY123">
        <f t="shared" si="62"/>
        <v>0</v>
      </c>
      <c r="AZ123">
        <f t="shared" si="62"/>
        <v>0</v>
      </c>
      <c r="BA123">
        <f t="shared" si="62"/>
        <v>0</v>
      </c>
    </row>
    <row r="124" spans="1:53" x14ac:dyDescent="0.35">
      <c r="A124" s="2" t="str" cm="1">
        <f t="array" ref="A124">INDEX('Data Validation (Hide)'!$B$2:$B$16,ROW(A14),1)</f>
        <v>Caseload 14</v>
      </c>
      <c r="B124">
        <f t="shared" ref="B124:AG124" si="63">SUM(B88,B106)</f>
        <v>0</v>
      </c>
      <c r="C124">
        <f t="shared" si="63"/>
        <v>0</v>
      </c>
      <c r="D124">
        <f t="shared" si="63"/>
        <v>0</v>
      </c>
      <c r="E124">
        <f t="shared" si="63"/>
        <v>0</v>
      </c>
      <c r="F124">
        <f t="shared" si="63"/>
        <v>0</v>
      </c>
      <c r="G124">
        <f t="shared" si="63"/>
        <v>0</v>
      </c>
      <c r="H124">
        <f t="shared" si="63"/>
        <v>0</v>
      </c>
      <c r="I124">
        <f t="shared" si="63"/>
        <v>0</v>
      </c>
      <c r="J124">
        <f t="shared" si="63"/>
        <v>0</v>
      </c>
      <c r="K124">
        <f t="shared" si="63"/>
        <v>0</v>
      </c>
      <c r="L124">
        <f t="shared" si="63"/>
        <v>0</v>
      </c>
      <c r="M124">
        <f t="shared" si="63"/>
        <v>0</v>
      </c>
      <c r="N124">
        <f t="shared" si="63"/>
        <v>0</v>
      </c>
      <c r="O124">
        <f t="shared" si="63"/>
        <v>0</v>
      </c>
      <c r="P124">
        <f t="shared" si="63"/>
        <v>0</v>
      </c>
      <c r="Q124">
        <f t="shared" si="63"/>
        <v>0</v>
      </c>
      <c r="R124">
        <f t="shared" si="63"/>
        <v>0</v>
      </c>
      <c r="S124">
        <f t="shared" si="63"/>
        <v>0</v>
      </c>
      <c r="T124">
        <f t="shared" si="63"/>
        <v>0</v>
      </c>
      <c r="U124">
        <f t="shared" si="63"/>
        <v>0</v>
      </c>
      <c r="V124">
        <f t="shared" si="63"/>
        <v>0</v>
      </c>
      <c r="W124">
        <f t="shared" si="63"/>
        <v>0</v>
      </c>
      <c r="X124">
        <f t="shared" si="63"/>
        <v>0</v>
      </c>
      <c r="Y124">
        <f t="shared" si="63"/>
        <v>0</v>
      </c>
      <c r="Z124">
        <f t="shared" si="63"/>
        <v>0</v>
      </c>
      <c r="AA124">
        <f t="shared" si="63"/>
        <v>0</v>
      </c>
      <c r="AB124">
        <f t="shared" si="63"/>
        <v>0</v>
      </c>
      <c r="AC124">
        <f t="shared" si="63"/>
        <v>0</v>
      </c>
      <c r="AD124">
        <f t="shared" si="63"/>
        <v>0</v>
      </c>
      <c r="AE124">
        <f t="shared" si="63"/>
        <v>0</v>
      </c>
      <c r="AF124">
        <f t="shared" si="63"/>
        <v>0</v>
      </c>
      <c r="AG124">
        <f t="shared" si="63"/>
        <v>0</v>
      </c>
      <c r="AH124">
        <f t="shared" ref="AH124:BA124" si="64">SUM(AH88,AH106)</f>
        <v>0</v>
      </c>
      <c r="AI124">
        <f t="shared" si="64"/>
        <v>0</v>
      </c>
      <c r="AJ124">
        <f t="shared" si="64"/>
        <v>0</v>
      </c>
      <c r="AK124">
        <f t="shared" si="64"/>
        <v>0</v>
      </c>
      <c r="AL124">
        <f t="shared" si="64"/>
        <v>0</v>
      </c>
      <c r="AM124">
        <f t="shared" si="64"/>
        <v>0</v>
      </c>
      <c r="AN124">
        <f t="shared" si="64"/>
        <v>0</v>
      </c>
      <c r="AO124">
        <f t="shared" si="64"/>
        <v>0</v>
      </c>
      <c r="AP124">
        <f t="shared" si="64"/>
        <v>0</v>
      </c>
      <c r="AQ124">
        <f t="shared" si="64"/>
        <v>0</v>
      </c>
      <c r="AR124">
        <f t="shared" si="64"/>
        <v>0</v>
      </c>
      <c r="AS124">
        <f t="shared" si="64"/>
        <v>0</v>
      </c>
      <c r="AT124">
        <f t="shared" si="64"/>
        <v>0</v>
      </c>
      <c r="AU124">
        <f t="shared" si="64"/>
        <v>0</v>
      </c>
      <c r="AV124">
        <f t="shared" si="64"/>
        <v>0</v>
      </c>
      <c r="AW124">
        <f t="shared" si="64"/>
        <v>0</v>
      </c>
      <c r="AX124">
        <f t="shared" si="64"/>
        <v>0</v>
      </c>
      <c r="AY124">
        <f t="shared" si="64"/>
        <v>0</v>
      </c>
      <c r="AZ124">
        <f t="shared" si="64"/>
        <v>0</v>
      </c>
      <c r="BA124">
        <f t="shared" si="64"/>
        <v>0</v>
      </c>
    </row>
    <row r="125" spans="1:53" x14ac:dyDescent="0.35">
      <c r="A125" s="2" t="str" cm="1">
        <f t="array" ref="A125">INDEX('Data Validation (Hide)'!$B$2:$B$16,ROW(A15),1)</f>
        <v>Caseload 15</v>
      </c>
      <c r="B125">
        <f t="shared" ref="B125:AG125" si="65">SUM(B89,B107)</f>
        <v>0</v>
      </c>
      <c r="C125">
        <f t="shared" si="65"/>
        <v>0</v>
      </c>
      <c r="D125">
        <f t="shared" si="65"/>
        <v>0</v>
      </c>
      <c r="E125">
        <f t="shared" si="65"/>
        <v>0</v>
      </c>
      <c r="F125">
        <f t="shared" si="65"/>
        <v>0</v>
      </c>
      <c r="G125">
        <f t="shared" si="65"/>
        <v>0</v>
      </c>
      <c r="H125">
        <f t="shared" si="65"/>
        <v>0</v>
      </c>
      <c r="I125">
        <f t="shared" si="65"/>
        <v>0</v>
      </c>
      <c r="J125">
        <f t="shared" si="65"/>
        <v>0</v>
      </c>
      <c r="K125">
        <f t="shared" si="65"/>
        <v>0</v>
      </c>
      <c r="L125">
        <f t="shared" si="65"/>
        <v>0</v>
      </c>
      <c r="M125">
        <f t="shared" si="65"/>
        <v>0</v>
      </c>
      <c r="N125">
        <f t="shared" si="65"/>
        <v>0</v>
      </c>
      <c r="O125">
        <f t="shared" si="65"/>
        <v>0</v>
      </c>
      <c r="P125">
        <f t="shared" si="65"/>
        <v>0</v>
      </c>
      <c r="Q125">
        <f t="shared" si="65"/>
        <v>0</v>
      </c>
      <c r="R125">
        <f t="shared" si="65"/>
        <v>0</v>
      </c>
      <c r="S125">
        <f t="shared" si="65"/>
        <v>0</v>
      </c>
      <c r="T125">
        <f t="shared" si="65"/>
        <v>0</v>
      </c>
      <c r="U125">
        <f t="shared" si="65"/>
        <v>0</v>
      </c>
      <c r="V125">
        <f t="shared" si="65"/>
        <v>0</v>
      </c>
      <c r="W125">
        <f t="shared" si="65"/>
        <v>0</v>
      </c>
      <c r="X125">
        <f t="shared" si="65"/>
        <v>0</v>
      </c>
      <c r="Y125">
        <f t="shared" si="65"/>
        <v>0</v>
      </c>
      <c r="Z125">
        <f t="shared" si="65"/>
        <v>0</v>
      </c>
      <c r="AA125">
        <f t="shared" si="65"/>
        <v>0</v>
      </c>
      <c r="AB125">
        <f t="shared" si="65"/>
        <v>0</v>
      </c>
      <c r="AC125">
        <f t="shared" si="65"/>
        <v>0</v>
      </c>
      <c r="AD125">
        <f t="shared" si="65"/>
        <v>0</v>
      </c>
      <c r="AE125">
        <f t="shared" si="65"/>
        <v>0</v>
      </c>
      <c r="AF125">
        <f t="shared" si="65"/>
        <v>0</v>
      </c>
      <c r="AG125">
        <f t="shared" si="65"/>
        <v>0</v>
      </c>
      <c r="AH125">
        <f t="shared" ref="AH125:BA125" si="66">SUM(AH89,AH107)</f>
        <v>0</v>
      </c>
      <c r="AI125">
        <f t="shared" si="66"/>
        <v>0</v>
      </c>
      <c r="AJ125">
        <f t="shared" si="66"/>
        <v>0</v>
      </c>
      <c r="AK125">
        <f t="shared" si="66"/>
        <v>0</v>
      </c>
      <c r="AL125">
        <f t="shared" si="66"/>
        <v>0</v>
      </c>
      <c r="AM125">
        <f t="shared" si="66"/>
        <v>0</v>
      </c>
      <c r="AN125">
        <f t="shared" si="66"/>
        <v>0</v>
      </c>
      <c r="AO125">
        <f t="shared" si="66"/>
        <v>0</v>
      </c>
      <c r="AP125">
        <f t="shared" si="66"/>
        <v>0</v>
      </c>
      <c r="AQ125">
        <f t="shared" si="66"/>
        <v>0</v>
      </c>
      <c r="AR125">
        <f t="shared" si="66"/>
        <v>0</v>
      </c>
      <c r="AS125">
        <f t="shared" si="66"/>
        <v>0</v>
      </c>
      <c r="AT125">
        <f t="shared" si="66"/>
        <v>0</v>
      </c>
      <c r="AU125">
        <f t="shared" si="66"/>
        <v>0</v>
      </c>
      <c r="AV125">
        <f t="shared" si="66"/>
        <v>0</v>
      </c>
      <c r="AW125">
        <f t="shared" si="66"/>
        <v>0</v>
      </c>
      <c r="AX125">
        <f t="shared" si="66"/>
        <v>0</v>
      </c>
      <c r="AY125">
        <f t="shared" si="66"/>
        <v>0</v>
      </c>
      <c r="AZ125">
        <f t="shared" si="66"/>
        <v>0</v>
      </c>
      <c r="BA125">
        <f t="shared" si="66"/>
        <v>0</v>
      </c>
    </row>
    <row r="126" spans="1:53" x14ac:dyDescent="0.35">
      <c r="A126" s="2" t="s">
        <v>71</v>
      </c>
      <c r="B126">
        <f>SUM(B111:B125)</f>
        <v>61</v>
      </c>
      <c r="C126">
        <f t="shared" ref="C126:BA126" si="67">SUM(C111:C125)</f>
        <v>61</v>
      </c>
      <c r="D126">
        <f t="shared" si="67"/>
        <v>61</v>
      </c>
      <c r="E126">
        <f t="shared" si="67"/>
        <v>61</v>
      </c>
      <c r="F126">
        <f t="shared" si="67"/>
        <v>61</v>
      </c>
      <c r="G126">
        <f t="shared" si="67"/>
        <v>61</v>
      </c>
      <c r="H126">
        <f t="shared" si="67"/>
        <v>61</v>
      </c>
      <c r="I126">
        <f t="shared" si="67"/>
        <v>61</v>
      </c>
      <c r="J126">
        <f t="shared" si="67"/>
        <v>61</v>
      </c>
      <c r="K126">
        <f t="shared" si="67"/>
        <v>61</v>
      </c>
      <c r="L126">
        <f t="shared" si="67"/>
        <v>61</v>
      </c>
      <c r="M126">
        <f t="shared" si="67"/>
        <v>61</v>
      </c>
      <c r="N126">
        <f t="shared" si="67"/>
        <v>61</v>
      </c>
      <c r="O126">
        <f t="shared" si="67"/>
        <v>61</v>
      </c>
      <c r="P126">
        <f t="shared" si="67"/>
        <v>61</v>
      </c>
      <c r="Q126">
        <f t="shared" si="67"/>
        <v>61</v>
      </c>
      <c r="R126">
        <f t="shared" si="67"/>
        <v>61</v>
      </c>
      <c r="S126">
        <f t="shared" si="67"/>
        <v>61</v>
      </c>
      <c r="T126">
        <f t="shared" si="67"/>
        <v>61</v>
      </c>
      <c r="U126">
        <f t="shared" si="67"/>
        <v>61</v>
      </c>
      <c r="V126">
        <f t="shared" si="67"/>
        <v>61</v>
      </c>
      <c r="W126">
        <f t="shared" si="67"/>
        <v>61</v>
      </c>
      <c r="X126">
        <f t="shared" si="67"/>
        <v>61</v>
      </c>
      <c r="Y126">
        <f t="shared" si="67"/>
        <v>61</v>
      </c>
      <c r="Z126">
        <f t="shared" si="67"/>
        <v>61</v>
      </c>
      <c r="AA126">
        <f t="shared" si="67"/>
        <v>61</v>
      </c>
      <c r="AB126">
        <f t="shared" si="67"/>
        <v>61</v>
      </c>
      <c r="AC126">
        <f t="shared" si="67"/>
        <v>61</v>
      </c>
      <c r="AD126">
        <f t="shared" si="67"/>
        <v>61</v>
      </c>
      <c r="AE126">
        <f t="shared" si="67"/>
        <v>61</v>
      </c>
      <c r="AF126">
        <f t="shared" si="67"/>
        <v>61</v>
      </c>
      <c r="AG126">
        <f t="shared" si="67"/>
        <v>61</v>
      </c>
      <c r="AH126">
        <f t="shared" si="67"/>
        <v>61</v>
      </c>
      <c r="AI126">
        <f t="shared" si="67"/>
        <v>61</v>
      </c>
      <c r="AJ126">
        <f t="shared" si="67"/>
        <v>61</v>
      </c>
      <c r="AK126">
        <f t="shared" si="67"/>
        <v>61</v>
      </c>
      <c r="AL126">
        <f t="shared" si="67"/>
        <v>61</v>
      </c>
      <c r="AM126">
        <f t="shared" si="67"/>
        <v>61</v>
      </c>
      <c r="AN126">
        <f t="shared" si="67"/>
        <v>61</v>
      </c>
      <c r="AO126">
        <f t="shared" si="67"/>
        <v>61</v>
      </c>
      <c r="AP126">
        <f t="shared" si="67"/>
        <v>61</v>
      </c>
      <c r="AQ126">
        <f t="shared" si="67"/>
        <v>61</v>
      </c>
      <c r="AR126">
        <f t="shared" si="67"/>
        <v>61</v>
      </c>
      <c r="AS126">
        <f t="shared" si="67"/>
        <v>61</v>
      </c>
      <c r="AT126">
        <f t="shared" si="67"/>
        <v>61</v>
      </c>
      <c r="AU126">
        <f t="shared" si="67"/>
        <v>61</v>
      </c>
      <c r="AV126">
        <f t="shared" si="67"/>
        <v>61</v>
      </c>
      <c r="AW126">
        <f t="shared" si="67"/>
        <v>61</v>
      </c>
      <c r="AX126">
        <f t="shared" si="67"/>
        <v>61</v>
      </c>
      <c r="AY126">
        <f t="shared" si="67"/>
        <v>61</v>
      </c>
      <c r="AZ126">
        <f t="shared" si="67"/>
        <v>61</v>
      </c>
      <c r="BA126">
        <f t="shared" si="67"/>
        <v>61</v>
      </c>
    </row>
    <row r="127" spans="1:53" x14ac:dyDescent="0.35">
      <c r="A127" s="2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1255B-B2F6-4DDC-A882-89814CF977C9}">
  <sheetPr codeName="Sheet10"/>
  <dimension ref="A2:E4"/>
  <sheetViews>
    <sheetView showGridLines="0" workbookViewId="0">
      <selection activeCell="B3" sqref="B3"/>
    </sheetView>
  </sheetViews>
  <sheetFormatPr defaultRowHeight="14.5" x14ac:dyDescent="0.35"/>
  <cols>
    <col min="1" max="1" width="12.54296875" bestFit="1" customWidth="1"/>
    <col min="2" max="2" width="17.81640625" customWidth="1"/>
  </cols>
  <sheetData>
    <row r="2" spans="1:5" ht="15" thickBot="1" x14ac:dyDescent="0.4"/>
    <row r="3" spans="1:5" ht="15" thickBot="1" x14ac:dyDescent="0.4">
      <c r="A3" s="37" t="s">
        <v>69</v>
      </c>
      <c r="B3" s="17" t="s">
        <v>124</v>
      </c>
      <c r="E3" t="str">
        <f>"Capacity summary ("&amp;Summary!B5&amp;")"</f>
        <v>Capacity summary (Hours)</v>
      </c>
    </row>
    <row r="4" spans="1:5" ht="15" thickBot="1" x14ac:dyDescent="0.4">
      <c r="A4" s="55" t="s">
        <v>70</v>
      </c>
      <c r="B4" s="17" t="s">
        <v>71</v>
      </c>
    </row>
  </sheetData>
  <dataValidations count="1">
    <dataValidation type="list" allowBlank="1" showInputMessage="1" showErrorMessage="1" sqref="B3" xr:uid="{9F32BFBD-EEDD-4F4B-A59A-2CA85E3CE0F0}">
      <formula1>Validation_Caseloads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951CBE4-993F-4E5E-AC68-60629CA02996}">
          <x14:formula1>
            <xm:f>'Data Validation (Hide)'!$F$2:$F$4</xm:f>
          </x14:formula1>
          <xm:sqref>B4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706A0-AA3E-40BA-B8B2-798BE8D3F681}">
  <sheetPr codeName="Sheet11"/>
  <dimension ref="A1:D5"/>
  <sheetViews>
    <sheetView showGridLines="0" zoomScaleNormal="100" workbookViewId="0">
      <selection activeCell="C16" sqref="C16"/>
    </sheetView>
  </sheetViews>
  <sheetFormatPr defaultRowHeight="14.5" x14ac:dyDescent="0.35"/>
  <cols>
    <col min="1" max="1" width="12.54296875" bestFit="1" customWidth="1"/>
    <col min="2" max="2" width="12.54296875" customWidth="1"/>
  </cols>
  <sheetData>
    <row r="1" spans="1:4" ht="15" thickBot="1" x14ac:dyDescent="0.4"/>
    <row r="2" spans="1:4" ht="15" thickBot="1" x14ac:dyDescent="0.4">
      <c r="A2" s="37" t="s">
        <v>69</v>
      </c>
      <c r="B2" s="17" t="s">
        <v>124</v>
      </c>
    </row>
    <row r="3" spans="1:4" ht="15" thickBot="1" x14ac:dyDescent="0.4">
      <c r="A3" s="37" t="s">
        <v>70</v>
      </c>
      <c r="B3" s="17" t="s">
        <v>71</v>
      </c>
      <c r="D3" t="str">
        <f>"Required vs available Capacity for "&amp;IF(B2="Total", "total caseload", B2)&amp;", "&amp;IF(B3="Total", "all session types", LOWER(B3)&amp;" sessions")&amp;" ("&amp;LOWER(B5)&amp;")"</f>
        <v>Required vs available Capacity for Caseload 1, all session types (hours)</v>
      </c>
    </row>
    <row r="4" spans="1:4" ht="15" thickBot="1" x14ac:dyDescent="0.4"/>
    <row r="5" spans="1:4" ht="15" thickBot="1" x14ac:dyDescent="0.4">
      <c r="A5" s="37" t="s">
        <v>103</v>
      </c>
      <c r="B5" s="17" t="s">
        <v>106</v>
      </c>
    </row>
  </sheetData>
  <dataValidations count="1">
    <dataValidation type="list" allowBlank="1" showInputMessage="1" showErrorMessage="1" sqref="B2" xr:uid="{A61C2E81-6489-45BD-9806-72EDEC3BD316}">
      <formula1>Validation_Caseloads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BECDF9C-1388-4690-B9E5-82C6A728C625}">
          <x14:formula1>
            <xm:f>'Data Validation (Hide)'!$F$2:$F$4</xm:f>
          </x14:formula1>
          <xm:sqref>B3</xm:sqref>
        </x14:dataValidation>
        <x14:dataValidation type="list" allowBlank="1" showInputMessage="1" showErrorMessage="1" xr:uid="{56040F85-83BE-4E0A-B760-98F834EDC1B7}">
          <x14:formula1>
            <xm:f>'Data Validation (Hide)'!$N$2:$N$3</xm:f>
          </x14:formula1>
          <xm:sqref>B5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Data Validation (Hide)</vt:lpstr>
      <vt:lpstr>Setup</vt:lpstr>
      <vt:lpstr>Demand</vt:lpstr>
      <vt:lpstr>SPC</vt:lpstr>
      <vt:lpstr>SPC Backing (Hide)</vt:lpstr>
      <vt:lpstr>Service</vt:lpstr>
      <vt:lpstr>Required Capacity (Hide)</vt:lpstr>
      <vt:lpstr>Capacity</vt:lpstr>
      <vt:lpstr>Capacity Backing (Hide)</vt:lpstr>
      <vt:lpstr>Capacity Summary</vt:lpstr>
      <vt:lpstr>Summary</vt:lpstr>
      <vt:lpstr>Summary_Difference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Bullard</dc:creator>
  <cp:lastModifiedBy>Paul Bullard</cp:lastModifiedBy>
  <dcterms:created xsi:type="dcterms:W3CDTF">2020-10-27T16:33:47Z</dcterms:created>
  <dcterms:modified xsi:type="dcterms:W3CDTF">2020-11-23T10:31:42Z</dcterms:modified>
</cp:coreProperties>
</file>