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66FC066C-5E84-4E57-9532-0D57B292F28D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8" l="1"/>
  <c r="D5" i="8"/>
  <c r="E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I4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W2" i="5" l="1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E63" i="7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W248" i="10" s="1"/>
  <c r="AM212" i="10"/>
  <c r="AM248" i="10" s="1"/>
  <c r="D212" i="10"/>
  <c r="T212" i="10"/>
  <c r="AJ212" i="10"/>
  <c r="AJ248" i="10" s="1"/>
  <c r="AZ212" i="10"/>
  <c r="AZ248" i="10" s="1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K244" i="10" s="1"/>
  <c r="J208" i="10"/>
  <c r="AD208" i="10"/>
  <c r="AT208" i="10"/>
  <c r="R208" i="10"/>
  <c r="AI208" i="10"/>
  <c r="AY208" i="10"/>
  <c r="T208" i="10"/>
  <c r="AJ208" i="10"/>
  <c r="AJ244" i="10" s="1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AX244" i="10" s="1"/>
  <c r="W208" i="10"/>
  <c r="W244" i="10" s="1"/>
  <c r="AM208" i="10"/>
  <c r="M226" i="10"/>
  <c r="X208" i="10"/>
  <c r="X244" i="10" s="1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V244" i="10" s="1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D119" i="10" s="1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I116" i="10" s="1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AD112" i="10"/>
  <c r="L112" i="10"/>
  <c r="AK125" i="10"/>
  <c r="AS125" i="10"/>
  <c r="E124" i="10"/>
  <c r="G124" i="10"/>
  <c r="AA121" i="10"/>
  <c r="B121" i="10"/>
  <c r="AT119" i="10"/>
  <c r="E117" i="10"/>
  <c r="C114" i="10"/>
  <c r="AS114" i="10"/>
  <c r="B114" i="10"/>
  <c r="W114" i="10"/>
  <c r="C11" i="2"/>
  <c r="A12" i="2"/>
  <c r="E12" i="2" s="1"/>
  <c r="AR252" i="10" l="1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H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I275" i="10" l="1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B287" i="10" s="1" a="1"/>
  <c r="B287" i="10" s="1"/>
  <c r="I265" i="10"/>
  <c r="B280" i="10" a="1"/>
  <c r="B280" i="10" s="1"/>
  <c r="BC120" i="10"/>
  <c r="D269" i="10" s="1"/>
  <c r="B278" i="10" a="1"/>
  <c r="B278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J273" i="10" l="1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E5" i="7" a="1"/>
  <c r="E5" i="7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/>
  <c r="A137" i="10" s="1"/>
  <c r="W88" i="5" l="1"/>
  <c r="W175" i="5"/>
  <c r="W111" i="5"/>
  <c r="W136" i="5"/>
  <c r="W113" i="5"/>
  <c r="W147" i="5"/>
  <c r="W166" i="5"/>
  <c r="W22" i="5"/>
  <c r="W202" i="5"/>
  <c r="AL202" i="5" s="1"/>
  <c r="W227" i="5"/>
  <c r="W148" i="5"/>
  <c r="W201" i="5"/>
  <c r="W98" i="5"/>
  <c r="W54" i="5"/>
  <c r="W197" i="5"/>
  <c r="W245" i="5"/>
  <c r="W193" i="5"/>
  <c r="W52" i="5"/>
  <c r="W100" i="5"/>
  <c r="W138" i="5"/>
  <c r="W77" i="5"/>
  <c r="AL77" i="5" s="1"/>
  <c r="W162" i="5"/>
  <c r="B93" i="10" a="1"/>
  <c r="B93" i="10" s="1"/>
  <c r="A6" i="10"/>
  <c r="B75" i="10" a="1"/>
  <c r="B75" i="10" s="1"/>
  <c r="W20" i="5"/>
  <c r="W251" i="5"/>
  <c r="W254" i="5"/>
  <c r="W186" i="5"/>
  <c r="W256" i="5"/>
  <c r="W92" i="5"/>
  <c r="W223" i="5"/>
  <c r="W65" i="5"/>
  <c r="W58" i="5"/>
  <c r="W102" i="5"/>
  <c r="W204" i="5"/>
  <c r="W257" i="5"/>
  <c r="W249" i="5"/>
  <c r="AL249" i="5" s="1"/>
  <c r="W167" i="5"/>
  <c r="W172" i="5"/>
  <c r="W146" i="5"/>
  <c r="W253" i="5"/>
  <c r="AL253" i="5" s="1"/>
  <c r="W18" i="5"/>
  <c r="W110" i="5"/>
  <c r="W259" i="5"/>
  <c r="AL259" i="5" s="1"/>
  <c r="W10" i="5"/>
  <c r="B14" i="7"/>
  <c r="C14" i="7" s="1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C8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C7" i="7" s="1"/>
  <c r="W199" i="5"/>
  <c r="W130" i="5"/>
  <c r="W29" i="5"/>
  <c r="W67" i="5"/>
  <c r="W15" i="5"/>
  <c r="W105" i="5"/>
  <c r="W171" i="5"/>
  <c r="W128" i="5"/>
  <c r="W87" i="5"/>
  <c r="B9" i="7"/>
  <c r="W122" i="5"/>
  <c r="AL122" i="5" s="1"/>
  <c r="W158" i="5"/>
  <c r="W119" i="5"/>
  <c r="W49" i="5"/>
  <c r="W150" i="5"/>
  <c r="AL150" i="5" s="1"/>
  <c r="W212" i="5"/>
  <c r="W120" i="5"/>
  <c r="W7" i="5"/>
  <c r="W73" i="5"/>
  <c r="W237" i="5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W152" i="5"/>
  <c r="AL152" i="5" s="1"/>
  <c r="W207" i="5"/>
  <c r="W129" i="5"/>
  <c r="B12" i="7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C6" i="7" s="1"/>
  <c r="U256" i="5"/>
  <c r="B10" i="7"/>
  <c r="C10" i="7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41" i="10" a="1"/>
  <c r="C241" i="10" s="1"/>
  <c r="C205" i="10" a="1"/>
  <c r="C205" i="10" s="1"/>
  <c r="C223" i="10" a="1"/>
  <c r="C223" i="10" s="1"/>
  <c r="AJ246" i="5"/>
  <c r="AJ163" i="5"/>
  <c r="AJ89" i="5"/>
  <c r="AJ90" i="5"/>
  <c r="AJ119" i="5"/>
  <c r="BP54" i="7"/>
  <c r="AV34" i="7"/>
  <c r="AV33" i="7"/>
  <c r="AV49" i="7"/>
  <c r="AV54" i="7"/>
  <c r="AV30" i="7"/>
  <c r="AX7" i="7"/>
  <c r="AV18" i="7"/>
  <c r="AX42" i="7"/>
  <c r="AX19" i="7"/>
  <c r="AX21" i="7"/>
  <c r="AV23" i="7"/>
  <c r="AV31" i="7"/>
  <c r="AV47" i="7"/>
  <c r="AV26" i="7"/>
  <c r="AV11" i="7"/>
  <c r="AV21" i="7"/>
  <c r="AV28" i="7"/>
  <c r="AV42" i="7"/>
  <c r="AX51" i="7"/>
  <c r="AV46" i="7"/>
  <c r="AV7" i="7"/>
  <c r="AV36" i="7"/>
  <c r="AX20" i="7"/>
  <c r="AV24" i="7"/>
  <c r="AX14" i="7"/>
  <c r="AV35" i="7"/>
  <c r="AV29" i="7"/>
  <c r="AV13" i="7"/>
  <c r="AX50" i="7"/>
  <c r="AX49" i="7"/>
  <c r="AX31" i="7"/>
  <c r="AX17" i="7"/>
  <c r="AX35" i="7"/>
  <c r="AX36" i="7"/>
  <c r="AX28" i="7"/>
  <c r="AV56" i="7"/>
  <c r="AX56" i="7"/>
  <c r="AX44" i="7"/>
  <c r="AX18" i="7"/>
  <c r="AX24" i="7"/>
  <c r="AV5" i="7"/>
  <c r="AX10" i="7"/>
  <c r="AV10" i="7"/>
  <c r="AX13" i="7"/>
  <c r="AX46" i="7"/>
  <c r="AX45" i="7"/>
  <c r="AX9" i="7"/>
  <c r="AX29" i="7"/>
  <c r="AV40" i="7"/>
  <c r="AV17" i="7"/>
  <c r="AX53" i="7"/>
  <c r="AX25" i="7"/>
  <c r="AJ161" i="5"/>
  <c r="AJ85" i="5"/>
  <c r="AJ111" i="5"/>
  <c r="AJ93" i="5"/>
  <c r="AJ154" i="5"/>
  <c r="C93" i="10" a="1"/>
  <c r="C93" i="10" s="1"/>
  <c r="C75" i="10" a="1"/>
  <c r="C75" i="10" s="1"/>
  <c r="C111" i="10" a="1"/>
  <c r="C111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R51" i="7"/>
  <c r="R6" i="7"/>
  <c r="T45" i="7"/>
  <c r="R55" i="7"/>
  <c r="T18" i="7"/>
  <c r="R35" i="7"/>
  <c r="T9" i="7"/>
  <c r="R46" i="7"/>
  <c r="R16" i="7"/>
  <c r="T51" i="7"/>
  <c r="T34" i="7"/>
  <c r="T43" i="7"/>
  <c r="T16" i="7"/>
  <c r="R21" i="7"/>
  <c r="T37" i="7"/>
  <c r="T36" i="7"/>
  <c r="T46" i="7"/>
  <c r="T26" i="7"/>
  <c r="R19" i="7"/>
  <c r="R15" i="7"/>
  <c r="R56" i="7"/>
  <c r="T47" i="7"/>
  <c r="T44" i="7"/>
  <c r="T32" i="7"/>
  <c r="T19" i="7"/>
  <c r="T13" i="7"/>
  <c r="T38" i="7"/>
  <c r="R47" i="7"/>
  <c r="R10" i="7"/>
  <c r="R30" i="7"/>
  <c r="R24" i="7"/>
  <c r="R25" i="7"/>
  <c r="T28" i="7"/>
  <c r="T27" i="7"/>
  <c r="T48" i="7"/>
  <c r="R13" i="7"/>
  <c r="R36" i="7"/>
  <c r="R38" i="7"/>
  <c r="R40" i="7"/>
  <c r="T23" i="7"/>
  <c r="T53" i="7"/>
  <c r="R9" i="7"/>
  <c r="R18" i="7"/>
  <c r="T54" i="7"/>
  <c r="R27" i="7"/>
  <c r="R28" i="7"/>
  <c r="T42" i="7"/>
  <c r="R33" i="7"/>
  <c r="R14" i="7"/>
  <c r="R50" i="7"/>
  <c r="R12" i="7"/>
  <c r="T17" i="7"/>
  <c r="R11" i="7"/>
  <c r="R42" i="7"/>
  <c r="T30" i="7"/>
  <c r="T7" i="7"/>
  <c r="T20" i="7"/>
  <c r="R20" i="7"/>
  <c r="R26" i="7"/>
  <c r="T39" i="7"/>
  <c r="T25" i="7"/>
  <c r="T5" i="7"/>
  <c r="R5" i="7"/>
  <c r="R34" i="7"/>
  <c r="R37" i="7"/>
  <c r="T12" i="7"/>
  <c r="T24" i="7"/>
  <c r="T6" i="7"/>
  <c r="R48" i="7"/>
  <c r="T15" i="7"/>
  <c r="T31" i="7"/>
  <c r="R54" i="7"/>
  <c r="V54" i="7" s="1"/>
  <c r="T10" i="7"/>
  <c r="R41" i="7"/>
  <c r="R23" i="7"/>
  <c r="T56" i="7"/>
  <c r="R32" i="7"/>
  <c r="R52" i="7"/>
  <c r="R49" i="7"/>
  <c r="R44" i="7"/>
  <c r="T22" i="7"/>
  <c r="T33" i="7"/>
  <c r="R45" i="7"/>
  <c r="V45" i="7" s="1"/>
  <c r="T55" i="7"/>
  <c r="T52" i="7"/>
  <c r="T41" i="7"/>
  <c r="R29" i="7"/>
  <c r="T11" i="7"/>
  <c r="T29" i="7"/>
  <c r="T8" i="7"/>
  <c r="R17" i="7"/>
  <c r="R7" i="7"/>
  <c r="V7" i="7" s="1"/>
  <c r="R43" i="7"/>
  <c r="T40" i="7"/>
  <c r="T35" i="7"/>
  <c r="T14" i="7"/>
  <c r="T21" i="7"/>
  <c r="R8" i="7"/>
  <c r="V8" i="7" s="1"/>
  <c r="R53" i="7"/>
  <c r="R39" i="7"/>
  <c r="V39" i="7" s="1"/>
  <c r="R31" i="7"/>
  <c r="T49" i="7"/>
  <c r="R22" i="7"/>
  <c r="T50" i="7"/>
  <c r="AA44" i="7"/>
  <c r="Y46" i="7"/>
  <c r="Y13" i="7"/>
  <c r="Y12" i="7"/>
  <c r="Y32" i="7"/>
  <c r="Y34" i="7"/>
  <c r="Y19" i="7"/>
  <c r="AA34" i="7"/>
  <c r="Y28" i="7"/>
  <c r="Y51" i="7"/>
  <c r="Y45" i="7"/>
  <c r="Y48" i="7"/>
  <c r="Y6" i="7"/>
  <c r="AA53" i="7"/>
  <c r="Y14" i="7"/>
  <c r="Y54" i="7"/>
  <c r="AA7" i="7"/>
  <c r="Y24" i="7"/>
  <c r="Y55" i="7"/>
  <c r="Y17" i="7"/>
  <c r="Y30" i="7"/>
  <c r="AA33" i="7"/>
  <c r="Y44" i="7"/>
  <c r="Y43" i="7"/>
  <c r="AA36" i="7"/>
  <c r="Y18" i="7"/>
  <c r="Y35" i="7"/>
  <c r="Y21" i="7"/>
  <c r="Y8" i="7"/>
  <c r="AA14" i="7"/>
  <c r="AA40" i="7"/>
  <c r="AA52" i="7"/>
  <c r="Y31" i="7"/>
  <c r="Y15" i="7"/>
  <c r="Y11" i="7"/>
  <c r="Y56" i="7"/>
  <c r="AA42" i="7"/>
  <c r="Y26" i="7"/>
  <c r="Y50" i="7"/>
  <c r="AA19" i="7"/>
  <c r="AA30" i="7"/>
  <c r="AC30" i="7" s="1"/>
  <c r="AA45" i="7"/>
  <c r="AA49" i="7"/>
  <c r="AA43" i="7"/>
  <c r="AA31" i="7"/>
  <c r="AA37" i="7"/>
  <c r="Y25" i="7"/>
  <c r="Y36" i="7"/>
  <c r="Y27" i="7"/>
  <c r="Y29" i="7"/>
  <c r="AA24" i="7"/>
  <c r="AA26" i="7"/>
  <c r="AA46" i="7"/>
  <c r="AA13" i="7"/>
  <c r="AA11" i="7"/>
  <c r="AA15" i="7"/>
  <c r="Y38" i="7"/>
  <c r="Y20" i="7"/>
  <c r="Y16" i="7"/>
  <c r="Y22" i="7"/>
  <c r="AA27" i="7"/>
  <c r="AA18" i="7"/>
  <c r="AA47" i="7"/>
  <c r="AA22" i="7"/>
  <c r="AA8" i="7"/>
  <c r="AC8" i="7" s="1"/>
  <c r="AA25" i="7"/>
  <c r="AA51" i="7"/>
  <c r="AA23" i="7"/>
  <c r="AA56" i="7"/>
  <c r="AA20" i="7"/>
  <c r="Y40" i="7"/>
  <c r="AC40" i="7" s="1"/>
  <c r="Y23" i="7"/>
  <c r="AC23" i="7" s="1"/>
  <c r="Y7" i="7"/>
  <c r="AC7" i="7" s="1"/>
  <c r="Y41" i="7"/>
  <c r="Y10" i="7"/>
  <c r="AA48" i="7"/>
  <c r="AA32" i="7"/>
  <c r="Y39" i="7"/>
  <c r="Y42" i="7"/>
  <c r="Y53" i="7"/>
  <c r="Y33" i="7"/>
  <c r="Y52" i="7"/>
  <c r="Y37" i="7"/>
  <c r="AA38" i="7"/>
  <c r="AA54" i="7"/>
  <c r="AA17" i="7"/>
  <c r="AA28" i="7"/>
  <c r="AA35" i="7"/>
  <c r="AA39" i="7"/>
  <c r="AA10" i="7"/>
  <c r="AA16" i="7"/>
  <c r="AA21" i="7"/>
  <c r="AA6" i="7"/>
  <c r="AA50" i="7"/>
  <c r="AA12" i="7"/>
  <c r="AA41" i="7"/>
  <c r="Y9" i="7"/>
  <c r="Y49" i="7"/>
  <c r="Y47" i="7"/>
  <c r="AC47" i="7" s="1"/>
  <c r="AA29" i="7"/>
  <c r="Y5" i="7"/>
  <c r="AA9" i="7"/>
  <c r="AA55" i="7"/>
  <c r="AA5" i="7"/>
  <c r="BI14" i="7"/>
  <c r="BI51" i="7"/>
  <c r="BI27" i="7"/>
  <c r="BI6" i="7"/>
  <c r="BI24" i="7"/>
  <c r="BI21" i="7"/>
  <c r="BI34" i="7"/>
  <c r="BI13" i="7"/>
  <c r="BI9" i="7"/>
  <c r="BK52" i="7"/>
  <c r="BK22" i="7"/>
  <c r="BI26" i="7"/>
  <c r="BI44" i="7"/>
  <c r="BI12" i="7"/>
  <c r="BI56" i="7"/>
  <c r="BI43" i="7"/>
  <c r="BK36" i="7"/>
  <c r="BI55" i="7"/>
  <c r="BI41" i="7"/>
  <c r="BK53" i="7"/>
  <c r="BK55" i="7"/>
  <c r="BI42" i="7"/>
  <c r="BI5" i="7"/>
  <c r="BI49" i="7"/>
  <c r="BI30" i="7"/>
  <c r="BI8" i="7"/>
  <c r="BI7" i="7"/>
  <c r="BI48" i="7"/>
  <c r="BI22" i="7"/>
  <c r="BI38" i="7"/>
  <c r="BI37" i="7"/>
  <c r="BI50" i="7"/>
  <c r="BI45" i="7"/>
  <c r="BI25" i="7"/>
  <c r="BI17" i="7"/>
  <c r="BI31" i="7"/>
  <c r="BK38" i="7"/>
  <c r="BK28" i="7"/>
  <c r="BK30" i="7"/>
  <c r="BK48" i="7"/>
  <c r="BK46" i="7"/>
  <c r="BK12" i="7"/>
  <c r="BK21" i="7"/>
  <c r="BK16" i="7"/>
  <c r="BK23" i="7"/>
  <c r="BK41" i="7"/>
  <c r="BI11" i="7"/>
  <c r="BI32" i="7"/>
  <c r="BK7" i="7"/>
  <c r="BK20" i="7"/>
  <c r="BK25" i="7"/>
  <c r="BK6" i="7"/>
  <c r="BI19" i="7"/>
  <c r="BI33" i="7"/>
  <c r="BI52" i="7"/>
  <c r="BI47" i="7"/>
  <c r="BI54" i="7"/>
  <c r="BI15" i="7"/>
  <c r="BI29" i="7"/>
  <c r="BI23" i="7"/>
  <c r="BK31" i="7"/>
  <c r="BK19" i="7"/>
  <c r="BK9" i="7"/>
  <c r="BK37" i="7"/>
  <c r="BK44" i="7"/>
  <c r="BK10" i="7"/>
  <c r="BK27" i="7"/>
  <c r="BK54" i="7"/>
  <c r="BK24" i="7"/>
  <c r="BK14" i="7"/>
  <c r="BK29" i="7"/>
  <c r="BK56" i="7"/>
  <c r="BK35" i="7"/>
  <c r="BI36" i="7"/>
  <c r="BI40" i="7"/>
  <c r="BK51" i="7"/>
  <c r="BK39" i="7"/>
  <c r="BK32" i="7"/>
  <c r="BK45" i="7"/>
  <c r="BI16" i="7"/>
  <c r="BM16" i="7" s="1"/>
  <c r="BI53" i="7"/>
  <c r="BI35" i="7"/>
  <c r="BI20" i="7"/>
  <c r="BI28" i="7"/>
  <c r="BI46" i="7"/>
  <c r="BM46" i="7" s="1"/>
  <c r="BK26" i="7"/>
  <c r="BK42" i="7"/>
  <c r="BK34" i="7"/>
  <c r="BK40" i="7"/>
  <c r="BK5" i="7"/>
  <c r="BK8" i="7"/>
  <c r="BK33" i="7"/>
  <c r="BK17" i="7"/>
  <c r="BK50" i="7"/>
  <c r="BK49" i="7"/>
  <c r="BK11" i="7"/>
  <c r="BI10" i="7"/>
  <c r="BI39" i="7"/>
  <c r="BI18" i="7"/>
  <c r="BK15" i="7"/>
  <c r="BK18" i="7"/>
  <c r="BK13" i="7"/>
  <c r="BK47" i="7"/>
  <c r="BK43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CL44" i="7"/>
  <c r="CL46" i="7"/>
  <c r="CN11" i="7"/>
  <c r="CN56" i="7"/>
  <c r="CL37" i="7"/>
  <c r="CL20" i="7"/>
  <c r="CN34" i="7"/>
  <c r="CN5" i="7"/>
  <c r="CN17" i="7"/>
  <c r="CN31" i="7"/>
  <c r="CN7" i="7"/>
  <c r="CL49" i="7"/>
  <c r="CL31" i="7"/>
  <c r="CL12" i="7"/>
  <c r="CL13" i="7"/>
  <c r="CN38" i="7"/>
  <c r="CN36" i="7"/>
  <c r="CN54" i="7"/>
  <c r="CN22" i="7"/>
  <c r="CN27" i="7"/>
  <c r="CL50" i="7"/>
  <c r="CL52" i="7"/>
  <c r="CL8" i="7"/>
  <c r="CL51" i="7"/>
  <c r="CN53" i="7"/>
  <c r="CN6" i="7"/>
  <c r="CN13" i="7"/>
  <c r="CL41" i="7"/>
  <c r="CL56" i="7"/>
  <c r="CL16" i="7"/>
  <c r="CN23" i="7"/>
  <c r="CN50" i="7"/>
  <c r="CL25" i="7"/>
  <c r="CL26" i="7"/>
  <c r="CN37" i="7"/>
  <c r="CN24" i="7"/>
  <c r="CN19" i="7"/>
  <c r="CL42" i="7"/>
  <c r="CL34" i="7"/>
  <c r="CP34" i="7" s="1"/>
  <c r="CL32" i="7"/>
  <c r="CL38" i="7"/>
  <c r="CN51" i="7"/>
  <c r="CN45" i="7"/>
  <c r="CN55" i="7"/>
  <c r="CN43" i="7"/>
  <c r="CN30" i="7"/>
  <c r="CN42" i="7"/>
  <c r="CL40" i="7"/>
  <c r="CL43" i="7"/>
  <c r="CP43" i="7" s="1"/>
  <c r="CN48" i="7"/>
  <c r="CL9" i="7"/>
  <c r="CL10" i="7"/>
  <c r="AJ260" i="5"/>
  <c r="AJ143" i="5"/>
  <c r="AJ145" i="5"/>
  <c r="E8" i="7"/>
  <c r="A138" i="10" s="1"/>
  <c r="A7" i="10"/>
  <c r="AJ171" i="5"/>
  <c r="AJ239" i="5"/>
  <c r="AJ96" i="5"/>
  <c r="AP53" i="7"/>
  <c r="S53" i="7"/>
  <c r="S21" i="7"/>
  <c r="S48" i="7"/>
  <c r="S17" i="7"/>
  <c r="S36" i="7"/>
  <c r="S29" i="7"/>
  <c r="U28" i="7"/>
  <c r="S56" i="7"/>
  <c r="S8" i="7"/>
  <c r="S52" i="7"/>
  <c r="S54" i="7"/>
  <c r="S27" i="7"/>
  <c r="S43" i="7"/>
  <c r="S55" i="7"/>
  <c r="U33" i="7"/>
  <c r="S19" i="7"/>
  <c r="U43" i="7"/>
  <c r="U34" i="7"/>
  <c r="U14" i="7"/>
  <c r="S44" i="7"/>
  <c r="S18" i="7"/>
  <c r="U41" i="7"/>
  <c r="S50" i="7"/>
  <c r="S40" i="7"/>
  <c r="U26" i="7"/>
  <c r="U20" i="7"/>
  <c r="U53" i="7"/>
  <c r="U17" i="7"/>
  <c r="S24" i="7"/>
  <c r="U7" i="7"/>
  <c r="U56" i="7"/>
  <c r="S51" i="7"/>
  <c r="U36" i="7"/>
  <c r="S6" i="7"/>
  <c r="U37" i="7"/>
  <c r="S32" i="7"/>
  <c r="S37" i="7"/>
  <c r="U55" i="7"/>
  <c r="U32" i="7"/>
  <c r="U27" i="7"/>
  <c r="U44" i="7"/>
  <c r="U15" i="7"/>
  <c r="U42" i="7"/>
  <c r="S12" i="7"/>
  <c r="S41" i="7"/>
  <c r="S31" i="7"/>
  <c r="U19" i="7"/>
  <c r="U24" i="7"/>
  <c r="U31" i="7"/>
  <c r="U5" i="7"/>
  <c r="S33" i="7"/>
  <c r="W33" i="7" s="1"/>
  <c r="S13" i="7"/>
  <c r="S7" i="7"/>
  <c r="S35" i="7"/>
  <c r="S14" i="7"/>
  <c r="W14" i="7" s="1"/>
  <c r="U39" i="7"/>
  <c r="U9" i="7"/>
  <c r="U12" i="7"/>
  <c r="U18" i="7"/>
  <c r="U48" i="7"/>
  <c r="U8" i="7"/>
  <c r="S38" i="7"/>
  <c r="U30" i="7"/>
  <c r="U38" i="7"/>
  <c r="S45" i="7"/>
  <c r="U23" i="7"/>
  <c r="U46" i="7"/>
  <c r="U51" i="7"/>
  <c r="S46" i="7"/>
  <c r="S20" i="7"/>
  <c r="W20" i="7" s="1"/>
  <c r="S26" i="7"/>
  <c r="S11" i="7"/>
  <c r="S22" i="7"/>
  <c r="S34" i="7"/>
  <c r="W34" i="7" s="1"/>
  <c r="S5" i="7"/>
  <c r="U16" i="7"/>
  <c r="U11" i="7"/>
  <c r="U10" i="7"/>
  <c r="S10" i="7"/>
  <c r="U40" i="7"/>
  <c r="U49" i="7"/>
  <c r="U6" i="7"/>
  <c r="S30" i="7"/>
  <c r="W30" i="7" s="1"/>
  <c r="S25" i="7"/>
  <c r="S15" i="7"/>
  <c r="S49" i="7"/>
  <c r="S23" i="7"/>
  <c r="U35" i="7"/>
  <c r="U52" i="7"/>
  <c r="U21" i="7"/>
  <c r="S39" i="7"/>
  <c r="S9" i="7"/>
  <c r="S47" i="7"/>
  <c r="U29" i="7"/>
  <c r="U13" i="7"/>
  <c r="U25" i="7"/>
  <c r="U50" i="7"/>
  <c r="U45" i="7"/>
  <c r="S28" i="7"/>
  <c r="W28" i="7" s="1"/>
  <c r="U54" i="7"/>
  <c r="U22" i="7"/>
  <c r="S42" i="7"/>
  <c r="S16" i="7"/>
  <c r="U47" i="7"/>
  <c r="V75" i="5" a="1"/>
  <c r="V75" i="5" s="1"/>
  <c r="X75" i="5" a="1"/>
  <c r="X75" i="5" s="1"/>
  <c r="AL232" i="5"/>
  <c r="AL227" i="5"/>
  <c r="AL254" i="5"/>
  <c r="AL212" i="5"/>
  <c r="AL94" i="5"/>
  <c r="AL166" i="5"/>
  <c r="AL138" i="5"/>
  <c r="AL110" i="5"/>
  <c r="AL148" i="5"/>
  <c r="AL222" i="5"/>
  <c r="AL199" i="5"/>
  <c r="AL237" i="5"/>
  <c r="AL245" i="5"/>
  <c r="AL129" i="5"/>
  <c r="AL167" i="5"/>
  <c r="AL158" i="5"/>
  <c r="AL131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BH25" i="7"/>
  <c r="BJ45" i="7"/>
  <c r="BH31" i="7"/>
  <c r="BH17" i="7"/>
  <c r="BJ30" i="7"/>
  <c r="BH33" i="7"/>
  <c r="BH7" i="7"/>
  <c r="BH50" i="7"/>
  <c r="BJ51" i="7"/>
  <c r="BH41" i="7"/>
  <c r="BH49" i="7"/>
  <c r="BH51" i="7"/>
  <c r="BH11" i="7"/>
  <c r="BH46" i="7"/>
  <c r="BH21" i="7"/>
  <c r="BH27" i="7"/>
  <c r="BH6" i="7"/>
  <c r="BH37" i="7"/>
  <c r="BH56" i="7"/>
  <c r="BH16" i="7"/>
  <c r="BH26" i="7"/>
  <c r="BH53" i="7"/>
  <c r="BH36" i="7"/>
  <c r="BJ12" i="7"/>
  <c r="BJ56" i="7"/>
  <c r="BJ25" i="7"/>
  <c r="BH24" i="7"/>
  <c r="BJ44" i="7"/>
  <c r="BH14" i="7"/>
  <c r="BH12" i="7"/>
  <c r="BH45" i="7"/>
  <c r="BH35" i="7"/>
  <c r="BH15" i="7"/>
  <c r="BH9" i="7"/>
  <c r="BJ47" i="7"/>
  <c r="BJ55" i="7"/>
  <c r="BJ50" i="7"/>
  <c r="BJ22" i="7"/>
  <c r="BJ10" i="7"/>
  <c r="BJ32" i="7"/>
  <c r="BJ19" i="7"/>
  <c r="BJ14" i="7"/>
  <c r="BJ21" i="7"/>
  <c r="BJ23" i="7"/>
  <c r="BJ24" i="7"/>
  <c r="BJ11" i="7"/>
  <c r="BJ7" i="7"/>
  <c r="BJ39" i="7"/>
  <c r="BH55" i="7"/>
  <c r="BH5" i="7"/>
  <c r="BH23" i="7"/>
  <c r="BH42" i="7"/>
  <c r="BJ18" i="7"/>
  <c r="BJ41" i="7"/>
  <c r="BL41" i="7" s="1"/>
  <c r="BJ48" i="7"/>
  <c r="BH39" i="7"/>
  <c r="BL39" i="7" s="1"/>
  <c r="BH34" i="7"/>
  <c r="BH32" i="7"/>
  <c r="BH38" i="7"/>
  <c r="BH22" i="7"/>
  <c r="BH30" i="7"/>
  <c r="BL30" i="7" s="1"/>
  <c r="BH43" i="7"/>
  <c r="BH28" i="7"/>
  <c r="BJ52" i="7"/>
  <c r="BJ6" i="7"/>
  <c r="BJ16" i="7"/>
  <c r="BJ38" i="7"/>
  <c r="BJ49" i="7"/>
  <c r="BJ9" i="7"/>
  <c r="BJ53" i="7"/>
  <c r="BJ54" i="7"/>
  <c r="BJ28" i="7"/>
  <c r="BH54" i="7"/>
  <c r="BH8" i="7"/>
  <c r="BJ46" i="7"/>
  <c r="BJ27" i="7"/>
  <c r="BJ17" i="7"/>
  <c r="BJ42" i="7"/>
  <c r="BJ35" i="7"/>
  <c r="BH40" i="7"/>
  <c r="BH19" i="7"/>
  <c r="BL19" i="7" s="1"/>
  <c r="BH44" i="7"/>
  <c r="BH20" i="7"/>
  <c r="BH13" i="7"/>
  <c r="BH47" i="7"/>
  <c r="BH18" i="7"/>
  <c r="BH10" i="7"/>
  <c r="BL10" i="7" s="1"/>
  <c r="BH29" i="7"/>
  <c r="BJ13" i="7"/>
  <c r="BJ5" i="7"/>
  <c r="BJ29" i="7"/>
  <c r="BJ8" i="7"/>
  <c r="BJ43" i="7"/>
  <c r="BJ33" i="7"/>
  <c r="BJ20" i="7"/>
  <c r="BJ31" i="7"/>
  <c r="BJ37" i="7"/>
  <c r="BJ26" i="7"/>
  <c r="BJ15" i="7"/>
  <c r="BH48" i="7"/>
  <c r="BH52" i="7"/>
  <c r="BJ40" i="7"/>
  <c r="BJ34" i="7"/>
  <c r="BJ36" i="7"/>
  <c r="AJ192" i="5"/>
  <c r="AJ180" i="5"/>
  <c r="AJ181" i="5"/>
  <c r="AJ255" i="5"/>
  <c r="AJ129" i="5"/>
  <c r="AJ254" i="5"/>
  <c r="BZ47" i="7"/>
  <c r="Z41" i="7"/>
  <c r="Z20" i="7"/>
  <c r="X34" i="7"/>
  <c r="Z46" i="7"/>
  <c r="X10" i="7"/>
  <c r="X33" i="7"/>
  <c r="X56" i="7"/>
  <c r="Z5" i="7"/>
  <c r="X8" i="7"/>
  <c r="X32" i="7"/>
  <c r="X22" i="7"/>
  <c r="X39" i="7"/>
  <c r="Z56" i="7"/>
  <c r="X19" i="7"/>
  <c r="X14" i="7"/>
  <c r="X25" i="7"/>
  <c r="X38" i="7"/>
  <c r="X18" i="7"/>
  <c r="Z53" i="7"/>
  <c r="X44" i="7"/>
  <c r="X45" i="7"/>
  <c r="X5" i="7"/>
  <c r="Z28" i="7"/>
  <c r="X48" i="7"/>
  <c r="Z45" i="7"/>
  <c r="X42" i="7"/>
  <c r="X12" i="7"/>
  <c r="Z27" i="7"/>
  <c r="X51" i="7"/>
  <c r="X36" i="7"/>
  <c r="X54" i="7"/>
  <c r="X46" i="7"/>
  <c r="AB46" i="7" s="1"/>
  <c r="X53" i="7"/>
  <c r="Z11" i="7"/>
  <c r="X13" i="7"/>
  <c r="X23" i="7"/>
  <c r="Z48" i="7"/>
  <c r="X30" i="7"/>
  <c r="X16" i="7"/>
  <c r="X35" i="7"/>
  <c r="Z8" i="7"/>
  <c r="X52" i="7"/>
  <c r="X47" i="7"/>
  <c r="X24" i="7"/>
  <c r="X9" i="7"/>
  <c r="X55" i="7"/>
  <c r="Z49" i="7"/>
  <c r="X28" i="7"/>
  <c r="X37" i="7"/>
  <c r="X49" i="7"/>
  <c r="X7" i="7"/>
  <c r="Z40" i="7"/>
  <c r="Z38" i="7"/>
  <c r="Z37" i="7"/>
  <c r="Z44" i="7"/>
  <c r="Z51" i="7"/>
  <c r="Z15" i="7"/>
  <c r="Z23" i="7"/>
  <c r="Z39" i="7"/>
  <c r="Z22" i="7"/>
  <c r="Z12" i="7"/>
  <c r="Z33" i="7"/>
  <c r="Z10" i="7"/>
  <c r="X40" i="7"/>
  <c r="AB40" i="7" s="1"/>
  <c r="X26" i="7"/>
  <c r="X20" i="7"/>
  <c r="AB20" i="7" s="1"/>
  <c r="X50" i="7"/>
  <c r="Z24" i="7"/>
  <c r="X29" i="7"/>
  <c r="X11" i="7"/>
  <c r="AB11" i="7" s="1"/>
  <c r="Z19" i="7"/>
  <c r="X31" i="7"/>
  <c r="X6" i="7"/>
  <c r="Z18" i="7"/>
  <c r="Z25" i="7"/>
  <c r="Z13" i="7"/>
  <c r="Z55" i="7"/>
  <c r="Z16" i="7"/>
  <c r="Z9" i="7"/>
  <c r="Z52" i="7"/>
  <c r="Z43" i="7"/>
  <c r="Z29" i="7"/>
  <c r="Z54" i="7"/>
  <c r="Z47" i="7"/>
  <c r="Z21" i="7"/>
  <c r="Z30" i="7"/>
  <c r="Z35" i="7"/>
  <c r="X41" i="7"/>
  <c r="X15" i="7"/>
  <c r="AB15" i="7" s="1"/>
  <c r="Z31" i="7"/>
  <c r="X17" i="7"/>
  <c r="Z32" i="7"/>
  <c r="Z26" i="7"/>
  <c r="Z6" i="7"/>
  <c r="Z50" i="7"/>
  <c r="Z36" i="7"/>
  <c r="Z14" i="7"/>
  <c r="X27" i="7"/>
  <c r="X43" i="7"/>
  <c r="Z7" i="7"/>
  <c r="Z17" i="7"/>
  <c r="Z34" i="7"/>
  <c r="Z42" i="7"/>
  <c r="X21" i="7"/>
  <c r="AJ137" i="5"/>
  <c r="AJ130" i="5"/>
  <c r="AJ211" i="5"/>
  <c r="AJ166" i="5"/>
  <c r="AJ227" i="5"/>
  <c r="AJ235" i="5"/>
  <c r="AL92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BT36" i="7" l="1"/>
  <c r="C16" i="7"/>
  <c r="F55" i="7"/>
  <c r="C5" i="7"/>
  <c r="I48" i="7" s="1"/>
  <c r="C9" i="7"/>
  <c r="AE10" i="7" s="1"/>
  <c r="C11" i="7"/>
  <c r="AS30" i="7" s="1"/>
  <c r="AZ17" i="7"/>
  <c r="AZ42" i="7"/>
  <c r="C12" i="7"/>
  <c r="AW47" i="7" s="1"/>
  <c r="C19" i="7"/>
  <c r="CO56" i="7" s="1"/>
  <c r="BZ46" i="7"/>
  <c r="C17" i="7"/>
  <c r="BD26" i="7"/>
  <c r="C13" i="7"/>
  <c r="CF7" i="7"/>
  <c r="C18" i="7"/>
  <c r="BP5" i="7"/>
  <c r="C15" i="7"/>
  <c r="AZ21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P16" i="7" s="1"/>
  <c r="CL19" i="7"/>
  <c r="CL35" i="7"/>
  <c r="CN49" i="7"/>
  <c r="CP49" i="7" s="1"/>
  <c r="CL24" i="7"/>
  <c r="CP24" i="7" s="1"/>
  <c r="CN18" i="7"/>
  <c r="CN25" i="7"/>
  <c r="CP25" i="7" s="1"/>
  <c r="CL53" i="7"/>
  <c r="CP53" i="7" s="1"/>
  <c r="CN46" i="7"/>
  <c r="CL11" i="7"/>
  <c r="CL54" i="7"/>
  <c r="CP54" i="7" s="1"/>
  <c r="CL36" i="7"/>
  <c r="CP36" i="7" s="1"/>
  <c r="CN9" i="7"/>
  <c r="CP9" i="7" s="1"/>
  <c r="CL29" i="7"/>
  <c r="CL15" i="7"/>
  <c r="CL33" i="7"/>
  <c r="CN15" i="7"/>
  <c r="CN12" i="7"/>
  <c r="CL22" i="7"/>
  <c r="CP22" i="7" s="1"/>
  <c r="CL39" i="7"/>
  <c r="CN21" i="7"/>
  <c r="CP21" i="7" s="1"/>
  <c r="CL14" i="7"/>
  <c r="AS10" i="7"/>
  <c r="AP31" i="7"/>
  <c r="AR35" i="7"/>
  <c r="CL28" i="7"/>
  <c r="CN14" i="7"/>
  <c r="CL55" i="7"/>
  <c r="CP55" i="7" s="1"/>
  <c r="CN29" i="7"/>
  <c r="CP29" i="7" s="1"/>
  <c r="CL21" i="7"/>
  <c r="CN39" i="7"/>
  <c r="CL48" i="7"/>
  <c r="CP48" i="7" s="1"/>
  <c r="CN20" i="7"/>
  <c r="CN28" i="7"/>
  <c r="CN10" i="7"/>
  <c r="CP10" i="7" s="1"/>
  <c r="CN52" i="7"/>
  <c r="CP52" i="7" s="1"/>
  <c r="CL6" i="7"/>
  <c r="CP6" i="7" s="1"/>
  <c r="CL23" i="7"/>
  <c r="CN35" i="7"/>
  <c r="CL30" i="7"/>
  <c r="CP30" i="7" s="1"/>
  <c r="CL27" i="7"/>
  <c r="CP27" i="7" s="1"/>
  <c r="CN32" i="7"/>
  <c r="CN44" i="7"/>
  <c r="CP44" i="7" s="1"/>
  <c r="CL17" i="7"/>
  <c r="CP17" i="7" s="1"/>
  <c r="CL18" i="7"/>
  <c r="CP18" i="7" s="1"/>
  <c r="CL7" i="7"/>
  <c r="CN40" i="7"/>
  <c r="CP40" i="7" s="1"/>
  <c r="CN33" i="7"/>
  <c r="CL45" i="7"/>
  <c r="CP45" i="7" s="1"/>
  <c r="CN47" i="7"/>
  <c r="CN8" i="7"/>
  <c r="CP8" i="7" s="1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F24" i="7" s="1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F49" i="7" s="1"/>
  <c r="BB49" i="7"/>
  <c r="BD20" i="7"/>
  <c r="BB52" i="7"/>
  <c r="BF52" i="7" s="1"/>
  <c r="BB45" i="7"/>
  <c r="BF45" i="7" s="1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F26" i="7" s="1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D49" i="7" s="1"/>
  <c r="CB11" i="7"/>
  <c r="BZ20" i="7"/>
  <c r="CB14" i="7"/>
  <c r="BZ14" i="7"/>
  <c r="BZ19" i="7"/>
  <c r="CB56" i="7"/>
  <c r="BZ11" i="7"/>
  <c r="BZ41" i="7"/>
  <c r="CD41" i="7" s="1"/>
  <c r="CB6" i="7"/>
  <c r="CB53" i="7"/>
  <c r="BZ27" i="7"/>
  <c r="CB46" i="7"/>
  <c r="CD46" i="7" s="1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CD51" i="7" s="1"/>
  <c r="BZ13" i="7"/>
  <c r="BZ42" i="7"/>
  <c r="CB33" i="7"/>
  <c r="CB52" i="7"/>
  <c r="CB19" i="7"/>
  <c r="BZ55" i="7"/>
  <c r="BZ28" i="7"/>
  <c r="CB50" i="7"/>
  <c r="BZ7" i="7"/>
  <c r="CD7" i="7" s="1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CD16" i="7" s="1"/>
  <c r="BZ32" i="7"/>
  <c r="BZ36" i="7"/>
  <c r="CD36" i="7" s="1"/>
  <c r="CB35" i="7"/>
  <c r="BZ8" i="7"/>
  <c r="CD8" i="7" s="1"/>
  <c r="BB33" i="7"/>
  <c r="BP36" i="7"/>
  <c r="BR36" i="7" s="1"/>
  <c r="BN19" i="7"/>
  <c r="AJ15" i="7"/>
  <c r="AJ16" i="7"/>
  <c r="AX48" i="7"/>
  <c r="AX54" i="7"/>
  <c r="AZ54" i="7" s="1"/>
  <c r="AX30" i="7"/>
  <c r="AX32" i="7"/>
  <c r="AX8" i="7"/>
  <c r="AV45" i="7"/>
  <c r="AZ45" i="7" s="1"/>
  <c r="AX33" i="7"/>
  <c r="AZ33" i="7" s="1"/>
  <c r="AX16" i="7"/>
  <c r="AV50" i="7"/>
  <c r="AZ50" i="7" s="1"/>
  <c r="AX47" i="7"/>
  <c r="AZ47" i="7" s="1"/>
  <c r="AX43" i="7"/>
  <c r="AZ43" i="7" s="1"/>
  <c r="AX38" i="7"/>
  <c r="AV12" i="7"/>
  <c r="AV25" i="7"/>
  <c r="AZ25" i="7" s="1"/>
  <c r="AV38" i="7"/>
  <c r="AZ38" i="7" s="1"/>
  <c r="AV48" i="7"/>
  <c r="AX37" i="7"/>
  <c r="AV39" i="7"/>
  <c r="AX5" i="7"/>
  <c r="AZ5" i="7" s="1"/>
  <c r="AV43" i="7"/>
  <c r="AV55" i="7"/>
  <c r="AX27" i="7"/>
  <c r="AV16" i="7"/>
  <c r="AZ16" i="7" s="1"/>
  <c r="AV9" i="7"/>
  <c r="AZ9" i="7" s="1"/>
  <c r="AV51" i="7"/>
  <c r="AZ51" i="7" s="1"/>
  <c r="AV8" i="7"/>
  <c r="AX6" i="7"/>
  <c r="AZ6" i="7" s="1"/>
  <c r="AV15" i="7"/>
  <c r="AX23" i="7"/>
  <c r="AZ23" i="7" s="1"/>
  <c r="AX15" i="7"/>
  <c r="AV41" i="7"/>
  <c r="AX52" i="7"/>
  <c r="AX11" i="7"/>
  <c r="AX55" i="7"/>
  <c r="AV19" i="7"/>
  <c r="AZ19" i="7" s="1"/>
  <c r="AX34" i="7"/>
  <c r="AX41" i="7"/>
  <c r="AX12" i="7"/>
  <c r="AV53" i="7"/>
  <c r="AZ53" i="7" s="1"/>
  <c r="AX39" i="7"/>
  <c r="AV27" i="7"/>
  <c r="AV22" i="7"/>
  <c r="AX40" i="7"/>
  <c r="AZ40" i="7" s="1"/>
  <c r="AX22" i="7"/>
  <c r="AV32" i="7"/>
  <c r="AV52" i="7"/>
  <c r="AZ52" i="7" s="1"/>
  <c r="AV14" i="7"/>
  <c r="AZ14" i="7" s="1"/>
  <c r="AX26" i="7"/>
  <c r="AV37" i="7"/>
  <c r="AZ37" i="7" s="1"/>
  <c r="AV44" i="7"/>
  <c r="AZ44" i="7" s="1"/>
  <c r="AV20" i="7"/>
  <c r="AZ20" i="7" s="1"/>
  <c r="AV6" i="7"/>
  <c r="AE14" i="7"/>
  <c r="AE56" i="7"/>
  <c r="AF28" i="7"/>
  <c r="BV21" i="7"/>
  <c r="AF21" i="7"/>
  <c r="AG18" i="7"/>
  <c r="AS5" i="7"/>
  <c r="AU5" i="7" s="1"/>
  <c r="AQ5" i="7"/>
  <c r="AQ37" i="7"/>
  <c r="AS55" i="7"/>
  <c r="AQ47" i="7"/>
  <c r="AR43" i="7"/>
  <c r="AP26" i="7"/>
  <c r="AR26" i="7"/>
  <c r="AE8" i="7"/>
  <c r="AE36" i="7"/>
  <c r="AE22" i="7"/>
  <c r="AD19" i="7"/>
  <c r="AD10" i="7"/>
  <c r="AD26" i="7"/>
  <c r="AQ13" i="7"/>
  <c r="AQ31" i="7"/>
  <c r="AQ36" i="7"/>
  <c r="AS7" i="7"/>
  <c r="AQ14" i="7"/>
  <c r="AS45" i="7"/>
  <c r="AQ20" i="7"/>
  <c r="AR5" i="7"/>
  <c r="AP40" i="7"/>
  <c r="AR22" i="7"/>
  <c r="AP18" i="7"/>
  <c r="AQ38" i="7"/>
  <c r="AS49" i="7"/>
  <c r="AQ35" i="7"/>
  <c r="AQ45" i="7"/>
  <c r="AS21" i="7"/>
  <c r="AQ7" i="7"/>
  <c r="AS31" i="7"/>
  <c r="AQ43" i="7"/>
  <c r="AQ33" i="7"/>
  <c r="AQ49" i="7"/>
  <c r="AU49" i="7" s="1"/>
  <c r="AQ16" i="7"/>
  <c r="AQ24" i="7"/>
  <c r="AS18" i="7"/>
  <c r="AS44" i="7"/>
  <c r="AQ27" i="7"/>
  <c r="AS56" i="7"/>
  <c r="AS14" i="7"/>
  <c r="AS28" i="7"/>
  <c r="AS9" i="7"/>
  <c r="AQ54" i="7"/>
  <c r="AP29" i="7"/>
  <c r="AR45" i="7"/>
  <c r="AR46" i="7"/>
  <c r="AP42" i="7"/>
  <c r="AP37" i="7"/>
  <c r="AR17" i="7"/>
  <c r="AJ48" i="7"/>
  <c r="AE48" i="7"/>
  <c r="AE24" i="7"/>
  <c r="AG10" i="7"/>
  <c r="AD17" i="7"/>
  <c r="AF56" i="7"/>
  <c r="AD24" i="7"/>
  <c r="AQ41" i="7"/>
  <c r="AQ48" i="7"/>
  <c r="AS12" i="7"/>
  <c r="AQ46" i="7"/>
  <c r="AS15" i="7"/>
  <c r="AS26" i="7"/>
  <c r="AS20" i="7"/>
  <c r="AQ30" i="7"/>
  <c r="AS39" i="7"/>
  <c r="AS54" i="7"/>
  <c r="AQ21" i="7"/>
  <c r="AQ50" i="7"/>
  <c r="AQ17" i="7"/>
  <c r="AS34" i="7"/>
  <c r="AQ12" i="7"/>
  <c r="AU12" i="7" s="1"/>
  <c r="AS50" i="7"/>
  <c r="AQ10" i="7"/>
  <c r="AQ28" i="7"/>
  <c r="AQ15" i="7"/>
  <c r="AS27" i="7"/>
  <c r="AS23" i="7"/>
  <c r="AQ51" i="7"/>
  <c r="AS53" i="7"/>
  <c r="AS38" i="7"/>
  <c r="AS37" i="7"/>
  <c r="AQ56" i="7"/>
  <c r="AS25" i="7"/>
  <c r="AR12" i="7"/>
  <c r="AP54" i="7"/>
  <c r="AR44" i="7"/>
  <c r="AP7" i="7"/>
  <c r="AR9" i="7"/>
  <c r="AR24" i="7"/>
  <c r="AL47" i="7"/>
  <c r="AE55" i="7"/>
  <c r="AG54" i="7"/>
  <c r="AG33" i="7"/>
  <c r="AG32" i="7"/>
  <c r="AF26" i="7"/>
  <c r="AF55" i="7"/>
  <c r="AF52" i="7"/>
  <c r="AD9" i="7"/>
  <c r="AQ40" i="7"/>
  <c r="AS52" i="7"/>
  <c r="AQ18" i="7"/>
  <c r="AS47" i="7"/>
  <c r="AS16" i="7"/>
  <c r="AQ11" i="7"/>
  <c r="AQ26" i="7"/>
  <c r="AQ23" i="7"/>
  <c r="AQ42" i="7"/>
  <c r="AQ39" i="7"/>
  <c r="AS51" i="7"/>
  <c r="AQ52" i="7"/>
  <c r="AU52" i="7" s="1"/>
  <c r="AQ53" i="7"/>
  <c r="AU53" i="7" s="1"/>
  <c r="AQ29" i="7"/>
  <c r="AQ9" i="7"/>
  <c r="AQ8" i="7"/>
  <c r="AS11" i="7"/>
  <c r="AS22" i="7"/>
  <c r="AQ25" i="7"/>
  <c r="AS42" i="7"/>
  <c r="AS19" i="7"/>
  <c r="AS36" i="7"/>
  <c r="AS41" i="7"/>
  <c r="AS35" i="7"/>
  <c r="AS46" i="7"/>
  <c r="AP39" i="7"/>
  <c r="AR7" i="7"/>
  <c r="AP50" i="7"/>
  <c r="AP41" i="7"/>
  <c r="AP22" i="7"/>
  <c r="AR28" i="7"/>
  <c r="AR31" i="7"/>
  <c r="AP16" i="7"/>
  <c r="AT16" i="7" s="1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T12" i="7" s="1"/>
  <c r="AR55" i="7"/>
  <c r="AR32" i="7"/>
  <c r="AR25" i="7"/>
  <c r="AG34" i="7"/>
  <c r="AE30" i="7"/>
  <c r="AG56" i="7"/>
  <c r="AE9" i="7"/>
  <c r="AE13" i="7"/>
  <c r="AG8" i="7"/>
  <c r="AE46" i="7"/>
  <c r="AG30" i="7"/>
  <c r="AE40" i="7"/>
  <c r="AG21" i="7"/>
  <c r="AE44" i="7"/>
  <c r="AG53" i="7"/>
  <c r="AE16" i="7"/>
  <c r="BT41" i="7"/>
  <c r="BV11" i="7"/>
  <c r="AF38" i="7"/>
  <c r="AF50" i="7"/>
  <c r="AD48" i="7"/>
  <c r="AD55" i="7"/>
  <c r="AH55" i="7" s="1"/>
  <c r="AF40" i="7"/>
  <c r="AF36" i="7"/>
  <c r="AD38" i="7"/>
  <c r="AF34" i="7"/>
  <c r="AF27" i="7"/>
  <c r="AD18" i="7"/>
  <c r="AD11" i="7"/>
  <c r="AD53" i="7"/>
  <c r="AD34" i="7"/>
  <c r="AP19" i="7"/>
  <c r="AP9" i="7"/>
  <c r="AT9" i="7" s="1"/>
  <c r="AP34" i="7"/>
  <c r="AP24" i="7"/>
  <c r="AT24" i="7" s="1"/>
  <c r="AP5" i="7"/>
  <c r="AP36" i="7"/>
  <c r="AT36" i="7" s="1"/>
  <c r="AR13" i="7"/>
  <c r="AP6" i="7"/>
  <c r="AP25" i="7"/>
  <c r="AP49" i="7"/>
  <c r="AR48" i="7"/>
  <c r="AP30" i="7"/>
  <c r="AP13" i="7"/>
  <c r="AT13" i="7" s="1"/>
  <c r="AP43" i="7"/>
  <c r="AT43" i="7" s="1"/>
  <c r="AR20" i="7"/>
  <c r="AP8" i="7"/>
  <c r="AR11" i="7"/>
  <c r="AR29" i="7"/>
  <c r="AR38" i="7"/>
  <c r="AR27" i="7"/>
  <c r="AR49" i="7"/>
  <c r="AR23" i="7"/>
  <c r="AR16" i="7"/>
  <c r="AR56" i="7"/>
  <c r="AR47" i="7"/>
  <c r="AR19" i="7"/>
  <c r="AE35" i="7"/>
  <c r="AG42" i="7"/>
  <c r="AE33" i="7"/>
  <c r="AE32" i="7"/>
  <c r="AG40" i="7"/>
  <c r="AE20" i="7"/>
  <c r="AE25" i="7"/>
  <c r="AG51" i="7"/>
  <c r="AG24" i="7"/>
  <c r="AG27" i="7"/>
  <c r="AE51" i="7"/>
  <c r="AG55" i="7"/>
  <c r="AE28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T15" i="7" s="1"/>
  <c r="AP21" i="7"/>
  <c r="AP27" i="7"/>
  <c r="AP47" i="7"/>
  <c r="AP46" i="7"/>
  <c r="AP10" i="7"/>
  <c r="AT10" i="7" s="1"/>
  <c r="AR52" i="7"/>
  <c r="AP51" i="7"/>
  <c r="AP14" i="7"/>
  <c r="AR34" i="7"/>
  <c r="AT34" i="7" s="1"/>
  <c r="AP44" i="7"/>
  <c r="AT44" i="7" s="1"/>
  <c r="AP20" i="7"/>
  <c r="AT20" i="7" s="1"/>
  <c r="AP52" i="7"/>
  <c r="AR6" i="7"/>
  <c r="AP23" i="7"/>
  <c r="AR14" i="7"/>
  <c r="AR18" i="7"/>
  <c r="AR21" i="7"/>
  <c r="AP32" i="7"/>
  <c r="AT32" i="7" s="1"/>
  <c r="AR39" i="7"/>
  <c r="AR51" i="7"/>
  <c r="AP48" i="7"/>
  <c r="AR8" i="7"/>
  <c r="AP56" i="7"/>
  <c r="AR50" i="7"/>
  <c r="AE50" i="7"/>
  <c r="AG43" i="7"/>
  <c r="AE41" i="7"/>
  <c r="AE42" i="7"/>
  <c r="AG26" i="7"/>
  <c r="AE5" i="7"/>
  <c r="AE29" i="7"/>
  <c r="AE18" i="7"/>
  <c r="AE34" i="7"/>
  <c r="AG25" i="7"/>
  <c r="AG13" i="7"/>
  <c r="AG38" i="7"/>
  <c r="AG7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X21" i="7" s="1"/>
  <c r="BV35" i="7"/>
  <c r="BT23" i="7"/>
  <c r="BT24" i="7"/>
  <c r="BT10" i="7"/>
  <c r="BV6" i="7"/>
  <c r="AL48" i="7"/>
  <c r="AJ33" i="7"/>
  <c r="AL31" i="7"/>
  <c r="AJ30" i="7"/>
  <c r="AJ44" i="7"/>
  <c r="AG22" i="7"/>
  <c r="AE27" i="7"/>
  <c r="AE37" i="7"/>
  <c r="AG12" i="7"/>
  <c r="AG31" i="7"/>
  <c r="AE26" i="7"/>
  <c r="AE17" i="7"/>
  <c r="AG44" i="7"/>
  <c r="AE38" i="7"/>
  <c r="AI38" i="7" s="1"/>
  <c r="AG48" i="7"/>
  <c r="AG36" i="7"/>
  <c r="AE7" i="7"/>
  <c r="AI7" i="7" s="1"/>
  <c r="AE31" i="7"/>
  <c r="AI31" i="7" s="1"/>
  <c r="AE52" i="7"/>
  <c r="AG20" i="7"/>
  <c r="AE54" i="7"/>
  <c r="AI54" i="7" s="1"/>
  <c r="AG50" i="7"/>
  <c r="AG19" i="7"/>
  <c r="AG28" i="7"/>
  <c r="AE47" i="7"/>
  <c r="AE19" i="7"/>
  <c r="AG46" i="7"/>
  <c r="AG47" i="7"/>
  <c r="AG11" i="7"/>
  <c r="AG41" i="7"/>
  <c r="AG9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H43" i="7" s="1"/>
  <c r="AF29" i="7"/>
  <c r="AD29" i="7"/>
  <c r="AD22" i="7"/>
  <c r="AD31" i="7"/>
  <c r="AD50" i="7"/>
  <c r="AJ22" i="7"/>
  <c r="AN22" i="7" s="1"/>
  <c r="AL29" i="7"/>
  <c r="AL22" i="7"/>
  <c r="AJ6" i="7"/>
  <c r="AG16" i="7"/>
  <c r="AE23" i="7"/>
  <c r="AG49" i="7"/>
  <c r="AG23" i="7"/>
  <c r="AE53" i="7"/>
  <c r="AE39" i="7"/>
  <c r="AE43" i="7"/>
  <c r="AG29" i="7"/>
  <c r="AG52" i="7"/>
  <c r="AG45" i="7"/>
  <c r="AG37" i="7"/>
  <c r="AE21" i="7"/>
  <c r="AE11" i="7"/>
  <c r="AE12" i="7"/>
  <c r="AG15" i="7"/>
  <c r="AE45" i="7"/>
  <c r="AG17" i="7"/>
  <c r="AI17" i="7" s="1"/>
  <c r="AG39" i="7"/>
  <c r="AG6" i="7"/>
  <c r="AE6" i="7"/>
  <c r="AE15" i="7"/>
  <c r="AI15" i="7" s="1"/>
  <c r="AG35" i="7"/>
  <c r="AG14" i="7"/>
  <c r="AE49" i="7"/>
  <c r="AG5" i="7"/>
  <c r="AD23" i="7"/>
  <c r="AH23" i="7" s="1"/>
  <c r="AD39" i="7"/>
  <c r="AF49" i="7"/>
  <c r="AF17" i="7"/>
  <c r="AD25" i="7"/>
  <c r="AH25" i="7" s="1"/>
  <c r="AD32" i="7"/>
  <c r="AD44" i="7"/>
  <c r="AF19" i="7"/>
  <c r="AF6" i="7"/>
  <c r="AD56" i="7"/>
  <c r="AF24" i="7"/>
  <c r="AH24" i="7" s="1"/>
  <c r="AF45" i="7"/>
  <c r="AD40" i="7"/>
  <c r="AD49" i="7"/>
  <c r="AF15" i="7"/>
  <c r="AF41" i="7"/>
  <c r="AF31" i="7"/>
  <c r="AF47" i="7"/>
  <c r="AD45" i="7"/>
  <c r="AD13" i="7"/>
  <c r="AH13" i="7" s="1"/>
  <c r="AD21" i="7"/>
  <c r="AF35" i="7"/>
  <c r="AF30" i="7"/>
  <c r="AD35" i="7"/>
  <c r="AH35" i="7" s="1"/>
  <c r="AD12" i="7"/>
  <c r="AF53" i="7"/>
  <c r="BV14" i="7"/>
  <c r="BV51" i="7"/>
  <c r="BT55" i="7"/>
  <c r="BV40" i="7"/>
  <c r="BT12" i="7"/>
  <c r="BV24" i="7"/>
  <c r="BT35" i="7"/>
  <c r="BX35" i="7" s="1"/>
  <c r="BT45" i="7"/>
  <c r="BV9" i="7"/>
  <c r="BT32" i="7"/>
  <c r="BV38" i="7"/>
  <c r="BT48" i="7"/>
  <c r="BV31" i="7"/>
  <c r="BV27" i="7"/>
  <c r="BT20" i="7"/>
  <c r="BT44" i="7"/>
  <c r="BT19" i="7"/>
  <c r="AL50" i="7"/>
  <c r="BT15" i="7"/>
  <c r="BU16" i="7"/>
  <c r="L6" i="7"/>
  <c r="F29" i="7"/>
  <c r="I47" i="7"/>
  <c r="CO42" i="7"/>
  <c r="AY15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J21" i="7" s="1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J41" i="7" s="1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J7" i="7" s="1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J29" i="7" s="1"/>
  <c r="CF53" i="7"/>
  <c r="CJ53" i="7" s="1"/>
  <c r="CF26" i="7"/>
  <c r="CF15" i="7"/>
  <c r="CH26" i="7"/>
  <c r="CF14" i="7"/>
  <c r="CF5" i="7"/>
  <c r="CH42" i="7"/>
  <c r="CF32" i="7"/>
  <c r="CF43" i="7"/>
  <c r="CJ43" i="7" s="1"/>
  <c r="AL32" i="7"/>
  <c r="AL21" i="7"/>
  <c r="AJ12" i="7"/>
  <c r="AL40" i="7"/>
  <c r="AL14" i="7"/>
  <c r="AJ35" i="7"/>
  <c r="AJ20" i="7"/>
  <c r="AJ52" i="7"/>
  <c r="AJ27" i="7"/>
  <c r="AJ41" i="7"/>
  <c r="AJ53" i="7"/>
  <c r="AL26" i="7"/>
  <c r="BU13" i="7"/>
  <c r="BU18" i="7"/>
  <c r="BU34" i="7"/>
  <c r="BU6" i="7"/>
  <c r="BW23" i="7"/>
  <c r="BW15" i="7"/>
  <c r="BW46" i="7"/>
  <c r="BU23" i="7"/>
  <c r="BU43" i="7"/>
  <c r="BU41" i="7"/>
  <c r="BU40" i="7"/>
  <c r="BW45" i="7"/>
  <c r="BW18" i="7"/>
  <c r="BU42" i="7"/>
  <c r="BB42" i="7"/>
  <c r="BD10" i="7"/>
  <c r="BF10" i="7" s="1"/>
  <c r="BB34" i="7"/>
  <c r="BB30" i="7"/>
  <c r="BD56" i="7"/>
  <c r="BB8" i="7"/>
  <c r="BB11" i="7"/>
  <c r="BD25" i="7"/>
  <c r="BD27" i="7"/>
  <c r="BB7" i="7"/>
  <c r="BD35" i="7"/>
  <c r="BB18" i="7"/>
  <c r="BB28" i="7"/>
  <c r="BF28" i="7" s="1"/>
  <c r="BD22" i="7"/>
  <c r="BD6" i="7"/>
  <c r="BD55" i="7"/>
  <c r="BB16" i="7"/>
  <c r="BB47" i="7"/>
  <c r="BB12" i="7"/>
  <c r="BB38" i="7"/>
  <c r="BD29" i="7"/>
  <c r="BB31" i="7"/>
  <c r="BF31" i="7" s="1"/>
  <c r="BB13" i="7"/>
  <c r="BF13" i="7" s="1"/>
  <c r="BD15" i="7"/>
  <c r="BF15" i="7" s="1"/>
  <c r="BD8" i="7"/>
  <c r="BB14" i="7"/>
  <c r="BD36" i="7"/>
  <c r="BB32" i="7"/>
  <c r="BB9" i="7"/>
  <c r="BD9" i="7"/>
  <c r="BD47" i="7"/>
  <c r="BD54" i="7"/>
  <c r="BB29" i="7"/>
  <c r="BF29" i="7" s="1"/>
  <c r="BD43" i="7"/>
  <c r="BF43" i="7" s="1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J49" i="7" s="1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X6" i="7" s="1"/>
  <c r="BV28" i="7"/>
  <c r="BT22" i="7"/>
  <c r="BT39" i="7"/>
  <c r="BT54" i="7"/>
  <c r="BV15" i="7"/>
  <c r="BT50" i="7"/>
  <c r="BT34" i="7"/>
  <c r="BT56" i="7"/>
  <c r="N16" i="7"/>
  <c r="N53" i="7"/>
  <c r="N40" i="7"/>
  <c r="G26" i="7"/>
  <c r="L46" i="7"/>
  <c r="G14" i="7"/>
  <c r="L38" i="7"/>
  <c r="L34" i="7"/>
  <c r="I5" i="7"/>
  <c r="N12" i="7"/>
  <c r="L54" i="7"/>
  <c r="I9" i="7"/>
  <c r="N18" i="7"/>
  <c r="G37" i="7"/>
  <c r="CO52" i="7"/>
  <c r="L31" i="7"/>
  <c r="N35" i="7"/>
  <c r="N50" i="7"/>
  <c r="G34" i="7"/>
  <c r="AY7" i="7"/>
  <c r="AW32" i="7"/>
  <c r="CO15" i="7"/>
  <c r="CM47" i="7"/>
  <c r="CM33" i="7"/>
  <c r="CO6" i="7"/>
  <c r="CO51" i="7"/>
  <c r="BV47" i="7"/>
  <c r="BV20" i="7"/>
  <c r="BV54" i="7"/>
  <c r="BT17" i="7"/>
  <c r="BT33" i="7"/>
  <c r="BT13" i="7"/>
  <c r="BV36" i="7"/>
  <c r="BX36" i="7" s="1"/>
  <c r="BT40" i="7"/>
  <c r="BX40" i="7" s="1"/>
  <c r="BV37" i="7"/>
  <c r="BT18" i="7"/>
  <c r="BV53" i="7"/>
  <c r="BV48" i="7"/>
  <c r="BV45" i="7"/>
  <c r="BT8" i="7"/>
  <c r="BV26" i="7"/>
  <c r="CM40" i="7"/>
  <c r="CM44" i="7"/>
  <c r="F25" i="7"/>
  <c r="H18" i="7"/>
  <c r="L30" i="7"/>
  <c r="N30" i="7"/>
  <c r="L5" i="7"/>
  <c r="N34" i="7"/>
  <c r="L25" i="7"/>
  <c r="L7" i="7"/>
  <c r="CM16" i="7"/>
  <c r="CM28" i="7"/>
  <c r="CM11" i="7"/>
  <c r="CM27" i="7"/>
  <c r="CM20" i="7"/>
  <c r="AY10" i="7"/>
  <c r="AW56" i="7"/>
  <c r="AW22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CO41" i="7"/>
  <c r="CM24" i="7"/>
  <c r="CO47" i="7"/>
  <c r="CO14" i="7"/>
  <c r="CM19" i="7"/>
  <c r="CM10" i="7"/>
  <c r="CO17" i="7"/>
  <c r="CM55" i="7"/>
  <c r="AY12" i="7"/>
  <c r="AY37" i="7"/>
  <c r="AW19" i="7"/>
  <c r="AW10" i="7"/>
  <c r="F7" i="7"/>
  <c r="H56" i="7"/>
  <c r="L47" i="7"/>
  <c r="N11" i="7"/>
  <c r="N42" i="7"/>
  <c r="L14" i="7"/>
  <c r="N26" i="7"/>
  <c r="L29" i="7"/>
  <c r="L27" i="7"/>
  <c r="CO29" i="7"/>
  <c r="CM52" i="7"/>
  <c r="CO22" i="7"/>
  <c r="CO40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CM26" i="7"/>
  <c r="CM49" i="7"/>
  <c r="CO20" i="7"/>
  <c r="CO39" i="7"/>
  <c r="CM6" i="7"/>
  <c r="CM50" i="7"/>
  <c r="CO31" i="7"/>
  <c r="CM17" i="7"/>
  <c r="AY22" i="7"/>
  <c r="AY56" i="7"/>
  <c r="AW42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J18" i="7" s="1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J55" i="7" s="1"/>
  <c r="AW18" i="7"/>
  <c r="AW35" i="7"/>
  <c r="AW53" i="7"/>
  <c r="AW28" i="7"/>
  <c r="AY34" i="7"/>
  <c r="AW8" i="7"/>
  <c r="AW44" i="7"/>
  <c r="AY54" i="7"/>
  <c r="AY16" i="7"/>
  <c r="AW16" i="7"/>
  <c r="AW55" i="7"/>
  <c r="AW30" i="7"/>
  <c r="AY38" i="7"/>
  <c r="AW52" i="7"/>
  <c r="AY43" i="7"/>
  <c r="AY14" i="7"/>
  <c r="AY35" i="7"/>
  <c r="AW34" i="7"/>
  <c r="AW45" i="7"/>
  <c r="AY49" i="7"/>
  <c r="AY11" i="7"/>
  <c r="AY19" i="7"/>
  <c r="AY13" i="7"/>
  <c r="AY24" i="7"/>
  <c r="AY21" i="7"/>
  <c r="AY32" i="7"/>
  <c r="AW37" i="7"/>
  <c r="AW54" i="7"/>
  <c r="BA54" i="7" s="1"/>
  <c r="AW36" i="7"/>
  <c r="AW15" i="7"/>
  <c r="AW31" i="7"/>
  <c r="AW23" i="7"/>
  <c r="AW33" i="7"/>
  <c r="AY28" i="7"/>
  <c r="AY52" i="7"/>
  <c r="AW29" i="7"/>
  <c r="AW40" i="7"/>
  <c r="AW24" i="7"/>
  <c r="AY20" i="7"/>
  <c r="AW5" i="7"/>
  <c r="AY25" i="7"/>
  <c r="AY6" i="7"/>
  <c r="AY40" i="7"/>
  <c r="AY55" i="7"/>
  <c r="AW7" i="7"/>
  <c r="AY44" i="7"/>
  <c r="AY29" i="7"/>
  <c r="AY39" i="7"/>
  <c r="AW38" i="7"/>
  <c r="BA38" i="7" s="1"/>
  <c r="AY45" i="7"/>
  <c r="AY41" i="7"/>
  <c r="AY27" i="7"/>
  <c r="AW14" i="7"/>
  <c r="AW39" i="7"/>
  <c r="AW48" i="7"/>
  <c r="AW12" i="7"/>
  <c r="AW6" i="7"/>
  <c r="AW43" i="7"/>
  <c r="AW25" i="7"/>
  <c r="AW27" i="7"/>
  <c r="BA27" i="7" s="1"/>
  <c r="AW46" i="7"/>
  <c r="AY18" i="7"/>
  <c r="AW21" i="7"/>
  <c r="AW20" i="7"/>
  <c r="AW13" i="7"/>
  <c r="AY26" i="7"/>
  <c r="AY17" i="7"/>
  <c r="AY5" i="7"/>
  <c r="AY33" i="7"/>
  <c r="AY9" i="7"/>
  <c r="AY36" i="7"/>
  <c r="AY8" i="7"/>
  <c r="AY50" i="7"/>
  <c r="AY51" i="7"/>
  <c r="AY23" i="7"/>
  <c r="AW41" i="7"/>
  <c r="L50" i="7"/>
  <c r="L17" i="7"/>
  <c r="L39" i="7"/>
  <c r="P39" i="7" s="1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P48" i="7" s="1"/>
  <c r="N32" i="7"/>
  <c r="L22" i="7"/>
  <c r="L18" i="7"/>
  <c r="N19" i="7"/>
  <c r="N31" i="7"/>
  <c r="N22" i="7"/>
  <c r="L28" i="7"/>
  <c r="N38" i="7"/>
  <c r="L16" i="7"/>
  <c r="CM37" i="7"/>
  <c r="CM22" i="7"/>
  <c r="CQ22" i="7" s="1"/>
  <c r="CM21" i="7"/>
  <c r="CM34" i="7"/>
  <c r="CO46" i="7"/>
  <c r="CM48" i="7"/>
  <c r="CM51" i="7"/>
  <c r="CM7" i="7"/>
  <c r="CO36" i="7"/>
  <c r="CO45" i="7"/>
  <c r="CM15" i="7"/>
  <c r="CO12" i="7"/>
  <c r="CO55" i="7"/>
  <c r="CM42" i="7"/>
  <c r="CM13" i="7"/>
  <c r="AY42" i="7"/>
  <c r="AW9" i="7"/>
  <c r="AY30" i="7"/>
  <c r="AY31" i="7"/>
  <c r="AW51" i="7"/>
  <c r="BA51" i="7" s="1"/>
  <c r="AY48" i="7"/>
  <c r="AW50" i="7"/>
  <c r="H16" i="7"/>
  <c r="H14" i="7"/>
  <c r="F9" i="7"/>
  <c r="H30" i="7"/>
  <c r="H34" i="7"/>
  <c r="H22" i="7"/>
  <c r="CQ52" i="7"/>
  <c r="CO21" i="7"/>
  <c r="CO37" i="7"/>
  <c r="CM45" i="7"/>
  <c r="CM32" i="7"/>
  <c r="CO30" i="7"/>
  <c r="CM31" i="7"/>
  <c r="CQ31" i="7" s="1"/>
  <c r="CO23" i="7"/>
  <c r="CO27" i="7"/>
  <c r="CM41" i="7"/>
  <c r="CO48" i="7"/>
  <c r="CM54" i="7"/>
  <c r="CM30" i="7"/>
  <c r="CO28" i="7"/>
  <c r="CO54" i="7"/>
  <c r="CM38" i="7"/>
  <c r="CO43" i="7"/>
  <c r="CM35" i="7"/>
  <c r="CO50" i="7"/>
  <c r="CO49" i="7"/>
  <c r="CM12" i="7"/>
  <c r="CM9" i="7"/>
  <c r="CO8" i="7"/>
  <c r="CO26" i="7"/>
  <c r="CM56" i="7"/>
  <c r="CO25" i="7"/>
  <c r="CM46" i="7"/>
  <c r="CO34" i="7"/>
  <c r="CO35" i="7"/>
  <c r="CM18" i="7"/>
  <c r="CM14" i="7"/>
  <c r="CO24" i="7"/>
  <c r="CO9" i="7"/>
  <c r="CO19" i="7"/>
  <c r="CO53" i="7"/>
  <c r="CM43" i="7"/>
  <c r="CO33" i="7"/>
  <c r="CM25" i="7"/>
  <c r="CQ25" i="7" s="1"/>
  <c r="L9" i="7"/>
  <c r="N10" i="7"/>
  <c r="L45" i="7"/>
  <c r="L13" i="7"/>
  <c r="L24" i="7"/>
  <c r="N45" i="7"/>
  <c r="L19" i="7"/>
  <c r="L44" i="7"/>
  <c r="P44" i="7" s="1"/>
  <c r="L42" i="7"/>
  <c r="P42" i="7" s="1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CO13" i="7"/>
  <c r="CO11" i="7"/>
  <c r="CO18" i="7"/>
  <c r="CM29" i="7"/>
  <c r="CM8" i="7"/>
  <c r="CO38" i="7"/>
  <c r="CM5" i="7"/>
  <c r="CM53" i="7"/>
  <c r="CQ53" i="7" s="1"/>
  <c r="CM36" i="7"/>
  <c r="CO16" i="7"/>
  <c r="CO7" i="7"/>
  <c r="CM23" i="7"/>
  <c r="CO32" i="7"/>
  <c r="CO5" i="7"/>
  <c r="CO44" i="7"/>
  <c r="CM39" i="7"/>
  <c r="CO10" i="7"/>
  <c r="AY46" i="7"/>
  <c r="AY53" i="7"/>
  <c r="AW26" i="7"/>
  <c r="AY47" i="7"/>
  <c r="AW49" i="7"/>
  <c r="AW11" i="7"/>
  <c r="AW17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40" i="7"/>
  <c r="BU15" i="7"/>
  <c r="BW17" i="7"/>
  <c r="BU30" i="7"/>
  <c r="BU49" i="7"/>
  <c r="BW53" i="7"/>
  <c r="BW12" i="7"/>
  <c r="BU56" i="7"/>
  <c r="BW39" i="7"/>
  <c r="BU31" i="7"/>
  <c r="BU8" i="7"/>
  <c r="BU39" i="7"/>
  <c r="BW24" i="7"/>
  <c r="BU24" i="7"/>
  <c r="BW47" i="7"/>
  <c r="BW52" i="7"/>
  <c r="BW16" i="7"/>
  <c r="BW49" i="7"/>
  <c r="BU12" i="7"/>
  <c r="BY12" i="7" s="1"/>
  <c r="BU22" i="7"/>
  <c r="BW31" i="7"/>
  <c r="BW21" i="7"/>
  <c r="BU46" i="7"/>
  <c r="BW8" i="7"/>
  <c r="BU45" i="7"/>
  <c r="BU38" i="7"/>
  <c r="BU52" i="7"/>
  <c r="BU36" i="7"/>
  <c r="BU47" i="7"/>
  <c r="BU33" i="7"/>
  <c r="BU29" i="7"/>
  <c r="BW28" i="7"/>
  <c r="BW19" i="7"/>
  <c r="BU48" i="7"/>
  <c r="BW33" i="7"/>
  <c r="BW14" i="7"/>
  <c r="BW55" i="7"/>
  <c r="BW20" i="7"/>
  <c r="BU28" i="7"/>
  <c r="BU35" i="7"/>
  <c r="BW30" i="7"/>
  <c r="BW7" i="7"/>
  <c r="BW51" i="7"/>
  <c r="BU7" i="7"/>
  <c r="BU55" i="7"/>
  <c r="BY55" i="7" s="1"/>
  <c r="BU17" i="7"/>
  <c r="BU19" i="7"/>
  <c r="BW34" i="7"/>
  <c r="BW43" i="7"/>
  <c r="BW5" i="7"/>
  <c r="BU27" i="7"/>
  <c r="BU9" i="7"/>
  <c r="BW44" i="7"/>
  <c r="BU21" i="7"/>
  <c r="BW38" i="7"/>
  <c r="BW32" i="7"/>
  <c r="BW42" i="7"/>
  <c r="BW26" i="7"/>
  <c r="BW6" i="7"/>
  <c r="BW22" i="7"/>
  <c r="BU25" i="7"/>
  <c r="BW50" i="7"/>
  <c r="BU26" i="7"/>
  <c r="BW13" i="7"/>
  <c r="BW11" i="7"/>
  <c r="BW41" i="7"/>
  <c r="BU10" i="7"/>
  <c r="BW9" i="7"/>
  <c r="BU37" i="7"/>
  <c r="BU50" i="7"/>
  <c r="BY50" i="7" s="1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X11" i="7" s="1"/>
  <c r="BV19" i="7"/>
  <c r="BV43" i="7"/>
  <c r="BT7" i="7"/>
  <c r="BT42" i="7"/>
  <c r="BT14" i="7"/>
  <c r="BT9" i="7"/>
  <c r="BT16" i="7"/>
  <c r="BT26" i="7"/>
  <c r="BT49" i="7"/>
  <c r="BX49" i="7" s="1"/>
  <c r="BV39" i="7"/>
  <c r="BX39" i="7" s="1"/>
  <c r="BV55" i="7"/>
  <c r="BT27" i="7"/>
  <c r="BT5" i="7"/>
  <c r="BX5" i="7" s="1"/>
  <c r="BV7" i="7"/>
  <c r="BV32" i="7"/>
  <c r="BV44" i="7"/>
  <c r="BT31" i="7"/>
  <c r="BT37" i="7"/>
  <c r="BX37" i="7" s="1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X59" i="7"/>
  <c r="Y59" i="7" s="1"/>
  <c r="R59" i="7"/>
  <c r="S59" i="7" s="1"/>
  <c r="Z59" i="7"/>
  <c r="AA59" i="7" s="1"/>
  <c r="BJ59" i="7"/>
  <c r="BK59" i="7" s="1"/>
  <c r="BH59" i="7"/>
  <c r="BI59" i="7" s="1"/>
  <c r="T59" i="7"/>
  <c r="U59" i="7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Y258" i="5"/>
  <c r="Z258" i="5" s="1"/>
  <c r="Y261" i="5"/>
  <c r="Z261" i="5" s="1"/>
  <c r="AE261" i="5" s="1"/>
  <c r="Y21" i="5"/>
  <c r="Z21" i="5" s="1"/>
  <c r="Y69" i="5"/>
  <c r="Z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V44" i="7"/>
  <c r="AC49" i="7"/>
  <c r="V9" i="7"/>
  <c r="AH44" i="7"/>
  <c r="AK156" i="5"/>
  <c r="AK235" i="5"/>
  <c r="AK236" i="5"/>
  <c r="AK120" i="5"/>
  <c r="BR21" i="7"/>
  <c r="AK230" i="5"/>
  <c r="AL140" i="5"/>
  <c r="W23" i="7"/>
  <c r="W10" i="7"/>
  <c r="W5" i="7"/>
  <c r="AK91" i="5"/>
  <c r="AK255" i="5"/>
  <c r="W16" i="7"/>
  <c r="W39" i="7"/>
  <c r="V34" i="7"/>
  <c r="BM23" i="7"/>
  <c r="BM31" i="7"/>
  <c r="AC42" i="7"/>
  <c r="V53" i="7"/>
  <c r="AC36" i="7"/>
  <c r="CP32" i="7"/>
  <c r="BM36" i="7"/>
  <c r="AK220" i="5"/>
  <c r="AK112" i="5"/>
  <c r="AK165" i="5"/>
  <c r="BM47" i="7"/>
  <c r="AK168" i="5"/>
  <c r="W47" i="7"/>
  <c r="W24" i="7"/>
  <c r="BF39" i="7"/>
  <c r="AB16" i="7"/>
  <c r="AB34" i="7"/>
  <c r="AK162" i="5"/>
  <c r="AK128" i="5"/>
  <c r="AK199" i="5"/>
  <c r="AK77" i="5"/>
  <c r="AK214" i="5"/>
  <c r="AK244" i="5"/>
  <c r="W26" i="7"/>
  <c r="W50" i="7"/>
  <c r="W54" i="7"/>
  <c r="W48" i="7"/>
  <c r="BF27" i="7"/>
  <c r="AK136" i="5"/>
  <c r="AK155" i="5"/>
  <c r="BL52" i="7"/>
  <c r="BL55" i="7"/>
  <c r="AK177" i="5"/>
  <c r="AK127" i="5"/>
  <c r="AK146" i="5"/>
  <c r="AC56" i="7"/>
  <c r="AC54" i="7"/>
  <c r="AC12" i="7"/>
  <c r="V25" i="7"/>
  <c r="V46" i="7"/>
  <c r="AZ7" i="7"/>
  <c r="AK185" i="5"/>
  <c r="AK152" i="5"/>
  <c r="AK208" i="5"/>
  <c r="BM18" i="7"/>
  <c r="AC44" i="7"/>
  <c r="V22" i="7"/>
  <c r="V18" i="7"/>
  <c r="AK126" i="5"/>
  <c r="AK135" i="5"/>
  <c r="AK254" i="5"/>
  <c r="AK117" i="5"/>
  <c r="AK100" i="5"/>
  <c r="AK83" i="5"/>
  <c r="CP20" i="7"/>
  <c r="AK104" i="5"/>
  <c r="BM39" i="7"/>
  <c r="BM35" i="7"/>
  <c r="BM38" i="7"/>
  <c r="BM55" i="7"/>
  <c r="AC39" i="7"/>
  <c r="V52" i="7"/>
  <c r="V20" i="7"/>
  <c r="V28" i="7"/>
  <c r="V21" i="7"/>
  <c r="V51" i="7"/>
  <c r="AU36" i="7"/>
  <c r="AB6" i="7"/>
  <c r="AB29" i="7"/>
  <c r="AB37" i="7"/>
  <c r="AB9" i="7"/>
  <c r="AB53" i="7"/>
  <c r="AB51" i="7"/>
  <c r="AB10" i="7"/>
  <c r="AB31" i="7"/>
  <c r="AB28" i="7"/>
  <c r="BL45" i="7"/>
  <c r="CP26" i="7"/>
  <c r="CP41" i="7"/>
  <c r="CP12" i="7"/>
  <c r="CP46" i="7"/>
  <c r="BL47" i="7"/>
  <c r="BL54" i="7"/>
  <c r="BL34" i="7"/>
  <c r="BL15" i="7"/>
  <c r="BL14" i="7"/>
  <c r="BL26" i="7"/>
  <c r="BL11" i="7"/>
  <c r="BL25" i="7"/>
  <c r="W15" i="7"/>
  <c r="W45" i="7"/>
  <c r="W7" i="7"/>
  <c r="W41" i="7"/>
  <c r="BM15" i="7"/>
  <c r="BM33" i="7"/>
  <c r="BM25" i="7"/>
  <c r="BM8" i="7"/>
  <c r="BM42" i="7"/>
  <c r="BM21" i="7"/>
  <c r="BM51" i="7"/>
  <c r="AC52" i="7"/>
  <c r="AC41" i="7"/>
  <c r="AC29" i="7"/>
  <c r="AC26" i="7"/>
  <c r="AC15" i="7"/>
  <c r="AC24" i="7"/>
  <c r="AC51" i="7"/>
  <c r="AC34" i="7"/>
  <c r="V42" i="7"/>
  <c r="V50" i="7"/>
  <c r="V38" i="7"/>
  <c r="V30" i="7"/>
  <c r="V35" i="7"/>
  <c r="V6" i="7"/>
  <c r="AB35" i="7"/>
  <c r="AB23" i="7"/>
  <c r="AB44" i="7"/>
  <c r="AB25" i="7"/>
  <c r="AB39" i="7"/>
  <c r="CD45" i="7"/>
  <c r="BL48" i="7"/>
  <c r="BL29" i="7"/>
  <c r="BL40" i="7"/>
  <c r="BL22" i="7"/>
  <c r="BL42" i="7"/>
  <c r="BL35" i="7"/>
  <c r="BL16" i="7"/>
  <c r="CP38" i="7"/>
  <c r="CP56" i="7"/>
  <c r="CP50" i="7"/>
  <c r="CP31" i="7"/>
  <c r="BM22" i="7"/>
  <c r="V31" i="7"/>
  <c r="V48" i="7"/>
  <c r="V37" i="7"/>
  <c r="AZ56" i="7"/>
  <c r="AL113" i="5"/>
  <c r="AL93" i="5"/>
  <c r="AD93" i="5"/>
  <c r="AL27" i="5"/>
  <c r="AD172" i="5"/>
  <c r="AL107" i="5"/>
  <c r="AL114" i="5"/>
  <c r="AE114" i="5"/>
  <c r="AL128" i="5"/>
  <c r="AL126" i="5"/>
  <c r="AL144" i="5"/>
  <c r="AA144" i="5"/>
  <c r="AL60" i="5"/>
  <c r="AB21" i="7"/>
  <c r="AB48" i="7"/>
  <c r="AK181" i="5"/>
  <c r="AB43" i="7"/>
  <c r="AB17" i="7"/>
  <c r="AB50" i="7"/>
  <c r="AB7" i="7"/>
  <c r="AB13" i="7"/>
  <c r="AB12" i="7"/>
  <c r="AB14" i="7"/>
  <c r="AB56" i="7"/>
  <c r="CD56" i="7"/>
  <c r="BL28" i="7"/>
  <c r="BL38" i="7"/>
  <c r="BL24" i="7"/>
  <c r="BL56" i="7"/>
  <c r="BL49" i="7"/>
  <c r="BL31" i="7"/>
  <c r="AK262" i="5"/>
  <c r="AK226" i="5"/>
  <c r="AK242" i="5"/>
  <c r="AK114" i="5"/>
  <c r="AL124" i="5"/>
  <c r="AL83" i="5"/>
  <c r="AA103" i="5"/>
  <c r="AL62" i="5"/>
  <c r="AL244" i="5"/>
  <c r="AL28" i="5"/>
  <c r="AL201" i="5"/>
  <c r="AL53" i="5"/>
  <c r="AL203" i="5"/>
  <c r="AL55" i="5"/>
  <c r="AL70" i="5"/>
  <c r="AL104" i="5"/>
  <c r="AC122" i="5"/>
  <c r="AL38" i="5"/>
  <c r="AL206" i="5"/>
  <c r="AL25" i="5"/>
  <c r="AL97" i="5"/>
  <c r="AL165" i="5"/>
  <c r="AL29" i="5"/>
  <c r="AC51" i="5"/>
  <c r="AL51" i="5"/>
  <c r="AL119" i="5"/>
  <c r="AL180" i="5"/>
  <c r="AE138" i="5"/>
  <c r="AL234" i="5"/>
  <c r="AL86" i="5"/>
  <c r="AL184" i="5"/>
  <c r="AL73" i="5"/>
  <c r="AL46" i="5"/>
  <c r="AL40" i="5"/>
  <c r="AL35" i="5"/>
  <c r="AL31" i="5"/>
  <c r="AL101" i="5"/>
  <c r="AD101" i="5"/>
  <c r="AL225" i="5"/>
  <c r="AL209" i="5"/>
  <c r="AL223" i="5"/>
  <c r="AL145" i="5"/>
  <c r="AL214" i="5"/>
  <c r="AL11" i="5"/>
  <c r="AD108" i="5"/>
  <c r="AL10" i="5"/>
  <c r="AL8" i="5"/>
  <c r="AL68" i="5"/>
  <c r="AL143" i="5"/>
  <c r="AL57" i="5"/>
  <c r="AA57" i="5"/>
  <c r="AL173" i="5"/>
  <c r="AC173" i="5"/>
  <c r="AL61" i="5"/>
  <c r="AL36" i="5"/>
  <c r="AL18" i="5"/>
  <c r="AL75" i="5"/>
  <c r="AJ74" i="5"/>
  <c r="W22" i="7"/>
  <c r="W46" i="7"/>
  <c r="W37" i="7"/>
  <c r="W18" i="7"/>
  <c r="W43" i="7"/>
  <c r="W8" i="7"/>
  <c r="W36" i="7"/>
  <c r="W53" i="7"/>
  <c r="BF38" i="7"/>
  <c r="AJ75" i="5"/>
  <c r="AK75" i="5" s="1"/>
  <c r="CP42" i="7"/>
  <c r="CP51" i="7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BM28" i="7"/>
  <c r="BM32" i="7"/>
  <c r="BM50" i="7"/>
  <c r="BM48" i="7"/>
  <c r="BM43" i="7"/>
  <c r="BM26" i="7"/>
  <c r="BM13" i="7"/>
  <c r="BM6" i="7"/>
  <c r="AC53" i="7"/>
  <c r="AC22" i="7"/>
  <c r="AC21" i="7"/>
  <c r="AC43" i="7"/>
  <c r="AC17" i="7"/>
  <c r="AC48" i="7"/>
  <c r="V33" i="7"/>
  <c r="V13" i="7"/>
  <c r="V47" i="7"/>
  <c r="V15" i="7"/>
  <c r="V55" i="7"/>
  <c r="AK256" i="5"/>
  <c r="AK86" i="5"/>
  <c r="AK158" i="5"/>
  <c r="AK173" i="5"/>
  <c r="AK154" i="5"/>
  <c r="AK93" i="5"/>
  <c r="AK161" i="5"/>
  <c r="AZ32" i="7"/>
  <c r="AH34" i="7"/>
  <c r="AK119" i="5"/>
  <c r="AB26" i="7"/>
  <c r="AB45" i="7"/>
  <c r="AB8" i="7"/>
  <c r="AK192" i="5"/>
  <c r="AK196" i="5"/>
  <c r="AK232" i="5"/>
  <c r="AK251" i="5"/>
  <c r="AK144" i="5"/>
  <c r="AL9" i="5"/>
  <c r="AL99" i="5"/>
  <c r="AL175" i="5"/>
  <c r="AL130" i="5"/>
  <c r="AA130" i="5"/>
  <c r="AC130" i="5"/>
  <c r="AD130" i="5"/>
  <c r="AB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E192" i="5"/>
  <c r="AL76" i="5"/>
  <c r="AL189" i="5"/>
  <c r="AK252" i="5"/>
  <c r="AK248" i="5"/>
  <c r="AL228" i="5"/>
  <c r="AB41" i="7"/>
  <c r="AB24" i="7"/>
  <c r="AK180" i="5"/>
  <c r="BL13" i="7"/>
  <c r="BL27" i="7"/>
  <c r="BL51" i="7"/>
  <c r="BL50" i="7"/>
  <c r="BL17" i="7"/>
  <c r="AL142" i="5"/>
  <c r="AK189" i="5"/>
  <c r="AB47" i="7"/>
  <c r="AB54" i="7"/>
  <c r="AB22" i="7"/>
  <c r="BL20" i="7"/>
  <c r="BL23" i="7"/>
  <c r="BL36" i="7"/>
  <c r="BL21" i="7"/>
  <c r="BL7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B174" i="5"/>
  <c r="AK131" i="5"/>
  <c r="AK141" i="5"/>
  <c r="AK229" i="5"/>
  <c r="AK166" i="5"/>
  <c r="AK211" i="5"/>
  <c r="AK130" i="5"/>
  <c r="AK137" i="5"/>
  <c r="AU18" i="7"/>
  <c r="AB27" i="7"/>
  <c r="AB49" i="7"/>
  <c r="AB55" i="7"/>
  <c r="AB52" i="7"/>
  <c r="AB30" i="7"/>
  <c r="AB36" i="7"/>
  <c r="AB42" i="7"/>
  <c r="AB5" i="7"/>
  <c r="AB18" i="7"/>
  <c r="AB19" i="7"/>
  <c r="AB32" i="7"/>
  <c r="AB33" i="7"/>
  <c r="CD33" i="7"/>
  <c r="CD28" i="7"/>
  <c r="CD24" i="7"/>
  <c r="AK129" i="5"/>
  <c r="BL18" i="7"/>
  <c r="BL44" i="7"/>
  <c r="BL8" i="7"/>
  <c r="BL43" i="7"/>
  <c r="BL32" i="7"/>
  <c r="BL5" i="7"/>
  <c r="BL9" i="7"/>
  <c r="BL12" i="7"/>
  <c r="BL53" i="7"/>
  <c r="BL37" i="7"/>
  <c r="BL46" i="7"/>
  <c r="BL3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E161" i="5"/>
  <c r="AA167" i="5"/>
  <c r="AL183" i="5"/>
  <c r="AF183" i="5"/>
  <c r="AE183" i="5"/>
  <c r="AL74" i="5"/>
  <c r="AF231" i="5"/>
  <c r="AB236" i="5"/>
  <c r="AL15" i="5"/>
  <c r="AL216" i="5"/>
  <c r="AL125" i="5"/>
  <c r="AL41" i="5"/>
  <c r="AL207" i="5"/>
  <c r="AL52" i="5"/>
  <c r="AB52" i="5"/>
  <c r="AL117" i="5"/>
  <c r="AE117" i="5"/>
  <c r="AL170" i="5"/>
  <c r="AA90" i="5"/>
  <c r="AL17" i="5"/>
  <c r="AL91" i="5"/>
  <c r="AL45" i="5"/>
  <c r="AL5" i="5"/>
  <c r="AL204" i="5"/>
  <c r="AL198" i="5"/>
  <c r="AC198" i="5"/>
  <c r="AD198" i="5"/>
  <c r="AL208" i="5"/>
  <c r="AB153" i="5"/>
  <c r="AL42" i="5"/>
  <c r="AL100" i="5"/>
  <c r="AE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D89" i="5"/>
  <c r="AL197" i="5"/>
  <c r="AF197" i="5"/>
  <c r="AA168" i="5"/>
  <c r="AL4" i="5"/>
  <c r="AB232" i="5"/>
  <c r="AL218" i="5"/>
  <c r="W9" i="7"/>
  <c r="W25" i="7"/>
  <c r="W11" i="7"/>
  <c r="W13" i="7"/>
  <c r="W12" i="7"/>
  <c r="W32" i="7"/>
  <c r="W51" i="7"/>
  <c r="W40" i="7"/>
  <c r="W44" i="7"/>
  <c r="W19" i="7"/>
  <c r="W27" i="7"/>
  <c r="W56" i="7"/>
  <c r="W17" i="7"/>
  <c r="AT18" i="7"/>
  <c r="AK239" i="5"/>
  <c r="AK171" i="5"/>
  <c r="AK143" i="5"/>
  <c r="AN31" i="7"/>
  <c r="CP23" i="7"/>
  <c r="CP7" i="7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BM49" i="7"/>
  <c r="BM20" i="7"/>
  <c r="BM40" i="7"/>
  <c r="BM29" i="7"/>
  <c r="BM52" i="7"/>
  <c r="BM11" i="7"/>
  <c r="BM17" i="7"/>
  <c r="BM37" i="7"/>
  <c r="BM7" i="7"/>
  <c r="BM5" i="7"/>
  <c r="BM41" i="7"/>
  <c r="BM56" i="7"/>
  <c r="BM34" i="7"/>
  <c r="BM27" i="7"/>
  <c r="AC37" i="7"/>
  <c r="AC10" i="7"/>
  <c r="AC16" i="7"/>
  <c r="AC25" i="7"/>
  <c r="AC50" i="7"/>
  <c r="AC11" i="7"/>
  <c r="AC35" i="7"/>
  <c r="AC55" i="7"/>
  <c r="AC14" i="7"/>
  <c r="AC45" i="7"/>
  <c r="AC19" i="7"/>
  <c r="AC13" i="7"/>
  <c r="V17" i="7"/>
  <c r="V29" i="7"/>
  <c r="V49" i="7"/>
  <c r="V23" i="7"/>
  <c r="V5" i="7"/>
  <c r="V26" i="7"/>
  <c r="V12" i="7"/>
  <c r="V40" i="7"/>
  <c r="V24" i="7"/>
  <c r="V19" i="7"/>
  <c r="AL251" i="5"/>
  <c r="AL242" i="5"/>
  <c r="AL176" i="5"/>
  <c r="AK122" i="5"/>
  <c r="AK159" i="5"/>
  <c r="AK174" i="5"/>
  <c r="AK193" i="5"/>
  <c r="AK138" i="5"/>
  <c r="AL155" i="5"/>
  <c r="AK111" i="5"/>
  <c r="AK85" i="5"/>
  <c r="AZ13" i="7"/>
  <c r="AZ35" i="7"/>
  <c r="AZ24" i="7"/>
  <c r="AZ36" i="7"/>
  <c r="AZ46" i="7"/>
  <c r="AZ26" i="7"/>
  <c r="AZ31" i="7"/>
  <c r="AH30" i="7"/>
  <c r="AK89" i="5"/>
  <c r="AK163" i="5"/>
  <c r="AK246" i="5"/>
  <c r="AK227" i="5"/>
  <c r="AB38" i="7"/>
  <c r="BL6" i="7"/>
  <c r="AL121" i="5"/>
  <c r="AL137" i="5"/>
  <c r="AF47" i="5"/>
  <c r="AL47" i="5"/>
  <c r="AL116" i="5"/>
  <c r="AC116" i="5"/>
  <c r="AL241" i="5"/>
  <c r="AL84" i="5"/>
  <c r="AL215" i="5"/>
  <c r="AL69" i="5"/>
  <c r="AB69" i="5"/>
  <c r="AL39" i="5"/>
  <c r="AL194" i="5"/>
  <c r="AL49" i="5"/>
  <c r="AL54" i="5"/>
  <c r="AL44" i="5"/>
  <c r="AL87" i="5"/>
  <c r="AB87" i="5"/>
  <c r="AL171" i="5"/>
  <c r="AL19" i="5"/>
  <c r="AL230" i="5"/>
  <c r="AL78" i="5"/>
  <c r="AL157" i="5"/>
  <c r="AC188" i="5"/>
  <c r="AB188" i="5"/>
  <c r="AD188" i="5"/>
  <c r="AE188" i="5"/>
  <c r="AL160" i="5"/>
  <c r="AL256" i="5"/>
  <c r="AD149" i="5"/>
  <c r="AK96" i="5"/>
  <c r="AL172" i="5"/>
  <c r="D111" i="10" a="1"/>
  <c r="D111" i="10" s="1"/>
  <c r="D93" i="10" a="1"/>
  <c r="D93" i="10" s="1"/>
  <c r="D75" i="10" a="1"/>
  <c r="D75" i="10" s="1"/>
  <c r="AK145" i="5"/>
  <c r="CP13" i="7"/>
  <c r="CP37" i="7"/>
  <c r="AK212" i="5"/>
  <c r="AK247" i="5"/>
  <c r="AK160" i="5"/>
  <c r="AK178" i="5"/>
  <c r="AK195" i="5"/>
  <c r="AK190" i="5"/>
  <c r="AL205" i="5"/>
  <c r="AK203" i="5"/>
  <c r="AL149" i="5"/>
  <c r="AK243" i="5"/>
  <c r="BM12" i="7"/>
  <c r="AI49" i="7"/>
  <c r="AC20" i="7"/>
  <c r="AC18" i="7"/>
  <c r="V41" i="7"/>
  <c r="AK250" i="5"/>
  <c r="AK241" i="5"/>
  <c r="AK175" i="5"/>
  <c r="AL123" i="5"/>
  <c r="AK179" i="5"/>
  <c r="AK107" i="5"/>
  <c r="AK202" i="5"/>
  <c r="AK164" i="5"/>
  <c r="AL112" i="5"/>
  <c r="AZ48" i="7"/>
  <c r="AH12" i="7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A120" i="5"/>
  <c r="AF229" i="5"/>
  <c r="AL193" i="5"/>
  <c r="AL56" i="5"/>
  <c r="AL65" i="5"/>
  <c r="AA65" i="5"/>
  <c r="AL195" i="5"/>
  <c r="AL64" i="5"/>
  <c r="AL156" i="5"/>
  <c r="AF252" i="5"/>
  <c r="AL43" i="5"/>
  <c r="AL151" i="5"/>
  <c r="AL211" i="5"/>
  <c r="AB211" i="5"/>
  <c r="AL66" i="5"/>
  <c r="AL12" i="5"/>
  <c r="AB200" i="5"/>
  <c r="AL178" i="5"/>
  <c r="AL162" i="5"/>
  <c r="AL32" i="5"/>
  <c r="AE32" i="5"/>
  <c r="AL102" i="5"/>
  <c r="AC102" i="5"/>
  <c r="AD102" i="5"/>
  <c r="AL81" i="5"/>
  <c r="AL59" i="5"/>
  <c r="AF110" i="5"/>
  <c r="AL98" i="5"/>
  <c r="AL220" i="5"/>
  <c r="AL58" i="5"/>
  <c r="AL238" i="5"/>
  <c r="AB238" i="5"/>
  <c r="AA166" i="5"/>
  <c r="AD166" i="5"/>
  <c r="AL33" i="5"/>
  <c r="AA33" i="5"/>
  <c r="AL50" i="5"/>
  <c r="AA50" i="5"/>
  <c r="AL34" i="5"/>
  <c r="AL48" i="5"/>
  <c r="AL37" i="5"/>
  <c r="AL106" i="5"/>
  <c r="AL85" i="5"/>
  <c r="AL154" i="5"/>
  <c r="AL261" i="5"/>
  <c r="AA212" i="5"/>
  <c r="AL250" i="5"/>
  <c r="AA250" i="5"/>
  <c r="AB250" i="5"/>
  <c r="AL247" i="5"/>
  <c r="AL217" i="5"/>
  <c r="AL13" i="5"/>
  <c r="AL72" i="5"/>
  <c r="AA72" i="5"/>
  <c r="AL210" i="5"/>
  <c r="AA67" i="5"/>
  <c r="AL67" i="5"/>
  <c r="AL30" i="5"/>
  <c r="AA30" i="5"/>
  <c r="AL20" i="5"/>
  <c r="AA152" i="5"/>
  <c r="AF224" i="5"/>
  <c r="W42" i="7"/>
  <c r="W49" i="7"/>
  <c r="W38" i="7"/>
  <c r="W35" i="7"/>
  <c r="W31" i="7"/>
  <c r="W6" i="7"/>
  <c r="W55" i="7"/>
  <c r="W52" i="7"/>
  <c r="W29" i="7"/>
  <c r="W21" i="7"/>
  <c r="BA22" i="7"/>
  <c r="BF18" i="7"/>
  <c r="E9" i="7"/>
  <c r="A139" i="10" s="1"/>
  <c r="A8" i="10"/>
  <c r="AL146" i="5"/>
  <c r="AK260" i="5"/>
  <c r="CP5" i="7"/>
  <c r="CP19" i="7"/>
  <c r="CP11" i="7"/>
  <c r="CP39" i="7"/>
  <c r="CP14" i="7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BM10" i="7"/>
  <c r="BM53" i="7"/>
  <c r="BM54" i="7"/>
  <c r="BM19" i="7"/>
  <c r="BM45" i="7"/>
  <c r="BM30" i="7"/>
  <c r="BM44" i="7"/>
  <c r="BM9" i="7"/>
  <c r="BM24" i="7"/>
  <c r="BM14" i="7"/>
  <c r="AC5" i="7"/>
  <c r="AC9" i="7"/>
  <c r="AC33" i="7"/>
  <c r="AC38" i="7"/>
  <c r="AC46" i="7"/>
  <c r="AC27" i="7"/>
  <c r="AC31" i="7"/>
  <c r="AC6" i="7"/>
  <c r="AC28" i="7"/>
  <c r="AC32" i="7"/>
  <c r="V43" i="7"/>
  <c r="V32" i="7"/>
  <c r="V11" i="7"/>
  <c r="V14" i="7"/>
  <c r="V27" i="7"/>
  <c r="V36" i="7"/>
  <c r="V10" i="7"/>
  <c r="V56" i="7"/>
  <c r="V16" i="7"/>
  <c r="J9" i="7"/>
  <c r="AL257" i="5"/>
  <c r="AK237" i="5"/>
  <c r="AK108" i="5"/>
  <c r="AL159" i="5"/>
  <c r="AK238" i="5"/>
  <c r="AL108" i="5"/>
  <c r="AK253" i="5"/>
  <c r="AK106" i="5"/>
  <c r="AZ10" i="7"/>
  <c r="AZ29" i="7"/>
  <c r="AZ28" i="7"/>
  <c r="AZ11" i="7"/>
  <c r="AZ18" i="7"/>
  <c r="AZ30" i="7"/>
  <c r="AZ49" i="7"/>
  <c r="AZ34" i="7"/>
  <c r="AH8" i="7"/>
  <c r="AL219" i="5"/>
  <c r="P7" i="7" l="1"/>
  <c r="CQ47" i="7"/>
  <c r="AN44" i="7"/>
  <c r="AT8" i="7"/>
  <c r="AT54" i="7"/>
  <c r="AT17" i="7"/>
  <c r="CD12" i="7"/>
  <c r="CD15" i="7"/>
  <c r="CD31" i="7"/>
  <c r="BX42" i="7"/>
  <c r="BX47" i="7"/>
  <c r="P40" i="7"/>
  <c r="BA31" i="7"/>
  <c r="P38" i="7"/>
  <c r="P19" i="7"/>
  <c r="CJ23" i="7"/>
  <c r="AH21" i="7"/>
  <c r="AI27" i="7"/>
  <c r="AH7" i="7"/>
  <c r="AT28" i="7"/>
  <c r="AT45" i="7"/>
  <c r="AU25" i="7"/>
  <c r="BR11" i="7"/>
  <c r="BR41" i="7"/>
  <c r="BX46" i="7"/>
  <c r="J10" i="7"/>
  <c r="AN46" i="7"/>
  <c r="CJ38" i="7"/>
  <c r="AI53" i="7"/>
  <c r="AH52" i="7"/>
  <c r="AI33" i="7"/>
  <c r="BR19" i="7"/>
  <c r="CD5" i="7"/>
  <c r="BY41" i="7"/>
  <c r="BY15" i="7"/>
  <c r="BA15" i="7"/>
  <c r="CJ39" i="7"/>
  <c r="AS40" i="7"/>
  <c r="AU40" i="7" s="1"/>
  <c r="AQ34" i="7"/>
  <c r="BR24" i="7"/>
  <c r="CD18" i="7"/>
  <c r="CD20" i="7"/>
  <c r="CD22" i="7"/>
  <c r="P18" i="7"/>
  <c r="AI11" i="7"/>
  <c r="BY24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K34" i="7" s="1"/>
  <c r="G51" i="7"/>
  <c r="G12" i="7"/>
  <c r="G50" i="7"/>
  <c r="I13" i="7"/>
  <c r="AI21" i="7"/>
  <c r="AT30" i="7"/>
  <c r="BY45" i="7"/>
  <c r="BX53" i="7"/>
  <c r="I52" i="7"/>
  <c r="G18" i="7"/>
  <c r="I44" i="7"/>
  <c r="G48" i="7"/>
  <c r="G20" i="7"/>
  <c r="G10" i="7"/>
  <c r="I28" i="7"/>
  <c r="CJ56" i="7"/>
  <c r="AN29" i="7"/>
  <c r="AH56" i="7"/>
  <c r="AH28" i="7"/>
  <c r="AI19" i="7"/>
  <c r="AT23" i="7"/>
  <c r="AI51" i="7"/>
  <c r="AU56" i="7"/>
  <c r="AH39" i="7"/>
  <c r="BR27" i="7"/>
  <c r="BA20" i="7"/>
  <c r="J35" i="7"/>
  <c r="J45" i="7"/>
  <c r="CJ55" i="7"/>
  <c r="AI26" i="7"/>
  <c r="AI29" i="7"/>
  <c r="AH38" i="7"/>
  <c r="AH48" i="7"/>
  <c r="AI48" i="7"/>
  <c r="AU20" i="7"/>
  <c r="AH10" i="7"/>
  <c r="AI8" i="7"/>
  <c r="AN15" i="7"/>
  <c r="BR28" i="7"/>
  <c r="BR14" i="7"/>
  <c r="BF40" i="7"/>
  <c r="BF37" i="7"/>
  <c r="AN24" i="7"/>
  <c r="AH29" i="7"/>
  <c r="AT27" i="7"/>
  <c r="AT25" i="7"/>
  <c r="AT19" i="7"/>
  <c r="AH18" i="7"/>
  <c r="AI40" i="7"/>
  <c r="AI13" i="7"/>
  <c r="AT38" i="7"/>
  <c r="AU23" i="7"/>
  <c r="AU28" i="7"/>
  <c r="AU27" i="7"/>
  <c r="AU16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K41" i="7" s="1"/>
  <c r="I25" i="7"/>
  <c r="I43" i="7"/>
  <c r="I42" i="7"/>
  <c r="K42" i="7" s="1"/>
  <c r="G43" i="7"/>
  <c r="G33" i="7"/>
  <c r="I33" i="7"/>
  <c r="I50" i="7"/>
  <c r="K50" i="7" s="1"/>
  <c r="G16" i="7"/>
  <c r="AD261" i="5"/>
  <c r="AC140" i="5"/>
  <c r="AF37" i="5"/>
  <c r="AF171" i="5"/>
  <c r="AB86" i="5"/>
  <c r="I24" i="7"/>
  <c r="I38" i="7"/>
  <c r="K38" i="7" s="1"/>
  <c r="G35" i="7"/>
  <c r="G27" i="7"/>
  <c r="G32" i="7"/>
  <c r="I54" i="7"/>
  <c r="G29" i="7"/>
  <c r="G25" i="7"/>
  <c r="K25" i="7" s="1"/>
  <c r="I56" i="7"/>
  <c r="G36" i="7"/>
  <c r="I18" i="7"/>
  <c r="K18" i="7" s="1"/>
  <c r="G17" i="7"/>
  <c r="I23" i="7"/>
  <c r="G23" i="7"/>
  <c r="G52" i="7"/>
  <c r="K52" i="7" s="1"/>
  <c r="I22" i="7"/>
  <c r="G53" i="7"/>
  <c r="I12" i="7"/>
  <c r="K12" i="7" s="1"/>
  <c r="G45" i="7"/>
  <c r="G44" i="7"/>
  <c r="K44" i="7" s="1"/>
  <c r="I27" i="7"/>
  <c r="AC220" i="5"/>
  <c r="G47" i="7"/>
  <c r="K47" i="7" s="1"/>
  <c r="G39" i="7"/>
  <c r="I40" i="7"/>
  <c r="I32" i="7"/>
  <c r="I14" i="7"/>
  <c r="K14" i="7" s="1"/>
  <c r="G7" i="7"/>
  <c r="I29" i="7"/>
  <c r="I10" i="7"/>
  <c r="K10" i="7" s="1"/>
  <c r="G11" i="7"/>
  <c r="G56" i="7"/>
  <c r="G30" i="7"/>
  <c r="G9" i="7"/>
  <c r="K9" i="7" s="1"/>
  <c r="G28" i="7"/>
  <c r="K28" i="7" s="1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I52" i="7"/>
  <c r="AI41" i="7"/>
  <c r="AT47" i="7"/>
  <c r="AU47" i="7"/>
  <c r="AU54" i="7"/>
  <c r="AU45" i="7"/>
  <c r="BR37" i="7"/>
  <c r="J26" i="7"/>
  <c r="CD23" i="7"/>
  <c r="BF19" i="7"/>
  <c r="AS29" i="7"/>
  <c r="AQ55" i="7"/>
  <c r="AQ32" i="7"/>
  <c r="AU32" i="7" s="1"/>
  <c r="AU30" i="7"/>
  <c r="CD38" i="7"/>
  <c r="CD42" i="7"/>
  <c r="AS8" i="7"/>
  <c r="AU8" i="7" s="1"/>
  <c r="CQ56" i="7"/>
  <c r="AI10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BY31" i="7"/>
  <c r="BA47" i="7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U13" i="7" s="1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I6" i="7"/>
  <c r="AI45" i="7"/>
  <c r="AI12" i="7"/>
  <c r="AH6" i="7"/>
  <c r="AH22" i="7"/>
  <c r="AT48" i="7"/>
  <c r="AI20" i="7"/>
  <c r="AT56" i="7"/>
  <c r="AH27" i="7"/>
  <c r="AI9" i="7"/>
  <c r="AT7" i="7"/>
  <c r="AU7" i="7"/>
  <c r="CJ28" i="7"/>
  <c r="BF41" i="7"/>
  <c r="AS43" i="7"/>
  <c r="AU43" i="7" s="1"/>
  <c r="AQ19" i="7"/>
  <c r="AU19" i="7" s="1"/>
  <c r="AH40" i="7"/>
  <c r="BF51" i="7"/>
  <c r="AH54" i="7"/>
  <c r="BY38" i="7"/>
  <c r="CR17" i="7"/>
  <c r="BA43" i="7"/>
  <c r="J23" i="7"/>
  <c r="CR32" i="7"/>
  <c r="J51" i="7"/>
  <c r="BA37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11" i="7"/>
  <c r="BY47" i="7"/>
  <c r="BA17" i="7"/>
  <c r="CQ46" i="7"/>
  <c r="P15" i="7"/>
  <c r="BA40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CR26" i="7"/>
  <c r="CT21" i="7"/>
  <c r="AH31" i="7"/>
  <c r="AH42" i="7"/>
  <c r="AT55" i="7"/>
  <c r="CT17" i="7"/>
  <c r="BX56" i="7"/>
  <c r="AH37" i="7"/>
  <c r="AH50" i="7"/>
  <c r="AU51" i="7"/>
  <c r="AU26" i="7"/>
  <c r="AU9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AU37" i="7"/>
  <c r="AI14" i="7"/>
  <c r="CJ25" i="7"/>
  <c r="CJ35" i="7"/>
  <c r="CD54" i="7"/>
  <c r="BR43" i="7"/>
  <c r="BR47" i="7"/>
  <c r="BF30" i="7"/>
  <c r="BF46" i="7"/>
  <c r="AU29" i="7"/>
  <c r="CP35" i="7"/>
  <c r="AU21" i="7"/>
  <c r="BP59" i="7"/>
  <c r="BR6" i="7"/>
  <c r="BX51" i="7"/>
  <c r="CR55" i="7"/>
  <c r="AH45" i="7"/>
  <c r="AI34" i="7"/>
  <c r="AZ12" i="7"/>
  <c r="BF20" i="7"/>
  <c r="AH5" i="7"/>
  <c r="AI5" i="7"/>
  <c r="AV59" i="7"/>
  <c r="AW59" i="7" s="1"/>
  <c r="CD9" i="7"/>
  <c r="CB59" i="7"/>
  <c r="CD35" i="7"/>
  <c r="CD14" i="7"/>
  <c r="BZ59" i="7"/>
  <c r="AZ8" i="7"/>
  <c r="BX27" i="7"/>
  <c r="CR9" i="7"/>
  <c r="AI50" i="7"/>
  <c r="AT11" i="7"/>
  <c r="AU10" i="7"/>
  <c r="AI22" i="7"/>
  <c r="CD44" i="7"/>
  <c r="BF48" i="7"/>
  <c r="AU55" i="7"/>
  <c r="CT18" i="7"/>
  <c r="CT47" i="7"/>
  <c r="AN47" i="7"/>
  <c r="AN49" i="7"/>
  <c r="BX9" i="7"/>
  <c r="BX23" i="7"/>
  <c r="BX8" i="7"/>
  <c r="CJ18" i="7"/>
  <c r="AH49" i="7"/>
  <c r="AH32" i="7"/>
  <c r="AI43" i="7"/>
  <c r="AH36" i="7"/>
  <c r="AI18" i="7"/>
  <c r="AI42" i="7"/>
  <c r="AT46" i="7"/>
  <c r="AT22" i="7"/>
  <c r="AU39" i="7"/>
  <c r="AU11" i="7"/>
  <c r="BR25" i="7"/>
  <c r="BX32" i="7"/>
  <c r="CR39" i="7"/>
  <c r="BX52" i="7"/>
  <c r="BX31" i="7"/>
  <c r="BX14" i="7"/>
  <c r="CJ46" i="7"/>
  <c r="AI32" i="7"/>
  <c r="AT42" i="7"/>
  <c r="AN28" i="7"/>
  <c r="P6" i="7"/>
  <c r="AF59" i="7"/>
  <c r="AG59" i="7" s="1"/>
  <c r="AN33" i="7"/>
  <c r="BX24" i="7"/>
  <c r="AD59" i="7"/>
  <c r="AE59" i="7" s="1"/>
  <c r="AI25" i="7"/>
  <c r="AP59" i="7"/>
  <c r="AI16" i="7"/>
  <c r="AT50" i="7"/>
  <c r="AH9" i="7"/>
  <c r="AH17" i="7"/>
  <c r="AN48" i="7"/>
  <c r="AU35" i="7"/>
  <c r="AU31" i="7"/>
  <c r="AI56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U34" i="7"/>
  <c r="BY23" i="7"/>
  <c r="BY6" i="7"/>
  <c r="AN52" i="7"/>
  <c r="CJ40" i="7"/>
  <c r="AN26" i="7"/>
  <c r="AN51" i="7"/>
  <c r="AH20" i="7"/>
  <c r="AI47" i="7"/>
  <c r="AT21" i="7"/>
  <c r="AT33" i="7"/>
  <c r="AU14" i="7"/>
  <c r="AT26" i="7"/>
  <c r="CD52" i="7"/>
  <c r="CP15" i="7"/>
  <c r="AT35" i="7"/>
  <c r="J29" i="7"/>
  <c r="BX45" i="7"/>
  <c r="AI37" i="7"/>
  <c r="AN30" i="7"/>
  <c r="AH41" i="7"/>
  <c r="AT52" i="7"/>
  <c r="AH47" i="7"/>
  <c r="AI28" i="7"/>
  <c r="AI35" i="7"/>
  <c r="AH53" i="7"/>
  <c r="AI44" i="7"/>
  <c r="AI46" i="7"/>
  <c r="AT39" i="7"/>
  <c r="AU50" i="7"/>
  <c r="AU46" i="7"/>
  <c r="AI24" i="7"/>
  <c r="AT37" i="7"/>
  <c r="AT29" i="7"/>
  <c r="AU38" i="7"/>
  <c r="AR59" i="7"/>
  <c r="AH26" i="7"/>
  <c r="AI36" i="7"/>
  <c r="AZ15" i="7"/>
  <c r="CD29" i="7"/>
  <c r="CP28" i="7"/>
  <c r="CL59" i="7"/>
  <c r="AI39" i="7"/>
  <c r="AI23" i="7"/>
  <c r="AT51" i="7"/>
  <c r="AT49" i="7"/>
  <c r="AI30" i="7"/>
  <c r="AT41" i="7"/>
  <c r="AU42" i="7"/>
  <c r="AI55" i="7"/>
  <c r="AU15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H232" i="5" s="1"/>
  <c r="AF198" i="5"/>
  <c r="AG198" i="5" s="1"/>
  <c r="AA198" i="5"/>
  <c r="AA183" i="5"/>
  <c r="AG183" i="5" s="1"/>
  <c r="AA13" i="5"/>
  <c r="AE85" i="5"/>
  <c r="AE50" i="5"/>
  <c r="AB166" i="5"/>
  <c r="AA110" i="5"/>
  <c r="AG110" i="5" s="1"/>
  <c r="AE200" i="5"/>
  <c r="AE90" i="5"/>
  <c r="AD134" i="5"/>
  <c r="AE174" i="5"/>
  <c r="AH174" i="5" s="1"/>
  <c r="AE172" i="5"/>
  <c r="AB13" i="5"/>
  <c r="AC250" i="5"/>
  <c r="AF212" i="5"/>
  <c r="AG212" i="5" s="1"/>
  <c r="AB50" i="5"/>
  <c r="AH50" i="5" s="1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G130" i="5" s="1"/>
  <c r="AD57" i="5"/>
  <c r="AB57" i="5"/>
  <c r="AF108" i="5"/>
  <c r="AF186" i="5"/>
  <c r="AF104" i="5"/>
  <c r="AG104" i="5" s="1"/>
  <c r="AF236" i="5"/>
  <c r="AD250" i="5"/>
  <c r="AF95" i="5"/>
  <c r="AA192" i="5"/>
  <c r="AE57" i="5"/>
  <c r="AD186" i="5"/>
  <c r="AA122" i="5"/>
  <c r="AF13" i="5"/>
  <c r="AF250" i="5"/>
  <c r="AD212" i="5"/>
  <c r="AE166" i="5"/>
  <c r="AE110" i="5"/>
  <c r="AF102" i="5"/>
  <c r="AF200" i="5"/>
  <c r="AG200" i="5" s="1"/>
  <c r="AD183" i="5"/>
  <c r="AF57" i="5"/>
  <c r="AG57" i="5" s="1"/>
  <c r="AN16" i="7"/>
  <c r="BF6" i="7"/>
  <c r="CQ44" i="7"/>
  <c r="CR33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BY42" i="7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E28" i="7" s="1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CQ32" i="7"/>
  <c r="CT45" i="7"/>
  <c r="CQ26" i="7"/>
  <c r="J14" i="7"/>
  <c r="P46" i="7"/>
  <c r="BA9" i="7"/>
  <c r="BA44" i="7"/>
  <c r="BA19" i="7"/>
  <c r="J33" i="7"/>
  <c r="J19" i="7"/>
  <c r="K32" i="7"/>
  <c r="K53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H114" i="5" s="1"/>
  <c r="AC114" i="5"/>
  <c r="AD114" i="5"/>
  <c r="AB32" i="5"/>
  <c r="AH32" i="5" s="1"/>
  <c r="AC32" i="5"/>
  <c r="AC101" i="5"/>
  <c r="AA101" i="5"/>
  <c r="AE101" i="5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F50" i="5"/>
  <c r="AG50" i="5" s="1"/>
  <c r="AD50" i="5"/>
  <c r="AB95" i="5"/>
  <c r="AE95" i="5"/>
  <c r="AD95" i="5"/>
  <c r="AF192" i="5"/>
  <c r="AC192" i="5"/>
  <c r="AD192" i="5"/>
  <c r="AF90" i="5"/>
  <c r="AG90" i="5" s="1"/>
  <c r="AB90" i="5"/>
  <c r="AH90" i="5" s="1"/>
  <c r="AD90" i="5"/>
  <c r="AA236" i="5"/>
  <c r="AG236" i="5" s="1"/>
  <c r="AC236" i="5"/>
  <c r="AD236" i="5"/>
  <c r="AF172" i="5"/>
  <c r="AG172" i="5" s="1"/>
  <c r="AB172" i="5"/>
  <c r="AC172" i="5"/>
  <c r="AD153" i="5"/>
  <c r="AF153" i="5"/>
  <c r="AG153" i="5" s="1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H149" i="5" s="1"/>
  <c r="AB149" i="5"/>
  <c r="AC207" i="5"/>
  <c r="AD207" i="5"/>
  <c r="AB207" i="5"/>
  <c r="AC85" i="5"/>
  <c r="AF85" i="5"/>
  <c r="AA46" i="5"/>
  <c r="AE46" i="5"/>
  <c r="AF46" i="5"/>
  <c r="AA229" i="5"/>
  <c r="AG229" i="5" s="1"/>
  <c r="AB229" i="5"/>
  <c r="AE229" i="5"/>
  <c r="AH229" i="5" s="1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H115" i="5" s="1"/>
  <c r="AD144" i="5"/>
  <c r="AB216" i="5"/>
  <c r="AD197" i="5"/>
  <c r="AH52" i="5"/>
  <c r="AB212" i="5"/>
  <c r="AB85" i="5"/>
  <c r="AB110" i="5"/>
  <c r="AB252" i="5"/>
  <c r="AH252" i="5" s="1"/>
  <c r="AA252" i="5"/>
  <c r="AG252" i="5" s="1"/>
  <c r="AD229" i="5"/>
  <c r="AF149" i="5"/>
  <c r="AG149" i="5" s="1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G28" i="5" s="1"/>
  <c r="AC123" i="5"/>
  <c r="AC144" i="5"/>
  <c r="AB93" i="5"/>
  <c r="BX13" i="7"/>
  <c r="J42" i="7"/>
  <c r="K8" i="7"/>
  <c r="AN38" i="7"/>
  <c r="AN13" i="7"/>
  <c r="BX43" i="7"/>
  <c r="BA7" i="7"/>
  <c r="P34" i="7"/>
  <c r="P55" i="7"/>
  <c r="P47" i="7"/>
  <c r="G31" i="7"/>
  <c r="BX16" i="7"/>
  <c r="BX7" i="7"/>
  <c r="AN43" i="7"/>
  <c r="I21" i="7"/>
  <c r="G46" i="7"/>
  <c r="K46" i="7" s="1"/>
  <c r="I36" i="7"/>
  <c r="CQ23" i="7"/>
  <c r="J24" i="7"/>
  <c r="CT48" i="7"/>
  <c r="K35" i="7"/>
  <c r="CJ52" i="7"/>
  <c r="CT53" i="7"/>
  <c r="CQ6" i="7"/>
  <c r="BA29" i="7"/>
  <c r="BA23" i="7"/>
  <c r="P26" i="7"/>
  <c r="AN32" i="7"/>
  <c r="CT44" i="7"/>
  <c r="CQ24" i="7"/>
  <c r="CT23" i="7"/>
  <c r="CR54" i="7"/>
  <c r="CR10" i="7"/>
  <c r="CT7" i="7"/>
  <c r="CT9" i="7"/>
  <c r="I37" i="7"/>
  <c r="K37" i="7" s="1"/>
  <c r="G13" i="7"/>
  <c r="I45" i="7"/>
  <c r="BU44" i="7"/>
  <c r="BY44" i="7" s="1"/>
  <c r="BW10" i="7"/>
  <c r="BU20" i="7"/>
  <c r="BY20" i="7" s="1"/>
  <c r="BW48" i="7"/>
  <c r="BY48" i="7" s="1"/>
  <c r="BU53" i="7"/>
  <c r="BY53" i="7" s="1"/>
  <c r="BW37" i="7"/>
  <c r="BY37" i="7" s="1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K5" i="7"/>
  <c r="CR19" i="7"/>
  <c r="AN34" i="7"/>
  <c r="BF16" i="7"/>
  <c r="BY18" i="7"/>
  <c r="CJ44" i="7"/>
  <c r="CJ54" i="7"/>
  <c r="CJ45" i="7"/>
  <c r="I11" i="7"/>
  <c r="K11" i="7" s="1"/>
  <c r="I20" i="7"/>
  <c r="K20" i="7" s="1"/>
  <c r="I49" i="7"/>
  <c r="K49" i="7" s="1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O8" i="7" s="1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K15" i="7" s="1"/>
  <c r="I26" i="7"/>
  <c r="K26" i="7" s="1"/>
  <c r="CR16" i="7"/>
  <c r="BX28" i="7"/>
  <c r="BY56" i="7"/>
  <c r="J38" i="7"/>
  <c r="CT49" i="7"/>
  <c r="CQ41" i="7"/>
  <c r="BA50" i="7"/>
  <c r="CQ48" i="7"/>
  <c r="BA12" i="7"/>
  <c r="J47" i="7"/>
  <c r="CR35" i="7"/>
  <c r="J15" i="7"/>
  <c r="AN21" i="7"/>
  <c r="CT22" i="7"/>
  <c r="CT33" i="7"/>
  <c r="J22" i="7"/>
  <c r="CT35" i="7"/>
  <c r="AN19" i="7"/>
  <c r="BX26" i="7"/>
  <c r="AJ59" i="7"/>
  <c r="J17" i="7"/>
  <c r="CT46" i="7"/>
  <c r="CR41" i="7"/>
  <c r="BY36" i="7"/>
  <c r="BX48" i="7"/>
  <c r="BA36" i="7"/>
  <c r="CR40" i="7"/>
  <c r="CR30" i="7"/>
  <c r="CR27" i="7"/>
  <c r="CR29" i="7"/>
  <c r="CT37" i="7"/>
  <c r="BA26" i="7"/>
  <c r="CQ39" i="7"/>
  <c r="CQ29" i="7"/>
  <c r="CQ15" i="7"/>
  <c r="CQ51" i="7"/>
  <c r="P50" i="7"/>
  <c r="AN35" i="7"/>
  <c r="BY22" i="7"/>
  <c r="CT10" i="7"/>
  <c r="CT32" i="7"/>
  <c r="P28" i="7"/>
  <c r="J6" i="7"/>
  <c r="CR34" i="7"/>
  <c r="CT5" i="7"/>
  <c r="J44" i="7"/>
  <c r="CT20" i="7"/>
  <c r="CR45" i="7"/>
  <c r="CR53" i="7"/>
  <c r="CT42" i="7"/>
  <c r="CT26" i="7"/>
  <c r="CV26" i="7" s="1"/>
  <c r="P29" i="7"/>
  <c r="BA10" i="7"/>
  <c r="P5" i="7"/>
  <c r="K40" i="7"/>
  <c r="K55" i="7"/>
  <c r="K16" i="7"/>
  <c r="CJ19" i="7"/>
  <c r="P20" i="7"/>
  <c r="CJ12" i="7"/>
  <c r="CT31" i="7"/>
  <c r="CT28" i="7"/>
  <c r="CR12" i="7"/>
  <c r="CR43" i="7"/>
  <c r="CQ50" i="7"/>
  <c r="CQ49" i="7"/>
  <c r="CQ55" i="7"/>
  <c r="CQ16" i="7"/>
  <c r="CR25" i="7"/>
  <c r="BX18" i="7"/>
  <c r="CQ33" i="7"/>
  <c r="P31" i="7"/>
  <c r="BX54" i="7"/>
  <c r="AL59" i="7"/>
  <c r="CT51" i="7"/>
  <c r="AN45" i="7"/>
  <c r="BB59" i="7"/>
  <c r="BD59" i="7"/>
  <c r="AN27" i="7"/>
  <c r="CJ8" i="7"/>
  <c r="CH59" i="7"/>
  <c r="CJ42" i="7"/>
  <c r="CQ54" i="7"/>
  <c r="BA35" i="7"/>
  <c r="CR22" i="7"/>
  <c r="CQ40" i="7"/>
  <c r="AN56" i="7"/>
  <c r="AH57" i="5"/>
  <c r="BA5" i="7"/>
  <c r="BA30" i="7"/>
  <c r="K43" i="7"/>
  <c r="AF184" i="5"/>
  <c r="BX25" i="7"/>
  <c r="CQ12" i="7"/>
  <c r="BA21" i="7"/>
  <c r="BA25" i="7"/>
  <c r="J53" i="7"/>
  <c r="CR14" i="7"/>
  <c r="BF9" i="7"/>
  <c r="CF59" i="7"/>
  <c r="BY7" i="7"/>
  <c r="CT40" i="7"/>
  <c r="CT54" i="7"/>
  <c r="CV54" i="7" s="1"/>
  <c r="CT14" i="7"/>
  <c r="CQ7" i="7"/>
  <c r="CQ34" i="7"/>
  <c r="BA24" i="7"/>
  <c r="CT11" i="7"/>
  <c r="CR51" i="7"/>
  <c r="CR56" i="7"/>
  <c r="J13" i="7"/>
  <c r="CT36" i="7"/>
  <c r="CT6" i="7"/>
  <c r="J5" i="7"/>
  <c r="J11" i="7"/>
  <c r="CR42" i="7"/>
  <c r="CT52" i="7"/>
  <c r="CT19" i="7"/>
  <c r="P8" i="7"/>
  <c r="P11" i="7"/>
  <c r="P14" i="7"/>
  <c r="CT56" i="7"/>
  <c r="CQ10" i="7"/>
  <c r="BA56" i="7"/>
  <c r="K6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6" i="7"/>
  <c r="BY28" i="7"/>
  <c r="BY49" i="7"/>
  <c r="CR31" i="7"/>
  <c r="J50" i="7"/>
  <c r="CR21" i="7"/>
  <c r="CV21" i="7" s="1"/>
  <c r="P56" i="7"/>
  <c r="P9" i="7"/>
  <c r="CT34" i="7"/>
  <c r="CT16" i="7"/>
  <c r="CQ13" i="7"/>
  <c r="BA46" i="7"/>
  <c r="BA6" i="7"/>
  <c r="BA33" i="7"/>
  <c r="BA18" i="7"/>
  <c r="CT27" i="7"/>
  <c r="CR37" i="7"/>
  <c r="CV37" i="7" s="1"/>
  <c r="CT43" i="7"/>
  <c r="CT41" i="7"/>
  <c r="CR20" i="7"/>
  <c r="CT39" i="7"/>
  <c r="CV39" i="7" s="1"/>
  <c r="CT24" i="7"/>
  <c r="CT29" i="7"/>
  <c r="CT8" i="7"/>
  <c r="J36" i="7"/>
  <c r="CR8" i="7"/>
  <c r="CT38" i="7"/>
  <c r="J39" i="7"/>
  <c r="J48" i="7"/>
  <c r="CT15" i="7"/>
  <c r="J52" i="7"/>
  <c r="BA42" i="7"/>
  <c r="P21" i="7"/>
  <c r="P23" i="7"/>
  <c r="P27" i="7"/>
  <c r="J7" i="7"/>
  <c r="CQ19" i="7"/>
  <c r="P53" i="7"/>
  <c r="BA32" i="7"/>
  <c r="K21" i="7"/>
  <c r="K51" i="7"/>
  <c r="K24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H62" i="5" s="1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CR24" i="7"/>
  <c r="AB230" i="5"/>
  <c r="AH230" i="5" s="1"/>
  <c r="AB194" i="5"/>
  <c r="CR11" i="7"/>
  <c r="J56" i="7"/>
  <c r="AE89" i="5"/>
  <c r="AB231" i="5"/>
  <c r="AD132" i="5"/>
  <c r="AB196" i="5"/>
  <c r="CR23" i="7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G67" i="5" s="1"/>
  <c r="AC67" i="5"/>
  <c r="AB126" i="5"/>
  <c r="AC126" i="5"/>
  <c r="AC47" i="5"/>
  <c r="AB47" i="5"/>
  <c r="AD47" i="5"/>
  <c r="CR49" i="7"/>
  <c r="J49" i="7"/>
  <c r="AF159" i="5"/>
  <c r="AA217" i="5"/>
  <c r="AB159" i="5"/>
  <c r="AE211" i="5"/>
  <c r="AH211" i="5" s="1"/>
  <c r="AF237" i="5"/>
  <c r="AC230" i="5"/>
  <c r="AA219" i="5"/>
  <c r="CR5" i="7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CR48" i="7"/>
  <c r="P54" i="7"/>
  <c r="J31" i="7"/>
  <c r="CR52" i="7"/>
  <c r="BY43" i="7"/>
  <c r="BA11" i="7"/>
  <c r="J43" i="7"/>
  <c r="AE202" i="5"/>
  <c r="CR15" i="7"/>
  <c r="CR38" i="7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C238" i="5"/>
  <c r="AD12" i="5"/>
  <c r="AD156" i="5"/>
  <c r="AA64" i="5"/>
  <c r="AB171" i="5"/>
  <c r="CR18" i="7"/>
  <c r="AD139" i="5"/>
  <c r="AE17" i="5"/>
  <c r="AH17" i="5" s="1"/>
  <c r="CQ28" i="7"/>
  <c r="CR50" i="7"/>
  <c r="CR7" i="7"/>
  <c r="AB181" i="5"/>
  <c r="AB210" i="5"/>
  <c r="AF169" i="5"/>
  <c r="AE177" i="5"/>
  <c r="AA261" i="5"/>
  <c r="AA106" i="5"/>
  <c r="AE94" i="5"/>
  <c r="AD33" i="5"/>
  <c r="AE238" i="5"/>
  <c r="AH238" i="5" s="1"/>
  <c r="AE220" i="5"/>
  <c r="AB98" i="5"/>
  <c r="AH98" i="5" s="1"/>
  <c r="AD162" i="5"/>
  <c r="AD127" i="5"/>
  <c r="AB12" i="5"/>
  <c r="AE151" i="5"/>
  <c r="AA156" i="5"/>
  <c r="AG156" i="5" s="1"/>
  <c r="AB64" i="5"/>
  <c r="AD215" i="5"/>
  <c r="CR36" i="7"/>
  <c r="CR46" i="7"/>
  <c r="AB26" i="5"/>
  <c r="AA240" i="5"/>
  <c r="AD170" i="5"/>
  <c r="AC7" i="5"/>
  <c r="AF201" i="5"/>
  <c r="J37" i="7"/>
  <c r="P37" i="7"/>
  <c r="AF152" i="5"/>
  <c r="AG152" i="5" s="1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CQ42" i="7"/>
  <c r="AF88" i="5"/>
  <c r="AG88" i="5" s="1"/>
  <c r="CR47" i="7"/>
  <c r="AD68" i="5"/>
  <c r="AB35" i="5"/>
  <c r="CT30" i="7"/>
  <c r="BY39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G72" i="5" s="1"/>
  <c r="AA34" i="5"/>
  <c r="AA179" i="5"/>
  <c r="AD230" i="5"/>
  <c r="AF219" i="5"/>
  <c r="AF194" i="5"/>
  <c r="AD241" i="5"/>
  <c r="AE137" i="5"/>
  <c r="AA224" i="5"/>
  <c r="AG224" i="5" s="1"/>
  <c r="AB89" i="5"/>
  <c r="AA82" i="5"/>
  <c r="AG82" i="5" s="1"/>
  <c r="AD204" i="5"/>
  <c r="AB5" i="5"/>
  <c r="AE132" i="5"/>
  <c r="AB71" i="5"/>
  <c r="AB9" i="5"/>
  <c r="AF36" i="5"/>
  <c r="AD61" i="5"/>
  <c r="AB225" i="5"/>
  <c r="AA119" i="5"/>
  <c r="AF53" i="5"/>
  <c r="AG53" i="5" s="1"/>
  <c r="AF233" i="5"/>
  <c r="CR28" i="7"/>
  <c r="J32" i="7"/>
  <c r="CR13" i="7"/>
  <c r="J20" i="7"/>
  <c r="CQ38" i="7"/>
  <c r="CQ11" i="7"/>
  <c r="CQ43" i="7"/>
  <c r="BA52" i="7"/>
  <c r="BA14" i="7"/>
  <c r="BA28" i="7"/>
  <c r="J34" i="7"/>
  <c r="J28" i="7"/>
  <c r="CQ18" i="7"/>
  <c r="CT13" i="7"/>
  <c r="CT50" i="7"/>
  <c r="CT25" i="7"/>
  <c r="CT12" i="7"/>
  <c r="CQ14" i="7"/>
  <c r="CQ20" i="7"/>
  <c r="CQ36" i="7"/>
  <c r="CQ37" i="7"/>
  <c r="P10" i="7"/>
  <c r="BX30" i="7"/>
  <c r="BY21" i="7"/>
  <c r="CR6" i="7"/>
  <c r="P13" i="7"/>
  <c r="CQ21" i="7"/>
  <c r="BV59" i="7"/>
  <c r="BY30" i="7"/>
  <c r="BY52" i="7"/>
  <c r="BY17" i="7"/>
  <c r="CQ5" i="7"/>
  <c r="P41" i="7"/>
  <c r="CQ9" i="7"/>
  <c r="CQ35" i="7"/>
  <c r="BA48" i="7"/>
  <c r="BA55" i="7"/>
  <c r="BA53" i="7"/>
  <c r="CQ17" i="7"/>
  <c r="P17" i="7"/>
  <c r="P32" i="7"/>
  <c r="CQ27" i="7"/>
  <c r="L59" i="7"/>
  <c r="CT55" i="7"/>
  <c r="CV55" i="7" s="1"/>
  <c r="CR44" i="7"/>
  <c r="AC41" i="5"/>
  <c r="BX12" i="7"/>
  <c r="BA45" i="7"/>
  <c r="BA41" i="7"/>
  <c r="AD15" i="5"/>
  <c r="AB221" i="5"/>
  <c r="P30" i="7"/>
  <c r="BA13" i="7"/>
  <c r="CQ45" i="7"/>
  <c r="P52" i="7"/>
  <c r="BA39" i="7"/>
  <c r="P51" i="7"/>
  <c r="AP155" i="5"/>
  <c r="AG6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BA49" i="7"/>
  <c r="BA8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H86" i="5" s="1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G181" i="5" s="1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G33" i="5" s="1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CQ8" i="7"/>
  <c r="BA34" i="7"/>
  <c r="P43" i="7"/>
  <c r="BA16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CM59" i="7"/>
  <c r="AY59" i="7"/>
  <c r="CO59" i="7"/>
  <c r="P45" i="7"/>
  <c r="CQ30" i="7"/>
  <c r="P22" i="7"/>
  <c r="AP141" i="5"/>
  <c r="AP190" i="5"/>
  <c r="AP77" i="5"/>
  <c r="BY33" i="7"/>
  <c r="BT59" i="7"/>
  <c r="BY9" i="7"/>
  <c r="AG103" i="5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H179" i="5" s="1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G43" i="5" s="1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H190" i="5" s="1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BL59" i="7"/>
  <c r="F72" i="7" s="1" a="1"/>
  <c r="F72" i="7" s="1"/>
  <c r="AB59" i="7"/>
  <c r="F66" i="7" s="1" a="1"/>
  <c r="F66" i="7" s="1"/>
  <c r="V59" i="7"/>
  <c r="F65" i="7" s="1" a="1"/>
  <c r="F65" i="7" s="1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H129" i="5" s="1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CV17" i="7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H74" i="5" s="1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H78" i="5" s="1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H247" i="5" s="1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H199" i="5"/>
  <c r="AH67" i="5"/>
  <c r="AH188" i="5"/>
  <c r="AG167" i="5"/>
  <c r="AH241" i="5"/>
  <c r="AM219" i="5"/>
  <c r="AM220" i="5"/>
  <c r="AH200" i="5"/>
  <c r="AM257" i="5"/>
  <c r="AM238" i="5"/>
  <c r="AM195" i="5"/>
  <c r="AH65" i="5"/>
  <c r="AM181" i="5"/>
  <c r="AM259" i="5"/>
  <c r="AH71" i="5"/>
  <c r="AM240" i="5"/>
  <c r="AM224" i="5"/>
  <c r="AH212" i="5"/>
  <c r="AH135" i="5"/>
  <c r="AM146" i="5"/>
  <c r="AM229" i="5"/>
  <c r="AG171" i="5"/>
  <c r="AM116" i="5"/>
  <c r="AM249" i="5"/>
  <c r="AM69" i="5"/>
  <c r="AM253" i="5"/>
  <c r="AG120" i="5"/>
  <c r="AM90" i="5"/>
  <c r="AM154" i="5"/>
  <c r="AM48" i="5"/>
  <c r="AM66" i="5"/>
  <c r="AM123" i="5"/>
  <c r="AM169" i="5"/>
  <c r="AM212" i="5"/>
  <c r="AM228" i="5"/>
  <c r="AM131" i="5"/>
  <c r="AM210" i="5"/>
  <c r="AM81" i="5"/>
  <c r="AG151" i="5"/>
  <c r="AG179" i="5"/>
  <c r="AM160" i="5"/>
  <c r="AM77" i="5"/>
  <c r="AM54" i="5"/>
  <c r="AM158" i="5"/>
  <c r="AM261" i="5"/>
  <c r="AM120" i="5"/>
  <c r="AM67" i="5"/>
  <c r="AG250" i="5"/>
  <c r="AH250" i="5"/>
  <c r="AM106" i="5"/>
  <c r="AM50" i="5"/>
  <c r="AG166" i="5"/>
  <c r="AM32" i="5"/>
  <c r="AM178" i="5"/>
  <c r="AM227" i="5"/>
  <c r="AM200" i="5"/>
  <c r="AG47" i="5"/>
  <c r="AM137" i="5"/>
  <c r="AM258" i="5"/>
  <c r="AM167" i="5"/>
  <c r="AH153" i="5"/>
  <c r="AH208" i="5"/>
  <c r="AH236" i="5"/>
  <c r="AM221" i="5"/>
  <c r="AH192" i="5"/>
  <c r="AH130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H248" i="5"/>
  <c r="AM30" i="5"/>
  <c r="AM72" i="5"/>
  <c r="AH13" i="5"/>
  <c r="AM217" i="5"/>
  <c r="AM85" i="5"/>
  <c r="AM34" i="5"/>
  <c r="AH33" i="5"/>
  <c r="AM33" i="5"/>
  <c r="AH220" i="5"/>
  <c r="AM98" i="5"/>
  <c r="AM162" i="5"/>
  <c r="AM10" i="5"/>
  <c r="AM12" i="5"/>
  <c r="AM211" i="5"/>
  <c r="AG64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H207" i="5"/>
  <c r="AM125" i="5"/>
  <c r="AM15" i="5"/>
  <c r="AH183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H101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G102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H1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H10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H189" i="5" l="1"/>
  <c r="AG240" i="5"/>
  <c r="AH132" i="5"/>
  <c r="K30" i="7"/>
  <c r="CS48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S9" i="7"/>
  <c r="CK31" i="7"/>
  <c r="AH70" i="5"/>
  <c r="CE54" i="7"/>
  <c r="CE44" i="7"/>
  <c r="CE51" i="7"/>
  <c r="CK34" i="7"/>
  <c r="CK45" i="7"/>
  <c r="BG43" i="7"/>
  <c r="AH225" i="5"/>
  <c r="AG36" i="5"/>
  <c r="AH171" i="5"/>
  <c r="K22" i="7"/>
  <c r="K27" i="7"/>
  <c r="AG24" i="5"/>
  <c r="AH237" i="5"/>
  <c r="AG95" i="5"/>
  <c r="AG176" i="5"/>
  <c r="AH12" i="5"/>
  <c r="AI11" i="5" s="1"/>
  <c r="AG51" i="5"/>
  <c r="AH46" i="5"/>
  <c r="AH134" i="5"/>
  <c r="AH246" i="5"/>
  <c r="AH239" i="5"/>
  <c r="AG123" i="5"/>
  <c r="AH226" i="5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I125" i="5" s="1"/>
  <c r="AH97" i="5"/>
  <c r="AG184" i="5"/>
  <c r="AG100" i="5"/>
  <c r="AH194" i="5"/>
  <c r="AG199" i="5"/>
  <c r="AH136" i="5"/>
  <c r="AI134" i="5" s="1"/>
  <c r="AG169" i="5"/>
  <c r="AH180" i="5"/>
  <c r="AG29" i="5"/>
  <c r="AH145" i="5"/>
  <c r="AG122" i="5"/>
  <c r="AH9" i="5"/>
  <c r="AI9" i="5" s="1"/>
  <c r="AH210" i="5"/>
  <c r="AG134" i="5"/>
  <c r="AG261" i="5"/>
  <c r="AH23" i="5"/>
  <c r="AH144" i="5"/>
  <c r="AH103" i="5"/>
  <c r="AG32" i="5"/>
  <c r="AH102" i="5"/>
  <c r="AH89" i="5"/>
  <c r="AH221" i="5"/>
  <c r="AH204" i="5"/>
  <c r="AH53" i="5"/>
  <c r="AI52" i="5" s="1"/>
  <c r="AH167" i="5"/>
  <c r="AH51" i="5"/>
  <c r="AI50" i="5" s="1"/>
  <c r="AH197" i="5"/>
  <c r="AH186" i="5"/>
  <c r="AG216" i="5"/>
  <c r="AH173" i="5"/>
  <c r="AH94" i="5"/>
  <c r="AU6" i="7"/>
  <c r="I59" i="7"/>
  <c r="CV5" i="7"/>
  <c r="CV32" i="7"/>
  <c r="BS7" i="7"/>
  <c r="BS38" i="7"/>
  <c r="BU59" i="7"/>
  <c r="CV38" i="7"/>
  <c r="CS51" i="7"/>
  <c r="CS54" i="7"/>
  <c r="BS30" i="7"/>
  <c r="BS21" i="7"/>
  <c r="BS6" i="7"/>
  <c r="BS19" i="7"/>
  <c r="BS5" i="7"/>
  <c r="BS17" i="7"/>
  <c r="CK24" i="7"/>
  <c r="CK41" i="7"/>
  <c r="CK21" i="7"/>
  <c r="CK17" i="7"/>
  <c r="CU32" i="7"/>
  <c r="BG9" i="7"/>
  <c r="BG12" i="7"/>
  <c r="BG25" i="7"/>
  <c r="BG35" i="7"/>
  <c r="CV9" i="7"/>
  <c r="CV36" i="7"/>
  <c r="CV18" i="7"/>
  <c r="CV22" i="7"/>
  <c r="CI59" i="7"/>
  <c r="BC59" i="7"/>
  <c r="CS37" i="7"/>
  <c r="CU40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U17" i="7"/>
  <c r="CP59" i="7"/>
  <c r="F77" i="7" s="1" a="1"/>
  <c r="F77" i="7" s="1"/>
  <c r="AT59" i="7"/>
  <c r="F69" i="7" s="1" a="1"/>
  <c r="F69" i="7" s="1"/>
  <c r="CD59" i="7"/>
  <c r="F75" i="7" s="1" a="1"/>
  <c r="F75" i="7" s="1"/>
  <c r="CU47" i="7"/>
  <c r="CS41" i="7"/>
  <c r="CS26" i="7"/>
  <c r="CU19" i="7"/>
  <c r="CU56" i="7"/>
  <c r="CS8" i="7"/>
  <c r="CS23" i="7"/>
  <c r="CE38" i="7"/>
  <c r="CE35" i="7"/>
  <c r="CV51" i="7"/>
  <c r="CS47" i="7"/>
  <c r="BS55" i="7"/>
  <c r="CU18" i="7"/>
  <c r="BS43" i="7"/>
  <c r="BQ59" i="7"/>
  <c r="BS13" i="7"/>
  <c r="BS37" i="7"/>
  <c r="CS20" i="7"/>
  <c r="CU52" i="7"/>
  <c r="CK16" i="7"/>
  <c r="CK7" i="7"/>
  <c r="CU31" i="7"/>
  <c r="CU30" i="7"/>
  <c r="CU42" i="7"/>
  <c r="CU50" i="7"/>
  <c r="BG53" i="7"/>
  <c r="CU16" i="7"/>
  <c r="BR59" i="7"/>
  <c r="F73" i="7" s="1" a="1"/>
  <c r="F73" i="7" s="1"/>
  <c r="CS18" i="7"/>
  <c r="CU53" i="7"/>
  <c r="CU22" i="7"/>
  <c r="AO10" i="7"/>
  <c r="CU51" i="7"/>
  <c r="CU13" i="7"/>
  <c r="CU44" i="7"/>
  <c r="CS43" i="7"/>
  <c r="CU14" i="7"/>
  <c r="CU39" i="7"/>
  <c r="CS45" i="7"/>
  <c r="CU6" i="7"/>
  <c r="CS11" i="7"/>
  <c r="CU8" i="7"/>
  <c r="CU55" i="7"/>
  <c r="CU5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S29" i="7"/>
  <c r="CV44" i="7"/>
  <c r="CV46" i="7"/>
  <c r="CV31" i="7"/>
  <c r="CV35" i="7"/>
  <c r="AO24" i="7"/>
  <c r="AO12" i="7"/>
  <c r="CU35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I240" i="5" s="1"/>
  <c r="AH38" i="5"/>
  <c r="AI36" i="5" s="1"/>
  <c r="CS30" i="7"/>
  <c r="AH137" i="5"/>
  <c r="AI135" i="5" s="1"/>
  <c r="CV48" i="7"/>
  <c r="AH159" i="5"/>
  <c r="AH223" i="5"/>
  <c r="CV56" i="7"/>
  <c r="CS22" i="7"/>
  <c r="CW22" i="7" s="1"/>
  <c r="CS35" i="7"/>
  <c r="CU28" i="7"/>
  <c r="AO6" i="7"/>
  <c r="AO50" i="7"/>
  <c r="AO36" i="7"/>
  <c r="CU54" i="7"/>
  <c r="CU48" i="7"/>
  <c r="CW48" i="7" s="1"/>
  <c r="CS14" i="7"/>
  <c r="CW14" i="7" s="1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S27" i="7"/>
  <c r="CV40" i="7"/>
  <c r="CU23" i="7"/>
  <c r="CW23" i="7" s="1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CW18" i="7"/>
  <c r="BS20" i="7"/>
  <c r="BS45" i="7"/>
  <c r="BG21" i="7"/>
  <c r="AH111" i="5"/>
  <c r="AI110" i="5" s="1"/>
  <c r="G59" i="7"/>
  <c r="AH55" i="5"/>
  <c r="AI55" i="5" s="1"/>
  <c r="CS42" i="7"/>
  <c r="AG161" i="5"/>
  <c r="CV23" i="7"/>
  <c r="CV42" i="7"/>
  <c r="CG59" i="7"/>
  <c r="BE59" i="7"/>
  <c r="CU36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I23" i="5" s="1"/>
  <c r="AG46" i="5"/>
  <c r="AH256" i="5"/>
  <c r="AG163" i="5"/>
  <c r="AG45" i="5"/>
  <c r="AH106" i="5"/>
  <c r="CU21" i="7"/>
  <c r="AG93" i="5"/>
  <c r="AG44" i="5"/>
  <c r="CU20" i="7"/>
  <c r="AG159" i="5"/>
  <c r="AG160" i="5"/>
  <c r="AH77" i="5"/>
  <c r="AH64" i="5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CU26" i="7"/>
  <c r="AH93" i="5"/>
  <c r="AG142" i="5"/>
  <c r="AG190" i="5"/>
  <c r="AH105" i="5"/>
  <c r="AG8" i="5"/>
  <c r="AH217" i="5"/>
  <c r="AH21" i="5"/>
  <c r="CW26" i="7"/>
  <c r="CV53" i="7"/>
  <c r="CU45" i="7"/>
  <c r="AH29" i="5"/>
  <c r="AH201" i="5"/>
  <c r="AI199" i="5" s="1"/>
  <c r="AH7" i="5"/>
  <c r="AH35" i="5"/>
  <c r="AI35" i="5" s="1"/>
  <c r="AG237" i="5"/>
  <c r="AH196" i="5"/>
  <c r="AG16" i="5"/>
  <c r="AH43" i="5"/>
  <c r="AG63" i="5"/>
  <c r="AH76" i="5"/>
  <c r="CV25" i="7"/>
  <c r="CU11" i="7"/>
  <c r="CW11" i="7" s="1"/>
  <c r="AM59" i="7"/>
  <c r="CS15" i="7"/>
  <c r="CU12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CU34" i="7"/>
  <c r="AH22" i="5"/>
  <c r="AO33" i="7"/>
  <c r="AO34" i="7"/>
  <c r="CU9" i="7"/>
  <c r="CW9" i="7" s="1"/>
  <c r="AO30" i="7"/>
  <c r="Q14" i="7"/>
  <c r="Q55" i="7"/>
  <c r="CU29" i="7"/>
  <c r="CW29" i="7" s="1"/>
  <c r="CU38" i="7"/>
  <c r="Q10" i="7"/>
  <c r="CU41" i="7"/>
  <c r="Q21" i="7"/>
  <c r="Q17" i="7"/>
  <c r="AG127" i="5"/>
  <c r="CW47" i="7"/>
  <c r="CS12" i="7"/>
  <c r="CW12" i="7" s="1"/>
  <c r="AO37" i="7"/>
  <c r="AO18" i="7"/>
  <c r="Q47" i="7"/>
  <c r="CU33" i="7"/>
  <c r="CU7" i="7"/>
  <c r="Q19" i="7"/>
  <c r="CU25" i="7"/>
  <c r="CU27" i="7"/>
  <c r="CW27" i="7" s="1"/>
  <c r="CU24" i="7"/>
  <c r="CU15" i="7"/>
  <c r="CU46" i="7"/>
  <c r="Q28" i="7"/>
  <c r="Q31" i="7"/>
  <c r="CS5" i="7"/>
  <c r="CW5" i="7" s="1"/>
  <c r="CU10" i="7"/>
  <c r="CU37" i="7"/>
  <c r="CW37" i="7" s="1"/>
  <c r="CV29" i="7"/>
  <c r="AO16" i="7"/>
  <c r="Q33" i="7"/>
  <c r="Q51" i="7"/>
  <c r="Q42" i="7"/>
  <c r="Q16" i="7"/>
  <c r="Q23" i="7"/>
  <c r="CS6" i="7"/>
  <c r="CW6" i="7" s="1"/>
  <c r="AO7" i="7"/>
  <c r="O59" i="7"/>
  <c r="CS49" i="7"/>
  <c r="CS21" i="7"/>
  <c r="CW21" i="7" s="1"/>
  <c r="CS40" i="7"/>
  <c r="CS28" i="7"/>
  <c r="CW28" i="7" s="1"/>
  <c r="BF59" i="7"/>
  <c r="F71" i="7" s="1" a="1"/>
  <c r="F71" i="7" s="1"/>
  <c r="CV16" i="7"/>
  <c r="CS56" i="7"/>
  <c r="CW56" i="7" s="1"/>
  <c r="CV11" i="7"/>
  <c r="CV27" i="7"/>
  <c r="CV30" i="7"/>
  <c r="AK59" i="7"/>
  <c r="CS33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CS52" i="7"/>
  <c r="Q52" i="7"/>
  <c r="Q26" i="7"/>
  <c r="Q35" i="7"/>
  <c r="Q50" i="7"/>
  <c r="Q12" i="7"/>
  <c r="BY10" i="7"/>
  <c r="CS36" i="7"/>
  <c r="BY54" i="7"/>
  <c r="CS19" i="7"/>
  <c r="CW19" i="7" s="1"/>
  <c r="AO21" i="7"/>
  <c r="CS55" i="7"/>
  <c r="CS31" i="7"/>
  <c r="BW59" i="7"/>
  <c r="CS10" i="7"/>
  <c r="CW42" i="7"/>
  <c r="CV52" i="7"/>
  <c r="CS38" i="7"/>
  <c r="CU49" i="7"/>
  <c r="CV20" i="7"/>
  <c r="CS32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CU43" i="7"/>
  <c r="CW43" i="7" s="1"/>
  <c r="CS44" i="7"/>
  <c r="Q44" i="7"/>
  <c r="Q27" i="7"/>
  <c r="Q48" i="7"/>
  <c r="CS25" i="7"/>
  <c r="CW25" i="7" s="1"/>
  <c r="Q25" i="7"/>
  <c r="Q20" i="7"/>
  <c r="Q49" i="7"/>
  <c r="Q6" i="7"/>
  <c r="CS24" i="7"/>
  <c r="M59" i="7"/>
  <c r="CS50" i="7"/>
  <c r="CW50" i="7" s="1"/>
  <c r="CW54" i="7"/>
  <c r="CV28" i="7"/>
  <c r="CS34" i="7"/>
  <c r="CW34" i="7" s="1"/>
  <c r="CS39" i="7"/>
  <c r="CS7" i="7"/>
  <c r="CS17" i="7"/>
  <c r="CW17" i="7" s="1"/>
  <c r="CS53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S13" i="7"/>
  <c r="CS46" i="7"/>
  <c r="CS16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I116" i="5" s="1"/>
  <c r="AG244" i="5"/>
  <c r="AH5" i="5"/>
  <c r="AH231" i="5"/>
  <c r="AI230" i="5" s="1"/>
  <c r="AH45" i="5"/>
  <c r="AG194" i="5"/>
  <c r="AG225" i="5"/>
  <c r="AG12" i="5"/>
  <c r="AG15" i="5"/>
  <c r="AH193" i="5"/>
  <c r="AI193" i="5" s="1"/>
  <c r="AG157" i="5"/>
  <c r="AG191" i="5"/>
  <c r="AG170" i="5"/>
  <c r="AG220" i="5"/>
  <c r="AH31" i="5"/>
  <c r="AI31" i="5" s="1"/>
  <c r="AH202" i="5"/>
  <c r="AG263" i="5"/>
  <c r="AG34" i="5"/>
  <c r="AG233" i="5"/>
  <c r="AG215" i="5"/>
  <c r="AG140" i="5"/>
  <c r="AH91" i="5"/>
  <c r="AI89" i="5" s="1"/>
  <c r="AH262" i="5"/>
  <c r="AG189" i="5"/>
  <c r="AG135" i="5"/>
  <c r="AH139" i="5"/>
  <c r="AH75" i="5"/>
  <c r="AI74" i="5" s="1"/>
  <c r="AG175" i="5"/>
  <c r="AG241" i="5"/>
  <c r="AG116" i="5"/>
  <c r="AG21" i="5"/>
  <c r="AG98" i="5"/>
  <c r="AH162" i="5"/>
  <c r="AI160" i="5" s="1"/>
  <c r="AG131" i="5"/>
  <c r="AH254" i="5"/>
  <c r="AI252" i="5" s="1"/>
  <c r="AG17" i="5"/>
  <c r="AG59" i="5"/>
  <c r="AH42" i="5"/>
  <c r="AH142" i="5"/>
  <c r="AI142" i="5" s="1"/>
  <c r="AH168" i="5"/>
  <c r="AH34" i="5"/>
  <c r="AI32" i="5" s="1"/>
  <c r="AH244" i="5"/>
  <c r="AI244" i="5" s="1"/>
  <c r="AG234" i="5"/>
  <c r="AG80" i="5"/>
  <c r="AG228" i="5"/>
  <c r="AH113" i="5"/>
  <c r="AI112" i="5" s="1"/>
  <c r="AH205" i="5"/>
  <c r="AH60" i="5"/>
  <c r="AH156" i="5"/>
  <c r="AI154" i="5" s="1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I147" i="5" s="1"/>
  <c r="AG121" i="5"/>
  <c r="AG206" i="5"/>
  <c r="AG62" i="5"/>
  <c r="AH164" i="5"/>
  <c r="AI164" i="5" s="1"/>
  <c r="AH18" i="5"/>
  <c r="AG31" i="5"/>
  <c r="AG209" i="5"/>
  <c r="AH141" i="5"/>
  <c r="AG14" i="5"/>
  <c r="AH260" i="5"/>
  <c r="AI259" i="5" s="1"/>
  <c r="AH206" i="5"/>
  <c r="AG148" i="5"/>
  <c r="AG222" i="5"/>
  <c r="AH187" i="5"/>
  <c r="AI186" i="5" s="1"/>
  <c r="AH253" i="5"/>
  <c r="AG249" i="5"/>
  <c r="AG259" i="5"/>
  <c r="AH92" i="5"/>
  <c r="AH243" i="5"/>
  <c r="AH257" i="5"/>
  <c r="AG78" i="5"/>
  <c r="AC59" i="7"/>
  <c r="G66" i="7" s="1" a="1"/>
  <c r="G66" i="7" s="1"/>
  <c r="BA59" i="7"/>
  <c r="G70" i="7" s="1" a="1"/>
  <c r="G70" i="7" s="1"/>
  <c r="W59" i="7"/>
  <c r="G65" i="7" s="1" a="1"/>
  <c r="G65" i="7" s="1"/>
  <c r="BM59" i="7"/>
  <c r="G72" i="7" s="1" a="1"/>
  <c r="G72" i="7" s="1"/>
  <c r="AU59" i="7"/>
  <c r="G69" i="7" s="1" a="1"/>
  <c r="G69" i="7" s="1"/>
  <c r="AH150" i="5"/>
  <c r="AH213" i="5"/>
  <c r="AH73" i="5"/>
  <c r="AH19" i="5"/>
  <c r="AH27" i="5"/>
  <c r="AG49" i="5"/>
  <c r="AG129" i="5"/>
  <c r="AG154" i="5"/>
  <c r="AH146" i="5"/>
  <c r="AI145" i="5" s="1"/>
  <c r="AG141" i="5"/>
  <c r="AG258" i="5"/>
  <c r="AH58" i="5"/>
  <c r="AI56" i="5" s="1"/>
  <c r="AG18" i="5"/>
  <c r="AG202" i="5"/>
  <c r="AG25" i="5"/>
  <c r="AH222" i="5"/>
  <c r="AI222" i="5" s="1"/>
  <c r="AH39" i="5"/>
  <c r="AI37" i="5" s="1"/>
  <c r="AH258" i="5"/>
  <c r="AG58" i="5"/>
  <c r="AG48" i="5"/>
  <c r="AH96" i="5"/>
  <c r="AI96" i="5" s="1"/>
  <c r="AH235" i="5"/>
  <c r="AI234" i="5" s="1"/>
  <c r="AH209" i="5"/>
  <c r="AI208" i="5" s="1"/>
  <c r="AG20" i="5"/>
  <c r="F241" i="10" a="1"/>
  <c r="F241" i="10" s="1"/>
  <c r="F223" i="10" a="1"/>
  <c r="F223" i="10" s="1"/>
  <c r="F205" i="10" a="1"/>
  <c r="F205" i="10" s="1"/>
  <c r="AH178" i="5"/>
  <c r="AH128" i="5"/>
  <c r="AI128" i="5" s="1"/>
  <c r="AG255" i="5"/>
  <c r="AH14" i="5"/>
  <c r="AI13" i="5" s="1"/>
  <c r="AG147" i="5"/>
  <c r="AG109" i="5"/>
  <c r="AH88" i="5"/>
  <c r="AI88" i="5" s="1"/>
  <c r="AG68" i="5"/>
  <c r="AG10" i="5"/>
  <c r="AH107" i="5"/>
  <c r="AI106" i="5" s="1"/>
  <c r="AG66" i="5"/>
  <c r="AH109" i="5"/>
  <c r="AG99" i="5"/>
  <c r="AG92" i="5"/>
  <c r="AG213" i="5"/>
  <c r="AH79" i="5"/>
  <c r="AG164" i="5"/>
  <c r="AH4" i="5"/>
  <c r="AI47" i="5"/>
  <c r="AI210" i="5"/>
  <c r="AH251" i="5"/>
  <c r="AI249" i="5" s="1"/>
  <c r="AG79" i="5"/>
  <c r="AI182" i="5"/>
  <c r="AI129" i="5"/>
  <c r="AI65" i="5"/>
  <c r="AI66" i="5"/>
  <c r="AI226" i="5"/>
  <c r="AI149" i="5"/>
  <c r="AI159" i="5"/>
  <c r="AI99" i="5"/>
  <c r="AI197" i="5"/>
  <c r="AI69" i="5"/>
  <c r="AI10" i="5"/>
  <c r="AI167" i="5"/>
  <c r="AI198" i="5"/>
  <c r="AI225" i="5"/>
  <c r="AI83" i="5"/>
  <c r="AI46" i="5"/>
  <c r="AI62" i="5"/>
  <c r="AI192" i="5"/>
  <c r="AI70" i="5"/>
  <c r="AI237" i="5"/>
  <c r="AI133" i="5"/>
  <c r="AI239" i="5"/>
  <c r="AI223" i="5"/>
  <c r="AI132" i="5"/>
  <c r="AI64" i="5"/>
  <c r="AI190" i="5"/>
  <c r="AI93" i="5"/>
  <c r="AI153" i="5"/>
  <c r="AI143" i="5"/>
  <c r="AI103" i="5"/>
  <c r="AI180" i="5"/>
  <c r="AI130" i="5"/>
  <c r="AI236" i="5"/>
  <c r="AI224" i="5"/>
  <c r="AI189" i="5"/>
  <c r="AI246" i="5"/>
  <c r="AI158" i="5"/>
  <c r="AI76" i="5"/>
  <c r="AI227" i="5"/>
  <c r="AI8" i="5"/>
  <c r="AI238" i="5"/>
  <c r="AI245" i="5"/>
  <c r="AI228" i="5"/>
  <c r="AI25" i="5"/>
  <c r="AI68" i="5"/>
  <c r="AI179" i="5"/>
  <c r="AI170" i="5"/>
  <c r="AI195" i="5"/>
  <c r="AI98" i="5"/>
  <c r="AI63" i="5"/>
  <c r="AI194" i="5"/>
  <c r="AI26" i="5"/>
  <c r="AI84" i="5"/>
  <c r="AI157" i="5"/>
  <c r="AI61" i="5"/>
  <c r="AI196" i="5"/>
  <c r="AI121" i="5"/>
  <c r="F93" i="10" a="1"/>
  <c r="F93" i="10" s="1"/>
  <c r="F75" i="10" a="1"/>
  <c r="F75" i="10" s="1"/>
  <c r="F111" i="10" a="1"/>
  <c r="F111" i="10" s="1"/>
  <c r="AI168" i="5"/>
  <c r="AI97" i="5"/>
  <c r="AI100" i="5"/>
  <c r="AI247" i="5"/>
  <c r="AI85" i="5"/>
  <c r="E11" i="7"/>
  <c r="A141" i="10" s="1"/>
  <c r="A10" i="10"/>
  <c r="AI169" i="5"/>
  <c r="AI49" i="5"/>
  <c r="AI188" i="5"/>
  <c r="AI48" i="5"/>
  <c r="AI248" i="5"/>
  <c r="AI181" i="5"/>
  <c r="AI44" i="5"/>
  <c r="AI131" i="5"/>
  <c r="AI67" i="5"/>
  <c r="AI27" i="5" l="1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CZ46" i="7" a="1"/>
  <c r="CZ46" i="7" s="1"/>
  <c r="CZ20" i="7" a="1"/>
  <c r="CZ20" i="7" s="1"/>
  <c r="CZ37" i="7" a="1"/>
  <c r="CZ37" i="7" s="1"/>
  <c r="CZ51" i="7" a="1"/>
  <c r="CZ51" i="7" s="1"/>
  <c r="CZ38" i="7" a="1"/>
  <c r="CZ38" i="7" s="1"/>
  <c r="CZ39" i="7" a="1"/>
  <c r="CZ39" i="7" s="1"/>
  <c r="CZ31" i="7" a="1"/>
  <c r="CZ31" i="7" s="1"/>
  <c r="CZ52" i="7" a="1"/>
  <c r="CZ52" i="7" s="1"/>
  <c r="CZ32" i="7" a="1"/>
  <c r="CZ32" i="7" s="1"/>
  <c r="CZ13" i="7" a="1"/>
  <c r="CZ13" i="7" s="1"/>
  <c r="CZ41" i="7" a="1"/>
  <c r="CZ41" i="7" s="1"/>
  <c r="CZ33" i="7" a="1"/>
  <c r="CZ33" i="7" s="1"/>
  <c r="CZ18" i="7" a="1"/>
  <c r="CZ18" i="7" s="1"/>
  <c r="CZ11" i="7" a="1"/>
  <c r="CZ11" i="7" s="1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G67" i="7" s="1" a="1"/>
  <c r="G67" i="7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Z35" i="7" a="1"/>
  <c r="CZ35" i="7" s="1"/>
  <c r="CZ22" i="7" a="1"/>
  <c r="CZ22" i="7" s="1"/>
  <c r="CZ55" i="7" a="1"/>
  <c r="CZ55" i="7" s="1"/>
  <c r="CZ14" i="7" a="1"/>
  <c r="CZ14" i="7" s="1"/>
  <c r="CZ54" i="7" a="1"/>
  <c r="CZ54" i="7" s="1"/>
  <c r="CZ24" i="7" a="1"/>
  <c r="CZ24" i="7" s="1"/>
  <c r="CZ40" i="7" a="1"/>
  <c r="CZ40" i="7" s="1"/>
  <c r="CZ29" i="7" a="1"/>
  <c r="CZ29" i="7" s="1"/>
  <c r="CZ44" i="7" a="1"/>
  <c r="CZ44" i="7" s="1"/>
  <c r="CZ19" i="7" a="1"/>
  <c r="CZ19" i="7" s="1"/>
  <c r="CZ36" i="7" a="1"/>
  <c r="CZ36" i="7" s="1"/>
  <c r="CZ45" i="7" a="1"/>
  <c r="CZ45" i="7" s="1"/>
  <c r="CZ8" i="7" a="1"/>
  <c r="CZ8" i="7" s="1"/>
  <c r="CZ23" i="7" a="1"/>
  <c r="CZ23" i="7" s="1"/>
  <c r="CZ48" i="7" a="1"/>
  <c r="CZ48" i="7" s="1"/>
  <c r="CZ43" i="7" a="1"/>
  <c r="CZ43" i="7" s="1"/>
  <c r="CZ25" i="7" a="1"/>
  <c r="CZ25" i="7" s="1"/>
  <c r="CZ53" i="7" a="1"/>
  <c r="CZ53" i="7" s="1"/>
  <c r="CZ21" i="7" a="1"/>
  <c r="CZ21" i="7" s="1"/>
  <c r="CZ27" i="7" a="1"/>
  <c r="CZ27" i="7" s="1"/>
  <c r="CZ56" i="7" a="1"/>
  <c r="CZ56" i="7" s="1"/>
  <c r="CZ9" i="7" a="1"/>
  <c r="CZ9" i="7" s="1"/>
  <c r="CZ10" i="7" a="1"/>
  <c r="CZ10" i="7" s="1"/>
  <c r="CZ15" i="7" a="1"/>
  <c r="CZ15" i="7" s="1"/>
  <c r="CZ17" i="7" a="1"/>
  <c r="CZ17" i="7" s="1"/>
  <c r="CZ16" i="7" a="1"/>
  <c r="CZ16" i="7" s="1"/>
  <c r="CZ34" i="7" a="1"/>
  <c r="CZ34" i="7" s="1"/>
  <c r="CZ5" i="7" a="1"/>
  <c r="CZ5" i="7" s="1"/>
  <c r="B31" i="8" s="1"/>
  <c r="CZ12" i="7" a="1"/>
  <c r="CZ12" i="7" s="1"/>
  <c r="CZ26" i="7" a="1"/>
  <c r="CZ26" i="7" s="1"/>
  <c r="CZ30" i="7" a="1"/>
  <c r="CZ30" i="7" s="1"/>
  <c r="CZ28" i="7" a="1"/>
  <c r="CZ28" i="7" s="1"/>
  <c r="CZ6" i="7" a="1"/>
  <c r="CZ6" i="7" s="1"/>
  <c r="CZ49" i="7" a="1"/>
  <c r="CZ49" i="7" s="1"/>
  <c r="CZ42" i="7" a="1"/>
  <c r="CZ42" i="7" s="1"/>
  <c r="CZ50" i="7" a="1"/>
  <c r="CZ50" i="7" s="1"/>
  <c r="CZ47" i="7" a="1"/>
  <c r="CZ47" i="7" s="1"/>
  <c r="CZ7" i="7" a="1"/>
  <c r="CZ7" i="7" s="1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G63" i="7" s="1" a="1"/>
  <c r="G63" i="7" s="1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DA23" i="7" l="1"/>
  <c r="CY53" i="7"/>
  <c r="DA53" i="7" s="1"/>
  <c r="CY21" i="7"/>
  <c r="DA21" i="7" s="1"/>
  <c r="CY42" i="7"/>
  <c r="DA42" i="7" s="1"/>
  <c r="CY31" i="7"/>
  <c r="DA31" i="7" s="1"/>
  <c r="CY46" i="7"/>
  <c r="DA46" i="7" s="1"/>
  <c r="CY11" i="7"/>
  <c r="DA11" i="7" s="1"/>
  <c r="CY38" i="7"/>
  <c r="DA38" i="7" s="1"/>
  <c r="CY36" i="7"/>
  <c r="DA36" i="7" s="1"/>
  <c r="CY27" i="7"/>
  <c r="DA27" i="7" s="1"/>
  <c r="CY18" i="7"/>
  <c r="DA18" i="7" s="1"/>
  <c r="CY7" i="7"/>
  <c r="DA7" i="7" s="1"/>
  <c r="CY9" i="7"/>
  <c r="DA9" i="7" s="1"/>
  <c r="CY51" i="7"/>
  <c r="DA51" i="7" s="1"/>
  <c r="CY45" i="7"/>
  <c r="DA45" i="7" s="1"/>
  <c r="CY55" i="7"/>
  <c r="DA55" i="7" s="1"/>
  <c r="CY17" i="7"/>
  <c r="DA17" i="7" s="1"/>
  <c r="CY13" i="7"/>
  <c r="DA13" i="7" s="1"/>
  <c r="CY6" i="7"/>
  <c r="DA6" i="7" s="1"/>
  <c r="CY28" i="7"/>
  <c r="DA28" i="7" s="1"/>
  <c r="CY32" i="7"/>
  <c r="DA32" i="7" s="1"/>
  <c r="CY49" i="7"/>
  <c r="DA49" i="7" s="1"/>
  <c r="CY35" i="7"/>
  <c r="DA35" i="7" s="1"/>
  <c r="CY19" i="7"/>
  <c r="DA19" i="7" s="1"/>
  <c r="CY14" i="7"/>
  <c r="DA14" i="7" s="1"/>
  <c r="CY47" i="7"/>
  <c r="DA47" i="7" s="1"/>
  <c r="CY48" i="7"/>
  <c r="DA48" i="7" s="1"/>
  <c r="CY44" i="7"/>
  <c r="DA44" i="7" s="1"/>
  <c r="CY33" i="7"/>
  <c r="DA33" i="7" s="1"/>
  <c r="CY22" i="7"/>
  <c r="DA22" i="7" s="1"/>
  <c r="CY34" i="7"/>
  <c r="DA34" i="7" s="1"/>
  <c r="CY5" i="7"/>
  <c r="B32" i="8" s="1"/>
  <c r="CY39" i="7"/>
  <c r="DA39" i="7" s="1"/>
  <c r="CY54" i="7"/>
  <c r="DA54" i="7" s="1"/>
  <c r="CY50" i="7"/>
  <c r="DA50" i="7" s="1"/>
  <c r="CY12" i="7"/>
  <c r="DA12" i="7" s="1"/>
  <c r="CY41" i="7"/>
  <c r="DA41" i="7" s="1"/>
  <c r="CY37" i="7"/>
  <c r="DA37" i="7" s="1"/>
  <c r="CY52" i="7"/>
  <c r="DA52" i="7" s="1"/>
  <c r="CY26" i="7"/>
  <c r="DA26" i="7" s="1"/>
  <c r="CY8" i="7"/>
  <c r="DA8" i="7" s="1"/>
  <c r="CY43" i="7"/>
  <c r="DA43" i="7" s="1"/>
  <c r="CY15" i="7"/>
  <c r="DA15" i="7" s="1"/>
  <c r="CY24" i="7"/>
  <c r="DA24" i="7" s="1"/>
  <c r="CY30" i="7"/>
  <c r="DA30" i="7" s="1"/>
  <c r="CY20" i="7"/>
  <c r="DA20" i="7" s="1"/>
  <c r="CY10" i="7"/>
  <c r="DA10" i="7" s="1"/>
  <c r="CY16" i="7"/>
  <c r="DA16" i="7" s="1"/>
  <c r="CY25" i="7"/>
  <c r="DA25" i="7" s="1"/>
  <c r="CY56" i="7"/>
  <c r="DA56" i="7" s="1"/>
  <c r="CY29" i="7"/>
  <c r="DA29" i="7" s="1"/>
  <c r="CY40" i="7"/>
  <c r="DA40" i="7" s="1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5" i="7" l="1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<sst xmlns="http://schemas.openxmlformats.org/spreadsheetml/2006/main" count="502" uniqueCount="171">
  <si>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</si>
  <si>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</si>
  <si>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</si>
  <si>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</si>
  <si>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</si>
  <si>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</si>
  <si>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</si>
  <si>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</si>
  <si>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</si>
  <si>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</si>
  <si>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</si>
  <si>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</si>
  <si>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</si>
  <si>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</si>
  <si>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</si>
  <si>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</si>
  <si>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</si>
  <si>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</si>
  <si>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</si>
  <si>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</si>
  <si>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</si>
  <si>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</si>
  <si>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</si>
  <si>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</si>
  <si>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</si>
  <si>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</si>
  <si>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</si>
  <si>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</si>
  <si>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</si>
  <si>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</si>
  <si>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</si>
  <si>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</si>
  <si>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</si>
  <si>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</si>
  <si>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</si>
  <si>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</si>
  <si>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</si>
  <si>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</si>
  <si>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</si>
  <si>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</si>
  <si>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</si>
  <si>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</si>
  <si>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</si>
  <si>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</si>
  <si>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</si>
  <si>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</si>
  <si>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</si>
  <si>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</si>
  <si>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</si>
  <si>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</si>
  <si>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</si>
  <si>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</si>
  <si>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</si>
  <si>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</si>
  <si>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</si>
  <si>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</si>
  <si>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</si>
  <si>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</si>
  <si>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</si>
  <si>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</si>
  <si>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</si>
  <si>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</si>
  <si>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</si>
  <si>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</si>
  <si>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</si>
  <si>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</si>
  <si>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</si>
  <si>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</si>
  <si>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</si>
  <si>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</si>
  <si>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</si>
  <si>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</si>
  <si>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</si>
  <si>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</si>
  <si>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</si>
  <si>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</si>
  <si>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</si>
  <si>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</si>
  <si>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</si>
  <si>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</si>
  <si>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</si>
  <si>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</si>
  <si>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</si>
  <si>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</si>
  <si>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</si>
  <si>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</si>
  <si>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</si>
  <si>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</si>
  <si>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</si>
  <si>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</si>
  <si>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</si>
  <si>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</si>
  <si>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</si>
  <si>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</si>
  <si>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</si>
  <si>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</si>
  <si>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</si>
  <si>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</si>
  <si>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</si>
  <si>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</si>
  <si>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</si>
  <si>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</si>
  <si>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</si>
  <si>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</si>
  <si>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</si>
  <si>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</si>
  <si>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</si>
  <si>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</si>
  <si>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</si>
  <si>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</si>
  <si>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</si>
  <si>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</si>
  <si>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</si>
  <si>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</si>
  <si>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Suitable Caseloads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</si>
  <si>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</si>
  <si>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</si>
  <si>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</si>
  <si>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</si>
  <si>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</si>
  <si>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</si>
  <si>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</si>
  <si>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</si>
  <si>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</si>
  <si>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</si>
  <si>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</si>
  <si>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</si>
  <si>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</si>
  <si>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</si>
  <si>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</si>
  <si>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</si>
  <si>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</si>
  <si>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</si>
  <si>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</si>
  <si>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</si>
  <si>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</si>
  <si>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</si>
  <si>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</si>
  <si>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</si>
  <si>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</si>
  <si>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</si>
  <si>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</si>
  <si>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</si>
  <si>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</si>
  <si>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</si>
  <si>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</si>
  <si>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</si>
  <si>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</si>
  <si>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</si>
  <si>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</si>
  <si>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</si>
  <si>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</si>
  <si>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</si>
  <si>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</si>
  <si>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</si>
  <si>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</si>
  <si>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</si>
  <si>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Mar-2020</t>
  </si>
  <si>
    <t>Overview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</si>
  <si>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</si>
  <si>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</si>
  <si>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</si>
  <si>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</si>
  <si>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</si>
  <si>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</si>
  <si>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</si>
  <si>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</si>
  <si>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</si>
  <si>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</si>
  <si>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v0.3.1</t>
  </si>
  <si>
    <t>Oct-2019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</si>
</sst>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0" fillId="7" borderId="13" xfId="0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43708</c:v>
                </c:pt>
                <c:pt idx="1">
                  <c:v>43715</c:v>
                </c:pt>
                <c:pt idx="2">
                  <c:v>43722</c:v>
                </c:pt>
                <c:pt idx="3">
                  <c:v>43729</c:v>
                </c:pt>
                <c:pt idx="4">
                  <c:v>43736</c:v>
                </c:pt>
                <c:pt idx="5">
                  <c:v>43743</c:v>
                </c:pt>
                <c:pt idx="6">
                  <c:v>43750</c:v>
                </c:pt>
                <c:pt idx="7">
                  <c:v>43757</c:v>
                </c:pt>
                <c:pt idx="8">
                  <c:v>43764</c:v>
                </c:pt>
                <c:pt idx="9">
                  <c:v>43771</c:v>
                </c:pt>
                <c:pt idx="10">
                  <c:v>43778</c:v>
                </c:pt>
                <c:pt idx="11">
                  <c:v>43785</c:v>
                </c:pt>
                <c:pt idx="12">
                  <c:v>43792</c:v>
                </c:pt>
                <c:pt idx="13">
                  <c:v>43799</c:v>
                </c:pt>
                <c:pt idx="14">
                  <c:v>43806</c:v>
                </c:pt>
                <c:pt idx="15">
                  <c:v>43813</c:v>
                </c:pt>
                <c:pt idx="16">
                  <c:v>43820</c:v>
                </c:pt>
                <c:pt idx="17">
                  <c:v>43827</c:v>
                </c:pt>
                <c:pt idx="18">
                  <c:v>43834</c:v>
                </c:pt>
                <c:pt idx="19">
                  <c:v>43841</c:v>
                </c:pt>
                <c:pt idx="20">
                  <c:v>43848</c:v>
                </c:pt>
                <c:pt idx="21">
                  <c:v>43855</c:v>
                </c:pt>
                <c:pt idx="22">
                  <c:v>43862</c:v>
                </c:pt>
                <c:pt idx="23">
                  <c:v>43869</c:v>
                </c:pt>
                <c:pt idx="24">
                  <c:v>43876</c:v>
                </c:pt>
                <c:pt idx="25">
                  <c:v>43883</c:v>
                </c:pt>
                <c:pt idx="26">
                  <c:v>43890</c:v>
                </c:pt>
                <c:pt idx="27">
                  <c:v>43897</c:v>
                </c:pt>
                <c:pt idx="28">
                  <c:v>43904</c:v>
                </c:pt>
                <c:pt idx="29">
                  <c:v>43911</c:v>
                </c:pt>
                <c:pt idx="30">
                  <c:v>43918</c:v>
                </c:pt>
                <c:pt idx="31">
                  <c:v>43925</c:v>
                </c:pt>
                <c:pt idx="32">
                  <c:v>43932</c:v>
                </c:pt>
                <c:pt idx="33">
                  <c:v>43939</c:v>
                </c:pt>
                <c:pt idx="34">
                  <c:v>43946</c:v>
                </c:pt>
                <c:pt idx="35">
                  <c:v>43953</c:v>
                </c:pt>
                <c:pt idx="36">
                  <c:v>43960</c:v>
                </c:pt>
                <c:pt idx="37">
                  <c:v>43967</c:v>
                </c:pt>
                <c:pt idx="38">
                  <c:v>43974</c:v>
                </c:pt>
                <c:pt idx="39">
                  <c:v>43981</c:v>
                </c:pt>
                <c:pt idx="40">
                  <c:v>43988</c:v>
                </c:pt>
                <c:pt idx="41">
                  <c:v>43995</c:v>
                </c:pt>
                <c:pt idx="42">
                  <c:v>44002</c:v>
                </c:pt>
                <c:pt idx="43">
                  <c:v>44009</c:v>
                </c:pt>
                <c:pt idx="44">
                  <c:v>44016</c:v>
                </c:pt>
                <c:pt idx="45">
                  <c:v>44023</c:v>
                </c:pt>
                <c:pt idx="46">
                  <c:v>44030</c:v>
                </c:pt>
                <c:pt idx="47">
                  <c:v>44037</c:v>
                </c:pt>
                <c:pt idx="48">
                  <c:v>44044</c:v>
                </c:pt>
                <c:pt idx="49">
                  <c:v>44051</c:v>
                </c:pt>
                <c:pt idx="50">
                  <c:v>44058</c:v>
                </c:pt>
                <c:pt idx="51">
                  <c:v>44065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43708</c:v>
                </c:pt>
                <c:pt idx="1">
                  <c:v>43715</c:v>
                </c:pt>
                <c:pt idx="2">
                  <c:v>43722</c:v>
                </c:pt>
                <c:pt idx="3">
                  <c:v>43729</c:v>
                </c:pt>
                <c:pt idx="4">
                  <c:v>43736</c:v>
                </c:pt>
                <c:pt idx="5">
                  <c:v>43743</c:v>
                </c:pt>
                <c:pt idx="6">
                  <c:v>43750</c:v>
                </c:pt>
                <c:pt idx="7">
                  <c:v>43757</c:v>
                </c:pt>
                <c:pt idx="8">
                  <c:v>43764</c:v>
                </c:pt>
                <c:pt idx="9">
                  <c:v>43771</c:v>
                </c:pt>
                <c:pt idx="10">
                  <c:v>43778</c:v>
                </c:pt>
                <c:pt idx="11">
                  <c:v>43785</c:v>
                </c:pt>
                <c:pt idx="12">
                  <c:v>43792</c:v>
                </c:pt>
                <c:pt idx="13">
                  <c:v>43799</c:v>
                </c:pt>
                <c:pt idx="14">
                  <c:v>43806</c:v>
                </c:pt>
                <c:pt idx="15">
                  <c:v>43813</c:v>
                </c:pt>
                <c:pt idx="16">
                  <c:v>43820</c:v>
                </c:pt>
                <c:pt idx="17">
                  <c:v>43827</c:v>
                </c:pt>
                <c:pt idx="18">
                  <c:v>43834</c:v>
                </c:pt>
                <c:pt idx="19">
                  <c:v>43841</c:v>
                </c:pt>
                <c:pt idx="20">
                  <c:v>43848</c:v>
                </c:pt>
                <c:pt idx="21">
                  <c:v>43855</c:v>
                </c:pt>
                <c:pt idx="22">
                  <c:v>43862</c:v>
                </c:pt>
                <c:pt idx="23">
                  <c:v>43869</c:v>
                </c:pt>
                <c:pt idx="24">
                  <c:v>43876</c:v>
                </c:pt>
                <c:pt idx="25">
                  <c:v>43883</c:v>
                </c:pt>
                <c:pt idx="26">
                  <c:v>43890</c:v>
                </c:pt>
                <c:pt idx="27">
                  <c:v>43897</c:v>
                </c:pt>
                <c:pt idx="28">
                  <c:v>43904</c:v>
                </c:pt>
                <c:pt idx="29">
                  <c:v>43911</c:v>
                </c:pt>
                <c:pt idx="30">
                  <c:v>43918</c:v>
                </c:pt>
                <c:pt idx="31">
                  <c:v>43925</c:v>
                </c:pt>
                <c:pt idx="32">
                  <c:v>43932</c:v>
                </c:pt>
                <c:pt idx="33">
                  <c:v>43939</c:v>
                </c:pt>
                <c:pt idx="34">
                  <c:v>43946</c:v>
                </c:pt>
                <c:pt idx="35">
                  <c:v>43953</c:v>
                </c:pt>
                <c:pt idx="36">
                  <c:v>43960</c:v>
                </c:pt>
                <c:pt idx="37">
                  <c:v>43967</c:v>
                </c:pt>
                <c:pt idx="38">
                  <c:v>43974</c:v>
                </c:pt>
                <c:pt idx="39">
                  <c:v>43981</c:v>
                </c:pt>
                <c:pt idx="40">
                  <c:v>43988</c:v>
                </c:pt>
                <c:pt idx="41">
                  <c:v>43995</c:v>
                </c:pt>
                <c:pt idx="42">
                  <c:v>44002</c:v>
                </c:pt>
                <c:pt idx="43">
                  <c:v>44009</c:v>
                </c:pt>
                <c:pt idx="44">
                  <c:v>44016</c:v>
                </c:pt>
                <c:pt idx="45">
                  <c:v>44023</c:v>
                </c:pt>
                <c:pt idx="46">
                  <c:v>44030</c:v>
                </c:pt>
                <c:pt idx="47">
                  <c:v>44037</c:v>
                </c:pt>
                <c:pt idx="48">
                  <c:v>44044</c:v>
                </c:pt>
                <c:pt idx="49">
                  <c:v>44051</c:v>
                </c:pt>
                <c:pt idx="50">
                  <c:v>44058</c:v>
                </c:pt>
                <c:pt idx="51">
                  <c:v>44065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142.71428571428572</c:v>
                </c:pt>
                <c:pt idx="1">
                  <c:v>142.71428571428572</c:v>
                </c:pt>
                <c:pt idx="2">
                  <c:v>142.71428571428572</c:v>
                </c:pt>
                <c:pt idx="3">
                  <c:v>142.71428571428572</c:v>
                </c:pt>
                <c:pt idx="4">
                  <c:v>142.71428571428572</c:v>
                </c:pt>
                <c:pt idx="5">
                  <c:v>142.71428571428572</c:v>
                </c:pt>
                <c:pt idx="6">
                  <c:v>142.71428571428572</c:v>
                </c:pt>
                <c:pt idx="7">
                  <c:v>142.71428571428572</c:v>
                </c:pt>
                <c:pt idx="8">
                  <c:v>142.71428571428572</c:v>
                </c:pt>
                <c:pt idx="9">
                  <c:v>142.71428571428572</c:v>
                </c:pt>
                <c:pt idx="10">
                  <c:v>142.71428571428572</c:v>
                </c:pt>
                <c:pt idx="11">
                  <c:v>142.71428571428572</c:v>
                </c:pt>
                <c:pt idx="12">
                  <c:v>142.71428571428572</c:v>
                </c:pt>
                <c:pt idx="13">
                  <c:v>142.71428571428572</c:v>
                </c:pt>
                <c:pt idx="14">
                  <c:v>142.71428571428572</c:v>
                </c:pt>
                <c:pt idx="15">
                  <c:v>142.71428571428572</c:v>
                </c:pt>
                <c:pt idx="16">
                  <c:v>142.71428571428572</c:v>
                </c:pt>
                <c:pt idx="17">
                  <c:v>142.71428571428572</c:v>
                </c:pt>
                <c:pt idx="18">
                  <c:v>142.71428571428572</c:v>
                </c:pt>
                <c:pt idx="19">
                  <c:v>142.71428571428572</c:v>
                </c:pt>
                <c:pt idx="20">
                  <c:v>142.71428571428572</c:v>
                </c:pt>
                <c:pt idx="21">
                  <c:v>142.71428571428572</c:v>
                </c:pt>
                <c:pt idx="22">
                  <c:v>142.71428571428572</c:v>
                </c:pt>
                <c:pt idx="23">
                  <c:v>142.71428571428572</c:v>
                </c:pt>
                <c:pt idx="24">
                  <c:v>142.71428571428572</c:v>
                </c:pt>
                <c:pt idx="25">
                  <c:v>142.71428571428572</c:v>
                </c:pt>
                <c:pt idx="26">
                  <c:v>142.71428571428572</c:v>
                </c:pt>
                <c:pt idx="27">
                  <c:v>142.71428571428572</c:v>
                </c:pt>
                <c:pt idx="28">
                  <c:v>142.71428571428572</c:v>
                </c:pt>
                <c:pt idx="29">
                  <c:v>142.71428571428572</c:v>
                </c:pt>
                <c:pt idx="30">
                  <c:v>142.71428571428572</c:v>
                </c:pt>
                <c:pt idx="31">
                  <c:v>142.71428571428572</c:v>
                </c:pt>
                <c:pt idx="32">
                  <c:v>142.71428571428572</c:v>
                </c:pt>
                <c:pt idx="33">
                  <c:v>142.71428571428572</c:v>
                </c:pt>
                <c:pt idx="34">
                  <c:v>142.71428571428572</c:v>
                </c:pt>
                <c:pt idx="35">
                  <c:v>142.71428571428572</c:v>
                </c:pt>
                <c:pt idx="36">
                  <c:v>142.71428571428572</c:v>
                </c:pt>
                <c:pt idx="37">
                  <c:v>142.71428571428572</c:v>
                </c:pt>
                <c:pt idx="38">
                  <c:v>142.71428571428572</c:v>
                </c:pt>
                <c:pt idx="39">
                  <c:v>142.71428571428572</c:v>
                </c:pt>
                <c:pt idx="40">
                  <c:v>142.71428571428572</c:v>
                </c:pt>
                <c:pt idx="41">
                  <c:v>142.71428571428572</c:v>
                </c:pt>
                <c:pt idx="42">
                  <c:v>142.71428571428572</c:v>
                </c:pt>
                <c:pt idx="43">
                  <c:v>142.71428571428572</c:v>
                </c:pt>
                <c:pt idx="44">
                  <c:v>142.71428571428572</c:v>
                </c:pt>
                <c:pt idx="45">
                  <c:v>142.71428571428572</c:v>
                </c:pt>
                <c:pt idx="46">
                  <c:v>142.71428571428572</c:v>
                </c:pt>
                <c:pt idx="47">
                  <c:v>142.71428571428572</c:v>
                </c:pt>
                <c:pt idx="48">
                  <c:v>142.71428571428572</c:v>
                </c:pt>
                <c:pt idx="49">
                  <c:v>142.71428571428572</c:v>
                </c:pt>
                <c:pt idx="50">
                  <c:v>142.71428571428572</c:v>
                </c:pt>
                <c:pt idx="51">
                  <c:v>142.71428571428572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43708</c:v>
                </c:pt>
                <c:pt idx="1">
                  <c:v>43715</c:v>
                </c:pt>
                <c:pt idx="2">
                  <c:v>43722</c:v>
                </c:pt>
                <c:pt idx="3">
                  <c:v>43729</c:v>
                </c:pt>
                <c:pt idx="4">
                  <c:v>43736</c:v>
                </c:pt>
                <c:pt idx="5">
                  <c:v>43743</c:v>
                </c:pt>
                <c:pt idx="6">
                  <c:v>43750</c:v>
                </c:pt>
                <c:pt idx="7">
                  <c:v>43757</c:v>
                </c:pt>
                <c:pt idx="8">
                  <c:v>43764</c:v>
                </c:pt>
                <c:pt idx="9">
                  <c:v>43771</c:v>
                </c:pt>
                <c:pt idx="10">
                  <c:v>43778</c:v>
                </c:pt>
                <c:pt idx="11">
                  <c:v>43785</c:v>
                </c:pt>
                <c:pt idx="12">
                  <c:v>43792</c:v>
                </c:pt>
                <c:pt idx="13">
                  <c:v>43799</c:v>
                </c:pt>
                <c:pt idx="14">
                  <c:v>43806</c:v>
                </c:pt>
                <c:pt idx="15">
                  <c:v>43813</c:v>
                </c:pt>
                <c:pt idx="16">
                  <c:v>43820</c:v>
                </c:pt>
                <c:pt idx="17">
                  <c:v>43827</c:v>
                </c:pt>
                <c:pt idx="18">
                  <c:v>43834</c:v>
                </c:pt>
                <c:pt idx="19">
                  <c:v>43841</c:v>
                </c:pt>
                <c:pt idx="20">
                  <c:v>43848</c:v>
                </c:pt>
                <c:pt idx="21">
                  <c:v>43855</c:v>
                </c:pt>
                <c:pt idx="22">
                  <c:v>43862</c:v>
                </c:pt>
                <c:pt idx="23">
                  <c:v>43869</c:v>
                </c:pt>
                <c:pt idx="24">
                  <c:v>43876</c:v>
                </c:pt>
                <c:pt idx="25">
                  <c:v>43883</c:v>
                </c:pt>
                <c:pt idx="26">
                  <c:v>43890</c:v>
                </c:pt>
                <c:pt idx="27">
                  <c:v>43897</c:v>
                </c:pt>
                <c:pt idx="28">
                  <c:v>43904</c:v>
                </c:pt>
                <c:pt idx="29">
                  <c:v>43911</c:v>
                </c:pt>
                <c:pt idx="30">
                  <c:v>43918</c:v>
                </c:pt>
                <c:pt idx="31">
                  <c:v>43925</c:v>
                </c:pt>
                <c:pt idx="32">
                  <c:v>43932</c:v>
                </c:pt>
                <c:pt idx="33">
                  <c:v>43939</c:v>
                </c:pt>
                <c:pt idx="34">
                  <c:v>43946</c:v>
                </c:pt>
                <c:pt idx="35">
                  <c:v>43953</c:v>
                </c:pt>
                <c:pt idx="36">
                  <c:v>43960</c:v>
                </c:pt>
                <c:pt idx="37">
                  <c:v>43967</c:v>
                </c:pt>
                <c:pt idx="38">
                  <c:v>43974</c:v>
                </c:pt>
                <c:pt idx="39">
                  <c:v>43981</c:v>
                </c:pt>
                <c:pt idx="40">
                  <c:v>43988</c:v>
                </c:pt>
                <c:pt idx="41">
                  <c:v>43995</c:v>
                </c:pt>
                <c:pt idx="42">
                  <c:v>44002</c:v>
                </c:pt>
                <c:pt idx="43">
                  <c:v>44009</c:v>
                </c:pt>
                <c:pt idx="44">
                  <c:v>44016</c:v>
                </c:pt>
                <c:pt idx="45">
                  <c:v>44023</c:v>
                </c:pt>
                <c:pt idx="46">
                  <c:v>44030</c:v>
                </c:pt>
                <c:pt idx="47">
                  <c:v>44037</c:v>
                </c:pt>
                <c:pt idx="48">
                  <c:v>44044</c:v>
                </c:pt>
                <c:pt idx="49">
                  <c:v>44051</c:v>
                </c:pt>
                <c:pt idx="50">
                  <c:v>44058</c:v>
                </c:pt>
                <c:pt idx="51">
                  <c:v>44065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5.6071428571428328</c:v>
                </c:pt>
                <c:pt idx="1">
                  <c:v>5.6071428571428328</c:v>
                </c:pt>
                <c:pt idx="2">
                  <c:v>5.6071428571428328</c:v>
                </c:pt>
                <c:pt idx="3">
                  <c:v>5.6071428571428328</c:v>
                </c:pt>
                <c:pt idx="4">
                  <c:v>5.6071428571428328</c:v>
                </c:pt>
                <c:pt idx="5">
                  <c:v>5.6071428571428328</c:v>
                </c:pt>
                <c:pt idx="6">
                  <c:v>5.6071428571428328</c:v>
                </c:pt>
                <c:pt idx="7">
                  <c:v>5.6071428571428328</c:v>
                </c:pt>
                <c:pt idx="8">
                  <c:v>5.6071428571428328</c:v>
                </c:pt>
                <c:pt idx="9">
                  <c:v>5.6071428571428328</c:v>
                </c:pt>
                <c:pt idx="10">
                  <c:v>5.6071428571428328</c:v>
                </c:pt>
                <c:pt idx="11">
                  <c:v>5.6071428571428328</c:v>
                </c:pt>
                <c:pt idx="12">
                  <c:v>5.6071428571428328</c:v>
                </c:pt>
                <c:pt idx="13">
                  <c:v>5.6071428571428328</c:v>
                </c:pt>
                <c:pt idx="14">
                  <c:v>5.6071428571428328</c:v>
                </c:pt>
                <c:pt idx="15">
                  <c:v>5.6071428571428328</c:v>
                </c:pt>
                <c:pt idx="16">
                  <c:v>5.6071428571428328</c:v>
                </c:pt>
                <c:pt idx="17">
                  <c:v>5.6071428571428328</c:v>
                </c:pt>
                <c:pt idx="18">
                  <c:v>5.6071428571428328</c:v>
                </c:pt>
                <c:pt idx="19">
                  <c:v>5.6071428571428328</c:v>
                </c:pt>
                <c:pt idx="20">
                  <c:v>5.6071428571428328</c:v>
                </c:pt>
                <c:pt idx="21">
                  <c:v>5.6071428571428328</c:v>
                </c:pt>
                <c:pt idx="22">
                  <c:v>5.6071428571428328</c:v>
                </c:pt>
                <c:pt idx="23">
                  <c:v>5.6071428571428328</c:v>
                </c:pt>
                <c:pt idx="24">
                  <c:v>5.6071428571428328</c:v>
                </c:pt>
                <c:pt idx="25">
                  <c:v>5.6071428571428328</c:v>
                </c:pt>
                <c:pt idx="26">
                  <c:v>5.6071428571428328</c:v>
                </c:pt>
                <c:pt idx="27">
                  <c:v>5.6071428571428328</c:v>
                </c:pt>
                <c:pt idx="28">
                  <c:v>5.6071428571428328</c:v>
                </c:pt>
                <c:pt idx="29">
                  <c:v>5.6071428571428328</c:v>
                </c:pt>
                <c:pt idx="30">
                  <c:v>5.6071428571428328</c:v>
                </c:pt>
                <c:pt idx="31">
                  <c:v>5.6071428571428328</c:v>
                </c:pt>
                <c:pt idx="32">
                  <c:v>5.6071428571428328</c:v>
                </c:pt>
                <c:pt idx="33">
                  <c:v>5.6071428571428328</c:v>
                </c:pt>
                <c:pt idx="34">
                  <c:v>5.6071428571428328</c:v>
                </c:pt>
                <c:pt idx="35">
                  <c:v>5.6071428571428328</c:v>
                </c:pt>
                <c:pt idx="36">
                  <c:v>5.6071428571428328</c:v>
                </c:pt>
                <c:pt idx="37">
                  <c:v>5.6071428571428328</c:v>
                </c:pt>
                <c:pt idx="38">
                  <c:v>5.6071428571428328</c:v>
                </c:pt>
                <c:pt idx="39">
                  <c:v>5.6071428571428328</c:v>
                </c:pt>
                <c:pt idx="40">
                  <c:v>5.6071428571428328</c:v>
                </c:pt>
                <c:pt idx="41">
                  <c:v>5.6071428571428328</c:v>
                </c:pt>
                <c:pt idx="42">
                  <c:v>5.6071428571428328</c:v>
                </c:pt>
                <c:pt idx="43">
                  <c:v>5.6071428571428328</c:v>
                </c:pt>
                <c:pt idx="44">
                  <c:v>5.6071428571428328</c:v>
                </c:pt>
                <c:pt idx="45">
                  <c:v>5.6071428571428328</c:v>
                </c:pt>
                <c:pt idx="46">
                  <c:v>5.6071428571428328</c:v>
                </c:pt>
                <c:pt idx="47">
                  <c:v>5.6071428571428328</c:v>
                </c:pt>
                <c:pt idx="48">
                  <c:v>5.6071428571428328</c:v>
                </c:pt>
                <c:pt idx="49">
                  <c:v>5.6071428571428328</c:v>
                </c:pt>
                <c:pt idx="50">
                  <c:v>5.6071428571428328</c:v>
                </c:pt>
                <c:pt idx="51">
                  <c:v>5.6071428571428328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20</c:v>
                </c:pt>
                <c:pt idx="1">
                  <c:v>13.142857142857142</c:v>
                </c:pt>
                <c:pt idx="2">
                  <c:v>9.5714285714285658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1</c:v>
                </c:pt>
                <c:pt idx="1">
                  <c:v>1.1428571428571548</c:v>
                </c:pt>
                <c:pt idx="2">
                  <c:v>0.7142857142857153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13</v>
      </c>
      <c r="B1" t="s">
        <v>14</v>
      </c>
      <c r="D1" t="s">
        <v>82</v>
      </c>
      <c r="F1" t="s">
        <v>84</v>
      </c>
      <c r="H1" t="s">
        <v>87</v>
      </c>
      <c r="K1" t="s">
        <v>92</v>
      </c>
      <c r="N1" t="s">
        <v>100</v>
      </c>
      <c r="P1" t="s">
        <v>123</v>
      </c>
      <c r="R1" t="s">
        <v>130</v>
      </c>
      <c r="T1" t="s">
        <v>135</v>
      </c>
    </row>
    <row r="2" spans="1:20" x14ac:dyDescent="0.35">
      <c r="B2" t="str">
        <f>Setup!A18</f>
        <v>20 Group Session</v>
      </c>
      <c r="D2">
        <v>1</v>
      </c>
      <c r="F2" t="s">
        <v>64</v>
      </c>
      <c r="H2" t="s">
        <v>88</v>
      </c>
      <c r="I2">
        <v>0.65</v>
      </c>
      <c r="K2" t="s">
        <v>132</v>
      </c>
      <c r="L2">
        <v>7</v>
      </c>
      <c r="N2" t="s">
        <v>101</v>
      </c>
      <c r="P2" t="s">
        <v>124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155</v>
      </c>
    </row>
    <row r="3" spans="1:20" x14ac:dyDescent="0.35">
      <c r="B3" t="str">
        <f>Setup!A19</f>
        <v>40 Group Session</v>
      </c>
      <c r="D3">
        <v>2</v>
      </c>
      <c r="F3" t="s">
        <v>56</v>
      </c>
      <c r="H3" t="s">
        <v>89</v>
      </c>
      <c r="I3">
        <v>0.7</v>
      </c>
      <c r="K3" t="s">
        <v>131</v>
      </c>
      <c r="L3">
        <v>5</v>
      </c>
      <c r="N3" t="s">
        <v>102</v>
      </c>
      <c r="P3" t="s">
        <v>125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Setup!A18</f>
        <v>20 Group Session</v>
      </c>
    </row>
    <row r="4" spans="1:20" x14ac:dyDescent="0.35">
      <c r="B4" t="str">
        <f>Setup!A20</f>
        <v>8 Group Session</v>
      </c>
      <c r="D4">
        <v>3</v>
      </c>
      <c r="F4" t="s">
        <v>69</v>
      </c>
      <c r="H4" t="s">
        <v>90</v>
      </c>
      <c r="I4">
        <v>0.75</v>
      </c>
      <c r="K4" t="s">
        <v>93</v>
      </c>
      <c r="L4">
        <v>2</v>
      </c>
      <c r="T4" t="str">
        <f>Setup!A19</f>
        <v>40 Group Session</v>
      </c>
    </row>
    <row r="5" spans="1:20" x14ac:dyDescent="0.35">
      <c r="B5" t="str">
        <f>Setup!A21</f>
        <v>20 Individual</v>
      </c>
      <c r="D5">
        <v>4</v>
      </c>
      <c r="H5" t="s">
        <v>91</v>
      </c>
      <c r="I5">
        <v>0.8</v>
      </c>
      <c r="K5" t="s">
        <v>94</v>
      </c>
      <c r="L5">
        <v>1</v>
      </c>
      <c r="T5" t="str">
        <f>Setup!A20</f>
        <v>8 Group Session</v>
      </c>
    </row>
    <row r="6" spans="1:20" x14ac:dyDescent="0.35">
      <c r="B6" t="str">
        <f>Setup!A22</f>
        <v>40 Individual</v>
      </c>
      <c r="D6">
        <v>5</v>
      </c>
      <c r="K6" t="s">
        <v>95</v>
      </c>
      <c r="L6">
        <v>0.5</v>
      </c>
      <c r="T6" t="str">
        <f>Setup!A21</f>
        <v>20 Individual</v>
      </c>
    </row>
    <row r="7" spans="1:20" x14ac:dyDescent="0.35">
      <c r="B7" t="str">
        <f>Setup!A23</f>
        <v>Caseload 6</v>
      </c>
      <c r="D7">
        <v>6</v>
      </c>
      <c r="K7" t="s">
        <v>96</v>
      </c>
      <c r="L7">
        <v>0.25</v>
      </c>
      <c r="T7" t="str">
        <f>Setup!A22</f>
        <v>40 Individual</v>
      </c>
    </row>
    <row r="8" spans="1:20" x14ac:dyDescent="0.35">
      <c r="B8" t="str">
        <f>Setup!A24</f>
        <v>Caseload 7</v>
      </c>
      <c r="D8">
        <v>7</v>
      </c>
      <c r="K8" t="s">
        <v>97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98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B13" sqref="B13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85</v>
      </c>
    </row>
    <row r="2" spans="1:19" x14ac:dyDescent="0.35">
      <c r="A2" t="s">
        <v>169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122</v>
      </c>
      <c r="B11" s="39" t="s">
        <v>125</v>
      </c>
    </row>
    <row r="12" spans="1:19" ht="15" thickBot="1" x14ac:dyDescent="0.4"/>
    <row r="13" spans="1:19" ht="15" thickBot="1" x14ac:dyDescent="0.4">
      <c r="A13" s="37" t="s">
        <v>86</v>
      </c>
      <c r="B13" s="39" t="s">
        <v>90</v>
      </c>
    </row>
    <row r="14" spans="1:19" ht="15" thickBot="1" x14ac:dyDescent="0.4"/>
    <row r="15" spans="1:19" ht="15" thickBot="1" x14ac:dyDescent="0.4">
      <c r="A15" s="37" t="s">
        <v>2</v>
      </c>
      <c r="B15" s="39">
        <v>5</v>
      </c>
    </row>
    <row r="16" spans="1:19" ht="15" thickBot="1" x14ac:dyDescent="0.4"/>
    <row r="17" spans="1:2" ht="15" thickBot="1" x14ac:dyDescent="0.4">
      <c r="A17" s="37" t="s">
        <v>83</v>
      </c>
      <c r="B17" s="38" t="s">
        <v>103</v>
      </c>
    </row>
    <row r="18" spans="1:2" x14ac:dyDescent="0.35">
      <c r="A18" s="11" t="s">
        <v>159</v>
      </c>
      <c r="B18" s="11"/>
    </row>
    <row r="19" spans="1:2" x14ac:dyDescent="0.35">
      <c r="A19" s="40" t="s">
        <v>160</v>
      </c>
      <c r="B19" s="40"/>
    </row>
    <row r="20" spans="1:2" x14ac:dyDescent="0.35">
      <c r="A20" s="40" t="s">
        <v>161</v>
      </c>
      <c r="B20" s="40"/>
    </row>
    <row r="21" spans="1:2" x14ac:dyDescent="0.35">
      <c r="A21" s="40" t="s">
        <v>162</v>
      </c>
      <c r="B21" s="40"/>
    </row>
    <row r="22" spans="1:2" x14ac:dyDescent="0.35">
      <c r="A22" s="40" t="s">
        <v>163</v>
      </c>
      <c r="B22" s="40"/>
    </row>
    <row r="23" spans="1:2" hidden="1" x14ac:dyDescent="0.35">
      <c r="A23" s="40" t="s">
        <v>3</v>
      </c>
      <c r="B23" s="40"/>
    </row>
    <row r="24" spans="1:2" hidden="1" x14ac:dyDescent="0.35">
      <c r="A24" s="40" t="s">
        <v>4</v>
      </c>
      <c r="B24" s="40"/>
    </row>
    <row r="25" spans="1:2" hidden="1" x14ac:dyDescent="0.35">
      <c r="A25" s="40" t="s">
        <v>5</v>
      </c>
      <c r="B25" s="40"/>
    </row>
    <row r="26" spans="1:2" hidden="1" x14ac:dyDescent="0.35">
      <c r="A26" s="40" t="s">
        <v>6</v>
      </c>
      <c r="B26" s="40"/>
    </row>
    <row r="27" spans="1:2" hidden="1" x14ac:dyDescent="0.35">
      <c r="A27" s="40" t="s">
        <v>7</v>
      </c>
      <c r="B27" s="40"/>
    </row>
    <row r="28" spans="1:2" hidden="1" x14ac:dyDescent="0.35">
      <c r="A28" s="40" t="s">
        <v>8</v>
      </c>
      <c r="B28" s="40"/>
    </row>
    <row r="29" spans="1:2" hidden="1" x14ac:dyDescent="0.35">
      <c r="A29" s="40" t="s">
        <v>9</v>
      </c>
      <c r="B29" s="40"/>
    </row>
    <row r="30" spans="1:2" hidden="1" x14ac:dyDescent="0.35">
      <c r="A30" s="40" t="s">
        <v>10</v>
      </c>
      <c r="B30" s="40"/>
    </row>
    <row r="31" spans="1:2" hidden="1" x14ac:dyDescent="0.35">
      <c r="A31" s="40" t="s">
        <v>11</v>
      </c>
      <c r="B31" s="40"/>
    </row>
    <row r="32" spans="1:2" hidden="1" x14ac:dyDescent="0.35">
      <c r="A32" s="40" t="s">
        <v>12</v>
      </c>
      <c r="B32" s="40"/>
    </row>
    <row r="33" spans="1:19" x14ac:dyDescent="0.35">
      <c r="A33" s="62"/>
      <c r="B33" s="62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23" sqref="F23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148</v>
      </c>
    </row>
    <row r="2" spans="1:21" ht="15" thickBot="1" x14ac:dyDescent="0.4"/>
    <row r="3" spans="1:21" ht="15" hidden="1" thickBot="1" x14ac:dyDescent="0.4">
      <c r="A3" s="67" t="s">
        <v>16</v>
      </c>
      <c r="B3" s="49">
        <v>43617</v>
      </c>
    </row>
    <row r="4" spans="1:21" ht="15" hidden="1" thickBot="1" x14ac:dyDescent="0.4"/>
    <row r="5" spans="1:21" ht="15" thickBot="1" x14ac:dyDescent="0.4">
      <c r="A5" s="67" t="s">
        <v>120</v>
      </c>
      <c r="B5" s="66" t="s">
        <v>156</v>
      </c>
    </row>
    <row r="6" spans="1:21" ht="15" thickBot="1" x14ac:dyDescent="0.4">
      <c r="A6" s="67" t="s">
        <v>121</v>
      </c>
      <c r="B6" s="65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74" t="s">
        <v>17</v>
      </c>
      <c r="D8" s="57" t="s">
        <v>126</v>
      </c>
      <c r="E8" s="57" t="s">
        <v>127</v>
      </c>
      <c r="F8" s="46" t="str" cm="1">
        <f t="array" ref="F8">INDEX('Data Validation (Hide)'!$B$2:$B$16,COLUMN(A1),1)</f>
        <v>20 Group Session</v>
      </c>
      <c r="G8" s="46" t="str" cm="1">
        <f t="array" ref="G8">INDEX('Data Validation (Hide)'!$B$2:$B$16,COLUMN(B1),1)</f>
        <v>40 Group Session</v>
      </c>
      <c r="H8" s="46" t="str" cm="1">
        <f t="array" ref="H8">INDEX('Data Validation (Hide)'!$B$2:$B$16,COLUMN(C1),1)</f>
        <v>8 Group Session</v>
      </c>
      <c r="I8" s="46" t="str" cm="1">
        <f t="array" ref="I8">INDEX('Data Validation (Hide)'!$B$2:$B$16,COLUMN(D1),1)</f>
        <v>20 Individual</v>
      </c>
      <c r="J8" s="47" t="str" cm="1">
        <f t="array" ref="J8">INDEX('Data Validation (Hide)'!$B$2:$B$16,COLUMN(E1),1)</f>
        <v>40 Individual</v>
      </c>
      <c r="K8" s="47" t="str" cm="1">
        <f t="array" ref="K8">INDEX('Data Validation (Hide)'!$B$2:$B$16,COLUMN(F1),1)</f>
        <v>Caseload 6</v>
      </c>
      <c r="L8" s="47" t="str" cm="1">
        <f t="array" ref="L8">INDEX('Data Validation (Hide)'!$B$2:$B$16,COLUMN(G1),1)</f>
        <v>Caseload 7</v>
      </c>
      <c r="M8" s="47" t="str" cm="1">
        <f t="array" ref="M8">INDEX('Data Validation (Hide)'!$B$2:$B$16,COLUMN(H1),1)</f>
        <v>Caseload 8</v>
      </c>
      <c r="N8" s="47" t="str" cm="1">
        <f t="array" ref="N8">INDEX('Data Validation (Hide)'!$B$2:$B$16,COLUMN(I1),1)</f>
        <v>Caseload 9</v>
      </c>
      <c r="O8" s="47" t="str" cm="1">
        <f t="array" ref="O8">INDEX('Data Validation (Hide)'!$B$2:$B$16,COLUMN(J1),1)</f>
        <v>Caseload 10</v>
      </c>
      <c r="P8" s="47" t="str" cm="1">
        <f t="array" ref="P8">INDEX('Data Validation (Hide)'!$B$2:$B$16,COLUMN(K1),1)</f>
        <v>Caseload 11</v>
      </c>
      <c r="Q8" s="47" t="str" cm="1">
        <f t="array" ref="Q8">INDEX('Data Validation (Hide)'!$B$2:$B$16,COLUMN(L1),1)</f>
        <v>Caseload 12</v>
      </c>
      <c r="R8" s="47" t="str" cm="1">
        <f t="array" ref="R8">INDEX('Data Validation (Hide)'!$B$2:$B$16,COLUMN(M1),1)</f>
        <v>Caseload 13</v>
      </c>
      <c r="S8" s="47" t="str" cm="1">
        <f t="array" ref="S8">INDEX('Data Validation (Hide)'!$B$2:$B$16,COLUMN(N1),1)</f>
        <v>Caseload 14</v>
      </c>
      <c r="T8" s="48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70">
        <f>IF(A9="","",B6)</f>
        <v>2019</v>
      </c>
      <c r="E9" s="70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1" t="str">
        <f>IF(E10=1,MAX($D$9:D9)+1,"")</f>
        <v/>
      </c>
      <c r="E10" s="71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1" t="str">
        <f>IF(E11=1,MAX($D$9:D10)+1,"")</f>
        <v/>
      </c>
      <c r="E11" s="71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1" t="str">
        <f>IF(E12=1,MAX($D$9:D11)+1,"")</f>
        <v/>
      </c>
      <c r="E12" s="71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1" t="str">
        <f>IF(E13=1,MAX($D$9:D12)+1,"")</f>
        <v/>
      </c>
      <c r="E13" s="71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1" t="str">
        <f>IF(E14=1,MAX($D$9:D13)+1,"")</f>
        <v/>
      </c>
      <c r="E14" s="71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1" t="str">
        <f>IF(E15=1,MAX($D$9:D14)+1,"")</f>
        <v/>
      </c>
      <c r="E15" s="71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1" t="str">
        <f>IF(E16=1,MAX($D$9:D15)+1,"")</f>
        <v/>
      </c>
      <c r="E16" s="71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1" t="str">
        <f>IF(E17=1,MAX($D$9:D16)+1,"")</f>
        <v/>
      </c>
      <c r="E17" s="71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1" t="str">
        <f>IF(E18=1,MAX($D$9:D17)+1,"")</f>
        <v/>
      </c>
      <c r="E18" s="71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1">
        <f>IF(E19=1,MAX($D$9:D18)+1,"")</f>
        <v>2020</v>
      </c>
      <c r="E19" s="71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1" t="str">
        <f>IF(E20=1,MAX($D$9:D19)+1,"")</f>
        <v/>
      </c>
      <c r="E20" s="71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1" t="str">
        <f>IF(E21=1,MAX($D$9:D20)+1,"")</f>
        <v/>
      </c>
      <c r="E21" s="71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1" t="str">
        <f>IF(E22=1,MAX($D$9:D21)+1,"")</f>
        <v/>
      </c>
      <c r="E22" s="71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1" t="str">
        <f>IF(E23=1,MAX($D$9:D22)+1,"")</f>
        <v/>
      </c>
      <c r="E23" s="71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1" t="str">
        <f>IF(E24=1,MAX($D$9:D23)+1,"")</f>
        <v/>
      </c>
      <c r="E24" s="71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1" t="str">
        <f>IF(E25=1,MAX($D$9:D24)+1,"")</f>
        <v/>
      </c>
      <c r="E25" s="71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1" t="str">
        <f>IF(E26=1,MAX($D$9:D25)+1,"")</f>
        <v/>
      </c>
      <c r="E26" s="71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1" t="str">
        <f>IF(E27=1,MAX($D$9:D26)+1,"")</f>
        <v/>
      </c>
      <c r="E27" s="71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1" t="str">
        <f>IF(E28=1,MAX($D$9:D27)+1,"")</f>
        <v/>
      </c>
      <c r="E28" s="71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1" t="str">
        <f>IF(E29=1,MAX($D$9:D28)+1,"")</f>
        <v/>
      </c>
      <c r="E29" s="71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1" t="str">
        <f>IF(E30=1,MAX($D$9:D29)+1,"")</f>
        <v/>
      </c>
      <c r="E30" s="71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1" t="str">
        <f>IF(E31=1,MAX($D$9:D30)+1,"")</f>
        <v/>
      </c>
      <c r="E31" s="71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1" t="str">
        <f>IF(E32=1,MAX($D$9:D31)+1,"")</f>
        <v/>
      </c>
      <c r="E32" s="71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1" t="str">
        <f>IF(E33=1,MAX($D$9:D32)+1,"")</f>
        <v/>
      </c>
      <c r="E33" s="71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1" t="str">
        <f>IF(E34=1,MAX($D$9:D33)+1,"")</f>
        <v/>
      </c>
      <c r="E34" s="71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1" t="str">
        <f>IF(E35=1,MAX($D$9:D34)+1,"")</f>
        <v/>
      </c>
      <c r="E35" s="71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1" t="str">
        <f>IF(E36=1,MAX($D$9:D35)+1,"")</f>
        <v/>
      </c>
      <c r="E36" s="71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1" t="str">
        <f>IF(E37=1,MAX($D$9:D36)+1,"")</f>
        <v/>
      </c>
      <c r="E37" s="71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1" t="str">
        <f>IF(E38=1,MAX($D$9:D37)+1,"")</f>
        <v/>
      </c>
      <c r="E38" s="71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1" t="str">
        <f>IF(E39=1,MAX($D$9:D38)+1,"")</f>
        <v/>
      </c>
      <c r="E39" s="71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1" t="str">
        <f>IF(E40=1,MAX($D$9:D39)+1,"")</f>
        <v/>
      </c>
      <c r="E40" s="71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1" t="str">
        <f>IF(E41=1,MAX($D$9:D40)+1,"")</f>
        <v/>
      </c>
      <c r="E41" s="71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1" t="str">
        <f>IF(E42=1,MAX($D$9:D41)+1,"")</f>
        <v/>
      </c>
      <c r="E42" s="71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1" t="str">
        <f>IF(E43=1,MAX($D$9:D42)+1,"")</f>
        <v/>
      </c>
      <c r="E43" s="71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1" t="str">
        <f>IF(E44=1,MAX($D$9:D43)+1,"")</f>
        <v/>
      </c>
      <c r="E44" s="71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1" t="str">
        <f>IF(E45=1,MAX($D$9:D44)+1,"")</f>
        <v/>
      </c>
      <c r="E45" s="71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1" t="str">
        <f>IF(E46=1,MAX($D$9:D45)+1,"")</f>
        <v/>
      </c>
      <c r="E46" s="71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1" t="str">
        <f>IF(E47=1,MAX($D$9:D46)+1,"")</f>
        <v/>
      </c>
      <c r="E47" s="71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1" t="str">
        <f>IF(E48=1,MAX($D$9:D47)+1,"")</f>
        <v/>
      </c>
      <c r="E48" s="71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1" t="str">
        <f>IF(E49=1,MAX($D$9:D48)+1,"")</f>
        <v/>
      </c>
      <c r="E49" s="71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1" t="str">
        <f>IF(E50=1,MAX($D$9:D49)+1,"")</f>
        <v/>
      </c>
      <c r="E50" s="71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1" t="str">
        <f>IF(E51=1,MAX($D$9:D50)+1,"")</f>
        <v/>
      </c>
      <c r="E51" s="71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1" t="str">
        <f>IF(E52=1,MAX($D$9:D51)+1,"")</f>
        <v/>
      </c>
      <c r="E52" s="71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1" t="str">
        <f>IF(E53=1,MAX($D$9:D52)+1,"")</f>
        <v/>
      </c>
      <c r="E53" s="71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1" t="str">
        <f>IF(E54=1,MAX($D$9:D53)+1,"")</f>
        <v/>
      </c>
      <c r="E54" s="71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1" t="str">
        <f>IF(E55=1,MAX($D$9:D54)+1,"")</f>
        <v/>
      </c>
      <c r="E55" s="71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1" t="str">
        <f>IF(E56=1,MAX($D$9:D55)+1,"")</f>
        <v/>
      </c>
      <c r="E56" s="71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1" t="str">
        <f>IF(E57=1,MAX($D$9:D56)+1,"")</f>
        <v/>
      </c>
      <c r="E57" s="71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1" t="str">
        <f>IF(E58=1,MAX($D$9:D57)+1,"")</f>
        <v/>
      </c>
      <c r="E58" s="71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1" t="str">
        <f>IF(E59=1,MAX($D$9:D58)+1,"")</f>
        <v/>
      </c>
      <c r="E59" s="71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1" t="str">
        <f>IF(E60=1,MAX($D$9:D59)+1,"")</f>
        <v/>
      </c>
      <c r="E60" s="71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1" t="str">
        <f>IF(E61=1,MAX($D$9:D60)+1,"")</f>
        <v/>
      </c>
      <c r="E61" s="71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1" t="str">
        <f>IF(E62=1,MAX($D$9:D61)+1,"")</f>
        <v/>
      </c>
      <c r="E62" s="71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1" t="str">
        <f>IF(E63=1,MAX($D$9:D62)+1,"")</f>
        <v/>
      </c>
      <c r="E63" s="71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1" t="str">
        <f>IF(E64=1,MAX($D$9:D63)+1,"")</f>
        <v/>
      </c>
      <c r="E64" s="71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1" t="str">
        <f>IF(E65=1,MAX($D$9:D64)+1,"")</f>
        <v/>
      </c>
      <c r="E65" s="71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1" t="str">
        <f>IF(E66=1,MAX($D$9:D65)+1,"")</f>
        <v/>
      </c>
      <c r="E66" s="71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1" t="str">
        <f>IF(E67=1,MAX($D$9:D66)+1,"")</f>
        <v/>
      </c>
      <c r="E67" s="71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1" t="str">
        <f>IF(E68=1,MAX($D$9:D67)+1,"")</f>
        <v/>
      </c>
      <c r="E68" s="71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1" t="str">
        <f>IF(E69=1,MAX($D$9:D68)+1,"")</f>
        <v/>
      </c>
      <c r="E69" s="71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1" t="str">
        <f>IF(E70=1,MAX($D$9:D69)+1,"")</f>
        <v/>
      </c>
      <c r="E70" s="71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1" t="str">
        <f>IF(E71=1,MAX($D$9:D70)+1,"")</f>
        <v/>
      </c>
      <c r="E71" s="71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1" t="str">
        <f>IF(E72=1,MAX($D$9:D71)+1,"")</f>
        <v/>
      </c>
      <c r="E72" s="71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1" t="str">
        <f>IF(E73=1,MAX($D$9:D72)+1,"")</f>
        <v/>
      </c>
      <c r="E73" s="71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1" t="str">
        <f>IF(E74=1,MAX($D$9:D73)+1,"")</f>
        <v/>
      </c>
      <c r="E74" s="71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1" t="str">
        <f>IF(E75=1,MAX($D$9:D74)+1,"")</f>
        <v/>
      </c>
      <c r="E75" s="71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1" t="str">
        <f>IF(E76=1,MAX($D$9:D75)+1,"")</f>
        <v/>
      </c>
      <c r="E76" s="71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1" t="str">
        <f>IF(E77=1,MAX($D$9:D76)+1,"")</f>
        <v/>
      </c>
      <c r="E77" s="71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1" t="str">
        <f>IF(E78=1,MAX($D$9:D77)+1,"")</f>
        <v/>
      </c>
      <c r="E78" s="71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1" t="str">
        <f>IF(E79=1,MAX($D$9:D78)+1,"")</f>
        <v/>
      </c>
      <c r="E79" s="71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1" t="str">
        <f>IF(E80=1,MAX($D$9:D79)+1,"")</f>
        <v/>
      </c>
      <c r="E80" s="71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1" t="str">
        <f>IF(E81=1,MAX($D$9:D80)+1,"")</f>
        <v/>
      </c>
      <c r="E81" s="71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1" t="str">
        <f>IF(E82=1,MAX($D$9:D81)+1,"")</f>
        <v/>
      </c>
      <c r="E82" s="71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1" t="str">
        <f>IF(E83=1,MAX($D$9:D82)+1,"")</f>
        <v/>
      </c>
      <c r="E83" s="71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1" t="str">
        <f>IF(E84=1,MAX($D$9:D83)+1,"")</f>
        <v/>
      </c>
      <c r="E84" s="71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1" t="str">
        <f>IF(E85=1,MAX($D$9:D84)+1,"")</f>
        <v/>
      </c>
      <c r="E85" s="71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1" t="str">
        <f>IF(E86=1,MAX($D$9:D85)+1,"")</f>
        <v/>
      </c>
      <c r="E86" s="71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1" t="str">
        <f>IF(E87=1,MAX($D$9:D86)+1,"")</f>
        <v/>
      </c>
      <c r="E87" s="71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1" t="str">
        <f>IF(E88=1,MAX($D$9:D87)+1,"")</f>
        <v/>
      </c>
      <c r="E88" s="71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1" t="str">
        <f>IF(E89=1,MAX($D$9:D88)+1,"")</f>
        <v/>
      </c>
      <c r="E89" s="71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1" t="str">
        <f>IF(E90=1,MAX($D$9:D89)+1,"")</f>
        <v/>
      </c>
      <c r="E90" s="71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1" t="str">
        <f>IF(E91=1,MAX($D$9:D90)+1,"")</f>
        <v/>
      </c>
      <c r="E91" s="71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1" t="str">
        <f>IF(E92=1,MAX($D$9:D91)+1,"")</f>
        <v/>
      </c>
      <c r="E92" s="71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1" t="str">
        <f>IF(E93=1,MAX($D$9:D92)+1,"")</f>
        <v/>
      </c>
      <c r="E93" s="71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1" t="str">
        <f>IF(E94=1,MAX($D$9:D93)+1,"")</f>
        <v/>
      </c>
      <c r="E94" s="71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1" t="str">
        <f>IF(E95=1,MAX($D$9:D94)+1,"")</f>
        <v/>
      </c>
      <c r="E95" s="71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1" t="str">
        <f>IF(E96=1,MAX($D$9:D95)+1,"")</f>
        <v/>
      </c>
      <c r="E96" s="71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1" t="str">
        <f>IF(E97=1,MAX($D$9:D96)+1,"")</f>
        <v/>
      </c>
      <c r="E97" s="71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1" t="str">
        <f>IF(E98=1,MAX($D$9:D97)+1,"")</f>
        <v/>
      </c>
      <c r="E98" s="71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1" t="str">
        <f>IF(E99=1,MAX($D$9:D98)+1,"")</f>
        <v/>
      </c>
      <c r="E99" s="71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1" t="str">
        <f>IF(E100=1,MAX($D$9:D99)+1,"")</f>
        <v/>
      </c>
      <c r="E100" s="71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1" t="str">
        <f>IF(E101=1,MAX($D$9:D100)+1,"")</f>
        <v/>
      </c>
      <c r="E101" s="71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1" t="str">
        <f>IF(E102=1,MAX($D$9:D101)+1,"")</f>
        <v/>
      </c>
      <c r="E102" s="71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1" t="str">
        <f>IF(E103=1,MAX($D$9:D102)+1,"")</f>
        <v/>
      </c>
      <c r="E103" s="71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1" t="str">
        <f>IF(E104=1,MAX($D$9:D103)+1,"")</f>
        <v/>
      </c>
      <c r="E104" s="71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1" t="str">
        <f>IF(E105=1,MAX($D$9:D104)+1,"")</f>
        <v/>
      </c>
      <c r="E105" s="71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1" t="str">
        <f>IF(E106=1,MAX($D$9:D105)+1,"")</f>
        <v/>
      </c>
      <c r="E106" s="71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1" t="str">
        <f>IF(E107=1,MAX($D$9:D106)+1,"")</f>
        <v/>
      </c>
      <c r="E107" s="71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1" t="str">
        <f>IF(E108=1,MAX($D$9:D107)+1,"")</f>
        <v/>
      </c>
      <c r="E108" s="71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1" t="str">
        <f>IF(E109=1,MAX($D$9:D108)+1,"")</f>
        <v/>
      </c>
      <c r="E109" s="71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1" t="str">
        <f>IF(E110=1,MAX($D$9:D109)+1,"")</f>
        <v/>
      </c>
      <c r="E110" s="71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1" t="str">
        <f>IF(E111=1,MAX($D$9:D110)+1,"")</f>
        <v/>
      </c>
      <c r="E111" s="71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1" t="str">
        <f>IF(E112=1,MAX($D$9:D111)+1,"")</f>
        <v/>
      </c>
      <c r="E112" s="71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1" t="str">
        <f>IF(E113=1,MAX($D$9:D112)+1,"")</f>
        <v/>
      </c>
      <c r="E113" s="71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1" t="str">
        <f>IF(E114=1,MAX($D$9:D113)+1,"")</f>
        <v/>
      </c>
      <c r="E114" s="71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1" t="str">
        <f>IF(E115=1,MAX($D$9:D114)+1,"")</f>
        <v/>
      </c>
      <c r="E115" s="71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1" t="str">
        <f>IF(E116=1,MAX($D$9:D115)+1,"")</f>
        <v/>
      </c>
      <c r="E116" s="71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1" t="str">
        <f>IF(E117=1,MAX($D$9:D116)+1,"")</f>
        <v/>
      </c>
      <c r="E117" s="71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1" t="str">
        <f>IF(E118=1,MAX($D$9:D117)+1,"")</f>
        <v/>
      </c>
      <c r="E118" s="71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1" t="str">
        <f>IF(E119=1,MAX($D$9:D118)+1,"")</f>
        <v/>
      </c>
      <c r="E119" s="71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1" t="str">
        <f>IF(E120=1,MAX($D$9:D119)+1,"")</f>
        <v/>
      </c>
      <c r="E120" s="71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1" t="str">
        <f>IF(E121=1,MAX($D$9:D120)+1,"")</f>
        <v/>
      </c>
      <c r="E121" s="71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1" t="str">
        <f>IF(E122=1,MAX($D$9:D121)+1,"")</f>
        <v/>
      </c>
      <c r="E122" s="71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1" t="str">
        <f>IF(E123=1,MAX($D$9:D122)+1,"")</f>
        <v/>
      </c>
      <c r="E123" s="71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1" t="str">
        <f>IF(E124=1,MAX($D$9:D123)+1,"")</f>
        <v/>
      </c>
      <c r="E124" s="71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1" t="str">
        <f>IF(E125=1,MAX($D$9:D124)+1,"")</f>
        <v/>
      </c>
      <c r="E125" s="71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1" t="str">
        <f>IF(E126=1,MAX($D$9:D125)+1,"")</f>
        <v/>
      </c>
      <c r="E126" s="71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1" t="str">
        <f>IF(E127=1,MAX($D$9:D126)+1,"")</f>
        <v/>
      </c>
      <c r="E127" s="71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1" t="str">
        <f>IF(E128=1,MAX($D$9:D127)+1,"")</f>
        <v/>
      </c>
      <c r="E128" s="71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1" t="str">
        <f>IF(E129=1,MAX($D$9:D128)+1,"")</f>
        <v/>
      </c>
      <c r="E129" s="71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1" t="str">
        <f>IF(E130=1,MAX($D$9:D129)+1,"")</f>
        <v/>
      </c>
      <c r="E130" s="71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1" t="str">
        <f>IF(E131=1,MAX($D$9:D130)+1,"")</f>
        <v/>
      </c>
      <c r="E131" s="71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1" t="str">
        <f>IF(E132=1,MAX($D$9:D131)+1,"")</f>
        <v/>
      </c>
      <c r="E132" s="71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1" t="str">
        <f>IF(E133=1,MAX($D$9:D132)+1,"")</f>
        <v/>
      </c>
      <c r="E133" s="71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1" t="str">
        <f>IF(E134=1,MAX($D$9:D133)+1,"")</f>
        <v/>
      </c>
      <c r="E134" s="71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1" t="str">
        <f>IF(E135=1,MAX($D$9:D134)+1,"")</f>
        <v/>
      </c>
      <c r="E135" s="71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1" t="str">
        <f>IF(E136=1,MAX($D$9:D135)+1,"")</f>
        <v/>
      </c>
      <c r="E136" s="71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1" t="str">
        <f>IF(E137=1,MAX($D$9:D136)+1,"")</f>
        <v/>
      </c>
      <c r="E137" s="71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1" t="str">
        <f>IF(E138=1,MAX($D$9:D137)+1,"")</f>
        <v/>
      </c>
      <c r="E138" s="71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1" t="str">
        <f>IF(E139=1,MAX($D$9:D138)+1,"")</f>
        <v/>
      </c>
      <c r="E139" s="71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1" t="str">
        <f>IF(E140=1,MAX($D$9:D139)+1,"")</f>
        <v/>
      </c>
      <c r="E140" s="71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1" t="str">
        <f>IF(E141=1,MAX($D$9:D140)+1,"")</f>
        <v/>
      </c>
      <c r="E141" s="71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1" t="str">
        <f>IF(E142=1,MAX($D$9:D141)+1,"")</f>
        <v/>
      </c>
      <c r="E142" s="71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1" t="str">
        <f>IF(E143=1,MAX($D$9:D142)+1,"")</f>
        <v/>
      </c>
      <c r="E143" s="71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1" t="str">
        <f>IF(E144=1,MAX($D$9:D143)+1,"")</f>
        <v/>
      </c>
      <c r="E144" s="71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1" t="str">
        <f>IF(E145=1,MAX($D$9:D144)+1,"")</f>
        <v/>
      </c>
      <c r="E145" s="71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1" t="str">
        <f>IF(E146=1,MAX($D$9:D145)+1,"")</f>
        <v/>
      </c>
      <c r="E146" s="71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1" t="str">
        <f>IF(E147=1,MAX($D$9:D146)+1,"")</f>
        <v/>
      </c>
      <c r="E147" s="71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1" t="str">
        <f>IF(E148=1,MAX($D$9:D147)+1,"")</f>
        <v/>
      </c>
      <c r="E148" s="71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1" t="str">
        <f>IF(E149=1,MAX($D$9:D148)+1,"")</f>
        <v/>
      </c>
      <c r="E149" s="71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1" t="str">
        <f>IF(E150=1,MAX($D$9:D149)+1,"")</f>
        <v/>
      </c>
      <c r="E150" s="71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1" t="str">
        <f>IF(E151=1,MAX($D$9:D150)+1,"")</f>
        <v/>
      </c>
      <c r="E151" s="71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1" t="str">
        <f>IF(E152=1,MAX($D$9:D151)+1,"")</f>
        <v/>
      </c>
      <c r="E152" s="71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1" t="str">
        <f>IF(E153=1,MAX($D$9:D152)+1,"")</f>
        <v/>
      </c>
      <c r="E153" s="71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1" t="str">
        <f>IF(E154=1,MAX($D$9:D153)+1,"")</f>
        <v/>
      </c>
      <c r="E154" s="71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1" t="str">
        <f>IF(E155=1,MAX($D$9:D154)+1,"")</f>
        <v/>
      </c>
      <c r="E155" s="71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1" t="str">
        <f>IF(E156=1,MAX($D$9:D155)+1,"")</f>
        <v/>
      </c>
      <c r="E156" s="71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1" t="str">
        <f>IF(E157=1,MAX($D$9:D156)+1,"")</f>
        <v/>
      </c>
      <c r="E157" s="71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1" t="str">
        <f>IF(E158=1,MAX($D$9:D157)+1,"")</f>
        <v/>
      </c>
      <c r="E158" s="71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1" t="str">
        <f>IF(E159=1,MAX($D$9:D158)+1,"")</f>
        <v/>
      </c>
      <c r="E159" s="71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1" t="str">
        <f>IF(E160=1,MAX($D$9:D159)+1,"")</f>
        <v/>
      </c>
      <c r="E160" s="71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1" t="str">
        <f>IF(E161=1,MAX($D$9:D160)+1,"")</f>
        <v/>
      </c>
      <c r="E161" s="71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1" t="str">
        <f>IF(E162=1,MAX($D$9:D161)+1,"")</f>
        <v/>
      </c>
      <c r="E162" s="71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1" t="str">
        <f>IF(E163=1,MAX($D$9:D162)+1,"")</f>
        <v/>
      </c>
      <c r="E163" s="71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1" t="str">
        <f>IF(E164=1,MAX($D$9:D163)+1,"")</f>
        <v/>
      </c>
      <c r="E164" s="71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1" t="str">
        <f>IF(E165=1,MAX($D$9:D164)+1,"")</f>
        <v/>
      </c>
      <c r="E165" s="71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1" t="str">
        <f>IF(E166=1,MAX($D$9:D165)+1,"")</f>
        <v/>
      </c>
      <c r="E166" s="71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1" t="str">
        <f>IF(E167=1,MAX($D$9:D166)+1,"")</f>
        <v/>
      </c>
      <c r="E167" s="71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1" t="str">
        <f>IF(E168=1,MAX($D$9:D167)+1,"")</f>
        <v/>
      </c>
      <c r="E168" s="71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1" t="str">
        <f>IF(E169=1,MAX($D$9:D168)+1,"")</f>
        <v/>
      </c>
      <c r="E169" s="71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1" t="str">
        <f>IF(E170=1,MAX($D$9:D169)+1,"")</f>
        <v/>
      </c>
      <c r="E170" s="71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1" t="str">
        <f>IF(E171=1,MAX($D$9:D170)+1,"")</f>
        <v/>
      </c>
      <c r="E171" s="71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1" t="str">
        <f>IF(E172=1,MAX($D$9:D171)+1,"")</f>
        <v/>
      </c>
      <c r="E172" s="71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1" t="str">
        <f>IF(E173=1,MAX($D$9:D172)+1,"")</f>
        <v/>
      </c>
      <c r="E173" s="71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1" t="str">
        <f>IF(E174=1,MAX($D$9:D173)+1,"")</f>
        <v/>
      </c>
      <c r="E174" s="71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1" t="str">
        <f>IF(E175=1,MAX($D$9:D174)+1,"")</f>
        <v/>
      </c>
      <c r="E175" s="71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1" t="str">
        <f>IF(E176=1,MAX($D$9:D175)+1,"")</f>
        <v/>
      </c>
      <c r="E176" s="71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1" t="str">
        <f>IF(E177=1,MAX($D$9:D176)+1,"")</f>
        <v/>
      </c>
      <c r="E177" s="71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1" t="str">
        <f>IF(E178=1,MAX($D$9:D177)+1,"")</f>
        <v/>
      </c>
      <c r="E178" s="71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1" t="str">
        <f>IF(E179=1,MAX($D$9:D178)+1,"")</f>
        <v/>
      </c>
      <c r="E179" s="71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1" t="str">
        <f>IF(E180=1,MAX($D$9:D179)+1,"")</f>
        <v/>
      </c>
      <c r="E180" s="71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1" t="str">
        <f>IF(E181=1,MAX($D$9:D180)+1,"")</f>
        <v/>
      </c>
      <c r="E181" s="71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1" t="str">
        <f>IF(E182=1,MAX($D$9:D181)+1,"")</f>
        <v/>
      </c>
      <c r="E182" s="71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1" t="str">
        <f>IF(E183=1,MAX($D$9:D182)+1,"")</f>
        <v/>
      </c>
      <c r="E183" s="71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1" t="str">
        <f>IF(E184=1,MAX($D$9:D183)+1,"")</f>
        <v/>
      </c>
      <c r="E184" s="71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1" t="str">
        <f>IF(E185=1,MAX($D$9:D184)+1,"")</f>
        <v/>
      </c>
      <c r="E185" s="71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1" t="str">
        <f>IF(E186=1,MAX($D$9:D185)+1,"")</f>
        <v/>
      </c>
      <c r="E186" s="71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1" t="str">
        <f>IF(E187=1,MAX($D$9:D186)+1,"")</f>
        <v/>
      </c>
      <c r="E187" s="71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1" t="str">
        <f>IF(E188=1,MAX($D$9:D187)+1,"")</f>
        <v/>
      </c>
      <c r="E188" s="71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1" t="str">
        <f>IF(E189=1,MAX($D$9:D188)+1,"")</f>
        <v/>
      </c>
      <c r="E189" s="71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1" t="str">
        <f>IF(E190=1,MAX($D$9:D189)+1,"")</f>
        <v/>
      </c>
      <c r="E190" s="71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1" t="str">
        <f>IF(E191=1,MAX($D$9:D190)+1,"")</f>
        <v/>
      </c>
      <c r="E191" s="71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1" t="str">
        <f>IF(E192=1,MAX($D$9:D191)+1,"")</f>
        <v/>
      </c>
      <c r="E192" s="71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1" t="str">
        <f>IF(E193=1,MAX($D$9:D192)+1,"")</f>
        <v/>
      </c>
      <c r="E193" s="71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1" t="str">
        <f>IF(E194=1,MAX($D$9:D193)+1,"")</f>
        <v/>
      </c>
      <c r="E194" s="71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1" t="str">
        <f>IF(E195=1,MAX($D$9:D194)+1,"")</f>
        <v/>
      </c>
      <c r="E195" s="71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1" t="str">
        <f>IF(E196=1,MAX($D$9:D195)+1,"")</f>
        <v/>
      </c>
      <c r="E196" s="71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1" t="str">
        <f>IF(E197=1,MAX($D$9:D196)+1,"")</f>
        <v/>
      </c>
      <c r="E197" s="71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1" t="str">
        <f>IF(E198=1,MAX($D$9:D197)+1,"")</f>
        <v/>
      </c>
      <c r="E198" s="71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1" t="str">
        <f>IF(E199=1,MAX($D$9:D198)+1,"")</f>
        <v/>
      </c>
      <c r="E199" s="71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1" t="str">
        <f>IF(E200=1,MAX($D$9:D199)+1,"")</f>
        <v/>
      </c>
      <c r="E200" s="71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1" t="str">
        <f>IF(E201=1,MAX($D$9:D200)+1,"")</f>
        <v/>
      </c>
      <c r="E201" s="71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1" t="str">
        <f>IF(E202=1,MAX($D$9:D201)+1,"")</f>
        <v/>
      </c>
      <c r="E202" s="71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1" t="str">
        <f>IF(E203=1,MAX($D$9:D202)+1,"")</f>
        <v/>
      </c>
      <c r="E203" s="71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1" t="str">
        <f>IF(E204=1,MAX($D$9:D203)+1,"")</f>
        <v/>
      </c>
      <c r="E204" s="71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1" t="str">
        <f>IF(E205=1,MAX($D$9:D204)+1,"")</f>
        <v/>
      </c>
      <c r="E205" s="71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1" t="str">
        <f>IF(E206=1,MAX($D$9:D205)+1,"")</f>
        <v/>
      </c>
      <c r="E206" s="71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1" t="str">
        <f>IF(E207=1,MAX($D$9:D206)+1,"")</f>
        <v/>
      </c>
      <c r="E207" s="71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1" t="str">
        <f>IF(E208=1,MAX($D$9:D207)+1,"")</f>
        <v/>
      </c>
      <c r="E208" s="71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1" t="str">
        <f>IF(E209=1,MAX($D$9:D208)+1,"")</f>
        <v/>
      </c>
      <c r="E209" s="71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1" t="str">
        <f>IF(E210=1,MAX($D$9:D209)+1,"")</f>
        <v/>
      </c>
      <c r="E210" s="71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1" t="str">
        <f>IF(E211=1,MAX($D$9:D210)+1,"")</f>
        <v/>
      </c>
      <c r="E211" s="71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1" t="str">
        <f>IF(E212=1,MAX($D$9:D211)+1,"")</f>
        <v/>
      </c>
      <c r="E212" s="71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1" t="str">
        <f>IF(E213=1,MAX($D$9:D212)+1,"")</f>
        <v/>
      </c>
      <c r="E213" s="71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1" t="str">
        <f>IF(E214=1,MAX($D$9:D213)+1,"")</f>
        <v/>
      </c>
      <c r="E214" s="71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1" t="str">
        <f>IF(E215=1,MAX($D$9:D214)+1,"")</f>
        <v/>
      </c>
      <c r="E215" s="71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1" t="str">
        <f>IF(E216=1,MAX($D$9:D215)+1,"")</f>
        <v/>
      </c>
      <c r="E216" s="71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1" t="str">
        <f>IF(E217=1,MAX($D$9:D216)+1,"")</f>
        <v/>
      </c>
      <c r="E217" s="71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1" t="str">
        <f>IF(E218=1,MAX($D$9:D217)+1,"")</f>
        <v/>
      </c>
      <c r="E218" s="71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1" t="str">
        <f>IF(E219=1,MAX($D$9:D218)+1,"")</f>
        <v/>
      </c>
      <c r="E219" s="71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1" t="str">
        <f>IF(E220=1,MAX($D$9:D219)+1,"")</f>
        <v/>
      </c>
      <c r="E220" s="71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1" t="str">
        <f>IF(E221=1,MAX($D$9:D220)+1,"")</f>
        <v/>
      </c>
      <c r="E221" s="71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1" t="str">
        <f>IF(E222=1,MAX($D$9:D221)+1,"")</f>
        <v/>
      </c>
      <c r="E222" s="71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1" t="str">
        <f>IF(E223=1,MAX($D$9:D222)+1,"")</f>
        <v/>
      </c>
      <c r="E223" s="71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1" t="str">
        <f>IF(E224=1,MAX($D$9:D223)+1,"")</f>
        <v/>
      </c>
      <c r="E224" s="71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1" t="str">
        <f>IF(E225=1,MAX($D$9:D224)+1,"")</f>
        <v/>
      </c>
      <c r="E225" s="71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1" t="str">
        <f>IF(E226=1,MAX($D$9:D225)+1,"")</f>
        <v/>
      </c>
      <c r="E226" s="71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1" t="str">
        <f>IF(E227=1,MAX($D$9:D226)+1,"")</f>
        <v/>
      </c>
      <c r="E227" s="71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1" t="str">
        <f>IF(E228=1,MAX($D$9:D227)+1,"")</f>
        <v/>
      </c>
      <c r="E228" s="71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1" t="str">
        <f>IF(E229=1,MAX($D$9:D228)+1,"")</f>
        <v/>
      </c>
      <c r="E229" s="71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1" t="str">
        <f>IF(E230=1,MAX($D$9:D229)+1,"")</f>
        <v/>
      </c>
      <c r="E230" s="71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1" t="str">
        <f>IF(E231=1,MAX($D$9:D230)+1,"")</f>
        <v/>
      </c>
      <c r="E231" s="71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1" t="str">
        <f>IF(E232=1,MAX($D$9:D231)+1,"")</f>
        <v/>
      </c>
      <c r="E232" s="71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1" t="str">
        <f>IF(E233=1,MAX($D$9:D232)+1,"")</f>
        <v/>
      </c>
      <c r="E233" s="71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1" t="str">
        <f>IF(E234=1,MAX($D$9:D233)+1,"")</f>
        <v/>
      </c>
      <c r="E234" s="71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1" t="str">
        <f>IF(E235=1,MAX($D$9:D234)+1,"")</f>
        <v/>
      </c>
      <c r="E235" s="71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1" t="str">
        <f>IF(E236=1,MAX($D$9:D235)+1,"")</f>
        <v/>
      </c>
      <c r="E236" s="71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1" t="str">
        <f>IF(E237=1,MAX($D$9:D236)+1,"")</f>
        <v/>
      </c>
      <c r="E237" s="71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1" t="str">
        <f>IF(E238=1,MAX($D$9:D237)+1,"")</f>
        <v/>
      </c>
      <c r="E238" s="71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1" t="str">
        <f>IF(E239=1,MAX($D$9:D238)+1,"")</f>
        <v/>
      </c>
      <c r="E239" s="71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1" t="str">
        <f>IF(E240=1,MAX($D$9:D239)+1,"")</f>
        <v/>
      </c>
      <c r="E240" s="71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1" t="str">
        <f>IF(E241=1,MAX($D$9:D240)+1,"")</f>
        <v/>
      </c>
      <c r="E241" s="71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1" t="str">
        <f>IF(E242=1,MAX($D$9:D241)+1,"")</f>
        <v/>
      </c>
      <c r="E242" s="71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1" t="str">
        <f>IF(E243=1,MAX($D$9:D242)+1,"")</f>
        <v/>
      </c>
      <c r="E243" s="71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1" t="str">
        <f>IF(E244=1,MAX($D$9:D243)+1,"")</f>
        <v/>
      </c>
      <c r="E244" s="71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1" t="str">
        <f>IF(E245=1,MAX($D$9:D244)+1,"")</f>
        <v/>
      </c>
      <c r="E245" s="71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1" t="str">
        <f>IF(E246=1,MAX($D$9:D245)+1,"")</f>
        <v/>
      </c>
      <c r="E246" s="71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1" t="str">
        <f>IF(E247=1,MAX($D$9:D246)+1,"")</f>
        <v/>
      </c>
      <c r="E247" s="71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1" t="str">
        <f>IF(E248=1,MAX($D$9:D247)+1,"")</f>
        <v/>
      </c>
      <c r="E248" s="71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1" t="str">
        <f>IF(E249=1,MAX($D$9:D248)+1,"")</f>
        <v/>
      </c>
      <c r="E249" s="71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1" t="str">
        <f>IF(E250=1,MAX($D$9:D249)+1,"")</f>
        <v/>
      </c>
      <c r="E250" s="71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1" t="str">
        <f>IF(E251=1,MAX($D$9:D250)+1,"")</f>
        <v/>
      </c>
      <c r="E251" s="71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1" t="str">
        <f>IF(E252=1,MAX($D$9:D251)+1,"")</f>
        <v/>
      </c>
      <c r="E252" s="71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1" t="str">
        <f>IF(E253=1,MAX($D$9:D252)+1,"")</f>
        <v/>
      </c>
      <c r="E253" s="71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1" t="str">
        <f>IF(E254=1,MAX($D$9:D253)+1,"")</f>
        <v/>
      </c>
      <c r="E254" s="71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1" t="str">
        <f>IF(E255=1,MAX($D$9:D254)+1,"")</f>
        <v/>
      </c>
      <c r="E255" s="71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1" t="str">
        <f>IF(E256=1,MAX($D$9:D255)+1,"")</f>
        <v/>
      </c>
      <c r="E256" s="71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1" t="str">
        <f>IF(E257=1,MAX($D$9:D256)+1,"")</f>
        <v/>
      </c>
      <c r="E257" s="71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1" t="str">
        <f>IF(E258=1,MAX($D$9:D257)+1,"")</f>
        <v/>
      </c>
      <c r="E258" s="71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1" t="str">
        <f>IF(E259=1,MAX($D$9:D258)+1,"")</f>
        <v/>
      </c>
      <c r="E259" s="71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1" t="str">
        <f>IF(E260=1,MAX($D$9:D259)+1,"")</f>
        <v/>
      </c>
      <c r="E260" s="71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1" t="str">
        <f>IF(E261=1,MAX($D$9:D260)+1,"")</f>
        <v/>
      </c>
      <c r="E261" s="71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1" t="str">
        <f>IF(E262=1,MAX($D$9:D261)+1,"")</f>
        <v/>
      </c>
      <c r="E262" s="71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1" t="str">
        <f>IF(E263=1,MAX($D$9:D262)+1,"")</f>
        <v/>
      </c>
      <c r="E263" s="71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1" t="str">
        <f>IF(E264=1,MAX($D$9:D263)+1,"")</f>
        <v/>
      </c>
      <c r="E264" s="71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1" t="str">
        <f>IF(E265=1,MAX($D$9:D264)+1,"")</f>
        <v/>
      </c>
      <c r="E265" s="71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1" t="str">
        <f>IF(E266=1,MAX($D$9:D265)+1,"")</f>
        <v/>
      </c>
      <c r="E266" s="71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1" t="str">
        <f>IF(E267=1,MAX($D$9:D266)+1,"")</f>
        <v/>
      </c>
      <c r="E267" s="71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2" t="str">
        <f>IF(E268=1,MAX($D$9:D267)+1,"")</f>
        <v/>
      </c>
      <c r="E268" s="72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7" sqref="B7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149</v>
      </c>
    </row>
    <row r="2" spans="1:2" ht="15" thickBot="1" x14ac:dyDescent="0.4"/>
    <row r="3" spans="1:2" ht="15" thickBot="1" x14ac:dyDescent="0.4">
      <c r="A3" s="37" t="s">
        <v>21</v>
      </c>
      <c r="B3" s="17" t="s">
        <v>159</v>
      </c>
    </row>
    <row r="4" spans="1:2" ht="15" thickBot="1" x14ac:dyDescent="0.4"/>
    <row r="5" spans="1:2" ht="15" thickBot="1" x14ac:dyDescent="0.4">
      <c r="A5" s="37" t="s">
        <v>104</v>
      </c>
    </row>
    <row r="6" spans="1:2" ht="15" thickBot="1" x14ac:dyDescent="0.4">
      <c r="A6" s="42" t="s">
        <v>45</v>
      </c>
      <c r="B6" s="17" t="s">
        <v>107</v>
      </c>
    </row>
    <row r="7" spans="1:2" ht="15" thickBot="1" x14ac:dyDescent="0.4">
      <c r="A7" s="54" t="s">
        <v>105</v>
      </c>
      <c r="B7" s="17" t="s">
        <v>107</v>
      </c>
    </row>
    <row r="8" spans="1:2" ht="15" thickBot="1" x14ac:dyDescent="0.4">
      <c r="A8" s="54" t="s">
        <v>106</v>
      </c>
      <c r="B8" s="17" t="s">
        <v>107</v>
      </c>
    </row>
    <row r="9" spans="1:2" ht="15" thickBot="1" x14ac:dyDescent="0.4">
      <c r="A9" s="55" t="s">
        <v>32</v>
      </c>
      <c r="B9" s="41" t="s">
        <v>107</v>
      </c>
    </row>
    <row r="10" spans="1:2" ht="15" thickBot="1" x14ac:dyDescent="0.4"/>
    <row r="11" spans="1:2" ht="15" thickBot="1" x14ac:dyDescent="0.4">
      <c r="A11" s="37" t="s">
        <v>108</v>
      </c>
    </row>
    <row r="12" spans="1:2" ht="15" thickBot="1" x14ac:dyDescent="0.4">
      <c r="A12" s="37" t="s">
        <v>111</v>
      </c>
      <c r="B12" s="17" t="s">
        <v>154</v>
      </c>
    </row>
    <row r="13" spans="1:2" ht="15" thickBot="1" x14ac:dyDescent="0.4">
      <c r="A13" s="37" t="s">
        <v>109</v>
      </c>
      <c r="B13" s="49" t="s">
        <v>170</v>
      </c>
    </row>
    <row r="14" spans="1:2" ht="15" thickBot="1" x14ac:dyDescent="0.4">
      <c r="A14" s="55" t="s">
        <v>110</v>
      </c>
      <c r="B14" s="49" t="s">
        <v>157</v>
      </c>
    </row>
    <row r="27" spans="1:2" ht="15" thickBot="1" x14ac:dyDescent="0.4"/>
    <row r="28" spans="1:2" ht="15" thickBot="1" x14ac:dyDescent="0.4">
      <c r="A28" s="50"/>
      <c r="B28" t="s">
        <v>41</v>
      </c>
    </row>
    <row r="29" spans="1:2" ht="15" thickBot="1" x14ac:dyDescent="0.4">
      <c r="A29" s="51"/>
      <c r="B29" t="s">
        <v>42</v>
      </c>
    </row>
    <row r="30" spans="1:2" ht="15" thickBot="1" x14ac:dyDescent="0.4">
      <c r="A30" s="52"/>
      <c r="B30" t="s">
        <v>43</v>
      </c>
    </row>
    <row r="31" spans="1:2" ht="15" thickBot="1" x14ac:dyDescent="0.4">
      <c r="A31" s="53"/>
      <c r="B31" t="s">
        <v>44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S1" workbookViewId="0">
      <selection activeCell="AR140" sqref="AR140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45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20 Group Session</v>
      </c>
      <c r="AG2" t="s">
        <v>32</v>
      </c>
    </row>
    <row r="3" spans="1:42" x14ac:dyDescent="0.35">
      <c r="B3" s="11" t="s">
        <v>17</v>
      </c>
      <c r="C3" s="3" t="s">
        <v>126</v>
      </c>
      <c r="D3" s="3" t="s">
        <v>127</v>
      </c>
      <c r="E3" s="3" t="s">
        <v>128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112</v>
      </c>
      <c r="V3" t="s">
        <v>34</v>
      </c>
      <c r="W3" t="s">
        <v>22</v>
      </c>
      <c r="X3" t="s">
        <v>24</v>
      </c>
      <c r="Y3" t="s">
        <v>23</v>
      </c>
      <c r="Z3" t="s">
        <v>25</v>
      </c>
      <c r="AA3" t="s">
        <v>26</v>
      </c>
      <c r="AB3" s="16" t="s">
        <v>28</v>
      </c>
      <c r="AC3" s="16" t="s">
        <v>29</v>
      </c>
      <c r="AD3" s="16" t="s">
        <v>30</v>
      </c>
      <c r="AE3" s="16" t="s">
        <v>31</v>
      </c>
      <c r="AF3" t="s">
        <v>27</v>
      </c>
      <c r="AG3" t="s">
        <v>33</v>
      </c>
      <c r="AH3" t="s">
        <v>35</v>
      </c>
      <c r="AI3" t="s">
        <v>36</v>
      </c>
      <c r="AJ3" t="s">
        <v>37</v>
      </c>
      <c r="AK3" t="s">
        <v>38</v>
      </c>
      <c r="AL3" t="s">
        <v>39</v>
      </c>
      <c r="AM3" t="s">
        <v>40</v>
      </c>
      <c r="AN3">
        <f>INDEX('Data Validation (Hide)'!$H$2:$I$5,MATCH(Setup!$B$13,'Data Validation (Hide)'!$H$2:$H$5,0),2)</f>
        <v>0.75</v>
      </c>
      <c r="AO3">
        <v>0.85</v>
      </c>
      <c r="AP3" t="s">
        <v>46</v>
      </c>
    </row>
    <row r="4" spans="1:42" x14ac:dyDescent="0.35">
      <c r="B4" s="12">
        <f>Demand!C9</f>
        <v>43617</v>
      </c>
      <c r="C4" s="68">
        <f>Demand!D9</f>
        <v>2019</v>
      </c>
      <c r="D4" s="68">
        <f>Demand!E9</f>
        <v>3</v>
      </c>
      <c r="E4" s="6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8" t="str">
        <f>Demand!D10</f>
        <v/>
      </c>
      <c r="D5" s="68">
        <f>Demand!E10</f>
        <v>4</v>
      </c>
      <c r="E5" s="6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8" t="str">
        <f>Demand!D11</f>
        <v/>
      </c>
      <c r="D6" s="68">
        <f>Demand!E11</f>
        <v>5</v>
      </c>
      <c r="E6" s="6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8" t="str">
        <f>Demand!D12</f>
        <v/>
      </c>
      <c r="D7" s="68">
        <f>Demand!E12</f>
        <v>6</v>
      </c>
      <c r="E7" s="6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8" t="str">
        <f>Demand!D13</f>
        <v/>
      </c>
      <c r="D8" s="68">
        <f>Demand!E13</f>
        <v>7</v>
      </c>
      <c r="E8" s="6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8" t="str">
        <f>Demand!D14</f>
        <v/>
      </c>
      <c r="D9" s="68">
        <f>Demand!E14</f>
        <v>8</v>
      </c>
      <c r="E9" s="6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8" t="str">
        <f>Demand!D15</f>
        <v/>
      </c>
      <c r="D10" s="68">
        <f>Demand!E15</f>
        <v>9</v>
      </c>
      <c r="E10" s="6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8" t="str">
        <f>Demand!D16</f>
        <v/>
      </c>
      <c r="D11" s="68">
        <f>Demand!E16</f>
        <v>10</v>
      </c>
      <c r="E11" s="6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8" t="str">
        <f>Demand!D17</f>
        <v/>
      </c>
      <c r="D12" s="68">
        <f>Demand!E17</f>
        <v>11</v>
      </c>
      <c r="E12" s="6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8" t="str">
        <f>Demand!D18</f>
        <v/>
      </c>
      <c r="D13" s="68">
        <f>Demand!E18</f>
        <v>12</v>
      </c>
      <c r="E13" s="6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8">
        <f>Demand!D19</f>
        <v>2020</v>
      </c>
      <c r="D14" s="68">
        <f>Demand!E19</f>
        <v>1</v>
      </c>
      <c r="E14" s="6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8" t="str">
        <f>Demand!D20</f>
        <v/>
      </c>
      <c r="D15" s="68">
        <f>Demand!E20</f>
        <v>2</v>
      </c>
      <c r="E15" s="6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8" t="str">
        <f>Demand!D21</f>
        <v/>
      </c>
      <c r="D16" s="68">
        <f>Demand!E21</f>
        <v>3</v>
      </c>
      <c r="E16" s="6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8" t="str">
        <f>Demand!D22</f>
        <v/>
      </c>
      <c r="D17" s="68" t="str">
        <f>Demand!E22</f>
        <v/>
      </c>
      <c r="E17" s="6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8" t="str">
        <f>Demand!D23</f>
        <v/>
      </c>
      <c r="D18" s="68" t="str">
        <f>Demand!E23</f>
        <v/>
      </c>
      <c r="E18" s="6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8" t="str">
        <f>Demand!D24</f>
        <v/>
      </c>
      <c r="D19" s="68" t="str">
        <f>Demand!E24</f>
        <v/>
      </c>
      <c r="E19" s="6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8" t="str">
        <f>Demand!D25</f>
        <v/>
      </c>
      <c r="D20" s="68" t="str">
        <f>Demand!E25</f>
        <v/>
      </c>
      <c r="E20" s="6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8" t="str">
        <f>Demand!D26</f>
        <v/>
      </c>
      <c r="D21" s="68" t="str">
        <f>Demand!E26</f>
        <v/>
      </c>
      <c r="E21" s="6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8" t="str">
        <f>Demand!D27</f>
        <v/>
      </c>
      <c r="D22" s="68" t="str">
        <f>Demand!E27</f>
        <v/>
      </c>
      <c r="E22" s="6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8" t="str">
        <f>Demand!D28</f>
        <v/>
      </c>
      <c r="D23" s="68" t="str">
        <f>Demand!E28</f>
        <v/>
      </c>
      <c r="E23" s="6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8" t="str">
        <f>Demand!D29</f>
        <v/>
      </c>
      <c r="D24" s="68" t="str">
        <f>Demand!E29</f>
        <v/>
      </c>
      <c r="E24" s="6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8" t="str">
        <f>Demand!D30</f>
        <v/>
      </c>
      <c r="D25" s="68" t="str">
        <f>Demand!E30</f>
        <v/>
      </c>
      <c r="E25" s="6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8" t="str">
        <f>Demand!D31</f>
        <v/>
      </c>
      <c r="D26" s="68" t="str">
        <f>Demand!E31</f>
        <v/>
      </c>
      <c r="E26" s="6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8" t="str">
        <f>Demand!D32</f>
        <v/>
      </c>
      <c r="D27" s="68" t="str">
        <f>Demand!E32</f>
        <v/>
      </c>
      <c r="E27" s="6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8" t="str">
        <f>Demand!D33</f>
        <v/>
      </c>
      <c r="D28" s="68" t="str">
        <f>Demand!E33</f>
        <v/>
      </c>
      <c r="E28" s="6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8" t="str">
        <f>Demand!D34</f>
        <v/>
      </c>
      <c r="D29" s="68" t="str">
        <f>Demand!E34</f>
        <v/>
      </c>
      <c r="E29" s="6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8" t="str">
        <f>Demand!D35</f>
        <v/>
      </c>
      <c r="D30" s="68" t="str">
        <f>Demand!E35</f>
        <v/>
      </c>
      <c r="E30" s="6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8" t="str">
        <f>Demand!D36</f>
        <v/>
      </c>
      <c r="D31" s="68" t="str">
        <f>Demand!E36</f>
        <v/>
      </c>
      <c r="E31" s="6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8" t="str">
        <f>Demand!D37</f>
        <v/>
      </c>
      <c r="D32" s="68" t="str">
        <f>Demand!E37</f>
        <v/>
      </c>
      <c r="E32" s="6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8" t="str">
        <f>Demand!D38</f>
        <v/>
      </c>
      <c r="D33" s="68" t="str">
        <f>Demand!E38</f>
        <v/>
      </c>
      <c r="E33" s="6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8" t="str">
        <f>Demand!D39</f>
        <v/>
      </c>
      <c r="D34" s="68" t="str">
        <f>Demand!E39</f>
        <v/>
      </c>
      <c r="E34" s="6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8" t="str">
        <f>Demand!D40</f>
        <v/>
      </c>
      <c r="D35" s="68" t="str">
        <f>Demand!E40</f>
        <v/>
      </c>
      <c r="E35" s="6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8" t="str">
        <f>Demand!D41</f>
        <v/>
      </c>
      <c r="D36" s="68" t="str">
        <f>Demand!E41</f>
        <v/>
      </c>
      <c r="E36" s="6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8" t="str">
        <f>Demand!D42</f>
        <v/>
      </c>
      <c r="D37" s="68" t="str">
        <f>Demand!E42</f>
        <v/>
      </c>
      <c r="E37" s="6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8" t="str">
        <f>Demand!D43</f>
        <v/>
      </c>
      <c r="D38" s="68" t="str">
        <f>Demand!E43</f>
        <v/>
      </c>
      <c r="E38" s="6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8" t="str">
        <f>Demand!D44</f>
        <v/>
      </c>
      <c r="D39" s="68" t="str">
        <f>Demand!E44</f>
        <v/>
      </c>
      <c r="E39" s="6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8" t="str">
        <f>Demand!D45</f>
        <v/>
      </c>
      <c r="D40" s="68" t="str">
        <f>Demand!E45</f>
        <v/>
      </c>
      <c r="E40" s="6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8" t="str">
        <f>Demand!D46</f>
        <v/>
      </c>
      <c r="D41" s="68" t="str">
        <f>Demand!E46</f>
        <v/>
      </c>
      <c r="E41" s="6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8" t="str">
        <f>Demand!D47</f>
        <v/>
      </c>
      <c r="D42" s="68" t="str">
        <f>Demand!E47</f>
        <v/>
      </c>
      <c r="E42" s="6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8" t="str">
        <f>Demand!D48</f>
        <v/>
      </c>
      <c r="D43" s="68" t="str">
        <f>Demand!E48</f>
        <v/>
      </c>
      <c r="E43" s="6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8" t="str">
        <f>Demand!D49</f>
        <v/>
      </c>
      <c r="D44" s="68" t="str">
        <f>Demand!E49</f>
        <v/>
      </c>
      <c r="E44" s="68" t="e">
        <f>TEXT(D44*29,"mmm")&amp;"-"&amp;IF(D44=1,MAX($C$4:C43)+1,MAX($C$4:C43))</f>
        <v>#VALUE!</v>
      </c>
      <c r="F44" s="56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8" t="str">
        <f>Demand!D50</f>
        <v/>
      </c>
      <c r="D45" s="68" t="str">
        <f>Demand!E50</f>
        <v/>
      </c>
      <c r="E45" s="68" t="e">
        <f>TEXT(D45*29,"mmm")&amp;"-"&amp;IF(D45=1,MAX($C$4:C44)+1,MAX($C$4:C44))</f>
        <v>#VALUE!</v>
      </c>
      <c r="F45" s="56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8" t="str">
        <f>Demand!D51</f>
        <v/>
      </c>
      <c r="D46" s="68" t="str">
        <f>Demand!E51</f>
        <v/>
      </c>
      <c r="E46" s="68" t="e">
        <f>TEXT(D46*29,"mmm")&amp;"-"&amp;IF(D46=1,MAX($C$4:C45)+1,MAX($C$4:C45))</f>
        <v>#VALUE!</v>
      </c>
      <c r="F46" s="56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8" t="str">
        <f>Demand!D52</f>
        <v/>
      </c>
      <c r="D47" s="68" t="str">
        <f>Demand!E52</f>
        <v/>
      </c>
      <c r="E47" s="68" t="e">
        <f>TEXT(D47*29,"mmm")&amp;"-"&amp;IF(D47=1,MAX($C$4:C46)+1,MAX($C$4:C46))</f>
        <v>#VALUE!</v>
      </c>
      <c r="F47" s="56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8" t="str">
        <f>Demand!D53</f>
        <v/>
      </c>
      <c r="D48" s="68" t="str">
        <f>Demand!E53</f>
        <v/>
      </c>
      <c r="E48" s="6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8" t="str">
        <f>Demand!D54</f>
        <v/>
      </c>
      <c r="D49" s="68" t="str">
        <f>Demand!E54</f>
        <v/>
      </c>
      <c r="E49" s="6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8" t="str">
        <f>Demand!D55</f>
        <v/>
      </c>
      <c r="D50" s="68" t="str">
        <f>Demand!E55</f>
        <v/>
      </c>
      <c r="E50" s="6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8" t="str">
        <f>Demand!D56</f>
        <v/>
      </c>
      <c r="D51" s="68" t="str">
        <f>Demand!E56</f>
        <v/>
      </c>
      <c r="E51" s="6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8" t="str">
        <f>Demand!D57</f>
        <v/>
      </c>
      <c r="D52" s="68" t="str">
        <f>Demand!E57</f>
        <v/>
      </c>
      <c r="E52" s="6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8" t="str">
        <f>Demand!D58</f>
        <v/>
      </c>
      <c r="D53" s="68" t="str">
        <f>Demand!E58</f>
        <v/>
      </c>
      <c r="E53" s="6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8" t="str">
        <f>Demand!D59</f>
        <v/>
      </c>
      <c r="D54" s="68" t="str">
        <f>Demand!E59</f>
        <v/>
      </c>
      <c r="E54" s="6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8" t="str">
        <f>Demand!D60</f>
        <v/>
      </c>
      <c r="D55" s="68" t="str">
        <f>Demand!E60</f>
        <v/>
      </c>
      <c r="E55" s="6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8" t="str">
        <f>Demand!D61</f>
        <v/>
      </c>
      <c r="D56" s="68" t="str">
        <f>Demand!E61</f>
        <v/>
      </c>
      <c r="E56" s="6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8" t="str">
        <f>Demand!D62</f>
        <v/>
      </c>
      <c r="D57" s="68" t="str">
        <f>Demand!E62</f>
        <v/>
      </c>
      <c r="E57" s="6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8" t="str">
        <f>Demand!D63</f>
        <v/>
      </c>
      <c r="D58" s="68" t="str">
        <f>Demand!E63</f>
        <v/>
      </c>
      <c r="E58" s="6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8" t="str">
        <f>Demand!D64</f>
        <v/>
      </c>
      <c r="D59" s="68" t="str">
        <f>Demand!E64</f>
        <v/>
      </c>
      <c r="E59" s="6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8" t="str">
        <f>Demand!D65</f>
        <v/>
      </c>
      <c r="D60" s="68" t="str">
        <f>Demand!E65</f>
        <v/>
      </c>
      <c r="E60" s="6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8" t="str">
        <f>Demand!D66</f>
        <v/>
      </c>
      <c r="D61" s="68" t="str">
        <f>Demand!E66</f>
        <v/>
      </c>
      <c r="E61" s="6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8" t="str">
        <f>Demand!D67</f>
        <v/>
      </c>
      <c r="D62" s="68" t="str">
        <f>Demand!E67</f>
        <v/>
      </c>
      <c r="E62" s="6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8" t="str">
        <f>Demand!D68</f>
        <v/>
      </c>
      <c r="D63" s="68" t="str">
        <f>Demand!E68</f>
        <v/>
      </c>
      <c r="E63" s="6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8" t="str">
        <f>Demand!D69</f>
        <v/>
      </c>
      <c r="D64" s="68" t="str">
        <f>Demand!E69</f>
        <v/>
      </c>
      <c r="E64" s="6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8" t="str">
        <f>Demand!D70</f>
        <v/>
      </c>
      <c r="D65" s="68" t="str">
        <f>Demand!E70</f>
        <v/>
      </c>
      <c r="E65" s="6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8" t="str">
        <f>Demand!D71</f>
        <v/>
      </c>
      <c r="D66" s="68" t="str">
        <f>Demand!E71</f>
        <v/>
      </c>
      <c r="E66" s="6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8" t="str">
        <f>Demand!D72</f>
        <v/>
      </c>
      <c r="D67" s="68" t="str">
        <f>Demand!E72</f>
        <v/>
      </c>
      <c r="E67" s="6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8" t="str">
        <f>Demand!D73</f>
        <v/>
      </c>
      <c r="D68" s="68" t="str">
        <f>Demand!E73</f>
        <v/>
      </c>
      <c r="E68" s="6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8" t="str">
        <f>Demand!D74</f>
        <v/>
      </c>
      <c r="D69" s="68" t="str">
        <f>Demand!E74</f>
        <v/>
      </c>
      <c r="E69" s="6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8" t="str">
        <f>Demand!D75</f>
        <v/>
      </c>
      <c r="D70" s="68" t="str">
        <f>Demand!E75</f>
        <v/>
      </c>
      <c r="E70" s="6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8" t="str">
        <f>Demand!D76</f>
        <v/>
      </c>
      <c r="D71" s="68" t="str">
        <f>Demand!E76</f>
        <v/>
      </c>
      <c r="E71" s="6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8" t="str">
        <f>Demand!D77</f>
        <v/>
      </c>
      <c r="D72" s="68" t="str">
        <f>Demand!E77</f>
        <v/>
      </c>
      <c r="E72" s="6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8" t="str">
        <f>Demand!D78</f>
        <v/>
      </c>
      <c r="D73" s="68" t="str">
        <f>Demand!E78</f>
        <v/>
      </c>
      <c r="E73" s="6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8" t="str">
        <f>Demand!D79</f>
        <v/>
      </c>
      <c r="D74" s="68" t="str">
        <f>Demand!E79</f>
        <v/>
      </c>
      <c r="E74" s="6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8" t="str">
        <f>Demand!D80</f>
        <v/>
      </c>
      <c r="D75" s="68" t="str">
        <f>Demand!E80</f>
        <v/>
      </c>
      <c r="E75" s="6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8" t="str">
        <f>Demand!D81</f>
        <v/>
      </c>
      <c r="D76" s="68" t="str">
        <f>Demand!E81</f>
        <v/>
      </c>
      <c r="E76" s="6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8" t="str">
        <f>Demand!D82</f>
        <v/>
      </c>
      <c r="D77" s="68" t="str">
        <f>Demand!E82</f>
        <v/>
      </c>
      <c r="E77" s="6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8" t="str">
        <f>Demand!D83</f>
        <v/>
      </c>
      <c r="D78" s="68" t="str">
        <f>Demand!E83</f>
        <v/>
      </c>
      <c r="E78" s="6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8" t="str">
        <f>Demand!D84</f>
        <v/>
      </c>
      <c r="D79" s="68" t="str">
        <f>Demand!E84</f>
        <v/>
      </c>
      <c r="E79" s="6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8" t="str">
        <f>Demand!D85</f>
        <v/>
      </c>
      <c r="D80" s="68" t="str">
        <f>Demand!E85</f>
        <v/>
      </c>
      <c r="E80" s="6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8" t="str">
        <f>Demand!D86</f>
        <v/>
      </c>
      <c r="D81" s="68" t="str">
        <f>Demand!E86</f>
        <v/>
      </c>
      <c r="E81" s="6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8" t="str">
        <f>Demand!D87</f>
        <v/>
      </c>
      <c r="D82" s="68" t="str">
        <f>Demand!E87</f>
        <v/>
      </c>
      <c r="E82" s="6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8" t="str">
        <f>Demand!D88</f>
        <v/>
      </c>
      <c r="D83" s="68" t="str">
        <f>Demand!E88</f>
        <v/>
      </c>
      <c r="E83" s="6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8" t="str">
        <f>Demand!D89</f>
        <v/>
      </c>
      <c r="D84" s="68" t="str">
        <f>Demand!E89</f>
        <v/>
      </c>
      <c r="E84" s="6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8" t="str">
        <f>Demand!D90</f>
        <v/>
      </c>
      <c r="D85" s="68" t="str">
        <f>Demand!E90</f>
        <v/>
      </c>
      <c r="E85" s="6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8" t="str">
        <f>Demand!D91</f>
        <v/>
      </c>
      <c r="D86" s="68" t="str">
        <f>Demand!E91</f>
        <v/>
      </c>
      <c r="E86" s="6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8" t="str">
        <f>Demand!D92</f>
        <v/>
      </c>
      <c r="D87" s="68" t="str">
        <f>Demand!E92</f>
        <v/>
      </c>
      <c r="E87" s="6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8" t="str">
        <f>Demand!D93</f>
        <v/>
      </c>
      <c r="D88" s="68" t="str">
        <f>Demand!E93</f>
        <v/>
      </c>
      <c r="E88" s="6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8" t="str">
        <f>Demand!D94</f>
        <v/>
      </c>
      <c r="D89" s="68" t="str">
        <f>Demand!E94</f>
        <v/>
      </c>
      <c r="E89" s="6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8" t="str">
        <f>Demand!D95</f>
        <v/>
      </c>
      <c r="D90" s="68" t="str">
        <f>Demand!E95</f>
        <v/>
      </c>
      <c r="E90" s="6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8" t="str">
        <f>Demand!D96</f>
        <v/>
      </c>
      <c r="D91" s="68" t="str">
        <f>Demand!E96</f>
        <v/>
      </c>
      <c r="E91" s="6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8" t="str">
        <f>Demand!D97</f>
        <v/>
      </c>
      <c r="D92" s="68" t="str">
        <f>Demand!E97</f>
        <v/>
      </c>
      <c r="E92" s="6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8" t="str">
        <f>Demand!D98</f>
        <v/>
      </c>
      <c r="D93" s="68" t="str">
        <f>Demand!E98</f>
        <v/>
      </c>
      <c r="E93" s="6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8" t="str">
        <f>Demand!D99</f>
        <v/>
      </c>
      <c r="D94" s="68" t="str">
        <f>Demand!E99</f>
        <v/>
      </c>
      <c r="E94" s="6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8" t="str">
        <f>Demand!D100</f>
        <v/>
      </c>
      <c r="D95" s="68" t="str">
        <f>Demand!E100</f>
        <v/>
      </c>
      <c r="E95" s="6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8" t="str">
        <f>Demand!D101</f>
        <v/>
      </c>
      <c r="D96" s="68" t="str">
        <f>Demand!E101</f>
        <v/>
      </c>
      <c r="E96" s="6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8" t="str">
        <f>Demand!D102</f>
        <v/>
      </c>
      <c r="D97" s="68" t="str">
        <f>Demand!E102</f>
        <v/>
      </c>
      <c r="E97" s="6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8" t="str">
        <f>Demand!D103</f>
        <v/>
      </c>
      <c r="D98" s="68" t="str">
        <f>Demand!E103</f>
        <v/>
      </c>
      <c r="E98" s="6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8" t="str">
        <f>Demand!D104</f>
        <v/>
      </c>
      <c r="D99" s="68" t="str">
        <f>Demand!E104</f>
        <v/>
      </c>
      <c r="E99" s="6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8" t="str">
        <f>Demand!D105</f>
        <v/>
      </c>
      <c r="D100" s="68" t="str">
        <f>Demand!E105</f>
        <v/>
      </c>
      <c r="E100" s="6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8" t="str">
        <f>Demand!D106</f>
        <v/>
      </c>
      <c r="D101" s="68" t="str">
        <f>Demand!E106</f>
        <v/>
      </c>
      <c r="E101" s="6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8" t="str">
        <f>Demand!D107</f>
        <v/>
      </c>
      <c r="D102" s="68" t="str">
        <f>Demand!E107</f>
        <v/>
      </c>
      <c r="E102" s="6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8" t="str">
        <f>Demand!D108</f>
        <v/>
      </c>
      <c r="D103" s="68" t="str">
        <f>Demand!E108</f>
        <v/>
      </c>
      <c r="E103" s="6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8" t="str">
        <f>Demand!D109</f>
        <v/>
      </c>
      <c r="D104" s="68" t="str">
        <f>Demand!E109</f>
        <v/>
      </c>
      <c r="E104" s="6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8" t="str">
        <f>Demand!D110</f>
        <v/>
      </c>
      <c r="D105" s="68" t="str">
        <f>Demand!E110</f>
        <v/>
      </c>
      <c r="E105" s="6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8" t="str">
        <f>Demand!D111</f>
        <v/>
      </c>
      <c r="D106" s="68" t="str">
        <f>Demand!E111</f>
        <v/>
      </c>
      <c r="E106" s="6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8" t="str">
        <f>Demand!D112</f>
        <v/>
      </c>
      <c r="D107" s="68" t="str">
        <f>Demand!E112</f>
        <v/>
      </c>
      <c r="E107" s="6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8" t="str">
        <f>Demand!D113</f>
        <v/>
      </c>
      <c r="D108" s="68" t="str">
        <f>Demand!E113</f>
        <v/>
      </c>
      <c r="E108" s="6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8" t="str">
        <f>Demand!D114</f>
        <v/>
      </c>
      <c r="D109" s="68" t="str">
        <f>Demand!E114</f>
        <v/>
      </c>
      <c r="E109" s="6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8" t="str">
        <f>Demand!D115</f>
        <v/>
      </c>
      <c r="D110" s="68" t="str">
        <f>Demand!E115</f>
        <v/>
      </c>
      <c r="E110" s="6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8" t="str">
        <f>Demand!D116</f>
        <v/>
      </c>
      <c r="D111" s="68" t="str">
        <f>Demand!E116</f>
        <v/>
      </c>
      <c r="E111" s="6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8" t="str">
        <f>Demand!D117</f>
        <v/>
      </c>
      <c r="D112" s="68" t="str">
        <f>Demand!E117</f>
        <v/>
      </c>
      <c r="E112" s="6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8" t="str">
        <f>Demand!D118</f>
        <v/>
      </c>
      <c r="D113" s="68" t="str">
        <f>Demand!E118</f>
        <v/>
      </c>
      <c r="E113" s="6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8" t="str">
        <f>Demand!D119</f>
        <v/>
      </c>
      <c r="D114" s="68" t="str">
        <f>Demand!E119</f>
        <v/>
      </c>
      <c r="E114" s="6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8" t="str">
        <f>Demand!D120</f>
        <v/>
      </c>
      <c r="D115" s="68" t="str">
        <f>Demand!E120</f>
        <v/>
      </c>
      <c r="E115" s="6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8" t="str">
        <f>Demand!D121</f>
        <v/>
      </c>
      <c r="D116" s="68" t="str">
        <f>Demand!E121</f>
        <v/>
      </c>
      <c r="E116" s="6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8" t="str">
        <f>Demand!D122</f>
        <v/>
      </c>
      <c r="D117" s="68" t="str">
        <f>Demand!E122</f>
        <v/>
      </c>
      <c r="E117" s="6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8" t="str">
        <f>Demand!D123</f>
        <v/>
      </c>
      <c r="D118" s="68" t="str">
        <f>Demand!E123</f>
        <v/>
      </c>
      <c r="E118" s="6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8" t="str">
        <f>Demand!D124</f>
        <v/>
      </c>
      <c r="D119" s="68" t="str">
        <f>Demand!E124</f>
        <v/>
      </c>
      <c r="E119" s="6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8" t="str">
        <f>Demand!D125</f>
        <v/>
      </c>
      <c r="D120" s="68" t="str">
        <f>Demand!E125</f>
        <v/>
      </c>
      <c r="E120" s="6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8" t="str">
        <f>Demand!D126</f>
        <v/>
      </c>
      <c r="D121" s="68" t="str">
        <f>Demand!E126</f>
        <v/>
      </c>
      <c r="E121" s="6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8" t="str">
        <f>Demand!D127</f>
        <v/>
      </c>
      <c r="D122" s="68" t="str">
        <f>Demand!E127</f>
        <v/>
      </c>
      <c r="E122" s="6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8" t="str">
        <f>Demand!D128</f>
        <v/>
      </c>
      <c r="D123" s="68" t="str">
        <f>Demand!E128</f>
        <v/>
      </c>
      <c r="E123" s="6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8" t="str">
        <f>Demand!D129</f>
        <v/>
      </c>
      <c r="D124" s="68" t="str">
        <f>Demand!E129</f>
        <v/>
      </c>
      <c r="E124" s="6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8" t="str">
        <f>Demand!D130</f>
        <v/>
      </c>
      <c r="D125" s="68" t="str">
        <f>Demand!E130</f>
        <v/>
      </c>
      <c r="E125" s="6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8" t="str">
        <f>Demand!D131</f>
        <v/>
      </c>
      <c r="D126" s="68" t="str">
        <f>Demand!E131</f>
        <v/>
      </c>
      <c r="E126" s="6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8" t="str">
        <f>Demand!D132</f>
        <v/>
      </c>
      <c r="D127" s="68" t="str">
        <f>Demand!E132</f>
        <v/>
      </c>
      <c r="E127" s="6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8" t="str">
        <f>Demand!D133</f>
        <v/>
      </c>
      <c r="D128" s="68" t="str">
        <f>Demand!E133</f>
        <v/>
      </c>
      <c r="E128" s="6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8" t="str">
        <f>Demand!D134</f>
        <v/>
      </c>
      <c r="D129" s="68" t="str">
        <f>Demand!E134</f>
        <v/>
      </c>
      <c r="E129" s="6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8" t="str">
        <f>Demand!D135</f>
        <v/>
      </c>
      <c r="D130" s="68" t="str">
        <f>Demand!E135</f>
        <v/>
      </c>
      <c r="E130" s="6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8" t="str">
        <f>Demand!D136</f>
        <v/>
      </c>
      <c r="D131" s="68" t="str">
        <f>Demand!E136</f>
        <v/>
      </c>
      <c r="E131" s="6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8" t="str">
        <f>Demand!D137</f>
        <v/>
      </c>
      <c r="D132" s="68" t="str">
        <f>Demand!E137</f>
        <v/>
      </c>
      <c r="E132" s="6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8" t="str">
        <f>Demand!D138</f>
        <v/>
      </c>
      <c r="D133" s="68" t="str">
        <f>Demand!E138</f>
        <v/>
      </c>
      <c r="E133" s="6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8" t="str">
        <f>Demand!D139</f>
        <v/>
      </c>
      <c r="D134" s="68" t="str">
        <f>Demand!E139</f>
        <v/>
      </c>
      <c r="E134" s="6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8" t="str">
        <f>Demand!D140</f>
        <v/>
      </c>
      <c r="D135" s="68" t="str">
        <f>Demand!E140</f>
        <v/>
      </c>
      <c r="E135" s="6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8" t="str">
        <f>Demand!D141</f>
        <v/>
      </c>
      <c r="D136" s="68" t="str">
        <f>Demand!E141</f>
        <v/>
      </c>
      <c r="E136" s="6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8" t="str">
        <f>Demand!D142</f>
        <v/>
      </c>
      <c r="D137" s="68" t="str">
        <f>Demand!E142</f>
        <v/>
      </c>
      <c r="E137" s="6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8" t="str">
        <f>Demand!D143</f>
        <v/>
      </c>
      <c r="D138" s="68" t="str">
        <f>Demand!E143</f>
        <v/>
      </c>
      <c r="E138" s="6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8" t="str">
        <f>Demand!D144</f>
        <v/>
      </c>
      <c r="D139" s="68" t="str">
        <f>Demand!E144</f>
        <v/>
      </c>
      <c r="E139" s="6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8" t="str">
        <f>Demand!D145</f>
        <v/>
      </c>
      <c r="D140" s="68" t="str">
        <f>Demand!E145</f>
        <v/>
      </c>
      <c r="E140" s="6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8" t="str">
        <f>Demand!D146</f>
        <v/>
      </c>
      <c r="D141" s="68" t="str">
        <f>Demand!E146</f>
        <v/>
      </c>
      <c r="E141" s="6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8" t="str">
        <f>Demand!D147</f>
        <v/>
      </c>
      <c r="D142" s="68" t="str">
        <f>Demand!E147</f>
        <v/>
      </c>
      <c r="E142" s="6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8" t="str">
        <f>Demand!D148</f>
        <v/>
      </c>
      <c r="D143" s="68" t="str">
        <f>Demand!E148</f>
        <v/>
      </c>
      <c r="E143" s="6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8" t="str">
        <f>Demand!D149</f>
        <v/>
      </c>
      <c r="D144" s="68" t="str">
        <f>Demand!E149</f>
        <v/>
      </c>
      <c r="E144" s="6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8" t="str">
        <f>Demand!D150</f>
        <v/>
      </c>
      <c r="D145" s="68" t="str">
        <f>Demand!E150</f>
        <v/>
      </c>
      <c r="E145" s="6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8" t="str">
        <f>Demand!D151</f>
        <v/>
      </c>
      <c r="D146" s="68" t="str">
        <f>Demand!E151</f>
        <v/>
      </c>
      <c r="E146" s="6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8" t="str">
        <f>Demand!D152</f>
        <v/>
      </c>
      <c r="D147" s="68" t="str">
        <f>Demand!E152</f>
        <v/>
      </c>
      <c r="E147" s="6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8" t="str">
        <f>Demand!D153</f>
        <v/>
      </c>
      <c r="D148" s="68" t="str">
        <f>Demand!E153</f>
        <v/>
      </c>
      <c r="E148" s="6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8" t="str">
        <f>Demand!D154</f>
        <v/>
      </c>
      <c r="D149" s="68" t="str">
        <f>Demand!E154</f>
        <v/>
      </c>
      <c r="E149" s="6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8" t="str">
        <f>Demand!D155</f>
        <v/>
      </c>
      <c r="D150" s="68" t="str">
        <f>Demand!E155</f>
        <v/>
      </c>
      <c r="E150" s="6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8" t="str">
        <f>Demand!D156</f>
        <v/>
      </c>
      <c r="D151" s="68" t="str">
        <f>Demand!E156</f>
        <v/>
      </c>
      <c r="E151" s="6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8" t="str">
        <f>Demand!D157</f>
        <v/>
      </c>
      <c r="D152" s="68" t="str">
        <f>Demand!E157</f>
        <v/>
      </c>
      <c r="E152" s="6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8" t="str">
        <f>Demand!D158</f>
        <v/>
      </c>
      <c r="D153" s="68" t="str">
        <f>Demand!E158</f>
        <v/>
      </c>
      <c r="E153" s="6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8" t="str">
        <f>Demand!D159</f>
        <v/>
      </c>
      <c r="D154" s="68" t="str">
        <f>Demand!E159</f>
        <v/>
      </c>
      <c r="E154" s="6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8" t="str">
        <f>Demand!D160</f>
        <v/>
      </c>
      <c r="D155" s="68" t="str">
        <f>Demand!E160</f>
        <v/>
      </c>
      <c r="E155" s="6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8" t="str">
        <f>Demand!D161</f>
        <v/>
      </c>
      <c r="D156" s="68" t="str">
        <f>Demand!E161</f>
        <v/>
      </c>
      <c r="E156" s="6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8" t="str">
        <f>Demand!D162</f>
        <v/>
      </c>
      <c r="D157" s="68" t="str">
        <f>Demand!E162</f>
        <v/>
      </c>
      <c r="E157" s="6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8" t="str">
        <f>Demand!D163</f>
        <v/>
      </c>
      <c r="D158" s="68" t="str">
        <f>Demand!E163</f>
        <v/>
      </c>
      <c r="E158" s="6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8" t="str">
        <f>Demand!D164</f>
        <v/>
      </c>
      <c r="D159" s="68" t="str">
        <f>Demand!E164</f>
        <v/>
      </c>
      <c r="E159" s="6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8" t="str">
        <f>Demand!D165</f>
        <v/>
      </c>
      <c r="D160" s="68" t="str">
        <f>Demand!E165</f>
        <v/>
      </c>
      <c r="E160" s="6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8" t="str">
        <f>Demand!D166</f>
        <v/>
      </c>
      <c r="D161" s="68" t="str">
        <f>Demand!E166</f>
        <v/>
      </c>
      <c r="E161" s="6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8" t="str">
        <f>Demand!D167</f>
        <v/>
      </c>
      <c r="D162" s="68" t="str">
        <f>Demand!E167</f>
        <v/>
      </c>
      <c r="E162" s="6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8" t="str">
        <f>Demand!D168</f>
        <v/>
      </c>
      <c r="D163" s="68" t="str">
        <f>Demand!E168</f>
        <v/>
      </c>
      <c r="E163" s="6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8" t="str">
        <f>Demand!D169</f>
        <v/>
      </c>
      <c r="D164" s="68" t="str">
        <f>Demand!E169</f>
        <v/>
      </c>
      <c r="E164" s="6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8" t="str">
        <f>Demand!D170</f>
        <v/>
      </c>
      <c r="D165" s="68" t="str">
        <f>Demand!E170</f>
        <v/>
      </c>
      <c r="E165" s="6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8" t="str">
        <f>Demand!D171</f>
        <v/>
      </c>
      <c r="D166" s="68" t="str">
        <f>Demand!E171</f>
        <v/>
      </c>
      <c r="E166" s="6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8" t="str">
        <f>Demand!D172</f>
        <v/>
      </c>
      <c r="D167" s="68" t="str">
        <f>Demand!E172</f>
        <v/>
      </c>
      <c r="E167" s="6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8" t="str">
        <f>Demand!D173</f>
        <v/>
      </c>
      <c r="D168" s="68" t="str">
        <f>Demand!E173</f>
        <v/>
      </c>
      <c r="E168" s="6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8" t="str">
        <f>Demand!D174</f>
        <v/>
      </c>
      <c r="D169" s="68" t="str">
        <f>Demand!E174</f>
        <v/>
      </c>
      <c r="E169" s="6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8" t="str">
        <f>Demand!D175</f>
        <v/>
      </c>
      <c r="D170" s="68" t="str">
        <f>Demand!E175</f>
        <v/>
      </c>
      <c r="E170" s="6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8" t="str">
        <f>Demand!D176</f>
        <v/>
      </c>
      <c r="D171" s="68" t="str">
        <f>Demand!E176</f>
        <v/>
      </c>
      <c r="E171" s="6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8" t="str">
        <f>Demand!D177</f>
        <v/>
      </c>
      <c r="D172" s="68" t="str">
        <f>Demand!E177</f>
        <v/>
      </c>
      <c r="E172" s="6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8" t="str">
        <f>Demand!D178</f>
        <v/>
      </c>
      <c r="D173" s="68" t="str">
        <f>Demand!E178</f>
        <v/>
      </c>
      <c r="E173" s="6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8" t="str">
        <f>Demand!D179</f>
        <v/>
      </c>
      <c r="D174" s="68" t="str">
        <f>Demand!E179</f>
        <v/>
      </c>
      <c r="E174" s="6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8" t="str">
        <f>Demand!D180</f>
        <v/>
      </c>
      <c r="D175" s="68" t="str">
        <f>Demand!E180</f>
        <v/>
      </c>
      <c r="E175" s="6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8" t="str">
        <f>Demand!D181</f>
        <v/>
      </c>
      <c r="D176" s="68" t="str">
        <f>Demand!E181</f>
        <v/>
      </c>
      <c r="E176" s="6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8" t="str">
        <f>Demand!D182</f>
        <v/>
      </c>
      <c r="D177" s="68" t="str">
        <f>Demand!E182</f>
        <v/>
      </c>
      <c r="E177" s="6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8" t="str">
        <f>Demand!D183</f>
        <v/>
      </c>
      <c r="D178" s="68" t="str">
        <f>Demand!E183</f>
        <v/>
      </c>
      <c r="E178" s="6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8" t="str">
        <f>Demand!D184</f>
        <v/>
      </c>
      <c r="D179" s="68" t="str">
        <f>Demand!E184</f>
        <v/>
      </c>
      <c r="E179" s="6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8" t="str">
        <f>Demand!D185</f>
        <v/>
      </c>
      <c r="D180" s="68" t="str">
        <f>Demand!E185</f>
        <v/>
      </c>
      <c r="E180" s="6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8" t="str">
        <f>Demand!D186</f>
        <v/>
      </c>
      <c r="D181" s="68" t="str">
        <f>Demand!E186</f>
        <v/>
      </c>
      <c r="E181" s="6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8" t="str">
        <f>Demand!D187</f>
        <v/>
      </c>
      <c r="D182" s="68" t="str">
        <f>Demand!E187</f>
        <v/>
      </c>
      <c r="E182" s="6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8" t="str">
        <f>Demand!D188</f>
        <v/>
      </c>
      <c r="D183" s="68" t="str">
        <f>Demand!E188</f>
        <v/>
      </c>
      <c r="E183" s="6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8" t="str">
        <f>Demand!D189</f>
        <v/>
      </c>
      <c r="D184" s="68" t="str">
        <f>Demand!E189</f>
        <v/>
      </c>
      <c r="E184" s="6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8" t="str">
        <f>Demand!D190</f>
        <v/>
      </c>
      <c r="D185" s="68" t="str">
        <f>Demand!E190</f>
        <v/>
      </c>
      <c r="E185" s="6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8" t="str">
        <f>Demand!D191</f>
        <v/>
      </c>
      <c r="D186" s="68" t="str">
        <f>Demand!E191</f>
        <v/>
      </c>
      <c r="E186" s="6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8" t="str">
        <f>Demand!D192</f>
        <v/>
      </c>
      <c r="D187" s="68" t="str">
        <f>Demand!E192</f>
        <v/>
      </c>
      <c r="E187" s="6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8" t="str">
        <f>Demand!D193</f>
        <v/>
      </c>
      <c r="D188" s="68" t="str">
        <f>Demand!E193</f>
        <v/>
      </c>
      <c r="E188" s="6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8" t="str">
        <f>Demand!D194</f>
        <v/>
      </c>
      <c r="D189" s="68" t="str">
        <f>Demand!E194</f>
        <v/>
      </c>
      <c r="E189" s="6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8" t="str">
        <f>Demand!D195</f>
        <v/>
      </c>
      <c r="D190" s="68" t="str">
        <f>Demand!E195</f>
        <v/>
      </c>
      <c r="E190" s="6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8" t="str">
        <f>Demand!D196</f>
        <v/>
      </c>
      <c r="D191" s="68" t="str">
        <f>Demand!E196</f>
        <v/>
      </c>
      <c r="E191" s="6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8" t="str">
        <f>Demand!D197</f>
        <v/>
      </c>
      <c r="D192" s="68" t="str">
        <f>Demand!E197</f>
        <v/>
      </c>
      <c r="E192" s="6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8" t="str">
        <f>Demand!D198</f>
        <v/>
      </c>
      <c r="D193" s="68" t="str">
        <f>Demand!E198</f>
        <v/>
      </c>
      <c r="E193" s="6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8" t="str">
        <f>Demand!D199</f>
        <v/>
      </c>
      <c r="D194" s="68" t="str">
        <f>Demand!E199</f>
        <v/>
      </c>
      <c r="E194" s="6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8" t="str">
        <f>Demand!D200</f>
        <v/>
      </c>
      <c r="D195" s="68" t="str">
        <f>Demand!E200</f>
        <v/>
      </c>
      <c r="E195" s="6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8" t="str">
        <f>Demand!D201</f>
        <v/>
      </c>
      <c r="D196" s="68" t="str">
        <f>Demand!E201</f>
        <v/>
      </c>
      <c r="E196" s="6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8" t="str">
        <f>Demand!D202</f>
        <v/>
      </c>
      <c r="D197" s="68" t="str">
        <f>Demand!E202</f>
        <v/>
      </c>
      <c r="E197" s="6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8" t="str">
        <f>Demand!D203</f>
        <v/>
      </c>
      <c r="D198" s="68" t="str">
        <f>Demand!E203</f>
        <v/>
      </c>
      <c r="E198" s="6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8" t="str">
        <f>Demand!D204</f>
        <v/>
      </c>
      <c r="D199" s="68" t="str">
        <f>Demand!E204</f>
        <v/>
      </c>
      <c r="E199" s="6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8" t="str">
        <f>Demand!D205</f>
        <v/>
      </c>
      <c r="D200" s="68" t="str">
        <f>Demand!E205</f>
        <v/>
      </c>
      <c r="E200" s="6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8" t="str">
        <f>Demand!D206</f>
        <v/>
      </c>
      <c r="D201" s="68" t="str">
        <f>Demand!E206</f>
        <v/>
      </c>
      <c r="E201" s="6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8" t="str">
        <f>Demand!D207</f>
        <v/>
      </c>
      <c r="D202" s="68" t="str">
        <f>Demand!E207</f>
        <v/>
      </c>
      <c r="E202" s="6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8" t="str">
        <f>Demand!D208</f>
        <v/>
      </c>
      <c r="D203" s="68" t="str">
        <f>Demand!E208</f>
        <v/>
      </c>
      <c r="E203" s="6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8" t="str">
        <f>Demand!D209</f>
        <v/>
      </c>
      <c r="D204" s="68" t="str">
        <f>Demand!E209</f>
        <v/>
      </c>
      <c r="E204" s="6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8" t="str">
        <f>Demand!D210</f>
        <v/>
      </c>
      <c r="D205" s="68" t="str">
        <f>Demand!E210</f>
        <v/>
      </c>
      <c r="E205" s="6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8" t="str">
        <f>Demand!D211</f>
        <v/>
      </c>
      <c r="D206" s="68" t="str">
        <f>Demand!E211</f>
        <v/>
      </c>
      <c r="E206" s="6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8" t="str">
        <f>Demand!D212</f>
        <v/>
      </c>
      <c r="D207" s="68" t="str">
        <f>Demand!E212</f>
        <v/>
      </c>
      <c r="E207" s="6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8" t="str">
        <f>Demand!D213</f>
        <v/>
      </c>
      <c r="D208" s="68" t="str">
        <f>Demand!E213</f>
        <v/>
      </c>
      <c r="E208" s="6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8" t="str">
        <f>Demand!D214</f>
        <v/>
      </c>
      <c r="D209" s="68" t="str">
        <f>Demand!E214</f>
        <v/>
      </c>
      <c r="E209" s="6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8" t="str">
        <f>Demand!D215</f>
        <v/>
      </c>
      <c r="D210" s="68" t="str">
        <f>Demand!E215</f>
        <v/>
      </c>
      <c r="E210" s="6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8" t="str">
        <f>Demand!D216</f>
        <v/>
      </c>
      <c r="D211" s="68" t="str">
        <f>Demand!E216</f>
        <v/>
      </c>
      <c r="E211" s="6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8" t="str">
        <f>Demand!D217</f>
        <v/>
      </c>
      <c r="D212" s="68" t="str">
        <f>Demand!E217</f>
        <v/>
      </c>
      <c r="E212" s="6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8" t="str">
        <f>Demand!D218</f>
        <v/>
      </c>
      <c r="D213" s="68" t="str">
        <f>Demand!E218</f>
        <v/>
      </c>
      <c r="E213" s="6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8" t="str">
        <f>Demand!D219</f>
        <v/>
      </c>
      <c r="D214" s="68" t="str">
        <f>Demand!E219</f>
        <v/>
      </c>
      <c r="E214" s="6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8" t="str">
        <f>Demand!D220</f>
        <v/>
      </c>
      <c r="D215" s="68" t="str">
        <f>Demand!E220</f>
        <v/>
      </c>
      <c r="E215" s="6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8" t="str">
        <f>Demand!D221</f>
        <v/>
      </c>
      <c r="D216" s="68" t="str">
        <f>Demand!E221</f>
        <v/>
      </c>
      <c r="E216" s="6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8" t="str">
        <f>Demand!D222</f>
        <v/>
      </c>
      <c r="D217" s="68" t="str">
        <f>Demand!E222</f>
        <v/>
      </c>
      <c r="E217" s="6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8" t="str">
        <f>Demand!D223</f>
        <v/>
      </c>
      <c r="D218" s="68" t="str">
        <f>Demand!E223</f>
        <v/>
      </c>
      <c r="E218" s="6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8" t="str">
        <f>Demand!D224</f>
        <v/>
      </c>
      <c r="D219" s="68" t="str">
        <f>Demand!E224</f>
        <v/>
      </c>
      <c r="E219" s="6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8" t="str">
        <f>Demand!D225</f>
        <v/>
      </c>
      <c r="D220" s="68" t="str">
        <f>Demand!E225</f>
        <v/>
      </c>
      <c r="E220" s="6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8" t="str">
        <f>Demand!D226</f>
        <v/>
      </c>
      <c r="D221" s="68" t="str">
        <f>Demand!E226</f>
        <v/>
      </c>
      <c r="E221" s="6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8" t="str">
        <f>Demand!D227</f>
        <v/>
      </c>
      <c r="D222" s="68" t="str">
        <f>Demand!E227</f>
        <v/>
      </c>
      <c r="E222" s="6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8" t="str">
        <f>Demand!D228</f>
        <v/>
      </c>
      <c r="D223" s="68" t="str">
        <f>Demand!E228</f>
        <v/>
      </c>
      <c r="E223" s="6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8" t="str">
        <f>Demand!D229</f>
        <v/>
      </c>
      <c r="D224" s="68" t="str">
        <f>Demand!E229</f>
        <v/>
      </c>
      <c r="E224" s="6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8" t="str">
        <f>Demand!D230</f>
        <v/>
      </c>
      <c r="D225" s="68" t="str">
        <f>Demand!E230</f>
        <v/>
      </c>
      <c r="E225" s="6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8" t="str">
        <f>Demand!D231</f>
        <v/>
      </c>
      <c r="D226" s="68" t="str">
        <f>Demand!E231</f>
        <v/>
      </c>
      <c r="E226" s="6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8" t="str">
        <f>Demand!D232</f>
        <v/>
      </c>
      <c r="D227" s="68" t="str">
        <f>Demand!E232</f>
        <v/>
      </c>
      <c r="E227" s="6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8" t="str">
        <f>Demand!D233</f>
        <v/>
      </c>
      <c r="D228" s="68" t="str">
        <f>Demand!E233</f>
        <v/>
      </c>
      <c r="E228" s="6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8" t="str">
        <f>Demand!D234</f>
        <v/>
      </c>
      <c r="D229" s="68" t="str">
        <f>Demand!E234</f>
        <v/>
      </c>
      <c r="E229" s="6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8" t="str">
        <f>Demand!D235</f>
        <v/>
      </c>
      <c r="D230" s="68" t="str">
        <f>Demand!E235</f>
        <v/>
      </c>
      <c r="E230" s="6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8" t="str">
        <f>Demand!D236</f>
        <v/>
      </c>
      <c r="D231" s="68" t="str">
        <f>Demand!E236</f>
        <v/>
      </c>
      <c r="E231" s="6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8" t="str">
        <f>Demand!D237</f>
        <v/>
      </c>
      <c r="D232" s="68" t="str">
        <f>Demand!E237</f>
        <v/>
      </c>
      <c r="E232" s="6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8" t="str">
        <f>Demand!D238</f>
        <v/>
      </c>
      <c r="D233" s="68" t="str">
        <f>Demand!E238</f>
        <v/>
      </c>
      <c r="E233" s="6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8" t="str">
        <f>Demand!D239</f>
        <v/>
      </c>
      <c r="D234" s="68" t="str">
        <f>Demand!E239</f>
        <v/>
      </c>
      <c r="E234" s="6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8" t="str">
        <f>Demand!D240</f>
        <v/>
      </c>
      <c r="D235" s="68" t="str">
        <f>Demand!E240</f>
        <v/>
      </c>
      <c r="E235" s="6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8" t="str">
        <f>Demand!D241</f>
        <v/>
      </c>
      <c r="D236" s="68" t="str">
        <f>Demand!E241</f>
        <v/>
      </c>
      <c r="E236" s="6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8" t="str">
        <f>Demand!D242</f>
        <v/>
      </c>
      <c r="D237" s="68" t="str">
        <f>Demand!E242</f>
        <v/>
      </c>
      <c r="E237" s="6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8" t="str">
        <f>Demand!D243</f>
        <v/>
      </c>
      <c r="D238" s="68" t="str">
        <f>Demand!E243</f>
        <v/>
      </c>
      <c r="E238" s="6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8" t="str">
        <f>Demand!D244</f>
        <v/>
      </c>
      <c r="D239" s="68" t="str">
        <f>Demand!E244</f>
        <v/>
      </c>
      <c r="E239" s="6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8" t="str">
        <f>Demand!D245</f>
        <v/>
      </c>
      <c r="D240" s="68" t="str">
        <f>Demand!E245</f>
        <v/>
      </c>
      <c r="E240" s="6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8" t="str">
        <f>Demand!D246</f>
        <v/>
      </c>
      <c r="D241" s="68" t="str">
        <f>Demand!E246</f>
        <v/>
      </c>
      <c r="E241" s="6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8" t="str">
        <f>Demand!D247</f>
        <v/>
      </c>
      <c r="D242" s="68" t="str">
        <f>Demand!E247</f>
        <v/>
      </c>
      <c r="E242" s="6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8" t="str">
        <f>Demand!D248</f>
        <v/>
      </c>
      <c r="D243" s="68" t="str">
        <f>Demand!E248</f>
        <v/>
      </c>
      <c r="E243" s="6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8" t="str">
        <f>Demand!D249</f>
        <v/>
      </c>
      <c r="D244" s="68" t="str">
        <f>Demand!E249</f>
        <v/>
      </c>
      <c r="E244" s="6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8" t="str">
        <f>Demand!D250</f>
        <v/>
      </c>
      <c r="D245" s="68" t="str">
        <f>Demand!E250</f>
        <v/>
      </c>
      <c r="E245" s="6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8" t="str">
        <f>Demand!D251</f>
        <v/>
      </c>
      <c r="D246" s="68" t="str">
        <f>Demand!E251</f>
        <v/>
      </c>
      <c r="E246" s="6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8" t="str">
        <f>Demand!D252</f>
        <v/>
      </c>
      <c r="D247" s="68" t="str">
        <f>Demand!E252</f>
        <v/>
      </c>
      <c r="E247" s="6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8" t="str">
        <f>Demand!D253</f>
        <v/>
      </c>
      <c r="D248" s="68" t="str">
        <f>Demand!E253</f>
        <v/>
      </c>
      <c r="E248" s="6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8" t="str">
        <f>Demand!D254</f>
        <v/>
      </c>
      <c r="D249" s="68" t="str">
        <f>Demand!E254</f>
        <v/>
      </c>
      <c r="E249" s="6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8" t="str">
        <f>Demand!D255</f>
        <v/>
      </c>
      <c r="D250" s="68" t="str">
        <f>Demand!E255</f>
        <v/>
      </c>
      <c r="E250" s="6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8" t="str">
        <f>Demand!D256</f>
        <v/>
      </c>
      <c r="D251" s="68" t="str">
        <f>Demand!E256</f>
        <v/>
      </c>
      <c r="E251" s="6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8" t="str">
        <f>Demand!D257</f>
        <v/>
      </c>
      <c r="D252" s="68" t="str">
        <f>Demand!E257</f>
        <v/>
      </c>
      <c r="E252" s="6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8" t="str">
        <f>Demand!D258</f>
        <v/>
      </c>
      <c r="D253" s="68" t="str">
        <f>Demand!E258</f>
        <v/>
      </c>
      <c r="E253" s="6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8" t="str">
        <f>Demand!D259</f>
        <v/>
      </c>
      <c r="D254" s="68" t="str">
        <f>Demand!E259</f>
        <v/>
      </c>
      <c r="E254" s="6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8" t="str">
        <f>Demand!D260</f>
        <v/>
      </c>
      <c r="D255" s="68" t="str">
        <f>Demand!E260</f>
        <v/>
      </c>
      <c r="E255" s="6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8" t="str">
        <f>Demand!D261</f>
        <v/>
      </c>
      <c r="D256" s="68" t="str">
        <f>Demand!E261</f>
        <v/>
      </c>
      <c r="E256" s="6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8" t="str">
        <f>Demand!D262</f>
        <v/>
      </c>
      <c r="D257" s="68" t="str">
        <f>Demand!E262</f>
        <v/>
      </c>
      <c r="E257" s="6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8" t="str">
        <f>Demand!D263</f>
        <v/>
      </c>
      <c r="D258" s="68" t="str">
        <f>Demand!E263</f>
        <v/>
      </c>
      <c r="E258" s="6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8" t="str">
        <f>Demand!D264</f>
        <v/>
      </c>
      <c r="D259" s="68" t="str">
        <f>Demand!E264</f>
        <v/>
      </c>
      <c r="E259" s="6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8" t="str">
        <f>Demand!D265</f>
        <v/>
      </c>
      <c r="D260" s="68" t="str">
        <f>Demand!E265</f>
        <v/>
      </c>
      <c r="E260" s="6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8" t="str">
        <f>Demand!D266</f>
        <v/>
      </c>
      <c r="D261" s="68" t="str">
        <f>Demand!E266</f>
        <v/>
      </c>
      <c r="E261" s="6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8" t="str">
        <f>Demand!D267</f>
        <v/>
      </c>
      <c r="D262" s="68" t="str">
        <f>Demand!E267</f>
        <v/>
      </c>
      <c r="E262" s="6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9" t="str">
        <f>Demand!D268</f>
        <v/>
      </c>
      <c r="D263" s="69" t="str">
        <f>Demand!E268</f>
        <v/>
      </c>
      <c r="E263" s="6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F5" sqref="F5:F6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150</v>
      </c>
    </row>
    <row r="2" spans="1:10" ht="15" thickBot="1" x14ac:dyDescent="0.4"/>
    <row r="3" spans="1:10" ht="39" customHeight="1" thickBot="1" x14ac:dyDescent="0.4">
      <c r="B3" s="57" t="s">
        <v>47</v>
      </c>
      <c r="C3" s="58" t="s">
        <v>48</v>
      </c>
      <c r="D3" s="58" t="s">
        <v>49</v>
      </c>
      <c r="E3" s="58" t="s">
        <v>50</v>
      </c>
      <c r="F3" s="58" t="s">
        <v>55</v>
      </c>
      <c r="G3" s="58" t="s">
        <v>51</v>
      </c>
      <c r="H3" s="58" t="s">
        <v>52</v>
      </c>
      <c r="I3" s="58" t="s">
        <v>54</v>
      </c>
      <c r="J3" s="58" t="s">
        <v>53</v>
      </c>
    </row>
    <row r="4" spans="1:10" x14ac:dyDescent="0.35">
      <c r="B4" s="79" t="str">
        <f>'Data Validation (Hide)'!B2</f>
        <v>20 Group Session</v>
      </c>
      <c r="C4" s="3" t="s">
        <v>164</v>
      </c>
      <c r="D4" s="18">
        <v>240</v>
      </c>
      <c r="E4" s="18">
        <v>7</v>
      </c>
      <c r="F4" s="15" t="s">
        <v>94</v>
      </c>
      <c r="G4" s="4">
        <f>INDEX('Data Validation (Hide)'!$K$2:$L$9,MATCH(Service!F4,'Data Validation (Hide)'!$K$2:$K$8,0),2)</f>
        <v>1</v>
      </c>
      <c r="H4" s="59">
        <f>IFERROR((G4*D4)/E4,"")</f>
        <v>34.285714285714285</v>
      </c>
      <c r="I4" s="79">
        <f>SUMIF($E$4:$E$8,1,$H$4:$H$8)</f>
        <v>0</v>
      </c>
      <c r="J4" s="82">
        <f>SUMIF($E$4:$E$8,"&gt;"&amp;1,$H$4:$H$8)</f>
        <v>34.285714285714285</v>
      </c>
    </row>
    <row r="5" spans="1:10" x14ac:dyDescent="0.35">
      <c r="B5" s="80"/>
      <c r="C5" s="7"/>
      <c r="D5" s="20"/>
      <c r="E5" s="20"/>
      <c r="F5" s="6"/>
      <c r="G5" s="19" t="e">
        <f>INDEX('Data Validation (Hide)'!$K$2:$L$9,MATCH(Service!F5,'Data Validation (Hide)'!$K$2:$K$8,0),2)</f>
        <v>#N/A</v>
      </c>
      <c r="H5" s="60" t="str">
        <f t="shared" ref="H5:H35" si="0">IFERROR((G5*D5)/E5,"")</f>
        <v/>
      </c>
      <c r="I5" s="80"/>
      <c r="J5" s="83"/>
    </row>
    <row r="6" spans="1:10" x14ac:dyDescent="0.35">
      <c r="B6" s="80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60" t="str">
        <f t="shared" si="0"/>
        <v/>
      </c>
      <c r="I6" s="80"/>
      <c r="J6" s="83"/>
    </row>
    <row r="7" spans="1:10" x14ac:dyDescent="0.35">
      <c r="B7" s="80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60" t="str">
        <f t="shared" si="0"/>
        <v/>
      </c>
      <c r="I7" s="80"/>
      <c r="J7" s="83"/>
    </row>
    <row r="8" spans="1:10" ht="15" thickBot="1" x14ac:dyDescent="0.4">
      <c r="B8" s="81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61" t="str">
        <f t="shared" si="0"/>
        <v/>
      </c>
      <c r="I8" s="81"/>
      <c r="J8" s="84"/>
    </row>
    <row r="9" spans="1:10" x14ac:dyDescent="0.35">
      <c r="B9" s="79" t="str">
        <f>'Data Validation (Hide)'!B3</f>
        <v>40 Group Session</v>
      </c>
      <c r="C9" s="3" t="s">
        <v>165</v>
      </c>
      <c r="D9" s="18">
        <v>240</v>
      </c>
      <c r="E9" s="18">
        <v>7</v>
      </c>
      <c r="F9" s="15" t="s">
        <v>94</v>
      </c>
      <c r="G9" s="4">
        <f>INDEX('Data Validation (Hide)'!$K$2:$L$9,MATCH(Service!F9,'Data Validation (Hide)'!$K$2:$K$8,0),2)</f>
        <v>1</v>
      </c>
      <c r="H9" s="59">
        <f t="shared" si="0"/>
        <v>34.285714285714285</v>
      </c>
      <c r="I9" s="79">
        <f>SUMIF($E$9:$E$13,1,$H$9:$H$13)</f>
        <v>0</v>
      </c>
      <c r="J9" s="79">
        <f>SUMIF($E$9:$E$13,"&gt;"&amp;1,$H$9:$H$13)</f>
        <v>34.285714285714285</v>
      </c>
    </row>
    <row r="10" spans="1:10" x14ac:dyDescent="0.35">
      <c r="B10" s="80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60" t="str">
        <f t="shared" si="0"/>
        <v/>
      </c>
      <c r="I10" s="80"/>
      <c r="J10" s="80"/>
    </row>
    <row r="11" spans="1:10" x14ac:dyDescent="0.35">
      <c r="B11" s="80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60" t="str">
        <f t="shared" si="0"/>
        <v/>
      </c>
      <c r="I11" s="80"/>
      <c r="J11" s="80"/>
    </row>
    <row r="12" spans="1:10" x14ac:dyDescent="0.35">
      <c r="B12" s="80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60" t="str">
        <f t="shared" si="0"/>
        <v/>
      </c>
      <c r="I12" s="80"/>
      <c r="J12" s="80"/>
    </row>
    <row r="13" spans="1:10" ht="15" thickBot="1" x14ac:dyDescent="0.4">
      <c r="B13" s="81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61" t="str">
        <f t="shared" si="0"/>
        <v/>
      </c>
      <c r="I13" s="81"/>
      <c r="J13" s="81"/>
    </row>
    <row r="14" spans="1:10" x14ac:dyDescent="0.35">
      <c r="B14" s="79" t="str">
        <f>'Data Validation (Hide)'!B4</f>
        <v>8 Group Session</v>
      </c>
      <c r="C14" s="3" t="s">
        <v>164</v>
      </c>
      <c r="D14" s="18">
        <v>240</v>
      </c>
      <c r="E14" s="18">
        <v>7</v>
      </c>
      <c r="F14" s="15" t="s">
        <v>94</v>
      </c>
      <c r="G14" s="4">
        <f>INDEX('Data Validation (Hide)'!$K$2:$L$9,MATCH(Service!F14,'Data Validation (Hide)'!$K$2:$K$8,0),2)</f>
        <v>1</v>
      </c>
      <c r="H14" s="59">
        <f t="shared" si="0"/>
        <v>34.285714285714285</v>
      </c>
      <c r="I14" s="79">
        <f>SUMIF($E$14:$E$18,1,$H$14:$H$18)</f>
        <v>0</v>
      </c>
      <c r="J14" s="79">
        <f>SUMIF($E$14:$E$18,"&gt;"&amp;1,$H$14:$H$18)</f>
        <v>34.285714285714285</v>
      </c>
    </row>
    <row r="15" spans="1:10" x14ac:dyDescent="0.35">
      <c r="B15" s="80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60" t="str">
        <f t="shared" si="0"/>
        <v/>
      </c>
      <c r="I15" s="80"/>
      <c r="J15" s="80"/>
    </row>
    <row r="16" spans="1:10" x14ac:dyDescent="0.35">
      <c r="B16" s="80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60" t="str">
        <f t="shared" si="0"/>
        <v/>
      </c>
      <c r="I16" s="80"/>
      <c r="J16" s="80"/>
    </row>
    <row r="17" spans="2:10" x14ac:dyDescent="0.35">
      <c r="B17" s="80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60" t="str">
        <f t="shared" si="0"/>
        <v/>
      </c>
      <c r="I17" s="80"/>
      <c r="J17" s="80"/>
    </row>
    <row r="18" spans="2:10" ht="15" thickBot="1" x14ac:dyDescent="0.4">
      <c r="B18" s="81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61" t="str">
        <f t="shared" si="0"/>
        <v/>
      </c>
      <c r="I18" s="81"/>
      <c r="J18" s="81"/>
    </row>
    <row r="19" spans="2:10" x14ac:dyDescent="0.35">
      <c r="B19" s="79" t="str">
        <f>'Data Validation (Hide)'!B5</f>
        <v>20 Individual</v>
      </c>
      <c r="C19" s="3" t="s">
        <v>166</v>
      </c>
      <c r="D19" s="18">
        <v>60</v>
      </c>
      <c r="E19" s="18">
        <v>1</v>
      </c>
      <c r="F19" s="15" t="s">
        <v>94</v>
      </c>
      <c r="G19" s="4">
        <f>INDEX('Data Validation (Hide)'!$K$2:$L$9,MATCH(Service!F19,'Data Validation (Hide)'!$K$2:$K$8,0),2)</f>
        <v>1</v>
      </c>
      <c r="H19" s="59">
        <f t="shared" si="0"/>
        <v>60</v>
      </c>
      <c r="I19" s="79">
        <f>SUMIF($E$19:$E$23,1,$H$19:$H$23)</f>
        <v>60</v>
      </c>
      <c r="J19" s="79">
        <f>SUMIF($E$19:$E$23,"&gt;"&amp;1,$H$19:$H$23)</f>
        <v>0</v>
      </c>
    </row>
    <row r="20" spans="2:10" x14ac:dyDescent="0.35">
      <c r="B20" s="80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60" t="str">
        <f t="shared" si="0"/>
        <v/>
      </c>
      <c r="I20" s="80"/>
      <c r="J20" s="80"/>
    </row>
    <row r="21" spans="2:10" x14ac:dyDescent="0.35">
      <c r="B21" s="80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60" t="str">
        <f t="shared" si="0"/>
        <v/>
      </c>
      <c r="I21" s="80"/>
      <c r="J21" s="80"/>
    </row>
    <row r="22" spans="2:10" x14ac:dyDescent="0.35">
      <c r="B22" s="80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60" t="str">
        <f t="shared" si="0"/>
        <v/>
      </c>
      <c r="I22" s="80"/>
      <c r="J22" s="80"/>
    </row>
    <row r="23" spans="2:10" ht="15" thickBot="1" x14ac:dyDescent="0.4">
      <c r="B23" s="81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61" t="str">
        <f t="shared" si="0"/>
        <v/>
      </c>
      <c r="I23" s="81"/>
      <c r="J23" s="81"/>
    </row>
    <row r="24" spans="2:10" x14ac:dyDescent="0.35">
      <c r="B24" s="79" t="str">
        <f>'Data Validation (Hide)'!B6</f>
        <v>40 Individual</v>
      </c>
      <c r="C24" s="3" t="s">
        <v>166</v>
      </c>
      <c r="D24" s="18">
        <v>60</v>
      </c>
      <c r="E24" s="18">
        <v>1</v>
      </c>
      <c r="F24" s="15" t="s">
        <v>94</v>
      </c>
      <c r="G24" s="4">
        <f>INDEX('Data Validation (Hide)'!$K$2:$L$9,MATCH(Service!F24,'Data Validation (Hide)'!$K$2:$K$8,0),2)</f>
        <v>1</v>
      </c>
      <c r="H24" s="59">
        <f t="shared" si="0"/>
        <v>60</v>
      </c>
      <c r="I24" s="79">
        <f>SUMIF($E$24:$E$28,1,$H$24:$H$28)</f>
        <v>60</v>
      </c>
      <c r="J24" s="79">
        <f>SUMIF($E$24:$E$28,"&gt;"&amp;1,$H$24:$H$28)</f>
        <v>0</v>
      </c>
    </row>
    <row r="25" spans="2:10" x14ac:dyDescent="0.35">
      <c r="B25" s="80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60" t="str">
        <f t="shared" si="0"/>
        <v/>
      </c>
      <c r="I25" s="80"/>
      <c r="J25" s="80"/>
    </row>
    <row r="26" spans="2:10" x14ac:dyDescent="0.35">
      <c r="B26" s="80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60" t="str">
        <f t="shared" si="0"/>
        <v/>
      </c>
      <c r="I26" s="80"/>
      <c r="J26" s="80"/>
    </row>
    <row r="27" spans="2:10" x14ac:dyDescent="0.35">
      <c r="B27" s="80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60" t="str">
        <f t="shared" si="0"/>
        <v/>
      </c>
      <c r="I27" s="80"/>
      <c r="J27" s="80"/>
    </row>
    <row r="28" spans="2:10" ht="15" thickBot="1" x14ac:dyDescent="0.4">
      <c r="B28" s="81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61" t="str">
        <f t="shared" si="0"/>
        <v/>
      </c>
      <c r="I28" s="81"/>
      <c r="J28" s="81"/>
    </row>
    <row r="29" spans="2:10" hidden="1" x14ac:dyDescent="0.35">
      <c r="B29" s="79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9" t="str">
        <f t="shared" si="0"/>
        <v/>
      </c>
      <c r="I29" s="79">
        <f>SUMIF($E$29:$E$33,1,$H$29:$H$33)</f>
        <v>0</v>
      </c>
      <c r="J29" s="79">
        <f>SUMIF($E$29:$E$33,"&gt;"&amp;1,$H$29:$H$33)</f>
        <v>0</v>
      </c>
    </row>
    <row r="30" spans="2:10" hidden="1" x14ac:dyDescent="0.35">
      <c r="B30" s="80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60" t="str">
        <f t="shared" si="0"/>
        <v/>
      </c>
      <c r="I30" s="80"/>
      <c r="J30" s="80"/>
    </row>
    <row r="31" spans="2:10" hidden="1" x14ac:dyDescent="0.35">
      <c r="B31" s="80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60" t="str">
        <f t="shared" si="0"/>
        <v/>
      </c>
      <c r="I31" s="80"/>
      <c r="J31" s="80"/>
    </row>
    <row r="32" spans="2:10" hidden="1" x14ac:dyDescent="0.35">
      <c r="B32" s="80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60" t="str">
        <f t="shared" si="0"/>
        <v/>
      </c>
      <c r="I32" s="80"/>
      <c r="J32" s="80"/>
    </row>
    <row r="33" spans="2:10" ht="15" hidden="1" thickBot="1" x14ac:dyDescent="0.4">
      <c r="B33" s="81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1" t="str">
        <f t="shared" si="0"/>
        <v/>
      </c>
      <c r="I33" s="81"/>
      <c r="J33" s="81"/>
    </row>
    <row r="34" spans="2:10" hidden="1" x14ac:dyDescent="0.35">
      <c r="B34" s="79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9" t="str">
        <f t="shared" si="0"/>
        <v/>
      </c>
      <c r="I34" s="79">
        <f>SUMIF($E$34:$E$38,1,$H$34:$H$38)</f>
        <v>0</v>
      </c>
      <c r="J34" s="79">
        <f>SUMIF($E$34:$E$38,"&gt;"&amp;1,$H$34:$H$38)</f>
        <v>0</v>
      </c>
    </row>
    <row r="35" spans="2:10" hidden="1" x14ac:dyDescent="0.35">
      <c r="B35" s="80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60" t="str">
        <f t="shared" si="0"/>
        <v/>
      </c>
      <c r="I35" s="80"/>
      <c r="J35" s="80"/>
    </row>
    <row r="36" spans="2:10" hidden="1" x14ac:dyDescent="0.35">
      <c r="B36" s="80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60" t="str">
        <f t="shared" ref="H36:H67" si="1">IFERROR((G36*D36)/E36,"")</f>
        <v/>
      </c>
      <c r="I36" s="80"/>
      <c r="J36" s="80"/>
    </row>
    <row r="37" spans="2:10" hidden="1" x14ac:dyDescent="0.35">
      <c r="B37" s="80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60" t="str">
        <f t="shared" si="1"/>
        <v/>
      </c>
      <c r="I37" s="80"/>
      <c r="J37" s="80"/>
    </row>
    <row r="38" spans="2:10" ht="15" hidden="1" thickBot="1" x14ac:dyDescent="0.4">
      <c r="B38" s="81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1" t="str">
        <f t="shared" si="1"/>
        <v/>
      </c>
      <c r="I38" s="81"/>
      <c r="J38" s="81"/>
    </row>
    <row r="39" spans="2:10" hidden="1" x14ac:dyDescent="0.35">
      <c r="B39" s="79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9" t="str">
        <f t="shared" si="1"/>
        <v/>
      </c>
      <c r="I39" s="79">
        <f>SUMIF($E$39:$E$43,1,$H$39:$H$43)</f>
        <v>0</v>
      </c>
      <c r="J39" s="79">
        <f>SUMIF($E$39:$E$43,"&gt;"&amp;1,$H$39:$H$43)</f>
        <v>0</v>
      </c>
    </row>
    <row r="40" spans="2:10" hidden="1" x14ac:dyDescent="0.35">
      <c r="B40" s="80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60" t="str">
        <f t="shared" si="1"/>
        <v/>
      </c>
      <c r="I40" s="80"/>
      <c r="J40" s="80"/>
    </row>
    <row r="41" spans="2:10" hidden="1" x14ac:dyDescent="0.35">
      <c r="B41" s="80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60" t="str">
        <f t="shared" si="1"/>
        <v/>
      </c>
      <c r="I41" s="80"/>
      <c r="J41" s="80"/>
    </row>
    <row r="42" spans="2:10" hidden="1" x14ac:dyDescent="0.35">
      <c r="B42" s="80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60" t="str">
        <f t="shared" si="1"/>
        <v/>
      </c>
      <c r="I42" s="80"/>
      <c r="J42" s="80"/>
    </row>
    <row r="43" spans="2:10" ht="15" hidden="1" thickBot="1" x14ac:dyDescent="0.4">
      <c r="B43" s="81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1" t="str">
        <f t="shared" si="1"/>
        <v/>
      </c>
      <c r="I43" s="81"/>
      <c r="J43" s="81"/>
    </row>
    <row r="44" spans="2:10" hidden="1" x14ac:dyDescent="0.35">
      <c r="B44" s="79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9" t="str">
        <f t="shared" si="1"/>
        <v/>
      </c>
      <c r="I44" s="79">
        <f>SUMIF($E$44:$E$48,1,$H$44:$H$48)</f>
        <v>0</v>
      </c>
      <c r="J44" s="79">
        <f>SUMIF($E$44:$E$48,"&gt;"&amp;1,$H$44:$H$48)</f>
        <v>0</v>
      </c>
    </row>
    <row r="45" spans="2:10" hidden="1" x14ac:dyDescent="0.35">
      <c r="B45" s="80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60" t="str">
        <f t="shared" si="1"/>
        <v/>
      </c>
      <c r="I45" s="80"/>
      <c r="J45" s="80"/>
    </row>
    <row r="46" spans="2:10" hidden="1" x14ac:dyDescent="0.35">
      <c r="B46" s="80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60" t="str">
        <f t="shared" si="1"/>
        <v/>
      </c>
      <c r="I46" s="80"/>
      <c r="J46" s="80"/>
    </row>
    <row r="47" spans="2:10" hidden="1" x14ac:dyDescent="0.35">
      <c r="B47" s="80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60" t="str">
        <f t="shared" si="1"/>
        <v/>
      </c>
      <c r="I47" s="80"/>
      <c r="J47" s="80"/>
    </row>
    <row r="48" spans="2:10" ht="15" hidden="1" thickBot="1" x14ac:dyDescent="0.4">
      <c r="B48" s="81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1" t="str">
        <f t="shared" si="1"/>
        <v/>
      </c>
      <c r="I48" s="81"/>
      <c r="J48" s="81"/>
    </row>
    <row r="49" spans="2:10" hidden="1" x14ac:dyDescent="0.35">
      <c r="B49" s="79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9" t="str">
        <f t="shared" si="1"/>
        <v/>
      </c>
      <c r="I49" s="79">
        <f>SUMIF($E$49:$E$53,1,$H$49:$H$53)</f>
        <v>0</v>
      </c>
      <c r="J49" s="79">
        <f>SUMIF($E$49:$E$53,"&gt;"&amp;1,$H$49:$H$53)</f>
        <v>0</v>
      </c>
    </row>
    <row r="50" spans="2:10" hidden="1" x14ac:dyDescent="0.35">
      <c r="B50" s="80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60" t="str">
        <f t="shared" si="1"/>
        <v/>
      </c>
      <c r="I50" s="80"/>
      <c r="J50" s="80"/>
    </row>
    <row r="51" spans="2:10" hidden="1" x14ac:dyDescent="0.35">
      <c r="B51" s="80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60" t="str">
        <f t="shared" si="1"/>
        <v/>
      </c>
      <c r="I51" s="80"/>
      <c r="J51" s="80"/>
    </row>
    <row r="52" spans="2:10" hidden="1" x14ac:dyDescent="0.35">
      <c r="B52" s="80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60" t="str">
        <f t="shared" si="1"/>
        <v/>
      </c>
      <c r="I52" s="80"/>
      <c r="J52" s="80"/>
    </row>
    <row r="53" spans="2:10" ht="15" hidden="1" thickBot="1" x14ac:dyDescent="0.4">
      <c r="B53" s="81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1" t="str">
        <f t="shared" si="1"/>
        <v/>
      </c>
      <c r="I53" s="81"/>
      <c r="J53" s="81"/>
    </row>
    <row r="54" spans="2:10" hidden="1" x14ac:dyDescent="0.35">
      <c r="B54" s="79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9" t="str">
        <f t="shared" si="1"/>
        <v/>
      </c>
      <c r="I54" s="79">
        <f>SUMIF($E$54:$E$58,1,$H$54:$H$58)</f>
        <v>0</v>
      </c>
      <c r="J54" s="79">
        <f>SUMIF($E$54:$E$58,"&gt;"&amp;1,$H$54:$H$58)</f>
        <v>0</v>
      </c>
    </row>
    <row r="55" spans="2:10" hidden="1" x14ac:dyDescent="0.35">
      <c r="B55" s="80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60" t="str">
        <f t="shared" si="1"/>
        <v/>
      </c>
      <c r="I55" s="80"/>
      <c r="J55" s="80"/>
    </row>
    <row r="56" spans="2:10" hidden="1" x14ac:dyDescent="0.35">
      <c r="B56" s="80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60" t="str">
        <f t="shared" si="1"/>
        <v/>
      </c>
      <c r="I56" s="80"/>
      <c r="J56" s="80"/>
    </row>
    <row r="57" spans="2:10" hidden="1" x14ac:dyDescent="0.35">
      <c r="B57" s="80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60" t="str">
        <f t="shared" si="1"/>
        <v/>
      </c>
      <c r="I57" s="80"/>
      <c r="J57" s="80"/>
    </row>
    <row r="58" spans="2:10" ht="15" hidden="1" thickBot="1" x14ac:dyDescent="0.4">
      <c r="B58" s="81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1" t="str">
        <f t="shared" si="1"/>
        <v/>
      </c>
      <c r="I58" s="81"/>
      <c r="J58" s="81"/>
    </row>
    <row r="59" spans="2:10" hidden="1" x14ac:dyDescent="0.35">
      <c r="B59" s="79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9" t="str">
        <f t="shared" si="1"/>
        <v/>
      </c>
      <c r="I59" s="79">
        <f>SUMIF($E$59:$E$63,1,$H$59:$H$63)</f>
        <v>0</v>
      </c>
      <c r="J59" s="79">
        <f>SUMIF($E$59:$E$63,"&gt;"&amp;1,$H$59:$H$63)</f>
        <v>0</v>
      </c>
    </row>
    <row r="60" spans="2:10" hidden="1" x14ac:dyDescent="0.35">
      <c r="B60" s="80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60" t="str">
        <f t="shared" si="1"/>
        <v/>
      </c>
      <c r="I60" s="80"/>
      <c r="J60" s="80"/>
    </row>
    <row r="61" spans="2:10" hidden="1" x14ac:dyDescent="0.35">
      <c r="B61" s="80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60" t="str">
        <f t="shared" si="1"/>
        <v/>
      </c>
      <c r="I61" s="80"/>
      <c r="J61" s="80"/>
    </row>
    <row r="62" spans="2:10" hidden="1" x14ac:dyDescent="0.35">
      <c r="B62" s="80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60" t="str">
        <f t="shared" si="1"/>
        <v/>
      </c>
      <c r="I62" s="80"/>
      <c r="J62" s="80"/>
    </row>
    <row r="63" spans="2:10" ht="15" hidden="1" thickBot="1" x14ac:dyDescent="0.4">
      <c r="B63" s="81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1" t="str">
        <f t="shared" si="1"/>
        <v/>
      </c>
      <c r="I63" s="81"/>
      <c r="J63" s="81"/>
    </row>
    <row r="64" spans="2:10" hidden="1" x14ac:dyDescent="0.35">
      <c r="B64" s="79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9" t="str">
        <f t="shared" si="1"/>
        <v/>
      </c>
      <c r="I64" s="79">
        <f>SUMIF($E$64:$E$68,1,$H$64:$H$68)</f>
        <v>0</v>
      </c>
      <c r="J64" s="79">
        <f>SUMIF($E$64:$E$68,"&gt;"&amp;1,$H$64:$H$68)</f>
        <v>0</v>
      </c>
    </row>
    <row r="65" spans="2:10" hidden="1" x14ac:dyDescent="0.35">
      <c r="B65" s="80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60" t="str">
        <f t="shared" si="1"/>
        <v/>
      </c>
      <c r="I65" s="80"/>
      <c r="J65" s="80"/>
    </row>
    <row r="66" spans="2:10" hidden="1" x14ac:dyDescent="0.35">
      <c r="B66" s="80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60" t="str">
        <f t="shared" si="1"/>
        <v/>
      </c>
      <c r="I66" s="80"/>
      <c r="J66" s="80"/>
    </row>
    <row r="67" spans="2:10" hidden="1" x14ac:dyDescent="0.35">
      <c r="B67" s="80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60" t="str">
        <f t="shared" si="1"/>
        <v/>
      </c>
      <c r="I67" s="80"/>
      <c r="J67" s="80"/>
    </row>
    <row r="68" spans="2:10" ht="15" hidden="1" thickBot="1" x14ac:dyDescent="0.4">
      <c r="B68" s="81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1" t="str">
        <f t="shared" ref="H68:H78" si="2">IFERROR((G68*D68)/E68,"")</f>
        <v/>
      </c>
      <c r="I68" s="81"/>
      <c r="J68" s="81"/>
    </row>
    <row r="69" spans="2:10" hidden="1" x14ac:dyDescent="0.35">
      <c r="B69" s="79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9" t="str">
        <f t="shared" si="2"/>
        <v/>
      </c>
      <c r="I69" s="79">
        <f>SUMIF($E$69:$E$73,1,$H$69:$H$73)</f>
        <v>0</v>
      </c>
      <c r="J69" s="79">
        <f>SUMIF($E$69:$E$73,"&gt;"&amp;1,$H$69:$H$73)</f>
        <v>0</v>
      </c>
    </row>
    <row r="70" spans="2:10" hidden="1" x14ac:dyDescent="0.35">
      <c r="B70" s="80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60" t="str">
        <f t="shared" si="2"/>
        <v/>
      </c>
      <c r="I70" s="80"/>
      <c r="J70" s="80"/>
    </row>
    <row r="71" spans="2:10" hidden="1" x14ac:dyDescent="0.35">
      <c r="B71" s="80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60" t="str">
        <f t="shared" si="2"/>
        <v/>
      </c>
      <c r="I71" s="80"/>
      <c r="J71" s="80"/>
    </row>
    <row r="72" spans="2:10" hidden="1" x14ac:dyDescent="0.35">
      <c r="B72" s="80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60" t="str">
        <f t="shared" si="2"/>
        <v/>
      </c>
      <c r="I72" s="80"/>
      <c r="J72" s="80"/>
    </row>
    <row r="73" spans="2:10" ht="15" hidden="1" thickBot="1" x14ac:dyDescent="0.4">
      <c r="B73" s="81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1" t="str">
        <f t="shared" si="2"/>
        <v/>
      </c>
      <c r="I73" s="81"/>
      <c r="J73" s="81"/>
    </row>
    <row r="74" spans="2:10" hidden="1" x14ac:dyDescent="0.35">
      <c r="B74" s="79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9" t="str">
        <f t="shared" si="2"/>
        <v/>
      </c>
      <c r="I74" s="79">
        <f>SUMIF($E$74:$E$78,1,$H$74:$H$78)</f>
        <v>0</v>
      </c>
      <c r="J74" s="79">
        <f>SUMIF($E$74:$E$78,"&gt;"&amp;1,$H$74:$H$78)</f>
        <v>0</v>
      </c>
    </row>
    <row r="75" spans="2:10" hidden="1" x14ac:dyDescent="0.35">
      <c r="B75" s="80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60" t="str">
        <f t="shared" si="2"/>
        <v/>
      </c>
      <c r="I75" s="80"/>
      <c r="J75" s="80"/>
    </row>
    <row r="76" spans="2:10" hidden="1" x14ac:dyDescent="0.35">
      <c r="B76" s="80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60" t="str">
        <f t="shared" si="2"/>
        <v/>
      </c>
      <c r="I76" s="80"/>
      <c r="J76" s="80"/>
    </row>
    <row r="77" spans="2:10" hidden="1" x14ac:dyDescent="0.35">
      <c r="B77" s="80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60" t="str">
        <f t="shared" si="2"/>
        <v/>
      </c>
      <c r="I77" s="80"/>
      <c r="J77" s="80"/>
    </row>
    <row r="78" spans="2:10" ht="15" hidden="1" thickBot="1" x14ac:dyDescent="0.4">
      <c r="B78" s="81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1" t="str">
        <f t="shared" si="2"/>
        <v/>
      </c>
      <c r="I78" s="81"/>
      <c r="J78" s="81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C5" sqref="C5:C19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59</v>
      </c>
      <c r="E1" s="3" t="s">
        <v>62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155</v>
      </c>
      <c r="CS1" s="3" t="s">
        <v>155</v>
      </c>
      <c r="CT1" s="3" t="s">
        <v>155</v>
      </c>
      <c r="CU1" s="3" t="s">
        <v>155</v>
      </c>
      <c r="CV1" s="3" t="s">
        <v>155</v>
      </c>
      <c r="CW1" s="3" t="s">
        <v>155</v>
      </c>
      <c r="CY1" s="3" t="s">
        <v>70</v>
      </c>
      <c r="CZ1" s="4"/>
      <c r="DA1" s="15"/>
    </row>
    <row r="2" spans="1:105" ht="15" thickBot="1" x14ac:dyDescent="0.4">
      <c r="E2" s="7"/>
      <c r="F2" s="7" t="s">
        <v>64</v>
      </c>
      <c r="G2" s="6" t="s">
        <v>64</v>
      </c>
      <c r="H2" s="7" t="s">
        <v>56</v>
      </c>
      <c r="I2" s="6" t="s">
        <v>56</v>
      </c>
      <c r="J2" s="19" t="s">
        <v>69</v>
      </c>
      <c r="K2" s="23" t="s">
        <v>69</v>
      </c>
      <c r="L2" s="7" t="s">
        <v>64</v>
      </c>
      <c r="M2" s="6" t="s">
        <v>64</v>
      </c>
      <c r="N2" s="7" t="s">
        <v>56</v>
      </c>
      <c r="O2" s="6" t="s">
        <v>56</v>
      </c>
      <c r="P2" s="19" t="s">
        <v>69</v>
      </c>
      <c r="Q2" s="23" t="s">
        <v>69</v>
      </c>
      <c r="R2" s="7" t="s">
        <v>64</v>
      </c>
      <c r="S2" s="6" t="s">
        <v>64</v>
      </c>
      <c r="T2" s="7" t="s">
        <v>56</v>
      </c>
      <c r="U2" s="6" t="s">
        <v>56</v>
      </c>
      <c r="V2" s="19" t="s">
        <v>69</v>
      </c>
      <c r="W2" s="23" t="s">
        <v>69</v>
      </c>
      <c r="X2" s="7" t="s">
        <v>64</v>
      </c>
      <c r="Y2" s="6" t="s">
        <v>64</v>
      </c>
      <c r="Z2" s="7" t="s">
        <v>56</v>
      </c>
      <c r="AA2" s="6" t="s">
        <v>56</v>
      </c>
      <c r="AB2" s="19" t="s">
        <v>69</v>
      </c>
      <c r="AC2" s="23" t="s">
        <v>69</v>
      </c>
      <c r="AD2" s="7" t="s">
        <v>64</v>
      </c>
      <c r="AE2" s="6" t="s">
        <v>64</v>
      </c>
      <c r="AF2" s="7" t="s">
        <v>56</v>
      </c>
      <c r="AG2" s="6" t="s">
        <v>56</v>
      </c>
      <c r="AH2" s="19" t="s">
        <v>69</v>
      </c>
      <c r="AI2" s="23" t="s">
        <v>69</v>
      </c>
      <c r="AJ2" s="7" t="s">
        <v>64</v>
      </c>
      <c r="AK2" s="6" t="s">
        <v>64</v>
      </c>
      <c r="AL2" s="7" t="s">
        <v>56</v>
      </c>
      <c r="AM2" s="6" t="s">
        <v>56</v>
      </c>
      <c r="AN2" s="19" t="s">
        <v>69</v>
      </c>
      <c r="AO2" s="23" t="s">
        <v>69</v>
      </c>
      <c r="AP2" s="7" t="s">
        <v>64</v>
      </c>
      <c r="AQ2" s="6" t="s">
        <v>64</v>
      </c>
      <c r="AR2" s="7" t="s">
        <v>56</v>
      </c>
      <c r="AS2" s="6" t="s">
        <v>56</v>
      </c>
      <c r="AT2" s="19" t="s">
        <v>69</v>
      </c>
      <c r="AU2" s="23" t="s">
        <v>69</v>
      </c>
      <c r="AV2" s="7" t="s">
        <v>64</v>
      </c>
      <c r="AW2" s="6" t="s">
        <v>64</v>
      </c>
      <c r="AX2" s="7" t="s">
        <v>56</v>
      </c>
      <c r="AY2" s="6" t="s">
        <v>56</v>
      </c>
      <c r="AZ2" s="19" t="s">
        <v>69</v>
      </c>
      <c r="BA2" s="23" t="s">
        <v>69</v>
      </c>
      <c r="BB2" s="7" t="s">
        <v>64</v>
      </c>
      <c r="BC2" s="6" t="s">
        <v>64</v>
      </c>
      <c r="BD2" s="7" t="s">
        <v>56</v>
      </c>
      <c r="BE2" s="6" t="s">
        <v>56</v>
      </c>
      <c r="BF2" s="19" t="s">
        <v>69</v>
      </c>
      <c r="BG2" s="23" t="s">
        <v>69</v>
      </c>
      <c r="BH2" s="7" t="s">
        <v>64</v>
      </c>
      <c r="BI2" s="6" t="s">
        <v>64</v>
      </c>
      <c r="BJ2" s="7" t="s">
        <v>56</v>
      </c>
      <c r="BK2" s="6" t="s">
        <v>56</v>
      </c>
      <c r="BL2" s="19" t="s">
        <v>69</v>
      </c>
      <c r="BM2" s="23" t="s">
        <v>69</v>
      </c>
      <c r="BN2" s="7" t="s">
        <v>64</v>
      </c>
      <c r="BO2" s="6" t="s">
        <v>64</v>
      </c>
      <c r="BP2" s="7" t="s">
        <v>56</v>
      </c>
      <c r="BQ2" s="6" t="s">
        <v>56</v>
      </c>
      <c r="BR2" s="19" t="s">
        <v>69</v>
      </c>
      <c r="BS2" s="23" t="s">
        <v>69</v>
      </c>
      <c r="BT2" s="7" t="s">
        <v>64</v>
      </c>
      <c r="BU2" s="6" t="s">
        <v>64</v>
      </c>
      <c r="BV2" s="7" t="s">
        <v>56</v>
      </c>
      <c r="BW2" s="6" t="s">
        <v>56</v>
      </c>
      <c r="BX2" s="19" t="s">
        <v>69</v>
      </c>
      <c r="BY2" s="23" t="s">
        <v>69</v>
      </c>
      <c r="BZ2" s="7" t="s">
        <v>64</v>
      </c>
      <c r="CA2" s="6" t="s">
        <v>64</v>
      </c>
      <c r="CB2" s="7" t="s">
        <v>56</v>
      </c>
      <c r="CC2" s="6" t="s">
        <v>56</v>
      </c>
      <c r="CD2" s="19" t="s">
        <v>69</v>
      </c>
      <c r="CE2" s="23" t="s">
        <v>69</v>
      </c>
      <c r="CF2" s="7" t="s">
        <v>64</v>
      </c>
      <c r="CG2" s="6" t="s">
        <v>64</v>
      </c>
      <c r="CH2" s="7" t="s">
        <v>56</v>
      </c>
      <c r="CI2" s="6" t="s">
        <v>56</v>
      </c>
      <c r="CJ2" s="19" t="s">
        <v>69</v>
      </c>
      <c r="CK2" s="23" t="s">
        <v>69</v>
      </c>
      <c r="CL2" s="7" t="s">
        <v>64</v>
      </c>
      <c r="CM2" s="6" t="s">
        <v>64</v>
      </c>
      <c r="CN2" s="7" t="s">
        <v>56</v>
      </c>
      <c r="CO2" s="6" t="s">
        <v>56</v>
      </c>
      <c r="CP2" s="19" t="s">
        <v>69</v>
      </c>
      <c r="CQ2" s="23" t="s">
        <v>69</v>
      </c>
      <c r="CR2" s="7" t="s">
        <v>64</v>
      </c>
      <c r="CS2" s="6" t="s">
        <v>64</v>
      </c>
      <c r="CT2" s="7" t="s">
        <v>56</v>
      </c>
      <c r="CU2" s="6" t="s">
        <v>56</v>
      </c>
      <c r="CV2" s="19" t="s">
        <v>69</v>
      </c>
      <c r="CW2" s="23" t="s">
        <v>69</v>
      </c>
      <c r="CY2" s="7"/>
      <c r="CZ2" s="5"/>
      <c r="DA2" s="6"/>
    </row>
    <row r="3" spans="1:105" ht="15" thickBot="1" x14ac:dyDescent="0.4">
      <c r="B3" s="5" t="s">
        <v>129</v>
      </c>
      <c r="E3" s="7"/>
      <c r="F3" s="29">
        <f>INDEX(Service!$I$4:$J$78,MATCH('Required Capacity (Hide)'!F$1,Service!$B$4:$B$78,0),1)/IF(Summary!$B$7="Minutes",1,60)</f>
        <v>0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60</v>
      </c>
      <c r="C4" s="31" t="s">
        <v>61</v>
      </c>
      <c r="E4" s="17" t="s">
        <v>63</v>
      </c>
      <c r="F4" s="24" t="s">
        <v>65</v>
      </c>
      <c r="G4" s="26" t="s">
        <v>66</v>
      </c>
      <c r="H4" s="24" t="s">
        <v>65</v>
      </c>
      <c r="I4" s="26" t="s">
        <v>66</v>
      </c>
      <c r="J4" s="25" t="s">
        <v>57</v>
      </c>
      <c r="K4" s="26" t="s">
        <v>66</v>
      </c>
      <c r="L4" s="24" t="s">
        <v>65</v>
      </c>
      <c r="M4" s="26" t="s">
        <v>66</v>
      </c>
      <c r="N4" s="24" t="s">
        <v>65</v>
      </c>
      <c r="O4" s="26" t="s">
        <v>66</v>
      </c>
      <c r="P4" s="25" t="s">
        <v>57</v>
      </c>
      <c r="Q4" s="26" t="s">
        <v>66</v>
      </c>
      <c r="R4" s="24" t="s">
        <v>65</v>
      </c>
      <c r="S4" s="26" t="s">
        <v>66</v>
      </c>
      <c r="T4" s="24" t="s">
        <v>65</v>
      </c>
      <c r="U4" s="26" t="s">
        <v>66</v>
      </c>
      <c r="V4" s="25" t="s">
        <v>57</v>
      </c>
      <c r="W4" s="26" t="s">
        <v>66</v>
      </c>
      <c r="X4" s="24" t="s">
        <v>65</v>
      </c>
      <c r="Y4" s="26" t="s">
        <v>66</v>
      </c>
      <c r="Z4" s="24" t="s">
        <v>65</v>
      </c>
      <c r="AA4" s="26" t="s">
        <v>66</v>
      </c>
      <c r="AB4" s="25" t="s">
        <v>57</v>
      </c>
      <c r="AC4" s="26" t="s">
        <v>66</v>
      </c>
      <c r="AD4" s="24" t="s">
        <v>65</v>
      </c>
      <c r="AE4" s="26" t="s">
        <v>66</v>
      </c>
      <c r="AF4" s="24" t="s">
        <v>65</v>
      </c>
      <c r="AG4" s="26" t="s">
        <v>66</v>
      </c>
      <c r="AH4" s="25" t="s">
        <v>57</v>
      </c>
      <c r="AI4" s="26" t="s">
        <v>66</v>
      </c>
      <c r="AJ4" s="24" t="s">
        <v>65</v>
      </c>
      <c r="AK4" s="26" t="s">
        <v>66</v>
      </c>
      <c r="AL4" s="24" t="s">
        <v>65</v>
      </c>
      <c r="AM4" s="26" t="s">
        <v>66</v>
      </c>
      <c r="AN4" s="25" t="s">
        <v>57</v>
      </c>
      <c r="AO4" s="26" t="s">
        <v>66</v>
      </c>
      <c r="AP4" s="24" t="s">
        <v>65</v>
      </c>
      <c r="AQ4" s="26" t="s">
        <v>66</v>
      </c>
      <c r="AR4" s="24" t="s">
        <v>65</v>
      </c>
      <c r="AS4" s="26" t="s">
        <v>66</v>
      </c>
      <c r="AT4" s="25" t="s">
        <v>57</v>
      </c>
      <c r="AU4" s="26" t="s">
        <v>66</v>
      </c>
      <c r="AV4" s="24" t="s">
        <v>65</v>
      </c>
      <c r="AW4" s="26" t="s">
        <v>66</v>
      </c>
      <c r="AX4" s="24" t="s">
        <v>65</v>
      </c>
      <c r="AY4" s="26" t="s">
        <v>66</v>
      </c>
      <c r="AZ4" s="25" t="s">
        <v>57</v>
      </c>
      <c r="BA4" s="26" t="s">
        <v>66</v>
      </c>
      <c r="BB4" s="24" t="s">
        <v>65</v>
      </c>
      <c r="BC4" s="26" t="s">
        <v>66</v>
      </c>
      <c r="BD4" s="24" t="s">
        <v>65</v>
      </c>
      <c r="BE4" s="26" t="s">
        <v>66</v>
      </c>
      <c r="BF4" s="25" t="s">
        <v>57</v>
      </c>
      <c r="BG4" s="26" t="s">
        <v>66</v>
      </c>
      <c r="BH4" s="24" t="s">
        <v>65</v>
      </c>
      <c r="BI4" s="26" t="s">
        <v>66</v>
      </c>
      <c r="BJ4" s="24" t="s">
        <v>65</v>
      </c>
      <c r="BK4" s="26" t="s">
        <v>66</v>
      </c>
      <c r="BL4" s="25" t="s">
        <v>57</v>
      </c>
      <c r="BM4" s="26" t="s">
        <v>66</v>
      </c>
      <c r="BN4" s="24" t="s">
        <v>65</v>
      </c>
      <c r="BO4" s="26" t="s">
        <v>66</v>
      </c>
      <c r="BP4" s="24" t="s">
        <v>65</v>
      </c>
      <c r="BQ4" s="26" t="s">
        <v>66</v>
      </c>
      <c r="BR4" s="25" t="s">
        <v>57</v>
      </c>
      <c r="BS4" s="26" t="s">
        <v>66</v>
      </c>
      <c r="BT4" s="24" t="s">
        <v>65</v>
      </c>
      <c r="BU4" s="26" t="s">
        <v>66</v>
      </c>
      <c r="BV4" s="24" t="s">
        <v>65</v>
      </c>
      <c r="BW4" s="26" t="s">
        <v>66</v>
      </c>
      <c r="BX4" s="25" t="s">
        <v>57</v>
      </c>
      <c r="BY4" s="26" t="s">
        <v>66</v>
      </c>
      <c r="BZ4" s="24" t="s">
        <v>65</v>
      </c>
      <c r="CA4" s="26" t="s">
        <v>66</v>
      </c>
      <c r="CB4" s="24" t="s">
        <v>65</v>
      </c>
      <c r="CC4" s="26" t="s">
        <v>66</v>
      </c>
      <c r="CD4" s="25" t="s">
        <v>57</v>
      </c>
      <c r="CE4" s="26" t="s">
        <v>66</v>
      </c>
      <c r="CF4" s="24" t="s">
        <v>65</v>
      </c>
      <c r="CG4" s="26" t="s">
        <v>66</v>
      </c>
      <c r="CH4" s="24" t="s">
        <v>65</v>
      </c>
      <c r="CI4" s="26" t="s">
        <v>66</v>
      </c>
      <c r="CJ4" s="25" t="s">
        <v>57</v>
      </c>
      <c r="CK4" s="26" t="s">
        <v>66</v>
      </c>
      <c r="CL4" s="24" t="s">
        <v>65</v>
      </c>
      <c r="CM4" s="26" t="s">
        <v>66</v>
      </c>
      <c r="CN4" s="24" t="s">
        <v>65</v>
      </c>
      <c r="CO4" s="26" t="s">
        <v>66</v>
      </c>
      <c r="CP4" s="25" t="s">
        <v>57</v>
      </c>
      <c r="CQ4" s="26" t="s">
        <v>66</v>
      </c>
      <c r="CR4" s="24" t="s">
        <v>57</v>
      </c>
      <c r="CS4" s="26" t="s">
        <v>66</v>
      </c>
      <c r="CT4" s="24" t="s">
        <v>57</v>
      </c>
      <c r="CU4" s="26" t="s">
        <v>66</v>
      </c>
      <c r="CV4" s="25" t="s">
        <v>57</v>
      </c>
      <c r="CW4" s="26" t="s">
        <v>66</v>
      </c>
      <c r="CY4" s="29" t="s">
        <v>65</v>
      </c>
      <c r="CZ4" s="30" t="s">
        <v>66</v>
      </c>
      <c r="DA4" s="31" t="s">
        <v>46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INDEX(Demand!C9:C268,Demand!A8,1)+7</f>
        <v>43708</v>
      </c>
      <c r="F5" s="7">
        <f>INDEX($B$5:$C$19,MATCH(F$1,$A$5:$A$19,0),1)*F$3</f>
        <v>0</v>
      </c>
      <c r="G5" s="6">
        <f>INDEX($B$5:$C$19,MATCH(F$1,$A$5:$A$19,0),2)*F$3</f>
        <v>0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20</v>
      </c>
      <c r="K5" s="6">
        <f>SUMIF(F$4:I$4,K$4,F5:I5)</f>
        <v>21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13.142857142857142</v>
      </c>
      <c r="O5" s="6">
        <f>INDEX($B$5:$C$19,MATCH(L$1,$A$5:$A$19,0),2)*N$3</f>
        <v>14.285714285714285</v>
      </c>
      <c r="P5" s="5">
        <f>SUMIF(L$4:O$4,P$4,L5:O5)</f>
        <v>13.142857142857142</v>
      </c>
      <c r="Q5" s="6">
        <f>SUMIF(L$4:O$4,Q$4,L5:O5)</f>
        <v>14.285714285714285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9.5714285714285712</v>
      </c>
      <c r="U5" s="6">
        <f>INDEX($B$5:$C$19,MATCH(R$1,$A$5:$A$19,0),2)*T$3</f>
        <v>10.285714285714285</v>
      </c>
      <c r="V5" s="5">
        <f>SUMIF(R$4:U$4,V$4,R5:U5)</f>
        <v>9.5714285714285712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 t="shared" ref="CR5:CU24" si="0">SUMIFS($F5:$CO5,$F$2:$CO$2,CR$2,$F$4:$CO$4,CR$4)</f>
        <v>100</v>
      </c>
      <c r="CS5" s="6">
        <f t="shared" si="0"/>
        <v>102.75</v>
      </c>
      <c r="CT5" s="7">
        <f t="shared" si="0"/>
        <v>42.714285714285708</v>
      </c>
      <c r="CU5" s="6">
        <f t="shared" si="0"/>
        <v>45.571428571428569</v>
      </c>
      <c r="CV5" s="5">
        <f>SUM(CR5,CT5)</f>
        <v>142.71428571428572</v>
      </c>
      <c r="CW5" s="6">
        <f>SUM(CS5,CU5)</f>
        <v>148.32142857142856</v>
      </c>
      <c r="CY5" s="7">
        <f t="array" ref="CY5:CY56">Summary_LowerBound</f>
        <v>142.71428571428572</v>
      </c>
      <c r="CZ5" s="5">
        <f t="array" ref="CZ5">Summary_UpperBound</f>
        <v>148.32142857142856</v>
      </c>
      <c r="DA5" s="6">
        <f>CZ5-CY5</f>
        <v>5.6071428571428328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23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43715</v>
      </c>
      <c r="F6" s="7">
        <f t="shared" ref="F6:F56" si="1">INDEX($B$5:$C$19,MATCH(F$1,$A$5:$A$19,0),1)*F$3</f>
        <v>0</v>
      </c>
      <c r="G6" s="6">
        <f t="shared" ref="G6:G56" si="2">INDEX($B$5:$C$19,MATCH(F$1,$A$5:$A$19,0),2)*F$3</f>
        <v>0</v>
      </c>
      <c r="H6" s="7">
        <f t="shared" ref="H6:H56" si="3">INDEX($B$5:$C$19,MATCH(F$1,$A$5:$A$19,0),1)*H$3</f>
        <v>20</v>
      </c>
      <c r="I6" s="6">
        <f t="shared" ref="I6:I56" si="4">INDEX($B$5:$C$19,MATCH(F$1,$A$5:$A$19,0),2)*H$3</f>
        <v>21</v>
      </c>
      <c r="J6" s="5">
        <f t="shared" ref="J6:J56" si="5">SUMIF(F$4:I$4,J$4,F6:I6)</f>
        <v>20</v>
      </c>
      <c r="K6" s="6">
        <f t="shared" ref="K6:K56" si="6">SUMIF(F$4:I$4,K$4,F6:I6)</f>
        <v>21</v>
      </c>
      <c r="L6" s="7">
        <f t="shared" ref="L6:L56" si="7">INDEX($B$5:$C$19,MATCH(L$1,$A$5:$A$19,0),1)*L$3</f>
        <v>0</v>
      </c>
      <c r="M6" s="6">
        <f t="shared" ref="M6:M56" si="8">INDEX($B$5:$C$19,MATCH(L$1,$A$5:$A$19,0),2)*L$3</f>
        <v>0</v>
      </c>
      <c r="N6" s="7">
        <f t="shared" ref="N6:N56" si="9">INDEX($B$5:$C$19,MATCH(L$1,$A$5:$A$19,0),1)*N$3</f>
        <v>13.142857142857142</v>
      </c>
      <c r="O6" s="6">
        <f t="shared" ref="O6:O56" si="10">INDEX($B$5:$C$19,MATCH(L$1,$A$5:$A$19,0),2)*N$3</f>
        <v>14.285714285714285</v>
      </c>
      <c r="P6" s="5">
        <f t="shared" ref="P6:P56" si="11">SUMIF(L$4:O$4,P$4,L6:O6)</f>
        <v>13.142857142857142</v>
      </c>
      <c r="Q6" s="6">
        <f t="shared" ref="Q6:Q56" si="12">SUMIF(L$4:O$4,Q$4,L6:O6)</f>
        <v>14.285714285714285</v>
      </c>
      <c r="R6" s="7">
        <f t="shared" ref="R6:R56" si="13">INDEX($B$5:$C$19,MATCH(R$1,$A$5:$A$19,0),1)*R$3</f>
        <v>0</v>
      </c>
      <c r="S6" s="6">
        <f t="shared" ref="S6:S56" si="14">INDEX($B$5:$C$19,MATCH(R$1,$A$5:$A$19,0),2)*R$3</f>
        <v>0</v>
      </c>
      <c r="T6" s="7">
        <f t="shared" ref="T6:T56" si="15">INDEX($B$5:$C$19,MATCH(R$1,$A$5:$A$19,0),1)*T$3</f>
        <v>9.5714285714285712</v>
      </c>
      <c r="U6" s="6">
        <f t="shared" ref="U6:U56" si="16">INDEX($B$5:$C$19,MATCH(R$1,$A$5:$A$19,0),2)*T$3</f>
        <v>10.285714285714285</v>
      </c>
      <c r="V6" s="5">
        <f t="shared" ref="V6:V56" si="17">SUMIF(R$4:U$4,V$4,R6:U6)</f>
        <v>9.5714285714285712</v>
      </c>
      <c r="W6" s="6">
        <f t="shared" ref="W6:W56" si="18">SUMIF(R$4:U$4,W$4,R6:U6)</f>
        <v>10.285714285714285</v>
      </c>
      <c r="X6" s="7">
        <f t="shared" ref="X6:X56" si="19">INDEX($B$5:$C$19,MATCH(X$1,$A$5:$A$19,0),1)*X$3</f>
        <v>70</v>
      </c>
      <c r="Y6" s="6">
        <f t="shared" ref="Y6:Y56" si="20">INDEX($B$5:$C$19,MATCH(X$1,$A$5:$A$19,0),2)*X$3</f>
        <v>71</v>
      </c>
      <c r="Z6" s="7">
        <f t="shared" ref="Z6:Z56" si="21">INDEX($B$5:$C$19,MATCH(X$1,$A$5:$A$19,0),1)*Z$3</f>
        <v>0</v>
      </c>
      <c r="AA6" s="6">
        <f t="shared" ref="AA6:AA56" si="22">INDEX($B$5:$C$19,MATCH(X$1,$A$5:$A$19,0),2)*Z$3</f>
        <v>0</v>
      </c>
      <c r="AB6" s="5">
        <f t="shared" ref="AB6:AB56" si="23">SUMIF(X$4:AA$4,AB$4,X6:AA6)</f>
        <v>70</v>
      </c>
      <c r="AC6" s="6">
        <f t="shared" ref="AC6:AC56" si="24">SUMIF(X$4:AA$4,AC$4,X6:AA6)</f>
        <v>71</v>
      </c>
      <c r="AD6" s="7">
        <f t="shared" ref="AD6:AD56" si="25">INDEX($B$5:$C$19,MATCH(AD$1,$A$5:$A$19,0),1)*AD$3</f>
        <v>30</v>
      </c>
      <c r="AE6" s="6">
        <f t="shared" ref="AE6:AE56" si="26">INDEX($B$5:$C$19,MATCH(AD$1,$A$5:$A$19,0),2)*AD$3</f>
        <v>31.75</v>
      </c>
      <c r="AF6" s="7">
        <f t="shared" ref="AF6:AF56" si="27">INDEX($B$5:$C$19,MATCH(AD$1,$A$5:$A$19,0),1)*AF$3</f>
        <v>0</v>
      </c>
      <c r="AG6" s="6">
        <f t="shared" ref="AG6:AG56" si="28">INDEX($B$5:$C$19,MATCH(AD$1,$A$5:$A$19,0),2)*AF$3</f>
        <v>0</v>
      </c>
      <c r="AH6" s="5">
        <f t="shared" ref="AH6:AH56" si="29">SUMIF(AD$4:AG$4,AH$4,AD6:AG6)</f>
        <v>30</v>
      </c>
      <c r="AI6" s="6">
        <f t="shared" ref="AI6:AI56" si="30">SUMIF(AD$4:AG$4,AI$4,AD6:AG6)</f>
        <v>31.75</v>
      </c>
      <c r="AJ6" s="7">
        <f t="shared" ref="AJ6:AJ56" si="31">INDEX($B$5:$C$19,MATCH(AJ$1,$A$5:$A$19,0),1)*AJ$3</f>
        <v>0</v>
      </c>
      <c r="AK6" s="6">
        <f t="shared" ref="AK6:AK56" si="32">INDEX($B$5:$C$19,MATCH(AJ$1,$A$5:$A$19,0),2)*AJ$3</f>
        <v>0</v>
      </c>
      <c r="AL6" s="7">
        <f t="shared" ref="AL6:AL56" si="33">INDEX($B$5:$C$19,MATCH(AJ$1,$A$5:$A$19,0),1)*AL$3</f>
        <v>0</v>
      </c>
      <c r="AM6" s="6">
        <f t="shared" ref="AM6:AM56" si="34">INDEX($B$5:$C$19,MATCH(AJ$1,$A$5:$A$19,0),2)*AL$3</f>
        <v>0</v>
      </c>
      <c r="AN6" s="5">
        <f t="shared" ref="AN6:AN56" si="35">SUMIF(AJ$4:AM$4,AN$4,AJ6:AM6)</f>
        <v>0</v>
      </c>
      <c r="AO6" s="6">
        <f t="shared" ref="AO6:AO56" si="36">SUMIF(AJ$4:AM$4,AO$4,AJ6:AM6)</f>
        <v>0</v>
      </c>
      <c r="AP6" s="7">
        <f t="shared" ref="AP6:AP56" si="37">INDEX($B$5:$C$19,MATCH(AP$1,$A$5:$A$19,0),1)*AP$3</f>
        <v>0</v>
      </c>
      <c r="AQ6" s="6">
        <f t="shared" ref="AQ6:AQ56" si="38">INDEX($B$5:$C$19,MATCH(AP$1,$A$5:$A$19,0),2)*AP$3</f>
        <v>0</v>
      </c>
      <c r="AR6" s="7">
        <f t="shared" ref="AR6:AR56" si="39">INDEX($B$5:$C$19,MATCH(AP$1,$A$5:$A$19,0),1)*AR$3</f>
        <v>0</v>
      </c>
      <c r="AS6" s="6">
        <f t="shared" ref="AS6:AS56" si="40">INDEX($B$5:$C$19,MATCH(AP$1,$A$5:$A$19,0),2)*AR$3</f>
        <v>0</v>
      </c>
      <c r="AT6" s="5">
        <f t="shared" ref="AT6:AT56" si="41">SUMIF(AP$4:AS$4,AT$4,AP6:AS6)</f>
        <v>0</v>
      </c>
      <c r="AU6" s="6">
        <f t="shared" ref="AU6:AU56" si="42">SUMIF(AP$4:AS$4,AU$4,AP6:AS6)</f>
        <v>0</v>
      </c>
      <c r="AV6" s="7">
        <f t="shared" ref="AV6:AV56" si="43">INDEX($B$5:$C$19,MATCH(AV$1,$A$5:$A$19,0),1)*AV$3</f>
        <v>0</v>
      </c>
      <c r="AW6" s="6">
        <f t="shared" ref="AW6:AW56" si="44">INDEX($B$5:$C$19,MATCH(AV$1,$A$5:$A$19,0),2)*AV$3</f>
        <v>0</v>
      </c>
      <c r="AX6" s="7">
        <f t="shared" ref="AX6:AX56" si="45">INDEX($B$5:$C$19,MATCH(AV$1,$A$5:$A$19,0),1)*AX$3</f>
        <v>0</v>
      </c>
      <c r="AY6" s="6">
        <f t="shared" ref="AY6:AY56" si="46">INDEX($B$5:$C$19,MATCH(AV$1,$A$5:$A$19,0),2)*AX$3</f>
        <v>0</v>
      </c>
      <c r="AZ6" s="5">
        <f t="shared" ref="AZ6:AZ56" si="47">SUMIF(AV$4:AY$4,AZ$4,AV6:AY6)</f>
        <v>0</v>
      </c>
      <c r="BA6" s="6">
        <f t="shared" ref="BA6:BA56" si="48">SUMIF(AV$4:AY$4,BA$4,AV6:AY6)</f>
        <v>0</v>
      </c>
      <c r="BB6" s="7">
        <f t="shared" ref="BB6:BB56" si="49">INDEX($B$5:$C$19,MATCH(BB$1,$A$5:$A$19,0),1)*BB$3</f>
        <v>0</v>
      </c>
      <c r="BC6" s="6">
        <f t="shared" ref="BC6:BC56" si="50">INDEX($B$5:$C$19,MATCH(BB$1,$A$5:$A$19,0),2)*BB$3</f>
        <v>0</v>
      </c>
      <c r="BD6" s="7">
        <f t="shared" ref="BD6:BD56" si="51">INDEX($B$5:$C$19,MATCH(BB$1,$A$5:$A$19,0),1)*BD$3</f>
        <v>0</v>
      </c>
      <c r="BE6" s="6">
        <f t="shared" ref="BE6:BE56" si="52">INDEX($B$5:$C$19,MATCH(BB$1,$A$5:$A$19,0),2)*BD$3</f>
        <v>0</v>
      </c>
      <c r="BF6" s="5">
        <f t="shared" ref="BF6:BF56" si="53">SUMIF(BB$4:BE$4,BF$4,BB6:BE6)</f>
        <v>0</v>
      </c>
      <c r="BG6" s="6">
        <f t="shared" ref="BG6:BG56" si="54">SUMIF(BB$4:BE$4,BG$4,BB6:BE6)</f>
        <v>0</v>
      </c>
      <c r="BH6" s="7">
        <f t="shared" ref="BH6:BH56" si="55">INDEX($B$5:$C$19,MATCH(BH$1,$A$5:$A$19,0),1)*BH$3</f>
        <v>0</v>
      </c>
      <c r="BI6" s="6">
        <f t="shared" ref="BI6:BI56" si="56">INDEX($B$5:$C$19,MATCH(BH$1,$A$5:$A$19,0),2)*BH$3</f>
        <v>0</v>
      </c>
      <c r="BJ6" s="7">
        <f t="shared" ref="BJ6:BJ56" si="57">INDEX($B$5:$C$19,MATCH(BH$1,$A$5:$A$19,0),1)*BJ$3</f>
        <v>0</v>
      </c>
      <c r="BK6" s="6">
        <f t="shared" ref="BK6:BK56" si="58">INDEX($B$5:$C$19,MATCH(BH$1,$A$5:$A$19,0),2)*BJ$3</f>
        <v>0</v>
      </c>
      <c r="BL6" s="5">
        <f t="shared" ref="BL6:BL56" si="59">SUMIF(BH$4:BK$4,BL$4,BH6:BK6)</f>
        <v>0</v>
      </c>
      <c r="BM6" s="6">
        <f t="shared" ref="BM6:BM56" si="60">SUMIF(BH$4:BK$4,BM$4,BH6:BK6)</f>
        <v>0</v>
      </c>
      <c r="BN6" s="7">
        <f t="shared" ref="BN6:BN56" si="61">INDEX($B$5:$C$19,MATCH(BN$1,$A$5:$A$19,0),1)*BN$3</f>
        <v>0</v>
      </c>
      <c r="BO6" s="6">
        <f t="shared" ref="BO6:BO56" si="62">INDEX($B$5:$C$19,MATCH(BN$1,$A$5:$A$19,0),2)*BN$3</f>
        <v>0</v>
      </c>
      <c r="BP6" s="7">
        <f t="shared" ref="BP6:BP56" si="63">INDEX($B$5:$C$19,MATCH(BN$1,$A$5:$A$19,0),1)*BP$3</f>
        <v>0</v>
      </c>
      <c r="BQ6" s="6">
        <f t="shared" ref="BQ6:BQ56" si="64">INDEX($B$5:$C$19,MATCH(BN$1,$A$5:$A$19,0),2)*BP$3</f>
        <v>0</v>
      </c>
      <c r="BR6" s="5">
        <f t="shared" ref="BR6:BR56" si="65">SUMIF(BN$4:BQ$4,BR$4,BN6:BQ6)</f>
        <v>0</v>
      </c>
      <c r="BS6" s="6">
        <f t="shared" ref="BS6:BS56" si="66">SUMIF(BN$4:BQ$4,BS$4,BN6:BQ6)</f>
        <v>0</v>
      </c>
      <c r="BT6" s="7">
        <f t="shared" ref="BT6:BT56" si="67">INDEX($B$5:$C$19,MATCH(BT$1,$A$5:$A$19,0),1)*BT$3</f>
        <v>0</v>
      </c>
      <c r="BU6" s="6">
        <f t="shared" ref="BU6:BU56" si="68">INDEX($B$5:$C$19,MATCH(BT$1,$A$5:$A$19,0),2)*BT$3</f>
        <v>0</v>
      </c>
      <c r="BV6" s="7">
        <f t="shared" ref="BV6:BV56" si="69">INDEX($B$5:$C$19,MATCH(BT$1,$A$5:$A$19,0),1)*BV$3</f>
        <v>0</v>
      </c>
      <c r="BW6" s="6">
        <f t="shared" ref="BW6:BW56" si="70">INDEX($B$5:$C$19,MATCH(BT$1,$A$5:$A$19,0),2)*BV$3</f>
        <v>0</v>
      </c>
      <c r="BX6" s="5">
        <f t="shared" ref="BX6:BX56" si="71">SUMIF(BT$4:BW$4,BX$4,BT6:BW6)</f>
        <v>0</v>
      </c>
      <c r="BY6" s="6">
        <f t="shared" ref="BY6:BY56" si="72">SUMIF(BT$4:BW$4,BY$4,BT6:BW6)</f>
        <v>0</v>
      </c>
      <c r="BZ6" s="7">
        <f t="shared" ref="BZ6:BZ56" si="73">INDEX($B$5:$C$19,MATCH(BZ$1,$A$5:$A$19,0),1)*BZ$3</f>
        <v>0</v>
      </c>
      <c r="CA6" s="6">
        <f t="shared" ref="CA6:CA56" si="74">INDEX($B$5:$C$19,MATCH(BZ$1,$A$5:$A$19,0),2)*BZ$3</f>
        <v>0</v>
      </c>
      <c r="CB6" s="7">
        <f t="shared" ref="CB6:CB56" si="75">INDEX($B$5:$C$19,MATCH(BZ$1,$A$5:$A$19,0),1)*CB$3</f>
        <v>0</v>
      </c>
      <c r="CC6" s="6">
        <f t="shared" ref="CC6:CC56" si="76">INDEX($B$5:$C$19,MATCH(BZ$1,$A$5:$A$19,0),2)*CB$3</f>
        <v>0</v>
      </c>
      <c r="CD6" s="5">
        <f t="shared" ref="CD6:CD56" si="77">SUMIF(BZ$4:CC$4,CD$4,BZ6:CC6)</f>
        <v>0</v>
      </c>
      <c r="CE6" s="6">
        <f t="shared" ref="CE6:CE56" si="78">SUMIF(BZ$4:CC$4,CE$4,BZ6:CC6)</f>
        <v>0</v>
      </c>
      <c r="CF6" s="7">
        <f t="shared" ref="CF6:CF56" si="79">INDEX($B$5:$C$19,MATCH(CF$1,$A$5:$A$19,0),1)*CF$3</f>
        <v>0</v>
      </c>
      <c r="CG6" s="6">
        <f t="shared" ref="CG6:CG56" si="80">INDEX($B$5:$C$19,MATCH(CF$1,$A$5:$A$19,0),2)*CF$3</f>
        <v>0</v>
      </c>
      <c r="CH6" s="7">
        <f t="shared" ref="CH6:CH56" si="81">INDEX($B$5:$C$19,MATCH(CF$1,$A$5:$A$19,0),1)*CH$3</f>
        <v>0</v>
      </c>
      <c r="CI6" s="6">
        <f t="shared" ref="CI6:CI56" si="82">INDEX($B$5:$C$19,MATCH(CF$1,$A$5:$A$19,0),2)*CH$3</f>
        <v>0</v>
      </c>
      <c r="CJ6" s="5">
        <f t="shared" ref="CJ6:CJ56" si="83">SUMIF(CF$4:CI$4,CJ$4,CF6:CI6)</f>
        <v>0</v>
      </c>
      <c r="CK6" s="6">
        <f t="shared" ref="CK6:CK56" si="84">SUMIF(CF$4:CI$4,CK$4,CF6:CI6)</f>
        <v>0</v>
      </c>
      <c r="CL6" s="7">
        <f t="shared" ref="CL6:CL56" si="85">INDEX($B$5:$C$19,MATCH(CL$1,$A$5:$A$19,0),1)*CL$3</f>
        <v>0</v>
      </c>
      <c r="CM6" s="6">
        <f t="shared" ref="CM6:CM56" si="86">INDEX($B$5:$C$19,MATCH(CL$1,$A$5:$A$19,0),2)*CL$3</f>
        <v>0</v>
      </c>
      <c r="CN6" s="7">
        <f t="shared" ref="CN6:CN56" si="87">INDEX($B$5:$C$19,MATCH(CL$1,$A$5:$A$19,0),1)*CN$3</f>
        <v>0</v>
      </c>
      <c r="CO6" s="6">
        <f t="shared" ref="CO6:CO56" si="88">INDEX($B$5:$C$19,MATCH(CL$1,$A$5:$A$19,0),2)*CN$3</f>
        <v>0</v>
      </c>
      <c r="CP6" s="5">
        <f t="shared" ref="CP6:CP56" si="89">SUMIF(CL$4:CO$4,CP$4,CL6:CO6)</f>
        <v>0</v>
      </c>
      <c r="CQ6" s="6">
        <f t="shared" ref="CQ6:CQ56" si="90">SUMIF(CL$4:CO$4,CQ$4,CL6:CO6)</f>
        <v>0</v>
      </c>
      <c r="CR6" s="7">
        <f t="shared" si="0"/>
        <v>100</v>
      </c>
      <c r="CS6" s="6">
        <f t="shared" si="0"/>
        <v>102.75</v>
      </c>
      <c r="CT6" s="7">
        <f t="shared" si="0"/>
        <v>42.714285714285708</v>
      </c>
      <c r="CU6" s="6">
        <f t="shared" si="0"/>
        <v>45.571428571428569</v>
      </c>
      <c r="CV6" s="5">
        <f t="shared" ref="CV6:CV56" si="91">SUM(CR6,CT6)</f>
        <v>142.71428571428572</v>
      </c>
      <c r="CW6" s="6">
        <f t="shared" ref="CW6:CW56" si="92">SUM(CS6,CU6)</f>
        <v>148.32142857142856</v>
      </c>
      <c r="CY6" s="7">
        <v>142.71428571428572</v>
      </c>
      <c r="CZ6" s="5">
        <f t="array" ref="CZ6">Summary_UpperBound</f>
        <v>148.32142857142856</v>
      </c>
      <c r="DA6" s="6">
        <f t="shared" ref="DA6:DA56" si="93">CZ6-CY6</f>
        <v>5.6071428571428328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16.75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43722</v>
      </c>
      <c r="F7" s="7">
        <f t="shared" si="1"/>
        <v>0</v>
      </c>
      <c r="G7" s="6">
        <f t="shared" si="2"/>
        <v>0</v>
      </c>
      <c r="H7" s="7">
        <f t="shared" si="3"/>
        <v>20</v>
      </c>
      <c r="I7" s="6">
        <f t="shared" si="4"/>
        <v>21</v>
      </c>
      <c r="J7" s="5">
        <f t="shared" si="5"/>
        <v>20</v>
      </c>
      <c r="K7" s="6">
        <f t="shared" si="6"/>
        <v>21</v>
      </c>
      <c r="L7" s="7">
        <f t="shared" si="7"/>
        <v>0</v>
      </c>
      <c r="M7" s="6">
        <f t="shared" si="8"/>
        <v>0</v>
      </c>
      <c r="N7" s="7">
        <f t="shared" si="9"/>
        <v>13.142857142857142</v>
      </c>
      <c r="O7" s="6">
        <f t="shared" si="10"/>
        <v>14.285714285714285</v>
      </c>
      <c r="P7" s="5">
        <f t="shared" si="11"/>
        <v>13.142857142857142</v>
      </c>
      <c r="Q7" s="6">
        <f t="shared" si="12"/>
        <v>14.285714285714285</v>
      </c>
      <c r="R7" s="7">
        <f t="shared" si="13"/>
        <v>0</v>
      </c>
      <c r="S7" s="6">
        <f t="shared" si="14"/>
        <v>0</v>
      </c>
      <c r="T7" s="7">
        <f t="shared" si="15"/>
        <v>9.5714285714285712</v>
      </c>
      <c r="U7" s="6">
        <f t="shared" si="16"/>
        <v>10.285714285714285</v>
      </c>
      <c r="V7" s="5">
        <f t="shared" si="17"/>
        <v>9.5714285714285712</v>
      </c>
      <c r="W7" s="6">
        <f t="shared" si="18"/>
        <v>10.285714285714285</v>
      </c>
      <c r="X7" s="7">
        <f t="shared" si="19"/>
        <v>70</v>
      </c>
      <c r="Y7" s="6">
        <f t="shared" si="20"/>
        <v>71</v>
      </c>
      <c r="Z7" s="7">
        <f t="shared" si="21"/>
        <v>0</v>
      </c>
      <c r="AA7" s="6">
        <f t="shared" si="22"/>
        <v>0</v>
      </c>
      <c r="AB7" s="5">
        <f t="shared" si="23"/>
        <v>70</v>
      </c>
      <c r="AC7" s="6">
        <f t="shared" si="24"/>
        <v>71</v>
      </c>
      <c r="AD7" s="7">
        <f t="shared" si="25"/>
        <v>30</v>
      </c>
      <c r="AE7" s="6">
        <f t="shared" si="26"/>
        <v>31.75</v>
      </c>
      <c r="AF7" s="7">
        <f t="shared" si="27"/>
        <v>0</v>
      </c>
      <c r="AG7" s="6">
        <f t="shared" si="28"/>
        <v>0</v>
      </c>
      <c r="AH7" s="5">
        <f t="shared" si="29"/>
        <v>30</v>
      </c>
      <c r="AI7" s="6">
        <f t="shared" si="30"/>
        <v>31.75</v>
      </c>
      <c r="AJ7" s="7">
        <f t="shared" si="31"/>
        <v>0</v>
      </c>
      <c r="AK7" s="6">
        <f t="shared" si="32"/>
        <v>0</v>
      </c>
      <c r="AL7" s="7">
        <f t="shared" si="33"/>
        <v>0</v>
      </c>
      <c r="AM7" s="6">
        <f t="shared" si="34"/>
        <v>0</v>
      </c>
      <c r="AN7" s="5">
        <f t="shared" si="35"/>
        <v>0</v>
      </c>
      <c r="AO7" s="6">
        <f t="shared" si="36"/>
        <v>0</v>
      </c>
      <c r="AP7" s="7">
        <f t="shared" si="37"/>
        <v>0</v>
      </c>
      <c r="AQ7" s="6">
        <f t="shared" si="38"/>
        <v>0</v>
      </c>
      <c r="AR7" s="7">
        <f t="shared" si="39"/>
        <v>0</v>
      </c>
      <c r="AS7" s="6">
        <f t="shared" si="40"/>
        <v>0</v>
      </c>
      <c r="AT7" s="5">
        <f t="shared" si="41"/>
        <v>0</v>
      </c>
      <c r="AU7" s="6">
        <f t="shared" si="42"/>
        <v>0</v>
      </c>
      <c r="AV7" s="7">
        <f t="shared" si="43"/>
        <v>0</v>
      </c>
      <c r="AW7" s="6">
        <f t="shared" si="44"/>
        <v>0</v>
      </c>
      <c r="AX7" s="7">
        <f t="shared" si="45"/>
        <v>0</v>
      </c>
      <c r="AY7" s="6">
        <f t="shared" si="46"/>
        <v>0</v>
      </c>
      <c r="AZ7" s="5">
        <f t="shared" si="47"/>
        <v>0</v>
      </c>
      <c r="BA7" s="6">
        <f t="shared" si="48"/>
        <v>0</v>
      </c>
      <c r="BB7" s="7">
        <f t="shared" si="49"/>
        <v>0</v>
      </c>
      <c r="BC7" s="6">
        <f t="shared" si="50"/>
        <v>0</v>
      </c>
      <c r="BD7" s="7">
        <f t="shared" si="51"/>
        <v>0</v>
      </c>
      <c r="BE7" s="6">
        <f t="shared" si="52"/>
        <v>0</v>
      </c>
      <c r="BF7" s="5">
        <f t="shared" si="53"/>
        <v>0</v>
      </c>
      <c r="BG7" s="6">
        <f t="shared" si="54"/>
        <v>0</v>
      </c>
      <c r="BH7" s="7">
        <f t="shared" si="55"/>
        <v>0</v>
      </c>
      <c r="BI7" s="6">
        <f t="shared" si="56"/>
        <v>0</v>
      </c>
      <c r="BJ7" s="7">
        <f t="shared" si="57"/>
        <v>0</v>
      </c>
      <c r="BK7" s="6">
        <f t="shared" si="58"/>
        <v>0</v>
      </c>
      <c r="BL7" s="5">
        <f t="shared" si="59"/>
        <v>0</v>
      </c>
      <c r="BM7" s="6">
        <f t="shared" si="60"/>
        <v>0</v>
      </c>
      <c r="BN7" s="7">
        <f t="shared" si="61"/>
        <v>0</v>
      </c>
      <c r="BO7" s="6">
        <f t="shared" si="62"/>
        <v>0</v>
      </c>
      <c r="BP7" s="7">
        <f t="shared" si="63"/>
        <v>0</v>
      </c>
      <c r="BQ7" s="6">
        <f t="shared" si="64"/>
        <v>0</v>
      </c>
      <c r="BR7" s="5">
        <f t="shared" si="65"/>
        <v>0</v>
      </c>
      <c r="BS7" s="6">
        <f t="shared" si="66"/>
        <v>0</v>
      </c>
      <c r="BT7" s="7">
        <f t="shared" si="67"/>
        <v>0</v>
      </c>
      <c r="BU7" s="6">
        <f t="shared" si="68"/>
        <v>0</v>
      </c>
      <c r="BV7" s="7">
        <f t="shared" si="69"/>
        <v>0</v>
      </c>
      <c r="BW7" s="6">
        <f t="shared" si="70"/>
        <v>0</v>
      </c>
      <c r="BX7" s="5">
        <f t="shared" si="71"/>
        <v>0</v>
      </c>
      <c r="BY7" s="6">
        <f t="shared" si="72"/>
        <v>0</v>
      </c>
      <c r="BZ7" s="7">
        <f t="shared" si="73"/>
        <v>0</v>
      </c>
      <c r="CA7" s="6">
        <f t="shared" si="74"/>
        <v>0</v>
      </c>
      <c r="CB7" s="7">
        <f t="shared" si="75"/>
        <v>0</v>
      </c>
      <c r="CC7" s="6">
        <f t="shared" si="76"/>
        <v>0</v>
      </c>
      <c r="CD7" s="5">
        <f t="shared" si="77"/>
        <v>0</v>
      </c>
      <c r="CE7" s="6">
        <f t="shared" si="78"/>
        <v>0</v>
      </c>
      <c r="CF7" s="7">
        <f t="shared" si="79"/>
        <v>0</v>
      </c>
      <c r="CG7" s="6">
        <f t="shared" si="80"/>
        <v>0</v>
      </c>
      <c r="CH7" s="7">
        <f t="shared" si="81"/>
        <v>0</v>
      </c>
      <c r="CI7" s="6">
        <f t="shared" si="82"/>
        <v>0</v>
      </c>
      <c r="CJ7" s="5">
        <f t="shared" si="83"/>
        <v>0</v>
      </c>
      <c r="CK7" s="6">
        <f t="shared" si="84"/>
        <v>0</v>
      </c>
      <c r="CL7" s="7">
        <f t="shared" si="85"/>
        <v>0</v>
      </c>
      <c r="CM7" s="6">
        <f t="shared" si="86"/>
        <v>0</v>
      </c>
      <c r="CN7" s="7">
        <f t="shared" si="87"/>
        <v>0</v>
      </c>
      <c r="CO7" s="6">
        <f t="shared" si="88"/>
        <v>0</v>
      </c>
      <c r="CP7" s="5">
        <f t="shared" si="89"/>
        <v>0</v>
      </c>
      <c r="CQ7" s="6">
        <f t="shared" si="90"/>
        <v>0</v>
      </c>
      <c r="CR7" s="7">
        <f t="shared" si="0"/>
        <v>100</v>
      </c>
      <c r="CS7" s="6">
        <f t="shared" si="0"/>
        <v>102.75</v>
      </c>
      <c r="CT7" s="7">
        <f t="shared" si="0"/>
        <v>42.714285714285708</v>
      </c>
      <c r="CU7" s="6">
        <f t="shared" si="0"/>
        <v>45.571428571428569</v>
      </c>
      <c r="CV7" s="5">
        <f t="shared" si="91"/>
        <v>142.71428571428572</v>
      </c>
      <c r="CW7" s="6">
        <f t="shared" si="92"/>
        <v>148.32142857142856</v>
      </c>
      <c r="CY7" s="7">
        <v>142.71428571428572</v>
      </c>
      <c r="CZ7" s="5">
        <f t="array" ref="CZ7">Summary_UpperBound</f>
        <v>148.32142857142856</v>
      </c>
      <c r="DA7" s="6">
        <f t="shared" si="93"/>
        <v>5.6071428571428328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43729</v>
      </c>
      <c r="F8" s="7">
        <f t="shared" si="1"/>
        <v>0</v>
      </c>
      <c r="G8" s="6">
        <f t="shared" si="2"/>
        <v>0</v>
      </c>
      <c r="H8" s="7">
        <f t="shared" si="3"/>
        <v>20</v>
      </c>
      <c r="I8" s="6">
        <f t="shared" si="4"/>
        <v>21</v>
      </c>
      <c r="J8" s="5">
        <f t="shared" si="5"/>
        <v>20</v>
      </c>
      <c r="K8" s="6">
        <f t="shared" si="6"/>
        <v>21</v>
      </c>
      <c r="L8" s="7">
        <f t="shared" si="7"/>
        <v>0</v>
      </c>
      <c r="M8" s="6">
        <f t="shared" si="8"/>
        <v>0</v>
      </c>
      <c r="N8" s="7">
        <f t="shared" si="9"/>
        <v>13.142857142857142</v>
      </c>
      <c r="O8" s="6">
        <f t="shared" si="10"/>
        <v>14.285714285714285</v>
      </c>
      <c r="P8" s="5">
        <f t="shared" si="11"/>
        <v>13.142857142857142</v>
      </c>
      <c r="Q8" s="6">
        <f t="shared" si="12"/>
        <v>14.285714285714285</v>
      </c>
      <c r="R8" s="7">
        <f t="shared" si="13"/>
        <v>0</v>
      </c>
      <c r="S8" s="6">
        <f t="shared" si="14"/>
        <v>0</v>
      </c>
      <c r="T8" s="7">
        <f t="shared" si="15"/>
        <v>9.5714285714285712</v>
      </c>
      <c r="U8" s="6">
        <f t="shared" si="16"/>
        <v>10.285714285714285</v>
      </c>
      <c r="V8" s="5">
        <f t="shared" si="17"/>
        <v>9.5714285714285712</v>
      </c>
      <c r="W8" s="6">
        <f t="shared" si="18"/>
        <v>10.285714285714285</v>
      </c>
      <c r="X8" s="7">
        <f t="shared" si="19"/>
        <v>70</v>
      </c>
      <c r="Y8" s="6">
        <f t="shared" si="20"/>
        <v>71</v>
      </c>
      <c r="Z8" s="7">
        <f t="shared" si="21"/>
        <v>0</v>
      </c>
      <c r="AA8" s="6">
        <f t="shared" si="22"/>
        <v>0</v>
      </c>
      <c r="AB8" s="5">
        <f t="shared" si="23"/>
        <v>70</v>
      </c>
      <c r="AC8" s="6">
        <f t="shared" si="24"/>
        <v>71</v>
      </c>
      <c r="AD8" s="7">
        <f t="shared" si="25"/>
        <v>30</v>
      </c>
      <c r="AE8" s="6">
        <f t="shared" si="26"/>
        <v>31.75</v>
      </c>
      <c r="AF8" s="7">
        <f t="shared" si="27"/>
        <v>0</v>
      </c>
      <c r="AG8" s="6">
        <f t="shared" si="28"/>
        <v>0</v>
      </c>
      <c r="AH8" s="5">
        <f t="shared" si="29"/>
        <v>30</v>
      </c>
      <c r="AI8" s="6">
        <f t="shared" si="30"/>
        <v>31.75</v>
      </c>
      <c r="AJ8" s="7">
        <f t="shared" si="31"/>
        <v>0</v>
      </c>
      <c r="AK8" s="6">
        <f t="shared" si="32"/>
        <v>0</v>
      </c>
      <c r="AL8" s="7">
        <f t="shared" si="33"/>
        <v>0</v>
      </c>
      <c r="AM8" s="6">
        <f t="shared" si="34"/>
        <v>0</v>
      </c>
      <c r="AN8" s="5">
        <f t="shared" si="35"/>
        <v>0</v>
      </c>
      <c r="AO8" s="6">
        <f t="shared" si="36"/>
        <v>0</v>
      </c>
      <c r="AP8" s="7">
        <f t="shared" si="37"/>
        <v>0</v>
      </c>
      <c r="AQ8" s="6">
        <f t="shared" si="38"/>
        <v>0</v>
      </c>
      <c r="AR8" s="7">
        <f t="shared" si="39"/>
        <v>0</v>
      </c>
      <c r="AS8" s="6">
        <f t="shared" si="40"/>
        <v>0</v>
      </c>
      <c r="AT8" s="5">
        <f t="shared" si="41"/>
        <v>0</v>
      </c>
      <c r="AU8" s="6">
        <f t="shared" si="42"/>
        <v>0</v>
      </c>
      <c r="AV8" s="7">
        <f t="shared" si="43"/>
        <v>0</v>
      </c>
      <c r="AW8" s="6">
        <f t="shared" si="44"/>
        <v>0</v>
      </c>
      <c r="AX8" s="7">
        <f t="shared" si="45"/>
        <v>0</v>
      </c>
      <c r="AY8" s="6">
        <f t="shared" si="46"/>
        <v>0</v>
      </c>
      <c r="AZ8" s="5">
        <f t="shared" si="47"/>
        <v>0</v>
      </c>
      <c r="BA8" s="6">
        <f t="shared" si="48"/>
        <v>0</v>
      </c>
      <c r="BB8" s="7">
        <f t="shared" si="49"/>
        <v>0</v>
      </c>
      <c r="BC8" s="6">
        <f t="shared" si="50"/>
        <v>0</v>
      </c>
      <c r="BD8" s="7">
        <f t="shared" si="51"/>
        <v>0</v>
      </c>
      <c r="BE8" s="6">
        <f t="shared" si="52"/>
        <v>0</v>
      </c>
      <c r="BF8" s="5">
        <f t="shared" si="53"/>
        <v>0</v>
      </c>
      <c r="BG8" s="6">
        <f t="shared" si="54"/>
        <v>0</v>
      </c>
      <c r="BH8" s="7">
        <f t="shared" si="55"/>
        <v>0</v>
      </c>
      <c r="BI8" s="6">
        <f t="shared" si="56"/>
        <v>0</v>
      </c>
      <c r="BJ8" s="7">
        <f t="shared" si="57"/>
        <v>0</v>
      </c>
      <c r="BK8" s="6">
        <f t="shared" si="58"/>
        <v>0</v>
      </c>
      <c r="BL8" s="5">
        <f t="shared" si="59"/>
        <v>0</v>
      </c>
      <c r="BM8" s="6">
        <f t="shared" si="60"/>
        <v>0</v>
      </c>
      <c r="BN8" s="7">
        <f t="shared" si="61"/>
        <v>0</v>
      </c>
      <c r="BO8" s="6">
        <f t="shared" si="62"/>
        <v>0</v>
      </c>
      <c r="BP8" s="7">
        <f t="shared" si="63"/>
        <v>0</v>
      </c>
      <c r="BQ8" s="6">
        <f t="shared" si="64"/>
        <v>0</v>
      </c>
      <c r="BR8" s="5">
        <f t="shared" si="65"/>
        <v>0</v>
      </c>
      <c r="BS8" s="6">
        <f t="shared" si="66"/>
        <v>0</v>
      </c>
      <c r="BT8" s="7">
        <f t="shared" si="67"/>
        <v>0</v>
      </c>
      <c r="BU8" s="6">
        <f t="shared" si="68"/>
        <v>0</v>
      </c>
      <c r="BV8" s="7">
        <f t="shared" si="69"/>
        <v>0</v>
      </c>
      <c r="BW8" s="6">
        <f t="shared" si="70"/>
        <v>0</v>
      </c>
      <c r="BX8" s="5">
        <f t="shared" si="71"/>
        <v>0</v>
      </c>
      <c r="BY8" s="6">
        <f t="shared" si="72"/>
        <v>0</v>
      </c>
      <c r="BZ8" s="7">
        <f t="shared" si="73"/>
        <v>0</v>
      </c>
      <c r="CA8" s="6">
        <f t="shared" si="74"/>
        <v>0</v>
      </c>
      <c r="CB8" s="7">
        <f t="shared" si="75"/>
        <v>0</v>
      </c>
      <c r="CC8" s="6">
        <f t="shared" si="76"/>
        <v>0</v>
      </c>
      <c r="CD8" s="5">
        <f t="shared" si="77"/>
        <v>0</v>
      </c>
      <c r="CE8" s="6">
        <f t="shared" si="78"/>
        <v>0</v>
      </c>
      <c r="CF8" s="7">
        <f t="shared" si="79"/>
        <v>0</v>
      </c>
      <c r="CG8" s="6">
        <f t="shared" si="80"/>
        <v>0</v>
      </c>
      <c r="CH8" s="7">
        <f t="shared" si="81"/>
        <v>0</v>
      </c>
      <c r="CI8" s="6">
        <f t="shared" si="82"/>
        <v>0</v>
      </c>
      <c r="CJ8" s="5">
        <f t="shared" si="83"/>
        <v>0</v>
      </c>
      <c r="CK8" s="6">
        <f t="shared" si="84"/>
        <v>0</v>
      </c>
      <c r="CL8" s="7">
        <f t="shared" si="85"/>
        <v>0</v>
      </c>
      <c r="CM8" s="6">
        <f t="shared" si="86"/>
        <v>0</v>
      </c>
      <c r="CN8" s="7">
        <f t="shared" si="87"/>
        <v>0</v>
      </c>
      <c r="CO8" s="6">
        <f t="shared" si="88"/>
        <v>0</v>
      </c>
      <c r="CP8" s="5">
        <f t="shared" si="89"/>
        <v>0</v>
      </c>
      <c r="CQ8" s="6">
        <f t="shared" si="90"/>
        <v>0</v>
      </c>
      <c r="CR8" s="7">
        <f t="shared" si="0"/>
        <v>100</v>
      </c>
      <c r="CS8" s="6">
        <f t="shared" si="0"/>
        <v>102.75</v>
      </c>
      <c r="CT8" s="7">
        <f t="shared" si="0"/>
        <v>42.714285714285708</v>
      </c>
      <c r="CU8" s="6">
        <f t="shared" si="0"/>
        <v>45.571428571428569</v>
      </c>
      <c r="CV8" s="5">
        <f t="shared" si="91"/>
        <v>142.71428571428572</v>
      </c>
      <c r="CW8" s="6">
        <f t="shared" si="92"/>
        <v>148.32142857142856</v>
      </c>
      <c r="CY8" s="7">
        <v>142.71428571428572</v>
      </c>
      <c r="CZ8" s="5">
        <f t="array" ref="CZ8">Summary_UpperBound</f>
        <v>148.32142857142856</v>
      </c>
      <c r="DA8" s="6">
        <f t="shared" si="93"/>
        <v>5.6071428571428328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43736</v>
      </c>
      <c r="F9" s="7">
        <f t="shared" si="1"/>
        <v>0</v>
      </c>
      <c r="G9" s="6">
        <f t="shared" si="2"/>
        <v>0</v>
      </c>
      <c r="H9" s="7">
        <f t="shared" si="3"/>
        <v>20</v>
      </c>
      <c r="I9" s="6">
        <f t="shared" si="4"/>
        <v>21</v>
      </c>
      <c r="J9" s="5">
        <f t="shared" si="5"/>
        <v>20</v>
      </c>
      <c r="K9" s="6">
        <f t="shared" si="6"/>
        <v>21</v>
      </c>
      <c r="L9" s="7">
        <f t="shared" si="7"/>
        <v>0</v>
      </c>
      <c r="M9" s="6">
        <f t="shared" si="8"/>
        <v>0</v>
      </c>
      <c r="N9" s="7">
        <f t="shared" si="9"/>
        <v>13.142857142857142</v>
      </c>
      <c r="O9" s="6">
        <f t="shared" si="10"/>
        <v>14.285714285714285</v>
      </c>
      <c r="P9" s="5">
        <f t="shared" si="11"/>
        <v>13.142857142857142</v>
      </c>
      <c r="Q9" s="6">
        <f t="shared" si="12"/>
        <v>14.285714285714285</v>
      </c>
      <c r="R9" s="7">
        <f t="shared" si="13"/>
        <v>0</v>
      </c>
      <c r="S9" s="6">
        <f t="shared" si="14"/>
        <v>0</v>
      </c>
      <c r="T9" s="7">
        <f t="shared" si="15"/>
        <v>9.5714285714285712</v>
      </c>
      <c r="U9" s="6">
        <f t="shared" si="16"/>
        <v>10.285714285714285</v>
      </c>
      <c r="V9" s="5">
        <f t="shared" si="17"/>
        <v>9.5714285714285712</v>
      </c>
      <c r="W9" s="6">
        <f t="shared" si="18"/>
        <v>10.285714285714285</v>
      </c>
      <c r="X9" s="7">
        <f t="shared" si="19"/>
        <v>70</v>
      </c>
      <c r="Y9" s="6">
        <f t="shared" si="20"/>
        <v>71</v>
      </c>
      <c r="Z9" s="7">
        <f t="shared" si="21"/>
        <v>0</v>
      </c>
      <c r="AA9" s="6">
        <f t="shared" si="22"/>
        <v>0</v>
      </c>
      <c r="AB9" s="5">
        <f t="shared" si="23"/>
        <v>70</v>
      </c>
      <c r="AC9" s="6">
        <f t="shared" si="24"/>
        <v>71</v>
      </c>
      <c r="AD9" s="7">
        <f t="shared" si="25"/>
        <v>30</v>
      </c>
      <c r="AE9" s="6">
        <f t="shared" si="26"/>
        <v>31.75</v>
      </c>
      <c r="AF9" s="7">
        <f t="shared" si="27"/>
        <v>0</v>
      </c>
      <c r="AG9" s="6">
        <f t="shared" si="28"/>
        <v>0</v>
      </c>
      <c r="AH9" s="5">
        <f t="shared" si="29"/>
        <v>30</v>
      </c>
      <c r="AI9" s="6">
        <f t="shared" si="30"/>
        <v>31.75</v>
      </c>
      <c r="AJ9" s="7">
        <f t="shared" si="31"/>
        <v>0</v>
      </c>
      <c r="AK9" s="6">
        <f t="shared" si="32"/>
        <v>0</v>
      </c>
      <c r="AL9" s="7">
        <f t="shared" si="33"/>
        <v>0</v>
      </c>
      <c r="AM9" s="6">
        <f t="shared" si="34"/>
        <v>0</v>
      </c>
      <c r="AN9" s="5">
        <f t="shared" si="35"/>
        <v>0</v>
      </c>
      <c r="AO9" s="6">
        <f t="shared" si="36"/>
        <v>0</v>
      </c>
      <c r="AP9" s="7">
        <f t="shared" si="37"/>
        <v>0</v>
      </c>
      <c r="AQ9" s="6">
        <f t="shared" si="38"/>
        <v>0</v>
      </c>
      <c r="AR9" s="7">
        <f t="shared" si="39"/>
        <v>0</v>
      </c>
      <c r="AS9" s="6">
        <f t="shared" si="40"/>
        <v>0</v>
      </c>
      <c r="AT9" s="5">
        <f t="shared" si="41"/>
        <v>0</v>
      </c>
      <c r="AU9" s="6">
        <f t="shared" si="42"/>
        <v>0</v>
      </c>
      <c r="AV9" s="7">
        <f t="shared" si="43"/>
        <v>0</v>
      </c>
      <c r="AW9" s="6">
        <f t="shared" si="44"/>
        <v>0</v>
      </c>
      <c r="AX9" s="7">
        <f t="shared" si="45"/>
        <v>0</v>
      </c>
      <c r="AY9" s="6">
        <f t="shared" si="46"/>
        <v>0</v>
      </c>
      <c r="AZ9" s="5">
        <f t="shared" si="47"/>
        <v>0</v>
      </c>
      <c r="BA9" s="6">
        <f t="shared" si="48"/>
        <v>0</v>
      </c>
      <c r="BB9" s="7">
        <f t="shared" si="49"/>
        <v>0</v>
      </c>
      <c r="BC9" s="6">
        <f t="shared" si="50"/>
        <v>0</v>
      </c>
      <c r="BD9" s="7">
        <f t="shared" si="51"/>
        <v>0</v>
      </c>
      <c r="BE9" s="6">
        <f t="shared" si="52"/>
        <v>0</v>
      </c>
      <c r="BF9" s="5">
        <f t="shared" si="53"/>
        <v>0</v>
      </c>
      <c r="BG9" s="6">
        <f t="shared" si="54"/>
        <v>0</v>
      </c>
      <c r="BH9" s="7">
        <f t="shared" si="55"/>
        <v>0</v>
      </c>
      <c r="BI9" s="6">
        <f t="shared" si="56"/>
        <v>0</v>
      </c>
      <c r="BJ9" s="7">
        <f t="shared" si="57"/>
        <v>0</v>
      </c>
      <c r="BK9" s="6">
        <f t="shared" si="58"/>
        <v>0</v>
      </c>
      <c r="BL9" s="5">
        <f t="shared" si="59"/>
        <v>0</v>
      </c>
      <c r="BM9" s="6">
        <f t="shared" si="60"/>
        <v>0</v>
      </c>
      <c r="BN9" s="7">
        <f t="shared" si="61"/>
        <v>0</v>
      </c>
      <c r="BO9" s="6">
        <f t="shared" si="62"/>
        <v>0</v>
      </c>
      <c r="BP9" s="7">
        <f t="shared" si="63"/>
        <v>0</v>
      </c>
      <c r="BQ9" s="6">
        <f t="shared" si="64"/>
        <v>0</v>
      </c>
      <c r="BR9" s="5">
        <f t="shared" si="65"/>
        <v>0</v>
      </c>
      <c r="BS9" s="6">
        <f t="shared" si="66"/>
        <v>0</v>
      </c>
      <c r="BT9" s="7">
        <f t="shared" si="67"/>
        <v>0</v>
      </c>
      <c r="BU9" s="6">
        <f t="shared" si="68"/>
        <v>0</v>
      </c>
      <c r="BV9" s="7">
        <f t="shared" si="69"/>
        <v>0</v>
      </c>
      <c r="BW9" s="6">
        <f t="shared" si="70"/>
        <v>0</v>
      </c>
      <c r="BX9" s="5">
        <f t="shared" si="71"/>
        <v>0</v>
      </c>
      <c r="BY9" s="6">
        <f t="shared" si="72"/>
        <v>0</v>
      </c>
      <c r="BZ9" s="7">
        <f t="shared" si="73"/>
        <v>0</v>
      </c>
      <c r="CA9" s="6">
        <f t="shared" si="74"/>
        <v>0</v>
      </c>
      <c r="CB9" s="7">
        <f t="shared" si="75"/>
        <v>0</v>
      </c>
      <c r="CC9" s="6">
        <f t="shared" si="76"/>
        <v>0</v>
      </c>
      <c r="CD9" s="5">
        <f t="shared" si="77"/>
        <v>0</v>
      </c>
      <c r="CE9" s="6">
        <f t="shared" si="78"/>
        <v>0</v>
      </c>
      <c r="CF9" s="7">
        <f t="shared" si="79"/>
        <v>0</v>
      </c>
      <c r="CG9" s="6">
        <f t="shared" si="80"/>
        <v>0</v>
      </c>
      <c r="CH9" s="7">
        <f t="shared" si="81"/>
        <v>0</v>
      </c>
      <c r="CI9" s="6">
        <f t="shared" si="82"/>
        <v>0</v>
      </c>
      <c r="CJ9" s="5">
        <f t="shared" si="83"/>
        <v>0</v>
      </c>
      <c r="CK9" s="6">
        <f t="shared" si="84"/>
        <v>0</v>
      </c>
      <c r="CL9" s="7">
        <f t="shared" si="85"/>
        <v>0</v>
      </c>
      <c r="CM9" s="6">
        <f t="shared" si="86"/>
        <v>0</v>
      </c>
      <c r="CN9" s="7">
        <f t="shared" si="87"/>
        <v>0</v>
      </c>
      <c r="CO9" s="6">
        <f t="shared" si="88"/>
        <v>0</v>
      </c>
      <c r="CP9" s="5">
        <f t="shared" si="89"/>
        <v>0</v>
      </c>
      <c r="CQ9" s="6">
        <f t="shared" si="90"/>
        <v>0</v>
      </c>
      <c r="CR9" s="7">
        <f t="shared" si="0"/>
        <v>100</v>
      </c>
      <c r="CS9" s="6">
        <f t="shared" si="0"/>
        <v>102.75</v>
      </c>
      <c r="CT9" s="7">
        <f t="shared" si="0"/>
        <v>42.714285714285708</v>
      </c>
      <c r="CU9" s="6">
        <f t="shared" si="0"/>
        <v>45.571428571428569</v>
      </c>
      <c r="CV9" s="5">
        <f t="shared" si="91"/>
        <v>142.71428571428572</v>
      </c>
      <c r="CW9" s="6">
        <f t="shared" si="92"/>
        <v>148.32142857142856</v>
      </c>
      <c r="CY9" s="7">
        <v>142.71428571428572</v>
      </c>
      <c r="CZ9" s="5">
        <f t="array" ref="CZ9">Summary_UpperBound</f>
        <v>148.32142857142856</v>
      </c>
      <c r="DA9" s="6">
        <f t="shared" si="93"/>
        <v>5.6071428571428328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43743</v>
      </c>
      <c r="F10" s="7">
        <f t="shared" si="1"/>
        <v>0</v>
      </c>
      <c r="G10" s="6">
        <f t="shared" si="2"/>
        <v>0</v>
      </c>
      <c r="H10" s="7">
        <f t="shared" si="3"/>
        <v>20</v>
      </c>
      <c r="I10" s="6">
        <f t="shared" si="4"/>
        <v>21</v>
      </c>
      <c r="J10" s="5">
        <f t="shared" si="5"/>
        <v>20</v>
      </c>
      <c r="K10" s="6">
        <f t="shared" si="6"/>
        <v>21</v>
      </c>
      <c r="L10" s="7">
        <f t="shared" si="7"/>
        <v>0</v>
      </c>
      <c r="M10" s="6">
        <f t="shared" si="8"/>
        <v>0</v>
      </c>
      <c r="N10" s="7">
        <f t="shared" si="9"/>
        <v>13.142857142857142</v>
      </c>
      <c r="O10" s="6">
        <f t="shared" si="10"/>
        <v>14.285714285714285</v>
      </c>
      <c r="P10" s="5">
        <f t="shared" si="11"/>
        <v>13.142857142857142</v>
      </c>
      <c r="Q10" s="6">
        <f t="shared" si="12"/>
        <v>14.285714285714285</v>
      </c>
      <c r="R10" s="7">
        <f t="shared" si="13"/>
        <v>0</v>
      </c>
      <c r="S10" s="6">
        <f t="shared" si="14"/>
        <v>0</v>
      </c>
      <c r="T10" s="7">
        <f t="shared" si="15"/>
        <v>9.5714285714285712</v>
      </c>
      <c r="U10" s="6">
        <f t="shared" si="16"/>
        <v>10.285714285714285</v>
      </c>
      <c r="V10" s="5">
        <f t="shared" si="17"/>
        <v>9.5714285714285712</v>
      </c>
      <c r="W10" s="6">
        <f t="shared" si="18"/>
        <v>10.285714285714285</v>
      </c>
      <c r="X10" s="7">
        <f t="shared" si="19"/>
        <v>70</v>
      </c>
      <c r="Y10" s="6">
        <f t="shared" si="20"/>
        <v>71</v>
      </c>
      <c r="Z10" s="7">
        <f t="shared" si="21"/>
        <v>0</v>
      </c>
      <c r="AA10" s="6">
        <f t="shared" si="22"/>
        <v>0</v>
      </c>
      <c r="AB10" s="5">
        <f t="shared" si="23"/>
        <v>70</v>
      </c>
      <c r="AC10" s="6">
        <f t="shared" si="24"/>
        <v>71</v>
      </c>
      <c r="AD10" s="7">
        <f t="shared" si="25"/>
        <v>30</v>
      </c>
      <c r="AE10" s="6">
        <f t="shared" si="26"/>
        <v>31.75</v>
      </c>
      <c r="AF10" s="7">
        <f t="shared" si="27"/>
        <v>0</v>
      </c>
      <c r="AG10" s="6">
        <f t="shared" si="28"/>
        <v>0</v>
      </c>
      <c r="AH10" s="5">
        <f t="shared" si="29"/>
        <v>30</v>
      </c>
      <c r="AI10" s="6">
        <f t="shared" si="30"/>
        <v>31.75</v>
      </c>
      <c r="AJ10" s="7">
        <f t="shared" si="31"/>
        <v>0</v>
      </c>
      <c r="AK10" s="6">
        <f t="shared" si="32"/>
        <v>0</v>
      </c>
      <c r="AL10" s="7">
        <f t="shared" si="33"/>
        <v>0</v>
      </c>
      <c r="AM10" s="6">
        <f t="shared" si="34"/>
        <v>0</v>
      </c>
      <c r="AN10" s="5">
        <f t="shared" si="35"/>
        <v>0</v>
      </c>
      <c r="AO10" s="6">
        <f t="shared" si="36"/>
        <v>0</v>
      </c>
      <c r="AP10" s="7">
        <f t="shared" si="37"/>
        <v>0</v>
      </c>
      <c r="AQ10" s="6">
        <f t="shared" si="38"/>
        <v>0</v>
      </c>
      <c r="AR10" s="7">
        <f t="shared" si="39"/>
        <v>0</v>
      </c>
      <c r="AS10" s="6">
        <f t="shared" si="40"/>
        <v>0</v>
      </c>
      <c r="AT10" s="5">
        <f t="shared" si="41"/>
        <v>0</v>
      </c>
      <c r="AU10" s="6">
        <f t="shared" si="42"/>
        <v>0</v>
      </c>
      <c r="AV10" s="7">
        <f t="shared" si="43"/>
        <v>0</v>
      </c>
      <c r="AW10" s="6">
        <f t="shared" si="44"/>
        <v>0</v>
      </c>
      <c r="AX10" s="7">
        <f t="shared" si="45"/>
        <v>0</v>
      </c>
      <c r="AY10" s="6">
        <f t="shared" si="46"/>
        <v>0</v>
      </c>
      <c r="AZ10" s="5">
        <f t="shared" si="47"/>
        <v>0</v>
      </c>
      <c r="BA10" s="6">
        <f t="shared" si="48"/>
        <v>0</v>
      </c>
      <c r="BB10" s="7">
        <f t="shared" si="49"/>
        <v>0</v>
      </c>
      <c r="BC10" s="6">
        <f t="shared" si="50"/>
        <v>0</v>
      </c>
      <c r="BD10" s="7">
        <f t="shared" si="51"/>
        <v>0</v>
      </c>
      <c r="BE10" s="6">
        <f t="shared" si="52"/>
        <v>0</v>
      </c>
      <c r="BF10" s="5">
        <f t="shared" si="53"/>
        <v>0</v>
      </c>
      <c r="BG10" s="6">
        <f t="shared" si="54"/>
        <v>0</v>
      </c>
      <c r="BH10" s="7">
        <f t="shared" si="55"/>
        <v>0</v>
      </c>
      <c r="BI10" s="6">
        <f t="shared" si="56"/>
        <v>0</v>
      </c>
      <c r="BJ10" s="7">
        <f t="shared" si="57"/>
        <v>0</v>
      </c>
      <c r="BK10" s="6">
        <f t="shared" si="58"/>
        <v>0</v>
      </c>
      <c r="BL10" s="5">
        <f t="shared" si="59"/>
        <v>0</v>
      </c>
      <c r="BM10" s="6">
        <f t="shared" si="60"/>
        <v>0</v>
      </c>
      <c r="BN10" s="7">
        <f t="shared" si="61"/>
        <v>0</v>
      </c>
      <c r="BO10" s="6">
        <f t="shared" si="62"/>
        <v>0</v>
      </c>
      <c r="BP10" s="7">
        <f t="shared" si="63"/>
        <v>0</v>
      </c>
      <c r="BQ10" s="6">
        <f t="shared" si="64"/>
        <v>0</v>
      </c>
      <c r="BR10" s="5">
        <f t="shared" si="65"/>
        <v>0</v>
      </c>
      <c r="BS10" s="6">
        <f t="shared" si="66"/>
        <v>0</v>
      </c>
      <c r="BT10" s="7">
        <f t="shared" si="67"/>
        <v>0</v>
      </c>
      <c r="BU10" s="6">
        <f t="shared" si="68"/>
        <v>0</v>
      </c>
      <c r="BV10" s="7">
        <f t="shared" si="69"/>
        <v>0</v>
      </c>
      <c r="BW10" s="6">
        <f t="shared" si="70"/>
        <v>0</v>
      </c>
      <c r="BX10" s="5">
        <f t="shared" si="71"/>
        <v>0</v>
      </c>
      <c r="BY10" s="6">
        <f t="shared" si="72"/>
        <v>0</v>
      </c>
      <c r="BZ10" s="7">
        <f t="shared" si="73"/>
        <v>0</v>
      </c>
      <c r="CA10" s="6">
        <f t="shared" si="74"/>
        <v>0</v>
      </c>
      <c r="CB10" s="7">
        <f t="shared" si="75"/>
        <v>0</v>
      </c>
      <c r="CC10" s="6">
        <f t="shared" si="76"/>
        <v>0</v>
      </c>
      <c r="CD10" s="5">
        <f t="shared" si="77"/>
        <v>0</v>
      </c>
      <c r="CE10" s="6">
        <f t="shared" si="78"/>
        <v>0</v>
      </c>
      <c r="CF10" s="7">
        <f t="shared" si="79"/>
        <v>0</v>
      </c>
      <c r="CG10" s="6">
        <f t="shared" si="80"/>
        <v>0</v>
      </c>
      <c r="CH10" s="7">
        <f t="shared" si="81"/>
        <v>0</v>
      </c>
      <c r="CI10" s="6">
        <f t="shared" si="82"/>
        <v>0</v>
      </c>
      <c r="CJ10" s="5">
        <f t="shared" si="83"/>
        <v>0</v>
      </c>
      <c r="CK10" s="6">
        <f t="shared" si="84"/>
        <v>0</v>
      </c>
      <c r="CL10" s="7">
        <f t="shared" si="85"/>
        <v>0</v>
      </c>
      <c r="CM10" s="6">
        <f t="shared" si="86"/>
        <v>0</v>
      </c>
      <c r="CN10" s="7">
        <f t="shared" si="87"/>
        <v>0</v>
      </c>
      <c r="CO10" s="6">
        <f t="shared" si="88"/>
        <v>0</v>
      </c>
      <c r="CP10" s="5">
        <f t="shared" si="89"/>
        <v>0</v>
      </c>
      <c r="CQ10" s="6">
        <f t="shared" si="90"/>
        <v>0</v>
      </c>
      <c r="CR10" s="7">
        <f t="shared" si="0"/>
        <v>100</v>
      </c>
      <c r="CS10" s="6">
        <f t="shared" si="0"/>
        <v>102.75</v>
      </c>
      <c r="CT10" s="7">
        <f t="shared" si="0"/>
        <v>42.714285714285708</v>
      </c>
      <c r="CU10" s="6">
        <f t="shared" si="0"/>
        <v>45.571428571428569</v>
      </c>
      <c r="CV10" s="5">
        <f t="shared" si="91"/>
        <v>142.71428571428572</v>
      </c>
      <c r="CW10" s="6">
        <f t="shared" si="92"/>
        <v>148.32142857142856</v>
      </c>
      <c r="CY10" s="7">
        <v>142.71428571428572</v>
      </c>
      <c r="CZ10" s="5">
        <f t="array" ref="CZ10">Summary_UpperBound</f>
        <v>148.32142857142856</v>
      </c>
      <c r="DA10" s="6">
        <f t="shared" si="93"/>
        <v>5.6071428571428328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43750</v>
      </c>
      <c r="F11" s="7">
        <f t="shared" si="1"/>
        <v>0</v>
      </c>
      <c r="G11" s="6">
        <f t="shared" si="2"/>
        <v>0</v>
      </c>
      <c r="H11" s="7">
        <f t="shared" si="3"/>
        <v>20</v>
      </c>
      <c r="I11" s="6">
        <f t="shared" si="4"/>
        <v>21</v>
      </c>
      <c r="J11" s="5">
        <f t="shared" si="5"/>
        <v>20</v>
      </c>
      <c r="K11" s="6">
        <f t="shared" si="6"/>
        <v>21</v>
      </c>
      <c r="L11" s="7">
        <f t="shared" si="7"/>
        <v>0</v>
      </c>
      <c r="M11" s="6">
        <f t="shared" si="8"/>
        <v>0</v>
      </c>
      <c r="N11" s="7">
        <f t="shared" si="9"/>
        <v>13.142857142857142</v>
      </c>
      <c r="O11" s="6">
        <f t="shared" si="10"/>
        <v>14.285714285714285</v>
      </c>
      <c r="P11" s="5">
        <f t="shared" si="11"/>
        <v>13.142857142857142</v>
      </c>
      <c r="Q11" s="6">
        <f t="shared" si="12"/>
        <v>14.285714285714285</v>
      </c>
      <c r="R11" s="7">
        <f t="shared" si="13"/>
        <v>0</v>
      </c>
      <c r="S11" s="6">
        <f t="shared" si="14"/>
        <v>0</v>
      </c>
      <c r="T11" s="7">
        <f t="shared" si="15"/>
        <v>9.5714285714285712</v>
      </c>
      <c r="U11" s="6">
        <f t="shared" si="16"/>
        <v>10.285714285714285</v>
      </c>
      <c r="V11" s="5">
        <f t="shared" si="17"/>
        <v>9.5714285714285712</v>
      </c>
      <c r="W11" s="6">
        <f t="shared" si="18"/>
        <v>10.285714285714285</v>
      </c>
      <c r="X11" s="7">
        <f t="shared" si="19"/>
        <v>70</v>
      </c>
      <c r="Y11" s="6">
        <f t="shared" si="20"/>
        <v>71</v>
      </c>
      <c r="Z11" s="7">
        <f t="shared" si="21"/>
        <v>0</v>
      </c>
      <c r="AA11" s="6">
        <f t="shared" si="22"/>
        <v>0</v>
      </c>
      <c r="AB11" s="5">
        <f t="shared" si="23"/>
        <v>70</v>
      </c>
      <c r="AC11" s="6">
        <f t="shared" si="24"/>
        <v>71</v>
      </c>
      <c r="AD11" s="7">
        <f t="shared" si="25"/>
        <v>30</v>
      </c>
      <c r="AE11" s="6">
        <f t="shared" si="26"/>
        <v>31.75</v>
      </c>
      <c r="AF11" s="7">
        <f t="shared" si="27"/>
        <v>0</v>
      </c>
      <c r="AG11" s="6">
        <f t="shared" si="28"/>
        <v>0</v>
      </c>
      <c r="AH11" s="5">
        <f t="shared" si="29"/>
        <v>30</v>
      </c>
      <c r="AI11" s="6">
        <f t="shared" si="30"/>
        <v>31.75</v>
      </c>
      <c r="AJ11" s="7">
        <f t="shared" si="31"/>
        <v>0</v>
      </c>
      <c r="AK11" s="6">
        <f t="shared" si="32"/>
        <v>0</v>
      </c>
      <c r="AL11" s="7">
        <f t="shared" si="33"/>
        <v>0</v>
      </c>
      <c r="AM11" s="6">
        <f t="shared" si="34"/>
        <v>0</v>
      </c>
      <c r="AN11" s="5">
        <f t="shared" si="35"/>
        <v>0</v>
      </c>
      <c r="AO11" s="6">
        <f t="shared" si="36"/>
        <v>0</v>
      </c>
      <c r="AP11" s="7">
        <f t="shared" si="37"/>
        <v>0</v>
      </c>
      <c r="AQ11" s="6">
        <f t="shared" si="38"/>
        <v>0</v>
      </c>
      <c r="AR11" s="7">
        <f t="shared" si="39"/>
        <v>0</v>
      </c>
      <c r="AS11" s="6">
        <f t="shared" si="40"/>
        <v>0</v>
      </c>
      <c r="AT11" s="5">
        <f t="shared" si="41"/>
        <v>0</v>
      </c>
      <c r="AU11" s="6">
        <f t="shared" si="42"/>
        <v>0</v>
      </c>
      <c r="AV11" s="7">
        <f t="shared" si="43"/>
        <v>0</v>
      </c>
      <c r="AW11" s="6">
        <f t="shared" si="44"/>
        <v>0</v>
      </c>
      <c r="AX11" s="7">
        <f t="shared" si="45"/>
        <v>0</v>
      </c>
      <c r="AY11" s="6">
        <f t="shared" si="46"/>
        <v>0</v>
      </c>
      <c r="AZ11" s="5">
        <f t="shared" si="47"/>
        <v>0</v>
      </c>
      <c r="BA11" s="6">
        <f t="shared" si="48"/>
        <v>0</v>
      </c>
      <c r="BB11" s="7">
        <f t="shared" si="49"/>
        <v>0</v>
      </c>
      <c r="BC11" s="6">
        <f t="shared" si="50"/>
        <v>0</v>
      </c>
      <c r="BD11" s="7">
        <f t="shared" si="51"/>
        <v>0</v>
      </c>
      <c r="BE11" s="6">
        <f t="shared" si="52"/>
        <v>0</v>
      </c>
      <c r="BF11" s="5">
        <f t="shared" si="53"/>
        <v>0</v>
      </c>
      <c r="BG11" s="6">
        <f t="shared" si="54"/>
        <v>0</v>
      </c>
      <c r="BH11" s="7">
        <f t="shared" si="55"/>
        <v>0</v>
      </c>
      <c r="BI11" s="6">
        <f t="shared" si="56"/>
        <v>0</v>
      </c>
      <c r="BJ11" s="7">
        <f t="shared" si="57"/>
        <v>0</v>
      </c>
      <c r="BK11" s="6">
        <f t="shared" si="58"/>
        <v>0</v>
      </c>
      <c r="BL11" s="5">
        <f t="shared" si="59"/>
        <v>0</v>
      </c>
      <c r="BM11" s="6">
        <f t="shared" si="60"/>
        <v>0</v>
      </c>
      <c r="BN11" s="7">
        <f t="shared" si="61"/>
        <v>0</v>
      </c>
      <c r="BO11" s="6">
        <f t="shared" si="62"/>
        <v>0</v>
      </c>
      <c r="BP11" s="7">
        <f t="shared" si="63"/>
        <v>0</v>
      </c>
      <c r="BQ11" s="6">
        <f t="shared" si="64"/>
        <v>0</v>
      </c>
      <c r="BR11" s="5">
        <f t="shared" si="65"/>
        <v>0</v>
      </c>
      <c r="BS11" s="6">
        <f t="shared" si="66"/>
        <v>0</v>
      </c>
      <c r="BT11" s="7">
        <f t="shared" si="67"/>
        <v>0</v>
      </c>
      <c r="BU11" s="6">
        <f t="shared" si="68"/>
        <v>0</v>
      </c>
      <c r="BV11" s="7">
        <f t="shared" si="69"/>
        <v>0</v>
      </c>
      <c r="BW11" s="6">
        <f t="shared" si="70"/>
        <v>0</v>
      </c>
      <c r="BX11" s="5">
        <f t="shared" si="71"/>
        <v>0</v>
      </c>
      <c r="BY11" s="6">
        <f t="shared" si="72"/>
        <v>0</v>
      </c>
      <c r="BZ11" s="7">
        <f t="shared" si="73"/>
        <v>0</v>
      </c>
      <c r="CA11" s="6">
        <f t="shared" si="74"/>
        <v>0</v>
      </c>
      <c r="CB11" s="7">
        <f t="shared" si="75"/>
        <v>0</v>
      </c>
      <c r="CC11" s="6">
        <f t="shared" si="76"/>
        <v>0</v>
      </c>
      <c r="CD11" s="5">
        <f t="shared" si="77"/>
        <v>0</v>
      </c>
      <c r="CE11" s="6">
        <f t="shared" si="78"/>
        <v>0</v>
      </c>
      <c r="CF11" s="7">
        <f t="shared" si="79"/>
        <v>0</v>
      </c>
      <c r="CG11" s="6">
        <f t="shared" si="80"/>
        <v>0</v>
      </c>
      <c r="CH11" s="7">
        <f t="shared" si="81"/>
        <v>0</v>
      </c>
      <c r="CI11" s="6">
        <f t="shared" si="82"/>
        <v>0</v>
      </c>
      <c r="CJ11" s="5">
        <f t="shared" si="83"/>
        <v>0</v>
      </c>
      <c r="CK11" s="6">
        <f t="shared" si="84"/>
        <v>0</v>
      </c>
      <c r="CL11" s="7">
        <f t="shared" si="85"/>
        <v>0</v>
      </c>
      <c r="CM11" s="6">
        <f t="shared" si="86"/>
        <v>0</v>
      </c>
      <c r="CN11" s="7">
        <f t="shared" si="87"/>
        <v>0</v>
      </c>
      <c r="CO11" s="6">
        <f t="shared" si="88"/>
        <v>0</v>
      </c>
      <c r="CP11" s="5">
        <f t="shared" si="89"/>
        <v>0</v>
      </c>
      <c r="CQ11" s="6">
        <f t="shared" si="90"/>
        <v>0</v>
      </c>
      <c r="CR11" s="7">
        <f t="shared" si="0"/>
        <v>100</v>
      </c>
      <c r="CS11" s="6">
        <f t="shared" si="0"/>
        <v>102.75</v>
      </c>
      <c r="CT11" s="7">
        <f t="shared" si="0"/>
        <v>42.714285714285708</v>
      </c>
      <c r="CU11" s="6">
        <f t="shared" si="0"/>
        <v>45.571428571428569</v>
      </c>
      <c r="CV11" s="5">
        <f t="shared" si="91"/>
        <v>142.71428571428572</v>
      </c>
      <c r="CW11" s="6">
        <f t="shared" si="92"/>
        <v>148.32142857142856</v>
      </c>
      <c r="CY11" s="7">
        <v>142.71428571428572</v>
      </c>
      <c r="CZ11" s="5">
        <f t="array" ref="CZ11">Summary_UpperBound</f>
        <v>148.32142857142856</v>
      </c>
      <c r="DA11" s="6">
        <f t="shared" si="93"/>
        <v>5.6071428571428328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43757</v>
      </c>
      <c r="F12" s="7">
        <f t="shared" si="1"/>
        <v>0</v>
      </c>
      <c r="G12" s="6">
        <f t="shared" si="2"/>
        <v>0</v>
      </c>
      <c r="H12" s="7">
        <f t="shared" si="3"/>
        <v>20</v>
      </c>
      <c r="I12" s="6">
        <f t="shared" si="4"/>
        <v>21</v>
      </c>
      <c r="J12" s="5">
        <f t="shared" si="5"/>
        <v>20</v>
      </c>
      <c r="K12" s="6">
        <f t="shared" si="6"/>
        <v>21</v>
      </c>
      <c r="L12" s="7">
        <f t="shared" si="7"/>
        <v>0</v>
      </c>
      <c r="M12" s="6">
        <f t="shared" si="8"/>
        <v>0</v>
      </c>
      <c r="N12" s="7">
        <f t="shared" si="9"/>
        <v>13.142857142857142</v>
      </c>
      <c r="O12" s="6">
        <f t="shared" si="10"/>
        <v>14.285714285714285</v>
      </c>
      <c r="P12" s="5">
        <f t="shared" si="11"/>
        <v>13.142857142857142</v>
      </c>
      <c r="Q12" s="6">
        <f t="shared" si="12"/>
        <v>14.285714285714285</v>
      </c>
      <c r="R12" s="7">
        <f t="shared" si="13"/>
        <v>0</v>
      </c>
      <c r="S12" s="6">
        <f t="shared" si="14"/>
        <v>0</v>
      </c>
      <c r="T12" s="7">
        <f t="shared" si="15"/>
        <v>9.5714285714285712</v>
      </c>
      <c r="U12" s="6">
        <f t="shared" si="16"/>
        <v>10.285714285714285</v>
      </c>
      <c r="V12" s="5">
        <f t="shared" si="17"/>
        <v>9.5714285714285712</v>
      </c>
      <c r="W12" s="6">
        <f t="shared" si="18"/>
        <v>10.285714285714285</v>
      </c>
      <c r="X12" s="7">
        <f t="shared" si="19"/>
        <v>70</v>
      </c>
      <c r="Y12" s="6">
        <f t="shared" si="20"/>
        <v>71</v>
      </c>
      <c r="Z12" s="7">
        <f t="shared" si="21"/>
        <v>0</v>
      </c>
      <c r="AA12" s="6">
        <f t="shared" si="22"/>
        <v>0</v>
      </c>
      <c r="AB12" s="5">
        <f t="shared" si="23"/>
        <v>70</v>
      </c>
      <c r="AC12" s="6">
        <f t="shared" si="24"/>
        <v>71</v>
      </c>
      <c r="AD12" s="7">
        <f t="shared" si="25"/>
        <v>30</v>
      </c>
      <c r="AE12" s="6">
        <f t="shared" si="26"/>
        <v>31.75</v>
      </c>
      <c r="AF12" s="7">
        <f t="shared" si="27"/>
        <v>0</v>
      </c>
      <c r="AG12" s="6">
        <f t="shared" si="28"/>
        <v>0</v>
      </c>
      <c r="AH12" s="5">
        <f t="shared" si="29"/>
        <v>30</v>
      </c>
      <c r="AI12" s="6">
        <f t="shared" si="30"/>
        <v>31.75</v>
      </c>
      <c r="AJ12" s="7">
        <f t="shared" si="31"/>
        <v>0</v>
      </c>
      <c r="AK12" s="6">
        <f t="shared" si="32"/>
        <v>0</v>
      </c>
      <c r="AL12" s="7">
        <f t="shared" si="33"/>
        <v>0</v>
      </c>
      <c r="AM12" s="6">
        <f t="shared" si="34"/>
        <v>0</v>
      </c>
      <c r="AN12" s="5">
        <f t="shared" si="35"/>
        <v>0</v>
      </c>
      <c r="AO12" s="6">
        <f t="shared" si="36"/>
        <v>0</v>
      </c>
      <c r="AP12" s="7">
        <f t="shared" si="37"/>
        <v>0</v>
      </c>
      <c r="AQ12" s="6">
        <f t="shared" si="38"/>
        <v>0</v>
      </c>
      <c r="AR12" s="7">
        <f t="shared" si="39"/>
        <v>0</v>
      </c>
      <c r="AS12" s="6">
        <f t="shared" si="40"/>
        <v>0</v>
      </c>
      <c r="AT12" s="5">
        <f t="shared" si="41"/>
        <v>0</v>
      </c>
      <c r="AU12" s="6">
        <f t="shared" si="42"/>
        <v>0</v>
      </c>
      <c r="AV12" s="7">
        <f t="shared" si="43"/>
        <v>0</v>
      </c>
      <c r="AW12" s="6">
        <f t="shared" si="44"/>
        <v>0</v>
      </c>
      <c r="AX12" s="7">
        <f t="shared" si="45"/>
        <v>0</v>
      </c>
      <c r="AY12" s="6">
        <f t="shared" si="46"/>
        <v>0</v>
      </c>
      <c r="AZ12" s="5">
        <f t="shared" si="47"/>
        <v>0</v>
      </c>
      <c r="BA12" s="6">
        <f t="shared" si="48"/>
        <v>0</v>
      </c>
      <c r="BB12" s="7">
        <f t="shared" si="49"/>
        <v>0</v>
      </c>
      <c r="BC12" s="6">
        <f t="shared" si="50"/>
        <v>0</v>
      </c>
      <c r="BD12" s="7">
        <f t="shared" si="51"/>
        <v>0</v>
      </c>
      <c r="BE12" s="6">
        <f t="shared" si="52"/>
        <v>0</v>
      </c>
      <c r="BF12" s="5">
        <f t="shared" si="53"/>
        <v>0</v>
      </c>
      <c r="BG12" s="6">
        <f t="shared" si="54"/>
        <v>0</v>
      </c>
      <c r="BH12" s="7">
        <f t="shared" si="55"/>
        <v>0</v>
      </c>
      <c r="BI12" s="6">
        <f t="shared" si="56"/>
        <v>0</v>
      </c>
      <c r="BJ12" s="7">
        <f t="shared" si="57"/>
        <v>0</v>
      </c>
      <c r="BK12" s="6">
        <f t="shared" si="58"/>
        <v>0</v>
      </c>
      <c r="BL12" s="5">
        <f t="shared" si="59"/>
        <v>0</v>
      </c>
      <c r="BM12" s="6">
        <f t="shared" si="60"/>
        <v>0</v>
      </c>
      <c r="BN12" s="7">
        <f t="shared" si="61"/>
        <v>0</v>
      </c>
      <c r="BO12" s="6">
        <f t="shared" si="62"/>
        <v>0</v>
      </c>
      <c r="BP12" s="7">
        <f t="shared" si="63"/>
        <v>0</v>
      </c>
      <c r="BQ12" s="6">
        <f t="shared" si="64"/>
        <v>0</v>
      </c>
      <c r="BR12" s="5">
        <f t="shared" si="65"/>
        <v>0</v>
      </c>
      <c r="BS12" s="6">
        <f t="shared" si="66"/>
        <v>0</v>
      </c>
      <c r="BT12" s="7">
        <f t="shared" si="67"/>
        <v>0</v>
      </c>
      <c r="BU12" s="6">
        <f t="shared" si="68"/>
        <v>0</v>
      </c>
      <c r="BV12" s="7">
        <f t="shared" si="69"/>
        <v>0</v>
      </c>
      <c r="BW12" s="6">
        <f t="shared" si="70"/>
        <v>0</v>
      </c>
      <c r="BX12" s="5">
        <f t="shared" si="71"/>
        <v>0</v>
      </c>
      <c r="BY12" s="6">
        <f t="shared" si="72"/>
        <v>0</v>
      </c>
      <c r="BZ12" s="7">
        <f t="shared" si="73"/>
        <v>0</v>
      </c>
      <c r="CA12" s="6">
        <f t="shared" si="74"/>
        <v>0</v>
      </c>
      <c r="CB12" s="7">
        <f t="shared" si="75"/>
        <v>0</v>
      </c>
      <c r="CC12" s="6">
        <f t="shared" si="76"/>
        <v>0</v>
      </c>
      <c r="CD12" s="5">
        <f t="shared" si="77"/>
        <v>0</v>
      </c>
      <c r="CE12" s="6">
        <f t="shared" si="78"/>
        <v>0</v>
      </c>
      <c r="CF12" s="7">
        <f t="shared" si="79"/>
        <v>0</v>
      </c>
      <c r="CG12" s="6">
        <f t="shared" si="80"/>
        <v>0</v>
      </c>
      <c r="CH12" s="7">
        <f t="shared" si="81"/>
        <v>0</v>
      </c>
      <c r="CI12" s="6">
        <f t="shared" si="82"/>
        <v>0</v>
      </c>
      <c r="CJ12" s="5">
        <f t="shared" si="83"/>
        <v>0</v>
      </c>
      <c r="CK12" s="6">
        <f t="shared" si="84"/>
        <v>0</v>
      </c>
      <c r="CL12" s="7">
        <f t="shared" si="85"/>
        <v>0</v>
      </c>
      <c r="CM12" s="6">
        <f t="shared" si="86"/>
        <v>0</v>
      </c>
      <c r="CN12" s="7">
        <f t="shared" si="87"/>
        <v>0</v>
      </c>
      <c r="CO12" s="6">
        <f t="shared" si="88"/>
        <v>0</v>
      </c>
      <c r="CP12" s="5">
        <f t="shared" si="89"/>
        <v>0</v>
      </c>
      <c r="CQ12" s="6">
        <f t="shared" si="90"/>
        <v>0</v>
      </c>
      <c r="CR12" s="7">
        <f t="shared" si="0"/>
        <v>100</v>
      </c>
      <c r="CS12" s="6">
        <f t="shared" si="0"/>
        <v>102.75</v>
      </c>
      <c r="CT12" s="7">
        <f t="shared" si="0"/>
        <v>42.714285714285708</v>
      </c>
      <c r="CU12" s="6">
        <f t="shared" si="0"/>
        <v>45.571428571428569</v>
      </c>
      <c r="CV12" s="5">
        <f t="shared" si="91"/>
        <v>142.71428571428572</v>
      </c>
      <c r="CW12" s="6">
        <f t="shared" si="92"/>
        <v>148.32142857142856</v>
      </c>
      <c r="CY12" s="7">
        <v>142.71428571428572</v>
      </c>
      <c r="CZ12" s="5">
        <f t="array" ref="CZ12">Summary_UpperBound</f>
        <v>148.32142857142856</v>
      </c>
      <c r="DA12" s="6">
        <f t="shared" si="93"/>
        <v>5.6071428571428328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43764</v>
      </c>
      <c r="F13" s="7">
        <f t="shared" si="1"/>
        <v>0</v>
      </c>
      <c r="G13" s="6">
        <f t="shared" si="2"/>
        <v>0</v>
      </c>
      <c r="H13" s="7">
        <f t="shared" si="3"/>
        <v>20</v>
      </c>
      <c r="I13" s="6">
        <f t="shared" si="4"/>
        <v>21</v>
      </c>
      <c r="J13" s="5">
        <f t="shared" si="5"/>
        <v>20</v>
      </c>
      <c r="K13" s="6">
        <f t="shared" si="6"/>
        <v>21</v>
      </c>
      <c r="L13" s="7">
        <f t="shared" si="7"/>
        <v>0</v>
      </c>
      <c r="M13" s="6">
        <f t="shared" si="8"/>
        <v>0</v>
      </c>
      <c r="N13" s="7">
        <f t="shared" si="9"/>
        <v>13.142857142857142</v>
      </c>
      <c r="O13" s="6">
        <f t="shared" si="10"/>
        <v>14.285714285714285</v>
      </c>
      <c r="P13" s="5">
        <f t="shared" si="11"/>
        <v>13.142857142857142</v>
      </c>
      <c r="Q13" s="6">
        <f t="shared" si="12"/>
        <v>14.285714285714285</v>
      </c>
      <c r="R13" s="7">
        <f t="shared" si="13"/>
        <v>0</v>
      </c>
      <c r="S13" s="6">
        <f t="shared" si="14"/>
        <v>0</v>
      </c>
      <c r="T13" s="7">
        <f t="shared" si="15"/>
        <v>9.5714285714285712</v>
      </c>
      <c r="U13" s="6">
        <f t="shared" si="16"/>
        <v>10.285714285714285</v>
      </c>
      <c r="V13" s="5">
        <f t="shared" si="17"/>
        <v>9.5714285714285712</v>
      </c>
      <c r="W13" s="6">
        <f t="shared" si="18"/>
        <v>10.285714285714285</v>
      </c>
      <c r="X13" s="7">
        <f t="shared" si="19"/>
        <v>70</v>
      </c>
      <c r="Y13" s="6">
        <f t="shared" si="20"/>
        <v>71</v>
      </c>
      <c r="Z13" s="7">
        <f t="shared" si="21"/>
        <v>0</v>
      </c>
      <c r="AA13" s="6">
        <f t="shared" si="22"/>
        <v>0</v>
      </c>
      <c r="AB13" s="5">
        <f t="shared" si="23"/>
        <v>70</v>
      </c>
      <c r="AC13" s="6">
        <f t="shared" si="24"/>
        <v>71</v>
      </c>
      <c r="AD13" s="7">
        <f t="shared" si="25"/>
        <v>30</v>
      </c>
      <c r="AE13" s="6">
        <f t="shared" si="26"/>
        <v>31.75</v>
      </c>
      <c r="AF13" s="7">
        <f t="shared" si="27"/>
        <v>0</v>
      </c>
      <c r="AG13" s="6">
        <f t="shared" si="28"/>
        <v>0</v>
      </c>
      <c r="AH13" s="5">
        <f t="shared" si="29"/>
        <v>30</v>
      </c>
      <c r="AI13" s="6">
        <f t="shared" si="30"/>
        <v>31.75</v>
      </c>
      <c r="AJ13" s="7">
        <f t="shared" si="31"/>
        <v>0</v>
      </c>
      <c r="AK13" s="6">
        <f t="shared" si="32"/>
        <v>0</v>
      </c>
      <c r="AL13" s="7">
        <f t="shared" si="33"/>
        <v>0</v>
      </c>
      <c r="AM13" s="6">
        <f t="shared" si="34"/>
        <v>0</v>
      </c>
      <c r="AN13" s="5">
        <f t="shared" si="35"/>
        <v>0</v>
      </c>
      <c r="AO13" s="6">
        <f t="shared" si="36"/>
        <v>0</v>
      </c>
      <c r="AP13" s="7">
        <f t="shared" si="37"/>
        <v>0</v>
      </c>
      <c r="AQ13" s="6">
        <f t="shared" si="38"/>
        <v>0</v>
      </c>
      <c r="AR13" s="7">
        <f t="shared" si="39"/>
        <v>0</v>
      </c>
      <c r="AS13" s="6">
        <f t="shared" si="40"/>
        <v>0</v>
      </c>
      <c r="AT13" s="5">
        <f t="shared" si="41"/>
        <v>0</v>
      </c>
      <c r="AU13" s="6">
        <f t="shared" si="42"/>
        <v>0</v>
      </c>
      <c r="AV13" s="7">
        <f t="shared" si="43"/>
        <v>0</v>
      </c>
      <c r="AW13" s="6">
        <f t="shared" si="44"/>
        <v>0</v>
      </c>
      <c r="AX13" s="7">
        <f t="shared" si="45"/>
        <v>0</v>
      </c>
      <c r="AY13" s="6">
        <f t="shared" si="46"/>
        <v>0</v>
      </c>
      <c r="AZ13" s="5">
        <f t="shared" si="47"/>
        <v>0</v>
      </c>
      <c r="BA13" s="6">
        <f t="shared" si="48"/>
        <v>0</v>
      </c>
      <c r="BB13" s="7">
        <f t="shared" si="49"/>
        <v>0</v>
      </c>
      <c r="BC13" s="6">
        <f t="shared" si="50"/>
        <v>0</v>
      </c>
      <c r="BD13" s="7">
        <f t="shared" si="51"/>
        <v>0</v>
      </c>
      <c r="BE13" s="6">
        <f t="shared" si="52"/>
        <v>0</v>
      </c>
      <c r="BF13" s="5">
        <f t="shared" si="53"/>
        <v>0</v>
      </c>
      <c r="BG13" s="6">
        <f t="shared" si="54"/>
        <v>0</v>
      </c>
      <c r="BH13" s="7">
        <f t="shared" si="55"/>
        <v>0</v>
      </c>
      <c r="BI13" s="6">
        <f t="shared" si="56"/>
        <v>0</v>
      </c>
      <c r="BJ13" s="7">
        <f t="shared" si="57"/>
        <v>0</v>
      </c>
      <c r="BK13" s="6">
        <f t="shared" si="58"/>
        <v>0</v>
      </c>
      <c r="BL13" s="5">
        <f t="shared" si="59"/>
        <v>0</v>
      </c>
      <c r="BM13" s="6">
        <f t="shared" si="60"/>
        <v>0</v>
      </c>
      <c r="BN13" s="7">
        <f t="shared" si="61"/>
        <v>0</v>
      </c>
      <c r="BO13" s="6">
        <f t="shared" si="62"/>
        <v>0</v>
      </c>
      <c r="BP13" s="7">
        <f t="shared" si="63"/>
        <v>0</v>
      </c>
      <c r="BQ13" s="6">
        <f t="shared" si="64"/>
        <v>0</v>
      </c>
      <c r="BR13" s="5">
        <f t="shared" si="65"/>
        <v>0</v>
      </c>
      <c r="BS13" s="6">
        <f t="shared" si="66"/>
        <v>0</v>
      </c>
      <c r="BT13" s="7">
        <f t="shared" si="67"/>
        <v>0</v>
      </c>
      <c r="BU13" s="6">
        <f t="shared" si="68"/>
        <v>0</v>
      </c>
      <c r="BV13" s="7">
        <f t="shared" si="69"/>
        <v>0</v>
      </c>
      <c r="BW13" s="6">
        <f t="shared" si="70"/>
        <v>0</v>
      </c>
      <c r="BX13" s="5">
        <f t="shared" si="71"/>
        <v>0</v>
      </c>
      <c r="BY13" s="6">
        <f t="shared" si="72"/>
        <v>0</v>
      </c>
      <c r="BZ13" s="7">
        <f t="shared" si="73"/>
        <v>0</v>
      </c>
      <c r="CA13" s="6">
        <f t="shared" si="74"/>
        <v>0</v>
      </c>
      <c r="CB13" s="7">
        <f t="shared" si="75"/>
        <v>0</v>
      </c>
      <c r="CC13" s="6">
        <f t="shared" si="76"/>
        <v>0</v>
      </c>
      <c r="CD13" s="5">
        <f t="shared" si="77"/>
        <v>0</v>
      </c>
      <c r="CE13" s="6">
        <f t="shared" si="78"/>
        <v>0</v>
      </c>
      <c r="CF13" s="7">
        <f t="shared" si="79"/>
        <v>0</v>
      </c>
      <c r="CG13" s="6">
        <f t="shared" si="80"/>
        <v>0</v>
      </c>
      <c r="CH13" s="7">
        <f t="shared" si="81"/>
        <v>0</v>
      </c>
      <c r="CI13" s="6">
        <f t="shared" si="82"/>
        <v>0</v>
      </c>
      <c r="CJ13" s="5">
        <f t="shared" si="83"/>
        <v>0</v>
      </c>
      <c r="CK13" s="6">
        <f t="shared" si="84"/>
        <v>0</v>
      </c>
      <c r="CL13" s="7">
        <f t="shared" si="85"/>
        <v>0</v>
      </c>
      <c r="CM13" s="6">
        <f t="shared" si="86"/>
        <v>0</v>
      </c>
      <c r="CN13" s="7">
        <f t="shared" si="87"/>
        <v>0</v>
      </c>
      <c r="CO13" s="6">
        <f t="shared" si="88"/>
        <v>0</v>
      </c>
      <c r="CP13" s="5">
        <f t="shared" si="89"/>
        <v>0</v>
      </c>
      <c r="CQ13" s="6">
        <f t="shared" si="90"/>
        <v>0</v>
      </c>
      <c r="CR13" s="7">
        <f t="shared" si="0"/>
        <v>100</v>
      </c>
      <c r="CS13" s="6">
        <f t="shared" si="0"/>
        <v>102.75</v>
      </c>
      <c r="CT13" s="7">
        <f t="shared" si="0"/>
        <v>42.714285714285708</v>
      </c>
      <c r="CU13" s="6">
        <f t="shared" si="0"/>
        <v>45.571428571428569</v>
      </c>
      <c r="CV13" s="5">
        <f t="shared" si="91"/>
        <v>142.71428571428572</v>
      </c>
      <c r="CW13" s="6">
        <f t="shared" si="92"/>
        <v>148.32142857142856</v>
      </c>
      <c r="CY13" s="7">
        <v>142.71428571428572</v>
      </c>
      <c r="CZ13" s="5">
        <f t="array" ref="CZ13">Summary_UpperBound</f>
        <v>148.32142857142856</v>
      </c>
      <c r="DA13" s="6">
        <f t="shared" si="93"/>
        <v>5.6071428571428328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43771</v>
      </c>
      <c r="F14" s="7">
        <f t="shared" si="1"/>
        <v>0</v>
      </c>
      <c r="G14" s="6">
        <f t="shared" si="2"/>
        <v>0</v>
      </c>
      <c r="H14" s="7">
        <f t="shared" si="3"/>
        <v>20</v>
      </c>
      <c r="I14" s="6">
        <f t="shared" si="4"/>
        <v>21</v>
      </c>
      <c r="J14" s="5">
        <f t="shared" si="5"/>
        <v>20</v>
      </c>
      <c r="K14" s="6">
        <f t="shared" si="6"/>
        <v>21</v>
      </c>
      <c r="L14" s="7">
        <f t="shared" si="7"/>
        <v>0</v>
      </c>
      <c r="M14" s="6">
        <f t="shared" si="8"/>
        <v>0</v>
      </c>
      <c r="N14" s="7">
        <f t="shared" si="9"/>
        <v>13.142857142857142</v>
      </c>
      <c r="O14" s="6">
        <f t="shared" si="10"/>
        <v>14.285714285714285</v>
      </c>
      <c r="P14" s="5">
        <f t="shared" si="11"/>
        <v>13.142857142857142</v>
      </c>
      <c r="Q14" s="6">
        <f t="shared" si="12"/>
        <v>14.285714285714285</v>
      </c>
      <c r="R14" s="7">
        <f t="shared" si="13"/>
        <v>0</v>
      </c>
      <c r="S14" s="6">
        <f t="shared" si="14"/>
        <v>0</v>
      </c>
      <c r="T14" s="7">
        <f t="shared" si="15"/>
        <v>9.5714285714285712</v>
      </c>
      <c r="U14" s="6">
        <f t="shared" si="16"/>
        <v>10.285714285714285</v>
      </c>
      <c r="V14" s="5">
        <f t="shared" si="17"/>
        <v>9.5714285714285712</v>
      </c>
      <c r="W14" s="6">
        <f t="shared" si="18"/>
        <v>10.285714285714285</v>
      </c>
      <c r="X14" s="7">
        <f t="shared" si="19"/>
        <v>70</v>
      </c>
      <c r="Y14" s="6">
        <f t="shared" si="20"/>
        <v>71</v>
      </c>
      <c r="Z14" s="7">
        <f t="shared" si="21"/>
        <v>0</v>
      </c>
      <c r="AA14" s="6">
        <f t="shared" si="22"/>
        <v>0</v>
      </c>
      <c r="AB14" s="5">
        <f t="shared" si="23"/>
        <v>70</v>
      </c>
      <c r="AC14" s="6">
        <f t="shared" si="24"/>
        <v>71</v>
      </c>
      <c r="AD14" s="7">
        <f t="shared" si="25"/>
        <v>30</v>
      </c>
      <c r="AE14" s="6">
        <f t="shared" si="26"/>
        <v>31.75</v>
      </c>
      <c r="AF14" s="7">
        <f t="shared" si="27"/>
        <v>0</v>
      </c>
      <c r="AG14" s="6">
        <f t="shared" si="28"/>
        <v>0</v>
      </c>
      <c r="AH14" s="5">
        <f t="shared" si="29"/>
        <v>30</v>
      </c>
      <c r="AI14" s="6">
        <f t="shared" si="30"/>
        <v>31.75</v>
      </c>
      <c r="AJ14" s="7">
        <f t="shared" si="31"/>
        <v>0</v>
      </c>
      <c r="AK14" s="6">
        <f t="shared" si="32"/>
        <v>0</v>
      </c>
      <c r="AL14" s="7">
        <f t="shared" si="33"/>
        <v>0</v>
      </c>
      <c r="AM14" s="6">
        <f t="shared" si="34"/>
        <v>0</v>
      </c>
      <c r="AN14" s="5">
        <f t="shared" si="35"/>
        <v>0</v>
      </c>
      <c r="AO14" s="6">
        <f t="shared" si="36"/>
        <v>0</v>
      </c>
      <c r="AP14" s="7">
        <f t="shared" si="37"/>
        <v>0</v>
      </c>
      <c r="AQ14" s="6">
        <f t="shared" si="38"/>
        <v>0</v>
      </c>
      <c r="AR14" s="7">
        <f t="shared" si="39"/>
        <v>0</v>
      </c>
      <c r="AS14" s="6">
        <f t="shared" si="40"/>
        <v>0</v>
      </c>
      <c r="AT14" s="5">
        <f t="shared" si="41"/>
        <v>0</v>
      </c>
      <c r="AU14" s="6">
        <f t="shared" si="42"/>
        <v>0</v>
      </c>
      <c r="AV14" s="7">
        <f t="shared" si="43"/>
        <v>0</v>
      </c>
      <c r="AW14" s="6">
        <f t="shared" si="44"/>
        <v>0</v>
      </c>
      <c r="AX14" s="7">
        <f t="shared" si="45"/>
        <v>0</v>
      </c>
      <c r="AY14" s="6">
        <f t="shared" si="46"/>
        <v>0</v>
      </c>
      <c r="AZ14" s="5">
        <f t="shared" si="47"/>
        <v>0</v>
      </c>
      <c r="BA14" s="6">
        <f t="shared" si="48"/>
        <v>0</v>
      </c>
      <c r="BB14" s="7">
        <f t="shared" si="49"/>
        <v>0</v>
      </c>
      <c r="BC14" s="6">
        <f t="shared" si="50"/>
        <v>0</v>
      </c>
      <c r="BD14" s="7">
        <f t="shared" si="51"/>
        <v>0</v>
      </c>
      <c r="BE14" s="6">
        <f t="shared" si="52"/>
        <v>0</v>
      </c>
      <c r="BF14" s="5">
        <f t="shared" si="53"/>
        <v>0</v>
      </c>
      <c r="BG14" s="6">
        <f t="shared" si="54"/>
        <v>0</v>
      </c>
      <c r="BH14" s="7">
        <f t="shared" si="55"/>
        <v>0</v>
      </c>
      <c r="BI14" s="6">
        <f t="shared" si="56"/>
        <v>0</v>
      </c>
      <c r="BJ14" s="7">
        <f t="shared" si="57"/>
        <v>0</v>
      </c>
      <c r="BK14" s="6">
        <f t="shared" si="58"/>
        <v>0</v>
      </c>
      <c r="BL14" s="5">
        <f t="shared" si="59"/>
        <v>0</v>
      </c>
      <c r="BM14" s="6">
        <f t="shared" si="60"/>
        <v>0</v>
      </c>
      <c r="BN14" s="7">
        <f t="shared" si="61"/>
        <v>0</v>
      </c>
      <c r="BO14" s="6">
        <f t="shared" si="62"/>
        <v>0</v>
      </c>
      <c r="BP14" s="7">
        <f t="shared" si="63"/>
        <v>0</v>
      </c>
      <c r="BQ14" s="6">
        <f t="shared" si="64"/>
        <v>0</v>
      </c>
      <c r="BR14" s="5">
        <f t="shared" si="65"/>
        <v>0</v>
      </c>
      <c r="BS14" s="6">
        <f t="shared" si="66"/>
        <v>0</v>
      </c>
      <c r="BT14" s="7">
        <f t="shared" si="67"/>
        <v>0</v>
      </c>
      <c r="BU14" s="6">
        <f t="shared" si="68"/>
        <v>0</v>
      </c>
      <c r="BV14" s="7">
        <f t="shared" si="69"/>
        <v>0</v>
      </c>
      <c r="BW14" s="6">
        <f t="shared" si="70"/>
        <v>0</v>
      </c>
      <c r="BX14" s="5">
        <f t="shared" si="71"/>
        <v>0</v>
      </c>
      <c r="BY14" s="6">
        <f t="shared" si="72"/>
        <v>0</v>
      </c>
      <c r="BZ14" s="7">
        <f t="shared" si="73"/>
        <v>0</v>
      </c>
      <c r="CA14" s="6">
        <f t="shared" si="74"/>
        <v>0</v>
      </c>
      <c r="CB14" s="7">
        <f t="shared" si="75"/>
        <v>0</v>
      </c>
      <c r="CC14" s="6">
        <f t="shared" si="76"/>
        <v>0</v>
      </c>
      <c r="CD14" s="5">
        <f t="shared" si="77"/>
        <v>0</v>
      </c>
      <c r="CE14" s="6">
        <f t="shared" si="78"/>
        <v>0</v>
      </c>
      <c r="CF14" s="7">
        <f t="shared" si="79"/>
        <v>0</v>
      </c>
      <c r="CG14" s="6">
        <f t="shared" si="80"/>
        <v>0</v>
      </c>
      <c r="CH14" s="7">
        <f t="shared" si="81"/>
        <v>0</v>
      </c>
      <c r="CI14" s="6">
        <f t="shared" si="82"/>
        <v>0</v>
      </c>
      <c r="CJ14" s="5">
        <f t="shared" si="83"/>
        <v>0</v>
      </c>
      <c r="CK14" s="6">
        <f t="shared" si="84"/>
        <v>0</v>
      </c>
      <c r="CL14" s="7">
        <f t="shared" si="85"/>
        <v>0</v>
      </c>
      <c r="CM14" s="6">
        <f t="shared" si="86"/>
        <v>0</v>
      </c>
      <c r="CN14" s="7">
        <f t="shared" si="87"/>
        <v>0</v>
      </c>
      <c r="CO14" s="6">
        <f t="shared" si="88"/>
        <v>0</v>
      </c>
      <c r="CP14" s="5">
        <f t="shared" si="89"/>
        <v>0</v>
      </c>
      <c r="CQ14" s="6">
        <f t="shared" si="90"/>
        <v>0</v>
      </c>
      <c r="CR14" s="7">
        <f t="shared" si="0"/>
        <v>100</v>
      </c>
      <c r="CS14" s="6">
        <f t="shared" si="0"/>
        <v>102.75</v>
      </c>
      <c r="CT14" s="7">
        <f t="shared" si="0"/>
        <v>42.714285714285708</v>
      </c>
      <c r="CU14" s="6">
        <f t="shared" si="0"/>
        <v>45.571428571428569</v>
      </c>
      <c r="CV14" s="5">
        <f t="shared" si="91"/>
        <v>142.71428571428572</v>
      </c>
      <c r="CW14" s="6">
        <f t="shared" si="92"/>
        <v>148.32142857142856</v>
      </c>
      <c r="CY14" s="7">
        <v>142.71428571428572</v>
      </c>
      <c r="CZ14" s="5">
        <f t="array" ref="CZ14">Summary_UpperBound</f>
        <v>148.32142857142856</v>
      </c>
      <c r="DA14" s="6">
        <f t="shared" si="93"/>
        <v>5.6071428571428328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43778</v>
      </c>
      <c r="F15" s="7">
        <f t="shared" si="1"/>
        <v>0</v>
      </c>
      <c r="G15" s="6">
        <f t="shared" si="2"/>
        <v>0</v>
      </c>
      <c r="H15" s="7">
        <f t="shared" si="3"/>
        <v>20</v>
      </c>
      <c r="I15" s="6">
        <f t="shared" si="4"/>
        <v>21</v>
      </c>
      <c r="J15" s="5">
        <f t="shared" si="5"/>
        <v>20</v>
      </c>
      <c r="K15" s="6">
        <f t="shared" si="6"/>
        <v>21</v>
      </c>
      <c r="L15" s="7">
        <f t="shared" si="7"/>
        <v>0</v>
      </c>
      <c r="M15" s="6">
        <f t="shared" si="8"/>
        <v>0</v>
      </c>
      <c r="N15" s="7">
        <f t="shared" si="9"/>
        <v>13.142857142857142</v>
      </c>
      <c r="O15" s="6">
        <f t="shared" si="10"/>
        <v>14.285714285714285</v>
      </c>
      <c r="P15" s="5">
        <f t="shared" si="11"/>
        <v>13.142857142857142</v>
      </c>
      <c r="Q15" s="6">
        <f t="shared" si="12"/>
        <v>14.285714285714285</v>
      </c>
      <c r="R15" s="7">
        <f t="shared" si="13"/>
        <v>0</v>
      </c>
      <c r="S15" s="6">
        <f t="shared" si="14"/>
        <v>0</v>
      </c>
      <c r="T15" s="7">
        <f t="shared" si="15"/>
        <v>9.5714285714285712</v>
      </c>
      <c r="U15" s="6">
        <f t="shared" si="16"/>
        <v>10.285714285714285</v>
      </c>
      <c r="V15" s="5">
        <f t="shared" si="17"/>
        <v>9.5714285714285712</v>
      </c>
      <c r="W15" s="6">
        <f t="shared" si="18"/>
        <v>10.285714285714285</v>
      </c>
      <c r="X15" s="7">
        <f t="shared" si="19"/>
        <v>70</v>
      </c>
      <c r="Y15" s="6">
        <f t="shared" si="20"/>
        <v>71</v>
      </c>
      <c r="Z15" s="7">
        <f t="shared" si="21"/>
        <v>0</v>
      </c>
      <c r="AA15" s="6">
        <f t="shared" si="22"/>
        <v>0</v>
      </c>
      <c r="AB15" s="5">
        <f t="shared" si="23"/>
        <v>70</v>
      </c>
      <c r="AC15" s="6">
        <f t="shared" si="24"/>
        <v>71</v>
      </c>
      <c r="AD15" s="7">
        <f t="shared" si="25"/>
        <v>30</v>
      </c>
      <c r="AE15" s="6">
        <f t="shared" si="26"/>
        <v>31.75</v>
      </c>
      <c r="AF15" s="7">
        <f t="shared" si="27"/>
        <v>0</v>
      </c>
      <c r="AG15" s="6">
        <f t="shared" si="28"/>
        <v>0</v>
      </c>
      <c r="AH15" s="5">
        <f t="shared" si="29"/>
        <v>30</v>
      </c>
      <c r="AI15" s="6">
        <f t="shared" si="30"/>
        <v>31.75</v>
      </c>
      <c r="AJ15" s="7">
        <f t="shared" si="31"/>
        <v>0</v>
      </c>
      <c r="AK15" s="6">
        <f t="shared" si="32"/>
        <v>0</v>
      </c>
      <c r="AL15" s="7">
        <f t="shared" si="33"/>
        <v>0</v>
      </c>
      <c r="AM15" s="6">
        <f t="shared" si="34"/>
        <v>0</v>
      </c>
      <c r="AN15" s="5">
        <f t="shared" si="35"/>
        <v>0</v>
      </c>
      <c r="AO15" s="6">
        <f t="shared" si="36"/>
        <v>0</v>
      </c>
      <c r="AP15" s="7">
        <f t="shared" si="37"/>
        <v>0</v>
      </c>
      <c r="AQ15" s="6">
        <f t="shared" si="38"/>
        <v>0</v>
      </c>
      <c r="AR15" s="7">
        <f t="shared" si="39"/>
        <v>0</v>
      </c>
      <c r="AS15" s="6">
        <f t="shared" si="40"/>
        <v>0</v>
      </c>
      <c r="AT15" s="5">
        <f t="shared" si="41"/>
        <v>0</v>
      </c>
      <c r="AU15" s="6">
        <f t="shared" si="42"/>
        <v>0</v>
      </c>
      <c r="AV15" s="7">
        <f t="shared" si="43"/>
        <v>0</v>
      </c>
      <c r="AW15" s="6">
        <f t="shared" si="44"/>
        <v>0</v>
      </c>
      <c r="AX15" s="7">
        <f t="shared" si="45"/>
        <v>0</v>
      </c>
      <c r="AY15" s="6">
        <f t="shared" si="46"/>
        <v>0</v>
      </c>
      <c r="AZ15" s="5">
        <f t="shared" si="47"/>
        <v>0</v>
      </c>
      <c r="BA15" s="6">
        <f t="shared" si="48"/>
        <v>0</v>
      </c>
      <c r="BB15" s="7">
        <f t="shared" si="49"/>
        <v>0</v>
      </c>
      <c r="BC15" s="6">
        <f t="shared" si="50"/>
        <v>0</v>
      </c>
      <c r="BD15" s="7">
        <f t="shared" si="51"/>
        <v>0</v>
      </c>
      <c r="BE15" s="6">
        <f t="shared" si="52"/>
        <v>0</v>
      </c>
      <c r="BF15" s="5">
        <f t="shared" si="53"/>
        <v>0</v>
      </c>
      <c r="BG15" s="6">
        <f t="shared" si="54"/>
        <v>0</v>
      </c>
      <c r="BH15" s="7">
        <f t="shared" si="55"/>
        <v>0</v>
      </c>
      <c r="BI15" s="6">
        <f t="shared" si="56"/>
        <v>0</v>
      </c>
      <c r="BJ15" s="7">
        <f t="shared" si="57"/>
        <v>0</v>
      </c>
      <c r="BK15" s="6">
        <f t="shared" si="58"/>
        <v>0</v>
      </c>
      <c r="BL15" s="5">
        <f t="shared" si="59"/>
        <v>0</v>
      </c>
      <c r="BM15" s="6">
        <f t="shared" si="60"/>
        <v>0</v>
      </c>
      <c r="BN15" s="7">
        <f t="shared" si="61"/>
        <v>0</v>
      </c>
      <c r="BO15" s="6">
        <f t="shared" si="62"/>
        <v>0</v>
      </c>
      <c r="BP15" s="7">
        <f t="shared" si="63"/>
        <v>0</v>
      </c>
      <c r="BQ15" s="6">
        <f t="shared" si="64"/>
        <v>0</v>
      </c>
      <c r="BR15" s="5">
        <f t="shared" si="65"/>
        <v>0</v>
      </c>
      <c r="BS15" s="6">
        <f t="shared" si="66"/>
        <v>0</v>
      </c>
      <c r="BT15" s="7">
        <f t="shared" si="67"/>
        <v>0</v>
      </c>
      <c r="BU15" s="6">
        <f t="shared" si="68"/>
        <v>0</v>
      </c>
      <c r="BV15" s="7">
        <f t="shared" si="69"/>
        <v>0</v>
      </c>
      <c r="BW15" s="6">
        <f t="shared" si="70"/>
        <v>0</v>
      </c>
      <c r="BX15" s="5">
        <f t="shared" si="71"/>
        <v>0</v>
      </c>
      <c r="BY15" s="6">
        <f t="shared" si="72"/>
        <v>0</v>
      </c>
      <c r="BZ15" s="7">
        <f t="shared" si="73"/>
        <v>0</v>
      </c>
      <c r="CA15" s="6">
        <f t="shared" si="74"/>
        <v>0</v>
      </c>
      <c r="CB15" s="7">
        <f t="shared" si="75"/>
        <v>0</v>
      </c>
      <c r="CC15" s="6">
        <f t="shared" si="76"/>
        <v>0</v>
      </c>
      <c r="CD15" s="5">
        <f t="shared" si="77"/>
        <v>0</v>
      </c>
      <c r="CE15" s="6">
        <f t="shared" si="78"/>
        <v>0</v>
      </c>
      <c r="CF15" s="7">
        <f t="shared" si="79"/>
        <v>0</v>
      </c>
      <c r="CG15" s="6">
        <f t="shared" si="80"/>
        <v>0</v>
      </c>
      <c r="CH15" s="7">
        <f t="shared" si="81"/>
        <v>0</v>
      </c>
      <c r="CI15" s="6">
        <f t="shared" si="82"/>
        <v>0</v>
      </c>
      <c r="CJ15" s="5">
        <f t="shared" si="83"/>
        <v>0</v>
      </c>
      <c r="CK15" s="6">
        <f t="shared" si="84"/>
        <v>0</v>
      </c>
      <c r="CL15" s="7">
        <f t="shared" si="85"/>
        <v>0</v>
      </c>
      <c r="CM15" s="6">
        <f t="shared" si="86"/>
        <v>0</v>
      </c>
      <c r="CN15" s="7">
        <f t="shared" si="87"/>
        <v>0</v>
      </c>
      <c r="CO15" s="6">
        <f t="shared" si="88"/>
        <v>0</v>
      </c>
      <c r="CP15" s="5">
        <f t="shared" si="89"/>
        <v>0</v>
      </c>
      <c r="CQ15" s="6">
        <f t="shared" si="90"/>
        <v>0</v>
      </c>
      <c r="CR15" s="7">
        <f t="shared" si="0"/>
        <v>100</v>
      </c>
      <c r="CS15" s="6">
        <f t="shared" si="0"/>
        <v>102.75</v>
      </c>
      <c r="CT15" s="7">
        <f t="shared" si="0"/>
        <v>42.714285714285708</v>
      </c>
      <c r="CU15" s="6">
        <f t="shared" si="0"/>
        <v>45.571428571428569</v>
      </c>
      <c r="CV15" s="5">
        <f t="shared" si="91"/>
        <v>142.71428571428572</v>
      </c>
      <c r="CW15" s="6">
        <f t="shared" si="92"/>
        <v>148.32142857142856</v>
      </c>
      <c r="CY15" s="7">
        <v>142.71428571428572</v>
      </c>
      <c r="CZ15" s="5">
        <f t="array" ref="CZ15">Summary_UpperBound</f>
        <v>148.32142857142856</v>
      </c>
      <c r="DA15" s="6">
        <f t="shared" si="93"/>
        <v>5.6071428571428328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43785</v>
      </c>
      <c r="F16" s="7">
        <f t="shared" si="1"/>
        <v>0</v>
      </c>
      <c r="G16" s="6">
        <f t="shared" si="2"/>
        <v>0</v>
      </c>
      <c r="H16" s="7">
        <f t="shared" si="3"/>
        <v>20</v>
      </c>
      <c r="I16" s="6">
        <f t="shared" si="4"/>
        <v>21</v>
      </c>
      <c r="J16" s="5">
        <f t="shared" si="5"/>
        <v>20</v>
      </c>
      <c r="K16" s="6">
        <f t="shared" si="6"/>
        <v>21</v>
      </c>
      <c r="L16" s="7">
        <f t="shared" si="7"/>
        <v>0</v>
      </c>
      <c r="M16" s="6">
        <f t="shared" si="8"/>
        <v>0</v>
      </c>
      <c r="N16" s="7">
        <f t="shared" si="9"/>
        <v>13.142857142857142</v>
      </c>
      <c r="O16" s="6">
        <f t="shared" si="10"/>
        <v>14.285714285714285</v>
      </c>
      <c r="P16" s="5">
        <f t="shared" si="11"/>
        <v>13.142857142857142</v>
      </c>
      <c r="Q16" s="6">
        <f t="shared" si="12"/>
        <v>14.285714285714285</v>
      </c>
      <c r="R16" s="7">
        <f t="shared" si="13"/>
        <v>0</v>
      </c>
      <c r="S16" s="6">
        <f t="shared" si="14"/>
        <v>0</v>
      </c>
      <c r="T16" s="7">
        <f t="shared" si="15"/>
        <v>9.5714285714285712</v>
      </c>
      <c r="U16" s="6">
        <f t="shared" si="16"/>
        <v>10.285714285714285</v>
      </c>
      <c r="V16" s="5">
        <f t="shared" si="17"/>
        <v>9.5714285714285712</v>
      </c>
      <c r="W16" s="6">
        <f t="shared" si="18"/>
        <v>10.285714285714285</v>
      </c>
      <c r="X16" s="7">
        <f t="shared" si="19"/>
        <v>70</v>
      </c>
      <c r="Y16" s="6">
        <f t="shared" si="20"/>
        <v>71</v>
      </c>
      <c r="Z16" s="7">
        <f t="shared" si="21"/>
        <v>0</v>
      </c>
      <c r="AA16" s="6">
        <f t="shared" si="22"/>
        <v>0</v>
      </c>
      <c r="AB16" s="5">
        <f t="shared" si="23"/>
        <v>70</v>
      </c>
      <c r="AC16" s="6">
        <f t="shared" si="24"/>
        <v>71</v>
      </c>
      <c r="AD16" s="7">
        <f t="shared" si="25"/>
        <v>30</v>
      </c>
      <c r="AE16" s="6">
        <f t="shared" si="26"/>
        <v>31.75</v>
      </c>
      <c r="AF16" s="7">
        <f t="shared" si="27"/>
        <v>0</v>
      </c>
      <c r="AG16" s="6">
        <f t="shared" si="28"/>
        <v>0</v>
      </c>
      <c r="AH16" s="5">
        <f t="shared" si="29"/>
        <v>30</v>
      </c>
      <c r="AI16" s="6">
        <f t="shared" si="30"/>
        <v>31.75</v>
      </c>
      <c r="AJ16" s="7">
        <f t="shared" si="31"/>
        <v>0</v>
      </c>
      <c r="AK16" s="6">
        <f t="shared" si="32"/>
        <v>0</v>
      </c>
      <c r="AL16" s="7">
        <f t="shared" si="33"/>
        <v>0</v>
      </c>
      <c r="AM16" s="6">
        <f t="shared" si="34"/>
        <v>0</v>
      </c>
      <c r="AN16" s="5">
        <f t="shared" si="35"/>
        <v>0</v>
      </c>
      <c r="AO16" s="6">
        <f t="shared" si="36"/>
        <v>0</v>
      </c>
      <c r="AP16" s="7">
        <f t="shared" si="37"/>
        <v>0</v>
      </c>
      <c r="AQ16" s="6">
        <f t="shared" si="38"/>
        <v>0</v>
      </c>
      <c r="AR16" s="7">
        <f t="shared" si="39"/>
        <v>0</v>
      </c>
      <c r="AS16" s="6">
        <f t="shared" si="40"/>
        <v>0</v>
      </c>
      <c r="AT16" s="5">
        <f t="shared" si="41"/>
        <v>0</v>
      </c>
      <c r="AU16" s="6">
        <f t="shared" si="42"/>
        <v>0</v>
      </c>
      <c r="AV16" s="7">
        <f t="shared" si="43"/>
        <v>0</v>
      </c>
      <c r="AW16" s="6">
        <f t="shared" si="44"/>
        <v>0</v>
      </c>
      <c r="AX16" s="7">
        <f t="shared" si="45"/>
        <v>0</v>
      </c>
      <c r="AY16" s="6">
        <f t="shared" si="46"/>
        <v>0</v>
      </c>
      <c r="AZ16" s="5">
        <f t="shared" si="47"/>
        <v>0</v>
      </c>
      <c r="BA16" s="6">
        <f t="shared" si="48"/>
        <v>0</v>
      </c>
      <c r="BB16" s="7">
        <f t="shared" si="49"/>
        <v>0</v>
      </c>
      <c r="BC16" s="6">
        <f t="shared" si="50"/>
        <v>0</v>
      </c>
      <c r="BD16" s="7">
        <f t="shared" si="51"/>
        <v>0</v>
      </c>
      <c r="BE16" s="6">
        <f t="shared" si="52"/>
        <v>0</v>
      </c>
      <c r="BF16" s="5">
        <f t="shared" si="53"/>
        <v>0</v>
      </c>
      <c r="BG16" s="6">
        <f t="shared" si="54"/>
        <v>0</v>
      </c>
      <c r="BH16" s="7">
        <f t="shared" si="55"/>
        <v>0</v>
      </c>
      <c r="BI16" s="6">
        <f t="shared" si="56"/>
        <v>0</v>
      </c>
      <c r="BJ16" s="7">
        <f t="shared" si="57"/>
        <v>0</v>
      </c>
      <c r="BK16" s="6">
        <f t="shared" si="58"/>
        <v>0</v>
      </c>
      <c r="BL16" s="5">
        <f t="shared" si="59"/>
        <v>0</v>
      </c>
      <c r="BM16" s="6">
        <f t="shared" si="60"/>
        <v>0</v>
      </c>
      <c r="BN16" s="7">
        <f t="shared" si="61"/>
        <v>0</v>
      </c>
      <c r="BO16" s="6">
        <f t="shared" si="62"/>
        <v>0</v>
      </c>
      <c r="BP16" s="7">
        <f t="shared" si="63"/>
        <v>0</v>
      </c>
      <c r="BQ16" s="6">
        <f t="shared" si="64"/>
        <v>0</v>
      </c>
      <c r="BR16" s="5">
        <f t="shared" si="65"/>
        <v>0</v>
      </c>
      <c r="BS16" s="6">
        <f t="shared" si="66"/>
        <v>0</v>
      </c>
      <c r="BT16" s="7">
        <f t="shared" si="67"/>
        <v>0</v>
      </c>
      <c r="BU16" s="6">
        <f t="shared" si="68"/>
        <v>0</v>
      </c>
      <c r="BV16" s="7">
        <f t="shared" si="69"/>
        <v>0</v>
      </c>
      <c r="BW16" s="6">
        <f t="shared" si="70"/>
        <v>0</v>
      </c>
      <c r="BX16" s="5">
        <f t="shared" si="71"/>
        <v>0</v>
      </c>
      <c r="BY16" s="6">
        <f t="shared" si="72"/>
        <v>0</v>
      </c>
      <c r="BZ16" s="7">
        <f t="shared" si="73"/>
        <v>0</v>
      </c>
      <c r="CA16" s="6">
        <f t="shared" si="74"/>
        <v>0</v>
      </c>
      <c r="CB16" s="7">
        <f t="shared" si="75"/>
        <v>0</v>
      </c>
      <c r="CC16" s="6">
        <f t="shared" si="76"/>
        <v>0</v>
      </c>
      <c r="CD16" s="5">
        <f t="shared" si="77"/>
        <v>0</v>
      </c>
      <c r="CE16" s="6">
        <f t="shared" si="78"/>
        <v>0</v>
      </c>
      <c r="CF16" s="7">
        <f t="shared" si="79"/>
        <v>0</v>
      </c>
      <c r="CG16" s="6">
        <f t="shared" si="80"/>
        <v>0</v>
      </c>
      <c r="CH16" s="7">
        <f t="shared" si="81"/>
        <v>0</v>
      </c>
      <c r="CI16" s="6">
        <f t="shared" si="82"/>
        <v>0</v>
      </c>
      <c r="CJ16" s="5">
        <f t="shared" si="83"/>
        <v>0</v>
      </c>
      <c r="CK16" s="6">
        <f t="shared" si="84"/>
        <v>0</v>
      </c>
      <c r="CL16" s="7">
        <f t="shared" si="85"/>
        <v>0</v>
      </c>
      <c r="CM16" s="6">
        <f t="shared" si="86"/>
        <v>0</v>
      </c>
      <c r="CN16" s="7">
        <f t="shared" si="87"/>
        <v>0</v>
      </c>
      <c r="CO16" s="6">
        <f t="shared" si="88"/>
        <v>0</v>
      </c>
      <c r="CP16" s="5">
        <f t="shared" si="89"/>
        <v>0</v>
      </c>
      <c r="CQ16" s="6">
        <f t="shared" si="90"/>
        <v>0</v>
      </c>
      <c r="CR16" s="7">
        <f t="shared" si="0"/>
        <v>100</v>
      </c>
      <c r="CS16" s="6">
        <f t="shared" si="0"/>
        <v>102.75</v>
      </c>
      <c r="CT16" s="7">
        <f t="shared" si="0"/>
        <v>42.714285714285708</v>
      </c>
      <c r="CU16" s="6">
        <f t="shared" si="0"/>
        <v>45.571428571428569</v>
      </c>
      <c r="CV16" s="5">
        <f t="shared" si="91"/>
        <v>142.71428571428572</v>
      </c>
      <c r="CW16" s="6">
        <f t="shared" si="92"/>
        <v>148.32142857142856</v>
      </c>
      <c r="CY16" s="7">
        <v>142.71428571428572</v>
      </c>
      <c r="CZ16" s="5">
        <f t="array" ref="CZ16">Summary_UpperBound</f>
        <v>148.32142857142856</v>
      </c>
      <c r="DA16" s="6">
        <f t="shared" si="93"/>
        <v>5.6071428571428328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43792</v>
      </c>
      <c r="F17" s="7">
        <f t="shared" si="1"/>
        <v>0</v>
      </c>
      <c r="G17" s="6">
        <f t="shared" si="2"/>
        <v>0</v>
      </c>
      <c r="H17" s="7">
        <f t="shared" si="3"/>
        <v>20</v>
      </c>
      <c r="I17" s="6">
        <f t="shared" si="4"/>
        <v>21</v>
      </c>
      <c r="J17" s="5">
        <f t="shared" si="5"/>
        <v>20</v>
      </c>
      <c r="K17" s="6">
        <f t="shared" si="6"/>
        <v>21</v>
      </c>
      <c r="L17" s="7">
        <f t="shared" si="7"/>
        <v>0</v>
      </c>
      <c r="M17" s="6">
        <f t="shared" si="8"/>
        <v>0</v>
      </c>
      <c r="N17" s="7">
        <f t="shared" si="9"/>
        <v>13.142857142857142</v>
      </c>
      <c r="O17" s="6">
        <f t="shared" si="10"/>
        <v>14.285714285714285</v>
      </c>
      <c r="P17" s="5">
        <f t="shared" si="11"/>
        <v>13.142857142857142</v>
      </c>
      <c r="Q17" s="6">
        <f t="shared" si="12"/>
        <v>14.285714285714285</v>
      </c>
      <c r="R17" s="7">
        <f t="shared" si="13"/>
        <v>0</v>
      </c>
      <c r="S17" s="6">
        <f t="shared" si="14"/>
        <v>0</v>
      </c>
      <c r="T17" s="7">
        <f t="shared" si="15"/>
        <v>9.5714285714285712</v>
      </c>
      <c r="U17" s="6">
        <f t="shared" si="16"/>
        <v>10.285714285714285</v>
      </c>
      <c r="V17" s="5">
        <f t="shared" si="17"/>
        <v>9.5714285714285712</v>
      </c>
      <c r="W17" s="6">
        <f t="shared" si="18"/>
        <v>10.285714285714285</v>
      </c>
      <c r="X17" s="7">
        <f t="shared" si="19"/>
        <v>70</v>
      </c>
      <c r="Y17" s="6">
        <f t="shared" si="20"/>
        <v>71</v>
      </c>
      <c r="Z17" s="7">
        <f t="shared" si="21"/>
        <v>0</v>
      </c>
      <c r="AA17" s="6">
        <f t="shared" si="22"/>
        <v>0</v>
      </c>
      <c r="AB17" s="5">
        <f t="shared" si="23"/>
        <v>70</v>
      </c>
      <c r="AC17" s="6">
        <f t="shared" si="24"/>
        <v>71</v>
      </c>
      <c r="AD17" s="7">
        <f t="shared" si="25"/>
        <v>30</v>
      </c>
      <c r="AE17" s="6">
        <f t="shared" si="26"/>
        <v>31.75</v>
      </c>
      <c r="AF17" s="7">
        <f t="shared" si="27"/>
        <v>0</v>
      </c>
      <c r="AG17" s="6">
        <f t="shared" si="28"/>
        <v>0</v>
      </c>
      <c r="AH17" s="5">
        <f t="shared" si="29"/>
        <v>30</v>
      </c>
      <c r="AI17" s="6">
        <f t="shared" si="30"/>
        <v>31.75</v>
      </c>
      <c r="AJ17" s="7">
        <f t="shared" si="31"/>
        <v>0</v>
      </c>
      <c r="AK17" s="6">
        <f t="shared" si="32"/>
        <v>0</v>
      </c>
      <c r="AL17" s="7">
        <f t="shared" si="33"/>
        <v>0</v>
      </c>
      <c r="AM17" s="6">
        <f t="shared" si="34"/>
        <v>0</v>
      </c>
      <c r="AN17" s="5">
        <f t="shared" si="35"/>
        <v>0</v>
      </c>
      <c r="AO17" s="6">
        <f t="shared" si="36"/>
        <v>0</v>
      </c>
      <c r="AP17" s="7">
        <f t="shared" si="37"/>
        <v>0</v>
      </c>
      <c r="AQ17" s="6">
        <f t="shared" si="38"/>
        <v>0</v>
      </c>
      <c r="AR17" s="7">
        <f t="shared" si="39"/>
        <v>0</v>
      </c>
      <c r="AS17" s="6">
        <f t="shared" si="40"/>
        <v>0</v>
      </c>
      <c r="AT17" s="5">
        <f t="shared" si="41"/>
        <v>0</v>
      </c>
      <c r="AU17" s="6">
        <f t="shared" si="42"/>
        <v>0</v>
      </c>
      <c r="AV17" s="7">
        <f t="shared" si="43"/>
        <v>0</v>
      </c>
      <c r="AW17" s="6">
        <f t="shared" si="44"/>
        <v>0</v>
      </c>
      <c r="AX17" s="7">
        <f t="shared" si="45"/>
        <v>0</v>
      </c>
      <c r="AY17" s="6">
        <f t="shared" si="46"/>
        <v>0</v>
      </c>
      <c r="AZ17" s="5">
        <f t="shared" si="47"/>
        <v>0</v>
      </c>
      <c r="BA17" s="6">
        <f t="shared" si="48"/>
        <v>0</v>
      </c>
      <c r="BB17" s="7">
        <f t="shared" si="49"/>
        <v>0</v>
      </c>
      <c r="BC17" s="6">
        <f t="shared" si="50"/>
        <v>0</v>
      </c>
      <c r="BD17" s="7">
        <f t="shared" si="51"/>
        <v>0</v>
      </c>
      <c r="BE17" s="6">
        <f t="shared" si="52"/>
        <v>0</v>
      </c>
      <c r="BF17" s="5">
        <f t="shared" si="53"/>
        <v>0</v>
      </c>
      <c r="BG17" s="6">
        <f t="shared" si="54"/>
        <v>0</v>
      </c>
      <c r="BH17" s="7">
        <f t="shared" si="55"/>
        <v>0</v>
      </c>
      <c r="BI17" s="6">
        <f t="shared" si="56"/>
        <v>0</v>
      </c>
      <c r="BJ17" s="7">
        <f t="shared" si="57"/>
        <v>0</v>
      </c>
      <c r="BK17" s="6">
        <f t="shared" si="58"/>
        <v>0</v>
      </c>
      <c r="BL17" s="5">
        <f t="shared" si="59"/>
        <v>0</v>
      </c>
      <c r="BM17" s="6">
        <f t="shared" si="60"/>
        <v>0</v>
      </c>
      <c r="BN17" s="7">
        <f t="shared" si="61"/>
        <v>0</v>
      </c>
      <c r="BO17" s="6">
        <f t="shared" si="62"/>
        <v>0</v>
      </c>
      <c r="BP17" s="7">
        <f t="shared" si="63"/>
        <v>0</v>
      </c>
      <c r="BQ17" s="6">
        <f t="shared" si="64"/>
        <v>0</v>
      </c>
      <c r="BR17" s="5">
        <f t="shared" si="65"/>
        <v>0</v>
      </c>
      <c r="BS17" s="6">
        <f t="shared" si="66"/>
        <v>0</v>
      </c>
      <c r="BT17" s="7">
        <f t="shared" si="67"/>
        <v>0</v>
      </c>
      <c r="BU17" s="6">
        <f t="shared" si="68"/>
        <v>0</v>
      </c>
      <c r="BV17" s="7">
        <f t="shared" si="69"/>
        <v>0</v>
      </c>
      <c r="BW17" s="6">
        <f t="shared" si="70"/>
        <v>0</v>
      </c>
      <c r="BX17" s="5">
        <f t="shared" si="71"/>
        <v>0</v>
      </c>
      <c r="BY17" s="6">
        <f t="shared" si="72"/>
        <v>0</v>
      </c>
      <c r="BZ17" s="7">
        <f t="shared" si="73"/>
        <v>0</v>
      </c>
      <c r="CA17" s="6">
        <f t="shared" si="74"/>
        <v>0</v>
      </c>
      <c r="CB17" s="7">
        <f t="shared" si="75"/>
        <v>0</v>
      </c>
      <c r="CC17" s="6">
        <f t="shared" si="76"/>
        <v>0</v>
      </c>
      <c r="CD17" s="5">
        <f t="shared" si="77"/>
        <v>0</v>
      </c>
      <c r="CE17" s="6">
        <f t="shared" si="78"/>
        <v>0</v>
      </c>
      <c r="CF17" s="7">
        <f t="shared" si="79"/>
        <v>0</v>
      </c>
      <c r="CG17" s="6">
        <f t="shared" si="80"/>
        <v>0</v>
      </c>
      <c r="CH17" s="7">
        <f t="shared" si="81"/>
        <v>0</v>
      </c>
      <c r="CI17" s="6">
        <f t="shared" si="82"/>
        <v>0</v>
      </c>
      <c r="CJ17" s="5">
        <f t="shared" si="83"/>
        <v>0</v>
      </c>
      <c r="CK17" s="6">
        <f t="shared" si="84"/>
        <v>0</v>
      </c>
      <c r="CL17" s="7">
        <f t="shared" si="85"/>
        <v>0</v>
      </c>
      <c r="CM17" s="6">
        <f t="shared" si="86"/>
        <v>0</v>
      </c>
      <c r="CN17" s="7">
        <f t="shared" si="87"/>
        <v>0</v>
      </c>
      <c r="CO17" s="6">
        <f t="shared" si="88"/>
        <v>0</v>
      </c>
      <c r="CP17" s="5">
        <f t="shared" si="89"/>
        <v>0</v>
      </c>
      <c r="CQ17" s="6">
        <f t="shared" si="90"/>
        <v>0</v>
      </c>
      <c r="CR17" s="7">
        <f t="shared" si="0"/>
        <v>100</v>
      </c>
      <c r="CS17" s="6">
        <f t="shared" si="0"/>
        <v>102.75</v>
      </c>
      <c r="CT17" s="7">
        <f t="shared" si="0"/>
        <v>42.714285714285708</v>
      </c>
      <c r="CU17" s="6">
        <f t="shared" si="0"/>
        <v>45.571428571428569</v>
      </c>
      <c r="CV17" s="5">
        <f t="shared" si="91"/>
        <v>142.71428571428572</v>
      </c>
      <c r="CW17" s="6">
        <f t="shared" si="92"/>
        <v>148.32142857142856</v>
      </c>
      <c r="CY17" s="7">
        <v>142.71428571428572</v>
      </c>
      <c r="CZ17" s="5">
        <f t="array" ref="CZ17">Summary_UpperBound</f>
        <v>148.32142857142856</v>
      </c>
      <c r="DA17" s="6">
        <f t="shared" si="93"/>
        <v>5.6071428571428328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43799</v>
      </c>
      <c r="F18" s="7">
        <f t="shared" si="1"/>
        <v>0</v>
      </c>
      <c r="G18" s="6">
        <f t="shared" si="2"/>
        <v>0</v>
      </c>
      <c r="H18" s="7">
        <f t="shared" si="3"/>
        <v>20</v>
      </c>
      <c r="I18" s="6">
        <f t="shared" si="4"/>
        <v>21</v>
      </c>
      <c r="J18" s="5">
        <f t="shared" si="5"/>
        <v>20</v>
      </c>
      <c r="K18" s="6">
        <f t="shared" si="6"/>
        <v>21</v>
      </c>
      <c r="L18" s="7">
        <f t="shared" si="7"/>
        <v>0</v>
      </c>
      <c r="M18" s="6">
        <f t="shared" si="8"/>
        <v>0</v>
      </c>
      <c r="N18" s="7">
        <f t="shared" si="9"/>
        <v>13.142857142857142</v>
      </c>
      <c r="O18" s="6">
        <f t="shared" si="10"/>
        <v>14.285714285714285</v>
      </c>
      <c r="P18" s="5">
        <f t="shared" si="11"/>
        <v>13.142857142857142</v>
      </c>
      <c r="Q18" s="6">
        <f t="shared" si="12"/>
        <v>14.285714285714285</v>
      </c>
      <c r="R18" s="7">
        <f t="shared" si="13"/>
        <v>0</v>
      </c>
      <c r="S18" s="6">
        <f t="shared" si="14"/>
        <v>0</v>
      </c>
      <c r="T18" s="7">
        <f t="shared" si="15"/>
        <v>9.5714285714285712</v>
      </c>
      <c r="U18" s="6">
        <f t="shared" si="16"/>
        <v>10.285714285714285</v>
      </c>
      <c r="V18" s="5">
        <f t="shared" si="17"/>
        <v>9.5714285714285712</v>
      </c>
      <c r="W18" s="6">
        <f t="shared" si="18"/>
        <v>10.285714285714285</v>
      </c>
      <c r="X18" s="7">
        <f t="shared" si="19"/>
        <v>70</v>
      </c>
      <c r="Y18" s="6">
        <f t="shared" si="20"/>
        <v>71</v>
      </c>
      <c r="Z18" s="7">
        <f t="shared" si="21"/>
        <v>0</v>
      </c>
      <c r="AA18" s="6">
        <f t="shared" si="22"/>
        <v>0</v>
      </c>
      <c r="AB18" s="5">
        <f t="shared" si="23"/>
        <v>70</v>
      </c>
      <c r="AC18" s="6">
        <f t="shared" si="24"/>
        <v>71</v>
      </c>
      <c r="AD18" s="7">
        <f t="shared" si="25"/>
        <v>30</v>
      </c>
      <c r="AE18" s="6">
        <f t="shared" si="26"/>
        <v>31.75</v>
      </c>
      <c r="AF18" s="7">
        <f t="shared" si="27"/>
        <v>0</v>
      </c>
      <c r="AG18" s="6">
        <f t="shared" si="28"/>
        <v>0</v>
      </c>
      <c r="AH18" s="5">
        <f t="shared" si="29"/>
        <v>30</v>
      </c>
      <c r="AI18" s="6">
        <f t="shared" si="30"/>
        <v>31.75</v>
      </c>
      <c r="AJ18" s="7">
        <f t="shared" si="31"/>
        <v>0</v>
      </c>
      <c r="AK18" s="6">
        <f t="shared" si="32"/>
        <v>0</v>
      </c>
      <c r="AL18" s="7">
        <f t="shared" si="33"/>
        <v>0</v>
      </c>
      <c r="AM18" s="6">
        <f t="shared" si="34"/>
        <v>0</v>
      </c>
      <c r="AN18" s="5">
        <f t="shared" si="35"/>
        <v>0</v>
      </c>
      <c r="AO18" s="6">
        <f t="shared" si="36"/>
        <v>0</v>
      </c>
      <c r="AP18" s="7">
        <f t="shared" si="37"/>
        <v>0</v>
      </c>
      <c r="AQ18" s="6">
        <f t="shared" si="38"/>
        <v>0</v>
      </c>
      <c r="AR18" s="7">
        <f t="shared" si="39"/>
        <v>0</v>
      </c>
      <c r="AS18" s="6">
        <f t="shared" si="40"/>
        <v>0</v>
      </c>
      <c r="AT18" s="5">
        <f t="shared" si="41"/>
        <v>0</v>
      </c>
      <c r="AU18" s="6">
        <f t="shared" si="42"/>
        <v>0</v>
      </c>
      <c r="AV18" s="7">
        <f t="shared" si="43"/>
        <v>0</v>
      </c>
      <c r="AW18" s="6">
        <f t="shared" si="44"/>
        <v>0</v>
      </c>
      <c r="AX18" s="7">
        <f t="shared" si="45"/>
        <v>0</v>
      </c>
      <c r="AY18" s="6">
        <f t="shared" si="46"/>
        <v>0</v>
      </c>
      <c r="AZ18" s="5">
        <f t="shared" si="47"/>
        <v>0</v>
      </c>
      <c r="BA18" s="6">
        <f t="shared" si="48"/>
        <v>0</v>
      </c>
      <c r="BB18" s="7">
        <f t="shared" si="49"/>
        <v>0</v>
      </c>
      <c r="BC18" s="6">
        <f t="shared" si="50"/>
        <v>0</v>
      </c>
      <c r="BD18" s="7">
        <f t="shared" si="51"/>
        <v>0</v>
      </c>
      <c r="BE18" s="6">
        <f t="shared" si="52"/>
        <v>0</v>
      </c>
      <c r="BF18" s="5">
        <f t="shared" si="53"/>
        <v>0</v>
      </c>
      <c r="BG18" s="6">
        <f t="shared" si="54"/>
        <v>0</v>
      </c>
      <c r="BH18" s="7">
        <f t="shared" si="55"/>
        <v>0</v>
      </c>
      <c r="BI18" s="6">
        <f t="shared" si="56"/>
        <v>0</v>
      </c>
      <c r="BJ18" s="7">
        <f t="shared" si="57"/>
        <v>0</v>
      </c>
      <c r="BK18" s="6">
        <f t="shared" si="58"/>
        <v>0</v>
      </c>
      <c r="BL18" s="5">
        <f t="shared" si="59"/>
        <v>0</v>
      </c>
      <c r="BM18" s="6">
        <f t="shared" si="60"/>
        <v>0</v>
      </c>
      <c r="BN18" s="7">
        <f t="shared" si="61"/>
        <v>0</v>
      </c>
      <c r="BO18" s="6">
        <f t="shared" si="62"/>
        <v>0</v>
      </c>
      <c r="BP18" s="7">
        <f t="shared" si="63"/>
        <v>0</v>
      </c>
      <c r="BQ18" s="6">
        <f t="shared" si="64"/>
        <v>0</v>
      </c>
      <c r="BR18" s="5">
        <f t="shared" si="65"/>
        <v>0</v>
      </c>
      <c r="BS18" s="6">
        <f t="shared" si="66"/>
        <v>0</v>
      </c>
      <c r="BT18" s="7">
        <f t="shared" si="67"/>
        <v>0</v>
      </c>
      <c r="BU18" s="6">
        <f t="shared" si="68"/>
        <v>0</v>
      </c>
      <c r="BV18" s="7">
        <f t="shared" si="69"/>
        <v>0</v>
      </c>
      <c r="BW18" s="6">
        <f t="shared" si="70"/>
        <v>0</v>
      </c>
      <c r="BX18" s="5">
        <f t="shared" si="71"/>
        <v>0</v>
      </c>
      <c r="BY18" s="6">
        <f t="shared" si="72"/>
        <v>0</v>
      </c>
      <c r="BZ18" s="7">
        <f t="shared" si="73"/>
        <v>0</v>
      </c>
      <c r="CA18" s="6">
        <f t="shared" si="74"/>
        <v>0</v>
      </c>
      <c r="CB18" s="7">
        <f t="shared" si="75"/>
        <v>0</v>
      </c>
      <c r="CC18" s="6">
        <f t="shared" si="76"/>
        <v>0</v>
      </c>
      <c r="CD18" s="5">
        <f t="shared" si="77"/>
        <v>0</v>
      </c>
      <c r="CE18" s="6">
        <f t="shared" si="78"/>
        <v>0</v>
      </c>
      <c r="CF18" s="7">
        <f t="shared" si="79"/>
        <v>0</v>
      </c>
      <c r="CG18" s="6">
        <f t="shared" si="80"/>
        <v>0</v>
      </c>
      <c r="CH18" s="7">
        <f t="shared" si="81"/>
        <v>0</v>
      </c>
      <c r="CI18" s="6">
        <f t="shared" si="82"/>
        <v>0</v>
      </c>
      <c r="CJ18" s="5">
        <f t="shared" si="83"/>
        <v>0</v>
      </c>
      <c r="CK18" s="6">
        <f t="shared" si="84"/>
        <v>0</v>
      </c>
      <c r="CL18" s="7">
        <f t="shared" si="85"/>
        <v>0</v>
      </c>
      <c r="CM18" s="6">
        <f t="shared" si="86"/>
        <v>0</v>
      </c>
      <c r="CN18" s="7">
        <f t="shared" si="87"/>
        <v>0</v>
      </c>
      <c r="CO18" s="6">
        <f t="shared" si="88"/>
        <v>0</v>
      </c>
      <c r="CP18" s="5">
        <f t="shared" si="89"/>
        <v>0</v>
      </c>
      <c r="CQ18" s="6">
        <f t="shared" si="90"/>
        <v>0</v>
      </c>
      <c r="CR18" s="7">
        <f t="shared" si="0"/>
        <v>100</v>
      </c>
      <c r="CS18" s="6">
        <f t="shared" si="0"/>
        <v>102.75</v>
      </c>
      <c r="CT18" s="7">
        <f t="shared" si="0"/>
        <v>42.714285714285708</v>
      </c>
      <c r="CU18" s="6">
        <f t="shared" si="0"/>
        <v>45.571428571428569</v>
      </c>
      <c r="CV18" s="5">
        <f t="shared" si="91"/>
        <v>142.71428571428572</v>
      </c>
      <c r="CW18" s="6">
        <f t="shared" si="92"/>
        <v>148.32142857142856</v>
      </c>
      <c r="CY18" s="7">
        <v>142.71428571428572</v>
      </c>
      <c r="CZ18" s="5">
        <f t="array" ref="CZ18">Summary_UpperBound</f>
        <v>148.32142857142856</v>
      </c>
      <c r="DA18" s="6">
        <f t="shared" si="93"/>
        <v>5.6071428571428328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43806</v>
      </c>
      <c r="F19" s="7">
        <f t="shared" si="1"/>
        <v>0</v>
      </c>
      <c r="G19" s="6">
        <f t="shared" si="2"/>
        <v>0</v>
      </c>
      <c r="H19" s="7">
        <f t="shared" si="3"/>
        <v>20</v>
      </c>
      <c r="I19" s="6">
        <f t="shared" si="4"/>
        <v>21</v>
      </c>
      <c r="J19" s="5">
        <f t="shared" si="5"/>
        <v>20</v>
      </c>
      <c r="K19" s="6">
        <f t="shared" si="6"/>
        <v>21</v>
      </c>
      <c r="L19" s="7">
        <f t="shared" si="7"/>
        <v>0</v>
      </c>
      <c r="M19" s="6">
        <f t="shared" si="8"/>
        <v>0</v>
      </c>
      <c r="N19" s="7">
        <f t="shared" si="9"/>
        <v>13.142857142857142</v>
      </c>
      <c r="O19" s="6">
        <f t="shared" si="10"/>
        <v>14.285714285714285</v>
      </c>
      <c r="P19" s="5">
        <f t="shared" si="11"/>
        <v>13.142857142857142</v>
      </c>
      <c r="Q19" s="6">
        <f t="shared" si="12"/>
        <v>14.285714285714285</v>
      </c>
      <c r="R19" s="7">
        <f t="shared" si="13"/>
        <v>0</v>
      </c>
      <c r="S19" s="6">
        <f t="shared" si="14"/>
        <v>0</v>
      </c>
      <c r="T19" s="7">
        <f t="shared" si="15"/>
        <v>9.5714285714285712</v>
      </c>
      <c r="U19" s="6">
        <f t="shared" si="16"/>
        <v>10.285714285714285</v>
      </c>
      <c r="V19" s="5">
        <f t="shared" si="17"/>
        <v>9.5714285714285712</v>
      </c>
      <c r="W19" s="6">
        <f t="shared" si="18"/>
        <v>10.285714285714285</v>
      </c>
      <c r="X19" s="7">
        <f t="shared" si="19"/>
        <v>70</v>
      </c>
      <c r="Y19" s="6">
        <f t="shared" si="20"/>
        <v>71</v>
      </c>
      <c r="Z19" s="7">
        <f t="shared" si="21"/>
        <v>0</v>
      </c>
      <c r="AA19" s="6">
        <f t="shared" si="22"/>
        <v>0</v>
      </c>
      <c r="AB19" s="5">
        <f t="shared" si="23"/>
        <v>70</v>
      </c>
      <c r="AC19" s="6">
        <f t="shared" si="24"/>
        <v>71</v>
      </c>
      <c r="AD19" s="7">
        <f t="shared" si="25"/>
        <v>30</v>
      </c>
      <c r="AE19" s="6">
        <f t="shared" si="26"/>
        <v>31.75</v>
      </c>
      <c r="AF19" s="7">
        <f t="shared" si="27"/>
        <v>0</v>
      </c>
      <c r="AG19" s="6">
        <f t="shared" si="28"/>
        <v>0</v>
      </c>
      <c r="AH19" s="5">
        <f t="shared" si="29"/>
        <v>30</v>
      </c>
      <c r="AI19" s="6">
        <f t="shared" si="30"/>
        <v>31.75</v>
      </c>
      <c r="AJ19" s="7">
        <f t="shared" si="31"/>
        <v>0</v>
      </c>
      <c r="AK19" s="6">
        <f t="shared" si="32"/>
        <v>0</v>
      </c>
      <c r="AL19" s="7">
        <f t="shared" si="33"/>
        <v>0</v>
      </c>
      <c r="AM19" s="6">
        <f t="shared" si="34"/>
        <v>0</v>
      </c>
      <c r="AN19" s="5">
        <f t="shared" si="35"/>
        <v>0</v>
      </c>
      <c r="AO19" s="6">
        <f t="shared" si="36"/>
        <v>0</v>
      </c>
      <c r="AP19" s="7">
        <f t="shared" si="37"/>
        <v>0</v>
      </c>
      <c r="AQ19" s="6">
        <f t="shared" si="38"/>
        <v>0</v>
      </c>
      <c r="AR19" s="7">
        <f t="shared" si="39"/>
        <v>0</v>
      </c>
      <c r="AS19" s="6">
        <f t="shared" si="40"/>
        <v>0</v>
      </c>
      <c r="AT19" s="5">
        <f t="shared" si="41"/>
        <v>0</v>
      </c>
      <c r="AU19" s="6">
        <f t="shared" si="42"/>
        <v>0</v>
      </c>
      <c r="AV19" s="7">
        <f t="shared" si="43"/>
        <v>0</v>
      </c>
      <c r="AW19" s="6">
        <f t="shared" si="44"/>
        <v>0</v>
      </c>
      <c r="AX19" s="7">
        <f t="shared" si="45"/>
        <v>0</v>
      </c>
      <c r="AY19" s="6">
        <f t="shared" si="46"/>
        <v>0</v>
      </c>
      <c r="AZ19" s="5">
        <f t="shared" si="47"/>
        <v>0</v>
      </c>
      <c r="BA19" s="6">
        <f t="shared" si="48"/>
        <v>0</v>
      </c>
      <c r="BB19" s="7">
        <f t="shared" si="49"/>
        <v>0</v>
      </c>
      <c r="BC19" s="6">
        <f t="shared" si="50"/>
        <v>0</v>
      </c>
      <c r="BD19" s="7">
        <f t="shared" si="51"/>
        <v>0</v>
      </c>
      <c r="BE19" s="6">
        <f t="shared" si="52"/>
        <v>0</v>
      </c>
      <c r="BF19" s="5">
        <f t="shared" si="53"/>
        <v>0</v>
      </c>
      <c r="BG19" s="6">
        <f t="shared" si="54"/>
        <v>0</v>
      </c>
      <c r="BH19" s="7">
        <f t="shared" si="55"/>
        <v>0</v>
      </c>
      <c r="BI19" s="6">
        <f t="shared" si="56"/>
        <v>0</v>
      </c>
      <c r="BJ19" s="7">
        <f t="shared" si="57"/>
        <v>0</v>
      </c>
      <c r="BK19" s="6">
        <f t="shared" si="58"/>
        <v>0</v>
      </c>
      <c r="BL19" s="5">
        <f t="shared" si="59"/>
        <v>0</v>
      </c>
      <c r="BM19" s="6">
        <f t="shared" si="60"/>
        <v>0</v>
      </c>
      <c r="BN19" s="7">
        <f t="shared" si="61"/>
        <v>0</v>
      </c>
      <c r="BO19" s="6">
        <f t="shared" si="62"/>
        <v>0</v>
      </c>
      <c r="BP19" s="7">
        <f t="shared" si="63"/>
        <v>0</v>
      </c>
      <c r="BQ19" s="6">
        <f t="shared" si="64"/>
        <v>0</v>
      </c>
      <c r="BR19" s="5">
        <f t="shared" si="65"/>
        <v>0</v>
      </c>
      <c r="BS19" s="6">
        <f t="shared" si="66"/>
        <v>0</v>
      </c>
      <c r="BT19" s="7">
        <f t="shared" si="67"/>
        <v>0</v>
      </c>
      <c r="BU19" s="6">
        <f t="shared" si="68"/>
        <v>0</v>
      </c>
      <c r="BV19" s="7">
        <f t="shared" si="69"/>
        <v>0</v>
      </c>
      <c r="BW19" s="6">
        <f t="shared" si="70"/>
        <v>0</v>
      </c>
      <c r="BX19" s="5">
        <f t="shared" si="71"/>
        <v>0</v>
      </c>
      <c r="BY19" s="6">
        <f t="shared" si="72"/>
        <v>0</v>
      </c>
      <c r="BZ19" s="7">
        <f t="shared" si="73"/>
        <v>0</v>
      </c>
      <c r="CA19" s="6">
        <f t="shared" si="74"/>
        <v>0</v>
      </c>
      <c r="CB19" s="7">
        <f t="shared" si="75"/>
        <v>0</v>
      </c>
      <c r="CC19" s="6">
        <f t="shared" si="76"/>
        <v>0</v>
      </c>
      <c r="CD19" s="5">
        <f t="shared" si="77"/>
        <v>0</v>
      </c>
      <c r="CE19" s="6">
        <f t="shared" si="78"/>
        <v>0</v>
      </c>
      <c r="CF19" s="7">
        <f t="shared" si="79"/>
        <v>0</v>
      </c>
      <c r="CG19" s="6">
        <f t="shared" si="80"/>
        <v>0</v>
      </c>
      <c r="CH19" s="7">
        <f t="shared" si="81"/>
        <v>0</v>
      </c>
      <c r="CI19" s="6">
        <f t="shared" si="82"/>
        <v>0</v>
      </c>
      <c r="CJ19" s="5">
        <f t="shared" si="83"/>
        <v>0</v>
      </c>
      <c r="CK19" s="6">
        <f t="shared" si="84"/>
        <v>0</v>
      </c>
      <c r="CL19" s="7">
        <f t="shared" si="85"/>
        <v>0</v>
      </c>
      <c r="CM19" s="6">
        <f t="shared" si="86"/>
        <v>0</v>
      </c>
      <c r="CN19" s="7">
        <f t="shared" si="87"/>
        <v>0</v>
      </c>
      <c r="CO19" s="6">
        <f t="shared" si="88"/>
        <v>0</v>
      </c>
      <c r="CP19" s="5">
        <f t="shared" si="89"/>
        <v>0</v>
      </c>
      <c r="CQ19" s="6">
        <f t="shared" si="90"/>
        <v>0</v>
      </c>
      <c r="CR19" s="7">
        <f t="shared" si="0"/>
        <v>100</v>
      </c>
      <c r="CS19" s="6">
        <f t="shared" si="0"/>
        <v>102.75</v>
      </c>
      <c r="CT19" s="7">
        <f t="shared" si="0"/>
        <v>42.714285714285708</v>
      </c>
      <c r="CU19" s="6">
        <f t="shared" si="0"/>
        <v>45.571428571428569</v>
      </c>
      <c r="CV19" s="5">
        <f t="shared" si="91"/>
        <v>142.71428571428572</v>
      </c>
      <c r="CW19" s="6">
        <f t="shared" si="92"/>
        <v>148.32142857142856</v>
      </c>
      <c r="CY19" s="7">
        <v>142.71428571428572</v>
      </c>
      <c r="CZ19" s="5">
        <f t="array" ref="CZ19">Summary_UpperBound</f>
        <v>148.32142857142856</v>
      </c>
      <c r="DA19" s="6">
        <f t="shared" si="93"/>
        <v>5.6071428571428328</v>
      </c>
    </row>
    <row r="20" spans="1:105" x14ac:dyDescent="0.35">
      <c r="B20" s="14"/>
      <c r="E20" s="12">
        <f t="shared" si="94"/>
        <v>43813</v>
      </c>
      <c r="F20" s="7">
        <f t="shared" si="1"/>
        <v>0</v>
      </c>
      <c r="G20" s="6">
        <f t="shared" si="2"/>
        <v>0</v>
      </c>
      <c r="H20" s="7">
        <f t="shared" si="3"/>
        <v>20</v>
      </c>
      <c r="I20" s="6">
        <f t="shared" si="4"/>
        <v>21</v>
      </c>
      <c r="J20" s="5">
        <f t="shared" si="5"/>
        <v>20</v>
      </c>
      <c r="K20" s="6">
        <f t="shared" si="6"/>
        <v>21</v>
      </c>
      <c r="L20" s="7">
        <f t="shared" si="7"/>
        <v>0</v>
      </c>
      <c r="M20" s="6">
        <f t="shared" si="8"/>
        <v>0</v>
      </c>
      <c r="N20" s="7">
        <f t="shared" si="9"/>
        <v>13.142857142857142</v>
      </c>
      <c r="O20" s="6">
        <f t="shared" si="10"/>
        <v>14.285714285714285</v>
      </c>
      <c r="P20" s="5">
        <f t="shared" si="11"/>
        <v>13.142857142857142</v>
      </c>
      <c r="Q20" s="6">
        <f t="shared" si="12"/>
        <v>14.285714285714285</v>
      </c>
      <c r="R20" s="7">
        <f t="shared" si="13"/>
        <v>0</v>
      </c>
      <c r="S20" s="6">
        <f t="shared" si="14"/>
        <v>0</v>
      </c>
      <c r="T20" s="7">
        <f t="shared" si="15"/>
        <v>9.5714285714285712</v>
      </c>
      <c r="U20" s="6">
        <f t="shared" si="16"/>
        <v>10.285714285714285</v>
      </c>
      <c r="V20" s="5">
        <f t="shared" si="17"/>
        <v>9.5714285714285712</v>
      </c>
      <c r="W20" s="6">
        <f t="shared" si="18"/>
        <v>10.285714285714285</v>
      </c>
      <c r="X20" s="7">
        <f t="shared" si="19"/>
        <v>70</v>
      </c>
      <c r="Y20" s="6">
        <f t="shared" si="20"/>
        <v>71</v>
      </c>
      <c r="Z20" s="7">
        <f t="shared" si="21"/>
        <v>0</v>
      </c>
      <c r="AA20" s="6">
        <f t="shared" si="22"/>
        <v>0</v>
      </c>
      <c r="AB20" s="5">
        <f t="shared" si="23"/>
        <v>70</v>
      </c>
      <c r="AC20" s="6">
        <f t="shared" si="24"/>
        <v>71</v>
      </c>
      <c r="AD20" s="7">
        <f t="shared" si="25"/>
        <v>30</v>
      </c>
      <c r="AE20" s="6">
        <f t="shared" si="26"/>
        <v>31.75</v>
      </c>
      <c r="AF20" s="7">
        <f t="shared" si="27"/>
        <v>0</v>
      </c>
      <c r="AG20" s="6">
        <f t="shared" si="28"/>
        <v>0</v>
      </c>
      <c r="AH20" s="5">
        <f t="shared" si="29"/>
        <v>30</v>
      </c>
      <c r="AI20" s="6">
        <f t="shared" si="30"/>
        <v>31.75</v>
      </c>
      <c r="AJ20" s="7">
        <f t="shared" si="31"/>
        <v>0</v>
      </c>
      <c r="AK20" s="6">
        <f t="shared" si="32"/>
        <v>0</v>
      </c>
      <c r="AL20" s="7">
        <f t="shared" si="33"/>
        <v>0</v>
      </c>
      <c r="AM20" s="6">
        <f t="shared" si="34"/>
        <v>0</v>
      </c>
      <c r="AN20" s="5">
        <f t="shared" si="35"/>
        <v>0</v>
      </c>
      <c r="AO20" s="6">
        <f t="shared" si="36"/>
        <v>0</v>
      </c>
      <c r="AP20" s="7">
        <f t="shared" si="37"/>
        <v>0</v>
      </c>
      <c r="AQ20" s="6">
        <f t="shared" si="38"/>
        <v>0</v>
      </c>
      <c r="AR20" s="7">
        <f t="shared" si="39"/>
        <v>0</v>
      </c>
      <c r="AS20" s="6">
        <f t="shared" si="40"/>
        <v>0</v>
      </c>
      <c r="AT20" s="5">
        <f t="shared" si="41"/>
        <v>0</v>
      </c>
      <c r="AU20" s="6">
        <f t="shared" si="42"/>
        <v>0</v>
      </c>
      <c r="AV20" s="7">
        <f t="shared" si="43"/>
        <v>0</v>
      </c>
      <c r="AW20" s="6">
        <f t="shared" si="44"/>
        <v>0</v>
      </c>
      <c r="AX20" s="7">
        <f t="shared" si="45"/>
        <v>0</v>
      </c>
      <c r="AY20" s="6">
        <f t="shared" si="46"/>
        <v>0</v>
      </c>
      <c r="AZ20" s="5">
        <f t="shared" si="47"/>
        <v>0</v>
      </c>
      <c r="BA20" s="6">
        <f t="shared" si="48"/>
        <v>0</v>
      </c>
      <c r="BB20" s="7">
        <f t="shared" si="49"/>
        <v>0</v>
      </c>
      <c r="BC20" s="6">
        <f t="shared" si="50"/>
        <v>0</v>
      </c>
      <c r="BD20" s="7">
        <f t="shared" si="51"/>
        <v>0</v>
      </c>
      <c r="BE20" s="6">
        <f t="shared" si="52"/>
        <v>0</v>
      </c>
      <c r="BF20" s="5">
        <f t="shared" si="53"/>
        <v>0</v>
      </c>
      <c r="BG20" s="6">
        <f t="shared" si="54"/>
        <v>0</v>
      </c>
      <c r="BH20" s="7">
        <f t="shared" si="55"/>
        <v>0</v>
      </c>
      <c r="BI20" s="6">
        <f t="shared" si="56"/>
        <v>0</v>
      </c>
      <c r="BJ20" s="7">
        <f t="shared" si="57"/>
        <v>0</v>
      </c>
      <c r="BK20" s="6">
        <f t="shared" si="58"/>
        <v>0</v>
      </c>
      <c r="BL20" s="5">
        <f t="shared" si="59"/>
        <v>0</v>
      </c>
      <c r="BM20" s="6">
        <f t="shared" si="60"/>
        <v>0</v>
      </c>
      <c r="BN20" s="7">
        <f t="shared" si="61"/>
        <v>0</v>
      </c>
      <c r="BO20" s="6">
        <f t="shared" si="62"/>
        <v>0</v>
      </c>
      <c r="BP20" s="7">
        <f t="shared" si="63"/>
        <v>0</v>
      </c>
      <c r="BQ20" s="6">
        <f t="shared" si="64"/>
        <v>0</v>
      </c>
      <c r="BR20" s="5">
        <f t="shared" si="65"/>
        <v>0</v>
      </c>
      <c r="BS20" s="6">
        <f t="shared" si="66"/>
        <v>0</v>
      </c>
      <c r="BT20" s="7">
        <f t="shared" si="67"/>
        <v>0</v>
      </c>
      <c r="BU20" s="6">
        <f t="shared" si="68"/>
        <v>0</v>
      </c>
      <c r="BV20" s="7">
        <f t="shared" si="69"/>
        <v>0</v>
      </c>
      <c r="BW20" s="6">
        <f t="shared" si="70"/>
        <v>0</v>
      </c>
      <c r="BX20" s="5">
        <f t="shared" si="71"/>
        <v>0</v>
      </c>
      <c r="BY20" s="6">
        <f t="shared" si="72"/>
        <v>0</v>
      </c>
      <c r="BZ20" s="7">
        <f t="shared" si="73"/>
        <v>0</v>
      </c>
      <c r="CA20" s="6">
        <f t="shared" si="74"/>
        <v>0</v>
      </c>
      <c r="CB20" s="7">
        <f t="shared" si="75"/>
        <v>0</v>
      </c>
      <c r="CC20" s="6">
        <f t="shared" si="76"/>
        <v>0</v>
      </c>
      <c r="CD20" s="5">
        <f t="shared" si="77"/>
        <v>0</v>
      </c>
      <c r="CE20" s="6">
        <f t="shared" si="78"/>
        <v>0</v>
      </c>
      <c r="CF20" s="7">
        <f t="shared" si="79"/>
        <v>0</v>
      </c>
      <c r="CG20" s="6">
        <f t="shared" si="80"/>
        <v>0</v>
      </c>
      <c r="CH20" s="7">
        <f t="shared" si="81"/>
        <v>0</v>
      </c>
      <c r="CI20" s="6">
        <f t="shared" si="82"/>
        <v>0</v>
      </c>
      <c r="CJ20" s="5">
        <f t="shared" si="83"/>
        <v>0</v>
      </c>
      <c r="CK20" s="6">
        <f t="shared" si="84"/>
        <v>0</v>
      </c>
      <c r="CL20" s="7">
        <f t="shared" si="85"/>
        <v>0</v>
      </c>
      <c r="CM20" s="6">
        <f t="shared" si="86"/>
        <v>0</v>
      </c>
      <c r="CN20" s="7">
        <f t="shared" si="87"/>
        <v>0</v>
      </c>
      <c r="CO20" s="6">
        <f t="shared" si="88"/>
        <v>0</v>
      </c>
      <c r="CP20" s="5">
        <f t="shared" si="89"/>
        <v>0</v>
      </c>
      <c r="CQ20" s="6">
        <f t="shared" si="90"/>
        <v>0</v>
      </c>
      <c r="CR20" s="7">
        <f t="shared" si="0"/>
        <v>100</v>
      </c>
      <c r="CS20" s="6">
        <f t="shared" si="0"/>
        <v>102.75</v>
      </c>
      <c r="CT20" s="7">
        <f t="shared" si="0"/>
        <v>42.714285714285708</v>
      </c>
      <c r="CU20" s="6">
        <f t="shared" si="0"/>
        <v>45.571428571428569</v>
      </c>
      <c r="CV20" s="5">
        <f t="shared" si="91"/>
        <v>142.71428571428572</v>
      </c>
      <c r="CW20" s="6">
        <f t="shared" si="92"/>
        <v>148.32142857142856</v>
      </c>
      <c r="CY20" s="7">
        <v>142.71428571428572</v>
      </c>
      <c r="CZ20" s="5">
        <f t="array" ref="CZ20">Summary_UpperBound</f>
        <v>148.32142857142856</v>
      </c>
      <c r="DA20" s="6">
        <f t="shared" si="93"/>
        <v>5.6071428571428328</v>
      </c>
    </row>
    <row r="21" spans="1:105" x14ac:dyDescent="0.35">
      <c r="B21" s="14"/>
      <c r="E21" s="12">
        <f t="shared" si="94"/>
        <v>43820</v>
      </c>
      <c r="F21" s="7">
        <f t="shared" si="1"/>
        <v>0</v>
      </c>
      <c r="G21" s="6">
        <f t="shared" si="2"/>
        <v>0</v>
      </c>
      <c r="H21" s="7">
        <f t="shared" si="3"/>
        <v>20</v>
      </c>
      <c r="I21" s="6">
        <f t="shared" si="4"/>
        <v>21</v>
      </c>
      <c r="J21" s="5">
        <f t="shared" si="5"/>
        <v>20</v>
      </c>
      <c r="K21" s="6">
        <f t="shared" si="6"/>
        <v>21</v>
      </c>
      <c r="L21" s="7">
        <f t="shared" si="7"/>
        <v>0</v>
      </c>
      <c r="M21" s="6">
        <f t="shared" si="8"/>
        <v>0</v>
      </c>
      <c r="N21" s="7">
        <f t="shared" si="9"/>
        <v>13.142857142857142</v>
      </c>
      <c r="O21" s="6">
        <f t="shared" si="10"/>
        <v>14.285714285714285</v>
      </c>
      <c r="P21" s="5">
        <f t="shared" si="11"/>
        <v>13.142857142857142</v>
      </c>
      <c r="Q21" s="6">
        <f t="shared" si="12"/>
        <v>14.285714285714285</v>
      </c>
      <c r="R21" s="7">
        <f t="shared" si="13"/>
        <v>0</v>
      </c>
      <c r="S21" s="6">
        <f t="shared" si="14"/>
        <v>0</v>
      </c>
      <c r="T21" s="7">
        <f t="shared" si="15"/>
        <v>9.5714285714285712</v>
      </c>
      <c r="U21" s="6">
        <f t="shared" si="16"/>
        <v>10.285714285714285</v>
      </c>
      <c r="V21" s="5">
        <f t="shared" si="17"/>
        <v>9.5714285714285712</v>
      </c>
      <c r="W21" s="6">
        <f t="shared" si="18"/>
        <v>10.285714285714285</v>
      </c>
      <c r="X21" s="7">
        <f t="shared" si="19"/>
        <v>70</v>
      </c>
      <c r="Y21" s="6">
        <f t="shared" si="20"/>
        <v>71</v>
      </c>
      <c r="Z21" s="7">
        <f t="shared" si="21"/>
        <v>0</v>
      </c>
      <c r="AA21" s="6">
        <f t="shared" si="22"/>
        <v>0</v>
      </c>
      <c r="AB21" s="5">
        <f t="shared" si="23"/>
        <v>70</v>
      </c>
      <c r="AC21" s="6">
        <f t="shared" si="24"/>
        <v>71</v>
      </c>
      <c r="AD21" s="7">
        <f t="shared" si="25"/>
        <v>30</v>
      </c>
      <c r="AE21" s="6">
        <f t="shared" si="26"/>
        <v>31.75</v>
      </c>
      <c r="AF21" s="7">
        <f t="shared" si="27"/>
        <v>0</v>
      </c>
      <c r="AG21" s="6">
        <f t="shared" si="28"/>
        <v>0</v>
      </c>
      <c r="AH21" s="5">
        <f t="shared" si="29"/>
        <v>30</v>
      </c>
      <c r="AI21" s="6">
        <f t="shared" si="30"/>
        <v>31.75</v>
      </c>
      <c r="AJ21" s="7">
        <f t="shared" si="31"/>
        <v>0</v>
      </c>
      <c r="AK21" s="6">
        <f t="shared" si="32"/>
        <v>0</v>
      </c>
      <c r="AL21" s="7">
        <f t="shared" si="33"/>
        <v>0</v>
      </c>
      <c r="AM21" s="6">
        <f t="shared" si="34"/>
        <v>0</v>
      </c>
      <c r="AN21" s="5">
        <f t="shared" si="35"/>
        <v>0</v>
      </c>
      <c r="AO21" s="6">
        <f t="shared" si="36"/>
        <v>0</v>
      </c>
      <c r="AP21" s="7">
        <f t="shared" si="37"/>
        <v>0</v>
      </c>
      <c r="AQ21" s="6">
        <f t="shared" si="38"/>
        <v>0</v>
      </c>
      <c r="AR21" s="7">
        <f t="shared" si="39"/>
        <v>0</v>
      </c>
      <c r="AS21" s="6">
        <f t="shared" si="40"/>
        <v>0</v>
      </c>
      <c r="AT21" s="5">
        <f t="shared" si="41"/>
        <v>0</v>
      </c>
      <c r="AU21" s="6">
        <f t="shared" si="42"/>
        <v>0</v>
      </c>
      <c r="AV21" s="7">
        <f t="shared" si="43"/>
        <v>0</v>
      </c>
      <c r="AW21" s="6">
        <f t="shared" si="44"/>
        <v>0</v>
      </c>
      <c r="AX21" s="7">
        <f t="shared" si="45"/>
        <v>0</v>
      </c>
      <c r="AY21" s="6">
        <f t="shared" si="46"/>
        <v>0</v>
      </c>
      <c r="AZ21" s="5">
        <f t="shared" si="47"/>
        <v>0</v>
      </c>
      <c r="BA21" s="6">
        <f t="shared" si="48"/>
        <v>0</v>
      </c>
      <c r="BB21" s="7">
        <f t="shared" si="49"/>
        <v>0</v>
      </c>
      <c r="BC21" s="6">
        <f t="shared" si="50"/>
        <v>0</v>
      </c>
      <c r="BD21" s="7">
        <f t="shared" si="51"/>
        <v>0</v>
      </c>
      <c r="BE21" s="6">
        <f t="shared" si="52"/>
        <v>0</v>
      </c>
      <c r="BF21" s="5">
        <f t="shared" si="53"/>
        <v>0</v>
      </c>
      <c r="BG21" s="6">
        <f t="shared" si="54"/>
        <v>0</v>
      </c>
      <c r="BH21" s="7">
        <f t="shared" si="55"/>
        <v>0</v>
      </c>
      <c r="BI21" s="6">
        <f t="shared" si="56"/>
        <v>0</v>
      </c>
      <c r="BJ21" s="7">
        <f t="shared" si="57"/>
        <v>0</v>
      </c>
      <c r="BK21" s="6">
        <f t="shared" si="58"/>
        <v>0</v>
      </c>
      <c r="BL21" s="5">
        <f t="shared" si="59"/>
        <v>0</v>
      </c>
      <c r="BM21" s="6">
        <f t="shared" si="60"/>
        <v>0</v>
      </c>
      <c r="BN21" s="7">
        <f t="shared" si="61"/>
        <v>0</v>
      </c>
      <c r="BO21" s="6">
        <f t="shared" si="62"/>
        <v>0</v>
      </c>
      <c r="BP21" s="7">
        <f t="shared" si="63"/>
        <v>0</v>
      </c>
      <c r="BQ21" s="6">
        <f t="shared" si="64"/>
        <v>0</v>
      </c>
      <c r="BR21" s="5">
        <f t="shared" si="65"/>
        <v>0</v>
      </c>
      <c r="BS21" s="6">
        <f t="shared" si="66"/>
        <v>0</v>
      </c>
      <c r="BT21" s="7">
        <f t="shared" si="67"/>
        <v>0</v>
      </c>
      <c r="BU21" s="6">
        <f t="shared" si="68"/>
        <v>0</v>
      </c>
      <c r="BV21" s="7">
        <f t="shared" si="69"/>
        <v>0</v>
      </c>
      <c r="BW21" s="6">
        <f t="shared" si="70"/>
        <v>0</v>
      </c>
      <c r="BX21" s="5">
        <f t="shared" si="71"/>
        <v>0</v>
      </c>
      <c r="BY21" s="6">
        <f t="shared" si="72"/>
        <v>0</v>
      </c>
      <c r="BZ21" s="7">
        <f t="shared" si="73"/>
        <v>0</v>
      </c>
      <c r="CA21" s="6">
        <f t="shared" si="74"/>
        <v>0</v>
      </c>
      <c r="CB21" s="7">
        <f t="shared" si="75"/>
        <v>0</v>
      </c>
      <c r="CC21" s="6">
        <f t="shared" si="76"/>
        <v>0</v>
      </c>
      <c r="CD21" s="5">
        <f t="shared" si="77"/>
        <v>0</v>
      </c>
      <c r="CE21" s="6">
        <f t="shared" si="78"/>
        <v>0</v>
      </c>
      <c r="CF21" s="7">
        <f t="shared" si="79"/>
        <v>0</v>
      </c>
      <c r="CG21" s="6">
        <f t="shared" si="80"/>
        <v>0</v>
      </c>
      <c r="CH21" s="7">
        <f t="shared" si="81"/>
        <v>0</v>
      </c>
      <c r="CI21" s="6">
        <f t="shared" si="82"/>
        <v>0</v>
      </c>
      <c r="CJ21" s="5">
        <f t="shared" si="83"/>
        <v>0</v>
      </c>
      <c r="CK21" s="6">
        <f t="shared" si="84"/>
        <v>0</v>
      </c>
      <c r="CL21" s="7">
        <f t="shared" si="85"/>
        <v>0</v>
      </c>
      <c r="CM21" s="6">
        <f t="shared" si="86"/>
        <v>0</v>
      </c>
      <c r="CN21" s="7">
        <f t="shared" si="87"/>
        <v>0</v>
      </c>
      <c r="CO21" s="6">
        <f t="shared" si="88"/>
        <v>0</v>
      </c>
      <c r="CP21" s="5">
        <f t="shared" si="89"/>
        <v>0</v>
      </c>
      <c r="CQ21" s="6">
        <f t="shared" si="90"/>
        <v>0</v>
      </c>
      <c r="CR21" s="7">
        <f t="shared" si="0"/>
        <v>100</v>
      </c>
      <c r="CS21" s="6">
        <f t="shared" si="0"/>
        <v>102.75</v>
      </c>
      <c r="CT21" s="7">
        <f t="shared" si="0"/>
        <v>42.714285714285708</v>
      </c>
      <c r="CU21" s="6">
        <f t="shared" si="0"/>
        <v>45.571428571428569</v>
      </c>
      <c r="CV21" s="5">
        <f t="shared" si="91"/>
        <v>142.71428571428572</v>
      </c>
      <c r="CW21" s="6">
        <f t="shared" si="92"/>
        <v>148.32142857142856</v>
      </c>
      <c r="CY21" s="7">
        <v>142.71428571428572</v>
      </c>
      <c r="CZ21" s="5">
        <f t="array" ref="CZ21">Summary_UpperBound</f>
        <v>148.32142857142856</v>
      </c>
      <c r="DA21" s="6">
        <f t="shared" si="93"/>
        <v>5.6071428571428328</v>
      </c>
    </row>
    <row r="22" spans="1:105" x14ac:dyDescent="0.35">
      <c r="B22" s="14"/>
      <c r="E22" s="12">
        <f t="shared" si="94"/>
        <v>43827</v>
      </c>
      <c r="F22" s="7">
        <f t="shared" si="1"/>
        <v>0</v>
      </c>
      <c r="G22" s="6">
        <f t="shared" si="2"/>
        <v>0</v>
      </c>
      <c r="H22" s="7">
        <f t="shared" si="3"/>
        <v>20</v>
      </c>
      <c r="I22" s="6">
        <f t="shared" si="4"/>
        <v>21</v>
      </c>
      <c r="J22" s="5">
        <f t="shared" si="5"/>
        <v>20</v>
      </c>
      <c r="K22" s="6">
        <f t="shared" si="6"/>
        <v>21</v>
      </c>
      <c r="L22" s="7">
        <f t="shared" si="7"/>
        <v>0</v>
      </c>
      <c r="M22" s="6">
        <f t="shared" si="8"/>
        <v>0</v>
      </c>
      <c r="N22" s="7">
        <f t="shared" si="9"/>
        <v>13.142857142857142</v>
      </c>
      <c r="O22" s="6">
        <f t="shared" si="10"/>
        <v>14.285714285714285</v>
      </c>
      <c r="P22" s="5">
        <f t="shared" si="11"/>
        <v>13.142857142857142</v>
      </c>
      <c r="Q22" s="6">
        <f t="shared" si="12"/>
        <v>14.285714285714285</v>
      </c>
      <c r="R22" s="7">
        <f t="shared" si="13"/>
        <v>0</v>
      </c>
      <c r="S22" s="6">
        <f t="shared" si="14"/>
        <v>0</v>
      </c>
      <c r="T22" s="7">
        <f t="shared" si="15"/>
        <v>9.5714285714285712</v>
      </c>
      <c r="U22" s="6">
        <f t="shared" si="16"/>
        <v>10.285714285714285</v>
      </c>
      <c r="V22" s="5">
        <f t="shared" si="17"/>
        <v>9.5714285714285712</v>
      </c>
      <c r="W22" s="6">
        <f t="shared" si="18"/>
        <v>10.285714285714285</v>
      </c>
      <c r="X22" s="7">
        <f t="shared" si="19"/>
        <v>70</v>
      </c>
      <c r="Y22" s="6">
        <f t="shared" si="20"/>
        <v>71</v>
      </c>
      <c r="Z22" s="7">
        <f t="shared" si="21"/>
        <v>0</v>
      </c>
      <c r="AA22" s="6">
        <f t="shared" si="22"/>
        <v>0</v>
      </c>
      <c r="AB22" s="5">
        <f t="shared" si="23"/>
        <v>70</v>
      </c>
      <c r="AC22" s="6">
        <f t="shared" si="24"/>
        <v>71</v>
      </c>
      <c r="AD22" s="7">
        <f t="shared" si="25"/>
        <v>30</v>
      </c>
      <c r="AE22" s="6">
        <f t="shared" si="26"/>
        <v>31.75</v>
      </c>
      <c r="AF22" s="7">
        <f t="shared" si="27"/>
        <v>0</v>
      </c>
      <c r="AG22" s="6">
        <f t="shared" si="28"/>
        <v>0</v>
      </c>
      <c r="AH22" s="5">
        <f t="shared" si="29"/>
        <v>30</v>
      </c>
      <c r="AI22" s="6">
        <f t="shared" si="30"/>
        <v>31.75</v>
      </c>
      <c r="AJ22" s="7">
        <f t="shared" si="31"/>
        <v>0</v>
      </c>
      <c r="AK22" s="6">
        <f t="shared" si="32"/>
        <v>0</v>
      </c>
      <c r="AL22" s="7">
        <f t="shared" si="33"/>
        <v>0</v>
      </c>
      <c r="AM22" s="6">
        <f t="shared" si="34"/>
        <v>0</v>
      </c>
      <c r="AN22" s="5">
        <f t="shared" si="35"/>
        <v>0</v>
      </c>
      <c r="AO22" s="6">
        <f t="shared" si="36"/>
        <v>0</v>
      </c>
      <c r="AP22" s="7">
        <f t="shared" si="37"/>
        <v>0</v>
      </c>
      <c r="AQ22" s="6">
        <f t="shared" si="38"/>
        <v>0</v>
      </c>
      <c r="AR22" s="7">
        <f t="shared" si="39"/>
        <v>0</v>
      </c>
      <c r="AS22" s="6">
        <f t="shared" si="40"/>
        <v>0</v>
      </c>
      <c r="AT22" s="5">
        <f t="shared" si="41"/>
        <v>0</v>
      </c>
      <c r="AU22" s="6">
        <f t="shared" si="42"/>
        <v>0</v>
      </c>
      <c r="AV22" s="7">
        <f t="shared" si="43"/>
        <v>0</v>
      </c>
      <c r="AW22" s="6">
        <f t="shared" si="44"/>
        <v>0</v>
      </c>
      <c r="AX22" s="7">
        <f t="shared" si="45"/>
        <v>0</v>
      </c>
      <c r="AY22" s="6">
        <f t="shared" si="46"/>
        <v>0</v>
      </c>
      <c r="AZ22" s="5">
        <f t="shared" si="47"/>
        <v>0</v>
      </c>
      <c r="BA22" s="6">
        <f t="shared" si="48"/>
        <v>0</v>
      </c>
      <c r="BB22" s="7">
        <f t="shared" si="49"/>
        <v>0</v>
      </c>
      <c r="BC22" s="6">
        <f t="shared" si="50"/>
        <v>0</v>
      </c>
      <c r="BD22" s="7">
        <f t="shared" si="51"/>
        <v>0</v>
      </c>
      <c r="BE22" s="6">
        <f t="shared" si="52"/>
        <v>0</v>
      </c>
      <c r="BF22" s="5">
        <f t="shared" si="53"/>
        <v>0</v>
      </c>
      <c r="BG22" s="6">
        <f t="shared" si="54"/>
        <v>0</v>
      </c>
      <c r="BH22" s="7">
        <f t="shared" si="55"/>
        <v>0</v>
      </c>
      <c r="BI22" s="6">
        <f t="shared" si="56"/>
        <v>0</v>
      </c>
      <c r="BJ22" s="7">
        <f t="shared" si="57"/>
        <v>0</v>
      </c>
      <c r="BK22" s="6">
        <f t="shared" si="58"/>
        <v>0</v>
      </c>
      <c r="BL22" s="5">
        <f t="shared" si="59"/>
        <v>0</v>
      </c>
      <c r="BM22" s="6">
        <f t="shared" si="60"/>
        <v>0</v>
      </c>
      <c r="BN22" s="7">
        <f t="shared" si="61"/>
        <v>0</v>
      </c>
      <c r="BO22" s="6">
        <f t="shared" si="62"/>
        <v>0</v>
      </c>
      <c r="BP22" s="7">
        <f t="shared" si="63"/>
        <v>0</v>
      </c>
      <c r="BQ22" s="6">
        <f t="shared" si="64"/>
        <v>0</v>
      </c>
      <c r="BR22" s="5">
        <f t="shared" si="65"/>
        <v>0</v>
      </c>
      <c r="BS22" s="6">
        <f t="shared" si="66"/>
        <v>0</v>
      </c>
      <c r="BT22" s="7">
        <f t="shared" si="67"/>
        <v>0</v>
      </c>
      <c r="BU22" s="6">
        <f t="shared" si="68"/>
        <v>0</v>
      </c>
      <c r="BV22" s="7">
        <f t="shared" si="69"/>
        <v>0</v>
      </c>
      <c r="BW22" s="6">
        <f t="shared" si="70"/>
        <v>0</v>
      </c>
      <c r="BX22" s="5">
        <f t="shared" si="71"/>
        <v>0</v>
      </c>
      <c r="BY22" s="6">
        <f t="shared" si="72"/>
        <v>0</v>
      </c>
      <c r="BZ22" s="7">
        <f t="shared" si="73"/>
        <v>0</v>
      </c>
      <c r="CA22" s="6">
        <f t="shared" si="74"/>
        <v>0</v>
      </c>
      <c r="CB22" s="7">
        <f t="shared" si="75"/>
        <v>0</v>
      </c>
      <c r="CC22" s="6">
        <f t="shared" si="76"/>
        <v>0</v>
      </c>
      <c r="CD22" s="5">
        <f t="shared" si="77"/>
        <v>0</v>
      </c>
      <c r="CE22" s="6">
        <f t="shared" si="78"/>
        <v>0</v>
      </c>
      <c r="CF22" s="7">
        <f t="shared" si="79"/>
        <v>0</v>
      </c>
      <c r="CG22" s="6">
        <f t="shared" si="80"/>
        <v>0</v>
      </c>
      <c r="CH22" s="7">
        <f t="shared" si="81"/>
        <v>0</v>
      </c>
      <c r="CI22" s="6">
        <f t="shared" si="82"/>
        <v>0</v>
      </c>
      <c r="CJ22" s="5">
        <f t="shared" si="83"/>
        <v>0</v>
      </c>
      <c r="CK22" s="6">
        <f t="shared" si="84"/>
        <v>0</v>
      </c>
      <c r="CL22" s="7">
        <f t="shared" si="85"/>
        <v>0</v>
      </c>
      <c r="CM22" s="6">
        <f t="shared" si="86"/>
        <v>0</v>
      </c>
      <c r="CN22" s="7">
        <f t="shared" si="87"/>
        <v>0</v>
      </c>
      <c r="CO22" s="6">
        <f t="shared" si="88"/>
        <v>0</v>
      </c>
      <c r="CP22" s="5">
        <f t="shared" si="89"/>
        <v>0</v>
      </c>
      <c r="CQ22" s="6">
        <f t="shared" si="90"/>
        <v>0</v>
      </c>
      <c r="CR22" s="7">
        <f t="shared" si="0"/>
        <v>100</v>
      </c>
      <c r="CS22" s="6">
        <f t="shared" si="0"/>
        <v>102.75</v>
      </c>
      <c r="CT22" s="7">
        <f t="shared" si="0"/>
        <v>42.714285714285708</v>
      </c>
      <c r="CU22" s="6">
        <f t="shared" si="0"/>
        <v>45.571428571428569</v>
      </c>
      <c r="CV22" s="5">
        <f t="shared" si="91"/>
        <v>142.71428571428572</v>
      </c>
      <c r="CW22" s="6">
        <f t="shared" si="92"/>
        <v>148.32142857142856</v>
      </c>
      <c r="CY22" s="7">
        <v>142.71428571428572</v>
      </c>
      <c r="CZ22" s="5">
        <f t="array" ref="CZ22">Summary_UpperBound</f>
        <v>148.32142857142856</v>
      </c>
      <c r="DA22" s="6">
        <f t="shared" si="93"/>
        <v>5.6071428571428328</v>
      </c>
    </row>
    <row r="23" spans="1:105" x14ac:dyDescent="0.35">
      <c r="B23" s="14"/>
      <c r="E23" s="12">
        <f t="shared" si="94"/>
        <v>43834</v>
      </c>
      <c r="F23" s="7">
        <f t="shared" si="1"/>
        <v>0</v>
      </c>
      <c r="G23" s="6">
        <f t="shared" si="2"/>
        <v>0</v>
      </c>
      <c r="H23" s="7">
        <f t="shared" si="3"/>
        <v>20</v>
      </c>
      <c r="I23" s="6">
        <f t="shared" si="4"/>
        <v>21</v>
      </c>
      <c r="J23" s="5">
        <f t="shared" si="5"/>
        <v>20</v>
      </c>
      <c r="K23" s="6">
        <f t="shared" si="6"/>
        <v>21</v>
      </c>
      <c r="L23" s="7">
        <f t="shared" si="7"/>
        <v>0</v>
      </c>
      <c r="M23" s="6">
        <f t="shared" si="8"/>
        <v>0</v>
      </c>
      <c r="N23" s="7">
        <f t="shared" si="9"/>
        <v>13.142857142857142</v>
      </c>
      <c r="O23" s="6">
        <f t="shared" si="10"/>
        <v>14.285714285714285</v>
      </c>
      <c r="P23" s="5">
        <f t="shared" si="11"/>
        <v>13.142857142857142</v>
      </c>
      <c r="Q23" s="6">
        <f t="shared" si="12"/>
        <v>14.285714285714285</v>
      </c>
      <c r="R23" s="7">
        <f t="shared" si="13"/>
        <v>0</v>
      </c>
      <c r="S23" s="6">
        <f t="shared" si="14"/>
        <v>0</v>
      </c>
      <c r="T23" s="7">
        <f t="shared" si="15"/>
        <v>9.5714285714285712</v>
      </c>
      <c r="U23" s="6">
        <f t="shared" si="16"/>
        <v>10.285714285714285</v>
      </c>
      <c r="V23" s="5">
        <f t="shared" si="17"/>
        <v>9.5714285714285712</v>
      </c>
      <c r="W23" s="6">
        <f t="shared" si="18"/>
        <v>10.285714285714285</v>
      </c>
      <c r="X23" s="7">
        <f t="shared" si="19"/>
        <v>70</v>
      </c>
      <c r="Y23" s="6">
        <f t="shared" si="20"/>
        <v>71</v>
      </c>
      <c r="Z23" s="7">
        <f t="shared" si="21"/>
        <v>0</v>
      </c>
      <c r="AA23" s="6">
        <f t="shared" si="22"/>
        <v>0</v>
      </c>
      <c r="AB23" s="5">
        <f t="shared" si="23"/>
        <v>70</v>
      </c>
      <c r="AC23" s="6">
        <f t="shared" si="24"/>
        <v>71</v>
      </c>
      <c r="AD23" s="7">
        <f t="shared" si="25"/>
        <v>30</v>
      </c>
      <c r="AE23" s="6">
        <f t="shared" si="26"/>
        <v>31.75</v>
      </c>
      <c r="AF23" s="7">
        <f t="shared" si="27"/>
        <v>0</v>
      </c>
      <c r="AG23" s="6">
        <f t="shared" si="28"/>
        <v>0</v>
      </c>
      <c r="AH23" s="5">
        <f t="shared" si="29"/>
        <v>30</v>
      </c>
      <c r="AI23" s="6">
        <f t="shared" si="30"/>
        <v>31.75</v>
      </c>
      <c r="AJ23" s="7">
        <f t="shared" si="31"/>
        <v>0</v>
      </c>
      <c r="AK23" s="6">
        <f t="shared" si="32"/>
        <v>0</v>
      </c>
      <c r="AL23" s="7">
        <f t="shared" si="33"/>
        <v>0</v>
      </c>
      <c r="AM23" s="6">
        <f t="shared" si="34"/>
        <v>0</v>
      </c>
      <c r="AN23" s="5">
        <f t="shared" si="35"/>
        <v>0</v>
      </c>
      <c r="AO23" s="6">
        <f t="shared" si="36"/>
        <v>0</v>
      </c>
      <c r="AP23" s="7">
        <f t="shared" si="37"/>
        <v>0</v>
      </c>
      <c r="AQ23" s="6">
        <f t="shared" si="38"/>
        <v>0</v>
      </c>
      <c r="AR23" s="7">
        <f t="shared" si="39"/>
        <v>0</v>
      </c>
      <c r="AS23" s="6">
        <f t="shared" si="40"/>
        <v>0</v>
      </c>
      <c r="AT23" s="5">
        <f t="shared" si="41"/>
        <v>0</v>
      </c>
      <c r="AU23" s="6">
        <f t="shared" si="42"/>
        <v>0</v>
      </c>
      <c r="AV23" s="7">
        <f t="shared" si="43"/>
        <v>0</v>
      </c>
      <c r="AW23" s="6">
        <f t="shared" si="44"/>
        <v>0</v>
      </c>
      <c r="AX23" s="7">
        <f t="shared" si="45"/>
        <v>0</v>
      </c>
      <c r="AY23" s="6">
        <f t="shared" si="46"/>
        <v>0</v>
      </c>
      <c r="AZ23" s="5">
        <f t="shared" si="47"/>
        <v>0</v>
      </c>
      <c r="BA23" s="6">
        <f t="shared" si="48"/>
        <v>0</v>
      </c>
      <c r="BB23" s="7">
        <f t="shared" si="49"/>
        <v>0</v>
      </c>
      <c r="BC23" s="6">
        <f t="shared" si="50"/>
        <v>0</v>
      </c>
      <c r="BD23" s="7">
        <f t="shared" si="51"/>
        <v>0</v>
      </c>
      <c r="BE23" s="6">
        <f t="shared" si="52"/>
        <v>0</v>
      </c>
      <c r="BF23" s="5">
        <f t="shared" si="53"/>
        <v>0</v>
      </c>
      <c r="BG23" s="6">
        <f t="shared" si="54"/>
        <v>0</v>
      </c>
      <c r="BH23" s="7">
        <f t="shared" si="55"/>
        <v>0</v>
      </c>
      <c r="BI23" s="6">
        <f t="shared" si="56"/>
        <v>0</v>
      </c>
      <c r="BJ23" s="7">
        <f t="shared" si="57"/>
        <v>0</v>
      </c>
      <c r="BK23" s="6">
        <f t="shared" si="58"/>
        <v>0</v>
      </c>
      <c r="BL23" s="5">
        <f t="shared" si="59"/>
        <v>0</v>
      </c>
      <c r="BM23" s="6">
        <f t="shared" si="60"/>
        <v>0</v>
      </c>
      <c r="BN23" s="7">
        <f t="shared" si="61"/>
        <v>0</v>
      </c>
      <c r="BO23" s="6">
        <f t="shared" si="62"/>
        <v>0</v>
      </c>
      <c r="BP23" s="7">
        <f t="shared" si="63"/>
        <v>0</v>
      </c>
      <c r="BQ23" s="6">
        <f t="shared" si="64"/>
        <v>0</v>
      </c>
      <c r="BR23" s="5">
        <f t="shared" si="65"/>
        <v>0</v>
      </c>
      <c r="BS23" s="6">
        <f t="shared" si="66"/>
        <v>0</v>
      </c>
      <c r="BT23" s="7">
        <f t="shared" si="67"/>
        <v>0</v>
      </c>
      <c r="BU23" s="6">
        <f t="shared" si="68"/>
        <v>0</v>
      </c>
      <c r="BV23" s="7">
        <f t="shared" si="69"/>
        <v>0</v>
      </c>
      <c r="BW23" s="6">
        <f t="shared" si="70"/>
        <v>0</v>
      </c>
      <c r="BX23" s="5">
        <f t="shared" si="71"/>
        <v>0</v>
      </c>
      <c r="BY23" s="6">
        <f t="shared" si="72"/>
        <v>0</v>
      </c>
      <c r="BZ23" s="7">
        <f t="shared" si="73"/>
        <v>0</v>
      </c>
      <c r="CA23" s="6">
        <f t="shared" si="74"/>
        <v>0</v>
      </c>
      <c r="CB23" s="7">
        <f t="shared" si="75"/>
        <v>0</v>
      </c>
      <c r="CC23" s="6">
        <f t="shared" si="76"/>
        <v>0</v>
      </c>
      <c r="CD23" s="5">
        <f t="shared" si="77"/>
        <v>0</v>
      </c>
      <c r="CE23" s="6">
        <f t="shared" si="78"/>
        <v>0</v>
      </c>
      <c r="CF23" s="7">
        <f t="shared" si="79"/>
        <v>0</v>
      </c>
      <c r="CG23" s="6">
        <f t="shared" si="80"/>
        <v>0</v>
      </c>
      <c r="CH23" s="7">
        <f t="shared" si="81"/>
        <v>0</v>
      </c>
      <c r="CI23" s="6">
        <f t="shared" si="82"/>
        <v>0</v>
      </c>
      <c r="CJ23" s="5">
        <f t="shared" si="83"/>
        <v>0</v>
      </c>
      <c r="CK23" s="6">
        <f t="shared" si="84"/>
        <v>0</v>
      </c>
      <c r="CL23" s="7">
        <f t="shared" si="85"/>
        <v>0</v>
      </c>
      <c r="CM23" s="6">
        <f t="shared" si="86"/>
        <v>0</v>
      </c>
      <c r="CN23" s="7">
        <f t="shared" si="87"/>
        <v>0</v>
      </c>
      <c r="CO23" s="6">
        <f t="shared" si="88"/>
        <v>0</v>
      </c>
      <c r="CP23" s="5">
        <f t="shared" si="89"/>
        <v>0</v>
      </c>
      <c r="CQ23" s="6">
        <f t="shared" si="90"/>
        <v>0</v>
      </c>
      <c r="CR23" s="7">
        <f t="shared" si="0"/>
        <v>100</v>
      </c>
      <c r="CS23" s="6">
        <f t="shared" si="0"/>
        <v>102.75</v>
      </c>
      <c r="CT23" s="7">
        <f t="shared" si="0"/>
        <v>42.714285714285708</v>
      </c>
      <c r="CU23" s="6">
        <f t="shared" si="0"/>
        <v>45.571428571428569</v>
      </c>
      <c r="CV23" s="5">
        <f t="shared" si="91"/>
        <v>142.71428571428572</v>
      </c>
      <c r="CW23" s="6">
        <f t="shared" si="92"/>
        <v>148.32142857142856</v>
      </c>
      <c r="CY23" s="7">
        <v>142.71428571428572</v>
      </c>
      <c r="CZ23" s="5">
        <f t="array" ref="CZ23">Summary_UpperBound</f>
        <v>148.32142857142856</v>
      </c>
      <c r="DA23" s="6">
        <f t="shared" si="93"/>
        <v>5.6071428571428328</v>
      </c>
    </row>
    <row r="24" spans="1:105" x14ac:dyDescent="0.35">
      <c r="B24" s="14"/>
      <c r="E24" s="12">
        <f t="shared" si="94"/>
        <v>43841</v>
      </c>
      <c r="F24" s="7">
        <f t="shared" si="1"/>
        <v>0</v>
      </c>
      <c r="G24" s="6">
        <f t="shared" si="2"/>
        <v>0</v>
      </c>
      <c r="H24" s="7">
        <f t="shared" si="3"/>
        <v>20</v>
      </c>
      <c r="I24" s="6">
        <f t="shared" si="4"/>
        <v>21</v>
      </c>
      <c r="J24" s="5">
        <f t="shared" si="5"/>
        <v>20</v>
      </c>
      <c r="K24" s="6">
        <f t="shared" si="6"/>
        <v>21</v>
      </c>
      <c r="L24" s="7">
        <f t="shared" si="7"/>
        <v>0</v>
      </c>
      <c r="M24" s="6">
        <f t="shared" si="8"/>
        <v>0</v>
      </c>
      <c r="N24" s="7">
        <f t="shared" si="9"/>
        <v>13.142857142857142</v>
      </c>
      <c r="O24" s="6">
        <f t="shared" si="10"/>
        <v>14.285714285714285</v>
      </c>
      <c r="P24" s="5">
        <f t="shared" si="11"/>
        <v>13.142857142857142</v>
      </c>
      <c r="Q24" s="6">
        <f t="shared" si="12"/>
        <v>14.285714285714285</v>
      </c>
      <c r="R24" s="7">
        <f t="shared" si="13"/>
        <v>0</v>
      </c>
      <c r="S24" s="6">
        <f t="shared" si="14"/>
        <v>0</v>
      </c>
      <c r="T24" s="7">
        <f t="shared" si="15"/>
        <v>9.5714285714285712</v>
      </c>
      <c r="U24" s="6">
        <f t="shared" si="16"/>
        <v>10.285714285714285</v>
      </c>
      <c r="V24" s="5">
        <f t="shared" si="17"/>
        <v>9.5714285714285712</v>
      </c>
      <c r="W24" s="6">
        <f t="shared" si="18"/>
        <v>10.285714285714285</v>
      </c>
      <c r="X24" s="7">
        <f t="shared" si="19"/>
        <v>70</v>
      </c>
      <c r="Y24" s="6">
        <f t="shared" si="20"/>
        <v>71</v>
      </c>
      <c r="Z24" s="7">
        <f t="shared" si="21"/>
        <v>0</v>
      </c>
      <c r="AA24" s="6">
        <f t="shared" si="22"/>
        <v>0</v>
      </c>
      <c r="AB24" s="5">
        <f t="shared" si="23"/>
        <v>70</v>
      </c>
      <c r="AC24" s="6">
        <f t="shared" si="24"/>
        <v>71</v>
      </c>
      <c r="AD24" s="7">
        <f t="shared" si="25"/>
        <v>30</v>
      </c>
      <c r="AE24" s="6">
        <f t="shared" si="26"/>
        <v>31.75</v>
      </c>
      <c r="AF24" s="7">
        <f t="shared" si="27"/>
        <v>0</v>
      </c>
      <c r="AG24" s="6">
        <f t="shared" si="28"/>
        <v>0</v>
      </c>
      <c r="AH24" s="5">
        <f t="shared" si="29"/>
        <v>30</v>
      </c>
      <c r="AI24" s="6">
        <f t="shared" si="30"/>
        <v>31.75</v>
      </c>
      <c r="AJ24" s="7">
        <f t="shared" si="31"/>
        <v>0</v>
      </c>
      <c r="AK24" s="6">
        <f t="shared" si="32"/>
        <v>0</v>
      </c>
      <c r="AL24" s="7">
        <f t="shared" si="33"/>
        <v>0</v>
      </c>
      <c r="AM24" s="6">
        <f t="shared" si="34"/>
        <v>0</v>
      </c>
      <c r="AN24" s="5">
        <f t="shared" si="35"/>
        <v>0</v>
      </c>
      <c r="AO24" s="6">
        <f t="shared" si="36"/>
        <v>0</v>
      </c>
      <c r="AP24" s="7">
        <f t="shared" si="37"/>
        <v>0</v>
      </c>
      <c r="AQ24" s="6">
        <f t="shared" si="38"/>
        <v>0</v>
      </c>
      <c r="AR24" s="7">
        <f t="shared" si="39"/>
        <v>0</v>
      </c>
      <c r="AS24" s="6">
        <f t="shared" si="40"/>
        <v>0</v>
      </c>
      <c r="AT24" s="5">
        <f t="shared" si="41"/>
        <v>0</v>
      </c>
      <c r="AU24" s="6">
        <f t="shared" si="42"/>
        <v>0</v>
      </c>
      <c r="AV24" s="7">
        <f t="shared" si="43"/>
        <v>0</v>
      </c>
      <c r="AW24" s="6">
        <f t="shared" si="44"/>
        <v>0</v>
      </c>
      <c r="AX24" s="7">
        <f t="shared" si="45"/>
        <v>0</v>
      </c>
      <c r="AY24" s="6">
        <f t="shared" si="46"/>
        <v>0</v>
      </c>
      <c r="AZ24" s="5">
        <f t="shared" si="47"/>
        <v>0</v>
      </c>
      <c r="BA24" s="6">
        <f t="shared" si="48"/>
        <v>0</v>
      </c>
      <c r="BB24" s="7">
        <f t="shared" si="49"/>
        <v>0</v>
      </c>
      <c r="BC24" s="6">
        <f t="shared" si="50"/>
        <v>0</v>
      </c>
      <c r="BD24" s="7">
        <f t="shared" si="51"/>
        <v>0</v>
      </c>
      <c r="BE24" s="6">
        <f t="shared" si="52"/>
        <v>0</v>
      </c>
      <c r="BF24" s="5">
        <f t="shared" si="53"/>
        <v>0</v>
      </c>
      <c r="BG24" s="6">
        <f t="shared" si="54"/>
        <v>0</v>
      </c>
      <c r="BH24" s="7">
        <f t="shared" si="55"/>
        <v>0</v>
      </c>
      <c r="BI24" s="6">
        <f t="shared" si="56"/>
        <v>0</v>
      </c>
      <c r="BJ24" s="7">
        <f t="shared" si="57"/>
        <v>0</v>
      </c>
      <c r="BK24" s="6">
        <f t="shared" si="58"/>
        <v>0</v>
      </c>
      <c r="BL24" s="5">
        <f t="shared" si="59"/>
        <v>0</v>
      </c>
      <c r="BM24" s="6">
        <f t="shared" si="60"/>
        <v>0</v>
      </c>
      <c r="BN24" s="7">
        <f t="shared" si="61"/>
        <v>0</v>
      </c>
      <c r="BO24" s="6">
        <f t="shared" si="62"/>
        <v>0</v>
      </c>
      <c r="BP24" s="7">
        <f t="shared" si="63"/>
        <v>0</v>
      </c>
      <c r="BQ24" s="6">
        <f t="shared" si="64"/>
        <v>0</v>
      </c>
      <c r="BR24" s="5">
        <f t="shared" si="65"/>
        <v>0</v>
      </c>
      <c r="BS24" s="6">
        <f t="shared" si="66"/>
        <v>0</v>
      </c>
      <c r="BT24" s="7">
        <f t="shared" si="67"/>
        <v>0</v>
      </c>
      <c r="BU24" s="6">
        <f t="shared" si="68"/>
        <v>0</v>
      </c>
      <c r="BV24" s="7">
        <f t="shared" si="69"/>
        <v>0</v>
      </c>
      <c r="BW24" s="6">
        <f t="shared" si="70"/>
        <v>0</v>
      </c>
      <c r="BX24" s="5">
        <f t="shared" si="71"/>
        <v>0</v>
      </c>
      <c r="BY24" s="6">
        <f t="shared" si="72"/>
        <v>0</v>
      </c>
      <c r="BZ24" s="7">
        <f t="shared" si="73"/>
        <v>0</v>
      </c>
      <c r="CA24" s="6">
        <f t="shared" si="74"/>
        <v>0</v>
      </c>
      <c r="CB24" s="7">
        <f t="shared" si="75"/>
        <v>0</v>
      </c>
      <c r="CC24" s="6">
        <f t="shared" si="76"/>
        <v>0</v>
      </c>
      <c r="CD24" s="5">
        <f t="shared" si="77"/>
        <v>0</v>
      </c>
      <c r="CE24" s="6">
        <f t="shared" si="78"/>
        <v>0</v>
      </c>
      <c r="CF24" s="7">
        <f t="shared" si="79"/>
        <v>0</v>
      </c>
      <c r="CG24" s="6">
        <f t="shared" si="80"/>
        <v>0</v>
      </c>
      <c r="CH24" s="7">
        <f t="shared" si="81"/>
        <v>0</v>
      </c>
      <c r="CI24" s="6">
        <f t="shared" si="82"/>
        <v>0</v>
      </c>
      <c r="CJ24" s="5">
        <f t="shared" si="83"/>
        <v>0</v>
      </c>
      <c r="CK24" s="6">
        <f t="shared" si="84"/>
        <v>0</v>
      </c>
      <c r="CL24" s="7">
        <f t="shared" si="85"/>
        <v>0</v>
      </c>
      <c r="CM24" s="6">
        <f t="shared" si="86"/>
        <v>0</v>
      </c>
      <c r="CN24" s="7">
        <f t="shared" si="87"/>
        <v>0</v>
      </c>
      <c r="CO24" s="6">
        <f t="shared" si="88"/>
        <v>0</v>
      </c>
      <c r="CP24" s="5">
        <f t="shared" si="89"/>
        <v>0</v>
      </c>
      <c r="CQ24" s="6">
        <f t="shared" si="90"/>
        <v>0</v>
      </c>
      <c r="CR24" s="7">
        <f t="shared" si="0"/>
        <v>100</v>
      </c>
      <c r="CS24" s="6">
        <f t="shared" si="0"/>
        <v>102.75</v>
      </c>
      <c r="CT24" s="7">
        <f t="shared" si="0"/>
        <v>42.714285714285708</v>
      </c>
      <c r="CU24" s="6">
        <f t="shared" si="0"/>
        <v>45.571428571428569</v>
      </c>
      <c r="CV24" s="5">
        <f t="shared" si="91"/>
        <v>142.71428571428572</v>
      </c>
      <c r="CW24" s="6">
        <f t="shared" si="92"/>
        <v>148.32142857142856</v>
      </c>
      <c r="CY24" s="7">
        <v>142.71428571428572</v>
      </c>
      <c r="CZ24" s="5">
        <f t="array" ref="CZ24">Summary_UpperBound</f>
        <v>148.32142857142856</v>
      </c>
      <c r="DA24" s="6">
        <f t="shared" si="93"/>
        <v>5.6071428571428328</v>
      </c>
    </row>
    <row r="25" spans="1:105" x14ac:dyDescent="0.35">
      <c r="B25" s="14"/>
      <c r="E25" s="12">
        <f t="shared" si="94"/>
        <v>43848</v>
      </c>
      <c r="F25" s="7">
        <f t="shared" si="1"/>
        <v>0</v>
      </c>
      <c r="G25" s="6">
        <f t="shared" si="2"/>
        <v>0</v>
      </c>
      <c r="H25" s="7">
        <f t="shared" si="3"/>
        <v>20</v>
      </c>
      <c r="I25" s="6">
        <f t="shared" si="4"/>
        <v>21</v>
      </c>
      <c r="J25" s="5">
        <f t="shared" si="5"/>
        <v>20</v>
      </c>
      <c r="K25" s="6">
        <f t="shared" si="6"/>
        <v>21</v>
      </c>
      <c r="L25" s="7">
        <f t="shared" si="7"/>
        <v>0</v>
      </c>
      <c r="M25" s="6">
        <f t="shared" si="8"/>
        <v>0</v>
      </c>
      <c r="N25" s="7">
        <f t="shared" si="9"/>
        <v>13.142857142857142</v>
      </c>
      <c r="O25" s="6">
        <f t="shared" si="10"/>
        <v>14.285714285714285</v>
      </c>
      <c r="P25" s="5">
        <f t="shared" si="11"/>
        <v>13.142857142857142</v>
      </c>
      <c r="Q25" s="6">
        <f t="shared" si="12"/>
        <v>14.285714285714285</v>
      </c>
      <c r="R25" s="7">
        <f t="shared" si="13"/>
        <v>0</v>
      </c>
      <c r="S25" s="6">
        <f t="shared" si="14"/>
        <v>0</v>
      </c>
      <c r="T25" s="7">
        <f t="shared" si="15"/>
        <v>9.5714285714285712</v>
      </c>
      <c r="U25" s="6">
        <f t="shared" si="16"/>
        <v>10.285714285714285</v>
      </c>
      <c r="V25" s="5">
        <f t="shared" si="17"/>
        <v>9.5714285714285712</v>
      </c>
      <c r="W25" s="6">
        <f t="shared" si="18"/>
        <v>10.285714285714285</v>
      </c>
      <c r="X25" s="7">
        <f t="shared" si="19"/>
        <v>70</v>
      </c>
      <c r="Y25" s="6">
        <f t="shared" si="20"/>
        <v>71</v>
      </c>
      <c r="Z25" s="7">
        <f t="shared" si="21"/>
        <v>0</v>
      </c>
      <c r="AA25" s="6">
        <f t="shared" si="22"/>
        <v>0</v>
      </c>
      <c r="AB25" s="5">
        <f t="shared" si="23"/>
        <v>70</v>
      </c>
      <c r="AC25" s="6">
        <f t="shared" si="24"/>
        <v>71</v>
      </c>
      <c r="AD25" s="7">
        <f t="shared" si="25"/>
        <v>30</v>
      </c>
      <c r="AE25" s="6">
        <f t="shared" si="26"/>
        <v>31.75</v>
      </c>
      <c r="AF25" s="7">
        <f t="shared" si="27"/>
        <v>0</v>
      </c>
      <c r="AG25" s="6">
        <f t="shared" si="28"/>
        <v>0</v>
      </c>
      <c r="AH25" s="5">
        <f t="shared" si="29"/>
        <v>30</v>
      </c>
      <c r="AI25" s="6">
        <f t="shared" si="30"/>
        <v>31.75</v>
      </c>
      <c r="AJ25" s="7">
        <f t="shared" si="31"/>
        <v>0</v>
      </c>
      <c r="AK25" s="6">
        <f t="shared" si="32"/>
        <v>0</v>
      </c>
      <c r="AL25" s="7">
        <f t="shared" si="33"/>
        <v>0</v>
      </c>
      <c r="AM25" s="6">
        <f t="shared" si="34"/>
        <v>0</v>
      </c>
      <c r="AN25" s="5">
        <f t="shared" si="35"/>
        <v>0</v>
      </c>
      <c r="AO25" s="6">
        <f t="shared" si="36"/>
        <v>0</v>
      </c>
      <c r="AP25" s="7">
        <f t="shared" si="37"/>
        <v>0</v>
      </c>
      <c r="AQ25" s="6">
        <f t="shared" si="38"/>
        <v>0</v>
      </c>
      <c r="AR25" s="7">
        <f t="shared" si="39"/>
        <v>0</v>
      </c>
      <c r="AS25" s="6">
        <f t="shared" si="40"/>
        <v>0</v>
      </c>
      <c r="AT25" s="5">
        <f t="shared" si="41"/>
        <v>0</v>
      </c>
      <c r="AU25" s="6">
        <f t="shared" si="42"/>
        <v>0</v>
      </c>
      <c r="AV25" s="7">
        <f t="shared" si="43"/>
        <v>0</v>
      </c>
      <c r="AW25" s="6">
        <f t="shared" si="44"/>
        <v>0</v>
      </c>
      <c r="AX25" s="7">
        <f t="shared" si="45"/>
        <v>0</v>
      </c>
      <c r="AY25" s="6">
        <f t="shared" si="46"/>
        <v>0</v>
      </c>
      <c r="AZ25" s="5">
        <f t="shared" si="47"/>
        <v>0</v>
      </c>
      <c r="BA25" s="6">
        <f t="shared" si="48"/>
        <v>0</v>
      </c>
      <c r="BB25" s="7">
        <f t="shared" si="49"/>
        <v>0</v>
      </c>
      <c r="BC25" s="6">
        <f t="shared" si="50"/>
        <v>0</v>
      </c>
      <c r="BD25" s="7">
        <f t="shared" si="51"/>
        <v>0</v>
      </c>
      <c r="BE25" s="6">
        <f t="shared" si="52"/>
        <v>0</v>
      </c>
      <c r="BF25" s="5">
        <f t="shared" si="53"/>
        <v>0</v>
      </c>
      <c r="BG25" s="6">
        <f t="shared" si="54"/>
        <v>0</v>
      </c>
      <c r="BH25" s="7">
        <f t="shared" si="55"/>
        <v>0</v>
      </c>
      <c r="BI25" s="6">
        <f t="shared" si="56"/>
        <v>0</v>
      </c>
      <c r="BJ25" s="7">
        <f t="shared" si="57"/>
        <v>0</v>
      </c>
      <c r="BK25" s="6">
        <f t="shared" si="58"/>
        <v>0</v>
      </c>
      <c r="BL25" s="5">
        <f t="shared" si="59"/>
        <v>0</v>
      </c>
      <c r="BM25" s="6">
        <f t="shared" si="60"/>
        <v>0</v>
      </c>
      <c r="BN25" s="7">
        <f t="shared" si="61"/>
        <v>0</v>
      </c>
      <c r="BO25" s="6">
        <f t="shared" si="62"/>
        <v>0</v>
      </c>
      <c r="BP25" s="7">
        <f t="shared" si="63"/>
        <v>0</v>
      </c>
      <c r="BQ25" s="6">
        <f t="shared" si="64"/>
        <v>0</v>
      </c>
      <c r="BR25" s="5">
        <f t="shared" si="65"/>
        <v>0</v>
      </c>
      <c r="BS25" s="6">
        <f t="shared" si="66"/>
        <v>0</v>
      </c>
      <c r="BT25" s="7">
        <f t="shared" si="67"/>
        <v>0</v>
      </c>
      <c r="BU25" s="6">
        <f t="shared" si="68"/>
        <v>0</v>
      </c>
      <c r="BV25" s="7">
        <f t="shared" si="69"/>
        <v>0</v>
      </c>
      <c r="BW25" s="6">
        <f t="shared" si="70"/>
        <v>0</v>
      </c>
      <c r="BX25" s="5">
        <f t="shared" si="71"/>
        <v>0</v>
      </c>
      <c r="BY25" s="6">
        <f t="shared" si="72"/>
        <v>0</v>
      </c>
      <c r="BZ25" s="7">
        <f t="shared" si="73"/>
        <v>0</v>
      </c>
      <c r="CA25" s="6">
        <f t="shared" si="74"/>
        <v>0</v>
      </c>
      <c r="CB25" s="7">
        <f t="shared" si="75"/>
        <v>0</v>
      </c>
      <c r="CC25" s="6">
        <f t="shared" si="76"/>
        <v>0</v>
      </c>
      <c r="CD25" s="5">
        <f t="shared" si="77"/>
        <v>0</v>
      </c>
      <c r="CE25" s="6">
        <f t="shared" si="78"/>
        <v>0</v>
      </c>
      <c r="CF25" s="7">
        <f t="shared" si="79"/>
        <v>0</v>
      </c>
      <c r="CG25" s="6">
        <f t="shared" si="80"/>
        <v>0</v>
      </c>
      <c r="CH25" s="7">
        <f t="shared" si="81"/>
        <v>0</v>
      </c>
      <c r="CI25" s="6">
        <f t="shared" si="82"/>
        <v>0</v>
      </c>
      <c r="CJ25" s="5">
        <f t="shared" si="83"/>
        <v>0</v>
      </c>
      <c r="CK25" s="6">
        <f t="shared" si="84"/>
        <v>0</v>
      </c>
      <c r="CL25" s="7">
        <f t="shared" si="85"/>
        <v>0</v>
      </c>
      <c r="CM25" s="6">
        <f t="shared" si="86"/>
        <v>0</v>
      </c>
      <c r="CN25" s="7">
        <f t="shared" si="87"/>
        <v>0</v>
      </c>
      <c r="CO25" s="6">
        <f t="shared" si="88"/>
        <v>0</v>
      </c>
      <c r="CP25" s="5">
        <f t="shared" si="89"/>
        <v>0</v>
      </c>
      <c r="CQ25" s="6">
        <f t="shared" si="90"/>
        <v>0</v>
      </c>
      <c r="CR25" s="7">
        <f t="shared" ref="CR25:CU44" si="95">SUMIFS($F25:$CO25,$F$2:$CO$2,CR$2,$F$4:$CO$4,CR$4)</f>
        <v>100</v>
      </c>
      <c r="CS25" s="6">
        <f t="shared" si="95"/>
        <v>102.75</v>
      </c>
      <c r="CT25" s="7">
        <f t="shared" si="95"/>
        <v>42.714285714285708</v>
      </c>
      <c r="CU25" s="6">
        <f t="shared" si="95"/>
        <v>45.571428571428569</v>
      </c>
      <c r="CV25" s="5">
        <f t="shared" si="91"/>
        <v>142.71428571428572</v>
      </c>
      <c r="CW25" s="6">
        <f t="shared" si="92"/>
        <v>148.32142857142856</v>
      </c>
      <c r="CY25" s="7">
        <v>142.71428571428572</v>
      </c>
      <c r="CZ25" s="5">
        <f t="array" ref="CZ25">Summary_UpperBound</f>
        <v>148.32142857142856</v>
      </c>
      <c r="DA25" s="6">
        <f t="shared" si="93"/>
        <v>5.6071428571428328</v>
      </c>
    </row>
    <row r="26" spans="1:105" x14ac:dyDescent="0.35">
      <c r="B26" s="14"/>
      <c r="E26" s="12">
        <f t="shared" si="94"/>
        <v>43855</v>
      </c>
      <c r="F26" s="7">
        <f t="shared" si="1"/>
        <v>0</v>
      </c>
      <c r="G26" s="6">
        <f t="shared" si="2"/>
        <v>0</v>
      </c>
      <c r="H26" s="7">
        <f t="shared" si="3"/>
        <v>20</v>
      </c>
      <c r="I26" s="6">
        <f t="shared" si="4"/>
        <v>21</v>
      </c>
      <c r="J26" s="5">
        <f t="shared" si="5"/>
        <v>20</v>
      </c>
      <c r="K26" s="6">
        <f t="shared" si="6"/>
        <v>21</v>
      </c>
      <c r="L26" s="7">
        <f t="shared" si="7"/>
        <v>0</v>
      </c>
      <c r="M26" s="6">
        <f t="shared" si="8"/>
        <v>0</v>
      </c>
      <c r="N26" s="7">
        <f t="shared" si="9"/>
        <v>13.142857142857142</v>
      </c>
      <c r="O26" s="6">
        <f t="shared" si="10"/>
        <v>14.285714285714285</v>
      </c>
      <c r="P26" s="5">
        <f t="shared" si="11"/>
        <v>13.142857142857142</v>
      </c>
      <c r="Q26" s="6">
        <f t="shared" si="12"/>
        <v>14.285714285714285</v>
      </c>
      <c r="R26" s="7">
        <f t="shared" si="13"/>
        <v>0</v>
      </c>
      <c r="S26" s="6">
        <f t="shared" si="14"/>
        <v>0</v>
      </c>
      <c r="T26" s="7">
        <f t="shared" si="15"/>
        <v>9.5714285714285712</v>
      </c>
      <c r="U26" s="6">
        <f t="shared" si="16"/>
        <v>10.285714285714285</v>
      </c>
      <c r="V26" s="5">
        <f t="shared" si="17"/>
        <v>9.5714285714285712</v>
      </c>
      <c r="W26" s="6">
        <f t="shared" si="18"/>
        <v>10.285714285714285</v>
      </c>
      <c r="X26" s="7">
        <f t="shared" si="19"/>
        <v>70</v>
      </c>
      <c r="Y26" s="6">
        <f t="shared" si="20"/>
        <v>71</v>
      </c>
      <c r="Z26" s="7">
        <f t="shared" si="21"/>
        <v>0</v>
      </c>
      <c r="AA26" s="6">
        <f t="shared" si="22"/>
        <v>0</v>
      </c>
      <c r="AB26" s="5">
        <f t="shared" si="23"/>
        <v>70</v>
      </c>
      <c r="AC26" s="6">
        <f t="shared" si="24"/>
        <v>71</v>
      </c>
      <c r="AD26" s="7">
        <f t="shared" si="25"/>
        <v>30</v>
      </c>
      <c r="AE26" s="6">
        <f t="shared" si="26"/>
        <v>31.75</v>
      </c>
      <c r="AF26" s="7">
        <f t="shared" si="27"/>
        <v>0</v>
      </c>
      <c r="AG26" s="6">
        <f t="shared" si="28"/>
        <v>0</v>
      </c>
      <c r="AH26" s="5">
        <f t="shared" si="29"/>
        <v>30</v>
      </c>
      <c r="AI26" s="6">
        <f t="shared" si="30"/>
        <v>31.75</v>
      </c>
      <c r="AJ26" s="7">
        <f t="shared" si="31"/>
        <v>0</v>
      </c>
      <c r="AK26" s="6">
        <f t="shared" si="32"/>
        <v>0</v>
      </c>
      <c r="AL26" s="7">
        <f t="shared" si="33"/>
        <v>0</v>
      </c>
      <c r="AM26" s="6">
        <f t="shared" si="34"/>
        <v>0</v>
      </c>
      <c r="AN26" s="5">
        <f t="shared" si="35"/>
        <v>0</v>
      </c>
      <c r="AO26" s="6">
        <f t="shared" si="36"/>
        <v>0</v>
      </c>
      <c r="AP26" s="7">
        <f t="shared" si="37"/>
        <v>0</v>
      </c>
      <c r="AQ26" s="6">
        <f t="shared" si="38"/>
        <v>0</v>
      </c>
      <c r="AR26" s="7">
        <f t="shared" si="39"/>
        <v>0</v>
      </c>
      <c r="AS26" s="6">
        <f t="shared" si="40"/>
        <v>0</v>
      </c>
      <c r="AT26" s="5">
        <f t="shared" si="41"/>
        <v>0</v>
      </c>
      <c r="AU26" s="6">
        <f t="shared" si="42"/>
        <v>0</v>
      </c>
      <c r="AV26" s="7">
        <f t="shared" si="43"/>
        <v>0</v>
      </c>
      <c r="AW26" s="6">
        <f t="shared" si="44"/>
        <v>0</v>
      </c>
      <c r="AX26" s="7">
        <f t="shared" si="45"/>
        <v>0</v>
      </c>
      <c r="AY26" s="6">
        <f t="shared" si="46"/>
        <v>0</v>
      </c>
      <c r="AZ26" s="5">
        <f t="shared" si="47"/>
        <v>0</v>
      </c>
      <c r="BA26" s="6">
        <f t="shared" si="48"/>
        <v>0</v>
      </c>
      <c r="BB26" s="7">
        <f t="shared" si="49"/>
        <v>0</v>
      </c>
      <c r="BC26" s="6">
        <f t="shared" si="50"/>
        <v>0</v>
      </c>
      <c r="BD26" s="7">
        <f t="shared" si="51"/>
        <v>0</v>
      </c>
      <c r="BE26" s="6">
        <f t="shared" si="52"/>
        <v>0</v>
      </c>
      <c r="BF26" s="5">
        <f t="shared" si="53"/>
        <v>0</v>
      </c>
      <c r="BG26" s="6">
        <f t="shared" si="54"/>
        <v>0</v>
      </c>
      <c r="BH26" s="7">
        <f t="shared" si="55"/>
        <v>0</v>
      </c>
      <c r="BI26" s="6">
        <f t="shared" si="56"/>
        <v>0</v>
      </c>
      <c r="BJ26" s="7">
        <f t="shared" si="57"/>
        <v>0</v>
      </c>
      <c r="BK26" s="6">
        <f t="shared" si="58"/>
        <v>0</v>
      </c>
      <c r="BL26" s="5">
        <f t="shared" si="59"/>
        <v>0</v>
      </c>
      <c r="BM26" s="6">
        <f t="shared" si="60"/>
        <v>0</v>
      </c>
      <c r="BN26" s="7">
        <f t="shared" si="61"/>
        <v>0</v>
      </c>
      <c r="BO26" s="6">
        <f t="shared" si="62"/>
        <v>0</v>
      </c>
      <c r="BP26" s="7">
        <f t="shared" si="63"/>
        <v>0</v>
      </c>
      <c r="BQ26" s="6">
        <f t="shared" si="64"/>
        <v>0</v>
      </c>
      <c r="BR26" s="5">
        <f t="shared" si="65"/>
        <v>0</v>
      </c>
      <c r="BS26" s="6">
        <f t="shared" si="66"/>
        <v>0</v>
      </c>
      <c r="BT26" s="7">
        <f t="shared" si="67"/>
        <v>0</v>
      </c>
      <c r="BU26" s="6">
        <f t="shared" si="68"/>
        <v>0</v>
      </c>
      <c r="BV26" s="7">
        <f t="shared" si="69"/>
        <v>0</v>
      </c>
      <c r="BW26" s="6">
        <f t="shared" si="70"/>
        <v>0</v>
      </c>
      <c r="BX26" s="5">
        <f t="shared" si="71"/>
        <v>0</v>
      </c>
      <c r="BY26" s="6">
        <f t="shared" si="72"/>
        <v>0</v>
      </c>
      <c r="BZ26" s="7">
        <f t="shared" si="73"/>
        <v>0</v>
      </c>
      <c r="CA26" s="6">
        <f t="shared" si="74"/>
        <v>0</v>
      </c>
      <c r="CB26" s="7">
        <f t="shared" si="75"/>
        <v>0</v>
      </c>
      <c r="CC26" s="6">
        <f t="shared" si="76"/>
        <v>0</v>
      </c>
      <c r="CD26" s="5">
        <f t="shared" si="77"/>
        <v>0</v>
      </c>
      <c r="CE26" s="6">
        <f t="shared" si="78"/>
        <v>0</v>
      </c>
      <c r="CF26" s="7">
        <f t="shared" si="79"/>
        <v>0</v>
      </c>
      <c r="CG26" s="6">
        <f t="shared" si="80"/>
        <v>0</v>
      </c>
      <c r="CH26" s="7">
        <f t="shared" si="81"/>
        <v>0</v>
      </c>
      <c r="CI26" s="6">
        <f t="shared" si="82"/>
        <v>0</v>
      </c>
      <c r="CJ26" s="5">
        <f t="shared" si="83"/>
        <v>0</v>
      </c>
      <c r="CK26" s="6">
        <f t="shared" si="84"/>
        <v>0</v>
      </c>
      <c r="CL26" s="7">
        <f t="shared" si="85"/>
        <v>0</v>
      </c>
      <c r="CM26" s="6">
        <f t="shared" si="86"/>
        <v>0</v>
      </c>
      <c r="CN26" s="7">
        <f t="shared" si="87"/>
        <v>0</v>
      </c>
      <c r="CO26" s="6">
        <f t="shared" si="88"/>
        <v>0</v>
      </c>
      <c r="CP26" s="5">
        <f t="shared" si="89"/>
        <v>0</v>
      </c>
      <c r="CQ26" s="6">
        <f t="shared" si="90"/>
        <v>0</v>
      </c>
      <c r="CR26" s="7">
        <f t="shared" si="95"/>
        <v>100</v>
      </c>
      <c r="CS26" s="6">
        <f t="shared" si="95"/>
        <v>102.75</v>
      </c>
      <c r="CT26" s="7">
        <f t="shared" si="95"/>
        <v>42.714285714285708</v>
      </c>
      <c r="CU26" s="6">
        <f t="shared" si="95"/>
        <v>45.571428571428569</v>
      </c>
      <c r="CV26" s="5">
        <f t="shared" si="91"/>
        <v>142.71428571428572</v>
      </c>
      <c r="CW26" s="6">
        <f t="shared" si="92"/>
        <v>148.32142857142856</v>
      </c>
      <c r="CY26" s="7">
        <v>142.71428571428572</v>
      </c>
      <c r="CZ26" s="5">
        <f t="array" ref="CZ26">Summary_UpperBound</f>
        <v>148.32142857142856</v>
      </c>
      <c r="DA26" s="6">
        <f t="shared" si="93"/>
        <v>5.6071428571428328</v>
      </c>
    </row>
    <row r="27" spans="1:105" x14ac:dyDescent="0.35">
      <c r="B27" s="14"/>
      <c r="E27" s="12">
        <f t="shared" si="94"/>
        <v>43862</v>
      </c>
      <c r="F27" s="7">
        <f t="shared" si="1"/>
        <v>0</v>
      </c>
      <c r="G27" s="6">
        <f t="shared" si="2"/>
        <v>0</v>
      </c>
      <c r="H27" s="7">
        <f t="shared" si="3"/>
        <v>20</v>
      </c>
      <c r="I27" s="6">
        <f t="shared" si="4"/>
        <v>21</v>
      </c>
      <c r="J27" s="5">
        <f t="shared" si="5"/>
        <v>20</v>
      </c>
      <c r="K27" s="6">
        <f t="shared" si="6"/>
        <v>21</v>
      </c>
      <c r="L27" s="7">
        <f t="shared" si="7"/>
        <v>0</v>
      </c>
      <c r="M27" s="6">
        <f t="shared" si="8"/>
        <v>0</v>
      </c>
      <c r="N27" s="7">
        <f t="shared" si="9"/>
        <v>13.142857142857142</v>
      </c>
      <c r="O27" s="6">
        <f t="shared" si="10"/>
        <v>14.285714285714285</v>
      </c>
      <c r="P27" s="5">
        <f t="shared" si="11"/>
        <v>13.142857142857142</v>
      </c>
      <c r="Q27" s="6">
        <f t="shared" si="12"/>
        <v>14.285714285714285</v>
      </c>
      <c r="R27" s="7">
        <f t="shared" si="13"/>
        <v>0</v>
      </c>
      <c r="S27" s="6">
        <f t="shared" si="14"/>
        <v>0</v>
      </c>
      <c r="T27" s="7">
        <f t="shared" si="15"/>
        <v>9.5714285714285712</v>
      </c>
      <c r="U27" s="6">
        <f t="shared" si="16"/>
        <v>10.285714285714285</v>
      </c>
      <c r="V27" s="5">
        <f t="shared" si="17"/>
        <v>9.5714285714285712</v>
      </c>
      <c r="W27" s="6">
        <f t="shared" si="18"/>
        <v>10.285714285714285</v>
      </c>
      <c r="X27" s="7">
        <f t="shared" si="19"/>
        <v>70</v>
      </c>
      <c r="Y27" s="6">
        <f t="shared" si="20"/>
        <v>71</v>
      </c>
      <c r="Z27" s="7">
        <f t="shared" si="21"/>
        <v>0</v>
      </c>
      <c r="AA27" s="6">
        <f t="shared" si="22"/>
        <v>0</v>
      </c>
      <c r="AB27" s="5">
        <f t="shared" si="23"/>
        <v>70</v>
      </c>
      <c r="AC27" s="6">
        <f t="shared" si="24"/>
        <v>71</v>
      </c>
      <c r="AD27" s="7">
        <f t="shared" si="25"/>
        <v>30</v>
      </c>
      <c r="AE27" s="6">
        <f t="shared" si="26"/>
        <v>31.75</v>
      </c>
      <c r="AF27" s="7">
        <f t="shared" si="27"/>
        <v>0</v>
      </c>
      <c r="AG27" s="6">
        <f t="shared" si="28"/>
        <v>0</v>
      </c>
      <c r="AH27" s="5">
        <f t="shared" si="29"/>
        <v>30</v>
      </c>
      <c r="AI27" s="6">
        <f t="shared" si="30"/>
        <v>31.75</v>
      </c>
      <c r="AJ27" s="7">
        <f t="shared" si="31"/>
        <v>0</v>
      </c>
      <c r="AK27" s="6">
        <f t="shared" si="32"/>
        <v>0</v>
      </c>
      <c r="AL27" s="7">
        <f t="shared" si="33"/>
        <v>0</v>
      </c>
      <c r="AM27" s="6">
        <f t="shared" si="34"/>
        <v>0</v>
      </c>
      <c r="AN27" s="5">
        <f t="shared" si="35"/>
        <v>0</v>
      </c>
      <c r="AO27" s="6">
        <f t="shared" si="36"/>
        <v>0</v>
      </c>
      <c r="AP27" s="7">
        <f t="shared" si="37"/>
        <v>0</v>
      </c>
      <c r="AQ27" s="6">
        <f t="shared" si="38"/>
        <v>0</v>
      </c>
      <c r="AR27" s="7">
        <f t="shared" si="39"/>
        <v>0</v>
      </c>
      <c r="AS27" s="6">
        <f t="shared" si="40"/>
        <v>0</v>
      </c>
      <c r="AT27" s="5">
        <f t="shared" si="41"/>
        <v>0</v>
      </c>
      <c r="AU27" s="6">
        <f t="shared" si="42"/>
        <v>0</v>
      </c>
      <c r="AV27" s="7">
        <f t="shared" si="43"/>
        <v>0</v>
      </c>
      <c r="AW27" s="6">
        <f t="shared" si="44"/>
        <v>0</v>
      </c>
      <c r="AX27" s="7">
        <f t="shared" si="45"/>
        <v>0</v>
      </c>
      <c r="AY27" s="6">
        <f t="shared" si="46"/>
        <v>0</v>
      </c>
      <c r="AZ27" s="5">
        <f t="shared" si="47"/>
        <v>0</v>
      </c>
      <c r="BA27" s="6">
        <f t="shared" si="48"/>
        <v>0</v>
      </c>
      <c r="BB27" s="7">
        <f t="shared" si="49"/>
        <v>0</v>
      </c>
      <c r="BC27" s="6">
        <f t="shared" si="50"/>
        <v>0</v>
      </c>
      <c r="BD27" s="7">
        <f t="shared" si="51"/>
        <v>0</v>
      </c>
      <c r="BE27" s="6">
        <f t="shared" si="52"/>
        <v>0</v>
      </c>
      <c r="BF27" s="5">
        <f t="shared" si="53"/>
        <v>0</v>
      </c>
      <c r="BG27" s="6">
        <f t="shared" si="54"/>
        <v>0</v>
      </c>
      <c r="BH27" s="7">
        <f t="shared" si="55"/>
        <v>0</v>
      </c>
      <c r="BI27" s="6">
        <f t="shared" si="56"/>
        <v>0</v>
      </c>
      <c r="BJ27" s="7">
        <f t="shared" si="57"/>
        <v>0</v>
      </c>
      <c r="BK27" s="6">
        <f t="shared" si="58"/>
        <v>0</v>
      </c>
      <c r="BL27" s="5">
        <f t="shared" si="59"/>
        <v>0</v>
      </c>
      <c r="BM27" s="6">
        <f t="shared" si="60"/>
        <v>0</v>
      </c>
      <c r="BN27" s="7">
        <f t="shared" si="61"/>
        <v>0</v>
      </c>
      <c r="BO27" s="6">
        <f t="shared" si="62"/>
        <v>0</v>
      </c>
      <c r="BP27" s="7">
        <f t="shared" si="63"/>
        <v>0</v>
      </c>
      <c r="BQ27" s="6">
        <f t="shared" si="64"/>
        <v>0</v>
      </c>
      <c r="BR27" s="5">
        <f t="shared" si="65"/>
        <v>0</v>
      </c>
      <c r="BS27" s="6">
        <f t="shared" si="66"/>
        <v>0</v>
      </c>
      <c r="BT27" s="7">
        <f t="shared" si="67"/>
        <v>0</v>
      </c>
      <c r="BU27" s="6">
        <f t="shared" si="68"/>
        <v>0</v>
      </c>
      <c r="BV27" s="7">
        <f t="shared" si="69"/>
        <v>0</v>
      </c>
      <c r="BW27" s="6">
        <f t="shared" si="70"/>
        <v>0</v>
      </c>
      <c r="BX27" s="5">
        <f t="shared" si="71"/>
        <v>0</v>
      </c>
      <c r="BY27" s="6">
        <f t="shared" si="72"/>
        <v>0</v>
      </c>
      <c r="BZ27" s="7">
        <f t="shared" si="73"/>
        <v>0</v>
      </c>
      <c r="CA27" s="6">
        <f t="shared" si="74"/>
        <v>0</v>
      </c>
      <c r="CB27" s="7">
        <f t="shared" si="75"/>
        <v>0</v>
      </c>
      <c r="CC27" s="6">
        <f t="shared" si="76"/>
        <v>0</v>
      </c>
      <c r="CD27" s="5">
        <f t="shared" si="77"/>
        <v>0</v>
      </c>
      <c r="CE27" s="6">
        <f t="shared" si="78"/>
        <v>0</v>
      </c>
      <c r="CF27" s="7">
        <f t="shared" si="79"/>
        <v>0</v>
      </c>
      <c r="CG27" s="6">
        <f t="shared" si="80"/>
        <v>0</v>
      </c>
      <c r="CH27" s="7">
        <f t="shared" si="81"/>
        <v>0</v>
      </c>
      <c r="CI27" s="6">
        <f t="shared" si="82"/>
        <v>0</v>
      </c>
      <c r="CJ27" s="5">
        <f t="shared" si="83"/>
        <v>0</v>
      </c>
      <c r="CK27" s="6">
        <f t="shared" si="84"/>
        <v>0</v>
      </c>
      <c r="CL27" s="7">
        <f t="shared" si="85"/>
        <v>0</v>
      </c>
      <c r="CM27" s="6">
        <f t="shared" si="86"/>
        <v>0</v>
      </c>
      <c r="CN27" s="7">
        <f t="shared" si="87"/>
        <v>0</v>
      </c>
      <c r="CO27" s="6">
        <f t="shared" si="88"/>
        <v>0</v>
      </c>
      <c r="CP27" s="5">
        <f t="shared" si="89"/>
        <v>0</v>
      </c>
      <c r="CQ27" s="6">
        <f t="shared" si="90"/>
        <v>0</v>
      </c>
      <c r="CR27" s="7">
        <f t="shared" si="95"/>
        <v>100</v>
      </c>
      <c r="CS27" s="6">
        <f t="shared" si="95"/>
        <v>102.75</v>
      </c>
      <c r="CT27" s="7">
        <f t="shared" si="95"/>
        <v>42.714285714285708</v>
      </c>
      <c r="CU27" s="6">
        <f t="shared" si="95"/>
        <v>45.571428571428569</v>
      </c>
      <c r="CV27" s="5">
        <f t="shared" si="91"/>
        <v>142.71428571428572</v>
      </c>
      <c r="CW27" s="6">
        <f t="shared" si="92"/>
        <v>148.32142857142856</v>
      </c>
      <c r="CY27" s="7">
        <v>142.71428571428572</v>
      </c>
      <c r="CZ27" s="5">
        <f t="array" ref="CZ27">Summary_UpperBound</f>
        <v>148.32142857142856</v>
      </c>
      <c r="DA27" s="6">
        <f t="shared" si="93"/>
        <v>5.6071428571428328</v>
      </c>
    </row>
    <row r="28" spans="1:105" x14ac:dyDescent="0.35">
      <c r="B28" s="14"/>
      <c r="E28" s="12">
        <f t="shared" si="94"/>
        <v>43869</v>
      </c>
      <c r="F28" s="7">
        <f t="shared" si="1"/>
        <v>0</v>
      </c>
      <c r="G28" s="6">
        <f t="shared" si="2"/>
        <v>0</v>
      </c>
      <c r="H28" s="7">
        <f t="shared" si="3"/>
        <v>20</v>
      </c>
      <c r="I28" s="6">
        <f t="shared" si="4"/>
        <v>21</v>
      </c>
      <c r="J28" s="5">
        <f t="shared" si="5"/>
        <v>20</v>
      </c>
      <c r="K28" s="6">
        <f t="shared" si="6"/>
        <v>21</v>
      </c>
      <c r="L28" s="7">
        <f t="shared" si="7"/>
        <v>0</v>
      </c>
      <c r="M28" s="6">
        <f t="shared" si="8"/>
        <v>0</v>
      </c>
      <c r="N28" s="7">
        <f t="shared" si="9"/>
        <v>13.142857142857142</v>
      </c>
      <c r="O28" s="6">
        <f t="shared" si="10"/>
        <v>14.285714285714285</v>
      </c>
      <c r="P28" s="5">
        <f t="shared" si="11"/>
        <v>13.142857142857142</v>
      </c>
      <c r="Q28" s="6">
        <f t="shared" si="12"/>
        <v>14.285714285714285</v>
      </c>
      <c r="R28" s="7">
        <f t="shared" si="13"/>
        <v>0</v>
      </c>
      <c r="S28" s="6">
        <f t="shared" si="14"/>
        <v>0</v>
      </c>
      <c r="T28" s="7">
        <f t="shared" si="15"/>
        <v>9.5714285714285712</v>
      </c>
      <c r="U28" s="6">
        <f t="shared" si="16"/>
        <v>10.285714285714285</v>
      </c>
      <c r="V28" s="5">
        <f t="shared" si="17"/>
        <v>9.5714285714285712</v>
      </c>
      <c r="W28" s="6">
        <f t="shared" si="18"/>
        <v>10.285714285714285</v>
      </c>
      <c r="X28" s="7">
        <f t="shared" si="19"/>
        <v>70</v>
      </c>
      <c r="Y28" s="6">
        <f t="shared" si="20"/>
        <v>71</v>
      </c>
      <c r="Z28" s="7">
        <f t="shared" si="21"/>
        <v>0</v>
      </c>
      <c r="AA28" s="6">
        <f t="shared" si="22"/>
        <v>0</v>
      </c>
      <c r="AB28" s="5">
        <f t="shared" si="23"/>
        <v>70</v>
      </c>
      <c r="AC28" s="6">
        <f t="shared" si="24"/>
        <v>71</v>
      </c>
      <c r="AD28" s="7">
        <f t="shared" si="25"/>
        <v>30</v>
      </c>
      <c r="AE28" s="6">
        <f t="shared" si="26"/>
        <v>31.75</v>
      </c>
      <c r="AF28" s="7">
        <f t="shared" si="27"/>
        <v>0</v>
      </c>
      <c r="AG28" s="6">
        <f t="shared" si="28"/>
        <v>0</v>
      </c>
      <c r="AH28" s="5">
        <f t="shared" si="29"/>
        <v>30</v>
      </c>
      <c r="AI28" s="6">
        <f t="shared" si="30"/>
        <v>31.75</v>
      </c>
      <c r="AJ28" s="7">
        <f t="shared" si="31"/>
        <v>0</v>
      </c>
      <c r="AK28" s="6">
        <f t="shared" si="32"/>
        <v>0</v>
      </c>
      <c r="AL28" s="7">
        <f t="shared" si="33"/>
        <v>0</v>
      </c>
      <c r="AM28" s="6">
        <f t="shared" si="34"/>
        <v>0</v>
      </c>
      <c r="AN28" s="5">
        <f t="shared" si="35"/>
        <v>0</v>
      </c>
      <c r="AO28" s="6">
        <f t="shared" si="36"/>
        <v>0</v>
      </c>
      <c r="AP28" s="7">
        <f t="shared" si="37"/>
        <v>0</v>
      </c>
      <c r="AQ28" s="6">
        <f t="shared" si="38"/>
        <v>0</v>
      </c>
      <c r="AR28" s="7">
        <f t="shared" si="39"/>
        <v>0</v>
      </c>
      <c r="AS28" s="6">
        <f t="shared" si="40"/>
        <v>0</v>
      </c>
      <c r="AT28" s="5">
        <f t="shared" si="41"/>
        <v>0</v>
      </c>
      <c r="AU28" s="6">
        <f t="shared" si="42"/>
        <v>0</v>
      </c>
      <c r="AV28" s="7">
        <f t="shared" si="43"/>
        <v>0</v>
      </c>
      <c r="AW28" s="6">
        <f t="shared" si="44"/>
        <v>0</v>
      </c>
      <c r="AX28" s="7">
        <f t="shared" si="45"/>
        <v>0</v>
      </c>
      <c r="AY28" s="6">
        <f t="shared" si="46"/>
        <v>0</v>
      </c>
      <c r="AZ28" s="5">
        <f t="shared" si="47"/>
        <v>0</v>
      </c>
      <c r="BA28" s="6">
        <f t="shared" si="48"/>
        <v>0</v>
      </c>
      <c r="BB28" s="7">
        <f t="shared" si="49"/>
        <v>0</v>
      </c>
      <c r="BC28" s="6">
        <f t="shared" si="50"/>
        <v>0</v>
      </c>
      <c r="BD28" s="7">
        <f t="shared" si="51"/>
        <v>0</v>
      </c>
      <c r="BE28" s="6">
        <f t="shared" si="52"/>
        <v>0</v>
      </c>
      <c r="BF28" s="5">
        <f t="shared" si="53"/>
        <v>0</v>
      </c>
      <c r="BG28" s="6">
        <f t="shared" si="54"/>
        <v>0</v>
      </c>
      <c r="BH28" s="7">
        <f t="shared" si="55"/>
        <v>0</v>
      </c>
      <c r="BI28" s="6">
        <f t="shared" si="56"/>
        <v>0</v>
      </c>
      <c r="BJ28" s="7">
        <f t="shared" si="57"/>
        <v>0</v>
      </c>
      <c r="BK28" s="6">
        <f t="shared" si="58"/>
        <v>0</v>
      </c>
      <c r="BL28" s="5">
        <f t="shared" si="59"/>
        <v>0</v>
      </c>
      <c r="BM28" s="6">
        <f t="shared" si="60"/>
        <v>0</v>
      </c>
      <c r="BN28" s="7">
        <f t="shared" si="61"/>
        <v>0</v>
      </c>
      <c r="BO28" s="6">
        <f t="shared" si="62"/>
        <v>0</v>
      </c>
      <c r="BP28" s="7">
        <f t="shared" si="63"/>
        <v>0</v>
      </c>
      <c r="BQ28" s="6">
        <f t="shared" si="64"/>
        <v>0</v>
      </c>
      <c r="BR28" s="5">
        <f t="shared" si="65"/>
        <v>0</v>
      </c>
      <c r="BS28" s="6">
        <f t="shared" si="66"/>
        <v>0</v>
      </c>
      <c r="BT28" s="7">
        <f t="shared" si="67"/>
        <v>0</v>
      </c>
      <c r="BU28" s="6">
        <f t="shared" si="68"/>
        <v>0</v>
      </c>
      <c r="BV28" s="7">
        <f t="shared" si="69"/>
        <v>0</v>
      </c>
      <c r="BW28" s="6">
        <f t="shared" si="70"/>
        <v>0</v>
      </c>
      <c r="BX28" s="5">
        <f t="shared" si="71"/>
        <v>0</v>
      </c>
      <c r="BY28" s="6">
        <f t="shared" si="72"/>
        <v>0</v>
      </c>
      <c r="BZ28" s="7">
        <f t="shared" si="73"/>
        <v>0</v>
      </c>
      <c r="CA28" s="6">
        <f t="shared" si="74"/>
        <v>0</v>
      </c>
      <c r="CB28" s="7">
        <f t="shared" si="75"/>
        <v>0</v>
      </c>
      <c r="CC28" s="6">
        <f t="shared" si="76"/>
        <v>0</v>
      </c>
      <c r="CD28" s="5">
        <f t="shared" si="77"/>
        <v>0</v>
      </c>
      <c r="CE28" s="6">
        <f t="shared" si="78"/>
        <v>0</v>
      </c>
      <c r="CF28" s="7">
        <f t="shared" si="79"/>
        <v>0</v>
      </c>
      <c r="CG28" s="6">
        <f t="shared" si="80"/>
        <v>0</v>
      </c>
      <c r="CH28" s="7">
        <f t="shared" si="81"/>
        <v>0</v>
      </c>
      <c r="CI28" s="6">
        <f t="shared" si="82"/>
        <v>0</v>
      </c>
      <c r="CJ28" s="5">
        <f t="shared" si="83"/>
        <v>0</v>
      </c>
      <c r="CK28" s="6">
        <f t="shared" si="84"/>
        <v>0</v>
      </c>
      <c r="CL28" s="7">
        <f t="shared" si="85"/>
        <v>0</v>
      </c>
      <c r="CM28" s="6">
        <f t="shared" si="86"/>
        <v>0</v>
      </c>
      <c r="CN28" s="7">
        <f t="shared" si="87"/>
        <v>0</v>
      </c>
      <c r="CO28" s="6">
        <f t="shared" si="88"/>
        <v>0</v>
      </c>
      <c r="CP28" s="5">
        <f t="shared" si="89"/>
        <v>0</v>
      </c>
      <c r="CQ28" s="6">
        <f t="shared" si="90"/>
        <v>0</v>
      </c>
      <c r="CR28" s="7">
        <f t="shared" si="95"/>
        <v>100</v>
      </c>
      <c r="CS28" s="6">
        <f t="shared" si="95"/>
        <v>102.75</v>
      </c>
      <c r="CT28" s="7">
        <f t="shared" si="95"/>
        <v>42.714285714285708</v>
      </c>
      <c r="CU28" s="6">
        <f t="shared" si="95"/>
        <v>45.571428571428569</v>
      </c>
      <c r="CV28" s="5">
        <f t="shared" si="91"/>
        <v>142.71428571428572</v>
      </c>
      <c r="CW28" s="6">
        <f t="shared" si="92"/>
        <v>148.32142857142856</v>
      </c>
      <c r="CY28" s="7">
        <v>142.71428571428572</v>
      </c>
      <c r="CZ28" s="5">
        <f t="array" ref="CZ28">Summary_UpperBound</f>
        <v>148.32142857142856</v>
      </c>
      <c r="DA28" s="6">
        <f t="shared" si="93"/>
        <v>5.6071428571428328</v>
      </c>
    </row>
    <row r="29" spans="1:105" x14ac:dyDescent="0.35">
      <c r="B29" s="14"/>
      <c r="E29" s="12">
        <f t="shared" si="94"/>
        <v>43876</v>
      </c>
      <c r="F29" s="7">
        <f t="shared" si="1"/>
        <v>0</v>
      </c>
      <c r="G29" s="6">
        <f t="shared" si="2"/>
        <v>0</v>
      </c>
      <c r="H29" s="7">
        <f t="shared" si="3"/>
        <v>20</v>
      </c>
      <c r="I29" s="6">
        <f t="shared" si="4"/>
        <v>21</v>
      </c>
      <c r="J29" s="5">
        <f t="shared" si="5"/>
        <v>20</v>
      </c>
      <c r="K29" s="6">
        <f t="shared" si="6"/>
        <v>21</v>
      </c>
      <c r="L29" s="7">
        <f t="shared" si="7"/>
        <v>0</v>
      </c>
      <c r="M29" s="6">
        <f t="shared" si="8"/>
        <v>0</v>
      </c>
      <c r="N29" s="7">
        <f t="shared" si="9"/>
        <v>13.142857142857142</v>
      </c>
      <c r="O29" s="6">
        <f t="shared" si="10"/>
        <v>14.285714285714285</v>
      </c>
      <c r="P29" s="5">
        <f t="shared" si="11"/>
        <v>13.142857142857142</v>
      </c>
      <c r="Q29" s="6">
        <f t="shared" si="12"/>
        <v>14.285714285714285</v>
      </c>
      <c r="R29" s="7">
        <f t="shared" si="13"/>
        <v>0</v>
      </c>
      <c r="S29" s="6">
        <f t="shared" si="14"/>
        <v>0</v>
      </c>
      <c r="T29" s="7">
        <f t="shared" si="15"/>
        <v>9.5714285714285712</v>
      </c>
      <c r="U29" s="6">
        <f t="shared" si="16"/>
        <v>10.285714285714285</v>
      </c>
      <c r="V29" s="5">
        <f t="shared" si="17"/>
        <v>9.5714285714285712</v>
      </c>
      <c r="W29" s="6">
        <f t="shared" si="18"/>
        <v>10.285714285714285</v>
      </c>
      <c r="X29" s="7">
        <f t="shared" si="19"/>
        <v>70</v>
      </c>
      <c r="Y29" s="6">
        <f t="shared" si="20"/>
        <v>71</v>
      </c>
      <c r="Z29" s="7">
        <f t="shared" si="21"/>
        <v>0</v>
      </c>
      <c r="AA29" s="6">
        <f t="shared" si="22"/>
        <v>0</v>
      </c>
      <c r="AB29" s="5">
        <f t="shared" si="23"/>
        <v>70</v>
      </c>
      <c r="AC29" s="6">
        <f t="shared" si="24"/>
        <v>71</v>
      </c>
      <c r="AD29" s="7">
        <f t="shared" si="25"/>
        <v>30</v>
      </c>
      <c r="AE29" s="6">
        <f t="shared" si="26"/>
        <v>31.75</v>
      </c>
      <c r="AF29" s="7">
        <f t="shared" si="27"/>
        <v>0</v>
      </c>
      <c r="AG29" s="6">
        <f t="shared" si="28"/>
        <v>0</v>
      </c>
      <c r="AH29" s="5">
        <f t="shared" si="29"/>
        <v>30</v>
      </c>
      <c r="AI29" s="6">
        <f t="shared" si="30"/>
        <v>31.75</v>
      </c>
      <c r="AJ29" s="7">
        <f t="shared" si="31"/>
        <v>0</v>
      </c>
      <c r="AK29" s="6">
        <f t="shared" si="32"/>
        <v>0</v>
      </c>
      <c r="AL29" s="7">
        <f t="shared" si="33"/>
        <v>0</v>
      </c>
      <c r="AM29" s="6">
        <f t="shared" si="34"/>
        <v>0</v>
      </c>
      <c r="AN29" s="5">
        <f t="shared" si="35"/>
        <v>0</v>
      </c>
      <c r="AO29" s="6">
        <f t="shared" si="36"/>
        <v>0</v>
      </c>
      <c r="AP29" s="7">
        <f t="shared" si="37"/>
        <v>0</v>
      </c>
      <c r="AQ29" s="6">
        <f t="shared" si="38"/>
        <v>0</v>
      </c>
      <c r="AR29" s="7">
        <f t="shared" si="39"/>
        <v>0</v>
      </c>
      <c r="AS29" s="6">
        <f t="shared" si="40"/>
        <v>0</v>
      </c>
      <c r="AT29" s="5">
        <f t="shared" si="41"/>
        <v>0</v>
      </c>
      <c r="AU29" s="6">
        <f t="shared" si="42"/>
        <v>0</v>
      </c>
      <c r="AV29" s="7">
        <f t="shared" si="43"/>
        <v>0</v>
      </c>
      <c r="AW29" s="6">
        <f t="shared" si="44"/>
        <v>0</v>
      </c>
      <c r="AX29" s="7">
        <f t="shared" si="45"/>
        <v>0</v>
      </c>
      <c r="AY29" s="6">
        <f t="shared" si="46"/>
        <v>0</v>
      </c>
      <c r="AZ29" s="5">
        <f t="shared" si="47"/>
        <v>0</v>
      </c>
      <c r="BA29" s="6">
        <f t="shared" si="48"/>
        <v>0</v>
      </c>
      <c r="BB29" s="7">
        <f t="shared" si="49"/>
        <v>0</v>
      </c>
      <c r="BC29" s="6">
        <f t="shared" si="50"/>
        <v>0</v>
      </c>
      <c r="BD29" s="7">
        <f t="shared" si="51"/>
        <v>0</v>
      </c>
      <c r="BE29" s="6">
        <f t="shared" si="52"/>
        <v>0</v>
      </c>
      <c r="BF29" s="5">
        <f t="shared" si="53"/>
        <v>0</v>
      </c>
      <c r="BG29" s="6">
        <f t="shared" si="54"/>
        <v>0</v>
      </c>
      <c r="BH29" s="7">
        <f t="shared" si="55"/>
        <v>0</v>
      </c>
      <c r="BI29" s="6">
        <f t="shared" si="56"/>
        <v>0</v>
      </c>
      <c r="BJ29" s="7">
        <f t="shared" si="57"/>
        <v>0</v>
      </c>
      <c r="BK29" s="6">
        <f t="shared" si="58"/>
        <v>0</v>
      </c>
      <c r="BL29" s="5">
        <f t="shared" si="59"/>
        <v>0</v>
      </c>
      <c r="BM29" s="6">
        <f t="shared" si="60"/>
        <v>0</v>
      </c>
      <c r="BN29" s="7">
        <f t="shared" si="61"/>
        <v>0</v>
      </c>
      <c r="BO29" s="6">
        <f t="shared" si="62"/>
        <v>0</v>
      </c>
      <c r="BP29" s="7">
        <f t="shared" si="63"/>
        <v>0</v>
      </c>
      <c r="BQ29" s="6">
        <f t="shared" si="64"/>
        <v>0</v>
      </c>
      <c r="BR29" s="5">
        <f t="shared" si="65"/>
        <v>0</v>
      </c>
      <c r="BS29" s="6">
        <f t="shared" si="66"/>
        <v>0</v>
      </c>
      <c r="BT29" s="7">
        <f t="shared" si="67"/>
        <v>0</v>
      </c>
      <c r="BU29" s="6">
        <f t="shared" si="68"/>
        <v>0</v>
      </c>
      <c r="BV29" s="7">
        <f t="shared" si="69"/>
        <v>0</v>
      </c>
      <c r="BW29" s="6">
        <f t="shared" si="70"/>
        <v>0</v>
      </c>
      <c r="BX29" s="5">
        <f t="shared" si="71"/>
        <v>0</v>
      </c>
      <c r="BY29" s="6">
        <f t="shared" si="72"/>
        <v>0</v>
      </c>
      <c r="BZ29" s="7">
        <f t="shared" si="73"/>
        <v>0</v>
      </c>
      <c r="CA29" s="6">
        <f t="shared" si="74"/>
        <v>0</v>
      </c>
      <c r="CB29" s="7">
        <f t="shared" si="75"/>
        <v>0</v>
      </c>
      <c r="CC29" s="6">
        <f t="shared" si="76"/>
        <v>0</v>
      </c>
      <c r="CD29" s="5">
        <f t="shared" si="77"/>
        <v>0</v>
      </c>
      <c r="CE29" s="6">
        <f t="shared" si="78"/>
        <v>0</v>
      </c>
      <c r="CF29" s="7">
        <f t="shared" si="79"/>
        <v>0</v>
      </c>
      <c r="CG29" s="6">
        <f t="shared" si="80"/>
        <v>0</v>
      </c>
      <c r="CH29" s="7">
        <f t="shared" si="81"/>
        <v>0</v>
      </c>
      <c r="CI29" s="6">
        <f t="shared" si="82"/>
        <v>0</v>
      </c>
      <c r="CJ29" s="5">
        <f t="shared" si="83"/>
        <v>0</v>
      </c>
      <c r="CK29" s="6">
        <f t="shared" si="84"/>
        <v>0</v>
      </c>
      <c r="CL29" s="7">
        <f t="shared" si="85"/>
        <v>0</v>
      </c>
      <c r="CM29" s="6">
        <f t="shared" si="86"/>
        <v>0</v>
      </c>
      <c r="CN29" s="7">
        <f t="shared" si="87"/>
        <v>0</v>
      </c>
      <c r="CO29" s="6">
        <f t="shared" si="88"/>
        <v>0</v>
      </c>
      <c r="CP29" s="5">
        <f t="shared" si="89"/>
        <v>0</v>
      </c>
      <c r="CQ29" s="6">
        <f t="shared" si="90"/>
        <v>0</v>
      </c>
      <c r="CR29" s="7">
        <f t="shared" si="95"/>
        <v>100</v>
      </c>
      <c r="CS29" s="6">
        <f t="shared" si="95"/>
        <v>102.75</v>
      </c>
      <c r="CT29" s="7">
        <f t="shared" si="95"/>
        <v>42.714285714285708</v>
      </c>
      <c r="CU29" s="6">
        <f t="shared" si="95"/>
        <v>45.571428571428569</v>
      </c>
      <c r="CV29" s="5">
        <f t="shared" si="91"/>
        <v>142.71428571428572</v>
      </c>
      <c r="CW29" s="6">
        <f t="shared" si="92"/>
        <v>148.32142857142856</v>
      </c>
      <c r="CY29" s="7">
        <v>142.71428571428572</v>
      </c>
      <c r="CZ29" s="5">
        <f t="array" ref="CZ29">Summary_UpperBound</f>
        <v>148.32142857142856</v>
      </c>
      <c r="DA29" s="6">
        <f t="shared" si="93"/>
        <v>5.6071428571428328</v>
      </c>
    </row>
    <row r="30" spans="1:105" x14ac:dyDescent="0.35">
      <c r="B30" s="14"/>
      <c r="E30" s="12">
        <f t="shared" si="94"/>
        <v>43883</v>
      </c>
      <c r="F30" s="7">
        <f t="shared" si="1"/>
        <v>0</v>
      </c>
      <c r="G30" s="6">
        <f t="shared" si="2"/>
        <v>0</v>
      </c>
      <c r="H30" s="7">
        <f t="shared" si="3"/>
        <v>20</v>
      </c>
      <c r="I30" s="6">
        <f t="shared" si="4"/>
        <v>21</v>
      </c>
      <c r="J30" s="5">
        <f t="shared" si="5"/>
        <v>20</v>
      </c>
      <c r="K30" s="6">
        <f t="shared" si="6"/>
        <v>21</v>
      </c>
      <c r="L30" s="7">
        <f t="shared" si="7"/>
        <v>0</v>
      </c>
      <c r="M30" s="6">
        <f t="shared" si="8"/>
        <v>0</v>
      </c>
      <c r="N30" s="7">
        <f t="shared" si="9"/>
        <v>13.142857142857142</v>
      </c>
      <c r="O30" s="6">
        <f t="shared" si="10"/>
        <v>14.285714285714285</v>
      </c>
      <c r="P30" s="5">
        <f t="shared" si="11"/>
        <v>13.142857142857142</v>
      </c>
      <c r="Q30" s="6">
        <f t="shared" si="12"/>
        <v>14.285714285714285</v>
      </c>
      <c r="R30" s="7">
        <f t="shared" si="13"/>
        <v>0</v>
      </c>
      <c r="S30" s="6">
        <f t="shared" si="14"/>
        <v>0</v>
      </c>
      <c r="T30" s="7">
        <f t="shared" si="15"/>
        <v>9.5714285714285712</v>
      </c>
      <c r="U30" s="6">
        <f t="shared" si="16"/>
        <v>10.285714285714285</v>
      </c>
      <c r="V30" s="5">
        <f t="shared" si="17"/>
        <v>9.5714285714285712</v>
      </c>
      <c r="W30" s="6">
        <f t="shared" si="18"/>
        <v>10.285714285714285</v>
      </c>
      <c r="X30" s="7">
        <f t="shared" si="19"/>
        <v>70</v>
      </c>
      <c r="Y30" s="6">
        <f t="shared" si="20"/>
        <v>71</v>
      </c>
      <c r="Z30" s="7">
        <f t="shared" si="21"/>
        <v>0</v>
      </c>
      <c r="AA30" s="6">
        <f t="shared" si="22"/>
        <v>0</v>
      </c>
      <c r="AB30" s="5">
        <f t="shared" si="23"/>
        <v>70</v>
      </c>
      <c r="AC30" s="6">
        <f t="shared" si="24"/>
        <v>71</v>
      </c>
      <c r="AD30" s="7">
        <f t="shared" si="25"/>
        <v>30</v>
      </c>
      <c r="AE30" s="6">
        <f t="shared" si="26"/>
        <v>31.75</v>
      </c>
      <c r="AF30" s="7">
        <f t="shared" si="27"/>
        <v>0</v>
      </c>
      <c r="AG30" s="6">
        <f t="shared" si="28"/>
        <v>0</v>
      </c>
      <c r="AH30" s="5">
        <f t="shared" si="29"/>
        <v>30</v>
      </c>
      <c r="AI30" s="6">
        <f t="shared" si="30"/>
        <v>31.75</v>
      </c>
      <c r="AJ30" s="7">
        <f t="shared" si="31"/>
        <v>0</v>
      </c>
      <c r="AK30" s="6">
        <f t="shared" si="32"/>
        <v>0</v>
      </c>
      <c r="AL30" s="7">
        <f t="shared" si="33"/>
        <v>0</v>
      </c>
      <c r="AM30" s="6">
        <f t="shared" si="34"/>
        <v>0</v>
      </c>
      <c r="AN30" s="5">
        <f t="shared" si="35"/>
        <v>0</v>
      </c>
      <c r="AO30" s="6">
        <f t="shared" si="36"/>
        <v>0</v>
      </c>
      <c r="AP30" s="7">
        <f t="shared" si="37"/>
        <v>0</v>
      </c>
      <c r="AQ30" s="6">
        <f t="shared" si="38"/>
        <v>0</v>
      </c>
      <c r="AR30" s="7">
        <f t="shared" si="39"/>
        <v>0</v>
      </c>
      <c r="AS30" s="6">
        <f t="shared" si="40"/>
        <v>0</v>
      </c>
      <c r="AT30" s="5">
        <f t="shared" si="41"/>
        <v>0</v>
      </c>
      <c r="AU30" s="6">
        <f t="shared" si="42"/>
        <v>0</v>
      </c>
      <c r="AV30" s="7">
        <f t="shared" si="43"/>
        <v>0</v>
      </c>
      <c r="AW30" s="6">
        <f t="shared" si="44"/>
        <v>0</v>
      </c>
      <c r="AX30" s="7">
        <f t="shared" si="45"/>
        <v>0</v>
      </c>
      <c r="AY30" s="6">
        <f t="shared" si="46"/>
        <v>0</v>
      </c>
      <c r="AZ30" s="5">
        <f t="shared" si="47"/>
        <v>0</v>
      </c>
      <c r="BA30" s="6">
        <f t="shared" si="48"/>
        <v>0</v>
      </c>
      <c r="BB30" s="7">
        <f t="shared" si="49"/>
        <v>0</v>
      </c>
      <c r="BC30" s="6">
        <f t="shared" si="50"/>
        <v>0</v>
      </c>
      <c r="BD30" s="7">
        <f t="shared" si="51"/>
        <v>0</v>
      </c>
      <c r="BE30" s="6">
        <f t="shared" si="52"/>
        <v>0</v>
      </c>
      <c r="BF30" s="5">
        <f t="shared" si="53"/>
        <v>0</v>
      </c>
      <c r="BG30" s="6">
        <f t="shared" si="54"/>
        <v>0</v>
      </c>
      <c r="BH30" s="7">
        <f t="shared" si="55"/>
        <v>0</v>
      </c>
      <c r="BI30" s="6">
        <f t="shared" si="56"/>
        <v>0</v>
      </c>
      <c r="BJ30" s="7">
        <f t="shared" si="57"/>
        <v>0</v>
      </c>
      <c r="BK30" s="6">
        <f t="shared" si="58"/>
        <v>0</v>
      </c>
      <c r="BL30" s="5">
        <f t="shared" si="59"/>
        <v>0</v>
      </c>
      <c r="BM30" s="6">
        <f t="shared" si="60"/>
        <v>0</v>
      </c>
      <c r="BN30" s="7">
        <f t="shared" si="61"/>
        <v>0</v>
      </c>
      <c r="BO30" s="6">
        <f t="shared" si="62"/>
        <v>0</v>
      </c>
      <c r="BP30" s="7">
        <f t="shared" si="63"/>
        <v>0</v>
      </c>
      <c r="BQ30" s="6">
        <f t="shared" si="64"/>
        <v>0</v>
      </c>
      <c r="BR30" s="5">
        <f t="shared" si="65"/>
        <v>0</v>
      </c>
      <c r="BS30" s="6">
        <f t="shared" si="66"/>
        <v>0</v>
      </c>
      <c r="BT30" s="7">
        <f t="shared" si="67"/>
        <v>0</v>
      </c>
      <c r="BU30" s="6">
        <f t="shared" si="68"/>
        <v>0</v>
      </c>
      <c r="BV30" s="7">
        <f t="shared" si="69"/>
        <v>0</v>
      </c>
      <c r="BW30" s="6">
        <f t="shared" si="70"/>
        <v>0</v>
      </c>
      <c r="BX30" s="5">
        <f t="shared" si="71"/>
        <v>0</v>
      </c>
      <c r="BY30" s="6">
        <f t="shared" si="72"/>
        <v>0</v>
      </c>
      <c r="BZ30" s="7">
        <f t="shared" si="73"/>
        <v>0</v>
      </c>
      <c r="CA30" s="6">
        <f t="shared" si="74"/>
        <v>0</v>
      </c>
      <c r="CB30" s="7">
        <f t="shared" si="75"/>
        <v>0</v>
      </c>
      <c r="CC30" s="6">
        <f t="shared" si="76"/>
        <v>0</v>
      </c>
      <c r="CD30" s="5">
        <f t="shared" si="77"/>
        <v>0</v>
      </c>
      <c r="CE30" s="6">
        <f t="shared" si="78"/>
        <v>0</v>
      </c>
      <c r="CF30" s="7">
        <f t="shared" si="79"/>
        <v>0</v>
      </c>
      <c r="CG30" s="6">
        <f t="shared" si="80"/>
        <v>0</v>
      </c>
      <c r="CH30" s="7">
        <f t="shared" si="81"/>
        <v>0</v>
      </c>
      <c r="CI30" s="6">
        <f t="shared" si="82"/>
        <v>0</v>
      </c>
      <c r="CJ30" s="5">
        <f t="shared" si="83"/>
        <v>0</v>
      </c>
      <c r="CK30" s="6">
        <f t="shared" si="84"/>
        <v>0</v>
      </c>
      <c r="CL30" s="7">
        <f t="shared" si="85"/>
        <v>0</v>
      </c>
      <c r="CM30" s="6">
        <f t="shared" si="86"/>
        <v>0</v>
      </c>
      <c r="CN30" s="7">
        <f t="shared" si="87"/>
        <v>0</v>
      </c>
      <c r="CO30" s="6">
        <f t="shared" si="88"/>
        <v>0</v>
      </c>
      <c r="CP30" s="5">
        <f t="shared" si="89"/>
        <v>0</v>
      </c>
      <c r="CQ30" s="6">
        <f t="shared" si="90"/>
        <v>0</v>
      </c>
      <c r="CR30" s="7">
        <f t="shared" si="95"/>
        <v>100</v>
      </c>
      <c r="CS30" s="6">
        <f t="shared" si="95"/>
        <v>102.75</v>
      </c>
      <c r="CT30" s="7">
        <f t="shared" si="95"/>
        <v>42.714285714285708</v>
      </c>
      <c r="CU30" s="6">
        <f t="shared" si="95"/>
        <v>45.571428571428569</v>
      </c>
      <c r="CV30" s="5">
        <f t="shared" si="91"/>
        <v>142.71428571428572</v>
      </c>
      <c r="CW30" s="6">
        <f t="shared" si="92"/>
        <v>148.32142857142856</v>
      </c>
      <c r="CY30" s="7">
        <v>142.71428571428572</v>
      </c>
      <c r="CZ30" s="5">
        <f t="array" ref="CZ30">Summary_UpperBound</f>
        <v>148.32142857142856</v>
      </c>
      <c r="DA30" s="6">
        <f t="shared" si="93"/>
        <v>5.6071428571428328</v>
      </c>
    </row>
    <row r="31" spans="1:105" x14ac:dyDescent="0.35">
      <c r="B31" s="14"/>
      <c r="E31" s="12">
        <f t="shared" si="94"/>
        <v>43890</v>
      </c>
      <c r="F31" s="7">
        <f t="shared" si="1"/>
        <v>0</v>
      </c>
      <c r="G31" s="6">
        <f t="shared" si="2"/>
        <v>0</v>
      </c>
      <c r="H31" s="7">
        <f t="shared" si="3"/>
        <v>20</v>
      </c>
      <c r="I31" s="6">
        <f t="shared" si="4"/>
        <v>21</v>
      </c>
      <c r="J31" s="5">
        <f t="shared" si="5"/>
        <v>20</v>
      </c>
      <c r="K31" s="6">
        <f t="shared" si="6"/>
        <v>21</v>
      </c>
      <c r="L31" s="7">
        <f t="shared" si="7"/>
        <v>0</v>
      </c>
      <c r="M31" s="6">
        <f t="shared" si="8"/>
        <v>0</v>
      </c>
      <c r="N31" s="7">
        <f t="shared" si="9"/>
        <v>13.142857142857142</v>
      </c>
      <c r="O31" s="6">
        <f t="shared" si="10"/>
        <v>14.285714285714285</v>
      </c>
      <c r="P31" s="5">
        <f t="shared" si="11"/>
        <v>13.142857142857142</v>
      </c>
      <c r="Q31" s="6">
        <f t="shared" si="12"/>
        <v>14.285714285714285</v>
      </c>
      <c r="R31" s="7">
        <f t="shared" si="13"/>
        <v>0</v>
      </c>
      <c r="S31" s="6">
        <f t="shared" si="14"/>
        <v>0</v>
      </c>
      <c r="T31" s="7">
        <f t="shared" si="15"/>
        <v>9.5714285714285712</v>
      </c>
      <c r="U31" s="6">
        <f t="shared" si="16"/>
        <v>10.285714285714285</v>
      </c>
      <c r="V31" s="5">
        <f t="shared" si="17"/>
        <v>9.5714285714285712</v>
      </c>
      <c r="W31" s="6">
        <f t="shared" si="18"/>
        <v>10.285714285714285</v>
      </c>
      <c r="X31" s="7">
        <f t="shared" si="19"/>
        <v>70</v>
      </c>
      <c r="Y31" s="6">
        <f t="shared" si="20"/>
        <v>71</v>
      </c>
      <c r="Z31" s="7">
        <f t="shared" si="21"/>
        <v>0</v>
      </c>
      <c r="AA31" s="6">
        <f t="shared" si="22"/>
        <v>0</v>
      </c>
      <c r="AB31" s="5">
        <f t="shared" si="23"/>
        <v>70</v>
      </c>
      <c r="AC31" s="6">
        <f t="shared" si="24"/>
        <v>71</v>
      </c>
      <c r="AD31" s="7">
        <f t="shared" si="25"/>
        <v>30</v>
      </c>
      <c r="AE31" s="6">
        <f t="shared" si="26"/>
        <v>31.75</v>
      </c>
      <c r="AF31" s="7">
        <f t="shared" si="27"/>
        <v>0</v>
      </c>
      <c r="AG31" s="6">
        <f t="shared" si="28"/>
        <v>0</v>
      </c>
      <c r="AH31" s="5">
        <f t="shared" si="29"/>
        <v>30</v>
      </c>
      <c r="AI31" s="6">
        <f t="shared" si="30"/>
        <v>31.75</v>
      </c>
      <c r="AJ31" s="7">
        <f t="shared" si="31"/>
        <v>0</v>
      </c>
      <c r="AK31" s="6">
        <f t="shared" si="32"/>
        <v>0</v>
      </c>
      <c r="AL31" s="7">
        <f t="shared" si="33"/>
        <v>0</v>
      </c>
      <c r="AM31" s="6">
        <f t="shared" si="34"/>
        <v>0</v>
      </c>
      <c r="AN31" s="5">
        <f t="shared" si="35"/>
        <v>0</v>
      </c>
      <c r="AO31" s="6">
        <f t="shared" si="36"/>
        <v>0</v>
      </c>
      <c r="AP31" s="7">
        <f t="shared" si="37"/>
        <v>0</v>
      </c>
      <c r="AQ31" s="6">
        <f t="shared" si="38"/>
        <v>0</v>
      </c>
      <c r="AR31" s="7">
        <f t="shared" si="39"/>
        <v>0</v>
      </c>
      <c r="AS31" s="6">
        <f t="shared" si="40"/>
        <v>0</v>
      </c>
      <c r="AT31" s="5">
        <f t="shared" si="41"/>
        <v>0</v>
      </c>
      <c r="AU31" s="6">
        <f t="shared" si="42"/>
        <v>0</v>
      </c>
      <c r="AV31" s="7">
        <f t="shared" si="43"/>
        <v>0</v>
      </c>
      <c r="AW31" s="6">
        <f t="shared" si="44"/>
        <v>0</v>
      </c>
      <c r="AX31" s="7">
        <f t="shared" si="45"/>
        <v>0</v>
      </c>
      <c r="AY31" s="6">
        <f t="shared" si="46"/>
        <v>0</v>
      </c>
      <c r="AZ31" s="5">
        <f t="shared" si="47"/>
        <v>0</v>
      </c>
      <c r="BA31" s="6">
        <f t="shared" si="48"/>
        <v>0</v>
      </c>
      <c r="BB31" s="7">
        <f t="shared" si="49"/>
        <v>0</v>
      </c>
      <c r="BC31" s="6">
        <f t="shared" si="50"/>
        <v>0</v>
      </c>
      <c r="BD31" s="7">
        <f t="shared" si="51"/>
        <v>0</v>
      </c>
      <c r="BE31" s="6">
        <f t="shared" si="52"/>
        <v>0</v>
      </c>
      <c r="BF31" s="5">
        <f t="shared" si="53"/>
        <v>0</v>
      </c>
      <c r="BG31" s="6">
        <f t="shared" si="54"/>
        <v>0</v>
      </c>
      <c r="BH31" s="7">
        <f t="shared" si="55"/>
        <v>0</v>
      </c>
      <c r="BI31" s="6">
        <f t="shared" si="56"/>
        <v>0</v>
      </c>
      <c r="BJ31" s="7">
        <f t="shared" si="57"/>
        <v>0</v>
      </c>
      <c r="BK31" s="6">
        <f t="shared" si="58"/>
        <v>0</v>
      </c>
      <c r="BL31" s="5">
        <f t="shared" si="59"/>
        <v>0</v>
      </c>
      <c r="BM31" s="6">
        <f t="shared" si="60"/>
        <v>0</v>
      </c>
      <c r="BN31" s="7">
        <f t="shared" si="61"/>
        <v>0</v>
      </c>
      <c r="BO31" s="6">
        <f t="shared" si="62"/>
        <v>0</v>
      </c>
      <c r="BP31" s="7">
        <f t="shared" si="63"/>
        <v>0</v>
      </c>
      <c r="BQ31" s="6">
        <f t="shared" si="64"/>
        <v>0</v>
      </c>
      <c r="BR31" s="5">
        <f t="shared" si="65"/>
        <v>0</v>
      </c>
      <c r="BS31" s="6">
        <f t="shared" si="66"/>
        <v>0</v>
      </c>
      <c r="BT31" s="7">
        <f t="shared" si="67"/>
        <v>0</v>
      </c>
      <c r="BU31" s="6">
        <f t="shared" si="68"/>
        <v>0</v>
      </c>
      <c r="BV31" s="7">
        <f t="shared" si="69"/>
        <v>0</v>
      </c>
      <c r="BW31" s="6">
        <f t="shared" si="70"/>
        <v>0</v>
      </c>
      <c r="BX31" s="5">
        <f t="shared" si="71"/>
        <v>0</v>
      </c>
      <c r="BY31" s="6">
        <f t="shared" si="72"/>
        <v>0</v>
      </c>
      <c r="BZ31" s="7">
        <f t="shared" si="73"/>
        <v>0</v>
      </c>
      <c r="CA31" s="6">
        <f t="shared" si="74"/>
        <v>0</v>
      </c>
      <c r="CB31" s="7">
        <f t="shared" si="75"/>
        <v>0</v>
      </c>
      <c r="CC31" s="6">
        <f t="shared" si="76"/>
        <v>0</v>
      </c>
      <c r="CD31" s="5">
        <f t="shared" si="77"/>
        <v>0</v>
      </c>
      <c r="CE31" s="6">
        <f t="shared" si="78"/>
        <v>0</v>
      </c>
      <c r="CF31" s="7">
        <f t="shared" si="79"/>
        <v>0</v>
      </c>
      <c r="CG31" s="6">
        <f t="shared" si="80"/>
        <v>0</v>
      </c>
      <c r="CH31" s="7">
        <f t="shared" si="81"/>
        <v>0</v>
      </c>
      <c r="CI31" s="6">
        <f t="shared" si="82"/>
        <v>0</v>
      </c>
      <c r="CJ31" s="5">
        <f t="shared" si="83"/>
        <v>0</v>
      </c>
      <c r="CK31" s="6">
        <f t="shared" si="84"/>
        <v>0</v>
      </c>
      <c r="CL31" s="7">
        <f t="shared" si="85"/>
        <v>0</v>
      </c>
      <c r="CM31" s="6">
        <f t="shared" si="86"/>
        <v>0</v>
      </c>
      <c r="CN31" s="7">
        <f t="shared" si="87"/>
        <v>0</v>
      </c>
      <c r="CO31" s="6">
        <f t="shared" si="88"/>
        <v>0</v>
      </c>
      <c r="CP31" s="5">
        <f t="shared" si="89"/>
        <v>0</v>
      </c>
      <c r="CQ31" s="6">
        <f t="shared" si="90"/>
        <v>0</v>
      </c>
      <c r="CR31" s="7">
        <f t="shared" si="95"/>
        <v>100</v>
      </c>
      <c r="CS31" s="6">
        <f t="shared" si="95"/>
        <v>102.75</v>
      </c>
      <c r="CT31" s="7">
        <f t="shared" si="95"/>
        <v>42.714285714285708</v>
      </c>
      <c r="CU31" s="6">
        <f t="shared" si="95"/>
        <v>45.571428571428569</v>
      </c>
      <c r="CV31" s="5">
        <f t="shared" si="91"/>
        <v>142.71428571428572</v>
      </c>
      <c r="CW31" s="6">
        <f t="shared" si="92"/>
        <v>148.32142857142856</v>
      </c>
      <c r="CY31" s="7">
        <v>142.71428571428572</v>
      </c>
      <c r="CZ31" s="5">
        <f t="array" ref="CZ31">Summary_UpperBound</f>
        <v>148.32142857142856</v>
      </c>
      <c r="DA31" s="6">
        <f t="shared" si="93"/>
        <v>5.6071428571428328</v>
      </c>
    </row>
    <row r="32" spans="1:105" x14ac:dyDescent="0.35">
      <c r="B32" s="14"/>
      <c r="E32" s="12">
        <f t="shared" si="94"/>
        <v>43897</v>
      </c>
      <c r="F32" s="7">
        <f t="shared" si="1"/>
        <v>0</v>
      </c>
      <c r="G32" s="6">
        <f t="shared" si="2"/>
        <v>0</v>
      </c>
      <c r="H32" s="7">
        <f t="shared" si="3"/>
        <v>20</v>
      </c>
      <c r="I32" s="6">
        <f t="shared" si="4"/>
        <v>21</v>
      </c>
      <c r="J32" s="5">
        <f t="shared" si="5"/>
        <v>20</v>
      </c>
      <c r="K32" s="6">
        <f t="shared" si="6"/>
        <v>21</v>
      </c>
      <c r="L32" s="7">
        <f t="shared" si="7"/>
        <v>0</v>
      </c>
      <c r="M32" s="6">
        <f t="shared" si="8"/>
        <v>0</v>
      </c>
      <c r="N32" s="7">
        <f t="shared" si="9"/>
        <v>13.142857142857142</v>
      </c>
      <c r="O32" s="6">
        <f t="shared" si="10"/>
        <v>14.285714285714285</v>
      </c>
      <c r="P32" s="5">
        <f t="shared" si="11"/>
        <v>13.142857142857142</v>
      </c>
      <c r="Q32" s="6">
        <f t="shared" si="12"/>
        <v>14.285714285714285</v>
      </c>
      <c r="R32" s="7">
        <f t="shared" si="13"/>
        <v>0</v>
      </c>
      <c r="S32" s="6">
        <f t="shared" si="14"/>
        <v>0</v>
      </c>
      <c r="T32" s="7">
        <f t="shared" si="15"/>
        <v>9.5714285714285712</v>
      </c>
      <c r="U32" s="6">
        <f t="shared" si="16"/>
        <v>10.285714285714285</v>
      </c>
      <c r="V32" s="5">
        <f t="shared" si="17"/>
        <v>9.5714285714285712</v>
      </c>
      <c r="W32" s="6">
        <f t="shared" si="18"/>
        <v>10.285714285714285</v>
      </c>
      <c r="X32" s="7">
        <f t="shared" si="19"/>
        <v>70</v>
      </c>
      <c r="Y32" s="6">
        <f t="shared" si="20"/>
        <v>71</v>
      </c>
      <c r="Z32" s="7">
        <f t="shared" si="21"/>
        <v>0</v>
      </c>
      <c r="AA32" s="6">
        <f t="shared" si="22"/>
        <v>0</v>
      </c>
      <c r="AB32" s="5">
        <f t="shared" si="23"/>
        <v>70</v>
      </c>
      <c r="AC32" s="6">
        <f t="shared" si="24"/>
        <v>71</v>
      </c>
      <c r="AD32" s="7">
        <f t="shared" si="25"/>
        <v>30</v>
      </c>
      <c r="AE32" s="6">
        <f t="shared" si="26"/>
        <v>31.75</v>
      </c>
      <c r="AF32" s="7">
        <f t="shared" si="27"/>
        <v>0</v>
      </c>
      <c r="AG32" s="6">
        <f t="shared" si="28"/>
        <v>0</v>
      </c>
      <c r="AH32" s="5">
        <f t="shared" si="29"/>
        <v>30</v>
      </c>
      <c r="AI32" s="6">
        <f t="shared" si="30"/>
        <v>31.75</v>
      </c>
      <c r="AJ32" s="7">
        <f t="shared" si="31"/>
        <v>0</v>
      </c>
      <c r="AK32" s="6">
        <f t="shared" si="32"/>
        <v>0</v>
      </c>
      <c r="AL32" s="7">
        <f t="shared" si="33"/>
        <v>0</v>
      </c>
      <c r="AM32" s="6">
        <f t="shared" si="34"/>
        <v>0</v>
      </c>
      <c r="AN32" s="5">
        <f t="shared" si="35"/>
        <v>0</v>
      </c>
      <c r="AO32" s="6">
        <f t="shared" si="36"/>
        <v>0</v>
      </c>
      <c r="AP32" s="7">
        <f t="shared" si="37"/>
        <v>0</v>
      </c>
      <c r="AQ32" s="6">
        <f t="shared" si="38"/>
        <v>0</v>
      </c>
      <c r="AR32" s="7">
        <f t="shared" si="39"/>
        <v>0</v>
      </c>
      <c r="AS32" s="6">
        <f t="shared" si="40"/>
        <v>0</v>
      </c>
      <c r="AT32" s="5">
        <f t="shared" si="41"/>
        <v>0</v>
      </c>
      <c r="AU32" s="6">
        <f t="shared" si="42"/>
        <v>0</v>
      </c>
      <c r="AV32" s="7">
        <f t="shared" si="43"/>
        <v>0</v>
      </c>
      <c r="AW32" s="6">
        <f t="shared" si="44"/>
        <v>0</v>
      </c>
      <c r="AX32" s="7">
        <f t="shared" si="45"/>
        <v>0</v>
      </c>
      <c r="AY32" s="6">
        <f t="shared" si="46"/>
        <v>0</v>
      </c>
      <c r="AZ32" s="5">
        <f t="shared" si="47"/>
        <v>0</v>
      </c>
      <c r="BA32" s="6">
        <f t="shared" si="48"/>
        <v>0</v>
      </c>
      <c r="BB32" s="7">
        <f t="shared" si="49"/>
        <v>0</v>
      </c>
      <c r="BC32" s="6">
        <f t="shared" si="50"/>
        <v>0</v>
      </c>
      <c r="BD32" s="7">
        <f t="shared" si="51"/>
        <v>0</v>
      </c>
      <c r="BE32" s="6">
        <f t="shared" si="52"/>
        <v>0</v>
      </c>
      <c r="BF32" s="5">
        <f t="shared" si="53"/>
        <v>0</v>
      </c>
      <c r="BG32" s="6">
        <f t="shared" si="54"/>
        <v>0</v>
      </c>
      <c r="BH32" s="7">
        <f t="shared" si="55"/>
        <v>0</v>
      </c>
      <c r="BI32" s="6">
        <f t="shared" si="56"/>
        <v>0</v>
      </c>
      <c r="BJ32" s="7">
        <f t="shared" si="57"/>
        <v>0</v>
      </c>
      <c r="BK32" s="6">
        <f t="shared" si="58"/>
        <v>0</v>
      </c>
      <c r="BL32" s="5">
        <f t="shared" si="59"/>
        <v>0</v>
      </c>
      <c r="BM32" s="6">
        <f t="shared" si="60"/>
        <v>0</v>
      </c>
      <c r="BN32" s="7">
        <f t="shared" si="61"/>
        <v>0</v>
      </c>
      <c r="BO32" s="6">
        <f t="shared" si="62"/>
        <v>0</v>
      </c>
      <c r="BP32" s="7">
        <f t="shared" si="63"/>
        <v>0</v>
      </c>
      <c r="BQ32" s="6">
        <f t="shared" si="64"/>
        <v>0</v>
      </c>
      <c r="BR32" s="5">
        <f t="shared" si="65"/>
        <v>0</v>
      </c>
      <c r="BS32" s="6">
        <f t="shared" si="66"/>
        <v>0</v>
      </c>
      <c r="BT32" s="7">
        <f t="shared" si="67"/>
        <v>0</v>
      </c>
      <c r="BU32" s="6">
        <f t="shared" si="68"/>
        <v>0</v>
      </c>
      <c r="BV32" s="7">
        <f t="shared" si="69"/>
        <v>0</v>
      </c>
      <c r="BW32" s="6">
        <f t="shared" si="70"/>
        <v>0</v>
      </c>
      <c r="BX32" s="5">
        <f t="shared" si="71"/>
        <v>0</v>
      </c>
      <c r="BY32" s="6">
        <f t="shared" si="72"/>
        <v>0</v>
      </c>
      <c r="BZ32" s="7">
        <f t="shared" si="73"/>
        <v>0</v>
      </c>
      <c r="CA32" s="6">
        <f t="shared" si="74"/>
        <v>0</v>
      </c>
      <c r="CB32" s="7">
        <f t="shared" si="75"/>
        <v>0</v>
      </c>
      <c r="CC32" s="6">
        <f t="shared" si="76"/>
        <v>0</v>
      </c>
      <c r="CD32" s="5">
        <f t="shared" si="77"/>
        <v>0</v>
      </c>
      <c r="CE32" s="6">
        <f t="shared" si="78"/>
        <v>0</v>
      </c>
      <c r="CF32" s="7">
        <f t="shared" si="79"/>
        <v>0</v>
      </c>
      <c r="CG32" s="6">
        <f t="shared" si="80"/>
        <v>0</v>
      </c>
      <c r="CH32" s="7">
        <f t="shared" si="81"/>
        <v>0</v>
      </c>
      <c r="CI32" s="6">
        <f t="shared" si="82"/>
        <v>0</v>
      </c>
      <c r="CJ32" s="5">
        <f t="shared" si="83"/>
        <v>0</v>
      </c>
      <c r="CK32" s="6">
        <f t="shared" si="84"/>
        <v>0</v>
      </c>
      <c r="CL32" s="7">
        <f t="shared" si="85"/>
        <v>0</v>
      </c>
      <c r="CM32" s="6">
        <f t="shared" si="86"/>
        <v>0</v>
      </c>
      <c r="CN32" s="7">
        <f t="shared" si="87"/>
        <v>0</v>
      </c>
      <c r="CO32" s="6">
        <f t="shared" si="88"/>
        <v>0</v>
      </c>
      <c r="CP32" s="5">
        <f t="shared" si="89"/>
        <v>0</v>
      </c>
      <c r="CQ32" s="6">
        <f t="shared" si="90"/>
        <v>0</v>
      </c>
      <c r="CR32" s="7">
        <f t="shared" si="95"/>
        <v>100</v>
      </c>
      <c r="CS32" s="6">
        <f t="shared" si="95"/>
        <v>102.75</v>
      </c>
      <c r="CT32" s="7">
        <f t="shared" si="95"/>
        <v>42.714285714285708</v>
      </c>
      <c r="CU32" s="6">
        <f t="shared" si="95"/>
        <v>45.571428571428569</v>
      </c>
      <c r="CV32" s="5">
        <f t="shared" si="91"/>
        <v>142.71428571428572</v>
      </c>
      <c r="CW32" s="6">
        <f t="shared" si="92"/>
        <v>148.32142857142856</v>
      </c>
      <c r="CY32" s="7">
        <v>142.71428571428572</v>
      </c>
      <c r="CZ32" s="5">
        <f t="array" ref="CZ32">Summary_UpperBound</f>
        <v>148.32142857142856</v>
      </c>
      <c r="DA32" s="6">
        <f t="shared" si="93"/>
        <v>5.6071428571428328</v>
      </c>
    </row>
    <row r="33" spans="2:105" x14ac:dyDescent="0.35">
      <c r="B33" s="14"/>
      <c r="E33" s="12">
        <f t="shared" si="94"/>
        <v>43904</v>
      </c>
      <c r="F33" s="7">
        <f t="shared" si="1"/>
        <v>0</v>
      </c>
      <c r="G33" s="6">
        <f t="shared" si="2"/>
        <v>0</v>
      </c>
      <c r="H33" s="7">
        <f t="shared" si="3"/>
        <v>20</v>
      </c>
      <c r="I33" s="6">
        <f t="shared" si="4"/>
        <v>21</v>
      </c>
      <c r="J33" s="5">
        <f t="shared" si="5"/>
        <v>20</v>
      </c>
      <c r="K33" s="6">
        <f t="shared" si="6"/>
        <v>21</v>
      </c>
      <c r="L33" s="7">
        <f t="shared" si="7"/>
        <v>0</v>
      </c>
      <c r="M33" s="6">
        <f t="shared" si="8"/>
        <v>0</v>
      </c>
      <c r="N33" s="7">
        <f t="shared" si="9"/>
        <v>13.142857142857142</v>
      </c>
      <c r="O33" s="6">
        <f t="shared" si="10"/>
        <v>14.285714285714285</v>
      </c>
      <c r="P33" s="5">
        <f t="shared" si="11"/>
        <v>13.142857142857142</v>
      </c>
      <c r="Q33" s="6">
        <f t="shared" si="12"/>
        <v>14.285714285714285</v>
      </c>
      <c r="R33" s="7">
        <f t="shared" si="13"/>
        <v>0</v>
      </c>
      <c r="S33" s="6">
        <f t="shared" si="14"/>
        <v>0</v>
      </c>
      <c r="T33" s="7">
        <f t="shared" si="15"/>
        <v>9.5714285714285712</v>
      </c>
      <c r="U33" s="6">
        <f t="shared" si="16"/>
        <v>10.285714285714285</v>
      </c>
      <c r="V33" s="5">
        <f t="shared" si="17"/>
        <v>9.5714285714285712</v>
      </c>
      <c r="W33" s="6">
        <f t="shared" si="18"/>
        <v>10.285714285714285</v>
      </c>
      <c r="X33" s="7">
        <f t="shared" si="19"/>
        <v>70</v>
      </c>
      <c r="Y33" s="6">
        <f t="shared" si="20"/>
        <v>71</v>
      </c>
      <c r="Z33" s="7">
        <f t="shared" si="21"/>
        <v>0</v>
      </c>
      <c r="AA33" s="6">
        <f t="shared" si="22"/>
        <v>0</v>
      </c>
      <c r="AB33" s="5">
        <f t="shared" si="23"/>
        <v>70</v>
      </c>
      <c r="AC33" s="6">
        <f t="shared" si="24"/>
        <v>71</v>
      </c>
      <c r="AD33" s="7">
        <f t="shared" si="25"/>
        <v>30</v>
      </c>
      <c r="AE33" s="6">
        <f t="shared" si="26"/>
        <v>31.75</v>
      </c>
      <c r="AF33" s="7">
        <f t="shared" si="27"/>
        <v>0</v>
      </c>
      <c r="AG33" s="6">
        <f t="shared" si="28"/>
        <v>0</v>
      </c>
      <c r="AH33" s="5">
        <f t="shared" si="29"/>
        <v>30</v>
      </c>
      <c r="AI33" s="6">
        <f t="shared" si="30"/>
        <v>31.75</v>
      </c>
      <c r="AJ33" s="7">
        <f t="shared" si="31"/>
        <v>0</v>
      </c>
      <c r="AK33" s="6">
        <f t="shared" si="32"/>
        <v>0</v>
      </c>
      <c r="AL33" s="7">
        <f t="shared" si="33"/>
        <v>0</v>
      </c>
      <c r="AM33" s="6">
        <f t="shared" si="34"/>
        <v>0</v>
      </c>
      <c r="AN33" s="5">
        <f t="shared" si="35"/>
        <v>0</v>
      </c>
      <c r="AO33" s="6">
        <f t="shared" si="36"/>
        <v>0</v>
      </c>
      <c r="AP33" s="7">
        <f t="shared" si="37"/>
        <v>0</v>
      </c>
      <c r="AQ33" s="6">
        <f t="shared" si="38"/>
        <v>0</v>
      </c>
      <c r="AR33" s="7">
        <f t="shared" si="39"/>
        <v>0</v>
      </c>
      <c r="AS33" s="6">
        <f t="shared" si="40"/>
        <v>0</v>
      </c>
      <c r="AT33" s="5">
        <f t="shared" si="41"/>
        <v>0</v>
      </c>
      <c r="AU33" s="6">
        <f t="shared" si="42"/>
        <v>0</v>
      </c>
      <c r="AV33" s="7">
        <f t="shared" si="43"/>
        <v>0</v>
      </c>
      <c r="AW33" s="6">
        <f t="shared" si="44"/>
        <v>0</v>
      </c>
      <c r="AX33" s="7">
        <f t="shared" si="45"/>
        <v>0</v>
      </c>
      <c r="AY33" s="6">
        <f t="shared" si="46"/>
        <v>0</v>
      </c>
      <c r="AZ33" s="5">
        <f t="shared" si="47"/>
        <v>0</v>
      </c>
      <c r="BA33" s="6">
        <f t="shared" si="48"/>
        <v>0</v>
      </c>
      <c r="BB33" s="7">
        <f t="shared" si="49"/>
        <v>0</v>
      </c>
      <c r="BC33" s="6">
        <f t="shared" si="50"/>
        <v>0</v>
      </c>
      <c r="BD33" s="7">
        <f t="shared" si="51"/>
        <v>0</v>
      </c>
      <c r="BE33" s="6">
        <f t="shared" si="52"/>
        <v>0</v>
      </c>
      <c r="BF33" s="5">
        <f t="shared" si="53"/>
        <v>0</v>
      </c>
      <c r="BG33" s="6">
        <f t="shared" si="54"/>
        <v>0</v>
      </c>
      <c r="BH33" s="7">
        <f t="shared" si="55"/>
        <v>0</v>
      </c>
      <c r="BI33" s="6">
        <f t="shared" si="56"/>
        <v>0</v>
      </c>
      <c r="BJ33" s="7">
        <f t="shared" si="57"/>
        <v>0</v>
      </c>
      <c r="BK33" s="6">
        <f t="shared" si="58"/>
        <v>0</v>
      </c>
      <c r="BL33" s="5">
        <f t="shared" si="59"/>
        <v>0</v>
      </c>
      <c r="BM33" s="6">
        <f t="shared" si="60"/>
        <v>0</v>
      </c>
      <c r="BN33" s="7">
        <f t="shared" si="61"/>
        <v>0</v>
      </c>
      <c r="BO33" s="6">
        <f t="shared" si="62"/>
        <v>0</v>
      </c>
      <c r="BP33" s="7">
        <f t="shared" si="63"/>
        <v>0</v>
      </c>
      <c r="BQ33" s="6">
        <f t="shared" si="64"/>
        <v>0</v>
      </c>
      <c r="BR33" s="5">
        <f t="shared" si="65"/>
        <v>0</v>
      </c>
      <c r="BS33" s="6">
        <f t="shared" si="66"/>
        <v>0</v>
      </c>
      <c r="BT33" s="7">
        <f t="shared" si="67"/>
        <v>0</v>
      </c>
      <c r="BU33" s="6">
        <f t="shared" si="68"/>
        <v>0</v>
      </c>
      <c r="BV33" s="7">
        <f t="shared" si="69"/>
        <v>0</v>
      </c>
      <c r="BW33" s="6">
        <f t="shared" si="70"/>
        <v>0</v>
      </c>
      <c r="BX33" s="5">
        <f t="shared" si="71"/>
        <v>0</v>
      </c>
      <c r="BY33" s="6">
        <f t="shared" si="72"/>
        <v>0</v>
      </c>
      <c r="BZ33" s="7">
        <f t="shared" si="73"/>
        <v>0</v>
      </c>
      <c r="CA33" s="6">
        <f t="shared" si="74"/>
        <v>0</v>
      </c>
      <c r="CB33" s="7">
        <f t="shared" si="75"/>
        <v>0</v>
      </c>
      <c r="CC33" s="6">
        <f t="shared" si="76"/>
        <v>0</v>
      </c>
      <c r="CD33" s="5">
        <f t="shared" si="77"/>
        <v>0</v>
      </c>
      <c r="CE33" s="6">
        <f t="shared" si="78"/>
        <v>0</v>
      </c>
      <c r="CF33" s="7">
        <f t="shared" si="79"/>
        <v>0</v>
      </c>
      <c r="CG33" s="6">
        <f t="shared" si="80"/>
        <v>0</v>
      </c>
      <c r="CH33" s="7">
        <f t="shared" si="81"/>
        <v>0</v>
      </c>
      <c r="CI33" s="6">
        <f t="shared" si="82"/>
        <v>0</v>
      </c>
      <c r="CJ33" s="5">
        <f t="shared" si="83"/>
        <v>0</v>
      </c>
      <c r="CK33" s="6">
        <f t="shared" si="84"/>
        <v>0</v>
      </c>
      <c r="CL33" s="7">
        <f t="shared" si="85"/>
        <v>0</v>
      </c>
      <c r="CM33" s="6">
        <f t="shared" si="86"/>
        <v>0</v>
      </c>
      <c r="CN33" s="7">
        <f t="shared" si="87"/>
        <v>0</v>
      </c>
      <c r="CO33" s="6">
        <f t="shared" si="88"/>
        <v>0</v>
      </c>
      <c r="CP33" s="5">
        <f t="shared" si="89"/>
        <v>0</v>
      </c>
      <c r="CQ33" s="6">
        <f t="shared" si="90"/>
        <v>0</v>
      </c>
      <c r="CR33" s="7">
        <f t="shared" si="95"/>
        <v>100</v>
      </c>
      <c r="CS33" s="6">
        <f t="shared" si="95"/>
        <v>102.75</v>
      </c>
      <c r="CT33" s="7">
        <f t="shared" si="95"/>
        <v>42.714285714285708</v>
      </c>
      <c r="CU33" s="6">
        <f t="shared" si="95"/>
        <v>45.571428571428569</v>
      </c>
      <c r="CV33" s="5">
        <f t="shared" si="91"/>
        <v>142.71428571428572</v>
      </c>
      <c r="CW33" s="6">
        <f t="shared" si="92"/>
        <v>148.32142857142856</v>
      </c>
      <c r="CY33" s="7">
        <v>142.71428571428572</v>
      </c>
      <c r="CZ33" s="5">
        <f t="array" ref="CZ33">Summary_UpperBound</f>
        <v>148.32142857142856</v>
      </c>
      <c r="DA33" s="6">
        <f t="shared" si="93"/>
        <v>5.6071428571428328</v>
      </c>
    </row>
    <row r="34" spans="2:105" x14ac:dyDescent="0.35">
      <c r="B34" s="14"/>
      <c r="E34" s="12">
        <f t="shared" si="94"/>
        <v>43911</v>
      </c>
      <c r="F34" s="7">
        <f t="shared" si="1"/>
        <v>0</v>
      </c>
      <c r="G34" s="6">
        <f t="shared" si="2"/>
        <v>0</v>
      </c>
      <c r="H34" s="7">
        <f t="shared" si="3"/>
        <v>20</v>
      </c>
      <c r="I34" s="6">
        <f t="shared" si="4"/>
        <v>21</v>
      </c>
      <c r="J34" s="5">
        <f t="shared" si="5"/>
        <v>20</v>
      </c>
      <c r="K34" s="6">
        <f t="shared" si="6"/>
        <v>21</v>
      </c>
      <c r="L34" s="7">
        <f t="shared" si="7"/>
        <v>0</v>
      </c>
      <c r="M34" s="6">
        <f t="shared" si="8"/>
        <v>0</v>
      </c>
      <c r="N34" s="7">
        <f t="shared" si="9"/>
        <v>13.142857142857142</v>
      </c>
      <c r="O34" s="6">
        <f t="shared" si="10"/>
        <v>14.285714285714285</v>
      </c>
      <c r="P34" s="5">
        <f t="shared" si="11"/>
        <v>13.142857142857142</v>
      </c>
      <c r="Q34" s="6">
        <f t="shared" si="12"/>
        <v>14.285714285714285</v>
      </c>
      <c r="R34" s="7">
        <f t="shared" si="13"/>
        <v>0</v>
      </c>
      <c r="S34" s="6">
        <f t="shared" si="14"/>
        <v>0</v>
      </c>
      <c r="T34" s="7">
        <f t="shared" si="15"/>
        <v>9.5714285714285712</v>
      </c>
      <c r="U34" s="6">
        <f t="shared" si="16"/>
        <v>10.285714285714285</v>
      </c>
      <c r="V34" s="5">
        <f t="shared" si="17"/>
        <v>9.5714285714285712</v>
      </c>
      <c r="W34" s="6">
        <f t="shared" si="18"/>
        <v>10.285714285714285</v>
      </c>
      <c r="X34" s="7">
        <f t="shared" si="19"/>
        <v>70</v>
      </c>
      <c r="Y34" s="6">
        <f t="shared" si="20"/>
        <v>71</v>
      </c>
      <c r="Z34" s="7">
        <f t="shared" si="21"/>
        <v>0</v>
      </c>
      <c r="AA34" s="6">
        <f t="shared" si="22"/>
        <v>0</v>
      </c>
      <c r="AB34" s="5">
        <f t="shared" si="23"/>
        <v>70</v>
      </c>
      <c r="AC34" s="6">
        <f t="shared" si="24"/>
        <v>71</v>
      </c>
      <c r="AD34" s="7">
        <f t="shared" si="25"/>
        <v>30</v>
      </c>
      <c r="AE34" s="6">
        <f t="shared" si="26"/>
        <v>31.75</v>
      </c>
      <c r="AF34" s="7">
        <f t="shared" si="27"/>
        <v>0</v>
      </c>
      <c r="AG34" s="6">
        <f t="shared" si="28"/>
        <v>0</v>
      </c>
      <c r="AH34" s="5">
        <f t="shared" si="29"/>
        <v>30</v>
      </c>
      <c r="AI34" s="6">
        <f t="shared" si="30"/>
        <v>31.75</v>
      </c>
      <c r="AJ34" s="7">
        <f t="shared" si="31"/>
        <v>0</v>
      </c>
      <c r="AK34" s="6">
        <f t="shared" si="32"/>
        <v>0</v>
      </c>
      <c r="AL34" s="7">
        <f t="shared" si="33"/>
        <v>0</v>
      </c>
      <c r="AM34" s="6">
        <f t="shared" si="34"/>
        <v>0</v>
      </c>
      <c r="AN34" s="5">
        <f t="shared" si="35"/>
        <v>0</v>
      </c>
      <c r="AO34" s="6">
        <f t="shared" si="36"/>
        <v>0</v>
      </c>
      <c r="AP34" s="7">
        <f t="shared" si="37"/>
        <v>0</v>
      </c>
      <c r="AQ34" s="6">
        <f t="shared" si="38"/>
        <v>0</v>
      </c>
      <c r="AR34" s="7">
        <f t="shared" si="39"/>
        <v>0</v>
      </c>
      <c r="AS34" s="6">
        <f t="shared" si="40"/>
        <v>0</v>
      </c>
      <c r="AT34" s="5">
        <f t="shared" si="41"/>
        <v>0</v>
      </c>
      <c r="AU34" s="6">
        <f t="shared" si="42"/>
        <v>0</v>
      </c>
      <c r="AV34" s="7">
        <f t="shared" si="43"/>
        <v>0</v>
      </c>
      <c r="AW34" s="6">
        <f t="shared" si="44"/>
        <v>0</v>
      </c>
      <c r="AX34" s="7">
        <f t="shared" si="45"/>
        <v>0</v>
      </c>
      <c r="AY34" s="6">
        <f t="shared" si="46"/>
        <v>0</v>
      </c>
      <c r="AZ34" s="5">
        <f t="shared" si="47"/>
        <v>0</v>
      </c>
      <c r="BA34" s="6">
        <f t="shared" si="48"/>
        <v>0</v>
      </c>
      <c r="BB34" s="7">
        <f t="shared" si="49"/>
        <v>0</v>
      </c>
      <c r="BC34" s="6">
        <f t="shared" si="50"/>
        <v>0</v>
      </c>
      <c r="BD34" s="7">
        <f t="shared" si="51"/>
        <v>0</v>
      </c>
      <c r="BE34" s="6">
        <f t="shared" si="52"/>
        <v>0</v>
      </c>
      <c r="BF34" s="5">
        <f t="shared" si="53"/>
        <v>0</v>
      </c>
      <c r="BG34" s="6">
        <f t="shared" si="54"/>
        <v>0</v>
      </c>
      <c r="BH34" s="7">
        <f t="shared" si="55"/>
        <v>0</v>
      </c>
      <c r="BI34" s="6">
        <f t="shared" si="56"/>
        <v>0</v>
      </c>
      <c r="BJ34" s="7">
        <f t="shared" si="57"/>
        <v>0</v>
      </c>
      <c r="BK34" s="6">
        <f t="shared" si="58"/>
        <v>0</v>
      </c>
      <c r="BL34" s="5">
        <f t="shared" si="59"/>
        <v>0</v>
      </c>
      <c r="BM34" s="6">
        <f t="shared" si="60"/>
        <v>0</v>
      </c>
      <c r="BN34" s="7">
        <f t="shared" si="61"/>
        <v>0</v>
      </c>
      <c r="BO34" s="6">
        <f t="shared" si="62"/>
        <v>0</v>
      </c>
      <c r="BP34" s="7">
        <f t="shared" si="63"/>
        <v>0</v>
      </c>
      <c r="BQ34" s="6">
        <f t="shared" si="64"/>
        <v>0</v>
      </c>
      <c r="BR34" s="5">
        <f t="shared" si="65"/>
        <v>0</v>
      </c>
      <c r="BS34" s="6">
        <f t="shared" si="66"/>
        <v>0</v>
      </c>
      <c r="BT34" s="7">
        <f t="shared" si="67"/>
        <v>0</v>
      </c>
      <c r="BU34" s="6">
        <f t="shared" si="68"/>
        <v>0</v>
      </c>
      <c r="BV34" s="7">
        <f t="shared" si="69"/>
        <v>0</v>
      </c>
      <c r="BW34" s="6">
        <f t="shared" si="70"/>
        <v>0</v>
      </c>
      <c r="BX34" s="5">
        <f t="shared" si="71"/>
        <v>0</v>
      </c>
      <c r="BY34" s="6">
        <f t="shared" si="72"/>
        <v>0</v>
      </c>
      <c r="BZ34" s="7">
        <f t="shared" si="73"/>
        <v>0</v>
      </c>
      <c r="CA34" s="6">
        <f t="shared" si="74"/>
        <v>0</v>
      </c>
      <c r="CB34" s="7">
        <f t="shared" si="75"/>
        <v>0</v>
      </c>
      <c r="CC34" s="6">
        <f t="shared" si="76"/>
        <v>0</v>
      </c>
      <c r="CD34" s="5">
        <f t="shared" si="77"/>
        <v>0</v>
      </c>
      <c r="CE34" s="6">
        <f t="shared" si="78"/>
        <v>0</v>
      </c>
      <c r="CF34" s="7">
        <f t="shared" si="79"/>
        <v>0</v>
      </c>
      <c r="CG34" s="6">
        <f t="shared" si="80"/>
        <v>0</v>
      </c>
      <c r="CH34" s="7">
        <f t="shared" si="81"/>
        <v>0</v>
      </c>
      <c r="CI34" s="6">
        <f t="shared" si="82"/>
        <v>0</v>
      </c>
      <c r="CJ34" s="5">
        <f t="shared" si="83"/>
        <v>0</v>
      </c>
      <c r="CK34" s="6">
        <f t="shared" si="84"/>
        <v>0</v>
      </c>
      <c r="CL34" s="7">
        <f t="shared" si="85"/>
        <v>0</v>
      </c>
      <c r="CM34" s="6">
        <f t="shared" si="86"/>
        <v>0</v>
      </c>
      <c r="CN34" s="7">
        <f t="shared" si="87"/>
        <v>0</v>
      </c>
      <c r="CO34" s="6">
        <f t="shared" si="88"/>
        <v>0</v>
      </c>
      <c r="CP34" s="5">
        <f t="shared" si="89"/>
        <v>0</v>
      </c>
      <c r="CQ34" s="6">
        <f t="shared" si="90"/>
        <v>0</v>
      </c>
      <c r="CR34" s="7">
        <f t="shared" si="95"/>
        <v>100</v>
      </c>
      <c r="CS34" s="6">
        <f t="shared" si="95"/>
        <v>102.75</v>
      </c>
      <c r="CT34" s="7">
        <f t="shared" si="95"/>
        <v>42.714285714285708</v>
      </c>
      <c r="CU34" s="6">
        <f t="shared" si="95"/>
        <v>45.571428571428569</v>
      </c>
      <c r="CV34" s="5">
        <f t="shared" si="91"/>
        <v>142.71428571428572</v>
      </c>
      <c r="CW34" s="6">
        <f t="shared" si="92"/>
        <v>148.32142857142856</v>
      </c>
      <c r="CY34" s="7">
        <v>142.71428571428572</v>
      </c>
      <c r="CZ34" s="5">
        <f t="array" ref="CZ34">Summary_UpperBound</f>
        <v>148.32142857142856</v>
      </c>
      <c r="DA34" s="6">
        <f t="shared" si="93"/>
        <v>5.6071428571428328</v>
      </c>
    </row>
    <row r="35" spans="2:105" x14ac:dyDescent="0.35">
      <c r="B35" s="14"/>
      <c r="E35" s="12">
        <f t="shared" si="94"/>
        <v>43918</v>
      </c>
      <c r="F35" s="7">
        <f t="shared" si="1"/>
        <v>0</v>
      </c>
      <c r="G35" s="6">
        <f t="shared" si="2"/>
        <v>0</v>
      </c>
      <c r="H35" s="7">
        <f t="shared" si="3"/>
        <v>20</v>
      </c>
      <c r="I35" s="6">
        <f t="shared" si="4"/>
        <v>21</v>
      </c>
      <c r="J35" s="5">
        <f t="shared" si="5"/>
        <v>20</v>
      </c>
      <c r="K35" s="6">
        <f t="shared" si="6"/>
        <v>21</v>
      </c>
      <c r="L35" s="7">
        <f t="shared" si="7"/>
        <v>0</v>
      </c>
      <c r="M35" s="6">
        <f t="shared" si="8"/>
        <v>0</v>
      </c>
      <c r="N35" s="7">
        <f t="shared" si="9"/>
        <v>13.142857142857142</v>
      </c>
      <c r="O35" s="6">
        <f t="shared" si="10"/>
        <v>14.285714285714285</v>
      </c>
      <c r="P35" s="5">
        <f t="shared" si="11"/>
        <v>13.142857142857142</v>
      </c>
      <c r="Q35" s="6">
        <f t="shared" si="12"/>
        <v>14.285714285714285</v>
      </c>
      <c r="R35" s="7">
        <f t="shared" si="13"/>
        <v>0</v>
      </c>
      <c r="S35" s="6">
        <f t="shared" si="14"/>
        <v>0</v>
      </c>
      <c r="T35" s="7">
        <f t="shared" si="15"/>
        <v>9.5714285714285712</v>
      </c>
      <c r="U35" s="6">
        <f t="shared" si="16"/>
        <v>10.285714285714285</v>
      </c>
      <c r="V35" s="5">
        <f t="shared" si="17"/>
        <v>9.5714285714285712</v>
      </c>
      <c r="W35" s="6">
        <f t="shared" si="18"/>
        <v>10.285714285714285</v>
      </c>
      <c r="X35" s="7">
        <f t="shared" si="19"/>
        <v>70</v>
      </c>
      <c r="Y35" s="6">
        <f t="shared" si="20"/>
        <v>71</v>
      </c>
      <c r="Z35" s="7">
        <f t="shared" si="21"/>
        <v>0</v>
      </c>
      <c r="AA35" s="6">
        <f t="shared" si="22"/>
        <v>0</v>
      </c>
      <c r="AB35" s="5">
        <f t="shared" si="23"/>
        <v>70</v>
      </c>
      <c r="AC35" s="6">
        <f t="shared" si="24"/>
        <v>71</v>
      </c>
      <c r="AD35" s="7">
        <f t="shared" si="25"/>
        <v>30</v>
      </c>
      <c r="AE35" s="6">
        <f t="shared" si="26"/>
        <v>31.75</v>
      </c>
      <c r="AF35" s="7">
        <f t="shared" si="27"/>
        <v>0</v>
      </c>
      <c r="AG35" s="6">
        <f t="shared" si="28"/>
        <v>0</v>
      </c>
      <c r="AH35" s="5">
        <f t="shared" si="29"/>
        <v>30</v>
      </c>
      <c r="AI35" s="6">
        <f t="shared" si="30"/>
        <v>31.75</v>
      </c>
      <c r="AJ35" s="7">
        <f t="shared" si="31"/>
        <v>0</v>
      </c>
      <c r="AK35" s="6">
        <f t="shared" si="32"/>
        <v>0</v>
      </c>
      <c r="AL35" s="7">
        <f t="shared" si="33"/>
        <v>0</v>
      </c>
      <c r="AM35" s="6">
        <f t="shared" si="34"/>
        <v>0</v>
      </c>
      <c r="AN35" s="5">
        <f t="shared" si="35"/>
        <v>0</v>
      </c>
      <c r="AO35" s="6">
        <f t="shared" si="36"/>
        <v>0</v>
      </c>
      <c r="AP35" s="7">
        <f t="shared" si="37"/>
        <v>0</v>
      </c>
      <c r="AQ35" s="6">
        <f t="shared" si="38"/>
        <v>0</v>
      </c>
      <c r="AR35" s="7">
        <f t="shared" si="39"/>
        <v>0</v>
      </c>
      <c r="AS35" s="6">
        <f t="shared" si="40"/>
        <v>0</v>
      </c>
      <c r="AT35" s="5">
        <f t="shared" si="41"/>
        <v>0</v>
      </c>
      <c r="AU35" s="6">
        <f t="shared" si="42"/>
        <v>0</v>
      </c>
      <c r="AV35" s="7">
        <f t="shared" si="43"/>
        <v>0</v>
      </c>
      <c r="AW35" s="6">
        <f t="shared" si="44"/>
        <v>0</v>
      </c>
      <c r="AX35" s="7">
        <f t="shared" si="45"/>
        <v>0</v>
      </c>
      <c r="AY35" s="6">
        <f t="shared" si="46"/>
        <v>0</v>
      </c>
      <c r="AZ35" s="5">
        <f t="shared" si="47"/>
        <v>0</v>
      </c>
      <c r="BA35" s="6">
        <f t="shared" si="48"/>
        <v>0</v>
      </c>
      <c r="BB35" s="7">
        <f t="shared" si="49"/>
        <v>0</v>
      </c>
      <c r="BC35" s="6">
        <f t="shared" si="50"/>
        <v>0</v>
      </c>
      <c r="BD35" s="7">
        <f t="shared" si="51"/>
        <v>0</v>
      </c>
      <c r="BE35" s="6">
        <f t="shared" si="52"/>
        <v>0</v>
      </c>
      <c r="BF35" s="5">
        <f t="shared" si="53"/>
        <v>0</v>
      </c>
      <c r="BG35" s="6">
        <f t="shared" si="54"/>
        <v>0</v>
      </c>
      <c r="BH35" s="7">
        <f t="shared" si="55"/>
        <v>0</v>
      </c>
      <c r="BI35" s="6">
        <f t="shared" si="56"/>
        <v>0</v>
      </c>
      <c r="BJ35" s="7">
        <f t="shared" si="57"/>
        <v>0</v>
      </c>
      <c r="BK35" s="6">
        <f t="shared" si="58"/>
        <v>0</v>
      </c>
      <c r="BL35" s="5">
        <f t="shared" si="59"/>
        <v>0</v>
      </c>
      <c r="BM35" s="6">
        <f t="shared" si="60"/>
        <v>0</v>
      </c>
      <c r="BN35" s="7">
        <f t="shared" si="61"/>
        <v>0</v>
      </c>
      <c r="BO35" s="6">
        <f t="shared" si="62"/>
        <v>0</v>
      </c>
      <c r="BP35" s="7">
        <f t="shared" si="63"/>
        <v>0</v>
      </c>
      <c r="BQ35" s="6">
        <f t="shared" si="64"/>
        <v>0</v>
      </c>
      <c r="BR35" s="5">
        <f t="shared" si="65"/>
        <v>0</v>
      </c>
      <c r="BS35" s="6">
        <f t="shared" si="66"/>
        <v>0</v>
      </c>
      <c r="BT35" s="7">
        <f t="shared" si="67"/>
        <v>0</v>
      </c>
      <c r="BU35" s="6">
        <f t="shared" si="68"/>
        <v>0</v>
      </c>
      <c r="BV35" s="7">
        <f t="shared" si="69"/>
        <v>0</v>
      </c>
      <c r="BW35" s="6">
        <f t="shared" si="70"/>
        <v>0</v>
      </c>
      <c r="BX35" s="5">
        <f t="shared" si="71"/>
        <v>0</v>
      </c>
      <c r="BY35" s="6">
        <f t="shared" si="72"/>
        <v>0</v>
      </c>
      <c r="BZ35" s="7">
        <f t="shared" si="73"/>
        <v>0</v>
      </c>
      <c r="CA35" s="6">
        <f t="shared" si="74"/>
        <v>0</v>
      </c>
      <c r="CB35" s="7">
        <f t="shared" si="75"/>
        <v>0</v>
      </c>
      <c r="CC35" s="6">
        <f t="shared" si="76"/>
        <v>0</v>
      </c>
      <c r="CD35" s="5">
        <f t="shared" si="77"/>
        <v>0</v>
      </c>
      <c r="CE35" s="6">
        <f t="shared" si="78"/>
        <v>0</v>
      </c>
      <c r="CF35" s="7">
        <f t="shared" si="79"/>
        <v>0</v>
      </c>
      <c r="CG35" s="6">
        <f t="shared" si="80"/>
        <v>0</v>
      </c>
      <c r="CH35" s="7">
        <f t="shared" si="81"/>
        <v>0</v>
      </c>
      <c r="CI35" s="6">
        <f t="shared" si="82"/>
        <v>0</v>
      </c>
      <c r="CJ35" s="5">
        <f t="shared" si="83"/>
        <v>0</v>
      </c>
      <c r="CK35" s="6">
        <f t="shared" si="84"/>
        <v>0</v>
      </c>
      <c r="CL35" s="7">
        <f t="shared" si="85"/>
        <v>0</v>
      </c>
      <c r="CM35" s="6">
        <f t="shared" si="86"/>
        <v>0</v>
      </c>
      <c r="CN35" s="7">
        <f t="shared" si="87"/>
        <v>0</v>
      </c>
      <c r="CO35" s="6">
        <f t="shared" si="88"/>
        <v>0</v>
      </c>
      <c r="CP35" s="5">
        <f t="shared" si="89"/>
        <v>0</v>
      </c>
      <c r="CQ35" s="6">
        <f t="shared" si="90"/>
        <v>0</v>
      </c>
      <c r="CR35" s="7">
        <f t="shared" si="95"/>
        <v>100</v>
      </c>
      <c r="CS35" s="6">
        <f t="shared" si="95"/>
        <v>102.75</v>
      </c>
      <c r="CT35" s="7">
        <f t="shared" si="95"/>
        <v>42.714285714285708</v>
      </c>
      <c r="CU35" s="6">
        <f t="shared" si="95"/>
        <v>45.571428571428569</v>
      </c>
      <c r="CV35" s="5">
        <f t="shared" si="91"/>
        <v>142.71428571428572</v>
      </c>
      <c r="CW35" s="6">
        <f t="shared" si="92"/>
        <v>148.32142857142856</v>
      </c>
      <c r="CY35" s="7">
        <v>142.71428571428572</v>
      </c>
      <c r="CZ35" s="5">
        <f t="array" ref="CZ35">Summary_UpperBound</f>
        <v>148.32142857142856</v>
      </c>
      <c r="DA35" s="6">
        <f t="shared" si="93"/>
        <v>5.6071428571428328</v>
      </c>
    </row>
    <row r="36" spans="2:105" x14ac:dyDescent="0.35">
      <c r="B36" s="14"/>
      <c r="E36" s="12">
        <f t="shared" si="94"/>
        <v>43925</v>
      </c>
      <c r="F36" s="7">
        <f t="shared" si="1"/>
        <v>0</v>
      </c>
      <c r="G36" s="6">
        <f t="shared" si="2"/>
        <v>0</v>
      </c>
      <c r="H36" s="7">
        <f t="shared" si="3"/>
        <v>20</v>
      </c>
      <c r="I36" s="6">
        <f t="shared" si="4"/>
        <v>21</v>
      </c>
      <c r="J36" s="5">
        <f t="shared" si="5"/>
        <v>20</v>
      </c>
      <c r="K36" s="6">
        <f t="shared" si="6"/>
        <v>21</v>
      </c>
      <c r="L36" s="7">
        <f t="shared" si="7"/>
        <v>0</v>
      </c>
      <c r="M36" s="6">
        <f t="shared" si="8"/>
        <v>0</v>
      </c>
      <c r="N36" s="7">
        <f t="shared" si="9"/>
        <v>13.142857142857142</v>
      </c>
      <c r="O36" s="6">
        <f t="shared" si="10"/>
        <v>14.285714285714285</v>
      </c>
      <c r="P36" s="5">
        <f t="shared" si="11"/>
        <v>13.142857142857142</v>
      </c>
      <c r="Q36" s="6">
        <f t="shared" si="12"/>
        <v>14.285714285714285</v>
      </c>
      <c r="R36" s="7">
        <f t="shared" si="13"/>
        <v>0</v>
      </c>
      <c r="S36" s="6">
        <f t="shared" si="14"/>
        <v>0</v>
      </c>
      <c r="T36" s="7">
        <f t="shared" si="15"/>
        <v>9.5714285714285712</v>
      </c>
      <c r="U36" s="6">
        <f t="shared" si="16"/>
        <v>10.285714285714285</v>
      </c>
      <c r="V36" s="5">
        <f t="shared" si="17"/>
        <v>9.5714285714285712</v>
      </c>
      <c r="W36" s="6">
        <f t="shared" si="18"/>
        <v>10.285714285714285</v>
      </c>
      <c r="X36" s="7">
        <f t="shared" si="19"/>
        <v>70</v>
      </c>
      <c r="Y36" s="6">
        <f t="shared" si="20"/>
        <v>71</v>
      </c>
      <c r="Z36" s="7">
        <f t="shared" si="21"/>
        <v>0</v>
      </c>
      <c r="AA36" s="6">
        <f t="shared" si="22"/>
        <v>0</v>
      </c>
      <c r="AB36" s="5">
        <f t="shared" si="23"/>
        <v>70</v>
      </c>
      <c r="AC36" s="6">
        <f t="shared" si="24"/>
        <v>71</v>
      </c>
      <c r="AD36" s="7">
        <f t="shared" si="25"/>
        <v>30</v>
      </c>
      <c r="AE36" s="6">
        <f t="shared" si="26"/>
        <v>31.75</v>
      </c>
      <c r="AF36" s="7">
        <f t="shared" si="27"/>
        <v>0</v>
      </c>
      <c r="AG36" s="6">
        <f t="shared" si="28"/>
        <v>0</v>
      </c>
      <c r="AH36" s="5">
        <f t="shared" si="29"/>
        <v>30</v>
      </c>
      <c r="AI36" s="6">
        <f t="shared" si="30"/>
        <v>31.75</v>
      </c>
      <c r="AJ36" s="7">
        <f t="shared" si="31"/>
        <v>0</v>
      </c>
      <c r="AK36" s="6">
        <f t="shared" si="32"/>
        <v>0</v>
      </c>
      <c r="AL36" s="7">
        <f t="shared" si="33"/>
        <v>0</v>
      </c>
      <c r="AM36" s="6">
        <f t="shared" si="34"/>
        <v>0</v>
      </c>
      <c r="AN36" s="5">
        <f t="shared" si="35"/>
        <v>0</v>
      </c>
      <c r="AO36" s="6">
        <f t="shared" si="36"/>
        <v>0</v>
      </c>
      <c r="AP36" s="7">
        <f t="shared" si="37"/>
        <v>0</v>
      </c>
      <c r="AQ36" s="6">
        <f t="shared" si="38"/>
        <v>0</v>
      </c>
      <c r="AR36" s="7">
        <f t="shared" si="39"/>
        <v>0</v>
      </c>
      <c r="AS36" s="6">
        <f t="shared" si="40"/>
        <v>0</v>
      </c>
      <c r="AT36" s="5">
        <f t="shared" si="41"/>
        <v>0</v>
      </c>
      <c r="AU36" s="6">
        <f t="shared" si="42"/>
        <v>0</v>
      </c>
      <c r="AV36" s="7">
        <f t="shared" si="43"/>
        <v>0</v>
      </c>
      <c r="AW36" s="6">
        <f t="shared" si="44"/>
        <v>0</v>
      </c>
      <c r="AX36" s="7">
        <f t="shared" si="45"/>
        <v>0</v>
      </c>
      <c r="AY36" s="6">
        <f t="shared" si="46"/>
        <v>0</v>
      </c>
      <c r="AZ36" s="5">
        <f t="shared" si="47"/>
        <v>0</v>
      </c>
      <c r="BA36" s="6">
        <f t="shared" si="48"/>
        <v>0</v>
      </c>
      <c r="BB36" s="7">
        <f t="shared" si="49"/>
        <v>0</v>
      </c>
      <c r="BC36" s="6">
        <f t="shared" si="50"/>
        <v>0</v>
      </c>
      <c r="BD36" s="7">
        <f t="shared" si="51"/>
        <v>0</v>
      </c>
      <c r="BE36" s="6">
        <f t="shared" si="52"/>
        <v>0</v>
      </c>
      <c r="BF36" s="5">
        <f t="shared" si="53"/>
        <v>0</v>
      </c>
      <c r="BG36" s="6">
        <f t="shared" si="54"/>
        <v>0</v>
      </c>
      <c r="BH36" s="7">
        <f t="shared" si="55"/>
        <v>0</v>
      </c>
      <c r="BI36" s="6">
        <f t="shared" si="56"/>
        <v>0</v>
      </c>
      <c r="BJ36" s="7">
        <f t="shared" si="57"/>
        <v>0</v>
      </c>
      <c r="BK36" s="6">
        <f t="shared" si="58"/>
        <v>0</v>
      </c>
      <c r="BL36" s="5">
        <f t="shared" si="59"/>
        <v>0</v>
      </c>
      <c r="BM36" s="6">
        <f t="shared" si="60"/>
        <v>0</v>
      </c>
      <c r="BN36" s="7">
        <f t="shared" si="61"/>
        <v>0</v>
      </c>
      <c r="BO36" s="6">
        <f t="shared" si="62"/>
        <v>0</v>
      </c>
      <c r="BP36" s="7">
        <f t="shared" si="63"/>
        <v>0</v>
      </c>
      <c r="BQ36" s="6">
        <f t="shared" si="64"/>
        <v>0</v>
      </c>
      <c r="BR36" s="5">
        <f t="shared" si="65"/>
        <v>0</v>
      </c>
      <c r="BS36" s="6">
        <f t="shared" si="66"/>
        <v>0</v>
      </c>
      <c r="BT36" s="7">
        <f t="shared" si="67"/>
        <v>0</v>
      </c>
      <c r="BU36" s="6">
        <f t="shared" si="68"/>
        <v>0</v>
      </c>
      <c r="BV36" s="7">
        <f t="shared" si="69"/>
        <v>0</v>
      </c>
      <c r="BW36" s="6">
        <f t="shared" si="70"/>
        <v>0</v>
      </c>
      <c r="BX36" s="5">
        <f t="shared" si="71"/>
        <v>0</v>
      </c>
      <c r="BY36" s="6">
        <f t="shared" si="72"/>
        <v>0</v>
      </c>
      <c r="BZ36" s="7">
        <f t="shared" si="73"/>
        <v>0</v>
      </c>
      <c r="CA36" s="6">
        <f t="shared" si="74"/>
        <v>0</v>
      </c>
      <c r="CB36" s="7">
        <f t="shared" si="75"/>
        <v>0</v>
      </c>
      <c r="CC36" s="6">
        <f t="shared" si="76"/>
        <v>0</v>
      </c>
      <c r="CD36" s="5">
        <f t="shared" si="77"/>
        <v>0</v>
      </c>
      <c r="CE36" s="6">
        <f t="shared" si="78"/>
        <v>0</v>
      </c>
      <c r="CF36" s="7">
        <f t="shared" si="79"/>
        <v>0</v>
      </c>
      <c r="CG36" s="6">
        <f t="shared" si="80"/>
        <v>0</v>
      </c>
      <c r="CH36" s="7">
        <f t="shared" si="81"/>
        <v>0</v>
      </c>
      <c r="CI36" s="6">
        <f t="shared" si="82"/>
        <v>0</v>
      </c>
      <c r="CJ36" s="5">
        <f t="shared" si="83"/>
        <v>0</v>
      </c>
      <c r="CK36" s="6">
        <f t="shared" si="84"/>
        <v>0</v>
      </c>
      <c r="CL36" s="7">
        <f t="shared" si="85"/>
        <v>0</v>
      </c>
      <c r="CM36" s="6">
        <f t="shared" si="86"/>
        <v>0</v>
      </c>
      <c r="CN36" s="7">
        <f t="shared" si="87"/>
        <v>0</v>
      </c>
      <c r="CO36" s="6">
        <f t="shared" si="88"/>
        <v>0</v>
      </c>
      <c r="CP36" s="5">
        <f t="shared" si="89"/>
        <v>0</v>
      </c>
      <c r="CQ36" s="6">
        <f t="shared" si="90"/>
        <v>0</v>
      </c>
      <c r="CR36" s="7">
        <f t="shared" si="95"/>
        <v>100</v>
      </c>
      <c r="CS36" s="6">
        <f t="shared" si="95"/>
        <v>102.75</v>
      </c>
      <c r="CT36" s="7">
        <f t="shared" si="95"/>
        <v>42.714285714285708</v>
      </c>
      <c r="CU36" s="6">
        <f t="shared" si="95"/>
        <v>45.571428571428569</v>
      </c>
      <c r="CV36" s="5">
        <f t="shared" si="91"/>
        <v>142.71428571428572</v>
      </c>
      <c r="CW36" s="6">
        <f t="shared" si="92"/>
        <v>148.32142857142856</v>
      </c>
      <c r="CY36" s="7">
        <v>142.71428571428572</v>
      </c>
      <c r="CZ36" s="5">
        <f t="array" ref="CZ36">Summary_UpperBound</f>
        <v>148.32142857142856</v>
      </c>
      <c r="DA36" s="6">
        <f t="shared" si="93"/>
        <v>5.6071428571428328</v>
      </c>
    </row>
    <row r="37" spans="2:105" x14ac:dyDescent="0.35">
      <c r="B37" s="14"/>
      <c r="E37" s="12">
        <f t="shared" si="94"/>
        <v>43932</v>
      </c>
      <c r="F37" s="7">
        <f t="shared" si="1"/>
        <v>0</v>
      </c>
      <c r="G37" s="6">
        <f t="shared" si="2"/>
        <v>0</v>
      </c>
      <c r="H37" s="7">
        <f t="shared" si="3"/>
        <v>20</v>
      </c>
      <c r="I37" s="6">
        <f t="shared" si="4"/>
        <v>21</v>
      </c>
      <c r="J37" s="5">
        <f t="shared" si="5"/>
        <v>20</v>
      </c>
      <c r="K37" s="6">
        <f t="shared" si="6"/>
        <v>21</v>
      </c>
      <c r="L37" s="7">
        <f t="shared" si="7"/>
        <v>0</v>
      </c>
      <c r="M37" s="6">
        <f t="shared" si="8"/>
        <v>0</v>
      </c>
      <c r="N37" s="7">
        <f t="shared" si="9"/>
        <v>13.142857142857142</v>
      </c>
      <c r="O37" s="6">
        <f t="shared" si="10"/>
        <v>14.285714285714285</v>
      </c>
      <c r="P37" s="5">
        <f t="shared" si="11"/>
        <v>13.142857142857142</v>
      </c>
      <c r="Q37" s="6">
        <f t="shared" si="12"/>
        <v>14.285714285714285</v>
      </c>
      <c r="R37" s="7">
        <f t="shared" si="13"/>
        <v>0</v>
      </c>
      <c r="S37" s="6">
        <f t="shared" si="14"/>
        <v>0</v>
      </c>
      <c r="T37" s="7">
        <f t="shared" si="15"/>
        <v>9.5714285714285712</v>
      </c>
      <c r="U37" s="6">
        <f t="shared" si="16"/>
        <v>10.285714285714285</v>
      </c>
      <c r="V37" s="5">
        <f t="shared" si="17"/>
        <v>9.5714285714285712</v>
      </c>
      <c r="W37" s="6">
        <f t="shared" si="18"/>
        <v>10.285714285714285</v>
      </c>
      <c r="X37" s="7">
        <f t="shared" si="19"/>
        <v>70</v>
      </c>
      <c r="Y37" s="6">
        <f t="shared" si="20"/>
        <v>71</v>
      </c>
      <c r="Z37" s="7">
        <f t="shared" si="21"/>
        <v>0</v>
      </c>
      <c r="AA37" s="6">
        <f t="shared" si="22"/>
        <v>0</v>
      </c>
      <c r="AB37" s="5">
        <f t="shared" si="23"/>
        <v>70</v>
      </c>
      <c r="AC37" s="6">
        <f t="shared" si="24"/>
        <v>71</v>
      </c>
      <c r="AD37" s="7">
        <f t="shared" si="25"/>
        <v>30</v>
      </c>
      <c r="AE37" s="6">
        <f t="shared" si="26"/>
        <v>31.75</v>
      </c>
      <c r="AF37" s="7">
        <f t="shared" si="27"/>
        <v>0</v>
      </c>
      <c r="AG37" s="6">
        <f t="shared" si="28"/>
        <v>0</v>
      </c>
      <c r="AH37" s="5">
        <f t="shared" si="29"/>
        <v>30</v>
      </c>
      <c r="AI37" s="6">
        <f t="shared" si="30"/>
        <v>31.75</v>
      </c>
      <c r="AJ37" s="7">
        <f t="shared" si="31"/>
        <v>0</v>
      </c>
      <c r="AK37" s="6">
        <f t="shared" si="32"/>
        <v>0</v>
      </c>
      <c r="AL37" s="7">
        <f t="shared" si="33"/>
        <v>0</v>
      </c>
      <c r="AM37" s="6">
        <f t="shared" si="34"/>
        <v>0</v>
      </c>
      <c r="AN37" s="5">
        <f t="shared" si="35"/>
        <v>0</v>
      </c>
      <c r="AO37" s="6">
        <f t="shared" si="36"/>
        <v>0</v>
      </c>
      <c r="AP37" s="7">
        <f t="shared" si="37"/>
        <v>0</v>
      </c>
      <c r="AQ37" s="6">
        <f t="shared" si="38"/>
        <v>0</v>
      </c>
      <c r="AR37" s="7">
        <f t="shared" si="39"/>
        <v>0</v>
      </c>
      <c r="AS37" s="6">
        <f t="shared" si="40"/>
        <v>0</v>
      </c>
      <c r="AT37" s="5">
        <f t="shared" si="41"/>
        <v>0</v>
      </c>
      <c r="AU37" s="6">
        <f t="shared" si="42"/>
        <v>0</v>
      </c>
      <c r="AV37" s="7">
        <f t="shared" si="43"/>
        <v>0</v>
      </c>
      <c r="AW37" s="6">
        <f t="shared" si="44"/>
        <v>0</v>
      </c>
      <c r="AX37" s="7">
        <f t="shared" si="45"/>
        <v>0</v>
      </c>
      <c r="AY37" s="6">
        <f t="shared" si="46"/>
        <v>0</v>
      </c>
      <c r="AZ37" s="5">
        <f t="shared" si="47"/>
        <v>0</v>
      </c>
      <c r="BA37" s="6">
        <f t="shared" si="48"/>
        <v>0</v>
      </c>
      <c r="BB37" s="7">
        <f t="shared" si="49"/>
        <v>0</v>
      </c>
      <c r="BC37" s="6">
        <f t="shared" si="50"/>
        <v>0</v>
      </c>
      <c r="BD37" s="7">
        <f t="shared" si="51"/>
        <v>0</v>
      </c>
      <c r="BE37" s="6">
        <f t="shared" si="52"/>
        <v>0</v>
      </c>
      <c r="BF37" s="5">
        <f t="shared" si="53"/>
        <v>0</v>
      </c>
      <c r="BG37" s="6">
        <f t="shared" si="54"/>
        <v>0</v>
      </c>
      <c r="BH37" s="7">
        <f t="shared" si="55"/>
        <v>0</v>
      </c>
      <c r="BI37" s="6">
        <f t="shared" si="56"/>
        <v>0</v>
      </c>
      <c r="BJ37" s="7">
        <f t="shared" si="57"/>
        <v>0</v>
      </c>
      <c r="BK37" s="6">
        <f t="shared" si="58"/>
        <v>0</v>
      </c>
      <c r="BL37" s="5">
        <f t="shared" si="59"/>
        <v>0</v>
      </c>
      <c r="BM37" s="6">
        <f t="shared" si="60"/>
        <v>0</v>
      </c>
      <c r="BN37" s="7">
        <f t="shared" si="61"/>
        <v>0</v>
      </c>
      <c r="BO37" s="6">
        <f t="shared" si="62"/>
        <v>0</v>
      </c>
      <c r="BP37" s="7">
        <f t="shared" si="63"/>
        <v>0</v>
      </c>
      <c r="BQ37" s="6">
        <f t="shared" si="64"/>
        <v>0</v>
      </c>
      <c r="BR37" s="5">
        <f t="shared" si="65"/>
        <v>0</v>
      </c>
      <c r="BS37" s="6">
        <f t="shared" si="66"/>
        <v>0</v>
      </c>
      <c r="BT37" s="7">
        <f t="shared" si="67"/>
        <v>0</v>
      </c>
      <c r="BU37" s="6">
        <f t="shared" si="68"/>
        <v>0</v>
      </c>
      <c r="BV37" s="7">
        <f t="shared" si="69"/>
        <v>0</v>
      </c>
      <c r="BW37" s="6">
        <f t="shared" si="70"/>
        <v>0</v>
      </c>
      <c r="BX37" s="5">
        <f t="shared" si="71"/>
        <v>0</v>
      </c>
      <c r="BY37" s="6">
        <f t="shared" si="72"/>
        <v>0</v>
      </c>
      <c r="BZ37" s="7">
        <f t="shared" si="73"/>
        <v>0</v>
      </c>
      <c r="CA37" s="6">
        <f t="shared" si="74"/>
        <v>0</v>
      </c>
      <c r="CB37" s="7">
        <f t="shared" si="75"/>
        <v>0</v>
      </c>
      <c r="CC37" s="6">
        <f t="shared" si="76"/>
        <v>0</v>
      </c>
      <c r="CD37" s="5">
        <f t="shared" si="77"/>
        <v>0</v>
      </c>
      <c r="CE37" s="6">
        <f t="shared" si="78"/>
        <v>0</v>
      </c>
      <c r="CF37" s="7">
        <f t="shared" si="79"/>
        <v>0</v>
      </c>
      <c r="CG37" s="6">
        <f t="shared" si="80"/>
        <v>0</v>
      </c>
      <c r="CH37" s="7">
        <f t="shared" si="81"/>
        <v>0</v>
      </c>
      <c r="CI37" s="6">
        <f t="shared" si="82"/>
        <v>0</v>
      </c>
      <c r="CJ37" s="5">
        <f t="shared" si="83"/>
        <v>0</v>
      </c>
      <c r="CK37" s="6">
        <f t="shared" si="84"/>
        <v>0</v>
      </c>
      <c r="CL37" s="7">
        <f t="shared" si="85"/>
        <v>0</v>
      </c>
      <c r="CM37" s="6">
        <f t="shared" si="86"/>
        <v>0</v>
      </c>
      <c r="CN37" s="7">
        <f t="shared" si="87"/>
        <v>0</v>
      </c>
      <c r="CO37" s="6">
        <f t="shared" si="88"/>
        <v>0</v>
      </c>
      <c r="CP37" s="5">
        <f t="shared" si="89"/>
        <v>0</v>
      </c>
      <c r="CQ37" s="6">
        <f t="shared" si="90"/>
        <v>0</v>
      </c>
      <c r="CR37" s="7">
        <f t="shared" si="95"/>
        <v>100</v>
      </c>
      <c r="CS37" s="6">
        <f t="shared" si="95"/>
        <v>102.75</v>
      </c>
      <c r="CT37" s="7">
        <f t="shared" si="95"/>
        <v>42.714285714285708</v>
      </c>
      <c r="CU37" s="6">
        <f t="shared" si="95"/>
        <v>45.571428571428569</v>
      </c>
      <c r="CV37" s="5">
        <f t="shared" si="91"/>
        <v>142.71428571428572</v>
      </c>
      <c r="CW37" s="6">
        <f t="shared" si="92"/>
        <v>148.32142857142856</v>
      </c>
      <c r="CY37" s="7">
        <v>142.71428571428572</v>
      </c>
      <c r="CZ37" s="5">
        <f t="array" ref="CZ37">Summary_UpperBound</f>
        <v>148.32142857142856</v>
      </c>
      <c r="DA37" s="6">
        <f t="shared" si="93"/>
        <v>5.6071428571428328</v>
      </c>
    </row>
    <row r="38" spans="2:105" x14ac:dyDescent="0.35">
      <c r="B38" s="14"/>
      <c r="E38" s="12">
        <f t="shared" si="94"/>
        <v>43939</v>
      </c>
      <c r="F38" s="7">
        <f t="shared" si="1"/>
        <v>0</v>
      </c>
      <c r="G38" s="6">
        <f t="shared" si="2"/>
        <v>0</v>
      </c>
      <c r="H38" s="7">
        <f t="shared" si="3"/>
        <v>20</v>
      </c>
      <c r="I38" s="6">
        <f t="shared" si="4"/>
        <v>21</v>
      </c>
      <c r="J38" s="5">
        <f t="shared" si="5"/>
        <v>20</v>
      </c>
      <c r="K38" s="6">
        <f t="shared" si="6"/>
        <v>21</v>
      </c>
      <c r="L38" s="7">
        <f t="shared" si="7"/>
        <v>0</v>
      </c>
      <c r="M38" s="6">
        <f t="shared" si="8"/>
        <v>0</v>
      </c>
      <c r="N38" s="7">
        <f t="shared" si="9"/>
        <v>13.142857142857142</v>
      </c>
      <c r="O38" s="6">
        <f t="shared" si="10"/>
        <v>14.285714285714285</v>
      </c>
      <c r="P38" s="5">
        <f t="shared" si="11"/>
        <v>13.142857142857142</v>
      </c>
      <c r="Q38" s="6">
        <f t="shared" si="12"/>
        <v>14.285714285714285</v>
      </c>
      <c r="R38" s="7">
        <f t="shared" si="13"/>
        <v>0</v>
      </c>
      <c r="S38" s="6">
        <f t="shared" si="14"/>
        <v>0</v>
      </c>
      <c r="T38" s="7">
        <f t="shared" si="15"/>
        <v>9.5714285714285712</v>
      </c>
      <c r="U38" s="6">
        <f t="shared" si="16"/>
        <v>10.285714285714285</v>
      </c>
      <c r="V38" s="5">
        <f t="shared" si="17"/>
        <v>9.5714285714285712</v>
      </c>
      <c r="W38" s="6">
        <f t="shared" si="18"/>
        <v>10.285714285714285</v>
      </c>
      <c r="X38" s="7">
        <f t="shared" si="19"/>
        <v>70</v>
      </c>
      <c r="Y38" s="6">
        <f t="shared" si="20"/>
        <v>71</v>
      </c>
      <c r="Z38" s="7">
        <f t="shared" si="21"/>
        <v>0</v>
      </c>
      <c r="AA38" s="6">
        <f t="shared" si="22"/>
        <v>0</v>
      </c>
      <c r="AB38" s="5">
        <f t="shared" si="23"/>
        <v>70</v>
      </c>
      <c r="AC38" s="6">
        <f t="shared" si="24"/>
        <v>71</v>
      </c>
      <c r="AD38" s="7">
        <f t="shared" si="25"/>
        <v>30</v>
      </c>
      <c r="AE38" s="6">
        <f t="shared" si="26"/>
        <v>31.75</v>
      </c>
      <c r="AF38" s="7">
        <f t="shared" si="27"/>
        <v>0</v>
      </c>
      <c r="AG38" s="6">
        <f t="shared" si="28"/>
        <v>0</v>
      </c>
      <c r="AH38" s="5">
        <f t="shared" si="29"/>
        <v>30</v>
      </c>
      <c r="AI38" s="6">
        <f t="shared" si="30"/>
        <v>31.75</v>
      </c>
      <c r="AJ38" s="7">
        <f t="shared" si="31"/>
        <v>0</v>
      </c>
      <c r="AK38" s="6">
        <f t="shared" si="32"/>
        <v>0</v>
      </c>
      <c r="AL38" s="7">
        <f t="shared" si="33"/>
        <v>0</v>
      </c>
      <c r="AM38" s="6">
        <f t="shared" si="34"/>
        <v>0</v>
      </c>
      <c r="AN38" s="5">
        <f t="shared" si="35"/>
        <v>0</v>
      </c>
      <c r="AO38" s="6">
        <f t="shared" si="36"/>
        <v>0</v>
      </c>
      <c r="AP38" s="7">
        <f t="shared" si="37"/>
        <v>0</v>
      </c>
      <c r="AQ38" s="6">
        <f t="shared" si="38"/>
        <v>0</v>
      </c>
      <c r="AR38" s="7">
        <f t="shared" si="39"/>
        <v>0</v>
      </c>
      <c r="AS38" s="6">
        <f t="shared" si="40"/>
        <v>0</v>
      </c>
      <c r="AT38" s="5">
        <f t="shared" si="41"/>
        <v>0</v>
      </c>
      <c r="AU38" s="6">
        <f t="shared" si="42"/>
        <v>0</v>
      </c>
      <c r="AV38" s="7">
        <f t="shared" si="43"/>
        <v>0</v>
      </c>
      <c r="AW38" s="6">
        <f t="shared" si="44"/>
        <v>0</v>
      </c>
      <c r="AX38" s="7">
        <f t="shared" si="45"/>
        <v>0</v>
      </c>
      <c r="AY38" s="6">
        <f t="shared" si="46"/>
        <v>0</v>
      </c>
      <c r="AZ38" s="5">
        <f t="shared" si="47"/>
        <v>0</v>
      </c>
      <c r="BA38" s="6">
        <f t="shared" si="48"/>
        <v>0</v>
      </c>
      <c r="BB38" s="7">
        <f t="shared" si="49"/>
        <v>0</v>
      </c>
      <c r="BC38" s="6">
        <f t="shared" si="50"/>
        <v>0</v>
      </c>
      <c r="BD38" s="7">
        <f t="shared" si="51"/>
        <v>0</v>
      </c>
      <c r="BE38" s="6">
        <f t="shared" si="52"/>
        <v>0</v>
      </c>
      <c r="BF38" s="5">
        <f t="shared" si="53"/>
        <v>0</v>
      </c>
      <c r="BG38" s="6">
        <f t="shared" si="54"/>
        <v>0</v>
      </c>
      <c r="BH38" s="7">
        <f t="shared" si="55"/>
        <v>0</v>
      </c>
      <c r="BI38" s="6">
        <f t="shared" si="56"/>
        <v>0</v>
      </c>
      <c r="BJ38" s="7">
        <f t="shared" si="57"/>
        <v>0</v>
      </c>
      <c r="BK38" s="6">
        <f t="shared" si="58"/>
        <v>0</v>
      </c>
      <c r="BL38" s="5">
        <f t="shared" si="59"/>
        <v>0</v>
      </c>
      <c r="BM38" s="6">
        <f t="shared" si="60"/>
        <v>0</v>
      </c>
      <c r="BN38" s="7">
        <f t="shared" si="61"/>
        <v>0</v>
      </c>
      <c r="BO38" s="6">
        <f t="shared" si="62"/>
        <v>0</v>
      </c>
      <c r="BP38" s="7">
        <f t="shared" si="63"/>
        <v>0</v>
      </c>
      <c r="BQ38" s="6">
        <f t="shared" si="64"/>
        <v>0</v>
      </c>
      <c r="BR38" s="5">
        <f t="shared" si="65"/>
        <v>0</v>
      </c>
      <c r="BS38" s="6">
        <f t="shared" si="66"/>
        <v>0</v>
      </c>
      <c r="BT38" s="7">
        <f t="shared" si="67"/>
        <v>0</v>
      </c>
      <c r="BU38" s="6">
        <f t="shared" si="68"/>
        <v>0</v>
      </c>
      <c r="BV38" s="7">
        <f t="shared" si="69"/>
        <v>0</v>
      </c>
      <c r="BW38" s="6">
        <f t="shared" si="70"/>
        <v>0</v>
      </c>
      <c r="BX38" s="5">
        <f t="shared" si="71"/>
        <v>0</v>
      </c>
      <c r="BY38" s="6">
        <f t="shared" si="72"/>
        <v>0</v>
      </c>
      <c r="BZ38" s="7">
        <f t="shared" si="73"/>
        <v>0</v>
      </c>
      <c r="CA38" s="6">
        <f t="shared" si="74"/>
        <v>0</v>
      </c>
      <c r="CB38" s="7">
        <f t="shared" si="75"/>
        <v>0</v>
      </c>
      <c r="CC38" s="6">
        <f t="shared" si="76"/>
        <v>0</v>
      </c>
      <c r="CD38" s="5">
        <f t="shared" si="77"/>
        <v>0</v>
      </c>
      <c r="CE38" s="6">
        <f t="shared" si="78"/>
        <v>0</v>
      </c>
      <c r="CF38" s="7">
        <f t="shared" si="79"/>
        <v>0</v>
      </c>
      <c r="CG38" s="6">
        <f t="shared" si="80"/>
        <v>0</v>
      </c>
      <c r="CH38" s="7">
        <f t="shared" si="81"/>
        <v>0</v>
      </c>
      <c r="CI38" s="6">
        <f t="shared" si="82"/>
        <v>0</v>
      </c>
      <c r="CJ38" s="5">
        <f t="shared" si="83"/>
        <v>0</v>
      </c>
      <c r="CK38" s="6">
        <f t="shared" si="84"/>
        <v>0</v>
      </c>
      <c r="CL38" s="7">
        <f t="shared" si="85"/>
        <v>0</v>
      </c>
      <c r="CM38" s="6">
        <f t="shared" si="86"/>
        <v>0</v>
      </c>
      <c r="CN38" s="7">
        <f t="shared" si="87"/>
        <v>0</v>
      </c>
      <c r="CO38" s="6">
        <f t="shared" si="88"/>
        <v>0</v>
      </c>
      <c r="CP38" s="5">
        <f t="shared" si="89"/>
        <v>0</v>
      </c>
      <c r="CQ38" s="6">
        <f t="shared" si="90"/>
        <v>0</v>
      </c>
      <c r="CR38" s="7">
        <f t="shared" si="95"/>
        <v>100</v>
      </c>
      <c r="CS38" s="6">
        <f t="shared" si="95"/>
        <v>102.75</v>
      </c>
      <c r="CT38" s="7">
        <f t="shared" si="95"/>
        <v>42.714285714285708</v>
      </c>
      <c r="CU38" s="6">
        <f t="shared" si="95"/>
        <v>45.571428571428569</v>
      </c>
      <c r="CV38" s="5">
        <f t="shared" si="91"/>
        <v>142.71428571428572</v>
      </c>
      <c r="CW38" s="6">
        <f t="shared" si="92"/>
        <v>148.32142857142856</v>
      </c>
      <c r="CY38" s="7">
        <v>142.71428571428572</v>
      </c>
      <c r="CZ38" s="5">
        <f t="array" ref="CZ38">Summary_UpperBound</f>
        <v>148.32142857142856</v>
      </c>
      <c r="DA38" s="6">
        <f t="shared" si="93"/>
        <v>5.6071428571428328</v>
      </c>
    </row>
    <row r="39" spans="2:105" x14ac:dyDescent="0.35">
      <c r="B39" s="14"/>
      <c r="E39" s="12">
        <f t="shared" si="94"/>
        <v>43946</v>
      </c>
      <c r="F39" s="7">
        <f t="shared" si="1"/>
        <v>0</v>
      </c>
      <c r="G39" s="6">
        <f t="shared" si="2"/>
        <v>0</v>
      </c>
      <c r="H39" s="7">
        <f t="shared" si="3"/>
        <v>20</v>
      </c>
      <c r="I39" s="6">
        <f t="shared" si="4"/>
        <v>21</v>
      </c>
      <c r="J39" s="5">
        <f t="shared" si="5"/>
        <v>20</v>
      </c>
      <c r="K39" s="6">
        <f t="shared" si="6"/>
        <v>21</v>
      </c>
      <c r="L39" s="7">
        <f t="shared" si="7"/>
        <v>0</v>
      </c>
      <c r="M39" s="6">
        <f t="shared" si="8"/>
        <v>0</v>
      </c>
      <c r="N39" s="7">
        <f t="shared" si="9"/>
        <v>13.142857142857142</v>
      </c>
      <c r="O39" s="6">
        <f t="shared" si="10"/>
        <v>14.285714285714285</v>
      </c>
      <c r="P39" s="5">
        <f t="shared" si="11"/>
        <v>13.142857142857142</v>
      </c>
      <c r="Q39" s="6">
        <f t="shared" si="12"/>
        <v>14.285714285714285</v>
      </c>
      <c r="R39" s="7">
        <f t="shared" si="13"/>
        <v>0</v>
      </c>
      <c r="S39" s="6">
        <f t="shared" si="14"/>
        <v>0</v>
      </c>
      <c r="T39" s="7">
        <f t="shared" si="15"/>
        <v>9.5714285714285712</v>
      </c>
      <c r="U39" s="6">
        <f t="shared" si="16"/>
        <v>10.285714285714285</v>
      </c>
      <c r="V39" s="5">
        <f t="shared" si="17"/>
        <v>9.5714285714285712</v>
      </c>
      <c r="W39" s="6">
        <f t="shared" si="18"/>
        <v>10.285714285714285</v>
      </c>
      <c r="X39" s="7">
        <f t="shared" si="19"/>
        <v>70</v>
      </c>
      <c r="Y39" s="6">
        <f t="shared" si="20"/>
        <v>71</v>
      </c>
      <c r="Z39" s="7">
        <f t="shared" si="21"/>
        <v>0</v>
      </c>
      <c r="AA39" s="6">
        <f t="shared" si="22"/>
        <v>0</v>
      </c>
      <c r="AB39" s="5">
        <f t="shared" si="23"/>
        <v>70</v>
      </c>
      <c r="AC39" s="6">
        <f t="shared" si="24"/>
        <v>71</v>
      </c>
      <c r="AD39" s="7">
        <f t="shared" si="25"/>
        <v>30</v>
      </c>
      <c r="AE39" s="6">
        <f t="shared" si="26"/>
        <v>31.75</v>
      </c>
      <c r="AF39" s="7">
        <f t="shared" si="27"/>
        <v>0</v>
      </c>
      <c r="AG39" s="6">
        <f t="shared" si="28"/>
        <v>0</v>
      </c>
      <c r="AH39" s="5">
        <f t="shared" si="29"/>
        <v>30</v>
      </c>
      <c r="AI39" s="6">
        <f t="shared" si="30"/>
        <v>31.75</v>
      </c>
      <c r="AJ39" s="7">
        <f t="shared" si="31"/>
        <v>0</v>
      </c>
      <c r="AK39" s="6">
        <f t="shared" si="32"/>
        <v>0</v>
      </c>
      <c r="AL39" s="7">
        <f t="shared" si="33"/>
        <v>0</v>
      </c>
      <c r="AM39" s="6">
        <f t="shared" si="34"/>
        <v>0</v>
      </c>
      <c r="AN39" s="5">
        <f t="shared" si="35"/>
        <v>0</v>
      </c>
      <c r="AO39" s="6">
        <f t="shared" si="36"/>
        <v>0</v>
      </c>
      <c r="AP39" s="7">
        <f t="shared" si="37"/>
        <v>0</v>
      </c>
      <c r="AQ39" s="6">
        <f t="shared" si="38"/>
        <v>0</v>
      </c>
      <c r="AR39" s="7">
        <f t="shared" si="39"/>
        <v>0</v>
      </c>
      <c r="AS39" s="6">
        <f t="shared" si="40"/>
        <v>0</v>
      </c>
      <c r="AT39" s="5">
        <f t="shared" si="41"/>
        <v>0</v>
      </c>
      <c r="AU39" s="6">
        <f t="shared" si="42"/>
        <v>0</v>
      </c>
      <c r="AV39" s="7">
        <f t="shared" si="43"/>
        <v>0</v>
      </c>
      <c r="AW39" s="6">
        <f t="shared" si="44"/>
        <v>0</v>
      </c>
      <c r="AX39" s="7">
        <f t="shared" si="45"/>
        <v>0</v>
      </c>
      <c r="AY39" s="6">
        <f t="shared" si="46"/>
        <v>0</v>
      </c>
      <c r="AZ39" s="5">
        <f t="shared" si="47"/>
        <v>0</v>
      </c>
      <c r="BA39" s="6">
        <f t="shared" si="48"/>
        <v>0</v>
      </c>
      <c r="BB39" s="7">
        <f t="shared" si="49"/>
        <v>0</v>
      </c>
      <c r="BC39" s="6">
        <f t="shared" si="50"/>
        <v>0</v>
      </c>
      <c r="BD39" s="7">
        <f t="shared" si="51"/>
        <v>0</v>
      </c>
      <c r="BE39" s="6">
        <f t="shared" si="52"/>
        <v>0</v>
      </c>
      <c r="BF39" s="5">
        <f t="shared" si="53"/>
        <v>0</v>
      </c>
      <c r="BG39" s="6">
        <f t="shared" si="54"/>
        <v>0</v>
      </c>
      <c r="BH39" s="7">
        <f t="shared" si="55"/>
        <v>0</v>
      </c>
      <c r="BI39" s="6">
        <f t="shared" si="56"/>
        <v>0</v>
      </c>
      <c r="BJ39" s="7">
        <f t="shared" si="57"/>
        <v>0</v>
      </c>
      <c r="BK39" s="6">
        <f t="shared" si="58"/>
        <v>0</v>
      </c>
      <c r="BL39" s="5">
        <f t="shared" si="59"/>
        <v>0</v>
      </c>
      <c r="BM39" s="6">
        <f t="shared" si="60"/>
        <v>0</v>
      </c>
      <c r="BN39" s="7">
        <f t="shared" si="61"/>
        <v>0</v>
      </c>
      <c r="BO39" s="6">
        <f t="shared" si="62"/>
        <v>0</v>
      </c>
      <c r="BP39" s="7">
        <f t="shared" si="63"/>
        <v>0</v>
      </c>
      <c r="BQ39" s="6">
        <f t="shared" si="64"/>
        <v>0</v>
      </c>
      <c r="BR39" s="5">
        <f t="shared" si="65"/>
        <v>0</v>
      </c>
      <c r="BS39" s="6">
        <f t="shared" si="66"/>
        <v>0</v>
      </c>
      <c r="BT39" s="7">
        <f t="shared" si="67"/>
        <v>0</v>
      </c>
      <c r="BU39" s="6">
        <f t="shared" si="68"/>
        <v>0</v>
      </c>
      <c r="BV39" s="7">
        <f t="shared" si="69"/>
        <v>0</v>
      </c>
      <c r="BW39" s="6">
        <f t="shared" si="70"/>
        <v>0</v>
      </c>
      <c r="BX39" s="5">
        <f t="shared" si="71"/>
        <v>0</v>
      </c>
      <c r="BY39" s="6">
        <f t="shared" si="72"/>
        <v>0</v>
      </c>
      <c r="BZ39" s="7">
        <f t="shared" si="73"/>
        <v>0</v>
      </c>
      <c r="CA39" s="6">
        <f t="shared" si="74"/>
        <v>0</v>
      </c>
      <c r="CB39" s="7">
        <f t="shared" si="75"/>
        <v>0</v>
      </c>
      <c r="CC39" s="6">
        <f t="shared" si="76"/>
        <v>0</v>
      </c>
      <c r="CD39" s="5">
        <f t="shared" si="77"/>
        <v>0</v>
      </c>
      <c r="CE39" s="6">
        <f t="shared" si="78"/>
        <v>0</v>
      </c>
      <c r="CF39" s="7">
        <f t="shared" si="79"/>
        <v>0</v>
      </c>
      <c r="CG39" s="6">
        <f t="shared" si="80"/>
        <v>0</v>
      </c>
      <c r="CH39" s="7">
        <f t="shared" si="81"/>
        <v>0</v>
      </c>
      <c r="CI39" s="6">
        <f t="shared" si="82"/>
        <v>0</v>
      </c>
      <c r="CJ39" s="5">
        <f t="shared" si="83"/>
        <v>0</v>
      </c>
      <c r="CK39" s="6">
        <f t="shared" si="84"/>
        <v>0</v>
      </c>
      <c r="CL39" s="7">
        <f t="shared" si="85"/>
        <v>0</v>
      </c>
      <c r="CM39" s="6">
        <f t="shared" si="86"/>
        <v>0</v>
      </c>
      <c r="CN39" s="7">
        <f t="shared" si="87"/>
        <v>0</v>
      </c>
      <c r="CO39" s="6">
        <f t="shared" si="88"/>
        <v>0</v>
      </c>
      <c r="CP39" s="5">
        <f t="shared" si="89"/>
        <v>0</v>
      </c>
      <c r="CQ39" s="6">
        <f t="shared" si="90"/>
        <v>0</v>
      </c>
      <c r="CR39" s="7">
        <f t="shared" si="95"/>
        <v>100</v>
      </c>
      <c r="CS39" s="6">
        <f t="shared" si="95"/>
        <v>102.75</v>
      </c>
      <c r="CT39" s="7">
        <f t="shared" si="95"/>
        <v>42.714285714285708</v>
      </c>
      <c r="CU39" s="6">
        <f t="shared" si="95"/>
        <v>45.571428571428569</v>
      </c>
      <c r="CV39" s="5">
        <f t="shared" si="91"/>
        <v>142.71428571428572</v>
      </c>
      <c r="CW39" s="6">
        <f t="shared" si="92"/>
        <v>148.32142857142856</v>
      </c>
      <c r="CY39" s="7">
        <v>142.71428571428572</v>
      </c>
      <c r="CZ39" s="5">
        <f t="array" ref="CZ39">Summary_UpperBound</f>
        <v>148.32142857142856</v>
      </c>
      <c r="DA39" s="6">
        <f t="shared" si="93"/>
        <v>5.6071428571428328</v>
      </c>
    </row>
    <row r="40" spans="2:105" x14ac:dyDescent="0.35">
      <c r="B40" s="14"/>
      <c r="E40" s="12">
        <f t="shared" si="94"/>
        <v>43953</v>
      </c>
      <c r="F40" s="7">
        <f t="shared" si="1"/>
        <v>0</v>
      </c>
      <c r="G40" s="6">
        <f t="shared" si="2"/>
        <v>0</v>
      </c>
      <c r="H40" s="7">
        <f t="shared" si="3"/>
        <v>20</v>
      </c>
      <c r="I40" s="6">
        <f t="shared" si="4"/>
        <v>21</v>
      </c>
      <c r="J40" s="5">
        <f t="shared" si="5"/>
        <v>20</v>
      </c>
      <c r="K40" s="6">
        <f t="shared" si="6"/>
        <v>21</v>
      </c>
      <c r="L40" s="7">
        <f t="shared" si="7"/>
        <v>0</v>
      </c>
      <c r="M40" s="6">
        <f t="shared" si="8"/>
        <v>0</v>
      </c>
      <c r="N40" s="7">
        <f t="shared" si="9"/>
        <v>13.142857142857142</v>
      </c>
      <c r="O40" s="6">
        <f t="shared" si="10"/>
        <v>14.285714285714285</v>
      </c>
      <c r="P40" s="5">
        <f t="shared" si="11"/>
        <v>13.142857142857142</v>
      </c>
      <c r="Q40" s="6">
        <f t="shared" si="12"/>
        <v>14.285714285714285</v>
      </c>
      <c r="R40" s="7">
        <f t="shared" si="13"/>
        <v>0</v>
      </c>
      <c r="S40" s="6">
        <f t="shared" si="14"/>
        <v>0</v>
      </c>
      <c r="T40" s="7">
        <f t="shared" si="15"/>
        <v>9.5714285714285712</v>
      </c>
      <c r="U40" s="6">
        <f t="shared" si="16"/>
        <v>10.285714285714285</v>
      </c>
      <c r="V40" s="5">
        <f t="shared" si="17"/>
        <v>9.5714285714285712</v>
      </c>
      <c r="W40" s="6">
        <f t="shared" si="18"/>
        <v>10.285714285714285</v>
      </c>
      <c r="X40" s="7">
        <f t="shared" si="19"/>
        <v>70</v>
      </c>
      <c r="Y40" s="6">
        <f t="shared" si="20"/>
        <v>71</v>
      </c>
      <c r="Z40" s="7">
        <f t="shared" si="21"/>
        <v>0</v>
      </c>
      <c r="AA40" s="6">
        <f t="shared" si="22"/>
        <v>0</v>
      </c>
      <c r="AB40" s="5">
        <f t="shared" si="23"/>
        <v>70</v>
      </c>
      <c r="AC40" s="6">
        <f t="shared" si="24"/>
        <v>71</v>
      </c>
      <c r="AD40" s="7">
        <f t="shared" si="25"/>
        <v>30</v>
      </c>
      <c r="AE40" s="6">
        <f t="shared" si="26"/>
        <v>31.75</v>
      </c>
      <c r="AF40" s="7">
        <f t="shared" si="27"/>
        <v>0</v>
      </c>
      <c r="AG40" s="6">
        <f t="shared" si="28"/>
        <v>0</v>
      </c>
      <c r="AH40" s="5">
        <f t="shared" si="29"/>
        <v>30</v>
      </c>
      <c r="AI40" s="6">
        <f t="shared" si="30"/>
        <v>31.75</v>
      </c>
      <c r="AJ40" s="7">
        <f t="shared" si="31"/>
        <v>0</v>
      </c>
      <c r="AK40" s="6">
        <f t="shared" si="32"/>
        <v>0</v>
      </c>
      <c r="AL40" s="7">
        <f t="shared" si="33"/>
        <v>0</v>
      </c>
      <c r="AM40" s="6">
        <f t="shared" si="34"/>
        <v>0</v>
      </c>
      <c r="AN40" s="5">
        <f t="shared" si="35"/>
        <v>0</v>
      </c>
      <c r="AO40" s="6">
        <f t="shared" si="36"/>
        <v>0</v>
      </c>
      <c r="AP40" s="7">
        <f t="shared" si="37"/>
        <v>0</v>
      </c>
      <c r="AQ40" s="6">
        <f t="shared" si="38"/>
        <v>0</v>
      </c>
      <c r="AR40" s="7">
        <f t="shared" si="39"/>
        <v>0</v>
      </c>
      <c r="AS40" s="6">
        <f t="shared" si="40"/>
        <v>0</v>
      </c>
      <c r="AT40" s="5">
        <f t="shared" si="41"/>
        <v>0</v>
      </c>
      <c r="AU40" s="6">
        <f t="shared" si="42"/>
        <v>0</v>
      </c>
      <c r="AV40" s="7">
        <f t="shared" si="43"/>
        <v>0</v>
      </c>
      <c r="AW40" s="6">
        <f t="shared" si="44"/>
        <v>0</v>
      </c>
      <c r="AX40" s="7">
        <f t="shared" si="45"/>
        <v>0</v>
      </c>
      <c r="AY40" s="6">
        <f t="shared" si="46"/>
        <v>0</v>
      </c>
      <c r="AZ40" s="5">
        <f t="shared" si="47"/>
        <v>0</v>
      </c>
      <c r="BA40" s="6">
        <f t="shared" si="48"/>
        <v>0</v>
      </c>
      <c r="BB40" s="7">
        <f t="shared" si="49"/>
        <v>0</v>
      </c>
      <c r="BC40" s="6">
        <f t="shared" si="50"/>
        <v>0</v>
      </c>
      <c r="BD40" s="7">
        <f t="shared" si="51"/>
        <v>0</v>
      </c>
      <c r="BE40" s="6">
        <f t="shared" si="52"/>
        <v>0</v>
      </c>
      <c r="BF40" s="5">
        <f t="shared" si="53"/>
        <v>0</v>
      </c>
      <c r="BG40" s="6">
        <f t="shared" si="54"/>
        <v>0</v>
      </c>
      <c r="BH40" s="7">
        <f t="shared" si="55"/>
        <v>0</v>
      </c>
      <c r="BI40" s="6">
        <f t="shared" si="56"/>
        <v>0</v>
      </c>
      <c r="BJ40" s="7">
        <f t="shared" si="57"/>
        <v>0</v>
      </c>
      <c r="BK40" s="6">
        <f t="shared" si="58"/>
        <v>0</v>
      </c>
      <c r="BL40" s="5">
        <f t="shared" si="59"/>
        <v>0</v>
      </c>
      <c r="BM40" s="6">
        <f t="shared" si="60"/>
        <v>0</v>
      </c>
      <c r="BN40" s="7">
        <f t="shared" si="61"/>
        <v>0</v>
      </c>
      <c r="BO40" s="6">
        <f t="shared" si="62"/>
        <v>0</v>
      </c>
      <c r="BP40" s="7">
        <f t="shared" si="63"/>
        <v>0</v>
      </c>
      <c r="BQ40" s="6">
        <f t="shared" si="64"/>
        <v>0</v>
      </c>
      <c r="BR40" s="5">
        <f t="shared" si="65"/>
        <v>0</v>
      </c>
      <c r="BS40" s="6">
        <f t="shared" si="66"/>
        <v>0</v>
      </c>
      <c r="BT40" s="7">
        <f t="shared" si="67"/>
        <v>0</v>
      </c>
      <c r="BU40" s="6">
        <f t="shared" si="68"/>
        <v>0</v>
      </c>
      <c r="BV40" s="7">
        <f t="shared" si="69"/>
        <v>0</v>
      </c>
      <c r="BW40" s="6">
        <f t="shared" si="70"/>
        <v>0</v>
      </c>
      <c r="BX40" s="5">
        <f t="shared" si="71"/>
        <v>0</v>
      </c>
      <c r="BY40" s="6">
        <f t="shared" si="72"/>
        <v>0</v>
      </c>
      <c r="BZ40" s="7">
        <f t="shared" si="73"/>
        <v>0</v>
      </c>
      <c r="CA40" s="6">
        <f t="shared" si="74"/>
        <v>0</v>
      </c>
      <c r="CB40" s="7">
        <f t="shared" si="75"/>
        <v>0</v>
      </c>
      <c r="CC40" s="6">
        <f t="shared" si="76"/>
        <v>0</v>
      </c>
      <c r="CD40" s="5">
        <f t="shared" si="77"/>
        <v>0</v>
      </c>
      <c r="CE40" s="6">
        <f t="shared" si="78"/>
        <v>0</v>
      </c>
      <c r="CF40" s="7">
        <f t="shared" si="79"/>
        <v>0</v>
      </c>
      <c r="CG40" s="6">
        <f t="shared" si="80"/>
        <v>0</v>
      </c>
      <c r="CH40" s="7">
        <f t="shared" si="81"/>
        <v>0</v>
      </c>
      <c r="CI40" s="6">
        <f t="shared" si="82"/>
        <v>0</v>
      </c>
      <c r="CJ40" s="5">
        <f t="shared" si="83"/>
        <v>0</v>
      </c>
      <c r="CK40" s="6">
        <f t="shared" si="84"/>
        <v>0</v>
      </c>
      <c r="CL40" s="7">
        <f t="shared" si="85"/>
        <v>0</v>
      </c>
      <c r="CM40" s="6">
        <f t="shared" si="86"/>
        <v>0</v>
      </c>
      <c r="CN40" s="7">
        <f t="shared" si="87"/>
        <v>0</v>
      </c>
      <c r="CO40" s="6">
        <f t="shared" si="88"/>
        <v>0</v>
      </c>
      <c r="CP40" s="5">
        <f t="shared" si="89"/>
        <v>0</v>
      </c>
      <c r="CQ40" s="6">
        <f t="shared" si="90"/>
        <v>0</v>
      </c>
      <c r="CR40" s="7">
        <f t="shared" si="95"/>
        <v>100</v>
      </c>
      <c r="CS40" s="6">
        <f t="shared" si="95"/>
        <v>102.75</v>
      </c>
      <c r="CT40" s="7">
        <f t="shared" si="95"/>
        <v>42.714285714285708</v>
      </c>
      <c r="CU40" s="6">
        <f t="shared" si="95"/>
        <v>45.571428571428569</v>
      </c>
      <c r="CV40" s="5">
        <f t="shared" si="91"/>
        <v>142.71428571428572</v>
      </c>
      <c r="CW40" s="6">
        <f t="shared" si="92"/>
        <v>148.32142857142856</v>
      </c>
      <c r="CY40" s="7">
        <v>142.71428571428572</v>
      </c>
      <c r="CZ40" s="5">
        <f t="array" ref="CZ40">Summary_UpperBound</f>
        <v>148.32142857142856</v>
      </c>
      <c r="DA40" s="6">
        <f t="shared" si="93"/>
        <v>5.6071428571428328</v>
      </c>
    </row>
    <row r="41" spans="2:105" x14ac:dyDescent="0.35">
      <c r="B41" s="14"/>
      <c r="E41" s="12">
        <f t="shared" si="94"/>
        <v>43960</v>
      </c>
      <c r="F41" s="7">
        <f t="shared" si="1"/>
        <v>0</v>
      </c>
      <c r="G41" s="6">
        <f t="shared" si="2"/>
        <v>0</v>
      </c>
      <c r="H41" s="7">
        <f t="shared" si="3"/>
        <v>20</v>
      </c>
      <c r="I41" s="6">
        <f t="shared" si="4"/>
        <v>21</v>
      </c>
      <c r="J41" s="5">
        <f t="shared" si="5"/>
        <v>20</v>
      </c>
      <c r="K41" s="6">
        <f t="shared" si="6"/>
        <v>21</v>
      </c>
      <c r="L41" s="7">
        <f t="shared" si="7"/>
        <v>0</v>
      </c>
      <c r="M41" s="6">
        <f t="shared" si="8"/>
        <v>0</v>
      </c>
      <c r="N41" s="7">
        <f t="shared" si="9"/>
        <v>13.142857142857142</v>
      </c>
      <c r="O41" s="6">
        <f t="shared" si="10"/>
        <v>14.285714285714285</v>
      </c>
      <c r="P41" s="5">
        <f t="shared" si="11"/>
        <v>13.142857142857142</v>
      </c>
      <c r="Q41" s="6">
        <f t="shared" si="12"/>
        <v>14.285714285714285</v>
      </c>
      <c r="R41" s="7">
        <f t="shared" si="13"/>
        <v>0</v>
      </c>
      <c r="S41" s="6">
        <f t="shared" si="14"/>
        <v>0</v>
      </c>
      <c r="T41" s="7">
        <f t="shared" si="15"/>
        <v>9.5714285714285712</v>
      </c>
      <c r="U41" s="6">
        <f t="shared" si="16"/>
        <v>10.285714285714285</v>
      </c>
      <c r="V41" s="5">
        <f t="shared" si="17"/>
        <v>9.5714285714285712</v>
      </c>
      <c r="W41" s="6">
        <f t="shared" si="18"/>
        <v>10.285714285714285</v>
      </c>
      <c r="X41" s="7">
        <f t="shared" si="19"/>
        <v>70</v>
      </c>
      <c r="Y41" s="6">
        <f t="shared" si="20"/>
        <v>71</v>
      </c>
      <c r="Z41" s="7">
        <f t="shared" si="21"/>
        <v>0</v>
      </c>
      <c r="AA41" s="6">
        <f t="shared" si="22"/>
        <v>0</v>
      </c>
      <c r="AB41" s="5">
        <f t="shared" si="23"/>
        <v>70</v>
      </c>
      <c r="AC41" s="6">
        <f t="shared" si="24"/>
        <v>71</v>
      </c>
      <c r="AD41" s="7">
        <f t="shared" si="25"/>
        <v>30</v>
      </c>
      <c r="AE41" s="6">
        <f t="shared" si="26"/>
        <v>31.75</v>
      </c>
      <c r="AF41" s="7">
        <f t="shared" si="27"/>
        <v>0</v>
      </c>
      <c r="AG41" s="6">
        <f t="shared" si="28"/>
        <v>0</v>
      </c>
      <c r="AH41" s="5">
        <f t="shared" si="29"/>
        <v>30</v>
      </c>
      <c r="AI41" s="6">
        <f t="shared" si="30"/>
        <v>31.75</v>
      </c>
      <c r="AJ41" s="7">
        <f t="shared" si="31"/>
        <v>0</v>
      </c>
      <c r="AK41" s="6">
        <f t="shared" si="32"/>
        <v>0</v>
      </c>
      <c r="AL41" s="7">
        <f t="shared" si="33"/>
        <v>0</v>
      </c>
      <c r="AM41" s="6">
        <f t="shared" si="34"/>
        <v>0</v>
      </c>
      <c r="AN41" s="5">
        <f t="shared" si="35"/>
        <v>0</v>
      </c>
      <c r="AO41" s="6">
        <f t="shared" si="36"/>
        <v>0</v>
      </c>
      <c r="AP41" s="7">
        <f t="shared" si="37"/>
        <v>0</v>
      </c>
      <c r="AQ41" s="6">
        <f t="shared" si="38"/>
        <v>0</v>
      </c>
      <c r="AR41" s="7">
        <f t="shared" si="39"/>
        <v>0</v>
      </c>
      <c r="AS41" s="6">
        <f t="shared" si="40"/>
        <v>0</v>
      </c>
      <c r="AT41" s="5">
        <f t="shared" si="41"/>
        <v>0</v>
      </c>
      <c r="AU41" s="6">
        <f t="shared" si="42"/>
        <v>0</v>
      </c>
      <c r="AV41" s="7">
        <f t="shared" si="43"/>
        <v>0</v>
      </c>
      <c r="AW41" s="6">
        <f t="shared" si="44"/>
        <v>0</v>
      </c>
      <c r="AX41" s="7">
        <f t="shared" si="45"/>
        <v>0</v>
      </c>
      <c r="AY41" s="6">
        <f t="shared" si="46"/>
        <v>0</v>
      </c>
      <c r="AZ41" s="5">
        <f t="shared" si="47"/>
        <v>0</v>
      </c>
      <c r="BA41" s="6">
        <f t="shared" si="48"/>
        <v>0</v>
      </c>
      <c r="BB41" s="7">
        <f t="shared" si="49"/>
        <v>0</v>
      </c>
      <c r="BC41" s="6">
        <f t="shared" si="50"/>
        <v>0</v>
      </c>
      <c r="BD41" s="7">
        <f t="shared" si="51"/>
        <v>0</v>
      </c>
      <c r="BE41" s="6">
        <f t="shared" si="52"/>
        <v>0</v>
      </c>
      <c r="BF41" s="5">
        <f t="shared" si="53"/>
        <v>0</v>
      </c>
      <c r="BG41" s="6">
        <f t="shared" si="54"/>
        <v>0</v>
      </c>
      <c r="BH41" s="7">
        <f t="shared" si="55"/>
        <v>0</v>
      </c>
      <c r="BI41" s="6">
        <f t="shared" si="56"/>
        <v>0</v>
      </c>
      <c r="BJ41" s="7">
        <f t="shared" si="57"/>
        <v>0</v>
      </c>
      <c r="BK41" s="6">
        <f t="shared" si="58"/>
        <v>0</v>
      </c>
      <c r="BL41" s="5">
        <f t="shared" si="59"/>
        <v>0</v>
      </c>
      <c r="BM41" s="6">
        <f t="shared" si="60"/>
        <v>0</v>
      </c>
      <c r="BN41" s="7">
        <f t="shared" si="61"/>
        <v>0</v>
      </c>
      <c r="BO41" s="6">
        <f t="shared" si="62"/>
        <v>0</v>
      </c>
      <c r="BP41" s="7">
        <f t="shared" si="63"/>
        <v>0</v>
      </c>
      <c r="BQ41" s="6">
        <f t="shared" si="64"/>
        <v>0</v>
      </c>
      <c r="BR41" s="5">
        <f t="shared" si="65"/>
        <v>0</v>
      </c>
      <c r="BS41" s="6">
        <f t="shared" si="66"/>
        <v>0</v>
      </c>
      <c r="BT41" s="7">
        <f t="shared" si="67"/>
        <v>0</v>
      </c>
      <c r="BU41" s="6">
        <f t="shared" si="68"/>
        <v>0</v>
      </c>
      <c r="BV41" s="7">
        <f t="shared" si="69"/>
        <v>0</v>
      </c>
      <c r="BW41" s="6">
        <f t="shared" si="70"/>
        <v>0</v>
      </c>
      <c r="BX41" s="5">
        <f t="shared" si="71"/>
        <v>0</v>
      </c>
      <c r="BY41" s="6">
        <f t="shared" si="72"/>
        <v>0</v>
      </c>
      <c r="BZ41" s="7">
        <f t="shared" si="73"/>
        <v>0</v>
      </c>
      <c r="CA41" s="6">
        <f t="shared" si="74"/>
        <v>0</v>
      </c>
      <c r="CB41" s="7">
        <f t="shared" si="75"/>
        <v>0</v>
      </c>
      <c r="CC41" s="6">
        <f t="shared" si="76"/>
        <v>0</v>
      </c>
      <c r="CD41" s="5">
        <f t="shared" si="77"/>
        <v>0</v>
      </c>
      <c r="CE41" s="6">
        <f t="shared" si="78"/>
        <v>0</v>
      </c>
      <c r="CF41" s="7">
        <f t="shared" si="79"/>
        <v>0</v>
      </c>
      <c r="CG41" s="6">
        <f t="shared" si="80"/>
        <v>0</v>
      </c>
      <c r="CH41" s="7">
        <f t="shared" si="81"/>
        <v>0</v>
      </c>
      <c r="CI41" s="6">
        <f t="shared" si="82"/>
        <v>0</v>
      </c>
      <c r="CJ41" s="5">
        <f t="shared" si="83"/>
        <v>0</v>
      </c>
      <c r="CK41" s="6">
        <f t="shared" si="84"/>
        <v>0</v>
      </c>
      <c r="CL41" s="7">
        <f t="shared" si="85"/>
        <v>0</v>
      </c>
      <c r="CM41" s="6">
        <f t="shared" si="86"/>
        <v>0</v>
      </c>
      <c r="CN41" s="7">
        <f t="shared" si="87"/>
        <v>0</v>
      </c>
      <c r="CO41" s="6">
        <f t="shared" si="88"/>
        <v>0</v>
      </c>
      <c r="CP41" s="5">
        <f t="shared" si="89"/>
        <v>0</v>
      </c>
      <c r="CQ41" s="6">
        <f t="shared" si="90"/>
        <v>0</v>
      </c>
      <c r="CR41" s="7">
        <f t="shared" si="95"/>
        <v>100</v>
      </c>
      <c r="CS41" s="6">
        <f t="shared" si="95"/>
        <v>102.75</v>
      </c>
      <c r="CT41" s="7">
        <f t="shared" si="95"/>
        <v>42.714285714285708</v>
      </c>
      <c r="CU41" s="6">
        <f t="shared" si="95"/>
        <v>45.571428571428569</v>
      </c>
      <c r="CV41" s="5">
        <f t="shared" si="91"/>
        <v>142.71428571428572</v>
      </c>
      <c r="CW41" s="6">
        <f t="shared" si="92"/>
        <v>148.32142857142856</v>
      </c>
      <c r="CY41" s="7">
        <v>142.71428571428572</v>
      </c>
      <c r="CZ41" s="5">
        <f t="array" ref="CZ41">Summary_UpperBound</f>
        <v>148.32142857142856</v>
      </c>
      <c r="DA41" s="6">
        <f t="shared" si="93"/>
        <v>5.6071428571428328</v>
      </c>
    </row>
    <row r="42" spans="2:105" x14ac:dyDescent="0.35">
      <c r="B42" s="14"/>
      <c r="E42" s="12">
        <f t="shared" si="94"/>
        <v>43967</v>
      </c>
      <c r="F42" s="7">
        <f t="shared" si="1"/>
        <v>0</v>
      </c>
      <c r="G42" s="6">
        <f t="shared" si="2"/>
        <v>0</v>
      </c>
      <c r="H42" s="7">
        <f t="shared" si="3"/>
        <v>20</v>
      </c>
      <c r="I42" s="6">
        <f t="shared" si="4"/>
        <v>21</v>
      </c>
      <c r="J42" s="5">
        <f t="shared" si="5"/>
        <v>20</v>
      </c>
      <c r="K42" s="6">
        <f t="shared" si="6"/>
        <v>21</v>
      </c>
      <c r="L42" s="7">
        <f t="shared" si="7"/>
        <v>0</v>
      </c>
      <c r="M42" s="6">
        <f t="shared" si="8"/>
        <v>0</v>
      </c>
      <c r="N42" s="7">
        <f t="shared" si="9"/>
        <v>13.142857142857142</v>
      </c>
      <c r="O42" s="6">
        <f t="shared" si="10"/>
        <v>14.285714285714285</v>
      </c>
      <c r="P42" s="5">
        <f t="shared" si="11"/>
        <v>13.142857142857142</v>
      </c>
      <c r="Q42" s="6">
        <f t="shared" si="12"/>
        <v>14.285714285714285</v>
      </c>
      <c r="R42" s="7">
        <f t="shared" si="13"/>
        <v>0</v>
      </c>
      <c r="S42" s="6">
        <f t="shared" si="14"/>
        <v>0</v>
      </c>
      <c r="T42" s="7">
        <f t="shared" si="15"/>
        <v>9.5714285714285712</v>
      </c>
      <c r="U42" s="6">
        <f t="shared" si="16"/>
        <v>10.285714285714285</v>
      </c>
      <c r="V42" s="5">
        <f t="shared" si="17"/>
        <v>9.5714285714285712</v>
      </c>
      <c r="W42" s="6">
        <f t="shared" si="18"/>
        <v>10.285714285714285</v>
      </c>
      <c r="X42" s="7">
        <f t="shared" si="19"/>
        <v>70</v>
      </c>
      <c r="Y42" s="6">
        <f t="shared" si="20"/>
        <v>71</v>
      </c>
      <c r="Z42" s="7">
        <f t="shared" si="21"/>
        <v>0</v>
      </c>
      <c r="AA42" s="6">
        <f t="shared" si="22"/>
        <v>0</v>
      </c>
      <c r="AB42" s="5">
        <f t="shared" si="23"/>
        <v>70</v>
      </c>
      <c r="AC42" s="6">
        <f t="shared" si="24"/>
        <v>71</v>
      </c>
      <c r="AD42" s="7">
        <f t="shared" si="25"/>
        <v>30</v>
      </c>
      <c r="AE42" s="6">
        <f t="shared" si="26"/>
        <v>31.75</v>
      </c>
      <c r="AF42" s="7">
        <f t="shared" si="27"/>
        <v>0</v>
      </c>
      <c r="AG42" s="6">
        <f t="shared" si="28"/>
        <v>0</v>
      </c>
      <c r="AH42" s="5">
        <f t="shared" si="29"/>
        <v>30</v>
      </c>
      <c r="AI42" s="6">
        <f t="shared" si="30"/>
        <v>31.75</v>
      </c>
      <c r="AJ42" s="7">
        <f t="shared" si="31"/>
        <v>0</v>
      </c>
      <c r="AK42" s="6">
        <f t="shared" si="32"/>
        <v>0</v>
      </c>
      <c r="AL42" s="7">
        <f t="shared" si="33"/>
        <v>0</v>
      </c>
      <c r="AM42" s="6">
        <f t="shared" si="34"/>
        <v>0</v>
      </c>
      <c r="AN42" s="5">
        <f t="shared" si="35"/>
        <v>0</v>
      </c>
      <c r="AO42" s="6">
        <f t="shared" si="36"/>
        <v>0</v>
      </c>
      <c r="AP42" s="7">
        <f t="shared" si="37"/>
        <v>0</v>
      </c>
      <c r="AQ42" s="6">
        <f t="shared" si="38"/>
        <v>0</v>
      </c>
      <c r="AR42" s="7">
        <f t="shared" si="39"/>
        <v>0</v>
      </c>
      <c r="AS42" s="6">
        <f t="shared" si="40"/>
        <v>0</v>
      </c>
      <c r="AT42" s="5">
        <f t="shared" si="41"/>
        <v>0</v>
      </c>
      <c r="AU42" s="6">
        <f t="shared" si="42"/>
        <v>0</v>
      </c>
      <c r="AV42" s="7">
        <f t="shared" si="43"/>
        <v>0</v>
      </c>
      <c r="AW42" s="6">
        <f t="shared" si="44"/>
        <v>0</v>
      </c>
      <c r="AX42" s="7">
        <f t="shared" si="45"/>
        <v>0</v>
      </c>
      <c r="AY42" s="6">
        <f t="shared" si="46"/>
        <v>0</v>
      </c>
      <c r="AZ42" s="5">
        <f t="shared" si="47"/>
        <v>0</v>
      </c>
      <c r="BA42" s="6">
        <f t="shared" si="48"/>
        <v>0</v>
      </c>
      <c r="BB42" s="7">
        <f t="shared" si="49"/>
        <v>0</v>
      </c>
      <c r="BC42" s="6">
        <f t="shared" si="50"/>
        <v>0</v>
      </c>
      <c r="BD42" s="7">
        <f t="shared" si="51"/>
        <v>0</v>
      </c>
      <c r="BE42" s="6">
        <f t="shared" si="52"/>
        <v>0</v>
      </c>
      <c r="BF42" s="5">
        <f t="shared" si="53"/>
        <v>0</v>
      </c>
      <c r="BG42" s="6">
        <f t="shared" si="54"/>
        <v>0</v>
      </c>
      <c r="BH42" s="7">
        <f t="shared" si="55"/>
        <v>0</v>
      </c>
      <c r="BI42" s="6">
        <f t="shared" si="56"/>
        <v>0</v>
      </c>
      <c r="BJ42" s="7">
        <f t="shared" si="57"/>
        <v>0</v>
      </c>
      <c r="BK42" s="6">
        <f t="shared" si="58"/>
        <v>0</v>
      </c>
      <c r="BL42" s="5">
        <f t="shared" si="59"/>
        <v>0</v>
      </c>
      <c r="BM42" s="6">
        <f t="shared" si="60"/>
        <v>0</v>
      </c>
      <c r="BN42" s="7">
        <f t="shared" si="61"/>
        <v>0</v>
      </c>
      <c r="BO42" s="6">
        <f t="shared" si="62"/>
        <v>0</v>
      </c>
      <c r="BP42" s="7">
        <f t="shared" si="63"/>
        <v>0</v>
      </c>
      <c r="BQ42" s="6">
        <f t="shared" si="64"/>
        <v>0</v>
      </c>
      <c r="BR42" s="5">
        <f t="shared" si="65"/>
        <v>0</v>
      </c>
      <c r="BS42" s="6">
        <f t="shared" si="66"/>
        <v>0</v>
      </c>
      <c r="BT42" s="7">
        <f t="shared" si="67"/>
        <v>0</v>
      </c>
      <c r="BU42" s="6">
        <f t="shared" si="68"/>
        <v>0</v>
      </c>
      <c r="BV42" s="7">
        <f t="shared" si="69"/>
        <v>0</v>
      </c>
      <c r="BW42" s="6">
        <f t="shared" si="70"/>
        <v>0</v>
      </c>
      <c r="BX42" s="5">
        <f t="shared" si="71"/>
        <v>0</v>
      </c>
      <c r="BY42" s="6">
        <f t="shared" si="72"/>
        <v>0</v>
      </c>
      <c r="BZ42" s="7">
        <f t="shared" si="73"/>
        <v>0</v>
      </c>
      <c r="CA42" s="6">
        <f t="shared" si="74"/>
        <v>0</v>
      </c>
      <c r="CB42" s="7">
        <f t="shared" si="75"/>
        <v>0</v>
      </c>
      <c r="CC42" s="6">
        <f t="shared" si="76"/>
        <v>0</v>
      </c>
      <c r="CD42" s="5">
        <f t="shared" si="77"/>
        <v>0</v>
      </c>
      <c r="CE42" s="6">
        <f t="shared" si="78"/>
        <v>0</v>
      </c>
      <c r="CF42" s="7">
        <f t="shared" si="79"/>
        <v>0</v>
      </c>
      <c r="CG42" s="6">
        <f t="shared" si="80"/>
        <v>0</v>
      </c>
      <c r="CH42" s="7">
        <f t="shared" si="81"/>
        <v>0</v>
      </c>
      <c r="CI42" s="6">
        <f t="shared" si="82"/>
        <v>0</v>
      </c>
      <c r="CJ42" s="5">
        <f t="shared" si="83"/>
        <v>0</v>
      </c>
      <c r="CK42" s="6">
        <f t="shared" si="84"/>
        <v>0</v>
      </c>
      <c r="CL42" s="7">
        <f t="shared" si="85"/>
        <v>0</v>
      </c>
      <c r="CM42" s="6">
        <f t="shared" si="86"/>
        <v>0</v>
      </c>
      <c r="CN42" s="7">
        <f t="shared" si="87"/>
        <v>0</v>
      </c>
      <c r="CO42" s="6">
        <f t="shared" si="88"/>
        <v>0</v>
      </c>
      <c r="CP42" s="5">
        <f t="shared" si="89"/>
        <v>0</v>
      </c>
      <c r="CQ42" s="6">
        <f t="shared" si="90"/>
        <v>0</v>
      </c>
      <c r="CR42" s="7">
        <f t="shared" si="95"/>
        <v>100</v>
      </c>
      <c r="CS42" s="6">
        <f t="shared" si="95"/>
        <v>102.75</v>
      </c>
      <c r="CT42" s="7">
        <f t="shared" si="95"/>
        <v>42.714285714285708</v>
      </c>
      <c r="CU42" s="6">
        <f t="shared" si="95"/>
        <v>45.571428571428569</v>
      </c>
      <c r="CV42" s="5">
        <f t="shared" si="91"/>
        <v>142.71428571428572</v>
      </c>
      <c r="CW42" s="6">
        <f t="shared" si="92"/>
        <v>148.32142857142856</v>
      </c>
      <c r="CY42" s="7">
        <v>142.71428571428572</v>
      </c>
      <c r="CZ42" s="5">
        <f t="array" ref="CZ42">Summary_UpperBound</f>
        <v>148.32142857142856</v>
      </c>
      <c r="DA42" s="6">
        <f t="shared" si="93"/>
        <v>5.6071428571428328</v>
      </c>
    </row>
    <row r="43" spans="2:105" x14ac:dyDescent="0.35">
      <c r="B43" s="14"/>
      <c r="E43" s="12">
        <f t="shared" si="94"/>
        <v>43974</v>
      </c>
      <c r="F43" s="7">
        <f t="shared" si="1"/>
        <v>0</v>
      </c>
      <c r="G43" s="6">
        <f t="shared" si="2"/>
        <v>0</v>
      </c>
      <c r="H43" s="7">
        <f t="shared" si="3"/>
        <v>20</v>
      </c>
      <c r="I43" s="6">
        <f t="shared" si="4"/>
        <v>21</v>
      </c>
      <c r="J43" s="5">
        <f t="shared" si="5"/>
        <v>20</v>
      </c>
      <c r="K43" s="6">
        <f t="shared" si="6"/>
        <v>21</v>
      </c>
      <c r="L43" s="7">
        <f t="shared" si="7"/>
        <v>0</v>
      </c>
      <c r="M43" s="6">
        <f t="shared" si="8"/>
        <v>0</v>
      </c>
      <c r="N43" s="7">
        <f t="shared" si="9"/>
        <v>13.142857142857142</v>
      </c>
      <c r="O43" s="6">
        <f t="shared" si="10"/>
        <v>14.285714285714285</v>
      </c>
      <c r="P43" s="5">
        <f t="shared" si="11"/>
        <v>13.142857142857142</v>
      </c>
      <c r="Q43" s="6">
        <f t="shared" si="12"/>
        <v>14.285714285714285</v>
      </c>
      <c r="R43" s="7">
        <f t="shared" si="13"/>
        <v>0</v>
      </c>
      <c r="S43" s="6">
        <f t="shared" si="14"/>
        <v>0</v>
      </c>
      <c r="T43" s="7">
        <f t="shared" si="15"/>
        <v>9.5714285714285712</v>
      </c>
      <c r="U43" s="6">
        <f t="shared" si="16"/>
        <v>10.285714285714285</v>
      </c>
      <c r="V43" s="5">
        <f t="shared" si="17"/>
        <v>9.5714285714285712</v>
      </c>
      <c r="W43" s="6">
        <f t="shared" si="18"/>
        <v>10.285714285714285</v>
      </c>
      <c r="X43" s="7">
        <f t="shared" si="19"/>
        <v>70</v>
      </c>
      <c r="Y43" s="6">
        <f t="shared" si="20"/>
        <v>71</v>
      </c>
      <c r="Z43" s="7">
        <f t="shared" si="21"/>
        <v>0</v>
      </c>
      <c r="AA43" s="6">
        <f t="shared" si="22"/>
        <v>0</v>
      </c>
      <c r="AB43" s="5">
        <f t="shared" si="23"/>
        <v>70</v>
      </c>
      <c r="AC43" s="6">
        <f t="shared" si="24"/>
        <v>71</v>
      </c>
      <c r="AD43" s="7">
        <f t="shared" si="25"/>
        <v>30</v>
      </c>
      <c r="AE43" s="6">
        <f t="shared" si="26"/>
        <v>31.75</v>
      </c>
      <c r="AF43" s="7">
        <f t="shared" si="27"/>
        <v>0</v>
      </c>
      <c r="AG43" s="6">
        <f t="shared" si="28"/>
        <v>0</v>
      </c>
      <c r="AH43" s="5">
        <f t="shared" si="29"/>
        <v>30</v>
      </c>
      <c r="AI43" s="6">
        <f t="shared" si="30"/>
        <v>31.75</v>
      </c>
      <c r="AJ43" s="7">
        <f t="shared" si="31"/>
        <v>0</v>
      </c>
      <c r="AK43" s="6">
        <f t="shared" si="32"/>
        <v>0</v>
      </c>
      <c r="AL43" s="7">
        <f t="shared" si="33"/>
        <v>0</v>
      </c>
      <c r="AM43" s="6">
        <f t="shared" si="34"/>
        <v>0</v>
      </c>
      <c r="AN43" s="5">
        <f t="shared" si="35"/>
        <v>0</v>
      </c>
      <c r="AO43" s="6">
        <f t="shared" si="36"/>
        <v>0</v>
      </c>
      <c r="AP43" s="7">
        <f t="shared" si="37"/>
        <v>0</v>
      </c>
      <c r="AQ43" s="6">
        <f t="shared" si="38"/>
        <v>0</v>
      </c>
      <c r="AR43" s="7">
        <f t="shared" si="39"/>
        <v>0</v>
      </c>
      <c r="AS43" s="6">
        <f t="shared" si="40"/>
        <v>0</v>
      </c>
      <c r="AT43" s="5">
        <f t="shared" si="41"/>
        <v>0</v>
      </c>
      <c r="AU43" s="6">
        <f t="shared" si="42"/>
        <v>0</v>
      </c>
      <c r="AV43" s="7">
        <f t="shared" si="43"/>
        <v>0</v>
      </c>
      <c r="AW43" s="6">
        <f t="shared" si="44"/>
        <v>0</v>
      </c>
      <c r="AX43" s="7">
        <f t="shared" si="45"/>
        <v>0</v>
      </c>
      <c r="AY43" s="6">
        <f t="shared" si="46"/>
        <v>0</v>
      </c>
      <c r="AZ43" s="5">
        <f t="shared" si="47"/>
        <v>0</v>
      </c>
      <c r="BA43" s="6">
        <f t="shared" si="48"/>
        <v>0</v>
      </c>
      <c r="BB43" s="7">
        <f t="shared" si="49"/>
        <v>0</v>
      </c>
      <c r="BC43" s="6">
        <f t="shared" si="50"/>
        <v>0</v>
      </c>
      <c r="BD43" s="7">
        <f t="shared" si="51"/>
        <v>0</v>
      </c>
      <c r="BE43" s="6">
        <f t="shared" si="52"/>
        <v>0</v>
      </c>
      <c r="BF43" s="5">
        <f t="shared" si="53"/>
        <v>0</v>
      </c>
      <c r="BG43" s="6">
        <f t="shared" si="54"/>
        <v>0</v>
      </c>
      <c r="BH43" s="7">
        <f t="shared" si="55"/>
        <v>0</v>
      </c>
      <c r="BI43" s="6">
        <f t="shared" si="56"/>
        <v>0</v>
      </c>
      <c r="BJ43" s="7">
        <f t="shared" si="57"/>
        <v>0</v>
      </c>
      <c r="BK43" s="6">
        <f t="shared" si="58"/>
        <v>0</v>
      </c>
      <c r="BL43" s="5">
        <f t="shared" si="59"/>
        <v>0</v>
      </c>
      <c r="BM43" s="6">
        <f t="shared" si="60"/>
        <v>0</v>
      </c>
      <c r="BN43" s="7">
        <f t="shared" si="61"/>
        <v>0</v>
      </c>
      <c r="BO43" s="6">
        <f t="shared" si="62"/>
        <v>0</v>
      </c>
      <c r="BP43" s="7">
        <f t="shared" si="63"/>
        <v>0</v>
      </c>
      <c r="BQ43" s="6">
        <f t="shared" si="64"/>
        <v>0</v>
      </c>
      <c r="BR43" s="5">
        <f t="shared" si="65"/>
        <v>0</v>
      </c>
      <c r="BS43" s="6">
        <f t="shared" si="66"/>
        <v>0</v>
      </c>
      <c r="BT43" s="7">
        <f t="shared" si="67"/>
        <v>0</v>
      </c>
      <c r="BU43" s="6">
        <f t="shared" si="68"/>
        <v>0</v>
      </c>
      <c r="BV43" s="7">
        <f t="shared" si="69"/>
        <v>0</v>
      </c>
      <c r="BW43" s="6">
        <f t="shared" si="70"/>
        <v>0</v>
      </c>
      <c r="BX43" s="5">
        <f t="shared" si="71"/>
        <v>0</v>
      </c>
      <c r="BY43" s="6">
        <f t="shared" si="72"/>
        <v>0</v>
      </c>
      <c r="BZ43" s="7">
        <f t="shared" si="73"/>
        <v>0</v>
      </c>
      <c r="CA43" s="6">
        <f t="shared" si="74"/>
        <v>0</v>
      </c>
      <c r="CB43" s="7">
        <f t="shared" si="75"/>
        <v>0</v>
      </c>
      <c r="CC43" s="6">
        <f t="shared" si="76"/>
        <v>0</v>
      </c>
      <c r="CD43" s="5">
        <f t="shared" si="77"/>
        <v>0</v>
      </c>
      <c r="CE43" s="6">
        <f t="shared" si="78"/>
        <v>0</v>
      </c>
      <c r="CF43" s="7">
        <f t="shared" si="79"/>
        <v>0</v>
      </c>
      <c r="CG43" s="6">
        <f t="shared" si="80"/>
        <v>0</v>
      </c>
      <c r="CH43" s="7">
        <f t="shared" si="81"/>
        <v>0</v>
      </c>
      <c r="CI43" s="6">
        <f t="shared" si="82"/>
        <v>0</v>
      </c>
      <c r="CJ43" s="5">
        <f t="shared" si="83"/>
        <v>0</v>
      </c>
      <c r="CK43" s="6">
        <f t="shared" si="84"/>
        <v>0</v>
      </c>
      <c r="CL43" s="7">
        <f t="shared" si="85"/>
        <v>0</v>
      </c>
      <c r="CM43" s="6">
        <f t="shared" si="86"/>
        <v>0</v>
      </c>
      <c r="CN43" s="7">
        <f t="shared" si="87"/>
        <v>0</v>
      </c>
      <c r="CO43" s="6">
        <f t="shared" si="88"/>
        <v>0</v>
      </c>
      <c r="CP43" s="5">
        <f t="shared" si="89"/>
        <v>0</v>
      </c>
      <c r="CQ43" s="6">
        <f t="shared" si="90"/>
        <v>0</v>
      </c>
      <c r="CR43" s="7">
        <f t="shared" si="95"/>
        <v>100</v>
      </c>
      <c r="CS43" s="6">
        <f t="shared" si="95"/>
        <v>102.75</v>
      </c>
      <c r="CT43" s="7">
        <f t="shared" si="95"/>
        <v>42.714285714285708</v>
      </c>
      <c r="CU43" s="6">
        <f t="shared" si="95"/>
        <v>45.571428571428569</v>
      </c>
      <c r="CV43" s="5">
        <f t="shared" si="91"/>
        <v>142.71428571428572</v>
      </c>
      <c r="CW43" s="6">
        <f t="shared" si="92"/>
        <v>148.32142857142856</v>
      </c>
      <c r="CY43" s="7">
        <v>142.71428571428572</v>
      </c>
      <c r="CZ43" s="5">
        <f t="array" ref="CZ43">Summary_UpperBound</f>
        <v>148.32142857142856</v>
      </c>
      <c r="DA43" s="6">
        <f t="shared" si="93"/>
        <v>5.6071428571428328</v>
      </c>
    </row>
    <row r="44" spans="2:105" x14ac:dyDescent="0.35">
      <c r="B44" s="14"/>
      <c r="E44" s="12">
        <f t="shared" si="94"/>
        <v>43981</v>
      </c>
      <c r="F44" s="7">
        <f t="shared" si="1"/>
        <v>0</v>
      </c>
      <c r="G44" s="6">
        <f t="shared" si="2"/>
        <v>0</v>
      </c>
      <c r="H44" s="7">
        <f t="shared" si="3"/>
        <v>20</v>
      </c>
      <c r="I44" s="6">
        <f t="shared" si="4"/>
        <v>21</v>
      </c>
      <c r="J44" s="5">
        <f t="shared" si="5"/>
        <v>20</v>
      </c>
      <c r="K44" s="6">
        <f t="shared" si="6"/>
        <v>21</v>
      </c>
      <c r="L44" s="7">
        <f t="shared" si="7"/>
        <v>0</v>
      </c>
      <c r="M44" s="6">
        <f t="shared" si="8"/>
        <v>0</v>
      </c>
      <c r="N44" s="7">
        <f t="shared" si="9"/>
        <v>13.142857142857142</v>
      </c>
      <c r="O44" s="6">
        <f t="shared" si="10"/>
        <v>14.285714285714285</v>
      </c>
      <c r="P44" s="5">
        <f t="shared" si="11"/>
        <v>13.142857142857142</v>
      </c>
      <c r="Q44" s="6">
        <f t="shared" si="12"/>
        <v>14.285714285714285</v>
      </c>
      <c r="R44" s="7">
        <f t="shared" si="13"/>
        <v>0</v>
      </c>
      <c r="S44" s="6">
        <f t="shared" si="14"/>
        <v>0</v>
      </c>
      <c r="T44" s="7">
        <f t="shared" si="15"/>
        <v>9.5714285714285712</v>
      </c>
      <c r="U44" s="6">
        <f t="shared" si="16"/>
        <v>10.285714285714285</v>
      </c>
      <c r="V44" s="5">
        <f t="shared" si="17"/>
        <v>9.5714285714285712</v>
      </c>
      <c r="W44" s="6">
        <f t="shared" si="18"/>
        <v>10.285714285714285</v>
      </c>
      <c r="X44" s="7">
        <f t="shared" si="19"/>
        <v>70</v>
      </c>
      <c r="Y44" s="6">
        <f t="shared" si="20"/>
        <v>71</v>
      </c>
      <c r="Z44" s="7">
        <f t="shared" si="21"/>
        <v>0</v>
      </c>
      <c r="AA44" s="6">
        <f t="shared" si="22"/>
        <v>0</v>
      </c>
      <c r="AB44" s="5">
        <f t="shared" si="23"/>
        <v>70</v>
      </c>
      <c r="AC44" s="6">
        <f t="shared" si="24"/>
        <v>71</v>
      </c>
      <c r="AD44" s="7">
        <f t="shared" si="25"/>
        <v>30</v>
      </c>
      <c r="AE44" s="6">
        <f t="shared" si="26"/>
        <v>31.75</v>
      </c>
      <c r="AF44" s="7">
        <f t="shared" si="27"/>
        <v>0</v>
      </c>
      <c r="AG44" s="6">
        <f t="shared" si="28"/>
        <v>0</v>
      </c>
      <c r="AH44" s="5">
        <f t="shared" si="29"/>
        <v>30</v>
      </c>
      <c r="AI44" s="6">
        <f t="shared" si="30"/>
        <v>31.75</v>
      </c>
      <c r="AJ44" s="7">
        <f t="shared" si="31"/>
        <v>0</v>
      </c>
      <c r="AK44" s="6">
        <f t="shared" si="32"/>
        <v>0</v>
      </c>
      <c r="AL44" s="7">
        <f t="shared" si="33"/>
        <v>0</v>
      </c>
      <c r="AM44" s="6">
        <f t="shared" si="34"/>
        <v>0</v>
      </c>
      <c r="AN44" s="5">
        <f t="shared" si="35"/>
        <v>0</v>
      </c>
      <c r="AO44" s="6">
        <f t="shared" si="36"/>
        <v>0</v>
      </c>
      <c r="AP44" s="7">
        <f t="shared" si="37"/>
        <v>0</v>
      </c>
      <c r="AQ44" s="6">
        <f t="shared" si="38"/>
        <v>0</v>
      </c>
      <c r="AR44" s="7">
        <f t="shared" si="39"/>
        <v>0</v>
      </c>
      <c r="AS44" s="6">
        <f t="shared" si="40"/>
        <v>0</v>
      </c>
      <c r="AT44" s="5">
        <f t="shared" si="41"/>
        <v>0</v>
      </c>
      <c r="AU44" s="6">
        <f t="shared" si="42"/>
        <v>0</v>
      </c>
      <c r="AV44" s="7">
        <f t="shared" si="43"/>
        <v>0</v>
      </c>
      <c r="AW44" s="6">
        <f t="shared" si="44"/>
        <v>0</v>
      </c>
      <c r="AX44" s="7">
        <f t="shared" si="45"/>
        <v>0</v>
      </c>
      <c r="AY44" s="6">
        <f t="shared" si="46"/>
        <v>0</v>
      </c>
      <c r="AZ44" s="5">
        <f t="shared" si="47"/>
        <v>0</v>
      </c>
      <c r="BA44" s="6">
        <f t="shared" si="48"/>
        <v>0</v>
      </c>
      <c r="BB44" s="7">
        <f t="shared" si="49"/>
        <v>0</v>
      </c>
      <c r="BC44" s="6">
        <f t="shared" si="50"/>
        <v>0</v>
      </c>
      <c r="BD44" s="7">
        <f t="shared" si="51"/>
        <v>0</v>
      </c>
      <c r="BE44" s="6">
        <f t="shared" si="52"/>
        <v>0</v>
      </c>
      <c r="BF44" s="5">
        <f t="shared" si="53"/>
        <v>0</v>
      </c>
      <c r="BG44" s="6">
        <f t="shared" si="54"/>
        <v>0</v>
      </c>
      <c r="BH44" s="7">
        <f t="shared" si="55"/>
        <v>0</v>
      </c>
      <c r="BI44" s="6">
        <f t="shared" si="56"/>
        <v>0</v>
      </c>
      <c r="BJ44" s="7">
        <f t="shared" si="57"/>
        <v>0</v>
      </c>
      <c r="BK44" s="6">
        <f t="shared" si="58"/>
        <v>0</v>
      </c>
      <c r="BL44" s="5">
        <f t="shared" si="59"/>
        <v>0</v>
      </c>
      <c r="BM44" s="6">
        <f t="shared" si="60"/>
        <v>0</v>
      </c>
      <c r="BN44" s="7">
        <f t="shared" si="61"/>
        <v>0</v>
      </c>
      <c r="BO44" s="6">
        <f t="shared" si="62"/>
        <v>0</v>
      </c>
      <c r="BP44" s="7">
        <f t="shared" si="63"/>
        <v>0</v>
      </c>
      <c r="BQ44" s="6">
        <f t="shared" si="64"/>
        <v>0</v>
      </c>
      <c r="BR44" s="5">
        <f t="shared" si="65"/>
        <v>0</v>
      </c>
      <c r="BS44" s="6">
        <f t="shared" si="66"/>
        <v>0</v>
      </c>
      <c r="BT44" s="7">
        <f t="shared" si="67"/>
        <v>0</v>
      </c>
      <c r="BU44" s="6">
        <f t="shared" si="68"/>
        <v>0</v>
      </c>
      <c r="BV44" s="7">
        <f t="shared" si="69"/>
        <v>0</v>
      </c>
      <c r="BW44" s="6">
        <f t="shared" si="70"/>
        <v>0</v>
      </c>
      <c r="BX44" s="5">
        <f t="shared" si="71"/>
        <v>0</v>
      </c>
      <c r="BY44" s="6">
        <f t="shared" si="72"/>
        <v>0</v>
      </c>
      <c r="BZ44" s="7">
        <f t="shared" si="73"/>
        <v>0</v>
      </c>
      <c r="CA44" s="6">
        <f t="shared" si="74"/>
        <v>0</v>
      </c>
      <c r="CB44" s="7">
        <f t="shared" si="75"/>
        <v>0</v>
      </c>
      <c r="CC44" s="6">
        <f t="shared" si="76"/>
        <v>0</v>
      </c>
      <c r="CD44" s="5">
        <f t="shared" si="77"/>
        <v>0</v>
      </c>
      <c r="CE44" s="6">
        <f t="shared" si="78"/>
        <v>0</v>
      </c>
      <c r="CF44" s="7">
        <f t="shared" si="79"/>
        <v>0</v>
      </c>
      <c r="CG44" s="6">
        <f t="shared" si="80"/>
        <v>0</v>
      </c>
      <c r="CH44" s="7">
        <f t="shared" si="81"/>
        <v>0</v>
      </c>
      <c r="CI44" s="6">
        <f t="shared" si="82"/>
        <v>0</v>
      </c>
      <c r="CJ44" s="5">
        <f t="shared" si="83"/>
        <v>0</v>
      </c>
      <c r="CK44" s="6">
        <f t="shared" si="84"/>
        <v>0</v>
      </c>
      <c r="CL44" s="7">
        <f t="shared" si="85"/>
        <v>0</v>
      </c>
      <c r="CM44" s="6">
        <f t="shared" si="86"/>
        <v>0</v>
      </c>
      <c r="CN44" s="7">
        <f t="shared" si="87"/>
        <v>0</v>
      </c>
      <c r="CO44" s="6">
        <f t="shared" si="88"/>
        <v>0</v>
      </c>
      <c r="CP44" s="5">
        <f t="shared" si="89"/>
        <v>0</v>
      </c>
      <c r="CQ44" s="6">
        <f t="shared" si="90"/>
        <v>0</v>
      </c>
      <c r="CR44" s="7">
        <f t="shared" si="95"/>
        <v>100</v>
      </c>
      <c r="CS44" s="6">
        <f t="shared" si="95"/>
        <v>102.75</v>
      </c>
      <c r="CT44" s="7">
        <f t="shared" si="95"/>
        <v>42.714285714285708</v>
      </c>
      <c r="CU44" s="6">
        <f t="shared" si="95"/>
        <v>45.571428571428569</v>
      </c>
      <c r="CV44" s="5">
        <f t="shared" si="91"/>
        <v>142.71428571428572</v>
      </c>
      <c r="CW44" s="6">
        <f t="shared" si="92"/>
        <v>148.32142857142856</v>
      </c>
      <c r="CY44" s="7">
        <v>142.71428571428572</v>
      </c>
      <c r="CZ44" s="5">
        <f t="array" ref="CZ44">Summary_UpperBound</f>
        <v>148.32142857142856</v>
      </c>
      <c r="DA44" s="6">
        <f t="shared" si="93"/>
        <v>5.6071428571428328</v>
      </c>
    </row>
    <row r="45" spans="2:105" x14ac:dyDescent="0.35">
      <c r="B45" s="14"/>
      <c r="E45" s="12">
        <f t="shared" si="94"/>
        <v>43988</v>
      </c>
      <c r="F45" s="7">
        <f t="shared" si="1"/>
        <v>0</v>
      </c>
      <c r="G45" s="6">
        <f t="shared" si="2"/>
        <v>0</v>
      </c>
      <c r="H45" s="7">
        <f t="shared" si="3"/>
        <v>20</v>
      </c>
      <c r="I45" s="6">
        <f t="shared" si="4"/>
        <v>21</v>
      </c>
      <c r="J45" s="5">
        <f t="shared" si="5"/>
        <v>20</v>
      </c>
      <c r="K45" s="6">
        <f t="shared" si="6"/>
        <v>21</v>
      </c>
      <c r="L45" s="7">
        <f t="shared" si="7"/>
        <v>0</v>
      </c>
      <c r="M45" s="6">
        <f t="shared" si="8"/>
        <v>0</v>
      </c>
      <c r="N45" s="7">
        <f t="shared" si="9"/>
        <v>13.142857142857142</v>
      </c>
      <c r="O45" s="6">
        <f t="shared" si="10"/>
        <v>14.285714285714285</v>
      </c>
      <c r="P45" s="5">
        <f t="shared" si="11"/>
        <v>13.142857142857142</v>
      </c>
      <c r="Q45" s="6">
        <f t="shared" si="12"/>
        <v>14.285714285714285</v>
      </c>
      <c r="R45" s="7">
        <f t="shared" si="13"/>
        <v>0</v>
      </c>
      <c r="S45" s="6">
        <f t="shared" si="14"/>
        <v>0</v>
      </c>
      <c r="T45" s="7">
        <f t="shared" si="15"/>
        <v>9.5714285714285712</v>
      </c>
      <c r="U45" s="6">
        <f t="shared" si="16"/>
        <v>10.285714285714285</v>
      </c>
      <c r="V45" s="5">
        <f t="shared" si="17"/>
        <v>9.5714285714285712</v>
      </c>
      <c r="W45" s="6">
        <f t="shared" si="18"/>
        <v>10.285714285714285</v>
      </c>
      <c r="X45" s="7">
        <f t="shared" si="19"/>
        <v>70</v>
      </c>
      <c r="Y45" s="6">
        <f t="shared" si="20"/>
        <v>71</v>
      </c>
      <c r="Z45" s="7">
        <f t="shared" si="21"/>
        <v>0</v>
      </c>
      <c r="AA45" s="6">
        <f t="shared" si="22"/>
        <v>0</v>
      </c>
      <c r="AB45" s="5">
        <f t="shared" si="23"/>
        <v>70</v>
      </c>
      <c r="AC45" s="6">
        <f t="shared" si="24"/>
        <v>71</v>
      </c>
      <c r="AD45" s="7">
        <f t="shared" si="25"/>
        <v>30</v>
      </c>
      <c r="AE45" s="6">
        <f t="shared" si="26"/>
        <v>31.75</v>
      </c>
      <c r="AF45" s="7">
        <f t="shared" si="27"/>
        <v>0</v>
      </c>
      <c r="AG45" s="6">
        <f t="shared" si="28"/>
        <v>0</v>
      </c>
      <c r="AH45" s="5">
        <f t="shared" si="29"/>
        <v>30</v>
      </c>
      <c r="AI45" s="6">
        <f t="shared" si="30"/>
        <v>31.75</v>
      </c>
      <c r="AJ45" s="7">
        <f t="shared" si="31"/>
        <v>0</v>
      </c>
      <c r="AK45" s="6">
        <f t="shared" si="32"/>
        <v>0</v>
      </c>
      <c r="AL45" s="7">
        <f t="shared" si="33"/>
        <v>0</v>
      </c>
      <c r="AM45" s="6">
        <f t="shared" si="34"/>
        <v>0</v>
      </c>
      <c r="AN45" s="5">
        <f t="shared" si="35"/>
        <v>0</v>
      </c>
      <c r="AO45" s="6">
        <f t="shared" si="36"/>
        <v>0</v>
      </c>
      <c r="AP45" s="7">
        <f t="shared" si="37"/>
        <v>0</v>
      </c>
      <c r="AQ45" s="6">
        <f t="shared" si="38"/>
        <v>0</v>
      </c>
      <c r="AR45" s="7">
        <f t="shared" si="39"/>
        <v>0</v>
      </c>
      <c r="AS45" s="6">
        <f t="shared" si="40"/>
        <v>0</v>
      </c>
      <c r="AT45" s="5">
        <f t="shared" si="41"/>
        <v>0</v>
      </c>
      <c r="AU45" s="6">
        <f t="shared" si="42"/>
        <v>0</v>
      </c>
      <c r="AV45" s="7">
        <f t="shared" si="43"/>
        <v>0</v>
      </c>
      <c r="AW45" s="6">
        <f t="shared" si="44"/>
        <v>0</v>
      </c>
      <c r="AX45" s="7">
        <f t="shared" si="45"/>
        <v>0</v>
      </c>
      <c r="AY45" s="6">
        <f t="shared" si="46"/>
        <v>0</v>
      </c>
      <c r="AZ45" s="5">
        <f t="shared" si="47"/>
        <v>0</v>
      </c>
      <c r="BA45" s="6">
        <f t="shared" si="48"/>
        <v>0</v>
      </c>
      <c r="BB45" s="7">
        <f t="shared" si="49"/>
        <v>0</v>
      </c>
      <c r="BC45" s="6">
        <f t="shared" si="50"/>
        <v>0</v>
      </c>
      <c r="BD45" s="7">
        <f t="shared" si="51"/>
        <v>0</v>
      </c>
      <c r="BE45" s="6">
        <f t="shared" si="52"/>
        <v>0</v>
      </c>
      <c r="BF45" s="5">
        <f t="shared" si="53"/>
        <v>0</v>
      </c>
      <c r="BG45" s="6">
        <f t="shared" si="54"/>
        <v>0</v>
      </c>
      <c r="BH45" s="7">
        <f t="shared" si="55"/>
        <v>0</v>
      </c>
      <c r="BI45" s="6">
        <f t="shared" si="56"/>
        <v>0</v>
      </c>
      <c r="BJ45" s="7">
        <f t="shared" si="57"/>
        <v>0</v>
      </c>
      <c r="BK45" s="6">
        <f t="shared" si="58"/>
        <v>0</v>
      </c>
      <c r="BL45" s="5">
        <f t="shared" si="59"/>
        <v>0</v>
      </c>
      <c r="BM45" s="6">
        <f t="shared" si="60"/>
        <v>0</v>
      </c>
      <c r="BN45" s="7">
        <f t="shared" si="61"/>
        <v>0</v>
      </c>
      <c r="BO45" s="6">
        <f t="shared" si="62"/>
        <v>0</v>
      </c>
      <c r="BP45" s="7">
        <f t="shared" si="63"/>
        <v>0</v>
      </c>
      <c r="BQ45" s="6">
        <f t="shared" si="64"/>
        <v>0</v>
      </c>
      <c r="BR45" s="5">
        <f t="shared" si="65"/>
        <v>0</v>
      </c>
      <c r="BS45" s="6">
        <f t="shared" si="66"/>
        <v>0</v>
      </c>
      <c r="BT45" s="7">
        <f t="shared" si="67"/>
        <v>0</v>
      </c>
      <c r="BU45" s="6">
        <f t="shared" si="68"/>
        <v>0</v>
      </c>
      <c r="BV45" s="7">
        <f t="shared" si="69"/>
        <v>0</v>
      </c>
      <c r="BW45" s="6">
        <f t="shared" si="70"/>
        <v>0</v>
      </c>
      <c r="BX45" s="5">
        <f t="shared" si="71"/>
        <v>0</v>
      </c>
      <c r="BY45" s="6">
        <f t="shared" si="72"/>
        <v>0</v>
      </c>
      <c r="BZ45" s="7">
        <f t="shared" si="73"/>
        <v>0</v>
      </c>
      <c r="CA45" s="6">
        <f t="shared" si="74"/>
        <v>0</v>
      </c>
      <c r="CB45" s="7">
        <f t="shared" si="75"/>
        <v>0</v>
      </c>
      <c r="CC45" s="6">
        <f t="shared" si="76"/>
        <v>0</v>
      </c>
      <c r="CD45" s="5">
        <f t="shared" si="77"/>
        <v>0</v>
      </c>
      <c r="CE45" s="6">
        <f t="shared" si="78"/>
        <v>0</v>
      </c>
      <c r="CF45" s="7">
        <f t="shared" si="79"/>
        <v>0</v>
      </c>
      <c r="CG45" s="6">
        <f t="shared" si="80"/>
        <v>0</v>
      </c>
      <c r="CH45" s="7">
        <f t="shared" si="81"/>
        <v>0</v>
      </c>
      <c r="CI45" s="6">
        <f t="shared" si="82"/>
        <v>0</v>
      </c>
      <c r="CJ45" s="5">
        <f t="shared" si="83"/>
        <v>0</v>
      </c>
      <c r="CK45" s="6">
        <f t="shared" si="84"/>
        <v>0</v>
      </c>
      <c r="CL45" s="7">
        <f t="shared" si="85"/>
        <v>0</v>
      </c>
      <c r="CM45" s="6">
        <f t="shared" si="86"/>
        <v>0</v>
      </c>
      <c r="CN45" s="7">
        <f t="shared" si="87"/>
        <v>0</v>
      </c>
      <c r="CO45" s="6">
        <f t="shared" si="88"/>
        <v>0</v>
      </c>
      <c r="CP45" s="5">
        <f t="shared" si="89"/>
        <v>0</v>
      </c>
      <c r="CQ45" s="6">
        <f t="shared" si="90"/>
        <v>0</v>
      </c>
      <c r="CR45" s="7">
        <f t="shared" ref="CR45:CU56" si="96">SUMIFS($F45:$CO45,$F$2:$CO$2,CR$2,$F$4:$CO$4,CR$4)</f>
        <v>100</v>
      </c>
      <c r="CS45" s="6">
        <f t="shared" si="96"/>
        <v>102.75</v>
      </c>
      <c r="CT45" s="7">
        <f t="shared" si="96"/>
        <v>42.714285714285708</v>
      </c>
      <c r="CU45" s="6">
        <f t="shared" si="96"/>
        <v>45.571428571428569</v>
      </c>
      <c r="CV45" s="5">
        <f t="shared" si="91"/>
        <v>142.71428571428572</v>
      </c>
      <c r="CW45" s="6">
        <f t="shared" si="92"/>
        <v>148.32142857142856</v>
      </c>
      <c r="CY45" s="7">
        <v>142.71428571428572</v>
      </c>
      <c r="CZ45" s="5">
        <f t="array" ref="CZ45">Summary_UpperBound</f>
        <v>148.32142857142856</v>
      </c>
      <c r="DA45" s="6">
        <f t="shared" si="93"/>
        <v>5.6071428571428328</v>
      </c>
    </row>
    <row r="46" spans="2:105" x14ac:dyDescent="0.35">
      <c r="B46" s="14"/>
      <c r="E46" s="12">
        <f t="shared" si="94"/>
        <v>43995</v>
      </c>
      <c r="F46" s="7">
        <f t="shared" si="1"/>
        <v>0</v>
      </c>
      <c r="G46" s="6">
        <f t="shared" si="2"/>
        <v>0</v>
      </c>
      <c r="H46" s="7">
        <f t="shared" si="3"/>
        <v>20</v>
      </c>
      <c r="I46" s="6">
        <f t="shared" si="4"/>
        <v>21</v>
      </c>
      <c r="J46" s="5">
        <f t="shared" si="5"/>
        <v>20</v>
      </c>
      <c r="K46" s="6">
        <f t="shared" si="6"/>
        <v>21</v>
      </c>
      <c r="L46" s="7">
        <f t="shared" si="7"/>
        <v>0</v>
      </c>
      <c r="M46" s="6">
        <f t="shared" si="8"/>
        <v>0</v>
      </c>
      <c r="N46" s="7">
        <f t="shared" si="9"/>
        <v>13.142857142857142</v>
      </c>
      <c r="O46" s="6">
        <f t="shared" si="10"/>
        <v>14.285714285714285</v>
      </c>
      <c r="P46" s="5">
        <f t="shared" si="11"/>
        <v>13.142857142857142</v>
      </c>
      <c r="Q46" s="6">
        <f t="shared" si="12"/>
        <v>14.285714285714285</v>
      </c>
      <c r="R46" s="7">
        <f t="shared" si="13"/>
        <v>0</v>
      </c>
      <c r="S46" s="6">
        <f t="shared" si="14"/>
        <v>0</v>
      </c>
      <c r="T46" s="7">
        <f t="shared" si="15"/>
        <v>9.5714285714285712</v>
      </c>
      <c r="U46" s="6">
        <f t="shared" si="16"/>
        <v>10.285714285714285</v>
      </c>
      <c r="V46" s="5">
        <f t="shared" si="17"/>
        <v>9.5714285714285712</v>
      </c>
      <c r="W46" s="6">
        <f t="shared" si="18"/>
        <v>10.285714285714285</v>
      </c>
      <c r="X46" s="7">
        <f t="shared" si="19"/>
        <v>70</v>
      </c>
      <c r="Y46" s="6">
        <f t="shared" si="20"/>
        <v>71</v>
      </c>
      <c r="Z46" s="7">
        <f t="shared" si="21"/>
        <v>0</v>
      </c>
      <c r="AA46" s="6">
        <f t="shared" si="22"/>
        <v>0</v>
      </c>
      <c r="AB46" s="5">
        <f t="shared" si="23"/>
        <v>70</v>
      </c>
      <c r="AC46" s="6">
        <f t="shared" si="24"/>
        <v>71</v>
      </c>
      <c r="AD46" s="7">
        <f t="shared" si="25"/>
        <v>30</v>
      </c>
      <c r="AE46" s="6">
        <f t="shared" si="26"/>
        <v>31.75</v>
      </c>
      <c r="AF46" s="7">
        <f t="shared" si="27"/>
        <v>0</v>
      </c>
      <c r="AG46" s="6">
        <f t="shared" si="28"/>
        <v>0</v>
      </c>
      <c r="AH46" s="5">
        <f t="shared" si="29"/>
        <v>30</v>
      </c>
      <c r="AI46" s="6">
        <f t="shared" si="30"/>
        <v>31.75</v>
      </c>
      <c r="AJ46" s="7">
        <f t="shared" si="31"/>
        <v>0</v>
      </c>
      <c r="AK46" s="6">
        <f t="shared" si="32"/>
        <v>0</v>
      </c>
      <c r="AL46" s="7">
        <f t="shared" si="33"/>
        <v>0</v>
      </c>
      <c r="AM46" s="6">
        <f t="shared" si="34"/>
        <v>0</v>
      </c>
      <c r="AN46" s="5">
        <f t="shared" si="35"/>
        <v>0</v>
      </c>
      <c r="AO46" s="6">
        <f t="shared" si="36"/>
        <v>0</v>
      </c>
      <c r="AP46" s="7">
        <f t="shared" si="37"/>
        <v>0</v>
      </c>
      <c r="AQ46" s="6">
        <f t="shared" si="38"/>
        <v>0</v>
      </c>
      <c r="AR46" s="7">
        <f t="shared" si="39"/>
        <v>0</v>
      </c>
      <c r="AS46" s="6">
        <f t="shared" si="40"/>
        <v>0</v>
      </c>
      <c r="AT46" s="5">
        <f t="shared" si="41"/>
        <v>0</v>
      </c>
      <c r="AU46" s="6">
        <f t="shared" si="42"/>
        <v>0</v>
      </c>
      <c r="AV46" s="7">
        <f t="shared" si="43"/>
        <v>0</v>
      </c>
      <c r="AW46" s="6">
        <f t="shared" si="44"/>
        <v>0</v>
      </c>
      <c r="AX46" s="7">
        <f t="shared" si="45"/>
        <v>0</v>
      </c>
      <c r="AY46" s="6">
        <f t="shared" si="46"/>
        <v>0</v>
      </c>
      <c r="AZ46" s="5">
        <f t="shared" si="47"/>
        <v>0</v>
      </c>
      <c r="BA46" s="6">
        <f t="shared" si="48"/>
        <v>0</v>
      </c>
      <c r="BB46" s="7">
        <f t="shared" si="49"/>
        <v>0</v>
      </c>
      <c r="BC46" s="6">
        <f t="shared" si="50"/>
        <v>0</v>
      </c>
      <c r="BD46" s="7">
        <f t="shared" si="51"/>
        <v>0</v>
      </c>
      <c r="BE46" s="6">
        <f t="shared" si="52"/>
        <v>0</v>
      </c>
      <c r="BF46" s="5">
        <f t="shared" si="53"/>
        <v>0</v>
      </c>
      <c r="BG46" s="6">
        <f t="shared" si="54"/>
        <v>0</v>
      </c>
      <c r="BH46" s="7">
        <f t="shared" si="55"/>
        <v>0</v>
      </c>
      <c r="BI46" s="6">
        <f t="shared" si="56"/>
        <v>0</v>
      </c>
      <c r="BJ46" s="7">
        <f t="shared" si="57"/>
        <v>0</v>
      </c>
      <c r="BK46" s="6">
        <f t="shared" si="58"/>
        <v>0</v>
      </c>
      <c r="BL46" s="5">
        <f t="shared" si="59"/>
        <v>0</v>
      </c>
      <c r="BM46" s="6">
        <f t="shared" si="60"/>
        <v>0</v>
      </c>
      <c r="BN46" s="7">
        <f t="shared" si="61"/>
        <v>0</v>
      </c>
      <c r="BO46" s="6">
        <f t="shared" si="62"/>
        <v>0</v>
      </c>
      <c r="BP46" s="7">
        <f t="shared" si="63"/>
        <v>0</v>
      </c>
      <c r="BQ46" s="6">
        <f t="shared" si="64"/>
        <v>0</v>
      </c>
      <c r="BR46" s="5">
        <f t="shared" si="65"/>
        <v>0</v>
      </c>
      <c r="BS46" s="6">
        <f t="shared" si="66"/>
        <v>0</v>
      </c>
      <c r="BT46" s="7">
        <f t="shared" si="67"/>
        <v>0</v>
      </c>
      <c r="BU46" s="6">
        <f t="shared" si="68"/>
        <v>0</v>
      </c>
      <c r="BV46" s="7">
        <f t="shared" si="69"/>
        <v>0</v>
      </c>
      <c r="BW46" s="6">
        <f t="shared" si="70"/>
        <v>0</v>
      </c>
      <c r="BX46" s="5">
        <f t="shared" si="71"/>
        <v>0</v>
      </c>
      <c r="BY46" s="6">
        <f t="shared" si="72"/>
        <v>0</v>
      </c>
      <c r="BZ46" s="7">
        <f t="shared" si="73"/>
        <v>0</v>
      </c>
      <c r="CA46" s="6">
        <f t="shared" si="74"/>
        <v>0</v>
      </c>
      <c r="CB46" s="7">
        <f t="shared" si="75"/>
        <v>0</v>
      </c>
      <c r="CC46" s="6">
        <f t="shared" si="76"/>
        <v>0</v>
      </c>
      <c r="CD46" s="5">
        <f t="shared" si="77"/>
        <v>0</v>
      </c>
      <c r="CE46" s="6">
        <f t="shared" si="78"/>
        <v>0</v>
      </c>
      <c r="CF46" s="7">
        <f t="shared" si="79"/>
        <v>0</v>
      </c>
      <c r="CG46" s="6">
        <f t="shared" si="80"/>
        <v>0</v>
      </c>
      <c r="CH46" s="7">
        <f t="shared" si="81"/>
        <v>0</v>
      </c>
      <c r="CI46" s="6">
        <f t="shared" si="82"/>
        <v>0</v>
      </c>
      <c r="CJ46" s="5">
        <f t="shared" si="83"/>
        <v>0</v>
      </c>
      <c r="CK46" s="6">
        <f t="shared" si="84"/>
        <v>0</v>
      </c>
      <c r="CL46" s="7">
        <f t="shared" si="85"/>
        <v>0</v>
      </c>
      <c r="CM46" s="6">
        <f t="shared" si="86"/>
        <v>0</v>
      </c>
      <c r="CN46" s="7">
        <f t="shared" si="87"/>
        <v>0</v>
      </c>
      <c r="CO46" s="6">
        <f t="shared" si="88"/>
        <v>0</v>
      </c>
      <c r="CP46" s="5">
        <f t="shared" si="89"/>
        <v>0</v>
      </c>
      <c r="CQ46" s="6">
        <f t="shared" si="90"/>
        <v>0</v>
      </c>
      <c r="CR46" s="7">
        <f t="shared" si="96"/>
        <v>100</v>
      </c>
      <c r="CS46" s="6">
        <f t="shared" si="96"/>
        <v>102.75</v>
      </c>
      <c r="CT46" s="7">
        <f t="shared" si="96"/>
        <v>42.714285714285708</v>
      </c>
      <c r="CU46" s="6">
        <f t="shared" si="96"/>
        <v>45.571428571428569</v>
      </c>
      <c r="CV46" s="5">
        <f t="shared" si="91"/>
        <v>142.71428571428572</v>
      </c>
      <c r="CW46" s="6">
        <f t="shared" si="92"/>
        <v>148.32142857142856</v>
      </c>
      <c r="CY46" s="7">
        <v>142.71428571428572</v>
      </c>
      <c r="CZ46" s="5">
        <f t="array" ref="CZ46">Summary_UpperBound</f>
        <v>148.32142857142856</v>
      </c>
      <c r="DA46" s="6">
        <f t="shared" si="93"/>
        <v>5.6071428571428328</v>
      </c>
    </row>
    <row r="47" spans="2:105" x14ac:dyDescent="0.35">
      <c r="B47" s="14"/>
      <c r="E47" s="12">
        <f t="shared" si="94"/>
        <v>44002</v>
      </c>
      <c r="F47" s="7">
        <f t="shared" si="1"/>
        <v>0</v>
      </c>
      <c r="G47" s="6">
        <f t="shared" si="2"/>
        <v>0</v>
      </c>
      <c r="H47" s="7">
        <f t="shared" si="3"/>
        <v>20</v>
      </c>
      <c r="I47" s="6">
        <f t="shared" si="4"/>
        <v>21</v>
      </c>
      <c r="J47" s="5">
        <f t="shared" si="5"/>
        <v>20</v>
      </c>
      <c r="K47" s="6">
        <f t="shared" si="6"/>
        <v>21</v>
      </c>
      <c r="L47" s="7">
        <f t="shared" si="7"/>
        <v>0</v>
      </c>
      <c r="M47" s="6">
        <f t="shared" si="8"/>
        <v>0</v>
      </c>
      <c r="N47" s="7">
        <f t="shared" si="9"/>
        <v>13.142857142857142</v>
      </c>
      <c r="O47" s="6">
        <f t="shared" si="10"/>
        <v>14.285714285714285</v>
      </c>
      <c r="P47" s="5">
        <f t="shared" si="11"/>
        <v>13.142857142857142</v>
      </c>
      <c r="Q47" s="6">
        <f t="shared" si="12"/>
        <v>14.285714285714285</v>
      </c>
      <c r="R47" s="7">
        <f t="shared" si="13"/>
        <v>0</v>
      </c>
      <c r="S47" s="6">
        <f t="shared" si="14"/>
        <v>0</v>
      </c>
      <c r="T47" s="7">
        <f t="shared" si="15"/>
        <v>9.5714285714285712</v>
      </c>
      <c r="U47" s="6">
        <f t="shared" si="16"/>
        <v>10.285714285714285</v>
      </c>
      <c r="V47" s="5">
        <f t="shared" si="17"/>
        <v>9.5714285714285712</v>
      </c>
      <c r="W47" s="6">
        <f t="shared" si="18"/>
        <v>10.285714285714285</v>
      </c>
      <c r="X47" s="7">
        <f t="shared" si="19"/>
        <v>70</v>
      </c>
      <c r="Y47" s="6">
        <f t="shared" si="20"/>
        <v>71</v>
      </c>
      <c r="Z47" s="7">
        <f t="shared" si="21"/>
        <v>0</v>
      </c>
      <c r="AA47" s="6">
        <f t="shared" si="22"/>
        <v>0</v>
      </c>
      <c r="AB47" s="5">
        <f t="shared" si="23"/>
        <v>70</v>
      </c>
      <c r="AC47" s="6">
        <f t="shared" si="24"/>
        <v>71</v>
      </c>
      <c r="AD47" s="7">
        <f t="shared" si="25"/>
        <v>30</v>
      </c>
      <c r="AE47" s="6">
        <f t="shared" si="26"/>
        <v>31.75</v>
      </c>
      <c r="AF47" s="7">
        <f t="shared" si="27"/>
        <v>0</v>
      </c>
      <c r="AG47" s="6">
        <f t="shared" si="28"/>
        <v>0</v>
      </c>
      <c r="AH47" s="5">
        <f t="shared" si="29"/>
        <v>30</v>
      </c>
      <c r="AI47" s="6">
        <f t="shared" si="30"/>
        <v>31.75</v>
      </c>
      <c r="AJ47" s="7">
        <f t="shared" si="31"/>
        <v>0</v>
      </c>
      <c r="AK47" s="6">
        <f t="shared" si="32"/>
        <v>0</v>
      </c>
      <c r="AL47" s="7">
        <f t="shared" si="33"/>
        <v>0</v>
      </c>
      <c r="AM47" s="6">
        <f t="shared" si="34"/>
        <v>0</v>
      </c>
      <c r="AN47" s="5">
        <f t="shared" si="35"/>
        <v>0</v>
      </c>
      <c r="AO47" s="6">
        <f t="shared" si="36"/>
        <v>0</v>
      </c>
      <c r="AP47" s="7">
        <f t="shared" si="37"/>
        <v>0</v>
      </c>
      <c r="AQ47" s="6">
        <f t="shared" si="38"/>
        <v>0</v>
      </c>
      <c r="AR47" s="7">
        <f t="shared" si="39"/>
        <v>0</v>
      </c>
      <c r="AS47" s="6">
        <f t="shared" si="40"/>
        <v>0</v>
      </c>
      <c r="AT47" s="5">
        <f t="shared" si="41"/>
        <v>0</v>
      </c>
      <c r="AU47" s="6">
        <f t="shared" si="42"/>
        <v>0</v>
      </c>
      <c r="AV47" s="7">
        <f t="shared" si="43"/>
        <v>0</v>
      </c>
      <c r="AW47" s="6">
        <f t="shared" si="44"/>
        <v>0</v>
      </c>
      <c r="AX47" s="7">
        <f t="shared" si="45"/>
        <v>0</v>
      </c>
      <c r="AY47" s="6">
        <f t="shared" si="46"/>
        <v>0</v>
      </c>
      <c r="AZ47" s="5">
        <f t="shared" si="47"/>
        <v>0</v>
      </c>
      <c r="BA47" s="6">
        <f t="shared" si="48"/>
        <v>0</v>
      </c>
      <c r="BB47" s="7">
        <f t="shared" si="49"/>
        <v>0</v>
      </c>
      <c r="BC47" s="6">
        <f t="shared" si="50"/>
        <v>0</v>
      </c>
      <c r="BD47" s="7">
        <f t="shared" si="51"/>
        <v>0</v>
      </c>
      <c r="BE47" s="6">
        <f t="shared" si="52"/>
        <v>0</v>
      </c>
      <c r="BF47" s="5">
        <f t="shared" si="53"/>
        <v>0</v>
      </c>
      <c r="BG47" s="6">
        <f t="shared" si="54"/>
        <v>0</v>
      </c>
      <c r="BH47" s="7">
        <f t="shared" si="55"/>
        <v>0</v>
      </c>
      <c r="BI47" s="6">
        <f t="shared" si="56"/>
        <v>0</v>
      </c>
      <c r="BJ47" s="7">
        <f t="shared" si="57"/>
        <v>0</v>
      </c>
      <c r="BK47" s="6">
        <f t="shared" si="58"/>
        <v>0</v>
      </c>
      <c r="BL47" s="5">
        <f t="shared" si="59"/>
        <v>0</v>
      </c>
      <c r="BM47" s="6">
        <f t="shared" si="60"/>
        <v>0</v>
      </c>
      <c r="BN47" s="7">
        <f t="shared" si="61"/>
        <v>0</v>
      </c>
      <c r="BO47" s="6">
        <f t="shared" si="62"/>
        <v>0</v>
      </c>
      <c r="BP47" s="7">
        <f t="shared" si="63"/>
        <v>0</v>
      </c>
      <c r="BQ47" s="6">
        <f t="shared" si="64"/>
        <v>0</v>
      </c>
      <c r="BR47" s="5">
        <f t="shared" si="65"/>
        <v>0</v>
      </c>
      <c r="BS47" s="6">
        <f t="shared" si="66"/>
        <v>0</v>
      </c>
      <c r="BT47" s="7">
        <f t="shared" si="67"/>
        <v>0</v>
      </c>
      <c r="BU47" s="6">
        <f t="shared" si="68"/>
        <v>0</v>
      </c>
      <c r="BV47" s="7">
        <f t="shared" si="69"/>
        <v>0</v>
      </c>
      <c r="BW47" s="6">
        <f t="shared" si="70"/>
        <v>0</v>
      </c>
      <c r="BX47" s="5">
        <f t="shared" si="71"/>
        <v>0</v>
      </c>
      <c r="BY47" s="6">
        <f t="shared" si="72"/>
        <v>0</v>
      </c>
      <c r="BZ47" s="7">
        <f t="shared" si="73"/>
        <v>0</v>
      </c>
      <c r="CA47" s="6">
        <f t="shared" si="74"/>
        <v>0</v>
      </c>
      <c r="CB47" s="7">
        <f t="shared" si="75"/>
        <v>0</v>
      </c>
      <c r="CC47" s="6">
        <f t="shared" si="76"/>
        <v>0</v>
      </c>
      <c r="CD47" s="5">
        <f t="shared" si="77"/>
        <v>0</v>
      </c>
      <c r="CE47" s="6">
        <f t="shared" si="78"/>
        <v>0</v>
      </c>
      <c r="CF47" s="7">
        <f t="shared" si="79"/>
        <v>0</v>
      </c>
      <c r="CG47" s="6">
        <f t="shared" si="80"/>
        <v>0</v>
      </c>
      <c r="CH47" s="7">
        <f t="shared" si="81"/>
        <v>0</v>
      </c>
      <c r="CI47" s="6">
        <f t="shared" si="82"/>
        <v>0</v>
      </c>
      <c r="CJ47" s="5">
        <f t="shared" si="83"/>
        <v>0</v>
      </c>
      <c r="CK47" s="6">
        <f t="shared" si="84"/>
        <v>0</v>
      </c>
      <c r="CL47" s="7">
        <f t="shared" si="85"/>
        <v>0</v>
      </c>
      <c r="CM47" s="6">
        <f t="shared" si="86"/>
        <v>0</v>
      </c>
      <c r="CN47" s="7">
        <f t="shared" si="87"/>
        <v>0</v>
      </c>
      <c r="CO47" s="6">
        <f t="shared" si="88"/>
        <v>0</v>
      </c>
      <c r="CP47" s="5">
        <f t="shared" si="89"/>
        <v>0</v>
      </c>
      <c r="CQ47" s="6">
        <f t="shared" si="90"/>
        <v>0</v>
      </c>
      <c r="CR47" s="7">
        <f t="shared" si="96"/>
        <v>100</v>
      </c>
      <c r="CS47" s="6">
        <f t="shared" si="96"/>
        <v>102.75</v>
      </c>
      <c r="CT47" s="7">
        <f t="shared" si="96"/>
        <v>42.714285714285708</v>
      </c>
      <c r="CU47" s="6">
        <f t="shared" si="96"/>
        <v>45.571428571428569</v>
      </c>
      <c r="CV47" s="5">
        <f t="shared" si="91"/>
        <v>142.71428571428572</v>
      </c>
      <c r="CW47" s="6">
        <f t="shared" si="92"/>
        <v>148.32142857142856</v>
      </c>
      <c r="CY47" s="7">
        <v>142.71428571428572</v>
      </c>
      <c r="CZ47" s="5">
        <f t="array" ref="CZ47">Summary_UpperBound</f>
        <v>148.32142857142856</v>
      </c>
      <c r="DA47" s="6">
        <f t="shared" si="93"/>
        <v>5.6071428571428328</v>
      </c>
    </row>
    <row r="48" spans="2:105" x14ac:dyDescent="0.35">
      <c r="B48" s="14"/>
      <c r="E48" s="12">
        <f t="shared" si="94"/>
        <v>44009</v>
      </c>
      <c r="F48" s="7">
        <f t="shared" si="1"/>
        <v>0</v>
      </c>
      <c r="G48" s="6">
        <f t="shared" si="2"/>
        <v>0</v>
      </c>
      <c r="H48" s="7">
        <f t="shared" si="3"/>
        <v>20</v>
      </c>
      <c r="I48" s="6">
        <f t="shared" si="4"/>
        <v>21</v>
      </c>
      <c r="J48" s="5">
        <f t="shared" si="5"/>
        <v>20</v>
      </c>
      <c r="K48" s="6">
        <f t="shared" si="6"/>
        <v>21</v>
      </c>
      <c r="L48" s="7">
        <f t="shared" si="7"/>
        <v>0</v>
      </c>
      <c r="M48" s="6">
        <f t="shared" si="8"/>
        <v>0</v>
      </c>
      <c r="N48" s="7">
        <f t="shared" si="9"/>
        <v>13.142857142857142</v>
      </c>
      <c r="O48" s="6">
        <f t="shared" si="10"/>
        <v>14.285714285714285</v>
      </c>
      <c r="P48" s="5">
        <f t="shared" si="11"/>
        <v>13.142857142857142</v>
      </c>
      <c r="Q48" s="6">
        <f t="shared" si="12"/>
        <v>14.285714285714285</v>
      </c>
      <c r="R48" s="7">
        <f t="shared" si="13"/>
        <v>0</v>
      </c>
      <c r="S48" s="6">
        <f t="shared" si="14"/>
        <v>0</v>
      </c>
      <c r="T48" s="7">
        <f t="shared" si="15"/>
        <v>9.5714285714285712</v>
      </c>
      <c r="U48" s="6">
        <f t="shared" si="16"/>
        <v>10.285714285714285</v>
      </c>
      <c r="V48" s="5">
        <f t="shared" si="17"/>
        <v>9.5714285714285712</v>
      </c>
      <c r="W48" s="6">
        <f t="shared" si="18"/>
        <v>10.285714285714285</v>
      </c>
      <c r="X48" s="7">
        <f t="shared" si="19"/>
        <v>70</v>
      </c>
      <c r="Y48" s="6">
        <f t="shared" si="20"/>
        <v>71</v>
      </c>
      <c r="Z48" s="7">
        <f t="shared" si="21"/>
        <v>0</v>
      </c>
      <c r="AA48" s="6">
        <f t="shared" si="22"/>
        <v>0</v>
      </c>
      <c r="AB48" s="5">
        <f t="shared" si="23"/>
        <v>70</v>
      </c>
      <c r="AC48" s="6">
        <f t="shared" si="24"/>
        <v>71</v>
      </c>
      <c r="AD48" s="7">
        <f t="shared" si="25"/>
        <v>30</v>
      </c>
      <c r="AE48" s="6">
        <f t="shared" si="26"/>
        <v>31.75</v>
      </c>
      <c r="AF48" s="7">
        <f t="shared" si="27"/>
        <v>0</v>
      </c>
      <c r="AG48" s="6">
        <f t="shared" si="28"/>
        <v>0</v>
      </c>
      <c r="AH48" s="5">
        <f t="shared" si="29"/>
        <v>30</v>
      </c>
      <c r="AI48" s="6">
        <f t="shared" si="30"/>
        <v>31.75</v>
      </c>
      <c r="AJ48" s="7">
        <f t="shared" si="31"/>
        <v>0</v>
      </c>
      <c r="AK48" s="6">
        <f t="shared" si="32"/>
        <v>0</v>
      </c>
      <c r="AL48" s="7">
        <f t="shared" si="33"/>
        <v>0</v>
      </c>
      <c r="AM48" s="6">
        <f t="shared" si="34"/>
        <v>0</v>
      </c>
      <c r="AN48" s="5">
        <f t="shared" si="35"/>
        <v>0</v>
      </c>
      <c r="AO48" s="6">
        <f t="shared" si="36"/>
        <v>0</v>
      </c>
      <c r="AP48" s="7">
        <f t="shared" si="37"/>
        <v>0</v>
      </c>
      <c r="AQ48" s="6">
        <f t="shared" si="38"/>
        <v>0</v>
      </c>
      <c r="AR48" s="7">
        <f t="shared" si="39"/>
        <v>0</v>
      </c>
      <c r="AS48" s="6">
        <f t="shared" si="40"/>
        <v>0</v>
      </c>
      <c r="AT48" s="5">
        <f t="shared" si="41"/>
        <v>0</v>
      </c>
      <c r="AU48" s="6">
        <f t="shared" si="42"/>
        <v>0</v>
      </c>
      <c r="AV48" s="7">
        <f t="shared" si="43"/>
        <v>0</v>
      </c>
      <c r="AW48" s="6">
        <f t="shared" si="44"/>
        <v>0</v>
      </c>
      <c r="AX48" s="7">
        <f t="shared" si="45"/>
        <v>0</v>
      </c>
      <c r="AY48" s="6">
        <f t="shared" si="46"/>
        <v>0</v>
      </c>
      <c r="AZ48" s="5">
        <f t="shared" si="47"/>
        <v>0</v>
      </c>
      <c r="BA48" s="6">
        <f t="shared" si="48"/>
        <v>0</v>
      </c>
      <c r="BB48" s="7">
        <f t="shared" si="49"/>
        <v>0</v>
      </c>
      <c r="BC48" s="6">
        <f t="shared" si="50"/>
        <v>0</v>
      </c>
      <c r="BD48" s="7">
        <f t="shared" si="51"/>
        <v>0</v>
      </c>
      <c r="BE48" s="6">
        <f t="shared" si="52"/>
        <v>0</v>
      </c>
      <c r="BF48" s="5">
        <f t="shared" si="53"/>
        <v>0</v>
      </c>
      <c r="BG48" s="6">
        <f t="shared" si="54"/>
        <v>0</v>
      </c>
      <c r="BH48" s="7">
        <f t="shared" si="55"/>
        <v>0</v>
      </c>
      <c r="BI48" s="6">
        <f t="shared" si="56"/>
        <v>0</v>
      </c>
      <c r="BJ48" s="7">
        <f t="shared" si="57"/>
        <v>0</v>
      </c>
      <c r="BK48" s="6">
        <f t="shared" si="58"/>
        <v>0</v>
      </c>
      <c r="BL48" s="5">
        <f t="shared" si="59"/>
        <v>0</v>
      </c>
      <c r="BM48" s="6">
        <f t="shared" si="60"/>
        <v>0</v>
      </c>
      <c r="BN48" s="7">
        <f t="shared" si="61"/>
        <v>0</v>
      </c>
      <c r="BO48" s="6">
        <f t="shared" si="62"/>
        <v>0</v>
      </c>
      <c r="BP48" s="7">
        <f t="shared" si="63"/>
        <v>0</v>
      </c>
      <c r="BQ48" s="6">
        <f t="shared" si="64"/>
        <v>0</v>
      </c>
      <c r="BR48" s="5">
        <f t="shared" si="65"/>
        <v>0</v>
      </c>
      <c r="BS48" s="6">
        <f t="shared" si="66"/>
        <v>0</v>
      </c>
      <c r="BT48" s="7">
        <f t="shared" si="67"/>
        <v>0</v>
      </c>
      <c r="BU48" s="6">
        <f t="shared" si="68"/>
        <v>0</v>
      </c>
      <c r="BV48" s="7">
        <f t="shared" si="69"/>
        <v>0</v>
      </c>
      <c r="BW48" s="6">
        <f t="shared" si="70"/>
        <v>0</v>
      </c>
      <c r="BX48" s="5">
        <f t="shared" si="71"/>
        <v>0</v>
      </c>
      <c r="BY48" s="6">
        <f t="shared" si="72"/>
        <v>0</v>
      </c>
      <c r="BZ48" s="7">
        <f t="shared" si="73"/>
        <v>0</v>
      </c>
      <c r="CA48" s="6">
        <f t="shared" si="74"/>
        <v>0</v>
      </c>
      <c r="CB48" s="7">
        <f t="shared" si="75"/>
        <v>0</v>
      </c>
      <c r="CC48" s="6">
        <f t="shared" si="76"/>
        <v>0</v>
      </c>
      <c r="CD48" s="5">
        <f t="shared" si="77"/>
        <v>0</v>
      </c>
      <c r="CE48" s="6">
        <f t="shared" si="78"/>
        <v>0</v>
      </c>
      <c r="CF48" s="7">
        <f t="shared" si="79"/>
        <v>0</v>
      </c>
      <c r="CG48" s="6">
        <f t="shared" si="80"/>
        <v>0</v>
      </c>
      <c r="CH48" s="7">
        <f t="shared" si="81"/>
        <v>0</v>
      </c>
      <c r="CI48" s="6">
        <f t="shared" si="82"/>
        <v>0</v>
      </c>
      <c r="CJ48" s="5">
        <f t="shared" si="83"/>
        <v>0</v>
      </c>
      <c r="CK48" s="6">
        <f t="shared" si="84"/>
        <v>0</v>
      </c>
      <c r="CL48" s="7">
        <f t="shared" si="85"/>
        <v>0</v>
      </c>
      <c r="CM48" s="6">
        <f t="shared" si="86"/>
        <v>0</v>
      </c>
      <c r="CN48" s="7">
        <f t="shared" si="87"/>
        <v>0</v>
      </c>
      <c r="CO48" s="6">
        <f t="shared" si="88"/>
        <v>0</v>
      </c>
      <c r="CP48" s="5">
        <f t="shared" si="89"/>
        <v>0</v>
      </c>
      <c r="CQ48" s="6">
        <f t="shared" si="90"/>
        <v>0</v>
      </c>
      <c r="CR48" s="7">
        <f t="shared" si="96"/>
        <v>100</v>
      </c>
      <c r="CS48" s="6">
        <f t="shared" si="96"/>
        <v>102.75</v>
      </c>
      <c r="CT48" s="7">
        <f t="shared" si="96"/>
        <v>42.714285714285708</v>
      </c>
      <c r="CU48" s="6">
        <f t="shared" si="96"/>
        <v>45.571428571428569</v>
      </c>
      <c r="CV48" s="5">
        <f t="shared" si="91"/>
        <v>142.71428571428572</v>
      </c>
      <c r="CW48" s="6">
        <f t="shared" si="92"/>
        <v>148.32142857142856</v>
      </c>
      <c r="CY48" s="7">
        <v>142.71428571428572</v>
      </c>
      <c r="CZ48" s="5">
        <f t="array" ref="CZ48">Summary_UpperBound</f>
        <v>148.32142857142856</v>
      </c>
      <c r="DA48" s="6">
        <f t="shared" si="93"/>
        <v>5.6071428571428328</v>
      </c>
    </row>
    <row r="49" spans="2:105" x14ac:dyDescent="0.35">
      <c r="B49" s="14"/>
      <c r="E49" s="12">
        <f t="shared" si="94"/>
        <v>44016</v>
      </c>
      <c r="F49" s="7">
        <f t="shared" si="1"/>
        <v>0</v>
      </c>
      <c r="G49" s="6">
        <f t="shared" si="2"/>
        <v>0</v>
      </c>
      <c r="H49" s="7">
        <f t="shared" si="3"/>
        <v>20</v>
      </c>
      <c r="I49" s="6">
        <f t="shared" si="4"/>
        <v>21</v>
      </c>
      <c r="J49" s="5">
        <f t="shared" si="5"/>
        <v>20</v>
      </c>
      <c r="K49" s="6">
        <f t="shared" si="6"/>
        <v>21</v>
      </c>
      <c r="L49" s="7">
        <f t="shared" si="7"/>
        <v>0</v>
      </c>
      <c r="M49" s="6">
        <f t="shared" si="8"/>
        <v>0</v>
      </c>
      <c r="N49" s="7">
        <f t="shared" si="9"/>
        <v>13.142857142857142</v>
      </c>
      <c r="O49" s="6">
        <f t="shared" si="10"/>
        <v>14.285714285714285</v>
      </c>
      <c r="P49" s="5">
        <f t="shared" si="11"/>
        <v>13.142857142857142</v>
      </c>
      <c r="Q49" s="6">
        <f t="shared" si="12"/>
        <v>14.285714285714285</v>
      </c>
      <c r="R49" s="7">
        <f t="shared" si="13"/>
        <v>0</v>
      </c>
      <c r="S49" s="6">
        <f t="shared" si="14"/>
        <v>0</v>
      </c>
      <c r="T49" s="7">
        <f t="shared" si="15"/>
        <v>9.5714285714285712</v>
      </c>
      <c r="U49" s="6">
        <f t="shared" si="16"/>
        <v>10.285714285714285</v>
      </c>
      <c r="V49" s="5">
        <f t="shared" si="17"/>
        <v>9.5714285714285712</v>
      </c>
      <c r="W49" s="6">
        <f t="shared" si="18"/>
        <v>10.285714285714285</v>
      </c>
      <c r="X49" s="7">
        <f t="shared" si="19"/>
        <v>70</v>
      </c>
      <c r="Y49" s="6">
        <f t="shared" si="20"/>
        <v>71</v>
      </c>
      <c r="Z49" s="7">
        <f t="shared" si="21"/>
        <v>0</v>
      </c>
      <c r="AA49" s="6">
        <f t="shared" si="22"/>
        <v>0</v>
      </c>
      <c r="AB49" s="5">
        <f t="shared" si="23"/>
        <v>70</v>
      </c>
      <c r="AC49" s="6">
        <f t="shared" si="24"/>
        <v>71</v>
      </c>
      <c r="AD49" s="7">
        <f t="shared" si="25"/>
        <v>30</v>
      </c>
      <c r="AE49" s="6">
        <f t="shared" si="26"/>
        <v>31.75</v>
      </c>
      <c r="AF49" s="7">
        <f t="shared" si="27"/>
        <v>0</v>
      </c>
      <c r="AG49" s="6">
        <f t="shared" si="28"/>
        <v>0</v>
      </c>
      <c r="AH49" s="5">
        <f t="shared" si="29"/>
        <v>30</v>
      </c>
      <c r="AI49" s="6">
        <f t="shared" si="30"/>
        <v>31.75</v>
      </c>
      <c r="AJ49" s="7">
        <f t="shared" si="31"/>
        <v>0</v>
      </c>
      <c r="AK49" s="6">
        <f t="shared" si="32"/>
        <v>0</v>
      </c>
      <c r="AL49" s="7">
        <f t="shared" si="33"/>
        <v>0</v>
      </c>
      <c r="AM49" s="6">
        <f t="shared" si="34"/>
        <v>0</v>
      </c>
      <c r="AN49" s="5">
        <f t="shared" si="35"/>
        <v>0</v>
      </c>
      <c r="AO49" s="6">
        <f t="shared" si="36"/>
        <v>0</v>
      </c>
      <c r="AP49" s="7">
        <f t="shared" si="37"/>
        <v>0</v>
      </c>
      <c r="AQ49" s="6">
        <f t="shared" si="38"/>
        <v>0</v>
      </c>
      <c r="AR49" s="7">
        <f t="shared" si="39"/>
        <v>0</v>
      </c>
      <c r="AS49" s="6">
        <f t="shared" si="40"/>
        <v>0</v>
      </c>
      <c r="AT49" s="5">
        <f t="shared" si="41"/>
        <v>0</v>
      </c>
      <c r="AU49" s="6">
        <f t="shared" si="42"/>
        <v>0</v>
      </c>
      <c r="AV49" s="7">
        <f t="shared" si="43"/>
        <v>0</v>
      </c>
      <c r="AW49" s="6">
        <f t="shared" si="44"/>
        <v>0</v>
      </c>
      <c r="AX49" s="7">
        <f t="shared" si="45"/>
        <v>0</v>
      </c>
      <c r="AY49" s="6">
        <f t="shared" si="46"/>
        <v>0</v>
      </c>
      <c r="AZ49" s="5">
        <f t="shared" si="47"/>
        <v>0</v>
      </c>
      <c r="BA49" s="6">
        <f t="shared" si="48"/>
        <v>0</v>
      </c>
      <c r="BB49" s="7">
        <f t="shared" si="49"/>
        <v>0</v>
      </c>
      <c r="BC49" s="6">
        <f t="shared" si="50"/>
        <v>0</v>
      </c>
      <c r="BD49" s="7">
        <f t="shared" si="51"/>
        <v>0</v>
      </c>
      <c r="BE49" s="6">
        <f t="shared" si="52"/>
        <v>0</v>
      </c>
      <c r="BF49" s="5">
        <f t="shared" si="53"/>
        <v>0</v>
      </c>
      <c r="BG49" s="6">
        <f t="shared" si="54"/>
        <v>0</v>
      </c>
      <c r="BH49" s="7">
        <f t="shared" si="55"/>
        <v>0</v>
      </c>
      <c r="BI49" s="6">
        <f t="shared" si="56"/>
        <v>0</v>
      </c>
      <c r="BJ49" s="7">
        <f t="shared" si="57"/>
        <v>0</v>
      </c>
      <c r="BK49" s="6">
        <f t="shared" si="58"/>
        <v>0</v>
      </c>
      <c r="BL49" s="5">
        <f t="shared" si="59"/>
        <v>0</v>
      </c>
      <c r="BM49" s="6">
        <f t="shared" si="60"/>
        <v>0</v>
      </c>
      <c r="BN49" s="7">
        <f t="shared" si="61"/>
        <v>0</v>
      </c>
      <c r="BO49" s="6">
        <f t="shared" si="62"/>
        <v>0</v>
      </c>
      <c r="BP49" s="7">
        <f t="shared" si="63"/>
        <v>0</v>
      </c>
      <c r="BQ49" s="6">
        <f t="shared" si="64"/>
        <v>0</v>
      </c>
      <c r="BR49" s="5">
        <f t="shared" si="65"/>
        <v>0</v>
      </c>
      <c r="BS49" s="6">
        <f t="shared" si="66"/>
        <v>0</v>
      </c>
      <c r="BT49" s="7">
        <f t="shared" si="67"/>
        <v>0</v>
      </c>
      <c r="BU49" s="6">
        <f t="shared" si="68"/>
        <v>0</v>
      </c>
      <c r="BV49" s="7">
        <f t="shared" si="69"/>
        <v>0</v>
      </c>
      <c r="BW49" s="6">
        <f t="shared" si="70"/>
        <v>0</v>
      </c>
      <c r="BX49" s="5">
        <f t="shared" si="71"/>
        <v>0</v>
      </c>
      <c r="BY49" s="6">
        <f t="shared" si="72"/>
        <v>0</v>
      </c>
      <c r="BZ49" s="7">
        <f t="shared" si="73"/>
        <v>0</v>
      </c>
      <c r="CA49" s="6">
        <f t="shared" si="74"/>
        <v>0</v>
      </c>
      <c r="CB49" s="7">
        <f t="shared" si="75"/>
        <v>0</v>
      </c>
      <c r="CC49" s="6">
        <f t="shared" si="76"/>
        <v>0</v>
      </c>
      <c r="CD49" s="5">
        <f t="shared" si="77"/>
        <v>0</v>
      </c>
      <c r="CE49" s="6">
        <f t="shared" si="78"/>
        <v>0</v>
      </c>
      <c r="CF49" s="7">
        <f t="shared" si="79"/>
        <v>0</v>
      </c>
      <c r="CG49" s="6">
        <f t="shared" si="80"/>
        <v>0</v>
      </c>
      <c r="CH49" s="7">
        <f t="shared" si="81"/>
        <v>0</v>
      </c>
      <c r="CI49" s="6">
        <f t="shared" si="82"/>
        <v>0</v>
      </c>
      <c r="CJ49" s="5">
        <f t="shared" si="83"/>
        <v>0</v>
      </c>
      <c r="CK49" s="6">
        <f t="shared" si="84"/>
        <v>0</v>
      </c>
      <c r="CL49" s="7">
        <f t="shared" si="85"/>
        <v>0</v>
      </c>
      <c r="CM49" s="6">
        <f t="shared" si="86"/>
        <v>0</v>
      </c>
      <c r="CN49" s="7">
        <f t="shared" si="87"/>
        <v>0</v>
      </c>
      <c r="CO49" s="6">
        <f t="shared" si="88"/>
        <v>0</v>
      </c>
      <c r="CP49" s="5">
        <f t="shared" si="89"/>
        <v>0</v>
      </c>
      <c r="CQ49" s="6">
        <f t="shared" si="90"/>
        <v>0</v>
      </c>
      <c r="CR49" s="7">
        <f t="shared" si="96"/>
        <v>100</v>
      </c>
      <c r="CS49" s="6">
        <f t="shared" si="96"/>
        <v>102.75</v>
      </c>
      <c r="CT49" s="7">
        <f t="shared" si="96"/>
        <v>42.714285714285708</v>
      </c>
      <c r="CU49" s="6">
        <f t="shared" si="96"/>
        <v>45.571428571428569</v>
      </c>
      <c r="CV49" s="5">
        <f t="shared" si="91"/>
        <v>142.71428571428572</v>
      </c>
      <c r="CW49" s="6">
        <f t="shared" si="92"/>
        <v>148.32142857142856</v>
      </c>
      <c r="CY49" s="7">
        <v>142.71428571428572</v>
      </c>
      <c r="CZ49" s="5">
        <f t="array" ref="CZ49">Summary_UpperBound</f>
        <v>148.32142857142856</v>
      </c>
      <c r="DA49" s="6">
        <f t="shared" si="93"/>
        <v>5.6071428571428328</v>
      </c>
    </row>
    <row r="50" spans="2:105" x14ac:dyDescent="0.35">
      <c r="B50" s="14"/>
      <c r="E50" s="12">
        <f t="shared" si="94"/>
        <v>44023</v>
      </c>
      <c r="F50" s="7">
        <f t="shared" si="1"/>
        <v>0</v>
      </c>
      <c r="G50" s="6">
        <f t="shared" si="2"/>
        <v>0</v>
      </c>
      <c r="H50" s="7">
        <f t="shared" si="3"/>
        <v>20</v>
      </c>
      <c r="I50" s="6">
        <f t="shared" si="4"/>
        <v>21</v>
      </c>
      <c r="J50" s="5">
        <f t="shared" si="5"/>
        <v>20</v>
      </c>
      <c r="K50" s="6">
        <f t="shared" si="6"/>
        <v>21</v>
      </c>
      <c r="L50" s="7">
        <f t="shared" si="7"/>
        <v>0</v>
      </c>
      <c r="M50" s="6">
        <f t="shared" si="8"/>
        <v>0</v>
      </c>
      <c r="N50" s="7">
        <f t="shared" si="9"/>
        <v>13.142857142857142</v>
      </c>
      <c r="O50" s="6">
        <f t="shared" si="10"/>
        <v>14.285714285714285</v>
      </c>
      <c r="P50" s="5">
        <f t="shared" si="11"/>
        <v>13.142857142857142</v>
      </c>
      <c r="Q50" s="6">
        <f t="shared" si="12"/>
        <v>14.285714285714285</v>
      </c>
      <c r="R50" s="7">
        <f t="shared" si="13"/>
        <v>0</v>
      </c>
      <c r="S50" s="6">
        <f t="shared" si="14"/>
        <v>0</v>
      </c>
      <c r="T50" s="7">
        <f t="shared" si="15"/>
        <v>9.5714285714285712</v>
      </c>
      <c r="U50" s="6">
        <f t="shared" si="16"/>
        <v>10.285714285714285</v>
      </c>
      <c r="V50" s="5">
        <f t="shared" si="17"/>
        <v>9.5714285714285712</v>
      </c>
      <c r="W50" s="6">
        <f t="shared" si="18"/>
        <v>10.285714285714285</v>
      </c>
      <c r="X50" s="7">
        <f t="shared" si="19"/>
        <v>70</v>
      </c>
      <c r="Y50" s="6">
        <f t="shared" si="20"/>
        <v>71</v>
      </c>
      <c r="Z50" s="7">
        <f t="shared" si="21"/>
        <v>0</v>
      </c>
      <c r="AA50" s="6">
        <f t="shared" si="22"/>
        <v>0</v>
      </c>
      <c r="AB50" s="5">
        <f t="shared" si="23"/>
        <v>70</v>
      </c>
      <c r="AC50" s="6">
        <f t="shared" si="24"/>
        <v>71</v>
      </c>
      <c r="AD50" s="7">
        <f t="shared" si="25"/>
        <v>30</v>
      </c>
      <c r="AE50" s="6">
        <f t="shared" si="26"/>
        <v>31.75</v>
      </c>
      <c r="AF50" s="7">
        <f t="shared" si="27"/>
        <v>0</v>
      </c>
      <c r="AG50" s="6">
        <f t="shared" si="28"/>
        <v>0</v>
      </c>
      <c r="AH50" s="5">
        <f t="shared" si="29"/>
        <v>30</v>
      </c>
      <c r="AI50" s="6">
        <f t="shared" si="30"/>
        <v>31.75</v>
      </c>
      <c r="AJ50" s="7">
        <f t="shared" si="31"/>
        <v>0</v>
      </c>
      <c r="AK50" s="6">
        <f t="shared" si="32"/>
        <v>0</v>
      </c>
      <c r="AL50" s="7">
        <f t="shared" si="33"/>
        <v>0</v>
      </c>
      <c r="AM50" s="6">
        <f t="shared" si="34"/>
        <v>0</v>
      </c>
      <c r="AN50" s="5">
        <f t="shared" si="35"/>
        <v>0</v>
      </c>
      <c r="AO50" s="6">
        <f t="shared" si="36"/>
        <v>0</v>
      </c>
      <c r="AP50" s="7">
        <f t="shared" si="37"/>
        <v>0</v>
      </c>
      <c r="AQ50" s="6">
        <f t="shared" si="38"/>
        <v>0</v>
      </c>
      <c r="AR50" s="7">
        <f t="shared" si="39"/>
        <v>0</v>
      </c>
      <c r="AS50" s="6">
        <f t="shared" si="40"/>
        <v>0</v>
      </c>
      <c r="AT50" s="5">
        <f t="shared" si="41"/>
        <v>0</v>
      </c>
      <c r="AU50" s="6">
        <f t="shared" si="42"/>
        <v>0</v>
      </c>
      <c r="AV50" s="7">
        <f t="shared" si="43"/>
        <v>0</v>
      </c>
      <c r="AW50" s="6">
        <f t="shared" si="44"/>
        <v>0</v>
      </c>
      <c r="AX50" s="7">
        <f t="shared" si="45"/>
        <v>0</v>
      </c>
      <c r="AY50" s="6">
        <f t="shared" si="46"/>
        <v>0</v>
      </c>
      <c r="AZ50" s="5">
        <f t="shared" si="47"/>
        <v>0</v>
      </c>
      <c r="BA50" s="6">
        <f t="shared" si="48"/>
        <v>0</v>
      </c>
      <c r="BB50" s="7">
        <f t="shared" si="49"/>
        <v>0</v>
      </c>
      <c r="BC50" s="6">
        <f t="shared" si="50"/>
        <v>0</v>
      </c>
      <c r="BD50" s="7">
        <f t="shared" si="51"/>
        <v>0</v>
      </c>
      <c r="BE50" s="6">
        <f t="shared" si="52"/>
        <v>0</v>
      </c>
      <c r="BF50" s="5">
        <f t="shared" si="53"/>
        <v>0</v>
      </c>
      <c r="BG50" s="6">
        <f t="shared" si="54"/>
        <v>0</v>
      </c>
      <c r="BH50" s="7">
        <f t="shared" si="55"/>
        <v>0</v>
      </c>
      <c r="BI50" s="6">
        <f t="shared" si="56"/>
        <v>0</v>
      </c>
      <c r="BJ50" s="7">
        <f t="shared" si="57"/>
        <v>0</v>
      </c>
      <c r="BK50" s="6">
        <f t="shared" si="58"/>
        <v>0</v>
      </c>
      <c r="BL50" s="5">
        <f t="shared" si="59"/>
        <v>0</v>
      </c>
      <c r="BM50" s="6">
        <f t="shared" si="60"/>
        <v>0</v>
      </c>
      <c r="BN50" s="7">
        <f t="shared" si="61"/>
        <v>0</v>
      </c>
      <c r="BO50" s="6">
        <f t="shared" si="62"/>
        <v>0</v>
      </c>
      <c r="BP50" s="7">
        <f t="shared" si="63"/>
        <v>0</v>
      </c>
      <c r="BQ50" s="6">
        <f t="shared" si="64"/>
        <v>0</v>
      </c>
      <c r="BR50" s="5">
        <f t="shared" si="65"/>
        <v>0</v>
      </c>
      <c r="BS50" s="6">
        <f t="shared" si="66"/>
        <v>0</v>
      </c>
      <c r="BT50" s="7">
        <f t="shared" si="67"/>
        <v>0</v>
      </c>
      <c r="BU50" s="6">
        <f t="shared" si="68"/>
        <v>0</v>
      </c>
      <c r="BV50" s="7">
        <f t="shared" si="69"/>
        <v>0</v>
      </c>
      <c r="BW50" s="6">
        <f t="shared" si="70"/>
        <v>0</v>
      </c>
      <c r="BX50" s="5">
        <f t="shared" si="71"/>
        <v>0</v>
      </c>
      <c r="BY50" s="6">
        <f t="shared" si="72"/>
        <v>0</v>
      </c>
      <c r="BZ50" s="7">
        <f t="shared" si="73"/>
        <v>0</v>
      </c>
      <c r="CA50" s="6">
        <f t="shared" si="74"/>
        <v>0</v>
      </c>
      <c r="CB50" s="7">
        <f t="shared" si="75"/>
        <v>0</v>
      </c>
      <c r="CC50" s="6">
        <f t="shared" si="76"/>
        <v>0</v>
      </c>
      <c r="CD50" s="5">
        <f t="shared" si="77"/>
        <v>0</v>
      </c>
      <c r="CE50" s="6">
        <f t="shared" si="78"/>
        <v>0</v>
      </c>
      <c r="CF50" s="7">
        <f t="shared" si="79"/>
        <v>0</v>
      </c>
      <c r="CG50" s="6">
        <f t="shared" si="80"/>
        <v>0</v>
      </c>
      <c r="CH50" s="7">
        <f t="shared" si="81"/>
        <v>0</v>
      </c>
      <c r="CI50" s="6">
        <f t="shared" si="82"/>
        <v>0</v>
      </c>
      <c r="CJ50" s="5">
        <f t="shared" si="83"/>
        <v>0</v>
      </c>
      <c r="CK50" s="6">
        <f t="shared" si="84"/>
        <v>0</v>
      </c>
      <c r="CL50" s="7">
        <f t="shared" si="85"/>
        <v>0</v>
      </c>
      <c r="CM50" s="6">
        <f t="shared" si="86"/>
        <v>0</v>
      </c>
      <c r="CN50" s="7">
        <f t="shared" si="87"/>
        <v>0</v>
      </c>
      <c r="CO50" s="6">
        <f t="shared" si="88"/>
        <v>0</v>
      </c>
      <c r="CP50" s="5">
        <f t="shared" si="89"/>
        <v>0</v>
      </c>
      <c r="CQ50" s="6">
        <f t="shared" si="90"/>
        <v>0</v>
      </c>
      <c r="CR50" s="7">
        <f t="shared" si="96"/>
        <v>100</v>
      </c>
      <c r="CS50" s="6">
        <f t="shared" si="96"/>
        <v>102.75</v>
      </c>
      <c r="CT50" s="7">
        <f t="shared" si="96"/>
        <v>42.714285714285708</v>
      </c>
      <c r="CU50" s="6">
        <f t="shared" si="96"/>
        <v>45.571428571428569</v>
      </c>
      <c r="CV50" s="5">
        <f t="shared" si="91"/>
        <v>142.71428571428572</v>
      </c>
      <c r="CW50" s="6">
        <f t="shared" si="92"/>
        <v>148.32142857142856</v>
      </c>
      <c r="CY50" s="7">
        <v>142.71428571428572</v>
      </c>
      <c r="CZ50" s="5">
        <f t="array" ref="CZ50">Summary_UpperBound</f>
        <v>148.32142857142856</v>
      </c>
      <c r="DA50" s="6">
        <f t="shared" si="93"/>
        <v>5.6071428571428328</v>
      </c>
    </row>
    <row r="51" spans="2:105" x14ac:dyDescent="0.35">
      <c r="B51" s="14"/>
      <c r="E51" s="12">
        <f t="shared" si="94"/>
        <v>44030</v>
      </c>
      <c r="F51" s="7">
        <f t="shared" si="1"/>
        <v>0</v>
      </c>
      <c r="G51" s="6">
        <f t="shared" si="2"/>
        <v>0</v>
      </c>
      <c r="H51" s="7">
        <f t="shared" si="3"/>
        <v>20</v>
      </c>
      <c r="I51" s="6">
        <f t="shared" si="4"/>
        <v>21</v>
      </c>
      <c r="J51" s="5">
        <f t="shared" si="5"/>
        <v>20</v>
      </c>
      <c r="K51" s="6">
        <f t="shared" si="6"/>
        <v>21</v>
      </c>
      <c r="L51" s="7">
        <f t="shared" si="7"/>
        <v>0</v>
      </c>
      <c r="M51" s="6">
        <f t="shared" si="8"/>
        <v>0</v>
      </c>
      <c r="N51" s="7">
        <f t="shared" si="9"/>
        <v>13.142857142857142</v>
      </c>
      <c r="O51" s="6">
        <f t="shared" si="10"/>
        <v>14.285714285714285</v>
      </c>
      <c r="P51" s="5">
        <f t="shared" si="11"/>
        <v>13.142857142857142</v>
      </c>
      <c r="Q51" s="6">
        <f t="shared" si="12"/>
        <v>14.285714285714285</v>
      </c>
      <c r="R51" s="7">
        <f t="shared" si="13"/>
        <v>0</v>
      </c>
      <c r="S51" s="6">
        <f t="shared" si="14"/>
        <v>0</v>
      </c>
      <c r="T51" s="7">
        <f t="shared" si="15"/>
        <v>9.5714285714285712</v>
      </c>
      <c r="U51" s="6">
        <f t="shared" si="16"/>
        <v>10.285714285714285</v>
      </c>
      <c r="V51" s="5">
        <f t="shared" si="17"/>
        <v>9.5714285714285712</v>
      </c>
      <c r="W51" s="6">
        <f t="shared" si="18"/>
        <v>10.285714285714285</v>
      </c>
      <c r="X51" s="7">
        <f t="shared" si="19"/>
        <v>70</v>
      </c>
      <c r="Y51" s="6">
        <f t="shared" si="20"/>
        <v>71</v>
      </c>
      <c r="Z51" s="7">
        <f t="shared" si="21"/>
        <v>0</v>
      </c>
      <c r="AA51" s="6">
        <f t="shared" si="22"/>
        <v>0</v>
      </c>
      <c r="AB51" s="5">
        <f t="shared" si="23"/>
        <v>70</v>
      </c>
      <c r="AC51" s="6">
        <f t="shared" si="24"/>
        <v>71</v>
      </c>
      <c r="AD51" s="7">
        <f t="shared" si="25"/>
        <v>30</v>
      </c>
      <c r="AE51" s="6">
        <f t="shared" si="26"/>
        <v>31.75</v>
      </c>
      <c r="AF51" s="7">
        <f t="shared" si="27"/>
        <v>0</v>
      </c>
      <c r="AG51" s="6">
        <f t="shared" si="28"/>
        <v>0</v>
      </c>
      <c r="AH51" s="5">
        <f t="shared" si="29"/>
        <v>30</v>
      </c>
      <c r="AI51" s="6">
        <f t="shared" si="30"/>
        <v>31.75</v>
      </c>
      <c r="AJ51" s="7">
        <f t="shared" si="31"/>
        <v>0</v>
      </c>
      <c r="AK51" s="6">
        <f t="shared" si="32"/>
        <v>0</v>
      </c>
      <c r="AL51" s="7">
        <f t="shared" si="33"/>
        <v>0</v>
      </c>
      <c r="AM51" s="6">
        <f t="shared" si="34"/>
        <v>0</v>
      </c>
      <c r="AN51" s="5">
        <f t="shared" si="35"/>
        <v>0</v>
      </c>
      <c r="AO51" s="6">
        <f t="shared" si="36"/>
        <v>0</v>
      </c>
      <c r="AP51" s="7">
        <f t="shared" si="37"/>
        <v>0</v>
      </c>
      <c r="AQ51" s="6">
        <f t="shared" si="38"/>
        <v>0</v>
      </c>
      <c r="AR51" s="7">
        <f t="shared" si="39"/>
        <v>0</v>
      </c>
      <c r="AS51" s="6">
        <f t="shared" si="40"/>
        <v>0</v>
      </c>
      <c r="AT51" s="5">
        <f t="shared" si="41"/>
        <v>0</v>
      </c>
      <c r="AU51" s="6">
        <f t="shared" si="42"/>
        <v>0</v>
      </c>
      <c r="AV51" s="7">
        <f t="shared" si="43"/>
        <v>0</v>
      </c>
      <c r="AW51" s="6">
        <f t="shared" si="44"/>
        <v>0</v>
      </c>
      <c r="AX51" s="7">
        <f t="shared" si="45"/>
        <v>0</v>
      </c>
      <c r="AY51" s="6">
        <f t="shared" si="46"/>
        <v>0</v>
      </c>
      <c r="AZ51" s="5">
        <f t="shared" si="47"/>
        <v>0</v>
      </c>
      <c r="BA51" s="6">
        <f t="shared" si="48"/>
        <v>0</v>
      </c>
      <c r="BB51" s="7">
        <f t="shared" si="49"/>
        <v>0</v>
      </c>
      <c r="BC51" s="6">
        <f t="shared" si="50"/>
        <v>0</v>
      </c>
      <c r="BD51" s="7">
        <f t="shared" si="51"/>
        <v>0</v>
      </c>
      <c r="BE51" s="6">
        <f t="shared" si="52"/>
        <v>0</v>
      </c>
      <c r="BF51" s="5">
        <f t="shared" si="53"/>
        <v>0</v>
      </c>
      <c r="BG51" s="6">
        <f t="shared" si="54"/>
        <v>0</v>
      </c>
      <c r="BH51" s="7">
        <f t="shared" si="55"/>
        <v>0</v>
      </c>
      <c r="BI51" s="6">
        <f t="shared" si="56"/>
        <v>0</v>
      </c>
      <c r="BJ51" s="7">
        <f t="shared" si="57"/>
        <v>0</v>
      </c>
      <c r="BK51" s="6">
        <f t="shared" si="58"/>
        <v>0</v>
      </c>
      <c r="BL51" s="5">
        <f t="shared" si="59"/>
        <v>0</v>
      </c>
      <c r="BM51" s="6">
        <f t="shared" si="60"/>
        <v>0</v>
      </c>
      <c r="BN51" s="7">
        <f t="shared" si="61"/>
        <v>0</v>
      </c>
      <c r="BO51" s="6">
        <f t="shared" si="62"/>
        <v>0</v>
      </c>
      <c r="BP51" s="7">
        <f t="shared" si="63"/>
        <v>0</v>
      </c>
      <c r="BQ51" s="6">
        <f t="shared" si="64"/>
        <v>0</v>
      </c>
      <c r="BR51" s="5">
        <f t="shared" si="65"/>
        <v>0</v>
      </c>
      <c r="BS51" s="6">
        <f t="shared" si="66"/>
        <v>0</v>
      </c>
      <c r="BT51" s="7">
        <f t="shared" si="67"/>
        <v>0</v>
      </c>
      <c r="BU51" s="6">
        <f t="shared" si="68"/>
        <v>0</v>
      </c>
      <c r="BV51" s="7">
        <f t="shared" si="69"/>
        <v>0</v>
      </c>
      <c r="BW51" s="6">
        <f t="shared" si="70"/>
        <v>0</v>
      </c>
      <c r="BX51" s="5">
        <f t="shared" si="71"/>
        <v>0</v>
      </c>
      <c r="BY51" s="6">
        <f t="shared" si="72"/>
        <v>0</v>
      </c>
      <c r="BZ51" s="7">
        <f t="shared" si="73"/>
        <v>0</v>
      </c>
      <c r="CA51" s="6">
        <f t="shared" si="74"/>
        <v>0</v>
      </c>
      <c r="CB51" s="7">
        <f t="shared" si="75"/>
        <v>0</v>
      </c>
      <c r="CC51" s="6">
        <f t="shared" si="76"/>
        <v>0</v>
      </c>
      <c r="CD51" s="5">
        <f t="shared" si="77"/>
        <v>0</v>
      </c>
      <c r="CE51" s="6">
        <f t="shared" si="78"/>
        <v>0</v>
      </c>
      <c r="CF51" s="7">
        <f t="shared" si="79"/>
        <v>0</v>
      </c>
      <c r="CG51" s="6">
        <f t="shared" si="80"/>
        <v>0</v>
      </c>
      <c r="CH51" s="7">
        <f t="shared" si="81"/>
        <v>0</v>
      </c>
      <c r="CI51" s="6">
        <f t="shared" si="82"/>
        <v>0</v>
      </c>
      <c r="CJ51" s="5">
        <f t="shared" si="83"/>
        <v>0</v>
      </c>
      <c r="CK51" s="6">
        <f t="shared" si="84"/>
        <v>0</v>
      </c>
      <c r="CL51" s="7">
        <f t="shared" si="85"/>
        <v>0</v>
      </c>
      <c r="CM51" s="6">
        <f t="shared" si="86"/>
        <v>0</v>
      </c>
      <c r="CN51" s="7">
        <f t="shared" si="87"/>
        <v>0</v>
      </c>
      <c r="CO51" s="6">
        <f t="shared" si="88"/>
        <v>0</v>
      </c>
      <c r="CP51" s="5">
        <f t="shared" si="89"/>
        <v>0</v>
      </c>
      <c r="CQ51" s="6">
        <f t="shared" si="90"/>
        <v>0</v>
      </c>
      <c r="CR51" s="7">
        <f t="shared" si="96"/>
        <v>100</v>
      </c>
      <c r="CS51" s="6">
        <f t="shared" si="96"/>
        <v>102.75</v>
      </c>
      <c r="CT51" s="7">
        <f t="shared" si="96"/>
        <v>42.714285714285708</v>
      </c>
      <c r="CU51" s="6">
        <f t="shared" si="96"/>
        <v>45.571428571428569</v>
      </c>
      <c r="CV51" s="5">
        <f t="shared" si="91"/>
        <v>142.71428571428572</v>
      </c>
      <c r="CW51" s="6">
        <f t="shared" si="92"/>
        <v>148.32142857142856</v>
      </c>
      <c r="CY51" s="7">
        <v>142.71428571428572</v>
      </c>
      <c r="CZ51" s="5">
        <f t="array" ref="CZ51">Summary_UpperBound</f>
        <v>148.32142857142856</v>
      </c>
      <c r="DA51" s="6">
        <f t="shared" si="93"/>
        <v>5.6071428571428328</v>
      </c>
    </row>
    <row r="52" spans="2:105" x14ac:dyDescent="0.35">
      <c r="B52" s="14"/>
      <c r="E52" s="12">
        <f t="shared" si="94"/>
        <v>44037</v>
      </c>
      <c r="F52" s="7">
        <f t="shared" si="1"/>
        <v>0</v>
      </c>
      <c r="G52" s="6">
        <f t="shared" si="2"/>
        <v>0</v>
      </c>
      <c r="H52" s="7">
        <f t="shared" si="3"/>
        <v>20</v>
      </c>
      <c r="I52" s="6">
        <f t="shared" si="4"/>
        <v>21</v>
      </c>
      <c r="J52" s="5">
        <f t="shared" si="5"/>
        <v>20</v>
      </c>
      <c r="K52" s="6">
        <f t="shared" si="6"/>
        <v>21</v>
      </c>
      <c r="L52" s="7">
        <f t="shared" si="7"/>
        <v>0</v>
      </c>
      <c r="M52" s="6">
        <f t="shared" si="8"/>
        <v>0</v>
      </c>
      <c r="N52" s="7">
        <f t="shared" si="9"/>
        <v>13.142857142857142</v>
      </c>
      <c r="O52" s="6">
        <f t="shared" si="10"/>
        <v>14.285714285714285</v>
      </c>
      <c r="P52" s="5">
        <f t="shared" si="11"/>
        <v>13.142857142857142</v>
      </c>
      <c r="Q52" s="6">
        <f t="shared" si="12"/>
        <v>14.285714285714285</v>
      </c>
      <c r="R52" s="7">
        <f t="shared" si="13"/>
        <v>0</v>
      </c>
      <c r="S52" s="6">
        <f t="shared" si="14"/>
        <v>0</v>
      </c>
      <c r="T52" s="7">
        <f t="shared" si="15"/>
        <v>9.5714285714285712</v>
      </c>
      <c r="U52" s="6">
        <f t="shared" si="16"/>
        <v>10.285714285714285</v>
      </c>
      <c r="V52" s="5">
        <f t="shared" si="17"/>
        <v>9.5714285714285712</v>
      </c>
      <c r="W52" s="6">
        <f t="shared" si="18"/>
        <v>10.285714285714285</v>
      </c>
      <c r="X52" s="7">
        <f t="shared" si="19"/>
        <v>70</v>
      </c>
      <c r="Y52" s="6">
        <f t="shared" si="20"/>
        <v>71</v>
      </c>
      <c r="Z52" s="7">
        <f t="shared" si="21"/>
        <v>0</v>
      </c>
      <c r="AA52" s="6">
        <f t="shared" si="22"/>
        <v>0</v>
      </c>
      <c r="AB52" s="5">
        <f t="shared" si="23"/>
        <v>70</v>
      </c>
      <c r="AC52" s="6">
        <f t="shared" si="24"/>
        <v>71</v>
      </c>
      <c r="AD52" s="7">
        <f t="shared" si="25"/>
        <v>30</v>
      </c>
      <c r="AE52" s="6">
        <f t="shared" si="26"/>
        <v>31.75</v>
      </c>
      <c r="AF52" s="7">
        <f t="shared" si="27"/>
        <v>0</v>
      </c>
      <c r="AG52" s="6">
        <f t="shared" si="28"/>
        <v>0</v>
      </c>
      <c r="AH52" s="5">
        <f t="shared" si="29"/>
        <v>30</v>
      </c>
      <c r="AI52" s="6">
        <f t="shared" si="30"/>
        <v>31.75</v>
      </c>
      <c r="AJ52" s="7">
        <f t="shared" si="31"/>
        <v>0</v>
      </c>
      <c r="AK52" s="6">
        <f t="shared" si="32"/>
        <v>0</v>
      </c>
      <c r="AL52" s="7">
        <f t="shared" si="33"/>
        <v>0</v>
      </c>
      <c r="AM52" s="6">
        <f t="shared" si="34"/>
        <v>0</v>
      </c>
      <c r="AN52" s="5">
        <f t="shared" si="35"/>
        <v>0</v>
      </c>
      <c r="AO52" s="6">
        <f t="shared" si="36"/>
        <v>0</v>
      </c>
      <c r="AP52" s="7">
        <f t="shared" si="37"/>
        <v>0</v>
      </c>
      <c r="AQ52" s="6">
        <f t="shared" si="38"/>
        <v>0</v>
      </c>
      <c r="AR52" s="7">
        <f t="shared" si="39"/>
        <v>0</v>
      </c>
      <c r="AS52" s="6">
        <f t="shared" si="40"/>
        <v>0</v>
      </c>
      <c r="AT52" s="5">
        <f t="shared" si="41"/>
        <v>0</v>
      </c>
      <c r="AU52" s="6">
        <f t="shared" si="42"/>
        <v>0</v>
      </c>
      <c r="AV52" s="7">
        <f t="shared" si="43"/>
        <v>0</v>
      </c>
      <c r="AW52" s="6">
        <f t="shared" si="44"/>
        <v>0</v>
      </c>
      <c r="AX52" s="7">
        <f t="shared" si="45"/>
        <v>0</v>
      </c>
      <c r="AY52" s="6">
        <f t="shared" si="46"/>
        <v>0</v>
      </c>
      <c r="AZ52" s="5">
        <f t="shared" si="47"/>
        <v>0</v>
      </c>
      <c r="BA52" s="6">
        <f t="shared" si="48"/>
        <v>0</v>
      </c>
      <c r="BB52" s="7">
        <f t="shared" si="49"/>
        <v>0</v>
      </c>
      <c r="BC52" s="6">
        <f t="shared" si="50"/>
        <v>0</v>
      </c>
      <c r="BD52" s="7">
        <f t="shared" si="51"/>
        <v>0</v>
      </c>
      <c r="BE52" s="6">
        <f t="shared" si="52"/>
        <v>0</v>
      </c>
      <c r="BF52" s="5">
        <f t="shared" si="53"/>
        <v>0</v>
      </c>
      <c r="BG52" s="6">
        <f t="shared" si="54"/>
        <v>0</v>
      </c>
      <c r="BH52" s="7">
        <f t="shared" si="55"/>
        <v>0</v>
      </c>
      <c r="BI52" s="6">
        <f t="shared" si="56"/>
        <v>0</v>
      </c>
      <c r="BJ52" s="7">
        <f t="shared" si="57"/>
        <v>0</v>
      </c>
      <c r="BK52" s="6">
        <f t="shared" si="58"/>
        <v>0</v>
      </c>
      <c r="BL52" s="5">
        <f t="shared" si="59"/>
        <v>0</v>
      </c>
      <c r="BM52" s="6">
        <f t="shared" si="60"/>
        <v>0</v>
      </c>
      <c r="BN52" s="7">
        <f t="shared" si="61"/>
        <v>0</v>
      </c>
      <c r="BO52" s="6">
        <f t="shared" si="62"/>
        <v>0</v>
      </c>
      <c r="BP52" s="7">
        <f t="shared" si="63"/>
        <v>0</v>
      </c>
      <c r="BQ52" s="6">
        <f t="shared" si="64"/>
        <v>0</v>
      </c>
      <c r="BR52" s="5">
        <f t="shared" si="65"/>
        <v>0</v>
      </c>
      <c r="BS52" s="6">
        <f t="shared" si="66"/>
        <v>0</v>
      </c>
      <c r="BT52" s="7">
        <f t="shared" si="67"/>
        <v>0</v>
      </c>
      <c r="BU52" s="6">
        <f t="shared" si="68"/>
        <v>0</v>
      </c>
      <c r="BV52" s="7">
        <f t="shared" si="69"/>
        <v>0</v>
      </c>
      <c r="BW52" s="6">
        <f t="shared" si="70"/>
        <v>0</v>
      </c>
      <c r="BX52" s="5">
        <f t="shared" si="71"/>
        <v>0</v>
      </c>
      <c r="BY52" s="6">
        <f t="shared" si="72"/>
        <v>0</v>
      </c>
      <c r="BZ52" s="7">
        <f t="shared" si="73"/>
        <v>0</v>
      </c>
      <c r="CA52" s="6">
        <f t="shared" si="74"/>
        <v>0</v>
      </c>
      <c r="CB52" s="7">
        <f t="shared" si="75"/>
        <v>0</v>
      </c>
      <c r="CC52" s="6">
        <f t="shared" si="76"/>
        <v>0</v>
      </c>
      <c r="CD52" s="5">
        <f t="shared" si="77"/>
        <v>0</v>
      </c>
      <c r="CE52" s="6">
        <f t="shared" si="78"/>
        <v>0</v>
      </c>
      <c r="CF52" s="7">
        <f t="shared" si="79"/>
        <v>0</v>
      </c>
      <c r="CG52" s="6">
        <f t="shared" si="80"/>
        <v>0</v>
      </c>
      <c r="CH52" s="7">
        <f t="shared" si="81"/>
        <v>0</v>
      </c>
      <c r="CI52" s="6">
        <f t="shared" si="82"/>
        <v>0</v>
      </c>
      <c r="CJ52" s="5">
        <f t="shared" si="83"/>
        <v>0</v>
      </c>
      <c r="CK52" s="6">
        <f t="shared" si="84"/>
        <v>0</v>
      </c>
      <c r="CL52" s="7">
        <f t="shared" si="85"/>
        <v>0</v>
      </c>
      <c r="CM52" s="6">
        <f t="shared" si="86"/>
        <v>0</v>
      </c>
      <c r="CN52" s="7">
        <f t="shared" si="87"/>
        <v>0</v>
      </c>
      <c r="CO52" s="6">
        <f t="shared" si="88"/>
        <v>0</v>
      </c>
      <c r="CP52" s="5">
        <f t="shared" si="89"/>
        <v>0</v>
      </c>
      <c r="CQ52" s="6">
        <f t="shared" si="90"/>
        <v>0</v>
      </c>
      <c r="CR52" s="7">
        <f t="shared" si="96"/>
        <v>100</v>
      </c>
      <c r="CS52" s="6">
        <f t="shared" si="96"/>
        <v>102.75</v>
      </c>
      <c r="CT52" s="7">
        <f t="shared" si="96"/>
        <v>42.714285714285708</v>
      </c>
      <c r="CU52" s="6">
        <f t="shared" si="96"/>
        <v>45.571428571428569</v>
      </c>
      <c r="CV52" s="5">
        <f t="shared" si="91"/>
        <v>142.71428571428572</v>
      </c>
      <c r="CW52" s="6">
        <f t="shared" si="92"/>
        <v>148.32142857142856</v>
      </c>
      <c r="CY52" s="7">
        <v>142.71428571428572</v>
      </c>
      <c r="CZ52" s="5">
        <f t="array" ref="CZ52">Summary_UpperBound</f>
        <v>148.32142857142856</v>
      </c>
      <c r="DA52" s="6">
        <f t="shared" si="93"/>
        <v>5.6071428571428328</v>
      </c>
    </row>
    <row r="53" spans="2:105" x14ac:dyDescent="0.35">
      <c r="B53" s="14"/>
      <c r="E53" s="12">
        <f t="shared" si="94"/>
        <v>44044</v>
      </c>
      <c r="F53" s="7">
        <f t="shared" si="1"/>
        <v>0</v>
      </c>
      <c r="G53" s="6">
        <f t="shared" si="2"/>
        <v>0</v>
      </c>
      <c r="H53" s="7">
        <f t="shared" si="3"/>
        <v>20</v>
      </c>
      <c r="I53" s="6">
        <f t="shared" si="4"/>
        <v>21</v>
      </c>
      <c r="J53" s="5">
        <f t="shared" si="5"/>
        <v>20</v>
      </c>
      <c r="K53" s="6">
        <f t="shared" si="6"/>
        <v>21</v>
      </c>
      <c r="L53" s="7">
        <f t="shared" si="7"/>
        <v>0</v>
      </c>
      <c r="M53" s="6">
        <f t="shared" si="8"/>
        <v>0</v>
      </c>
      <c r="N53" s="7">
        <f t="shared" si="9"/>
        <v>13.142857142857142</v>
      </c>
      <c r="O53" s="6">
        <f t="shared" si="10"/>
        <v>14.285714285714285</v>
      </c>
      <c r="P53" s="5">
        <f t="shared" si="11"/>
        <v>13.142857142857142</v>
      </c>
      <c r="Q53" s="6">
        <f t="shared" si="12"/>
        <v>14.285714285714285</v>
      </c>
      <c r="R53" s="7">
        <f t="shared" si="13"/>
        <v>0</v>
      </c>
      <c r="S53" s="6">
        <f t="shared" si="14"/>
        <v>0</v>
      </c>
      <c r="T53" s="7">
        <f t="shared" si="15"/>
        <v>9.5714285714285712</v>
      </c>
      <c r="U53" s="6">
        <f t="shared" si="16"/>
        <v>10.285714285714285</v>
      </c>
      <c r="V53" s="5">
        <f t="shared" si="17"/>
        <v>9.5714285714285712</v>
      </c>
      <c r="W53" s="6">
        <f t="shared" si="18"/>
        <v>10.285714285714285</v>
      </c>
      <c r="X53" s="7">
        <f t="shared" si="19"/>
        <v>70</v>
      </c>
      <c r="Y53" s="6">
        <f t="shared" si="20"/>
        <v>71</v>
      </c>
      <c r="Z53" s="7">
        <f t="shared" si="21"/>
        <v>0</v>
      </c>
      <c r="AA53" s="6">
        <f t="shared" si="22"/>
        <v>0</v>
      </c>
      <c r="AB53" s="5">
        <f t="shared" si="23"/>
        <v>70</v>
      </c>
      <c r="AC53" s="6">
        <f t="shared" si="24"/>
        <v>71</v>
      </c>
      <c r="AD53" s="7">
        <f t="shared" si="25"/>
        <v>30</v>
      </c>
      <c r="AE53" s="6">
        <f t="shared" si="26"/>
        <v>31.75</v>
      </c>
      <c r="AF53" s="7">
        <f t="shared" si="27"/>
        <v>0</v>
      </c>
      <c r="AG53" s="6">
        <f t="shared" si="28"/>
        <v>0</v>
      </c>
      <c r="AH53" s="5">
        <f t="shared" si="29"/>
        <v>30</v>
      </c>
      <c r="AI53" s="6">
        <f t="shared" si="30"/>
        <v>31.75</v>
      </c>
      <c r="AJ53" s="7">
        <f t="shared" si="31"/>
        <v>0</v>
      </c>
      <c r="AK53" s="6">
        <f t="shared" si="32"/>
        <v>0</v>
      </c>
      <c r="AL53" s="7">
        <f t="shared" si="33"/>
        <v>0</v>
      </c>
      <c r="AM53" s="6">
        <f t="shared" si="34"/>
        <v>0</v>
      </c>
      <c r="AN53" s="5">
        <f t="shared" si="35"/>
        <v>0</v>
      </c>
      <c r="AO53" s="6">
        <f t="shared" si="36"/>
        <v>0</v>
      </c>
      <c r="AP53" s="7">
        <f t="shared" si="37"/>
        <v>0</v>
      </c>
      <c r="AQ53" s="6">
        <f t="shared" si="38"/>
        <v>0</v>
      </c>
      <c r="AR53" s="7">
        <f t="shared" si="39"/>
        <v>0</v>
      </c>
      <c r="AS53" s="6">
        <f t="shared" si="40"/>
        <v>0</v>
      </c>
      <c r="AT53" s="5">
        <f t="shared" si="41"/>
        <v>0</v>
      </c>
      <c r="AU53" s="6">
        <f t="shared" si="42"/>
        <v>0</v>
      </c>
      <c r="AV53" s="7">
        <f t="shared" si="43"/>
        <v>0</v>
      </c>
      <c r="AW53" s="6">
        <f t="shared" si="44"/>
        <v>0</v>
      </c>
      <c r="AX53" s="7">
        <f t="shared" si="45"/>
        <v>0</v>
      </c>
      <c r="AY53" s="6">
        <f t="shared" si="46"/>
        <v>0</v>
      </c>
      <c r="AZ53" s="5">
        <f t="shared" si="47"/>
        <v>0</v>
      </c>
      <c r="BA53" s="6">
        <f t="shared" si="48"/>
        <v>0</v>
      </c>
      <c r="BB53" s="7">
        <f t="shared" si="49"/>
        <v>0</v>
      </c>
      <c r="BC53" s="6">
        <f t="shared" si="50"/>
        <v>0</v>
      </c>
      <c r="BD53" s="7">
        <f t="shared" si="51"/>
        <v>0</v>
      </c>
      <c r="BE53" s="6">
        <f t="shared" si="52"/>
        <v>0</v>
      </c>
      <c r="BF53" s="5">
        <f t="shared" si="53"/>
        <v>0</v>
      </c>
      <c r="BG53" s="6">
        <f t="shared" si="54"/>
        <v>0</v>
      </c>
      <c r="BH53" s="7">
        <f t="shared" si="55"/>
        <v>0</v>
      </c>
      <c r="BI53" s="6">
        <f t="shared" si="56"/>
        <v>0</v>
      </c>
      <c r="BJ53" s="7">
        <f t="shared" si="57"/>
        <v>0</v>
      </c>
      <c r="BK53" s="6">
        <f t="shared" si="58"/>
        <v>0</v>
      </c>
      <c r="BL53" s="5">
        <f t="shared" si="59"/>
        <v>0</v>
      </c>
      <c r="BM53" s="6">
        <f t="shared" si="60"/>
        <v>0</v>
      </c>
      <c r="BN53" s="7">
        <f t="shared" si="61"/>
        <v>0</v>
      </c>
      <c r="BO53" s="6">
        <f t="shared" si="62"/>
        <v>0</v>
      </c>
      <c r="BP53" s="7">
        <f t="shared" si="63"/>
        <v>0</v>
      </c>
      <c r="BQ53" s="6">
        <f t="shared" si="64"/>
        <v>0</v>
      </c>
      <c r="BR53" s="5">
        <f t="shared" si="65"/>
        <v>0</v>
      </c>
      <c r="BS53" s="6">
        <f t="shared" si="66"/>
        <v>0</v>
      </c>
      <c r="BT53" s="7">
        <f t="shared" si="67"/>
        <v>0</v>
      </c>
      <c r="BU53" s="6">
        <f t="shared" si="68"/>
        <v>0</v>
      </c>
      <c r="BV53" s="7">
        <f t="shared" si="69"/>
        <v>0</v>
      </c>
      <c r="BW53" s="6">
        <f t="shared" si="70"/>
        <v>0</v>
      </c>
      <c r="BX53" s="5">
        <f t="shared" si="71"/>
        <v>0</v>
      </c>
      <c r="BY53" s="6">
        <f t="shared" si="72"/>
        <v>0</v>
      </c>
      <c r="BZ53" s="7">
        <f t="shared" si="73"/>
        <v>0</v>
      </c>
      <c r="CA53" s="6">
        <f t="shared" si="74"/>
        <v>0</v>
      </c>
      <c r="CB53" s="7">
        <f t="shared" si="75"/>
        <v>0</v>
      </c>
      <c r="CC53" s="6">
        <f t="shared" si="76"/>
        <v>0</v>
      </c>
      <c r="CD53" s="5">
        <f t="shared" si="77"/>
        <v>0</v>
      </c>
      <c r="CE53" s="6">
        <f t="shared" si="78"/>
        <v>0</v>
      </c>
      <c r="CF53" s="7">
        <f t="shared" si="79"/>
        <v>0</v>
      </c>
      <c r="CG53" s="6">
        <f t="shared" si="80"/>
        <v>0</v>
      </c>
      <c r="CH53" s="7">
        <f t="shared" si="81"/>
        <v>0</v>
      </c>
      <c r="CI53" s="6">
        <f t="shared" si="82"/>
        <v>0</v>
      </c>
      <c r="CJ53" s="5">
        <f t="shared" si="83"/>
        <v>0</v>
      </c>
      <c r="CK53" s="6">
        <f t="shared" si="84"/>
        <v>0</v>
      </c>
      <c r="CL53" s="7">
        <f t="shared" si="85"/>
        <v>0</v>
      </c>
      <c r="CM53" s="6">
        <f t="shared" si="86"/>
        <v>0</v>
      </c>
      <c r="CN53" s="7">
        <f t="shared" si="87"/>
        <v>0</v>
      </c>
      <c r="CO53" s="6">
        <f t="shared" si="88"/>
        <v>0</v>
      </c>
      <c r="CP53" s="5">
        <f t="shared" si="89"/>
        <v>0</v>
      </c>
      <c r="CQ53" s="6">
        <f t="shared" si="90"/>
        <v>0</v>
      </c>
      <c r="CR53" s="7">
        <f t="shared" si="96"/>
        <v>100</v>
      </c>
      <c r="CS53" s="6">
        <f t="shared" si="96"/>
        <v>102.75</v>
      </c>
      <c r="CT53" s="7">
        <f t="shared" si="96"/>
        <v>42.714285714285708</v>
      </c>
      <c r="CU53" s="6">
        <f t="shared" si="96"/>
        <v>45.571428571428569</v>
      </c>
      <c r="CV53" s="5">
        <f t="shared" si="91"/>
        <v>142.71428571428572</v>
      </c>
      <c r="CW53" s="6">
        <f t="shared" si="92"/>
        <v>148.32142857142856</v>
      </c>
      <c r="CY53" s="7">
        <v>142.71428571428572</v>
      </c>
      <c r="CZ53" s="5">
        <f t="array" ref="CZ53">Summary_UpperBound</f>
        <v>148.32142857142856</v>
      </c>
      <c r="DA53" s="6">
        <f t="shared" si="93"/>
        <v>5.6071428571428328</v>
      </c>
    </row>
    <row r="54" spans="2:105" x14ac:dyDescent="0.35">
      <c r="B54" s="14"/>
      <c r="E54" s="12">
        <f t="shared" si="94"/>
        <v>44051</v>
      </c>
      <c r="F54" s="7">
        <f t="shared" si="1"/>
        <v>0</v>
      </c>
      <c r="G54" s="6">
        <f t="shared" si="2"/>
        <v>0</v>
      </c>
      <c r="H54" s="7">
        <f t="shared" si="3"/>
        <v>20</v>
      </c>
      <c r="I54" s="6">
        <f t="shared" si="4"/>
        <v>21</v>
      </c>
      <c r="J54" s="5">
        <f t="shared" si="5"/>
        <v>20</v>
      </c>
      <c r="K54" s="6">
        <f t="shared" si="6"/>
        <v>21</v>
      </c>
      <c r="L54" s="7">
        <f t="shared" si="7"/>
        <v>0</v>
      </c>
      <c r="M54" s="6">
        <f t="shared" si="8"/>
        <v>0</v>
      </c>
      <c r="N54" s="7">
        <f t="shared" si="9"/>
        <v>13.142857142857142</v>
      </c>
      <c r="O54" s="6">
        <f t="shared" si="10"/>
        <v>14.285714285714285</v>
      </c>
      <c r="P54" s="5">
        <f t="shared" si="11"/>
        <v>13.142857142857142</v>
      </c>
      <c r="Q54" s="6">
        <f t="shared" si="12"/>
        <v>14.285714285714285</v>
      </c>
      <c r="R54" s="7">
        <f t="shared" si="13"/>
        <v>0</v>
      </c>
      <c r="S54" s="6">
        <f t="shared" si="14"/>
        <v>0</v>
      </c>
      <c r="T54" s="7">
        <f t="shared" si="15"/>
        <v>9.5714285714285712</v>
      </c>
      <c r="U54" s="6">
        <f t="shared" si="16"/>
        <v>10.285714285714285</v>
      </c>
      <c r="V54" s="5">
        <f t="shared" si="17"/>
        <v>9.5714285714285712</v>
      </c>
      <c r="W54" s="6">
        <f t="shared" si="18"/>
        <v>10.285714285714285</v>
      </c>
      <c r="X54" s="7">
        <f t="shared" si="19"/>
        <v>70</v>
      </c>
      <c r="Y54" s="6">
        <f t="shared" si="20"/>
        <v>71</v>
      </c>
      <c r="Z54" s="7">
        <f t="shared" si="21"/>
        <v>0</v>
      </c>
      <c r="AA54" s="6">
        <f t="shared" si="22"/>
        <v>0</v>
      </c>
      <c r="AB54" s="5">
        <f t="shared" si="23"/>
        <v>70</v>
      </c>
      <c r="AC54" s="6">
        <f t="shared" si="24"/>
        <v>71</v>
      </c>
      <c r="AD54" s="7">
        <f t="shared" si="25"/>
        <v>30</v>
      </c>
      <c r="AE54" s="6">
        <f t="shared" si="26"/>
        <v>31.75</v>
      </c>
      <c r="AF54" s="7">
        <f t="shared" si="27"/>
        <v>0</v>
      </c>
      <c r="AG54" s="6">
        <f t="shared" si="28"/>
        <v>0</v>
      </c>
      <c r="AH54" s="5">
        <f t="shared" si="29"/>
        <v>30</v>
      </c>
      <c r="AI54" s="6">
        <f t="shared" si="30"/>
        <v>31.75</v>
      </c>
      <c r="AJ54" s="7">
        <f t="shared" si="31"/>
        <v>0</v>
      </c>
      <c r="AK54" s="6">
        <f t="shared" si="32"/>
        <v>0</v>
      </c>
      <c r="AL54" s="7">
        <f t="shared" si="33"/>
        <v>0</v>
      </c>
      <c r="AM54" s="6">
        <f t="shared" si="34"/>
        <v>0</v>
      </c>
      <c r="AN54" s="5">
        <f t="shared" si="35"/>
        <v>0</v>
      </c>
      <c r="AO54" s="6">
        <f t="shared" si="36"/>
        <v>0</v>
      </c>
      <c r="AP54" s="7">
        <f t="shared" si="37"/>
        <v>0</v>
      </c>
      <c r="AQ54" s="6">
        <f t="shared" si="38"/>
        <v>0</v>
      </c>
      <c r="AR54" s="7">
        <f t="shared" si="39"/>
        <v>0</v>
      </c>
      <c r="AS54" s="6">
        <f t="shared" si="40"/>
        <v>0</v>
      </c>
      <c r="AT54" s="5">
        <f t="shared" si="41"/>
        <v>0</v>
      </c>
      <c r="AU54" s="6">
        <f t="shared" si="42"/>
        <v>0</v>
      </c>
      <c r="AV54" s="7">
        <f t="shared" si="43"/>
        <v>0</v>
      </c>
      <c r="AW54" s="6">
        <f t="shared" si="44"/>
        <v>0</v>
      </c>
      <c r="AX54" s="7">
        <f t="shared" si="45"/>
        <v>0</v>
      </c>
      <c r="AY54" s="6">
        <f t="shared" si="46"/>
        <v>0</v>
      </c>
      <c r="AZ54" s="5">
        <f t="shared" si="47"/>
        <v>0</v>
      </c>
      <c r="BA54" s="6">
        <f t="shared" si="48"/>
        <v>0</v>
      </c>
      <c r="BB54" s="7">
        <f t="shared" si="49"/>
        <v>0</v>
      </c>
      <c r="BC54" s="6">
        <f t="shared" si="50"/>
        <v>0</v>
      </c>
      <c r="BD54" s="7">
        <f t="shared" si="51"/>
        <v>0</v>
      </c>
      <c r="BE54" s="6">
        <f t="shared" si="52"/>
        <v>0</v>
      </c>
      <c r="BF54" s="5">
        <f t="shared" si="53"/>
        <v>0</v>
      </c>
      <c r="BG54" s="6">
        <f t="shared" si="54"/>
        <v>0</v>
      </c>
      <c r="BH54" s="7">
        <f t="shared" si="55"/>
        <v>0</v>
      </c>
      <c r="BI54" s="6">
        <f t="shared" si="56"/>
        <v>0</v>
      </c>
      <c r="BJ54" s="7">
        <f t="shared" si="57"/>
        <v>0</v>
      </c>
      <c r="BK54" s="6">
        <f t="shared" si="58"/>
        <v>0</v>
      </c>
      <c r="BL54" s="5">
        <f t="shared" si="59"/>
        <v>0</v>
      </c>
      <c r="BM54" s="6">
        <f t="shared" si="60"/>
        <v>0</v>
      </c>
      <c r="BN54" s="7">
        <f t="shared" si="61"/>
        <v>0</v>
      </c>
      <c r="BO54" s="6">
        <f t="shared" si="62"/>
        <v>0</v>
      </c>
      <c r="BP54" s="7">
        <f t="shared" si="63"/>
        <v>0</v>
      </c>
      <c r="BQ54" s="6">
        <f t="shared" si="64"/>
        <v>0</v>
      </c>
      <c r="BR54" s="5">
        <f t="shared" si="65"/>
        <v>0</v>
      </c>
      <c r="BS54" s="6">
        <f t="shared" si="66"/>
        <v>0</v>
      </c>
      <c r="BT54" s="7">
        <f t="shared" si="67"/>
        <v>0</v>
      </c>
      <c r="BU54" s="6">
        <f t="shared" si="68"/>
        <v>0</v>
      </c>
      <c r="BV54" s="7">
        <f t="shared" si="69"/>
        <v>0</v>
      </c>
      <c r="BW54" s="6">
        <f t="shared" si="70"/>
        <v>0</v>
      </c>
      <c r="BX54" s="5">
        <f t="shared" si="71"/>
        <v>0</v>
      </c>
      <c r="BY54" s="6">
        <f t="shared" si="72"/>
        <v>0</v>
      </c>
      <c r="BZ54" s="7">
        <f t="shared" si="73"/>
        <v>0</v>
      </c>
      <c r="CA54" s="6">
        <f t="shared" si="74"/>
        <v>0</v>
      </c>
      <c r="CB54" s="7">
        <f t="shared" si="75"/>
        <v>0</v>
      </c>
      <c r="CC54" s="6">
        <f t="shared" si="76"/>
        <v>0</v>
      </c>
      <c r="CD54" s="5">
        <f t="shared" si="77"/>
        <v>0</v>
      </c>
      <c r="CE54" s="6">
        <f t="shared" si="78"/>
        <v>0</v>
      </c>
      <c r="CF54" s="7">
        <f t="shared" si="79"/>
        <v>0</v>
      </c>
      <c r="CG54" s="6">
        <f t="shared" si="80"/>
        <v>0</v>
      </c>
      <c r="CH54" s="7">
        <f t="shared" si="81"/>
        <v>0</v>
      </c>
      <c r="CI54" s="6">
        <f t="shared" si="82"/>
        <v>0</v>
      </c>
      <c r="CJ54" s="5">
        <f t="shared" si="83"/>
        <v>0</v>
      </c>
      <c r="CK54" s="6">
        <f t="shared" si="84"/>
        <v>0</v>
      </c>
      <c r="CL54" s="7">
        <f t="shared" si="85"/>
        <v>0</v>
      </c>
      <c r="CM54" s="6">
        <f t="shared" si="86"/>
        <v>0</v>
      </c>
      <c r="CN54" s="7">
        <f t="shared" si="87"/>
        <v>0</v>
      </c>
      <c r="CO54" s="6">
        <f t="shared" si="88"/>
        <v>0</v>
      </c>
      <c r="CP54" s="5">
        <f t="shared" si="89"/>
        <v>0</v>
      </c>
      <c r="CQ54" s="6">
        <f t="shared" si="90"/>
        <v>0</v>
      </c>
      <c r="CR54" s="7">
        <f t="shared" si="96"/>
        <v>100</v>
      </c>
      <c r="CS54" s="6">
        <f t="shared" si="96"/>
        <v>102.75</v>
      </c>
      <c r="CT54" s="7">
        <f t="shared" si="96"/>
        <v>42.714285714285708</v>
      </c>
      <c r="CU54" s="6">
        <f t="shared" si="96"/>
        <v>45.571428571428569</v>
      </c>
      <c r="CV54" s="5">
        <f t="shared" si="91"/>
        <v>142.71428571428572</v>
      </c>
      <c r="CW54" s="6">
        <f t="shared" si="92"/>
        <v>148.32142857142856</v>
      </c>
      <c r="CY54" s="7">
        <v>142.71428571428572</v>
      </c>
      <c r="CZ54" s="5">
        <f t="array" ref="CZ54">Summary_UpperBound</f>
        <v>148.32142857142856</v>
      </c>
      <c r="DA54" s="6">
        <f t="shared" si="93"/>
        <v>5.6071428571428328</v>
      </c>
    </row>
    <row r="55" spans="2:105" x14ac:dyDescent="0.35">
      <c r="B55" s="14"/>
      <c r="E55" s="12">
        <f t="shared" si="94"/>
        <v>44058</v>
      </c>
      <c r="F55" s="7">
        <f t="shared" si="1"/>
        <v>0</v>
      </c>
      <c r="G55" s="6">
        <f t="shared" si="2"/>
        <v>0</v>
      </c>
      <c r="H55" s="7">
        <f t="shared" si="3"/>
        <v>20</v>
      </c>
      <c r="I55" s="6">
        <f t="shared" si="4"/>
        <v>21</v>
      </c>
      <c r="J55" s="5">
        <f t="shared" si="5"/>
        <v>20</v>
      </c>
      <c r="K55" s="6">
        <f t="shared" si="6"/>
        <v>21</v>
      </c>
      <c r="L55" s="7">
        <f t="shared" si="7"/>
        <v>0</v>
      </c>
      <c r="M55" s="6">
        <f t="shared" si="8"/>
        <v>0</v>
      </c>
      <c r="N55" s="7">
        <f t="shared" si="9"/>
        <v>13.142857142857142</v>
      </c>
      <c r="O55" s="6">
        <f t="shared" si="10"/>
        <v>14.285714285714285</v>
      </c>
      <c r="P55" s="5">
        <f t="shared" si="11"/>
        <v>13.142857142857142</v>
      </c>
      <c r="Q55" s="6">
        <f t="shared" si="12"/>
        <v>14.285714285714285</v>
      </c>
      <c r="R55" s="7">
        <f t="shared" si="13"/>
        <v>0</v>
      </c>
      <c r="S55" s="6">
        <f t="shared" si="14"/>
        <v>0</v>
      </c>
      <c r="T55" s="7">
        <f t="shared" si="15"/>
        <v>9.5714285714285712</v>
      </c>
      <c r="U55" s="6">
        <f t="shared" si="16"/>
        <v>10.285714285714285</v>
      </c>
      <c r="V55" s="5">
        <f t="shared" si="17"/>
        <v>9.5714285714285712</v>
      </c>
      <c r="W55" s="6">
        <f t="shared" si="18"/>
        <v>10.285714285714285</v>
      </c>
      <c r="X55" s="7">
        <f t="shared" si="19"/>
        <v>70</v>
      </c>
      <c r="Y55" s="6">
        <f t="shared" si="20"/>
        <v>71</v>
      </c>
      <c r="Z55" s="7">
        <f t="shared" si="21"/>
        <v>0</v>
      </c>
      <c r="AA55" s="6">
        <f t="shared" si="22"/>
        <v>0</v>
      </c>
      <c r="AB55" s="5">
        <f t="shared" si="23"/>
        <v>70</v>
      </c>
      <c r="AC55" s="6">
        <f t="shared" si="24"/>
        <v>71</v>
      </c>
      <c r="AD55" s="7">
        <f t="shared" si="25"/>
        <v>30</v>
      </c>
      <c r="AE55" s="6">
        <f t="shared" si="26"/>
        <v>31.75</v>
      </c>
      <c r="AF55" s="7">
        <f t="shared" si="27"/>
        <v>0</v>
      </c>
      <c r="AG55" s="6">
        <f t="shared" si="28"/>
        <v>0</v>
      </c>
      <c r="AH55" s="5">
        <f t="shared" si="29"/>
        <v>30</v>
      </c>
      <c r="AI55" s="6">
        <f t="shared" si="30"/>
        <v>31.75</v>
      </c>
      <c r="AJ55" s="7">
        <f t="shared" si="31"/>
        <v>0</v>
      </c>
      <c r="AK55" s="6">
        <f t="shared" si="32"/>
        <v>0</v>
      </c>
      <c r="AL55" s="7">
        <f t="shared" si="33"/>
        <v>0</v>
      </c>
      <c r="AM55" s="6">
        <f t="shared" si="34"/>
        <v>0</v>
      </c>
      <c r="AN55" s="5">
        <f t="shared" si="35"/>
        <v>0</v>
      </c>
      <c r="AO55" s="6">
        <f t="shared" si="36"/>
        <v>0</v>
      </c>
      <c r="AP55" s="7">
        <f t="shared" si="37"/>
        <v>0</v>
      </c>
      <c r="AQ55" s="6">
        <f t="shared" si="38"/>
        <v>0</v>
      </c>
      <c r="AR55" s="7">
        <f t="shared" si="39"/>
        <v>0</v>
      </c>
      <c r="AS55" s="6">
        <f t="shared" si="40"/>
        <v>0</v>
      </c>
      <c r="AT55" s="5">
        <f t="shared" si="41"/>
        <v>0</v>
      </c>
      <c r="AU55" s="6">
        <f t="shared" si="42"/>
        <v>0</v>
      </c>
      <c r="AV55" s="7">
        <f t="shared" si="43"/>
        <v>0</v>
      </c>
      <c r="AW55" s="6">
        <f t="shared" si="44"/>
        <v>0</v>
      </c>
      <c r="AX55" s="7">
        <f t="shared" si="45"/>
        <v>0</v>
      </c>
      <c r="AY55" s="6">
        <f t="shared" si="46"/>
        <v>0</v>
      </c>
      <c r="AZ55" s="5">
        <f t="shared" si="47"/>
        <v>0</v>
      </c>
      <c r="BA55" s="6">
        <f t="shared" si="48"/>
        <v>0</v>
      </c>
      <c r="BB55" s="7">
        <f t="shared" si="49"/>
        <v>0</v>
      </c>
      <c r="BC55" s="6">
        <f t="shared" si="50"/>
        <v>0</v>
      </c>
      <c r="BD55" s="7">
        <f t="shared" si="51"/>
        <v>0</v>
      </c>
      <c r="BE55" s="6">
        <f t="shared" si="52"/>
        <v>0</v>
      </c>
      <c r="BF55" s="5">
        <f t="shared" si="53"/>
        <v>0</v>
      </c>
      <c r="BG55" s="6">
        <f t="shared" si="54"/>
        <v>0</v>
      </c>
      <c r="BH55" s="7">
        <f t="shared" si="55"/>
        <v>0</v>
      </c>
      <c r="BI55" s="6">
        <f t="shared" si="56"/>
        <v>0</v>
      </c>
      <c r="BJ55" s="7">
        <f t="shared" si="57"/>
        <v>0</v>
      </c>
      <c r="BK55" s="6">
        <f t="shared" si="58"/>
        <v>0</v>
      </c>
      <c r="BL55" s="5">
        <f t="shared" si="59"/>
        <v>0</v>
      </c>
      <c r="BM55" s="6">
        <f t="shared" si="60"/>
        <v>0</v>
      </c>
      <c r="BN55" s="7">
        <f t="shared" si="61"/>
        <v>0</v>
      </c>
      <c r="BO55" s="6">
        <f t="shared" si="62"/>
        <v>0</v>
      </c>
      <c r="BP55" s="7">
        <f t="shared" si="63"/>
        <v>0</v>
      </c>
      <c r="BQ55" s="6">
        <f t="shared" si="64"/>
        <v>0</v>
      </c>
      <c r="BR55" s="5">
        <f t="shared" si="65"/>
        <v>0</v>
      </c>
      <c r="BS55" s="6">
        <f t="shared" si="66"/>
        <v>0</v>
      </c>
      <c r="BT55" s="7">
        <f t="shared" si="67"/>
        <v>0</v>
      </c>
      <c r="BU55" s="6">
        <f t="shared" si="68"/>
        <v>0</v>
      </c>
      <c r="BV55" s="7">
        <f t="shared" si="69"/>
        <v>0</v>
      </c>
      <c r="BW55" s="6">
        <f t="shared" si="70"/>
        <v>0</v>
      </c>
      <c r="BX55" s="5">
        <f t="shared" si="71"/>
        <v>0</v>
      </c>
      <c r="BY55" s="6">
        <f t="shared" si="72"/>
        <v>0</v>
      </c>
      <c r="BZ55" s="7">
        <f t="shared" si="73"/>
        <v>0</v>
      </c>
      <c r="CA55" s="6">
        <f t="shared" si="74"/>
        <v>0</v>
      </c>
      <c r="CB55" s="7">
        <f t="shared" si="75"/>
        <v>0</v>
      </c>
      <c r="CC55" s="6">
        <f t="shared" si="76"/>
        <v>0</v>
      </c>
      <c r="CD55" s="5">
        <f t="shared" si="77"/>
        <v>0</v>
      </c>
      <c r="CE55" s="6">
        <f t="shared" si="78"/>
        <v>0</v>
      </c>
      <c r="CF55" s="7">
        <f t="shared" si="79"/>
        <v>0</v>
      </c>
      <c r="CG55" s="6">
        <f t="shared" si="80"/>
        <v>0</v>
      </c>
      <c r="CH55" s="7">
        <f t="shared" si="81"/>
        <v>0</v>
      </c>
      <c r="CI55" s="6">
        <f t="shared" si="82"/>
        <v>0</v>
      </c>
      <c r="CJ55" s="5">
        <f t="shared" si="83"/>
        <v>0</v>
      </c>
      <c r="CK55" s="6">
        <f t="shared" si="84"/>
        <v>0</v>
      </c>
      <c r="CL55" s="7">
        <f t="shared" si="85"/>
        <v>0</v>
      </c>
      <c r="CM55" s="6">
        <f t="shared" si="86"/>
        <v>0</v>
      </c>
      <c r="CN55" s="7">
        <f t="shared" si="87"/>
        <v>0</v>
      </c>
      <c r="CO55" s="6">
        <f t="shared" si="88"/>
        <v>0</v>
      </c>
      <c r="CP55" s="5">
        <f t="shared" si="89"/>
        <v>0</v>
      </c>
      <c r="CQ55" s="6">
        <f t="shared" si="90"/>
        <v>0</v>
      </c>
      <c r="CR55" s="7">
        <f t="shared" si="96"/>
        <v>100</v>
      </c>
      <c r="CS55" s="6">
        <f t="shared" si="96"/>
        <v>102.75</v>
      </c>
      <c r="CT55" s="7">
        <f t="shared" si="96"/>
        <v>42.714285714285708</v>
      </c>
      <c r="CU55" s="6">
        <f t="shared" si="96"/>
        <v>45.571428571428569</v>
      </c>
      <c r="CV55" s="5">
        <f t="shared" si="91"/>
        <v>142.71428571428572</v>
      </c>
      <c r="CW55" s="6">
        <f t="shared" si="92"/>
        <v>148.32142857142856</v>
      </c>
      <c r="CY55" s="7">
        <v>142.71428571428572</v>
      </c>
      <c r="CZ55" s="5">
        <f t="array" ref="CZ55">Summary_UpperBound</f>
        <v>148.32142857142856</v>
      </c>
      <c r="DA55" s="6">
        <f t="shared" si="93"/>
        <v>5.6071428571428328</v>
      </c>
    </row>
    <row r="56" spans="2:105" ht="15" thickBot="1" x14ac:dyDescent="0.4">
      <c r="B56" s="14"/>
      <c r="E56" s="13">
        <f t="shared" si="94"/>
        <v>44065</v>
      </c>
      <c r="F56" s="8">
        <f t="shared" si="1"/>
        <v>0</v>
      </c>
      <c r="G56" s="10">
        <f t="shared" si="2"/>
        <v>0</v>
      </c>
      <c r="H56" s="8">
        <f t="shared" si="3"/>
        <v>20</v>
      </c>
      <c r="I56" s="10">
        <f t="shared" si="4"/>
        <v>21</v>
      </c>
      <c r="J56" s="9">
        <f t="shared" si="5"/>
        <v>20</v>
      </c>
      <c r="K56" s="10">
        <f t="shared" si="6"/>
        <v>21</v>
      </c>
      <c r="L56" s="8">
        <f t="shared" si="7"/>
        <v>0</v>
      </c>
      <c r="M56" s="10">
        <f t="shared" si="8"/>
        <v>0</v>
      </c>
      <c r="N56" s="8">
        <f t="shared" si="9"/>
        <v>13.142857142857142</v>
      </c>
      <c r="O56" s="10">
        <f t="shared" si="10"/>
        <v>14.285714285714285</v>
      </c>
      <c r="P56" s="9">
        <f t="shared" si="11"/>
        <v>13.142857142857142</v>
      </c>
      <c r="Q56" s="10">
        <f t="shared" si="12"/>
        <v>14.285714285714285</v>
      </c>
      <c r="R56" s="8">
        <f t="shared" si="13"/>
        <v>0</v>
      </c>
      <c r="S56" s="10">
        <f t="shared" si="14"/>
        <v>0</v>
      </c>
      <c r="T56" s="8">
        <f t="shared" si="15"/>
        <v>9.5714285714285712</v>
      </c>
      <c r="U56" s="10">
        <f t="shared" si="16"/>
        <v>10.285714285714285</v>
      </c>
      <c r="V56" s="9">
        <f t="shared" si="17"/>
        <v>9.5714285714285712</v>
      </c>
      <c r="W56" s="10">
        <f t="shared" si="18"/>
        <v>10.285714285714285</v>
      </c>
      <c r="X56" s="8">
        <f t="shared" si="19"/>
        <v>70</v>
      </c>
      <c r="Y56" s="10">
        <f t="shared" si="20"/>
        <v>71</v>
      </c>
      <c r="Z56" s="8">
        <f t="shared" si="21"/>
        <v>0</v>
      </c>
      <c r="AA56" s="10">
        <f t="shared" si="22"/>
        <v>0</v>
      </c>
      <c r="AB56" s="9">
        <f t="shared" si="23"/>
        <v>70</v>
      </c>
      <c r="AC56" s="10">
        <f t="shared" si="24"/>
        <v>71</v>
      </c>
      <c r="AD56" s="8">
        <f t="shared" si="25"/>
        <v>30</v>
      </c>
      <c r="AE56" s="10">
        <f t="shared" si="26"/>
        <v>31.75</v>
      </c>
      <c r="AF56" s="8">
        <f t="shared" si="27"/>
        <v>0</v>
      </c>
      <c r="AG56" s="10">
        <f t="shared" si="28"/>
        <v>0</v>
      </c>
      <c r="AH56" s="9">
        <f t="shared" si="29"/>
        <v>30</v>
      </c>
      <c r="AI56" s="10">
        <f t="shared" si="30"/>
        <v>31.75</v>
      </c>
      <c r="AJ56" s="8">
        <f t="shared" si="31"/>
        <v>0</v>
      </c>
      <c r="AK56" s="10">
        <f t="shared" si="32"/>
        <v>0</v>
      </c>
      <c r="AL56" s="8">
        <f t="shared" si="33"/>
        <v>0</v>
      </c>
      <c r="AM56" s="10">
        <f t="shared" si="34"/>
        <v>0</v>
      </c>
      <c r="AN56" s="9">
        <f t="shared" si="35"/>
        <v>0</v>
      </c>
      <c r="AO56" s="10">
        <f t="shared" si="36"/>
        <v>0</v>
      </c>
      <c r="AP56" s="8">
        <f t="shared" si="37"/>
        <v>0</v>
      </c>
      <c r="AQ56" s="10">
        <f t="shared" si="38"/>
        <v>0</v>
      </c>
      <c r="AR56" s="8">
        <f t="shared" si="39"/>
        <v>0</v>
      </c>
      <c r="AS56" s="10">
        <f t="shared" si="40"/>
        <v>0</v>
      </c>
      <c r="AT56" s="9">
        <f t="shared" si="41"/>
        <v>0</v>
      </c>
      <c r="AU56" s="10">
        <f t="shared" si="42"/>
        <v>0</v>
      </c>
      <c r="AV56" s="8">
        <f t="shared" si="43"/>
        <v>0</v>
      </c>
      <c r="AW56" s="10">
        <f t="shared" si="44"/>
        <v>0</v>
      </c>
      <c r="AX56" s="8">
        <f t="shared" si="45"/>
        <v>0</v>
      </c>
      <c r="AY56" s="10">
        <f t="shared" si="46"/>
        <v>0</v>
      </c>
      <c r="AZ56" s="9">
        <f t="shared" si="47"/>
        <v>0</v>
      </c>
      <c r="BA56" s="10">
        <f t="shared" si="48"/>
        <v>0</v>
      </c>
      <c r="BB56" s="8">
        <f t="shared" si="49"/>
        <v>0</v>
      </c>
      <c r="BC56" s="10">
        <f t="shared" si="50"/>
        <v>0</v>
      </c>
      <c r="BD56" s="8">
        <f t="shared" si="51"/>
        <v>0</v>
      </c>
      <c r="BE56" s="10">
        <f t="shared" si="52"/>
        <v>0</v>
      </c>
      <c r="BF56" s="9">
        <f t="shared" si="53"/>
        <v>0</v>
      </c>
      <c r="BG56" s="10">
        <f t="shared" si="54"/>
        <v>0</v>
      </c>
      <c r="BH56" s="8">
        <f t="shared" si="55"/>
        <v>0</v>
      </c>
      <c r="BI56" s="10">
        <f t="shared" si="56"/>
        <v>0</v>
      </c>
      <c r="BJ56" s="8">
        <f t="shared" si="57"/>
        <v>0</v>
      </c>
      <c r="BK56" s="10">
        <f t="shared" si="58"/>
        <v>0</v>
      </c>
      <c r="BL56" s="9">
        <f t="shared" si="59"/>
        <v>0</v>
      </c>
      <c r="BM56" s="10">
        <f t="shared" si="60"/>
        <v>0</v>
      </c>
      <c r="BN56" s="8">
        <f t="shared" si="61"/>
        <v>0</v>
      </c>
      <c r="BO56" s="10">
        <f t="shared" si="62"/>
        <v>0</v>
      </c>
      <c r="BP56" s="8">
        <f t="shared" si="63"/>
        <v>0</v>
      </c>
      <c r="BQ56" s="10">
        <f t="shared" si="64"/>
        <v>0</v>
      </c>
      <c r="BR56" s="9">
        <f t="shared" si="65"/>
        <v>0</v>
      </c>
      <c r="BS56" s="10">
        <f t="shared" si="66"/>
        <v>0</v>
      </c>
      <c r="BT56" s="8">
        <f t="shared" si="67"/>
        <v>0</v>
      </c>
      <c r="BU56" s="10">
        <f t="shared" si="68"/>
        <v>0</v>
      </c>
      <c r="BV56" s="8">
        <f t="shared" si="69"/>
        <v>0</v>
      </c>
      <c r="BW56" s="10">
        <f t="shared" si="70"/>
        <v>0</v>
      </c>
      <c r="BX56" s="9">
        <f t="shared" si="71"/>
        <v>0</v>
      </c>
      <c r="BY56" s="10">
        <f t="shared" si="72"/>
        <v>0</v>
      </c>
      <c r="BZ56" s="8">
        <f t="shared" si="73"/>
        <v>0</v>
      </c>
      <c r="CA56" s="10">
        <f t="shared" si="74"/>
        <v>0</v>
      </c>
      <c r="CB56" s="8">
        <f t="shared" si="75"/>
        <v>0</v>
      </c>
      <c r="CC56" s="10">
        <f t="shared" si="76"/>
        <v>0</v>
      </c>
      <c r="CD56" s="9">
        <f t="shared" si="77"/>
        <v>0</v>
      </c>
      <c r="CE56" s="10">
        <f t="shared" si="78"/>
        <v>0</v>
      </c>
      <c r="CF56" s="8">
        <f t="shared" si="79"/>
        <v>0</v>
      </c>
      <c r="CG56" s="10">
        <f t="shared" si="80"/>
        <v>0</v>
      </c>
      <c r="CH56" s="8">
        <f t="shared" si="81"/>
        <v>0</v>
      </c>
      <c r="CI56" s="10">
        <f t="shared" si="82"/>
        <v>0</v>
      </c>
      <c r="CJ56" s="9">
        <f t="shared" si="83"/>
        <v>0</v>
      </c>
      <c r="CK56" s="10">
        <f t="shared" si="84"/>
        <v>0</v>
      </c>
      <c r="CL56" s="8">
        <f t="shared" si="85"/>
        <v>0</v>
      </c>
      <c r="CM56" s="10">
        <f t="shared" si="86"/>
        <v>0</v>
      </c>
      <c r="CN56" s="8">
        <f t="shared" si="87"/>
        <v>0</v>
      </c>
      <c r="CO56" s="10">
        <f t="shared" si="88"/>
        <v>0</v>
      </c>
      <c r="CP56" s="9">
        <f t="shared" si="89"/>
        <v>0</v>
      </c>
      <c r="CQ56" s="10">
        <f t="shared" si="90"/>
        <v>0</v>
      </c>
      <c r="CR56" s="8">
        <f t="shared" si="96"/>
        <v>100</v>
      </c>
      <c r="CS56" s="10">
        <f t="shared" si="96"/>
        <v>102.75</v>
      </c>
      <c r="CT56" s="8">
        <f t="shared" si="96"/>
        <v>42.714285714285708</v>
      </c>
      <c r="CU56" s="10">
        <f t="shared" si="96"/>
        <v>45.571428571428569</v>
      </c>
      <c r="CV56" s="9">
        <f t="shared" si="91"/>
        <v>142.71428571428572</v>
      </c>
      <c r="CW56" s="10">
        <f t="shared" si="92"/>
        <v>148.32142857142856</v>
      </c>
      <c r="CY56" s="8">
        <v>142.71428571428572</v>
      </c>
      <c r="CZ56" s="9">
        <f t="array" ref="CZ56">Summary_UpperBound</f>
        <v>148.32142857142856</v>
      </c>
      <c r="DA56" s="10">
        <f t="shared" si="93"/>
        <v>5.6071428571428328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137</v>
      </c>
      <c r="E58" s="14"/>
      <c r="F58" s="5"/>
      <c r="G58" s="14" t="s">
        <v>46</v>
      </c>
      <c r="H58" s="5"/>
      <c r="I58" s="14" t="s">
        <v>46</v>
      </c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19" t="s">
        <v>140</v>
      </c>
      <c r="CS58" s="19" t="s">
        <v>140</v>
      </c>
      <c r="CT58" s="19" t="s">
        <v>140</v>
      </c>
      <c r="CU58" s="19" t="s">
        <v>140</v>
      </c>
      <c r="CV58" s="19" t="s">
        <v>140</v>
      </c>
      <c r="CW58" s="19" t="s">
        <v>140</v>
      </c>
    </row>
    <row r="59" spans="2:105" x14ac:dyDescent="0.35">
      <c r="B59" s="14"/>
      <c r="E59" s="14" t="s">
        <v>138</v>
      </c>
      <c r="F59" s="5">
        <f>AVERAGE(F5:F56)</f>
        <v>0</v>
      </c>
      <c r="G59" s="5">
        <f>AVERAGE(G5:G56)-F59</f>
        <v>0</v>
      </c>
      <c r="H59" s="5">
        <f t="shared" ref="H59:BR59" si="97">AVERAGE(H5:H56)</f>
        <v>20</v>
      </c>
      <c r="I59" s="5">
        <f>AVERAGE(I5:I56)-H59</f>
        <v>1</v>
      </c>
      <c r="J59" s="5">
        <f t="shared" si="97"/>
        <v>20</v>
      </c>
      <c r="K59" s="5">
        <f>AVERAGE(K5:K56)-J59</f>
        <v>1</v>
      </c>
      <c r="L59" s="5">
        <f t="shared" si="97"/>
        <v>0</v>
      </c>
      <c r="M59" s="5">
        <f>AVERAGE(M5:M56)-L59</f>
        <v>0</v>
      </c>
      <c r="N59" s="5">
        <f t="shared" si="97"/>
        <v>13.142857142857142</v>
      </c>
      <c r="O59" s="5">
        <f>AVERAGE(O5:O56)-N59</f>
        <v>1.1428571428571548</v>
      </c>
      <c r="P59" s="5">
        <f t="shared" si="97"/>
        <v>13.142857142857142</v>
      </c>
      <c r="Q59" s="5">
        <f>AVERAGE(Q5:Q56)-P59</f>
        <v>1.1428571428571548</v>
      </c>
      <c r="R59" s="5">
        <f t="shared" si="97"/>
        <v>0</v>
      </c>
      <c r="S59" s="5">
        <f>AVERAGE(S5:S56)-R59</f>
        <v>0</v>
      </c>
      <c r="T59" s="5">
        <f t="shared" si="97"/>
        <v>9.5714285714285658</v>
      </c>
      <c r="U59" s="5">
        <f>AVERAGE(U5:U56)-T59</f>
        <v>0.7142857142857153</v>
      </c>
      <c r="V59" s="5">
        <f t="shared" si="97"/>
        <v>9.5714285714285658</v>
      </c>
      <c r="W59" s="5">
        <f>AVERAGE(W5:W56)-V59</f>
        <v>0.7142857142857153</v>
      </c>
      <c r="X59" s="5">
        <f t="shared" si="97"/>
        <v>70</v>
      </c>
      <c r="Y59" s="5">
        <f>AVERAGE(Y5:Y56)-X59</f>
        <v>1</v>
      </c>
      <c r="Z59" s="5">
        <f t="shared" si="97"/>
        <v>0</v>
      </c>
      <c r="AA59" s="5">
        <f>AVERAGE(AA5:AA56)-Z59</f>
        <v>0</v>
      </c>
      <c r="AB59" s="5">
        <f t="shared" si="97"/>
        <v>70</v>
      </c>
      <c r="AC59" s="5">
        <f>AVERAGE(AC5:AC56)-AB59</f>
        <v>1</v>
      </c>
      <c r="AD59" s="5">
        <f t="shared" si="97"/>
        <v>30</v>
      </c>
      <c r="AE59" s="5">
        <f>AVERAGE(AE5:AE56)-AD59</f>
        <v>1.75</v>
      </c>
      <c r="AF59" s="5">
        <f t="shared" si="97"/>
        <v>0</v>
      </c>
      <c r="AG59" s="5">
        <f>AVERAGE(AG5:AG56)-AF59</f>
        <v>0</v>
      </c>
      <c r="AH59" s="5">
        <f t="shared" si="97"/>
        <v>30</v>
      </c>
      <c r="AI59" s="5">
        <f>AVERAGE(AI5:AI56)-AH59</f>
        <v>1.75</v>
      </c>
      <c r="AJ59" s="5">
        <f t="shared" si="97"/>
        <v>0</v>
      </c>
      <c r="AK59" s="5">
        <f>AVERAGE(AK5:AK56)-AJ59</f>
        <v>0</v>
      </c>
      <c r="AL59" s="5">
        <f t="shared" si="97"/>
        <v>0</v>
      </c>
      <c r="AM59" s="5">
        <f>AVERAGE(AM5:AM56)-AL59</f>
        <v>0</v>
      </c>
      <c r="AN59" s="5">
        <f t="shared" si="97"/>
        <v>0</v>
      </c>
      <c r="AO59" s="5">
        <f>AVERAGE(AO5:AO56)-AN59</f>
        <v>0</v>
      </c>
      <c r="AP59" s="5">
        <f t="shared" si="97"/>
        <v>0</v>
      </c>
      <c r="AQ59" s="5">
        <f>AVERAGE(AQ5:AQ56)-AP59</f>
        <v>0</v>
      </c>
      <c r="AR59" s="5">
        <f t="shared" si="97"/>
        <v>0</v>
      </c>
      <c r="AS59" s="5">
        <f>AVERAGE(AS5:AS56)-AR59</f>
        <v>0</v>
      </c>
      <c r="AT59" s="5">
        <f t="shared" si="97"/>
        <v>0</v>
      </c>
      <c r="AU59" s="5">
        <f>AVERAGE(AU5:AU56)-AT59</f>
        <v>0</v>
      </c>
      <c r="AV59" s="5">
        <f t="shared" si="97"/>
        <v>0</v>
      </c>
      <c r="AW59" s="5">
        <f>AVERAGE(AW5:AW56)-AV59</f>
        <v>0</v>
      </c>
      <c r="AX59" s="5">
        <f t="shared" si="97"/>
        <v>0</v>
      </c>
      <c r="AY59" s="5">
        <f>AVERAGE(AY5:AY56)-AX59</f>
        <v>0</v>
      </c>
      <c r="AZ59" s="5">
        <f t="shared" si="97"/>
        <v>0</v>
      </c>
      <c r="BA59" s="5">
        <f>AVERAGE(BA5:BA56)-AZ59</f>
        <v>0</v>
      </c>
      <c r="BB59" s="5">
        <f t="shared" si="97"/>
        <v>0</v>
      </c>
      <c r="BC59" s="5">
        <f>AVERAGE(BC5:BC56)-BB59</f>
        <v>0</v>
      </c>
      <c r="BD59" s="5">
        <f t="shared" si="97"/>
        <v>0</v>
      </c>
      <c r="BE59" s="5">
        <f>AVERAGE(BE5:BE56)-BD59</f>
        <v>0</v>
      </c>
      <c r="BF59" s="5">
        <f t="shared" si="97"/>
        <v>0</v>
      </c>
      <c r="BG59" s="5">
        <f>AVERAGE(BG5:BG56)-BF59</f>
        <v>0</v>
      </c>
      <c r="BH59" s="5">
        <f t="shared" si="97"/>
        <v>0</v>
      </c>
      <c r="BI59" s="5">
        <f>AVERAGE(BI5:BI56)-BH59</f>
        <v>0</v>
      </c>
      <c r="BJ59" s="5">
        <f t="shared" si="97"/>
        <v>0</v>
      </c>
      <c r="BK59" s="5">
        <f>AVERAGE(BK5:BK56)-BJ59</f>
        <v>0</v>
      </c>
      <c r="BL59" s="5">
        <f t="shared" si="97"/>
        <v>0</v>
      </c>
      <c r="BM59" s="5">
        <f>AVERAGE(BM5:BM56)-BL59</f>
        <v>0</v>
      </c>
      <c r="BN59" s="5">
        <f t="shared" si="97"/>
        <v>0</v>
      </c>
      <c r="BO59" s="5">
        <f>AVERAGE(BO5:BO56)-BN59</f>
        <v>0</v>
      </c>
      <c r="BP59" s="5">
        <f t="shared" si="97"/>
        <v>0</v>
      </c>
      <c r="BQ59" s="5">
        <f>AVERAGE(BQ5:BQ56)-BP59</f>
        <v>0</v>
      </c>
      <c r="BR59" s="5">
        <f t="shared" si="97"/>
        <v>0</v>
      </c>
      <c r="BS59" s="5">
        <f>AVERAGE(BS5:BS56)-BR59</f>
        <v>0</v>
      </c>
      <c r="BT59" s="5">
        <f t="shared" ref="BT59:CP59" si="98">AVERAGE(BT5:BT56)</f>
        <v>0</v>
      </c>
      <c r="BU59" s="5">
        <f>AVERAGE(BU5:BU56)-BT59</f>
        <v>0</v>
      </c>
      <c r="BV59" s="5">
        <f t="shared" si="98"/>
        <v>0</v>
      </c>
      <c r="BW59" s="5">
        <f>AVERAGE(BW5:BW56)-BV59</f>
        <v>0</v>
      </c>
      <c r="BX59" s="5">
        <f t="shared" si="98"/>
        <v>0</v>
      </c>
      <c r="BY59" s="5">
        <f>AVERAGE(BY5:BY56)-BX59</f>
        <v>0</v>
      </c>
      <c r="BZ59" s="5">
        <f t="shared" si="98"/>
        <v>0</v>
      </c>
      <c r="CA59" s="5">
        <f>AVERAGE(CA5:CA56)-BZ59</f>
        <v>0</v>
      </c>
      <c r="CB59" s="5">
        <f t="shared" si="98"/>
        <v>0</v>
      </c>
      <c r="CC59" s="5">
        <f>AVERAGE(CC5:CC56)-CB59</f>
        <v>0</v>
      </c>
      <c r="CD59" s="5">
        <f t="shared" si="98"/>
        <v>0</v>
      </c>
      <c r="CE59" s="5">
        <f>AVERAGE(CE5:CE56)-CD59</f>
        <v>0</v>
      </c>
      <c r="CF59" s="5">
        <f t="shared" si="98"/>
        <v>0</v>
      </c>
      <c r="CG59" s="5">
        <f>AVERAGE(CG5:CG56)-CF59</f>
        <v>0</v>
      </c>
      <c r="CH59" s="5">
        <f t="shared" si="98"/>
        <v>0</v>
      </c>
      <c r="CI59" s="5">
        <f>AVERAGE(CI5:CI56)-CH59</f>
        <v>0</v>
      </c>
      <c r="CJ59" s="5">
        <f t="shared" si="98"/>
        <v>0</v>
      </c>
      <c r="CK59" s="5">
        <f>AVERAGE(CK5:CK56)-CJ59</f>
        <v>0</v>
      </c>
      <c r="CL59" s="5">
        <f t="shared" si="98"/>
        <v>0</v>
      </c>
      <c r="CM59" s="5">
        <f>AVERAGE(CM5:CM56)-CL59</f>
        <v>0</v>
      </c>
      <c r="CN59" s="5">
        <f t="shared" si="98"/>
        <v>0</v>
      </c>
      <c r="CO59" s="5">
        <f>AVERAGE(CO5:CO56)-CN59</f>
        <v>0</v>
      </c>
      <c r="CP59" s="5">
        <f t="shared" si="98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145</v>
      </c>
      <c r="CZ59" t="s">
        <v>146</v>
      </c>
      <c r="DA59" t="s">
        <v>147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139</v>
      </c>
      <c r="E62" s="14"/>
      <c r="F62" s="5" t="s">
        <v>65</v>
      </c>
      <c r="G62" s="5" t="s">
        <v>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>
        <f t="array" ref="F63">INDEX($F$59:$CW$60,1,MATCH(1,($E63=$F$1:$CQ$1)*($F$62=$F$4:$CQ$4)*(Summary!$B$5='Required Capacity (Hide)'!$F$2:$CQ$2),0))</f>
        <v>20</v>
      </c>
      <c r="G63" s="5" cm="1">
        <f t="array" ref="G63">INDEX($F$59:$CW$60,1,MATCH(1,($E63=$F$1:$CQ$1)*($G$62=$F$58:$CQ$58)*(Summary!$B$5='Required Capacity (Hide)'!$F$2:$CQ$2),0))</f>
        <v>1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13.142857142857142</v>
      </c>
      <c r="G64" s="5" cm="1">
        <f t="array" ref="G64">INDEX($F$59:$CW$60,1,MATCH(1,($E64=$F$1:$CQ$1)*($G$62=$F$58:$CQ$58)*(Summary!$B$5='Required Capacity (Hide)'!$F$2:$CQ$2),0))</f>
        <v>1.1428571428571548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9.5714285714285658</v>
      </c>
      <c r="G65" s="5" cm="1">
        <f t="array" ref="G65">INDEX($F$59:$CW$60,1,MATCH(1,($E65=$F$1:$CQ$1)*($G$62=$F$58:$CQ$58)*(Summary!$B$5='Required Capacity (Hide)'!$F$2:$CQ$2),0))</f>
        <v>0.7142857142857153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 cm="1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topLeftCell="AA1" workbookViewId="0">
      <selection activeCell="F15" sqref="F15"/>
    </sheetView>
  </sheetViews>
  <sheetFormatPr defaultRowHeight="14.5" x14ac:dyDescent="0.35"/>
  <cols>
    <col min="2" max="2" width="16.08984375" customWidth="1"/>
    <col min="3" max="3" width="11" customWidth="1"/>
    <col min="4" max="7" width="9.90625" customWidth="1"/>
    <col min="8" max="11" width="9.90625" hidden="1" customWidth="1"/>
    <col min="12" max="17" width="10.90625" hidden="1" customWidth="1"/>
    <col min="18" max="18" width="14" bestFit="1" customWidth="1"/>
    <col min="23" max="23" width="12" customWidth="1"/>
    <col min="25" max="25" width="18.36328125" customWidth="1"/>
    <col min="26" max="30" width="11.6328125" customWidth="1"/>
    <col min="31" max="40" width="11.6328125" hidden="1" customWidth="1"/>
  </cols>
  <sheetData>
    <row r="1" spans="1:46" ht="23.5" x14ac:dyDescent="0.55000000000000004">
      <c r="A1" s="28" t="s">
        <v>151</v>
      </c>
    </row>
    <row r="2" spans="1:46" ht="24" thickBot="1" x14ac:dyDescent="0.6">
      <c r="A2" s="28"/>
    </row>
    <row r="3" spans="1:46" ht="15" thickBot="1" x14ac:dyDescent="0.4">
      <c r="B3" s="37" t="s">
        <v>133</v>
      </c>
      <c r="Y3" s="37" t="s">
        <v>134</v>
      </c>
    </row>
    <row r="5" spans="1:46" ht="15" thickBot="1" x14ac:dyDescent="0.4">
      <c r="C5" t="s">
        <v>114</v>
      </c>
    </row>
    <row r="6" spans="1:46" ht="44" thickBot="1" x14ac:dyDescent="0.4">
      <c r="B6" s="75" t="s">
        <v>113</v>
      </c>
      <c r="C6" s="73" t="str" cm="1">
        <f t="array" ref="C6">INDEX('Data Validation (Hide)'!$B$2:$B$16,COLUMN(A1),1)</f>
        <v>20 Group Session</v>
      </c>
      <c r="D6" s="45" t="str" cm="1">
        <f t="array" ref="D6">INDEX('Data Validation (Hide)'!$B$2:$B$16,COLUMN(B1),1)</f>
        <v>40 Group Session</v>
      </c>
      <c r="E6" s="45" t="str" cm="1">
        <f t="array" ref="E6">INDEX('Data Validation (Hide)'!$B$2:$B$16,COLUMN(C1),1)</f>
        <v>8 Group Session</v>
      </c>
      <c r="F6" s="45" t="str" cm="1">
        <f t="array" ref="F6">INDEX('Data Validation (Hide)'!$B$2:$B$16,COLUMN(D1),1)</f>
        <v>20 Individual</v>
      </c>
      <c r="G6" s="45" t="str" cm="1">
        <f t="array" ref="G6">INDEX('Data Validation (Hide)'!$B$2:$B$16,COLUMN(E1),1)</f>
        <v>40 Individual</v>
      </c>
      <c r="H6" s="45" t="str" cm="1">
        <f t="array" ref="H6">INDEX('Data Validation (Hide)'!$B$2:$B$16,COLUMN(F1),1)</f>
        <v>Caseload 6</v>
      </c>
      <c r="I6" s="45" t="str" cm="1">
        <f t="array" ref="I6">INDEX('Data Validation (Hide)'!$B$2:$B$16,COLUMN(G1),1)</f>
        <v>Caseload 7</v>
      </c>
      <c r="J6" s="45" t="str" cm="1">
        <f t="array" ref="J6">INDEX('Data Validation (Hide)'!$B$2:$B$16,COLUMN(H1),1)</f>
        <v>Caseload 8</v>
      </c>
      <c r="K6" s="45" t="str" cm="1">
        <f t="array" ref="K6">INDEX('Data Validation (Hide)'!$B$2:$B$16,COLUMN(I1),1)</f>
        <v>Caseload 9</v>
      </c>
      <c r="L6" s="45" t="str" cm="1">
        <f t="array" ref="L6">INDEX('Data Validation (Hide)'!$B$2:$B$16,COLUMN(J1),1)</f>
        <v>Caseload 10</v>
      </c>
      <c r="M6" s="45" t="str" cm="1">
        <f t="array" ref="M6">INDEX('Data Validation (Hide)'!$B$2:$B$16,COLUMN(K1),1)</f>
        <v>Caseload 11</v>
      </c>
      <c r="N6" s="45" t="str" cm="1">
        <f t="array" ref="N6">INDEX('Data Validation (Hide)'!$B$2:$B$16,COLUMN(L1),1)</f>
        <v>Caseload 12</v>
      </c>
      <c r="O6" s="45" t="str" cm="1">
        <f t="array" ref="O6">INDEX('Data Validation (Hide)'!$B$2:$B$16,COLUMN(M1),1)</f>
        <v>Caseload 13</v>
      </c>
      <c r="P6" s="45" t="str" cm="1">
        <f t="array" ref="P6">INDEX('Data Validation (Hide)'!$B$2:$B$16,COLUMN(N1),1)</f>
        <v>Caseload 14</v>
      </c>
      <c r="Q6" s="38" t="str" cm="1">
        <f t="array" ref="Q6">INDEX('Data Validation (Hide)'!$B$2:$B$16,COLUMN(O1),1)</f>
        <v>Caseload 15</v>
      </c>
      <c r="R6" s="37" t="s">
        <v>71</v>
      </c>
      <c r="S6" s="75" t="s">
        <v>72</v>
      </c>
      <c r="T6" s="75" t="s">
        <v>73</v>
      </c>
      <c r="U6" s="75" t="s">
        <v>74</v>
      </c>
      <c r="V6" s="75" t="s">
        <v>75</v>
      </c>
      <c r="W6" s="75" t="s">
        <v>76</v>
      </c>
      <c r="X6" s="5"/>
      <c r="Y6" s="75" t="s">
        <v>113</v>
      </c>
      <c r="Z6" s="76" t="str" cm="1">
        <f t="array" ref="Z6">INDEX('Data Validation (Hide)'!$B$2:$B$16,COLUMN(A1),1)</f>
        <v>20 Group Session</v>
      </c>
      <c r="AA6" s="77" t="str" cm="1">
        <f t="array" ref="AA6">INDEX('Data Validation (Hide)'!$B$2:$B$16,COLUMN(B1),1)</f>
        <v>40 Group Session</v>
      </c>
      <c r="AB6" s="77" t="str" cm="1">
        <f t="array" ref="AB6">INDEX('Data Validation (Hide)'!$B$2:$B$16,COLUMN(C1),1)</f>
        <v>8 Group Session</v>
      </c>
      <c r="AC6" s="77" t="str" cm="1">
        <f t="array" ref="AC6">INDEX('Data Validation (Hide)'!$B$2:$B$16,COLUMN(D1),1)</f>
        <v>20 Individual</v>
      </c>
      <c r="AD6" s="77" t="str" cm="1">
        <f t="array" ref="AD6">INDEX('Data Validation (Hide)'!$B$2:$B$16,COLUMN(E1),1)</f>
        <v>40 Individual</v>
      </c>
      <c r="AE6" s="77" t="str" cm="1">
        <f t="array" ref="AE6">INDEX('Data Validation (Hide)'!$B$2:$B$16,COLUMN(F1),1)</f>
        <v>Caseload 6</v>
      </c>
      <c r="AF6" s="77" t="str" cm="1">
        <f t="array" ref="AF6">INDEX('Data Validation (Hide)'!$B$2:$B$16,COLUMN(G1),1)</f>
        <v>Caseload 7</v>
      </c>
      <c r="AG6" s="77" t="str" cm="1">
        <f t="array" ref="AG6">INDEX('Data Validation (Hide)'!$B$2:$B$16,COLUMN(H1),1)</f>
        <v>Caseload 8</v>
      </c>
      <c r="AH6" s="77" t="str" cm="1">
        <f t="array" ref="AH6">INDEX('Data Validation (Hide)'!$B$2:$B$16,COLUMN(I1),1)</f>
        <v>Caseload 9</v>
      </c>
      <c r="AI6" s="77" t="str" cm="1">
        <f t="array" ref="AI6">INDEX('Data Validation (Hide)'!$B$2:$B$16,COLUMN(J1),1)</f>
        <v>Caseload 10</v>
      </c>
      <c r="AJ6" s="77" t="str" cm="1">
        <f t="array" ref="AJ6">INDEX('Data Validation (Hide)'!$B$2:$B$16,COLUMN(K1),1)</f>
        <v>Caseload 11</v>
      </c>
      <c r="AK6" s="77" t="str" cm="1">
        <f t="array" ref="AK6">INDEX('Data Validation (Hide)'!$B$2:$B$16,COLUMN(L1),1)</f>
        <v>Caseload 12</v>
      </c>
      <c r="AL6" s="77" t="str" cm="1">
        <f t="array" ref="AL6">INDEX('Data Validation (Hide)'!$B$2:$B$16,COLUMN(M1),1)</f>
        <v>Caseload 13</v>
      </c>
      <c r="AM6" s="77" t="str" cm="1">
        <f t="array" ref="AM6">INDEX('Data Validation (Hide)'!$B$2:$B$16,COLUMN(N1),1)</f>
        <v>Caseload 14</v>
      </c>
      <c r="AN6" s="78" t="str" cm="1">
        <f t="array" ref="AN6">INDEX('Data Validation (Hide)'!$B$2:$B$16,COLUMN(O1),1)</f>
        <v>Caseload 15</v>
      </c>
      <c r="AO6" s="37" t="s">
        <v>71</v>
      </c>
      <c r="AP6" s="75" t="s">
        <v>72</v>
      </c>
      <c r="AQ6" s="75" t="s">
        <v>73</v>
      </c>
      <c r="AR6" s="75" t="s">
        <v>74</v>
      </c>
      <c r="AS6" s="75" t="s">
        <v>75</v>
      </c>
      <c r="AT6" s="75" t="s">
        <v>76</v>
      </c>
    </row>
    <row r="7" spans="1:46" x14ac:dyDescent="0.35">
      <c r="B7" s="11" t="s">
        <v>164</v>
      </c>
      <c r="C7" s="3" t="s">
        <v>77</v>
      </c>
      <c r="D7" s="4" t="s">
        <v>167</v>
      </c>
      <c r="E7" s="4" t="s">
        <v>167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168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 t="s">
        <v>166</v>
      </c>
      <c r="C8" s="7"/>
      <c r="D8" s="5"/>
      <c r="E8" s="5"/>
      <c r="F8" s="5" t="s">
        <v>167</v>
      </c>
      <c r="G8" s="5" t="s">
        <v>167</v>
      </c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78</v>
      </c>
      <c r="S8" s="40">
        <v>52</v>
      </c>
      <c r="T8" s="40">
        <v>3600</v>
      </c>
      <c r="U8" s="40">
        <f t="shared" ref="U8:U71" si="2">IF(T8*S8=0,"",T8*S8)</f>
        <v>187200</v>
      </c>
      <c r="V8" s="40">
        <f t="shared" si="0"/>
        <v>3600</v>
      </c>
      <c r="W8" s="40">
        <f t="shared" ref="W8:W71" si="3">IFERROR(V8/COUNTIF(C8:Q8,"="&amp;"x"),"")</f>
        <v>1800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9" workbookViewId="0">
      <selection activeCell="L265" sqref="L26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133</v>
      </c>
    </row>
    <row r="2" spans="1:101" x14ac:dyDescent="0.35">
      <c r="A2" t="s">
        <v>80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79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43708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43715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43722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43729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43736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43743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43750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43757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43764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43771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43778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43785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43792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43799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43806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43813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43820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43827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43834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43841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43848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43855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43862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43869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43876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43883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43890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43897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43904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43911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43918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43925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43932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43939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43946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43953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43960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43967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43974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43981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43988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43995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44002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44009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44016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44023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44030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44037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44044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44051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44058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44065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81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58</v>
      </c>
      <c r="B75" s="2" cm="1">
        <f t="array" ref="B75">INDEX($A$5:$A$56,COLUMN(A2),1)</f>
        <v>43708</v>
      </c>
      <c r="C75" s="2" cm="1">
        <f t="array" ref="C75">INDEX($A$5:$A$56,COLUMN(B2),1)</f>
        <v>43715</v>
      </c>
      <c r="D75" s="2" cm="1">
        <f t="array" ref="D75">INDEX($A$5:$A$56,COLUMN(C2),1)</f>
        <v>43722</v>
      </c>
      <c r="E75" s="2" cm="1">
        <f t="array" ref="E75">INDEX($A$5:$A$56,COLUMN(D2),1)</f>
        <v>43729</v>
      </c>
      <c r="F75" s="2" cm="1">
        <f t="array" ref="F75">INDEX($A$5:$A$56,COLUMN(E2),1)</f>
        <v>43736</v>
      </c>
      <c r="G75" s="2" cm="1">
        <f t="array" ref="G75">INDEX($A$5:$A$56,COLUMN(F2),1)</f>
        <v>43743</v>
      </c>
      <c r="H75" s="2" cm="1">
        <f t="array" ref="H75">INDEX($A$5:$A$56,COLUMN(G2),1)</f>
        <v>43750</v>
      </c>
      <c r="I75" s="2" cm="1">
        <f t="array" ref="I75">INDEX($A$5:$A$56,COLUMN(H2),1)</f>
        <v>43757</v>
      </c>
      <c r="J75" s="2" cm="1">
        <f t="array" ref="J75">INDEX($A$5:$A$56,COLUMN(I2),1)</f>
        <v>43764</v>
      </c>
      <c r="K75" s="2" cm="1">
        <f t="array" ref="K75">INDEX($A$5:$A$56,COLUMN(J2),1)</f>
        <v>43771</v>
      </c>
      <c r="L75" s="2" cm="1">
        <f t="array" ref="L75">INDEX($A$5:$A$56,COLUMN(K2),1)</f>
        <v>43778</v>
      </c>
      <c r="M75" s="2" cm="1">
        <f t="array" ref="M75">INDEX($A$5:$A$56,COLUMN(L2),1)</f>
        <v>43785</v>
      </c>
      <c r="N75" s="2" cm="1">
        <f t="array" ref="N75">INDEX($A$5:$A$56,COLUMN(M2),1)</f>
        <v>43792</v>
      </c>
      <c r="O75" s="2" cm="1">
        <f t="array" ref="O75">INDEX($A$5:$A$56,COLUMN(N2),1)</f>
        <v>43799</v>
      </c>
      <c r="P75" s="2" cm="1">
        <f t="array" ref="P75">INDEX($A$5:$A$56,COLUMN(O2),1)</f>
        <v>43806</v>
      </c>
      <c r="Q75" s="2" cm="1">
        <f t="array" ref="Q75">INDEX($A$5:$A$56,COLUMN(P2),1)</f>
        <v>43813</v>
      </c>
      <c r="R75" s="2" cm="1">
        <f t="array" ref="R75">INDEX($A$5:$A$56,COLUMN(Q2),1)</f>
        <v>43820</v>
      </c>
      <c r="S75" s="2" cm="1">
        <f t="array" ref="S75">INDEX($A$5:$A$56,COLUMN(R2),1)</f>
        <v>43827</v>
      </c>
      <c r="T75" s="2" cm="1">
        <f t="array" ref="T75">INDEX($A$5:$A$56,COLUMN(S2),1)</f>
        <v>43834</v>
      </c>
      <c r="U75" s="2" cm="1">
        <f t="array" ref="U75">INDEX($A$5:$A$56,COLUMN(T2),1)</f>
        <v>43841</v>
      </c>
      <c r="V75" s="2" cm="1">
        <f t="array" ref="V75">INDEX($A$5:$A$56,COLUMN(U2),1)</f>
        <v>43848</v>
      </c>
      <c r="W75" s="2" cm="1">
        <f t="array" ref="W75">INDEX($A$5:$A$56,COLUMN(V2),1)</f>
        <v>43855</v>
      </c>
      <c r="X75" s="2" cm="1">
        <f t="array" ref="X75">INDEX($A$5:$A$56,COLUMN(W2),1)</f>
        <v>43862</v>
      </c>
      <c r="Y75" s="2" cm="1">
        <f t="array" ref="Y75">INDEX($A$5:$A$56,COLUMN(X2),1)</f>
        <v>43869</v>
      </c>
      <c r="Z75" s="2" cm="1">
        <f t="array" ref="Z75">INDEX($A$5:$A$56,COLUMN(Y2),1)</f>
        <v>43876</v>
      </c>
      <c r="AA75" s="2" cm="1">
        <f t="array" ref="AA75">INDEX($A$5:$A$56,COLUMN(Z2),1)</f>
        <v>43883</v>
      </c>
      <c r="AB75" s="2" cm="1">
        <f t="array" ref="AB75">INDEX($A$5:$A$56,COLUMN(AA2),1)</f>
        <v>43890</v>
      </c>
      <c r="AC75" s="2" cm="1">
        <f t="array" ref="AC75">INDEX($A$5:$A$56,COLUMN(AB2),1)</f>
        <v>43897</v>
      </c>
      <c r="AD75" s="2" cm="1">
        <f t="array" ref="AD75">INDEX($A$5:$A$56,COLUMN(AC2),1)</f>
        <v>43904</v>
      </c>
      <c r="AE75" s="2" cm="1">
        <f t="array" ref="AE75">INDEX($A$5:$A$56,COLUMN(AD2),1)</f>
        <v>43911</v>
      </c>
      <c r="AF75" s="2" cm="1">
        <f t="array" ref="AF75">INDEX($A$5:$A$56,COLUMN(AE2),1)</f>
        <v>43918</v>
      </c>
      <c r="AG75" s="2" cm="1">
        <f t="array" ref="AG75">INDEX($A$5:$A$56,COLUMN(AF2),1)</f>
        <v>43925</v>
      </c>
      <c r="AH75" s="2" cm="1">
        <f t="array" ref="AH75">INDEX($A$5:$A$56,COLUMN(AG2),1)</f>
        <v>43932</v>
      </c>
      <c r="AI75" s="2" cm="1">
        <f t="array" ref="AI75">INDEX($A$5:$A$56,COLUMN(AH2),1)</f>
        <v>43939</v>
      </c>
      <c r="AJ75" s="2" cm="1">
        <f t="array" ref="AJ75">INDEX($A$5:$A$56,COLUMN(AI2),1)</f>
        <v>43946</v>
      </c>
      <c r="AK75" s="2" cm="1">
        <f t="array" ref="AK75">INDEX($A$5:$A$56,COLUMN(AJ2),1)</f>
        <v>43953</v>
      </c>
      <c r="AL75" s="2" cm="1">
        <f t="array" ref="AL75">INDEX($A$5:$A$56,COLUMN(AK2),1)</f>
        <v>43960</v>
      </c>
      <c r="AM75" s="2" cm="1">
        <f t="array" ref="AM75">INDEX($A$5:$A$56,COLUMN(AL2),1)</f>
        <v>43967</v>
      </c>
      <c r="AN75" s="2" cm="1">
        <f t="array" ref="AN75">INDEX($A$5:$A$56,COLUMN(AM2),1)</f>
        <v>43974</v>
      </c>
      <c r="AO75" s="2" cm="1">
        <f t="array" ref="AO75">INDEX($A$5:$A$56,COLUMN(AN2),1)</f>
        <v>43981</v>
      </c>
      <c r="AP75" s="2" cm="1">
        <f t="array" ref="AP75">INDEX($A$5:$A$56,COLUMN(AO2),1)</f>
        <v>43988</v>
      </c>
      <c r="AQ75" s="2" cm="1">
        <f t="array" ref="AQ75">INDEX($A$5:$A$56,COLUMN(AP2),1)</f>
        <v>43995</v>
      </c>
      <c r="AR75" s="2" cm="1">
        <f t="array" ref="AR75">INDEX($A$5:$A$56,COLUMN(AQ2),1)</f>
        <v>44002</v>
      </c>
      <c r="AS75" s="2" cm="1">
        <f t="array" ref="AS75">INDEX($A$5:$A$56,COLUMN(AR2),1)</f>
        <v>44009</v>
      </c>
      <c r="AT75" s="2" cm="1">
        <f t="array" ref="AT75">INDEX($A$5:$A$56,COLUMN(AS2),1)</f>
        <v>44016</v>
      </c>
      <c r="AU75" s="2" cm="1">
        <f t="array" ref="AU75">INDEX($A$5:$A$56,COLUMN(AT2),1)</f>
        <v>44023</v>
      </c>
      <c r="AV75" s="2" cm="1">
        <f t="array" ref="AV75">INDEX($A$5:$A$56,COLUMN(AU2),1)</f>
        <v>44030</v>
      </c>
      <c r="AW75" s="2" cm="1">
        <f t="array" ref="AW75">INDEX($A$5:$A$56,COLUMN(AV2),1)</f>
        <v>44037</v>
      </c>
      <c r="AX75" s="2" cm="1">
        <f t="array" ref="AX75">INDEX($A$5:$A$56,COLUMN(AW2),1)</f>
        <v>44044</v>
      </c>
      <c r="AY75" s="2" cm="1">
        <f t="array" ref="AY75">INDEX($A$5:$A$56,COLUMN(AX2),1)</f>
        <v>44051</v>
      </c>
      <c r="AZ75" s="2" cm="1">
        <f t="array" ref="AZ75">INDEX($A$5:$A$56,COLUMN(AY2),1)</f>
        <v>44058</v>
      </c>
      <c r="BA75" s="2" cm="1">
        <f t="array" ref="BA75">INDEX($A$5:$A$56,COLUMN(AZ2),1)</f>
        <v>44065</v>
      </c>
      <c r="BB75" s="2"/>
      <c r="BC75" s="2" t="s">
        <v>140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155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56</v>
      </c>
      <c r="B93" s="2" cm="1">
        <f t="array" ref="B93">INDEX($A$5:$A$56,COLUMN(A19),1)</f>
        <v>43708</v>
      </c>
      <c r="C93" s="2" cm="1">
        <f t="array" ref="C93">INDEX($A$5:$A$56,COLUMN(B19),1)</f>
        <v>43715</v>
      </c>
      <c r="D93" s="2" cm="1">
        <f t="array" ref="D93">INDEX($A$5:$A$56,COLUMN(C19),1)</f>
        <v>43722</v>
      </c>
      <c r="E93" s="2" cm="1">
        <f t="array" ref="E93">INDEX($A$5:$A$56,COLUMN(D19),1)</f>
        <v>43729</v>
      </c>
      <c r="F93" s="2" cm="1">
        <f t="array" ref="F93">INDEX($A$5:$A$56,COLUMN(E19),1)</f>
        <v>43736</v>
      </c>
      <c r="G93" s="2" cm="1">
        <f t="array" ref="G93">INDEX($A$5:$A$56,COLUMN(F19),1)</f>
        <v>43743</v>
      </c>
      <c r="H93" s="2" cm="1">
        <f t="array" ref="H93">INDEX($A$5:$A$56,COLUMN(G19),1)</f>
        <v>43750</v>
      </c>
      <c r="I93" s="2" cm="1">
        <f t="array" ref="I93">INDEX($A$5:$A$56,COLUMN(H19),1)</f>
        <v>43757</v>
      </c>
      <c r="J93" s="2" cm="1">
        <f t="array" ref="J93">INDEX($A$5:$A$56,COLUMN(I19),1)</f>
        <v>43764</v>
      </c>
      <c r="K93" s="2" cm="1">
        <f t="array" ref="K93">INDEX($A$5:$A$56,COLUMN(J19),1)</f>
        <v>43771</v>
      </c>
      <c r="L93" s="2" cm="1">
        <f t="array" ref="L93">INDEX($A$5:$A$56,COLUMN(K19),1)</f>
        <v>43778</v>
      </c>
      <c r="M93" s="2" cm="1">
        <f t="array" ref="M93">INDEX($A$5:$A$56,COLUMN(L19),1)</f>
        <v>43785</v>
      </c>
      <c r="N93" s="2" cm="1">
        <f t="array" ref="N93">INDEX($A$5:$A$56,COLUMN(M19),1)</f>
        <v>43792</v>
      </c>
      <c r="O93" s="2" cm="1">
        <f t="array" ref="O93">INDEX($A$5:$A$56,COLUMN(N19),1)</f>
        <v>43799</v>
      </c>
      <c r="P93" s="2" cm="1">
        <f t="array" ref="P93">INDEX($A$5:$A$56,COLUMN(O19),1)</f>
        <v>43806</v>
      </c>
      <c r="Q93" s="2" cm="1">
        <f t="array" ref="Q93">INDEX($A$5:$A$56,COLUMN(P19),1)</f>
        <v>43813</v>
      </c>
      <c r="R93" s="2" cm="1">
        <f t="array" ref="R93">INDEX($A$5:$A$56,COLUMN(Q19),1)</f>
        <v>43820</v>
      </c>
      <c r="S93" s="2" cm="1">
        <f t="array" ref="S93">INDEX($A$5:$A$56,COLUMN(R19),1)</f>
        <v>43827</v>
      </c>
      <c r="T93" s="2" cm="1">
        <f t="array" ref="T93">INDEX($A$5:$A$56,COLUMN(S19),1)</f>
        <v>43834</v>
      </c>
      <c r="U93" s="2" cm="1">
        <f t="array" ref="U93">INDEX($A$5:$A$56,COLUMN(T19),1)</f>
        <v>43841</v>
      </c>
      <c r="V93" s="2" cm="1">
        <f t="array" ref="V93">INDEX($A$5:$A$56,COLUMN(U19),1)</f>
        <v>43848</v>
      </c>
      <c r="W93" s="2" cm="1">
        <f t="array" ref="W93">INDEX($A$5:$A$56,COLUMN(V19),1)</f>
        <v>43855</v>
      </c>
      <c r="X93" s="2" cm="1">
        <f t="array" ref="X93">INDEX($A$5:$A$56,COLUMN(W19),1)</f>
        <v>43862</v>
      </c>
      <c r="Y93" s="2" cm="1">
        <f t="array" ref="Y93">INDEX($A$5:$A$56,COLUMN(X19),1)</f>
        <v>43869</v>
      </c>
      <c r="Z93" s="2" cm="1">
        <f t="array" ref="Z93">INDEX($A$5:$A$56,COLUMN(Y19),1)</f>
        <v>43876</v>
      </c>
      <c r="AA93" s="2" cm="1">
        <f t="array" ref="AA93">INDEX($A$5:$A$56,COLUMN(Z19),1)</f>
        <v>43883</v>
      </c>
      <c r="AB93" s="2" cm="1">
        <f t="array" ref="AB93">INDEX($A$5:$A$56,COLUMN(AA19),1)</f>
        <v>43890</v>
      </c>
      <c r="AC93" s="2" cm="1">
        <f t="array" ref="AC93">INDEX($A$5:$A$56,COLUMN(AB19),1)</f>
        <v>43897</v>
      </c>
      <c r="AD93" s="2" cm="1">
        <f t="array" ref="AD93">INDEX($A$5:$A$56,COLUMN(AC19),1)</f>
        <v>43904</v>
      </c>
      <c r="AE93" s="2" cm="1">
        <f t="array" ref="AE93">INDEX($A$5:$A$56,COLUMN(AD19),1)</f>
        <v>43911</v>
      </c>
      <c r="AF93" s="2" cm="1">
        <f t="array" ref="AF93">INDEX($A$5:$A$56,COLUMN(AE19),1)</f>
        <v>43918</v>
      </c>
      <c r="AG93" s="2" cm="1">
        <f t="array" ref="AG93">INDEX($A$5:$A$56,COLUMN(AF19),1)</f>
        <v>43925</v>
      </c>
      <c r="AH93" s="2" cm="1">
        <f t="array" ref="AH93">INDEX($A$5:$A$56,COLUMN(AG19),1)</f>
        <v>43932</v>
      </c>
      <c r="AI93" s="2" cm="1">
        <f t="array" ref="AI93">INDEX($A$5:$A$56,COLUMN(AH19),1)</f>
        <v>43939</v>
      </c>
      <c r="AJ93" s="2" cm="1">
        <f t="array" ref="AJ93">INDEX($A$5:$A$56,COLUMN(AI19),1)</f>
        <v>43946</v>
      </c>
      <c r="AK93" s="2" cm="1">
        <f t="array" ref="AK93">INDEX($A$5:$A$56,COLUMN(AJ19),1)</f>
        <v>43953</v>
      </c>
      <c r="AL93" s="2" cm="1">
        <f t="array" ref="AL93">INDEX($A$5:$A$56,COLUMN(AK19),1)</f>
        <v>43960</v>
      </c>
      <c r="AM93" s="2" cm="1">
        <f t="array" ref="AM93">INDEX($A$5:$A$56,COLUMN(AL19),1)</f>
        <v>43967</v>
      </c>
      <c r="AN93" s="2" cm="1">
        <f t="array" ref="AN93">INDEX($A$5:$A$56,COLUMN(AM19),1)</f>
        <v>43974</v>
      </c>
      <c r="AO93" s="2" cm="1">
        <f t="array" ref="AO93">INDEX($A$5:$A$56,COLUMN(AN19),1)</f>
        <v>43981</v>
      </c>
      <c r="AP93" s="2" cm="1">
        <f t="array" ref="AP93">INDEX($A$5:$A$56,COLUMN(AO19),1)</f>
        <v>43988</v>
      </c>
      <c r="AQ93" s="2" cm="1">
        <f t="array" ref="AQ93">INDEX($A$5:$A$56,COLUMN(AP19),1)</f>
        <v>43995</v>
      </c>
      <c r="AR93" s="2" cm="1">
        <f t="array" ref="AR93">INDEX($A$5:$A$56,COLUMN(AQ19),1)</f>
        <v>44002</v>
      </c>
      <c r="AS93" s="2" cm="1">
        <f t="array" ref="AS93">INDEX($A$5:$A$56,COLUMN(AR19),1)</f>
        <v>44009</v>
      </c>
      <c r="AT93" s="2" cm="1">
        <f t="array" ref="AT93">INDEX($A$5:$A$56,COLUMN(AS19),1)</f>
        <v>44016</v>
      </c>
      <c r="AU93" s="2" cm="1">
        <f t="array" ref="AU93">INDEX($A$5:$A$56,COLUMN(AT19),1)</f>
        <v>44023</v>
      </c>
      <c r="AV93" s="2" cm="1">
        <f t="array" ref="AV93">INDEX($A$5:$A$56,COLUMN(AU19),1)</f>
        <v>44030</v>
      </c>
      <c r="AW93" s="2" cm="1">
        <f t="array" ref="AW93">INDEX($A$5:$A$56,COLUMN(AV19),1)</f>
        <v>44037</v>
      </c>
      <c r="AX93" s="2" cm="1">
        <f t="array" ref="AX93">INDEX($A$5:$A$56,COLUMN(AW19),1)</f>
        <v>44044</v>
      </c>
      <c r="AY93" s="2" cm="1">
        <f t="array" ref="AY93">INDEX($A$5:$A$56,COLUMN(AX19),1)</f>
        <v>44051</v>
      </c>
      <c r="AZ93" s="2" cm="1">
        <f t="array" ref="AZ93">INDEX($A$5:$A$56,COLUMN(AY19),1)</f>
        <v>44058</v>
      </c>
      <c r="BA93" s="2" cm="1">
        <f t="array" ref="BA93">INDEX($A$5:$A$56,COLUMN(AZ19),1)</f>
        <v>44065</v>
      </c>
      <c r="BC93" t="s">
        <v>140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155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69</v>
      </c>
      <c r="B111" s="2" cm="1">
        <f t="array" ref="B111">INDEX($A$5:$A$56,COLUMN(A19),1)</f>
        <v>43708</v>
      </c>
      <c r="C111" s="2" cm="1">
        <f t="array" ref="C111">INDEX($A$5:$A$56,COLUMN(B19),1)</f>
        <v>43715</v>
      </c>
      <c r="D111" s="2" cm="1">
        <f t="array" ref="D111">INDEX($A$5:$A$56,COLUMN(C19),1)</f>
        <v>43722</v>
      </c>
      <c r="E111" s="2" cm="1">
        <f t="array" ref="E111">INDEX($A$5:$A$56,COLUMN(D19),1)</f>
        <v>43729</v>
      </c>
      <c r="F111" s="2" cm="1">
        <f t="array" ref="F111">INDEX($A$5:$A$56,COLUMN(E19),1)</f>
        <v>43736</v>
      </c>
      <c r="G111" s="2" cm="1">
        <f t="array" ref="G111">INDEX($A$5:$A$56,COLUMN(F19),1)</f>
        <v>43743</v>
      </c>
      <c r="H111" s="2" cm="1">
        <f t="array" ref="H111">INDEX($A$5:$A$56,COLUMN(G19),1)</f>
        <v>43750</v>
      </c>
      <c r="I111" s="2" cm="1">
        <f t="array" ref="I111">INDEX($A$5:$A$56,COLUMN(H19),1)</f>
        <v>43757</v>
      </c>
      <c r="J111" s="2" cm="1">
        <f t="array" ref="J111">INDEX($A$5:$A$56,COLUMN(I19),1)</f>
        <v>43764</v>
      </c>
      <c r="K111" s="2" cm="1">
        <f t="array" ref="K111">INDEX($A$5:$A$56,COLUMN(J19),1)</f>
        <v>43771</v>
      </c>
      <c r="L111" s="2" cm="1">
        <f t="array" ref="L111">INDEX($A$5:$A$56,COLUMN(K19),1)</f>
        <v>43778</v>
      </c>
      <c r="M111" s="2" cm="1">
        <f t="array" ref="M111">INDEX($A$5:$A$56,COLUMN(L19),1)</f>
        <v>43785</v>
      </c>
      <c r="N111" s="2" cm="1">
        <f t="array" ref="N111">INDEX($A$5:$A$56,COLUMN(M19),1)</f>
        <v>43792</v>
      </c>
      <c r="O111" s="2" cm="1">
        <f t="array" ref="O111">INDEX($A$5:$A$56,COLUMN(N19),1)</f>
        <v>43799</v>
      </c>
      <c r="P111" s="2" cm="1">
        <f t="array" ref="P111">INDEX($A$5:$A$56,COLUMN(O19),1)</f>
        <v>43806</v>
      </c>
      <c r="Q111" s="2" cm="1">
        <f t="array" ref="Q111">INDEX($A$5:$A$56,COLUMN(P19),1)</f>
        <v>43813</v>
      </c>
      <c r="R111" s="2" cm="1">
        <f t="array" ref="R111">INDEX($A$5:$A$56,COLUMN(Q19),1)</f>
        <v>43820</v>
      </c>
      <c r="S111" s="2" cm="1">
        <f t="array" ref="S111">INDEX($A$5:$A$56,COLUMN(R19),1)</f>
        <v>43827</v>
      </c>
      <c r="T111" s="2" cm="1">
        <f t="array" ref="T111">INDEX($A$5:$A$56,COLUMN(S19),1)</f>
        <v>43834</v>
      </c>
      <c r="U111" s="2" cm="1">
        <f t="array" ref="U111">INDEX($A$5:$A$56,COLUMN(T19),1)</f>
        <v>43841</v>
      </c>
      <c r="V111" s="2" cm="1">
        <f t="array" ref="V111">INDEX($A$5:$A$56,COLUMN(U19),1)</f>
        <v>43848</v>
      </c>
      <c r="W111" s="2" cm="1">
        <f t="array" ref="W111">INDEX($A$5:$A$56,COLUMN(V19),1)</f>
        <v>43855</v>
      </c>
      <c r="X111" s="2" cm="1">
        <f t="array" ref="X111">INDEX($A$5:$A$56,COLUMN(W19),1)</f>
        <v>43862</v>
      </c>
      <c r="Y111" s="2" cm="1">
        <f t="array" ref="Y111">INDEX($A$5:$A$56,COLUMN(X19),1)</f>
        <v>43869</v>
      </c>
      <c r="Z111" s="2" cm="1">
        <f t="array" ref="Z111">INDEX($A$5:$A$56,COLUMN(Y19),1)</f>
        <v>43876</v>
      </c>
      <c r="AA111" s="2" cm="1">
        <f t="array" ref="AA111">INDEX($A$5:$A$56,COLUMN(Z19),1)</f>
        <v>43883</v>
      </c>
      <c r="AB111" s="2" cm="1">
        <f t="array" ref="AB111">INDEX($A$5:$A$56,COLUMN(AA19),1)</f>
        <v>43890</v>
      </c>
      <c r="AC111" s="2" cm="1">
        <f t="array" ref="AC111">INDEX($A$5:$A$56,COLUMN(AB19),1)</f>
        <v>43897</v>
      </c>
      <c r="AD111" s="2" cm="1">
        <f t="array" ref="AD111">INDEX($A$5:$A$56,COLUMN(AC19),1)</f>
        <v>43904</v>
      </c>
      <c r="AE111" s="2" cm="1">
        <f t="array" ref="AE111">INDEX($A$5:$A$56,COLUMN(AD19),1)</f>
        <v>43911</v>
      </c>
      <c r="AF111" s="2" cm="1">
        <f t="array" ref="AF111">INDEX($A$5:$A$56,COLUMN(AE19),1)</f>
        <v>43918</v>
      </c>
      <c r="AG111" s="2" cm="1">
        <f t="array" ref="AG111">INDEX($A$5:$A$56,COLUMN(AF19),1)</f>
        <v>43925</v>
      </c>
      <c r="AH111" s="2" cm="1">
        <f t="array" ref="AH111">INDEX($A$5:$A$56,COLUMN(AG19),1)</f>
        <v>43932</v>
      </c>
      <c r="AI111" s="2" cm="1">
        <f t="array" ref="AI111">INDEX($A$5:$A$56,COLUMN(AH19),1)</f>
        <v>43939</v>
      </c>
      <c r="AJ111" s="2" cm="1">
        <f t="array" ref="AJ111">INDEX($A$5:$A$56,COLUMN(AI19),1)</f>
        <v>43946</v>
      </c>
      <c r="AK111" s="2" cm="1">
        <f t="array" ref="AK111">INDEX($A$5:$A$56,COLUMN(AJ19),1)</f>
        <v>43953</v>
      </c>
      <c r="AL111" s="2" cm="1">
        <f t="array" ref="AL111">INDEX($A$5:$A$56,COLUMN(AK19),1)</f>
        <v>43960</v>
      </c>
      <c r="AM111" s="2" cm="1">
        <f t="array" ref="AM111">INDEX($A$5:$A$56,COLUMN(AL19),1)</f>
        <v>43967</v>
      </c>
      <c r="AN111" s="2" cm="1">
        <f t="array" ref="AN111">INDEX($A$5:$A$56,COLUMN(AM19),1)</f>
        <v>43974</v>
      </c>
      <c r="AO111" s="2" cm="1">
        <f t="array" ref="AO111">INDEX($A$5:$A$56,COLUMN(AN19),1)</f>
        <v>43981</v>
      </c>
      <c r="AP111" s="2" cm="1">
        <f t="array" ref="AP111">INDEX($A$5:$A$56,COLUMN(AO19),1)</f>
        <v>43988</v>
      </c>
      <c r="AQ111" s="2" cm="1">
        <f t="array" ref="AQ111">INDEX($A$5:$A$56,COLUMN(AP19),1)</f>
        <v>43995</v>
      </c>
      <c r="AR111" s="2" cm="1">
        <f t="array" ref="AR111">INDEX($A$5:$A$56,COLUMN(AQ19),1)</f>
        <v>44002</v>
      </c>
      <c r="AS111" s="2" cm="1">
        <f t="array" ref="AS111">INDEX($A$5:$A$56,COLUMN(AR19),1)</f>
        <v>44009</v>
      </c>
      <c r="AT111" s="2" cm="1">
        <f t="array" ref="AT111">INDEX($A$5:$A$56,COLUMN(AS19),1)</f>
        <v>44016</v>
      </c>
      <c r="AU111" s="2" cm="1">
        <f t="array" ref="AU111">INDEX($A$5:$A$56,COLUMN(AT19),1)</f>
        <v>44023</v>
      </c>
      <c r="AV111" s="2" cm="1">
        <f t="array" ref="AV111">INDEX($A$5:$A$56,COLUMN(AU19),1)</f>
        <v>44030</v>
      </c>
      <c r="AW111" s="2" cm="1">
        <f t="array" ref="AW111">INDEX($A$5:$A$56,COLUMN(AV19),1)</f>
        <v>44037</v>
      </c>
      <c r="AX111" s="2" cm="1">
        <f t="array" ref="AX111">INDEX($A$5:$A$56,COLUMN(AW19),1)</f>
        <v>44044</v>
      </c>
      <c r="AY111" s="2" cm="1">
        <f t="array" ref="AY111">INDEX($A$5:$A$56,COLUMN(AX19),1)</f>
        <v>44051</v>
      </c>
      <c r="AZ111" s="2" cm="1">
        <f t="array" ref="AZ111">INDEX($A$5:$A$56,COLUMN(AY19),1)</f>
        <v>44058</v>
      </c>
      <c r="BA111" s="2" cm="1">
        <f t="array" ref="BA111">INDEX($A$5:$A$56,COLUMN(AZ19),1)</f>
        <v>44065</v>
      </c>
      <c r="BC111" t="s">
        <v>140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155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134</v>
      </c>
    </row>
    <row r="132" spans="1:101" x14ac:dyDescent="0.35">
      <c r="A132" t="s">
        <v>80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79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43708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43715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43722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43729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43736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43743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43750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43757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43764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43771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43778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43785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43792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43799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43806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43813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43820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43827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43834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43841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43848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43855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43862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43869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43876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43883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43890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43897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43904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43911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43918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43925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43932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43939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43946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43953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43960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43967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43974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43981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43988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43995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44002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44009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44016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44023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44030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44037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44044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44051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44058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44065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81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58</v>
      </c>
      <c r="B205" s="2" cm="1">
        <f t="array" ref="B205">INDEX($A$5:$A$56,COLUMN(A1),1)</f>
        <v>43708</v>
      </c>
      <c r="C205" s="2" cm="1">
        <f t="array" ref="C205">INDEX($A$5:$A$56,COLUMN(B1),1)</f>
        <v>43715</v>
      </c>
      <c r="D205" s="2" cm="1">
        <f t="array" ref="D205">INDEX($A$5:$A$56,COLUMN(C1),1)</f>
        <v>43722</v>
      </c>
      <c r="E205" s="2" cm="1">
        <f t="array" ref="E205">INDEX($A$5:$A$56,COLUMN(D1),1)</f>
        <v>43729</v>
      </c>
      <c r="F205" s="2" cm="1">
        <f t="array" ref="F205">INDEX($A$5:$A$56,COLUMN(E1),1)</f>
        <v>43736</v>
      </c>
      <c r="G205" s="2" cm="1">
        <f t="array" ref="G205">INDEX($A$5:$A$56,COLUMN(F1),1)</f>
        <v>43743</v>
      </c>
      <c r="H205" s="2" cm="1">
        <f t="array" ref="H205">INDEX($A$5:$A$56,COLUMN(G1),1)</f>
        <v>43750</v>
      </c>
      <c r="I205" s="2" cm="1">
        <f t="array" ref="I205">INDEX($A$5:$A$56,COLUMN(H1),1)</f>
        <v>43757</v>
      </c>
      <c r="J205" s="2" cm="1">
        <f t="array" ref="J205">INDEX($A$5:$A$56,COLUMN(I1),1)</f>
        <v>43764</v>
      </c>
      <c r="K205" s="2" cm="1">
        <f t="array" ref="K205">INDEX($A$5:$A$56,COLUMN(J1),1)</f>
        <v>43771</v>
      </c>
      <c r="L205" s="2" cm="1">
        <f t="array" ref="L205">INDEX($A$5:$A$56,COLUMN(K1),1)</f>
        <v>43778</v>
      </c>
      <c r="M205" s="2" cm="1">
        <f t="array" ref="M205">INDEX($A$5:$A$56,COLUMN(L1),1)</f>
        <v>43785</v>
      </c>
      <c r="N205" s="2" cm="1">
        <f t="array" ref="N205">INDEX($A$5:$A$56,COLUMN(M1),1)</f>
        <v>43792</v>
      </c>
      <c r="O205" s="2" cm="1">
        <f t="array" ref="O205">INDEX($A$5:$A$56,COLUMN(N1),1)</f>
        <v>43799</v>
      </c>
      <c r="P205" s="2" cm="1">
        <f t="array" ref="P205">INDEX($A$5:$A$56,COLUMN(O1),1)</f>
        <v>43806</v>
      </c>
      <c r="Q205" s="2" cm="1">
        <f t="array" ref="Q205">INDEX($A$5:$A$56,COLUMN(P1),1)</f>
        <v>43813</v>
      </c>
      <c r="R205" s="2" cm="1">
        <f t="array" ref="R205">INDEX($A$5:$A$56,COLUMN(Q1),1)</f>
        <v>43820</v>
      </c>
      <c r="S205" s="2" cm="1">
        <f t="array" ref="S205">INDEX($A$5:$A$56,COLUMN(R1),1)</f>
        <v>43827</v>
      </c>
      <c r="T205" s="2" cm="1">
        <f t="array" ref="T205">INDEX($A$5:$A$56,COLUMN(S1),1)</f>
        <v>43834</v>
      </c>
      <c r="U205" s="2" cm="1">
        <f t="array" ref="U205">INDEX($A$5:$A$56,COLUMN(T1),1)</f>
        <v>43841</v>
      </c>
      <c r="V205" s="2" cm="1">
        <f t="array" ref="V205">INDEX($A$5:$A$56,COLUMN(U1),1)</f>
        <v>43848</v>
      </c>
      <c r="W205" s="2" cm="1">
        <f t="array" ref="W205">INDEX($A$5:$A$56,COLUMN(V1),1)</f>
        <v>43855</v>
      </c>
      <c r="X205" s="2" cm="1">
        <f t="array" ref="X205">INDEX($A$5:$A$56,COLUMN(W1),1)</f>
        <v>43862</v>
      </c>
      <c r="Y205" s="2" cm="1">
        <f t="array" ref="Y205">INDEX($A$5:$A$56,COLUMN(X1),1)</f>
        <v>43869</v>
      </c>
      <c r="Z205" s="2" cm="1">
        <f t="array" ref="Z205">INDEX($A$5:$A$56,COLUMN(Y1),1)</f>
        <v>43876</v>
      </c>
      <c r="AA205" s="2" cm="1">
        <f t="array" ref="AA205">INDEX($A$5:$A$56,COLUMN(Z1),1)</f>
        <v>43883</v>
      </c>
      <c r="AB205" s="2" cm="1">
        <f t="array" ref="AB205">INDEX($A$5:$A$56,COLUMN(AA1),1)</f>
        <v>43890</v>
      </c>
      <c r="AC205" s="2" cm="1">
        <f t="array" ref="AC205">INDEX($A$5:$A$56,COLUMN(AB1),1)</f>
        <v>43897</v>
      </c>
      <c r="AD205" s="2" cm="1">
        <f t="array" ref="AD205">INDEX($A$5:$A$56,COLUMN(AC1),1)</f>
        <v>43904</v>
      </c>
      <c r="AE205" s="2" cm="1">
        <f t="array" ref="AE205">INDEX($A$5:$A$56,COLUMN(AD1),1)</f>
        <v>43911</v>
      </c>
      <c r="AF205" s="2" cm="1">
        <f t="array" ref="AF205">INDEX($A$5:$A$56,COLUMN(AE1),1)</f>
        <v>43918</v>
      </c>
      <c r="AG205" s="2" cm="1">
        <f t="array" ref="AG205">INDEX($A$5:$A$56,COLUMN(AF1),1)</f>
        <v>43925</v>
      </c>
      <c r="AH205" s="2" cm="1">
        <f t="array" ref="AH205">INDEX($A$5:$A$56,COLUMN(AG1),1)</f>
        <v>43932</v>
      </c>
      <c r="AI205" s="2" cm="1">
        <f t="array" ref="AI205">INDEX($A$5:$A$56,COLUMN(AH1),1)</f>
        <v>43939</v>
      </c>
      <c r="AJ205" s="2" cm="1">
        <f t="array" ref="AJ205">INDEX($A$5:$A$56,COLUMN(AI1),1)</f>
        <v>43946</v>
      </c>
      <c r="AK205" s="2" cm="1">
        <f t="array" ref="AK205">INDEX($A$5:$A$56,COLUMN(AJ1),1)</f>
        <v>43953</v>
      </c>
      <c r="AL205" s="2" cm="1">
        <f t="array" ref="AL205">INDEX($A$5:$A$56,COLUMN(AK1),1)</f>
        <v>43960</v>
      </c>
      <c r="AM205" s="2" cm="1">
        <f t="array" ref="AM205">INDEX($A$5:$A$56,COLUMN(AL1),1)</f>
        <v>43967</v>
      </c>
      <c r="AN205" s="2" cm="1">
        <f t="array" ref="AN205">INDEX($A$5:$A$56,COLUMN(AM1),1)</f>
        <v>43974</v>
      </c>
      <c r="AO205" s="2" cm="1">
        <f t="array" ref="AO205">INDEX($A$5:$A$56,COLUMN(AN1),1)</f>
        <v>43981</v>
      </c>
      <c r="AP205" s="2" cm="1">
        <f t="array" ref="AP205">INDEX($A$5:$A$56,COLUMN(AO1),1)</f>
        <v>43988</v>
      </c>
      <c r="AQ205" s="2" cm="1">
        <f t="array" ref="AQ205">INDEX($A$5:$A$56,COLUMN(AP1),1)</f>
        <v>43995</v>
      </c>
      <c r="AR205" s="2" cm="1">
        <f t="array" ref="AR205">INDEX($A$5:$A$56,COLUMN(AQ1),1)</f>
        <v>44002</v>
      </c>
      <c r="AS205" s="2" cm="1">
        <f t="array" ref="AS205">INDEX($A$5:$A$56,COLUMN(AR1),1)</f>
        <v>44009</v>
      </c>
      <c r="AT205" s="2" cm="1">
        <f t="array" ref="AT205">INDEX($A$5:$A$56,COLUMN(AS1),1)</f>
        <v>44016</v>
      </c>
      <c r="AU205" s="2" cm="1">
        <f t="array" ref="AU205">INDEX($A$5:$A$56,COLUMN(AT1),1)</f>
        <v>44023</v>
      </c>
      <c r="AV205" s="2" cm="1">
        <f t="array" ref="AV205">INDEX($A$5:$A$56,COLUMN(AU1),1)</f>
        <v>44030</v>
      </c>
      <c r="AW205" s="2" cm="1">
        <f t="array" ref="AW205">INDEX($A$5:$A$56,COLUMN(AV1),1)</f>
        <v>44037</v>
      </c>
      <c r="AX205" s="2" cm="1">
        <f t="array" ref="AX205">INDEX($A$5:$A$56,COLUMN(AW1),1)</f>
        <v>44044</v>
      </c>
      <c r="AY205" s="2" cm="1">
        <f t="array" ref="AY205">INDEX($A$5:$A$56,COLUMN(AX1),1)</f>
        <v>44051</v>
      </c>
      <c r="AZ205" s="2" cm="1">
        <f t="array" ref="AZ205">INDEX($A$5:$A$56,COLUMN(AY1),1)</f>
        <v>44058</v>
      </c>
      <c r="BA205" s="2" cm="1">
        <f t="array" ref="BA205">INDEX($A$5:$A$56,COLUMN(AZ1),1)</f>
        <v>44065</v>
      </c>
      <c r="BC205" t="s">
        <v>140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155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56</v>
      </c>
      <c r="B223" s="2" cm="1">
        <f t="array" ref="B223">INDEX($A$5:$A$56,COLUMN(A149),1)</f>
        <v>43708</v>
      </c>
      <c r="C223" s="2" cm="1">
        <f t="array" ref="C223">INDEX($A$5:$A$56,COLUMN(B149),1)</f>
        <v>43715</v>
      </c>
      <c r="D223" s="2" cm="1">
        <f t="array" ref="D223">INDEX($A$5:$A$56,COLUMN(C149),1)</f>
        <v>43722</v>
      </c>
      <c r="E223" s="2" cm="1">
        <f t="array" ref="E223">INDEX($A$5:$A$56,COLUMN(D149),1)</f>
        <v>43729</v>
      </c>
      <c r="F223" s="2" cm="1">
        <f t="array" ref="F223">INDEX($A$5:$A$56,COLUMN(E149),1)</f>
        <v>43736</v>
      </c>
      <c r="G223" s="2" cm="1">
        <f t="array" ref="G223">INDEX($A$5:$A$56,COLUMN(F149),1)</f>
        <v>43743</v>
      </c>
      <c r="H223" s="2" cm="1">
        <f t="array" ref="H223">INDEX($A$5:$A$56,COLUMN(G149),1)</f>
        <v>43750</v>
      </c>
      <c r="I223" s="2" cm="1">
        <f t="array" ref="I223">INDEX($A$5:$A$56,COLUMN(H149),1)</f>
        <v>43757</v>
      </c>
      <c r="J223" s="2" cm="1">
        <f t="array" ref="J223">INDEX($A$5:$A$56,COLUMN(I149),1)</f>
        <v>43764</v>
      </c>
      <c r="K223" s="2" cm="1">
        <f t="array" ref="K223">INDEX($A$5:$A$56,COLUMN(J149),1)</f>
        <v>43771</v>
      </c>
      <c r="L223" s="2" cm="1">
        <f t="array" ref="L223">INDEX($A$5:$A$56,COLUMN(K149),1)</f>
        <v>43778</v>
      </c>
      <c r="M223" s="2" cm="1">
        <f t="array" ref="M223">INDEX($A$5:$A$56,COLUMN(L149),1)</f>
        <v>43785</v>
      </c>
      <c r="N223" s="2" cm="1">
        <f t="array" ref="N223">INDEX($A$5:$A$56,COLUMN(M149),1)</f>
        <v>43792</v>
      </c>
      <c r="O223" s="2" cm="1">
        <f t="array" ref="O223">INDEX($A$5:$A$56,COLUMN(N149),1)</f>
        <v>43799</v>
      </c>
      <c r="P223" s="2" cm="1">
        <f t="array" ref="P223">INDEX($A$5:$A$56,COLUMN(O149),1)</f>
        <v>43806</v>
      </c>
      <c r="Q223" s="2" cm="1">
        <f t="array" ref="Q223">INDEX($A$5:$A$56,COLUMN(P149),1)</f>
        <v>43813</v>
      </c>
      <c r="R223" s="2" cm="1">
        <f t="array" ref="R223">INDEX($A$5:$A$56,COLUMN(Q149),1)</f>
        <v>43820</v>
      </c>
      <c r="S223" s="2" cm="1">
        <f t="array" ref="S223">INDEX($A$5:$A$56,COLUMN(R149),1)</f>
        <v>43827</v>
      </c>
      <c r="T223" s="2" cm="1">
        <f t="array" ref="T223">INDEX($A$5:$A$56,COLUMN(S149),1)</f>
        <v>43834</v>
      </c>
      <c r="U223" s="2" cm="1">
        <f t="array" ref="U223">INDEX($A$5:$A$56,COLUMN(T149),1)</f>
        <v>43841</v>
      </c>
      <c r="V223" s="2" cm="1">
        <f t="array" ref="V223">INDEX($A$5:$A$56,COLUMN(U149),1)</f>
        <v>43848</v>
      </c>
      <c r="W223" s="2" cm="1">
        <f t="array" ref="W223">INDEX($A$5:$A$56,COLUMN(V149),1)</f>
        <v>43855</v>
      </c>
      <c r="X223" s="2" cm="1">
        <f t="array" ref="X223">INDEX($A$5:$A$56,COLUMN(W149),1)</f>
        <v>43862</v>
      </c>
      <c r="Y223" s="2" cm="1">
        <f t="array" ref="Y223">INDEX($A$5:$A$56,COLUMN(X149),1)</f>
        <v>43869</v>
      </c>
      <c r="Z223" s="2" cm="1">
        <f t="array" ref="Z223">INDEX($A$5:$A$56,COLUMN(Y149),1)</f>
        <v>43876</v>
      </c>
      <c r="AA223" s="2" cm="1">
        <f t="array" ref="AA223">INDEX($A$5:$A$56,COLUMN(Z149),1)</f>
        <v>43883</v>
      </c>
      <c r="AB223" s="2" cm="1">
        <f t="array" ref="AB223">INDEX($A$5:$A$56,COLUMN(AA149),1)</f>
        <v>43890</v>
      </c>
      <c r="AC223" s="2" cm="1">
        <f t="array" ref="AC223">INDEX($A$5:$A$56,COLUMN(AB149),1)</f>
        <v>43897</v>
      </c>
      <c r="AD223" s="2" cm="1">
        <f t="array" ref="AD223">INDEX($A$5:$A$56,COLUMN(AC149),1)</f>
        <v>43904</v>
      </c>
      <c r="AE223" s="2" cm="1">
        <f t="array" ref="AE223">INDEX($A$5:$A$56,COLUMN(AD149),1)</f>
        <v>43911</v>
      </c>
      <c r="AF223" s="2" cm="1">
        <f t="array" ref="AF223">INDEX($A$5:$A$56,COLUMN(AE149),1)</f>
        <v>43918</v>
      </c>
      <c r="AG223" s="2" cm="1">
        <f t="array" ref="AG223">INDEX($A$5:$A$56,COLUMN(AF149),1)</f>
        <v>43925</v>
      </c>
      <c r="AH223" s="2" cm="1">
        <f t="array" ref="AH223">INDEX($A$5:$A$56,COLUMN(AG149),1)</f>
        <v>43932</v>
      </c>
      <c r="AI223" s="2" cm="1">
        <f t="array" ref="AI223">INDEX($A$5:$A$56,COLUMN(AH149),1)</f>
        <v>43939</v>
      </c>
      <c r="AJ223" s="2" cm="1">
        <f t="array" ref="AJ223">INDEX($A$5:$A$56,COLUMN(AI149),1)</f>
        <v>43946</v>
      </c>
      <c r="AK223" s="2" cm="1">
        <f t="array" ref="AK223">INDEX($A$5:$A$56,COLUMN(AJ149),1)</f>
        <v>43953</v>
      </c>
      <c r="AL223" s="2" cm="1">
        <f t="array" ref="AL223">INDEX($A$5:$A$56,COLUMN(AK149),1)</f>
        <v>43960</v>
      </c>
      <c r="AM223" s="2" cm="1">
        <f t="array" ref="AM223">INDEX($A$5:$A$56,COLUMN(AL149),1)</f>
        <v>43967</v>
      </c>
      <c r="AN223" s="2" cm="1">
        <f t="array" ref="AN223">INDEX($A$5:$A$56,COLUMN(AM149),1)</f>
        <v>43974</v>
      </c>
      <c r="AO223" s="2" cm="1">
        <f t="array" ref="AO223">INDEX($A$5:$A$56,COLUMN(AN149),1)</f>
        <v>43981</v>
      </c>
      <c r="AP223" s="2" cm="1">
        <f t="array" ref="AP223">INDEX($A$5:$A$56,COLUMN(AO149),1)</f>
        <v>43988</v>
      </c>
      <c r="AQ223" s="2" cm="1">
        <f t="array" ref="AQ223">INDEX($A$5:$A$56,COLUMN(AP149),1)</f>
        <v>43995</v>
      </c>
      <c r="AR223" s="2" cm="1">
        <f t="array" ref="AR223">INDEX($A$5:$A$56,COLUMN(AQ149),1)</f>
        <v>44002</v>
      </c>
      <c r="AS223" s="2" cm="1">
        <f t="array" ref="AS223">INDEX($A$5:$A$56,COLUMN(AR149),1)</f>
        <v>44009</v>
      </c>
      <c r="AT223" s="2" cm="1">
        <f t="array" ref="AT223">INDEX($A$5:$A$56,COLUMN(AS149),1)</f>
        <v>44016</v>
      </c>
      <c r="AU223" s="2" cm="1">
        <f t="array" ref="AU223">INDEX($A$5:$A$56,COLUMN(AT149),1)</f>
        <v>44023</v>
      </c>
      <c r="AV223" s="2" cm="1">
        <f t="array" ref="AV223">INDEX($A$5:$A$56,COLUMN(AU149),1)</f>
        <v>44030</v>
      </c>
      <c r="AW223" s="2" cm="1">
        <f t="array" ref="AW223">INDEX($A$5:$A$56,COLUMN(AV149),1)</f>
        <v>44037</v>
      </c>
      <c r="AX223" s="2" cm="1">
        <f t="array" ref="AX223">INDEX($A$5:$A$56,COLUMN(AW149),1)</f>
        <v>44044</v>
      </c>
      <c r="AY223" s="2" cm="1">
        <f t="array" ref="AY223">INDEX($A$5:$A$56,COLUMN(AX149),1)</f>
        <v>44051</v>
      </c>
      <c r="AZ223" s="2" cm="1">
        <f t="array" ref="AZ223">INDEX($A$5:$A$56,COLUMN(AY149),1)</f>
        <v>44058</v>
      </c>
      <c r="BA223" s="2" cm="1">
        <f t="array" ref="BA223">INDEX($A$5:$A$56,COLUMN(AZ149),1)</f>
        <v>44065</v>
      </c>
      <c r="BC223" t="s">
        <v>140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155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69</v>
      </c>
      <c r="B241" s="2" cm="1">
        <f t="array" ref="B241">INDEX($A$5:$A$56,COLUMN(A1),1)</f>
        <v>43708</v>
      </c>
      <c r="C241" s="2" cm="1">
        <f t="array" ref="C241">INDEX($A$5:$A$56,COLUMN(B1),1)</f>
        <v>43715</v>
      </c>
      <c r="D241" s="2" cm="1">
        <f t="array" ref="D241">INDEX($A$5:$A$56,COLUMN(C1),1)</f>
        <v>43722</v>
      </c>
      <c r="E241" s="2" cm="1">
        <f t="array" ref="E241">INDEX($A$5:$A$56,COLUMN(D1),1)</f>
        <v>43729</v>
      </c>
      <c r="F241" s="2" cm="1">
        <f t="array" ref="F241">INDEX($A$5:$A$56,COLUMN(E1),1)</f>
        <v>43736</v>
      </c>
      <c r="G241" s="2" cm="1">
        <f t="array" ref="G241">INDEX($A$5:$A$56,COLUMN(F1),1)</f>
        <v>43743</v>
      </c>
      <c r="H241" s="2" cm="1">
        <f t="array" ref="H241">INDEX($A$5:$A$56,COLUMN(G1),1)</f>
        <v>43750</v>
      </c>
      <c r="I241" s="2" cm="1">
        <f t="array" ref="I241">INDEX($A$5:$A$56,COLUMN(H1),1)</f>
        <v>43757</v>
      </c>
      <c r="J241" s="2" cm="1">
        <f t="array" ref="J241">INDEX($A$5:$A$56,COLUMN(I1),1)</f>
        <v>43764</v>
      </c>
      <c r="K241" s="2" cm="1">
        <f t="array" ref="K241">INDEX($A$5:$A$56,COLUMN(J1),1)</f>
        <v>43771</v>
      </c>
      <c r="L241" s="2" cm="1">
        <f t="array" ref="L241">INDEX($A$5:$A$56,COLUMN(K1),1)</f>
        <v>43778</v>
      </c>
      <c r="M241" s="2" cm="1">
        <f t="array" ref="M241">INDEX($A$5:$A$56,COLUMN(L1),1)</f>
        <v>43785</v>
      </c>
      <c r="N241" s="2" cm="1">
        <f t="array" ref="N241">INDEX($A$5:$A$56,COLUMN(M1),1)</f>
        <v>43792</v>
      </c>
      <c r="O241" s="2" cm="1">
        <f t="array" ref="O241">INDEX($A$5:$A$56,COLUMN(N1),1)</f>
        <v>43799</v>
      </c>
      <c r="P241" s="2" cm="1">
        <f t="array" ref="P241">INDEX($A$5:$A$56,COLUMN(O1),1)</f>
        <v>43806</v>
      </c>
      <c r="Q241" s="2" cm="1">
        <f t="array" ref="Q241">INDEX($A$5:$A$56,COLUMN(P1),1)</f>
        <v>43813</v>
      </c>
      <c r="R241" s="2" cm="1">
        <f t="array" ref="R241">INDEX($A$5:$A$56,COLUMN(Q1),1)</f>
        <v>43820</v>
      </c>
      <c r="S241" s="2" cm="1">
        <f t="array" ref="S241">INDEX($A$5:$A$56,COLUMN(R1),1)</f>
        <v>43827</v>
      </c>
      <c r="T241" s="2" cm="1">
        <f t="array" ref="T241">INDEX($A$5:$A$56,COLUMN(S1),1)</f>
        <v>43834</v>
      </c>
      <c r="U241" s="2" cm="1">
        <f t="array" ref="U241">INDEX($A$5:$A$56,COLUMN(T1),1)</f>
        <v>43841</v>
      </c>
      <c r="V241" s="2" cm="1">
        <f t="array" ref="V241">INDEX($A$5:$A$56,COLUMN(U1),1)</f>
        <v>43848</v>
      </c>
      <c r="W241" s="2" cm="1">
        <f t="array" ref="W241">INDEX($A$5:$A$56,COLUMN(V1),1)</f>
        <v>43855</v>
      </c>
      <c r="X241" s="2" cm="1">
        <f t="array" ref="X241">INDEX($A$5:$A$56,COLUMN(W1),1)</f>
        <v>43862</v>
      </c>
      <c r="Y241" s="2" cm="1">
        <f t="array" ref="Y241">INDEX($A$5:$A$56,COLUMN(X1),1)</f>
        <v>43869</v>
      </c>
      <c r="Z241" s="2" cm="1">
        <f t="array" ref="Z241">INDEX($A$5:$A$56,COLUMN(Y1),1)</f>
        <v>43876</v>
      </c>
      <c r="AA241" s="2" cm="1">
        <f t="array" ref="AA241">INDEX($A$5:$A$56,COLUMN(Z1),1)</f>
        <v>43883</v>
      </c>
      <c r="AB241" s="2" cm="1">
        <f t="array" ref="AB241">INDEX($A$5:$A$56,COLUMN(AA1),1)</f>
        <v>43890</v>
      </c>
      <c r="AC241" s="2" cm="1">
        <f t="array" ref="AC241">INDEX($A$5:$A$56,COLUMN(AB1),1)</f>
        <v>43897</v>
      </c>
      <c r="AD241" s="2" cm="1">
        <f t="array" ref="AD241">INDEX($A$5:$A$56,COLUMN(AC1),1)</f>
        <v>43904</v>
      </c>
      <c r="AE241" s="2" cm="1">
        <f t="array" ref="AE241">INDEX($A$5:$A$56,COLUMN(AD1),1)</f>
        <v>43911</v>
      </c>
      <c r="AF241" s="2" cm="1">
        <f t="array" ref="AF241">INDEX($A$5:$A$56,COLUMN(AE1),1)</f>
        <v>43918</v>
      </c>
      <c r="AG241" s="2" cm="1">
        <f t="array" ref="AG241">INDEX($A$5:$A$56,COLUMN(AF1),1)</f>
        <v>43925</v>
      </c>
      <c r="AH241" s="2" cm="1">
        <f t="array" ref="AH241">INDEX($A$5:$A$56,COLUMN(AG1),1)</f>
        <v>43932</v>
      </c>
      <c r="AI241" s="2" cm="1">
        <f t="array" ref="AI241">INDEX($A$5:$A$56,COLUMN(AH1),1)</f>
        <v>43939</v>
      </c>
      <c r="AJ241" s="2" cm="1">
        <f t="array" ref="AJ241">INDEX($A$5:$A$56,COLUMN(AI1),1)</f>
        <v>43946</v>
      </c>
      <c r="AK241" s="2" cm="1">
        <f t="array" ref="AK241">INDEX($A$5:$A$56,COLUMN(AJ1),1)</f>
        <v>43953</v>
      </c>
      <c r="AL241" s="2" cm="1">
        <f t="array" ref="AL241">INDEX($A$5:$A$56,COLUMN(AK1),1)</f>
        <v>43960</v>
      </c>
      <c r="AM241" s="2" cm="1">
        <f t="array" ref="AM241">INDEX($A$5:$A$56,COLUMN(AL1),1)</f>
        <v>43967</v>
      </c>
      <c r="AN241" s="2" cm="1">
        <f t="array" ref="AN241">INDEX($A$5:$A$56,COLUMN(AM1),1)</f>
        <v>43974</v>
      </c>
      <c r="AO241" s="2" cm="1">
        <f t="array" ref="AO241">INDEX($A$5:$A$56,COLUMN(AN1),1)</f>
        <v>43981</v>
      </c>
      <c r="AP241" s="2" cm="1">
        <f t="array" ref="AP241">INDEX($A$5:$A$56,COLUMN(AO1),1)</f>
        <v>43988</v>
      </c>
      <c r="AQ241" s="2" cm="1">
        <f t="array" ref="AQ241">INDEX($A$5:$A$56,COLUMN(AP1),1)</f>
        <v>43995</v>
      </c>
      <c r="AR241" s="2" cm="1">
        <f t="array" ref="AR241">INDEX($A$5:$A$56,COLUMN(AQ1),1)</f>
        <v>44002</v>
      </c>
      <c r="AS241" s="2" cm="1">
        <f t="array" ref="AS241">INDEX($A$5:$A$56,COLUMN(AR1),1)</f>
        <v>44009</v>
      </c>
      <c r="AT241" s="2" cm="1">
        <f t="array" ref="AT241">INDEX($A$5:$A$56,COLUMN(AS1),1)</f>
        <v>44016</v>
      </c>
      <c r="AU241" s="2" cm="1">
        <f t="array" ref="AU241">INDEX($A$5:$A$56,COLUMN(AT1),1)</f>
        <v>44023</v>
      </c>
      <c r="AV241" s="2" cm="1">
        <f t="array" ref="AV241">INDEX($A$5:$A$56,COLUMN(AU1),1)</f>
        <v>44030</v>
      </c>
      <c r="AW241" s="2" cm="1">
        <f t="array" ref="AW241">INDEX($A$5:$A$56,COLUMN(AV1),1)</f>
        <v>44037</v>
      </c>
      <c r="AX241" s="2" cm="1">
        <f t="array" ref="AX241">INDEX($A$5:$A$56,COLUMN(AW1),1)</f>
        <v>44044</v>
      </c>
      <c r="AY241" s="2" cm="1">
        <f t="array" ref="AY241">INDEX($A$5:$A$56,COLUMN(AX1),1)</f>
        <v>44051</v>
      </c>
      <c r="AZ241" s="2" cm="1">
        <f t="array" ref="AZ241">INDEX($A$5:$A$56,COLUMN(AY1),1)</f>
        <v>44058</v>
      </c>
      <c r="BA241" s="2" cm="1">
        <f t="array" ref="BA241">INDEX($A$5:$A$56,COLUMN(AZ1),1)</f>
        <v>44065</v>
      </c>
      <c r="BC241" t="s">
        <v>140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155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115</v>
      </c>
      <c r="B259" t="s">
        <v>141</v>
      </c>
      <c r="C259" t="s">
        <v>141</v>
      </c>
      <c r="D259" t="s">
        <v>141</v>
      </c>
      <c r="E259" t="s">
        <v>142</v>
      </c>
      <c r="F259" t="s">
        <v>142</v>
      </c>
      <c r="G259" t="s">
        <v>142</v>
      </c>
      <c r="H259" s="3" t="s">
        <v>155</v>
      </c>
      <c r="I259" s="3" t="s">
        <v>155</v>
      </c>
      <c r="J259" s="3" t="s">
        <v>155</v>
      </c>
    </row>
    <row r="260" spans="1:53" x14ac:dyDescent="0.35">
      <c r="B260" t="s">
        <v>58</v>
      </c>
      <c r="C260" t="s">
        <v>56</v>
      </c>
      <c r="D260" t="s">
        <v>69</v>
      </c>
      <c r="E260" t="s">
        <v>58</v>
      </c>
      <c r="F260" t="s">
        <v>56</v>
      </c>
      <c r="G260" t="s">
        <v>69</v>
      </c>
      <c r="H260" t="s">
        <v>58</v>
      </c>
      <c r="I260" t="s">
        <v>56</v>
      </c>
      <c r="J260" t="s">
        <v>69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143</v>
      </c>
      <c r="B277" t="s">
        <v>141</v>
      </c>
      <c r="C277" t="s">
        <v>142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9" sqref="B9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152</v>
      </c>
    </row>
    <row r="2" spans="1:5" ht="15" thickBot="1" x14ac:dyDescent="0.4"/>
    <row r="3" spans="1:5" ht="15" thickBot="1" x14ac:dyDescent="0.4">
      <c r="A3" s="37" t="s">
        <v>67</v>
      </c>
      <c r="B3" s="17" t="s">
        <v>159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55" t="s">
        <v>68</v>
      </c>
      <c r="B4" s="17" t="s">
        <v>69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B5" sqref="B5"/>
    </sheetView>
  </sheetViews>
  <sheetFormatPr defaultRowHeight="14.5" x14ac:dyDescent="0.35"/>
  <cols>
    <col min="1" max="1" width="13.81640625" bestFit="1" customWidth="1"/>
    <col min="2" max="2" width="12.54296875" customWidth="1"/>
  </cols>
  <sheetData>
    <row r="1" spans="1:4" ht="23.5" x14ac:dyDescent="0.55000000000000004">
      <c r="A1" s="28" t="s">
        <v>153</v>
      </c>
    </row>
    <row r="2" spans="1:4" ht="15" customHeight="1" thickBot="1" x14ac:dyDescent="0.6">
      <c r="A2" s="28"/>
    </row>
    <row r="3" spans="1:4" ht="15" thickBot="1" x14ac:dyDescent="0.4">
      <c r="A3" s="37" t="s">
        <v>136</v>
      </c>
      <c r="B3" s="17" t="s">
        <v>158</v>
      </c>
    </row>
    <row r="4" spans="1:4" ht="15" thickBot="1" x14ac:dyDescent="0.4">
      <c r="A4" s="37" t="s">
        <v>67</v>
      </c>
      <c r="B4" s="17" t="s">
        <v>155</v>
      </c>
    </row>
    <row r="5" spans="1:4" ht="15" thickBot="1" x14ac:dyDescent="0.4">
      <c r="A5" s="37" t="s">
        <v>68</v>
      </c>
      <c r="B5" s="17" t="s">
        <v>69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99</v>
      </c>
      <c r="B7" s="17" t="s">
        <v>102</v>
      </c>
    </row>
    <row r="28" spans="1:4" x14ac:dyDescent="0.35">
      <c r="A28" s="63" t="s">
        <v>115</v>
      </c>
    </row>
    <row r="29" spans="1:4" x14ac:dyDescent="0.35">
      <c r="A29" s="63"/>
    </row>
    <row r="30" spans="1:4" ht="15" thickBot="1" x14ac:dyDescent="0.4">
      <c r="A30" s="63" t="s">
        <v>117</v>
      </c>
    </row>
    <row r="31" spans="1:4" ht="15" thickBot="1" x14ac:dyDescent="0.4">
      <c r="A31" s="64" t="s">
        <v>116</v>
      </c>
      <c r="B31" s="31" t="str">
        <f>TEXT('Required Capacity (Hide)'!CZ5,"0.0")&amp;" "&amp;B7</f>
        <v>148.3 Hours</v>
      </c>
      <c r="D31" t="s">
        <v>144</v>
      </c>
    </row>
    <row r="32" spans="1:4" ht="15" thickBot="1" x14ac:dyDescent="0.4">
      <c r="A32" s="64" t="str">
        <f>Setup!B13&amp;" Percentile:"</f>
        <v>75th Percentile:</v>
      </c>
      <c r="B32" s="10" t="str">
        <f>TEXT('Required Capacity (Hide)'!CY5,"0.0")&amp;" "&amp;B7</f>
        <v>142.7 Hours</v>
      </c>
      <c r="D32" t="s">
        <v>144</v>
      </c>
    </row>
    <row r="34" spans="1:1" x14ac:dyDescent="0.35">
      <c r="A34" s="63" t="s">
        <v>118</v>
      </c>
    </row>
    <row r="35" spans="1:1" x14ac:dyDescent="0.35">
      <c r="A35" t="s">
        <v>119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2020-11-27T11:01:03Z</dcterms:modified>
</cp:coreProperties>
</file>