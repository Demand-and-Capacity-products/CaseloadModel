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424F0889-52DD-45B5-9CFF-3C0BD5FB00FF}" xr6:coauthVersionLast="45" xr6:coauthVersionMax="45" xr10:uidLastSave="{00000000-0000-0000-0000-000000000000}"/>
  <bookViews>
    <workbookView xWindow="-110" yWindow="-110" windowWidth="25820" windowHeight="14020" tabRatio="735" firstSheet="1" activeTab="1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INDEX(Service!$C$4:$C$28,MATCH(Planning!$A1,Service!$B$4:$B$28,0)):INDEX(Service!$C$4:$C$28,MATCH(Planning!$A1,Service!$B$4:$B$28,0)+COUNTA(INDEX(Service!$C$4:$C$28,MATCH(Planning!$A1,Service!$B$4:$B$28,0)):INDEX(Service!$C$4:$C$28,MATCH(Planning!$A1,Service!$B$4:$B$28,0)+4))-1)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14" l="1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5" i="14"/>
  <c r="B53" i="8" l="1"/>
  <c r="B54" i="8"/>
  <c r="B55" i="8"/>
  <c r="B56" i="8"/>
  <c r="B57" i="8"/>
  <c r="B58" i="8"/>
  <c r="B59" i="8"/>
  <c r="B60" i="8"/>
  <c r="B61" i="8"/>
  <c r="B62" i="8"/>
  <c r="B48" i="8"/>
  <c r="B49" i="8"/>
  <c r="B50" i="8"/>
  <c r="B51" i="8"/>
  <c r="B52" i="8"/>
  <c r="B47" i="8"/>
  <c r="A62" i="8" l="1"/>
  <c r="B36" i="8" l="1" a="1"/>
  <c r="B36" i="8" s="1"/>
  <c r="B31" i="8" a="1"/>
  <c r="B31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C62" i="8" s="1"/>
  <c r="J20" i="14" l="1"/>
  <c r="O20" i="14" s="1"/>
  <c r="D62" i="8" s="1"/>
  <c r="K20" i="14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J3" i="6"/>
  <c r="I3" i="6"/>
  <c r="B3" i="6"/>
  <c r="B4" i="14"/>
  <c r="D3" i="4"/>
  <c r="D4" i="4"/>
  <c r="A3" i="4"/>
  <c r="B19" i="14"/>
  <c r="A61" i="8" s="1"/>
  <c r="B15" i="14"/>
  <c r="A57" i="8" s="1"/>
  <c r="B16" i="14"/>
  <c r="A58" i="8" s="1"/>
  <c r="B17" i="14"/>
  <c r="A59" i="8" s="1"/>
  <c r="B18" i="14"/>
  <c r="A60" i="8" s="1"/>
  <c r="B6" i="14"/>
  <c r="A48" i="8" s="1"/>
  <c r="B7" i="14"/>
  <c r="A49" i="8" s="1"/>
  <c r="B8" i="14"/>
  <c r="A50" i="8" s="1"/>
  <c r="B9" i="14"/>
  <c r="A51" i="8" s="1"/>
  <c r="B10" i="14"/>
  <c r="A52" i="8" s="1"/>
  <c r="B11" i="14"/>
  <c r="A53" i="8" s="1"/>
  <c r="B12" i="14"/>
  <c r="A54" i="8" s="1"/>
  <c r="B13" i="14"/>
  <c r="A55" i="8" s="1"/>
  <c r="B14" i="14"/>
  <c r="A56" i="8" s="1"/>
  <c r="B5" i="14"/>
  <c r="A47" i="8" s="1"/>
  <c r="L20" i="14" l="1"/>
  <c r="I6" i="12"/>
  <c r="D7" i="8"/>
  <c r="E4" i="11"/>
  <c r="E26" i="13" l="1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5" i="7" a="1"/>
  <c r="E5" i="7" s="1"/>
  <c r="I5" i="13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F101" i="13" s="1"/>
  <c r="G6" i="6"/>
  <c r="F102" i="13" s="1"/>
  <c r="G7" i="6"/>
  <c r="F103" i="13" s="1"/>
  <c r="G8" i="6"/>
  <c r="F104" i="13" s="1"/>
  <c r="G9" i="6"/>
  <c r="F105" i="13" s="1"/>
  <c r="G10" i="6"/>
  <c r="F106" i="13" s="1"/>
  <c r="G11" i="6"/>
  <c r="F107" i="13" s="1"/>
  <c r="G12" i="6"/>
  <c r="F108" i="13" s="1"/>
  <c r="G13" i="6"/>
  <c r="F109" i="13" s="1"/>
  <c r="G14" i="6"/>
  <c r="F110" i="13" s="1"/>
  <c r="G15" i="6"/>
  <c r="F111" i="13" s="1"/>
  <c r="G16" i="6"/>
  <c r="F112" i="13" s="1"/>
  <c r="G17" i="6"/>
  <c r="F113" i="13" s="1"/>
  <c r="G18" i="6"/>
  <c r="F114" i="13" s="1"/>
  <c r="G19" i="6"/>
  <c r="F115" i="13" s="1"/>
  <c r="G20" i="6"/>
  <c r="F116" i="13" s="1"/>
  <c r="G21" i="6"/>
  <c r="F117" i="13" s="1"/>
  <c r="G22" i="6"/>
  <c r="F118" i="13" s="1"/>
  <c r="G23" i="6"/>
  <c r="F119" i="13" s="1"/>
  <c r="G24" i="6"/>
  <c r="F120" i="13" s="1"/>
  <c r="G25" i="6"/>
  <c r="F121" i="13" s="1"/>
  <c r="G26" i="6"/>
  <c r="F122" i="13" s="1"/>
  <c r="G27" i="6"/>
  <c r="F123" i="13" s="1"/>
  <c r="G28" i="6"/>
  <c r="F124" i="13" s="1"/>
  <c r="G29" i="6"/>
  <c r="F125" i="13" s="1"/>
  <c r="G30" i="6"/>
  <c r="F126" i="13" s="1"/>
  <c r="G31" i="6"/>
  <c r="F127" i="13" s="1"/>
  <c r="G32" i="6"/>
  <c r="F128" i="13" s="1"/>
  <c r="G33" i="6"/>
  <c r="F129" i="13" s="1"/>
  <c r="G34" i="6"/>
  <c r="F130" i="13" s="1"/>
  <c r="G35" i="6"/>
  <c r="F131" i="13" s="1"/>
  <c r="G36" i="6"/>
  <c r="F132" i="13" s="1"/>
  <c r="G37" i="6"/>
  <c r="F133" i="13" s="1"/>
  <c r="G38" i="6"/>
  <c r="F134" i="13" s="1"/>
  <c r="G39" i="6"/>
  <c r="F135" i="13" s="1"/>
  <c r="G40" i="6"/>
  <c r="F136" i="13" s="1"/>
  <c r="G41" i="6"/>
  <c r="F137" i="13" s="1"/>
  <c r="G42" i="6"/>
  <c r="F138" i="13" s="1"/>
  <c r="G43" i="6"/>
  <c r="F139" i="13" s="1"/>
  <c r="G44" i="6"/>
  <c r="F140" i="13" s="1"/>
  <c r="G45" i="6"/>
  <c r="F141" i="13" s="1"/>
  <c r="G46" i="6"/>
  <c r="F142" i="13" s="1"/>
  <c r="G47" i="6"/>
  <c r="F143" i="13" s="1"/>
  <c r="G48" i="6"/>
  <c r="F144" i="13" s="1"/>
  <c r="G49" i="6"/>
  <c r="F145" i="13" s="1"/>
  <c r="G50" i="6"/>
  <c r="F146" i="13" s="1"/>
  <c r="G51" i="6"/>
  <c r="F147" i="13" s="1"/>
  <c r="G52" i="6"/>
  <c r="F148" i="13" s="1"/>
  <c r="G53" i="6"/>
  <c r="F149" i="13" s="1"/>
  <c r="G54" i="6"/>
  <c r="F150" i="13" s="1"/>
  <c r="G55" i="6"/>
  <c r="F151" i="13" s="1"/>
  <c r="G56" i="6"/>
  <c r="F152" i="13" s="1"/>
  <c r="G57" i="6"/>
  <c r="F153" i="13" s="1"/>
  <c r="G58" i="6"/>
  <c r="F154" i="13" s="1"/>
  <c r="G59" i="6"/>
  <c r="F155" i="13" s="1"/>
  <c r="G60" i="6"/>
  <c r="F156" i="13" s="1"/>
  <c r="G61" i="6"/>
  <c r="F157" i="13" s="1"/>
  <c r="G62" i="6"/>
  <c r="F158" i="13" s="1"/>
  <c r="G63" i="6"/>
  <c r="F159" i="13" s="1"/>
  <c r="G64" i="6"/>
  <c r="F160" i="13" s="1"/>
  <c r="G65" i="6"/>
  <c r="F161" i="13" s="1"/>
  <c r="G66" i="6"/>
  <c r="F162" i="13" s="1"/>
  <c r="G67" i="6"/>
  <c r="F163" i="13" s="1"/>
  <c r="G68" i="6"/>
  <c r="F164" i="13" s="1"/>
  <c r="G69" i="6"/>
  <c r="F165" i="13" s="1"/>
  <c r="G70" i="6"/>
  <c r="F166" i="13" s="1"/>
  <c r="G71" i="6"/>
  <c r="F167" i="13" s="1"/>
  <c r="G72" i="6"/>
  <c r="F168" i="13" s="1"/>
  <c r="G73" i="6"/>
  <c r="F169" i="13" s="1"/>
  <c r="G74" i="6"/>
  <c r="F170" i="13" s="1"/>
  <c r="G75" i="6"/>
  <c r="F171" i="13" s="1"/>
  <c r="G76" i="6"/>
  <c r="F172" i="13" s="1"/>
  <c r="G77" i="6"/>
  <c r="F173" i="13" s="1"/>
  <c r="G78" i="6"/>
  <c r="F174" i="13" s="1"/>
  <c r="G4" i="6"/>
  <c r="H4" i="6" l="1"/>
  <c r="F100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H6" i="6"/>
  <c r="H7" i="6"/>
  <c r="H8" i="6"/>
  <c r="H9" i="6"/>
  <c r="H10" i="6"/>
  <c r="I9" i="6" s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J4" i="6" l="1"/>
  <c r="I4" i="6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I66" i="13" l="1"/>
  <c r="B20" i="6" a="1"/>
  <c r="B20" i="6" s="1"/>
  <c r="A116" i="13" s="1"/>
  <c r="D116" i="13" s="1" a="1"/>
  <c r="D116" i="13" s="1"/>
  <c r="B23" i="6" a="1"/>
  <c r="B23" i="6" s="1"/>
  <c r="A119" i="13" s="1"/>
  <c r="D119" i="13" s="1" a="1"/>
  <c r="D119" i="13" s="1"/>
  <c r="B19" i="6" a="1"/>
  <c r="B19" i="6" s="1"/>
  <c r="A115" i="13" s="1"/>
  <c r="D115" i="13" s="1" a="1"/>
  <c r="D115" i="13" s="1"/>
  <c r="B21" i="6" a="1"/>
  <c r="B21" i="6" s="1"/>
  <c r="A117" i="13" s="1"/>
  <c r="D117" i="13" s="1" a="1"/>
  <c r="D117" i="13" s="1"/>
  <c r="B22" i="6" a="1"/>
  <c r="B22" i="6" s="1"/>
  <c r="A118" i="13" s="1"/>
  <c r="D118" i="13" s="1" a="1"/>
  <c r="D118" i="13" s="1"/>
  <c r="I76" i="13"/>
  <c r="B71" i="6" a="1"/>
  <c r="B71" i="6" s="1"/>
  <c r="A167" i="13" s="1"/>
  <c r="D167" i="13" s="1" a="1"/>
  <c r="D167" i="13" s="1"/>
  <c r="B72" i="6" a="1"/>
  <c r="B72" i="6" s="1"/>
  <c r="A168" i="13" s="1"/>
  <c r="D168" i="13" s="1" a="1"/>
  <c r="D168" i="13" s="1"/>
  <c r="B73" i="6" a="1"/>
  <c r="B73" i="6" s="1"/>
  <c r="A169" i="13" s="1"/>
  <c r="D169" i="13" s="1" a="1"/>
  <c r="D169" i="13" s="1"/>
  <c r="B69" i="6" a="1"/>
  <c r="B69" i="6" s="1"/>
  <c r="A165" i="13" s="1"/>
  <c r="D165" i="13" s="1" a="1"/>
  <c r="D165" i="13" s="1"/>
  <c r="B70" i="6" a="1"/>
  <c r="B70" i="6" s="1"/>
  <c r="A166" i="13" s="1"/>
  <c r="D166" i="13" s="1" a="1"/>
  <c r="D166" i="13" s="1"/>
  <c r="I72" i="13"/>
  <c r="B52" i="6" a="1"/>
  <c r="B52" i="6" s="1"/>
  <c r="A148" i="13" s="1"/>
  <c r="D148" i="13" s="1" a="1"/>
  <c r="D148" i="13" s="1"/>
  <c r="B51" i="6" a="1"/>
  <c r="B51" i="6" s="1"/>
  <c r="A147" i="13" s="1"/>
  <c r="D147" i="13" s="1" a="1"/>
  <c r="D147" i="13" s="1"/>
  <c r="B49" i="6" a="1"/>
  <c r="B49" i="6" s="1"/>
  <c r="A145" i="13" s="1"/>
  <c r="D145" i="13" s="1" a="1"/>
  <c r="D145" i="13" s="1"/>
  <c r="B50" i="6" a="1"/>
  <c r="B50" i="6" s="1"/>
  <c r="A146" i="13" s="1"/>
  <c r="D146" i="13" s="1" a="1"/>
  <c r="D146" i="13" s="1"/>
  <c r="B53" i="6" a="1"/>
  <c r="B53" i="6" s="1"/>
  <c r="A149" i="13" s="1"/>
  <c r="D149" i="13" s="1" a="1"/>
  <c r="D149" i="13" s="1"/>
  <c r="I68" i="13"/>
  <c r="B29" i="6" a="1"/>
  <c r="B29" i="6" s="1"/>
  <c r="A125" i="13" s="1"/>
  <c r="D125" i="13" s="1" a="1"/>
  <c r="D125" i="13" s="1"/>
  <c r="B30" i="6" a="1"/>
  <c r="B30" i="6" s="1"/>
  <c r="A126" i="13" s="1"/>
  <c r="D126" i="13" s="1" a="1"/>
  <c r="D126" i="13" s="1"/>
  <c r="B33" i="6" a="1"/>
  <c r="B33" i="6" s="1"/>
  <c r="A129" i="13" s="1"/>
  <c r="D129" i="13" s="1" a="1"/>
  <c r="D129" i="13" s="1"/>
  <c r="B32" i="6" a="1"/>
  <c r="B32" i="6" s="1"/>
  <c r="A128" i="13" s="1"/>
  <c r="D128" i="13" s="1" a="1"/>
  <c r="D128" i="13" s="1"/>
  <c r="B31" i="6" a="1"/>
  <c r="B31" i="6" s="1"/>
  <c r="A127" i="13" s="1"/>
  <c r="D127" i="13" s="1" a="1"/>
  <c r="D127" i="13" s="1"/>
  <c r="I64" i="13"/>
  <c r="B10" i="6" a="1"/>
  <c r="B10" i="6" s="1"/>
  <c r="A106" i="13" s="1"/>
  <c r="D106" i="13" s="1" a="1"/>
  <c r="D106" i="13" s="1"/>
  <c r="B13" i="6" a="1"/>
  <c r="B13" i="6" s="1"/>
  <c r="A109" i="13" s="1"/>
  <c r="D109" i="13" s="1" a="1"/>
  <c r="D109" i="13" s="1"/>
  <c r="B11" i="6" a="1"/>
  <c r="B11" i="6" s="1"/>
  <c r="A107" i="13" s="1"/>
  <c r="D107" i="13" s="1" a="1"/>
  <c r="D107" i="13" s="1"/>
  <c r="B12" i="6" a="1"/>
  <c r="B12" i="6" s="1"/>
  <c r="A108" i="13" s="1"/>
  <c r="D108" i="13" s="1" a="1"/>
  <c r="D108" i="13" s="1"/>
  <c r="B9" i="6" a="1"/>
  <c r="B9" i="6" s="1"/>
  <c r="A105" i="13" s="1"/>
  <c r="D105" i="13" s="1" a="1"/>
  <c r="D105" i="13" s="1"/>
  <c r="I75" i="13"/>
  <c r="B68" i="6" a="1"/>
  <c r="B68" i="6" s="1"/>
  <c r="A164" i="13" s="1"/>
  <c r="D164" i="13" s="1" a="1"/>
  <c r="D164" i="13" s="1"/>
  <c r="B64" i="6" a="1"/>
  <c r="B64" i="6" s="1"/>
  <c r="A160" i="13" s="1"/>
  <c r="D160" i="13" s="1" a="1"/>
  <c r="D160" i="13" s="1"/>
  <c r="B65" i="6" a="1"/>
  <c r="B65" i="6" s="1"/>
  <c r="A161" i="13" s="1"/>
  <c r="D161" i="13" s="1" a="1"/>
  <c r="D161" i="13" s="1"/>
  <c r="B67" i="6" a="1"/>
  <c r="B67" i="6" s="1"/>
  <c r="A163" i="13" s="1"/>
  <c r="D163" i="13" s="1" a="1"/>
  <c r="D163" i="13" s="1"/>
  <c r="B66" i="6" a="1"/>
  <c r="B66" i="6" s="1"/>
  <c r="A162" i="13" s="1"/>
  <c r="D162" i="13" s="1" a="1"/>
  <c r="D162" i="13" s="1"/>
  <c r="I71" i="13"/>
  <c r="B45" i="6" a="1"/>
  <c r="B45" i="6" s="1"/>
  <c r="A141" i="13" s="1"/>
  <c r="D141" i="13" s="1" a="1"/>
  <c r="D141" i="13" s="1"/>
  <c r="B46" i="6" a="1"/>
  <c r="B46" i="6" s="1"/>
  <c r="A142" i="13" s="1"/>
  <c r="D142" i="13" s="1" a="1"/>
  <c r="D142" i="13" s="1"/>
  <c r="B44" i="6" a="1"/>
  <c r="B44" i="6" s="1"/>
  <c r="A140" i="13" s="1"/>
  <c r="D140" i="13" s="1" a="1"/>
  <c r="D140" i="13" s="1"/>
  <c r="B47" i="6" a="1"/>
  <c r="B47" i="6" s="1"/>
  <c r="A143" i="13" s="1"/>
  <c r="D143" i="13" s="1" a="1"/>
  <c r="D143" i="13" s="1"/>
  <c r="B48" i="6" a="1"/>
  <c r="B48" i="6" s="1"/>
  <c r="A144" i="13" s="1"/>
  <c r="D144" i="13" s="1" a="1"/>
  <c r="D144" i="13" s="1"/>
  <c r="I67" i="13"/>
  <c r="B26" i="6" a="1"/>
  <c r="B26" i="6" s="1"/>
  <c r="A122" i="13" s="1"/>
  <c r="D122" i="13" s="1" a="1"/>
  <c r="D122" i="13" s="1"/>
  <c r="B25" i="6" a="1"/>
  <c r="B25" i="6" s="1"/>
  <c r="A121" i="13" s="1"/>
  <c r="D121" i="13" s="1" a="1"/>
  <c r="D121" i="13" s="1"/>
  <c r="B24" i="6" a="1"/>
  <c r="B24" i="6" s="1"/>
  <c r="A120" i="13" s="1"/>
  <c r="D120" i="13" s="1" a="1"/>
  <c r="D120" i="13" s="1"/>
  <c r="B27" i="6" a="1"/>
  <c r="B27" i="6" s="1"/>
  <c r="A123" i="13" s="1"/>
  <c r="D123" i="13" s="1" a="1"/>
  <c r="D123" i="13" s="1"/>
  <c r="B28" i="6" a="1"/>
  <c r="B28" i="6" s="1"/>
  <c r="A124" i="13" s="1"/>
  <c r="D124" i="13" s="1" a="1"/>
  <c r="D124" i="13" s="1"/>
  <c r="I74" i="13"/>
  <c r="B61" i="6" a="1"/>
  <c r="B61" i="6" s="1"/>
  <c r="A157" i="13" s="1"/>
  <c r="D157" i="13" s="1" a="1"/>
  <c r="D157" i="13" s="1"/>
  <c r="B59" i="6" a="1"/>
  <c r="B59" i="6" s="1"/>
  <c r="A155" i="13" s="1"/>
  <c r="D155" i="13" s="1" a="1"/>
  <c r="D155" i="13" s="1"/>
  <c r="B62" i="6" a="1"/>
  <c r="B62" i="6" s="1"/>
  <c r="A158" i="13" s="1"/>
  <c r="D158" i="13" s="1" a="1"/>
  <c r="D158" i="13" s="1"/>
  <c r="B60" i="6" a="1"/>
  <c r="B60" i="6" s="1"/>
  <c r="A156" i="13" s="1"/>
  <c r="D156" i="13" s="1" a="1"/>
  <c r="D156" i="13" s="1"/>
  <c r="B63" i="6" a="1"/>
  <c r="B63" i="6" s="1"/>
  <c r="A159" i="13" s="1"/>
  <c r="D159" i="13" s="1" a="1"/>
  <c r="D159" i="13" s="1"/>
  <c r="I70" i="13"/>
  <c r="B39" i="6" a="1"/>
  <c r="B39" i="6" s="1"/>
  <c r="A135" i="13" s="1"/>
  <c r="D135" i="13" s="1" a="1"/>
  <c r="D135" i="13" s="1"/>
  <c r="B42" i="6" a="1"/>
  <c r="B42" i="6" s="1"/>
  <c r="A138" i="13" s="1"/>
  <c r="D138" i="13" s="1" a="1"/>
  <c r="D138" i="13" s="1"/>
  <c r="B40" i="6" a="1"/>
  <c r="B40" i="6" s="1"/>
  <c r="A136" i="13" s="1"/>
  <c r="D136" i="13" s="1" a="1"/>
  <c r="D136" i="13" s="1"/>
  <c r="B43" i="6" a="1"/>
  <c r="B43" i="6" s="1"/>
  <c r="A139" i="13" s="1"/>
  <c r="D139" i="13" s="1" a="1"/>
  <c r="D139" i="13" s="1"/>
  <c r="B41" i="6" a="1"/>
  <c r="B41" i="6" s="1"/>
  <c r="A137" i="13" s="1"/>
  <c r="D137" i="13" s="1" a="1"/>
  <c r="D137" i="13" s="1"/>
  <c r="I77" i="13"/>
  <c r="B74" i="6" a="1"/>
  <c r="B74" i="6" s="1"/>
  <c r="A170" i="13" s="1"/>
  <c r="D170" i="13" s="1" a="1"/>
  <c r="D170" i="13" s="1"/>
  <c r="B77" i="6" a="1"/>
  <c r="B77" i="6" s="1"/>
  <c r="A173" i="13" s="1"/>
  <c r="D173" i="13" s="1" a="1"/>
  <c r="D173" i="13" s="1"/>
  <c r="B75" i="6" a="1"/>
  <c r="B75" i="6" s="1"/>
  <c r="A171" i="13" s="1"/>
  <c r="D171" i="13" s="1" a="1"/>
  <c r="D171" i="13" s="1"/>
  <c r="B78" i="6" a="1"/>
  <c r="B78" i="6" s="1"/>
  <c r="A174" i="13" s="1"/>
  <c r="D174" i="13" s="1" a="1"/>
  <c r="D174" i="13" s="1"/>
  <c r="B76" i="6" a="1"/>
  <c r="B76" i="6" s="1"/>
  <c r="A172" i="13" s="1"/>
  <c r="D172" i="13" s="1" a="1"/>
  <c r="D172" i="13" s="1"/>
  <c r="I73" i="13"/>
  <c r="B55" i="6" a="1"/>
  <c r="B55" i="6" s="1"/>
  <c r="A151" i="13" s="1"/>
  <c r="D151" i="13" s="1" a="1"/>
  <c r="D151" i="13" s="1"/>
  <c r="B58" i="6" a="1"/>
  <c r="B58" i="6" s="1"/>
  <c r="A154" i="13" s="1"/>
  <c r="D154" i="13" s="1" a="1"/>
  <c r="D154" i="13" s="1"/>
  <c r="B56" i="6" a="1"/>
  <c r="B56" i="6" s="1"/>
  <c r="A152" i="13" s="1"/>
  <c r="D152" i="13" s="1" a="1"/>
  <c r="D152" i="13" s="1"/>
  <c r="B54" i="6" a="1"/>
  <c r="B54" i="6" s="1"/>
  <c r="A150" i="13" s="1"/>
  <c r="D150" i="13" s="1" a="1"/>
  <c r="D150" i="13" s="1"/>
  <c r="B57" i="6" a="1"/>
  <c r="B57" i="6" s="1"/>
  <c r="A153" i="13" s="1"/>
  <c r="D153" i="13" s="1" a="1"/>
  <c r="D153" i="13" s="1"/>
  <c r="I69" i="13"/>
  <c r="B36" i="6" a="1"/>
  <c r="B36" i="6" s="1"/>
  <c r="A132" i="13" s="1"/>
  <c r="D132" i="13" s="1" a="1"/>
  <c r="D132" i="13" s="1"/>
  <c r="B38" i="6" a="1"/>
  <c r="B38" i="6" s="1"/>
  <c r="A134" i="13" s="1"/>
  <c r="D134" i="13" s="1" a="1"/>
  <c r="D134" i="13" s="1"/>
  <c r="B34" i="6" a="1"/>
  <c r="B34" i="6" s="1"/>
  <c r="A130" i="13" s="1"/>
  <c r="D130" i="13" s="1" a="1"/>
  <c r="D130" i="13" s="1"/>
  <c r="B37" i="6" a="1"/>
  <c r="B37" i="6" s="1"/>
  <c r="A133" i="13" s="1"/>
  <c r="D133" i="13" s="1" a="1"/>
  <c r="D133" i="13" s="1"/>
  <c r="B35" i="6" a="1"/>
  <c r="B35" i="6" s="1"/>
  <c r="A131" i="13" s="1"/>
  <c r="D131" i="13" s="1" a="1"/>
  <c r="D131" i="13" s="1"/>
  <c r="I65" i="13"/>
  <c r="B16" i="6" a="1"/>
  <c r="B16" i="6" s="1"/>
  <c r="A112" i="13" s="1"/>
  <c r="D112" i="13" s="1" a="1"/>
  <c r="D112" i="13" s="1"/>
  <c r="B14" i="6" a="1"/>
  <c r="B14" i="6" s="1"/>
  <c r="A110" i="13" s="1"/>
  <c r="D110" i="13" s="1" a="1"/>
  <c r="D110" i="13" s="1"/>
  <c r="B17" i="6" a="1"/>
  <c r="B17" i="6" s="1"/>
  <c r="A113" i="13" s="1"/>
  <c r="D113" i="13" s="1" a="1"/>
  <c r="D113" i="13" s="1"/>
  <c r="B15" i="6" a="1"/>
  <c r="B15" i="6" s="1"/>
  <c r="A111" i="13" s="1"/>
  <c r="D111" i="13" s="1" a="1"/>
  <c r="D111" i="13" s="1"/>
  <c r="B18" i="6" a="1"/>
  <c r="B18" i="6" s="1"/>
  <c r="A114" i="13" s="1"/>
  <c r="D114" i="13" s="1" a="1"/>
  <c r="D114" i="13" s="1"/>
  <c r="B5" i="6" a="1"/>
  <c r="B5" i="6" s="1"/>
  <c r="A101" i="13" s="1"/>
  <c r="D101" i="13" s="1" a="1"/>
  <c r="D101" i="13" s="1"/>
  <c r="B8" i="6" a="1"/>
  <c r="B8" i="6" s="1"/>
  <c r="A104" i="13" s="1"/>
  <c r="D104" i="13" s="1" a="1"/>
  <c r="D104" i="13" s="1"/>
  <c r="B7" i="6" a="1"/>
  <c r="B7" i="6" s="1"/>
  <c r="A103" i="13" s="1"/>
  <c r="D103" i="13" s="1" a="1"/>
  <c r="D103" i="13" s="1"/>
  <c r="B4" i="6" a="1"/>
  <c r="B4" i="6" s="1"/>
  <c r="B6" i="6" a="1"/>
  <c r="B6" i="6" s="1"/>
  <c r="A102" i="13" s="1"/>
  <c r="D102" i="13" s="1" a="1"/>
  <c r="D102" i="13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G130" i="13" l="1"/>
  <c r="H130" i="13"/>
  <c r="I130" i="13"/>
  <c r="G137" i="13"/>
  <c r="I137" i="13"/>
  <c r="H137" i="13"/>
  <c r="I124" i="13"/>
  <c r="H124" i="13"/>
  <c r="G124" i="13"/>
  <c r="G162" i="13"/>
  <c r="H162" i="13"/>
  <c r="I162" i="13"/>
  <c r="G127" i="13"/>
  <c r="I127" i="13"/>
  <c r="H127" i="13"/>
  <c r="I166" i="13"/>
  <c r="H166" i="13"/>
  <c r="G166" i="13"/>
  <c r="G111" i="13"/>
  <c r="I111" i="13"/>
  <c r="H111" i="13"/>
  <c r="H134" i="13"/>
  <c r="G134" i="13"/>
  <c r="I134" i="13"/>
  <c r="G150" i="13"/>
  <c r="H150" i="13"/>
  <c r="I150" i="13"/>
  <c r="G173" i="13"/>
  <c r="I173" i="13"/>
  <c r="H173" i="13"/>
  <c r="I139" i="13"/>
  <c r="G139" i="13"/>
  <c r="H139" i="13"/>
  <c r="G155" i="13"/>
  <c r="H155" i="13"/>
  <c r="I155" i="13"/>
  <c r="G123" i="13"/>
  <c r="H123" i="13"/>
  <c r="I123" i="13"/>
  <c r="H142" i="13"/>
  <c r="I142" i="13"/>
  <c r="G142" i="13"/>
  <c r="G163" i="13"/>
  <c r="I163" i="13"/>
  <c r="H163" i="13"/>
  <c r="I109" i="13"/>
  <c r="G109" i="13"/>
  <c r="H109" i="13"/>
  <c r="G128" i="13"/>
  <c r="I128" i="13"/>
  <c r="H128" i="13"/>
  <c r="G147" i="13"/>
  <c r="I147" i="13"/>
  <c r="H147" i="13"/>
  <c r="G165" i="13"/>
  <c r="I165" i="13"/>
  <c r="H165" i="13"/>
  <c r="H119" i="13"/>
  <c r="I119" i="13"/>
  <c r="G119" i="13"/>
  <c r="I114" i="13"/>
  <c r="H114" i="13"/>
  <c r="G114" i="13"/>
  <c r="I153" i="13"/>
  <c r="G153" i="13"/>
  <c r="H153" i="13"/>
  <c r="G171" i="13"/>
  <c r="I171" i="13"/>
  <c r="H171" i="13"/>
  <c r="G135" i="13"/>
  <c r="I135" i="13"/>
  <c r="H135" i="13"/>
  <c r="G122" i="13"/>
  <c r="H122" i="13"/>
  <c r="I122" i="13"/>
  <c r="G107" i="13"/>
  <c r="I107" i="13"/>
  <c r="H107" i="13"/>
  <c r="G125" i="13"/>
  <c r="I125" i="13"/>
  <c r="H125" i="13"/>
  <c r="G167" i="13"/>
  <c r="H167" i="13"/>
  <c r="I167" i="13"/>
  <c r="I113" i="13"/>
  <c r="G113" i="13"/>
  <c r="H113" i="13"/>
  <c r="H131" i="13"/>
  <c r="G131" i="13"/>
  <c r="I131" i="13"/>
  <c r="G132" i="13"/>
  <c r="I132" i="13"/>
  <c r="H132" i="13"/>
  <c r="G152" i="13"/>
  <c r="I152" i="13"/>
  <c r="H152" i="13"/>
  <c r="I172" i="13"/>
  <c r="H172" i="13"/>
  <c r="G172" i="13"/>
  <c r="G170" i="13"/>
  <c r="I170" i="13"/>
  <c r="H170" i="13"/>
  <c r="G136" i="13"/>
  <c r="H136" i="13"/>
  <c r="I136" i="13"/>
  <c r="H159" i="13"/>
  <c r="G159" i="13"/>
  <c r="I159" i="13"/>
  <c r="G157" i="13"/>
  <c r="I157" i="13"/>
  <c r="H157" i="13"/>
  <c r="G120" i="13"/>
  <c r="H120" i="13" s="1"/>
  <c r="I120" i="13"/>
  <c r="I144" i="13"/>
  <c r="H144" i="13"/>
  <c r="G144" i="13"/>
  <c r="G141" i="13"/>
  <c r="H141" i="13"/>
  <c r="I141" i="13"/>
  <c r="G161" i="13"/>
  <c r="H161" i="13"/>
  <c r="I161" i="13"/>
  <c r="G105" i="13"/>
  <c r="I105" i="13" s="1"/>
  <c r="I106" i="13"/>
  <c r="G106" i="13"/>
  <c r="H106" i="13" s="1"/>
  <c r="I129" i="13"/>
  <c r="H129" i="13"/>
  <c r="G129" i="13"/>
  <c r="I149" i="13"/>
  <c r="H149" i="13"/>
  <c r="G149" i="13"/>
  <c r="G148" i="13"/>
  <c r="H148" i="13"/>
  <c r="I148" i="13"/>
  <c r="I169" i="13"/>
  <c r="H169" i="13"/>
  <c r="G169" i="13"/>
  <c r="G118" i="13"/>
  <c r="I118" i="13"/>
  <c r="H118" i="13"/>
  <c r="G116" i="13"/>
  <c r="H116" i="13"/>
  <c r="I116" i="13"/>
  <c r="G112" i="13"/>
  <c r="I112" i="13"/>
  <c r="H112" i="13"/>
  <c r="G151" i="13"/>
  <c r="I151" i="13"/>
  <c r="H151" i="13"/>
  <c r="I158" i="13"/>
  <c r="H158" i="13"/>
  <c r="G158" i="13"/>
  <c r="I140" i="13"/>
  <c r="G140" i="13"/>
  <c r="H140" i="13"/>
  <c r="G164" i="13"/>
  <c r="I164" i="13"/>
  <c r="H164" i="13"/>
  <c r="G145" i="13"/>
  <c r="H145" i="13"/>
  <c r="I145" i="13"/>
  <c r="I115" i="13"/>
  <c r="G115" i="13"/>
  <c r="H115" i="13" s="1"/>
  <c r="G110" i="13"/>
  <c r="I110" i="13" s="1"/>
  <c r="H110" i="13"/>
  <c r="G133" i="13"/>
  <c r="H133" i="13"/>
  <c r="I133" i="13"/>
  <c r="H154" i="13"/>
  <c r="I154" i="13"/>
  <c r="G154" i="13"/>
  <c r="H174" i="13"/>
  <c r="G174" i="13"/>
  <c r="I174" i="13"/>
  <c r="G138" i="13"/>
  <c r="H138" i="13"/>
  <c r="I138" i="13"/>
  <c r="G156" i="13"/>
  <c r="I156" i="13"/>
  <c r="H156" i="13"/>
  <c r="G121" i="13"/>
  <c r="I121" i="13"/>
  <c r="H121" i="13"/>
  <c r="G143" i="13"/>
  <c r="I143" i="13"/>
  <c r="H143" i="13"/>
  <c r="G160" i="13"/>
  <c r="I160" i="13"/>
  <c r="H160" i="13"/>
  <c r="G108" i="13"/>
  <c r="H108" i="13"/>
  <c r="I108" i="13"/>
  <c r="G126" i="13"/>
  <c r="H126" i="13"/>
  <c r="I126" i="13"/>
  <c r="I146" i="13"/>
  <c r="H146" i="13"/>
  <c r="G146" i="13"/>
  <c r="I168" i="13"/>
  <c r="G168" i="13"/>
  <c r="H168" i="13"/>
  <c r="G117" i="13"/>
  <c r="I117" i="13"/>
  <c r="H117" i="13"/>
  <c r="G103" i="13"/>
  <c r="I103" i="13" s="1"/>
  <c r="H103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H104" i="13"/>
  <c r="G104" i="13"/>
  <c r="I104" i="13" s="1"/>
  <c r="G102" i="13"/>
  <c r="I102" i="13" s="1"/>
  <c r="H102" i="13"/>
  <c r="G101" i="13"/>
  <c r="H101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I101" i="13" l="1"/>
  <c r="H105" i="13"/>
  <c r="B22" i="13" s="1"/>
  <c r="D100" i="13" a="1"/>
  <c r="D100" i="13" s="1"/>
  <c r="C26" i="13"/>
  <c r="B23" i="13"/>
  <c r="B26" i="13"/>
  <c r="C22" i="13"/>
  <c r="C31" i="13"/>
  <c r="B24" i="13"/>
  <c r="C29" i="13"/>
  <c r="B31" i="13"/>
  <c r="B28" i="13"/>
  <c r="B30" i="13"/>
  <c r="C35" i="13"/>
  <c r="C27" i="13"/>
  <c r="B34" i="13"/>
  <c r="C32" i="13"/>
  <c r="C30" i="13"/>
  <c r="B35" i="13"/>
  <c r="B33" i="13"/>
  <c r="C24" i="13"/>
  <c r="C34" i="13"/>
  <c r="B25" i="13"/>
  <c r="C23" i="13"/>
  <c r="C25" i="13"/>
  <c r="B32" i="13"/>
  <c r="C28" i="13"/>
  <c r="C33" i="13"/>
  <c r="B29" i="13"/>
  <c r="B27" i="13"/>
  <c r="F4" i="5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B121" i="10" s="1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C11" i="2"/>
  <c r="A12" i="2"/>
  <c r="E12" i="2" s="1"/>
  <c r="B31" i="12" l="1"/>
  <c r="F27" i="13"/>
  <c r="B36" i="12"/>
  <c r="F32" i="13"/>
  <c r="C38" i="12"/>
  <c r="G34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C27" i="12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B35" i="12"/>
  <c r="F31" i="13"/>
  <c r="C26" i="12"/>
  <c r="E22" i="13"/>
  <c r="G100" i="13"/>
  <c r="I100" i="13" s="1"/>
  <c r="C21" i="13" s="1"/>
  <c r="H100" i="13"/>
  <c r="B21" i="13" s="1"/>
  <c r="E247" i="10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G22" i="13" l="1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B276" i="10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G21" i="13" l="1"/>
  <c r="L3" i="13"/>
  <c r="F21" i="13"/>
  <c r="J3" i="13"/>
  <c r="B278" i="10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F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83" i="13" l="1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H7" i="14" s="1"/>
  <c r="I7" i="14" s="1"/>
  <c r="C49" i="8" s="1"/>
  <c r="F16" i="5"/>
  <c r="H5" i="14" s="1"/>
  <c r="I5" i="14" s="1"/>
  <c r="C47" i="8" s="1"/>
  <c r="P16" i="5"/>
  <c r="H15" i="14" s="1"/>
  <c r="I15" i="14" s="1"/>
  <c r="C57" i="8" s="1"/>
  <c r="I16" i="5"/>
  <c r="H8" i="14" s="1"/>
  <c r="I8" i="14" s="1"/>
  <c r="C50" i="8" s="1"/>
  <c r="Q16" i="5"/>
  <c r="H16" i="14" s="1"/>
  <c r="I16" i="14" s="1"/>
  <c r="C58" i="8" s="1"/>
  <c r="K16" i="5"/>
  <c r="H10" i="14" s="1"/>
  <c r="I10" i="14" s="1"/>
  <c r="C52" i="8" s="1"/>
  <c r="N16" i="5"/>
  <c r="H13" i="14" s="1"/>
  <c r="I13" i="14" s="1"/>
  <c r="C55" i="8" s="1"/>
  <c r="S16" i="5"/>
  <c r="H18" i="14" s="1"/>
  <c r="I18" i="14" s="1"/>
  <c r="C60" i="8" s="1"/>
  <c r="M16" i="5"/>
  <c r="H12" i="14" s="1"/>
  <c r="I12" i="14" s="1"/>
  <c r="C54" i="8" s="1"/>
  <c r="J16" i="5"/>
  <c r="H9" i="14" s="1"/>
  <c r="I9" i="14" s="1"/>
  <c r="C51" i="8" s="1"/>
  <c r="R16" i="5"/>
  <c r="H17" i="14" s="1"/>
  <c r="I17" i="14" s="1"/>
  <c r="C59" i="8" s="1"/>
  <c r="G16" i="5"/>
  <c r="H6" i="14" s="1"/>
  <c r="I6" i="14" s="1"/>
  <c r="C48" i="8" s="1"/>
  <c r="L16" i="5"/>
  <c r="H11" i="14" s="1"/>
  <c r="I11" i="14" s="1"/>
  <c r="C53" i="8" s="1"/>
  <c r="T16" i="5"/>
  <c r="H19" i="14" s="1"/>
  <c r="I19" i="14" s="1"/>
  <c r="C61" i="8" s="1"/>
  <c r="O16" i="5"/>
  <c r="H14" i="14" s="1"/>
  <c r="I14" i="14" s="1"/>
  <c r="C56" i="8" s="1"/>
  <c r="V15" i="5" a="1"/>
  <c r="V15" i="5" s="1"/>
  <c r="X15" i="5" a="1"/>
  <c r="X15" i="5" s="1"/>
  <c r="AK7" i="5"/>
  <c r="AJ13" i="5"/>
  <c r="A23" i="2"/>
  <c r="E23" i="2" s="1"/>
  <c r="C22" i="2"/>
  <c r="B17" i="5" s="1"/>
  <c r="K5" i="14" l="1"/>
  <c r="J5" i="14"/>
  <c r="O5" i="14" s="1"/>
  <c r="D47" i="8" s="1"/>
  <c r="K19" i="14"/>
  <c r="J19" i="14"/>
  <c r="O19" i="14" s="1"/>
  <c r="D61" i="8" s="1"/>
  <c r="J9" i="14"/>
  <c r="K9" i="14"/>
  <c r="K11" i="14"/>
  <c r="J11" i="14"/>
  <c r="O11" i="14" s="1"/>
  <c r="D53" i="8" s="1"/>
  <c r="J12" i="14"/>
  <c r="K12" i="14"/>
  <c r="K16" i="14"/>
  <c r="J16" i="14"/>
  <c r="O16" i="14" s="1"/>
  <c r="D58" i="8" s="1"/>
  <c r="K7" i="14"/>
  <c r="J7" i="14"/>
  <c r="O7" i="14" s="1"/>
  <c r="D49" i="8" s="1"/>
  <c r="K6" i="14"/>
  <c r="J6" i="14"/>
  <c r="O6" i="14" s="1"/>
  <c r="D48" i="8" s="1"/>
  <c r="J18" i="14"/>
  <c r="K18" i="14"/>
  <c r="J8" i="14"/>
  <c r="K8" i="14"/>
  <c r="J10" i="14"/>
  <c r="K10" i="14"/>
  <c r="K14" i="14"/>
  <c r="J14" i="14"/>
  <c r="O14" i="14" s="1"/>
  <c r="D56" i="8" s="1"/>
  <c r="J17" i="14"/>
  <c r="K17" i="14"/>
  <c r="J13" i="14"/>
  <c r="O13" i="14" s="1"/>
  <c r="D55" i="8" s="1"/>
  <c r="K13" i="14"/>
  <c r="K15" i="14"/>
  <c r="J15" i="14"/>
  <c r="O15" i="14" s="1"/>
  <c r="D57" i="8" s="1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O8" i="14" l="1"/>
  <c r="D50" i="8" s="1"/>
  <c r="O17" i="14"/>
  <c r="D59" i="8" s="1"/>
  <c r="O10" i="14"/>
  <c r="D52" i="8" s="1"/>
  <c r="O18" i="14"/>
  <c r="D60" i="8" s="1"/>
  <c r="O12" i="14"/>
  <c r="D54" i="8" s="1"/>
  <c r="O9" i="14"/>
  <c r="D51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A135" i="10"/>
  <c r="E6" i="7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136" i="10" l="1"/>
  <c r="I6" i="13"/>
  <c r="E7" i="7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BP54" i="7" s="1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7" i="10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A137" i="10" l="1"/>
  <c r="I7" i="13"/>
  <c r="A138" i="10"/>
  <c r="I8" i="13"/>
  <c r="BH19" i="7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V21" i="7" s="1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AB49" i="7" s="1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R43" i="7"/>
  <c r="AP26" i="7"/>
  <c r="AR26" i="7"/>
  <c r="AD19" i="7"/>
  <c r="AD10" i="7"/>
  <c r="AD26" i="7"/>
  <c r="AR5" i="7"/>
  <c r="AP40" i="7"/>
  <c r="AR22" i="7"/>
  <c r="AP18" i="7"/>
  <c r="AQ7" i="7"/>
  <c r="AS44" i="7"/>
  <c r="AP29" i="7"/>
  <c r="AR45" i="7"/>
  <c r="AR46" i="7"/>
  <c r="AP42" i="7"/>
  <c r="AP37" i="7"/>
  <c r="AR17" i="7"/>
  <c r="AJ48" i="7"/>
  <c r="AD17" i="7"/>
  <c r="AF56" i="7"/>
  <c r="AD24" i="7"/>
  <c r="AS15" i="7"/>
  <c r="AQ17" i="7"/>
  <c r="AR12" i="7"/>
  <c r="AP54" i="7"/>
  <c r="AR44" i="7"/>
  <c r="AP7" i="7"/>
  <c r="AR9" i="7"/>
  <c r="AR24" i="7"/>
  <c r="AL47" i="7"/>
  <c r="AF26" i="7"/>
  <c r="AF55" i="7"/>
  <c r="AF52" i="7"/>
  <c r="AD9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34" i="7"/>
  <c r="BU40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17" i="7"/>
  <c r="BU8" i="7"/>
  <c r="BW47" i="7"/>
  <c r="BU12" i="7"/>
  <c r="BU52" i="7"/>
  <c r="BU29" i="7"/>
  <c r="BW33" i="7"/>
  <c r="BW51" i="7"/>
  <c r="BU19" i="7"/>
  <c r="BU27" i="7"/>
  <c r="BW6" i="7"/>
  <c r="BU26" i="7"/>
  <c r="BU10" i="7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AB12" i="7" l="1"/>
  <c r="AE25" i="7"/>
  <c r="AQ9" i="7"/>
  <c r="AS7" i="7"/>
  <c r="AU7" i="7" s="1"/>
  <c r="BW56" i="7"/>
  <c r="BW38" i="7"/>
  <c r="BU28" i="7"/>
  <c r="BU46" i="7"/>
  <c r="BW12" i="7"/>
  <c r="BY12" i="7" s="1"/>
  <c r="BW46" i="7"/>
  <c r="AQ26" i="7"/>
  <c r="AS23" i="7"/>
  <c r="BU32" i="7"/>
  <c r="BW13" i="7"/>
  <c r="BW32" i="7"/>
  <c r="BW34" i="7"/>
  <c r="BY34" i="7" s="1"/>
  <c r="BU35" i="7"/>
  <c r="BW28" i="7"/>
  <c r="BW8" i="7"/>
  <c r="BY8" i="7" s="1"/>
  <c r="BW52" i="7"/>
  <c r="BY52" i="7" s="1"/>
  <c r="BU56" i="7"/>
  <c r="BY56" i="7" s="1"/>
  <c r="BW36" i="7"/>
  <c r="BU42" i="7"/>
  <c r="BW15" i="7"/>
  <c r="AS36" i="7"/>
  <c r="AQ11" i="7"/>
  <c r="AS38" i="7"/>
  <c r="AQ30" i="7"/>
  <c r="AQ27" i="7"/>
  <c r="AQ14" i="7"/>
  <c r="AQ5" i="7"/>
  <c r="AB236" i="5"/>
  <c r="AH236" i="5" s="1"/>
  <c r="BW9" i="7"/>
  <c r="BW22" i="7"/>
  <c r="BU9" i="7"/>
  <c r="BU7" i="7"/>
  <c r="BW14" i="7"/>
  <c r="BU36" i="7"/>
  <c r="BY36" i="7" s="1"/>
  <c r="BU22" i="7"/>
  <c r="BU39" i="7"/>
  <c r="BU30" i="7"/>
  <c r="CM44" i="7"/>
  <c r="CM47" i="7"/>
  <c r="BU41" i="7"/>
  <c r="BU18" i="7"/>
  <c r="AQ29" i="7"/>
  <c r="AS50" i="7"/>
  <c r="AS31" i="7"/>
  <c r="V22" i="7"/>
  <c r="AG52" i="7"/>
  <c r="AE31" i="7"/>
  <c r="AE40" i="7"/>
  <c r="CP51" i="7"/>
  <c r="V23" i="7"/>
  <c r="AG25" i="7"/>
  <c r="AE11" i="7"/>
  <c r="AG50" i="7"/>
  <c r="CJ33" i="7"/>
  <c r="BL53" i="7"/>
  <c r="BL40" i="7"/>
  <c r="BL7" i="7"/>
  <c r="A139" i="10"/>
  <c r="I9" i="13"/>
  <c r="AY27" i="7"/>
  <c r="AT24" i="7"/>
  <c r="AQ25" i="7"/>
  <c r="AS51" i="7"/>
  <c r="AQ18" i="7"/>
  <c r="AS27" i="7"/>
  <c r="AQ50" i="7"/>
  <c r="AQ46" i="7"/>
  <c r="AS9" i="7"/>
  <c r="AU9" i="7" s="1"/>
  <c r="AQ16" i="7"/>
  <c r="AQ35" i="7"/>
  <c r="BL43" i="7"/>
  <c r="BL50" i="7"/>
  <c r="CJ29" i="7"/>
  <c r="CJ41" i="7"/>
  <c r="AS22" i="7"/>
  <c r="AQ39" i="7"/>
  <c r="AS52" i="7"/>
  <c r="AS37" i="7"/>
  <c r="AQ10" i="7"/>
  <c r="AU10" i="7" s="1"/>
  <c r="AS39" i="7"/>
  <c r="AQ41" i="7"/>
  <c r="AU41" i="7" s="1"/>
  <c r="AS28" i="7"/>
  <c r="AQ49" i="7"/>
  <c r="AS49" i="7"/>
  <c r="BU50" i="7"/>
  <c r="BW41" i="7"/>
  <c r="BW50" i="7"/>
  <c r="BW26" i="7"/>
  <c r="BY26" i="7" s="1"/>
  <c r="BU21" i="7"/>
  <c r="BW5" i="7"/>
  <c r="BU17" i="7"/>
  <c r="BY17" i="7" s="1"/>
  <c r="BW7" i="7"/>
  <c r="BW20" i="7"/>
  <c r="BU48" i="7"/>
  <c r="BU33" i="7"/>
  <c r="BY33" i="7" s="1"/>
  <c r="BU38" i="7"/>
  <c r="BW21" i="7"/>
  <c r="BW49" i="7"/>
  <c r="BU24" i="7"/>
  <c r="BU31" i="7"/>
  <c r="BW53" i="7"/>
  <c r="BU15" i="7"/>
  <c r="BW18" i="7"/>
  <c r="BU43" i="7"/>
  <c r="BW23" i="7"/>
  <c r="BU13" i="7"/>
  <c r="AS46" i="7"/>
  <c r="AS19" i="7"/>
  <c r="AS11" i="7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S18" i="7"/>
  <c r="AQ33" i="7"/>
  <c r="AS21" i="7"/>
  <c r="AQ38" i="7"/>
  <c r="AQ36" i="7"/>
  <c r="AS55" i="7"/>
  <c r="AA72" i="5"/>
  <c r="BU37" i="7"/>
  <c r="BW11" i="7"/>
  <c r="BY11" i="7" s="1"/>
  <c r="BU25" i="7"/>
  <c r="BW42" i="7"/>
  <c r="BY42" i="7" s="1"/>
  <c r="BW44" i="7"/>
  <c r="BW43" i="7"/>
  <c r="BU55" i="7"/>
  <c r="BW30" i="7"/>
  <c r="BW55" i="7"/>
  <c r="BW19" i="7"/>
  <c r="BY19" i="7" s="1"/>
  <c r="BU47" i="7"/>
  <c r="BY47" i="7" s="1"/>
  <c r="BU45" i="7"/>
  <c r="BW31" i="7"/>
  <c r="BW16" i="7"/>
  <c r="BY16" i="7" s="1"/>
  <c r="BW24" i="7"/>
  <c r="BW39" i="7"/>
  <c r="BU49" i="7"/>
  <c r="BW40" i="7"/>
  <c r="BY40" i="7" s="1"/>
  <c r="BW45" i="7"/>
  <c r="BU23" i="7"/>
  <c r="BU6" i="7"/>
  <c r="BY6" i="7" s="1"/>
  <c r="AS35" i="7"/>
  <c r="AS42" i="7"/>
  <c r="AQ8" i="7"/>
  <c r="AQ52" i="7"/>
  <c r="AU52" i="7" s="1"/>
  <c r="AQ23" i="7"/>
  <c r="AS47" i="7"/>
  <c r="AQ56" i="7"/>
  <c r="AQ51" i="7"/>
  <c r="AQ28" i="7"/>
  <c r="AU28" i="7" s="1"/>
  <c r="AS34" i="7"/>
  <c r="AS54" i="7"/>
  <c r="AS26" i="7"/>
  <c r="AQ48" i="7"/>
  <c r="AQ54" i="7"/>
  <c r="AS56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U45" i="7" s="1"/>
  <c r="AQ31" i="7"/>
  <c r="AQ47" i="7"/>
  <c r="AS5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E47" i="7"/>
  <c r="AE54" i="7"/>
  <c r="AE7" i="7"/>
  <c r="AG44" i="7"/>
  <c r="AG12" i="7"/>
  <c r="AG7" i="7"/>
  <c r="AE34" i="7"/>
  <c r="AG26" i="7"/>
  <c r="AE50" i="7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BR37" i="7"/>
  <c r="J26" i="7"/>
  <c r="CD23" i="7"/>
  <c r="BF19" i="7"/>
  <c r="AS29" i="7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U54" i="7"/>
  <c r="BW27" i="7"/>
  <c r="BY27" i="7" s="1"/>
  <c r="BW29" i="7"/>
  <c r="BY29" i="7" s="1"/>
  <c r="BU51" i="7"/>
  <c r="BY51" i="7" s="1"/>
  <c r="BW35" i="7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J38" i="7"/>
  <c r="J47" i="7"/>
  <c r="J15" i="7"/>
  <c r="AN21" i="7"/>
  <c r="J22" i="7"/>
  <c r="AN19" i="7"/>
  <c r="BX26" i="7"/>
  <c r="AJ59" i="7"/>
  <c r="J17" i="7"/>
  <c r="BX48" i="7"/>
  <c r="P50" i="7"/>
  <c r="AN35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R11" i="13" l="1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A140" i="10"/>
  <c r="I10" i="13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0" i="10"/>
  <c r="AI67" i="5"/>
  <c r="CC54" i="13" l="1"/>
  <c r="CC38" i="13"/>
  <c r="AG49" i="13"/>
  <c r="CU47" i="13"/>
  <c r="A141" i="10"/>
  <c r="I11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1" i="10"/>
  <c r="M32" i="8" l="1"/>
  <c r="A142" i="10"/>
  <c r="I12" i="13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2" i="10"/>
  <c r="H75" i="10" a="1"/>
  <c r="H75" i="10" s="1"/>
  <c r="H93" i="10" a="1"/>
  <c r="H93" i="10" s="1"/>
  <c r="H111" i="10" a="1"/>
  <c r="H111" i="10" s="1"/>
  <c r="DA7" i="7" l="1"/>
  <c r="DA26" i="7"/>
  <c r="DA22" i="7"/>
  <c r="DA6" i="7"/>
  <c r="A143" i="10"/>
  <c r="I13" i="13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3" i="10"/>
  <c r="A144" i="10" l="1"/>
  <c r="I14" i="13"/>
  <c r="J223" i="10" a="1"/>
  <c r="J223" i="10" s="1"/>
  <c r="J241" i="10" a="1"/>
  <c r="J241" i="10" s="1"/>
  <c r="J205" i="10" a="1"/>
  <c r="J205" i="10" s="1"/>
  <c r="E15" i="7"/>
  <c r="A14" i="10"/>
  <c r="J111" i="10" a="1"/>
  <c r="J111" i="10" s="1"/>
  <c r="J93" i="10" a="1"/>
  <c r="J93" i="10" s="1"/>
  <c r="J75" i="10" a="1"/>
  <c r="J75" i="10" s="1"/>
  <c r="A145" i="10" l="1"/>
  <c r="I15" i="13"/>
  <c r="K241" i="10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5" i="10"/>
  <c r="A146" i="10" l="1"/>
  <c r="I16" i="13"/>
  <c r="L241" i="10" a="1"/>
  <c r="L241" i="10" s="1"/>
  <c r="L205" i="10" a="1"/>
  <c r="L205" i="10" s="1"/>
  <c r="L223" i="10" a="1"/>
  <c r="L223" i="10" s="1"/>
  <c r="E17" i="7"/>
  <c r="A16" i="10"/>
  <c r="L93" i="10" a="1"/>
  <c r="L93" i="10" s="1"/>
  <c r="L75" i="10" a="1"/>
  <c r="L75" i="10" s="1"/>
  <c r="L111" i="10" a="1"/>
  <c r="L111" i="10" s="1"/>
  <c r="A147" i="10" l="1"/>
  <c r="I17" i="13"/>
  <c r="M241" i="10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7" i="10"/>
  <c r="A148" i="10" l="1"/>
  <c r="I18" i="13"/>
  <c r="N241" i="10" a="1"/>
  <c r="N241" i="10" s="1"/>
  <c r="N223" i="10" a="1"/>
  <c r="N223" i="10" s="1"/>
  <c r="N205" i="10" a="1"/>
  <c r="N205" i="10" s="1"/>
  <c r="E19" i="7"/>
  <c r="A18" i="10"/>
  <c r="N111" i="10" a="1"/>
  <c r="N111" i="10" s="1"/>
  <c r="N93" i="10" a="1"/>
  <c r="N93" i="10" s="1"/>
  <c r="N75" i="10" a="1"/>
  <c r="N75" i="10" s="1"/>
  <c r="A149" i="10" l="1"/>
  <c r="I19" i="13"/>
  <c r="O223" i="10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9" i="10"/>
  <c r="A150" i="10" l="1"/>
  <c r="I20" i="13"/>
  <c r="P241" i="10" a="1"/>
  <c r="P241" i="10" s="1"/>
  <c r="P205" i="10" a="1"/>
  <c r="P205" i="10" s="1"/>
  <c r="P223" i="10" a="1"/>
  <c r="P223" i="10" s="1"/>
  <c r="E21" i="7"/>
  <c r="A20" i="10"/>
  <c r="P111" i="10" a="1"/>
  <c r="P111" i="10" s="1"/>
  <c r="P93" i="10" a="1"/>
  <c r="P93" i="10" s="1"/>
  <c r="P75" i="10" a="1"/>
  <c r="P75" i="10" s="1"/>
  <c r="A151" i="10" l="1"/>
  <c r="I21" i="13"/>
  <c r="Q223" i="10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21" i="10"/>
  <c r="A152" i="10" l="1"/>
  <c r="I22" i="13"/>
  <c r="R223" i="10" a="1"/>
  <c r="R223" i="10" s="1"/>
  <c r="R241" i="10" a="1"/>
  <c r="R241" i="10" s="1"/>
  <c r="R205" i="10" a="1"/>
  <c r="R205" i="10" s="1"/>
  <c r="E23" i="7"/>
  <c r="A22" i="10"/>
  <c r="R111" i="10" a="1"/>
  <c r="R111" i="10" s="1"/>
  <c r="R93" i="10" a="1"/>
  <c r="R93" i="10" s="1"/>
  <c r="R75" i="10" a="1"/>
  <c r="R75" i="10" s="1"/>
  <c r="A153" i="10" l="1"/>
  <c r="I23" i="13"/>
  <c r="S241" i="10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23" i="10"/>
  <c r="A154" i="10" l="1"/>
  <c r="I24" i="13"/>
  <c r="T241" i="10" a="1"/>
  <c r="T241" i="10" s="1"/>
  <c r="T205" i="10" a="1"/>
  <c r="T205" i="10" s="1"/>
  <c r="T223" i="10" a="1"/>
  <c r="T223" i="10" s="1"/>
  <c r="E25" i="7"/>
  <c r="A24" i="10"/>
  <c r="T111" i="10" a="1"/>
  <c r="T111" i="10" s="1"/>
  <c r="T93" i="10" a="1"/>
  <c r="T93" i="10" s="1"/>
  <c r="T75" i="10" a="1"/>
  <c r="T75" i="10" s="1"/>
  <c r="A155" i="10" l="1"/>
  <c r="I25" i="13"/>
  <c r="U241" i="10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25" i="10"/>
  <c r="A156" i="10" l="1"/>
  <c r="I26" i="13"/>
  <c r="V241" i="10" a="1"/>
  <c r="V241" i="10" s="1"/>
  <c r="V223" i="10" a="1"/>
  <c r="V223" i="10" s="1"/>
  <c r="V205" i="10" a="1"/>
  <c r="V205" i="10" s="1"/>
  <c r="E27" i="7"/>
  <c r="A26" i="10"/>
  <c r="V111" i="10" a="1"/>
  <c r="V111" i="10" s="1"/>
  <c r="V93" i="10" a="1"/>
  <c r="V93" i="10" s="1"/>
  <c r="V75" i="10" a="1"/>
  <c r="V75" i="10" s="1"/>
  <c r="A157" i="10" l="1"/>
  <c r="I27" i="13"/>
  <c r="W223" i="10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27" i="10"/>
  <c r="A158" i="10" l="1"/>
  <c r="I28" i="13"/>
  <c r="X241" i="10" a="1"/>
  <c r="X241" i="10" s="1"/>
  <c r="X205" i="10" a="1"/>
  <c r="X205" i="10" s="1"/>
  <c r="X223" i="10" a="1"/>
  <c r="X223" i="10" s="1"/>
  <c r="E29" i="7"/>
  <c r="A28" i="10"/>
  <c r="X75" i="10" a="1"/>
  <c r="X75" i="10" s="1"/>
  <c r="X93" i="10" a="1"/>
  <c r="X93" i="10" s="1"/>
  <c r="X111" i="10" a="1"/>
  <c r="X111" i="10" s="1"/>
  <c r="A159" i="10" l="1"/>
  <c r="I29" i="13"/>
  <c r="Y223" i="10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29" i="10"/>
  <c r="A160" i="10" l="1"/>
  <c r="I30" i="13"/>
  <c r="Z223" i="10" a="1"/>
  <c r="Z223" i="10" s="1"/>
  <c r="Z241" i="10" a="1"/>
  <c r="Z241" i="10" s="1"/>
  <c r="Z205" i="10" a="1"/>
  <c r="Z205" i="10" s="1"/>
  <c r="E31" i="7"/>
  <c r="A30" i="10"/>
  <c r="Z75" i="10" a="1"/>
  <c r="Z75" i="10" s="1"/>
  <c r="Z93" i="10" a="1"/>
  <c r="Z93" i="10" s="1"/>
  <c r="Z111" i="10" a="1"/>
  <c r="Z111" i="10" s="1"/>
  <c r="A161" i="10" l="1"/>
  <c r="I31" i="13"/>
  <c r="AA241" i="10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31" i="10"/>
  <c r="A162" i="10" l="1"/>
  <c r="I32" i="13"/>
  <c r="AB241" i="10" a="1"/>
  <c r="AB241" i="10" s="1"/>
  <c r="AB205" i="10" a="1"/>
  <c r="AB205" i="10" s="1"/>
  <c r="AB223" i="10" a="1"/>
  <c r="AB223" i="10" s="1"/>
  <c r="E33" i="7"/>
  <c r="A32" i="10"/>
  <c r="AB111" i="10" a="1"/>
  <c r="AB111" i="10" s="1"/>
  <c r="AB75" i="10" a="1"/>
  <c r="AB75" i="10" s="1"/>
  <c r="AB93" i="10" a="1"/>
  <c r="AB93" i="10" s="1"/>
  <c r="A163" i="10" l="1"/>
  <c r="I33" i="13"/>
  <c r="AC241" i="10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33" i="10"/>
  <c r="A164" i="10" l="1"/>
  <c r="I34" i="13"/>
  <c r="AD241" i="10" a="1"/>
  <c r="AD241" i="10" s="1"/>
  <c r="AD223" i="10" a="1"/>
  <c r="AD223" i="10" s="1"/>
  <c r="AD205" i="10" a="1"/>
  <c r="AD205" i="10" s="1"/>
  <c r="E35" i="7"/>
  <c r="A34" i="10"/>
  <c r="AD75" i="10" a="1"/>
  <c r="AD75" i="10" s="1"/>
  <c r="AD93" i="10" a="1"/>
  <c r="AD93" i="10" s="1"/>
  <c r="AD111" i="10" a="1"/>
  <c r="AD111" i="10" s="1"/>
  <c r="A165" i="10" l="1"/>
  <c r="I35" i="13"/>
  <c r="AE223" i="10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35" i="10"/>
  <c r="A166" i="10" l="1"/>
  <c r="I36" i="13"/>
  <c r="AF241" i="10" a="1"/>
  <c r="AF241" i="10" s="1"/>
  <c r="AF205" i="10" a="1"/>
  <c r="AF205" i="10" s="1"/>
  <c r="AF223" i="10" a="1"/>
  <c r="AF223" i="10" s="1"/>
  <c r="E37" i="7"/>
  <c r="A36" i="10"/>
  <c r="AF111" i="10" a="1"/>
  <c r="AF111" i="10" s="1"/>
  <c r="AF93" i="10" a="1"/>
  <c r="AF93" i="10" s="1"/>
  <c r="AF75" i="10" a="1"/>
  <c r="AF75" i="10" s="1"/>
  <c r="A167" i="10" l="1"/>
  <c r="I37" i="13"/>
  <c r="AG223" i="10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37" i="10"/>
  <c r="A168" i="10" l="1"/>
  <c r="I38" i="13"/>
  <c r="AH223" i="10" a="1"/>
  <c r="AH223" i="10" s="1"/>
  <c r="AH241" i="10" a="1"/>
  <c r="AH241" i="10" s="1"/>
  <c r="AH205" i="10" a="1"/>
  <c r="AH205" i="10" s="1"/>
  <c r="E39" i="7"/>
  <c r="A38" i="10"/>
  <c r="AH93" i="10" a="1"/>
  <c r="AH93" i="10" s="1"/>
  <c r="AH111" i="10" a="1"/>
  <c r="AH111" i="10" s="1"/>
  <c r="AH75" i="10" a="1"/>
  <c r="AH75" i="10" s="1"/>
  <c r="A169" i="10" l="1"/>
  <c r="I39" i="13"/>
  <c r="AI241" i="10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39" i="10"/>
  <c r="A170" i="10" l="1"/>
  <c r="I40" i="13"/>
  <c r="AJ241" i="10" a="1"/>
  <c r="AJ241" i="10" s="1"/>
  <c r="AJ205" i="10" a="1"/>
  <c r="AJ205" i="10" s="1"/>
  <c r="AJ223" i="10" a="1"/>
  <c r="AJ223" i="10" s="1"/>
  <c r="E41" i="7"/>
  <c r="A40" i="10"/>
  <c r="AJ111" i="10" a="1"/>
  <c r="AJ111" i="10" s="1"/>
  <c r="AJ93" i="10" a="1"/>
  <c r="AJ93" i="10" s="1"/>
  <c r="AJ75" i="10" a="1"/>
  <c r="AJ75" i="10" s="1"/>
  <c r="A171" i="10" l="1"/>
  <c r="I41" i="13"/>
  <c r="AK241" i="10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41" i="10"/>
  <c r="A172" i="10" l="1"/>
  <c r="I42" i="13"/>
  <c r="AL241" i="10" a="1"/>
  <c r="AL241" i="10" s="1"/>
  <c r="AL223" i="10" a="1"/>
  <c r="AL223" i="10" s="1"/>
  <c r="AL205" i="10" a="1"/>
  <c r="AL205" i="10" s="1"/>
  <c r="E43" i="7"/>
  <c r="A42" i="10"/>
  <c r="AL111" i="10" a="1"/>
  <c r="AL111" i="10" s="1"/>
  <c r="AL93" i="10" a="1"/>
  <c r="AL93" i="10" s="1"/>
  <c r="AL75" i="10" a="1"/>
  <c r="AL75" i="10" s="1"/>
  <c r="A173" i="10" l="1"/>
  <c r="I43" i="13"/>
  <c r="AM223" i="10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43" i="10"/>
  <c r="A174" i="10" l="1"/>
  <c r="I44" i="13"/>
  <c r="AN241" i="10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44" i="10"/>
  <c r="A175" i="10" l="1"/>
  <c r="I45" i="13"/>
  <c r="AO223" i="10" a="1"/>
  <c r="AO223" i="10" s="1"/>
  <c r="AO241" i="10" a="1"/>
  <c r="AO241" i="10" s="1"/>
  <c r="AO205" i="10" a="1"/>
  <c r="AO205" i="10" s="1"/>
  <c r="E46" i="7"/>
  <c r="A45" i="10"/>
  <c r="AO111" i="10" a="1"/>
  <c r="AO111" i="10" s="1"/>
  <c r="AO75" i="10" a="1"/>
  <c r="AO75" i="10" s="1"/>
  <c r="AO93" i="10" a="1"/>
  <c r="AO93" i="10" s="1"/>
  <c r="A176" i="10" l="1"/>
  <c r="I46" i="13"/>
  <c r="AP223" i="10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46" i="10"/>
  <c r="A177" i="10" l="1"/>
  <c r="I47" i="13"/>
  <c r="AQ241" i="10" a="1"/>
  <c r="AQ241" i="10" s="1"/>
  <c r="AQ205" i="10" a="1"/>
  <c r="AQ205" i="10" s="1"/>
  <c r="AQ223" i="10" a="1"/>
  <c r="AQ223" i="10" s="1"/>
  <c r="E48" i="7"/>
  <c r="A47" i="10"/>
  <c r="AQ75" i="10" a="1"/>
  <c r="AQ75" i="10" s="1"/>
  <c r="AQ93" i="10" a="1"/>
  <c r="AQ93" i="10" s="1"/>
  <c r="AQ111" i="10" a="1"/>
  <c r="AQ111" i="10" s="1"/>
  <c r="A178" i="10" l="1"/>
  <c r="I48" i="13"/>
  <c r="AR241" i="10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48" i="10"/>
  <c r="A179" i="10" l="1"/>
  <c r="I49" i="13"/>
  <c r="AS241" i="10" a="1"/>
  <c r="AS241" i="10" s="1"/>
  <c r="AS223" i="10" a="1"/>
  <c r="AS223" i="10" s="1"/>
  <c r="AS205" i="10" a="1"/>
  <c r="AS205" i="10" s="1"/>
  <c r="E50" i="7"/>
  <c r="A49" i="10"/>
  <c r="AS93" i="10" a="1"/>
  <c r="AS93" i="10" s="1"/>
  <c r="AS75" i="10" a="1"/>
  <c r="AS75" i="10" s="1"/>
  <c r="AS111" i="10" a="1"/>
  <c r="AS111" i="10" s="1"/>
  <c r="A180" i="10" l="1"/>
  <c r="I50" i="13"/>
  <c r="AT241" i="10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50" i="10"/>
  <c r="A181" i="10" l="1"/>
  <c r="I51" i="13"/>
  <c r="AU223" i="10" a="1"/>
  <c r="AU223" i="10" s="1"/>
  <c r="AU241" i="10" a="1"/>
  <c r="AU241" i="10" s="1"/>
  <c r="AU205" i="10" a="1"/>
  <c r="AU205" i="10" s="1"/>
  <c r="E52" i="7"/>
  <c r="A51" i="10"/>
  <c r="AU93" i="10" a="1"/>
  <c r="AU93" i="10" s="1"/>
  <c r="AU75" i="10" a="1"/>
  <c r="AU75" i="10" s="1"/>
  <c r="AU111" i="10" a="1"/>
  <c r="AU111" i="10" s="1"/>
  <c r="A182" i="10" l="1"/>
  <c r="I52" i="13"/>
  <c r="AV241" i="10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52" i="10"/>
  <c r="A183" i="10" l="1"/>
  <c r="I53" i="13"/>
  <c r="AW223" i="10" a="1"/>
  <c r="AW223" i="10" s="1"/>
  <c r="AW241" i="10" a="1"/>
  <c r="AW241" i="10" s="1"/>
  <c r="AW205" i="10" a="1"/>
  <c r="AW205" i="10" s="1"/>
  <c r="E54" i="7"/>
  <c r="A53" i="10"/>
  <c r="AW75" i="10" a="1"/>
  <c r="AW75" i="10" s="1"/>
  <c r="AW93" i="10" a="1"/>
  <c r="AW93" i="10" s="1"/>
  <c r="AW111" i="10" a="1"/>
  <c r="AW111" i="10" s="1"/>
  <c r="A184" i="10" l="1"/>
  <c r="I54" i="13"/>
  <c r="AX223" i="10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54" i="10"/>
  <c r="A185" i="10" l="1"/>
  <c r="I55" i="13"/>
  <c r="AY241" i="10" a="1"/>
  <c r="AY241" i="10" s="1"/>
  <c r="AY205" i="10" a="1"/>
  <c r="AY205" i="10" s="1"/>
  <c r="AY223" i="10" a="1"/>
  <c r="AY223" i="10" s="1"/>
  <c r="E56" i="7"/>
  <c r="I56" i="13" s="1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<sst xmlns="http://schemas.openxmlformats.org/spreadsheetml/2006/main" count="831" uniqueCount="213">
  <si>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</si>
  <si>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</si>
  <si>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</si>
  <si>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</si>
  <si>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</si>
  <si>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</si>
  <si>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</si>
  <si>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</si>
  <si>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</si>
  <si>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</si>
  <si>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</si>
  <si>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</si>
  <si>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</si>
  <si>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</si>
  <si>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</si>
  <si>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</si>
  <si>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</si>
  <si>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</si>
  <si>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</si>
  <si>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</si>
  <si>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</si>
  <si>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</si>
  <si>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</si>
  <si>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</si>
  <si>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</si>
  <si>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</si>
  <si>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</si>
  <si>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</si>
  <si>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</si>
  <si>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</si>
  <si>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</si>
  <si>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</si>
  <si>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</si>
  <si>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</si>
  <si>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</si>
  <si>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</si>
  <si>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</si>
  <si>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</si>
  <si>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</si>
  <si>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</si>
  <si>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</si>
  <si>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</si>
  <si>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</si>
  <si>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</si>
  <si>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</si>
  <si>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</si>
  <si>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</si>
  <si>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</si>
  <si>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</si>
  <si>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</si>
  <si>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</si>
  <si>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</si>
  <si>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</si>
  <si>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</si>
  <si>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</si>
  <si>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</si>
  <si>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</si>
  <si>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</si>
  <si>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</si>
  <si>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</si>
  <si>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</si>
  <si>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</si>
  <si>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</si>
  <si>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</si>
  <si>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</si>
  <si>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</si>
  <si>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</si>
  <si>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</si>
  <si>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</si>
  <si>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</si>
  <si>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</si>
  <si>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</si>
  <si>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</si>
  <si>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</si>
  <si>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</si>
  <si>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</si>
  <si>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</si>
  <si>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</si>
  <si>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</si>
  <si>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</si>
  <si>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</si>
  <si>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</si>
  <si>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</si>
  <si>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</si>
  <si>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</si>
  <si>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</si>
  <si>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</si>
  <si>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</si>
  <si>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</si>
  <si>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</si>
  <si>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</si>
  <si>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</si>
  <si>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</si>
  <si>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</si>
  <si>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</si>
  <si>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</si>
  <si>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</si>
  <si>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</si>
  <si>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</si>
  <si>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</si>
  <si>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</si>
  <si>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</si>
  <si>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</si>
  <si>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</si>
  <si>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</si>
  <si>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</si>
  <si>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</si>
  <si>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</si>
  <si>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</si>
  <si>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</si>
  <si>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</si>
  <si>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</si>
  <si>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</si>
  <si>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</si>
  <si>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</si>
  <si>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</si>
  <si>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</si>
  <si>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</si>
  <si>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</si>
  <si>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</si>
  <si>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</si>
  <si>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</si>
  <si>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</si>
  <si>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</si>
  <si>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</si>
  <si>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</si>
  <si>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</si>
  <si>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</si>
  <si>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</si>
  <si>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</si>
  <si>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</si>
  <si>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</si>
  <si>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</si>
  <si>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</si>
  <si>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</si>
  <si>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</si>
  <si>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</si>
  <si>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</si>
  <si>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</si>
  <si>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</si>
  <si>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</si>
  <si>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</si>
  <si>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</si>
  <si>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</si>
  <si>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</si>
  <si>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</si>
  <si>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</si>
  <si>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</si>
  <si>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</si>
  <si>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</si>
  <si>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</si>
  <si>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</si>
  <si>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</si>
  <si>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</si>
  <si>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</si>
  <si>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</si>
  <si>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</si>
  <si>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</si>
  <si>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</si>
  <si>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</si>
  <si>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</si>
  <si>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</si>
  <si>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</si>
  <si>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</si>
  <si>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</si>
  <si>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</si>
  <si>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</si>
  <si>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</si>
  <si>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</si>
  <si>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</si>
  <si>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</si>
  <si>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</si>
  <si>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</si>
  <si>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</si>
  <si>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</si>
  <si>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</si>
  <si>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</si>
  <si>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</si>
  <si>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</si>
  <si>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</si>
  <si>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</si>
  <si>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</si>
  <si>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</si>
  <si>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</si>
  <si>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</si>
  <si>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</si>
  <si>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</si>
  <si>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</si>
  <si>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</si>
  <si>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</si>
  <si>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</si>
  <si>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</si>
  <si>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</si>
  <si>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</si>
  <si>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</si>
  <si>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</si>
  <si>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</si>
  <si>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</si>
  <si>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</si>
  <si>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</si>
  <si>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</si>
  <si>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</si>
  <si>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</si>
  <si>
    <t>Clusters</t>
  </si>
  <si>
    <t>20 Group Sessions</t>
  </si>
  <si>
    <t>Average additions to waiting list (per week)</t>
  </si>
  <si>
    <t>days</t>
  </si>
  <si>
    <t>Initial assessment</t>
  </si>
  <si>
    <t>Clearance:</t>
  </si>
  <si>
    <t>Current Group Requirements (Minutes per patient)</t>
  </si>
  <si>
    <t>Ideal Waiting List Range:</t>
  </si>
  <si>
    <t>Current Waiting List Size:</t>
  </si>
  <si>
    <t>v0.5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</si>
</sst>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164" fontId="0" fillId="0" borderId="5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0" fillId="0" borderId="0" xfId="0" applyFont="1"/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2" fillId="0" borderId="0" xfId="0" applyNumberFormat="1" applyFont="1"/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235.75</c:v>
                </c:pt>
                <c:pt idx="1">
                  <c:v>235.75</c:v>
                </c:pt>
                <c:pt idx="2">
                  <c:v>235.75</c:v>
                </c:pt>
                <c:pt idx="3">
                  <c:v>235.75</c:v>
                </c:pt>
                <c:pt idx="4">
                  <c:v>235.75</c:v>
                </c:pt>
                <c:pt idx="5">
                  <c:v>235.75</c:v>
                </c:pt>
                <c:pt idx="6">
                  <c:v>235.75</c:v>
                </c:pt>
                <c:pt idx="7">
                  <c:v>235.75</c:v>
                </c:pt>
                <c:pt idx="8">
                  <c:v>235.75</c:v>
                </c:pt>
                <c:pt idx="9">
                  <c:v>235.75</c:v>
                </c:pt>
                <c:pt idx="10">
                  <c:v>235.75</c:v>
                </c:pt>
                <c:pt idx="11">
                  <c:v>235.75</c:v>
                </c:pt>
                <c:pt idx="12">
                  <c:v>235.75</c:v>
                </c:pt>
                <c:pt idx="13">
                  <c:v>235.75</c:v>
                </c:pt>
                <c:pt idx="14">
                  <c:v>235.75</c:v>
                </c:pt>
                <c:pt idx="15">
                  <c:v>235.75</c:v>
                </c:pt>
                <c:pt idx="16">
                  <c:v>235.75</c:v>
                </c:pt>
                <c:pt idx="17">
                  <c:v>235.75</c:v>
                </c:pt>
                <c:pt idx="18">
                  <c:v>235.75</c:v>
                </c:pt>
                <c:pt idx="19">
                  <c:v>235.75</c:v>
                </c:pt>
                <c:pt idx="20">
                  <c:v>235.75</c:v>
                </c:pt>
                <c:pt idx="21">
                  <c:v>235.75</c:v>
                </c:pt>
                <c:pt idx="22">
                  <c:v>235.75</c:v>
                </c:pt>
                <c:pt idx="23">
                  <c:v>235.75</c:v>
                </c:pt>
                <c:pt idx="24">
                  <c:v>235.75</c:v>
                </c:pt>
                <c:pt idx="25">
                  <c:v>235.75</c:v>
                </c:pt>
                <c:pt idx="26">
                  <c:v>235.75</c:v>
                </c:pt>
                <c:pt idx="27">
                  <c:v>235.75</c:v>
                </c:pt>
                <c:pt idx="28">
                  <c:v>235.75</c:v>
                </c:pt>
                <c:pt idx="29">
                  <c:v>235.75</c:v>
                </c:pt>
                <c:pt idx="30">
                  <c:v>235.75</c:v>
                </c:pt>
                <c:pt idx="31">
                  <c:v>235.75</c:v>
                </c:pt>
                <c:pt idx="32">
                  <c:v>235.75</c:v>
                </c:pt>
                <c:pt idx="33">
                  <c:v>235.75</c:v>
                </c:pt>
                <c:pt idx="34">
                  <c:v>235.75</c:v>
                </c:pt>
                <c:pt idx="35">
                  <c:v>235.75</c:v>
                </c:pt>
                <c:pt idx="36">
                  <c:v>235.75</c:v>
                </c:pt>
                <c:pt idx="37">
                  <c:v>235.75</c:v>
                </c:pt>
                <c:pt idx="38">
                  <c:v>235.75</c:v>
                </c:pt>
                <c:pt idx="39">
                  <c:v>235.75</c:v>
                </c:pt>
                <c:pt idx="40">
                  <c:v>235.75</c:v>
                </c:pt>
                <c:pt idx="41">
                  <c:v>235.75</c:v>
                </c:pt>
                <c:pt idx="42">
                  <c:v>235.75</c:v>
                </c:pt>
                <c:pt idx="43">
                  <c:v>235.75</c:v>
                </c:pt>
                <c:pt idx="44">
                  <c:v>235.75</c:v>
                </c:pt>
                <c:pt idx="45">
                  <c:v>235.75</c:v>
                </c:pt>
                <c:pt idx="46">
                  <c:v>235.75</c:v>
                </c:pt>
                <c:pt idx="47">
                  <c:v>235.75</c:v>
                </c:pt>
                <c:pt idx="48">
                  <c:v>235.75</c:v>
                </c:pt>
                <c:pt idx="49">
                  <c:v>235.75</c:v>
                </c:pt>
                <c:pt idx="50">
                  <c:v>235.75</c:v>
                </c:pt>
                <c:pt idx="51">
                  <c:v>235.75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24.258928571428555</c:v>
                </c:pt>
                <c:pt idx="1">
                  <c:v>24.258928571428555</c:v>
                </c:pt>
                <c:pt idx="2">
                  <c:v>24.258928571428555</c:v>
                </c:pt>
                <c:pt idx="3">
                  <c:v>24.258928571428555</c:v>
                </c:pt>
                <c:pt idx="4">
                  <c:v>24.258928571428555</c:v>
                </c:pt>
                <c:pt idx="5">
                  <c:v>24.258928571428555</c:v>
                </c:pt>
                <c:pt idx="6">
                  <c:v>24.258928571428555</c:v>
                </c:pt>
                <c:pt idx="7">
                  <c:v>24.258928571428555</c:v>
                </c:pt>
                <c:pt idx="8">
                  <c:v>24.258928571428555</c:v>
                </c:pt>
                <c:pt idx="9">
                  <c:v>24.258928571428555</c:v>
                </c:pt>
                <c:pt idx="10">
                  <c:v>24.258928571428555</c:v>
                </c:pt>
                <c:pt idx="11">
                  <c:v>24.258928571428555</c:v>
                </c:pt>
                <c:pt idx="12">
                  <c:v>24.258928571428555</c:v>
                </c:pt>
                <c:pt idx="13">
                  <c:v>24.258928571428555</c:v>
                </c:pt>
                <c:pt idx="14">
                  <c:v>24.258928571428555</c:v>
                </c:pt>
                <c:pt idx="15">
                  <c:v>24.258928571428555</c:v>
                </c:pt>
                <c:pt idx="16">
                  <c:v>24.258928571428555</c:v>
                </c:pt>
                <c:pt idx="17">
                  <c:v>24.258928571428555</c:v>
                </c:pt>
                <c:pt idx="18">
                  <c:v>24.258928571428555</c:v>
                </c:pt>
                <c:pt idx="19">
                  <c:v>24.258928571428555</c:v>
                </c:pt>
                <c:pt idx="20">
                  <c:v>24.258928571428555</c:v>
                </c:pt>
                <c:pt idx="21">
                  <c:v>24.258928571428555</c:v>
                </c:pt>
                <c:pt idx="22">
                  <c:v>24.258928571428555</c:v>
                </c:pt>
                <c:pt idx="23">
                  <c:v>24.258928571428555</c:v>
                </c:pt>
                <c:pt idx="24">
                  <c:v>24.258928571428555</c:v>
                </c:pt>
                <c:pt idx="25">
                  <c:v>24.258928571428555</c:v>
                </c:pt>
                <c:pt idx="26">
                  <c:v>24.258928571428555</c:v>
                </c:pt>
                <c:pt idx="27">
                  <c:v>24.258928571428555</c:v>
                </c:pt>
                <c:pt idx="28">
                  <c:v>24.258928571428555</c:v>
                </c:pt>
                <c:pt idx="29">
                  <c:v>24.258928571428555</c:v>
                </c:pt>
                <c:pt idx="30">
                  <c:v>24.258928571428555</c:v>
                </c:pt>
                <c:pt idx="31">
                  <c:v>24.258928571428555</c:v>
                </c:pt>
                <c:pt idx="32">
                  <c:v>24.258928571428555</c:v>
                </c:pt>
                <c:pt idx="33">
                  <c:v>24.258928571428555</c:v>
                </c:pt>
                <c:pt idx="34">
                  <c:v>24.258928571428555</c:v>
                </c:pt>
                <c:pt idx="35">
                  <c:v>24.258928571428555</c:v>
                </c:pt>
                <c:pt idx="36">
                  <c:v>24.258928571428555</c:v>
                </c:pt>
                <c:pt idx="37">
                  <c:v>24.258928571428555</c:v>
                </c:pt>
                <c:pt idx="38">
                  <c:v>24.258928571428555</c:v>
                </c:pt>
                <c:pt idx="39">
                  <c:v>24.258928571428555</c:v>
                </c:pt>
                <c:pt idx="40">
                  <c:v>24.258928571428555</c:v>
                </c:pt>
                <c:pt idx="41">
                  <c:v>24.258928571428555</c:v>
                </c:pt>
                <c:pt idx="42">
                  <c:v>24.258928571428555</c:v>
                </c:pt>
                <c:pt idx="43">
                  <c:v>24.258928571428555</c:v>
                </c:pt>
                <c:pt idx="44">
                  <c:v>24.258928571428555</c:v>
                </c:pt>
                <c:pt idx="45">
                  <c:v>24.258928571428555</c:v>
                </c:pt>
                <c:pt idx="46">
                  <c:v>24.258928571428555</c:v>
                </c:pt>
                <c:pt idx="47">
                  <c:v>24.258928571428555</c:v>
                </c:pt>
                <c:pt idx="48">
                  <c:v>24.258928571428555</c:v>
                </c:pt>
                <c:pt idx="49">
                  <c:v>24.258928571428555</c:v>
                </c:pt>
                <c:pt idx="50">
                  <c:v>24.258928571428555</c:v>
                </c:pt>
                <c:pt idx="51">
                  <c:v>24.258928571428555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78.75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3.9375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68.25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3.4124999999999375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</xdr:colOff>
      <xdr:row>2</xdr:row>
      <xdr:rowOff>1586</xdr:rowOff>
    </xdr:from>
    <xdr:to>
      <xdr:col>28</xdr:col>
      <xdr:colOff>603250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12700</xdr:colOff>
      <xdr:row>1</xdr:row>
      <xdr:rowOff>184150</xdr:rowOff>
    </xdr:from>
    <xdr:to>
      <xdr:col>28</xdr:col>
      <xdr:colOff>603250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200025</xdr:colOff>
      <xdr:row>41</xdr:row>
      <xdr:rowOff>92074</xdr:rowOff>
    </xdr:from>
    <xdr:to>
      <xdr:col>32</xdr:col>
      <xdr:colOff>107951</xdr:colOff>
      <xdr:row>72</xdr:row>
      <xdr:rowOff>120649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X17"/>
  <sheetViews>
    <sheetView workbookViewId="0"/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4" x14ac:dyDescent="0.35">
      <c r="A1" t="s">
        <v>11</v>
      </c>
      <c r="B1" t="s">
        <v>12</v>
      </c>
      <c r="D1" t="s">
        <v>76</v>
      </c>
      <c r="F1" t="s">
        <v>77</v>
      </c>
      <c r="H1" t="s">
        <v>80</v>
      </c>
      <c r="K1" t="s">
        <v>85</v>
      </c>
      <c r="N1" t="s">
        <v>93</v>
      </c>
      <c r="P1" t="s">
        <v>113</v>
      </c>
      <c r="R1" t="s">
        <v>120</v>
      </c>
      <c r="T1" t="s">
        <v>125</v>
      </c>
      <c r="V1" t="s">
        <v>179</v>
      </c>
      <c r="X1" t="s">
        <v>185</v>
      </c>
    </row>
    <row r="2" spans="1:24" x14ac:dyDescent="0.35">
      <c r="B2" t="str">
        <f>Setup!A20</f>
        <v>20 Group Sessions</v>
      </c>
      <c r="D2">
        <v>1</v>
      </c>
      <c r="F2" t="s">
        <v>58</v>
      </c>
      <c r="H2" t="s">
        <v>81</v>
      </c>
      <c r="I2">
        <v>0.65</v>
      </c>
      <c r="K2" t="s">
        <v>122</v>
      </c>
      <c r="L2">
        <v>7</v>
      </c>
      <c r="N2" t="s">
        <v>94</v>
      </c>
      <c r="P2" t="s">
        <v>114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144</v>
      </c>
      <c r="V2" t="s">
        <v>180</v>
      </c>
      <c r="X2" s="102" t="s">
        <v>44</v>
      </c>
    </row>
    <row r="3" spans="1:24" x14ac:dyDescent="0.35">
      <c r="B3" t="str">
        <f>Setup!A21</f>
        <v>40 Group Session</v>
      </c>
      <c r="D3">
        <v>2</v>
      </c>
      <c r="F3" t="s">
        <v>50</v>
      </c>
      <c r="H3" t="s">
        <v>82</v>
      </c>
      <c r="I3">
        <v>0.7</v>
      </c>
      <c r="K3" t="s">
        <v>121</v>
      </c>
      <c r="L3">
        <v>5</v>
      </c>
      <c r="N3" t="s">
        <v>95</v>
      </c>
      <c r="P3" t="s">
        <v>115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181</v>
      </c>
      <c r="X3" s="102" t="s">
        <v>203</v>
      </c>
    </row>
    <row r="4" spans="1:24" x14ac:dyDescent="0.35">
      <c r="B4" t="str">
        <f>Setup!A22</f>
        <v>8 Group Session</v>
      </c>
      <c r="D4">
        <v>3</v>
      </c>
      <c r="F4" t="s">
        <v>63</v>
      </c>
      <c r="H4" t="s">
        <v>83</v>
      </c>
      <c r="I4">
        <v>0.75</v>
      </c>
      <c r="K4" t="s">
        <v>86</v>
      </c>
      <c r="L4">
        <v>2</v>
      </c>
      <c r="T4" t="str">
        <f>Setup!A21</f>
        <v>40 Group Session</v>
      </c>
      <c r="X4" s="102" t="s">
        <v>186</v>
      </c>
    </row>
    <row r="5" spans="1:24" x14ac:dyDescent="0.35">
      <c r="B5" t="str">
        <f>Setup!A23</f>
        <v>20 Individual</v>
      </c>
      <c r="D5">
        <v>4</v>
      </c>
      <c r="H5" t="s">
        <v>84</v>
      </c>
      <c r="I5">
        <v>0.8</v>
      </c>
      <c r="K5" t="s">
        <v>87</v>
      </c>
      <c r="L5">
        <v>1</v>
      </c>
      <c r="T5" t="str">
        <f>Setup!A22</f>
        <v>8 Group Session</v>
      </c>
      <c r="X5" s="102" t="s">
        <v>187</v>
      </c>
    </row>
    <row r="6" spans="1:24" x14ac:dyDescent="0.35">
      <c r="B6" t="str">
        <f>Setup!A24</f>
        <v>40 Individual</v>
      </c>
      <c r="D6">
        <v>5</v>
      </c>
      <c r="K6" t="s">
        <v>88</v>
      </c>
      <c r="L6">
        <v>0.5</v>
      </c>
      <c r="T6" t="str">
        <f>Setup!A23</f>
        <v>20 Individual</v>
      </c>
      <c r="X6" s="102" t="s">
        <v>188</v>
      </c>
    </row>
    <row r="7" spans="1:24" x14ac:dyDescent="0.35">
      <c r="B7" t="str">
        <f>Setup!A25</f>
        <v>Initial assessment</v>
      </c>
      <c r="D7">
        <v>6</v>
      </c>
      <c r="K7" t="s">
        <v>89</v>
      </c>
      <c r="L7">
        <v>0.25</v>
      </c>
      <c r="T7" t="str">
        <f>Setup!A24</f>
        <v>40 Individual</v>
      </c>
      <c r="X7" s="102" t="s">
        <v>189</v>
      </c>
    </row>
    <row r="8" spans="1:24" x14ac:dyDescent="0.35">
      <c r="B8" t="str">
        <f>Setup!A26</f>
        <v>Caseload 7</v>
      </c>
      <c r="D8">
        <v>7</v>
      </c>
      <c r="K8" t="s">
        <v>90</v>
      </c>
      <c r="L8">
        <v>3.7999999999999999E-2</v>
      </c>
      <c r="T8" t="str">
        <f>Setup!A25</f>
        <v>Initial assessment</v>
      </c>
      <c r="X8" s="102" t="s">
        <v>190</v>
      </c>
    </row>
    <row r="9" spans="1:24" x14ac:dyDescent="0.35">
      <c r="B9" t="str">
        <f>Setup!A27</f>
        <v>Caseload 8</v>
      </c>
      <c r="D9">
        <v>8</v>
      </c>
      <c r="K9" t="s">
        <v>91</v>
      </c>
      <c r="L9">
        <v>1.9E-2</v>
      </c>
      <c r="T9" t="str">
        <f>Setup!A26</f>
        <v>Caseload 7</v>
      </c>
    </row>
    <row r="10" spans="1:24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4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4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4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4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4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4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workbookViewId="0">
      <selection activeCell="E19" sqref="E19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78</v>
      </c>
    </row>
    <row r="2" spans="1:19" x14ac:dyDescent="0.35">
      <c r="A2" t="s">
        <v>212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112</v>
      </c>
      <c r="B11" s="38" t="s">
        <v>115</v>
      </c>
    </row>
    <row r="12" spans="1:19" ht="15" thickBot="1" x14ac:dyDescent="0.4"/>
    <row r="13" spans="1:19" ht="15" thickBot="1" x14ac:dyDescent="0.4">
      <c r="A13" s="63" t="s">
        <v>79</v>
      </c>
      <c r="B13" s="38" t="s">
        <v>81</v>
      </c>
    </row>
    <row r="14" spans="1:19" ht="15" thickBot="1" x14ac:dyDescent="0.4"/>
    <row r="15" spans="1:19" ht="15" thickBot="1" x14ac:dyDescent="0.4">
      <c r="A15" s="63" t="s">
        <v>184</v>
      </c>
      <c r="B15" s="38" t="s">
        <v>44</v>
      </c>
    </row>
    <row r="16" spans="1:19" ht="15" thickBot="1" x14ac:dyDescent="0.4"/>
    <row r="17" spans="1:2" ht="15" thickBot="1" x14ac:dyDescent="0.4">
      <c r="A17" s="63" t="str">
        <f>"Number of "&amp;B15&amp;":"</f>
        <v>Number of Caseload:</v>
      </c>
      <c r="B17" s="38">
        <v>5</v>
      </c>
    </row>
    <row r="18" spans="1:2" ht="15" thickBot="1" x14ac:dyDescent="0.4"/>
    <row r="19" spans="1:2" ht="15" thickBot="1" x14ac:dyDescent="0.4">
      <c r="A19" s="63" t="str">
        <f>B15&amp;" Names:"</f>
        <v>Caseload Names:</v>
      </c>
      <c r="B19" s="63" t="str">
        <f>B15&amp;" Description:"</f>
        <v>Caseload Description:</v>
      </c>
    </row>
    <row r="20" spans="1:2" x14ac:dyDescent="0.35">
      <c r="A20" s="11" t="s">
        <v>204</v>
      </c>
      <c r="B20" s="11"/>
    </row>
    <row r="21" spans="1:2" x14ac:dyDescent="0.35">
      <c r="A21" s="39" t="s">
        <v>146</v>
      </c>
      <c r="B21" s="39"/>
    </row>
    <row r="22" spans="1:2" x14ac:dyDescent="0.35">
      <c r="A22" s="39" t="s">
        <v>147</v>
      </c>
      <c r="B22" s="39"/>
    </row>
    <row r="23" spans="1:2" x14ac:dyDescent="0.35">
      <c r="A23" s="39" t="s">
        <v>148</v>
      </c>
      <c r="B23" s="39"/>
    </row>
    <row r="24" spans="1:2" ht="15" thickBot="1" x14ac:dyDescent="0.4">
      <c r="A24" s="39" t="s">
        <v>149</v>
      </c>
      <c r="B24" s="39"/>
    </row>
    <row r="25" spans="1:2" ht="15" hidden="1" thickBot="1" x14ac:dyDescent="0.4">
      <c r="A25" s="39" t="s">
        <v>207</v>
      </c>
      <c r="B25" s="39"/>
    </row>
    <row r="26" spans="1:2" ht="15" hidden="1" thickBot="1" x14ac:dyDescent="0.4">
      <c r="A26" s="39" t="s">
        <v>2</v>
      </c>
      <c r="B26" s="39"/>
    </row>
    <row r="27" spans="1:2" ht="15" hidden="1" thickBot="1" x14ac:dyDescent="0.4">
      <c r="A27" s="39" t="s">
        <v>3</v>
      </c>
      <c r="B27" s="39"/>
    </row>
    <row r="28" spans="1:2" ht="15" hidden="1" thickBot="1" x14ac:dyDescent="0.4">
      <c r="A28" s="39" t="s">
        <v>4</v>
      </c>
      <c r="B28" s="39"/>
    </row>
    <row r="29" spans="1:2" ht="15" hidden="1" thickBot="1" x14ac:dyDescent="0.4">
      <c r="A29" s="39" t="s">
        <v>5</v>
      </c>
      <c r="B29" s="39"/>
    </row>
    <row r="30" spans="1:2" ht="15" hidden="1" thickBot="1" x14ac:dyDescent="0.4">
      <c r="A30" s="39" t="s">
        <v>6</v>
      </c>
      <c r="B30" s="39"/>
    </row>
    <row r="31" spans="1:2" ht="15" hidden="1" thickBot="1" x14ac:dyDescent="0.4">
      <c r="A31" s="39" t="s">
        <v>7</v>
      </c>
      <c r="B31" s="39"/>
    </row>
    <row r="32" spans="1:2" ht="15" hidden="1" thickBot="1" x14ac:dyDescent="0.4">
      <c r="A32" s="39" t="s">
        <v>8</v>
      </c>
      <c r="B32" s="39"/>
    </row>
    <row r="33" spans="1:19" ht="15" hidden="1" thickBot="1" x14ac:dyDescent="0.4">
      <c r="A33" s="39" t="s">
        <v>9</v>
      </c>
      <c r="B33" s="39"/>
    </row>
    <row r="34" spans="1:19" ht="15" hidden="1" thickBot="1" x14ac:dyDescent="0.4">
      <c r="A34" s="39" t="s">
        <v>10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F12" sqref="F12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137</v>
      </c>
    </row>
    <row r="2" spans="1:21" ht="15" thickBot="1" x14ac:dyDescent="0.4"/>
    <row r="3" spans="1:21" ht="15" hidden="1" thickBot="1" x14ac:dyDescent="0.4">
      <c r="A3" s="63" t="s">
        <v>14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110</v>
      </c>
      <c r="B5" s="62" t="s">
        <v>145</v>
      </c>
    </row>
    <row r="6" spans="1:21" ht="15" thickBot="1" x14ac:dyDescent="0.4">
      <c r="A6" s="63" t="s">
        <v>111</v>
      </c>
      <c r="B6" s="61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9" t="s">
        <v>15</v>
      </c>
      <c r="D8" s="55" t="s">
        <v>116</v>
      </c>
      <c r="E8" s="55" t="s">
        <v>117</v>
      </c>
      <c r="F8" s="44" t="str" cm="1">
        <f t="array" ref="F8">INDEX('Data Validation (Hide)'!$B$2:$B$16,COLUMN(A1),1)</f>
        <v>20 Group Sessions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Initial assessment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6">
        <f>IF(A9="","",B6)</f>
        <v>2019</v>
      </c>
      <c r="E9" s="66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7" t="str">
        <f>IF(E10=1,MAX($D$9:D9)+1,"")</f>
        <v/>
      </c>
      <c r="E10" s="67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7" t="str">
        <f>IF(E11=1,MAX($D$9:D10)+1,"")</f>
        <v/>
      </c>
      <c r="E11" s="67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7" t="str">
        <f>IF(E12=1,MAX($D$9:D11)+1,"")</f>
        <v/>
      </c>
      <c r="E12" s="67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7" t="str">
        <f>IF(E13=1,MAX($D$9:D12)+1,"")</f>
        <v/>
      </c>
      <c r="E13" s="67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7" t="str">
        <f>IF(E14=1,MAX($D$9:D13)+1,"")</f>
        <v/>
      </c>
      <c r="E14" s="67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7" t="str">
        <f>IF(E15=1,MAX($D$9:D14)+1,"")</f>
        <v/>
      </c>
      <c r="E15" s="67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7" t="str">
        <f>IF(E16=1,MAX($D$9:D15)+1,"")</f>
        <v/>
      </c>
      <c r="E16" s="67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7" t="str">
        <f>IF(E17=1,MAX($D$9:D16)+1,"")</f>
        <v/>
      </c>
      <c r="E17" s="67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7" t="str">
        <f>IF(E18=1,MAX($D$9:D17)+1,"")</f>
        <v/>
      </c>
      <c r="E18" s="67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7">
        <f>IF(E19=1,MAX($D$9:D18)+1,"")</f>
        <v>2020</v>
      </c>
      <c r="E19" s="67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7" t="str">
        <f>IF(E20=1,MAX($D$9:D19)+1,"")</f>
        <v/>
      </c>
      <c r="E20" s="67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7" t="str">
        <f>IF(E21=1,MAX($D$9:D20)+1,"")</f>
        <v/>
      </c>
      <c r="E21" s="67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A33" sqref="A3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138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204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96</v>
      </c>
    </row>
    <row r="6" spans="1:4" ht="15" thickBot="1" x14ac:dyDescent="0.4">
      <c r="A6" s="41" t="s">
        <v>42</v>
      </c>
      <c r="B6" s="17" t="s">
        <v>99</v>
      </c>
    </row>
    <row r="7" spans="1:4" ht="15" thickBot="1" x14ac:dyDescent="0.4">
      <c r="A7" s="52" t="s">
        <v>97</v>
      </c>
      <c r="B7" s="17" t="s">
        <v>99</v>
      </c>
    </row>
    <row r="8" spans="1:4" ht="15" thickBot="1" x14ac:dyDescent="0.4">
      <c r="A8" s="52" t="s">
        <v>98</v>
      </c>
      <c r="B8" s="17" t="s">
        <v>99</v>
      </c>
    </row>
    <row r="9" spans="1:4" ht="15" thickBot="1" x14ac:dyDescent="0.4">
      <c r="A9" s="53" t="s">
        <v>29</v>
      </c>
      <c r="B9" s="40" t="s">
        <v>99</v>
      </c>
    </row>
    <row r="10" spans="1:4" ht="15" thickBot="1" x14ac:dyDescent="0.4"/>
    <row r="11" spans="1:4" ht="15" thickBot="1" x14ac:dyDescent="0.4">
      <c r="A11" s="37" t="s">
        <v>100</v>
      </c>
    </row>
    <row r="12" spans="1:4" ht="15" thickBot="1" x14ac:dyDescent="0.4">
      <c r="A12" s="37" t="s">
        <v>103</v>
      </c>
      <c r="B12" s="17" t="s">
        <v>143</v>
      </c>
    </row>
    <row r="13" spans="1:4" ht="15" thickBot="1" x14ac:dyDescent="0.4">
      <c r="A13" s="37" t="s">
        <v>101</v>
      </c>
      <c r="B13" s="47" t="s">
        <v>175</v>
      </c>
    </row>
    <row r="14" spans="1:4" ht="15" thickBot="1" x14ac:dyDescent="0.4">
      <c r="A14" s="53" t="s">
        <v>102</v>
      </c>
      <c r="B14" s="47" t="s">
        <v>174</v>
      </c>
    </row>
    <row r="27" spans="1:2" ht="15" thickBot="1" x14ac:dyDescent="0.4"/>
    <row r="28" spans="1:2" ht="15" thickBot="1" x14ac:dyDescent="0.4">
      <c r="A28" s="48"/>
      <c r="B28" t="s">
        <v>38</v>
      </c>
    </row>
    <row r="29" spans="1:2" ht="15" thickBot="1" x14ac:dyDescent="0.4">
      <c r="A29" s="49"/>
      <c r="B29" t="s">
        <v>39</v>
      </c>
    </row>
    <row r="30" spans="1:2" ht="15" thickBot="1" x14ac:dyDescent="0.4">
      <c r="A30" s="50"/>
      <c r="B30" t="s">
        <v>40</v>
      </c>
    </row>
    <row r="31" spans="1:2" ht="15" thickBot="1" x14ac:dyDescent="0.4">
      <c r="A31" s="51"/>
      <c r="B31" t="s">
        <v>41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116</v>
      </c>
      <c r="D3" s="3" t="s">
        <v>117</v>
      </c>
      <c r="E3" s="3" t="s">
        <v>118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Initial assessment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104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43617</v>
      </c>
      <c r="C4" s="64">
        <f>Demand!D9</f>
        <v>2019</v>
      </c>
      <c r="D4" s="64">
        <f>Demand!E9</f>
        <v>3</v>
      </c>
      <c r="E4" s="64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4" t="str">
        <f>Demand!D10</f>
        <v/>
      </c>
      <c r="D5" s="64">
        <f>Demand!E10</f>
        <v>4</v>
      </c>
      <c r="E5" s="64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4" t="str">
        <f>Demand!D11</f>
        <v/>
      </c>
      <c r="D6" s="64">
        <f>Demand!E11</f>
        <v>5</v>
      </c>
      <c r="E6" s="64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4" t="str">
        <f>Demand!D12</f>
        <v/>
      </c>
      <c r="D7" s="64">
        <f>Demand!E12</f>
        <v>6</v>
      </c>
      <c r="E7" s="64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4" t="str">
        <f>Demand!D13</f>
        <v/>
      </c>
      <c r="D8" s="64">
        <f>Demand!E13</f>
        <v>7</v>
      </c>
      <c r="E8" s="64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4" t="str">
        <f>Demand!D14</f>
        <v/>
      </c>
      <c r="D9" s="64">
        <f>Demand!E14</f>
        <v>8</v>
      </c>
      <c r="E9" s="64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4" t="str">
        <f>Demand!D15</f>
        <v/>
      </c>
      <c r="D10" s="64">
        <f>Demand!E15</f>
        <v>9</v>
      </c>
      <c r="E10" s="64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4" t="str">
        <f>Demand!D16</f>
        <v/>
      </c>
      <c r="D11" s="64">
        <f>Demand!E16</f>
        <v>10</v>
      </c>
      <c r="E11" s="64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4" t="str">
        <f>Demand!D17</f>
        <v/>
      </c>
      <c r="D12" s="64">
        <f>Demand!E17</f>
        <v>11</v>
      </c>
      <c r="E12" s="64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4" t="str">
        <f>Demand!D18</f>
        <v/>
      </c>
      <c r="D13" s="64">
        <f>Demand!E18</f>
        <v>12</v>
      </c>
      <c r="E13" s="64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4">
        <f>Demand!D19</f>
        <v>2020</v>
      </c>
      <c r="D14" s="64">
        <f>Demand!E19</f>
        <v>1</v>
      </c>
      <c r="E14" s="64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4" t="str">
        <f>Demand!D20</f>
        <v/>
      </c>
      <c r="D15" s="64">
        <f>Demand!E20</f>
        <v>2</v>
      </c>
      <c r="E15" s="64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4" t="str">
        <f>Demand!D21</f>
        <v/>
      </c>
      <c r="D16" s="64">
        <f>Demand!E21</f>
        <v>3</v>
      </c>
      <c r="E16" s="64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Q20"/>
  <sheetViews>
    <sheetView showGridLines="0" workbookViewId="0">
      <selection activeCell="H26" sqref="H26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17" ht="23.5" x14ac:dyDescent="0.55000000000000004">
      <c r="A1" s="28" t="s">
        <v>182</v>
      </c>
    </row>
    <row r="3" spans="1:17" ht="15" thickBot="1" x14ac:dyDescent="0.4"/>
    <row r="4" spans="1:17" ht="29.5" thickBot="1" x14ac:dyDescent="0.4">
      <c r="B4" s="115" t="str">
        <f>Setup!B15</f>
        <v>Caseload</v>
      </c>
      <c r="C4" s="116" t="s">
        <v>205</v>
      </c>
      <c r="D4" s="116" t="s">
        <v>196</v>
      </c>
      <c r="E4" s="115" t="s">
        <v>177</v>
      </c>
      <c r="F4" s="115" t="s">
        <v>178</v>
      </c>
      <c r="G4" s="115" t="s">
        <v>92</v>
      </c>
      <c r="H4" s="115" t="s">
        <v>183</v>
      </c>
      <c r="I4" s="115" t="s">
        <v>194</v>
      </c>
      <c r="J4" s="145"/>
      <c r="K4" s="145"/>
      <c r="L4" s="145"/>
      <c r="M4" s="145"/>
      <c r="N4" s="145"/>
      <c r="O4" s="145"/>
      <c r="P4" s="145"/>
      <c r="Q4" s="145"/>
    </row>
    <row r="5" spans="1:17" x14ac:dyDescent="0.35">
      <c r="B5" s="41" t="str">
        <f>Setup!A20</f>
        <v>20 Group Sessions</v>
      </c>
      <c r="C5" s="117">
        <v>30</v>
      </c>
      <c r="D5" s="117">
        <v>110</v>
      </c>
      <c r="E5" s="96">
        <v>0</v>
      </c>
      <c r="F5" s="96">
        <v>7</v>
      </c>
      <c r="G5" s="11" t="s">
        <v>180</v>
      </c>
      <c r="H5" s="132">
        <f>IF(G5="Weeks",C5*((E5*7)+(F5*7-E5*7)/2),C5*(E5+(F5-E5)/2))</f>
        <v>105</v>
      </c>
      <c r="I5" s="99" t="str">
        <f>IF(H5&lt;&gt;0,TEXT(H5-(H5/100*5),"#")&amp;" - "&amp;TEXT(H5+(H5/100*5),"#"),"")</f>
        <v>100 - 110</v>
      </c>
      <c r="J5" s="27">
        <f>H5-(H5/100*5)</f>
        <v>99.75</v>
      </c>
      <c r="K5" s="27">
        <f>H5+(H5/100*5)</f>
        <v>110.25</v>
      </c>
      <c r="L5" s="27">
        <f>K5-J5</f>
        <v>10.5</v>
      </c>
      <c r="M5" s="149">
        <f>MAX(0,D5-J5)</f>
        <v>10.25</v>
      </c>
      <c r="N5" s="149">
        <f>MAX(0,D5-K5)</f>
        <v>0</v>
      </c>
      <c r="O5" s="27" t="str">
        <f>IF(TEXT(M5,"#")="",0,TEXT(M5,"#"))&amp;" - "&amp;IF(TEXT(N5,"#")="",0,TEXT(N5,"#"))</f>
        <v>10 - 0</v>
      </c>
      <c r="P5" s="145"/>
      <c r="Q5" s="145"/>
    </row>
    <row r="6" spans="1:17" x14ac:dyDescent="0.35">
      <c r="B6" s="52" t="str">
        <f>Setup!A21</f>
        <v>40 Group Session</v>
      </c>
      <c r="C6" s="118">
        <v>45</v>
      </c>
      <c r="D6" s="118">
        <v>210</v>
      </c>
      <c r="E6" s="97">
        <v>0</v>
      </c>
      <c r="F6" s="97">
        <v>2</v>
      </c>
      <c r="G6" s="39" t="s">
        <v>181</v>
      </c>
      <c r="H6" s="133">
        <f>IF(G6="Weeks",C6*((E6*7)+(F6*7-E6*7)/2),C6*(E6+(F6-E6)/2))</f>
        <v>315</v>
      </c>
      <c r="I6" s="100" t="str">
        <f t="shared" ref="I6:I20" si="0">IF(H6&lt;&gt;0,TEXT(H6-(H6/100*5),"#")&amp;" - "&amp;TEXT(H6+(H6/100*5),"#"),"")</f>
        <v>299 - 331</v>
      </c>
      <c r="J6" s="27">
        <f t="shared" ref="J6:J19" si="1">H6-(H6/100*5)</f>
        <v>299.25</v>
      </c>
      <c r="K6" s="27">
        <f t="shared" ref="K6:K19" si="2">H6+(H6/100*5)</f>
        <v>330.75</v>
      </c>
      <c r="L6" s="27">
        <f t="shared" ref="L6:L19" si="3">K6-J6</f>
        <v>31.5</v>
      </c>
      <c r="M6" s="149">
        <f t="shared" ref="M6:M20" si="4">MAX(0,D6-J6)</f>
        <v>0</v>
      </c>
      <c r="N6" s="149">
        <f t="shared" ref="N6:N20" si="5">MAX(0,D6-K6)</f>
        <v>0</v>
      </c>
      <c r="O6" s="27" t="str">
        <f t="shared" ref="O6:O20" si="6">IF(TEXT(M6,"#")="",0,TEXT(M6,"#"))&amp;" - "&amp;IF(TEXT(N6,"#")="",0,TEXT(N6,"#"))</f>
        <v>0 - 0</v>
      </c>
      <c r="P6" s="145"/>
      <c r="Q6" s="145"/>
    </row>
    <row r="7" spans="1:17" x14ac:dyDescent="0.35">
      <c r="B7" s="52" t="str">
        <f>Setup!A22</f>
        <v>8 Group Session</v>
      </c>
      <c r="C7" s="118">
        <v>20</v>
      </c>
      <c r="D7" s="118">
        <v>10</v>
      </c>
      <c r="E7" s="97">
        <v>0</v>
      </c>
      <c r="F7" s="97">
        <v>7</v>
      </c>
      <c r="G7" s="39" t="s">
        <v>206</v>
      </c>
      <c r="H7" s="133">
        <f>IF(G7="Weeks",C7*((E7*7)+(F7*7-E7*7)/2),C7*(E7+(F7-E7)/2))</f>
        <v>70</v>
      </c>
      <c r="I7" s="100" t="str">
        <f t="shared" si="0"/>
        <v>67 - 74</v>
      </c>
      <c r="J7" s="27">
        <f t="shared" si="1"/>
        <v>66.5</v>
      </c>
      <c r="K7" s="27">
        <f t="shared" si="2"/>
        <v>73.5</v>
      </c>
      <c r="L7" s="27">
        <f t="shared" si="3"/>
        <v>7</v>
      </c>
      <c r="M7" s="149">
        <f t="shared" si="4"/>
        <v>0</v>
      </c>
      <c r="N7" s="149">
        <f t="shared" si="5"/>
        <v>0</v>
      </c>
      <c r="O7" s="27" t="str">
        <f t="shared" si="6"/>
        <v>0 - 0</v>
      </c>
      <c r="P7" s="145"/>
      <c r="Q7" s="145"/>
    </row>
    <row r="8" spans="1:17" x14ac:dyDescent="0.35">
      <c r="B8" s="52" t="str">
        <f>Setup!A23</f>
        <v>20 Individual</v>
      </c>
      <c r="C8" s="118">
        <v>21</v>
      </c>
      <c r="D8" s="118">
        <v>256</v>
      </c>
      <c r="E8" s="97">
        <v>0</v>
      </c>
      <c r="F8" s="97">
        <v>7</v>
      </c>
      <c r="G8" s="39" t="s">
        <v>206</v>
      </c>
      <c r="H8" s="133">
        <f>IF(G8="Weeks",C8*((E8*7)+(F8*7-E8*7)/2),C8*(E8+(F8-E8)/2))</f>
        <v>73.5</v>
      </c>
      <c r="I8" s="100" t="str">
        <f t="shared" si="0"/>
        <v>70 - 77</v>
      </c>
      <c r="J8" s="27">
        <f t="shared" si="1"/>
        <v>69.825000000000003</v>
      </c>
      <c r="K8" s="27">
        <f t="shared" si="2"/>
        <v>77.174999999999997</v>
      </c>
      <c r="L8" s="27">
        <f t="shared" si="3"/>
        <v>7.3499999999999943</v>
      </c>
      <c r="M8" s="149">
        <f t="shared" si="4"/>
        <v>186.17500000000001</v>
      </c>
      <c r="N8" s="149">
        <f t="shared" si="5"/>
        <v>178.82499999999999</v>
      </c>
      <c r="O8" s="27" t="str">
        <f t="shared" si="6"/>
        <v>186 - 179</v>
      </c>
      <c r="P8" s="145"/>
      <c r="Q8" s="145"/>
    </row>
    <row r="9" spans="1:17" ht="15" thickBot="1" x14ac:dyDescent="0.4">
      <c r="B9" s="52" t="str">
        <f>Setup!A24</f>
        <v>40 Individual</v>
      </c>
      <c r="C9" s="118">
        <v>15</v>
      </c>
      <c r="D9" s="118">
        <v>55</v>
      </c>
      <c r="E9" s="97">
        <v>0</v>
      </c>
      <c r="F9" s="97">
        <v>7</v>
      </c>
      <c r="G9" s="39" t="s">
        <v>206</v>
      </c>
      <c r="H9" s="133">
        <f>IF(G9="Weeks",C9*((E9*7)+(F9*7-E9*7)/2),C9*(E9+(F9-E9)/2))</f>
        <v>52.5</v>
      </c>
      <c r="I9" s="100" t="str">
        <f t="shared" si="0"/>
        <v>50 - 55</v>
      </c>
      <c r="J9" s="27">
        <f t="shared" si="1"/>
        <v>49.875</v>
      </c>
      <c r="K9" s="27">
        <f t="shared" si="2"/>
        <v>55.125</v>
      </c>
      <c r="L9" s="27">
        <f t="shared" si="3"/>
        <v>5.25</v>
      </c>
      <c r="M9" s="149">
        <f t="shared" si="4"/>
        <v>5.125</v>
      </c>
      <c r="N9" s="149">
        <f t="shared" si="5"/>
        <v>0</v>
      </c>
      <c r="O9" s="27" t="str">
        <f t="shared" si="6"/>
        <v>5 - 0</v>
      </c>
      <c r="P9" s="145"/>
      <c r="Q9" s="145"/>
    </row>
    <row r="10" spans="1:17" ht="15" hidden="1" thickBot="1" x14ac:dyDescent="0.4">
      <c r="B10" s="52" t="str">
        <f>Setup!A25</f>
        <v>Initial assessment</v>
      </c>
      <c r="C10" s="130"/>
      <c r="D10" s="118"/>
      <c r="E10" s="97"/>
      <c r="F10" s="97"/>
      <c r="G10" s="39"/>
      <c r="H10" s="133">
        <f>IF(G10="Weeks",C10*((E10*7)+(F10*7-E10*7)/2),C10*(E10+(F10-E10)/2))</f>
        <v>0</v>
      </c>
      <c r="I10" s="100" t="str">
        <f t="shared" si="0"/>
        <v/>
      </c>
      <c r="J10" s="27">
        <f t="shared" si="1"/>
        <v>0</v>
      </c>
      <c r="K10" s="27">
        <f t="shared" si="2"/>
        <v>0</v>
      </c>
      <c r="L10" s="27">
        <f t="shared" si="3"/>
        <v>0</v>
      </c>
      <c r="M10" s="149">
        <f t="shared" si="4"/>
        <v>0</v>
      </c>
      <c r="N10" s="149">
        <f t="shared" si="5"/>
        <v>0</v>
      </c>
      <c r="O10" s="27" t="str">
        <f t="shared" si="6"/>
        <v>0 - 0</v>
      </c>
      <c r="P10" s="145"/>
      <c r="Q10" s="145"/>
    </row>
    <row r="11" spans="1:17" ht="15" hidden="1" thickBot="1" x14ac:dyDescent="0.4">
      <c r="B11" s="52" t="str">
        <f>Setup!A26</f>
        <v>Caseload 7</v>
      </c>
      <c r="C11" s="130"/>
      <c r="D11" s="118"/>
      <c r="E11" s="97"/>
      <c r="F11" s="97"/>
      <c r="G11" s="39"/>
      <c r="H11" s="133">
        <f>IF(G11="Weeks",C11*((E11*7)+(F11*7-E11*7)/2),C11*(E11+(F11-E11)/2))</f>
        <v>0</v>
      </c>
      <c r="I11" s="100" t="str">
        <f t="shared" si="0"/>
        <v/>
      </c>
      <c r="J11" s="27">
        <f t="shared" si="1"/>
        <v>0</v>
      </c>
      <c r="K11" s="27">
        <f t="shared" si="2"/>
        <v>0</v>
      </c>
      <c r="L11" s="27">
        <f t="shared" si="3"/>
        <v>0</v>
      </c>
      <c r="M11" s="149">
        <f t="shared" si="4"/>
        <v>0</v>
      </c>
      <c r="N11" s="149">
        <f t="shared" si="5"/>
        <v>0</v>
      </c>
      <c r="O11" s="27" t="str">
        <f t="shared" si="6"/>
        <v>0 - 0</v>
      </c>
      <c r="P11" s="145"/>
      <c r="Q11" s="145"/>
    </row>
    <row r="12" spans="1:17" ht="15" hidden="1" thickBot="1" x14ac:dyDescent="0.4">
      <c r="B12" s="52" t="str">
        <f>Setup!A27</f>
        <v>Caseload 8</v>
      </c>
      <c r="C12" s="130"/>
      <c r="D12" s="118"/>
      <c r="E12" s="97"/>
      <c r="F12" s="97"/>
      <c r="G12" s="39"/>
      <c r="H12" s="133">
        <f>IF(G12="Weeks",C12*((E12*7)+(F12*7-E12*7)/2),C12*(E12+(F12-E12)/2))</f>
        <v>0</v>
      </c>
      <c r="I12" s="100" t="str">
        <f t="shared" si="0"/>
        <v/>
      </c>
      <c r="J12" s="27">
        <f t="shared" si="1"/>
        <v>0</v>
      </c>
      <c r="K12" s="27">
        <f t="shared" si="2"/>
        <v>0</v>
      </c>
      <c r="L12" s="27">
        <f t="shared" si="3"/>
        <v>0</v>
      </c>
      <c r="M12" s="149">
        <f t="shared" si="4"/>
        <v>0</v>
      </c>
      <c r="N12" s="149">
        <f t="shared" si="5"/>
        <v>0</v>
      </c>
      <c r="O12" s="27" t="str">
        <f t="shared" si="6"/>
        <v>0 - 0</v>
      </c>
      <c r="P12" s="145"/>
      <c r="Q12" s="145"/>
    </row>
    <row r="13" spans="1:17" ht="15" hidden="1" thickBot="1" x14ac:dyDescent="0.4">
      <c r="B13" s="52" t="str">
        <f>Setup!A28</f>
        <v>Caseload 9</v>
      </c>
      <c r="C13" s="130"/>
      <c r="D13" s="118"/>
      <c r="E13" s="97"/>
      <c r="F13" s="97"/>
      <c r="G13" s="39"/>
      <c r="H13" s="133">
        <f>IF(G13="Weeks",C13*((E13*7)+(F13*7-E13*7)/2),C13*(E13+(F13-E13)/2))</f>
        <v>0</v>
      </c>
      <c r="I13" s="100" t="str">
        <f t="shared" si="0"/>
        <v/>
      </c>
      <c r="J13" s="27">
        <f t="shared" si="1"/>
        <v>0</v>
      </c>
      <c r="K13" s="27">
        <f t="shared" si="2"/>
        <v>0</v>
      </c>
      <c r="L13" s="27">
        <f t="shared" si="3"/>
        <v>0</v>
      </c>
      <c r="M13" s="149">
        <f t="shared" si="4"/>
        <v>0</v>
      </c>
      <c r="N13" s="149">
        <f t="shared" si="5"/>
        <v>0</v>
      </c>
      <c r="O13" s="27" t="str">
        <f t="shared" si="6"/>
        <v>0 - 0</v>
      </c>
      <c r="P13" s="145"/>
      <c r="Q13" s="145"/>
    </row>
    <row r="14" spans="1:17" ht="15" hidden="1" thickBot="1" x14ac:dyDescent="0.4">
      <c r="B14" s="52" t="str">
        <f>Setup!A29</f>
        <v>Caseload 10</v>
      </c>
      <c r="C14" s="130"/>
      <c r="D14" s="118"/>
      <c r="E14" s="97"/>
      <c r="F14" s="97"/>
      <c r="G14" s="39"/>
      <c r="H14" s="133">
        <f>IF(G14="Weeks",C14*((E14*7)+(F14*7-E14*7)/2),C14*(E14+(F14-E14)/2))</f>
        <v>0</v>
      </c>
      <c r="I14" s="100" t="str">
        <f t="shared" si="0"/>
        <v/>
      </c>
      <c r="J14" s="27">
        <f t="shared" si="1"/>
        <v>0</v>
      </c>
      <c r="K14" s="27">
        <f t="shared" si="2"/>
        <v>0</v>
      </c>
      <c r="L14" s="27">
        <f t="shared" si="3"/>
        <v>0</v>
      </c>
      <c r="M14" s="149">
        <f t="shared" si="4"/>
        <v>0</v>
      </c>
      <c r="N14" s="149">
        <f t="shared" si="5"/>
        <v>0</v>
      </c>
      <c r="O14" s="27" t="str">
        <f t="shared" si="6"/>
        <v>0 - 0</v>
      </c>
      <c r="P14" s="145"/>
      <c r="Q14" s="145"/>
    </row>
    <row r="15" spans="1:17" ht="15" hidden="1" thickBot="1" x14ac:dyDescent="0.4">
      <c r="B15" s="52" t="str">
        <f>Setup!A30</f>
        <v>Caseload 11</v>
      </c>
      <c r="C15" s="130"/>
      <c r="D15" s="118"/>
      <c r="E15" s="97"/>
      <c r="F15" s="97"/>
      <c r="G15" s="39"/>
      <c r="H15" s="133">
        <f>IF(G15="Weeks",C15*((E15*7)+(F15*7-E15*7)/2),C15*(E15+(F15-E15)/2))</f>
        <v>0</v>
      </c>
      <c r="I15" s="100" t="str">
        <f t="shared" si="0"/>
        <v/>
      </c>
      <c r="J15" s="27">
        <f t="shared" si="1"/>
        <v>0</v>
      </c>
      <c r="K15" s="27">
        <f t="shared" si="2"/>
        <v>0</v>
      </c>
      <c r="L15" s="27">
        <f t="shared" si="3"/>
        <v>0</v>
      </c>
      <c r="M15" s="149">
        <f t="shared" si="4"/>
        <v>0</v>
      </c>
      <c r="N15" s="149">
        <f t="shared" si="5"/>
        <v>0</v>
      </c>
      <c r="O15" s="27" t="str">
        <f t="shared" si="6"/>
        <v>0 - 0</v>
      </c>
      <c r="P15" s="145"/>
      <c r="Q15" s="145"/>
    </row>
    <row r="16" spans="1:17" ht="15" hidden="1" thickBot="1" x14ac:dyDescent="0.4">
      <c r="B16" s="52" t="str">
        <f>Setup!A31</f>
        <v>Caseload 12</v>
      </c>
      <c r="C16" s="130"/>
      <c r="D16" s="118"/>
      <c r="E16" s="97"/>
      <c r="F16" s="97"/>
      <c r="G16" s="39"/>
      <c r="H16" s="133">
        <f>IF(G16="Weeks",C16*((E16*7)+(F16*7-E16*7)/2),C16*(E16+(F16-E16)/2))</f>
        <v>0</v>
      </c>
      <c r="I16" s="100" t="str">
        <f t="shared" si="0"/>
        <v/>
      </c>
      <c r="J16" s="27">
        <f t="shared" si="1"/>
        <v>0</v>
      </c>
      <c r="K16" s="27">
        <f t="shared" si="2"/>
        <v>0</v>
      </c>
      <c r="L16" s="27">
        <f t="shared" si="3"/>
        <v>0</v>
      </c>
      <c r="M16" s="149">
        <f t="shared" si="4"/>
        <v>0</v>
      </c>
      <c r="N16" s="149">
        <f t="shared" si="5"/>
        <v>0</v>
      </c>
      <c r="O16" s="27" t="str">
        <f t="shared" si="6"/>
        <v>0 - 0</v>
      </c>
      <c r="P16" s="145"/>
      <c r="Q16" s="145"/>
    </row>
    <row r="17" spans="2:17" ht="15" hidden="1" thickBot="1" x14ac:dyDescent="0.4">
      <c r="B17" s="52" t="str">
        <f>Setup!A32</f>
        <v>Caseload 13</v>
      </c>
      <c r="C17" s="130"/>
      <c r="D17" s="118"/>
      <c r="E17" s="97"/>
      <c r="F17" s="97"/>
      <c r="G17" s="39"/>
      <c r="H17" s="133">
        <f>IF(G17="Weeks",C17*((E17*7)+(F17*7-E17*7)/2),C17*(E17+(F17-E17)/2))</f>
        <v>0</v>
      </c>
      <c r="I17" s="100" t="str">
        <f t="shared" si="0"/>
        <v/>
      </c>
      <c r="J17" s="27">
        <f t="shared" si="1"/>
        <v>0</v>
      </c>
      <c r="K17" s="27">
        <f t="shared" si="2"/>
        <v>0</v>
      </c>
      <c r="L17" s="27">
        <f t="shared" si="3"/>
        <v>0</v>
      </c>
      <c r="M17" s="149">
        <f t="shared" si="4"/>
        <v>0</v>
      </c>
      <c r="N17" s="149">
        <f t="shared" si="5"/>
        <v>0</v>
      </c>
      <c r="O17" s="27" t="str">
        <f t="shared" si="6"/>
        <v>0 - 0</v>
      </c>
      <c r="P17" s="145"/>
      <c r="Q17" s="145"/>
    </row>
    <row r="18" spans="2:17" ht="15" hidden="1" thickBot="1" x14ac:dyDescent="0.4">
      <c r="B18" s="52" t="str">
        <f>Setup!A33</f>
        <v>Caseload 14</v>
      </c>
      <c r="C18" s="130"/>
      <c r="D18" s="118"/>
      <c r="E18" s="97"/>
      <c r="F18" s="97"/>
      <c r="G18" s="39"/>
      <c r="H18" s="133">
        <f>IF(G18="Weeks",C18*((E18*7)+(F18*7-E18*7)/2),C18*(E18+(F18-E18)/2))</f>
        <v>0</v>
      </c>
      <c r="I18" s="100" t="str">
        <f t="shared" si="0"/>
        <v/>
      </c>
      <c r="J18" s="27">
        <f t="shared" si="1"/>
        <v>0</v>
      </c>
      <c r="K18" s="27">
        <f t="shared" si="2"/>
        <v>0</v>
      </c>
      <c r="L18" s="27">
        <f t="shared" si="3"/>
        <v>0</v>
      </c>
      <c r="M18" s="149">
        <f t="shared" si="4"/>
        <v>0</v>
      </c>
      <c r="N18" s="149">
        <f t="shared" si="5"/>
        <v>0</v>
      </c>
      <c r="O18" s="27" t="str">
        <f t="shared" si="6"/>
        <v>0 - 0</v>
      </c>
      <c r="P18" s="145"/>
      <c r="Q18" s="145"/>
    </row>
    <row r="19" spans="2:17" ht="15" hidden="1" thickBot="1" x14ac:dyDescent="0.4">
      <c r="B19" s="53" t="str">
        <f>Setup!A34</f>
        <v>Caseload 15</v>
      </c>
      <c r="C19" s="131"/>
      <c r="D19" s="118"/>
      <c r="E19" s="98"/>
      <c r="F19" s="98"/>
      <c r="G19" s="40"/>
      <c r="H19" s="134">
        <f>IF(G19="Weeks",C19*((E19*7)+(F19*7-E19*7)/2),C19*(E19+(F19-E19)/2))</f>
        <v>0</v>
      </c>
      <c r="I19" s="101" t="str">
        <f t="shared" si="0"/>
        <v/>
      </c>
      <c r="J19" s="27">
        <f t="shared" si="1"/>
        <v>0</v>
      </c>
      <c r="K19" s="27">
        <f t="shared" si="2"/>
        <v>0</v>
      </c>
      <c r="L19" s="27">
        <f t="shared" si="3"/>
        <v>0</v>
      </c>
      <c r="M19" s="149">
        <f t="shared" si="4"/>
        <v>0</v>
      </c>
      <c r="N19" s="149">
        <f t="shared" si="5"/>
        <v>0</v>
      </c>
      <c r="O19" s="27" t="str">
        <f t="shared" si="6"/>
        <v>0 - 0</v>
      </c>
      <c r="P19" s="145"/>
      <c r="Q19" s="145"/>
    </row>
    <row r="20" spans="2:17" ht="15" thickBot="1" x14ac:dyDescent="0.4">
      <c r="B20" s="120" t="s">
        <v>197</v>
      </c>
      <c r="C20" s="38">
        <v>60</v>
      </c>
      <c r="D20" s="38">
        <v>195</v>
      </c>
      <c r="E20" s="38">
        <v>0</v>
      </c>
      <c r="F20" s="38">
        <v>1</v>
      </c>
      <c r="G20" s="17" t="s">
        <v>181</v>
      </c>
      <c r="H20" s="135">
        <f>IF(G20="Weeks",C20*((E20*7)+(F20*7-E20*7)/2),C20*(E20+(F20-E20)/2))</f>
        <v>210</v>
      </c>
      <c r="I20" s="119" t="str">
        <f t="shared" si="0"/>
        <v>200 - 221</v>
      </c>
      <c r="J20" s="27">
        <f t="shared" ref="J20" si="7">H20-(H20/100*5)</f>
        <v>199.5</v>
      </c>
      <c r="K20" s="27">
        <f t="shared" ref="K20" si="8">H20+(H20/100*5)</f>
        <v>220.5</v>
      </c>
      <c r="L20" s="27">
        <f t="shared" ref="L20" si="9">K20-J20</f>
        <v>21</v>
      </c>
      <c r="M20" s="149">
        <f t="shared" si="4"/>
        <v>0</v>
      </c>
      <c r="N20" s="149">
        <f t="shared" si="5"/>
        <v>0</v>
      </c>
      <c r="O20" s="27" t="str">
        <f t="shared" si="6"/>
        <v>0 - 0</v>
      </c>
      <c r="P20" s="145"/>
      <c r="Q20" s="145"/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E14" sqref="E14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139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45</v>
      </c>
      <c r="D3" s="56" t="s">
        <v>176</v>
      </c>
      <c r="E3" s="56" t="s">
        <v>46</v>
      </c>
      <c r="F3" s="56" t="s">
        <v>49</v>
      </c>
      <c r="G3" s="56" t="s">
        <v>47</v>
      </c>
      <c r="H3" s="56" t="s">
        <v>48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123" t="str" cm="1">
        <f t="array" ref="B4">INDEX('Data Validation (Hide)'!$B$2:$B$16,ROUNDUP(ROW(A1)/5,0),1)</f>
        <v>20 Group Sessions</v>
      </c>
      <c r="C4" s="3" t="s">
        <v>150</v>
      </c>
      <c r="D4" s="18">
        <v>420</v>
      </c>
      <c r="E4" s="18">
        <v>7</v>
      </c>
      <c r="F4" s="15" t="s">
        <v>87</v>
      </c>
      <c r="G4" s="4">
        <f>INDEX('Data Validation (Hide)'!$K$2:$L$9,MATCH(Service!F4,'Data Validation (Hide)'!$K$2:$K$8,0),2)</f>
        <v>1</v>
      </c>
      <c r="H4" s="85">
        <f>IFERROR((G4*D4)/E4,"")</f>
        <v>60</v>
      </c>
      <c r="I4" s="139">
        <f>SUMIF($E$4:$E$8,1,$H$4:$H$8)</f>
        <v>75</v>
      </c>
      <c r="J4" s="142">
        <f>SUMIF($E$4:$E$8,"&gt;"&amp;1,$H$4:$H$8)</f>
        <v>60</v>
      </c>
    </row>
    <row r="5" spans="1:10" x14ac:dyDescent="0.35">
      <c r="B5" s="124" t="str" cm="1">
        <f t="array" ref="B5">INDEX('Data Validation (Hide)'!$B$2:$B$16,ROUNDUP(ROW(A2)/5,0),1)</f>
        <v>20 Group Sessions</v>
      </c>
      <c r="C5" s="7" t="s">
        <v>152</v>
      </c>
      <c r="D5" s="20">
        <v>15</v>
      </c>
      <c r="E5" s="20">
        <v>1</v>
      </c>
      <c r="F5" s="6" t="s">
        <v>121</v>
      </c>
      <c r="G5" s="19">
        <f>INDEX('Data Validation (Hide)'!$K$2:$L$9,MATCH(Service!F5,'Data Validation (Hide)'!$K$2:$K$8,0),2)</f>
        <v>5</v>
      </c>
      <c r="H5" s="86">
        <f t="shared" ref="H5:H35" si="0">IFERROR((G5*D5)/E5,"")</f>
        <v>75</v>
      </c>
      <c r="I5" s="140"/>
      <c r="J5" s="143"/>
    </row>
    <row r="6" spans="1:10" x14ac:dyDescent="0.35">
      <c r="B6" s="122" t="str" cm="1">
        <f t="array" ref="B6">INDEX('Data Validation (Hide)'!$B$2:$B$16,ROUNDUP(ROW(A3)/5,0),1)</f>
        <v>20 Group Sessions</v>
      </c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40"/>
      <c r="J6" s="143"/>
    </row>
    <row r="7" spans="1:10" x14ac:dyDescent="0.35">
      <c r="B7" s="124" t="str" cm="1">
        <f t="array" ref="B7">INDEX('Data Validation (Hide)'!$B$2:$B$16,ROUNDUP(ROW(A4)/5,0),1)</f>
        <v>20 Group Sessions</v>
      </c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40"/>
      <c r="J7" s="143"/>
    </row>
    <row r="8" spans="1:10" ht="15" thickBot="1" x14ac:dyDescent="0.4">
      <c r="B8" s="125" t="str" cm="1">
        <f t="array" ref="B8">INDEX('Data Validation (Hide)'!$B$2:$B$16,ROUNDUP(ROW(A5)/5,0),1)</f>
        <v>20 Group Sessions</v>
      </c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41"/>
      <c r="J8" s="144"/>
    </row>
    <row r="9" spans="1:10" x14ac:dyDescent="0.35">
      <c r="B9" s="123" t="str" cm="1">
        <f t="array" ref="B9">INDEX('Data Validation (Hide)'!$B$2:$B$16,ROUNDUP(ROW(A6)/5,0),1)</f>
        <v>40 Group Session</v>
      </c>
      <c r="C9" s="3" t="s">
        <v>151</v>
      </c>
      <c r="D9" s="18">
        <v>240</v>
      </c>
      <c r="E9" s="18">
        <v>7</v>
      </c>
      <c r="F9" s="15" t="s">
        <v>87</v>
      </c>
      <c r="G9" s="4">
        <f>INDEX('Data Validation (Hide)'!$K$2:$L$9,MATCH(Service!F9,'Data Validation (Hide)'!$K$2:$K$8,0),2)</f>
        <v>1</v>
      </c>
      <c r="H9" s="85">
        <f t="shared" si="0"/>
        <v>34.285714285714285</v>
      </c>
      <c r="I9" s="139">
        <f>SUMIF($E$9:$E$13,1,$H$9:$H$13)</f>
        <v>120</v>
      </c>
      <c r="J9" s="139">
        <f>SUMIF($E$9:$E$13,"&gt;"&amp;1,$H$9:$H$13)</f>
        <v>34.285714285714285</v>
      </c>
    </row>
    <row r="10" spans="1:10" x14ac:dyDescent="0.35">
      <c r="B10" s="124" t="str" cm="1">
        <f t="array" ref="B10">INDEX('Data Validation (Hide)'!$B$2:$B$16,ROUNDUP(ROW(A7)/5,0),1)</f>
        <v>40 Group Session</v>
      </c>
      <c r="C10" s="7" t="s">
        <v>201</v>
      </c>
      <c r="D10" s="20">
        <v>120</v>
      </c>
      <c r="E10" s="20">
        <v>1</v>
      </c>
      <c r="F10" s="6" t="s">
        <v>87</v>
      </c>
      <c r="G10" s="5">
        <f>INDEX('Data Validation (Hide)'!$K$2:$L$9,MATCH(Service!F10,'Data Validation (Hide)'!$K$2:$K$8,0),2)</f>
        <v>1</v>
      </c>
      <c r="H10" s="86">
        <f t="shared" si="0"/>
        <v>120</v>
      </c>
      <c r="I10" s="140"/>
      <c r="J10" s="140"/>
    </row>
    <row r="11" spans="1:10" x14ac:dyDescent="0.35">
      <c r="B11" s="122" t="str" cm="1">
        <f t="array" ref="B11">INDEX('Data Validation (Hide)'!$B$2:$B$16,ROUNDUP(ROW(A8)/5,0),1)</f>
        <v>40 Group Session</v>
      </c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40"/>
      <c r="J11" s="140"/>
    </row>
    <row r="12" spans="1:10" x14ac:dyDescent="0.35">
      <c r="B12" s="124" t="str" cm="1">
        <f t="array" ref="B12">INDEX('Data Validation (Hide)'!$B$2:$B$16,ROUNDUP(ROW(A9)/5,0),1)</f>
        <v>40 Group Session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40"/>
      <c r="J12" s="140"/>
    </row>
    <row r="13" spans="1:10" ht="15" thickBot="1" x14ac:dyDescent="0.4">
      <c r="B13" s="125" t="str" cm="1">
        <f t="array" ref="B13">INDEX('Data Validation (Hide)'!$B$2:$B$16,ROUNDUP(ROW(A10)/5,0),1)</f>
        <v>40 Group Session</v>
      </c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41"/>
      <c r="J13" s="141"/>
    </row>
    <row r="14" spans="1:10" x14ac:dyDescent="0.35">
      <c r="B14" s="123" t="str" cm="1">
        <f t="array" ref="B14">INDEX('Data Validation (Hide)'!$B$2:$B$16,ROUNDUP(ROW(A11)/5,0),1)</f>
        <v>8 Group Session</v>
      </c>
      <c r="C14" s="3" t="s">
        <v>150</v>
      </c>
      <c r="D14" s="18">
        <v>240</v>
      </c>
      <c r="E14" s="18">
        <v>7</v>
      </c>
      <c r="F14" s="15" t="s">
        <v>87</v>
      </c>
      <c r="G14" s="4">
        <f>INDEX('Data Validation (Hide)'!$K$2:$L$9,MATCH(Service!F14,'Data Validation (Hide)'!$K$2:$K$8,0),2)</f>
        <v>1</v>
      </c>
      <c r="H14" s="85">
        <f t="shared" si="0"/>
        <v>34.285714285714285</v>
      </c>
      <c r="I14" s="139">
        <f>SUMIF($E$14:$E$18,1,$H$14:$H$18)</f>
        <v>0</v>
      </c>
      <c r="J14" s="139">
        <f>SUMIF($E$14:$E$18,"&gt;"&amp;1,$H$14:$H$18)</f>
        <v>34.285714285714285</v>
      </c>
    </row>
    <row r="15" spans="1:10" x14ac:dyDescent="0.35">
      <c r="B15" s="124" t="str" cm="1">
        <f t="array" ref="B15">INDEX('Data Validation (Hide)'!$B$2:$B$16,ROUNDUP(ROW(A12)/5,0),1)</f>
        <v>8 Group Session</v>
      </c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40"/>
      <c r="J15" s="140"/>
    </row>
    <row r="16" spans="1:10" x14ac:dyDescent="0.35">
      <c r="B16" s="122" t="str" cm="1">
        <f t="array" ref="B16">INDEX('Data Validation (Hide)'!$B$2:$B$16,ROUNDUP(ROW(A13)/5,0),1)</f>
        <v>8 Group Session</v>
      </c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40"/>
      <c r="J16" s="140"/>
    </row>
    <row r="17" spans="2:10" x14ac:dyDescent="0.35">
      <c r="B17" s="124" t="str" cm="1">
        <f t="array" ref="B17">INDEX('Data Validation (Hide)'!$B$2:$B$16,ROUNDUP(ROW(A14)/5,0),1)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40"/>
      <c r="J17" s="140"/>
    </row>
    <row r="18" spans="2:10" ht="15" thickBot="1" x14ac:dyDescent="0.4">
      <c r="B18" s="125" t="str" cm="1">
        <f t="array" ref="B18">INDEX('Data Validation (Hide)'!$B$2:$B$16,ROUNDUP(ROW(A15)/5,0),1)</f>
        <v>8 Group Session</v>
      </c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41"/>
      <c r="J18" s="141"/>
    </row>
    <row r="19" spans="2:10" x14ac:dyDescent="0.35">
      <c r="B19" s="123" t="str" cm="1">
        <f t="array" ref="B19">INDEX('Data Validation (Hide)'!$B$2:$B$16,ROUNDUP(ROW(A16)/5,0),1)</f>
        <v>20 Individual</v>
      </c>
      <c r="C19" s="3" t="s">
        <v>152</v>
      </c>
      <c r="D19" s="18">
        <v>60</v>
      </c>
      <c r="E19" s="18">
        <v>1</v>
      </c>
      <c r="F19" s="15" t="s">
        <v>87</v>
      </c>
      <c r="G19" s="4">
        <f>INDEX('Data Validation (Hide)'!$K$2:$L$9,MATCH(Service!F19,'Data Validation (Hide)'!$K$2:$K$8,0),2)</f>
        <v>1</v>
      </c>
      <c r="H19" s="85">
        <f t="shared" si="0"/>
        <v>60</v>
      </c>
      <c r="I19" s="139">
        <f>SUMIF($E$19:$E$23,1,$H$19:$H$23)</f>
        <v>60</v>
      </c>
      <c r="J19" s="139">
        <f>SUMIF($E$19:$E$23,"&gt;"&amp;1,$H$19:$H$23)</f>
        <v>0</v>
      </c>
    </row>
    <row r="20" spans="2:10" x14ac:dyDescent="0.35">
      <c r="B20" s="124" t="str" cm="1">
        <f t="array" ref="B20">INDEX('Data Validation (Hide)'!$B$2:$B$16,ROUNDUP(ROW(A17)/5,0),1)</f>
        <v>20 Individual</v>
      </c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40"/>
      <c r="J20" s="140"/>
    </row>
    <row r="21" spans="2:10" x14ac:dyDescent="0.35">
      <c r="B21" s="122" t="str" cm="1">
        <f t="array" ref="B21">INDEX('Data Validation (Hide)'!$B$2:$B$16,ROUNDUP(ROW(A18)/5,0),1)</f>
        <v>20 Individual</v>
      </c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40"/>
      <c r="J21" s="140"/>
    </row>
    <row r="22" spans="2:10" x14ac:dyDescent="0.35">
      <c r="B22" s="124" t="str" cm="1">
        <f t="array" ref="B22">INDEX('Data Validation (Hide)'!$B$2:$B$16,ROUNDUP(ROW(A19)/5,0),1)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40"/>
      <c r="J22" s="140"/>
    </row>
    <row r="23" spans="2:10" ht="15" thickBot="1" x14ac:dyDescent="0.4">
      <c r="B23" s="125" t="str" cm="1">
        <f t="array" ref="B23">INDEX('Data Validation (Hide)'!$B$2:$B$16,ROUNDUP(ROW(A20)/5,0),1)</f>
        <v>20 Individual</v>
      </c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41"/>
      <c r="J23" s="141"/>
    </row>
    <row r="24" spans="2:10" x14ac:dyDescent="0.35">
      <c r="B24" s="123" t="str" cm="1">
        <f t="array" ref="B24">INDEX('Data Validation (Hide)'!$B$2:$B$16,ROUNDUP(ROW(A21)/5,0),1)</f>
        <v>40 Individual</v>
      </c>
      <c r="C24" s="3" t="s">
        <v>152</v>
      </c>
      <c r="D24" s="18">
        <v>60</v>
      </c>
      <c r="E24" s="18">
        <v>1</v>
      </c>
      <c r="F24" s="15" t="s">
        <v>87</v>
      </c>
      <c r="G24" s="4">
        <f>INDEX('Data Validation (Hide)'!$K$2:$L$9,MATCH(Service!F24,'Data Validation (Hide)'!$K$2:$K$8,0),2)</f>
        <v>1</v>
      </c>
      <c r="H24" s="85">
        <f t="shared" si="0"/>
        <v>60</v>
      </c>
      <c r="I24" s="139">
        <f>SUMIF($E$24:$E$28,1,$H$24:$H$28)</f>
        <v>60</v>
      </c>
      <c r="J24" s="139">
        <f>SUMIF($E$24:$E$28,"&gt;"&amp;1,$H$24:$H$28)</f>
        <v>0</v>
      </c>
    </row>
    <row r="25" spans="2:10" x14ac:dyDescent="0.35">
      <c r="B25" s="124" t="str" cm="1">
        <f t="array" ref="B25">INDEX('Data Validation (Hide)'!$B$2:$B$16,ROUNDUP(ROW(A22)/5,0),1)</f>
        <v>40 Individual</v>
      </c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40"/>
      <c r="J25" s="140"/>
    </row>
    <row r="26" spans="2:10" x14ac:dyDescent="0.35">
      <c r="B26" s="122" t="str" cm="1">
        <f t="array" ref="B26">INDEX('Data Validation (Hide)'!$B$2:$B$16,ROUNDUP(ROW(A23)/5,0),1)</f>
        <v>40 Individual</v>
      </c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40"/>
      <c r="J26" s="140"/>
    </row>
    <row r="27" spans="2:10" x14ac:dyDescent="0.35">
      <c r="B27" s="124" t="str" cm="1">
        <f t="array" ref="B27">INDEX('Data Validation (Hide)'!$B$2:$B$16,ROUNDUP(ROW(A24)/5,0),1)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40"/>
      <c r="J27" s="140"/>
    </row>
    <row r="28" spans="2:10" ht="15" thickBot="1" x14ac:dyDescent="0.4">
      <c r="B28" s="125" t="str" cm="1">
        <f t="array" ref="B28">INDEX('Data Validation (Hide)'!$B$2:$B$16,ROUNDUP(ROW(A25)/5,0),1)</f>
        <v>40 Individual</v>
      </c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41"/>
      <c r="J28" s="141"/>
    </row>
    <row r="29" spans="2:10" hidden="1" x14ac:dyDescent="0.35">
      <c r="B29" s="123" t="str" cm="1">
        <f t="array" ref="B29">INDEX('Data Validation (Hide)'!$B$2:$B$16,ROUNDUP(ROW(A26)/5,0),1)</f>
        <v>Initial assessment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136">
        <f>SUMIF($E$29:$E$33,1,$H$29:$H$33)</f>
        <v>0</v>
      </c>
      <c r="J29" s="136">
        <f>SUMIF($E$29:$E$33,"&gt;"&amp;1,$H$29:$H$33)</f>
        <v>0</v>
      </c>
    </row>
    <row r="30" spans="2:10" hidden="1" x14ac:dyDescent="0.35">
      <c r="B30" s="124" t="str" cm="1">
        <f t="array" ref="B30">INDEX('Data Validation (Hide)'!$B$2:$B$16,ROUNDUP(ROW(A27)/5,0),1)</f>
        <v>Initial assessment</v>
      </c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137"/>
      <c r="J30" s="137"/>
    </row>
    <row r="31" spans="2:10" hidden="1" x14ac:dyDescent="0.35">
      <c r="B31" s="122" t="str" cm="1">
        <f t="array" ref="B31">INDEX('Data Validation (Hide)'!$B$2:$B$16,ROUNDUP(ROW(A28)/5,0),1)</f>
        <v>Initial assessment</v>
      </c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137"/>
      <c r="J31" s="137"/>
    </row>
    <row r="32" spans="2:10" hidden="1" x14ac:dyDescent="0.35">
      <c r="B32" s="124" t="str" cm="1">
        <f t="array" ref="B32">INDEX('Data Validation (Hide)'!$B$2:$B$16,ROUNDUP(ROW(A29)/5,0),1)</f>
        <v>Initial assessment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37"/>
      <c r="J32" s="137"/>
    </row>
    <row r="33" spans="2:10" ht="15" hidden="1" thickBot="1" x14ac:dyDescent="0.4">
      <c r="B33" s="125" t="str" cm="1">
        <f t="array" ref="B33">INDEX('Data Validation (Hide)'!$B$2:$B$16,ROUNDUP(ROW(A30)/5,0),1)</f>
        <v>Initial assessment</v>
      </c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138"/>
      <c r="J33" s="138"/>
    </row>
    <row r="34" spans="2:10" hidden="1" x14ac:dyDescent="0.35">
      <c r="B34" s="123" t="str" cm="1">
        <f t="array" ref="B34">INDEX('Data Validation (Hide)'!$B$2:$B$16,ROUNDUP(ROW(A31)/5,0),1)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136">
        <f>SUMIF($E$34:$E$38,1,$H$34:$H$38)</f>
        <v>0</v>
      </c>
      <c r="J34" s="136">
        <f>SUMIF($E$34:$E$38,"&gt;"&amp;1,$H$34:$H$38)</f>
        <v>0</v>
      </c>
    </row>
    <row r="35" spans="2:10" hidden="1" x14ac:dyDescent="0.35">
      <c r="B35" s="124" t="str" cm="1">
        <f t="array" ref="B35">INDEX('Data Validation (Hide)'!$B$2:$B$16,ROUNDUP(ROW(A32)/5,0),1)</f>
        <v>Caseload 7</v>
      </c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137"/>
      <c r="J35" s="137"/>
    </row>
    <row r="36" spans="2:10" hidden="1" x14ac:dyDescent="0.35">
      <c r="B36" s="122" t="str" cm="1">
        <f t="array" ref="B36">INDEX('Data Validation (Hide)'!$B$2:$B$16,ROUNDUP(ROW(A33)/5,0),1)</f>
        <v>Caseload 7</v>
      </c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137"/>
      <c r="J36" s="137"/>
    </row>
    <row r="37" spans="2:10" hidden="1" x14ac:dyDescent="0.35">
      <c r="B37" s="124" t="str" cm="1">
        <f t="array" ref="B37">INDEX('Data Validation (Hide)'!$B$2:$B$16,ROUNDUP(ROW(A34)/5,0),1)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137"/>
      <c r="J37" s="137"/>
    </row>
    <row r="38" spans="2:10" ht="15" hidden="1" thickBot="1" x14ac:dyDescent="0.4">
      <c r="B38" s="125" t="str" cm="1">
        <f t="array" ref="B38">INDEX('Data Validation (Hide)'!$B$2:$B$16,ROUNDUP(ROW(A35)/5,0),1)</f>
        <v>Caseload 7</v>
      </c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138"/>
      <c r="J38" s="138"/>
    </row>
    <row r="39" spans="2:10" hidden="1" x14ac:dyDescent="0.35">
      <c r="B39" s="123" t="str" cm="1">
        <f t="array" ref="B39">INDEX('Data Validation (Hide)'!$B$2:$B$16,ROUNDUP(ROW(A36)/5,0),1)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136">
        <f>SUMIF($E$39:$E$43,1,$H$39:$H$43)</f>
        <v>0</v>
      </c>
      <c r="J39" s="136">
        <f>SUMIF($E$39:$E$43,"&gt;"&amp;1,$H$39:$H$43)</f>
        <v>0</v>
      </c>
    </row>
    <row r="40" spans="2:10" hidden="1" x14ac:dyDescent="0.35">
      <c r="B40" s="124" t="str" cm="1">
        <f t="array" ref="B40">INDEX('Data Validation (Hide)'!$B$2:$B$16,ROUNDUP(ROW(A37)/5,0),1)</f>
        <v>Caseload 8</v>
      </c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137"/>
      <c r="J40" s="137"/>
    </row>
    <row r="41" spans="2:10" hidden="1" x14ac:dyDescent="0.35">
      <c r="B41" s="122" t="str" cm="1">
        <f t="array" ref="B41">INDEX('Data Validation (Hide)'!$B$2:$B$16,ROUNDUP(ROW(A38)/5,0),1)</f>
        <v>Caseload 8</v>
      </c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137"/>
      <c r="J41" s="137"/>
    </row>
    <row r="42" spans="2:10" hidden="1" x14ac:dyDescent="0.35">
      <c r="B42" s="124" t="str" cm="1">
        <f t="array" ref="B42">INDEX('Data Validation (Hide)'!$B$2:$B$16,ROUNDUP(ROW(A39)/5,0),1)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37"/>
      <c r="J42" s="137"/>
    </row>
    <row r="43" spans="2:10" ht="15" hidden="1" thickBot="1" x14ac:dyDescent="0.4">
      <c r="B43" s="125" t="str" cm="1">
        <f t="array" ref="B43">INDEX('Data Validation (Hide)'!$B$2:$B$16,ROUNDUP(ROW(A40)/5,0),1)</f>
        <v>Caseload 8</v>
      </c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138"/>
      <c r="J43" s="138"/>
    </row>
    <row r="44" spans="2:10" hidden="1" x14ac:dyDescent="0.35">
      <c r="B44" s="123" t="str" cm="1">
        <f t="array" ref="B44">INDEX('Data Validation (Hide)'!$B$2:$B$16,ROUNDUP(ROW(A41)/5,0),1)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136">
        <f>SUMIF($E$44:$E$48,1,$H$44:$H$48)</f>
        <v>0</v>
      </c>
      <c r="J44" s="136">
        <f>SUMIF($E$44:$E$48,"&gt;"&amp;1,$H$44:$H$48)</f>
        <v>0</v>
      </c>
    </row>
    <row r="45" spans="2:10" hidden="1" x14ac:dyDescent="0.35">
      <c r="B45" s="124" t="str" cm="1">
        <f t="array" ref="B45">INDEX('Data Validation (Hide)'!$B$2:$B$16,ROUNDUP(ROW(A42)/5,0),1)</f>
        <v>Caseload 9</v>
      </c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137"/>
      <c r="J45" s="137"/>
    </row>
    <row r="46" spans="2:10" hidden="1" x14ac:dyDescent="0.35">
      <c r="B46" s="122" t="str" cm="1">
        <f t="array" ref="B46">INDEX('Data Validation (Hide)'!$B$2:$B$16,ROUNDUP(ROW(A43)/5,0),1)</f>
        <v>Caseload 9</v>
      </c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137"/>
      <c r="J46" s="137"/>
    </row>
    <row r="47" spans="2:10" hidden="1" x14ac:dyDescent="0.35">
      <c r="B47" s="124" t="str" cm="1">
        <f t="array" ref="B47">INDEX('Data Validation (Hide)'!$B$2:$B$16,ROUNDUP(ROW(A44)/5,0),1)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37"/>
      <c r="J47" s="137"/>
    </row>
    <row r="48" spans="2:10" ht="15" hidden="1" thickBot="1" x14ac:dyDescent="0.4">
      <c r="B48" s="125" t="str" cm="1">
        <f t="array" ref="B48">INDEX('Data Validation (Hide)'!$B$2:$B$16,ROUNDUP(ROW(A45)/5,0),1)</f>
        <v>Caseload 9</v>
      </c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138"/>
      <c r="J48" s="138"/>
    </row>
    <row r="49" spans="2:10" hidden="1" x14ac:dyDescent="0.35">
      <c r="B49" s="123" t="str" cm="1">
        <f t="array" ref="B49">INDEX('Data Validation (Hide)'!$B$2:$B$16,ROUNDUP(ROW(A46)/5,0),1)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136">
        <f>SUMIF($E$49:$E$53,1,$H$49:$H$53)</f>
        <v>0</v>
      </c>
      <c r="J49" s="136">
        <f>SUMIF($E$49:$E$53,"&gt;"&amp;1,$H$49:$H$53)</f>
        <v>0</v>
      </c>
    </row>
    <row r="50" spans="2:10" hidden="1" x14ac:dyDescent="0.35">
      <c r="B50" s="124" t="str" cm="1">
        <f t="array" ref="B50">INDEX('Data Validation (Hide)'!$B$2:$B$16,ROUNDUP(ROW(A47)/5,0),1)</f>
        <v>Caseload 10</v>
      </c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137"/>
      <c r="J50" s="137"/>
    </row>
    <row r="51" spans="2:10" hidden="1" x14ac:dyDescent="0.35">
      <c r="B51" s="122" t="str" cm="1">
        <f t="array" ref="B51">INDEX('Data Validation (Hide)'!$B$2:$B$16,ROUNDUP(ROW(A48)/5,0),1)</f>
        <v>Caseload 10</v>
      </c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137"/>
      <c r="J51" s="137"/>
    </row>
    <row r="52" spans="2:10" hidden="1" x14ac:dyDescent="0.35">
      <c r="B52" s="124" t="str" cm="1">
        <f t="array" ref="B52">INDEX('Data Validation (Hide)'!$B$2:$B$16,ROUNDUP(ROW(A49)/5,0),1)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37"/>
      <c r="J52" s="137"/>
    </row>
    <row r="53" spans="2:10" ht="15" hidden="1" thickBot="1" x14ac:dyDescent="0.4">
      <c r="B53" s="125" t="str" cm="1">
        <f t="array" ref="B53">INDEX('Data Validation (Hide)'!$B$2:$B$16,ROUNDUP(ROW(A50)/5,0),1)</f>
        <v>Caseload 10</v>
      </c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138"/>
      <c r="J53" s="138"/>
    </row>
    <row r="54" spans="2:10" hidden="1" x14ac:dyDescent="0.35">
      <c r="B54" s="123" t="str" cm="1">
        <f t="array" ref="B54">INDEX('Data Validation (Hide)'!$B$2:$B$16,ROUNDUP(ROW(A51)/5,0),1)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136">
        <f>SUMIF($E$54:$E$58,1,$H$54:$H$58)</f>
        <v>0</v>
      </c>
      <c r="J54" s="136">
        <f>SUMIF($E$54:$E$58,"&gt;"&amp;1,$H$54:$H$58)</f>
        <v>0</v>
      </c>
    </row>
    <row r="55" spans="2:10" hidden="1" x14ac:dyDescent="0.35">
      <c r="B55" s="124" t="str" cm="1">
        <f t="array" ref="B55">INDEX('Data Validation (Hide)'!$B$2:$B$16,ROUNDUP(ROW(A52)/5,0),1)</f>
        <v>Caseload 11</v>
      </c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137"/>
      <c r="J55" s="137"/>
    </row>
    <row r="56" spans="2:10" hidden="1" x14ac:dyDescent="0.35">
      <c r="B56" s="122" t="str" cm="1">
        <f t="array" ref="B56">INDEX('Data Validation (Hide)'!$B$2:$B$16,ROUNDUP(ROW(A53)/5,0),1)</f>
        <v>Caseload 11</v>
      </c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137"/>
      <c r="J56" s="137"/>
    </row>
    <row r="57" spans="2:10" hidden="1" x14ac:dyDescent="0.35">
      <c r="B57" s="124" t="str" cm="1">
        <f t="array" ref="B57">INDEX('Data Validation (Hide)'!$B$2:$B$16,ROUNDUP(ROW(A54)/5,0),1)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37"/>
      <c r="J57" s="137"/>
    </row>
    <row r="58" spans="2:10" ht="15" hidden="1" thickBot="1" x14ac:dyDescent="0.4">
      <c r="B58" s="125" t="str" cm="1">
        <f t="array" ref="B58">INDEX('Data Validation (Hide)'!$B$2:$B$16,ROUNDUP(ROW(A55)/5,0),1)</f>
        <v>Caseload 11</v>
      </c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138"/>
      <c r="J58" s="138"/>
    </row>
    <row r="59" spans="2:10" hidden="1" x14ac:dyDescent="0.35">
      <c r="B59" s="123" t="str" cm="1">
        <f t="array" ref="B59">INDEX('Data Validation (Hide)'!$B$2:$B$16,ROUNDUP(ROW(A56)/5,0),1)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136">
        <f>SUMIF($E$59:$E$63,1,$H$59:$H$63)</f>
        <v>0</v>
      </c>
      <c r="J59" s="136">
        <f>SUMIF($E$59:$E$63,"&gt;"&amp;1,$H$59:$H$63)</f>
        <v>0</v>
      </c>
    </row>
    <row r="60" spans="2:10" hidden="1" x14ac:dyDescent="0.35">
      <c r="B60" s="124" t="str" cm="1">
        <f t="array" ref="B60">INDEX('Data Validation (Hide)'!$B$2:$B$16,ROUNDUP(ROW(A57)/5,0),1)</f>
        <v>Caseload 12</v>
      </c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137"/>
      <c r="J60" s="137"/>
    </row>
    <row r="61" spans="2:10" hidden="1" x14ac:dyDescent="0.35">
      <c r="B61" s="122" t="str" cm="1">
        <f t="array" ref="B61">INDEX('Data Validation (Hide)'!$B$2:$B$16,ROUNDUP(ROW(A58)/5,0),1)</f>
        <v>Caseload 12</v>
      </c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137"/>
      <c r="J61" s="137"/>
    </row>
    <row r="62" spans="2:10" hidden="1" x14ac:dyDescent="0.35">
      <c r="B62" s="124" t="str" cm="1">
        <f t="array" ref="B62">INDEX('Data Validation (Hide)'!$B$2:$B$16,ROUNDUP(ROW(A59)/5,0),1)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37"/>
      <c r="J62" s="137"/>
    </row>
    <row r="63" spans="2:10" ht="15" hidden="1" thickBot="1" x14ac:dyDescent="0.4">
      <c r="B63" s="125" t="str" cm="1">
        <f t="array" ref="B63">INDEX('Data Validation (Hide)'!$B$2:$B$16,ROUNDUP(ROW(A60)/5,0),1)</f>
        <v>Caseload 12</v>
      </c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138"/>
      <c r="J63" s="138"/>
    </row>
    <row r="64" spans="2:10" hidden="1" x14ac:dyDescent="0.35">
      <c r="B64" s="123" t="str" cm="1">
        <f t="array" ref="B64">INDEX('Data Validation (Hide)'!$B$2:$B$16,ROUNDUP(ROW(A61)/5,0),1)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136">
        <f>SUMIF($E$64:$E$68,1,$H$64:$H$68)</f>
        <v>0</v>
      </c>
      <c r="J64" s="136">
        <f>SUMIF($E$64:$E$68,"&gt;"&amp;1,$H$64:$H$68)</f>
        <v>0</v>
      </c>
    </row>
    <row r="65" spans="2:10" hidden="1" x14ac:dyDescent="0.35">
      <c r="B65" s="124" t="str" cm="1">
        <f t="array" ref="B65">INDEX('Data Validation (Hide)'!$B$2:$B$16,ROUNDUP(ROW(A62)/5,0),1)</f>
        <v>Caseload 13</v>
      </c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137"/>
      <c r="J65" s="137"/>
    </row>
    <row r="66" spans="2:10" hidden="1" x14ac:dyDescent="0.35">
      <c r="B66" s="122" t="str" cm="1">
        <f t="array" ref="B66">INDEX('Data Validation (Hide)'!$B$2:$B$16,ROUNDUP(ROW(A63)/5,0),1)</f>
        <v>Caseload 13</v>
      </c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137"/>
      <c r="J66" s="137"/>
    </row>
    <row r="67" spans="2:10" hidden="1" x14ac:dyDescent="0.35">
      <c r="B67" s="124" t="str" cm="1">
        <f t="array" ref="B67">INDEX('Data Validation (Hide)'!$B$2:$B$16,ROUNDUP(ROW(A64)/5,0),1)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37"/>
      <c r="J67" s="137"/>
    </row>
    <row r="68" spans="2:10" ht="15" hidden="1" thickBot="1" x14ac:dyDescent="0.4">
      <c r="B68" s="125" t="str" cm="1">
        <f t="array" ref="B68">INDEX('Data Validation (Hide)'!$B$2:$B$16,ROUNDUP(ROW(A65)/5,0),1)</f>
        <v>Caseload 13</v>
      </c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138"/>
      <c r="J68" s="138"/>
    </row>
    <row r="69" spans="2:10" hidden="1" x14ac:dyDescent="0.35">
      <c r="B69" s="123" t="str" cm="1">
        <f t="array" ref="B69">INDEX('Data Validation (Hide)'!$B$2:$B$16,ROUNDUP(ROW(A66)/5,0),1)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136">
        <f>SUMIF($E$69:$E$73,1,$H$69:$H$73)</f>
        <v>0</v>
      </c>
      <c r="J69" s="136">
        <f>SUMIF($E$69:$E$73,"&gt;"&amp;1,$H$69:$H$73)</f>
        <v>0</v>
      </c>
    </row>
    <row r="70" spans="2:10" hidden="1" x14ac:dyDescent="0.35">
      <c r="B70" s="124" t="str" cm="1">
        <f t="array" ref="B70">INDEX('Data Validation (Hide)'!$B$2:$B$16,ROUNDUP(ROW(A67)/5,0),1)</f>
        <v>Caseload 14</v>
      </c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137"/>
      <c r="J70" s="137"/>
    </row>
    <row r="71" spans="2:10" hidden="1" x14ac:dyDescent="0.35">
      <c r="B71" s="122" t="str" cm="1">
        <f t="array" ref="B71">INDEX('Data Validation (Hide)'!$B$2:$B$16,ROUNDUP(ROW(A68)/5,0),1)</f>
        <v>Caseload 14</v>
      </c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137"/>
      <c r="J71" s="137"/>
    </row>
    <row r="72" spans="2:10" hidden="1" x14ac:dyDescent="0.35">
      <c r="B72" s="124" t="str" cm="1">
        <f t="array" ref="B72">INDEX('Data Validation (Hide)'!$B$2:$B$16,ROUNDUP(ROW(A69)/5,0),1)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37"/>
      <c r="J72" s="137"/>
    </row>
    <row r="73" spans="2:10" ht="15" hidden="1" thickBot="1" x14ac:dyDescent="0.4">
      <c r="B73" s="125" t="str" cm="1">
        <f t="array" ref="B73">INDEX('Data Validation (Hide)'!$B$2:$B$16,ROUNDUP(ROW(A70)/5,0),1)</f>
        <v>Caseload 14</v>
      </c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138"/>
      <c r="J73" s="138"/>
    </row>
    <row r="74" spans="2:10" hidden="1" x14ac:dyDescent="0.35">
      <c r="B74" s="123" t="str" cm="1">
        <f t="array" ref="B74">INDEX('Data Validation (Hide)'!$B$2:$B$16,ROUNDUP(ROW(A71)/5,0),1)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136">
        <f>SUMIF($E$74:$E$78,1,$H$74:$H$78)</f>
        <v>0</v>
      </c>
      <c r="J74" s="136">
        <f>SUMIF($E$74:$E$78,"&gt;"&amp;1,$H$74:$H$78)</f>
        <v>0</v>
      </c>
    </row>
    <row r="75" spans="2:10" hidden="1" x14ac:dyDescent="0.35">
      <c r="B75" s="124" t="str" cm="1">
        <f t="array" ref="B75">INDEX('Data Validation (Hide)'!$B$2:$B$16,ROUNDUP(ROW(A72)/5,0),1)</f>
        <v>Caseload 15</v>
      </c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137"/>
      <c r="J75" s="137"/>
    </row>
    <row r="76" spans="2:10" hidden="1" x14ac:dyDescent="0.35">
      <c r="B76" s="122" t="str" cm="1">
        <f t="array" ref="B76">INDEX('Data Validation (Hide)'!$B$2:$B$16,ROUNDUP(ROW(A73)/5,0),1)</f>
        <v>Caseload 15</v>
      </c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137"/>
      <c r="J76" s="137"/>
    </row>
    <row r="77" spans="2:10" hidden="1" x14ac:dyDescent="0.35">
      <c r="B77" s="124" t="str" cm="1">
        <f t="array" ref="B77">INDEX('Data Validation (Hide)'!$B$2:$B$16,ROUNDUP(ROW(A74)/5,0),1)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37"/>
      <c r="J77" s="137"/>
    </row>
    <row r="78" spans="2:10" ht="15" hidden="1" thickBot="1" x14ac:dyDescent="0.4">
      <c r="B78" s="125" t="str" cm="1">
        <f t="array" ref="B78">INDEX('Data Validation (Hide)'!$B$2:$B$16,ROUNDUP(ROW(A75)/5,0),1)</f>
        <v>Caseload 15</v>
      </c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138"/>
      <c r="J78" s="138"/>
    </row>
    <row r="79" spans="2:10" x14ac:dyDescent="0.35">
      <c r="E79" s="32"/>
      <c r="H79" s="32"/>
      <c r="I79" s="32"/>
      <c r="J79" s="32"/>
    </row>
  </sheetData>
  <mergeCells count="30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I29:I33"/>
    <mergeCell ref="I34:I38"/>
    <mergeCell ref="I4:I8"/>
    <mergeCell ref="I9:I13"/>
    <mergeCell ref="I14:I18"/>
    <mergeCell ref="I19:I23"/>
    <mergeCell ref="I24:I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I5" sqref="I5:I10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53</v>
      </c>
      <c r="E1" s="3" t="s">
        <v>56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Initial assessment</v>
      </c>
      <c r="AK1" s="15" t="str" cm="1">
        <f t="array" ref="AK1">INDEX($A$5:$A$19,ROUNDUP(COLUMN(AF1)/6,0),1)</f>
        <v>Initial assessment</v>
      </c>
      <c r="AL1" s="3" t="str" cm="1">
        <f t="array" ref="AL1">INDEX($A$5:$A$19,ROUNDUP(COLUMN(AG1)/6,0),1)</f>
        <v>Initial assessment</v>
      </c>
      <c r="AM1" s="15" t="str" cm="1">
        <f t="array" ref="AM1">INDEX($A$5:$A$19,ROUNDUP(COLUMN(AH1)/6,0),1)</f>
        <v>Initial assessment</v>
      </c>
      <c r="AN1" s="4" t="str" cm="1">
        <f t="array" ref="AN1">INDEX($A$5:$A$19,ROUNDUP(COLUMN(AI1)/6,0),1)</f>
        <v>Initial assessment</v>
      </c>
      <c r="AO1" s="15" t="str" cm="1">
        <f t="array" ref="AO1">INDEX($A$5:$A$19,ROUNDUP(COLUMN(AJ1)/6,0),1)</f>
        <v>Initial assessment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144</v>
      </c>
      <c r="CS1" s="3" t="s">
        <v>144</v>
      </c>
      <c r="CT1" s="3" t="s">
        <v>144</v>
      </c>
      <c r="CU1" s="3" t="s">
        <v>144</v>
      </c>
      <c r="CV1" s="3" t="s">
        <v>144</v>
      </c>
      <c r="CW1" s="3" t="s">
        <v>144</v>
      </c>
      <c r="CY1" s="3" t="s">
        <v>64</v>
      </c>
      <c r="CZ1" s="4"/>
      <c r="DA1" s="15"/>
    </row>
    <row r="2" spans="1:105" ht="15" thickBot="1" x14ac:dyDescent="0.4">
      <c r="E2" s="7"/>
      <c r="F2" s="7" t="s">
        <v>58</v>
      </c>
      <c r="G2" s="6" t="s">
        <v>58</v>
      </c>
      <c r="H2" s="7" t="s">
        <v>50</v>
      </c>
      <c r="I2" s="6" t="s">
        <v>50</v>
      </c>
      <c r="J2" s="19" t="s">
        <v>63</v>
      </c>
      <c r="K2" s="23" t="s">
        <v>63</v>
      </c>
      <c r="L2" s="7" t="s">
        <v>58</v>
      </c>
      <c r="M2" s="6" t="s">
        <v>58</v>
      </c>
      <c r="N2" s="7" t="s">
        <v>50</v>
      </c>
      <c r="O2" s="6" t="s">
        <v>50</v>
      </c>
      <c r="P2" s="19" t="s">
        <v>63</v>
      </c>
      <c r="Q2" s="23" t="s">
        <v>63</v>
      </c>
      <c r="R2" s="7" t="s">
        <v>58</v>
      </c>
      <c r="S2" s="6" t="s">
        <v>58</v>
      </c>
      <c r="T2" s="7" t="s">
        <v>50</v>
      </c>
      <c r="U2" s="6" t="s">
        <v>50</v>
      </c>
      <c r="V2" s="19" t="s">
        <v>63</v>
      </c>
      <c r="W2" s="23" t="s">
        <v>63</v>
      </c>
      <c r="X2" s="7" t="s">
        <v>58</v>
      </c>
      <c r="Y2" s="6" t="s">
        <v>58</v>
      </c>
      <c r="Z2" s="7" t="s">
        <v>50</v>
      </c>
      <c r="AA2" s="6" t="s">
        <v>50</v>
      </c>
      <c r="AB2" s="19" t="s">
        <v>63</v>
      </c>
      <c r="AC2" s="23" t="s">
        <v>63</v>
      </c>
      <c r="AD2" s="7" t="s">
        <v>58</v>
      </c>
      <c r="AE2" s="6" t="s">
        <v>58</v>
      </c>
      <c r="AF2" s="7" t="s">
        <v>50</v>
      </c>
      <c r="AG2" s="6" t="s">
        <v>50</v>
      </c>
      <c r="AH2" s="19" t="s">
        <v>63</v>
      </c>
      <c r="AI2" s="23" t="s">
        <v>63</v>
      </c>
      <c r="AJ2" s="7" t="s">
        <v>58</v>
      </c>
      <c r="AK2" s="6" t="s">
        <v>58</v>
      </c>
      <c r="AL2" s="7" t="s">
        <v>50</v>
      </c>
      <c r="AM2" s="6" t="s">
        <v>50</v>
      </c>
      <c r="AN2" s="19" t="s">
        <v>63</v>
      </c>
      <c r="AO2" s="23" t="s">
        <v>63</v>
      </c>
      <c r="AP2" s="7" t="s">
        <v>58</v>
      </c>
      <c r="AQ2" s="6" t="s">
        <v>58</v>
      </c>
      <c r="AR2" s="7" t="s">
        <v>50</v>
      </c>
      <c r="AS2" s="6" t="s">
        <v>50</v>
      </c>
      <c r="AT2" s="19" t="s">
        <v>63</v>
      </c>
      <c r="AU2" s="23" t="s">
        <v>63</v>
      </c>
      <c r="AV2" s="7" t="s">
        <v>58</v>
      </c>
      <c r="AW2" s="6" t="s">
        <v>58</v>
      </c>
      <c r="AX2" s="7" t="s">
        <v>50</v>
      </c>
      <c r="AY2" s="6" t="s">
        <v>50</v>
      </c>
      <c r="AZ2" s="19" t="s">
        <v>63</v>
      </c>
      <c r="BA2" s="23" t="s">
        <v>63</v>
      </c>
      <c r="BB2" s="7" t="s">
        <v>58</v>
      </c>
      <c r="BC2" s="6" t="s">
        <v>58</v>
      </c>
      <c r="BD2" s="7" t="s">
        <v>50</v>
      </c>
      <c r="BE2" s="6" t="s">
        <v>50</v>
      </c>
      <c r="BF2" s="19" t="s">
        <v>63</v>
      </c>
      <c r="BG2" s="23" t="s">
        <v>63</v>
      </c>
      <c r="BH2" s="7" t="s">
        <v>58</v>
      </c>
      <c r="BI2" s="6" t="s">
        <v>58</v>
      </c>
      <c r="BJ2" s="7" t="s">
        <v>50</v>
      </c>
      <c r="BK2" s="6" t="s">
        <v>50</v>
      </c>
      <c r="BL2" s="19" t="s">
        <v>63</v>
      </c>
      <c r="BM2" s="23" t="s">
        <v>63</v>
      </c>
      <c r="BN2" s="7" t="s">
        <v>58</v>
      </c>
      <c r="BO2" s="6" t="s">
        <v>58</v>
      </c>
      <c r="BP2" s="7" t="s">
        <v>50</v>
      </c>
      <c r="BQ2" s="6" t="s">
        <v>50</v>
      </c>
      <c r="BR2" s="19" t="s">
        <v>63</v>
      </c>
      <c r="BS2" s="23" t="s">
        <v>63</v>
      </c>
      <c r="BT2" s="7" t="s">
        <v>58</v>
      </c>
      <c r="BU2" s="6" t="s">
        <v>58</v>
      </c>
      <c r="BV2" s="7" t="s">
        <v>50</v>
      </c>
      <c r="BW2" s="6" t="s">
        <v>50</v>
      </c>
      <c r="BX2" s="19" t="s">
        <v>63</v>
      </c>
      <c r="BY2" s="23" t="s">
        <v>63</v>
      </c>
      <c r="BZ2" s="7" t="s">
        <v>58</v>
      </c>
      <c r="CA2" s="6" t="s">
        <v>58</v>
      </c>
      <c r="CB2" s="7" t="s">
        <v>50</v>
      </c>
      <c r="CC2" s="6" t="s">
        <v>50</v>
      </c>
      <c r="CD2" s="19" t="s">
        <v>63</v>
      </c>
      <c r="CE2" s="23" t="s">
        <v>63</v>
      </c>
      <c r="CF2" s="7" t="s">
        <v>58</v>
      </c>
      <c r="CG2" s="6" t="s">
        <v>58</v>
      </c>
      <c r="CH2" s="7" t="s">
        <v>50</v>
      </c>
      <c r="CI2" s="6" t="s">
        <v>50</v>
      </c>
      <c r="CJ2" s="19" t="s">
        <v>63</v>
      </c>
      <c r="CK2" s="23" t="s">
        <v>63</v>
      </c>
      <c r="CL2" s="7" t="s">
        <v>58</v>
      </c>
      <c r="CM2" s="6" t="s">
        <v>58</v>
      </c>
      <c r="CN2" s="7" t="s">
        <v>50</v>
      </c>
      <c r="CO2" s="6" t="s">
        <v>50</v>
      </c>
      <c r="CP2" s="19" t="s">
        <v>63</v>
      </c>
      <c r="CQ2" s="23" t="s">
        <v>63</v>
      </c>
      <c r="CR2" s="7" t="s">
        <v>58</v>
      </c>
      <c r="CS2" s="6" t="s">
        <v>58</v>
      </c>
      <c r="CT2" s="7" t="s">
        <v>50</v>
      </c>
      <c r="CU2" s="6" t="s">
        <v>50</v>
      </c>
      <c r="CV2" s="19" t="s">
        <v>63</v>
      </c>
      <c r="CW2" s="23" t="s">
        <v>63</v>
      </c>
      <c r="CY2" s="7"/>
      <c r="CZ2" s="5"/>
      <c r="DA2" s="6"/>
    </row>
    <row r="3" spans="1:105" ht="15" thickBot="1" x14ac:dyDescent="0.4">
      <c r="B3" s="5" t="s">
        <v>119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1</v>
      </c>
      <c r="I3" s="31"/>
      <c r="J3" s="30"/>
      <c r="K3" s="31"/>
      <c r="L3" s="29">
        <f>INDEX(Service!$I$4:$J$78,MATCH('Required Capacity (Hide)'!L$1,Service!$B$4:$B$78,0),1)/IF(Summary!$B$7="Minutes",1,60)</f>
        <v>2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13</v>
      </c>
      <c r="B4" s="36" t="s">
        <v>54</v>
      </c>
      <c r="C4" s="31" t="s">
        <v>55</v>
      </c>
      <c r="E4" s="17" t="s">
        <v>57</v>
      </c>
      <c r="F4" s="24" t="s">
        <v>59</v>
      </c>
      <c r="G4" s="26" t="s">
        <v>60</v>
      </c>
      <c r="H4" s="24" t="s">
        <v>59</v>
      </c>
      <c r="I4" s="26" t="s">
        <v>60</v>
      </c>
      <c r="J4" s="25" t="s">
        <v>51</v>
      </c>
      <c r="K4" s="26" t="s">
        <v>60</v>
      </c>
      <c r="L4" s="24" t="s">
        <v>59</v>
      </c>
      <c r="M4" s="26" t="s">
        <v>60</v>
      </c>
      <c r="N4" s="24" t="s">
        <v>59</v>
      </c>
      <c r="O4" s="26" t="s">
        <v>60</v>
      </c>
      <c r="P4" s="25" t="s">
        <v>51</v>
      </c>
      <c r="Q4" s="26" t="s">
        <v>60</v>
      </c>
      <c r="R4" s="24" t="s">
        <v>59</v>
      </c>
      <c r="S4" s="26" t="s">
        <v>60</v>
      </c>
      <c r="T4" s="24" t="s">
        <v>59</v>
      </c>
      <c r="U4" s="26" t="s">
        <v>60</v>
      </c>
      <c r="V4" s="25" t="s">
        <v>51</v>
      </c>
      <c r="W4" s="26" t="s">
        <v>60</v>
      </c>
      <c r="X4" s="24" t="s">
        <v>59</v>
      </c>
      <c r="Y4" s="26" t="s">
        <v>60</v>
      </c>
      <c r="Z4" s="24" t="s">
        <v>59</v>
      </c>
      <c r="AA4" s="26" t="s">
        <v>60</v>
      </c>
      <c r="AB4" s="25" t="s">
        <v>51</v>
      </c>
      <c r="AC4" s="26" t="s">
        <v>60</v>
      </c>
      <c r="AD4" s="24" t="s">
        <v>59</v>
      </c>
      <c r="AE4" s="26" t="s">
        <v>60</v>
      </c>
      <c r="AF4" s="24" t="s">
        <v>59</v>
      </c>
      <c r="AG4" s="26" t="s">
        <v>60</v>
      </c>
      <c r="AH4" s="25" t="s">
        <v>51</v>
      </c>
      <c r="AI4" s="26" t="s">
        <v>60</v>
      </c>
      <c r="AJ4" s="24" t="s">
        <v>59</v>
      </c>
      <c r="AK4" s="26" t="s">
        <v>60</v>
      </c>
      <c r="AL4" s="24" t="s">
        <v>59</v>
      </c>
      <c r="AM4" s="26" t="s">
        <v>60</v>
      </c>
      <c r="AN4" s="25" t="s">
        <v>51</v>
      </c>
      <c r="AO4" s="26" t="s">
        <v>60</v>
      </c>
      <c r="AP4" s="24" t="s">
        <v>59</v>
      </c>
      <c r="AQ4" s="26" t="s">
        <v>60</v>
      </c>
      <c r="AR4" s="24" t="s">
        <v>59</v>
      </c>
      <c r="AS4" s="26" t="s">
        <v>60</v>
      </c>
      <c r="AT4" s="25" t="s">
        <v>51</v>
      </c>
      <c r="AU4" s="26" t="s">
        <v>60</v>
      </c>
      <c r="AV4" s="24" t="s">
        <v>59</v>
      </c>
      <c r="AW4" s="26" t="s">
        <v>60</v>
      </c>
      <c r="AX4" s="24" t="s">
        <v>59</v>
      </c>
      <c r="AY4" s="26" t="s">
        <v>60</v>
      </c>
      <c r="AZ4" s="25" t="s">
        <v>51</v>
      </c>
      <c r="BA4" s="26" t="s">
        <v>60</v>
      </c>
      <c r="BB4" s="24" t="s">
        <v>59</v>
      </c>
      <c r="BC4" s="26" t="s">
        <v>60</v>
      </c>
      <c r="BD4" s="24" t="s">
        <v>59</v>
      </c>
      <c r="BE4" s="26" t="s">
        <v>60</v>
      </c>
      <c r="BF4" s="25" t="s">
        <v>51</v>
      </c>
      <c r="BG4" s="26" t="s">
        <v>60</v>
      </c>
      <c r="BH4" s="24" t="s">
        <v>59</v>
      </c>
      <c r="BI4" s="26" t="s">
        <v>60</v>
      </c>
      <c r="BJ4" s="24" t="s">
        <v>59</v>
      </c>
      <c r="BK4" s="26" t="s">
        <v>60</v>
      </c>
      <c r="BL4" s="25" t="s">
        <v>51</v>
      </c>
      <c r="BM4" s="26" t="s">
        <v>60</v>
      </c>
      <c r="BN4" s="24" t="s">
        <v>59</v>
      </c>
      <c r="BO4" s="26" t="s">
        <v>60</v>
      </c>
      <c r="BP4" s="24" t="s">
        <v>59</v>
      </c>
      <c r="BQ4" s="26" t="s">
        <v>60</v>
      </c>
      <c r="BR4" s="25" t="s">
        <v>51</v>
      </c>
      <c r="BS4" s="26" t="s">
        <v>60</v>
      </c>
      <c r="BT4" s="24" t="s">
        <v>59</v>
      </c>
      <c r="BU4" s="26" t="s">
        <v>60</v>
      </c>
      <c r="BV4" s="24" t="s">
        <v>59</v>
      </c>
      <c r="BW4" s="26" t="s">
        <v>60</v>
      </c>
      <c r="BX4" s="25" t="s">
        <v>51</v>
      </c>
      <c r="BY4" s="26" t="s">
        <v>60</v>
      </c>
      <c r="BZ4" s="24" t="s">
        <v>59</v>
      </c>
      <c r="CA4" s="26" t="s">
        <v>60</v>
      </c>
      <c r="CB4" s="24" t="s">
        <v>59</v>
      </c>
      <c r="CC4" s="26" t="s">
        <v>60</v>
      </c>
      <c r="CD4" s="25" t="s">
        <v>51</v>
      </c>
      <c r="CE4" s="26" t="s">
        <v>60</v>
      </c>
      <c r="CF4" s="24" t="s">
        <v>59</v>
      </c>
      <c r="CG4" s="26" t="s">
        <v>60</v>
      </c>
      <c r="CH4" s="24" t="s">
        <v>59</v>
      </c>
      <c r="CI4" s="26" t="s">
        <v>60</v>
      </c>
      <c r="CJ4" s="25" t="s">
        <v>51</v>
      </c>
      <c r="CK4" s="26" t="s">
        <v>60</v>
      </c>
      <c r="CL4" s="24" t="s">
        <v>59</v>
      </c>
      <c r="CM4" s="26" t="s">
        <v>60</v>
      </c>
      <c r="CN4" s="24" t="s">
        <v>59</v>
      </c>
      <c r="CO4" s="26" t="s">
        <v>60</v>
      </c>
      <c r="CP4" s="25" t="s">
        <v>51</v>
      </c>
      <c r="CQ4" s="26" t="s">
        <v>60</v>
      </c>
      <c r="CR4" s="24" t="s">
        <v>51</v>
      </c>
      <c r="CS4" s="26" t="s">
        <v>60</v>
      </c>
      <c r="CT4" s="24" t="s">
        <v>51</v>
      </c>
      <c r="CU4" s="26" t="s">
        <v>60</v>
      </c>
      <c r="CV4" s="25" t="s">
        <v>51</v>
      </c>
      <c r="CW4" s="26" t="s">
        <v>60</v>
      </c>
      <c r="CY4" s="29" t="s">
        <v>59</v>
      </c>
      <c r="CZ4" s="30" t="s">
        <v>60</v>
      </c>
      <c r="DA4" s="31" t="s">
        <v>43</v>
      </c>
    </row>
    <row r="5" spans="1:105" x14ac:dyDescent="0.35">
      <c r="A5" s="7" t="str">
        <f>'Data Validation (Hide)'!B2</f>
        <v>20 Group Sessions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35</v>
      </c>
      <c r="I5" s="6">
        <f>INDEX($B$5:$C$19,MATCH(F$1,$A$5:$A$19,0),2)*H$3</f>
        <v>36.75</v>
      </c>
      <c r="J5" s="5">
        <f>SUMIF(F$4:I$4,J$4,F5:I5)</f>
        <v>78.75</v>
      </c>
      <c r="K5" s="6">
        <f>SUMIF(F$4:I$4,K$4,F5:I5)</f>
        <v>82.6875</v>
      </c>
      <c r="L5" s="7">
        <f>INDEX($B$5:$C$19,MATCH(L$1,$A$5:$A$19,0),1)*L$3</f>
        <v>38</v>
      </c>
      <c r="M5" s="6">
        <f>INDEX($B$5:$C$19,MATCH(L$1,$A$5:$A$19,0),2)*L$3</f>
        <v>50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48.857142857142854</v>
      </c>
      <c r="Q5" s="6">
        <f>SUMIF(L$4:O$4,Q$4,L5:O5)</f>
        <v>64.285714285714278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181.75</v>
      </c>
      <c r="CS5" s="7">
        <f>SUMIFS($F5:$CQ5,$F$2:$CQ$2,CS$2,$F$4:$CQ$4,CS$4)</f>
        <v>198.6875</v>
      </c>
      <c r="CT5" s="7">
        <f>SUMIFS($F5:$CQ5,$F$2:$CQ$2,CT$2,$F$4:$CQ$4,CT$4)</f>
        <v>54</v>
      </c>
      <c r="CU5" s="7">
        <f>SUMIFS($F5:$CQ5,$F$2:$CQ$2,CU$2,$F$4:$CQ$4,CU$4)</f>
        <v>61.321428571428569</v>
      </c>
      <c r="CV5" s="5">
        <f>SUM(CR5,CT5)</f>
        <v>235.75</v>
      </c>
      <c r="CW5" s="6">
        <f>SUM(CS5,CU5)</f>
        <v>260.00892857142856</v>
      </c>
      <c r="CY5" s="7">
        <f t="array" ref="CY5:CY56">Summary_LowerBound</f>
        <v>235.75</v>
      </c>
      <c r="CZ5" s="5">
        <f t="array" ref="CZ5">Summary_UpperBound</f>
        <v>260.00892857142856</v>
      </c>
      <c r="DA5" s="6">
        <f>CZ5-CY5</f>
        <v>24.258928571428555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35</v>
      </c>
      <c r="I6" s="6">
        <f t="shared" ref="I6:I56" si="3">INDEX($B$5:$C$19,MATCH(F$1,$A$5:$A$19,0),2)*H$3</f>
        <v>36.75</v>
      </c>
      <c r="J6" s="5">
        <f t="shared" ref="J6:J56" si="4">SUMIF(F$4:I$4,J$4,F6:I6)</f>
        <v>78.75</v>
      </c>
      <c r="K6" s="6">
        <f t="shared" ref="K6:K56" si="5">SUMIF(F$4:I$4,K$4,F6:I6)</f>
        <v>82.6875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48.857142857142854</v>
      </c>
      <c r="Q6" s="6">
        <f t="shared" ref="Q6:Q56" si="11">SUMIF(L$4:O$4,Q$4,L6:O6)</f>
        <v>64.285714285714278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181.75</v>
      </c>
      <c r="CS6" s="7">
        <f t="shared" si="90"/>
        <v>198.6875</v>
      </c>
      <c r="CT6" s="7">
        <f t="shared" si="90"/>
        <v>54</v>
      </c>
      <c r="CU6" s="7">
        <f t="shared" si="90"/>
        <v>61.321428571428569</v>
      </c>
      <c r="CV6" s="5">
        <f t="shared" ref="CV6:CV56" si="91">SUM(CR6,CT6)</f>
        <v>235.75</v>
      </c>
      <c r="CW6" s="6">
        <f t="shared" ref="CW6:CW56" si="92">SUM(CS6,CU6)</f>
        <v>260.00892857142856</v>
      </c>
      <c r="CY6" s="7">
        <v>235.75</v>
      </c>
      <c r="CZ6" s="5">
        <f t="array" ref="CZ6">Summary_UpperBound</f>
        <v>260.00892857142856</v>
      </c>
      <c r="DA6" s="6">
        <f t="shared" ref="DA6:DA56" si="93">CZ6-CY6</f>
        <v>24.258928571428555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35</v>
      </c>
      <c r="I7" s="6">
        <f t="shared" si="3"/>
        <v>36.75</v>
      </c>
      <c r="J7" s="5">
        <f t="shared" si="4"/>
        <v>78.75</v>
      </c>
      <c r="K7" s="6">
        <f t="shared" si="5"/>
        <v>82.6875</v>
      </c>
      <c r="L7" s="7">
        <f t="shared" si="6"/>
        <v>38</v>
      </c>
      <c r="M7" s="6">
        <f t="shared" si="7"/>
        <v>50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48.857142857142854</v>
      </c>
      <c r="Q7" s="6">
        <f t="shared" si="11"/>
        <v>64.285714285714278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181.75</v>
      </c>
      <c r="CS7" s="7">
        <f t="shared" si="90"/>
        <v>198.6875</v>
      </c>
      <c r="CT7" s="7">
        <f t="shared" si="90"/>
        <v>54</v>
      </c>
      <c r="CU7" s="7">
        <f t="shared" si="90"/>
        <v>61.321428571428569</v>
      </c>
      <c r="CV7" s="5">
        <f t="shared" si="91"/>
        <v>235.75</v>
      </c>
      <c r="CW7" s="6">
        <f t="shared" si="92"/>
        <v>260.00892857142856</v>
      </c>
      <c r="CY7" s="7">
        <v>235.75</v>
      </c>
      <c r="CZ7" s="5">
        <f t="array" ref="CZ7">Summary_UpperBound</f>
        <v>260.00892857142856</v>
      </c>
      <c r="DA7" s="6">
        <f t="shared" si="93"/>
        <v>24.258928571428555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35</v>
      </c>
      <c r="I8" s="6">
        <f t="shared" si="3"/>
        <v>36.75</v>
      </c>
      <c r="J8" s="5">
        <f t="shared" si="4"/>
        <v>78.75</v>
      </c>
      <c r="K8" s="6">
        <f t="shared" si="5"/>
        <v>82.6875</v>
      </c>
      <c r="L8" s="7">
        <f t="shared" si="6"/>
        <v>38</v>
      </c>
      <c r="M8" s="6">
        <f t="shared" si="7"/>
        <v>50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48.857142857142854</v>
      </c>
      <c r="Q8" s="6">
        <f t="shared" si="11"/>
        <v>64.285714285714278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181.75</v>
      </c>
      <c r="CS8" s="7">
        <f t="shared" si="90"/>
        <v>198.6875</v>
      </c>
      <c r="CT8" s="7">
        <f t="shared" si="90"/>
        <v>54</v>
      </c>
      <c r="CU8" s="7">
        <f t="shared" si="90"/>
        <v>61.321428571428569</v>
      </c>
      <c r="CV8" s="5">
        <f t="shared" si="91"/>
        <v>235.75</v>
      </c>
      <c r="CW8" s="6">
        <f t="shared" si="92"/>
        <v>260.00892857142856</v>
      </c>
      <c r="CY8" s="7">
        <v>235.75</v>
      </c>
      <c r="CZ8" s="5">
        <f t="array" ref="CZ8">Summary_UpperBound</f>
        <v>260.00892857142856</v>
      </c>
      <c r="DA8" s="6">
        <f t="shared" si="93"/>
        <v>24.258928571428555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35</v>
      </c>
      <c r="I9" s="6">
        <f t="shared" si="3"/>
        <v>36.75</v>
      </c>
      <c r="J9" s="5">
        <f t="shared" si="4"/>
        <v>78.75</v>
      </c>
      <c r="K9" s="6">
        <f t="shared" si="5"/>
        <v>82.6875</v>
      </c>
      <c r="L9" s="7">
        <f t="shared" si="6"/>
        <v>38</v>
      </c>
      <c r="M9" s="6">
        <f t="shared" si="7"/>
        <v>50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48.857142857142854</v>
      </c>
      <c r="Q9" s="6">
        <f t="shared" si="11"/>
        <v>64.285714285714278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181.75</v>
      </c>
      <c r="CS9" s="7">
        <f t="shared" si="90"/>
        <v>198.6875</v>
      </c>
      <c r="CT9" s="7">
        <f t="shared" si="90"/>
        <v>54</v>
      </c>
      <c r="CU9" s="7">
        <f t="shared" si="90"/>
        <v>61.321428571428569</v>
      </c>
      <c r="CV9" s="5">
        <f t="shared" si="91"/>
        <v>235.75</v>
      </c>
      <c r="CW9" s="6">
        <f t="shared" si="92"/>
        <v>260.00892857142856</v>
      </c>
      <c r="CY9" s="7">
        <v>235.75</v>
      </c>
      <c r="CZ9" s="5">
        <f t="array" ref="CZ9">Summary_UpperBound</f>
        <v>260.00892857142856</v>
      </c>
      <c r="DA9" s="6">
        <f t="shared" si="93"/>
        <v>24.258928571428555</v>
      </c>
    </row>
    <row r="10" spans="1:105" x14ac:dyDescent="0.35">
      <c r="A10" s="7" t="str">
        <f>'Data Validation (Hide)'!B7</f>
        <v>Initial assessment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35</v>
      </c>
      <c r="I10" s="6">
        <f t="shared" si="3"/>
        <v>36.75</v>
      </c>
      <c r="J10" s="5">
        <f t="shared" si="4"/>
        <v>78.75</v>
      </c>
      <c r="K10" s="6">
        <f t="shared" si="5"/>
        <v>82.6875</v>
      </c>
      <c r="L10" s="7">
        <f t="shared" si="6"/>
        <v>38</v>
      </c>
      <c r="M10" s="6">
        <f t="shared" si="7"/>
        <v>50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48.857142857142854</v>
      </c>
      <c r="Q10" s="6">
        <f t="shared" si="11"/>
        <v>64.285714285714278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181.75</v>
      </c>
      <c r="CS10" s="7">
        <f t="shared" si="90"/>
        <v>198.6875</v>
      </c>
      <c r="CT10" s="7">
        <f t="shared" si="90"/>
        <v>54</v>
      </c>
      <c r="CU10" s="7">
        <f t="shared" si="90"/>
        <v>61.321428571428569</v>
      </c>
      <c r="CV10" s="5">
        <f t="shared" si="91"/>
        <v>235.75</v>
      </c>
      <c r="CW10" s="6">
        <f t="shared" si="92"/>
        <v>260.00892857142856</v>
      </c>
      <c r="CY10" s="7">
        <v>235.75</v>
      </c>
      <c r="CZ10" s="5">
        <f t="array" ref="CZ10">Summary_UpperBound</f>
        <v>260.00892857142856</v>
      </c>
      <c r="DA10" s="6">
        <f t="shared" si="93"/>
        <v>24.258928571428555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35</v>
      </c>
      <c r="I11" s="6">
        <f t="shared" si="3"/>
        <v>36.75</v>
      </c>
      <c r="J11" s="5">
        <f t="shared" si="4"/>
        <v>78.75</v>
      </c>
      <c r="K11" s="6">
        <f t="shared" si="5"/>
        <v>82.6875</v>
      </c>
      <c r="L11" s="7">
        <f t="shared" si="6"/>
        <v>38</v>
      </c>
      <c r="M11" s="6">
        <f t="shared" si="7"/>
        <v>50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48.857142857142854</v>
      </c>
      <c r="Q11" s="6">
        <f t="shared" si="11"/>
        <v>64.285714285714278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181.75</v>
      </c>
      <c r="CS11" s="7">
        <f t="shared" si="90"/>
        <v>198.6875</v>
      </c>
      <c r="CT11" s="7">
        <f t="shared" si="90"/>
        <v>54</v>
      </c>
      <c r="CU11" s="7">
        <f t="shared" si="90"/>
        <v>61.321428571428569</v>
      </c>
      <c r="CV11" s="5">
        <f t="shared" si="91"/>
        <v>235.75</v>
      </c>
      <c r="CW11" s="6">
        <f t="shared" si="92"/>
        <v>260.00892857142856</v>
      </c>
      <c r="CY11" s="7">
        <v>235.75</v>
      </c>
      <c r="CZ11" s="5">
        <f t="array" ref="CZ11">Summary_UpperBound</f>
        <v>260.00892857142856</v>
      </c>
      <c r="DA11" s="6">
        <f t="shared" si="93"/>
        <v>24.258928571428555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35</v>
      </c>
      <c r="I12" s="6">
        <f t="shared" si="3"/>
        <v>36.75</v>
      </c>
      <c r="J12" s="5">
        <f t="shared" si="4"/>
        <v>78.75</v>
      </c>
      <c r="K12" s="6">
        <f t="shared" si="5"/>
        <v>82.6875</v>
      </c>
      <c r="L12" s="7">
        <f t="shared" si="6"/>
        <v>38</v>
      </c>
      <c r="M12" s="6">
        <f t="shared" si="7"/>
        <v>50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48.857142857142854</v>
      </c>
      <c r="Q12" s="6">
        <f t="shared" si="11"/>
        <v>64.285714285714278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181.75</v>
      </c>
      <c r="CS12" s="7">
        <f t="shared" si="90"/>
        <v>198.6875</v>
      </c>
      <c r="CT12" s="7">
        <f t="shared" si="90"/>
        <v>54</v>
      </c>
      <c r="CU12" s="7">
        <f t="shared" si="90"/>
        <v>61.321428571428569</v>
      </c>
      <c r="CV12" s="5">
        <f t="shared" si="91"/>
        <v>235.75</v>
      </c>
      <c r="CW12" s="6">
        <f t="shared" si="92"/>
        <v>260.00892857142856</v>
      </c>
      <c r="CY12" s="7">
        <v>235.75</v>
      </c>
      <c r="CZ12" s="5">
        <f t="array" ref="CZ12">Summary_UpperBound</f>
        <v>260.00892857142856</v>
      </c>
      <c r="DA12" s="6">
        <f t="shared" si="93"/>
        <v>24.258928571428555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35</v>
      </c>
      <c r="I13" s="6">
        <f t="shared" si="3"/>
        <v>36.75</v>
      </c>
      <c r="J13" s="5">
        <f t="shared" si="4"/>
        <v>78.75</v>
      </c>
      <c r="K13" s="6">
        <f t="shared" si="5"/>
        <v>82.6875</v>
      </c>
      <c r="L13" s="7">
        <f t="shared" si="6"/>
        <v>38</v>
      </c>
      <c r="M13" s="6">
        <f t="shared" si="7"/>
        <v>50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48.857142857142854</v>
      </c>
      <c r="Q13" s="6">
        <f t="shared" si="11"/>
        <v>64.285714285714278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181.75</v>
      </c>
      <c r="CS13" s="7">
        <f t="shared" si="90"/>
        <v>198.6875</v>
      </c>
      <c r="CT13" s="7">
        <f t="shared" si="90"/>
        <v>54</v>
      </c>
      <c r="CU13" s="7">
        <f t="shared" si="90"/>
        <v>61.321428571428569</v>
      </c>
      <c r="CV13" s="5">
        <f t="shared" si="91"/>
        <v>235.75</v>
      </c>
      <c r="CW13" s="6">
        <f t="shared" si="92"/>
        <v>260.00892857142856</v>
      </c>
      <c r="CY13" s="7">
        <v>235.75</v>
      </c>
      <c r="CZ13" s="5">
        <f t="array" ref="CZ13">Summary_UpperBound</f>
        <v>260.00892857142856</v>
      </c>
      <c r="DA13" s="6">
        <f t="shared" si="93"/>
        <v>24.258928571428555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35</v>
      </c>
      <c r="I14" s="6">
        <f t="shared" si="3"/>
        <v>36.75</v>
      </c>
      <c r="J14" s="5">
        <f t="shared" si="4"/>
        <v>78.75</v>
      </c>
      <c r="K14" s="6">
        <f t="shared" si="5"/>
        <v>82.6875</v>
      </c>
      <c r="L14" s="7">
        <f t="shared" si="6"/>
        <v>38</v>
      </c>
      <c r="M14" s="6">
        <f t="shared" si="7"/>
        <v>50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48.857142857142854</v>
      </c>
      <c r="Q14" s="6">
        <f t="shared" si="11"/>
        <v>64.285714285714278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181.75</v>
      </c>
      <c r="CS14" s="7">
        <f t="shared" si="90"/>
        <v>198.6875</v>
      </c>
      <c r="CT14" s="7">
        <f t="shared" si="90"/>
        <v>54</v>
      </c>
      <c r="CU14" s="7">
        <f t="shared" si="90"/>
        <v>61.321428571428569</v>
      </c>
      <c r="CV14" s="5">
        <f t="shared" si="91"/>
        <v>235.75</v>
      </c>
      <c r="CW14" s="6">
        <f t="shared" si="92"/>
        <v>260.00892857142856</v>
      </c>
      <c r="CY14" s="7">
        <v>235.75</v>
      </c>
      <c r="CZ14" s="5">
        <f t="array" ref="CZ14">Summary_UpperBound</f>
        <v>260.00892857142856</v>
      </c>
      <c r="DA14" s="6">
        <f t="shared" si="93"/>
        <v>24.258928571428555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35</v>
      </c>
      <c r="I15" s="6">
        <f t="shared" si="3"/>
        <v>36.75</v>
      </c>
      <c r="J15" s="5">
        <f t="shared" si="4"/>
        <v>78.75</v>
      </c>
      <c r="K15" s="6">
        <f t="shared" si="5"/>
        <v>82.6875</v>
      </c>
      <c r="L15" s="7">
        <f t="shared" si="6"/>
        <v>38</v>
      </c>
      <c r="M15" s="6">
        <f t="shared" si="7"/>
        <v>50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48.857142857142854</v>
      </c>
      <c r="Q15" s="6">
        <f t="shared" si="11"/>
        <v>64.285714285714278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181.75</v>
      </c>
      <c r="CS15" s="7">
        <f t="shared" si="90"/>
        <v>198.6875</v>
      </c>
      <c r="CT15" s="7">
        <f t="shared" si="90"/>
        <v>54</v>
      </c>
      <c r="CU15" s="7">
        <f t="shared" si="90"/>
        <v>61.321428571428569</v>
      </c>
      <c r="CV15" s="5">
        <f t="shared" si="91"/>
        <v>235.75</v>
      </c>
      <c r="CW15" s="6">
        <f t="shared" si="92"/>
        <v>260.00892857142856</v>
      </c>
      <c r="CY15" s="7">
        <v>235.75</v>
      </c>
      <c r="CZ15" s="5">
        <f t="array" ref="CZ15">Summary_UpperBound</f>
        <v>260.00892857142856</v>
      </c>
      <c r="DA15" s="6">
        <f t="shared" si="93"/>
        <v>24.258928571428555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35</v>
      </c>
      <c r="I16" s="6">
        <f t="shared" si="3"/>
        <v>36.75</v>
      </c>
      <c r="J16" s="5">
        <f t="shared" si="4"/>
        <v>78.75</v>
      </c>
      <c r="K16" s="6">
        <f t="shared" si="5"/>
        <v>82.6875</v>
      </c>
      <c r="L16" s="7">
        <f t="shared" si="6"/>
        <v>38</v>
      </c>
      <c r="M16" s="6">
        <f t="shared" si="7"/>
        <v>50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48.857142857142854</v>
      </c>
      <c r="Q16" s="6">
        <f t="shared" si="11"/>
        <v>64.285714285714278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181.75</v>
      </c>
      <c r="CS16" s="7">
        <f t="shared" si="90"/>
        <v>198.6875</v>
      </c>
      <c r="CT16" s="7">
        <f t="shared" si="90"/>
        <v>54</v>
      </c>
      <c r="CU16" s="7">
        <f t="shared" si="90"/>
        <v>61.321428571428569</v>
      </c>
      <c r="CV16" s="5">
        <f t="shared" si="91"/>
        <v>235.75</v>
      </c>
      <c r="CW16" s="6">
        <f t="shared" si="92"/>
        <v>260.00892857142856</v>
      </c>
      <c r="CY16" s="7">
        <v>235.75</v>
      </c>
      <c r="CZ16" s="5">
        <f t="array" ref="CZ16">Summary_UpperBound</f>
        <v>260.00892857142856</v>
      </c>
      <c r="DA16" s="6">
        <f t="shared" si="93"/>
        <v>24.258928571428555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35</v>
      </c>
      <c r="I17" s="6">
        <f t="shared" si="3"/>
        <v>36.75</v>
      </c>
      <c r="J17" s="5">
        <f t="shared" si="4"/>
        <v>78.75</v>
      </c>
      <c r="K17" s="6">
        <f t="shared" si="5"/>
        <v>82.6875</v>
      </c>
      <c r="L17" s="7">
        <f t="shared" si="6"/>
        <v>38</v>
      </c>
      <c r="M17" s="6">
        <f t="shared" si="7"/>
        <v>50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48.857142857142854</v>
      </c>
      <c r="Q17" s="6">
        <f t="shared" si="11"/>
        <v>64.285714285714278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181.75</v>
      </c>
      <c r="CS17" s="7">
        <f t="shared" si="90"/>
        <v>198.6875</v>
      </c>
      <c r="CT17" s="7">
        <f t="shared" si="90"/>
        <v>54</v>
      </c>
      <c r="CU17" s="7">
        <f t="shared" si="90"/>
        <v>61.321428571428569</v>
      </c>
      <c r="CV17" s="5">
        <f t="shared" si="91"/>
        <v>235.75</v>
      </c>
      <c r="CW17" s="6">
        <f t="shared" si="92"/>
        <v>260.00892857142856</v>
      </c>
      <c r="CY17" s="7">
        <v>235.75</v>
      </c>
      <c r="CZ17" s="5">
        <f t="array" ref="CZ17">Summary_UpperBound</f>
        <v>260.00892857142856</v>
      </c>
      <c r="DA17" s="6">
        <f t="shared" si="93"/>
        <v>24.258928571428555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35</v>
      </c>
      <c r="I18" s="6">
        <f t="shared" si="3"/>
        <v>36.75</v>
      </c>
      <c r="J18" s="5">
        <f t="shared" si="4"/>
        <v>78.75</v>
      </c>
      <c r="K18" s="6">
        <f t="shared" si="5"/>
        <v>82.6875</v>
      </c>
      <c r="L18" s="7">
        <f t="shared" si="6"/>
        <v>38</v>
      </c>
      <c r="M18" s="6">
        <f t="shared" si="7"/>
        <v>50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48.857142857142854</v>
      </c>
      <c r="Q18" s="6">
        <f t="shared" si="11"/>
        <v>64.285714285714278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181.75</v>
      </c>
      <c r="CS18" s="7">
        <f t="shared" si="90"/>
        <v>198.6875</v>
      </c>
      <c r="CT18" s="7">
        <f t="shared" si="90"/>
        <v>54</v>
      </c>
      <c r="CU18" s="7">
        <f t="shared" si="90"/>
        <v>61.321428571428569</v>
      </c>
      <c r="CV18" s="5">
        <f t="shared" si="91"/>
        <v>235.75</v>
      </c>
      <c r="CW18" s="6">
        <f t="shared" si="92"/>
        <v>260.00892857142856</v>
      </c>
      <c r="CY18" s="7">
        <v>235.75</v>
      </c>
      <c r="CZ18" s="5">
        <f t="array" ref="CZ18">Summary_UpperBound</f>
        <v>260.00892857142856</v>
      </c>
      <c r="DA18" s="6">
        <f t="shared" si="93"/>
        <v>24.258928571428555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35</v>
      </c>
      <c r="I19" s="6">
        <f t="shared" si="3"/>
        <v>36.75</v>
      </c>
      <c r="J19" s="5">
        <f t="shared" si="4"/>
        <v>78.75</v>
      </c>
      <c r="K19" s="6">
        <f t="shared" si="5"/>
        <v>82.6875</v>
      </c>
      <c r="L19" s="7">
        <f t="shared" si="6"/>
        <v>38</v>
      </c>
      <c r="M19" s="6">
        <f t="shared" si="7"/>
        <v>50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48.857142857142854</v>
      </c>
      <c r="Q19" s="6">
        <f t="shared" si="11"/>
        <v>64.285714285714278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181.75</v>
      </c>
      <c r="CS19" s="7">
        <f t="shared" si="90"/>
        <v>198.6875</v>
      </c>
      <c r="CT19" s="7">
        <f t="shared" si="90"/>
        <v>54</v>
      </c>
      <c r="CU19" s="7">
        <f t="shared" si="90"/>
        <v>61.321428571428569</v>
      </c>
      <c r="CV19" s="5">
        <f t="shared" si="91"/>
        <v>235.75</v>
      </c>
      <c r="CW19" s="6">
        <f t="shared" si="92"/>
        <v>260.00892857142856</v>
      </c>
      <c r="CY19" s="7">
        <v>235.75</v>
      </c>
      <c r="CZ19" s="5">
        <f t="array" ref="CZ19">Summary_UpperBound</f>
        <v>260.00892857142856</v>
      </c>
      <c r="DA19" s="6">
        <f t="shared" si="93"/>
        <v>24.258928571428555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35</v>
      </c>
      <c r="I20" s="6">
        <f t="shared" si="3"/>
        <v>36.75</v>
      </c>
      <c r="J20" s="5">
        <f t="shared" si="4"/>
        <v>78.75</v>
      </c>
      <c r="K20" s="6">
        <f t="shared" si="5"/>
        <v>82.6875</v>
      </c>
      <c r="L20" s="7">
        <f t="shared" si="6"/>
        <v>38</v>
      </c>
      <c r="M20" s="6">
        <f t="shared" si="7"/>
        <v>50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48.857142857142854</v>
      </c>
      <c r="Q20" s="6">
        <f t="shared" si="11"/>
        <v>64.285714285714278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181.75</v>
      </c>
      <c r="CS20" s="7">
        <f t="shared" si="90"/>
        <v>198.6875</v>
      </c>
      <c r="CT20" s="7">
        <f t="shared" si="90"/>
        <v>54</v>
      </c>
      <c r="CU20" s="7">
        <f t="shared" si="90"/>
        <v>61.321428571428569</v>
      </c>
      <c r="CV20" s="5">
        <f t="shared" si="91"/>
        <v>235.75</v>
      </c>
      <c r="CW20" s="6">
        <f t="shared" si="92"/>
        <v>260.00892857142856</v>
      </c>
      <c r="CY20" s="7">
        <v>235.75</v>
      </c>
      <c r="CZ20" s="5">
        <f t="array" ref="CZ20">Summary_UpperBound</f>
        <v>260.00892857142856</v>
      </c>
      <c r="DA20" s="6">
        <f t="shared" si="93"/>
        <v>24.258928571428555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35</v>
      </c>
      <c r="I21" s="6">
        <f t="shared" si="3"/>
        <v>36.75</v>
      </c>
      <c r="J21" s="5">
        <f t="shared" si="4"/>
        <v>78.75</v>
      </c>
      <c r="K21" s="6">
        <f t="shared" si="5"/>
        <v>82.6875</v>
      </c>
      <c r="L21" s="7">
        <f t="shared" si="6"/>
        <v>38</v>
      </c>
      <c r="M21" s="6">
        <f t="shared" si="7"/>
        <v>50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48.857142857142854</v>
      </c>
      <c r="Q21" s="6">
        <f t="shared" si="11"/>
        <v>64.285714285714278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181.75</v>
      </c>
      <c r="CS21" s="7">
        <f t="shared" si="90"/>
        <v>198.6875</v>
      </c>
      <c r="CT21" s="7">
        <f t="shared" si="90"/>
        <v>54</v>
      </c>
      <c r="CU21" s="7">
        <f t="shared" si="90"/>
        <v>61.321428571428569</v>
      </c>
      <c r="CV21" s="5">
        <f t="shared" si="91"/>
        <v>235.75</v>
      </c>
      <c r="CW21" s="6">
        <f t="shared" si="92"/>
        <v>260.00892857142856</v>
      </c>
      <c r="CY21" s="7">
        <v>235.75</v>
      </c>
      <c r="CZ21" s="5">
        <f t="array" ref="CZ21">Summary_UpperBound</f>
        <v>260.00892857142856</v>
      </c>
      <c r="DA21" s="6">
        <f t="shared" si="93"/>
        <v>24.258928571428555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35</v>
      </c>
      <c r="I22" s="6">
        <f t="shared" si="3"/>
        <v>36.75</v>
      </c>
      <c r="J22" s="5">
        <f t="shared" si="4"/>
        <v>78.75</v>
      </c>
      <c r="K22" s="6">
        <f t="shared" si="5"/>
        <v>82.6875</v>
      </c>
      <c r="L22" s="7">
        <f t="shared" si="6"/>
        <v>38</v>
      </c>
      <c r="M22" s="6">
        <f t="shared" si="7"/>
        <v>50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48.857142857142854</v>
      </c>
      <c r="Q22" s="6">
        <f t="shared" si="11"/>
        <v>64.285714285714278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181.75</v>
      </c>
      <c r="CS22" s="7">
        <f t="shared" si="90"/>
        <v>198.6875</v>
      </c>
      <c r="CT22" s="7">
        <f t="shared" si="90"/>
        <v>54</v>
      </c>
      <c r="CU22" s="7">
        <f t="shared" si="90"/>
        <v>61.321428571428569</v>
      </c>
      <c r="CV22" s="5">
        <f t="shared" si="91"/>
        <v>235.75</v>
      </c>
      <c r="CW22" s="6">
        <f t="shared" si="92"/>
        <v>260.00892857142856</v>
      </c>
      <c r="CY22" s="7">
        <v>235.75</v>
      </c>
      <c r="CZ22" s="5">
        <f t="array" ref="CZ22">Summary_UpperBound</f>
        <v>260.00892857142856</v>
      </c>
      <c r="DA22" s="6">
        <f t="shared" si="93"/>
        <v>24.258928571428555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35</v>
      </c>
      <c r="I23" s="6">
        <f t="shared" si="3"/>
        <v>36.75</v>
      </c>
      <c r="J23" s="5">
        <f t="shared" si="4"/>
        <v>78.75</v>
      </c>
      <c r="K23" s="6">
        <f t="shared" si="5"/>
        <v>82.6875</v>
      </c>
      <c r="L23" s="7">
        <f t="shared" si="6"/>
        <v>38</v>
      </c>
      <c r="M23" s="6">
        <f t="shared" si="7"/>
        <v>50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48.857142857142854</v>
      </c>
      <c r="Q23" s="6">
        <f t="shared" si="11"/>
        <v>64.285714285714278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181.75</v>
      </c>
      <c r="CS23" s="7">
        <f t="shared" si="90"/>
        <v>198.6875</v>
      </c>
      <c r="CT23" s="7">
        <f t="shared" si="90"/>
        <v>54</v>
      </c>
      <c r="CU23" s="7">
        <f t="shared" si="90"/>
        <v>61.321428571428569</v>
      </c>
      <c r="CV23" s="5">
        <f t="shared" si="91"/>
        <v>235.75</v>
      </c>
      <c r="CW23" s="6">
        <f t="shared" si="92"/>
        <v>260.00892857142856</v>
      </c>
      <c r="CY23" s="7">
        <v>235.75</v>
      </c>
      <c r="CZ23" s="5">
        <f t="array" ref="CZ23">Summary_UpperBound</f>
        <v>260.00892857142856</v>
      </c>
      <c r="DA23" s="6">
        <f t="shared" si="93"/>
        <v>24.258928571428555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35</v>
      </c>
      <c r="I24" s="6">
        <f t="shared" si="3"/>
        <v>36.75</v>
      </c>
      <c r="J24" s="5">
        <f t="shared" si="4"/>
        <v>78.75</v>
      </c>
      <c r="K24" s="6">
        <f t="shared" si="5"/>
        <v>82.6875</v>
      </c>
      <c r="L24" s="7">
        <f t="shared" si="6"/>
        <v>38</v>
      </c>
      <c r="M24" s="6">
        <f t="shared" si="7"/>
        <v>50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48.857142857142854</v>
      </c>
      <c r="Q24" s="6">
        <f t="shared" si="11"/>
        <v>64.285714285714278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181.75</v>
      </c>
      <c r="CS24" s="7">
        <f t="shared" si="90"/>
        <v>198.6875</v>
      </c>
      <c r="CT24" s="7">
        <f t="shared" si="90"/>
        <v>54</v>
      </c>
      <c r="CU24" s="7">
        <f t="shared" si="90"/>
        <v>61.321428571428569</v>
      </c>
      <c r="CV24" s="5">
        <f t="shared" si="91"/>
        <v>235.75</v>
      </c>
      <c r="CW24" s="6">
        <f t="shared" si="92"/>
        <v>260.00892857142856</v>
      </c>
      <c r="CY24" s="7">
        <v>235.75</v>
      </c>
      <c r="CZ24" s="5">
        <f t="array" ref="CZ24">Summary_UpperBound</f>
        <v>260.00892857142856</v>
      </c>
      <c r="DA24" s="6">
        <f t="shared" si="93"/>
        <v>24.258928571428555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35</v>
      </c>
      <c r="I25" s="6">
        <f t="shared" si="3"/>
        <v>36.75</v>
      </c>
      <c r="J25" s="5">
        <f t="shared" si="4"/>
        <v>78.75</v>
      </c>
      <c r="K25" s="6">
        <f t="shared" si="5"/>
        <v>82.6875</v>
      </c>
      <c r="L25" s="7">
        <f t="shared" si="6"/>
        <v>38</v>
      </c>
      <c r="M25" s="6">
        <f t="shared" si="7"/>
        <v>50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48.857142857142854</v>
      </c>
      <c r="Q25" s="6">
        <f t="shared" si="11"/>
        <v>64.285714285714278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181.75</v>
      </c>
      <c r="CS25" s="7">
        <f t="shared" si="90"/>
        <v>198.6875</v>
      </c>
      <c r="CT25" s="7">
        <f t="shared" si="90"/>
        <v>54</v>
      </c>
      <c r="CU25" s="7">
        <f t="shared" si="90"/>
        <v>61.321428571428569</v>
      </c>
      <c r="CV25" s="5">
        <f t="shared" si="91"/>
        <v>235.75</v>
      </c>
      <c r="CW25" s="6">
        <f t="shared" si="92"/>
        <v>260.00892857142856</v>
      </c>
      <c r="CY25" s="7">
        <v>235.75</v>
      </c>
      <c r="CZ25" s="5">
        <f t="array" ref="CZ25">Summary_UpperBound</f>
        <v>260.00892857142856</v>
      </c>
      <c r="DA25" s="6">
        <f t="shared" si="93"/>
        <v>24.258928571428555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35</v>
      </c>
      <c r="I26" s="6">
        <f t="shared" si="3"/>
        <v>36.75</v>
      </c>
      <c r="J26" s="5">
        <f t="shared" si="4"/>
        <v>78.75</v>
      </c>
      <c r="K26" s="6">
        <f t="shared" si="5"/>
        <v>82.6875</v>
      </c>
      <c r="L26" s="7">
        <f t="shared" si="6"/>
        <v>38</v>
      </c>
      <c r="M26" s="6">
        <f t="shared" si="7"/>
        <v>50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48.857142857142854</v>
      </c>
      <c r="Q26" s="6">
        <f t="shared" si="11"/>
        <v>64.285714285714278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181.75</v>
      </c>
      <c r="CS26" s="7">
        <f t="shared" si="90"/>
        <v>198.6875</v>
      </c>
      <c r="CT26" s="7">
        <f t="shared" si="90"/>
        <v>54</v>
      </c>
      <c r="CU26" s="7">
        <f t="shared" si="90"/>
        <v>61.321428571428569</v>
      </c>
      <c r="CV26" s="5">
        <f t="shared" si="91"/>
        <v>235.75</v>
      </c>
      <c r="CW26" s="6">
        <f t="shared" si="92"/>
        <v>260.00892857142856</v>
      </c>
      <c r="CY26" s="7">
        <v>235.75</v>
      </c>
      <c r="CZ26" s="5">
        <f t="array" ref="CZ26">Summary_UpperBound</f>
        <v>260.00892857142856</v>
      </c>
      <c r="DA26" s="6">
        <f t="shared" si="93"/>
        <v>24.258928571428555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35</v>
      </c>
      <c r="I27" s="6">
        <f t="shared" si="3"/>
        <v>36.75</v>
      </c>
      <c r="J27" s="5">
        <f t="shared" si="4"/>
        <v>78.75</v>
      </c>
      <c r="K27" s="6">
        <f t="shared" si="5"/>
        <v>82.6875</v>
      </c>
      <c r="L27" s="7">
        <f t="shared" si="6"/>
        <v>38</v>
      </c>
      <c r="M27" s="6">
        <f t="shared" si="7"/>
        <v>50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48.857142857142854</v>
      </c>
      <c r="Q27" s="6">
        <f t="shared" si="11"/>
        <v>64.285714285714278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181.75</v>
      </c>
      <c r="CS27" s="7">
        <f t="shared" si="90"/>
        <v>198.6875</v>
      </c>
      <c r="CT27" s="7">
        <f t="shared" si="90"/>
        <v>54</v>
      </c>
      <c r="CU27" s="7">
        <f t="shared" si="90"/>
        <v>61.321428571428569</v>
      </c>
      <c r="CV27" s="5">
        <f t="shared" si="91"/>
        <v>235.75</v>
      </c>
      <c r="CW27" s="6">
        <f t="shared" si="92"/>
        <v>260.00892857142856</v>
      </c>
      <c r="CY27" s="7">
        <v>235.75</v>
      </c>
      <c r="CZ27" s="5">
        <f t="array" ref="CZ27">Summary_UpperBound</f>
        <v>260.00892857142856</v>
      </c>
      <c r="DA27" s="6">
        <f t="shared" si="93"/>
        <v>24.258928571428555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35</v>
      </c>
      <c r="I28" s="6">
        <f t="shared" si="3"/>
        <v>36.75</v>
      </c>
      <c r="J28" s="5">
        <f t="shared" si="4"/>
        <v>78.75</v>
      </c>
      <c r="K28" s="6">
        <f t="shared" si="5"/>
        <v>82.6875</v>
      </c>
      <c r="L28" s="7">
        <f t="shared" si="6"/>
        <v>38</v>
      </c>
      <c r="M28" s="6">
        <f t="shared" si="7"/>
        <v>50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48.857142857142854</v>
      </c>
      <c r="Q28" s="6">
        <f t="shared" si="11"/>
        <v>64.285714285714278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181.75</v>
      </c>
      <c r="CS28" s="7">
        <f t="shared" si="90"/>
        <v>198.6875</v>
      </c>
      <c r="CT28" s="7">
        <f t="shared" si="90"/>
        <v>54</v>
      </c>
      <c r="CU28" s="7">
        <f t="shared" si="90"/>
        <v>61.321428571428569</v>
      </c>
      <c r="CV28" s="5">
        <f t="shared" si="91"/>
        <v>235.75</v>
      </c>
      <c r="CW28" s="6">
        <f t="shared" si="92"/>
        <v>260.00892857142856</v>
      </c>
      <c r="CY28" s="7">
        <v>235.75</v>
      </c>
      <c r="CZ28" s="5">
        <f t="array" ref="CZ28">Summary_UpperBound</f>
        <v>260.00892857142856</v>
      </c>
      <c r="DA28" s="6">
        <f t="shared" si="93"/>
        <v>24.258928571428555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35</v>
      </c>
      <c r="I29" s="6">
        <f t="shared" si="3"/>
        <v>36.75</v>
      </c>
      <c r="J29" s="5">
        <f t="shared" si="4"/>
        <v>78.75</v>
      </c>
      <c r="K29" s="6">
        <f t="shared" si="5"/>
        <v>82.6875</v>
      </c>
      <c r="L29" s="7">
        <f t="shared" si="6"/>
        <v>38</v>
      </c>
      <c r="M29" s="6">
        <f t="shared" si="7"/>
        <v>50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48.857142857142854</v>
      </c>
      <c r="Q29" s="6">
        <f t="shared" si="11"/>
        <v>64.285714285714278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181.75</v>
      </c>
      <c r="CS29" s="7">
        <f t="shared" si="90"/>
        <v>198.6875</v>
      </c>
      <c r="CT29" s="7">
        <f t="shared" si="90"/>
        <v>54</v>
      </c>
      <c r="CU29" s="7">
        <f t="shared" si="90"/>
        <v>61.321428571428569</v>
      </c>
      <c r="CV29" s="5">
        <f t="shared" si="91"/>
        <v>235.75</v>
      </c>
      <c r="CW29" s="6">
        <f t="shared" si="92"/>
        <v>260.00892857142856</v>
      </c>
      <c r="CY29" s="7">
        <v>235.75</v>
      </c>
      <c r="CZ29" s="5">
        <f t="array" ref="CZ29">Summary_UpperBound</f>
        <v>260.00892857142856</v>
      </c>
      <c r="DA29" s="6">
        <f t="shared" si="93"/>
        <v>24.258928571428555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35</v>
      </c>
      <c r="I30" s="6">
        <f t="shared" si="3"/>
        <v>36.75</v>
      </c>
      <c r="J30" s="5">
        <f t="shared" si="4"/>
        <v>78.75</v>
      </c>
      <c r="K30" s="6">
        <f t="shared" si="5"/>
        <v>82.6875</v>
      </c>
      <c r="L30" s="7">
        <f t="shared" si="6"/>
        <v>38</v>
      </c>
      <c r="M30" s="6">
        <f t="shared" si="7"/>
        <v>50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48.857142857142854</v>
      </c>
      <c r="Q30" s="6">
        <f t="shared" si="11"/>
        <v>64.285714285714278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181.75</v>
      </c>
      <c r="CS30" s="7">
        <f t="shared" si="90"/>
        <v>198.6875</v>
      </c>
      <c r="CT30" s="7">
        <f t="shared" si="90"/>
        <v>54</v>
      </c>
      <c r="CU30" s="7">
        <f t="shared" si="90"/>
        <v>61.321428571428569</v>
      </c>
      <c r="CV30" s="5">
        <f t="shared" si="91"/>
        <v>235.75</v>
      </c>
      <c r="CW30" s="6">
        <f t="shared" si="92"/>
        <v>260.00892857142856</v>
      </c>
      <c r="CY30" s="7">
        <v>235.75</v>
      </c>
      <c r="CZ30" s="5">
        <f t="array" ref="CZ30">Summary_UpperBound</f>
        <v>260.00892857142856</v>
      </c>
      <c r="DA30" s="6">
        <f t="shared" si="93"/>
        <v>24.258928571428555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35</v>
      </c>
      <c r="I31" s="6">
        <f t="shared" si="3"/>
        <v>36.75</v>
      </c>
      <c r="J31" s="5">
        <f t="shared" si="4"/>
        <v>78.75</v>
      </c>
      <c r="K31" s="6">
        <f t="shared" si="5"/>
        <v>82.6875</v>
      </c>
      <c r="L31" s="7">
        <f t="shared" si="6"/>
        <v>38</v>
      </c>
      <c r="M31" s="6">
        <f t="shared" si="7"/>
        <v>50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48.857142857142854</v>
      </c>
      <c r="Q31" s="6">
        <f t="shared" si="11"/>
        <v>64.285714285714278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181.75</v>
      </c>
      <c r="CS31" s="7">
        <f t="shared" si="90"/>
        <v>198.6875</v>
      </c>
      <c r="CT31" s="7">
        <f t="shared" si="90"/>
        <v>54</v>
      </c>
      <c r="CU31" s="7">
        <f t="shared" si="90"/>
        <v>61.321428571428569</v>
      </c>
      <c r="CV31" s="5">
        <f t="shared" si="91"/>
        <v>235.75</v>
      </c>
      <c r="CW31" s="6">
        <f t="shared" si="92"/>
        <v>260.00892857142856</v>
      </c>
      <c r="CY31" s="7">
        <v>235.75</v>
      </c>
      <c r="CZ31" s="5">
        <f t="array" ref="CZ31">Summary_UpperBound</f>
        <v>260.00892857142856</v>
      </c>
      <c r="DA31" s="6">
        <f t="shared" si="93"/>
        <v>24.258928571428555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35</v>
      </c>
      <c r="I32" s="6">
        <f t="shared" si="3"/>
        <v>36.75</v>
      </c>
      <c r="J32" s="5">
        <f t="shared" si="4"/>
        <v>78.75</v>
      </c>
      <c r="K32" s="6">
        <f t="shared" si="5"/>
        <v>82.6875</v>
      </c>
      <c r="L32" s="7">
        <f t="shared" si="6"/>
        <v>38</v>
      </c>
      <c r="M32" s="6">
        <f t="shared" si="7"/>
        <v>50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48.857142857142854</v>
      </c>
      <c r="Q32" s="6">
        <f t="shared" si="11"/>
        <v>64.285714285714278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181.75</v>
      </c>
      <c r="CS32" s="7">
        <f t="shared" si="90"/>
        <v>198.6875</v>
      </c>
      <c r="CT32" s="7">
        <f t="shared" si="90"/>
        <v>54</v>
      </c>
      <c r="CU32" s="7">
        <f t="shared" si="90"/>
        <v>61.321428571428569</v>
      </c>
      <c r="CV32" s="5">
        <f t="shared" si="91"/>
        <v>235.75</v>
      </c>
      <c r="CW32" s="6">
        <f t="shared" si="92"/>
        <v>260.00892857142856</v>
      </c>
      <c r="CY32" s="7">
        <v>235.75</v>
      </c>
      <c r="CZ32" s="5">
        <f t="array" ref="CZ32">Summary_UpperBound</f>
        <v>260.00892857142856</v>
      </c>
      <c r="DA32" s="6">
        <f t="shared" si="93"/>
        <v>24.258928571428555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35</v>
      </c>
      <c r="I33" s="6">
        <f t="shared" si="3"/>
        <v>36.75</v>
      </c>
      <c r="J33" s="5">
        <f t="shared" si="4"/>
        <v>78.75</v>
      </c>
      <c r="K33" s="6">
        <f t="shared" si="5"/>
        <v>82.6875</v>
      </c>
      <c r="L33" s="7">
        <f t="shared" si="6"/>
        <v>38</v>
      </c>
      <c r="M33" s="6">
        <f t="shared" si="7"/>
        <v>50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48.857142857142854</v>
      </c>
      <c r="Q33" s="6">
        <f t="shared" si="11"/>
        <v>64.285714285714278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181.75</v>
      </c>
      <c r="CS33" s="7">
        <f t="shared" si="90"/>
        <v>198.6875</v>
      </c>
      <c r="CT33" s="7">
        <f t="shared" si="90"/>
        <v>54</v>
      </c>
      <c r="CU33" s="7">
        <f t="shared" si="90"/>
        <v>61.321428571428569</v>
      </c>
      <c r="CV33" s="5">
        <f t="shared" si="91"/>
        <v>235.75</v>
      </c>
      <c r="CW33" s="6">
        <f t="shared" si="92"/>
        <v>260.00892857142856</v>
      </c>
      <c r="CY33" s="7">
        <v>235.75</v>
      </c>
      <c r="CZ33" s="5">
        <f t="array" ref="CZ33">Summary_UpperBound</f>
        <v>260.00892857142856</v>
      </c>
      <c r="DA33" s="6">
        <f t="shared" si="93"/>
        <v>24.258928571428555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35</v>
      </c>
      <c r="I34" s="6">
        <f t="shared" si="3"/>
        <v>36.75</v>
      </c>
      <c r="J34" s="5">
        <f t="shared" si="4"/>
        <v>78.75</v>
      </c>
      <c r="K34" s="6">
        <f t="shared" si="5"/>
        <v>82.6875</v>
      </c>
      <c r="L34" s="7">
        <f t="shared" si="6"/>
        <v>38</v>
      </c>
      <c r="M34" s="6">
        <f t="shared" si="7"/>
        <v>50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48.857142857142854</v>
      </c>
      <c r="Q34" s="6">
        <f t="shared" si="11"/>
        <v>64.285714285714278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181.75</v>
      </c>
      <c r="CS34" s="7">
        <f t="shared" si="90"/>
        <v>198.6875</v>
      </c>
      <c r="CT34" s="7">
        <f t="shared" si="90"/>
        <v>54</v>
      </c>
      <c r="CU34" s="7">
        <f t="shared" si="90"/>
        <v>61.321428571428569</v>
      </c>
      <c r="CV34" s="5">
        <f t="shared" si="91"/>
        <v>235.75</v>
      </c>
      <c r="CW34" s="6">
        <f t="shared" si="92"/>
        <v>260.00892857142856</v>
      </c>
      <c r="CY34" s="7">
        <v>235.75</v>
      </c>
      <c r="CZ34" s="5">
        <f t="array" ref="CZ34">Summary_UpperBound</f>
        <v>260.00892857142856</v>
      </c>
      <c r="DA34" s="6">
        <f t="shared" si="93"/>
        <v>24.258928571428555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35</v>
      </c>
      <c r="I35" s="6">
        <f t="shared" si="3"/>
        <v>36.75</v>
      </c>
      <c r="J35" s="5">
        <f t="shared" si="4"/>
        <v>78.75</v>
      </c>
      <c r="K35" s="6">
        <f t="shared" si="5"/>
        <v>82.6875</v>
      </c>
      <c r="L35" s="7">
        <f t="shared" si="6"/>
        <v>38</v>
      </c>
      <c r="M35" s="6">
        <f t="shared" si="7"/>
        <v>50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48.857142857142854</v>
      </c>
      <c r="Q35" s="6">
        <f t="shared" si="11"/>
        <v>64.285714285714278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181.75</v>
      </c>
      <c r="CS35" s="7">
        <f t="shared" si="90"/>
        <v>198.6875</v>
      </c>
      <c r="CT35" s="7">
        <f t="shared" si="90"/>
        <v>54</v>
      </c>
      <c r="CU35" s="7">
        <f t="shared" si="90"/>
        <v>61.321428571428569</v>
      </c>
      <c r="CV35" s="5">
        <f t="shared" si="91"/>
        <v>235.75</v>
      </c>
      <c r="CW35" s="6">
        <f t="shared" si="92"/>
        <v>260.00892857142856</v>
      </c>
      <c r="CY35" s="7">
        <v>235.75</v>
      </c>
      <c r="CZ35" s="5">
        <f t="array" ref="CZ35">Summary_UpperBound</f>
        <v>260.00892857142856</v>
      </c>
      <c r="DA35" s="6">
        <f t="shared" si="93"/>
        <v>24.258928571428555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35</v>
      </c>
      <c r="I36" s="6">
        <f t="shared" si="3"/>
        <v>36.75</v>
      </c>
      <c r="J36" s="5">
        <f t="shared" si="4"/>
        <v>78.75</v>
      </c>
      <c r="K36" s="6">
        <f t="shared" si="5"/>
        <v>82.6875</v>
      </c>
      <c r="L36" s="7">
        <f t="shared" si="6"/>
        <v>38</v>
      </c>
      <c r="M36" s="6">
        <f t="shared" si="7"/>
        <v>50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48.857142857142854</v>
      </c>
      <c r="Q36" s="6">
        <f t="shared" si="11"/>
        <v>64.285714285714278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181.75</v>
      </c>
      <c r="CS36" s="7">
        <f t="shared" si="90"/>
        <v>198.6875</v>
      </c>
      <c r="CT36" s="7">
        <f t="shared" si="90"/>
        <v>54</v>
      </c>
      <c r="CU36" s="7">
        <f t="shared" si="90"/>
        <v>61.321428571428569</v>
      </c>
      <c r="CV36" s="5">
        <f t="shared" si="91"/>
        <v>235.75</v>
      </c>
      <c r="CW36" s="6">
        <f t="shared" si="92"/>
        <v>260.00892857142856</v>
      </c>
      <c r="CY36" s="7">
        <v>235.75</v>
      </c>
      <c r="CZ36" s="5">
        <f t="array" ref="CZ36">Summary_UpperBound</f>
        <v>260.00892857142856</v>
      </c>
      <c r="DA36" s="6">
        <f t="shared" si="93"/>
        <v>24.258928571428555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35</v>
      </c>
      <c r="I37" s="6">
        <f t="shared" si="3"/>
        <v>36.75</v>
      </c>
      <c r="J37" s="5">
        <f t="shared" si="4"/>
        <v>78.75</v>
      </c>
      <c r="K37" s="6">
        <f t="shared" si="5"/>
        <v>82.6875</v>
      </c>
      <c r="L37" s="7">
        <f t="shared" si="6"/>
        <v>38</v>
      </c>
      <c r="M37" s="6">
        <f t="shared" si="7"/>
        <v>50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48.857142857142854</v>
      </c>
      <c r="Q37" s="6">
        <f t="shared" si="11"/>
        <v>64.285714285714278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181.75</v>
      </c>
      <c r="CS37" s="7">
        <f t="shared" si="90"/>
        <v>198.6875</v>
      </c>
      <c r="CT37" s="7">
        <f t="shared" si="90"/>
        <v>54</v>
      </c>
      <c r="CU37" s="7">
        <f t="shared" si="90"/>
        <v>61.321428571428569</v>
      </c>
      <c r="CV37" s="5">
        <f t="shared" si="91"/>
        <v>235.75</v>
      </c>
      <c r="CW37" s="6">
        <f t="shared" si="92"/>
        <v>260.00892857142856</v>
      </c>
      <c r="CY37" s="7">
        <v>235.75</v>
      </c>
      <c r="CZ37" s="5">
        <f t="array" ref="CZ37">Summary_UpperBound</f>
        <v>260.00892857142856</v>
      </c>
      <c r="DA37" s="6">
        <f t="shared" si="93"/>
        <v>24.258928571428555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35</v>
      </c>
      <c r="I38" s="6">
        <f t="shared" si="3"/>
        <v>36.75</v>
      </c>
      <c r="J38" s="5">
        <f t="shared" si="4"/>
        <v>78.75</v>
      </c>
      <c r="K38" s="6">
        <f t="shared" si="5"/>
        <v>82.6875</v>
      </c>
      <c r="L38" s="7">
        <f t="shared" si="6"/>
        <v>38</v>
      </c>
      <c r="M38" s="6">
        <f t="shared" si="7"/>
        <v>50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48.857142857142854</v>
      </c>
      <c r="Q38" s="6">
        <f t="shared" si="11"/>
        <v>64.285714285714278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181.75</v>
      </c>
      <c r="CS38" s="7">
        <f t="shared" si="90"/>
        <v>198.6875</v>
      </c>
      <c r="CT38" s="7">
        <f t="shared" si="90"/>
        <v>54</v>
      </c>
      <c r="CU38" s="7">
        <f t="shared" si="90"/>
        <v>61.321428571428569</v>
      </c>
      <c r="CV38" s="5">
        <f t="shared" si="91"/>
        <v>235.75</v>
      </c>
      <c r="CW38" s="6">
        <f t="shared" si="92"/>
        <v>260.00892857142856</v>
      </c>
      <c r="CY38" s="7">
        <v>235.75</v>
      </c>
      <c r="CZ38" s="5">
        <f t="array" ref="CZ38">Summary_UpperBound</f>
        <v>260.00892857142856</v>
      </c>
      <c r="DA38" s="6">
        <f t="shared" si="93"/>
        <v>24.258928571428555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35</v>
      </c>
      <c r="I39" s="6">
        <f t="shared" si="3"/>
        <v>36.75</v>
      </c>
      <c r="J39" s="5">
        <f t="shared" si="4"/>
        <v>78.75</v>
      </c>
      <c r="K39" s="6">
        <f t="shared" si="5"/>
        <v>82.6875</v>
      </c>
      <c r="L39" s="7">
        <f t="shared" si="6"/>
        <v>38</v>
      </c>
      <c r="M39" s="6">
        <f t="shared" si="7"/>
        <v>50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48.857142857142854</v>
      </c>
      <c r="Q39" s="6">
        <f t="shared" si="11"/>
        <v>64.285714285714278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181.75</v>
      </c>
      <c r="CS39" s="7">
        <f t="shared" si="90"/>
        <v>198.6875</v>
      </c>
      <c r="CT39" s="7">
        <f t="shared" si="90"/>
        <v>54</v>
      </c>
      <c r="CU39" s="7">
        <f t="shared" si="90"/>
        <v>61.321428571428569</v>
      </c>
      <c r="CV39" s="5">
        <f t="shared" si="91"/>
        <v>235.75</v>
      </c>
      <c r="CW39" s="6">
        <f t="shared" si="92"/>
        <v>260.00892857142856</v>
      </c>
      <c r="CY39" s="7">
        <v>235.75</v>
      </c>
      <c r="CZ39" s="5">
        <f t="array" ref="CZ39">Summary_UpperBound</f>
        <v>260.00892857142856</v>
      </c>
      <c r="DA39" s="6">
        <f t="shared" si="93"/>
        <v>24.258928571428555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35</v>
      </c>
      <c r="I40" s="6">
        <f t="shared" si="3"/>
        <v>36.75</v>
      </c>
      <c r="J40" s="5">
        <f t="shared" si="4"/>
        <v>78.75</v>
      </c>
      <c r="K40" s="6">
        <f t="shared" si="5"/>
        <v>82.6875</v>
      </c>
      <c r="L40" s="7">
        <f t="shared" si="6"/>
        <v>38</v>
      </c>
      <c r="M40" s="6">
        <f t="shared" si="7"/>
        <v>50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48.857142857142854</v>
      </c>
      <c r="Q40" s="6">
        <f t="shared" si="11"/>
        <v>64.285714285714278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181.75</v>
      </c>
      <c r="CS40" s="7">
        <f t="shared" si="90"/>
        <v>198.6875</v>
      </c>
      <c r="CT40" s="7">
        <f t="shared" si="90"/>
        <v>54</v>
      </c>
      <c r="CU40" s="7">
        <f t="shared" si="90"/>
        <v>61.321428571428569</v>
      </c>
      <c r="CV40" s="5">
        <f t="shared" si="91"/>
        <v>235.75</v>
      </c>
      <c r="CW40" s="6">
        <f t="shared" si="92"/>
        <v>260.00892857142856</v>
      </c>
      <c r="CY40" s="7">
        <v>235.75</v>
      </c>
      <c r="CZ40" s="5">
        <f t="array" ref="CZ40">Summary_UpperBound</f>
        <v>260.00892857142856</v>
      </c>
      <c r="DA40" s="6">
        <f t="shared" si="93"/>
        <v>24.258928571428555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35</v>
      </c>
      <c r="I41" s="6">
        <f t="shared" si="3"/>
        <v>36.75</v>
      </c>
      <c r="J41" s="5">
        <f t="shared" si="4"/>
        <v>78.75</v>
      </c>
      <c r="K41" s="6">
        <f t="shared" si="5"/>
        <v>82.6875</v>
      </c>
      <c r="L41" s="7">
        <f t="shared" si="6"/>
        <v>38</v>
      </c>
      <c r="M41" s="6">
        <f t="shared" si="7"/>
        <v>50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48.857142857142854</v>
      </c>
      <c r="Q41" s="6">
        <f t="shared" si="11"/>
        <v>64.285714285714278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181.75</v>
      </c>
      <c r="CS41" s="7">
        <f t="shared" si="90"/>
        <v>198.6875</v>
      </c>
      <c r="CT41" s="7">
        <f t="shared" si="90"/>
        <v>54</v>
      </c>
      <c r="CU41" s="7">
        <f t="shared" si="90"/>
        <v>61.321428571428569</v>
      </c>
      <c r="CV41" s="5">
        <f t="shared" si="91"/>
        <v>235.75</v>
      </c>
      <c r="CW41" s="6">
        <f t="shared" si="92"/>
        <v>260.00892857142856</v>
      </c>
      <c r="CY41" s="7">
        <v>235.75</v>
      </c>
      <c r="CZ41" s="5">
        <f t="array" ref="CZ41">Summary_UpperBound</f>
        <v>260.00892857142856</v>
      </c>
      <c r="DA41" s="6">
        <f t="shared" si="93"/>
        <v>24.258928571428555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35</v>
      </c>
      <c r="I42" s="6">
        <f t="shared" si="3"/>
        <v>36.75</v>
      </c>
      <c r="J42" s="5">
        <f t="shared" si="4"/>
        <v>78.75</v>
      </c>
      <c r="K42" s="6">
        <f t="shared" si="5"/>
        <v>82.6875</v>
      </c>
      <c r="L42" s="7">
        <f t="shared" si="6"/>
        <v>38</v>
      </c>
      <c r="M42" s="6">
        <f t="shared" si="7"/>
        <v>50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48.857142857142854</v>
      </c>
      <c r="Q42" s="6">
        <f t="shared" si="11"/>
        <v>64.285714285714278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181.75</v>
      </c>
      <c r="CS42" s="7">
        <f t="shared" si="90"/>
        <v>198.6875</v>
      </c>
      <c r="CT42" s="7">
        <f t="shared" si="90"/>
        <v>54</v>
      </c>
      <c r="CU42" s="7">
        <f t="shared" si="90"/>
        <v>61.321428571428569</v>
      </c>
      <c r="CV42" s="5">
        <f t="shared" si="91"/>
        <v>235.75</v>
      </c>
      <c r="CW42" s="6">
        <f t="shared" si="92"/>
        <v>260.00892857142856</v>
      </c>
      <c r="CY42" s="7">
        <v>235.75</v>
      </c>
      <c r="CZ42" s="5">
        <f t="array" ref="CZ42">Summary_UpperBound</f>
        <v>260.00892857142856</v>
      </c>
      <c r="DA42" s="6">
        <f t="shared" si="93"/>
        <v>24.258928571428555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35</v>
      </c>
      <c r="I43" s="6">
        <f t="shared" si="3"/>
        <v>36.75</v>
      </c>
      <c r="J43" s="5">
        <f t="shared" si="4"/>
        <v>78.75</v>
      </c>
      <c r="K43" s="6">
        <f t="shared" si="5"/>
        <v>82.6875</v>
      </c>
      <c r="L43" s="7">
        <f t="shared" si="6"/>
        <v>38</v>
      </c>
      <c r="M43" s="6">
        <f t="shared" si="7"/>
        <v>50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48.857142857142854</v>
      </c>
      <c r="Q43" s="6">
        <f t="shared" si="11"/>
        <v>64.285714285714278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181.75</v>
      </c>
      <c r="CS43" s="7">
        <f t="shared" si="90"/>
        <v>198.6875</v>
      </c>
      <c r="CT43" s="7">
        <f t="shared" si="90"/>
        <v>54</v>
      </c>
      <c r="CU43" s="7">
        <f t="shared" si="90"/>
        <v>61.321428571428569</v>
      </c>
      <c r="CV43" s="5">
        <f t="shared" si="91"/>
        <v>235.75</v>
      </c>
      <c r="CW43" s="6">
        <f t="shared" si="92"/>
        <v>260.00892857142856</v>
      </c>
      <c r="CY43" s="7">
        <v>235.75</v>
      </c>
      <c r="CZ43" s="5">
        <f t="array" ref="CZ43">Summary_UpperBound</f>
        <v>260.00892857142856</v>
      </c>
      <c r="DA43" s="6">
        <f t="shared" si="93"/>
        <v>24.258928571428555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35</v>
      </c>
      <c r="I44" s="6">
        <f t="shared" si="3"/>
        <v>36.75</v>
      </c>
      <c r="J44" s="5">
        <f t="shared" si="4"/>
        <v>78.75</v>
      </c>
      <c r="K44" s="6">
        <f t="shared" si="5"/>
        <v>82.6875</v>
      </c>
      <c r="L44" s="7">
        <f t="shared" si="6"/>
        <v>38</v>
      </c>
      <c r="M44" s="6">
        <f t="shared" si="7"/>
        <v>50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48.857142857142854</v>
      </c>
      <c r="Q44" s="6">
        <f t="shared" si="11"/>
        <v>64.285714285714278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181.75</v>
      </c>
      <c r="CS44" s="7">
        <f t="shared" si="90"/>
        <v>198.6875</v>
      </c>
      <c r="CT44" s="7">
        <f t="shared" si="90"/>
        <v>54</v>
      </c>
      <c r="CU44" s="7">
        <f t="shared" si="90"/>
        <v>61.321428571428569</v>
      </c>
      <c r="CV44" s="5">
        <f t="shared" si="91"/>
        <v>235.75</v>
      </c>
      <c r="CW44" s="6">
        <f t="shared" si="92"/>
        <v>260.00892857142856</v>
      </c>
      <c r="CY44" s="7">
        <v>235.75</v>
      </c>
      <c r="CZ44" s="5">
        <f t="array" ref="CZ44">Summary_UpperBound</f>
        <v>260.00892857142856</v>
      </c>
      <c r="DA44" s="6">
        <f t="shared" si="93"/>
        <v>24.258928571428555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35</v>
      </c>
      <c r="I45" s="6">
        <f t="shared" si="3"/>
        <v>36.75</v>
      </c>
      <c r="J45" s="5">
        <f t="shared" si="4"/>
        <v>78.75</v>
      </c>
      <c r="K45" s="6">
        <f t="shared" si="5"/>
        <v>82.6875</v>
      </c>
      <c r="L45" s="7">
        <f t="shared" si="6"/>
        <v>38</v>
      </c>
      <c r="M45" s="6">
        <f t="shared" si="7"/>
        <v>50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48.857142857142854</v>
      </c>
      <c r="Q45" s="6">
        <f t="shared" si="11"/>
        <v>64.285714285714278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181.75</v>
      </c>
      <c r="CS45" s="7">
        <f t="shared" si="90"/>
        <v>198.6875</v>
      </c>
      <c r="CT45" s="7">
        <f t="shared" si="90"/>
        <v>54</v>
      </c>
      <c r="CU45" s="7">
        <f t="shared" si="90"/>
        <v>61.321428571428569</v>
      </c>
      <c r="CV45" s="5">
        <f t="shared" si="91"/>
        <v>235.75</v>
      </c>
      <c r="CW45" s="6">
        <f t="shared" si="92"/>
        <v>260.00892857142856</v>
      </c>
      <c r="CY45" s="7">
        <v>235.75</v>
      </c>
      <c r="CZ45" s="5">
        <f t="array" ref="CZ45">Summary_UpperBound</f>
        <v>260.00892857142856</v>
      </c>
      <c r="DA45" s="6">
        <f t="shared" si="93"/>
        <v>24.258928571428555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35</v>
      </c>
      <c r="I46" s="6">
        <f t="shared" si="3"/>
        <v>36.75</v>
      </c>
      <c r="J46" s="5">
        <f t="shared" si="4"/>
        <v>78.75</v>
      </c>
      <c r="K46" s="6">
        <f t="shared" si="5"/>
        <v>82.6875</v>
      </c>
      <c r="L46" s="7">
        <f t="shared" si="6"/>
        <v>38</v>
      </c>
      <c r="M46" s="6">
        <f t="shared" si="7"/>
        <v>50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48.857142857142854</v>
      </c>
      <c r="Q46" s="6">
        <f t="shared" si="11"/>
        <v>64.285714285714278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181.75</v>
      </c>
      <c r="CS46" s="7">
        <f t="shared" si="90"/>
        <v>198.6875</v>
      </c>
      <c r="CT46" s="7">
        <f t="shared" si="90"/>
        <v>54</v>
      </c>
      <c r="CU46" s="7">
        <f t="shared" si="90"/>
        <v>61.321428571428569</v>
      </c>
      <c r="CV46" s="5">
        <f t="shared" si="91"/>
        <v>235.75</v>
      </c>
      <c r="CW46" s="6">
        <f t="shared" si="92"/>
        <v>260.00892857142856</v>
      </c>
      <c r="CY46" s="7">
        <v>235.75</v>
      </c>
      <c r="CZ46" s="5">
        <f t="array" ref="CZ46">Summary_UpperBound</f>
        <v>260.00892857142856</v>
      </c>
      <c r="DA46" s="6">
        <f t="shared" si="93"/>
        <v>24.258928571428555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35</v>
      </c>
      <c r="I47" s="6">
        <f t="shared" si="3"/>
        <v>36.75</v>
      </c>
      <c r="J47" s="5">
        <f t="shared" si="4"/>
        <v>78.75</v>
      </c>
      <c r="K47" s="6">
        <f t="shared" si="5"/>
        <v>82.6875</v>
      </c>
      <c r="L47" s="7">
        <f t="shared" si="6"/>
        <v>38</v>
      </c>
      <c r="M47" s="6">
        <f t="shared" si="7"/>
        <v>50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48.857142857142854</v>
      </c>
      <c r="Q47" s="6">
        <f t="shared" si="11"/>
        <v>64.285714285714278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181.75</v>
      </c>
      <c r="CS47" s="7">
        <f t="shared" si="90"/>
        <v>198.6875</v>
      </c>
      <c r="CT47" s="7">
        <f t="shared" si="90"/>
        <v>54</v>
      </c>
      <c r="CU47" s="7">
        <f t="shared" si="90"/>
        <v>61.321428571428569</v>
      </c>
      <c r="CV47" s="5">
        <f t="shared" si="91"/>
        <v>235.75</v>
      </c>
      <c r="CW47" s="6">
        <f t="shared" si="92"/>
        <v>260.00892857142856</v>
      </c>
      <c r="CY47" s="7">
        <v>235.75</v>
      </c>
      <c r="CZ47" s="5">
        <f t="array" ref="CZ47">Summary_UpperBound</f>
        <v>260.00892857142856</v>
      </c>
      <c r="DA47" s="6">
        <f t="shared" si="93"/>
        <v>24.258928571428555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35</v>
      </c>
      <c r="I48" s="6">
        <f t="shared" si="3"/>
        <v>36.75</v>
      </c>
      <c r="J48" s="5">
        <f t="shared" si="4"/>
        <v>78.75</v>
      </c>
      <c r="K48" s="6">
        <f t="shared" si="5"/>
        <v>82.6875</v>
      </c>
      <c r="L48" s="7">
        <f t="shared" si="6"/>
        <v>38</v>
      </c>
      <c r="M48" s="6">
        <f t="shared" si="7"/>
        <v>50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48.857142857142854</v>
      </c>
      <c r="Q48" s="6">
        <f t="shared" si="11"/>
        <v>64.285714285714278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181.75</v>
      </c>
      <c r="CS48" s="7">
        <f t="shared" si="90"/>
        <v>198.6875</v>
      </c>
      <c r="CT48" s="7">
        <f t="shared" si="90"/>
        <v>54</v>
      </c>
      <c r="CU48" s="7">
        <f t="shared" si="90"/>
        <v>61.321428571428569</v>
      </c>
      <c r="CV48" s="5">
        <f t="shared" si="91"/>
        <v>235.75</v>
      </c>
      <c r="CW48" s="6">
        <f t="shared" si="92"/>
        <v>260.00892857142856</v>
      </c>
      <c r="CY48" s="7">
        <v>235.75</v>
      </c>
      <c r="CZ48" s="5">
        <f t="array" ref="CZ48">Summary_UpperBound</f>
        <v>260.00892857142856</v>
      </c>
      <c r="DA48" s="6">
        <f t="shared" si="93"/>
        <v>24.258928571428555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35</v>
      </c>
      <c r="I49" s="6">
        <f t="shared" si="3"/>
        <v>36.75</v>
      </c>
      <c r="J49" s="5">
        <f t="shared" si="4"/>
        <v>78.75</v>
      </c>
      <c r="K49" s="6">
        <f t="shared" si="5"/>
        <v>82.6875</v>
      </c>
      <c r="L49" s="7">
        <f t="shared" si="6"/>
        <v>38</v>
      </c>
      <c r="M49" s="6">
        <f t="shared" si="7"/>
        <v>50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48.857142857142854</v>
      </c>
      <c r="Q49" s="6">
        <f t="shared" si="11"/>
        <v>64.285714285714278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181.75</v>
      </c>
      <c r="CS49" s="7">
        <f t="shared" si="90"/>
        <v>198.6875</v>
      </c>
      <c r="CT49" s="7">
        <f t="shared" si="90"/>
        <v>54</v>
      </c>
      <c r="CU49" s="7">
        <f t="shared" si="90"/>
        <v>61.321428571428569</v>
      </c>
      <c r="CV49" s="5">
        <f t="shared" si="91"/>
        <v>235.75</v>
      </c>
      <c r="CW49" s="6">
        <f t="shared" si="92"/>
        <v>260.00892857142856</v>
      </c>
      <c r="CY49" s="7">
        <v>235.75</v>
      </c>
      <c r="CZ49" s="5">
        <f t="array" ref="CZ49">Summary_UpperBound</f>
        <v>260.00892857142856</v>
      </c>
      <c r="DA49" s="6">
        <f t="shared" si="93"/>
        <v>24.258928571428555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35</v>
      </c>
      <c r="I50" s="6">
        <f t="shared" si="3"/>
        <v>36.75</v>
      </c>
      <c r="J50" s="5">
        <f t="shared" si="4"/>
        <v>78.75</v>
      </c>
      <c r="K50" s="6">
        <f t="shared" si="5"/>
        <v>82.6875</v>
      </c>
      <c r="L50" s="7">
        <f t="shared" si="6"/>
        <v>38</v>
      </c>
      <c r="M50" s="6">
        <f t="shared" si="7"/>
        <v>50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48.857142857142854</v>
      </c>
      <c r="Q50" s="6">
        <f t="shared" si="11"/>
        <v>64.285714285714278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181.75</v>
      </c>
      <c r="CS50" s="7">
        <f t="shared" si="90"/>
        <v>198.6875</v>
      </c>
      <c r="CT50" s="7">
        <f t="shared" si="90"/>
        <v>54</v>
      </c>
      <c r="CU50" s="7">
        <f t="shared" si="90"/>
        <v>61.321428571428569</v>
      </c>
      <c r="CV50" s="5">
        <f t="shared" si="91"/>
        <v>235.75</v>
      </c>
      <c r="CW50" s="6">
        <f t="shared" si="92"/>
        <v>260.00892857142856</v>
      </c>
      <c r="CY50" s="7">
        <v>235.75</v>
      </c>
      <c r="CZ50" s="5">
        <f t="array" ref="CZ50">Summary_UpperBound</f>
        <v>260.00892857142856</v>
      </c>
      <c r="DA50" s="6">
        <f t="shared" si="93"/>
        <v>24.258928571428555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35</v>
      </c>
      <c r="I51" s="6">
        <f t="shared" si="3"/>
        <v>36.75</v>
      </c>
      <c r="J51" s="5">
        <f t="shared" si="4"/>
        <v>78.75</v>
      </c>
      <c r="K51" s="6">
        <f t="shared" si="5"/>
        <v>82.6875</v>
      </c>
      <c r="L51" s="7">
        <f t="shared" si="6"/>
        <v>38</v>
      </c>
      <c r="M51" s="6">
        <f t="shared" si="7"/>
        <v>50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48.857142857142854</v>
      </c>
      <c r="Q51" s="6">
        <f t="shared" si="11"/>
        <v>64.285714285714278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181.75</v>
      </c>
      <c r="CS51" s="7">
        <f t="shared" si="90"/>
        <v>198.6875</v>
      </c>
      <c r="CT51" s="7">
        <f t="shared" si="90"/>
        <v>54</v>
      </c>
      <c r="CU51" s="7">
        <f t="shared" si="90"/>
        <v>61.321428571428569</v>
      </c>
      <c r="CV51" s="5">
        <f t="shared" si="91"/>
        <v>235.75</v>
      </c>
      <c r="CW51" s="6">
        <f t="shared" si="92"/>
        <v>260.00892857142856</v>
      </c>
      <c r="CY51" s="7">
        <v>235.75</v>
      </c>
      <c r="CZ51" s="5">
        <f t="array" ref="CZ51">Summary_UpperBound</f>
        <v>260.00892857142856</v>
      </c>
      <c r="DA51" s="6">
        <f t="shared" si="93"/>
        <v>24.258928571428555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35</v>
      </c>
      <c r="I52" s="6">
        <f t="shared" si="3"/>
        <v>36.75</v>
      </c>
      <c r="J52" s="5">
        <f t="shared" si="4"/>
        <v>78.75</v>
      </c>
      <c r="K52" s="6">
        <f t="shared" si="5"/>
        <v>82.6875</v>
      </c>
      <c r="L52" s="7">
        <f t="shared" si="6"/>
        <v>38</v>
      </c>
      <c r="M52" s="6">
        <f t="shared" si="7"/>
        <v>50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48.857142857142854</v>
      </c>
      <c r="Q52" s="6">
        <f t="shared" si="11"/>
        <v>64.285714285714278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181.75</v>
      </c>
      <c r="CS52" s="7">
        <f t="shared" si="90"/>
        <v>198.6875</v>
      </c>
      <c r="CT52" s="7">
        <f t="shared" si="90"/>
        <v>54</v>
      </c>
      <c r="CU52" s="7">
        <f t="shared" si="90"/>
        <v>61.321428571428569</v>
      </c>
      <c r="CV52" s="5">
        <f t="shared" si="91"/>
        <v>235.75</v>
      </c>
      <c r="CW52" s="6">
        <f t="shared" si="92"/>
        <v>260.00892857142856</v>
      </c>
      <c r="CY52" s="7">
        <v>235.75</v>
      </c>
      <c r="CZ52" s="5">
        <f t="array" ref="CZ52">Summary_UpperBound</f>
        <v>260.00892857142856</v>
      </c>
      <c r="DA52" s="6">
        <f t="shared" si="93"/>
        <v>24.258928571428555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35</v>
      </c>
      <c r="I53" s="6">
        <f t="shared" si="3"/>
        <v>36.75</v>
      </c>
      <c r="J53" s="5">
        <f t="shared" si="4"/>
        <v>78.75</v>
      </c>
      <c r="K53" s="6">
        <f t="shared" si="5"/>
        <v>82.6875</v>
      </c>
      <c r="L53" s="7">
        <f t="shared" si="6"/>
        <v>38</v>
      </c>
      <c r="M53" s="6">
        <f t="shared" si="7"/>
        <v>50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48.857142857142854</v>
      </c>
      <c r="Q53" s="6">
        <f t="shared" si="11"/>
        <v>64.285714285714278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181.75</v>
      </c>
      <c r="CS53" s="7">
        <f t="shared" si="90"/>
        <v>198.6875</v>
      </c>
      <c r="CT53" s="7">
        <f t="shared" si="90"/>
        <v>54</v>
      </c>
      <c r="CU53" s="7">
        <f t="shared" si="90"/>
        <v>61.321428571428569</v>
      </c>
      <c r="CV53" s="5">
        <f t="shared" si="91"/>
        <v>235.75</v>
      </c>
      <c r="CW53" s="6">
        <f t="shared" si="92"/>
        <v>260.00892857142856</v>
      </c>
      <c r="CY53" s="7">
        <v>235.75</v>
      </c>
      <c r="CZ53" s="5">
        <f t="array" ref="CZ53">Summary_UpperBound</f>
        <v>260.00892857142856</v>
      </c>
      <c r="DA53" s="6">
        <f t="shared" si="93"/>
        <v>24.258928571428555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35</v>
      </c>
      <c r="I54" s="6">
        <f t="shared" si="3"/>
        <v>36.75</v>
      </c>
      <c r="J54" s="5">
        <f t="shared" si="4"/>
        <v>78.75</v>
      </c>
      <c r="K54" s="6">
        <f t="shared" si="5"/>
        <v>82.6875</v>
      </c>
      <c r="L54" s="7">
        <f t="shared" si="6"/>
        <v>38</v>
      </c>
      <c r="M54" s="6">
        <f t="shared" si="7"/>
        <v>50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48.857142857142854</v>
      </c>
      <c r="Q54" s="6">
        <f t="shared" si="11"/>
        <v>64.285714285714278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181.75</v>
      </c>
      <c r="CS54" s="7">
        <f t="shared" si="90"/>
        <v>198.6875</v>
      </c>
      <c r="CT54" s="7">
        <f t="shared" si="90"/>
        <v>54</v>
      </c>
      <c r="CU54" s="7">
        <f t="shared" si="90"/>
        <v>61.321428571428569</v>
      </c>
      <c r="CV54" s="5">
        <f t="shared" si="91"/>
        <v>235.75</v>
      </c>
      <c r="CW54" s="6">
        <f t="shared" si="92"/>
        <v>260.00892857142856</v>
      </c>
      <c r="CY54" s="7">
        <v>235.75</v>
      </c>
      <c r="CZ54" s="5">
        <f t="array" ref="CZ54">Summary_UpperBound</f>
        <v>260.00892857142856</v>
      </c>
      <c r="DA54" s="6">
        <f t="shared" si="93"/>
        <v>24.258928571428555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35</v>
      </c>
      <c r="I55" s="6">
        <f t="shared" si="3"/>
        <v>36.75</v>
      </c>
      <c r="J55" s="5">
        <f t="shared" si="4"/>
        <v>78.75</v>
      </c>
      <c r="K55" s="6">
        <f t="shared" si="5"/>
        <v>82.6875</v>
      </c>
      <c r="L55" s="7">
        <f t="shared" si="6"/>
        <v>38</v>
      </c>
      <c r="M55" s="6">
        <f t="shared" si="7"/>
        <v>50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48.857142857142854</v>
      </c>
      <c r="Q55" s="6">
        <f t="shared" si="11"/>
        <v>64.285714285714278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181.75</v>
      </c>
      <c r="CS55" s="7">
        <f t="shared" si="90"/>
        <v>198.6875</v>
      </c>
      <c r="CT55" s="7">
        <f t="shared" si="90"/>
        <v>54</v>
      </c>
      <c r="CU55" s="7">
        <f t="shared" si="90"/>
        <v>61.321428571428569</v>
      </c>
      <c r="CV55" s="5">
        <f t="shared" si="91"/>
        <v>235.75</v>
      </c>
      <c r="CW55" s="6">
        <f t="shared" si="92"/>
        <v>260.00892857142856</v>
      </c>
      <c r="CY55" s="7">
        <v>235.75</v>
      </c>
      <c r="CZ55" s="5">
        <f t="array" ref="CZ55">Summary_UpperBound</f>
        <v>260.00892857142856</v>
      </c>
      <c r="DA55" s="6">
        <f t="shared" si="93"/>
        <v>24.258928571428555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35</v>
      </c>
      <c r="I56" s="10">
        <f t="shared" si="3"/>
        <v>36.75</v>
      </c>
      <c r="J56" s="9">
        <f t="shared" si="4"/>
        <v>78.75</v>
      </c>
      <c r="K56" s="10">
        <f t="shared" si="5"/>
        <v>82.6875</v>
      </c>
      <c r="L56" s="8">
        <f t="shared" si="6"/>
        <v>38</v>
      </c>
      <c r="M56" s="10">
        <f t="shared" si="7"/>
        <v>50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48.857142857142854</v>
      </c>
      <c r="Q56" s="10">
        <f t="shared" si="11"/>
        <v>64.285714285714278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181.75</v>
      </c>
      <c r="CS56" s="7">
        <f t="shared" si="90"/>
        <v>198.6875</v>
      </c>
      <c r="CT56" s="7">
        <f t="shared" si="90"/>
        <v>54</v>
      </c>
      <c r="CU56" s="7">
        <f t="shared" si="90"/>
        <v>61.321428571428569</v>
      </c>
      <c r="CV56" s="9">
        <f t="shared" si="91"/>
        <v>235.75</v>
      </c>
      <c r="CW56" s="10">
        <f t="shared" si="92"/>
        <v>260.00892857142856</v>
      </c>
      <c r="CY56" s="8">
        <v>235.75</v>
      </c>
      <c r="CZ56" s="9">
        <f t="array" ref="CZ56">Summary_UpperBound</f>
        <v>260.00892857142856</v>
      </c>
      <c r="DA56" s="10">
        <f t="shared" si="93"/>
        <v>24.258928571428555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127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9" t="s">
        <v>130</v>
      </c>
      <c r="CS58" s="19" t="s">
        <v>130</v>
      </c>
      <c r="CT58" s="19" t="s">
        <v>130</v>
      </c>
      <c r="CU58" s="19" t="s">
        <v>130</v>
      </c>
      <c r="CV58" s="19" t="s">
        <v>130</v>
      </c>
      <c r="CW58" s="19" t="s">
        <v>130</v>
      </c>
    </row>
    <row r="59" spans="2:105" x14ac:dyDescent="0.35">
      <c r="B59" s="14"/>
      <c r="E59" s="14" t="s">
        <v>128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35</v>
      </c>
      <c r="I59" s="5">
        <f>AVERAGE(I5:I56)-H59</f>
        <v>1.75</v>
      </c>
      <c r="J59" s="5">
        <f t="shared" si="95"/>
        <v>78.75</v>
      </c>
      <c r="K59" s="5">
        <f>AVERAGE(K5:K56)-J59</f>
        <v>3.9375</v>
      </c>
      <c r="L59" s="5">
        <f t="shared" si="95"/>
        <v>38</v>
      </c>
      <c r="M59" s="5">
        <f>AVERAGE(M5:M56)-L59</f>
        <v>12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48.85714285714284</v>
      </c>
      <c r="Q59" s="5">
        <f>AVERAGE(Q5:Q56)-P59</f>
        <v>15.428571428571395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134</v>
      </c>
      <c r="CZ59" t="s">
        <v>135</v>
      </c>
      <c r="DA59" t="s">
        <v>136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129</v>
      </c>
      <c r="E62" s="14"/>
      <c r="F62" s="5" t="s">
        <v>59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78.75</v>
      </c>
      <c r="G63" s="5">
        <f t="array" ref="G63">INDEX($F$59:$CW$60,1,MATCH(1,($E63=$F$1:$CQ$1)*($G$62=$F$58:$CQ$58)*(Summary!$B$5='Required Capacity (Hide)'!$F$2:$CQ$2),0))</f>
        <v>3.9375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48.85714285714284</v>
      </c>
      <c r="G64" s="5">
        <f t="array" ref="G64">INDEX($F$59:$CW$60,1,MATCH(1,($E64=$F$1:$CQ$1)*($G$62=$F$58:$CQ$58)*(Summary!$B$5='Required Capacity (Hide)'!$F$2:$CQ$2),0))</f>
        <v>15.428571428571395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Initial assessment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7" sqref="W7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8" t="s">
        <v>140</v>
      </c>
    </row>
    <row r="2" spans="1:46" ht="24" thickBot="1" x14ac:dyDescent="0.6">
      <c r="A2" s="28"/>
    </row>
    <row r="3" spans="1:46" ht="15" thickBot="1" x14ac:dyDescent="0.4">
      <c r="B3" s="63" t="s">
        <v>123</v>
      </c>
      <c r="Y3" s="63" t="s">
        <v>124</v>
      </c>
    </row>
    <row r="5" spans="1:46" ht="15" thickBot="1" x14ac:dyDescent="0.4"/>
    <row r="6" spans="1:46" ht="84.5" thickBot="1" x14ac:dyDescent="0.4">
      <c r="B6" s="103" t="s">
        <v>105</v>
      </c>
      <c r="C6" s="104" t="str" cm="1">
        <f t="array" ref="C6">INDEX('Data Validation (Hide)'!$B$2:$B$16,COLUMN(A1),1)</f>
        <v>20 Group Sessions</v>
      </c>
      <c r="D6" s="105" t="str" cm="1">
        <f t="array" ref="D6">INDEX('Data Validation (Hide)'!$B$2:$B$16,COLUMN(B1),1)</f>
        <v>40 Group Session</v>
      </c>
      <c r="E6" s="105" t="str" cm="1">
        <f t="array" ref="E6">INDEX('Data Validation (Hide)'!$B$2:$B$16,COLUMN(C1),1)</f>
        <v>8 Group Session</v>
      </c>
      <c r="F6" s="105" t="str" cm="1">
        <f t="array" ref="F6">INDEX('Data Validation (Hide)'!$B$2:$B$16,COLUMN(D1),1)</f>
        <v>20 Individual</v>
      </c>
      <c r="G6" s="105" t="str" cm="1">
        <f t="array" ref="G6">INDEX('Data Validation (Hide)'!$B$2:$B$16,COLUMN(E1),1)</f>
        <v>40 Individual</v>
      </c>
      <c r="H6" s="105" t="str" cm="1">
        <f t="array" ref="H6">INDEX('Data Validation (Hide)'!$B$2:$B$16,COLUMN(F1),1)</f>
        <v>Initial assessment</v>
      </c>
      <c r="I6" s="105" t="str" cm="1">
        <f t="array" ref="I6">INDEX('Data Validation (Hide)'!$B$2:$B$16,COLUMN(G1),1)</f>
        <v>Caseload 7</v>
      </c>
      <c r="J6" s="105" t="str" cm="1">
        <f t="array" ref="J6">INDEX('Data Validation (Hide)'!$B$2:$B$16,COLUMN(H1),1)</f>
        <v>Caseload 8</v>
      </c>
      <c r="K6" s="105" t="str" cm="1">
        <f t="array" ref="K6">INDEX('Data Validation (Hide)'!$B$2:$B$16,COLUMN(I1),1)</f>
        <v>Caseload 9</v>
      </c>
      <c r="L6" s="105" t="str" cm="1">
        <f t="array" ref="L6">INDEX('Data Validation (Hide)'!$B$2:$B$16,COLUMN(J1),1)</f>
        <v>Caseload 10</v>
      </c>
      <c r="M6" s="105" t="str" cm="1">
        <f t="array" ref="M6">INDEX('Data Validation (Hide)'!$B$2:$B$16,COLUMN(K1),1)</f>
        <v>Caseload 11</v>
      </c>
      <c r="N6" s="105" t="str" cm="1">
        <f t="array" ref="N6">INDEX('Data Validation (Hide)'!$B$2:$B$16,COLUMN(L1),1)</f>
        <v>Caseload 12</v>
      </c>
      <c r="O6" s="105" t="str" cm="1">
        <f t="array" ref="O6">INDEX('Data Validation (Hide)'!$B$2:$B$16,COLUMN(M1),1)</f>
        <v>Caseload 13</v>
      </c>
      <c r="P6" s="105" t="str" cm="1">
        <f t="array" ref="P6">INDEX('Data Validation (Hide)'!$B$2:$B$16,COLUMN(N1),1)</f>
        <v>Caseload 14</v>
      </c>
      <c r="Q6" s="106" t="str" cm="1">
        <f t="array" ref="Q6">INDEX('Data Validation (Hide)'!$B$2:$B$16,COLUMN(O1),1)</f>
        <v>Caseload 15</v>
      </c>
      <c r="R6" s="63" t="s">
        <v>65</v>
      </c>
      <c r="S6" s="103" t="s">
        <v>66</v>
      </c>
      <c r="T6" s="103" t="s">
        <v>67</v>
      </c>
      <c r="U6" s="103" t="s">
        <v>68</v>
      </c>
      <c r="V6" s="103" t="s">
        <v>69</v>
      </c>
      <c r="W6" s="103" t="s">
        <v>70</v>
      </c>
      <c r="X6" s="5"/>
      <c r="Y6" s="103" t="s">
        <v>105</v>
      </c>
      <c r="Z6" s="107" t="str" cm="1">
        <f t="array" ref="Z6">INDEX('Data Validation (Hide)'!$B$2:$B$16,COLUMN(A1),1)</f>
        <v>20 Group Sessions</v>
      </c>
      <c r="AA6" s="108" t="str" cm="1">
        <f t="array" ref="AA6">INDEX('Data Validation (Hide)'!$B$2:$B$16,COLUMN(B1),1)</f>
        <v>40 Group Session</v>
      </c>
      <c r="AB6" s="108" t="str" cm="1">
        <f t="array" ref="AB6">INDEX('Data Validation (Hide)'!$B$2:$B$16,COLUMN(C1),1)</f>
        <v>8 Group Session</v>
      </c>
      <c r="AC6" s="108" t="str" cm="1">
        <f t="array" ref="AC6">INDEX('Data Validation (Hide)'!$B$2:$B$16,COLUMN(D1),1)</f>
        <v>20 Individual</v>
      </c>
      <c r="AD6" s="108" t="str" cm="1">
        <f t="array" ref="AD6">INDEX('Data Validation (Hide)'!$B$2:$B$16,COLUMN(E1),1)</f>
        <v>40 Individual</v>
      </c>
      <c r="AE6" s="108" t="str" cm="1">
        <f t="array" ref="AE6">INDEX('Data Validation (Hide)'!$B$2:$B$16,COLUMN(F1),1)</f>
        <v>Initial assessment</v>
      </c>
      <c r="AF6" s="108" t="str" cm="1">
        <f t="array" ref="AF6">INDEX('Data Validation (Hide)'!$B$2:$B$16,COLUMN(G1),1)</f>
        <v>Caseload 7</v>
      </c>
      <c r="AG6" s="108" t="str" cm="1">
        <f t="array" ref="AG6">INDEX('Data Validation (Hide)'!$B$2:$B$16,COLUMN(H1),1)</f>
        <v>Caseload 8</v>
      </c>
      <c r="AH6" s="108" t="str" cm="1">
        <f t="array" ref="AH6">INDEX('Data Validation (Hide)'!$B$2:$B$16,COLUMN(I1),1)</f>
        <v>Caseload 9</v>
      </c>
      <c r="AI6" s="108" t="str" cm="1">
        <f t="array" ref="AI6">INDEX('Data Validation (Hide)'!$B$2:$B$16,COLUMN(J1),1)</f>
        <v>Caseload 10</v>
      </c>
      <c r="AJ6" s="108" t="str" cm="1">
        <f t="array" ref="AJ6">INDEX('Data Validation (Hide)'!$B$2:$B$16,COLUMN(K1),1)</f>
        <v>Caseload 11</v>
      </c>
      <c r="AK6" s="108" t="str" cm="1">
        <f t="array" ref="AK6">INDEX('Data Validation (Hide)'!$B$2:$B$16,COLUMN(L1),1)</f>
        <v>Caseload 12</v>
      </c>
      <c r="AL6" s="108" t="str" cm="1">
        <f t="array" ref="AL6">INDEX('Data Validation (Hide)'!$B$2:$B$16,COLUMN(M1),1)</f>
        <v>Caseload 13</v>
      </c>
      <c r="AM6" s="108" t="str" cm="1">
        <f t="array" ref="AM6">INDEX('Data Validation (Hide)'!$B$2:$B$16,COLUMN(N1),1)</f>
        <v>Caseload 14</v>
      </c>
      <c r="AN6" s="109" t="str" cm="1">
        <f t="array" ref="AN6">INDEX('Data Validation (Hide)'!$B$2:$B$16,COLUMN(O1),1)</f>
        <v>Caseload 15</v>
      </c>
      <c r="AO6" s="63" t="s">
        <v>65</v>
      </c>
      <c r="AP6" s="103" t="s">
        <v>66</v>
      </c>
      <c r="AQ6" s="103" t="s">
        <v>67</v>
      </c>
      <c r="AR6" s="103" t="s">
        <v>68</v>
      </c>
      <c r="AS6" s="103" t="s">
        <v>69</v>
      </c>
      <c r="AT6" s="103" t="s">
        <v>70</v>
      </c>
    </row>
    <row r="7" spans="1:46" x14ac:dyDescent="0.35">
      <c r="B7" s="11" t="s">
        <v>150</v>
      </c>
      <c r="C7" s="3" t="s">
        <v>71</v>
      </c>
      <c r="D7" s="4" t="s">
        <v>153</v>
      </c>
      <c r="E7" s="4" t="s">
        <v>153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154</v>
      </c>
      <c r="S7" s="11">
        <v>52</v>
      </c>
      <c r="T7" s="11">
        <v>4800</v>
      </c>
      <c r="U7" s="41">
        <f>IF(T7*S7=0,"",T7*S7)</f>
        <v>249600</v>
      </c>
      <c r="V7" s="41">
        <f t="shared" ref="V7:V70" si="0">IFERROR(U7/52,"")</f>
        <v>4800</v>
      </c>
      <c r="W7" s="4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 t="s">
        <v>152</v>
      </c>
      <c r="C8" s="7"/>
      <c r="D8" s="5"/>
      <c r="E8" s="5"/>
      <c r="F8" s="5" t="s">
        <v>153</v>
      </c>
      <c r="G8" s="5" t="s">
        <v>153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72</v>
      </c>
      <c r="S8" s="39">
        <v>52</v>
      </c>
      <c r="T8" s="39">
        <v>3600</v>
      </c>
      <c r="U8" s="52">
        <f t="shared" ref="U8:U71" si="2">IF(T8*S8=0,"",T8*S8)</f>
        <v>187200</v>
      </c>
      <c r="V8" s="52">
        <f t="shared" si="0"/>
        <v>3600</v>
      </c>
      <c r="W8" s="52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123</v>
      </c>
    </row>
    <row r="2" spans="1:101" x14ac:dyDescent="0.35">
      <c r="A2" t="s">
        <v>74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73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75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Initial assessment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52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130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Initial assessment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144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50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130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Initial assessment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144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63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130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Initial assessment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144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124</v>
      </c>
    </row>
    <row r="132" spans="1:101" x14ac:dyDescent="0.35">
      <c r="A132" t="s">
        <v>74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73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75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Initial assessment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52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130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Initial assessment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144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50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130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Initial assessment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144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63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130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Initial assessment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144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106</v>
      </c>
      <c r="B259" t="s">
        <v>131</v>
      </c>
      <c r="C259" t="s">
        <v>131</v>
      </c>
      <c r="D259" t="s">
        <v>131</v>
      </c>
      <c r="E259" t="s">
        <v>132</v>
      </c>
      <c r="F259" t="s">
        <v>132</v>
      </c>
      <c r="G259" t="s">
        <v>132</v>
      </c>
      <c r="H259" s="3" t="s">
        <v>144</v>
      </c>
      <c r="I259" s="3" t="s">
        <v>144</v>
      </c>
      <c r="J259" s="3" t="s">
        <v>144</v>
      </c>
    </row>
    <row r="260" spans="1:53" x14ac:dyDescent="0.35">
      <c r="B260" t="s">
        <v>52</v>
      </c>
      <c r="C260" t="s">
        <v>50</v>
      </c>
      <c r="D260" t="s">
        <v>63</v>
      </c>
      <c r="E260" t="s">
        <v>52</v>
      </c>
      <c r="F260" t="s">
        <v>50</v>
      </c>
      <c r="G260" t="s">
        <v>63</v>
      </c>
      <c r="H260" t="s">
        <v>52</v>
      </c>
      <c r="I260" t="s">
        <v>50</v>
      </c>
      <c r="J260" t="s">
        <v>63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Initial assessment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144</v>
      </c>
      <c r="B276">
        <f t="shared" ref="B276:G276" si="83">SUM(B261:B275)</f>
        <v>60</v>
      </c>
      <c r="C276">
        <f t="shared" si="83"/>
        <v>80.000000000000028</v>
      </c>
      <c r="D276">
        <f t="shared" si="83"/>
        <v>140.00000000000003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60</v>
      </c>
      <c r="I276">
        <f t="shared" ref="I276:J276" si="84">SUM(I261:I275)</f>
        <v>80.000000000000028</v>
      </c>
      <c r="J276">
        <f t="shared" si="84"/>
        <v>140.00000000000003</v>
      </c>
    </row>
    <row r="277" spans="1:10" x14ac:dyDescent="0.35">
      <c r="A277" t="s">
        <v>133</v>
      </c>
      <c r="B277" t="s">
        <v>131</v>
      </c>
      <c r="C277" t="s">
        <v>132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Initial assessment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141</v>
      </c>
    </row>
    <row r="2" spans="1:5" ht="15" thickBot="1" x14ac:dyDescent="0.4"/>
    <row r="3" spans="1:5" ht="15" thickBot="1" x14ac:dyDescent="0.4">
      <c r="A3" s="63" t="s">
        <v>61</v>
      </c>
      <c r="B3" s="17" t="s">
        <v>204</v>
      </c>
      <c r="E3" t="str">
        <f>"Capacity summary ("&amp;LOWER(Summary!B7)&amp;") for "&amp;B3&amp;", "&amp;IF(B4="Total","all types of session", LOWER(B4)&amp;" sessions")</f>
        <v>Capacity summary (hours) for 20 Group Sessions, all types of session</v>
      </c>
    </row>
    <row r="4" spans="1:5" ht="15" thickBot="1" x14ac:dyDescent="0.4">
      <c r="A4" s="110" t="s">
        <v>62</v>
      </c>
      <c r="B4" s="17" t="s">
        <v>63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62"/>
  <sheetViews>
    <sheetView showGridLines="0" tabSelected="1" topLeftCell="A37" zoomScaleNormal="100" workbookViewId="0">
      <selection activeCell="G75" sqref="G75"/>
    </sheetView>
  </sheetViews>
  <sheetFormatPr defaultRowHeight="14.5" x14ac:dyDescent="0.35"/>
  <cols>
    <col min="1" max="1" width="22.36328125" customWidth="1"/>
    <col min="2" max="2" width="15.6328125" customWidth="1"/>
    <col min="3" max="7" width="12.6328125" customWidth="1"/>
    <col min="8" max="16" width="12.6328125" hidden="1" customWidth="1"/>
    <col min="17" max="17" width="0" hidden="1" customWidth="1"/>
  </cols>
  <sheetData>
    <row r="1" spans="1:4" ht="23.5" x14ac:dyDescent="0.55000000000000004">
      <c r="A1" s="28" t="s">
        <v>142</v>
      </c>
    </row>
    <row r="2" spans="1:4" ht="15" customHeight="1" thickBot="1" x14ac:dyDescent="0.6">
      <c r="A2" s="28"/>
    </row>
    <row r="3" spans="1:4" ht="15" thickBot="1" x14ac:dyDescent="0.4">
      <c r="A3" s="63" t="s">
        <v>126</v>
      </c>
      <c r="B3" s="17" t="s">
        <v>191</v>
      </c>
    </row>
    <row r="4" spans="1:4" ht="15" thickBot="1" x14ac:dyDescent="0.4">
      <c r="A4" s="63" t="s">
        <v>61</v>
      </c>
      <c r="B4" s="17" t="s">
        <v>144</v>
      </c>
    </row>
    <row r="5" spans="1:4" ht="15" thickBot="1" x14ac:dyDescent="0.4">
      <c r="A5" s="63" t="s">
        <v>62</v>
      </c>
      <c r="B5" s="17" t="s">
        <v>63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92</v>
      </c>
      <c r="B7" s="17" t="s">
        <v>95</v>
      </c>
      <c r="D7" t="str">
        <f>B7&amp;" per week"</f>
        <v>Hours per week</v>
      </c>
    </row>
    <row r="28" spans="1:17" ht="18.5" x14ac:dyDescent="0.45">
      <c r="A28" s="114" t="s">
        <v>106</v>
      </c>
    </row>
    <row r="29" spans="1:17" x14ac:dyDescent="0.35">
      <c r="A29" s="60"/>
    </row>
    <row r="30" spans="1:17" ht="15" thickBot="1" x14ac:dyDescent="0.4">
      <c r="A30" s="60" t="s">
        <v>108</v>
      </c>
    </row>
    <row r="31" spans="1:17" ht="29.5" thickBot="1" x14ac:dyDescent="0.4">
      <c r="A31" s="60"/>
      <c r="B31" s="116" t="str" cm="1">
        <f t="array" ref="B31">IF(B4="All Caseloads",INDEX(Setup!$A$20:$A$34,COLUMN(A1),1),B4)</f>
        <v>20 Group Sessions</v>
      </c>
      <c r="C31" s="103" t="str" cm="1">
        <f t="array" ref="C31">INDEX(Setup!$A$20:$A$34,COLUMN(B1),1)</f>
        <v>40 Group Session</v>
      </c>
      <c r="D31" s="103" t="str" cm="1">
        <f t="array" ref="D31">INDEX(Setup!$A$20:$A$34,COLUMN(C1),1)</f>
        <v>8 Group Session</v>
      </c>
      <c r="E31" s="103" t="str" cm="1">
        <f t="array" ref="E31">INDEX(Setup!$A$20:$A$34,COLUMN(D1),1)</f>
        <v>20 Individual</v>
      </c>
      <c r="F31" s="103" t="str" cm="1">
        <f t="array" ref="F31">INDEX(Setup!$A$20:$A$34,COLUMN(E1),1)</f>
        <v>40 Individual</v>
      </c>
      <c r="G31" s="103" t="str" cm="1">
        <f t="array" ref="G31">INDEX(Setup!$A$20:$A$34,COLUMN(F1),1)</f>
        <v>Initial assessment</v>
      </c>
      <c r="H31" s="103" t="str" cm="1">
        <f t="array" ref="H31">INDEX(Setup!$A$20:$A$34,COLUMN(G1),1)</f>
        <v>Caseload 7</v>
      </c>
      <c r="I31" s="103" t="str" cm="1">
        <f t="array" ref="I31">INDEX(Setup!$A$20:$A$34,COLUMN(H1),1)</f>
        <v>Caseload 8</v>
      </c>
      <c r="J31" s="103" t="str" cm="1">
        <f t="array" ref="J31">INDEX(Setup!$A$20:$A$34,COLUMN(I1),1)</f>
        <v>Caseload 9</v>
      </c>
      <c r="K31" s="103" t="str" cm="1">
        <f t="array" ref="K31">INDEX(Setup!$A$20:$A$34,COLUMN(J1),1)</f>
        <v>Caseload 10</v>
      </c>
      <c r="L31" s="103" t="str" cm="1">
        <f t="array" ref="L31">INDEX(Setup!$A$20:$A$34,COLUMN(K1),1)</f>
        <v>Caseload 11</v>
      </c>
      <c r="M31" s="103" t="str" cm="1">
        <f t="array" ref="M31">INDEX(Setup!$A$20:$A$34,COLUMN(L1),1)</f>
        <v>Caseload 12</v>
      </c>
      <c r="N31" s="103" t="str" cm="1">
        <f t="array" ref="N31">INDEX(Setup!$A$20:$A$34,COLUMN(M1),1)</f>
        <v>Caseload 13</v>
      </c>
      <c r="O31" s="103" t="str" cm="1">
        <f t="array" ref="O31">INDEX(Setup!$A$20:$A$34,COLUMN(N1),1)</f>
        <v>Caseload 14</v>
      </c>
      <c r="P31" s="112" t="str" cm="1">
        <f t="array" ref="P31">INDEX(Setup!$A$20:$A$34,COLUMN(O1),1)</f>
        <v>Caseload 15</v>
      </c>
    </row>
    <row r="32" spans="1:17" ht="15" thickBot="1" x14ac:dyDescent="0.4">
      <c r="A32" s="111" t="s">
        <v>107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82.7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64.3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10.3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71.0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31.8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11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78.8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48.9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8.1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70.0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30.0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109</v>
      </c>
    </row>
    <row r="36" spans="1:31" ht="29" customHeight="1" thickBot="1" x14ac:dyDescent="0.4">
      <c r="B36" s="103" t="str" cm="1">
        <f t="array" ref="B36">IF(B4="All Caseloads",INDEX(Setup!$A$20:$A$34,COLUMN(A6),1),B4)</f>
        <v>20 Group Sessions</v>
      </c>
      <c r="C36" s="103" t="str" cm="1">
        <f t="array" ref="C36">INDEX(Setup!$A$20:$A$34,COLUMN(B6),1)</f>
        <v>40 Group Session</v>
      </c>
      <c r="D36" s="103" t="str" cm="1">
        <f t="array" ref="D36">INDEX(Setup!$A$20:$A$34,COLUMN(C6),1)</f>
        <v>8 Group Session</v>
      </c>
      <c r="E36" s="103" t="str" cm="1">
        <f t="array" ref="E36">INDEX(Setup!$A$20:$A$34,COLUMN(D6),1)</f>
        <v>20 Individual</v>
      </c>
      <c r="F36" s="103" t="str" cm="1">
        <f t="array" ref="F36">INDEX(Setup!$A$20:$A$34,COLUMN(E6),1)</f>
        <v>40 Individual</v>
      </c>
      <c r="G36" s="103" t="str" cm="1">
        <f t="array" ref="G36">INDEX(Setup!$A$20:$A$34,COLUMN(F6),1)</f>
        <v>Initial assessment</v>
      </c>
      <c r="H36" s="103" t="str" cm="1">
        <f t="array" ref="H36">INDEX(Setup!$A$20:$A$34,COLUMN(G6),1)</f>
        <v>Caseload 7</v>
      </c>
      <c r="I36" s="103" t="str" cm="1">
        <f t="array" ref="I36">INDEX(Setup!$A$20:$A$34,COLUMN(H6),1)</f>
        <v>Caseload 8</v>
      </c>
      <c r="J36" s="103" t="str" cm="1">
        <f t="array" ref="J36">INDEX(Setup!$A$20:$A$34,COLUMN(I6),1)</f>
        <v>Caseload 9</v>
      </c>
      <c r="K36" s="103" t="str" cm="1">
        <f t="array" ref="K36">INDEX(Setup!$A$20:$A$34,COLUMN(J6),1)</f>
        <v>Caseload 10</v>
      </c>
      <c r="L36" s="103" t="str" cm="1">
        <f t="array" ref="L36">INDEX(Setup!$A$20:$A$34,COLUMN(K6),1)</f>
        <v>Caseload 11</v>
      </c>
      <c r="M36" s="103" t="str" cm="1">
        <f t="array" ref="M36">INDEX(Setup!$A$20:$A$34,COLUMN(L6),1)</f>
        <v>Caseload 12</v>
      </c>
      <c r="N36" s="103" t="str" cm="1">
        <f t="array" ref="N36">INDEX(Setup!$A$20:$A$34,COLUMN(M6),1)</f>
        <v>Caseload 13</v>
      </c>
      <c r="O36" s="103" t="str" cm="1">
        <f t="array" ref="O36">INDEX(Setup!$A$20:$A$34,COLUMN(N6),1)</f>
        <v>Caseload 14</v>
      </c>
      <c r="P36" s="113" t="str" cm="1">
        <f t="array" ref="P36">INDEX(Setup!$A$20:$A$34,COLUMN(O6),1)</f>
        <v>Caseload 15</v>
      </c>
      <c r="Q36" s="7"/>
    </row>
    <row r="37" spans="1:31" ht="15" thickBot="1" x14ac:dyDescent="0.4">
      <c r="A37" s="111" t="s">
        <v>192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26.7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26.7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26.7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30.0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30.0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1" t="s">
        <v>193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195</v>
      </c>
    </row>
    <row r="44" spans="1:31" x14ac:dyDescent="0.35">
      <c r="A44" t="s">
        <v>106</v>
      </c>
    </row>
    <row r="45" spans="1:31" ht="15" thickBot="1" x14ac:dyDescent="0.4"/>
    <row r="46" spans="1:31" ht="29.5" thickBot="1" x14ac:dyDescent="0.4">
      <c r="B46" s="116" t="s">
        <v>211</v>
      </c>
      <c r="C46" s="116" t="s">
        <v>210</v>
      </c>
      <c r="D46" s="116" t="s">
        <v>208</v>
      </c>
    </row>
    <row r="47" spans="1:31" ht="15" thickBot="1" x14ac:dyDescent="0.4">
      <c r="A47" s="111" t="str">
        <f>'Waiting List Config'!B5</f>
        <v>20 Group Sessions</v>
      </c>
      <c r="B47" s="146">
        <f>'Waiting List Config'!D5</f>
        <v>110</v>
      </c>
      <c r="C47" s="18" t="str">
        <f>'Waiting List Config'!I5</f>
        <v>100 - 110</v>
      </c>
      <c r="D47" s="96" t="str">
        <f>'Waiting List Config'!O5</f>
        <v>10 - 0</v>
      </c>
    </row>
    <row r="48" spans="1:31" ht="15" thickBot="1" x14ac:dyDescent="0.4">
      <c r="A48" s="111" t="str">
        <f>'Waiting List Config'!B6</f>
        <v>40 Group Session</v>
      </c>
      <c r="B48" s="147">
        <f>'Waiting List Config'!D6</f>
        <v>210</v>
      </c>
      <c r="C48" s="20" t="str">
        <f>'Waiting List Config'!I6</f>
        <v>299 - 331</v>
      </c>
      <c r="D48" s="97" t="str">
        <f>'Waiting List Config'!O6</f>
        <v>0 - 0</v>
      </c>
    </row>
    <row r="49" spans="1:4" ht="15" thickBot="1" x14ac:dyDescent="0.4">
      <c r="A49" s="111" t="str">
        <f>'Waiting List Config'!B7</f>
        <v>8 Group Session</v>
      </c>
      <c r="B49" s="147">
        <f>'Waiting List Config'!D7</f>
        <v>10</v>
      </c>
      <c r="C49" s="20" t="str">
        <f>'Waiting List Config'!I7</f>
        <v>67 - 74</v>
      </c>
      <c r="D49" s="97" t="str">
        <f>'Waiting List Config'!O7</f>
        <v>0 - 0</v>
      </c>
    </row>
    <row r="50" spans="1:4" ht="15" thickBot="1" x14ac:dyDescent="0.4">
      <c r="A50" s="111" t="str">
        <f>'Waiting List Config'!B8</f>
        <v>20 Individual</v>
      </c>
      <c r="B50" s="147">
        <f>'Waiting List Config'!D8</f>
        <v>256</v>
      </c>
      <c r="C50" s="20" t="str">
        <f>'Waiting List Config'!I8</f>
        <v>70 - 77</v>
      </c>
      <c r="D50" s="97" t="str">
        <f>'Waiting List Config'!O8</f>
        <v>186 - 179</v>
      </c>
    </row>
    <row r="51" spans="1:4" ht="15" thickBot="1" x14ac:dyDescent="0.4">
      <c r="A51" s="111" t="str">
        <f>'Waiting List Config'!B9</f>
        <v>40 Individual</v>
      </c>
      <c r="B51" s="147">
        <f>'Waiting List Config'!D9</f>
        <v>55</v>
      </c>
      <c r="C51" s="20" t="str">
        <f>'Waiting List Config'!I9</f>
        <v>50 - 55</v>
      </c>
      <c r="D51" s="97" t="str">
        <f>'Waiting List Config'!O9</f>
        <v>5 - 0</v>
      </c>
    </row>
    <row r="52" spans="1:4" ht="15" hidden="1" thickBot="1" x14ac:dyDescent="0.4">
      <c r="A52" s="111" t="str">
        <f>'Waiting List Config'!B10</f>
        <v>Initial assessment</v>
      </c>
      <c r="B52" s="147">
        <f>'Waiting List Config'!D10</f>
        <v>0</v>
      </c>
      <c r="C52" s="20" t="str">
        <f>'Waiting List Config'!I10</f>
        <v/>
      </c>
      <c r="D52" s="97" t="str">
        <f>'Waiting List Config'!O10</f>
        <v>0 - 0</v>
      </c>
    </row>
    <row r="53" spans="1:4" ht="15" hidden="1" thickBot="1" x14ac:dyDescent="0.4">
      <c r="A53" s="111" t="str">
        <f>'Waiting List Config'!B11</f>
        <v>Caseload 7</v>
      </c>
      <c r="B53" s="147">
        <f>'Waiting List Config'!D11</f>
        <v>0</v>
      </c>
      <c r="C53" s="20" t="str">
        <f>'Waiting List Config'!I11</f>
        <v/>
      </c>
      <c r="D53" s="97" t="str">
        <f>'Waiting List Config'!O11</f>
        <v>0 - 0</v>
      </c>
    </row>
    <row r="54" spans="1:4" ht="15" hidden="1" thickBot="1" x14ac:dyDescent="0.4">
      <c r="A54" s="111" t="str">
        <f>'Waiting List Config'!B12</f>
        <v>Caseload 8</v>
      </c>
      <c r="B54" s="147">
        <f>'Waiting List Config'!D12</f>
        <v>0</v>
      </c>
      <c r="C54" s="20" t="str">
        <f>'Waiting List Config'!I12</f>
        <v/>
      </c>
      <c r="D54" s="97" t="str">
        <f>'Waiting List Config'!O12</f>
        <v>0 - 0</v>
      </c>
    </row>
    <row r="55" spans="1:4" ht="15" hidden="1" thickBot="1" x14ac:dyDescent="0.4">
      <c r="A55" s="111" t="str">
        <f>'Waiting List Config'!B13</f>
        <v>Caseload 9</v>
      </c>
      <c r="B55" s="147">
        <f>'Waiting List Config'!D13</f>
        <v>0</v>
      </c>
      <c r="C55" s="20" t="str">
        <f>'Waiting List Config'!I13</f>
        <v/>
      </c>
      <c r="D55" s="97" t="str">
        <f>'Waiting List Config'!O13</f>
        <v>0 - 0</v>
      </c>
    </row>
    <row r="56" spans="1:4" ht="15" hidden="1" thickBot="1" x14ac:dyDescent="0.4">
      <c r="A56" s="111" t="str">
        <f>'Waiting List Config'!B14</f>
        <v>Caseload 10</v>
      </c>
      <c r="B56" s="147">
        <f>'Waiting List Config'!D14</f>
        <v>0</v>
      </c>
      <c r="C56" s="20" t="str">
        <f>'Waiting List Config'!I14</f>
        <v/>
      </c>
      <c r="D56" s="97" t="str">
        <f>'Waiting List Config'!O14</f>
        <v>0 - 0</v>
      </c>
    </row>
    <row r="57" spans="1:4" ht="15" hidden="1" thickBot="1" x14ac:dyDescent="0.4">
      <c r="A57" s="111" t="str">
        <f>'Waiting List Config'!B15</f>
        <v>Caseload 11</v>
      </c>
      <c r="B57" s="147">
        <f>'Waiting List Config'!D15</f>
        <v>0</v>
      </c>
      <c r="C57" s="20" t="str">
        <f>'Waiting List Config'!I15</f>
        <v/>
      </c>
      <c r="D57" s="97" t="str">
        <f>'Waiting List Config'!O15</f>
        <v>0 - 0</v>
      </c>
    </row>
    <row r="58" spans="1:4" ht="15" hidden="1" thickBot="1" x14ac:dyDescent="0.4">
      <c r="A58" s="111" t="str">
        <f>'Waiting List Config'!B16</f>
        <v>Caseload 12</v>
      </c>
      <c r="B58" s="147">
        <f>'Waiting List Config'!D16</f>
        <v>0</v>
      </c>
      <c r="C58" s="20" t="str">
        <f>'Waiting List Config'!I16</f>
        <v/>
      </c>
      <c r="D58" s="97" t="str">
        <f>'Waiting List Config'!O16</f>
        <v>0 - 0</v>
      </c>
    </row>
    <row r="59" spans="1:4" ht="15" hidden="1" thickBot="1" x14ac:dyDescent="0.4">
      <c r="A59" s="111" t="str">
        <f>'Waiting List Config'!B17</f>
        <v>Caseload 13</v>
      </c>
      <c r="B59" s="147">
        <f>'Waiting List Config'!D17</f>
        <v>0</v>
      </c>
      <c r="C59" s="20" t="str">
        <f>'Waiting List Config'!I17</f>
        <v/>
      </c>
      <c r="D59" s="97" t="str">
        <f>'Waiting List Config'!O17</f>
        <v>0 - 0</v>
      </c>
    </row>
    <row r="60" spans="1:4" ht="15" hidden="1" thickBot="1" x14ac:dyDescent="0.4">
      <c r="A60" s="111" t="str">
        <f>'Waiting List Config'!B18</f>
        <v>Caseload 14</v>
      </c>
      <c r="B60" s="147">
        <f>'Waiting List Config'!D18</f>
        <v>0</v>
      </c>
      <c r="C60" s="20" t="str">
        <f>'Waiting List Config'!I18</f>
        <v/>
      </c>
      <c r="D60" s="97" t="str">
        <f>'Waiting List Config'!O18</f>
        <v>0 - 0</v>
      </c>
    </row>
    <row r="61" spans="1:4" ht="15" hidden="1" thickBot="1" x14ac:dyDescent="0.4">
      <c r="A61" s="111" t="str">
        <f>'Waiting List Config'!B19</f>
        <v>Caseload 15</v>
      </c>
      <c r="B61" s="147">
        <f>'Waiting List Config'!D19</f>
        <v>0</v>
      </c>
      <c r="C61" s="20" t="str">
        <f>'Waiting List Config'!I19</f>
        <v/>
      </c>
      <c r="D61" s="97" t="str">
        <f>'Waiting List Config'!O19</f>
        <v>0 - 0</v>
      </c>
    </row>
    <row r="62" spans="1:4" ht="15" thickBot="1" x14ac:dyDescent="0.4">
      <c r="A62" s="111" t="str">
        <f>'Waiting List Config'!B20</f>
        <v>'Unknown' Waiting List</v>
      </c>
      <c r="B62" s="148">
        <f>'Waiting List Config'!D20</f>
        <v>195</v>
      </c>
      <c r="C62" s="21" t="str">
        <f>'Waiting List Config'!I20</f>
        <v>200 - 221</v>
      </c>
      <c r="D62" s="98" t="str">
        <f>'Waiting List Config'!O20</f>
        <v>0 - 0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D6" sqref="D6:E6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155</v>
      </c>
      <c r="I1" s="60" t="s">
        <v>172</v>
      </c>
    </row>
    <row r="2" spans="1:16" ht="15" thickBot="1" x14ac:dyDescent="0.4">
      <c r="I2" s="126" t="s">
        <v>61</v>
      </c>
      <c r="J2" s="128" t="s">
        <v>144</v>
      </c>
      <c r="K2" s="5"/>
      <c r="L2" s="115" t="s">
        <v>62</v>
      </c>
      <c r="M2" s="127" t="s">
        <v>63</v>
      </c>
      <c r="N2" s="5"/>
      <c r="O2" s="115" t="s">
        <v>92</v>
      </c>
      <c r="P2" s="127" t="s">
        <v>95</v>
      </c>
    </row>
    <row r="3" spans="1:16" x14ac:dyDescent="0.35">
      <c r="A3" s="60" t="str">
        <f>"Change expected "&amp;Setup!B15&amp;" size:"</f>
        <v>Change expected Caseload size: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3" t="s">
        <v>156</v>
      </c>
      <c r="C5" s="103" t="s">
        <v>157</v>
      </c>
      <c r="D5" s="103" t="s">
        <v>158</v>
      </c>
      <c r="E5" s="103" t="s">
        <v>159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20 Group Sessions</v>
      </c>
      <c r="B6" s="41">
        <f>INDEX('Required Capacity (Hide)'!$B$5:$C$19,MATCH(Planning!$A6,'Required Capacity (Hide)'!$A$5:$A$19,0),1)</f>
        <v>35</v>
      </c>
      <c r="C6" s="75">
        <f>INDEX('Required Capacity (Hide)'!$B$5:$C$19,MATCH(Planning!$A6,'Required Capacity (Hide)'!$A$5:$A$19,0),2)</f>
        <v>36.75</v>
      </c>
      <c r="D6" s="78"/>
      <c r="E6" s="73"/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40 Group Session</v>
      </c>
      <c r="B7" s="52">
        <f>INDEX('Required Capacity (Hide)'!$B$5:$C$19,MATCH(Planning!$A7,'Required Capacity (Hide)'!$A$5:$A$19,0),1)</f>
        <v>19</v>
      </c>
      <c r="C7" s="76">
        <f>INDEX('Required Capacity (Hide)'!$B$5:$C$19,MATCH(Planning!$A7,'Required Capacity (Hide)'!$A$5:$A$19,0),2)</f>
        <v>25</v>
      </c>
      <c r="D7" s="79"/>
      <c r="E7" s="23"/>
      <c r="F7" s="82"/>
      <c r="G7" s="83"/>
    </row>
    <row r="8" spans="1:16" x14ac:dyDescent="0.35">
      <c r="A8" s="52" t="str">
        <f>Setup!A22</f>
        <v>8 Group Session</v>
      </c>
      <c r="B8" s="52">
        <f>INDEX('Required Capacity (Hide)'!$B$5:$C$19,MATCH(Planning!$A8,'Required Capacity (Hide)'!$A$5:$A$19,0),1)</f>
        <v>14.25</v>
      </c>
      <c r="C8" s="76">
        <f>INDEX('Required Capacity (Hide)'!$B$5:$C$19,MATCH(Planning!$A8,'Required Capacity (Hide)'!$A$5:$A$19,0),2)</f>
        <v>18</v>
      </c>
      <c r="D8" s="79"/>
      <c r="E8" s="23"/>
      <c r="F8" s="82"/>
      <c r="G8" s="83"/>
    </row>
    <row r="9" spans="1:16" x14ac:dyDescent="0.35">
      <c r="A9" s="52" t="str">
        <f>Setup!A23</f>
        <v>20 Individual</v>
      </c>
      <c r="B9" s="52">
        <f>INDEX('Required Capacity (Hide)'!$B$5:$C$19,MATCH(Planning!$A9,'Required Capacity (Hide)'!$A$5:$A$19,0),1)</f>
        <v>70</v>
      </c>
      <c r="C9" s="76">
        <f>INDEX('Required Capacity (Hide)'!$B$5:$C$19,MATCH(Planning!$A9,'Required Capacity (Hide)'!$A$5:$A$19,0),2)</f>
        <v>71</v>
      </c>
      <c r="D9" s="79"/>
      <c r="E9" s="23"/>
      <c r="F9" s="82"/>
      <c r="G9" s="83"/>
    </row>
    <row r="10" spans="1:16" ht="15" thickBot="1" x14ac:dyDescent="0.4">
      <c r="A10" s="52" t="str">
        <f>Setup!A24</f>
        <v>40 Individual</v>
      </c>
      <c r="B10" s="52">
        <f>INDEX('Required Capacity (Hide)'!$B$5:$C$19,MATCH(Planning!$A10,'Required Capacity (Hide)'!$A$5:$A$19,0),1)</f>
        <v>30</v>
      </c>
      <c r="C10" s="76">
        <f>INDEX('Required Capacity (Hide)'!$B$5:$C$19,MATCH(Planning!$A10,'Required Capacity (Hide)'!$A$5:$A$19,0),2)</f>
        <v>31.75</v>
      </c>
      <c r="D10" s="79"/>
      <c r="E10" s="23"/>
      <c r="F10" s="82"/>
      <c r="G10" s="83"/>
    </row>
    <row r="11" spans="1:16" hidden="1" x14ac:dyDescent="0.35">
      <c r="A11" s="52" t="str">
        <f>Setup!A25</f>
        <v>Initial assessment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162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3" t="s">
        <v>166</v>
      </c>
      <c r="C24" s="103" t="s">
        <v>209</v>
      </c>
      <c r="D24" s="103" t="s">
        <v>168</v>
      </c>
      <c r="E24" s="103" t="s">
        <v>169</v>
      </c>
      <c r="F24" s="70"/>
      <c r="G24" s="70"/>
    </row>
    <row r="25" spans="1:7" x14ac:dyDescent="0.35">
      <c r="A25" s="52" t="str">
        <f>Setup!A20</f>
        <v>20 Group Sessions</v>
      </c>
      <c r="B25" s="88">
        <f>INDEX('Planning Backing (Hide)'!$B$21:$C$35,MATCH(A25,'Planning Backing (Hide)'!$A$21:$A$35,0),1)</f>
        <v>75</v>
      </c>
      <c r="C25" s="89">
        <f>INDEX('Planning Backing (Hide)'!$B$21:$C$35,MATCH(A25,'Planning Backing (Hide)'!$A$21:$A$35,0),2)</f>
        <v>42</v>
      </c>
      <c r="D25" s="90"/>
      <c r="E25" s="91"/>
      <c r="F25" s="80"/>
      <c r="G25" s="81"/>
    </row>
    <row r="26" spans="1:7" x14ac:dyDescent="0.35">
      <c r="A26" s="52" t="str">
        <f>Setup!A21</f>
        <v>40 Group Session</v>
      </c>
      <c r="B26" s="92">
        <f>INDEX('Planning Backing (Hide)'!$B$21:$C$35,MATCH(A26,'Planning Backing (Hide)'!$A$21:$A$35,0),1)</f>
        <v>120</v>
      </c>
      <c r="C26" s="93">
        <f>INDEX('Planning Backing (Hide)'!$B$21:$C$35,MATCH(A26,'Planning Backing (Hide)'!$A$21:$A$35,0),2)</f>
        <v>34.285714285714285</v>
      </c>
      <c r="D26" s="94"/>
      <c r="E26" s="95"/>
      <c r="F26" s="82"/>
      <c r="G26" s="83"/>
    </row>
    <row r="27" spans="1:7" x14ac:dyDescent="0.35">
      <c r="A27" s="52" t="str">
        <f>Setup!A22</f>
        <v>8 Group Session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34.285714285714285</v>
      </c>
      <c r="D27" s="94"/>
      <c r="E27" s="95"/>
      <c r="F27" s="82"/>
      <c r="G27" s="83"/>
    </row>
    <row r="28" spans="1:7" x14ac:dyDescent="0.35">
      <c r="A28" s="52" t="str">
        <f>Setup!A23</f>
        <v>20 Individual</v>
      </c>
      <c r="B28" s="92">
        <f>INDEX('Planning Backing (Hide)'!$B$21:$C$35,MATCH(A28,'Planning Backing (Hide)'!$A$21:$A$35,0),1)</f>
        <v>60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40 Individual</v>
      </c>
      <c r="B29" s="92">
        <f>INDEX('Planning Backing (Hide)'!$B$21:$C$35,MATCH(A29,'Planning Backing (Hide)'!$A$21:$A$35,0),1)</f>
        <v>60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Initial assessment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21" t="s">
        <v>200</v>
      </c>
      <c r="B41" s="5"/>
      <c r="C41" s="5"/>
      <c r="D41" s="5"/>
      <c r="E41" s="5"/>
    </row>
    <row r="42" spans="1:7" ht="15" thickBot="1" x14ac:dyDescent="0.4">
      <c r="A42" s="129" t="s">
        <v>202</v>
      </c>
      <c r="B42" s="5"/>
      <c r="C42" s="5"/>
      <c r="D42" s="5"/>
      <c r="E42" s="5"/>
    </row>
    <row r="43" spans="1:7" ht="29.5" thickBot="1" x14ac:dyDescent="0.4">
      <c r="A43" s="63" t="str">
        <f>Setup!B15</f>
        <v>Caseload</v>
      </c>
      <c r="B43" s="103" t="s">
        <v>45</v>
      </c>
      <c r="C43" s="103" t="s">
        <v>198</v>
      </c>
      <c r="D43" s="103" t="s">
        <v>199</v>
      </c>
      <c r="E43" s="5"/>
    </row>
    <row r="44" spans="1:7" x14ac:dyDescent="0.35">
      <c r="A44" s="11" t="s">
        <v>204</v>
      </c>
      <c r="B44" s="11" t="s">
        <v>150</v>
      </c>
      <c r="C44" s="99" cm="1">
        <f t="array" ref="C44">IFERROR(INDEX(Service!$E$4:$E$28,MATCH(1,(Service!$B$4:$B$28=Planning!A44)*(Service!$C$4:$C$28=Planning!B44),0),1),"")</f>
        <v>7</v>
      </c>
      <c r="D44" s="15">
        <v>10</v>
      </c>
      <c r="E44" s="5"/>
    </row>
    <row r="45" spans="1:7" x14ac:dyDescent="0.35">
      <c r="A45" s="39"/>
      <c r="B45" s="39"/>
      <c r="C45" s="100" t="str" cm="1">
        <f t="array" ref="C45">IFERROR(INDEX(Service!$E$4:$E$28,MATCH(1,(Service!$B$4:$B$28=Planning!A45)*(Service!$C$4:$C$28=Planning!B45),0),1),"")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IFERROR(INDEX(Service!$E$4:$E$28,MATCH(1,(Service!$B$4:$B$28=Planning!A46)*(Service!$C$4:$C$28=Planning!B46),0),1),"")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IFERROR(INDEX(Service!$E$4:$E$28,MATCH(1,(Service!$B$4:$B$28=Planning!A47)*(Service!$C$4:$C$28=Planning!B47),0),1),"")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IFERROR(INDEX(Service!$E$4:$E$28,MATCH(1,(Service!$B$4:$B$28=Planning!A48)*(Service!$C$4:$C$28=Planning!B48),0),1),"")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IFERROR(INDEX(Service!$E$4:$E$28,MATCH(1,(Service!$B$4:$B$28=Planning!A49)*(Service!$C$4:$C$28=Planning!B49),0),1),"")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IFERROR(INDEX(Service!$E$4:$E$28,MATCH(1,(Service!$B$4:$B$28=Planning!A50)*(Service!$C$4:$C$28=Planning!B50),0),1),"")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IFERROR(INDEX(Service!$E$4:$E$28,MATCH(1,(Service!$B$4:$B$28=Planning!A51)*(Service!$C$4:$C$28=Planning!B51),0),1),"")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IFERROR(INDEX(Service!$E$4:$E$28,MATCH(1,(Service!$B$4:$B$28=Planning!A52)*(Service!$C$4:$C$28=Planning!B52),0),1),"")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IFERROR(INDEX(Service!$E$4:$E$28,MATCH(1,(Service!$B$4:$B$28=Planning!A53)*(Service!$C$4:$C$28=Planning!B53),0),1),"")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IFERROR(INDEX(Service!$E$4:$E$28,MATCH(1,(Service!$B$4:$B$28=Planning!A54)*(Service!$C$4:$C$28=Planning!B54),0),1),"")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IFERROR(INDEX(Service!$E$4:$E$28,MATCH(1,(Service!$B$4:$B$28=Planning!A55)*(Service!$C$4:$C$28=Planning!B55),0),1),"")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IFERROR(INDEX(Service!$E$4:$E$28,MATCH(1,(Service!$B$4:$B$28=Planning!A56)*(Service!$C$4:$C$28=Planning!B56),0),1),"")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IFERROR(INDEX(Service!$E$4:$E$28,MATCH(1,(Service!$B$4:$B$28=Planning!A57)*(Service!$C$4:$C$28=Planning!B57),0),1),"")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IFERROR(INDEX(Service!$E$4:$E$28,MATCH(1,(Service!$B$4:$B$28=Planning!A58)*(Service!$C$4:$C$28=Planning!B58),0),1),"")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173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3" t="s">
        <v>163</v>
      </c>
      <c r="C62" s="103" t="s">
        <v>164</v>
      </c>
      <c r="D62" s="103" t="str">
        <f>"Edit Non-Group Capacity ("&amp;LOWER(Summary!B7)&amp;")"</f>
        <v>Edit Non-Group Capacity (hours)</v>
      </c>
      <c r="E62" s="103" t="str">
        <f>"Edit Group Capacity ("&amp;LOWER(Summary!B7)&amp;")"</f>
        <v>Edit Group Capacity (hours)</v>
      </c>
    </row>
    <row r="63" spans="1:7" x14ac:dyDescent="0.35">
      <c r="A63" s="52" t="str">
        <f>Setup!A20</f>
        <v>20 Group Sessions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26.666666666666679</v>
      </c>
      <c r="D63" s="11"/>
      <c r="E63" s="11"/>
    </row>
    <row r="64" spans="1:7" x14ac:dyDescent="0.35">
      <c r="A64" s="52" t="str">
        <f>Setup!A21</f>
        <v>40 Group Session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26.666666666666679</v>
      </c>
      <c r="D64" s="39"/>
      <c r="E64" s="39"/>
    </row>
    <row r="65" spans="1:5" x14ac:dyDescent="0.35">
      <c r="A65" s="52" t="str">
        <f>Setup!A22</f>
        <v>8 Group Session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26.666666666666679</v>
      </c>
      <c r="D65" s="39"/>
      <c r="E65" s="39"/>
    </row>
    <row r="66" spans="1:5" x14ac:dyDescent="0.35">
      <c r="A66" s="52" t="str">
        <f>Setup!A23</f>
        <v>20 Individual</v>
      </c>
      <c r="B66" s="92">
        <f>INDEX('Capacity Backing (Hide)'!$H$261:$J$275,MATCH(Planning!$A66,'Capacity Backing (Hide)'!$A$261:$A$275,0),1)</f>
        <v>30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92">
        <f>INDEX('Capacity Backing (Hide)'!$H$261:$J$275,MATCH(Planning!$A67,'Capacity Backing (Hide)'!$A$261:$A$275,0),1)</f>
        <v>30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hidden="1" x14ac:dyDescent="0.35">
      <c r="A68" s="52" t="str">
        <f>Setup!A25</f>
        <v>Initial assessment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hidden="1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hidden="1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hidden="1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hidden="1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hidden="1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hidden="1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hidden="1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hidden="1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53" workbookViewId="0">
      <selection activeCell="D100" sqref="D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165</v>
      </c>
      <c r="I1" s="3" t="s">
        <v>56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Initial assessment</v>
      </c>
      <c r="AO1" t="str" cm="1">
        <f t="array" ref="AO1">INDEX($A$4:$A$18,ROUNDUP(COLUMN(AF1)/6,0),1)</f>
        <v>Initial assessment</v>
      </c>
      <c r="AP1" t="str" cm="1">
        <f t="array" ref="AP1">INDEX($A$4:$A$18,ROUNDUP(COLUMN(AG1)/6,0),1)</f>
        <v>Initial assessment</v>
      </c>
      <c r="AQ1" t="str" cm="1">
        <f t="array" ref="AQ1">INDEX($A$4:$A$18,ROUNDUP(COLUMN(AH1)/6,0),1)</f>
        <v>Initial assessment</v>
      </c>
      <c r="AR1" t="str" cm="1">
        <f t="array" ref="AR1">INDEX($A$4:$A$18,ROUNDUP(COLUMN(AI1)/6,0),1)</f>
        <v>Initial assessment</v>
      </c>
      <c r="AS1" t="str" cm="1">
        <f t="array" ref="AS1">INDEX($A$4:$A$18,ROUNDUP(COLUMN(AJ1)/6,0),1)</f>
        <v>Initial assessment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144</v>
      </c>
      <c r="CW1" s="3" t="s">
        <v>144</v>
      </c>
      <c r="CX1" s="3" t="s">
        <v>144</v>
      </c>
      <c r="CY1" s="3" t="s">
        <v>144</v>
      </c>
      <c r="CZ1" s="3" t="s">
        <v>144</v>
      </c>
      <c r="DA1" s="3" t="s">
        <v>144</v>
      </c>
    </row>
    <row r="2" spans="1:105" ht="15" thickBot="1" x14ac:dyDescent="0.4">
      <c r="I2" s="7"/>
      <c r="J2" s="7" t="s">
        <v>58</v>
      </c>
      <c r="K2" s="6" t="s">
        <v>58</v>
      </c>
      <c r="L2" s="7" t="s">
        <v>50</v>
      </c>
      <c r="M2" s="6" t="s">
        <v>50</v>
      </c>
      <c r="N2" s="19" t="s">
        <v>63</v>
      </c>
      <c r="O2" s="23" t="s">
        <v>63</v>
      </c>
      <c r="P2" s="7" t="s">
        <v>58</v>
      </c>
      <c r="Q2" s="6" t="s">
        <v>58</v>
      </c>
      <c r="R2" s="7" t="s">
        <v>50</v>
      </c>
      <c r="S2" s="6" t="s">
        <v>50</v>
      </c>
      <c r="T2" s="19" t="s">
        <v>63</v>
      </c>
      <c r="U2" s="23" t="s">
        <v>63</v>
      </c>
      <c r="V2" s="7" t="s">
        <v>58</v>
      </c>
      <c r="W2" s="6" t="s">
        <v>58</v>
      </c>
      <c r="X2" s="7" t="s">
        <v>50</v>
      </c>
      <c r="Y2" s="6" t="s">
        <v>50</v>
      </c>
      <c r="Z2" s="19" t="s">
        <v>63</v>
      </c>
      <c r="AA2" s="23" t="s">
        <v>63</v>
      </c>
      <c r="AB2" s="7" t="s">
        <v>58</v>
      </c>
      <c r="AC2" s="6" t="s">
        <v>58</v>
      </c>
      <c r="AD2" s="7" t="s">
        <v>50</v>
      </c>
      <c r="AE2" s="6" t="s">
        <v>50</v>
      </c>
      <c r="AF2" s="19" t="s">
        <v>63</v>
      </c>
      <c r="AG2" s="23" t="s">
        <v>63</v>
      </c>
      <c r="AH2" s="7" t="s">
        <v>58</v>
      </c>
      <c r="AI2" s="6" t="s">
        <v>58</v>
      </c>
      <c r="AJ2" s="7" t="s">
        <v>50</v>
      </c>
      <c r="AK2" s="6" t="s">
        <v>50</v>
      </c>
      <c r="AL2" s="19" t="s">
        <v>63</v>
      </c>
      <c r="AM2" s="23" t="s">
        <v>63</v>
      </c>
      <c r="AN2" s="7" t="s">
        <v>58</v>
      </c>
      <c r="AO2" s="6" t="s">
        <v>58</v>
      </c>
      <c r="AP2" s="7" t="s">
        <v>50</v>
      </c>
      <c r="AQ2" s="6" t="s">
        <v>50</v>
      </c>
      <c r="AR2" s="19" t="s">
        <v>63</v>
      </c>
      <c r="AS2" s="23" t="s">
        <v>63</v>
      </c>
      <c r="AT2" s="7" t="s">
        <v>58</v>
      </c>
      <c r="AU2" s="6" t="s">
        <v>58</v>
      </c>
      <c r="AV2" s="7" t="s">
        <v>50</v>
      </c>
      <c r="AW2" s="6" t="s">
        <v>50</v>
      </c>
      <c r="AX2" s="19" t="s">
        <v>63</v>
      </c>
      <c r="AY2" s="23" t="s">
        <v>63</v>
      </c>
      <c r="AZ2" s="7" t="s">
        <v>58</v>
      </c>
      <c r="BA2" s="6" t="s">
        <v>58</v>
      </c>
      <c r="BB2" s="7" t="s">
        <v>50</v>
      </c>
      <c r="BC2" s="6" t="s">
        <v>50</v>
      </c>
      <c r="BD2" s="19" t="s">
        <v>63</v>
      </c>
      <c r="BE2" s="23" t="s">
        <v>63</v>
      </c>
      <c r="BF2" s="7" t="s">
        <v>58</v>
      </c>
      <c r="BG2" s="6" t="s">
        <v>58</v>
      </c>
      <c r="BH2" s="7" t="s">
        <v>50</v>
      </c>
      <c r="BI2" s="6" t="s">
        <v>50</v>
      </c>
      <c r="BJ2" s="19" t="s">
        <v>63</v>
      </c>
      <c r="BK2" s="23" t="s">
        <v>63</v>
      </c>
      <c r="BL2" s="7" t="s">
        <v>58</v>
      </c>
      <c r="BM2" s="6" t="s">
        <v>58</v>
      </c>
      <c r="BN2" s="7" t="s">
        <v>50</v>
      </c>
      <c r="BO2" s="6" t="s">
        <v>50</v>
      </c>
      <c r="BP2" s="19" t="s">
        <v>63</v>
      </c>
      <c r="BQ2" s="23" t="s">
        <v>63</v>
      </c>
      <c r="BR2" s="7" t="s">
        <v>58</v>
      </c>
      <c r="BS2" s="6" t="s">
        <v>58</v>
      </c>
      <c r="BT2" s="7" t="s">
        <v>50</v>
      </c>
      <c r="BU2" s="6" t="s">
        <v>50</v>
      </c>
      <c r="BV2" s="19" t="s">
        <v>63</v>
      </c>
      <c r="BW2" s="23" t="s">
        <v>63</v>
      </c>
      <c r="BX2" s="7" t="s">
        <v>58</v>
      </c>
      <c r="BY2" s="6" t="s">
        <v>58</v>
      </c>
      <c r="BZ2" s="7" t="s">
        <v>50</v>
      </c>
      <c r="CA2" s="6" t="s">
        <v>50</v>
      </c>
      <c r="CB2" s="19" t="s">
        <v>63</v>
      </c>
      <c r="CC2" s="23" t="s">
        <v>63</v>
      </c>
      <c r="CD2" s="7" t="s">
        <v>58</v>
      </c>
      <c r="CE2" s="6" t="s">
        <v>58</v>
      </c>
      <c r="CF2" s="7" t="s">
        <v>50</v>
      </c>
      <c r="CG2" s="6" t="s">
        <v>50</v>
      </c>
      <c r="CH2" s="19" t="s">
        <v>63</v>
      </c>
      <c r="CI2" s="23" t="s">
        <v>63</v>
      </c>
      <c r="CJ2" s="7" t="s">
        <v>58</v>
      </c>
      <c r="CK2" s="6" t="s">
        <v>58</v>
      </c>
      <c r="CL2" s="7" t="s">
        <v>50</v>
      </c>
      <c r="CM2" s="6" t="s">
        <v>50</v>
      </c>
      <c r="CN2" s="19" t="s">
        <v>63</v>
      </c>
      <c r="CO2" s="23" t="s">
        <v>63</v>
      </c>
      <c r="CP2" s="7" t="s">
        <v>58</v>
      </c>
      <c r="CQ2" s="6" t="s">
        <v>58</v>
      </c>
      <c r="CR2" s="7" t="s">
        <v>50</v>
      </c>
      <c r="CS2" s="6" t="s">
        <v>50</v>
      </c>
      <c r="CT2" s="19" t="s">
        <v>63</v>
      </c>
      <c r="CU2" s="23" t="s">
        <v>63</v>
      </c>
      <c r="CV2" s="7" t="s">
        <v>58</v>
      </c>
      <c r="CW2" s="6" t="s">
        <v>58</v>
      </c>
      <c r="CX2" s="7" t="s">
        <v>50</v>
      </c>
      <c r="CY2" s="6" t="s">
        <v>50</v>
      </c>
      <c r="CZ2" s="19" t="s">
        <v>63</v>
      </c>
      <c r="DA2" s="23" t="s">
        <v>63</v>
      </c>
    </row>
    <row r="3" spans="1:105" ht="58.5" thickBot="1" x14ac:dyDescent="0.4">
      <c r="A3" t="s">
        <v>44</v>
      </c>
      <c r="B3" s="71" t="s">
        <v>156</v>
      </c>
      <c r="C3" s="71" t="s">
        <v>157</v>
      </c>
      <c r="D3" s="71" t="s">
        <v>158</v>
      </c>
      <c r="E3" s="71" t="s">
        <v>159</v>
      </c>
      <c r="F3" s="71" t="s">
        <v>160</v>
      </c>
      <c r="G3" s="71" t="s">
        <v>161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0.7</v>
      </c>
      <c r="M3" s="31"/>
      <c r="N3" s="30"/>
      <c r="O3" s="31"/>
      <c r="P3" s="29">
        <f>INDEX($D$21:$E$35,MATCH(P$1,$A$21:$A$35,0),1)/IF(Summary!$B$7="Minutes",1,60)</f>
        <v>2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57</v>
      </c>
      <c r="J4" s="24" t="s">
        <v>59</v>
      </c>
      <c r="K4" s="26" t="s">
        <v>60</v>
      </c>
      <c r="L4" s="24" t="s">
        <v>59</v>
      </c>
      <c r="M4" s="26" t="s">
        <v>60</v>
      </c>
      <c r="N4" s="25" t="s">
        <v>51</v>
      </c>
      <c r="O4" s="26" t="s">
        <v>60</v>
      </c>
      <c r="P4" s="24" t="s">
        <v>59</v>
      </c>
      <c r="Q4" s="26" t="s">
        <v>60</v>
      </c>
      <c r="R4" s="24" t="s">
        <v>59</v>
      </c>
      <c r="S4" s="26" t="s">
        <v>60</v>
      </c>
      <c r="T4" s="25" t="s">
        <v>51</v>
      </c>
      <c r="U4" s="26" t="s">
        <v>60</v>
      </c>
      <c r="V4" s="24" t="s">
        <v>59</v>
      </c>
      <c r="W4" s="26" t="s">
        <v>60</v>
      </c>
      <c r="X4" s="24" t="s">
        <v>59</v>
      </c>
      <c r="Y4" s="26" t="s">
        <v>60</v>
      </c>
      <c r="Z4" s="25" t="s">
        <v>51</v>
      </c>
      <c r="AA4" s="26" t="s">
        <v>60</v>
      </c>
      <c r="AB4" s="24" t="s">
        <v>59</v>
      </c>
      <c r="AC4" s="26" t="s">
        <v>60</v>
      </c>
      <c r="AD4" s="24" t="s">
        <v>59</v>
      </c>
      <c r="AE4" s="26" t="s">
        <v>60</v>
      </c>
      <c r="AF4" s="25" t="s">
        <v>51</v>
      </c>
      <c r="AG4" s="26" t="s">
        <v>60</v>
      </c>
      <c r="AH4" s="24" t="s">
        <v>59</v>
      </c>
      <c r="AI4" s="26" t="s">
        <v>60</v>
      </c>
      <c r="AJ4" s="24" t="s">
        <v>59</v>
      </c>
      <c r="AK4" s="26" t="s">
        <v>60</v>
      </c>
      <c r="AL4" s="25" t="s">
        <v>51</v>
      </c>
      <c r="AM4" s="26" t="s">
        <v>60</v>
      </c>
      <c r="AN4" s="24" t="s">
        <v>59</v>
      </c>
      <c r="AO4" s="26" t="s">
        <v>60</v>
      </c>
      <c r="AP4" s="24" t="s">
        <v>59</v>
      </c>
      <c r="AQ4" s="26" t="s">
        <v>60</v>
      </c>
      <c r="AR4" s="25" t="s">
        <v>51</v>
      </c>
      <c r="AS4" s="26" t="s">
        <v>60</v>
      </c>
      <c r="AT4" s="24" t="s">
        <v>59</v>
      </c>
      <c r="AU4" s="26" t="s">
        <v>60</v>
      </c>
      <c r="AV4" s="24" t="s">
        <v>59</v>
      </c>
      <c r="AW4" s="26" t="s">
        <v>60</v>
      </c>
      <c r="AX4" s="25" t="s">
        <v>51</v>
      </c>
      <c r="AY4" s="26" t="s">
        <v>60</v>
      </c>
      <c r="AZ4" s="24" t="s">
        <v>59</v>
      </c>
      <c r="BA4" s="26" t="s">
        <v>60</v>
      </c>
      <c r="BB4" s="24" t="s">
        <v>59</v>
      </c>
      <c r="BC4" s="26" t="s">
        <v>60</v>
      </c>
      <c r="BD4" s="25" t="s">
        <v>51</v>
      </c>
      <c r="BE4" s="26" t="s">
        <v>60</v>
      </c>
      <c r="BF4" s="24" t="s">
        <v>59</v>
      </c>
      <c r="BG4" s="26" t="s">
        <v>60</v>
      </c>
      <c r="BH4" s="24" t="s">
        <v>59</v>
      </c>
      <c r="BI4" s="26" t="s">
        <v>60</v>
      </c>
      <c r="BJ4" s="25" t="s">
        <v>51</v>
      </c>
      <c r="BK4" s="26" t="s">
        <v>60</v>
      </c>
      <c r="BL4" s="24" t="s">
        <v>59</v>
      </c>
      <c r="BM4" s="26" t="s">
        <v>60</v>
      </c>
      <c r="BN4" s="24" t="s">
        <v>59</v>
      </c>
      <c r="BO4" s="26" t="s">
        <v>60</v>
      </c>
      <c r="BP4" s="25" t="s">
        <v>51</v>
      </c>
      <c r="BQ4" s="26" t="s">
        <v>60</v>
      </c>
      <c r="BR4" s="24" t="s">
        <v>59</v>
      </c>
      <c r="BS4" s="26" t="s">
        <v>60</v>
      </c>
      <c r="BT4" s="24" t="s">
        <v>59</v>
      </c>
      <c r="BU4" s="26" t="s">
        <v>60</v>
      </c>
      <c r="BV4" s="25" t="s">
        <v>51</v>
      </c>
      <c r="BW4" s="26" t="s">
        <v>60</v>
      </c>
      <c r="BX4" s="24" t="s">
        <v>59</v>
      </c>
      <c r="BY4" s="26" t="s">
        <v>60</v>
      </c>
      <c r="BZ4" s="24" t="s">
        <v>59</v>
      </c>
      <c r="CA4" s="26" t="s">
        <v>60</v>
      </c>
      <c r="CB4" s="25" t="s">
        <v>51</v>
      </c>
      <c r="CC4" s="26" t="s">
        <v>60</v>
      </c>
      <c r="CD4" s="24" t="s">
        <v>59</v>
      </c>
      <c r="CE4" s="26" t="s">
        <v>60</v>
      </c>
      <c r="CF4" s="24" t="s">
        <v>59</v>
      </c>
      <c r="CG4" s="26" t="s">
        <v>60</v>
      </c>
      <c r="CH4" s="25" t="s">
        <v>51</v>
      </c>
      <c r="CI4" s="26" t="s">
        <v>60</v>
      </c>
      <c r="CJ4" s="24" t="s">
        <v>59</v>
      </c>
      <c r="CK4" s="26" t="s">
        <v>60</v>
      </c>
      <c r="CL4" s="24" t="s">
        <v>59</v>
      </c>
      <c r="CM4" s="26" t="s">
        <v>60</v>
      </c>
      <c r="CN4" s="25" t="s">
        <v>51</v>
      </c>
      <c r="CO4" s="26" t="s">
        <v>60</v>
      </c>
      <c r="CP4" s="24" t="s">
        <v>59</v>
      </c>
      <c r="CQ4" s="26" t="s">
        <v>60</v>
      </c>
      <c r="CR4" s="24" t="s">
        <v>59</v>
      </c>
      <c r="CS4" s="26" t="s">
        <v>60</v>
      </c>
      <c r="CT4" s="25" t="s">
        <v>51</v>
      </c>
      <c r="CU4" s="26" t="s">
        <v>60</v>
      </c>
      <c r="CV4" s="24" t="s">
        <v>51</v>
      </c>
      <c r="CW4" s="26" t="s">
        <v>60</v>
      </c>
      <c r="CX4" s="24" t="s">
        <v>51</v>
      </c>
      <c r="CY4" s="26" t="s">
        <v>60</v>
      </c>
      <c r="CZ4" s="25" t="s">
        <v>51</v>
      </c>
      <c r="DA4" s="26" t="s">
        <v>60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24.5</v>
      </c>
      <c r="M5">
        <f>INDEX($D$4:$E$18,MATCH(L$1,$A$4:$A$18,0),2)*L$3</f>
        <v>25.724999999999998</v>
      </c>
      <c r="N5">
        <f>SUMIF(J$4:M$4,N$4,J5:M5)</f>
        <v>68.25</v>
      </c>
      <c r="O5">
        <f>SUMIF(J$4:M$4,O$4,J5:M5)</f>
        <v>71.662499999999994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48.857142857142854</v>
      </c>
      <c r="U5">
        <f>SUMIF(P$4:S$4,U$4,P5:S5)</f>
        <v>64.285714285714278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181.75</v>
      </c>
      <c r="CW5">
        <f t="shared" si="0"/>
        <v>198.6875</v>
      </c>
      <c r="CX5">
        <f t="shared" si="0"/>
        <v>43.5</v>
      </c>
      <c r="CY5">
        <f t="shared" si="0"/>
        <v>50.296428571428571</v>
      </c>
      <c r="CZ5">
        <f>SUMIFS($J5:$CU5,$J$2:$CU$2,CZ$2,$J$4:$CU$4,CZ$4)</f>
        <v>225.25</v>
      </c>
      <c r="DA5">
        <f>SUMIFS($J5:$CU5,$J$2:$CU$2,DA$2,$J$4:$CU$4,DA$4)</f>
        <v>248.98392857142855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24.5</v>
      </c>
      <c r="M6">
        <f t="shared" ref="M6:M56" si="4">INDEX($D$4:$E$18,MATCH(L$1,$A$4:$A$18,0),2)*L$3</f>
        <v>25.724999999999998</v>
      </c>
      <c r="N6">
        <f t="shared" ref="N6:N56" si="5">SUMIF(J$4:M$4,N$4,J6:M6)</f>
        <v>68.25</v>
      </c>
      <c r="O6">
        <f t="shared" ref="O6:O56" si="6">SUMIF(J$4:M$4,O$4,J6:M6)</f>
        <v>71.662499999999994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48.857142857142854</v>
      </c>
      <c r="U6">
        <f t="shared" ref="U6:U56" si="12">SUMIF(P$4:S$4,U$4,P6:S6)</f>
        <v>64.285714285714278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181.75</v>
      </c>
      <c r="CW6">
        <f t="shared" si="91"/>
        <v>198.6875</v>
      </c>
      <c r="CX6">
        <f t="shared" ref="CX6:CY20" si="92">SUMIFS($J6:$CS6,$J$2:$CS$2,CX$2,$J$4:$CS$4,CX$4)</f>
        <v>43.5</v>
      </c>
      <c r="CY6">
        <f t="shared" si="92"/>
        <v>50.296428571428571</v>
      </c>
      <c r="CZ6">
        <f t="shared" ref="CZ6:DA56" si="93">SUMIFS($J6:$CU6,$J$2:$CU$2,CZ$2,$J$4:$CU$4,CZ$4)</f>
        <v>225.25</v>
      </c>
      <c r="DA6">
        <f t="shared" si="93"/>
        <v>248.98392857142855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24.5</v>
      </c>
      <c r="M7">
        <f t="shared" si="4"/>
        <v>25.724999999999998</v>
      </c>
      <c r="N7">
        <f t="shared" si="5"/>
        <v>68.25</v>
      </c>
      <c r="O7">
        <f t="shared" si="6"/>
        <v>71.662499999999994</v>
      </c>
      <c r="P7">
        <f t="shared" si="7"/>
        <v>38</v>
      </c>
      <c r="Q7">
        <f t="shared" si="8"/>
        <v>50</v>
      </c>
      <c r="R7">
        <f t="shared" si="9"/>
        <v>10.857142857142856</v>
      </c>
      <c r="S7">
        <f t="shared" si="10"/>
        <v>14.285714285714285</v>
      </c>
      <c r="T7">
        <f t="shared" si="11"/>
        <v>48.857142857142854</v>
      </c>
      <c r="U7">
        <f t="shared" si="12"/>
        <v>64.285714285714278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181.75</v>
      </c>
      <c r="CW7">
        <f t="shared" si="91"/>
        <v>198.6875</v>
      </c>
      <c r="CX7">
        <f t="shared" si="92"/>
        <v>43.5</v>
      </c>
      <c r="CY7">
        <f t="shared" si="92"/>
        <v>50.296428571428571</v>
      </c>
      <c r="CZ7">
        <f t="shared" si="93"/>
        <v>225.25</v>
      </c>
      <c r="DA7">
        <f t="shared" si="93"/>
        <v>248.98392857142855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24.5</v>
      </c>
      <c r="M8">
        <f t="shared" si="4"/>
        <v>25.724999999999998</v>
      </c>
      <c r="N8">
        <f t="shared" si="5"/>
        <v>68.25</v>
      </c>
      <c r="O8">
        <f t="shared" si="6"/>
        <v>71.662499999999994</v>
      </c>
      <c r="P8">
        <f t="shared" si="7"/>
        <v>38</v>
      </c>
      <c r="Q8">
        <f t="shared" si="8"/>
        <v>50</v>
      </c>
      <c r="R8">
        <f t="shared" si="9"/>
        <v>10.857142857142856</v>
      </c>
      <c r="S8">
        <f t="shared" si="10"/>
        <v>14.285714285714285</v>
      </c>
      <c r="T8">
        <f t="shared" si="11"/>
        <v>48.857142857142854</v>
      </c>
      <c r="U8">
        <f t="shared" si="12"/>
        <v>64.285714285714278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181.75</v>
      </c>
      <c r="CW8">
        <f t="shared" si="91"/>
        <v>198.6875</v>
      </c>
      <c r="CX8">
        <f t="shared" si="92"/>
        <v>43.5</v>
      </c>
      <c r="CY8">
        <f t="shared" si="92"/>
        <v>50.296428571428571</v>
      </c>
      <c r="CZ8">
        <f t="shared" si="93"/>
        <v>225.25</v>
      </c>
      <c r="DA8">
        <f t="shared" si="93"/>
        <v>248.98392857142855</v>
      </c>
    </row>
    <row r="9" spans="1:105" x14ac:dyDescent="0.35">
      <c r="A9" t="str">
        <f>Setup!A25</f>
        <v>Initial assessment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24.5</v>
      </c>
      <c r="M9">
        <f t="shared" si="4"/>
        <v>25.724999999999998</v>
      </c>
      <c r="N9">
        <f t="shared" si="5"/>
        <v>68.25</v>
      </c>
      <c r="O9">
        <f t="shared" si="6"/>
        <v>71.662499999999994</v>
      </c>
      <c r="P9">
        <f t="shared" si="7"/>
        <v>38</v>
      </c>
      <c r="Q9">
        <f t="shared" si="8"/>
        <v>50</v>
      </c>
      <c r="R9">
        <f t="shared" si="9"/>
        <v>10.857142857142856</v>
      </c>
      <c r="S9">
        <f t="shared" si="10"/>
        <v>14.285714285714285</v>
      </c>
      <c r="T9">
        <f t="shared" si="11"/>
        <v>48.857142857142854</v>
      </c>
      <c r="U9">
        <f t="shared" si="12"/>
        <v>64.285714285714278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181.75</v>
      </c>
      <c r="CW9">
        <f t="shared" si="91"/>
        <v>198.6875</v>
      </c>
      <c r="CX9">
        <f t="shared" si="92"/>
        <v>43.5</v>
      </c>
      <c r="CY9">
        <f t="shared" si="92"/>
        <v>50.296428571428571</v>
      </c>
      <c r="CZ9">
        <f t="shared" si="93"/>
        <v>225.25</v>
      </c>
      <c r="DA9">
        <f t="shared" si="93"/>
        <v>248.98392857142855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24.5</v>
      </c>
      <c r="M10">
        <f t="shared" si="4"/>
        <v>25.724999999999998</v>
      </c>
      <c r="N10">
        <f t="shared" si="5"/>
        <v>68.25</v>
      </c>
      <c r="O10">
        <f t="shared" si="6"/>
        <v>71.662499999999994</v>
      </c>
      <c r="P10">
        <f t="shared" si="7"/>
        <v>38</v>
      </c>
      <c r="Q10">
        <f t="shared" si="8"/>
        <v>50</v>
      </c>
      <c r="R10">
        <f t="shared" si="9"/>
        <v>10.857142857142856</v>
      </c>
      <c r="S10">
        <f t="shared" si="10"/>
        <v>14.285714285714285</v>
      </c>
      <c r="T10">
        <f t="shared" si="11"/>
        <v>48.857142857142854</v>
      </c>
      <c r="U10">
        <f t="shared" si="12"/>
        <v>64.285714285714278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181.75</v>
      </c>
      <c r="CW10">
        <f t="shared" si="91"/>
        <v>198.6875</v>
      </c>
      <c r="CX10">
        <f t="shared" si="92"/>
        <v>43.5</v>
      </c>
      <c r="CY10">
        <f t="shared" si="92"/>
        <v>50.296428571428571</v>
      </c>
      <c r="CZ10">
        <f t="shared" si="93"/>
        <v>225.25</v>
      </c>
      <c r="DA10">
        <f t="shared" si="93"/>
        <v>248.98392857142855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24.5</v>
      </c>
      <c r="M11">
        <f t="shared" si="4"/>
        <v>25.724999999999998</v>
      </c>
      <c r="N11">
        <f t="shared" si="5"/>
        <v>68.25</v>
      </c>
      <c r="O11">
        <f t="shared" si="6"/>
        <v>71.662499999999994</v>
      </c>
      <c r="P11">
        <f t="shared" si="7"/>
        <v>38</v>
      </c>
      <c r="Q11">
        <f t="shared" si="8"/>
        <v>50</v>
      </c>
      <c r="R11">
        <f t="shared" si="9"/>
        <v>10.857142857142856</v>
      </c>
      <c r="S11">
        <f t="shared" si="10"/>
        <v>14.285714285714285</v>
      </c>
      <c r="T11">
        <f t="shared" si="11"/>
        <v>48.857142857142854</v>
      </c>
      <c r="U11">
        <f t="shared" si="12"/>
        <v>64.285714285714278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181.75</v>
      </c>
      <c r="CW11">
        <f t="shared" si="91"/>
        <v>198.6875</v>
      </c>
      <c r="CX11">
        <f t="shared" si="92"/>
        <v>43.5</v>
      </c>
      <c r="CY11">
        <f t="shared" si="92"/>
        <v>50.296428571428571</v>
      </c>
      <c r="CZ11">
        <f t="shared" si="93"/>
        <v>225.25</v>
      </c>
      <c r="DA11">
        <f t="shared" si="93"/>
        <v>248.98392857142855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24.5</v>
      </c>
      <c r="M12">
        <f t="shared" si="4"/>
        <v>25.724999999999998</v>
      </c>
      <c r="N12">
        <f t="shared" si="5"/>
        <v>68.25</v>
      </c>
      <c r="O12">
        <f t="shared" si="6"/>
        <v>71.662499999999994</v>
      </c>
      <c r="P12">
        <f t="shared" si="7"/>
        <v>38</v>
      </c>
      <c r="Q12">
        <f t="shared" si="8"/>
        <v>50</v>
      </c>
      <c r="R12">
        <f t="shared" si="9"/>
        <v>10.857142857142856</v>
      </c>
      <c r="S12">
        <f t="shared" si="10"/>
        <v>14.285714285714285</v>
      </c>
      <c r="T12">
        <f t="shared" si="11"/>
        <v>48.857142857142854</v>
      </c>
      <c r="U12">
        <f t="shared" si="12"/>
        <v>64.285714285714278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181.75</v>
      </c>
      <c r="CW12">
        <f t="shared" si="91"/>
        <v>198.6875</v>
      </c>
      <c r="CX12">
        <f t="shared" si="92"/>
        <v>43.5</v>
      </c>
      <c r="CY12">
        <f t="shared" si="92"/>
        <v>50.296428571428571</v>
      </c>
      <c r="CZ12">
        <f t="shared" si="93"/>
        <v>225.25</v>
      </c>
      <c r="DA12">
        <f t="shared" si="93"/>
        <v>248.98392857142855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24.5</v>
      </c>
      <c r="M13">
        <f t="shared" si="4"/>
        <v>25.724999999999998</v>
      </c>
      <c r="N13">
        <f t="shared" si="5"/>
        <v>68.25</v>
      </c>
      <c r="O13">
        <f t="shared" si="6"/>
        <v>71.662499999999994</v>
      </c>
      <c r="P13">
        <f t="shared" si="7"/>
        <v>38</v>
      </c>
      <c r="Q13">
        <f t="shared" si="8"/>
        <v>50</v>
      </c>
      <c r="R13">
        <f t="shared" si="9"/>
        <v>10.857142857142856</v>
      </c>
      <c r="S13">
        <f t="shared" si="10"/>
        <v>14.285714285714285</v>
      </c>
      <c r="T13">
        <f t="shared" si="11"/>
        <v>48.857142857142854</v>
      </c>
      <c r="U13">
        <f t="shared" si="12"/>
        <v>64.285714285714278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181.75</v>
      </c>
      <c r="CW13">
        <f t="shared" si="91"/>
        <v>198.6875</v>
      </c>
      <c r="CX13">
        <f t="shared" si="92"/>
        <v>43.5</v>
      </c>
      <c r="CY13">
        <f t="shared" si="92"/>
        <v>50.296428571428571</v>
      </c>
      <c r="CZ13">
        <f t="shared" si="93"/>
        <v>225.25</v>
      </c>
      <c r="DA13">
        <f t="shared" si="93"/>
        <v>248.98392857142855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24.5</v>
      </c>
      <c r="M14">
        <f t="shared" si="4"/>
        <v>25.724999999999998</v>
      </c>
      <c r="N14">
        <f t="shared" si="5"/>
        <v>68.25</v>
      </c>
      <c r="O14">
        <f t="shared" si="6"/>
        <v>71.662499999999994</v>
      </c>
      <c r="P14">
        <f t="shared" si="7"/>
        <v>38</v>
      </c>
      <c r="Q14">
        <f t="shared" si="8"/>
        <v>50</v>
      </c>
      <c r="R14">
        <f t="shared" si="9"/>
        <v>10.857142857142856</v>
      </c>
      <c r="S14">
        <f t="shared" si="10"/>
        <v>14.285714285714285</v>
      </c>
      <c r="T14">
        <f t="shared" si="11"/>
        <v>48.857142857142854</v>
      </c>
      <c r="U14">
        <f t="shared" si="12"/>
        <v>64.285714285714278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181.75</v>
      </c>
      <c r="CW14">
        <f t="shared" si="91"/>
        <v>198.6875</v>
      </c>
      <c r="CX14">
        <f t="shared" si="92"/>
        <v>43.5</v>
      </c>
      <c r="CY14">
        <f t="shared" si="92"/>
        <v>50.296428571428571</v>
      </c>
      <c r="CZ14">
        <f t="shared" si="93"/>
        <v>225.25</v>
      </c>
      <c r="DA14">
        <f t="shared" si="93"/>
        <v>248.98392857142855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24.5</v>
      </c>
      <c r="M15">
        <f t="shared" si="4"/>
        <v>25.724999999999998</v>
      </c>
      <c r="N15">
        <f t="shared" si="5"/>
        <v>68.25</v>
      </c>
      <c r="O15">
        <f t="shared" si="6"/>
        <v>71.662499999999994</v>
      </c>
      <c r="P15">
        <f t="shared" si="7"/>
        <v>38</v>
      </c>
      <c r="Q15">
        <f t="shared" si="8"/>
        <v>50</v>
      </c>
      <c r="R15">
        <f t="shared" si="9"/>
        <v>10.857142857142856</v>
      </c>
      <c r="S15">
        <f t="shared" si="10"/>
        <v>14.285714285714285</v>
      </c>
      <c r="T15">
        <f t="shared" si="11"/>
        <v>48.857142857142854</v>
      </c>
      <c r="U15">
        <f t="shared" si="12"/>
        <v>64.285714285714278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181.75</v>
      </c>
      <c r="CW15">
        <f t="shared" si="91"/>
        <v>198.6875</v>
      </c>
      <c r="CX15">
        <f t="shared" si="92"/>
        <v>43.5</v>
      </c>
      <c r="CY15">
        <f t="shared" si="92"/>
        <v>50.296428571428571</v>
      </c>
      <c r="CZ15">
        <f t="shared" si="93"/>
        <v>225.25</v>
      </c>
      <c r="DA15">
        <f t="shared" si="93"/>
        <v>248.98392857142855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24.5</v>
      </c>
      <c r="M16">
        <f t="shared" si="4"/>
        <v>25.724999999999998</v>
      </c>
      <c r="N16">
        <f t="shared" si="5"/>
        <v>68.25</v>
      </c>
      <c r="O16">
        <f t="shared" si="6"/>
        <v>71.662499999999994</v>
      </c>
      <c r="P16">
        <f t="shared" si="7"/>
        <v>38</v>
      </c>
      <c r="Q16">
        <f t="shared" si="8"/>
        <v>50</v>
      </c>
      <c r="R16">
        <f t="shared" si="9"/>
        <v>10.857142857142856</v>
      </c>
      <c r="S16">
        <f t="shared" si="10"/>
        <v>14.285714285714285</v>
      </c>
      <c r="T16">
        <f t="shared" si="11"/>
        <v>48.857142857142854</v>
      </c>
      <c r="U16">
        <f t="shared" si="12"/>
        <v>64.285714285714278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181.75</v>
      </c>
      <c r="CW16">
        <f t="shared" si="91"/>
        <v>198.6875</v>
      </c>
      <c r="CX16">
        <f t="shared" si="92"/>
        <v>43.5</v>
      </c>
      <c r="CY16">
        <f t="shared" si="92"/>
        <v>50.296428571428571</v>
      </c>
      <c r="CZ16">
        <f t="shared" si="93"/>
        <v>225.25</v>
      </c>
      <c r="DA16">
        <f t="shared" si="93"/>
        <v>248.98392857142855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24.5</v>
      </c>
      <c r="M17">
        <f t="shared" si="4"/>
        <v>25.724999999999998</v>
      </c>
      <c r="N17">
        <f t="shared" si="5"/>
        <v>68.25</v>
      </c>
      <c r="O17">
        <f t="shared" si="6"/>
        <v>71.662499999999994</v>
      </c>
      <c r="P17">
        <f t="shared" si="7"/>
        <v>38</v>
      </c>
      <c r="Q17">
        <f t="shared" si="8"/>
        <v>50</v>
      </c>
      <c r="R17">
        <f t="shared" si="9"/>
        <v>10.857142857142856</v>
      </c>
      <c r="S17">
        <f t="shared" si="10"/>
        <v>14.285714285714285</v>
      </c>
      <c r="T17">
        <f t="shared" si="11"/>
        <v>48.857142857142854</v>
      </c>
      <c r="U17">
        <f t="shared" si="12"/>
        <v>64.285714285714278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181.75</v>
      </c>
      <c r="CW17">
        <f t="shared" si="91"/>
        <v>198.6875</v>
      </c>
      <c r="CX17">
        <f t="shared" si="92"/>
        <v>43.5</v>
      </c>
      <c r="CY17">
        <f t="shared" si="92"/>
        <v>50.296428571428571</v>
      </c>
      <c r="CZ17">
        <f t="shared" si="93"/>
        <v>225.25</v>
      </c>
      <c r="DA17">
        <f t="shared" si="93"/>
        <v>248.98392857142855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24.5</v>
      </c>
      <c r="M18">
        <f t="shared" si="4"/>
        <v>25.724999999999998</v>
      </c>
      <c r="N18">
        <f t="shared" si="5"/>
        <v>68.25</v>
      </c>
      <c r="O18">
        <f t="shared" si="6"/>
        <v>71.662499999999994</v>
      </c>
      <c r="P18">
        <f t="shared" si="7"/>
        <v>38</v>
      </c>
      <c r="Q18">
        <f t="shared" si="8"/>
        <v>50</v>
      </c>
      <c r="R18">
        <f t="shared" si="9"/>
        <v>10.857142857142856</v>
      </c>
      <c r="S18">
        <f t="shared" si="10"/>
        <v>14.285714285714285</v>
      </c>
      <c r="T18">
        <f t="shared" si="11"/>
        <v>48.857142857142854</v>
      </c>
      <c r="U18">
        <f t="shared" si="12"/>
        <v>64.285714285714278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181.75</v>
      </c>
      <c r="CW18">
        <f t="shared" si="91"/>
        <v>198.6875</v>
      </c>
      <c r="CX18">
        <f t="shared" si="92"/>
        <v>43.5</v>
      </c>
      <c r="CY18">
        <f t="shared" si="92"/>
        <v>50.296428571428571</v>
      </c>
      <c r="CZ18">
        <f t="shared" si="93"/>
        <v>225.25</v>
      </c>
      <c r="DA18">
        <f t="shared" si="93"/>
        <v>248.98392857142855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24.5</v>
      </c>
      <c r="M19">
        <f t="shared" si="4"/>
        <v>25.724999999999998</v>
      </c>
      <c r="N19">
        <f t="shared" si="5"/>
        <v>68.25</v>
      </c>
      <c r="O19">
        <f t="shared" si="6"/>
        <v>71.662499999999994</v>
      </c>
      <c r="P19">
        <f t="shared" si="7"/>
        <v>38</v>
      </c>
      <c r="Q19">
        <f t="shared" si="8"/>
        <v>50</v>
      </c>
      <c r="R19">
        <f t="shared" si="9"/>
        <v>10.857142857142856</v>
      </c>
      <c r="S19">
        <f t="shared" si="10"/>
        <v>14.285714285714285</v>
      </c>
      <c r="T19">
        <f t="shared" si="11"/>
        <v>48.857142857142854</v>
      </c>
      <c r="U19">
        <f t="shared" si="12"/>
        <v>64.285714285714278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181.75</v>
      </c>
      <c r="CW19">
        <f t="shared" si="91"/>
        <v>198.6875</v>
      </c>
      <c r="CX19">
        <f t="shared" si="92"/>
        <v>43.5</v>
      </c>
      <c r="CY19">
        <f t="shared" si="92"/>
        <v>50.296428571428571</v>
      </c>
      <c r="CZ19">
        <f t="shared" si="93"/>
        <v>225.25</v>
      </c>
      <c r="DA19">
        <f t="shared" si="93"/>
        <v>248.98392857142855</v>
      </c>
    </row>
    <row r="20" spans="1:105" ht="87" x14ac:dyDescent="0.35">
      <c r="A20" t="s">
        <v>44</v>
      </c>
      <c r="B20" s="71" t="s">
        <v>166</v>
      </c>
      <c r="C20" s="71" t="s">
        <v>167</v>
      </c>
      <c r="D20" s="71" t="s">
        <v>168</v>
      </c>
      <c r="E20" s="71" t="s">
        <v>169</v>
      </c>
      <c r="F20" s="71" t="s">
        <v>170</v>
      </c>
      <c r="G20" s="71" t="s">
        <v>171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24.5</v>
      </c>
      <c r="M20">
        <f t="shared" si="4"/>
        <v>25.724999999999998</v>
      </c>
      <c r="N20">
        <f t="shared" si="5"/>
        <v>68.25</v>
      </c>
      <c r="O20">
        <f t="shared" si="6"/>
        <v>71.662499999999994</v>
      </c>
      <c r="P20">
        <f t="shared" si="7"/>
        <v>38</v>
      </c>
      <c r="Q20">
        <f t="shared" si="8"/>
        <v>50</v>
      </c>
      <c r="R20">
        <f t="shared" si="9"/>
        <v>10.857142857142856</v>
      </c>
      <c r="S20">
        <f t="shared" si="10"/>
        <v>14.285714285714285</v>
      </c>
      <c r="T20">
        <f t="shared" si="11"/>
        <v>48.857142857142854</v>
      </c>
      <c r="U20">
        <f t="shared" si="12"/>
        <v>64.285714285714278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181.75</v>
      </c>
      <c r="CW20">
        <f t="shared" si="91"/>
        <v>198.6875</v>
      </c>
      <c r="CX20">
        <f t="shared" si="92"/>
        <v>43.5</v>
      </c>
      <c r="CY20">
        <f t="shared" si="92"/>
        <v>50.296428571428571</v>
      </c>
      <c r="CZ20">
        <f t="shared" si="93"/>
        <v>225.25</v>
      </c>
      <c r="DA20">
        <f t="shared" si="93"/>
        <v>248.98392857142855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42</v>
      </c>
      <c r="D21">
        <f>IF(Planning!D25="",'Planning Backing (Hide)'!B21,Planning!D25)</f>
        <v>75</v>
      </c>
      <c r="E21">
        <f>IF(Planning!E25="",'Planning Backing (Hide)'!C21,Planning!E25)</f>
        <v>42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24.5</v>
      </c>
      <c r="M21">
        <f t="shared" si="4"/>
        <v>25.724999999999998</v>
      </c>
      <c r="N21">
        <f t="shared" si="5"/>
        <v>68.25</v>
      </c>
      <c r="O21">
        <f t="shared" si="6"/>
        <v>71.662499999999994</v>
      </c>
      <c r="P21">
        <f t="shared" si="7"/>
        <v>38</v>
      </c>
      <c r="Q21">
        <f t="shared" si="8"/>
        <v>50</v>
      </c>
      <c r="R21">
        <f t="shared" si="9"/>
        <v>10.857142857142856</v>
      </c>
      <c r="S21">
        <f t="shared" si="10"/>
        <v>14.285714285714285</v>
      </c>
      <c r="T21">
        <f t="shared" si="11"/>
        <v>48.857142857142854</v>
      </c>
      <c r="U21">
        <f t="shared" si="12"/>
        <v>64.285714285714278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181.75</v>
      </c>
      <c r="CW21">
        <f t="shared" si="91"/>
        <v>198.6875</v>
      </c>
      <c r="CX21">
        <f t="shared" si="91"/>
        <v>43.5</v>
      </c>
      <c r="CY21">
        <f t="shared" si="91"/>
        <v>50.296428571428571</v>
      </c>
      <c r="CZ21">
        <f t="shared" si="93"/>
        <v>225.25</v>
      </c>
      <c r="DA21">
        <f t="shared" si="93"/>
        <v>248.98392857142855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34.285714285714285</v>
      </c>
      <c r="D22">
        <f>IF(Planning!D26="",'Planning Backing (Hide)'!B22,Planning!D26)</f>
        <v>120</v>
      </c>
      <c r="E22">
        <f>IF(Planning!E26="",'Planning Backing (Hide)'!C22,Planning!E26)</f>
        <v>34.285714285714285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24.5</v>
      </c>
      <c r="M22">
        <f t="shared" si="4"/>
        <v>25.724999999999998</v>
      </c>
      <c r="N22">
        <f t="shared" si="5"/>
        <v>68.25</v>
      </c>
      <c r="O22">
        <f t="shared" si="6"/>
        <v>71.662499999999994</v>
      </c>
      <c r="P22">
        <f t="shared" si="7"/>
        <v>38</v>
      </c>
      <c r="Q22">
        <f t="shared" si="8"/>
        <v>50</v>
      </c>
      <c r="R22">
        <f t="shared" si="9"/>
        <v>10.857142857142856</v>
      </c>
      <c r="S22">
        <f t="shared" si="10"/>
        <v>14.285714285714285</v>
      </c>
      <c r="T22">
        <f t="shared" si="11"/>
        <v>48.857142857142854</v>
      </c>
      <c r="U22">
        <f t="shared" si="12"/>
        <v>64.285714285714278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181.75</v>
      </c>
      <c r="CW22">
        <f t="shared" si="91"/>
        <v>198.6875</v>
      </c>
      <c r="CX22">
        <f t="shared" si="91"/>
        <v>43.5</v>
      </c>
      <c r="CY22">
        <f t="shared" si="91"/>
        <v>50.296428571428571</v>
      </c>
      <c r="CZ22">
        <f t="shared" si="93"/>
        <v>225.25</v>
      </c>
      <c r="DA22">
        <f t="shared" si="93"/>
        <v>248.98392857142855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24.5</v>
      </c>
      <c r="M23">
        <f t="shared" si="4"/>
        <v>25.724999999999998</v>
      </c>
      <c r="N23">
        <f t="shared" si="5"/>
        <v>68.25</v>
      </c>
      <c r="O23">
        <f t="shared" si="6"/>
        <v>71.662499999999994</v>
      </c>
      <c r="P23">
        <f t="shared" si="7"/>
        <v>38</v>
      </c>
      <c r="Q23">
        <f t="shared" si="8"/>
        <v>50</v>
      </c>
      <c r="R23">
        <f t="shared" si="9"/>
        <v>10.857142857142856</v>
      </c>
      <c r="S23">
        <f t="shared" si="10"/>
        <v>14.285714285714285</v>
      </c>
      <c r="T23">
        <f t="shared" si="11"/>
        <v>48.857142857142854</v>
      </c>
      <c r="U23">
        <f t="shared" si="12"/>
        <v>64.285714285714278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181.75</v>
      </c>
      <c r="CW23">
        <f t="shared" si="91"/>
        <v>198.6875</v>
      </c>
      <c r="CX23">
        <f t="shared" si="91"/>
        <v>43.5</v>
      </c>
      <c r="CY23">
        <f t="shared" si="91"/>
        <v>50.296428571428571</v>
      </c>
      <c r="CZ23">
        <f t="shared" si="93"/>
        <v>225.25</v>
      </c>
      <c r="DA23">
        <f t="shared" si="93"/>
        <v>248.98392857142855</v>
      </c>
    </row>
    <row r="24" spans="1:105" x14ac:dyDescent="0.35">
      <c r="A24" t="str">
        <f>Setup!A23</f>
        <v>20 Individual</v>
      </c>
      <c r="B24">
        <f t="shared" si="94"/>
        <v>60</v>
      </c>
      <c r="C24">
        <f t="shared" si="95"/>
        <v>0</v>
      </c>
      <c r="D24">
        <f>IF(Planning!D28="",'Planning Backing (Hide)'!B24,Planning!D28)</f>
        <v>60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24.5</v>
      </c>
      <c r="M24">
        <f t="shared" si="4"/>
        <v>25.724999999999998</v>
      </c>
      <c r="N24">
        <f t="shared" si="5"/>
        <v>68.25</v>
      </c>
      <c r="O24">
        <f t="shared" si="6"/>
        <v>71.662499999999994</v>
      </c>
      <c r="P24">
        <f t="shared" si="7"/>
        <v>38</v>
      </c>
      <c r="Q24">
        <f t="shared" si="8"/>
        <v>50</v>
      </c>
      <c r="R24">
        <f t="shared" si="9"/>
        <v>10.857142857142856</v>
      </c>
      <c r="S24">
        <f t="shared" si="10"/>
        <v>14.285714285714285</v>
      </c>
      <c r="T24">
        <f t="shared" si="11"/>
        <v>48.857142857142854</v>
      </c>
      <c r="U24">
        <f t="shared" si="12"/>
        <v>64.285714285714278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181.75</v>
      </c>
      <c r="CW24">
        <f t="shared" si="91"/>
        <v>198.6875</v>
      </c>
      <c r="CX24">
        <f t="shared" si="91"/>
        <v>43.5</v>
      </c>
      <c r="CY24">
        <f t="shared" si="91"/>
        <v>50.296428571428571</v>
      </c>
      <c r="CZ24">
        <f t="shared" si="93"/>
        <v>225.25</v>
      </c>
      <c r="DA24">
        <f t="shared" si="93"/>
        <v>248.98392857142855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24.5</v>
      </c>
      <c r="M25">
        <f t="shared" si="4"/>
        <v>25.724999999999998</v>
      </c>
      <c r="N25">
        <f t="shared" si="5"/>
        <v>68.25</v>
      </c>
      <c r="O25">
        <f t="shared" si="6"/>
        <v>71.662499999999994</v>
      </c>
      <c r="P25">
        <f t="shared" si="7"/>
        <v>38</v>
      </c>
      <c r="Q25">
        <f t="shared" si="8"/>
        <v>50</v>
      </c>
      <c r="R25">
        <f t="shared" si="9"/>
        <v>10.857142857142856</v>
      </c>
      <c r="S25">
        <f t="shared" si="10"/>
        <v>14.285714285714285</v>
      </c>
      <c r="T25">
        <f t="shared" si="11"/>
        <v>48.857142857142854</v>
      </c>
      <c r="U25">
        <f t="shared" si="12"/>
        <v>64.285714285714278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181.75</v>
      </c>
      <c r="CW25">
        <f t="shared" si="91"/>
        <v>198.6875</v>
      </c>
      <c r="CX25">
        <f t="shared" si="91"/>
        <v>43.5</v>
      </c>
      <c r="CY25">
        <f t="shared" si="91"/>
        <v>50.296428571428571</v>
      </c>
      <c r="CZ25">
        <f t="shared" si="93"/>
        <v>225.25</v>
      </c>
      <c r="DA25">
        <f t="shared" si="93"/>
        <v>248.98392857142855</v>
      </c>
    </row>
    <row r="26" spans="1:105" x14ac:dyDescent="0.35">
      <c r="A26" t="str">
        <f>Setup!A25</f>
        <v>Initial assessment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24.5</v>
      </c>
      <c r="M26">
        <f t="shared" si="4"/>
        <v>25.724999999999998</v>
      </c>
      <c r="N26">
        <f t="shared" si="5"/>
        <v>68.25</v>
      </c>
      <c r="O26">
        <f t="shared" si="6"/>
        <v>71.662499999999994</v>
      </c>
      <c r="P26">
        <f t="shared" si="7"/>
        <v>38</v>
      </c>
      <c r="Q26">
        <f t="shared" si="8"/>
        <v>50</v>
      </c>
      <c r="R26">
        <f t="shared" si="9"/>
        <v>10.857142857142856</v>
      </c>
      <c r="S26">
        <f t="shared" si="10"/>
        <v>14.285714285714285</v>
      </c>
      <c r="T26">
        <f t="shared" si="11"/>
        <v>48.857142857142854</v>
      </c>
      <c r="U26">
        <f t="shared" si="12"/>
        <v>64.285714285714278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181.75</v>
      </c>
      <c r="CW26">
        <f t="shared" si="91"/>
        <v>198.6875</v>
      </c>
      <c r="CX26">
        <f t="shared" si="91"/>
        <v>43.5</v>
      </c>
      <c r="CY26">
        <f t="shared" si="91"/>
        <v>50.296428571428571</v>
      </c>
      <c r="CZ26">
        <f t="shared" si="93"/>
        <v>225.25</v>
      </c>
      <c r="DA26">
        <f t="shared" si="93"/>
        <v>248.98392857142855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24.5</v>
      </c>
      <c r="M27">
        <f t="shared" si="4"/>
        <v>25.724999999999998</v>
      </c>
      <c r="N27">
        <f t="shared" si="5"/>
        <v>68.25</v>
      </c>
      <c r="O27">
        <f t="shared" si="6"/>
        <v>71.662499999999994</v>
      </c>
      <c r="P27">
        <f t="shared" si="7"/>
        <v>38</v>
      </c>
      <c r="Q27">
        <f t="shared" si="8"/>
        <v>50</v>
      </c>
      <c r="R27">
        <f t="shared" si="9"/>
        <v>10.857142857142856</v>
      </c>
      <c r="S27">
        <f t="shared" si="10"/>
        <v>14.285714285714285</v>
      </c>
      <c r="T27">
        <f t="shared" si="11"/>
        <v>48.857142857142854</v>
      </c>
      <c r="U27">
        <f t="shared" si="12"/>
        <v>64.285714285714278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181.75</v>
      </c>
      <c r="CW27">
        <f t="shared" si="91"/>
        <v>198.6875</v>
      </c>
      <c r="CX27">
        <f t="shared" si="91"/>
        <v>43.5</v>
      </c>
      <c r="CY27">
        <f t="shared" si="91"/>
        <v>50.296428571428571</v>
      </c>
      <c r="CZ27">
        <f t="shared" si="93"/>
        <v>225.25</v>
      </c>
      <c r="DA27">
        <f t="shared" si="93"/>
        <v>248.98392857142855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24.5</v>
      </c>
      <c r="M28">
        <f t="shared" si="4"/>
        <v>25.724999999999998</v>
      </c>
      <c r="N28">
        <f t="shared" si="5"/>
        <v>68.25</v>
      </c>
      <c r="O28">
        <f t="shared" si="6"/>
        <v>71.662499999999994</v>
      </c>
      <c r="P28">
        <f t="shared" si="7"/>
        <v>38</v>
      </c>
      <c r="Q28">
        <f t="shared" si="8"/>
        <v>50</v>
      </c>
      <c r="R28">
        <f t="shared" si="9"/>
        <v>10.857142857142856</v>
      </c>
      <c r="S28">
        <f t="shared" si="10"/>
        <v>14.285714285714285</v>
      </c>
      <c r="T28">
        <f t="shared" si="11"/>
        <v>48.857142857142854</v>
      </c>
      <c r="U28">
        <f t="shared" si="12"/>
        <v>64.285714285714278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181.75</v>
      </c>
      <c r="CW28">
        <f t="shared" si="91"/>
        <v>198.6875</v>
      </c>
      <c r="CX28">
        <f t="shared" si="91"/>
        <v>43.5</v>
      </c>
      <c r="CY28">
        <f t="shared" si="91"/>
        <v>50.296428571428571</v>
      </c>
      <c r="CZ28">
        <f t="shared" si="93"/>
        <v>225.25</v>
      </c>
      <c r="DA28">
        <f t="shared" si="93"/>
        <v>248.98392857142855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24.5</v>
      </c>
      <c r="M29">
        <f t="shared" si="4"/>
        <v>25.724999999999998</v>
      </c>
      <c r="N29">
        <f t="shared" si="5"/>
        <v>68.25</v>
      </c>
      <c r="O29">
        <f t="shared" si="6"/>
        <v>71.662499999999994</v>
      </c>
      <c r="P29">
        <f t="shared" si="7"/>
        <v>38</v>
      </c>
      <c r="Q29">
        <f t="shared" si="8"/>
        <v>50</v>
      </c>
      <c r="R29">
        <f t="shared" si="9"/>
        <v>10.857142857142856</v>
      </c>
      <c r="S29">
        <f t="shared" si="10"/>
        <v>14.285714285714285</v>
      </c>
      <c r="T29">
        <f t="shared" si="11"/>
        <v>48.857142857142854</v>
      </c>
      <c r="U29">
        <f t="shared" si="12"/>
        <v>64.285714285714278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181.75</v>
      </c>
      <c r="CW29">
        <f t="shared" si="91"/>
        <v>198.6875</v>
      </c>
      <c r="CX29">
        <f t="shared" si="91"/>
        <v>43.5</v>
      </c>
      <c r="CY29">
        <f t="shared" si="91"/>
        <v>50.296428571428571</v>
      </c>
      <c r="CZ29">
        <f t="shared" si="93"/>
        <v>225.25</v>
      </c>
      <c r="DA29">
        <f t="shared" si="93"/>
        <v>248.98392857142855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24.5</v>
      </c>
      <c r="M30">
        <f t="shared" si="4"/>
        <v>25.724999999999998</v>
      </c>
      <c r="N30">
        <f t="shared" si="5"/>
        <v>68.25</v>
      </c>
      <c r="O30">
        <f t="shared" si="6"/>
        <v>71.662499999999994</v>
      </c>
      <c r="P30">
        <f t="shared" si="7"/>
        <v>38</v>
      </c>
      <c r="Q30">
        <f t="shared" si="8"/>
        <v>50</v>
      </c>
      <c r="R30">
        <f t="shared" si="9"/>
        <v>10.857142857142856</v>
      </c>
      <c r="S30">
        <f t="shared" si="10"/>
        <v>14.285714285714285</v>
      </c>
      <c r="T30">
        <f t="shared" si="11"/>
        <v>48.857142857142854</v>
      </c>
      <c r="U30">
        <f t="shared" si="12"/>
        <v>64.285714285714278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181.75</v>
      </c>
      <c r="CW30">
        <f t="shared" si="91"/>
        <v>198.6875</v>
      </c>
      <c r="CX30">
        <f t="shared" si="91"/>
        <v>43.5</v>
      </c>
      <c r="CY30">
        <f t="shared" si="91"/>
        <v>50.296428571428571</v>
      </c>
      <c r="CZ30">
        <f t="shared" si="93"/>
        <v>225.25</v>
      </c>
      <c r="DA30">
        <f t="shared" si="93"/>
        <v>248.98392857142855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24.5</v>
      </c>
      <c r="M31">
        <f t="shared" si="4"/>
        <v>25.724999999999998</v>
      </c>
      <c r="N31">
        <f t="shared" si="5"/>
        <v>68.25</v>
      </c>
      <c r="O31">
        <f t="shared" si="6"/>
        <v>71.662499999999994</v>
      </c>
      <c r="P31">
        <f t="shared" si="7"/>
        <v>38</v>
      </c>
      <c r="Q31">
        <f t="shared" si="8"/>
        <v>50</v>
      </c>
      <c r="R31">
        <f t="shared" si="9"/>
        <v>10.857142857142856</v>
      </c>
      <c r="S31">
        <f t="shared" si="10"/>
        <v>14.285714285714285</v>
      </c>
      <c r="T31">
        <f t="shared" si="11"/>
        <v>48.857142857142854</v>
      </c>
      <c r="U31">
        <f t="shared" si="12"/>
        <v>64.285714285714278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181.75</v>
      </c>
      <c r="CW31">
        <f t="shared" si="91"/>
        <v>198.6875</v>
      </c>
      <c r="CX31">
        <f t="shared" si="91"/>
        <v>43.5</v>
      </c>
      <c r="CY31">
        <f t="shared" si="91"/>
        <v>50.296428571428571</v>
      </c>
      <c r="CZ31">
        <f t="shared" si="93"/>
        <v>225.25</v>
      </c>
      <c r="DA31">
        <f t="shared" si="93"/>
        <v>248.98392857142855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24.5</v>
      </c>
      <c r="M32">
        <f t="shared" si="4"/>
        <v>25.724999999999998</v>
      </c>
      <c r="N32">
        <f t="shared" si="5"/>
        <v>68.25</v>
      </c>
      <c r="O32">
        <f t="shared" si="6"/>
        <v>71.662499999999994</v>
      </c>
      <c r="P32">
        <f t="shared" si="7"/>
        <v>38</v>
      </c>
      <c r="Q32">
        <f t="shared" si="8"/>
        <v>50</v>
      </c>
      <c r="R32">
        <f t="shared" si="9"/>
        <v>10.857142857142856</v>
      </c>
      <c r="S32">
        <f t="shared" si="10"/>
        <v>14.285714285714285</v>
      </c>
      <c r="T32">
        <f t="shared" si="11"/>
        <v>48.857142857142854</v>
      </c>
      <c r="U32">
        <f t="shared" si="12"/>
        <v>64.285714285714278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181.75</v>
      </c>
      <c r="CW32">
        <f t="shared" si="91"/>
        <v>198.6875</v>
      </c>
      <c r="CX32">
        <f t="shared" si="91"/>
        <v>43.5</v>
      </c>
      <c r="CY32">
        <f t="shared" si="91"/>
        <v>50.296428571428571</v>
      </c>
      <c r="CZ32">
        <f t="shared" si="93"/>
        <v>225.25</v>
      </c>
      <c r="DA32">
        <f t="shared" si="93"/>
        <v>248.98392857142855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24.5</v>
      </c>
      <c r="M33">
        <f t="shared" si="4"/>
        <v>25.724999999999998</v>
      </c>
      <c r="N33">
        <f t="shared" si="5"/>
        <v>68.25</v>
      </c>
      <c r="O33">
        <f t="shared" si="6"/>
        <v>71.662499999999994</v>
      </c>
      <c r="P33">
        <f t="shared" si="7"/>
        <v>38</v>
      </c>
      <c r="Q33">
        <f t="shared" si="8"/>
        <v>50</v>
      </c>
      <c r="R33">
        <f t="shared" si="9"/>
        <v>10.857142857142856</v>
      </c>
      <c r="S33">
        <f t="shared" si="10"/>
        <v>14.285714285714285</v>
      </c>
      <c r="T33">
        <f t="shared" si="11"/>
        <v>48.857142857142854</v>
      </c>
      <c r="U33">
        <f t="shared" si="12"/>
        <v>64.285714285714278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181.75</v>
      </c>
      <c r="CW33">
        <f t="shared" si="91"/>
        <v>198.6875</v>
      </c>
      <c r="CX33">
        <f t="shared" si="91"/>
        <v>43.5</v>
      </c>
      <c r="CY33">
        <f t="shared" si="91"/>
        <v>50.296428571428571</v>
      </c>
      <c r="CZ33">
        <f t="shared" si="93"/>
        <v>225.25</v>
      </c>
      <c r="DA33">
        <f t="shared" si="93"/>
        <v>248.98392857142855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24.5</v>
      </c>
      <c r="M34">
        <f t="shared" si="4"/>
        <v>25.724999999999998</v>
      </c>
      <c r="N34">
        <f t="shared" si="5"/>
        <v>68.25</v>
      </c>
      <c r="O34">
        <f t="shared" si="6"/>
        <v>71.662499999999994</v>
      </c>
      <c r="P34">
        <f t="shared" si="7"/>
        <v>38</v>
      </c>
      <c r="Q34">
        <f t="shared" si="8"/>
        <v>50</v>
      </c>
      <c r="R34">
        <f t="shared" si="9"/>
        <v>10.857142857142856</v>
      </c>
      <c r="S34">
        <f t="shared" si="10"/>
        <v>14.285714285714285</v>
      </c>
      <c r="T34">
        <f t="shared" si="11"/>
        <v>48.857142857142854</v>
      </c>
      <c r="U34">
        <f t="shared" si="12"/>
        <v>64.285714285714278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181.75</v>
      </c>
      <c r="CW34">
        <f t="shared" si="91"/>
        <v>198.6875</v>
      </c>
      <c r="CX34">
        <f t="shared" si="91"/>
        <v>43.5</v>
      </c>
      <c r="CY34">
        <f t="shared" si="91"/>
        <v>50.296428571428571</v>
      </c>
      <c r="CZ34">
        <f t="shared" si="93"/>
        <v>225.25</v>
      </c>
      <c r="DA34">
        <f t="shared" si="93"/>
        <v>248.98392857142855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24.5</v>
      </c>
      <c r="M35">
        <f t="shared" si="4"/>
        <v>25.724999999999998</v>
      </c>
      <c r="N35">
        <f t="shared" si="5"/>
        <v>68.25</v>
      </c>
      <c r="O35">
        <f t="shared" si="6"/>
        <v>71.662499999999994</v>
      </c>
      <c r="P35">
        <f t="shared" si="7"/>
        <v>38</v>
      </c>
      <c r="Q35">
        <f t="shared" si="8"/>
        <v>50</v>
      </c>
      <c r="R35">
        <f t="shared" si="9"/>
        <v>10.857142857142856</v>
      </c>
      <c r="S35">
        <f t="shared" si="10"/>
        <v>14.285714285714285</v>
      </c>
      <c r="T35">
        <f t="shared" si="11"/>
        <v>48.857142857142854</v>
      </c>
      <c r="U35">
        <f t="shared" si="12"/>
        <v>64.285714285714278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181.75</v>
      </c>
      <c r="CW35">
        <f t="shared" si="91"/>
        <v>198.6875</v>
      </c>
      <c r="CX35">
        <f t="shared" si="91"/>
        <v>43.5</v>
      </c>
      <c r="CY35">
        <f t="shared" si="91"/>
        <v>50.296428571428571</v>
      </c>
      <c r="CZ35">
        <f t="shared" si="93"/>
        <v>225.25</v>
      </c>
      <c r="DA35">
        <f t="shared" si="93"/>
        <v>248.98392857142855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24.5</v>
      </c>
      <c r="M36">
        <f t="shared" si="4"/>
        <v>25.724999999999998</v>
      </c>
      <c r="N36">
        <f t="shared" si="5"/>
        <v>68.25</v>
      </c>
      <c r="O36">
        <f t="shared" si="6"/>
        <v>71.662499999999994</v>
      </c>
      <c r="P36">
        <f t="shared" si="7"/>
        <v>38</v>
      </c>
      <c r="Q36">
        <f t="shared" si="8"/>
        <v>50</v>
      </c>
      <c r="R36">
        <f t="shared" si="9"/>
        <v>10.857142857142856</v>
      </c>
      <c r="S36">
        <f t="shared" si="10"/>
        <v>14.285714285714285</v>
      </c>
      <c r="T36">
        <f t="shared" si="11"/>
        <v>48.857142857142854</v>
      </c>
      <c r="U36">
        <f t="shared" si="12"/>
        <v>64.285714285714278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181.75</v>
      </c>
      <c r="CW36">
        <f t="shared" si="91"/>
        <v>198.6875</v>
      </c>
      <c r="CX36">
        <f t="shared" si="91"/>
        <v>43.5</v>
      </c>
      <c r="CY36">
        <f t="shared" si="91"/>
        <v>50.296428571428571</v>
      </c>
      <c r="CZ36">
        <f t="shared" si="93"/>
        <v>225.25</v>
      </c>
      <c r="DA36">
        <f t="shared" si="93"/>
        <v>248.98392857142855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24.5</v>
      </c>
      <c r="M37">
        <f t="shared" si="4"/>
        <v>25.724999999999998</v>
      </c>
      <c r="N37">
        <f t="shared" si="5"/>
        <v>68.25</v>
      </c>
      <c r="O37">
        <f t="shared" si="6"/>
        <v>71.662499999999994</v>
      </c>
      <c r="P37">
        <f t="shared" si="7"/>
        <v>38</v>
      </c>
      <c r="Q37">
        <f t="shared" si="8"/>
        <v>50</v>
      </c>
      <c r="R37">
        <f t="shared" si="9"/>
        <v>10.857142857142856</v>
      </c>
      <c r="S37">
        <f t="shared" si="10"/>
        <v>14.285714285714285</v>
      </c>
      <c r="T37">
        <f t="shared" si="11"/>
        <v>48.857142857142854</v>
      </c>
      <c r="U37">
        <f t="shared" si="12"/>
        <v>64.285714285714278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181.75</v>
      </c>
      <c r="CW37">
        <f t="shared" si="91"/>
        <v>198.6875</v>
      </c>
      <c r="CX37">
        <f t="shared" si="91"/>
        <v>43.5</v>
      </c>
      <c r="CY37">
        <f t="shared" si="91"/>
        <v>50.296428571428571</v>
      </c>
      <c r="CZ37">
        <f t="shared" si="93"/>
        <v>225.25</v>
      </c>
      <c r="DA37">
        <f t="shared" si="93"/>
        <v>248.98392857142855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24.5</v>
      </c>
      <c r="M38">
        <f t="shared" si="4"/>
        <v>25.724999999999998</v>
      </c>
      <c r="N38">
        <f t="shared" si="5"/>
        <v>68.25</v>
      </c>
      <c r="O38">
        <f t="shared" si="6"/>
        <v>71.662499999999994</v>
      </c>
      <c r="P38">
        <f t="shared" si="7"/>
        <v>38</v>
      </c>
      <c r="Q38">
        <f t="shared" si="8"/>
        <v>50</v>
      </c>
      <c r="R38">
        <f t="shared" si="9"/>
        <v>10.857142857142856</v>
      </c>
      <c r="S38">
        <f t="shared" si="10"/>
        <v>14.285714285714285</v>
      </c>
      <c r="T38">
        <f t="shared" si="11"/>
        <v>48.857142857142854</v>
      </c>
      <c r="U38">
        <f t="shared" si="12"/>
        <v>64.285714285714278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181.75</v>
      </c>
      <c r="CW38">
        <f t="shared" si="91"/>
        <v>198.6875</v>
      </c>
      <c r="CX38">
        <f t="shared" si="91"/>
        <v>43.5</v>
      </c>
      <c r="CY38">
        <f t="shared" si="91"/>
        <v>50.296428571428571</v>
      </c>
      <c r="CZ38">
        <f t="shared" si="93"/>
        <v>225.25</v>
      </c>
      <c r="DA38">
        <f t="shared" si="93"/>
        <v>248.98392857142855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24.5</v>
      </c>
      <c r="M39">
        <f t="shared" si="4"/>
        <v>25.724999999999998</v>
      </c>
      <c r="N39">
        <f t="shared" si="5"/>
        <v>68.25</v>
      </c>
      <c r="O39">
        <f t="shared" si="6"/>
        <v>71.662499999999994</v>
      </c>
      <c r="P39">
        <f t="shared" si="7"/>
        <v>38</v>
      </c>
      <c r="Q39">
        <f t="shared" si="8"/>
        <v>50</v>
      </c>
      <c r="R39">
        <f t="shared" si="9"/>
        <v>10.857142857142856</v>
      </c>
      <c r="S39">
        <f t="shared" si="10"/>
        <v>14.285714285714285</v>
      </c>
      <c r="T39">
        <f t="shared" si="11"/>
        <v>48.857142857142854</v>
      </c>
      <c r="U39">
        <f t="shared" si="12"/>
        <v>64.285714285714278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181.75</v>
      </c>
      <c r="CW39">
        <f t="shared" si="91"/>
        <v>198.6875</v>
      </c>
      <c r="CX39">
        <f t="shared" si="91"/>
        <v>43.5</v>
      </c>
      <c r="CY39">
        <f t="shared" si="91"/>
        <v>50.296428571428571</v>
      </c>
      <c r="CZ39">
        <f t="shared" si="93"/>
        <v>225.25</v>
      </c>
      <c r="DA39">
        <f t="shared" si="93"/>
        <v>248.98392857142855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24.5</v>
      </c>
      <c r="M40">
        <f t="shared" si="4"/>
        <v>25.724999999999998</v>
      </c>
      <c r="N40">
        <f t="shared" si="5"/>
        <v>68.25</v>
      </c>
      <c r="O40">
        <f t="shared" si="6"/>
        <v>71.662499999999994</v>
      </c>
      <c r="P40">
        <f t="shared" si="7"/>
        <v>38</v>
      </c>
      <c r="Q40">
        <f t="shared" si="8"/>
        <v>50</v>
      </c>
      <c r="R40">
        <f t="shared" si="9"/>
        <v>10.857142857142856</v>
      </c>
      <c r="S40">
        <f t="shared" si="10"/>
        <v>14.285714285714285</v>
      </c>
      <c r="T40">
        <f t="shared" si="11"/>
        <v>48.857142857142854</v>
      </c>
      <c r="U40">
        <f t="shared" si="12"/>
        <v>64.285714285714278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181.75</v>
      </c>
      <c r="CW40">
        <f t="shared" si="91"/>
        <v>198.6875</v>
      </c>
      <c r="CX40">
        <f t="shared" si="91"/>
        <v>43.5</v>
      </c>
      <c r="CY40">
        <f t="shared" si="91"/>
        <v>50.296428571428571</v>
      </c>
      <c r="CZ40">
        <f t="shared" si="93"/>
        <v>225.25</v>
      </c>
      <c r="DA40">
        <f t="shared" si="93"/>
        <v>248.98392857142855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24.5</v>
      </c>
      <c r="M41">
        <f t="shared" si="4"/>
        <v>25.724999999999998</v>
      </c>
      <c r="N41">
        <f t="shared" si="5"/>
        <v>68.25</v>
      </c>
      <c r="O41">
        <f t="shared" si="6"/>
        <v>71.662499999999994</v>
      </c>
      <c r="P41">
        <f t="shared" si="7"/>
        <v>38</v>
      </c>
      <c r="Q41">
        <f t="shared" si="8"/>
        <v>50</v>
      </c>
      <c r="R41">
        <f t="shared" si="9"/>
        <v>10.857142857142856</v>
      </c>
      <c r="S41">
        <f t="shared" si="10"/>
        <v>14.285714285714285</v>
      </c>
      <c r="T41">
        <f t="shared" si="11"/>
        <v>48.857142857142854</v>
      </c>
      <c r="U41">
        <f t="shared" si="12"/>
        <v>64.285714285714278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181.75</v>
      </c>
      <c r="CW41">
        <f t="shared" si="91"/>
        <v>198.6875</v>
      </c>
      <c r="CX41">
        <f t="shared" si="91"/>
        <v>43.5</v>
      </c>
      <c r="CY41">
        <f t="shared" si="91"/>
        <v>50.296428571428571</v>
      </c>
      <c r="CZ41">
        <f t="shared" si="93"/>
        <v>225.25</v>
      </c>
      <c r="DA41">
        <f t="shared" si="93"/>
        <v>248.98392857142855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24.5</v>
      </c>
      <c r="M42">
        <f t="shared" si="4"/>
        <v>25.724999999999998</v>
      </c>
      <c r="N42">
        <f t="shared" si="5"/>
        <v>68.25</v>
      </c>
      <c r="O42">
        <f t="shared" si="6"/>
        <v>71.662499999999994</v>
      </c>
      <c r="P42">
        <f t="shared" si="7"/>
        <v>38</v>
      </c>
      <c r="Q42">
        <f t="shared" si="8"/>
        <v>50</v>
      </c>
      <c r="R42">
        <f t="shared" si="9"/>
        <v>10.857142857142856</v>
      </c>
      <c r="S42">
        <f t="shared" si="10"/>
        <v>14.285714285714285</v>
      </c>
      <c r="T42">
        <f t="shared" si="11"/>
        <v>48.857142857142854</v>
      </c>
      <c r="U42">
        <f t="shared" si="12"/>
        <v>64.285714285714278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181.75</v>
      </c>
      <c r="CW42">
        <f t="shared" si="91"/>
        <v>198.6875</v>
      </c>
      <c r="CX42">
        <f t="shared" si="91"/>
        <v>43.5</v>
      </c>
      <c r="CY42">
        <f t="shared" si="91"/>
        <v>50.296428571428571</v>
      </c>
      <c r="CZ42">
        <f t="shared" si="93"/>
        <v>225.25</v>
      </c>
      <c r="DA42">
        <f t="shared" si="93"/>
        <v>248.98392857142855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24.5</v>
      </c>
      <c r="M43">
        <f t="shared" si="4"/>
        <v>25.724999999999998</v>
      </c>
      <c r="N43">
        <f t="shared" si="5"/>
        <v>68.25</v>
      </c>
      <c r="O43">
        <f t="shared" si="6"/>
        <v>71.662499999999994</v>
      </c>
      <c r="P43">
        <f t="shared" si="7"/>
        <v>38</v>
      </c>
      <c r="Q43">
        <f t="shared" si="8"/>
        <v>50</v>
      </c>
      <c r="R43">
        <f t="shared" si="9"/>
        <v>10.857142857142856</v>
      </c>
      <c r="S43">
        <f t="shared" si="10"/>
        <v>14.285714285714285</v>
      </c>
      <c r="T43">
        <f t="shared" si="11"/>
        <v>48.857142857142854</v>
      </c>
      <c r="U43">
        <f t="shared" si="12"/>
        <v>64.285714285714278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181.75</v>
      </c>
      <c r="CW43">
        <f t="shared" si="91"/>
        <v>198.6875</v>
      </c>
      <c r="CX43">
        <f t="shared" si="91"/>
        <v>43.5</v>
      </c>
      <c r="CY43">
        <f t="shared" si="91"/>
        <v>50.296428571428571</v>
      </c>
      <c r="CZ43">
        <f t="shared" si="93"/>
        <v>225.25</v>
      </c>
      <c r="DA43">
        <f t="shared" si="93"/>
        <v>248.98392857142855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24.5</v>
      </c>
      <c r="M44">
        <f t="shared" si="4"/>
        <v>25.724999999999998</v>
      </c>
      <c r="N44">
        <f t="shared" si="5"/>
        <v>68.25</v>
      </c>
      <c r="O44">
        <f t="shared" si="6"/>
        <v>71.662499999999994</v>
      </c>
      <c r="P44">
        <f t="shared" si="7"/>
        <v>38</v>
      </c>
      <c r="Q44">
        <f t="shared" si="8"/>
        <v>50</v>
      </c>
      <c r="R44">
        <f t="shared" si="9"/>
        <v>10.857142857142856</v>
      </c>
      <c r="S44">
        <f t="shared" si="10"/>
        <v>14.285714285714285</v>
      </c>
      <c r="T44">
        <f t="shared" si="11"/>
        <v>48.857142857142854</v>
      </c>
      <c r="U44">
        <f t="shared" si="12"/>
        <v>64.285714285714278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181.75</v>
      </c>
      <c r="CW44">
        <f t="shared" si="91"/>
        <v>198.6875</v>
      </c>
      <c r="CX44">
        <f t="shared" si="91"/>
        <v>43.5</v>
      </c>
      <c r="CY44">
        <f t="shared" si="91"/>
        <v>50.296428571428571</v>
      </c>
      <c r="CZ44">
        <f t="shared" si="93"/>
        <v>225.25</v>
      </c>
      <c r="DA44">
        <f t="shared" si="93"/>
        <v>248.98392857142855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24.5</v>
      </c>
      <c r="M45">
        <f t="shared" si="4"/>
        <v>25.724999999999998</v>
      </c>
      <c r="N45">
        <f t="shared" si="5"/>
        <v>68.25</v>
      </c>
      <c r="O45">
        <f t="shared" si="6"/>
        <v>71.662499999999994</v>
      </c>
      <c r="P45">
        <f t="shared" si="7"/>
        <v>38</v>
      </c>
      <c r="Q45">
        <f t="shared" si="8"/>
        <v>50</v>
      </c>
      <c r="R45">
        <f t="shared" si="9"/>
        <v>10.857142857142856</v>
      </c>
      <c r="S45">
        <f t="shared" si="10"/>
        <v>14.285714285714285</v>
      </c>
      <c r="T45">
        <f t="shared" si="11"/>
        <v>48.857142857142854</v>
      </c>
      <c r="U45">
        <f t="shared" si="12"/>
        <v>64.285714285714278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181.75</v>
      </c>
      <c r="CW45">
        <f t="shared" si="91"/>
        <v>198.6875</v>
      </c>
      <c r="CX45">
        <f t="shared" si="91"/>
        <v>43.5</v>
      </c>
      <c r="CY45">
        <f t="shared" si="91"/>
        <v>50.296428571428571</v>
      </c>
      <c r="CZ45">
        <f t="shared" si="93"/>
        <v>225.25</v>
      </c>
      <c r="DA45">
        <f t="shared" si="93"/>
        <v>248.98392857142855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24.5</v>
      </c>
      <c r="M46">
        <f t="shared" si="4"/>
        <v>25.724999999999998</v>
      </c>
      <c r="N46">
        <f t="shared" si="5"/>
        <v>68.25</v>
      </c>
      <c r="O46">
        <f t="shared" si="6"/>
        <v>71.662499999999994</v>
      </c>
      <c r="P46">
        <f t="shared" si="7"/>
        <v>38</v>
      </c>
      <c r="Q46">
        <f t="shared" si="8"/>
        <v>50</v>
      </c>
      <c r="R46">
        <f t="shared" si="9"/>
        <v>10.857142857142856</v>
      </c>
      <c r="S46">
        <f t="shared" si="10"/>
        <v>14.285714285714285</v>
      </c>
      <c r="T46">
        <f t="shared" si="11"/>
        <v>48.857142857142854</v>
      </c>
      <c r="U46">
        <f t="shared" si="12"/>
        <v>64.285714285714278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181.75</v>
      </c>
      <c r="CW46">
        <f t="shared" si="91"/>
        <v>198.6875</v>
      </c>
      <c r="CX46">
        <f t="shared" si="91"/>
        <v>43.5</v>
      </c>
      <c r="CY46">
        <f t="shared" si="91"/>
        <v>50.296428571428571</v>
      </c>
      <c r="CZ46">
        <f t="shared" si="93"/>
        <v>225.25</v>
      </c>
      <c r="DA46">
        <f t="shared" si="93"/>
        <v>248.98392857142855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24.5</v>
      </c>
      <c r="M47">
        <f t="shared" si="4"/>
        <v>25.724999999999998</v>
      </c>
      <c r="N47">
        <f t="shared" si="5"/>
        <v>68.25</v>
      </c>
      <c r="O47">
        <f t="shared" si="6"/>
        <v>71.662499999999994</v>
      </c>
      <c r="P47">
        <f t="shared" si="7"/>
        <v>38</v>
      </c>
      <c r="Q47">
        <f t="shared" si="8"/>
        <v>50</v>
      </c>
      <c r="R47">
        <f t="shared" si="9"/>
        <v>10.857142857142856</v>
      </c>
      <c r="S47">
        <f t="shared" si="10"/>
        <v>14.285714285714285</v>
      </c>
      <c r="T47">
        <f t="shared" si="11"/>
        <v>48.857142857142854</v>
      </c>
      <c r="U47">
        <f t="shared" si="12"/>
        <v>64.285714285714278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181.75</v>
      </c>
      <c r="CW47">
        <f t="shared" si="91"/>
        <v>198.6875</v>
      </c>
      <c r="CX47">
        <f t="shared" si="91"/>
        <v>43.5</v>
      </c>
      <c r="CY47">
        <f t="shared" si="91"/>
        <v>50.296428571428571</v>
      </c>
      <c r="CZ47">
        <f t="shared" si="93"/>
        <v>225.25</v>
      </c>
      <c r="DA47">
        <f t="shared" si="93"/>
        <v>248.98392857142855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24.5</v>
      </c>
      <c r="M48">
        <f t="shared" si="4"/>
        <v>25.724999999999998</v>
      </c>
      <c r="N48">
        <f t="shared" si="5"/>
        <v>68.25</v>
      </c>
      <c r="O48">
        <f t="shared" si="6"/>
        <v>71.662499999999994</v>
      </c>
      <c r="P48">
        <f t="shared" si="7"/>
        <v>38</v>
      </c>
      <c r="Q48">
        <f t="shared" si="8"/>
        <v>50</v>
      </c>
      <c r="R48">
        <f t="shared" si="9"/>
        <v>10.857142857142856</v>
      </c>
      <c r="S48">
        <f t="shared" si="10"/>
        <v>14.285714285714285</v>
      </c>
      <c r="T48">
        <f t="shared" si="11"/>
        <v>48.857142857142854</v>
      </c>
      <c r="U48">
        <f t="shared" si="12"/>
        <v>64.285714285714278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181.75</v>
      </c>
      <c r="CW48">
        <f t="shared" si="91"/>
        <v>198.6875</v>
      </c>
      <c r="CX48">
        <f t="shared" si="91"/>
        <v>43.5</v>
      </c>
      <c r="CY48">
        <f t="shared" si="91"/>
        <v>50.296428571428571</v>
      </c>
      <c r="CZ48">
        <f t="shared" si="93"/>
        <v>225.25</v>
      </c>
      <c r="DA48">
        <f t="shared" si="93"/>
        <v>248.98392857142855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24.5</v>
      </c>
      <c r="M49">
        <f t="shared" si="4"/>
        <v>25.724999999999998</v>
      </c>
      <c r="N49">
        <f t="shared" si="5"/>
        <v>68.25</v>
      </c>
      <c r="O49">
        <f t="shared" si="6"/>
        <v>71.662499999999994</v>
      </c>
      <c r="P49">
        <f t="shared" si="7"/>
        <v>38</v>
      </c>
      <c r="Q49">
        <f t="shared" si="8"/>
        <v>50</v>
      </c>
      <c r="R49">
        <f t="shared" si="9"/>
        <v>10.857142857142856</v>
      </c>
      <c r="S49">
        <f t="shared" si="10"/>
        <v>14.285714285714285</v>
      </c>
      <c r="T49">
        <f t="shared" si="11"/>
        <v>48.857142857142854</v>
      </c>
      <c r="U49">
        <f t="shared" si="12"/>
        <v>64.285714285714278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181.75</v>
      </c>
      <c r="CW49">
        <f t="shared" si="91"/>
        <v>198.6875</v>
      </c>
      <c r="CX49">
        <f t="shared" si="91"/>
        <v>43.5</v>
      </c>
      <c r="CY49">
        <f t="shared" si="91"/>
        <v>50.296428571428571</v>
      </c>
      <c r="CZ49">
        <f t="shared" si="93"/>
        <v>225.25</v>
      </c>
      <c r="DA49">
        <f t="shared" si="93"/>
        <v>248.98392857142855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24.5</v>
      </c>
      <c r="M50">
        <f t="shared" si="4"/>
        <v>25.724999999999998</v>
      </c>
      <c r="N50">
        <f t="shared" si="5"/>
        <v>68.25</v>
      </c>
      <c r="O50">
        <f t="shared" si="6"/>
        <v>71.662499999999994</v>
      </c>
      <c r="P50">
        <f t="shared" si="7"/>
        <v>38</v>
      </c>
      <c r="Q50">
        <f t="shared" si="8"/>
        <v>50</v>
      </c>
      <c r="R50">
        <f t="shared" si="9"/>
        <v>10.857142857142856</v>
      </c>
      <c r="S50">
        <f t="shared" si="10"/>
        <v>14.285714285714285</v>
      </c>
      <c r="T50">
        <f t="shared" si="11"/>
        <v>48.857142857142854</v>
      </c>
      <c r="U50">
        <f t="shared" si="12"/>
        <v>64.285714285714278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181.75</v>
      </c>
      <c r="CW50">
        <f t="shared" si="91"/>
        <v>198.6875</v>
      </c>
      <c r="CX50">
        <f t="shared" si="91"/>
        <v>43.5</v>
      </c>
      <c r="CY50">
        <f t="shared" si="91"/>
        <v>50.296428571428571</v>
      </c>
      <c r="CZ50">
        <f t="shared" si="93"/>
        <v>225.25</v>
      </c>
      <c r="DA50">
        <f t="shared" si="93"/>
        <v>248.98392857142855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24.5</v>
      </c>
      <c r="M51">
        <f t="shared" si="4"/>
        <v>25.724999999999998</v>
      </c>
      <c r="N51">
        <f t="shared" si="5"/>
        <v>68.25</v>
      </c>
      <c r="O51">
        <f t="shared" si="6"/>
        <v>71.662499999999994</v>
      </c>
      <c r="P51">
        <f t="shared" si="7"/>
        <v>38</v>
      </c>
      <c r="Q51">
        <f t="shared" si="8"/>
        <v>50</v>
      </c>
      <c r="R51">
        <f t="shared" si="9"/>
        <v>10.857142857142856</v>
      </c>
      <c r="S51">
        <f t="shared" si="10"/>
        <v>14.285714285714285</v>
      </c>
      <c r="T51">
        <f t="shared" si="11"/>
        <v>48.857142857142854</v>
      </c>
      <c r="U51">
        <f t="shared" si="12"/>
        <v>64.285714285714278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181.75</v>
      </c>
      <c r="CW51">
        <f t="shared" si="91"/>
        <v>198.6875</v>
      </c>
      <c r="CX51">
        <f t="shared" si="91"/>
        <v>43.5</v>
      </c>
      <c r="CY51">
        <f t="shared" si="91"/>
        <v>50.296428571428571</v>
      </c>
      <c r="CZ51">
        <f t="shared" si="93"/>
        <v>225.25</v>
      </c>
      <c r="DA51">
        <f t="shared" si="93"/>
        <v>248.98392857142855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24.5</v>
      </c>
      <c r="M52">
        <f t="shared" si="4"/>
        <v>25.724999999999998</v>
      </c>
      <c r="N52">
        <f t="shared" si="5"/>
        <v>68.25</v>
      </c>
      <c r="O52">
        <f t="shared" si="6"/>
        <v>71.662499999999994</v>
      </c>
      <c r="P52">
        <f t="shared" si="7"/>
        <v>38</v>
      </c>
      <c r="Q52">
        <f t="shared" si="8"/>
        <v>50</v>
      </c>
      <c r="R52">
        <f t="shared" si="9"/>
        <v>10.857142857142856</v>
      </c>
      <c r="S52">
        <f t="shared" si="10"/>
        <v>14.285714285714285</v>
      </c>
      <c r="T52">
        <f t="shared" si="11"/>
        <v>48.857142857142854</v>
      </c>
      <c r="U52">
        <f t="shared" si="12"/>
        <v>64.285714285714278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181.75</v>
      </c>
      <c r="CW52">
        <f t="shared" si="91"/>
        <v>198.6875</v>
      </c>
      <c r="CX52">
        <f t="shared" si="91"/>
        <v>43.5</v>
      </c>
      <c r="CY52">
        <f t="shared" si="91"/>
        <v>50.296428571428571</v>
      </c>
      <c r="CZ52">
        <f t="shared" si="93"/>
        <v>225.25</v>
      </c>
      <c r="DA52">
        <f t="shared" si="93"/>
        <v>248.98392857142855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24.5</v>
      </c>
      <c r="M53">
        <f t="shared" si="4"/>
        <v>25.724999999999998</v>
      </c>
      <c r="N53">
        <f t="shared" si="5"/>
        <v>68.25</v>
      </c>
      <c r="O53">
        <f t="shared" si="6"/>
        <v>71.662499999999994</v>
      </c>
      <c r="P53">
        <f t="shared" si="7"/>
        <v>38</v>
      </c>
      <c r="Q53">
        <f t="shared" si="8"/>
        <v>50</v>
      </c>
      <c r="R53">
        <f t="shared" si="9"/>
        <v>10.857142857142856</v>
      </c>
      <c r="S53">
        <f t="shared" si="10"/>
        <v>14.285714285714285</v>
      </c>
      <c r="T53">
        <f t="shared" si="11"/>
        <v>48.857142857142854</v>
      </c>
      <c r="U53">
        <f t="shared" si="12"/>
        <v>64.285714285714278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181.75</v>
      </c>
      <c r="CW53">
        <f t="shared" si="91"/>
        <v>198.6875</v>
      </c>
      <c r="CX53">
        <f t="shared" si="91"/>
        <v>43.5</v>
      </c>
      <c r="CY53">
        <f t="shared" si="91"/>
        <v>50.296428571428571</v>
      </c>
      <c r="CZ53">
        <f t="shared" si="93"/>
        <v>225.25</v>
      </c>
      <c r="DA53">
        <f t="shared" si="93"/>
        <v>248.98392857142855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24.5</v>
      </c>
      <c r="M54">
        <f t="shared" si="4"/>
        <v>25.724999999999998</v>
      </c>
      <c r="N54">
        <f t="shared" si="5"/>
        <v>68.25</v>
      </c>
      <c r="O54">
        <f t="shared" si="6"/>
        <v>71.662499999999994</v>
      </c>
      <c r="P54">
        <f t="shared" si="7"/>
        <v>38</v>
      </c>
      <c r="Q54">
        <f t="shared" si="8"/>
        <v>50</v>
      </c>
      <c r="R54">
        <f t="shared" si="9"/>
        <v>10.857142857142856</v>
      </c>
      <c r="S54">
        <f t="shared" si="10"/>
        <v>14.285714285714285</v>
      </c>
      <c r="T54">
        <f t="shared" si="11"/>
        <v>48.857142857142854</v>
      </c>
      <c r="U54">
        <f t="shared" si="12"/>
        <v>64.285714285714278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181.75</v>
      </c>
      <c r="CW54">
        <f t="shared" si="91"/>
        <v>198.6875</v>
      </c>
      <c r="CX54">
        <f t="shared" si="91"/>
        <v>43.5</v>
      </c>
      <c r="CY54">
        <f t="shared" si="91"/>
        <v>50.296428571428571</v>
      </c>
      <c r="CZ54">
        <f t="shared" si="93"/>
        <v>225.25</v>
      </c>
      <c r="DA54">
        <f t="shared" si="93"/>
        <v>248.98392857142855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24.5</v>
      </c>
      <c r="M55">
        <f t="shared" si="4"/>
        <v>25.724999999999998</v>
      </c>
      <c r="N55">
        <f t="shared" si="5"/>
        <v>68.25</v>
      </c>
      <c r="O55">
        <f t="shared" si="6"/>
        <v>71.662499999999994</v>
      </c>
      <c r="P55">
        <f t="shared" si="7"/>
        <v>38</v>
      </c>
      <c r="Q55">
        <f t="shared" si="8"/>
        <v>50</v>
      </c>
      <c r="R55">
        <f t="shared" si="9"/>
        <v>10.857142857142856</v>
      </c>
      <c r="S55">
        <f t="shared" si="10"/>
        <v>14.285714285714285</v>
      </c>
      <c r="T55">
        <f t="shared" si="11"/>
        <v>48.857142857142854</v>
      </c>
      <c r="U55">
        <f t="shared" si="12"/>
        <v>64.285714285714278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181.75</v>
      </c>
      <c r="CW55">
        <f t="shared" si="91"/>
        <v>198.6875</v>
      </c>
      <c r="CX55">
        <f t="shared" si="91"/>
        <v>43.5</v>
      </c>
      <c r="CY55">
        <f t="shared" si="91"/>
        <v>50.296428571428571</v>
      </c>
      <c r="CZ55">
        <f t="shared" si="93"/>
        <v>225.25</v>
      </c>
      <c r="DA55">
        <f t="shared" si="93"/>
        <v>248.98392857142855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24.5</v>
      </c>
      <c r="M56">
        <f t="shared" si="4"/>
        <v>25.724999999999998</v>
      </c>
      <c r="N56">
        <f t="shared" si="5"/>
        <v>68.25</v>
      </c>
      <c r="O56">
        <f t="shared" si="6"/>
        <v>71.662499999999994</v>
      </c>
      <c r="P56">
        <f t="shared" si="7"/>
        <v>38</v>
      </c>
      <c r="Q56">
        <f t="shared" si="8"/>
        <v>50</v>
      </c>
      <c r="R56">
        <f t="shared" si="9"/>
        <v>10.857142857142856</v>
      </c>
      <c r="S56">
        <f t="shared" si="10"/>
        <v>14.285714285714285</v>
      </c>
      <c r="T56">
        <f t="shared" si="11"/>
        <v>48.857142857142854</v>
      </c>
      <c r="U56">
        <f t="shared" si="12"/>
        <v>64.285714285714278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181.75</v>
      </c>
      <c r="CW56">
        <f t="shared" si="91"/>
        <v>198.6875</v>
      </c>
      <c r="CX56">
        <f t="shared" si="91"/>
        <v>43.5</v>
      </c>
      <c r="CY56">
        <f t="shared" si="91"/>
        <v>50.296428571428571</v>
      </c>
      <c r="CZ56">
        <f t="shared" si="93"/>
        <v>225.25</v>
      </c>
      <c r="DA56">
        <f t="shared" si="93"/>
        <v>248.98392857142855</v>
      </c>
    </row>
    <row r="58" spans="8:105" x14ac:dyDescent="0.35">
      <c r="H58" t="s">
        <v>127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128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24.5</v>
      </c>
      <c r="M59" s="5">
        <f t="shared" ref="M59" si="97">AVERAGE(M5:M56)-L59</f>
        <v>1.2249999999999908</v>
      </c>
      <c r="N59" s="5">
        <f t="shared" ref="N59" si="98">AVERAGE(N5:N56)</f>
        <v>68.25</v>
      </c>
      <c r="O59" s="5">
        <f t="shared" ref="O59" si="99">AVERAGE(O5:O56)-N59</f>
        <v>3.4124999999999375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10.857142857142851</v>
      </c>
      <c r="S59" s="5">
        <f t="shared" ref="S59" si="103">AVERAGE(S5:S56)-R59</f>
        <v>3.4285714285714466</v>
      </c>
      <c r="T59" s="5">
        <f t="shared" ref="T59" si="104">AVERAGE(T5:T56)</f>
        <v>48.85714285714284</v>
      </c>
      <c r="U59" s="5">
        <f t="shared" ref="U59" si="105">AVERAGE(U5:U56)-T59</f>
        <v>15.428571428571395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70</v>
      </c>
      <c r="AC59" s="5">
        <f t="shared" ref="AC59" si="113">AVERAGE(AC5:AC56)-AB59</f>
        <v>1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70</v>
      </c>
      <c r="AG59" s="5">
        <f t="shared" ref="AG59" si="117">AVERAGE(AG5:AG56)-AF59</f>
        <v>1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129</v>
      </c>
      <c r="I62" s="14"/>
      <c r="J62" s="5" t="s">
        <v>59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68.25</v>
      </c>
      <c r="K63" s="5" cm="1">
        <f t="array" ref="K63">INDEX($J$59:$DA$60,1,MATCH(1,($I63=$J$1:$CU$1)*($K$62=$J$58:$CU$58)*(Planning!$M$2=$J$2:$CU$2),0))</f>
        <v>3.4124999999999375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48.85714285714284</v>
      </c>
      <c r="K64" s="5" cm="1">
        <f t="array" ref="K64">INDEX($J$59:$DA$60,1,MATCH(1,($I64=$J$1:$CU$1)*($K$62=$J$58:$CU$58)*(Planning!$M$2=$J$2:$CU$2),0))</f>
        <v>15.428571428571395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Initial assessment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109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163</v>
      </c>
      <c r="C81" t="s">
        <v>164</v>
      </c>
      <c r="D81" t="s">
        <v>52</v>
      </c>
      <c r="E81" t="s">
        <v>50</v>
      </c>
      <c r="F81" t="s">
        <v>63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IF(Planning!D63="",'Planning Backing (Hide)'!B82,Planning!D63)</f>
        <v>0</v>
      </c>
      <c r="E82">
        <f>IF(Planning!E63="",'Planning Backing (Hide)'!C82,Planning!E63)</f>
        <v>26.666666666666679</v>
      </c>
      <c r="F82">
        <f>SUM(D82:E82)</f>
        <v>26.666666666666679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IF(Planning!D64="",'Planning Backing (Hide)'!B83,Planning!D64)</f>
        <v>0</v>
      </c>
      <c r="E83">
        <f>IF(Planning!E64="",'Planning Backing (Hide)'!C83,Planning!E64)</f>
        <v>26.666666666666679</v>
      </c>
      <c r="F83">
        <f t="shared" ref="F83:F96" si="184">SUM(D83:E83)</f>
        <v>26.666666666666679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IF(Planning!D65="",'Planning Backing (Hide)'!B84,Planning!D65)</f>
        <v>0</v>
      </c>
      <c r="E84">
        <f>IF(Planning!E65="",'Planning Backing (Hide)'!C84,Planning!E65)</f>
        <v>26.666666666666679</v>
      </c>
      <c r="F84">
        <f t="shared" si="184"/>
        <v>26.666666666666679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30</v>
      </c>
      <c r="E85">
        <f>IF(Planning!E66="",'Planning Backing (Hide)'!C85,Planning!E66)</f>
        <v>0</v>
      </c>
      <c r="F85">
        <f t="shared" si="184"/>
        <v>30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30</v>
      </c>
      <c r="E86">
        <f>IF(Planning!E67="",'Planning Backing (Hide)'!C86,Planning!E67)</f>
        <v>0</v>
      </c>
      <c r="F86">
        <f t="shared" si="184"/>
        <v>30</v>
      </c>
    </row>
    <row r="87" spans="1:6" hidden="1" x14ac:dyDescent="0.35">
      <c r="A87" t="str">
        <f>Setup!A25</f>
        <v>Initial assessment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56</v>
      </c>
    </row>
    <row r="100" spans="1:9" x14ac:dyDescent="0.35">
      <c r="A100" t="str">
        <f>Service!B4</f>
        <v>20 Group Sessions</v>
      </c>
      <c r="B100" t="str">
        <f>Service!C4</f>
        <v>GS</v>
      </c>
      <c r="C100">
        <f>Service!D4</f>
        <v>420</v>
      </c>
      <c r="D100" cm="1">
        <f t="array" ref="D100">IFERROR(INDEX(Planning!$D$44:$D$58,MATCH(1,(Planning!$A$44:$A$58='Planning Backing (Hide)'!A100)*(Planning!$B$44:$B$58='Planning Backing (Hide)'!B100),0),1),Service!E4)</f>
        <v>10</v>
      </c>
      <c r="E100" t="str">
        <f>Service!F4</f>
        <v>Once a week</v>
      </c>
      <c r="F100">
        <f>Service!G4</f>
        <v>1</v>
      </c>
      <c r="G100">
        <f>C100/D100*F100</f>
        <v>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42</v>
      </c>
    </row>
    <row r="101" spans="1:9" x14ac:dyDescent="0.35">
      <c r="A101" t="str">
        <f>Service!B5</f>
        <v>20 Group Sessions</v>
      </c>
      <c r="B101" t="str">
        <f>Service!C5</f>
        <v>Ind</v>
      </c>
      <c r="C101">
        <f>Service!D5</f>
        <v>15</v>
      </c>
      <c r="D101" cm="1">
        <f t="array" ref="D101">IFERROR(INDEX(Planning!$D$44:$D$58,MATCH(1,(Planning!$A$44:$A$58='Planning Backing (Hide)'!A101)*(Planning!$B$44:$B$58='Planning Backing (Hide)'!B101),0),1),Service!E5)</f>
        <v>1</v>
      </c>
      <c r="E101" t="str">
        <f>Service!F5</f>
        <v>Daily (Weekdays)</v>
      </c>
      <c r="F101">
        <f>Service!G5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Service!B6</f>
        <v>20 Group Sessions</v>
      </c>
      <c r="B102">
        <f>Service!C6</f>
        <v>0</v>
      </c>
      <c r="C102">
        <f>Service!D6</f>
        <v>0</v>
      </c>
      <c r="D102" cm="1">
        <f t="array" ref="D102">IFERROR(INDEX(Planning!$D$44:$D$58,MATCH(1,(Planning!$A$44:$A$58='Planning Backing (Hide)'!A102)*(Planning!$B$44:$B$58='Planning Backing (Hide)'!B102),0),1),Service!E6)</f>
        <v>0</v>
      </c>
      <c r="E102">
        <f>Service!F6</f>
        <v>0</v>
      </c>
      <c r="F102" t="e">
        <f>Service!G6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Service!B7</f>
        <v>20 Group Sessions</v>
      </c>
      <c r="B103">
        <f>Service!C7</f>
        <v>0</v>
      </c>
      <c r="C103">
        <f>Service!D7</f>
        <v>0</v>
      </c>
      <c r="D103" cm="1">
        <f t="array" ref="D103">IFERROR(INDEX(Planning!$D$44:$D$58,MATCH(1,(Planning!$A$44:$A$58='Planning Backing (Hide)'!A103)*(Planning!$B$44:$B$58='Planning Backing (Hide)'!B103),0),1),Service!E7)</f>
        <v>0</v>
      </c>
      <c r="E103">
        <f>Service!F7</f>
        <v>0</v>
      </c>
      <c r="F103" t="e">
        <f>Service!G7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Service!B8</f>
        <v>20 Group Sessions</v>
      </c>
      <c r="B104">
        <f>Service!C8</f>
        <v>0</v>
      </c>
      <c r="C104">
        <f>Service!D8</f>
        <v>0</v>
      </c>
      <c r="D104" cm="1">
        <f t="array" ref="D104">IFERROR(INDEX(Planning!$D$44:$D$58,MATCH(1,(Planning!$A$44:$A$58='Planning Backing (Hide)'!A104)*(Planning!$B$44:$B$58='Planning Backing (Hide)'!B104),0),1),Service!E8)</f>
        <v>0</v>
      </c>
      <c r="E104">
        <f>Service!F8</f>
        <v>0</v>
      </c>
      <c r="F104" t="e">
        <f>Service!G8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Service!B9</f>
        <v>40 Group Session</v>
      </c>
      <c r="B105" t="str">
        <f>Service!C9</f>
        <v>gs</v>
      </c>
      <c r="C105">
        <f>Service!D9</f>
        <v>240</v>
      </c>
      <c r="D105" cm="1">
        <f t="array" ref="D105">IFERROR(INDEX(Planning!$D$44:$D$58,MATCH(1,(Planning!$A$44:$A$58='Planning Backing (Hide)'!A105)*(Planning!$B$44:$B$58='Planning Backing (Hide)'!B105),0),1),Service!E9)</f>
        <v>7</v>
      </c>
      <c r="E105" t="str">
        <f>Service!F9</f>
        <v>Once a week</v>
      </c>
      <c r="F105">
        <f>Service!G9</f>
        <v>1</v>
      </c>
      <c r="G105">
        <f t="shared" si="185"/>
        <v>34.285714285714285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34.285714285714285</v>
      </c>
    </row>
    <row r="106" spans="1:9" x14ac:dyDescent="0.35">
      <c r="A106" t="str">
        <f>Service!B10</f>
        <v>40 Group Session</v>
      </c>
      <c r="B106" t="str">
        <f>Service!C10</f>
        <v>ind</v>
      </c>
      <c r="C106">
        <f>Service!D10</f>
        <v>120</v>
      </c>
      <c r="D106" cm="1">
        <f t="array" ref="D106">IFERROR(INDEX(Planning!$D$44:$D$58,MATCH(1,(Planning!$A$44:$A$58='Planning Backing (Hide)'!A106)*(Planning!$B$44:$B$58='Planning Backing (Hide)'!B106),0),1),Service!E10)</f>
        <v>1</v>
      </c>
      <c r="E106" t="str">
        <f>Service!F10</f>
        <v>Once a week</v>
      </c>
      <c r="F106">
        <f>Service!G10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Service!B11</f>
        <v>40 Group Session</v>
      </c>
      <c r="B107">
        <f>Service!C11</f>
        <v>0</v>
      </c>
      <c r="C107">
        <f>Service!D11</f>
        <v>0</v>
      </c>
      <c r="D107" cm="1">
        <f t="array" ref="D107">IFERROR(INDEX(Planning!$D$44:$D$58,MATCH(1,(Planning!$A$44:$A$58='Planning Backing (Hide)'!A107)*(Planning!$B$44:$B$58='Planning Backing (Hide)'!B107),0),1),Service!E11)</f>
        <v>0</v>
      </c>
      <c r="E107">
        <f>Service!F11</f>
        <v>0</v>
      </c>
      <c r="F107" t="e">
        <f>Service!G11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Service!B12</f>
        <v>40 Group Session</v>
      </c>
      <c r="B108">
        <f>Service!C12</f>
        <v>0</v>
      </c>
      <c r="C108">
        <f>Service!D12</f>
        <v>0</v>
      </c>
      <c r="D108" cm="1">
        <f t="array" ref="D108">IFERROR(INDEX(Planning!$D$44:$D$58,MATCH(1,(Planning!$A$44:$A$58='Planning Backing (Hide)'!A108)*(Planning!$B$44:$B$58='Planning Backing (Hide)'!B108),0),1),Service!E12)</f>
        <v>0</v>
      </c>
      <c r="E108">
        <f>Service!F12</f>
        <v>0</v>
      </c>
      <c r="F108" t="e">
        <f>Service!G12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Service!B13</f>
        <v>40 Group Session</v>
      </c>
      <c r="B109">
        <f>Service!C13</f>
        <v>0</v>
      </c>
      <c r="C109">
        <f>Service!D13</f>
        <v>0</v>
      </c>
      <c r="D109" cm="1">
        <f t="array" ref="D109">IFERROR(INDEX(Planning!$D$44:$D$58,MATCH(1,(Planning!$A$44:$A$58='Planning Backing (Hide)'!A109)*(Planning!$B$44:$B$58='Planning Backing (Hide)'!B109),0),1),Service!E13)</f>
        <v>0</v>
      </c>
      <c r="E109">
        <f>Service!F13</f>
        <v>0</v>
      </c>
      <c r="F109" t="e">
        <f>Service!G13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Service!B14</f>
        <v>8 Group Session</v>
      </c>
      <c r="B110" t="str">
        <f>Service!C14</f>
        <v>GS</v>
      </c>
      <c r="C110">
        <f>Service!D14</f>
        <v>240</v>
      </c>
      <c r="D110" cm="1">
        <f t="array" ref="D110">IFERROR(INDEX(Planning!$D$44:$D$58,MATCH(1,(Planning!$A$44:$A$58='Planning Backing (Hide)'!A110)*(Planning!$B$44:$B$58='Planning Backing (Hide)'!B110),0),1),Service!E14)</f>
        <v>7</v>
      </c>
      <c r="E110" t="str">
        <f>Service!F14</f>
        <v>Once a week</v>
      </c>
      <c r="F110">
        <f>Service!G14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Service!B15</f>
        <v>8 Group Session</v>
      </c>
      <c r="B111">
        <f>Service!C15</f>
        <v>0</v>
      </c>
      <c r="C111">
        <f>Service!D15</f>
        <v>0</v>
      </c>
      <c r="D111" cm="1">
        <f t="array" ref="D111">IFERROR(INDEX(Planning!$D$44:$D$58,MATCH(1,(Planning!$A$44:$A$58='Planning Backing (Hide)'!A111)*(Planning!$B$44:$B$58='Planning Backing (Hide)'!B111),0),1),Service!E15)</f>
        <v>0</v>
      </c>
      <c r="E111">
        <f>Service!F15</f>
        <v>0</v>
      </c>
      <c r="F111" t="e">
        <f>Service!G15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Service!B16</f>
        <v>8 Group Session</v>
      </c>
      <c r="B112">
        <f>Service!C16</f>
        <v>0</v>
      </c>
      <c r="C112">
        <f>Service!D16</f>
        <v>0</v>
      </c>
      <c r="D112" cm="1">
        <f t="array" ref="D112">IFERROR(INDEX(Planning!$D$44:$D$58,MATCH(1,(Planning!$A$44:$A$58='Planning Backing (Hide)'!A112)*(Planning!$B$44:$B$58='Planning Backing (Hide)'!B112),0),1),Service!E16)</f>
        <v>0</v>
      </c>
      <c r="E112">
        <f>Service!F16</f>
        <v>0</v>
      </c>
      <c r="F112" t="e">
        <f>Service!G16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Service!B17</f>
        <v>8 Group Session</v>
      </c>
      <c r="B113">
        <f>Service!C17</f>
        <v>0</v>
      </c>
      <c r="C113">
        <f>Service!D17</f>
        <v>0</v>
      </c>
      <c r="D113" cm="1">
        <f t="array" ref="D113">IFERROR(INDEX(Planning!$D$44:$D$58,MATCH(1,(Planning!$A$44:$A$58='Planning Backing (Hide)'!A113)*(Planning!$B$44:$B$58='Planning Backing (Hide)'!B113),0),1),Service!E17)</f>
        <v>0</v>
      </c>
      <c r="E113">
        <f>Service!F17</f>
        <v>0</v>
      </c>
      <c r="F113" t="e">
        <f>Service!G17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Service!B18</f>
        <v>8 Group Session</v>
      </c>
      <c r="B114">
        <f>Service!C18</f>
        <v>0</v>
      </c>
      <c r="C114">
        <f>Service!D18</f>
        <v>0</v>
      </c>
      <c r="D114" cm="1">
        <f t="array" ref="D114">IFERROR(INDEX(Planning!$D$44:$D$58,MATCH(1,(Planning!$A$44:$A$58='Planning Backing (Hide)'!A114)*(Planning!$B$44:$B$58='Planning Backing (Hide)'!B114),0),1),Service!E18)</f>
        <v>0</v>
      </c>
      <c r="E114">
        <f>Service!F18</f>
        <v>0</v>
      </c>
      <c r="F114" t="e">
        <f>Service!G18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Service!B19</f>
        <v>20 Individual</v>
      </c>
      <c r="B115" t="str">
        <f>Service!C19</f>
        <v>Ind</v>
      </c>
      <c r="C115">
        <f>Service!D19</f>
        <v>60</v>
      </c>
      <c r="D115" cm="1">
        <f t="array" ref="D115">IFERROR(INDEX(Planning!$D$44:$D$58,MATCH(1,(Planning!$A$44:$A$58='Planning Backing (Hide)'!A115)*(Planning!$B$44:$B$58='Planning Backing (Hide)'!B115),0),1),Service!E19)</f>
        <v>1</v>
      </c>
      <c r="E115" t="str">
        <f>Service!F19</f>
        <v>Once a week</v>
      </c>
      <c r="F115">
        <f>Service!G19</f>
        <v>1</v>
      </c>
      <c r="G115">
        <f t="shared" si="185"/>
        <v>60</v>
      </c>
      <c r="H115">
        <f>SUMIF(INDEX($D$100:$D$174,ROW(A16),0):INDEX($D$100:$D$174,ROUNDUP(ROW(A16)/5,0)*5,1),1,INDEX($G$100:$G$174,ROW(A16),0):INDEX($G$100:$G$174,ROUNDUP(ROW(A16)/5,0)*5,1))</f>
        <v>60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Service!B20</f>
        <v>20 Individual</v>
      </c>
      <c r="B116">
        <f>Service!C20</f>
        <v>0</v>
      </c>
      <c r="C116">
        <f>Service!D20</f>
        <v>0</v>
      </c>
      <c r="D116" cm="1">
        <f t="array" ref="D116">IFERROR(INDEX(Planning!$D$44:$D$58,MATCH(1,(Planning!$A$44:$A$58='Planning Backing (Hide)'!A116)*(Planning!$B$44:$B$58='Planning Backing (Hide)'!B116),0),1),Service!E20)</f>
        <v>0</v>
      </c>
      <c r="E116">
        <f>Service!F20</f>
        <v>0</v>
      </c>
      <c r="F116" t="e">
        <f>Service!G20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Service!B21</f>
        <v>20 Individual</v>
      </c>
      <c r="B117">
        <f>Service!C21</f>
        <v>0</v>
      </c>
      <c r="C117">
        <f>Service!D21</f>
        <v>0</v>
      </c>
      <c r="D117" cm="1">
        <f t="array" ref="D117">IFERROR(INDEX(Planning!$D$44:$D$58,MATCH(1,(Planning!$A$44:$A$58='Planning Backing (Hide)'!A117)*(Planning!$B$44:$B$58='Planning Backing (Hide)'!B117),0),1),Service!E21)</f>
        <v>0</v>
      </c>
      <c r="E117">
        <f>Service!F21</f>
        <v>0</v>
      </c>
      <c r="F117" t="e">
        <f>Service!G21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Service!B22</f>
        <v>20 Individual</v>
      </c>
      <c r="B118">
        <f>Service!C22</f>
        <v>0</v>
      </c>
      <c r="C118">
        <f>Service!D22</f>
        <v>0</v>
      </c>
      <c r="D118" cm="1">
        <f t="array" ref="D118">IFERROR(INDEX(Planning!$D$44:$D$58,MATCH(1,(Planning!$A$44:$A$58='Planning Backing (Hide)'!A118)*(Planning!$B$44:$B$58='Planning Backing (Hide)'!B118),0),1),Service!E22)</f>
        <v>0</v>
      </c>
      <c r="E118">
        <f>Service!F22</f>
        <v>0</v>
      </c>
      <c r="F118" t="e">
        <f>Service!G22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Service!B23</f>
        <v>20 Individual</v>
      </c>
      <c r="B119">
        <f>Service!C23</f>
        <v>0</v>
      </c>
      <c r="C119">
        <f>Service!D23</f>
        <v>0</v>
      </c>
      <c r="D119" cm="1">
        <f t="array" ref="D119">IFERROR(INDEX(Planning!$D$44:$D$58,MATCH(1,(Planning!$A$44:$A$58='Planning Backing (Hide)'!A119)*(Planning!$B$44:$B$58='Planning Backing (Hide)'!B119),0),1),Service!E23)</f>
        <v>0</v>
      </c>
      <c r="E119">
        <f>Service!F23</f>
        <v>0</v>
      </c>
      <c r="F119" t="e">
        <f>Service!G23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Service!B24</f>
        <v>40 Individual</v>
      </c>
      <c r="B120" t="str">
        <f>Service!C24</f>
        <v>Ind</v>
      </c>
      <c r="C120">
        <f>Service!D24</f>
        <v>60</v>
      </c>
      <c r="D120" cm="1">
        <f t="array" ref="D120">IFERROR(INDEX(Planning!$D$44:$D$58,MATCH(1,(Planning!$A$44:$A$58='Planning Backing (Hide)'!A120)*(Planning!$B$44:$B$58='Planning Backing (Hide)'!B120),0),1),Service!E24)</f>
        <v>1</v>
      </c>
      <c r="E120" t="str">
        <f>Service!F24</f>
        <v>Once a week</v>
      </c>
      <c r="F120">
        <f>Service!G24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Service!B25</f>
        <v>40 Individual</v>
      </c>
      <c r="B121">
        <f>Service!C25</f>
        <v>0</v>
      </c>
      <c r="C121">
        <f>Service!D25</f>
        <v>0</v>
      </c>
      <c r="D121" cm="1">
        <f t="array" ref="D121">IFERROR(INDEX(Planning!$D$44:$D$58,MATCH(1,(Planning!$A$44:$A$58='Planning Backing (Hide)'!A121)*(Planning!$B$44:$B$58='Planning Backing (Hide)'!B121),0),1),Service!E25)</f>
        <v>0</v>
      </c>
      <c r="E121">
        <f>Service!F25</f>
        <v>0</v>
      </c>
      <c r="F121" t="e">
        <f>Service!G25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Service!B26</f>
        <v>40 Individual</v>
      </c>
      <c r="B122">
        <f>Service!C26</f>
        <v>0</v>
      </c>
      <c r="C122">
        <f>Service!D26</f>
        <v>0</v>
      </c>
      <c r="D122" cm="1">
        <f t="array" ref="D122">IFERROR(INDEX(Planning!$D$44:$D$58,MATCH(1,(Planning!$A$44:$A$58='Planning Backing (Hide)'!A122)*(Planning!$B$44:$B$58='Planning Backing (Hide)'!B122),0),1),Service!E26)</f>
        <v>0</v>
      </c>
      <c r="E122">
        <f>Service!F26</f>
        <v>0</v>
      </c>
      <c r="F122" t="e">
        <f>Service!G26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Service!B27</f>
        <v>40 Individual</v>
      </c>
      <c r="B123">
        <f>Service!C27</f>
        <v>0</v>
      </c>
      <c r="C123">
        <f>Service!D27</f>
        <v>0</v>
      </c>
      <c r="D123" cm="1">
        <f t="array" ref="D123">IFERROR(INDEX(Planning!$D$44:$D$58,MATCH(1,(Planning!$A$44:$A$58='Planning Backing (Hide)'!A123)*(Planning!$B$44:$B$58='Planning Backing (Hide)'!B123),0),1),Service!E27)</f>
        <v>0</v>
      </c>
      <c r="E123">
        <f>Service!F27</f>
        <v>0</v>
      </c>
      <c r="F123" t="e">
        <f>Service!G27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Service!B28</f>
        <v>40 Individual</v>
      </c>
      <c r="B124">
        <f>Service!C28</f>
        <v>0</v>
      </c>
      <c r="C124">
        <f>Service!D28</f>
        <v>0</v>
      </c>
      <c r="D124" cm="1">
        <f t="array" ref="D124">IFERROR(INDEX(Planning!$D$44:$D$58,MATCH(1,(Planning!$A$44:$A$58='Planning Backing (Hide)'!A124)*(Planning!$B$44:$B$58='Planning Backing (Hide)'!B124),0),1),Service!E28)</f>
        <v>0</v>
      </c>
      <c r="E124">
        <f>Service!F28</f>
        <v>0</v>
      </c>
      <c r="F124" t="e">
        <f>Service!G28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Service!B29</f>
        <v>Initial assessment</v>
      </c>
      <c r="B125">
        <f>Service!C29</f>
        <v>0</v>
      </c>
      <c r="C125">
        <f>Service!D29</f>
        <v>0</v>
      </c>
      <c r="D125" cm="1">
        <f t="array" ref="D125">IFERROR(INDEX(Planning!$D$44:$D$58,MATCH(1,(Planning!$A$44:$A$58='Planning Backing (Hide)'!A125)*(Planning!$B$44:$B$58='Planning Backing (Hide)'!B125),0),1),Service!E29)</f>
        <v>0</v>
      </c>
      <c r="E125">
        <f>Service!F29</f>
        <v>0</v>
      </c>
      <c r="F125" t="e">
        <f>Service!G29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Service!B30</f>
        <v>Initial assessment</v>
      </c>
      <c r="B126">
        <f>Service!C30</f>
        <v>0</v>
      </c>
      <c r="C126">
        <f>Service!D30</f>
        <v>0</v>
      </c>
      <c r="D126" cm="1">
        <f t="array" ref="D126">IFERROR(INDEX(Planning!$D$44:$D$58,MATCH(1,(Planning!$A$44:$A$58='Planning Backing (Hide)'!A126)*(Planning!$B$44:$B$58='Planning Backing (Hide)'!B126),0),1),Service!E30)</f>
        <v>0</v>
      </c>
      <c r="E126">
        <f>Service!F30</f>
        <v>0</v>
      </c>
      <c r="F126" t="e">
        <f>Service!G30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Service!B31</f>
        <v>Initial assessment</v>
      </c>
      <c r="B127">
        <f>Service!C31</f>
        <v>0</v>
      </c>
      <c r="C127">
        <f>Service!D31</f>
        <v>0</v>
      </c>
      <c r="D127" cm="1">
        <f t="array" ref="D127">IFERROR(INDEX(Planning!$D$44:$D$58,MATCH(1,(Planning!$A$44:$A$58='Planning Backing (Hide)'!A127)*(Planning!$B$44:$B$58='Planning Backing (Hide)'!B127),0),1),Service!E31)</f>
        <v>0</v>
      </c>
      <c r="E127">
        <f>Service!F31</f>
        <v>0</v>
      </c>
      <c r="F127" t="e">
        <f>Service!G31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Service!B32</f>
        <v>Initial assessment</v>
      </c>
      <c r="B128">
        <f>Service!C32</f>
        <v>0</v>
      </c>
      <c r="C128">
        <f>Service!D32</f>
        <v>0</v>
      </c>
      <c r="D128" cm="1">
        <f t="array" ref="D128">IFERROR(INDEX(Planning!$D$44:$D$58,MATCH(1,(Planning!$A$44:$A$58='Planning Backing (Hide)'!A128)*(Planning!$B$44:$B$58='Planning Backing (Hide)'!B128),0),1),Service!E32)</f>
        <v>0</v>
      </c>
      <c r="E128">
        <f>Service!F32</f>
        <v>0</v>
      </c>
      <c r="F128" t="e">
        <f>Service!G32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Service!B33</f>
        <v>Initial assessment</v>
      </c>
      <c r="B129">
        <f>Service!C33</f>
        <v>0</v>
      </c>
      <c r="C129">
        <f>Service!D33</f>
        <v>0</v>
      </c>
      <c r="D129" cm="1">
        <f t="array" ref="D129">IFERROR(INDEX(Planning!$D$44:$D$58,MATCH(1,(Planning!$A$44:$A$58='Planning Backing (Hide)'!A129)*(Planning!$B$44:$B$58='Planning Backing (Hide)'!B129),0),1),Service!E33)</f>
        <v>0</v>
      </c>
      <c r="E129">
        <f>Service!F33</f>
        <v>0</v>
      </c>
      <c r="F129" t="e">
        <f>Service!G33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Service!B34</f>
        <v>Caseload 7</v>
      </c>
      <c r="B130">
        <f>Service!C34</f>
        <v>0</v>
      </c>
      <c r="C130">
        <f>Service!D34</f>
        <v>0</v>
      </c>
      <c r="D130" cm="1">
        <f t="array" ref="D130">IFERROR(INDEX(Planning!$D$44:$D$58,MATCH(1,(Planning!$A$44:$A$58='Planning Backing (Hide)'!A130)*(Planning!$B$44:$B$58='Planning Backing (Hide)'!B130),0),1),Service!E34)</f>
        <v>0</v>
      </c>
      <c r="E130">
        <f>Service!F34</f>
        <v>0</v>
      </c>
      <c r="F130" t="e">
        <f>Service!G34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Service!B35</f>
        <v>Caseload 7</v>
      </c>
      <c r="B131">
        <f>Service!C35</f>
        <v>0</v>
      </c>
      <c r="C131">
        <f>Service!D35</f>
        <v>0</v>
      </c>
      <c r="D131" cm="1">
        <f t="array" ref="D131">IFERROR(INDEX(Planning!$D$44:$D$58,MATCH(1,(Planning!$A$44:$A$58='Planning Backing (Hide)'!A131)*(Planning!$B$44:$B$58='Planning Backing (Hide)'!B131),0),1),Service!E35)</f>
        <v>0</v>
      </c>
      <c r="E131">
        <f>Service!F35</f>
        <v>0</v>
      </c>
      <c r="F131" t="e">
        <f>Service!G35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Service!B36</f>
        <v>Caseload 7</v>
      </c>
      <c r="B132">
        <f>Service!C36</f>
        <v>0</v>
      </c>
      <c r="C132">
        <f>Service!D36</f>
        <v>0</v>
      </c>
      <c r="D132" cm="1">
        <f t="array" ref="D132">IFERROR(INDEX(Planning!$D$44:$D$58,MATCH(1,(Planning!$A$44:$A$58='Planning Backing (Hide)'!A132)*(Planning!$B$44:$B$58='Planning Backing (Hide)'!B132),0),1),Service!E36)</f>
        <v>0</v>
      </c>
      <c r="E132">
        <f>Service!F36</f>
        <v>0</v>
      </c>
      <c r="F132" t="e">
        <f>Service!G36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Service!B37</f>
        <v>Caseload 7</v>
      </c>
      <c r="B133">
        <f>Service!C37</f>
        <v>0</v>
      </c>
      <c r="C133">
        <f>Service!D37</f>
        <v>0</v>
      </c>
      <c r="D133" cm="1">
        <f t="array" ref="D133">IFERROR(INDEX(Planning!$D$44:$D$58,MATCH(1,(Planning!$A$44:$A$58='Planning Backing (Hide)'!A133)*(Planning!$B$44:$B$58='Planning Backing (Hide)'!B133),0),1),Service!E37)</f>
        <v>0</v>
      </c>
      <c r="E133">
        <f>Service!F37</f>
        <v>0</v>
      </c>
      <c r="F133" t="e">
        <f>Service!G37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Service!B38</f>
        <v>Caseload 7</v>
      </c>
      <c r="B134">
        <f>Service!C38</f>
        <v>0</v>
      </c>
      <c r="C134">
        <f>Service!D38</f>
        <v>0</v>
      </c>
      <c r="D134" cm="1">
        <f t="array" ref="D134">IFERROR(INDEX(Planning!$D$44:$D$58,MATCH(1,(Planning!$A$44:$A$58='Planning Backing (Hide)'!A134)*(Planning!$B$44:$B$58='Planning Backing (Hide)'!B134),0),1),Service!E38)</f>
        <v>0</v>
      </c>
      <c r="E134">
        <f>Service!F38</f>
        <v>0</v>
      </c>
      <c r="F134" t="e">
        <f>Service!G38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Service!B39</f>
        <v>Caseload 8</v>
      </c>
      <c r="B135">
        <f>Service!C39</f>
        <v>0</v>
      </c>
      <c r="C135">
        <f>Service!D39</f>
        <v>0</v>
      </c>
      <c r="D135" cm="1">
        <f t="array" ref="D135">IFERROR(INDEX(Planning!$D$44:$D$58,MATCH(1,(Planning!$A$44:$A$58='Planning Backing (Hide)'!A135)*(Planning!$B$44:$B$58='Planning Backing (Hide)'!B135),0),1),Service!E39)</f>
        <v>0</v>
      </c>
      <c r="E135">
        <f>Service!F39</f>
        <v>0</v>
      </c>
      <c r="F135" t="e">
        <f>Service!G39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Service!B40</f>
        <v>Caseload 8</v>
      </c>
      <c r="B136">
        <f>Service!C40</f>
        <v>0</v>
      </c>
      <c r="C136">
        <f>Service!D40</f>
        <v>0</v>
      </c>
      <c r="D136" cm="1">
        <f t="array" ref="D136">IFERROR(INDEX(Planning!$D$44:$D$58,MATCH(1,(Planning!$A$44:$A$58='Planning Backing (Hide)'!A136)*(Planning!$B$44:$B$58='Planning Backing (Hide)'!B136),0),1),Service!E40)</f>
        <v>0</v>
      </c>
      <c r="E136">
        <f>Service!F40</f>
        <v>0</v>
      </c>
      <c r="F136" t="e">
        <f>Service!G40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Service!B41</f>
        <v>Caseload 8</v>
      </c>
      <c r="B137">
        <f>Service!C41</f>
        <v>0</v>
      </c>
      <c r="C137">
        <f>Service!D41</f>
        <v>0</v>
      </c>
      <c r="D137" cm="1">
        <f t="array" ref="D137">IFERROR(INDEX(Planning!$D$44:$D$58,MATCH(1,(Planning!$A$44:$A$58='Planning Backing (Hide)'!A137)*(Planning!$B$44:$B$58='Planning Backing (Hide)'!B137),0),1),Service!E41)</f>
        <v>0</v>
      </c>
      <c r="E137">
        <f>Service!F41</f>
        <v>0</v>
      </c>
      <c r="F137" t="e">
        <f>Service!G41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Service!B42</f>
        <v>Caseload 8</v>
      </c>
      <c r="B138">
        <f>Service!C42</f>
        <v>0</v>
      </c>
      <c r="C138">
        <f>Service!D42</f>
        <v>0</v>
      </c>
      <c r="D138" cm="1">
        <f t="array" ref="D138">IFERROR(INDEX(Planning!$D$44:$D$58,MATCH(1,(Planning!$A$44:$A$58='Planning Backing (Hide)'!A138)*(Planning!$B$44:$B$58='Planning Backing (Hide)'!B138),0),1),Service!E42)</f>
        <v>0</v>
      </c>
      <c r="E138">
        <f>Service!F42</f>
        <v>0</v>
      </c>
      <c r="F138" t="e">
        <f>Service!G42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Service!B43</f>
        <v>Caseload 8</v>
      </c>
      <c r="B139">
        <f>Service!C43</f>
        <v>0</v>
      </c>
      <c r="C139">
        <f>Service!D43</f>
        <v>0</v>
      </c>
      <c r="D139" cm="1">
        <f t="array" ref="D139">IFERROR(INDEX(Planning!$D$44:$D$58,MATCH(1,(Planning!$A$44:$A$58='Planning Backing (Hide)'!A139)*(Planning!$B$44:$B$58='Planning Backing (Hide)'!B139),0),1),Service!E43)</f>
        <v>0</v>
      </c>
      <c r="E139">
        <f>Service!F43</f>
        <v>0</v>
      </c>
      <c r="F139" t="e">
        <f>Service!G43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Service!B44</f>
        <v>Caseload 9</v>
      </c>
      <c r="B140">
        <f>Service!C44</f>
        <v>0</v>
      </c>
      <c r="C140">
        <f>Service!D44</f>
        <v>0</v>
      </c>
      <c r="D140" cm="1">
        <f t="array" ref="D140">IFERROR(INDEX(Planning!$D$44:$D$58,MATCH(1,(Planning!$A$44:$A$58='Planning Backing (Hide)'!A140)*(Planning!$B$44:$B$58='Planning Backing (Hide)'!B140),0),1),Service!E44)</f>
        <v>0</v>
      </c>
      <c r="E140">
        <f>Service!F44</f>
        <v>0</v>
      </c>
      <c r="F140" t="e">
        <f>Service!G44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Service!B45</f>
        <v>Caseload 9</v>
      </c>
      <c r="B141">
        <f>Service!C45</f>
        <v>0</v>
      </c>
      <c r="C141">
        <f>Service!D45</f>
        <v>0</v>
      </c>
      <c r="D141" cm="1">
        <f t="array" ref="D141">IFERROR(INDEX(Planning!$D$44:$D$58,MATCH(1,(Planning!$A$44:$A$58='Planning Backing (Hide)'!A141)*(Planning!$B$44:$B$58='Planning Backing (Hide)'!B141),0),1),Service!E45)</f>
        <v>0</v>
      </c>
      <c r="E141">
        <f>Service!F45</f>
        <v>0</v>
      </c>
      <c r="F141" t="e">
        <f>Service!G45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Service!B46</f>
        <v>Caseload 9</v>
      </c>
      <c r="B142">
        <f>Service!C46</f>
        <v>0</v>
      </c>
      <c r="C142">
        <f>Service!D46</f>
        <v>0</v>
      </c>
      <c r="D142" cm="1">
        <f t="array" ref="D142">IFERROR(INDEX(Planning!$D$44:$D$58,MATCH(1,(Planning!$A$44:$A$58='Planning Backing (Hide)'!A142)*(Planning!$B$44:$B$58='Planning Backing (Hide)'!B142),0),1),Service!E46)</f>
        <v>0</v>
      </c>
      <c r="E142">
        <f>Service!F46</f>
        <v>0</v>
      </c>
      <c r="F142" t="e">
        <f>Service!G46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Service!B47</f>
        <v>Caseload 9</v>
      </c>
      <c r="B143">
        <f>Service!C47</f>
        <v>0</v>
      </c>
      <c r="C143">
        <f>Service!D47</f>
        <v>0</v>
      </c>
      <c r="D143" cm="1">
        <f t="array" ref="D143">IFERROR(INDEX(Planning!$D$44:$D$58,MATCH(1,(Planning!$A$44:$A$58='Planning Backing (Hide)'!A143)*(Planning!$B$44:$B$58='Planning Backing (Hide)'!B143),0),1),Service!E47)</f>
        <v>0</v>
      </c>
      <c r="E143">
        <f>Service!F47</f>
        <v>0</v>
      </c>
      <c r="F143" t="e">
        <f>Service!G47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Service!B48</f>
        <v>Caseload 9</v>
      </c>
      <c r="B144">
        <f>Service!C48</f>
        <v>0</v>
      </c>
      <c r="C144">
        <f>Service!D48</f>
        <v>0</v>
      </c>
      <c r="D144" cm="1">
        <f t="array" ref="D144">IFERROR(INDEX(Planning!$D$44:$D$58,MATCH(1,(Planning!$A$44:$A$58='Planning Backing (Hide)'!A144)*(Planning!$B$44:$B$58='Planning Backing (Hide)'!B144),0),1),Service!E48)</f>
        <v>0</v>
      </c>
      <c r="E144">
        <f>Service!F48</f>
        <v>0</v>
      </c>
      <c r="F144" t="e">
        <f>Service!G48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Service!B49</f>
        <v>Caseload 10</v>
      </c>
      <c r="B145">
        <f>Service!C49</f>
        <v>0</v>
      </c>
      <c r="C145">
        <f>Service!D49</f>
        <v>0</v>
      </c>
      <c r="D145" cm="1">
        <f t="array" ref="D145">IFERROR(INDEX(Planning!$D$44:$D$58,MATCH(1,(Planning!$A$44:$A$58='Planning Backing (Hide)'!A145)*(Planning!$B$44:$B$58='Planning Backing (Hide)'!B145),0),1),Service!E49)</f>
        <v>0</v>
      </c>
      <c r="E145">
        <f>Service!F49</f>
        <v>0</v>
      </c>
      <c r="F145" t="e">
        <f>Service!G49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Service!B50</f>
        <v>Caseload 10</v>
      </c>
      <c r="B146">
        <f>Service!C50</f>
        <v>0</v>
      </c>
      <c r="C146">
        <f>Service!D50</f>
        <v>0</v>
      </c>
      <c r="D146" cm="1">
        <f t="array" ref="D146">IFERROR(INDEX(Planning!$D$44:$D$58,MATCH(1,(Planning!$A$44:$A$58='Planning Backing (Hide)'!A146)*(Planning!$B$44:$B$58='Planning Backing (Hide)'!B146),0),1),Service!E50)</f>
        <v>0</v>
      </c>
      <c r="E146">
        <f>Service!F50</f>
        <v>0</v>
      </c>
      <c r="F146" t="e">
        <f>Service!G50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Service!B51</f>
        <v>Caseload 10</v>
      </c>
      <c r="B147">
        <f>Service!C51</f>
        <v>0</v>
      </c>
      <c r="C147">
        <f>Service!D51</f>
        <v>0</v>
      </c>
      <c r="D147" cm="1">
        <f t="array" ref="D147">IFERROR(INDEX(Planning!$D$44:$D$58,MATCH(1,(Planning!$A$44:$A$58='Planning Backing (Hide)'!A147)*(Planning!$B$44:$B$58='Planning Backing (Hide)'!B147),0),1),Service!E51)</f>
        <v>0</v>
      </c>
      <c r="E147">
        <f>Service!F51</f>
        <v>0</v>
      </c>
      <c r="F147" t="e">
        <f>Service!G51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Service!B52</f>
        <v>Caseload 10</v>
      </c>
      <c r="B148">
        <f>Service!C52</f>
        <v>0</v>
      </c>
      <c r="C148">
        <f>Service!D52</f>
        <v>0</v>
      </c>
      <c r="D148" cm="1">
        <f t="array" ref="D148">IFERROR(INDEX(Planning!$D$44:$D$58,MATCH(1,(Planning!$A$44:$A$58='Planning Backing (Hide)'!A148)*(Planning!$B$44:$B$58='Planning Backing (Hide)'!B148),0),1),Service!E52)</f>
        <v>0</v>
      </c>
      <c r="E148">
        <f>Service!F52</f>
        <v>0</v>
      </c>
      <c r="F148" t="e">
        <f>Service!G52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Service!B53</f>
        <v>Caseload 10</v>
      </c>
      <c r="B149">
        <f>Service!C53</f>
        <v>0</v>
      </c>
      <c r="C149">
        <f>Service!D53</f>
        <v>0</v>
      </c>
      <c r="D149" cm="1">
        <f t="array" ref="D149">IFERROR(INDEX(Planning!$D$44:$D$58,MATCH(1,(Planning!$A$44:$A$58='Planning Backing (Hide)'!A149)*(Planning!$B$44:$B$58='Planning Backing (Hide)'!B149),0),1),Service!E53)</f>
        <v>0</v>
      </c>
      <c r="E149">
        <f>Service!F53</f>
        <v>0</v>
      </c>
      <c r="F149" t="e">
        <f>Service!G53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Service!B54</f>
        <v>Caseload 11</v>
      </c>
      <c r="B150">
        <f>Service!C54</f>
        <v>0</v>
      </c>
      <c r="C150">
        <f>Service!D54</f>
        <v>0</v>
      </c>
      <c r="D150" cm="1">
        <f t="array" ref="D150">IFERROR(INDEX(Planning!$D$44:$D$58,MATCH(1,(Planning!$A$44:$A$58='Planning Backing (Hide)'!A150)*(Planning!$B$44:$B$58='Planning Backing (Hide)'!B150),0),1),Service!E54)</f>
        <v>0</v>
      </c>
      <c r="E150">
        <f>Service!F54</f>
        <v>0</v>
      </c>
      <c r="F150" t="e">
        <f>Service!G54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Service!B55</f>
        <v>Caseload 11</v>
      </c>
      <c r="B151">
        <f>Service!C55</f>
        <v>0</v>
      </c>
      <c r="C151">
        <f>Service!D55</f>
        <v>0</v>
      </c>
      <c r="D151" cm="1">
        <f t="array" ref="D151">IFERROR(INDEX(Planning!$D$44:$D$58,MATCH(1,(Planning!$A$44:$A$58='Planning Backing (Hide)'!A151)*(Planning!$B$44:$B$58='Planning Backing (Hide)'!B151),0),1),Service!E55)</f>
        <v>0</v>
      </c>
      <c r="E151">
        <f>Service!F55</f>
        <v>0</v>
      </c>
      <c r="F151" t="e">
        <f>Service!G55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Service!B56</f>
        <v>Caseload 11</v>
      </c>
      <c r="B152">
        <f>Service!C56</f>
        <v>0</v>
      </c>
      <c r="C152">
        <f>Service!D56</f>
        <v>0</v>
      </c>
      <c r="D152" cm="1">
        <f t="array" ref="D152">IFERROR(INDEX(Planning!$D$44:$D$58,MATCH(1,(Planning!$A$44:$A$58='Planning Backing (Hide)'!A152)*(Planning!$B$44:$B$58='Planning Backing (Hide)'!B152),0),1),Service!E56)</f>
        <v>0</v>
      </c>
      <c r="E152">
        <f>Service!F56</f>
        <v>0</v>
      </c>
      <c r="F152" t="e">
        <f>Service!G56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Service!B57</f>
        <v>Caseload 11</v>
      </c>
      <c r="B153">
        <f>Service!C57</f>
        <v>0</v>
      </c>
      <c r="C153">
        <f>Service!D57</f>
        <v>0</v>
      </c>
      <c r="D153" cm="1">
        <f t="array" ref="D153">IFERROR(INDEX(Planning!$D$44:$D$58,MATCH(1,(Planning!$A$44:$A$58='Planning Backing (Hide)'!A153)*(Planning!$B$44:$B$58='Planning Backing (Hide)'!B153),0),1),Service!E57)</f>
        <v>0</v>
      </c>
      <c r="E153">
        <f>Service!F57</f>
        <v>0</v>
      </c>
      <c r="F153" t="e">
        <f>Service!G57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Service!B58</f>
        <v>Caseload 11</v>
      </c>
      <c r="B154">
        <f>Service!C58</f>
        <v>0</v>
      </c>
      <c r="C154">
        <f>Service!D58</f>
        <v>0</v>
      </c>
      <c r="D154" cm="1">
        <f t="array" ref="D154">IFERROR(INDEX(Planning!$D$44:$D$58,MATCH(1,(Planning!$A$44:$A$58='Planning Backing (Hide)'!A154)*(Planning!$B$44:$B$58='Planning Backing (Hide)'!B154),0),1),Service!E58)</f>
        <v>0</v>
      </c>
      <c r="E154">
        <f>Service!F58</f>
        <v>0</v>
      </c>
      <c r="F154" t="e">
        <f>Service!G58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Service!B59</f>
        <v>Caseload 12</v>
      </c>
      <c r="B155">
        <f>Service!C59</f>
        <v>0</v>
      </c>
      <c r="C155">
        <f>Service!D59</f>
        <v>0</v>
      </c>
      <c r="D155" cm="1">
        <f t="array" ref="D155">IFERROR(INDEX(Planning!$D$44:$D$58,MATCH(1,(Planning!$A$44:$A$58='Planning Backing (Hide)'!A155)*(Planning!$B$44:$B$58='Planning Backing (Hide)'!B155),0),1),Service!E59)</f>
        <v>0</v>
      </c>
      <c r="E155">
        <f>Service!F59</f>
        <v>0</v>
      </c>
      <c r="F155" t="e">
        <f>Service!G59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Service!B60</f>
        <v>Caseload 12</v>
      </c>
      <c r="B156">
        <f>Service!C60</f>
        <v>0</v>
      </c>
      <c r="C156">
        <f>Service!D60</f>
        <v>0</v>
      </c>
      <c r="D156" cm="1">
        <f t="array" ref="D156">IFERROR(INDEX(Planning!$D$44:$D$58,MATCH(1,(Planning!$A$44:$A$58='Planning Backing (Hide)'!A156)*(Planning!$B$44:$B$58='Planning Backing (Hide)'!B156),0),1),Service!E60)</f>
        <v>0</v>
      </c>
      <c r="E156">
        <f>Service!F60</f>
        <v>0</v>
      </c>
      <c r="F156" t="e">
        <f>Service!G60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Service!B61</f>
        <v>Caseload 12</v>
      </c>
      <c r="B157">
        <f>Service!C61</f>
        <v>0</v>
      </c>
      <c r="C157">
        <f>Service!D61</f>
        <v>0</v>
      </c>
      <c r="D157" cm="1">
        <f t="array" ref="D157">IFERROR(INDEX(Planning!$D$44:$D$58,MATCH(1,(Planning!$A$44:$A$58='Planning Backing (Hide)'!A157)*(Planning!$B$44:$B$58='Planning Backing (Hide)'!B157),0),1),Service!E61)</f>
        <v>0</v>
      </c>
      <c r="E157">
        <f>Service!F61</f>
        <v>0</v>
      </c>
      <c r="F157" t="e">
        <f>Service!G61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Service!B62</f>
        <v>Caseload 12</v>
      </c>
      <c r="B158">
        <f>Service!C62</f>
        <v>0</v>
      </c>
      <c r="C158">
        <f>Service!D62</f>
        <v>0</v>
      </c>
      <c r="D158" cm="1">
        <f t="array" ref="D158">IFERROR(INDEX(Planning!$D$44:$D$58,MATCH(1,(Planning!$A$44:$A$58='Planning Backing (Hide)'!A158)*(Planning!$B$44:$B$58='Planning Backing (Hide)'!B158),0),1),Service!E62)</f>
        <v>0</v>
      </c>
      <c r="E158">
        <f>Service!F62</f>
        <v>0</v>
      </c>
      <c r="F158" t="e">
        <f>Service!G62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Service!B63</f>
        <v>Caseload 12</v>
      </c>
      <c r="B159">
        <f>Service!C63</f>
        <v>0</v>
      </c>
      <c r="C159">
        <f>Service!D63</f>
        <v>0</v>
      </c>
      <c r="D159" cm="1">
        <f t="array" ref="D159">IFERROR(INDEX(Planning!$D$44:$D$58,MATCH(1,(Planning!$A$44:$A$58='Planning Backing (Hide)'!A159)*(Planning!$B$44:$B$58='Planning Backing (Hide)'!B159),0),1),Service!E63)</f>
        <v>0</v>
      </c>
      <c r="E159">
        <f>Service!F63</f>
        <v>0</v>
      </c>
      <c r="F159" t="e">
        <f>Service!G63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Service!B64</f>
        <v>Caseload 13</v>
      </c>
      <c r="B160">
        <f>Service!C64</f>
        <v>0</v>
      </c>
      <c r="C160">
        <f>Service!D64</f>
        <v>0</v>
      </c>
      <c r="D160" cm="1">
        <f t="array" ref="D160">IFERROR(INDEX(Planning!$D$44:$D$58,MATCH(1,(Planning!$A$44:$A$58='Planning Backing (Hide)'!A160)*(Planning!$B$44:$B$58='Planning Backing (Hide)'!B160),0),1),Service!E64)</f>
        <v>0</v>
      </c>
      <c r="E160">
        <f>Service!F64</f>
        <v>0</v>
      </c>
      <c r="F160" t="e">
        <f>Service!G64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Service!B65</f>
        <v>Caseload 13</v>
      </c>
      <c r="B161">
        <f>Service!C65</f>
        <v>0</v>
      </c>
      <c r="C161">
        <f>Service!D65</f>
        <v>0</v>
      </c>
      <c r="D161" cm="1">
        <f t="array" ref="D161">IFERROR(INDEX(Planning!$D$44:$D$58,MATCH(1,(Planning!$A$44:$A$58='Planning Backing (Hide)'!A161)*(Planning!$B$44:$B$58='Planning Backing (Hide)'!B161),0),1),Service!E65)</f>
        <v>0</v>
      </c>
      <c r="E161">
        <f>Service!F65</f>
        <v>0</v>
      </c>
      <c r="F161" t="e">
        <f>Service!G65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Service!B66</f>
        <v>Caseload 13</v>
      </c>
      <c r="B162">
        <f>Service!C66</f>
        <v>0</v>
      </c>
      <c r="C162">
        <f>Service!D66</f>
        <v>0</v>
      </c>
      <c r="D162" cm="1">
        <f t="array" ref="D162">IFERROR(INDEX(Planning!$D$44:$D$58,MATCH(1,(Planning!$A$44:$A$58='Planning Backing (Hide)'!A162)*(Planning!$B$44:$B$58='Planning Backing (Hide)'!B162),0),1),Service!E66)</f>
        <v>0</v>
      </c>
      <c r="E162">
        <f>Service!F66</f>
        <v>0</v>
      </c>
      <c r="F162" t="e">
        <f>Service!G66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Service!B67</f>
        <v>Caseload 13</v>
      </c>
      <c r="B163">
        <f>Service!C67</f>
        <v>0</v>
      </c>
      <c r="C163">
        <f>Service!D67</f>
        <v>0</v>
      </c>
      <c r="D163" cm="1">
        <f t="array" ref="D163">IFERROR(INDEX(Planning!$D$44:$D$58,MATCH(1,(Planning!$A$44:$A$58='Planning Backing (Hide)'!A163)*(Planning!$B$44:$B$58='Planning Backing (Hide)'!B163),0),1),Service!E67)</f>
        <v>0</v>
      </c>
      <c r="E163">
        <f>Service!F67</f>
        <v>0</v>
      </c>
      <c r="F163" t="e">
        <f>Service!G67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Service!B68</f>
        <v>Caseload 13</v>
      </c>
      <c r="B164">
        <f>Service!C68</f>
        <v>0</v>
      </c>
      <c r="C164">
        <f>Service!D68</f>
        <v>0</v>
      </c>
      <c r="D164" cm="1">
        <f t="array" ref="D164">IFERROR(INDEX(Planning!$D$44:$D$58,MATCH(1,(Planning!$A$44:$A$58='Planning Backing (Hide)'!A164)*(Planning!$B$44:$B$58='Planning Backing (Hide)'!B164),0),1),Service!E68)</f>
        <v>0</v>
      </c>
      <c r="E164">
        <f>Service!F68</f>
        <v>0</v>
      </c>
      <c r="F164" t="e">
        <f>Service!G68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Service!B69</f>
        <v>Caseload 14</v>
      </c>
      <c r="B165">
        <f>Service!C69</f>
        <v>0</v>
      </c>
      <c r="C165">
        <f>Service!D69</f>
        <v>0</v>
      </c>
      <c r="D165" cm="1">
        <f t="array" ref="D165">IFERROR(INDEX(Planning!$D$44:$D$58,MATCH(1,(Planning!$A$44:$A$58='Planning Backing (Hide)'!A165)*(Planning!$B$44:$B$58='Planning Backing (Hide)'!B165),0),1),Service!E69)</f>
        <v>0</v>
      </c>
      <c r="E165">
        <f>Service!F69</f>
        <v>0</v>
      </c>
      <c r="F165" t="e">
        <f>Service!G69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Service!B70</f>
        <v>Caseload 14</v>
      </c>
      <c r="B166">
        <f>Service!C70</f>
        <v>0</v>
      </c>
      <c r="C166">
        <f>Service!D70</f>
        <v>0</v>
      </c>
      <c r="D166" cm="1">
        <f t="array" ref="D166">IFERROR(INDEX(Planning!$D$44:$D$58,MATCH(1,(Planning!$A$44:$A$58='Planning Backing (Hide)'!A166)*(Planning!$B$44:$B$58='Planning Backing (Hide)'!B166),0),1),Service!E70)</f>
        <v>0</v>
      </c>
      <c r="E166">
        <f>Service!F70</f>
        <v>0</v>
      </c>
      <c r="F166" t="e">
        <f>Service!G70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Service!B71</f>
        <v>Caseload 14</v>
      </c>
      <c r="B167">
        <f>Service!C71</f>
        <v>0</v>
      </c>
      <c r="C167">
        <f>Service!D71</f>
        <v>0</v>
      </c>
      <c r="D167" cm="1">
        <f t="array" ref="D167">IFERROR(INDEX(Planning!$D$44:$D$58,MATCH(1,(Planning!$A$44:$A$58='Planning Backing (Hide)'!A167)*(Planning!$B$44:$B$58='Planning Backing (Hide)'!B167),0),1),Service!E71)</f>
        <v>0</v>
      </c>
      <c r="E167">
        <f>Service!F71</f>
        <v>0</v>
      </c>
      <c r="F167" t="e">
        <f>Service!G71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Service!B72</f>
        <v>Caseload 14</v>
      </c>
      <c r="B168">
        <f>Service!C72</f>
        <v>0</v>
      </c>
      <c r="C168">
        <f>Service!D72</f>
        <v>0</v>
      </c>
      <c r="D168" cm="1">
        <f t="array" ref="D168">IFERROR(INDEX(Planning!$D$44:$D$58,MATCH(1,(Planning!$A$44:$A$58='Planning Backing (Hide)'!A168)*(Planning!$B$44:$B$58='Planning Backing (Hide)'!B168),0),1),Service!E72)</f>
        <v>0</v>
      </c>
      <c r="E168">
        <f>Service!F72</f>
        <v>0</v>
      </c>
      <c r="F168" t="e">
        <f>Service!G72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Service!B73</f>
        <v>Caseload 14</v>
      </c>
      <c r="B169">
        <f>Service!C73</f>
        <v>0</v>
      </c>
      <c r="C169">
        <f>Service!D73</f>
        <v>0</v>
      </c>
      <c r="D169" cm="1">
        <f t="array" ref="D169">IFERROR(INDEX(Planning!$D$44:$D$58,MATCH(1,(Planning!$A$44:$A$58='Planning Backing (Hide)'!A169)*(Planning!$B$44:$B$58='Planning Backing (Hide)'!B169),0),1),Service!E73)</f>
        <v>0</v>
      </c>
      <c r="E169">
        <f>Service!F73</f>
        <v>0</v>
      </c>
      <c r="F169" t="e">
        <f>Service!G73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Service!B74</f>
        <v>Caseload 15</v>
      </c>
      <c r="B170">
        <f>Service!C74</f>
        <v>0</v>
      </c>
      <c r="C170">
        <f>Service!D74</f>
        <v>0</v>
      </c>
      <c r="D170" cm="1">
        <f t="array" ref="D170">IFERROR(INDEX(Planning!$D$44:$D$58,MATCH(1,(Planning!$A$44:$A$58='Planning Backing (Hide)'!A170)*(Planning!$B$44:$B$58='Planning Backing (Hide)'!B170),0),1),Service!E74)</f>
        <v>0</v>
      </c>
      <c r="E170">
        <f>Service!F74</f>
        <v>0</v>
      </c>
      <c r="F170" t="e">
        <f>Service!G74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Service!B75</f>
        <v>Caseload 15</v>
      </c>
      <c r="B171">
        <f>Service!C75</f>
        <v>0</v>
      </c>
      <c r="C171">
        <f>Service!D75</f>
        <v>0</v>
      </c>
      <c r="D171" cm="1">
        <f t="array" ref="D171">IFERROR(INDEX(Planning!$D$44:$D$58,MATCH(1,(Planning!$A$44:$A$58='Planning Backing (Hide)'!A171)*(Planning!$B$44:$B$58='Planning Backing (Hide)'!B171),0),1),Service!E75)</f>
        <v>0</v>
      </c>
      <c r="E171">
        <f>Service!F75</f>
        <v>0</v>
      </c>
      <c r="F171" t="e">
        <f>Service!G75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Service!B76</f>
        <v>Caseload 15</v>
      </c>
      <c r="B172">
        <f>Service!C76</f>
        <v>0</v>
      </c>
      <c r="C172">
        <f>Service!D76</f>
        <v>0</v>
      </c>
      <c r="D172" cm="1">
        <f t="array" ref="D172">IFERROR(INDEX(Planning!$D$44:$D$58,MATCH(1,(Planning!$A$44:$A$58='Planning Backing (Hide)'!A172)*(Planning!$B$44:$B$58='Planning Backing (Hide)'!B172),0),1),Service!E76)</f>
        <v>0</v>
      </c>
      <c r="E172">
        <f>Service!F76</f>
        <v>0</v>
      </c>
      <c r="F172" t="e">
        <f>Service!G76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Service!B77</f>
        <v>Caseload 15</v>
      </c>
      <c r="B173">
        <f>Service!C77</f>
        <v>0</v>
      </c>
      <c r="C173">
        <f>Service!D77</f>
        <v>0</v>
      </c>
      <c r="D173" cm="1">
        <f t="array" ref="D173">IFERROR(INDEX(Planning!$D$44:$D$58,MATCH(1,(Planning!$A$44:$A$58='Planning Backing (Hide)'!A173)*(Planning!$B$44:$B$58='Planning Backing (Hide)'!B173),0),1),Service!E77)</f>
        <v>0</v>
      </c>
      <c r="E173">
        <f>Service!F77</f>
        <v>0</v>
      </c>
      <c r="F173" t="e">
        <f>Service!G77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Service!B78</f>
        <v>Caseload 15</v>
      </c>
      <c r="B174">
        <f>Service!C78</f>
        <v>0</v>
      </c>
      <c r="C174">
        <f>Service!D78</f>
        <v>0</v>
      </c>
      <c r="D174" cm="1">
        <f t="array" ref="D174">IFERROR(INDEX(Planning!$D$44:$D$58,MATCH(1,(Planning!$A$44:$A$58='Planning Backing (Hide)'!A174)*(Planning!$B$44:$B$58='Planning Backing (Hide)'!B174),0),1),Service!E78)</f>
        <v>0</v>
      </c>
      <c r="E174">
        <f>Service!F78</f>
        <v>0</v>
      </c>
      <c r="F174" t="e">
        <f>Service!G78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2020-12-17T13:54:00Z</dcterms:modified>
</cp:coreProperties>
</file>