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F389C76D-38E5-4DB0-ACAC-B5D83F6449BD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2" l="1"/>
  <c r="A43" i="12"/>
  <c r="B19" i="1"/>
  <c r="A19" i="1"/>
  <c r="A17" i="1"/>
  <c r="F101" i="13" l="1"/>
  <c r="F102" i="13"/>
  <c r="F103" i="13"/>
  <c r="F104" i="13"/>
  <c r="F105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F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B9" i="6" a="1"/>
  <c r="B9" i="6" s="1"/>
  <c r="A105" i="13" s="1"/>
  <c r="D105" i="13" s="1" a="1"/>
  <c r="D105" i="13" s="1"/>
  <c r="B10" i="6" a="1"/>
  <c r="B10" i="6" s="1"/>
  <c r="A106" i="13" s="1"/>
  <c r="D106" i="13" s="1" a="1"/>
  <c r="D106" i="13" s="1"/>
  <c r="B11" i="6" a="1"/>
  <c r="B11" i="6" s="1"/>
  <c r="A107" i="13" s="1"/>
  <c r="D107" i="13" s="1" a="1"/>
  <c r="D107" i="13" s="1"/>
  <c r="G107" i="13" s="1"/>
  <c r="B12" i="6" a="1"/>
  <c r="B12" i="6"/>
  <c r="A108" i="13" s="1"/>
  <c r="D108" i="13" s="1" a="1"/>
  <c r="D108" i="13" s="1"/>
  <c r="B13" i="6" a="1"/>
  <c r="B13" i="6" s="1"/>
  <c r="A109" i="13" s="1"/>
  <c r="D109" i="13" s="1" a="1"/>
  <c r="D109" i="13" s="1"/>
  <c r="B14" i="6" a="1"/>
  <c r="B14" i="6" s="1"/>
  <c r="A110" i="13" s="1"/>
  <c r="D110" i="13" s="1" a="1"/>
  <c r="D110" i="13" s="1"/>
  <c r="G110" i="13" s="1"/>
  <c r="B15" i="6" a="1"/>
  <c r="B15" i="6" s="1"/>
  <c r="A111" i="13" s="1"/>
  <c r="D111" i="13" s="1" a="1"/>
  <c r="D111" i="13" s="1"/>
  <c r="G111" i="13" s="1"/>
  <c r="B16" i="6" a="1"/>
  <c r="B16" i="6"/>
  <c r="A112" i="13" s="1"/>
  <c r="D112" i="13" s="1" a="1"/>
  <c r="D112" i="13" s="1"/>
  <c r="G112" i="13" s="1"/>
  <c r="B17" i="6" a="1"/>
  <c r="B17" i="6" s="1"/>
  <c r="A113" i="13" s="1"/>
  <c r="D113" i="13" s="1" a="1"/>
  <c r="D113" i="13" s="1"/>
  <c r="B18" i="6" a="1"/>
  <c r="B18" i="6" s="1"/>
  <c r="A114" i="13" s="1"/>
  <c r="D114" i="13" s="1" a="1"/>
  <c r="D114" i="13" s="1"/>
  <c r="B19" i="6" a="1"/>
  <c r="B19" i="6" s="1"/>
  <c r="A115" i="13" s="1"/>
  <c r="D115" i="13" s="1" a="1"/>
  <c r="D115" i="13" s="1"/>
  <c r="B20" i="6" a="1"/>
  <c r="B20" i="6"/>
  <c r="A116" i="13" s="1"/>
  <c r="D116" i="13" s="1" a="1"/>
  <c r="D116" i="13" s="1"/>
  <c r="B21" i="6" a="1"/>
  <c r="B21" i="6" s="1"/>
  <c r="A117" i="13" s="1"/>
  <c r="D117" i="13" s="1" a="1"/>
  <c r="D117" i="13" s="1"/>
  <c r="G117" i="13" s="1"/>
  <c r="B22" i="6" a="1"/>
  <c r="B22" i="6" s="1"/>
  <c r="A118" i="13" s="1"/>
  <c r="D118" i="13" s="1" a="1"/>
  <c r="D118" i="13" s="1"/>
  <c r="G118" i="13" s="1"/>
  <c r="B23" i="6" a="1"/>
  <c r="B23" i="6" s="1"/>
  <c r="A119" i="13" s="1"/>
  <c r="D119" i="13" s="1" a="1"/>
  <c r="D119" i="13" s="1"/>
  <c r="H119" i="13" s="1"/>
  <c r="B24" i="6" a="1"/>
  <c r="B24" i="6"/>
  <c r="A120" i="13" s="1"/>
  <c r="D120" i="13" s="1" a="1"/>
  <c r="D120" i="13" s="1"/>
  <c r="G120" i="13" s="1"/>
  <c r="B25" i="6" a="1"/>
  <c r="B25" i="6" s="1"/>
  <c r="A121" i="13" s="1"/>
  <c r="D121" i="13" s="1" a="1"/>
  <c r="D121" i="13" s="1"/>
  <c r="G121" i="13" s="1"/>
  <c r="B26" i="6" a="1"/>
  <c r="B26" i="6" s="1"/>
  <c r="A122" i="13" s="1"/>
  <c r="D122" i="13" s="1" a="1"/>
  <c r="D122" i="13" s="1"/>
  <c r="G122" i="13" s="1"/>
  <c r="B27" i="6" a="1"/>
  <c r="B27" i="6" s="1"/>
  <c r="A123" i="13" s="1"/>
  <c r="D123" i="13" s="1" a="1"/>
  <c r="D123" i="13" s="1"/>
  <c r="G123" i="13" s="1"/>
  <c r="B28" i="6" a="1"/>
  <c r="B28" i="6"/>
  <c r="A124" i="13" s="1"/>
  <c r="D124" i="13" s="1" a="1"/>
  <c r="D124" i="13" s="1"/>
  <c r="B29" i="6" a="1"/>
  <c r="B29" i="6" s="1"/>
  <c r="A125" i="13" s="1"/>
  <c r="D125" i="13" s="1" a="1"/>
  <c r="D125" i="13" s="1"/>
  <c r="G125" i="13" s="1"/>
  <c r="B30" i="6" a="1"/>
  <c r="B30" i="6" s="1"/>
  <c r="A126" i="13" s="1"/>
  <c r="D126" i="13" s="1" a="1"/>
  <c r="D126" i="13" s="1"/>
  <c r="G126" i="13" s="1"/>
  <c r="B31" i="6" a="1"/>
  <c r="B31" i="6" s="1"/>
  <c r="A127" i="13" s="1"/>
  <c r="D127" i="13" s="1" a="1"/>
  <c r="D127" i="13" s="1"/>
  <c r="B32" i="6" a="1"/>
  <c r="B32" i="6"/>
  <c r="A128" i="13" s="1"/>
  <c r="D128" i="13" s="1" a="1"/>
  <c r="D128" i="13" s="1"/>
  <c r="G128" i="13" s="1"/>
  <c r="B33" i="6" a="1"/>
  <c r="B33" i="6" s="1"/>
  <c r="A129" i="13" s="1"/>
  <c r="D129" i="13" s="1" a="1"/>
  <c r="D129" i="13" s="1"/>
  <c r="I129" i="13" s="1"/>
  <c r="B34" i="6" a="1"/>
  <c r="B34" i="6" s="1"/>
  <c r="A130" i="13" s="1"/>
  <c r="D130" i="13" s="1" a="1"/>
  <c r="D130" i="13" s="1"/>
  <c r="B35" i="6" a="1"/>
  <c r="B35" i="6" s="1"/>
  <c r="A131" i="13" s="1"/>
  <c r="D131" i="13" s="1" a="1"/>
  <c r="D131" i="13" s="1"/>
  <c r="B36" i="6" a="1"/>
  <c r="B36" i="6"/>
  <c r="A132" i="13" s="1"/>
  <c r="D132" i="13" s="1" a="1"/>
  <c r="D132" i="13" s="1"/>
  <c r="G132" i="13" s="1"/>
  <c r="B37" i="6" a="1"/>
  <c r="B37" i="6" s="1"/>
  <c r="A133" i="13" s="1"/>
  <c r="D133" i="13" s="1" a="1"/>
  <c r="D133" i="13" s="1"/>
  <c r="G133" i="13" s="1"/>
  <c r="B38" i="6" a="1"/>
  <c r="B38" i="6" s="1"/>
  <c r="A134" i="13" s="1"/>
  <c r="D134" i="13" s="1" a="1"/>
  <c r="D134" i="13" s="1"/>
  <c r="B39" i="6" a="1"/>
  <c r="B39" i="6" s="1"/>
  <c r="A135" i="13" s="1"/>
  <c r="D135" i="13" s="1" a="1"/>
  <c r="D135" i="13" s="1"/>
  <c r="G135" i="13" s="1"/>
  <c r="B40" i="6" a="1"/>
  <c r="B40" i="6"/>
  <c r="A136" i="13" s="1"/>
  <c r="D136" i="13" s="1" a="1"/>
  <c r="D136" i="13" s="1"/>
  <c r="G136" i="13" s="1"/>
  <c r="B41" i="6" a="1"/>
  <c r="B41" i="6" s="1"/>
  <c r="A137" i="13" s="1"/>
  <c r="D137" i="13" s="1" a="1"/>
  <c r="D137" i="13" s="1"/>
  <c r="G137" i="13" s="1"/>
  <c r="B42" i="6" a="1"/>
  <c r="B42" i="6" s="1"/>
  <c r="A138" i="13" s="1"/>
  <c r="D138" i="13" s="1" a="1"/>
  <c r="D138" i="13" s="1"/>
  <c r="B43" i="6" a="1"/>
  <c r="B43" i="6" s="1"/>
  <c r="A139" i="13" s="1"/>
  <c r="D139" i="13" s="1" a="1"/>
  <c r="D139" i="13" s="1"/>
  <c r="B44" i="6" a="1"/>
  <c r="B44" i="6"/>
  <c r="A140" i="13" s="1"/>
  <c r="D140" i="13" s="1" a="1"/>
  <c r="D140" i="13" s="1"/>
  <c r="B45" i="6" a="1"/>
  <c r="B45" i="6" s="1"/>
  <c r="A141" i="13" s="1"/>
  <c r="D141" i="13" s="1" a="1"/>
  <c r="D141" i="13" s="1"/>
  <c r="G141" i="13" s="1"/>
  <c r="B46" i="6" a="1"/>
  <c r="B46" i="6" s="1"/>
  <c r="A142" i="13" s="1"/>
  <c r="D142" i="13" s="1" a="1"/>
  <c r="D142" i="13" s="1"/>
  <c r="B47" i="6" a="1"/>
  <c r="B47" i="6" s="1"/>
  <c r="A143" i="13" s="1"/>
  <c r="D143" i="13" s="1" a="1"/>
  <c r="D143" i="13" s="1"/>
  <c r="G143" i="13" s="1"/>
  <c r="B48" i="6" a="1"/>
  <c r="B48" i="6"/>
  <c r="A144" i="13" s="1"/>
  <c r="D144" i="13" s="1" a="1"/>
  <c r="D144" i="13" s="1"/>
  <c r="B49" i="6" a="1"/>
  <c r="B49" i="6" s="1"/>
  <c r="A145" i="13" s="1"/>
  <c r="D145" i="13" s="1" a="1"/>
  <c r="D145" i="13" s="1"/>
  <c r="G145" i="13" s="1"/>
  <c r="B50" i="6" a="1"/>
  <c r="B50" i="6" s="1"/>
  <c r="A146" i="13" s="1"/>
  <c r="D146" i="13" s="1" a="1"/>
  <c r="D146" i="13" s="1"/>
  <c r="B51" i="6" a="1"/>
  <c r="B51" i="6" s="1"/>
  <c r="A147" i="13" s="1"/>
  <c r="D147" i="13" s="1" a="1"/>
  <c r="D147" i="13" s="1"/>
  <c r="G147" i="13" s="1"/>
  <c r="B52" i="6" a="1"/>
  <c r="B52" i="6"/>
  <c r="A148" i="13" s="1"/>
  <c r="D148" i="13" s="1" a="1"/>
  <c r="D148" i="13" s="1"/>
  <c r="G148" i="13" s="1"/>
  <c r="B53" i="6" a="1"/>
  <c r="B53" i="6" s="1"/>
  <c r="A149" i="13" s="1"/>
  <c r="D149" i="13" s="1" a="1"/>
  <c r="D149" i="13" s="1"/>
  <c r="B54" i="6" a="1"/>
  <c r="B54" i="6" s="1"/>
  <c r="A150" i="13" s="1"/>
  <c r="D150" i="13" s="1" a="1"/>
  <c r="D150" i="13" s="1"/>
  <c r="G150" i="13" s="1"/>
  <c r="B55" i="6" a="1"/>
  <c r="B55" i="6" s="1"/>
  <c r="A151" i="13" s="1"/>
  <c r="D151" i="13" s="1" a="1"/>
  <c r="D151" i="13" s="1"/>
  <c r="G151" i="13" s="1"/>
  <c r="B56" i="6" a="1"/>
  <c r="B56" i="6"/>
  <c r="A152" i="13" s="1"/>
  <c r="D152" i="13" s="1" a="1"/>
  <c r="D152" i="13" s="1"/>
  <c r="G152" i="13" s="1"/>
  <c r="B57" i="6" a="1"/>
  <c r="B57" i="6" s="1"/>
  <c r="A153" i="13" s="1"/>
  <c r="D153" i="13" s="1" a="1"/>
  <c r="D153" i="13" s="1"/>
  <c r="B58" i="6" a="1"/>
  <c r="B58" i="6" s="1"/>
  <c r="A154" i="13" s="1"/>
  <c r="D154" i="13" s="1" a="1"/>
  <c r="D154" i="13" s="1"/>
  <c r="B59" i="6" a="1"/>
  <c r="B59" i="6" s="1"/>
  <c r="A155" i="13" s="1"/>
  <c r="D155" i="13" s="1" a="1"/>
  <c r="D155" i="13" s="1"/>
  <c r="G155" i="13" s="1"/>
  <c r="B60" i="6" a="1"/>
  <c r="B60" i="6"/>
  <c r="A156" i="13" s="1"/>
  <c r="D156" i="13" s="1" a="1"/>
  <c r="D156" i="13" s="1"/>
  <c r="G156" i="13" s="1"/>
  <c r="B61" i="6" a="1"/>
  <c r="B61" i="6" s="1"/>
  <c r="A157" i="13" s="1"/>
  <c r="D157" i="13" s="1" a="1"/>
  <c r="D157" i="13" s="1"/>
  <c r="G157" i="13" s="1"/>
  <c r="B62" i="6" a="1"/>
  <c r="B62" i="6" s="1"/>
  <c r="A158" i="13" s="1"/>
  <c r="D158" i="13" s="1" a="1"/>
  <c r="D158" i="13" s="1"/>
  <c r="B63" i="6" a="1"/>
  <c r="B63" i="6" s="1"/>
  <c r="A159" i="13" s="1"/>
  <c r="D159" i="13" s="1" a="1"/>
  <c r="D159" i="13" s="1"/>
  <c r="H159" i="13" s="1"/>
  <c r="B64" i="6" a="1"/>
  <c r="B64" i="6"/>
  <c r="A160" i="13" s="1"/>
  <c r="D160" i="13" s="1" a="1"/>
  <c r="D160" i="13" s="1"/>
  <c r="G160" i="13" s="1"/>
  <c r="B65" i="6" a="1"/>
  <c r="B65" i="6" s="1"/>
  <c r="A161" i="13" s="1"/>
  <c r="D161" i="13" s="1" a="1"/>
  <c r="D161" i="13" s="1"/>
  <c r="G161" i="13" s="1"/>
  <c r="B66" i="6" a="1"/>
  <c r="B66" i="6" s="1"/>
  <c r="A162" i="13" s="1"/>
  <c r="D162" i="13" s="1" a="1"/>
  <c r="D162" i="13" s="1"/>
  <c r="B67" i="6" a="1"/>
  <c r="B67" i="6" s="1"/>
  <c r="A163" i="13" s="1"/>
  <c r="D163" i="13" s="1" a="1"/>
  <c r="D163" i="13" s="1"/>
  <c r="G163" i="13" s="1"/>
  <c r="B68" i="6" a="1"/>
  <c r="B68" i="6"/>
  <c r="A164" i="13" s="1"/>
  <c r="D164" i="13" s="1" a="1"/>
  <c r="D164" i="13" s="1"/>
  <c r="G164" i="13" s="1"/>
  <c r="B69" i="6" a="1"/>
  <c r="B69" i="6" s="1"/>
  <c r="A165" i="13" s="1"/>
  <c r="D165" i="13" s="1" a="1"/>
  <c r="D165" i="13" s="1"/>
  <c r="G165" i="13" s="1"/>
  <c r="B70" i="6" a="1"/>
  <c r="B70" i="6" s="1"/>
  <c r="A166" i="13" s="1"/>
  <c r="D166" i="13" s="1" a="1"/>
  <c r="D166" i="13" s="1"/>
  <c r="B71" i="6" a="1"/>
  <c r="B71" i="6" s="1"/>
  <c r="A167" i="13" s="1"/>
  <c r="D167" i="13" s="1" a="1"/>
  <c r="D167" i="13" s="1"/>
  <c r="G167" i="13" s="1"/>
  <c r="B72" i="6" a="1"/>
  <c r="B72" i="6"/>
  <c r="A168" i="13" s="1"/>
  <c r="D168" i="13" s="1" a="1"/>
  <c r="D168" i="13" s="1"/>
  <c r="B73" i="6" a="1"/>
  <c r="B73" i="6" s="1"/>
  <c r="A169" i="13" s="1"/>
  <c r="D169" i="13" s="1" a="1"/>
  <c r="D169" i="13" s="1"/>
  <c r="I169" i="13" s="1"/>
  <c r="B74" i="6" a="1"/>
  <c r="B74" i="6" s="1"/>
  <c r="A170" i="13" s="1"/>
  <c r="D170" i="13" s="1" a="1"/>
  <c r="D170" i="13" s="1"/>
  <c r="G170" i="13" s="1"/>
  <c r="B75" i="6" a="1"/>
  <c r="B75" i="6" s="1"/>
  <c r="A171" i="13" s="1"/>
  <c r="D171" i="13" s="1" a="1"/>
  <c r="D171" i="13" s="1"/>
  <c r="G171" i="13" s="1"/>
  <c r="B76" i="6" a="1"/>
  <c r="B76" i="6"/>
  <c r="A172" i="13" s="1"/>
  <c r="D172" i="13" s="1" a="1"/>
  <c r="D172" i="13" s="1"/>
  <c r="B77" i="6" a="1"/>
  <c r="B77" i="6" s="1"/>
  <c r="A173" i="13" s="1"/>
  <c r="D173" i="13" s="1" a="1"/>
  <c r="D173" i="13" s="1"/>
  <c r="G173" i="13" s="1"/>
  <c r="B78" i="6" a="1"/>
  <c r="B78" i="6" s="1"/>
  <c r="A174" i="13" s="1"/>
  <c r="D174" i="13" s="1" a="1"/>
  <c r="D174" i="13" s="1"/>
  <c r="H20" i="14"/>
  <c r="I20" i="14" s="1"/>
  <c r="I149" i="13" l="1"/>
  <c r="H149" i="13"/>
  <c r="H139" i="13"/>
  <c r="G139" i="13"/>
  <c r="I109" i="13"/>
  <c r="H109" i="13"/>
  <c r="I116" i="13"/>
  <c r="H108" i="13"/>
  <c r="G159" i="13"/>
  <c r="G169" i="13"/>
  <c r="G149" i="13"/>
  <c r="H157" i="13"/>
  <c r="I140" i="13"/>
  <c r="I144" i="13"/>
  <c r="G144" i="13"/>
  <c r="G142" i="13"/>
  <c r="H141" i="13"/>
  <c r="G134" i="13"/>
  <c r="I134" i="13"/>
  <c r="H133" i="13"/>
  <c r="I124" i="13"/>
  <c r="H124" i="13"/>
  <c r="G124" i="13"/>
  <c r="G158" i="13"/>
  <c r="H169" i="13"/>
  <c r="I159" i="13"/>
  <c r="H132" i="13"/>
  <c r="G129" i="13"/>
  <c r="G109" i="13"/>
  <c r="H125" i="13"/>
  <c r="I162" i="13"/>
  <c r="H162" i="13"/>
  <c r="G162" i="13"/>
  <c r="G130" i="13"/>
  <c r="I130" i="13"/>
  <c r="H130" i="13"/>
  <c r="I168" i="13"/>
  <c r="I167" i="13"/>
  <c r="H168" i="13"/>
  <c r="G168" i="13"/>
  <c r="G138" i="13"/>
  <c r="H136" i="13"/>
  <c r="I135" i="13"/>
  <c r="H146" i="13"/>
  <c r="I146" i="13"/>
  <c r="G146" i="13"/>
  <c r="G114" i="13"/>
  <c r="H113" i="13"/>
  <c r="I114" i="13"/>
  <c r="H114" i="13"/>
  <c r="I154" i="13"/>
  <c r="H153" i="13"/>
  <c r="I151" i="13"/>
  <c r="H154" i="13"/>
  <c r="G154" i="13"/>
  <c r="H152" i="13"/>
  <c r="G116" i="13"/>
  <c r="H164" i="13"/>
  <c r="H156" i="13"/>
  <c r="H118" i="13"/>
  <c r="I158" i="13"/>
  <c r="I148" i="13"/>
  <c r="I119" i="13"/>
  <c r="I108" i="13"/>
  <c r="I153" i="13"/>
  <c r="I113" i="13"/>
  <c r="G153" i="13"/>
  <c r="G140" i="13"/>
  <c r="G127" i="13"/>
  <c r="G113" i="13"/>
  <c r="G108" i="13"/>
  <c r="H148" i="13"/>
  <c r="H134" i="13"/>
  <c r="H129" i="13"/>
  <c r="H117" i="13"/>
  <c r="I164" i="13"/>
  <c r="I156" i="13"/>
  <c r="I132" i="13"/>
  <c r="I118" i="13"/>
  <c r="H163" i="13"/>
  <c r="I160" i="13"/>
  <c r="H155" i="13"/>
  <c r="I150" i="13"/>
  <c r="H147" i="13"/>
  <c r="H131" i="13"/>
  <c r="I128" i="13"/>
  <c r="H123" i="13"/>
  <c r="H120" i="13"/>
  <c r="I115" i="13"/>
  <c r="I112" i="13"/>
  <c r="H107" i="13"/>
  <c r="G119" i="13"/>
  <c r="H158" i="13"/>
  <c r="H116" i="13"/>
  <c r="I157" i="13"/>
  <c r="I133" i="13"/>
  <c r="I117" i="13"/>
  <c r="G174" i="13"/>
  <c r="H173" i="13"/>
  <c r="I174" i="13"/>
  <c r="H174" i="13"/>
  <c r="H172" i="13"/>
  <c r="I172" i="13"/>
  <c r="G172" i="13"/>
  <c r="I166" i="13"/>
  <c r="H166" i="13"/>
  <c r="G166" i="13"/>
  <c r="H165" i="13"/>
  <c r="I170" i="13"/>
  <c r="H170" i="13"/>
  <c r="H160" i="13"/>
  <c r="H144" i="13"/>
  <c r="H138" i="13"/>
  <c r="H128" i="13"/>
  <c r="H122" i="13"/>
  <c r="H112" i="13"/>
  <c r="I143" i="13"/>
  <c r="I138" i="13"/>
  <c r="I127" i="13"/>
  <c r="I122" i="13"/>
  <c r="I111" i="13"/>
  <c r="I106" i="13"/>
  <c r="H167" i="13"/>
  <c r="H151" i="13"/>
  <c r="H143" i="13"/>
  <c r="H135" i="13"/>
  <c r="H127" i="13"/>
  <c r="H111" i="13"/>
  <c r="H142" i="13"/>
  <c r="H137" i="13"/>
  <c r="H126" i="13"/>
  <c r="H121" i="13"/>
  <c r="H110" i="13"/>
  <c r="I163" i="13"/>
  <c r="I152" i="13"/>
  <c r="I147" i="13"/>
  <c r="I142" i="13"/>
  <c r="I136" i="13"/>
  <c r="I131" i="13"/>
  <c r="I126" i="13"/>
  <c r="I120" i="13"/>
  <c r="I110" i="13"/>
  <c r="I161" i="13"/>
  <c r="I145" i="13"/>
  <c r="I137" i="13"/>
  <c r="I121" i="13"/>
  <c r="G105" i="13"/>
  <c r="I105" i="13" s="1"/>
  <c r="H171" i="13"/>
  <c r="G131" i="13"/>
  <c r="G115" i="13"/>
  <c r="H115" i="13" s="1"/>
  <c r="H161" i="13"/>
  <c r="H150" i="13"/>
  <c r="H145" i="13"/>
  <c r="H140" i="13"/>
  <c r="I171" i="13"/>
  <c r="I155" i="13"/>
  <c r="I139" i="13"/>
  <c r="I123" i="13"/>
  <c r="I107" i="13"/>
  <c r="I173" i="13"/>
  <c r="I165" i="13"/>
  <c r="I141" i="13"/>
  <c r="I125" i="13"/>
  <c r="J20" i="14"/>
  <c r="K20" i="14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B36" i="8" a="1"/>
  <c r="B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B31" i="8" a="1"/>
  <c r="B31" i="8" s="1"/>
  <c r="A62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L20" i="14" l="1"/>
  <c r="I6" i="12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F106" i="13" s="1"/>
  <c r="G106" i="13" s="1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H105" i="13" l="1"/>
  <c r="H106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4" i="6" l="1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I64" i="13" s="1"/>
  <c r="B4" i="3"/>
  <c r="I65" i="13" s="1"/>
  <c r="B5" i="3"/>
  <c r="I66" i="13" s="1"/>
  <c r="B6" i="3"/>
  <c r="I67" i="13" s="1"/>
  <c r="B7" i="3"/>
  <c r="I68" i="13" s="1"/>
  <c r="B8" i="3"/>
  <c r="I69" i="13" s="1"/>
  <c r="B9" i="3"/>
  <c r="I70" i="13" s="1"/>
  <c r="B10" i="3"/>
  <c r="I71" i="13" s="1"/>
  <c r="B11" i="3"/>
  <c r="I72" i="13" s="1"/>
  <c r="B12" i="3"/>
  <c r="I73" i="13" s="1"/>
  <c r="B13" i="3"/>
  <c r="I74" i="13" s="1"/>
  <c r="B14" i="3"/>
  <c r="I75" i="13" s="1"/>
  <c r="B15" i="3"/>
  <c r="I76" i="13" s="1"/>
  <c r="B16" i="3"/>
  <c r="I77" i="13" s="1"/>
  <c r="B2" i="3"/>
  <c r="B5" i="6" l="1" a="1"/>
  <c r="B5" i="6" s="1"/>
  <c r="A101" i="13" s="1"/>
  <c r="D101" i="13" s="1" a="1"/>
  <c r="D101" i="13" s="1"/>
  <c r="B8" i="6" a="1"/>
  <c r="B8" i="6" s="1"/>
  <c r="A104" i="13" s="1"/>
  <c r="D104" i="13" s="1" a="1"/>
  <c r="D104" i="13" s="1"/>
  <c r="B7" i="6" a="1"/>
  <c r="B7" i="6" s="1"/>
  <c r="A103" i="13" s="1"/>
  <c r="D103" i="13" s="1" a="1"/>
  <c r="D103" i="13" s="1"/>
  <c r="B4" i="6" a="1"/>
  <c r="B4" i="6" s="1"/>
  <c r="B6" i="6" a="1"/>
  <c r="B6" i="6" s="1"/>
  <c r="A102" i="13" s="1"/>
  <c r="D102" i="13" s="1" a="1"/>
  <c r="D102" i="13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I103" i="13" l="1"/>
  <c r="G103" i="13"/>
  <c r="H103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I104" i="13"/>
  <c r="H104" i="13"/>
  <c r="G104" i="13"/>
  <c r="G102" i="13"/>
  <c r="I102" i="13"/>
  <c r="H102" i="13"/>
  <c r="G101" i="13"/>
  <c r="H101" i="13" s="1"/>
  <c r="I101" i="13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D100" i="13" l="1" a="1"/>
  <c r="D100" i="13" s="1"/>
  <c r="C26" i="13"/>
  <c r="B23" i="13"/>
  <c r="B26" i="13"/>
  <c r="C22" i="13"/>
  <c r="C31" i="13"/>
  <c r="B24" i="13"/>
  <c r="C29" i="13"/>
  <c r="B31" i="13"/>
  <c r="B28" i="13"/>
  <c r="B30" i="13"/>
  <c r="C35" i="13"/>
  <c r="C27" i="13"/>
  <c r="B34" i="13"/>
  <c r="C32" i="13"/>
  <c r="C30" i="13"/>
  <c r="B35" i="13"/>
  <c r="B33" i="13"/>
  <c r="C24" i="13"/>
  <c r="C34" i="13"/>
  <c r="B25" i="13"/>
  <c r="C23" i="13"/>
  <c r="C25" i="13"/>
  <c r="B32" i="13"/>
  <c r="C28" i="13"/>
  <c r="C33" i="13"/>
  <c r="B29" i="13"/>
  <c r="B27" i="13"/>
  <c r="B22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C11" i="2"/>
  <c r="A12" i="2"/>
  <c r="E12" i="2" s="1"/>
  <c r="B31" i="12" l="1"/>
  <c r="F27" i="13"/>
  <c r="B36" i="12"/>
  <c r="F32" i="13"/>
  <c r="C38" i="12"/>
  <c r="G34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C27" i="12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G22" i="13" l="1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F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83" i="13" l="1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C7" i="14" s="1"/>
  <c r="H7" i="14" s="1"/>
  <c r="F16" i="5"/>
  <c r="C5" i="14" s="1"/>
  <c r="H5" i="14" s="1"/>
  <c r="P16" i="5"/>
  <c r="C15" i="14" s="1"/>
  <c r="H15" i="14" s="1"/>
  <c r="I16" i="5"/>
  <c r="C8" i="14" s="1"/>
  <c r="H8" i="14" s="1"/>
  <c r="Q16" i="5"/>
  <c r="C16" i="14" s="1"/>
  <c r="H16" i="14" s="1"/>
  <c r="K16" i="5"/>
  <c r="C10" i="14" s="1"/>
  <c r="H10" i="14" s="1"/>
  <c r="N16" i="5"/>
  <c r="C13" i="14" s="1"/>
  <c r="H13" i="14" s="1"/>
  <c r="S16" i="5"/>
  <c r="C18" i="14" s="1"/>
  <c r="H18" i="14" s="1"/>
  <c r="M16" i="5"/>
  <c r="C12" i="14" s="1"/>
  <c r="H12" i="14" s="1"/>
  <c r="J16" i="5"/>
  <c r="C9" i="14" s="1"/>
  <c r="H9" i="14" s="1"/>
  <c r="R16" i="5"/>
  <c r="C17" i="14" s="1"/>
  <c r="H17" i="14" s="1"/>
  <c r="G16" i="5"/>
  <c r="C6" i="14" s="1"/>
  <c r="H6" i="14" s="1"/>
  <c r="L16" i="5"/>
  <c r="C11" i="14" s="1"/>
  <c r="H11" i="14" s="1"/>
  <c r="T16" i="5"/>
  <c r="C19" i="14" s="1"/>
  <c r="H19" i="14" s="1"/>
  <c r="O16" i="5"/>
  <c r="C14" i="14" s="1"/>
  <c r="H14" i="14" s="1"/>
  <c r="V15" i="5" a="1"/>
  <c r="V15" i="5" s="1"/>
  <c r="X15" i="5" a="1"/>
  <c r="X15" i="5" s="1"/>
  <c r="AK7" i="5"/>
  <c r="AJ13" i="5"/>
  <c r="A23" i="2"/>
  <c r="E23" i="2" s="1"/>
  <c r="C22" i="2"/>
  <c r="B17" i="5" s="1"/>
  <c r="I5" i="14" l="1"/>
  <c r="K5" i="14"/>
  <c r="J5" i="14"/>
  <c r="I19" i="14"/>
  <c r="K19" i="14"/>
  <c r="J19" i="14"/>
  <c r="I9" i="14"/>
  <c r="J9" i="14"/>
  <c r="K9" i="14"/>
  <c r="I11" i="14"/>
  <c r="K11" i="14"/>
  <c r="J11" i="14"/>
  <c r="I12" i="14"/>
  <c r="J12" i="14"/>
  <c r="K12" i="14"/>
  <c r="I16" i="14"/>
  <c r="K16" i="14"/>
  <c r="J16" i="14"/>
  <c r="I7" i="14"/>
  <c r="K7" i="14"/>
  <c r="J7" i="14"/>
  <c r="I6" i="14"/>
  <c r="K6" i="14"/>
  <c r="J6" i="14"/>
  <c r="I18" i="14"/>
  <c r="J18" i="14"/>
  <c r="K18" i="14"/>
  <c r="I8" i="14"/>
  <c r="J8" i="14"/>
  <c r="K8" i="14"/>
  <c r="I10" i="14"/>
  <c r="J10" i="14"/>
  <c r="K10" i="14"/>
  <c r="I14" i="14"/>
  <c r="K14" i="14"/>
  <c r="J14" i="14"/>
  <c r="I17" i="14"/>
  <c r="J17" i="14"/>
  <c r="K17" i="14"/>
  <c r="I13" i="14"/>
  <c r="J13" i="14"/>
  <c r="K13" i="14"/>
  <c r="I15" i="14"/>
  <c r="K15" i="14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L12" i="14" l="1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Q5" i="7"/>
  <c r="AR43" i="7"/>
  <c r="AP26" i="7"/>
  <c r="AR26" i="7"/>
  <c r="AD19" i="7"/>
  <c r="AD10" i="7"/>
  <c r="AD26" i="7"/>
  <c r="AS7" i="7"/>
  <c r="AQ14" i="7"/>
  <c r="AR5" i="7"/>
  <c r="AP40" i="7"/>
  <c r="AR22" i="7"/>
  <c r="AP18" i="7"/>
  <c r="AQ7" i="7"/>
  <c r="AS31" i="7"/>
  <c r="AS44" i="7"/>
  <c r="AQ27" i="7"/>
  <c r="AP29" i="7"/>
  <c r="AR45" i="7"/>
  <c r="AR46" i="7"/>
  <c r="AP42" i="7"/>
  <c r="AP37" i="7"/>
  <c r="AR17" i="7"/>
  <c r="AJ48" i="7"/>
  <c r="AD17" i="7"/>
  <c r="AF56" i="7"/>
  <c r="AD24" i="7"/>
  <c r="AS15" i="7"/>
  <c r="AQ30" i="7"/>
  <c r="AQ17" i="7"/>
  <c r="AS50" i="7"/>
  <c r="AS23" i="7"/>
  <c r="AS38" i="7"/>
  <c r="AR12" i="7"/>
  <c r="AP54" i="7"/>
  <c r="AR44" i="7"/>
  <c r="AP7" i="7"/>
  <c r="AR9" i="7"/>
  <c r="AR24" i="7"/>
  <c r="AL47" i="7"/>
  <c r="AF26" i="7"/>
  <c r="AF55" i="7"/>
  <c r="AF52" i="7"/>
  <c r="AD9" i="7"/>
  <c r="AQ11" i="7"/>
  <c r="AQ26" i="7"/>
  <c r="AQ29" i="7"/>
  <c r="AQ9" i="7"/>
  <c r="AS36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18" i="7"/>
  <c r="BU34" i="7"/>
  <c r="BW15" i="7"/>
  <c r="BW46" i="7"/>
  <c r="BU41" i="7"/>
  <c r="BU40" i="7"/>
  <c r="BU42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CM47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CM44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17" i="7"/>
  <c r="BU30" i="7"/>
  <c r="BW12" i="7"/>
  <c r="BU56" i="7"/>
  <c r="BU8" i="7"/>
  <c r="BU39" i="7"/>
  <c r="BW47" i="7"/>
  <c r="BW52" i="7"/>
  <c r="BU12" i="7"/>
  <c r="BU22" i="7"/>
  <c r="BU46" i="7"/>
  <c r="BW8" i="7"/>
  <c r="BU52" i="7"/>
  <c r="BU36" i="7"/>
  <c r="BU29" i="7"/>
  <c r="BW28" i="7"/>
  <c r="BW33" i="7"/>
  <c r="BW14" i="7"/>
  <c r="BU28" i="7"/>
  <c r="BU35" i="7"/>
  <c r="BW51" i="7"/>
  <c r="BU7" i="7"/>
  <c r="BU19" i="7"/>
  <c r="BW34" i="7"/>
  <c r="BU27" i="7"/>
  <c r="BU9" i="7"/>
  <c r="BW38" i="7"/>
  <c r="BW32" i="7"/>
  <c r="BW6" i="7"/>
  <c r="BW22" i="7"/>
  <c r="BU26" i="7"/>
  <c r="BW13" i="7"/>
  <c r="BU10" i="7"/>
  <c r="BW9" i="7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B236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V22" i="7" l="1"/>
  <c r="AG52" i="7"/>
  <c r="AE31" i="7"/>
  <c r="AE40" i="7"/>
  <c r="CP51" i="7"/>
  <c r="V23" i="7"/>
  <c r="AG25" i="7"/>
  <c r="AE11" i="7"/>
  <c r="AG50" i="7"/>
  <c r="CJ33" i="7"/>
  <c r="BL53" i="7"/>
  <c r="BL40" i="7"/>
  <c r="BL7" i="7"/>
  <c r="A139" i="10"/>
  <c r="I9" i="13"/>
  <c r="BY12" i="7"/>
  <c r="AY27" i="7"/>
  <c r="AT24" i="7"/>
  <c r="AQ25" i="7"/>
  <c r="AS51" i="7"/>
  <c r="AQ18" i="7"/>
  <c r="AS27" i="7"/>
  <c r="AU27" i="7" s="1"/>
  <c r="AQ50" i="7"/>
  <c r="AU50" i="7" s="1"/>
  <c r="AQ46" i="7"/>
  <c r="AS9" i="7"/>
  <c r="AU9" i="7" s="1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Y41" i="7" s="1"/>
  <c r="BW50" i="7"/>
  <c r="BW26" i="7"/>
  <c r="BY26" i="7" s="1"/>
  <c r="BU21" i="7"/>
  <c r="BW5" i="7"/>
  <c r="BU17" i="7"/>
  <c r="BY17" i="7" s="1"/>
  <c r="BW7" i="7"/>
  <c r="BY7" i="7" s="1"/>
  <c r="BW20" i="7"/>
  <c r="BU48" i="7"/>
  <c r="BU33" i="7"/>
  <c r="BY33" i="7" s="1"/>
  <c r="BU38" i="7"/>
  <c r="BY38" i="7" s="1"/>
  <c r="BW21" i="7"/>
  <c r="BW49" i="7"/>
  <c r="BU24" i="7"/>
  <c r="BU31" i="7"/>
  <c r="BW53" i="7"/>
  <c r="BU15" i="7"/>
  <c r="BY15" i="7" s="1"/>
  <c r="BW18" i="7"/>
  <c r="BY18" i="7" s="1"/>
  <c r="BU43" i="7"/>
  <c r="BW23" i="7"/>
  <c r="BU13" i="7"/>
  <c r="BY13" i="7" s="1"/>
  <c r="AS46" i="7"/>
  <c r="AS19" i="7"/>
  <c r="AS11" i="7"/>
  <c r="AU11" i="7" s="1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U14" i="7" s="1"/>
  <c r="AS18" i="7"/>
  <c r="AQ33" i="7"/>
  <c r="AS21" i="7"/>
  <c r="AQ38" i="7"/>
  <c r="AU38" i="7" s="1"/>
  <c r="AQ36" i="7"/>
  <c r="AU36" i="7" s="1"/>
  <c r="AS55" i="7"/>
  <c r="AA72" i="5"/>
  <c r="BU37" i="7"/>
  <c r="BW11" i="7"/>
  <c r="BY11" i="7" s="1"/>
  <c r="BU25" i="7"/>
  <c r="BW42" i="7"/>
  <c r="BY42" i="7" s="1"/>
  <c r="BW44" i="7"/>
  <c r="BW43" i="7"/>
  <c r="BU55" i="7"/>
  <c r="BW30" i="7"/>
  <c r="BY30" i="7" s="1"/>
  <c r="BW55" i="7"/>
  <c r="BW19" i="7"/>
  <c r="BY19" i="7" s="1"/>
  <c r="BU47" i="7"/>
  <c r="BY47" i="7" s="1"/>
  <c r="BU45" i="7"/>
  <c r="BW31" i="7"/>
  <c r="BW16" i="7"/>
  <c r="BY16" i="7" s="1"/>
  <c r="BW24" i="7"/>
  <c r="BW39" i="7"/>
  <c r="BY39" i="7" s="1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U23" i="7" s="1"/>
  <c r="AS47" i="7"/>
  <c r="AQ56" i="7"/>
  <c r="AQ51" i="7"/>
  <c r="AQ28" i="7"/>
  <c r="AU28" i="7" s="1"/>
  <c r="AS34" i="7"/>
  <c r="AS54" i="7"/>
  <c r="AS26" i="7"/>
  <c r="AU26" i="7" s="1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U31" i="7" s="1"/>
  <c r="AQ47" i="7"/>
  <c r="AS5" i="7"/>
  <c r="AU5" i="7" s="1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AU30" i="7" s="1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U29" i="7" s="1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BY56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8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BY52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BY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I30" i="7" l="1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CC38" i="13" s="1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AG49" i="13" l="1"/>
  <c r="CU47" i="13"/>
  <c r="A141" i="10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2" i="8" l="1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<sst xmlns="http://schemas.openxmlformats.org/spreadsheetml/2006/main" count="822" uniqueCount="208">
  <si>
    <t>Organisation Name</t>
  </si>
  <si>
    <t>Service Name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</si>
  <si>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</si>
  <si>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</si>
  <si>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</si>
  <si>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</si>
  <si>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</si>
  <si>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</si>
  <si>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</si>
  <si>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</si>
  <si>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</si>
  <si>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</si>
  <si>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</si>
  <si>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</si>
  <si>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</si>
  <si>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</si>
  <si>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</si>
  <si>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</si>
  <si>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</si>
  <si>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</si>
  <si>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</si>
  <si>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</si>
  <si>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</si>
  <si>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</si>
  <si>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</si>
  <si>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</si>
  <si>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</si>
  <si>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</si>
  <si>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</si>
  <si>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</si>
  <si>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</si>
  <si>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</si>
  <si>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</si>
  <si>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</si>
  <si>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</si>
  <si>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</si>
  <si>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</si>
  <si>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</si>
  <si>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</si>
  <si>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</si>
  <si>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</si>
  <si>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</si>
  <si>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</si>
  <si>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</si>
  <si>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</si>
  <si>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</si>
  <si>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</si>
  <si>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</si>
  <si>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</si>
  <si>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</si>
  <si>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</si>
  <si>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</si>
  <si>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</si>
  <si>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</si>
  <si>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</si>
  <si>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</si>
  <si>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</si>
  <si>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</si>
  <si>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</si>
  <si>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</si>
  <si>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</si>
  <si>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</si>
  <si>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</si>
  <si>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</si>
  <si>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</si>
  <si>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</si>
  <si>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</si>
  <si>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</si>
  <si>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</si>
  <si>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</si>
  <si>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</si>
  <si>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</si>
  <si>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</si>
  <si>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</si>
  <si>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</si>
  <si>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</si>
  <si>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</si>
  <si>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</si>
  <si>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</si>
  <si>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</si>
  <si>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</si>
  <si>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</si>
  <si>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</si>
  <si>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</si>
  <si>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</si>
  <si>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</si>
  <si>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</si>
  <si>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</si>
  <si>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</si>
  <si>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</si>
  <si>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</si>
  <si>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</si>
  <si>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</si>
  <si>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</si>
  <si>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</si>
  <si>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</si>
  <si>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</si>
  <si>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</si>
  <si>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</si>
  <si>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</si>
  <si>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</si>
  <si>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</si>
  <si>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</si>
  <si>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</si>
  <si>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</si>
  <si>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</si>
  <si>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</si>
  <si>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</si>
  <si>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</si>
  <si>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</si>
  <si>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</si>
  <si>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</si>
  <si>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</si>
  <si>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</si>
  <si>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</si>
  <si>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</si>
  <si>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</si>
  <si>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</si>
  <si>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</si>
  <si>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</si>
  <si>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</si>
  <si>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</si>
  <si>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</si>
  <si>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</si>
  <si>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</si>
  <si>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</si>
  <si>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</si>
  <si>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</si>
  <si>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</si>
  <si>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</si>
  <si>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</si>
  <si>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</si>
  <si>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</si>
  <si>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</si>
  <si>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</si>
  <si>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</si>
  <si>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</si>
  <si>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</si>
  <si>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</si>
  <si>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</si>
  <si>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</si>
  <si>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</si>
  <si>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</si>
  <si>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</si>
  <si>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</si>
  <si>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</si>
  <si>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</si>
  <si>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</si>
  <si>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</si>
  <si>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</si>
  <si>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</si>
  <si>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</si>
  <si>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</si>
  <si>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</si>
  <si>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</si>
  <si>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</si>
  <si>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</si>
  <si>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</si>
  <si>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</si>
  <si>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</si>
  <si>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</si>
  <si>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</si>
  <si>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</si>
  <si>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</si>
  <si>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</si>
  <si>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</si>
  <si>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</si>
  <si>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</si>
  <si>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</si>
  <si>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</si>
  <si>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</si>
  <si>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</si>
  <si>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</si>
  <si>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</si>
  <si>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</si>
  <si>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</si>
  <si>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</si>
  <si>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</si>
  <si>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Mean Demand: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</si>
  <si>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</si>
  <si>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</si>
  <si>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</si>
  <si>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</si>
  <si>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</si>
  <si>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</si>
  <si>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</si>
  <si>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</si>
  <si>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</si>
  <si>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</si>
  <si>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</si>
  <si>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</si>
  <si>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</si>
  <si>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</si>
  <si>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</si>
  <si>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</si>
  <si>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</si>
  <si>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</si>
  <si>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</si>
  <si>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</si>
  <si>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v0.4.5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</si>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</sst>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4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7" borderId="7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1" fontId="0" fillId="7" borderId="5" xfId="0" applyNumberFormat="1" applyFill="1" applyBorder="1" applyAlignment="1">
      <alignment horizontal="center"/>
    </xf>
    <xf numFmtId="1" fontId="0" fillId="7" borderId="7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220.75</c:v>
                </c:pt>
                <c:pt idx="1">
                  <c:v>220.75</c:v>
                </c:pt>
                <c:pt idx="2">
                  <c:v>220.75</c:v>
                </c:pt>
                <c:pt idx="3">
                  <c:v>220.75</c:v>
                </c:pt>
                <c:pt idx="4">
                  <c:v>220.75</c:v>
                </c:pt>
                <c:pt idx="5">
                  <c:v>220.75</c:v>
                </c:pt>
                <c:pt idx="6">
                  <c:v>220.75</c:v>
                </c:pt>
                <c:pt idx="7">
                  <c:v>220.75</c:v>
                </c:pt>
                <c:pt idx="8">
                  <c:v>220.75</c:v>
                </c:pt>
                <c:pt idx="9">
                  <c:v>220.75</c:v>
                </c:pt>
                <c:pt idx="10">
                  <c:v>220.75</c:v>
                </c:pt>
                <c:pt idx="11">
                  <c:v>220.75</c:v>
                </c:pt>
                <c:pt idx="12">
                  <c:v>220.75</c:v>
                </c:pt>
                <c:pt idx="13">
                  <c:v>220.75</c:v>
                </c:pt>
                <c:pt idx="14">
                  <c:v>220.75</c:v>
                </c:pt>
                <c:pt idx="15">
                  <c:v>220.75</c:v>
                </c:pt>
                <c:pt idx="16">
                  <c:v>220.75</c:v>
                </c:pt>
                <c:pt idx="17">
                  <c:v>220.75</c:v>
                </c:pt>
                <c:pt idx="18">
                  <c:v>220.75</c:v>
                </c:pt>
                <c:pt idx="19">
                  <c:v>220.75</c:v>
                </c:pt>
                <c:pt idx="20">
                  <c:v>220.75</c:v>
                </c:pt>
                <c:pt idx="21">
                  <c:v>220.75</c:v>
                </c:pt>
                <c:pt idx="22">
                  <c:v>220.75</c:v>
                </c:pt>
                <c:pt idx="23">
                  <c:v>220.75</c:v>
                </c:pt>
                <c:pt idx="24">
                  <c:v>220.75</c:v>
                </c:pt>
                <c:pt idx="25">
                  <c:v>220.75</c:v>
                </c:pt>
                <c:pt idx="26">
                  <c:v>220.75</c:v>
                </c:pt>
                <c:pt idx="27">
                  <c:v>220.75</c:v>
                </c:pt>
                <c:pt idx="28">
                  <c:v>220.75</c:v>
                </c:pt>
                <c:pt idx="29">
                  <c:v>220.75</c:v>
                </c:pt>
                <c:pt idx="30">
                  <c:v>220.75</c:v>
                </c:pt>
                <c:pt idx="31">
                  <c:v>220.75</c:v>
                </c:pt>
                <c:pt idx="32">
                  <c:v>220.75</c:v>
                </c:pt>
                <c:pt idx="33">
                  <c:v>220.75</c:v>
                </c:pt>
                <c:pt idx="34">
                  <c:v>220.75</c:v>
                </c:pt>
                <c:pt idx="35">
                  <c:v>220.75</c:v>
                </c:pt>
                <c:pt idx="36">
                  <c:v>220.75</c:v>
                </c:pt>
                <c:pt idx="37">
                  <c:v>220.75</c:v>
                </c:pt>
                <c:pt idx="38">
                  <c:v>220.75</c:v>
                </c:pt>
                <c:pt idx="39">
                  <c:v>220.75</c:v>
                </c:pt>
                <c:pt idx="40">
                  <c:v>220.75</c:v>
                </c:pt>
                <c:pt idx="41">
                  <c:v>220.75</c:v>
                </c:pt>
                <c:pt idx="42">
                  <c:v>220.75</c:v>
                </c:pt>
                <c:pt idx="43">
                  <c:v>220.75</c:v>
                </c:pt>
                <c:pt idx="44">
                  <c:v>220.75</c:v>
                </c:pt>
                <c:pt idx="45">
                  <c:v>220.75</c:v>
                </c:pt>
                <c:pt idx="46">
                  <c:v>220.75</c:v>
                </c:pt>
                <c:pt idx="47">
                  <c:v>220.75</c:v>
                </c:pt>
                <c:pt idx="48">
                  <c:v>220.75</c:v>
                </c:pt>
                <c:pt idx="49">
                  <c:v>220.75</c:v>
                </c:pt>
                <c:pt idx="50">
                  <c:v>220.75</c:v>
                </c:pt>
                <c:pt idx="51">
                  <c:v>220.75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23.508928571428555</c:v>
                </c:pt>
                <c:pt idx="1">
                  <c:v>23.508928571428555</c:v>
                </c:pt>
                <c:pt idx="2">
                  <c:v>23.508928571428555</c:v>
                </c:pt>
                <c:pt idx="3">
                  <c:v>23.508928571428555</c:v>
                </c:pt>
                <c:pt idx="4">
                  <c:v>23.508928571428555</c:v>
                </c:pt>
                <c:pt idx="5">
                  <c:v>23.508928571428555</c:v>
                </c:pt>
                <c:pt idx="6">
                  <c:v>23.508928571428555</c:v>
                </c:pt>
                <c:pt idx="7">
                  <c:v>23.508928571428555</c:v>
                </c:pt>
                <c:pt idx="8">
                  <c:v>23.508928571428555</c:v>
                </c:pt>
                <c:pt idx="9">
                  <c:v>23.508928571428555</c:v>
                </c:pt>
                <c:pt idx="10">
                  <c:v>23.508928571428555</c:v>
                </c:pt>
                <c:pt idx="11">
                  <c:v>23.508928571428555</c:v>
                </c:pt>
                <c:pt idx="12">
                  <c:v>23.508928571428555</c:v>
                </c:pt>
                <c:pt idx="13">
                  <c:v>23.508928571428555</c:v>
                </c:pt>
                <c:pt idx="14">
                  <c:v>23.508928571428555</c:v>
                </c:pt>
                <c:pt idx="15">
                  <c:v>23.508928571428555</c:v>
                </c:pt>
                <c:pt idx="16">
                  <c:v>23.508928571428555</c:v>
                </c:pt>
                <c:pt idx="17">
                  <c:v>23.508928571428555</c:v>
                </c:pt>
                <c:pt idx="18">
                  <c:v>23.508928571428555</c:v>
                </c:pt>
                <c:pt idx="19">
                  <c:v>23.508928571428555</c:v>
                </c:pt>
                <c:pt idx="20">
                  <c:v>23.508928571428555</c:v>
                </c:pt>
                <c:pt idx="21">
                  <c:v>23.508928571428555</c:v>
                </c:pt>
                <c:pt idx="22">
                  <c:v>23.508928571428555</c:v>
                </c:pt>
                <c:pt idx="23">
                  <c:v>23.508928571428555</c:v>
                </c:pt>
                <c:pt idx="24">
                  <c:v>23.508928571428555</c:v>
                </c:pt>
                <c:pt idx="25">
                  <c:v>23.508928571428555</c:v>
                </c:pt>
                <c:pt idx="26">
                  <c:v>23.508928571428555</c:v>
                </c:pt>
                <c:pt idx="27">
                  <c:v>23.508928571428555</c:v>
                </c:pt>
                <c:pt idx="28">
                  <c:v>23.508928571428555</c:v>
                </c:pt>
                <c:pt idx="29">
                  <c:v>23.508928571428555</c:v>
                </c:pt>
                <c:pt idx="30">
                  <c:v>23.508928571428555</c:v>
                </c:pt>
                <c:pt idx="31">
                  <c:v>23.508928571428555</c:v>
                </c:pt>
                <c:pt idx="32">
                  <c:v>23.508928571428555</c:v>
                </c:pt>
                <c:pt idx="33">
                  <c:v>23.508928571428555</c:v>
                </c:pt>
                <c:pt idx="34">
                  <c:v>23.508928571428555</c:v>
                </c:pt>
                <c:pt idx="35">
                  <c:v>23.508928571428555</c:v>
                </c:pt>
                <c:pt idx="36">
                  <c:v>23.508928571428555</c:v>
                </c:pt>
                <c:pt idx="37">
                  <c:v>23.508928571428555</c:v>
                </c:pt>
                <c:pt idx="38">
                  <c:v>23.508928571428555</c:v>
                </c:pt>
                <c:pt idx="39">
                  <c:v>23.508928571428555</c:v>
                </c:pt>
                <c:pt idx="40">
                  <c:v>23.508928571428555</c:v>
                </c:pt>
                <c:pt idx="41">
                  <c:v>23.508928571428555</c:v>
                </c:pt>
                <c:pt idx="42">
                  <c:v>23.508928571428555</c:v>
                </c:pt>
                <c:pt idx="43">
                  <c:v>23.508928571428555</c:v>
                </c:pt>
                <c:pt idx="44">
                  <c:v>23.508928571428555</c:v>
                </c:pt>
                <c:pt idx="45">
                  <c:v>23.508928571428555</c:v>
                </c:pt>
                <c:pt idx="46">
                  <c:v>23.508928571428555</c:v>
                </c:pt>
                <c:pt idx="47">
                  <c:v>23.508928571428555</c:v>
                </c:pt>
                <c:pt idx="48">
                  <c:v>23.508928571428555</c:v>
                </c:pt>
                <c:pt idx="49">
                  <c:v>23.508928571428555</c:v>
                </c:pt>
                <c:pt idx="50">
                  <c:v>23.508928571428555</c:v>
                </c:pt>
                <c:pt idx="51">
                  <c:v>23.508928571428555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209.47499999999999</c:v>
                </c:pt>
                <c:pt idx="1">
                  <c:v>151.28749999999999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22.050000000000011</c:v>
                </c:pt>
                <c:pt idx="1">
                  <c:v>15.925000000000011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100</c:v>
                </c:pt>
                <c:pt idx="1">
                  <c:v>240</c:v>
                </c:pt>
                <c:pt idx="2">
                  <c:v>60</c:v>
                </c:pt>
                <c:pt idx="3">
                  <c:v>500</c:v>
                </c:pt>
                <c:pt idx="5" formatCode="General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2</xdr:row>
      <xdr:rowOff>1586</xdr:rowOff>
    </xdr:from>
    <xdr:to>
      <xdr:col>30</xdr:col>
      <xdr:colOff>171450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527050</xdr:colOff>
      <xdr:row>1</xdr:row>
      <xdr:rowOff>184150</xdr:rowOff>
    </xdr:from>
    <xdr:to>
      <xdr:col>30</xdr:col>
      <xdr:colOff>171450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523874</xdr:colOff>
      <xdr:row>42</xdr:row>
      <xdr:rowOff>136524</xdr:rowOff>
    </xdr:from>
    <xdr:to>
      <xdr:col>30</xdr:col>
      <xdr:colOff>190499</xdr:colOff>
      <xdr:row>65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X17"/>
  <sheetViews>
    <sheetView workbookViewId="0"/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4" x14ac:dyDescent="0.35">
      <c r="A1" t="s">
        <v>12</v>
      </c>
      <c r="B1" t="s">
        <v>13</v>
      </c>
      <c r="D1" t="s">
        <v>77</v>
      </c>
      <c r="F1" t="s">
        <v>78</v>
      </c>
      <c r="H1" t="s">
        <v>81</v>
      </c>
      <c r="K1" t="s">
        <v>86</v>
      </c>
      <c r="N1" t="s">
        <v>94</v>
      </c>
      <c r="P1" t="s">
        <v>114</v>
      </c>
      <c r="R1" t="s">
        <v>121</v>
      </c>
      <c r="T1" t="s">
        <v>126</v>
      </c>
      <c r="V1" t="s">
        <v>181</v>
      </c>
      <c r="X1" t="s">
        <v>187</v>
      </c>
    </row>
    <row r="2" spans="1:24" x14ac:dyDescent="0.35">
      <c r="B2" t="str">
        <f>Setup!A20</f>
        <v>20 Group Sessions</v>
      </c>
      <c r="D2">
        <v>1</v>
      </c>
      <c r="F2" t="s">
        <v>59</v>
      </c>
      <c r="H2" t="s">
        <v>82</v>
      </c>
      <c r="I2">
        <v>0.65</v>
      </c>
      <c r="K2" t="s">
        <v>123</v>
      </c>
      <c r="L2">
        <v>7</v>
      </c>
      <c r="N2" t="s">
        <v>95</v>
      </c>
      <c r="P2" t="s">
        <v>115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145</v>
      </c>
      <c r="V2" t="s">
        <v>182</v>
      </c>
      <c r="X2" s="105" t="s">
        <v>45</v>
      </c>
    </row>
    <row r="3" spans="1:24" x14ac:dyDescent="0.35">
      <c r="B3" t="str">
        <f>Setup!A21</f>
        <v>40 Group Session</v>
      </c>
      <c r="D3">
        <v>2</v>
      </c>
      <c r="F3" t="s">
        <v>51</v>
      </c>
      <c r="H3" t="s">
        <v>83</v>
      </c>
      <c r="I3">
        <v>0.7</v>
      </c>
      <c r="K3" t="s">
        <v>122</v>
      </c>
      <c r="L3">
        <v>5</v>
      </c>
      <c r="N3" t="s">
        <v>96</v>
      </c>
      <c r="P3" t="s">
        <v>116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183</v>
      </c>
      <c r="X3" s="105" t="s">
        <v>206</v>
      </c>
    </row>
    <row r="4" spans="1:24" x14ac:dyDescent="0.35">
      <c r="B4" t="str">
        <f>Setup!A22</f>
        <v>8 Group Session</v>
      </c>
      <c r="D4">
        <v>3</v>
      </c>
      <c r="F4" t="s">
        <v>64</v>
      </c>
      <c r="H4" t="s">
        <v>84</v>
      </c>
      <c r="I4">
        <v>0.75</v>
      </c>
      <c r="K4" t="s">
        <v>87</v>
      </c>
      <c r="L4">
        <v>2</v>
      </c>
      <c r="T4" t="str">
        <f>Setup!A21</f>
        <v>40 Group Session</v>
      </c>
      <c r="X4" s="105" t="s">
        <v>188</v>
      </c>
    </row>
    <row r="5" spans="1:24" x14ac:dyDescent="0.35">
      <c r="B5" t="str">
        <f>Setup!A23</f>
        <v>20 Individual</v>
      </c>
      <c r="D5">
        <v>4</v>
      </c>
      <c r="H5" t="s">
        <v>85</v>
      </c>
      <c r="I5">
        <v>0.8</v>
      </c>
      <c r="K5" t="s">
        <v>88</v>
      </c>
      <c r="L5">
        <v>1</v>
      </c>
      <c r="T5" t="str">
        <f>Setup!A22</f>
        <v>8 Group Session</v>
      </c>
      <c r="X5" s="105" t="s">
        <v>189</v>
      </c>
    </row>
    <row r="6" spans="1:24" x14ac:dyDescent="0.35">
      <c r="B6" t="str">
        <f>Setup!A24</f>
        <v>40 Individual</v>
      </c>
      <c r="D6">
        <v>5</v>
      </c>
      <c r="K6" t="s">
        <v>89</v>
      </c>
      <c r="L6">
        <v>0.5</v>
      </c>
      <c r="T6" t="str">
        <f>Setup!A23</f>
        <v>20 Individual</v>
      </c>
      <c r="X6" s="105" t="s">
        <v>190</v>
      </c>
    </row>
    <row r="7" spans="1:24" x14ac:dyDescent="0.35">
      <c r="B7" t="str">
        <f>Setup!A25</f>
        <v>Caseload 6</v>
      </c>
      <c r="D7">
        <v>6</v>
      </c>
      <c r="K7" t="s">
        <v>90</v>
      </c>
      <c r="L7">
        <v>0.25</v>
      </c>
      <c r="T7" t="str">
        <f>Setup!A24</f>
        <v>40 Individual</v>
      </c>
      <c r="X7" s="105" t="s">
        <v>191</v>
      </c>
    </row>
    <row r="8" spans="1:24" x14ac:dyDescent="0.35">
      <c r="B8" t="str">
        <f>Setup!A26</f>
        <v>Caseload 7</v>
      </c>
      <c r="D8">
        <v>7</v>
      </c>
      <c r="K8" t="s">
        <v>91</v>
      </c>
      <c r="L8">
        <v>3.7999999999999999E-2</v>
      </c>
      <c r="T8" t="str">
        <f>Setup!A25</f>
        <v>Caseload 6</v>
      </c>
      <c r="X8" s="105" t="s">
        <v>192</v>
      </c>
    </row>
    <row r="9" spans="1:24" x14ac:dyDescent="0.35">
      <c r="B9" t="str">
        <f>Setup!A27</f>
        <v>Caseload 8</v>
      </c>
      <c r="D9">
        <v>8</v>
      </c>
      <c r="K9" t="s">
        <v>92</v>
      </c>
      <c r="L9">
        <v>1.9E-2</v>
      </c>
      <c r="T9" t="str">
        <f>Setup!A26</f>
        <v>Caseload 7</v>
      </c>
    </row>
    <row r="10" spans="1:24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4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4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4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4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4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4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A21" sqref="A21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79</v>
      </c>
    </row>
    <row r="2" spans="1:19" x14ac:dyDescent="0.35">
      <c r="A2" t="s">
        <v>199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113</v>
      </c>
      <c r="B11" s="38" t="s">
        <v>116</v>
      </c>
    </row>
    <row r="12" spans="1:19" ht="15" thickBot="1" x14ac:dyDescent="0.4"/>
    <row r="13" spans="1:19" ht="15" thickBot="1" x14ac:dyDescent="0.4">
      <c r="A13" s="63" t="s">
        <v>80</v>
      </c>
      <c r="B13" s="38" t="s">
        <v>82</v>
      </c>
    </row>
    <row r="14" spans="1:19" ht="15" thickBot="1" x14ac:dyDescent="0.4"/>
    <row r="15" spans="1:19" ht="15" thickBot="1" x14ac:dyDescent="0.4">
      <c r="A15" s="63" t="s">
        <v>186</v>
      </c>
      <c r="B15" s="38" t="s">
        <v>45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11" t="s">
        <v>207</v>
      </c>
      <c r="B20" s="11"/>
    </row>
    <row r="21" spans="1:2" x14ac:dyDescent="0.35">
      <c r="A21" s="39" t="s">
        <v>147</v>
      </c>
      <c r="B21" s="39"/>
    </row>
    <row r="22" spans="1:2" x14ac:dyDescent="0.35">
      <c r="A22" s="39" t="s">
        <v>148</v>
      </c>
      <c r="B22" s="39"/>
    </row>
    <row r="23" spans="1:2" x14ac:dyDescent="0.35">
      <c r="A23" s="39" t="s">
        <v>149</v>
      </c>
      <c r="B23" s="39"/>
    </row>
    <row r="24" spans="1:2" ht="15" thickBot="1" x14ac:dyDescent="0.4">
      <c r="A24" s="39" t="s">
        <v>150</v>
      </c>
      <c r="B24" s="39"/>
    </row>
    <row r="25" spans="1:2" ht="15" hidden="1" thickBot="1" x14ac:dyDescent="0.4">
      <c r="A25" s="39" t="s">
        <v>2</v>
      </c>
      <c r="B25" s="39"/>
    </row>
    <row r="26" spans="1:2" ht="15" hidden="1" thickBot="1" x14ac:dyDescent="0.4">
      <c r="A26" s="39" t="s">
        <v>3</v>
      </c>
      <c r="B26" s="39"/>
    </row>
    <row r="27" spans="1:2" ht="15" hidden="1" thickBot="1" x14ac:dyDescent="0.4">
      <c r="A27" s="39" t="s">
        <v>4</v>
      </c>
      <c r="B27" s="39"/>
    </row>
    <row r="28" spans="1:2" ht="15" hidden="1" thickBot="1" x14ac:dyDescent="0.4">
      <c r="A28" s="39" t="s">
        <v>5</v>
      </c>
      <c r="B28" s="39"/>
    </row>
    <row r="29" spans="1:2" ht="15" hidden="1" thickBot="1" x14ac:dyDescent="0.4">
      <c r="A29" s="39" t="s">
        <v>6</v>
      </c>
      <c r="B29" s="39"/>
    </row>
    <row r="30" spans="1:2" ht="15" hidden="1" thickBot="1" x14ac:dyDescent="0.4">
      <c r="A30" s="39" t="s">
        <v>7</v>
      </c>
      <c r="B30" s="39"/>
    </row>
    <row r="31" spans="1:2" ht="15" hidden="1" thickBot="1" x14ac:dyDescent="0.4">
      <c r="A31" s="39" t="s">
        <v>8</v>
      </c>
      <c r="B31" s="39"/>
    </row>
    <row r="32" spans="1:2" ht="15" hidden="1" thickBot="1" x14ac:dyDescent="0.4">
      <c r="A32" s="39" t="s">
        <v>9</v>
      </c>
      <c r="B32" s="39"/>
    </row>
    <row r="33" spans="1:19" ht="15" hidden="1" thickBot="1" x14ac:dyDescent="0.4">
      <c r="A33" s="39" t="s">
        <v>10</v>
      </c>
      <c r="B33" s="39"/>
    </row>
    <row r="34" spans="1:19" ht="15" hidden="1" thickBot="1" x14ac:dyDescent="0.4">
      <c r="A34" s="39" t="s">
        <v>11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H9" sqref="H9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138</v>
      </c>
    </row>
    <row r="2" spans="1:21" ht="15" thickBot="1" x14ac:dyDescent="0.4"/>
    <row r="3" spans="1:21" ht="15" hidden="1" thickBot="1" x14ac:dyDescent="0.4">
      <c r="A3" s="63" t="s">
        <v>15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111</v>
      </c>
      <c r="B5" s="62" t="s">
        <v>146</v>
      </c>
    </row>
    <row r="6" spans="1:21" ht="15" thickBot="1" x14ac:dyDescent="0.4">
      <c r="A6" s="63" t="s">
        <v>112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16</v>
      </c>
      <c r="D8" s="55" t="s">
        <v>117</v>
      </c>
      <c r="E8" s="55" t="s">
        <v>118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139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207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97</v>
      </c>
    </row>
    <row r="6" spans="1:4" ht="15" thickBot="1" x14ac:dyDescent="0.4">
      <c r="A6" s="41" t="s">
        <v>43</v>
      </c>
      <c r="B6" s="17" t="s">
        <v>100</v>
      </c>
    </row>
    <row r="7" spans="1:4" ht="15" thickBot="1" x14ac:dyDescent="0.4">
      <c r="A7" s="52" t="s">
        <v>98</v>
      </c>
      <c r="B7" s="17" t="s">
        <v>100</v>
      </c>
    </row>
    <row r="8" spans="1:4" ht="15" thickBot="1" x14ac:dyDescent="0.4">
      <c r="A8" s="52" t="s">
        <v>99</v>
      </c>
      <c r="B8" s="17" t="s">
        <v>100</v>
      </c>
    </row>
    <row r="9" spans="1:4" ht="15" thickBot="1" x14ac:dyDescent="0.4">
      <c r="A9" s="53" t="s">
        <v>30</v>
      </c>
      <c r="B9" s="40" t="s">
        <v>100</v>
      </c>
    </row>
    <row r="10" spans="1:4" ht="15" thickBot="1" x14ac:dyDescent="0.4"/>
    <row r="11" spans="1:4" ht="15" thickBot="1" x14ac:dyDescent="0.4">
      <c r="A11" s="37" t="s">
        <v>101</v>
      </c>
    </row>
    <row r="12" spans="1:4" ht="15" thickBot="1" x14ac:dyDescent="0.4">
      <c r="A12" s="37" t="s">
        <v>104</v>
      </c>
      <c r="B12" s="17" t="s">
        <v>144</v>
      </c>
    </row>
    <row r="13" spans="1:4" ht="15" thickBot="1" x14ac:dyDescent="0.4">
      <c r="A13" s="37" t="s">
        <v>102</v>
      </c>
      <c r="B13" s="47" t="s">
        <v>176</v>
      </c>
    </row>
    <row r="14" spans="1:4" ht="15" thickBot="1" x14ac:dyDescent="0.4">
      <c r="A14" s="53" t="s">
        <v>103</v>
      </c>
      <c r="B14" s="47" t="s">
        <v>175</v>
      </c>
    </row>
    <row r="27" spans="1:2" ht="15" thickBot="1" x14ac:dyDescent="0.4"/>
    <row r="28" spans="1:2" ht="15" thickBot="1" x14ac:dyDescent="0.4">
      <c r="A28" s="48"/>
      <c r="B28" t="s">
        <v>39</v>
      </c>
    </row>
    <row r="29" spans="1:2" ht="15" thickBot="1" x14ac:dyDescent="0.4">
      <c r="A29" s="49"/>
      <c r="B29" t="s">
        <v>40</v>
      </c>
    </row>
    <row r="30" spans="1:2" ht="15" thickBot="1" x14ac:dyDescent="0.4">
      <c r="A30" s="50"/>
      <c r="B30" t="s">
        <v>41</v>
      </c>
    </row>
    <row r="31" spans="1:2" ht="15" thickBot="1" x14ac:dyDescent="0.4">
      <c r="A31" s="51"/>
      <c r="B31" t="s">
        <v>42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17</v>
      </c>
      <c r="B1"/>
      <c r="C1"/>
      <c r="D1"/>
      <c r="E1"/>
      <c r="V1" t="s">
        <v>18</v>
      </c>
      <c r="AN1" t="s">
        <v>43</v>
      </c>
    </row>
    <row r="2" spans="1:42" ht="15" thickBot="1" x14ac:dyDescent="0.4">
      <c r="B2"/>
      <c r="C2"/>
      <c r="D2"/>
      <c r="E2"/>
      <c r="V2" t="s">
        <v>19</v>
      </c>
      <c r="W2" t="str">
        <f>SPC!B3</f>
        <v>20 Group Sessions</v>
      </c>
      <c r="AG2" t="s">
        <v>30</v>
      </c>
    </row>
    <row r="3" spans="1:42" x14ac:dyDescent="0.35">
      <c r="B3" s="11" t="s">
        <v>16</v>
      </c>
      <c r="C3" s="3" t="s">
        <v>117</v>
      </c>
      <c r="D3" s="3" t="s">
        <v>118</v>
      </c>
      <c r="E3" s="3" t="s">
        <v>119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105</v>
      </c>
      <c r="V3" t="s">
        <v>32</v>
      </c>
      <c r="W3" t="s">
        <v>20</v>
      </c>
      <c r="X3" t="s">
        <v>22</v>
      </c>
      <c r="Y3" t="s">
        <v>21</v>
      </c>
      <c r="Z3" t="s">
        <v>23</v>
      </c>
      <c r="AA3" t="s">
        <v>24</v>
      </c>
      <c r="AB3" s="16" t="s">
        <v>26</v>
      </c>
      <c r="AC3" s="16" t="s">
        <v>27</v>
      </c>
      <c r="AD3" s="16" t="s">
        <v>28</v>
      </c>
      <c r="AE3" s="16" t="s">
        <v>29</v>
      </c>
      <c r="AF3" t="s">
        <v>25</v>
      </c>
      <c r="AG3" t="s">
        <v>31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>
        <f>INDEX('Data Validation (Hide)'!$H$2:$I$5,MATCH(Setup!$B$13,'Data Validation (Hide)'!$H$2:$H$5,0),2)</f>
        <v>0.65</v>
      </c>
      <c r="AO3">
        <v>0.85</v>
      </c>
      <c r="AP3" t="s">
        <v>44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L20"/>
  <sheetViews>
    <sheetView showGridLines="0" workbookViewId="0">
      <selection activeCell="K20" sqref="K20"/>
    </sheetView>
  </sheetViews>
  <sheetFormatPr defaultRowHeight="14.5" x14ac:dyDescent="0.35"/>
  <cols>
    <col min="2" max="2" width="20.90625" customWidth="1"/>
    <col min="3" max="3" width="13.81640625" bestFit="1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12" ht="23.5" x14ac:dyDescent="0.55000000000000004">
      <c r="A1" s="28" t="s">
        <v>184</v>
      </c>
    </row>
    <row r="3" spans="1:12" ht="15" thickBot="1" x14ac:dyDescent="0.4"/>
    <row r="4" spans="1:12" ht="29.5" thickBot="1" x14ac:dyDescent="0.4">
      <c r="B4" s="118" t="str">
        <f>Setup!B15</f>
        <v>Caseload</v>
      </c>
      <c r="C4" s="118" t="s">
        <v>178</v>
      </c>
      <c r="D4" s="119" t="s">
        <v>198</v>
      </c>
      <c r="E4" s="118" t="s">
        <v>179</v>
      </c>
      <c r="F4" s="118" t="s">
        <v>180</v>
      </c>
      <c r="G4" s="118" t="s">
        <v>93</v>
      </c>
      <c r="H4" s="118" t="s">
        <v>185</v>
      </c>
      <c r="I4" s="118" t="s">
        <v>196</v>
      </c>
    </row>
    <row r="5" spans="1:12" x14ac:dyDescent="0.35">
      <c r="B5" s="41" t="str">
        <f>Setup!A20</f>
        <v>20 Group Sessions</v>
      </c>
      <c r="C5" s="102">
        <f>AVERAGE(INDEX('SPC Backing (Hide)'!$F$4:$T$263,MATCH(SPC!$B$13,IF(Setup!$B$11="Weekly",'SPC Backing (Hide)'!$B$4:$B$263,'SPC Backing (Hide)'!$E$4:$E$263),0),MATCH(B5,'SPC Backing (Hide)'!$F$3:$T$3,0)):INDEX('SPC Backing (Hide)'!$F$4:$T$263,MATCH(SPC!$B$14,IF(Setup!$B$11="Weekly",'SPC Backing (Hide)'!$B$4:$B$263,'SPC Backing (Hide)'!$E$4:$E$263),0),MATCH(B5,'SPC Backing (Hide)'!$F$3:$T$3,0)))</f>
        <v>31.5</v>
      </c>
      <c r="D5" s="120">
        <v>100</v>
      </c>
      <c r="E5" s="96">
        <v>0</v>
      </c>
      <c r="F5" s="96">
        <v>14</v>
      </c>
      <c r="G5" s="11" t="s">
        <v>182</v>
      </c>
      <c r="H5" s="99">
        <f t="shared" ref="H5:H20" si="0">IF(G5="Weeks",C5*((E5*7)+(F5*7-E5*7)/2),C5*(E5+(F5-E5)/2))</f>
        <v>220.5</v>
      </c>
      <c r="I5" s="99" t="str">
        <f t="shared" ref="I5:I6" si="1">IF(H5&lt;&gt;0,TEXT(H5-(H5/100*5),"#.0")&amp;" - "&amp;TEXT(H5+(H5/100*5),"#.0"),"")</f>
        <v>209.5 - 231.5</v>
      </c>
      <c r="J5" s="27">
        <f>H5-(H5/100*5)</f>
        <v>209.47499999999999</v>
      </c>
      <c r="K5" s="27">
        <f>H5+(H5/100*5)</f>
        <v>231.52500000000001</v>
      </c>
      <c r="L5" s="27">
        <f>K5-J5</f>
        <v>22.050000000000011</v>
      </c>
    </row>
    <row r="6" spans="1:12" x14ac:dyDescent="0.35">
      <c r="B6" s="52" t="str">
        <f>Setup!A21</f>
        <v>40 Group Session</v>
      </c>
      <c r="C6" s="103">
        <f>AVERAGE(INDEX('SPC Backing (Hide)'!$F$4:$T$263,MATCH(SPC!$B$13,IF(Setup!$B$11="Weekly",'SPC Backing (Hide)'!$B$4:$B$263,'SPC Backing (Hide)'!$E$4:$E$263),0),MATCH(B6,'SPC Backing (Hide)'!$F$3:$T$3,0)):INDEX('SPC Backing (Hide)'!$F$4:$T$263,MATCH(SPC!$B$14,IF(Setup!$B$11="Weekly",'SPC Backing (Hide)'!$B$4:$B$263,'SPC Backing (Hide)'!$E$4:$E$263),0),MATCH(B6,'SPC Backing (Hide)'!$F$3:$T$3,0)))</f>
        <v>15.166666666666666</v>
      </c>
      <c r="D6" s="121">
        <v>240</v>
      </c>
      <c r="E6" s="97">
        <v>0</v>
      </c>
      <c r="F6" s="97">
        <v>3</v>
      </c>
      <c r="G6" s="39" t="s">
        <v>183</v>
      </c>
      <c r="H6" s="100">
        <f t="shared" si="0"/>
        <v>159.25</v>
      </c>
      <c r="I6" s="100" t="str">
        <f t="shared" si="1"/>
        <v>151.3 - 167.2</v>
      </c>
      <c r="J6" s="27">
        <f t="shared" ref="J6:J19" si="2">H6-(H6/100*5)</f>
        <v>151.28749999999999</v>
      </c>
      <c r="K6" s="27">
        <f t="shared" ref="K6:K19" si="3">H6+(H6/100*5)</f>
        <v>167.21250000000001</v>
      </c>
      <c r="L6" s="27">
        <f t="shared" ref="L6:L19" si="4">K6-J6</f>
        <v>15.925000000000011</v>
      </c>
    </row>
    <row r="7" spans="1:12" x14ac:dyDescent="0.35">
      <c r="B7" s="52" t="str">
        <f>Setup!A22</f>
        <v>8 Group Session</v>
      </c>
      <c r="C7" s="103">
        <f>AVERAGE(INDEX('SPC Backing (Hide)'!$F$4:$T$263,MATCH(SPC!$B$13,IF(Setup!$B$11="Weekly",'SPC Backing (Hide)'!$B$4:$B$263,'SPC Backing (Hide)'!$E$4:$E$263),0),MATCH(B7,'SPC Backing (Hide)'!$F$3:$T$3,0)):INDEX('SPC Backing (Hide)'!$F$4:$T$263,MATCH(SPC!$B$14,IF(Setup!$B$11="Weekly",'SPC Backing (Hide)'!$B$4:$B$263,'SPC Backing (Hide)'!$E$4:$E$263),0),MATCH(B7,'SPC Backing (Hide)'!$F$3:$T$3,0)))</f>
        <v>12.333333333333334</v>
      </c>
      <c r="D7" s="121">
        <v>60</v>
      </c>
      <c r="E7" s="97"/>
      <c r="F7" s="97"/>
      <c r="G7" s="39"/>
      <c r="H7" s="100">
        <f t="shared" si="0"/>
        <v>0</v>
      </c>
      <c r="I7" s="100" t="str">
        <f>IF(H7&lt;&gt;0,TEXT(H7-(H7/100*5),"#.0")&amp;" - "&amp;TEXT(H7+(H7/100*5),"#.0"),"")</f>
        <v/>
      </c>
      <c r="J7" s="27">
        <f t="shared" si="2"/>
        <v>0</v>
      </c>
      <c r="K7" s="27">
        <f t="shared" si="3"/>
        <v>0</v>
      </c>
      <c r="L7" s="27">
        <f t="shared" si="4"/>
        <v>0</v>
      </c>
    </row>
    <row r="8" spans="1:12" x14ac:dyDescent="0.35">
      <c r="B8" s="52" t="str">
        <f>Setup!A23</f>
        <v>20 Individual</v>
      </c>
      <c r="C8" s="103">
        <f>AVERAGE(INDEX('SPC Backing (Hide)'!$F$4:$T$263,MATCH(SPC!$B$13,IF(Setup!$B$11="Weekly",'SPC Backing (Hide)'!$B$4:$B$263,'SPC Backing (Hide)'!$E$4:$E$263),0),MATCH(B8,'SPC Backing (Hide)'!$F$3:$T$3,0)):INDEX('SPC Backing (Hide)'!$F$4:$T$263,MATCH(SPC!$B$14,IF(Setup!$B$11="Weekly",'SPC Backing (Hide)'!$B$4:$B$263,'SPC Backing (Hide)'!$E$4:$E$263),0),MATCH(B8,'SPC Backing (Hide)'!$F$3:$T$3,0)))</f>
        <v>67.5</v>
      </c>
      <c r="D8" s="121">
        <v>500</v>
      </c>
      <c r="E8" s="97"/>
      <c r="F8" s="97"/>
      <c r="G8" s="39"/>
      <c r="H8" s="100">
        <f t="shared" si="0"/>
        <v>0</v>
      </c>
      <c r="I8" s="100" t="str">
        <f t="shared" ref="I8:I19" si="5">IF(H8&lt;&gt;0,TEXT(H8-(H8/100*5),"#.0")&amp;" - "&amp;TEXT(H8+(H8/100*5),"#.0"),"")</f>
        <v/>
      </c>
      <c r="J8" s="27">
        <f t="shared" si="2"/>
        <v>0</v>
      </c>
      <c r="K8" s="27">
        <f t="shared" si="3"/>
        <v>0</v>
      </c>
      <c r="L8" s="27">
        <f t="shared" si="4"/>
        <v>0</v>
      </c>
    </row>
    <row r="9" spans="1:12" ht="15" thickBot="1" x14ac:dyDescent="0.4">
      <c r="B9" s="52" t="str">
        <f>Setup!A24</f>
        <v>40 Individual</v>
      </c>
      <c r="C9" s="103">
        <f>AVERAGE(INDEX('SPC Backing (Hide)'!$F$4:$T$263,MATCH(SPC!$B$13,IF(Setup!$B$11="Weekly",'SPC Backing (Hide)'!$B$4:$B$263,'SPC Backing (Hide)'!$E$4:$E$263),0),MATCH(B9,'SPC Backing (Hide)'!$F$3:$T$3,0)):INDEX('SPC Backing (Hide)'!$F$4:$T$263,MATCH(SPC!$B$14,IF(Setup!$B$11="Weekly",'SPC Backing (Hide)'!$B$4:$B$263,'SPC Backing (Hide)'!$E$4:$E$263),0),MATCH(B9,'SPC Backing (Hide)'!$F$3:$T$3,0)))</f>
        <v>26.166666666666668</v>
      </c>
      <c r="D9" s="121"/>
      <c r="E9" s="97"/>
      <c r="F9" s="97"/>
      <c r="G9" s="39"/>
      <c r="H9" s="100">
        <f t="shared" si="0"/>
        <v>0</v>
      </c>
      <c r="I9" s="100" t="str">
        <f t="shared" si="5"/>
        <v/>
      </c>
      <c r="J9" s="27">
        <f t="shared" si="2"/>
        <v>0</v>
      </c>
      <c r="K9" s="27">
        <f t="shared" si="3"/>
        <v>0</v>
      </c>
      <c r="L9" s="27">
        <f t="shared" si="4"/>
        <v>0</v>
      </c>
    </row>
    <row r="10" spans="1:12" ht="15" hidden="1" thickBot="1" x14ac:dyDescent="0.4">
      <c r="B10" s="52" t="str">
        <f>Setup!A25</f>
        <v>Caseload 6</v>
      </c>
      <c r="C10" s="103">
        <f>AVERAGE(INDEX('SPC Backing (Hide)'!$F$4:$T$263,MATCH(SPC!$B$13,IF(Setup!$B$11="Weekly",'SPC Backing (Hide)'!$B$4:$B$263,'SPC Backing (Hide)'!$E$4:$E$263),0),MATCH(B10,'SPC Backing (Hide)'!$F$3:$T$3,0)):INDEX('SPC Backing (Hide)'!$F$4:$T$263,MATCH(SPC!$B$14,IF(Setup!$B$11="Weekly",'SPC Backing (Hide)'!$B$4:$B$263,'SPC Backing (Hide)'!$E$4:$E$263),0),MATCH(B10,'SPC Backing (Hide)'!$F$3:$T$3,0)))</f>
        <v>0</v>
      </c>
      <c r="D10" s="122"/>
      <c r="E10" s="97"/>
      <c r="F10" s="97"/>
      <c r="G10" s="39"/>
      <c r="H10" s="100">
        <f t="shared" si="0"/>
        <v>0</v>
      </c>
      <c r="I10" s="100" t="str">
        <f t="shared" si="5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</row>
    <row r="11" spans="1:12" ht="15" hidden="1" thickBot="1" x14ac:dyDescent="0.4">
      <c r="B11" s="52" t="str">
        <f>Setup!A26</f>
        <v>Caseload 7</v>
      </c>
      <c r="C11" s="103">
        <f>AVERAGE(INDEX('SPC Backing (Hide)'!$F$4:$T$263,MATCH(SPC!$B$13,IF(Setup!$B$11="Weekly",'SPC Backing (Hide)'!$B$4:$B$263,'SPC Backing (Hide)'!$E$4:$E$263),0),MATCH(B11,'SPC Backing (Hide)'!$F$3:$T$3,0)):INDEX('SPC Backing (Hide)'!$F$4:$T$263,MATCH(SPC!$B$14,IF(Setup!$B$11="Weekly",'SPC Backing (Hide)'!$B$4:$B$263,'SPC Backing (Hide)'!$E$4:$E$263),0),MATCH(B11,'SPC Backing (Hide)'!$F$3:$T$3,0)))</f>
        <v>0</v>
      </c>
      <c r="D11" s="122"/>
      <c r="E11" s="97"/>
      <c r="F11" s="97"/>
      <c r="G11" s="39"/>
      <c r="H11" s="100">
        <f t="shared" si="0"/>
        <v>0</v>
      </c>
      <c r="I11" s="100" t="str">
        <f t="shared" si="5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</row>
    <row r="12" spans="1:12" ht="15" hidden="1" thickBot="1" x14ac:dyDescent="0.4">
      <c r="B12" s="52" t="str">
        <f>Setup!A27</f>
        <v>Caseload 8</v>
      </c>
      <c r="C12" s="103">
        <f>AVERAGE(INDEX('SPC Backing (Hide)'!$F$4:$T$263,MATCH(SPC!$B$13,IF(Setup!$B$11="Weekly",'SPC Backing (Hide)'!$B$4:$B$263,'SPC Backing (Hide)'!$E$4:$E$263),0),MATCH(B12,'SPC Backing (Hide)'!$F$3:$T$3,0)):INDEX('SPC Backing (Hide)'!$F$4:$T$263,MATCH(SPC!$B$14,IF(Setup!$B$11="Weekly",'SPC Backing (Hide)'!$B$4:$B$263,'SPC Backing (Hide)'!$E$4:$E$263),0),MATCH(B12,'SPC Backing (Hide)'!$F$3:$T$3,0)))</f>
        <v>0</v>
      </c>
      <c r="D12" s="122"/>
      <c r="E12" s="97"/>
      <c r="F12" s="97"/>
      <c r="G12" s="39"/>
      <c r="H12" s="100">
        <f t="shared" si="0"/>
        <v>0</v>
      </c>
      <c r="I12" s="100" t="str">
        <f t="shared" si="5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</row>
    <row r="13" spans="1:12" ht="15" hidden="1" thickBot="1" x14ac:dyDescent="0.4">
      <c r="B13" s="52" t="str">
        <f>Setup!A28</f>
        <v>Caseload 9</v>
      </c>
      <c r="C13" s="103">
        <f>AVERAGE(INDEX('SPC Backing (Hide)'!$F$4:$T$263,MATCH(SPC!$B$13,IF(Setup!$B$11="Weekly",'SPC Backing (Hide)'!$B$4:$B$263,'SPC Backing (Hide)'!$E$4:$E$263),0),MATCH(B13,'SPC Backing (Hide)'!$F$3:$T$3,0)):INDEX('SPC Backing (Hide)'!$F$4:$T$263,MATCH(SPC!$B$14,IF(Setup!$B$11="Weekly",'SPC Backing (Hide)'!$B$4:$B$263,'SPC Backing (Hide)'!$E$4:$E$263),0),MATCH(B13,'SPC Backing (Hide)'!$F$3:$T$3,0)))</f>
        <v>0</v>
      </c>
      <c r="D13" s="122"/>
      <c r="E13" s="97"/>
      <c r="F13" s="97"/>
      <c r="G13" s="39"/>
      <c r="H13" s="100">
        <f t="shared" si="0"/>
        <v>0</v>
      </c>
      <c r="I13" s="100" t="str">
        <f t="shared" si="5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</row>
    <row r="14" spans="1:12" ht="15" hidden="1" thickBot="1" x14ac:dyDescent="0.4">
      <c r="B14" s="52" t="str">
        <f>Setup!A29</f>
        <v>Caseload 10</v>
      </c>
      <c r="C14" s="103">
        <f>AVERAGE(INDEX('SPC Backing (Hide)'!$F$4:$T$263,MATCH(SPC!$B$13,IF(Setup!$B$11="Weekly",'SPC Backing (Hide)'!$B$4:$B$263,'SPC Backing (Hide)'!$E$4:$E$263),0),MATCH(B14,'SPC Backing (Hide)'!$F$3:$T$3,0)):INDEX('SPC Backing (Hide)'!$F$4:$T$263,MATCH(SPC!$B$14,IF(Setup!$B$11="Weekly",'SPC Backing (Hide)'!$B$4:$B$263,'SPC Backing (Hide)'!$E$4:$E$263),0),MATCH(B14,'SPC Backing (Hide)'!$F$3:$T$3,0)))</f>
        <v>0</v>
      </c>
      <c r="D14" s="122"/>
      <c r="E14" s="97"/>
      <c r="F14" s="97"/>
      <c r="G14" s="39"/>
      <c r="H14" s="100">
        <f t="shared" si="0"/>
        <v>0</v>
      </c>
      <c r="I14" s="100" t="str">
        <f t="shared" si="5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</row>
    <row r="15" spans="1:12" ht="15" hidden="1" thickBot="1" x14ac:dyDescent="0.4">
      <c r="B15" s="52" t="str">
        <f>Setup!A30</f>
        <v>Caseload 11</v>
      </c>
      <c r="C15" s="103">
        <f>AVERAGE(INDEX('SPC Backing (Hide)'!$F$4:$T$263,MATCH(SPC!$B$13,IF(Setup!$B$11="Weekly",'SPC Backing (Hide)'!$B$4:$B$263,'SPC Backing (Hide)'!$E$4:$E$263),0),MATCH(B15,'SPC Backing (Hide)'!$F$3:$T$3,0)):INDEX('SPC Backing (Hide)'!$F$4:$T$263,MATCH(SPC!$B$14,IF(Setup!$B$11="Weekly",'SPC Backing (Hide)'!$B$4:$B$263,'SPC Backing (Hide)'!$E$4:$E$263),0),MATCH(B15,'SPC Backing (Hide)'!$F$3:$T$3,0)))</f>
        <v>0</v>
      </c>
      <c r="D15" s="122"/>
      <c r="E15" s="97"/>
      <c r="F15" s="97"/>
      <c r="G15" s="39"/>
      <c r="H15" s="100">
        <f t="shared" si="0"/>
        <v>0</v>
      </c>
      <c r="I15" s="100" t="str">
        <f t="shared" si="5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</row>
    <row r="16" spans="1:12" ht="15" hidden="1" thickBot="1" x14ac:dyDescent="0.4">
      <c r="B16" s="52" t="str">
        <f>Setup!A31</f>
        <v>Caseload 12</v>
      </c>
      <c r="C16" s="103">
        <f>AVERAGE(INDEX('SPC Backing (Hide)'!$F$4:$T$263,MATCH(SPC!$B$13,IF(Setup!$B$11="Weekly",'SPC Backing (Hide)'!$B$4:$B$263,'SPC Backing (Hide)'!$E$4:$E$263),0),MATCH(B16,'SPC Backing (Hide)'!$F$3:$T$3,0)):INDEX('SPC Backing (Hide)'!$F$4:$T$263,MATCH(SPC!$B$14,IF(Setup!$B$11="Weekly",'SPC Backing (Hide)'!$B$4:$B$263,'SPC Backing (Hide)'!$E$4:$E$263),0),MATCH(B16,'SPC Backing (Hide)'!$F$3:$T$3,0)))</f>
        <v>0</v>
      </c>
      <c r="D16" s="122"/>
      <c r="E16" s="97"/>
      <c r="F16" s="97"/>
      <c r="G16" s="39"/>
      <c r="H16" s="100">
        <f t="shared" si="0"/>
        <v>0</v>
      </c>
      <c r="I16" s="100" t="str">
        <f t="shared" si="5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</row>
    <row r="17" spans="2:12" ht="15" hidden="1" thickBot="1" x14ac:dyDescent="0.4">
      <c r="B17" s="52" t="str">
        <f>Setup!A32</f>
        <v>Caseload 13</v>
      </c>
      <c r="C17" s="103">
        <f>AVERAGE(INDEX('SPC Backing (Hide)'!$F$4:$T$263,MATCH(SPC!$B$13,IF(Setup!$B$11="Weekly",'SPC Backing (Hide)'!$B$4:$B$263,'SPC Backing (Hide)'!$E$4:$E$263),0),MATCH(B17,'SPC Backing (Hide)'!$F$3:$T$3,0)):INDEX('SPC Backing (Hide)'!$F$4:$T$263,MATCH(SPC!$B$14,IF(Setup!$B$11="Weekly",'SPC Backing (Hide)'!$B$4:$B$263,'SPC Backing (Hide)'!$E$4:$E$263),0),MATCH(B17,'SPC Backing (Hide)'!$F$3:$T$3,0)))</f>
        <v>0</v>
      </c>
      <c r="D17" s="122"/>
      <c r="E17" s="97"/>
      <c r="F17" s="97"/>
      <c r="G17" s="39"/>
      <c r="H17" s="100">
        <f t="shared" si="0"/>
        <v>0</v>
      </c>
      <c r="I17" s="100" t="str">
        <f t="shared" si="5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</row>
    <row r="18" spans="2:12" ht="15" hidden="1" thickBot="1" x14ac:dyDescent="0.4">
      <c r="B18" s="52" t="str">
        <f>Setup!A33</f>
        <v>Caseload 14</v>
      </c>
      <c r="C18" s="103">
        <f>AVERAGE(INDEX('SPC Backing (Hide)'!$F$4:$T$263,MATCH(SPC!$B$13,IF(Setup!$B$11="Weekly",'SPC Backing (Hide)'!$B$4:$B$263,'SPC Backing (Hide)'!$E$4:$E$263),0),MATCH(B18,'SPC Backing (Hide)'!$F$3:$T$3,0)):INDEX('SPC Backing (Hide)'!$F$4:$T$263,MATCH(SPC!$B$14,IF(Setup!$B$11="Weekly",'SPC Backing (Hide)'!$B$4:$B$263,'SPC Backing (Hide)'!$E$4:$E$263),0),MATCH(B18,'SPC Backing (Hide)'!$F$3:$T$3,0)))</f>
        <v>0</v>
      </c>
      <c r="D18" s="122"/>
      <c r="E18" s="97"/>
      <c r="F18" s="97"/>
      <c r="G18" s="39"/>
      <c r="H18" s="100">
        <f t="shared" si="0"/>
        <v>0</v>
      </c>
      <c r="I18" s="100" t="str">
        <f t="shared" si="5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</row>
    <row r="19" spans="2:12" ht="15" hidden="1" thickBot="1" x14ac:dyDescent="0.4">
      <c r="B19" s="53" t="str">
        <f>Setup!A34</f>
        <v>Caseload 15</v>
      </c>
      <c r="C19" s="104">
        <f>AVERAGE(INDEX('SPC Backing (Hide)'!$F$4:$T$263,MATCH(SPC!$B$13,IF(Setup!$B$11="Weekly",'SPC Backing (Hide)'!$B$4:$B$263,'SPC Backing (Hide)'!$E$4:$E$263),0),MATCH(B19,'SPC Backing (Hide)'!$F$3:$T$3,0)):INDEX('SPC Backing (Hide)'!$F$4:$T$263,MATCH(SPC!$B$14,IF(Setup!$B$11="Weekly",'SPC Backing (Hide)'!$B$4:$B$263,'SPC Backing (Hide)'!$E$4:$E$263),0),MATCH(B19,'SPC Backing (Hide)'!$F$3:$T$3,0)))</f>
        <v>0</v>
      </c>
      <c r="D19" s="123"/>
      <c r="E19" s="98"/>
      <c r="F19" s="98"/>
      <c r="G19" s="40"/>
      <c r="H19" s="101">
        <f t="shared" si="0"/>
        <v>0</v>
      </c>
      <c r="I19" s="101" t="str">
        <f t="shared" si="5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</row>
    <row r="20" spans="2:12" ht="15" thickBot="1" x14ac:dyDescent="0.4">
      <c r="B20" s="125" t="s">
        <v>200</v>
      </c>
      <c r="C20" s="38">
        <v>60</v>
      </c>
      <c r="D20" s="38">
        <v>40</v>
      </c>
      <c r="E20" s="38">
        <v>0</v>
      </c>
      <c r="F20" s="38">
        <v>2</v>
      </c>
      <c r="G20" s="17" t="s">
        <v>183</v>
      </c>
      <c r="H20" s="124">
        <f t="shared" si="0"/>
        <v>420</v>
      </c>
      <c r="I20" s="124" t="str">
        <f t="shared" ref="I20" si="6">IF(H20&lt;&gt;0,TEXT(H20-(H20/100*5),"#.0")&amp;" - "&amp;TEXT(H20+(H20/100*5),"#.0"),"")</f>
        <v>399.0 - 441.0</v>
      </c>
      <c r="J20" s="27">
        <f t="shared" ref="J20" si="7">H20-(H20/100*5)</f>
        <v>399</v>
      </c>
      <c r="K20" s="27">
        <f t="shared" ref="K20" si="8">H20+(H20/100*5)</f>
        <v>441</v>
      </c>
      <c r="L20" s="27">
        <f t="shared" ref="L20" si="9">K20-J20</f>
        <v>42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G5:G19 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C11" sqref="C11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140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46</v>
      </c>
      <c r="D3" s="56" t="s">
        <v>177</v>
      </c>
      <c r="E3" s="56" t="s">
        <v>47</v>
      </c>
      <c r="F3" s="56" t="s">
        <v>50</v>
      </c>
      <c r="G3" s="56" t="s">
        <v>48</v>
      </c>
      <c r="H3" s="56" t="s">
        <v>49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28" t="str" cm="1">
        <f t="array" ref="B4">INDEX('Data Validation (Hide)'!$B$2:$B$16,ROUNDUP(ROW(A1)/5,0),1)</f>
        <v>20 Group Sessions</v>
      </c>
      <c r="C4" s="3" t="s">
        <v>151</v>
      </c>
      <c r="D4" s="18">
        <v>240</v>
      </c>
      <c r="E4" s="18">
        <v>7</v>
      </c>
      <c r="F4" s="15" t="s">
        <v>88</v>
      </c>
      <c r="G4" s="4">
        <f>INDEX('Data Validation (Hide)'!$K$2:$L$9,MATCH(Service!F4,'Data Validation (Hide)'!$K$2:$K$8,0),2)</f>
        <v>1</v>
      </c>
      <c r="H4" s="85">
        <f>IFERROR((G4*D4)/E4,"")</f>
        <v>34.285714285714285</v>
      </c>
      <c r="I4" s="141">
        <f>SUMIF($E$4:$E$8,1,$H$4:$H$8)</f>
        <v>75</v>
      </c>
      <c r="J4" s="138">
        <f>SUMIF($E$4:$E$8,"&gt;"&amp;1,$H$4:$H$8)</f>
        <v>34.285714285714285</v>
      </c>
    </row>
    <row r="5" spans="1:10" x14ac:dyDescent="0.35">
      <c r="B5" s="129" t="str" cm="1">
        <f t="array" ref="B5">INDEX('Data Validation (Hide)'!$B$2:$B$16,ROUNDUP(ROW(A2)/5,0),1)</f>
        <v>20 Group Sessions</v>
      </c>
      <c r="C5" s="7" t="s">
        <v>153</v>
      </c>
      <c r="D5" s="20">
        <v>15</v>
      </c>
      <c r="E5" s="20">
        <v>1</v>
      </c>
      <c r="F5" s="6" t="s">
        <v>122</v>
      </c>
      <c r="G5" s="19">
        <f>INDEX('Data Validation (Hide)'!$K$2:$L$9,MATCH(Service!F5,'Data Validation (Hide)'!$K$2:$K$8,0),2)</f>
        <v>5</v>
      </c>
      <c r="H5" s="86">
        <f t="shared" ref="H5:H35" si="0">IFERROR((G5*D5)/E5,"")</f>
        <v>75</v>
      </c>
      <c r="I5" s="142"/>
      <c r="J5" s="139"/>
    </row>
    <row r="6" spans="1:10" x14ac:dyDescent="0.35">
      <c r="B6" s="127" t="str" cm="1">
        <f t="array" ref="B6">INDEX('Data Validation (Hide)'!$B$2:$B$16,ROUNDUP(ROW(A3)/5,0),1)</f>
        <v>20 Group Sessions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42"/>
      <c r="J6" s="139"/>
    </row>
    <row r="7" spans="1:10" x14ac:dyDescent="0.35">
      <c r="B7" s="129" t="str" cm="1">
        <f t="array" ref="B7">INDEX('Data Validation (Hide)'!$B$2:$B$16,ROUNDUP(ROW(A4)/5,0),1)</f>
        <v>20 Group Sessions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42"/>
      <c r="J7" s="139"/>
    </row>
    <row r="8" spans="1:10" ht="15" thickBot="1" x14ac:dyDescent="0.4">
      <c r="B8" s="130" t="str" cm="1">
        <f t="array" ref="B8">INDEX('Data Validation (Hide)'!$B$2:$B$16,ROUNDUP(ROW(A5)/5,0),1)</f>
        <v>20 Group Sessions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43"/>
      <c r="J8" s="140"/>
    </row>
    <row r="9" spans="1:10" x14ac:dyDescent="0.35">
      <c r="B9" s="128" t="str" cm="1">
        <f t="array" ref="B9">INDEX('Data Validation (Hide)'!$B$2:$B$16,ROUNDUP(ROW(A6)/5,0),1)</f>
        <v>40 Group Session</v>
      </c>
      <c r="C9" s="3" t="s">
        <v>152</v>
      </c>
      <c r="D9" s="18">
        <v>240</v>
      </c>
      <c r="E9" s="18">
        <v>7</v>
      </c>
      <c r="F9" s="15" t="s">
        <v>88</v>
      </c>
      <c r="G9" s="4">
        <f>INDEX('Data Validation (Hide)'!$K$2:$L$9,MATCH(Service!F9,'Data Validation (Hide)'!$K$2:$K$8,0),2)</f>
        <v>1</v>
      </c>
      <c r="H9" s="85">
        <f t="shared" si="0"/>
        <v>34.285714285714285</v>
      </c>
      <c r="I9" s="141">
        <f>SUMIF($E$9:$E$13,1,$H$9:$H$13)</f>
        <v>120</v>
      </c>
      <c r="J9" s="141">
        <f>SUMIF($E$9:$E$13,"&gt;"&amp;1,$H$9:$H$13)</f>
        <v>34.285714285714285</v>
      </c>
    </row>
    <row r="10" spans="1:10" x14ac:dyDescent="0.35">
      <c r="B10" s="129" t="str" cm="1">
        <f t="array" ref="B10">INDEX('Data Validation (Hide)'!$B$2:$B$16,ROUNDUP(ROW(A7)/5,0),1)</f>
        <v>40 Group Session</v>
      </c>
      <c r="C10" s="7" t="s">
        <v>204</v>
      </c>
      <c r="D10" s="20">
        <v>120</v>
      </c>
      <c r="E10" s="20">
        <v>1</v>
      </c>
      <c r="F10" s="6" t="s">
        <v>88</v>
      </c>
      <c r="G10" s="5">
        <f>INDEX('Data Validation (Hide)'!$K$2:$L$9,MATCH(Service!F10,'Data Validation (Hide)'!$K$2:$K$8,0),2)</f>
        <v>1</v>
      </c>
      <c r="H10" s="86">
        <f t="shared" si="0"/>
        <v>120</v>
      </c>
      <c r="I10" s="142"/>
      <c r="J10" s="142"/>
    </row>
    <row r="11" spans="1:10" x14ac:dyDescent="0.35">
      <c r="B11" s="127" t="str" cm="1">
        <f t="array" ref="B11">INDEX('Data Validation (Hide)'!$B$2:$B$16,ROUNDUP(ROW(A8)/5,0),1)</f>
        <v>40 Group Session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42"/>
      <c r="J11" s="142"/>
    </row>
    <row r="12" spans="1:10" x14ac:dyDescent="0.35">
      <c r="B12" s="129" t="str" cm="1">
        <f t="array" ref="B12">INDEX('Data Validation (Hide)'!$B$2:$B$16,ROUNDUP(ROW(A9)/5,0),1)</f>
        <v>40 Group Session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42"/>
      <c r="J12" s="142"/>
    </row>
    <row r="13" spans="1:10" ht="15" thickBot="1" x14ac:dyDescent="0.4">
      <c r="B13" s="130" t="str" cm="1">
        <f t="array" ref="B13">INDEX('Data Validation (Hide)'!$B$2:$B$16,ROUNDUP(ROW(A10)/5,0),1)</f>
        <v>40 Group Session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43"/>
      <c r="J13" s="143"/>
    </row>
    <row r="14" spans="1:10" x14ac:dyDescent="0.35">
      <c r="B14" s="128" t="str" cm="1">
        <f t="array" ref="B14">INDEX('Data Validation (Hide)'!$B$2:$B$16,ROUNDUP(ROW(A11)/5,0),1)</f>
        <v>8 Group Session</v>
      </c>
      <c r="C14" s="3" t="s">
        <v>151</v>
      </c>
      <c r="D14" s="18">
        <v>240</v>
      </c>
      <c r="E14" s="18">
        <v>7</v>
      </c>
      <c r="F14" s="15" t="s">
        <v>88</v>
      </c>
      <c r="G14" s="4">
        <f>INDEX('Data Validation (Hide)'!$K$2:$L$9,MATCH(Service!F14,'Data Validation (Hide)'!$K$2:$K$8,0),2)</f>
        <v>1</v>
      </c>
      <c r="H14" s="85">
        <f t="shared" si="0"/>
        <v>34.285714285714285</v>
      </c>
      <c r="I14" s="141">
        <f>SUMIF($E$14:$E$18,1,$H$14:$H$18)</f>
        <v>0</v>
      </c>
      <c r="J14" s="141">
        <f>SUMIF($E$14:$E$18,"&gt;"&amp;1,$H$14:$H$18)</f>
        <v>34.285714285714285</v>
      </c>
    </row>
    <row r="15" spans="1:10" x14ac:dyDescent="0.35">
      <c r="B15" s="129" t="str" cm="1">
        <f t="array" ref="B15">INDEX('Data Validation (Hide)'!$B$2:$B$16,ROUNDUP(ROW(A12)/5,0),1)</f>
        <v>8 Group Session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42"/>
      <c r="J15" s="142"/>
    </row>
    <row r="16" spans="1:10" x14ac:dyDescent="0.35">
      <c r="B16" s="127" t="str" cm="1">
        <f t="array" ref="B16">INDEX('Data Validation (Hide)'!$B$2:$B$16,ROUNDUP(ROW(A13)/5,0),1)</f>
        <v>8 Group Session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42"/>
      <c r="J16" s="142"/>
    </row>
    <row r="17" spans="2:10" x14ac:dyDescent="0.35">
      <c r="B17" s="129" t="str" cm="1">
        <f t="array" ref="B17">INDEX('Data Validation (Hide)'!$B$2:$B$16,ROUNDUP(ROW(A14)/5,0),1)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42"/>
      <c r="J17" s="142"/>
    </row>
    <row r="18" spans="2:10" ht="15" thickBot="1" x14ac:dyDescent="0.4">
      <c r="B18" s="130" t="str" cm="1">
        <f t="array" ref="B18">INDEX('Data Validation (Hide)'!$B$2:$B$16,ROUNDUP(ROW(A15)/5,0),1)</f>
        <v>8 Group Session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43"/>
      <c r="J18" s="143"/>
    </row>
    <row r="19" spans="2:10" x14ac:dyDescent="0.35">
      <c r="B19" s="128" t="str" cm="1">
        <f t="array" ref="B19">INDEX('Data Validation (Hide)'!$B$2:$B$16,ROUNDUP(ROW(A16)/5,0),1)</f>
        <v>20 Individual</v>
      </c>
      <c r="C19" s="3" t="s">
        <v>153</v>
      </c>
      <c r="D19" s="18">
        <v>60</v>
      </c>
      <c r="E19" s="18">
        <v>1</v>
      </c>
      <c r="F19" s="15" t="s">
        <v>88</v>
      </c>
      <c r="G19" s="4">
        <f>INDEX('Data Validation (Hide)'!$K$2:$L$9,MATCH(Service!F19,'Data Validation (Hide)'!$K$2:$K$8,0),2)</f>
        <v>1</v>
      </c>
      <c r="H19" s="85">
        <f t="shared" si="0"/>
        <v>60</v>
      </c>
      <c r="I19" s="141">
        <f>SUMIF($E$19:$E$23,1,$H$19:$H$23)</f>
        <v>60</v>
      </c>
      <c r="J19" s="141">
        <f>SUMIF($E$19:$E$23,"&gt;"&amp;1,$H$19:$H$23)</f>
        <v>0</v>
      </c>
    </row>
    <row r="20" spans="2:10" x14ac:dyDescent="0.35">
      <c r="B20" s="129" t="str" cm="1">
        <f t="array" ref="B20">INDEX('Data Validation (Hide)'!$B$2:$B$16,ROUNDUP(ROW(A17)/5,0),1)</f>
        <v>20 Individual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42"/>
      <c r="J20" s="142"/>
    </row>
    <row r="21" spans="2:10" x14ac:dyDescent="0.35">
      <c r="B21" s="127" t="str" cm="1">
        <f t="array" ref="B21">INDEX('Data Validation (Hide)'!$B$2:$B$16,ROUNDUP(ROW(A18)/5,0),1)</f>
        <v>20 Individual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42"/>
      <c r="J21" s="142"/>
    </row>
    <row r="22" spans="2:10" x14ac:dyDescent="0.35">
      <c r="B22" s="129" t="str" cm="1">
        <f t="array" ref="B22">INDEX('Data Validation (Hide)'!$B$2:$B$16,ROUNDUP(ROW(A19)/5,0),1)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42"/>
      <c r="J22" s="142"/>
    </row>
    <row r="23" spans="2:10" ht="15" thickBot="1" x14ac:dyDescent="0.4">
      <c r="B23" s="130" t="str" cm="1">
        <f t="array" ref="B23">INDEX('Data Validation (Hide)'!$B$2:$B$16,ROUNDUP(ROW(A20)/5,0),1)</f>
        <v>20 Individual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43"/>
      <c r="J23" s="143"/>
    </row>
    <row r="24" spans="2:10" x14ac:dyDescent="0.35">
      <c r="B24" s="128" t="str" cm="1">
        <f t="array" ref="B24">INDEX('Data Validation (Hide)'!$B$2:$B$16,ROUNDUP(ROW(A21)/5,0),1)</f>
        <v>40 Individual</v>
      </c>
      <c r="C24" s="3" t="s">
        <v>153</v>
      </c>
      <c r="D24" s="18">
        <v>60</v>
      </c>
      <c r="E24" s="18">
        <v>1</v>
      </c>
      <c r="F24" s="15" t="s">
        <v>88</v>
      </c>
      <c r="G24" s="4">
        <f>INDEX('Data Validation (Hide)'!$K$2:$L$9,MATCH(Service!F24,'Data Validation (Hide)'!$K$2:$K$8,0),2)</f>
        <v>1</v>
      </c>
      <c r="H24" s="85">
        <f t="shared" si="0"/>
        <v>60</v>
      </c>
      <c r="I24" s="141">
        <f>SUMIF($E$24:$E$28,1,$H$24:$H$28)</f>
        <v>60</v>
      </c>
      <c r="J24" s="141">
        <f>SUMIF($E$24:$E$28,"&gt;"&amp;1,$H$24:$H$28)</f>
        <v>0</v>
      </c>
    </row>
    <row r="25" spans="2:10" x14ac:dyDescent="0.35">
      <c r="B25" s="129" t="str" cm="1">
        <f t="array" ref="B25">INDEX('Data Validation (Hide)'!$B$2:$B$16,ROUNDUP(ROW(A22)/5,0),1)</f>
        <v>40 Individual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42"/>
      <c r="J25" s="142"/>
    </row>
    <row r="26" spans="2:10" x14ac:dyDescent="0.35">
      <c r="B26" s="127" t="str" cm="1">
        <f t="array" ref="B26">INDEX('Data Validation (Hide)'!$B$2:$B$16,ROUNDUP(ROW(A23)/5,0),1)</f>
        <v>40 Individual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42"/>
      <c r="J26" s="142"/>
    </row>
    <row r="27" spans="2:10" x14ac:dyDescent="0.35">
      <c r="B27" s="129" t="str" cm="1">
        <f t="array" ref="B27">INDEX('Data Validation (Hide)'!$B$2:$B$16,ROUNDUP(ROW(A24)/5,0),1)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42"/>
      <c r="J27" s="142"/>
    </row>
    <row r="28" spans="2:10" ht="15" thickBot="1" x14ac:dyDescent="0.4">
      <c r="B28" s="130" t="str" cm="1">
        <f t="array" ref="B28">INDEX('Data Validation (Hide)'!$B$2:$B$16,ROUNDUP(ROW(A25)/5,0),1)</f>
        <v>40 Individual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43"/>
      <c r="J28" s="143"/>
    </row>
    <row r="29" spans="2:10" x14ac:dyDescent="0.35">
      <c r="B29" s="128" t="str" cm="1">
        <f t="array" ref="B29">INDEX('Data Validation (Hide)'!$B$2:$B$16,ROUNDUP(ROW(A26)/5,0),1)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35">
        <f>SUMIF($E$29:$E$33,1,$H$29:$H$33)</f>
        <v>0</v>
      </c>
      <c r="J29" s="135">
        <f>SUMIF($E$29:$E$33,"&gt;"&amp;1,$H$29:$H$33)</f>
        <v>0</v>
      </c>
    </row>
    <row r="30" spans="2:10" x14ac:dyDescent="0.35">
      <c r="B30" s="129" t="str" cm="1">
        <f t="array" ref="B30">INDEX('Data Validation (Hide)'!$B$2:$B$16,ROUNDUP(ROW(A27)/5,0),1)</f>
        <v>Caseload 6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36"/>
      <c r="J30" s="136"/>
    </row>
    <row r="31" spans="2:10" x14ac:dyDescent="0.35">
      <c r="B31" s="127" t="str" cm="1">
        <f t="array" ref="B31">INDEX('Data Validation (Hide)'!$B$2:$B$16,ROUNDUP(ROW(A28)/5,0),1)</f>
        <v>Caseload 6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36"/>
      <c r="J31" s="136"/>
    </row>
    <row r="32" spans="2:10" x14ac:dyDescent="0.35">
      <c r="B32" s="129" t="str" cm="1">
        <f t="array" ref="B32">INDEX('Data Validation (Hide)'!$B$2:$B$16,ROUNDUP(ROW(A29)/5,0),1)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36"/>
      <c r="J32" s="136"/>
    </row>
    <row r="33" spans="2:10" ht="15" thickBot="1" x14ac:dyDescent="0.4">
      <c r="B33" s="130" t="str" cm="1">
        <f t="array" ref="B33">INDEX('Data Validation (Hide)'!$B$2:$B$16,ROUNDUP(ROW(A30)/5,0),1)</f>
        <v>Caseload 6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37"/>
      <c r="J33" s="137"/>
    </row>
    <row r="34" spans="2:10" x14ac:dyDescent="0.35">
      <c r="B34" s="128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35">
        <f>SUMIF($E$34:$E$38,1,$H$34:$H$38)</f>
        <v>0</v>
      </c>
      <c r="J34" s="135">
        <f>SUMIF($E$34:$E$38,"&gt;"&amp;1,$H$34:$H$38)</f>
        <v>0</v>
      </c>
    </row>
    <row r="35" spans="2:10" x14ac:dyDescent="0.35">
      <c r="B35" s="129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36"/>
      <c r="J35" s="136"/>
    </row>
    <row r="36" spans="2:10" x14ac:dyDescent="0.35">
      <c r="B36" s="127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36"/>
      <c r="J36" s="136"/>
    </row>
    <row r="37" spans="2:10" x14ac:dyDescent="0.35">
      <c r="B37" s="129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36"/>
      <c r="J37" s="136"/>
    </row>
    <row r="38" spans="2:10" ht="15" thickBot="1" x14ac:dyDescent="0.4">
      <c r="B38" s="130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37"/>
      <c r="J38" s="137"/>
    </row>
    <row r="39" spans="2:10" x14ac:dyDescent="0.35">
      <c r="B39" s="128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35">
        <f>SUMIF($E$39:$E$43,1,$H$39:$H$43)</f>
        <v>0</v>
      </c>
      <c r="J39" s="135">
        <f>SUMIF($E$39:$E$43,"&gt;"&amp;1,$H$39:$H$43)</f>
        <v>0</v>
      </c>
    </row>
    <row r="40" spans="2:10" x14ac:dyDescent="0.35">
      <c r="B40" s="129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36"/>
      <c r="J40" s="136"/>
    </row>
    <row r="41" spans="2:10" x14ac:dyDescent="0.35">
      <c r="B41" s="127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36"/>
      <c r="J41" s="136"/>
    </row>
    <row r="42" spans="2:10" x14ac:dyDescent="0.35">
      <c r="B42" s="129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36"/>
      <c r="J42" s="136"/>
    </row>
    <row r="43" spans="2:10" ht="15" thickBot="1" x14ac:dyDescent="0.4">
      <c r="B43" s="130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37"/>
      <c r="J43" s="137"/>
    </row>
    <row r="44" spans="2:10" x14ac:dyDescent="0.35">
      <c r="B44" s="128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35">
        <f>SUMIF($E$44:$E$48,1,$H$44:$H$48)</f>
        <v>0</v>
      </c>
      <c r="J44" s="135">
        <f>SUMIF($E$44:$E$48,"&gt;"&amp;1,$H$44:$H$48)</f>
        <v>0</v>
      </c>
    </row>
    <row r="45" spans="2:10" x14ac:dyDescent="0.35">
      <c r="B45" s="129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36"/>
      <c r="J45" s="136"/>
    </row>
    <row r="46" spans="2:10" x14ac:dyDescent="0.35">
      <c r="B46" s="127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36"/>
      <c r="J46" s="136"/>
    </row>
    <row r="47" spans="2:10" x14ac:dyDescent="0.35">
      <c r="B47" s="129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36"/>
      <c r="J47" s="136"/>
    </row>
    <row r="48" spans="2:10" ht="15" thickBot="1" x14ac:dyDescent="0.4">
      <c r="B48" s="130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37"/>
      <c r="J48" s="137"/>
    </row>
    <row r="49" spans="2:10" x14ac:dyDescent="0.35">
      <c r="B49" s="128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35">
        <f>SUMIF($E$49:$E$53,1,$H$49:$H$53)</f>
        <v>0</v>
      </c>
      <c r="J49" s="135">
        <f>SUMIF($E$49:$E$53,"&gt;"&amp;1,$H$49:$H$53)</f>
        <v>0</v>
      </c>
    </row>
    <row r="50" spans="2:10" x14ac:dyDescent="0.35">
      <c r="B50" s="129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36"/>
      <c r="J50" s="136"/>
    </row>
    <row r="51" spans="2:10" x14ac:dyDescent="0.35">
      <c r="B51" s="127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36"/>
      <c r="J51" s="136"/>
    </row>
    <row r="52" spans="2:10" x14ac:dyDescent="0.35">
      <c r="B52" s="129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36"/>
      <c r="J52" s="136"/>
    </row>
    <row r="53" spans="2:10" ht="15" thickBot="1" x14ac:dyDescent="0.4">
      <c r="B53" s="130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37"/>
      <c r="J53" s="137"/>
    </row>
    <row r="54" spans="2:10" x14ac:dyDescent="0.35">
      <c r="B54" s="128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35">
        <f>SUMIF($E$54:$E$58,1,$H$54:$H$58)</f>
        <v>0</v>
      </c>
      <c r="J54" s="135">
        <f>SUMIF($E$54:$E$58,"&gt;"&amp;1,$H$54:$H$58)</f>
        <v>0</v>
      </c>
    </row>
    <row r="55" spans="2:10" x14ac:dyDescent="0.35">
      <c r="B55" s="129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36"/>
      <c r="J55" s="136"/>
    </row>
    <row r="56" spans="2:10" x14ac:dyDescent="0.35">
      <c r="B56" s="127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36"/>
      <c r="J56" s="136"/>
    </row>
    <row r="57" spans="2:10" x14ac:dyDescent="0.35">
      <c r="B57" s="129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36"/>
      <c r="J57" s="136"/>
    </row>
    <row r="58" spans="2:10" ht="15" thickBot="1" x14ac:dyDescent="0.4">
      <c r="B58" s="130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37"/>
      <c r="J58" s="137"/>
    </row>
    <row r="59" spans="2:10" x14ac:dyDescent="0.35">
      <c r="B59" s="128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35">
        <f>SUMIF($E$59:$E$63,1,$H$59:$H$63)</f>
        <v>0</v>
      </c>
      <c r="J59" s="135">
        <f>SUMIF($E$59:$E$63,"&gt;"&amp;1,$H$59:$H$63)</f>
        <v>0</v>
      </c>
    </row>
    <row r="60" spans="2:10" x14ac:dyDescent="0.35">
      <c r="B60" s="129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36"/>
      <c r="J60" s="136"/>
    </row>
    <row r="61" spans="2:10" x14ac:dyDescent="0.35">
      <c r="B61" s="127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36"/>
      <c r="J61" s="136"/>
    </row>
    <row r="62" spans="2:10" x14ac:dyDescent="0.35">
      <c r="B62" s="129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36"/>
      <c r="J62" s="136"/>
    </row>
    <row r="63" spans="2:10" ht="15" thickBot="1" x14ac:dyDescent="0.4">
      <c r="B63" s="130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37"/>
      <c r="J63" s="137"/>
    </row>
    <row r="64" spans="2:10" x14ac:dyDescent="0.35">
      <c r="B64" s="128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35">
        <f>SUMIF($E$64:$E$68,1,$H$64:$H$68)</f>
        <v>0</v>
      </c>
      <c r="J64" s="135">
        <f>SUMIF($E$64:$E$68,"&gt;"&amp;1,$H$64:$H$68)</f>
        <v>0</v>
      </c>
    </row>
    <row r="65" spans="2:10" x14ac:dyDescent="0.35">
      <c r="B65" s="129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36"/>
      <c r="J65" s="136"/>
    </row>
    <row r="66" spans="2:10" x14ac:dyDescent="0.35">
      <c r="B66" s="127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36"/>
      <c r="J66" s="136"/>
    </row>
    <row r="67" spans="2:10" x14ac:dyDescent="0.35">
      <c r="B67" s="129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36"/>
      <c r="J67" s="136"/>
    </row>
    <row r="68" spans="2:10" ht="15" thickBot="1" x14ac:dyDescent="0.4">
      <c r="B68" s="130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37"/>
      <c r="J68" s="137"/>
    </row>
    <row r="69" spans="2:10" x14ac:dyDescent="0.35">
      <c r="B69" s="128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35">
        <f>SUMIF($E$69:$E$73,1,$H$69:$H$73)</f>
        <v>0</v>
      </c>
      <c r="J69" s="135">
        <f>SUMIF($E$69:$E$73,"&gt;"&amp;1,$H$69:$H$73)</f>
        <v>0</v>
      </c>
    </row>
    <row r="70" spans="2:10" x14ac:dyDescent="0.35">
      <c r="B70" s="129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36"/>
      <c r="J70" s="136"/>
    </row>
    <row r="71" spans="2:10" x14ac:dyDescent="0.35">
      <c r="B71" s="127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36"/>
      <c r="J71" s="136"/>
    </row>
    <row r="72" spans="2:10" x14ac:dyDescent="0.35">
      <c r="B72" s="129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36"/>
      <c r="J72" s="136"/>
    </row>
    <row r="73" spans="2:10" ht="15" thickBot="1" x14ac:dyDescent="0.4">
      <c r="B73" s="130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37"/>
      <c r="J73" s="137"/>
    </row>
    <row r="74" spans="2:10" x14ac:dyDescent="0.35">
      <c r="B74" s="128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35">
        <f>SUMIF($E$74:$E$78,1,$H$74:$H$78)</f>
        <v>0</v>
      </c>
      <c r="J74" s="135">
        <f>SUMIF($E$74:$E$78,"&gt;"&amp;1,$H$74:$H$78)</f>
        <v>0</v>
      </c>
    </row>
    <row r="75" spans="2:10" x14ac:dyDescent="0.35">
      <c r="B75" s="129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36"/>
      <c r="J75" s="136"/>
    </row>
    <row r="76" spans="2:10" x14ac:dyDescent="0.35">
      <c r="B76" s="127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36"/>
      <c r="J76" s="136"/>
    </row>
    <row r="77" spans="2:10" x14ac:dyDescent="0.35">
      <c r="B77" s="129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36"/>
      <c r="J77" s="136"/>
    </row>
    <row r="78" spans="2:10" ht="15" thickBot="1" x14ac:dyDescent="0.4">
      <c r="B78" s="130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37"/>
      <c r="J78" s="137"/>
    </row>
    <row r="79" spans="2:10" x14ac:dyDescent="0.35">
      <c r="E79" s="32"/>
      <c r="H79" s="32"/>
      <c r="I79" s="32"/>
      <c r="J79" s="32"/>
    </row>
  </sheetData>
  <mergeCells count="30">
    <mergeCell ref="I29:I33"/>
    <mergeCell ref="I34:I38"/>
    <mergeCell ref="I4:I8"/>
    <mergeCell ref="I9:I13"/>
    <mergeCell ref="I14:I18"/>
    <mergeCell ref="I19:I23"/>
    <mergeCell ref="I24:I28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J74:J78"/>
    <mergeCell ref="J44:J48"/>
    <mergeCell ref="J49:J53"/>
    <mergeCell ref="J54:J58"/>
    <mergeCell ref="J59:J63"/>
    <mergeCell ref="J64:J68"/>
    <mergeCell ref="J69:J7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I1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54</v>
      </c>
      <c r="E1" s="3" t="s">
        <v>57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145</v>
      </c>
      <c r="CS1" s="3" t="s">
        <v>145</v>
      </c>
      <c r="CT1" s="3" t="s">
        <v>145</v>
      </c>
      <c r="CU1" s="3" t="s">
        <v>145</v>
      </c>
      <c r="CV1" s="3" t="s">
        <v>145</v>
      </c>
      <c r="CW1" s="3" t="s">
        <v>145</v>
      </c>
      <c r="CY1" s="3" t="s">
        <v>65</v>
      </c>
      <c r="CZ1" s="4"/>
      <c r="DA1" s="15"/>
    </row>
    <row r="2" spans="1:105" ht="15" thickBot="1" x14ac:dyDescent="0.4">
      <c r="E2" s="7"/>
      <c r="F2" s="7" t="s">
        <v>59</v>
      </c>
      <c r="G2" s="6" t="s">
        <v>59</v>
      </c>
      <c r="H2" s="7" t="s">
        <v>51</v>
      </c>
      <c r="I2" s="6" t="s">
        <v>51</v>
      </c>
      <c r="J2" s="19" t="s">
        <v>64</v>
      </c>
      <c r="K2" s="23" t="s">
        <v>64</v>
      </c>
      <c r="L2" s="7" t="s">
        <v>59</v>
      </c>
      <c r="M2" s="6" t="s">
        <v>59</v>
      </c>
      <c r="N2" s="7" t="s">
        <v>51</v>
      </c>
      <c r="O2" s="6" t="s">
        <v>51</v>
      </c>
      <c r="P2" s="19" t="s">
        <v>64</v>
      </c>
      <c r="Q2" s="23" t="s">
        <v>64</v>
      </c>
      <c r="R2" s="7" t="s">
        <v>59</v>
      </c>
      <c r="S2" s="6" t="s">
        <v>59</v>
      </c>
      <c r="T2" s="7" t="s">
        <v>51</v>
      </c>
      <c r="U2" s="6" t="s">
        <v>51</v>
      </c>
      <c r="V2" s="19" t="s">
        <v>64</v>
      </c>
      <c r="W2" s="23" t="s">
        <v>64</v>
      </c>
      <c r="X2" s="7" t="s">
        <v>59</v>
      </c>
      <c r="Y2" s="6" t="s">
        <v>59</v>
      </c>
      <c r="Z2" s="7" t="s">
        <v>51</v>
      </c>
      <c r="AA2" s="6" t="s">
        <v>51</v>
      </c>
      <c r="AB2" s="19" t="s">
        <v>64</v>
      </c>
      <c r="AC2" s="23" t="s">
        <v>64</v>
      </c>
      <c r="AD2" s="7" t="s">
        <v>59</v>
      </c>
      <c r="AE2" s="6" t="s">
        <v>59</v>
      </c>
      <c r="AF2" s="7" t="s">
        <v>51</v>
      </c>
      <c r="AG2" s="6" t="s">
        <v>51</v>
      </c>
      <c r="AH2" s="19" t="s">
        <v>64</v>
      </c>
      <c r="AI2" s="23" t="s">
        <v>64</v>
      </c>
      <c r="AJ2" s="7" t="s">
        <v>59</v>
      </c>
      <c r="AK2" s="6" t="s">
        <v>59</v>
      </c>
      <c r="AL2" s="7" t="s">
        <v>51</v>
      </c>
      <c r="AM2" s="6" t="s">
        <v>51</v>
      </c>
      <c r="AN2" s="19" t="s">
        <v>64</v>
      </c>
      <c r="AO2" s="23" t="s">
        <v>64</v>
      </c>
      <c r="AP2" s="7" t="s">
        <v>59</v>
      </c>
      <c r="AQ2" s="6" t="s">
        <v>59</v>
      </c>
      <c r="AR2" s="7" t="s">
        <v>51</v>
      </c>
      <c r="AS2" s="6" t="s">
        <v>51</v>
      </c>
      <c r="AT2" s="19" t="s">
        <v>64</v>
      </c>
      <c r="AU2" s="23" t="s">
        <v>64</v>
      </c>
      <c r="AV2" s="7" t="s">
        <v>59</v>
      </c>
      <c r="AW2" s="6" t="s">
        <v>59</v>
      </c>
      <c r="AX2" s="7" t="s">
        <v>51</v>
      </c>
      <c r="AY2" s="6" t="s">
        <v>51</v>
      </c>
      <c r="AZ2" s="19" t="s">
        <v>64</v>
      </c>
      <c r="BA2" s="23" t="s">
        <v>64</v>
      </c>
      <c r="BB2" s="7" t="s">
        <v>59</v>
      </c>
      <c r="BC2" s="6" t="s">
        <v>59</v>
      </c>
      <c r="BD2" s="7" t="s">
        <v>51</v>
      </c>
      <c r="BE2" s="6" t="s">
        <v>51</v>
      </c>
      <c r="BF2" s="19" t="s">
        <v>64</v>
      </c>
      <c r="BG2" s="23" t="s">
        <v>64</v>
      </c>
      <c r="BH2" s="7" t="s">
        <v>59</v>
      </c>
      <c r="BI2" s="6" t="s">
        <v>59</v>
      </c>
      <c r="BJ2" s="7" t="s">
        <v>51</v>
      </c>
      <c r="BK2" s="6" t="s">
        <v>51</v>
      </c>
      <c r="BL2" s="19" t="s">
        <v>64</v>
      </c>
      <c r="BM2" s="23" t="s">
        <v>64</v>
      </c>
      <c r="BN2" s="7" t="s">
        <v>59</v>
      </c>
      <c r="BO2" s="6" t="s">
        <v>59</v>
      </c>
      <c r="BP2" s="7" t="s">
        <v>51</v>
      </c>
      <c r="BQ2" s="6" t="s">
        <v>51</v>
      </c>
      <c r="BR2" s="19" t="s">
        <v>64</v>
      </c>
      <c r="BS2" s="23" t="s">
        <v>64</v>
      </c>
      <c r="BT2" s="7" t="s">
        <v>59</v>
      </c>
      <c r="BU2" s="6" t="s">
        <v>59</v>
      </c>
      <c r="BV2" s="7" t="s">
        <v>51</v>
      </c>
      <c r="BW2" s="6" t="s">
        <v>51</v>
      </c>
      <c r="BX2" s="19" t="s">
        <v>64</v>
      </c>
      <c r="BY2" s="23" t="s">
        <v>64</v>
      </c>
      <c r="BZ2" s="7" t="s">
        <v>59</v>
      </c>
      <c r="CA2" s="6" t="s">
        <v>59</v>
      </c>
      <c r="CB2" s="7" t="s">
        <v>51</v>
      </c>
      <c r="CC2" s="6" t="s">
        <v>51</v>
      </c>
      <c r="CD2" s="19" t="s">
        <v>64</v>
      </c>
      <c r="CE2" s="23" t="s">
        <v>64</v>
      </c>
      <c r="CF2" s="7" t="s">
        <v>59</v>
      </c>
      <c r="CG2" s="6" t="s">
        <v>59</v>
      </c>
      <c r="CH2" s="7" t="s">
        <v>51</v>
      </c>
      <c r="CI2" s="6" t="s">
        <v>51</v>
      </c>
      <c r="CJ2" s="19" t="s">
        <v>64</v>
      </c>
      <c r="CK2" s="23" t="s">
        <v>64</v>
      </c>
      <c r="CL2" s="7" t="s">
        <v>59</v>
      </c>
      <c r="CM2" s="6" t="s">
        <v>59</v>
      </c>
      <c r="CN2" s="7" t="s">
        <v>51</v>
      </c>
      <c r="CO2" s="6" t="s">
        <v>51</v>
      </c>
      <c r="CP2" s="19" t="s">
        <v>64</v>
      </c>
      <c r="CQ2" s="23" t="s">
        <v>64</v>
      </c>
      <c r="CR2" s="7" t="s">
        <v>59</v>
      </c>
      <c r="CS2" s="6" t="s">
        <v>59</v>
      </c>
      <c r="CT2" s="7" t="s">
        <v>51</v>
      </c>
      <c r="CU2" s="6" t="s">
        <v>51</v>
      </c>
      <c r="CV2" s="19" t="s">
        <v>64</v>
      </c>
      <c r="CW2" s="23" t="s">
        <v>64</v>
      </c>
      <c r="CY2" s="7"/>
      <c r="CZ2" s="5"/>
      <c r="DA2" s="6"/>
    </row>
    <row r="3" spans="1:105" ht="15" thickBot="1" x14ac:dyDescent="0.4">
      <c r="B3" s="5" t="s">
        <v>120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2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14</v>
      </c>
      <c r="B4" s="36" t="s">
        <v>55</v>
      </c>
      <c r="C4" s="31" t="s">
        <v>56</v>
      </c>
      <c r="E4" s="17" t="s">
        <v>58</v>
      </c>
      <c r="F4" s="24" t="s">
        <v>60</v>
      </c>
      <c r="G4" s="26" t="s">
        <v>61</v>
      </c>
      <c r="H4" s="24" t="s">
        <v>60</v>
      </c>
      <c r="I4" s="26" t="s">
        <v>61</v>
      </c>
      <c r="J4" s="25" t="s">
        <v>52</v>
      </c>
      <c r="K4" s="26" t="s">
        <v>61</v>
      </c>
      <c r="L4" s="24" t="s">
        <v>60</v>
      </c>
      <c r="M4" s="26" t="s">
        <v>61</v>
      </c>
      <c r="N4" s="24" t="s">
        <v>60</v>
      </c>
      <c r="O4" s="26" t="s">
        <v>61</v>
      </c>
      <c r="P4" s="25" t="s">
        <v>52</v>
      </c>
      <c r="Q4" s="26" t="s">
        <v>61</v>
      </c>
      <c r="R4" s="24" t="s">
        <v>60</v>
      </c>
      <c r="S4" s="26" t="s">
        <v>61</v>
      </c>
      <c r="T4" s="24" t="s">
        <v>60</v>
      </c>
      <c r="U4" s="26" t="s">
        <v>61</v>
      </c>
      <c r="V4" s="25" t="s">
        <v>52</v>
      </c>
      <c r="W4" s="26" t="s">
        <v>61</v>
      </c>
      <c r="X4" s="24" t="s">
        <v>60</v>
      </c>
      <c r="Y4" s="26" t="s">
        <v>61</v>
      </c>
      <c r="Z4" s="24" t="s">
        <v>60</v>
      </c>
      <c r="AA4" s="26" t="s">
        <v>61</v>
      </c>
      <c r="AB4" s="25" t="s">
        <v>52</v>
      </c>
      <c r="AC4" s="26" t="s">
        <v>61</v>
      </c>
      <c r="AD4" s="24" t="s">
        <v>60</v>
      </c>
      <c r="AE4" s="26" t="s">
        <v>61</v>
      </c>
      <c r="AF4" s="24" t="s">
        <v>60</v>
      </c>
      <c r="AG4" s="26" t="s">
        <v>61</v>
      </c>
      <c r="AH4" s="25" t="s">
        <v>52</v>
      </c>
      <c r="AI4" s="26" t="s">
        <v>61</v>
      </c>
      <c r="AJ4" s="24" t="s">
        <v>60</v>
      </c>
      <c r="AK4" s="26" t="s">
        <v>61</v>
      </c>
      <c r="AL4" s="24" t="s">
        <v>60</v>
      </c>
      <c r="AM4" s="26" t="s">
        <v>61</v>
      </c>
      <c r="AN4" s="25" t="s">
        <v>52</v>
      </c>
      <c r="AO4" s="26" t="s">
        <v>61</v>
      </c>
      <c r="AP4" s="24" t="s">
        <v>60</v>
      </c>
      <c r="AQ4" s="26" t="s">
        <v>61</v>
      </c>
      <c r="AR4" s="24" t="s">
        <v>60</v>
      </c>
      <c r="AS4" s="26" t="s">
        <v>61</v>
      </c>
      <c r="AT4" s="25" t="s">
        <v>52</v>
      </c>
      <c r="AU4" s="26" t="s">
        <v>61</v>
      </c>
      <c r="AV4" s="24" t="s">
        <v>60</v>
      </c>
      <c r="AW4" s="26" t="s">
        <v>61</v>
      </c>
      <c r="AX4" s="24" t="s">
        <v>60</v>
      </c>
      <c r="AY4" s="26" t="s">
        <v>61</v>
      </c>
      <c r="AZ4" s="25" t="s">
        <v>52</v>
      </c>
      <c r="BA4" s="26" t="s">
        <v>61</v>
      </c>
      <c r="BB4" s="24" t="s">
        <v>60</v>
      </c>
      <c r="BC4" s="26" t="s">
        <v>61</v>
      </c>
      <c r="BD4" s="24" t="s">
        <v>60</v>
      </c>
      <c r="BE4" s="26" t="s">
        <v>61</v>
      </c>
      <c r="BF4" s="25" t="s">
        <v>52</v>
      </c>
      <c r="BG4" s="26" t="s">
        <v>61</v>
      </c>
      <c r="BH4" s="24" t="s">
        <v>60</v>
      </c>
      <c r="BI4" s="26" t="s">
        <v>61</v>
      </c>
      <c r="BJ4" s="24" t="s">
        <v>60</v>
      </c>
      <c r="BK4" s="26" t="s">
        <v>61</v>
      </c>
      <c r="BL4" s="25" t="s">
        <v>52</v>
      </c>
      <c r="BM4" s="26" t="s">
        <v>61</v>
      </c>
      <c r="BN4" s="24" t="s">
        <v>60</v>
      </c>
      <c r="BO4" s="26" t="s">
        <v>61</v>
      </c>
      <c r="BP4" s="24" t="s">
        <v>60</v>
      </c>
      <c r="BQ4" s="26" t="s">
        <v>61</v>
      </c>
      <c r="BR4" s="25" t="s">
        <v>52</v>
      </c>
      <c r="BS4" s="26" t="s">
        <v>61</v>
      </c>
      <c r="BT4" s="24" t="s">
        <v>60</v>
      </c>
      <c r="BU4" s="26" t="s">
        <v>61</v>
      </c>
      <c r="BV4" s="24" t="s">
        <v>60</v>
      </c>
      <c r="BW4" s="26" t="s">
        <v>61</v>
      </c>
      <c r="BX4" s="25" t="s">
        <v>52</v>
      </c>
      <c r="BY4" s="26" t="s">
        <v>61</v>
      </c>
      <c r="BZ4" s="24" t="s">
        <v>60</v>
      </c>
      <c r="CA4" s="26" t="s">
        <v>61</v>
      </c>
      <c r="CB4" s="24" t="s">
        <v>60</v>
      </c>
      <c r="CC4" s="26" t="s">
        <v>61</v>
      </c>
      <c r="CD4" s="25" t="s">
        <v>52</v>
      </c>
      <c r="CE4" s="26" t="s">
        <v>61</v>
      </c>
      <c r="CF4" s="24" t="s">
        <v>60</v>
      </c>
      <c r="CG4" s="26" t="s">
        <v>61</v>
      </c>
      <c r="CH4" s="24" t="s">
        <v>60</v>
      </c>
      <c r="CI4" s="26" t="s">
        <v>61</v>
      </c>
      <c r="CJ4" s="25" t="s">
        <v>52</v>
      </c>
      <c r="CK4" s="26" t="s">
        <v>61</v>
      </c>
      <c r="CL4" s="24" t="s">
        <v>60</v>
      </c>
      <c r="CM4" s="26" t="s">
        <v>61</v>
      </c>
      <c r="CN4" s="24" t="s">
        <v>60</v>
      </c>
      <c r="CO4" s="26" t="s">
        <v>61</v>
      </c>
      <c r="CP4" s="25" t="s">
        <v>52</v>
      </c>
      <c r="CQ4" s="26" t="s">
        <v>61</v>
      </c>
      <c r="CR4" s="24" t="s">
        <v>52</v>
      </c>
      <c r="CS4" s="26" t="s">
        <v>61</v>
      </c>
      <c r="CT4" s="24" t="s">
        <v>52</v>
      </c>
      <c r="CU4" s="26" t="s">
        <v>61</v>
      </c>
      <c r="CV4" s="25" t="s">
        <v>52</v>
      </c>
      <c r="CW4" s="26" t="s">
        <v>61</v>
      </c>
      <c r="CY4" s="29" t="s">
        <v>60</v>
      </c>
      <c r="CZ4" s="30" t="s">
        <v>61</v>
      </c>
      <c r="DA4" s="31" t="s">
        <v>44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38</v>
      </c>
      <c r="M5" s="6">
        <f>INDEX($B$5:$C$19,MATCH(L$1,$A$5:$A$19,0),2)*L$3</f>
        <v>50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48.857142857142854</v>
      </c>
      <c r="Q5" s="6">
        <f>SUMIF(L$4:O$4,Q$4,L5:O5)</f>
        <v>64.285714285714278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181.75</v>
      </c>
      <c r="CS5" s="7">
        <f>SUMIFS($F5:$CQ5,$F$2:$CQ$2,CS$2,$F$4:$CQ$4,CS$4)</f>
        <v>198.6875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220.75</v>
      </c>
      <c r="CW5" s="6">
        <f>SUM(CS5,CU5)</f>
        <v>244.25892857142856</v>
      </c>
      <c r="CY5" s="7">
        <f t="array" ref="CY5:CY56">Summary_LowerBound</f>
        <v>220.75</v>
      </c>
      <c r="CZ5" s="5">
        <f t="array" ref="CZ5">Summary_UpperBound</f>
        <v>244.25892857142856</v>
      </c>
      <c r="DA5" s="6">
        <f>CZ5-CY5</f>
        <v>23.508928571428555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48.857142857142854</v>
      </c>
      <c r="Q6" s="6">
        <f t="shared" ref="Q6:Q56" si="11">SUMIF(L$4:O$4,Q$4,L6:O6)</f>
        <v>64.285714285714278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181.75</v>
      </c>
      <c r="CS6" s="7">
        <f t="shared" si="90"/>
        <v>198.6875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220.75</v>
      </c>
      <c r="CW6" s="6">
        <f t="shared" ref="CW6:CW56" si="92">SUM(CS6,CU6)</f>
        <v>244.25892857142856</v>
      </c>
      <c r="CY6" s="7">
        <v>220.75</v>
      </c>
      <c r="CZ6" s="5">
        <f t="array" ref="CZ6">Summary_UpperBound</f>
        <v>244.25892857142856</v>
      </c>
      <c r="DA6" s="6">
        <f t="shared" ref="DA6:DA56" si="93">CZ6-CY6</f>
        <v>23.508928571428555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38</v>
      </c>
      <c r="M7" s="6">
        <f t="shared" si="7"/>
        <v>50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48.857142857142854</v>
      </c>
      <c r="Q7" s="6">
        <f t="shared" si="11"/>
        <v>64.285714285714278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181.75</v>
      </c>
      <c r="CS7" s="7">
        <f t="shared" si="90"/>
        <v>198.6875</v>
      </c>
      <c r="CT7" s="7">
        <f t="shared" si="90"/>
        <v>39</v>
      </c>
      <c r="CU7" s="7">
        <f t="shared" si="90"/>
        <v>45.571428571428569</v>
      </c>
      <c r="CV7" s="5">
        <f t="shared" si="91"/>
        <v>220.75</v>
      </c>
      <c r="CW7" s="6">
        <f t="shared" si="92"/>
        <v>244.25892857142856</v>
      </c>
      <c r="CY7" s="7">
        <v>220.75</v>
      </c>
      <c r="CZ7" s="5">
        <f t="array" ref="CZ7">Summary_UpperBound</f>
        <v>244.25892857142856</v>
      </c>
      <c r="DA7" s="6">
        <f t="shared" si="93"/>
        <v>23.508928571428555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38</v>
      </c>
      <c r="M8" s="6">
        <f t="shared" si="7"/>
        <v>50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48.857142857142854</v>
      </c>
      <c r="Q8" s="6">
        <f t="shared" si="11"/>
        <v>64.285714285714278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181.75</v>
      </c>
      <c r="CS8" s="7">
        <f t="shared" si="90"/>
        <v>198.6875</v>
      </c>
      <c r="CT8" s="7">
        <f t="shared" si="90"/>
        <v>39</v>
      </c>
      <c r="CU8" s="7">
        <f t="shared" si="90"/>
        <v>45.571428571428569</v>
      </c>
      <c r="CV8" s="5">
        <f t="shared" si="91"/>
        <v>220.75</v>
      </c>
      <c r="CW8" s="6">
        <f t="shared" si="92"/>
        <v>244.25892857142856</v>
      </c>
      <c r="CY8" s="7">
        <v>220.75</v>
      </c>
      <c r="CZ8" s="5">
        <f t="array" ref="CZ8">Summary_UpperBound</f>
        <v>244.25892857142856</v>
      </c>
      <c r="DA8" s="6">
        <f t="shared" si="93"/>
        <v>23.508928571428555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38</v>
      </c>
      <c r="M9" s="6">
        <f t="shared" si="7"/>
        <v>50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48.857142857142854</v>
      </c>
      <c r="Q9" s="6">
        <f t="shared" si="11"/>
        <v>64.285714285714278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181.75</v>
      </c>
      <c r="CS9" s="7">
        <f t="shared" si="90"/>
        <v>198.6875</v>
      </c>
      <c r="CT9" s="7">
        <f t="shared" si="90"/>
        <v>39</v>
      </c>
      <c r="CU9" s="7">
        <f t="shared" si="90"/>
        <v>45.571428571428569</v>
      </c>
      <c r="CV9" s="5">
        <f t="shared" si="91"/>
        <v>220.75</v>
      </c>
      <c r="CW9" s="6">
        <f t="shared" si="92"/>
        <v>244.25892857142856</v>
      </c>
      <c r="CY9" s="7">
        <v>220.75</v>
      </c>
      <c r="CZ9" s="5">
        <f t="array" ref="CZ9">Summary_UpperBound</f>
        <v>244.25892857142856</v>
      </c>
      <c r="DA9" s="6">
        <f t="shared" si="93"/>
        <v>23.508928571428555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38</v>
      </c>
      <c r="M10" s="6">
        <f t="shared" si="7"/>
        <v>50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48.857142857142854</v>
      </c>
      <c r="Q10" s="6">
        <f t="shared" si="11"/>
        <v>64.285714285714278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181.75</v>
      </c>
      <c r="CS10" s="7">
        <f t="shared" si="90"/>
        <v>198.6875</v>
      </c>
      <c r="CT10" s="7">
        <f t="shared" si="90"/>
        <v>39</v>
      </c>
      <c r="CU10" s="7">
        <f t="shared" si="90"/>
        <v>45.571428571428569</v>
      </c>
      <c r="CV10" s="5">
        <f t="shared" si="91"/>
        <v>220.75</v>
      </c>
      <c r="CW10" s="6">
        <f t="shared" si="92"/>
        <v>244.25892857142856</v>
      </c>
      <c r="CY10" s="7">
        <v>220.75</v>
      </c>
      <c r="CZ10" s="5">
        <f t="array" ref="CZ10">Summary_UpperBound</f>
        <v>244.25892857142856</v>
      </c>
      <c r="DA10" s="6">
        <f t="shared" si="93"/>
        <v>23.508928571428555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38</v>
      </c>
      <c r="M11" s="6">
        <f t="shared" si="7"/>
        <v>50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48.857142857142854</v>
      </c>
      <c r="Q11" s="6">
        <f t="shared" si="11"/>
        <v>64.285714285714278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181.75</v>
      </c>
      <c r="CS11" s="7">
        <f t="shared" si="90"/>
        <v>198.6875</v>
      </c>
      <c r="CT11" s="7">
        <f t="shared" si="90"/>
        <v>39</v>
      </c>
      <c r="CU11" s="7">
        <f t="shared" si="90"/>
        <v>45.571428571428569</v>
      </c>
      <c r="CV11" s="5">
        <f t="shared" si="91"/>
        <v>220.75</v>
      </c>
      <c r="CW11" s="6">
        <f t="shared" si="92"/>
        <v>244.25892857142856</v>
      </c>
      <c r="CY11" s="7">
        <v>220.75</v>
      </c>
      <c r="CZ11" s="5">
        <f t="array" ref="CZ11">Summary_UpperBound</f>
        <v>244.25892857142856</v>
      </c>
      <c r="DA11" s="6">
        <f t="shared" si="93"/>
        <v>23.508928571428555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38</v>
      </c>
      <c r="M12" s="6">
        <f t="shared" si="7"/>
        <v>50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48.857142857142854</v>
      </c>
      <c r="Q12" s="6">
        <f t="shared" si="11"/>
        <v>64.285714285714278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181.75</v>
      </c>
      <c r="CS12" s="7">
        <f t="shared" si="90"/>
        <v>198.6875</v>
      </c>
      <c r="CT12" s="7">
        <f t="shared" si="90"/>
        <v>39</v>
      </c>
      <c r="CU12" s="7">
        <f t="shared" si="90"/>
        <v>45.571428571428569</v>
      </c>
      <c r="CV12" s="5">
        <f t="shared" si="91"/>
        <v>220.75</v>
      </c>
      <c r="CW12" s="6">
        <f t="shared" si="92"/>
        <v>244.25892857142856</v>
      </c>
      <c r="CY12" s="7">
        <v>220.75</v>
      </c>
      <c r="CZ12" s="5">
        <f t="array" ref="CZ12">Summary_UpperBound</f>
        <v>244.25892857142856</v>
      </c>
      <c r="DA12" s="6">
        <f t="shared" si="93"/>
        <v>23.508928571428555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38</v>
      </c>
      <c r="M13" s="6">
        <f t="shared" si="7"/>
        <v>50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48.857142857142854</v>
      </c>
      <c r="Q13" s="6">
        <f t="shared" si="11"/>
        <v>64.285714285714278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181.75</v>
      </c>
      <c r="CS13" s="7">
        <f t="shared" si="90"/>
        <v>198.6875</v>
      </c>
      <c r="CT13" s="7">
        <f t="shared" si="90"/>
        <v>39</v>
      </c>
      <c r="CU13" s="7">
        <f t="shared" si="90"/>
        <v>45.571428571428569</v>
      </c>
      <c r="CV13" s="5">
        <f t="shared" si="91"/>
        <v>220.75</v>
      </c>
      <c r="CW13" s="6">
        <f t="shared" si="92"/>
        <v>244.25892857142856</v>
      </c>
      <c r="CY13" s="7">
        <v>220.75</v>
      </c>
      <c r="CZ13" s="5">
        <f t="array" ref="CZ13">Summary_UpperBound</f>
        <v>244.25892857142856</v>
      </c>
      <c r="DA13" s="6">
        <f t="shared" si="93"/>
        <v>23.508928571428555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38</v>
      </c>
      <c r="M14" s="6">
        <f t="shared" si="7"/>
        <v>50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48.857142857142854</v>
      </c>
      <c r="Q14" s="6">
        <f t="shared" si="11"/>
        <v>64.285714285714278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181.75</v>
      </c>
      <c r="CS14" s="7">
        <f t="shared" si="90"/>
        <v>198.6875</v>
      </c>
      <c r="CT14" s="7">
        <f t="shared" si="90"/>
        <v>39</v>
      </c>
      <c r="CU14" s="7">
        <f t="shared" si="90"/>
        <v>45.571428571428569</v>
      </c>
      <c r="CV14" s="5">
        <f t="shared" si="91"/>
        <v>220.75</v>
      </c>
      <c r="CW14" s="6">
        <f t="shared" si="92"/>
        <v>244.25892857142856</v>
      </c>
      <c r="CY14" s="7">
        <v>220.75</v>
      </c>
      <c r="CZ14" s="5">
        <f t="array" ref="CZ14">Summary_UpperBound</f>
        <v>244.25892857142856</v>
      </c>
      <c r="DA14" s="6">
        <f t="shared" si="93"/>
        <v>23.508928571428555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38</v>
      </c>
      <c r="M15" s="6">
        <f t="shared" si="7"/>
        <v>50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48.857142857142854</v>
      </c>
      <c r="Q15" s="6">
        <f t="shared" si="11"/>
        <v>64.285714285714278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181.75</v>
      </c>
      <c r="CS15" s="7">
        <f t="shared" si="90"/>
        <v>198.6875</v>
      </c>
      <c r="CT15" s="7">
        <f t="shared" si="90"/>
        <v>39</v>
      </c>
      <c r="CU15" s="7">
        <f t="shared" si="90"/>
        <v>45.571428571428569</v>
      </c>
      <c r="CV15" s="5">
        <f t="shared" si="91"/>
        <v>220.75</v>
      </c>
      <c r="CW15" s="6">
        <f t="shared" si="92"/>
        <v>244.25892857142856</v>
      </c>
      <c r="CY15" s="7">
        <v>220.75</v>
      </c>
      <c r="CZ15" s="5">
        <f t="array" ref="CZ15">Summary_UpperBound</f>
        <v>244.25892857142856</v>
      </c>
      <c r="DA15" s="6">
        <f t="shared" si="93"/>
        <v>23.508928571428555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38</v>
      </c>
      <c r="M16" s="6">
        <f t="shared" si="7"/>
        <v>50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48.857142857142854</v>
      </c>
      <c r="Q16" s="6">
        <f t="shared" si="11"/>
        <v>64.285714285714278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181.75</v>
      </c>
      <c r="CS16" s="7">
        <f t="shared" si="90"/>
        <v>198.6875</v>
      </c>
      <c r="CT16" s="7">
        <f t="shared" si="90"/>
        <v>39</v>
      </c>
      <c r="CU16" s="7">
        <f t="shared" si="90"/>
        <v>45.571428571428569</v>
      </c>
      <c r="CV16" s="5">
        <f t="shared" si="91"/>
        <v>220.75</v>
      </c>
      <c r="CW16" s="6">
        <f t="shared" si="92"/>
        <v>244.25892857142856</v>
      </c>
      <c r="CY16" s="7">
        <v>220.75</v>
      </c>
      <c r="CZ16" s="5">
        <f t="array" ref="CZ16">Summary_UpperBound</f>
        <v>244.25892857142856</v>
      </c>
      <c r="DA16" s="6">
        <f t="shared" si="93"/>
        <v>23.508928571428555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38</v>
      </c>
      <c r="M17" s="6">
        <f t="shared" si="7"/>
        <v>50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48.857142857142854</v>
      </c>
      <c r="Q17" s="6">
        <f t="shared" si="11"/>
        <v>64.285714285714278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181.75</v>
      </c>
      <c r="CS17" s="7">
        <f t="shared" si="90"/>
        <v>198.6875</v>
      </c>
      <c r="CT17" s="7">
        <f t="shared" si="90"/>
        <v>39</v>
      </c>
      <c r="CU17" s="7">
        <f t="shared" si="90"/>
        <v>45.571428571428569</v>
      </c>
      <c r="CV17" s="5">
        <f t="shared" si="91"/>
        <v>220.75</v>
      </c>
      <c r="CW17" s="6">
        <f t="shared" si="92"/>
        <v>244.25892857142856</v>
      </c>
      <c r="CY17" s="7">
        <v>220.75</v>
      </c>
      <c r="CZ17" s="5">
        <f t="array" ref="CZ17">Summary_UpperBound</f>
        <v>244.25892857142856</v>
      </c>
      <c r="DA17" s="6">
        <f t="shared" si="93"/>
        <v>23.508928571428555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38</v>
      </c>
      <c r="M18" s="6">
        <f t="shared" si="7"/>
        <v>50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48.857142857142854</v>
      </c>
      <c r="Q18" s="6">
        <f t="shared" si="11"/>
        <v>64.285714285714278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181.75</v>
      </c>
      <c r="CS18" s="7">
        <f t="shared" si="90"/>
        <v>198.6875</v>
      </c>
      <c r="CT18" s="7">
        <f t="shared" si="90"/>
        <v>39</v>
      </c>
      <c r="CU18" s="7">
        <f t="shared" si="90"/>
        <v>45.571428571428569</v>
      </c>
      <c r="CV18" s="5">
        <f t="shared" si="91"/>
        <v>220.75</v>
      </c>
      <c r="CW18" s="6">
        <f t="shared" si="92"/>
        <v>244.25892857142856</v>
      </c>
      <c r="CY18" s="7">
        <v>220.75</v>
      </c>
      <c r="CZ18" s="5">
        <f t="array" ref="CZ18">Summary_UpperBound</f>
        <v>244.25892857142856</v>
      </c>
      <c r="DA18" s="6">
        <f t="shared" si="93"/>
        <v>23.508928571428555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38</v>
      </c>
      <c r="M19" s="6">
        <f t="shared" si="7"/>
        <v>50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48.857142857142854</v>
      </c>
      <c r="Q19" s="6">
        <f t="shared" si="11"/>
        <v>64.285714285714278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181.75</v>
      </c>
      <c r="CS19" s="7">
        <f t="shared" si="90"/>
        <v>198.6875</v>
      </c>
      <c r="CT19" s="7">
        <f t="shared" si="90"/>
        <v>39</v>
      </c>
      <c r="CU19" s="7">
        <f t="shared" si="90"/>
        <v>45.571428571428569</v>
      </c>
      <c r="CV19" s="5">
        <f t="shared" si="91"/>
        <v>220.75</v>
      </c>
      <c r="CW19" s="6">
        <f t="shared" si="92"/>
        <v>244.25892857142856</v>
      </c>
      <c r="CY19" s="7">
        <v>220.75</v>
      </c>
      <c r="CZ19" s="5">
        <f t="array" ref="CZ19">Summary_UpperBound</f>
        <v>244.25892857142856</v>
      </c>
      <c r="DA19" s="6">
        <f t="shared" si="93"/>
        <v>23.508928571428555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38</v>
      </c>
      <c r="M20" s="6">
        <f t="shared" si="7"/>
        <v>50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48.857142857142854</v>
      </c>
      <c r="Q20" s="6">
        <f t="shared" si="11"/>
        <v>64.285714285714278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181.75</v>
      </c>
      <c r="CS20" s="7">
        <f t="shared" si="90"/>
        <v>198.6875</v>
      </c>
      <c r="CT20" s="7">
        <f t="shared" si="90"/>
        <v>39</v>
      </c>
      <c r="CU20" s="7">
        <f t="shared" si="90"/>
        <v>45.571428571428569</v>
      </c>
      <c r="CV20" s="5">
        <f t="shared" si="91"/>
        <v>220.75</v>
      </c>
      <c r="CW20" s="6">
        <f t="shared" si="92"/>
        <v>244.25892857142856</v>
      </c>
      <c r="CY20" s="7">
        <v>220.75</v>
      </c>
      <c r="CZ20" s="5">
        <f t="array" ref="CZ20">Summary_UpperBound</f>
        <v>244.25892857142856</v>
      </c>
      <c r="DA20" s="6">
        <f t="shared" si="93"/>
        <v>23.508928571428555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38</v>
      </c>
      <c r="M21" s="6">
        <f t="shared" si="7"/>
        <v>50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48.857142857142854</v>
      </c>
      <c r="Q21" s="6">
        <f t="shared" si="11"/>
        <v>64.285714285714278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181.75</v>
      </c>
      <c r="CS21" s="7">
        <f t="shared" si="90"/>
        <v>198.6875</v>
      </c>
      <c r="CT21" s="7">
        <f t="shared" si="90"/>
        <v>39</v>
      </c>
      <c r="CU21" s="7">
        <f t="shared" si="90"/>
        <v>45.571428571428569</v>
      </c>
      <c r="CV21" s="5">
        <f t="shared" si="91"/>
        <v>220.75</v>
      </c>
      <c r="CW21" s="6">
        <f t="shared" si="92"/>
        <v>244.25892857142856</v>
      </c>
      <c r="CY21" s="7">
        <v>220.75</v>
      </c>
      <c r="CZ21" s="5">
        <f t="array" ref="CZ21">Summary_UpperBound</f>
        <v>244.25892857142856</v>
      </c>
      <c r="DA21" s="6">
        <f t="shared" si="93"/>
        <v>23.508928571428555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38</v>
      </c>
      <c r="M22" s="6">
        <f t="shared" si="7"/>
        <v>50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48.857142857142854</v>
      </c>
      <c r="Q22" s="6">
        <f t="shared" si="11"/>
        <v>64.285714285714278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181.75</v>
      </c>
      <c r="CS22" s="7">
        <f t="shared" si="90"/>
        <v>198.6875</v>
      </c>
      <c r="CT22" s="7">
        <f t="shared" si="90"/>
        <v>39</v>
      </c>
      <c r="CU22" s="7">
        <f t="shared" si="90"/>
        <v>45.571428571428569</v>
      </c>
      <c r="CV22" s="5">
        <f t="shared" si="91"/>
        <v>220.75</v>
      </c>
      <c r="CW22" s="6">
        <f t="shared" si="92"/>
        <v>244.25892857142856</v>
      </c>
      <c r="CY22" s="7">
        <v>220.75</v>
      </c>
      <c r="CZ22" s="5">
        <f t="array" ref="CZ22">Summary_UpperBound</f>
        <v>244.25892857142856</v>
      </c>
      <c r="DA22" s="6">
        <f t="shared" si="93"/>
        <v>23.508928571428555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38</v>
      </c>
      <c r="M23" s="6">
        <f t="shared" si="7"/>
        <v>50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48.857142857142854</v>
      </c>
      <c r="Q23" s="6">
        <f t="shared" si="11"/>
        <v>64.285714285714278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181.75</v>
      </c>
      <c r="CS23" s="7">
        <f t="shared" si="90"/>
        <v>198.6875</v>
      </c>
      <c r="CT23" s="7">
        <f t="shared" si="90"/>
        <v>39</v>
      </c>
      <c r="CU23" s="7">
        <f t="shared" si="90"/>
        <v>45.571428571428569</v>
      </c>
      <c r="CV23" s="5">
        <f t="shared" si="91"/>
        <v>220.75</v>
      </c>
      <c r="CW23" s="6">
        <f t="shared" si="92"/>
        <v>244.25892857142856</v>
      </c>
      <c r="CY23" s="7">
        <v>220.75</v>
      </c>
      <c r="CZ23" s="5">
        <f t="array" ref="CZ23">Summary_UpperBound</f>
        <v>244.25892857142856</v>
      </c>
      <c r="DA23" s="6">
        <f t="shared" si="93"/>
        <v>23.508928571428555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38</v>
      </c>
      <c r="M24" s="6">
        <f t="shared" si="7"/>
        <v>50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48.857142857142854</v>
      </c>
      <c r="Q24" s="6">
        <f t="shared" si="11"/>
        <v>64.285714285714278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181.75</v>
      </c>
      <c r="CS24" s="7">
        <f t="shared" si="90"/>
        <v>198.6875</v>
      </c>
      <c r="CT24" s="7">
        <f t="shared" si="90"/>
        <v>39</v>
      </c>
      <c r="CU24" s="7">
        <f t="shared" si="90"/>
        <v>45.571428571428569</v>
      </c>
      <c r="CV24" s="5">
        <f t="shared" si="91"/>
        <v>220.75</v>
      </c>
      <c r="CW24" s="6">
        <f t="shared" si="92"/>
        <v>244.25892857142856</v>
      </c>
      <c r="CY24" s="7">
        <v>220.75</v>
      </c>
      <c r="CZ24" s="5">
        <f t="array" ref="CZ24">Summary_UpperBound</f>
        <v>244.25892857142856</v>
      </c>
      <c r="DA24" s="6">
        <f t="shared" si="93"/>
        <v>23.508928571428555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38</v>
      </c>
      <c r="M25" s="6">
        <f t="shared" si="7"/>
        <v>50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48.857142857142854</v>
      </c>
      <c r="Q25" s="6">
        <f t="shared" si="11"/>
        <v>64.285714285714278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181.75</v>
      </c>
      <c r="CS25" s="7">
        <f t="shared" si="90"/>
        <v>198.6875</v>
      </c>
      <c r="CT25" s="7">
        <f t="shared" si="90"/>
        <v>39</v>
      </c>
      <c r="CU25" s="7">
        <f t="shared" si="90"/>
        <v>45.571428571428569</v>
      </c>
      <c r="CV25" s="5">
        <f t="shared" si="91"/>
        <v>220.75</v>
      </c>
      <c r="CW25" s="6">
        <f t="shared" si="92"/>
        <v>244.25892857142856</v>
      </c>
      <c r="CY25" s="7">
        <v>220.75</v>
      </c>
      <c r="CZ25" s="5">
        <f t="array" ref="CZ25">Summary_UpperBound</f>
        <v>244.25892857142856</v>
      </c>
      <c r="DA25" s="6">
        <f t="shared" si="93"/>
        <v>23.508928571428555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38</v>
      </c>
      <c r="M26" s="6">
        <f t="shared" si="7"/>
        <v>50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48.857142857142854</v>
      </c>
      <c r="Q26" s="6">
        <f t="shared" si="11"/>
        <v>64.285714285714278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181.75</v>
      </c>
      <c r="CS26" s="7">
        <f t="shared" si="90"/>
        <v>198.6875</v>
      </c>
      <c r="CT26" s="7">
        <f t="shared" si="90"/>
        <v>39</v>
      </c>
      <c r="CU26" s="7">
        <f t="shared" si="90"/>
        <v>45.571428571428569</v>
      </c>
      <c r="CV26" s="5">
        <f t="shared" si="91"/>
        <v>220.75</v>
      </c>
      <c r="CW26" s="6">
        <f t="shared" si="92"/>
        <v>244.25892857142856</v>
      </c>
      <c r="CY26" s="7">
        <v>220.75</v>
      </c>
      <c r="CZ26" s="5">
        <f t="array" ref="CZ26">Summary_UpperBound</f>
        <v>244.25892857142856</v>
      </c>
      <c r="DA26" s="6">
        <f t="shared" si="93"/>
        <v>23.508928571428555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38</v>
      </c>
      <c r="M27" s="6">
        <f t="shared" si="7"/>
        <v>50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48.857142857142854</v>
      </c>
      <c r="Q27" s="6">
        <f t="shared" si="11"/>
        <v>64.285714285714278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181.75</v>
      </c>
      <c r="CS27" s="7">
        <f t="shared" si="90"/>
        <v>198.6875</v>
      </c>
      <c r="CT27" s="7">
        <f t="shared" si="90"/>
        <v>39</v>
      </c>
      <c r="CU27" s="7">
        <f t="shared" si="90"/>
        <v>45.571428571428569</v>
      </c>
      <c r="CV27" s="5">
        <f t="shared" si="91"/>
        <v>220.75</v>
      </c>
      <c r="CW27" s="6">
        <f t="shared" si="92"/>
        <v>244.25892857142856</v>
      </c>
      <c r="CY27" s="7">
        <v>220.75</v>
      </c>
      <c r="CZ27" s="5">
        <f t="array" ref="CZ27">Summary_UpperBound</f>
        <v>244.25892857142856</v>
      </c>
      <c r="DA27" s="6">
        <f t="shared" si="93"/>
        <v>23.508928571428555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38</v>
      </c>
      <c r="M28" s="6">
        <f t="shared" si="7"/>
        <v>50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48.857142857142854</v>
      </c>
      <c r="Q28" s="6">
        <f t="shared" si="11"/>
        <v>64.285714285714278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181.75</v>
      </c>
      <c r="CS28" s="7">
        <f t="shared" si="90"/>
        <v>198.6875</v>
      </c>
      <c r="CT28" s="7">
        <f t="shared" si="90"/>
        <v>39</v>
      </c>
      <c r="CU28" s="7">
        <f t="shared" si="90"/>
        <v>45.571428571428569</v>
      </c>
      <c r="CV28" s="5">
        <f t="shared" si="91"/>
        <v>220.75</v>
      </c>
      <c r="CW28" s="6">
        <f t="shared" si="92"/>
        <v>244.25892857142856</v>
      </c>
      <c r="CY28" s="7">
        <v>220.75</v>
      </c>
      <c r="CZ28" s="5">
        <f t="array" ref="CZ28">Summary_UpperBound</f>
        <v>244.25892857142856</v>
      </c>
      <c r="DA28" s="6">
        <f t="shared" si="93"/>
        <v>23.508928571428555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38</v>
      </c>
      <c r="M29" s="6">
        <f t="shared" si="7"/>
        <v>50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48.857142857142854</v>
      </c>
      <c r="Q29" s="6">
        <f t="shared" si="11"/>
        <v>64.285714285714278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181.75</v>
      </c>
      <c r="CS29" s="7">
        <f t="shared" si="90"/>
        <v>198.6875</v>
      </c>
      <c r="CT29" s="7">
        <f t="shared" si="90"/>
        <v>39</v>
      </c>
      <c r="CU29" s="7">
        <f t="shared" si="90"/>
        <v>45.571428571428569</v>
      </c>
      <c r="CV29" s="5">
        <f t="shared" si="91"/>
        <v>220.75</v>
      </c>
      <c r="CW29" s="6">
        <f t="shared" si="92"/>
        <v>244.25892857142856</v>
      </c>
      <c r="CY29" s="7">
        <v>220.75</v>
      </c>
      <c r="CZ29" s="5">
        <f t="array" ref="CZ29">Summary_UpperBound</f>
        <v>244.25892857142856</v>
      </c>
      <c r="DA29" s="6">
        <f t="shared" si="93"/>
        <v>23.508928571428555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38</v>
      </c>
      <c r="M30" s="6">
        <f t="shared" si="7"/>
        <v>50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48.857142857142854</v>
      </c>
      <c r="Q30" s="6">
        <f t="shared" si="11"/>
        <v>64.285714285714278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181.75</v>
      </c>
      <c r="CS30" s="7">
        <f t="shared" si="90"/>
        <v>198.6875</v>
      </c>
      <c r="CT30" s="7">
        <f t="shared" si="90"/>
        <v>39</v>
      </c>
      <c r="CU30" s="7">
        <f t="shared" si="90"/>
        <v>45.571428571428569</v>
      </c>
      <c r="CV30" s="5">
        <f t="shared" si="91"/>
        <v>220.75</v>
      </c>
      <c r="CW30" s="6">
        <f t="shared" si="92"/>
        <v>244.25892857142856</v>
      </c>
      <c r="CY30" s="7">
        <v>220.75</v>
      </c>
      <c r="CZ30" s="5">
        <f t="array" ref="CZ30">Summary_UpperBound</f>
        <v>244.25892857142856</v>
      </c>
      <c r="DA30" s="6">
        <f t="shared" si="93"/>
        <v>23.508928571428555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38</v>
      </c>
      <c r="M31" s="6">
        <f t="shared" si="7"/>
        <v>50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48.857142857142854</v>
      </c>
      <c r="Q31" s="6">
        <f t="shared" si="11"/>
        <v>64.285714285714278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181.75</v>
      </c>
      <c r="CS31" s="7">
        <f t="shared" si="90"/>
        <v>198.6875</v>
      </c>
      <c r="CT31" s="7">
        <f t="shared" si="90"/>
        <v>39</v>
      </c>
      <c r="CU31" s="7">
        <f t="shared" si="90"/>
        <v>45.571428571428569</v>
      </c>
      <c r="CV31" s="5">
        <f t="shared" si="91"/>
        <v>220.75</v>
      </c>
      <c r="CW31" s="6">
        <f t="shared" si="92"/>
        <v>244.25892857142856</v>
      </c>
      <c r="CY31" s="7">
        <v>220.75</v>
      </c>
      <c r="CZ31" s="5">
        <f t="array" ref="CZ31">Summary_UpperBound</f>
        <v>244.25892857142856</v>
      </c>
      <c r="DA31" s="6">
        <f t="shared" si="93"/>
        <v>23.508928571428555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38</v>
      </c>
      <c r="M32" s="6">
        <f t="shared" si="7"/>
        <v>50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48.857142857142854</v>
      </c>
      <c r="Q32" s="6">
        <f t="shared" si="11"/>
        <v>64.285714285714278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181.75</v>
      </c>
      <c r="CS32" s="7">
        <f t="shared" si="90"/>
        <v>198.6875</v>
      </c>
      <c r="CT32" s="7">
        <f t="shared" si="90"/>
        <v>39</v>
      </c>
      <c r="CU32" s="7">
        <f t="shared" si="90"/>
        <v>45.571428571428569</v>
      </c>
      <c r="CV32" s="5">
        <f t="shared" si="91"/>
        <v>220.75</v>
      </c>
      <c r="CW32" s="6">
        <f t="shared" si="92"/>
        <v>244.25892857142856</v>
      </c>
      <c r="CY32" s="7">
        <v>220.75</v>
      </c>
      <c r="CZ32" s="5">
        <f t="array" ref="CZ32">Summary_UpperBound</f>
        <v>244.25892857142856</v>
      </c>
      <c r="DA32" s="6">
        <f t="shared" si="93"/>
        <v>23.508928571428555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38</v>
      </c>
      <c r="M33" s="6">
        <f t="shared" si="7"/>
        <v>50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48.857142857142854</v>
      </c>
      <c r="Q33" s="6">
        <f t="shared" si="11"/>
        <v>64.285714285714278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181.75</v>
      </c>
      <c r="CS33" s="7">
        <f t="shared" si="90"/>
        <v>198.6875</v>
      </c>
      <c r="CT33" s="7">
        <f t="shared" si="90"/>
        <v>39</v>
      </c>
      <c r="CU33" s="7">
        <f t="shared" si="90"/>
        <v>45.571428571428569</v>
      </c>
      <c r="CV33" s="5">
        <f t="shared" si="91"/>
        <v>220.75</v>
      </c>
      <c r="CW33" s="6">
        <f t="shared" si="92"/>
        <v>244.25892857142856</v>
      </c>
      <c r="CY33" s="7">
        <v>220.75</v>
      </c>
      <c r="CZ33" s="5">
        <f t="array" ref="CZ33">Summary_UpperBound</f>
        <v>244.25892857142856</v>
      </c>
      <c r="DA33" s="6">
        <f t="shared" si="93"/>
        <v>23.508928571428555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38</v>
      </c>
      <c r="M34" s="6">
        <f t="shared" si="7"/>
        <v>50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48.857142857142854</v>
      </c>
      <c r="Q34" s="6">
        <f t="shared" si="11"/>
        <v>64.285714285714278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181.75</v>
      </c>
      <c r="CS34" s="7">
        <f t="shared" si="90"/>
        <v>198.6875</v>
      </c>
      <c r="CT34" s="7">
        <f t="shared" si="90"/>
        <v>39</v>
      </c>
      <c r="CU34" s="7">
        <f t="shared" si="90"/>
        <v>45.571428571428569</v>
      </c>
      <c r="CV34" s="5">
        <f t="shared" si="91"/>
        <v>220.75</v>
      </c>
      <c r="CW34" s="6">
        <f t="shared" si="92"/>
        <v>244.25892857142856</v>
      </c>
      <c r="CY34" s="7">
        <v>220.75</v>
      </c>
      <c r="CZ34" s="5">
        <f t="array" ref="CZ34">Summary_UpperBound</f>
        <v>244.25892857142856</v>
      </c>
      <c r="DA34" s="6">
        <f t="shared" si="93"/>
        <v>23.508928571428555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38</v>
      </c>
      <c r="M35" s="6">
        <f t="shared" si="7"/>
        <v>50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48.857142857142854</v>
      </c>
      <c r="Q35" s="6">
        <f t="shared" si="11"/>
        <v>64.285714285714278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181.75</v>
      </c>
      <c r="CS35" s="7">
        <f t="shared" si="90"/>
        <v>198.6875</v>
      </c>
      <c r="CT35" s="7">
        <f t="shared" si="90"/>
        <v>39</v>
      </c>
      <c r="CU35" s="7">
        <f t="shared" si="90"/>
        <v>45.571428571428569</v>
      </c>
      <c r="CV35" s="5">
        <f t="shared" si="91"/>
        <v>220.75</v>
      </c>
      <c r="CW35" s="6">
        <f t="shared" si="92"/>
        <v>244.25892857142856</v>
      </c>
      <c r="CY35" s="7">
        <v>220.75</v>
      </c>
      <c r="CZ35" s="5">
        <f t="array" ref="CZ35">Summary_UpperBound</f>
        <v>244.25892857142856</v>
      </c>
      <c r="DA35" s="6">
        <f t="shared" si="93"/>
        <v>23.508928571428555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38</v>
      </c>
      <c r="M36" s="6">
        <f t="shared" si="7"/>
        <v>50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48.857142857142854</v>
      </c>
      <c r="Q36" s="6">
        <f t="shared" si="11"/>
        <v>64.285714285714278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181.75</v>
      </c>
      <c r="CS36" s="7">
        <f t="shared" si="90"/>
        <v>198.6875</v>
      </c>
      <c r="CT36" s="7">
        <f t="shared" si="90"/>
        <v>39</v>
      </c>
      <c r="CU36" s="7">
        <f t="shared" si="90"/>
        <v>45.571428571428569</v>
      </c>
      <c r="CV36" s="5">
        <f t="shared" si="91"/>
        <v>220.75</v>
      </c>
      <c r="CW36" s="6">
        <f t="shared" si="92"/>
        <v>244.25892857142856</v>
      </c>
      <c r="CY36" s="7">
        <v>220.75</v>
      </c>
      <c r="CZ36" s="5">
        <f t="array" ref="CZ36">Summary_UpperBound</f>
        <v>244.25892857142856</v>
      </c>
      <c r="DA36" s="6">
        <f t="shared" si="93"/>
        <v>23.508928571428555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38</v>
      </c>
      <c r="M37" s="6">
        <f t="shared" si="7"/>
        <v>50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48.857142857142854</v>
      </c>
      <c r="Q37" s="6">
        <f t="shared" si="11"/>
        <v>64.285714285714278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181.75</v>
      </c>
      <c r="CS37" s="7">
        <f t="shared" si="90"/>
        <v>198.6875</v>
      </c>
      <c r="CT37" s="7">
        <f t="shared" si="90"/>
        <v>39</v>
      </c>
      <c r="CU37" s="7">
        <f t="shared" si="90"/>
        <v>45.571428571428569</v>
      </c>
      <c r="CV37" s="5">
        <f t="shared" si="91"/>
        <v>220.75</v>
      </c>
      <c r="CW37" s="6">
        <f t="shared" si="92"/>
        <v>244.25892857142856</v>
      </c>
      <c r="CY37" s="7">
        <v>220.75</v>
      </c>
      <c r="CZ37" s="5">
        <f t="array" ref="CZ37">Summary_UpperBound</f>
        <v>244.25892857142856</v>
      </c>
      <c r="DA37" s="6">
        <f t="shared" si="93"/>
        <v>23.508928571428555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38</v>
      </c>
      <c r="M38" s="6">
        <f t="shared" si="7"/>
        <v>50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48.857142857142854</v>
      </c>
      <c r="Q38" s="6">
        <f t="shared" si="11"/>
        <v>64.285714285714278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181.75</v>
      </c>
      <c r="CS38" s="7">
        <f t="shared" si="90"/>
        <v>198.6875</v>
      </c>
      <c r="CT38" s="7">
        <f t="shared" si="90"/>
        <v>39</v>
      </c>
      <c r="CU38" s="7">
        <f t="shared" si="90"/>
        <v>45.571428571428569</v>
      </c>
      <c r="CV38" s="5">
        <f t="shared" si="91"/>
        <v>220.75</v>
      </c>
      <c r="CW38" s="6">
        <f t="shared" si="92"/>
        <v>244.25892857142856</v>
      </c>
      <c r="CY38" s="7">
        <v>220.75</v>
      </c>
      <c r="CZ38" s="5">
        <f t="array" ref="CZ38">Summary_UpperBound</f>
        <v>244.25892857142856</v>
      </c>
      <c r="DA38" s="6">
        <f t="shared" si="93"/>
        <v>23.508928571428555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38</v>
      </c>
      <c r="M39" s="6">
        <f t="shared" si="7"/>
        <v>50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48.857142857142854</v>
      </c>
      <c r="Q39" s="6">
        <f t="shared" si="11"/>
        <v>64.285714285714278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181.75</v>
      </c>
      <c r="CS39" s="7">
        <f t="shared" si="90"/>
        <v>198.6875</v>
      </c>
      <c r="CT39" s="7">
        <f t="shared" si="90"/>
        <v>39</v>
      </c>
      <c r="CU39" s="7">
        <f t="shared" si="90"/>
        <v>45.571428571428569</v>
      </c>
      <c r="CV39" s="5">
        <f t="shared" si="91"/>
        <v>220.75</v>
      </c>
      <c r="CW39" s="6">
        <f t="shared" si="92"/>
        <v>244.25892857142856</v>
      </c>
      <c r="CY39" s="7">
        <v>220.75</v>
      </c>
      <c r="CZ39" s="5">
        <f t="array" ref="CZ39">Summary_UpperBound</f>
        <v>244.25892857142856</v>
      </c>
      <c r="DA39" s="6">
        <f t="shared" si="93"/>
        <v>23.508928571428555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38</v>
      </c>
      <c r="M40" s="6">
        <f t="shared" si="7"/>
        <v>50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48.857142857142854</v>
      </c>
      <c r="Q40" s="6">
        <f t="shared" si="11"/>
        <v>64.285714285714278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181.75</v>
      </c>
      <c r="CS40" s="7">
        <f t="shared" si="90"/>
        <v>198.6875</v>
      </c>
      <c r="CT40" s="7">
        <f t="shared" si="90"/>
        <v>39</v>
      </c>
      <c r="CU40" s="7">
        <f t="shared" si="90"/>
        <v>45.571428571428569</v>
      </c>
      <c r="CV40" s="5">
        <f t="shared" si="91"/>
        <v>220.75</v>
      </c>
      <c r="CW40" s="6">
        <f t="shared" si="92"/>
        <v>244.25892857142856</v>
      </c>
      <c r="CY40" s="7">
        <v>220.75</v>
      </c>
      <c r="CZ40" s="5">
        <f t="array" ref="CZ40">Summary_UpperBound</f>
        <v>244.25892857142856</v>
      </c>
      <c r="DA40" s="6">
        <f t="shared" si="93"/>
        <v>23.508928571428555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38</v>
      </c>
      <c r="M41" s="6">
        <f t="shared" si="7"/>
        <v>50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48.857142857142854</v>
      </c>
      <c r="Q41" s="6">
        <f t="shared" si="11"/>
        <v>64.285714285714278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181.75</v>
      </c>
      <c r="CS41" s="7">
        <f t="shared" si="90"/>
        <v>198.6875</v>
      </c>
      <c r="CT41" s="7">
        <f t="shared" si="90"/>
        <v>39</v>
      </c>
      <c r="CU41" s="7">
        <f t="shared" si="90"/>
        <v>45.571428571428569</v>
      </c>
      <c r="CV41" s="5">
        <f t="shared" si="91"/>
        <v>220.75</v>
      </c>
      <c r="CW41" s="6">
        <f t="shared" si="92"/>
        <v>244.25892857142856</v>
      </c>
      <c r="CY41" s="7">
        <v>220.75</v>
      </c>
      <c r="CZ41" s="5">
        <f t="array" ref="CZ41">Summary_UpperBound</f>
        <v>244.25892857142856</v>
      </c>
      <c r="DA41" s="6">
        <f t="shared" si="93"/>
        <v>23.508928571428555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38</v>
      </c>
      <c r="M42" s="6">
        <f t="shared" si="7"/>
        <v>50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48.857142857142854</v>
      </c>
      <c r="Q42" s="6">
        <f t="shared" si="11"/>
        <v>64.285714285714278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181.75</v>
      </c>
      <c r="CS42" s="7">
        <f t="shared" si="90"/>
        <v>198.6875</v>
      </c>
      <c r="CT42" s="7">
        <f t="shared" si="90"/>
        <v>39</v>
      </c>
      <c r="CU42" s="7">
        <f t="shared" si="90"/>
        <v>45.571428571428569</v>
      </c>
      <c r="CV42" s="5">
        <f t="shared" si="91"/>
        <v>220.75</v>
      </c>
      <c r="CW42" s="6">
        <f t="shared" si="92"/>
        <v>244.25892857142856</v>
      </c>
      <c r="CY42" s="7">
        <v>220.75</v>
      </c>
      <c r="CZ42" s="5">
        <f t="array" ref="CZ42">Summary_UpperBound</f>
        <v>244.25892857142856</v>
      </c>
      <c r="DA42" s="6">
        <f t="shared" si="93"/>
        <v>23.508928571428555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38</v>
      </c>
      <c r="M43" s="6">
        <f t="shared" si="7"/>
        <v>50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48.857142857142854</v>
      </c>
      <c r="Q43" s="6">
        <f t="shared" si="11"/>
        <v>64.285714285714278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181.75</v>
      </c>
      <c r="CS43" s="7">
        <f t="shared" si="90"/>
        <v>198.6875</v>
      </c>
      <c r="CT43" s="7">
        <f t="shared" si="90"/>
        <v>39</v>
      </c>
      <c r="CU43" s="7">
        <f t="shared" si="90"/>
        <v>45.571428571428569</v>
      </c>
      <c r="CV43" s="5">
        <f t="shared" si="91"/>
        <v>220.75</v>
      </c>
      <c r="CW43" s="6">
        <f t="shared" si="92"/>
        <v>244.25892857142856</v>
      </c>
      <c r="CY43" s="7">
        <v>220.75</v>
      </c>
      <c r="CZ43" s="5">
        <f t="array" ref="CZ43">Summary_UpperBound</f>
        <v>244.25892857142856</v>
      </c>
      <c r="DA43" s="6">
        <f t="shared" si="93"/>
        <v>23.508928571428555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38</v>
      </c>
      <c r="M44" s="6">
        <f t="shared" si="7"/>
        <v>50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48.857142857142854</v>
      </c>
      <c r="Q44" s="6">
        <f t="shared" si="11"/>
        <v>64.285714285714278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181.75</v>
      </c>
      <c r="CS44" s="7">
        <f t="shared" si="90"/>
        <v>198.6875</v>
      </c>
      <c r="CT44" s="7">
        <f t="shared" si="90"/>
        <v>39</v>
      </c>
      <c r="CU44" s="7">
        <f t="shared" si="90"/>
        <v>45.571428571428569</v>
      </c>
      <c r="CV44" s="5">
        <f t="shared" si="91"/>
        <v>220.75</v>
      </c>
      <c r="CW44" s="6">
        <f t="shared" si="92"/>
        <v>244.25892857142856</v>
      </c>
      <c r="CY44" s="7">
        <v>220.75</v>
      </c>
      <c r="CZ44" s="5">
        <f t="array" ref="CZ44">Summary_UpperBound</f>
        <v>244.25892857142856</v>
      </c>
      <c r="DA44" s="6">
        <f t="shared" si="93"/>
        <v>23.508928571428555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38</v>
      </c>
      <c r="M45" s="6">
        <f t="shared" si="7"/>
        <v>50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48.857142857142854</v>
      </c>
      <c r="Q45" s="6">
        <f t="shared" si="11"/>
        <v>64.285714285714278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181.75</v>
      </c>
      <c r="CS45" s="7">
        <f t="shared" si="90"/>
        <v>198.6875</v>
      </c>
      <c r="CT45" s="7">
        <f t="shared" si="90"/>
        <v>39</v>
      </c>
      <c r="CU45" s="7">
        <f t="shared" si="90"/>
        <v>45.571428571428569</v>
      </c>
      <c r="CV45" s="5">
        <f t="shared" si="91"/>
        <v>220.75</v>
      </c>
      <c r="CW45" s="6">
        <f t="shared" si="92"/>
        <v>244.25892857142856</v>
      </c>
      <c r="CY45" s="7">
        <v>220.75</v>
      </c>
      <c r="CZ45" s="5">
        <f t="array" ref="CZ45">Summary_UpperBound</f>
        <v>244.25892857142856</v>
      </c>
      <c r="DA45" s="6">
        <f t="shared" si="93"/>
        <v>23.508928571428555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38</v>
      </c>
      <c r="M46" s="6">
        <f t="shared" si="7"/>
        <v>50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48.857142857142854</v>
      </c>
      <c r="Q46" s="6">
        <f t="shared" si="11"/>
        <v>64.285714285714278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181.75</v>
      </c>
      <c r="CS46" s="7">
        <f t="shared" si="90"/>
        <v>198.6875</v>
      </c>
      <c r="CT46" s="7">
        <f t="shared" si="90"/>
        <v>39</v>
      </c>
      <c r="CU46" s="7">
        <f t="shared" si="90"/>
        <v>45.571428571428569</v>
      </c>
      <c r="CV46" s="5">
        <f t="shared" si="91"/>
        <v>220.75</v>
      </c>
      <c r="CW46" s="6">
        <f t="shared" si="92"/>
        <v>244.25892857142856</v>
      </c>
      <c r="CY46" s="7">
        <v>220.75</v>
      </c>
      <c r="CZ46" s="5">
        <f t="array" ref="CZ46">Summary_UpperBound</f>
        <v>244.25892857142856</v>
      </c>
      <c r="DA46" s="6">
        <f t="shared" si="93"/>
        <v>23.508928571428555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38</v>
      </c>
      <c r="M47" s="6">
        <f t="shared" si="7"/>
        <v>50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48.857142857142854</v>
      </c>
      <c r="Q47" s="6">
        <f t="shared" si="11"/>
        <v>64.285714285714278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181.75</v>
      </c>
      <c r="CS47" s="7">
        <f t="shared" si="90"/>
        <v>198.6875</v>
      </c>
      <c r="CT47" s="7">
        <f t="shared" si="90"/>
        <v>39</v>
      </c>
      <c r="CU47" s="7">
        <f t="shared" si="90"/>
        <v>45.571428571428569</v>
      </c>
      <c r="CV47" s="5">
        <f t="shared" si="91"/>
        <v>220.75</v>
      </c>
      <c r="CW47" s="6">
        <f t="shared" si="92"/>
        <v>244.25892857142856</v>
      </c>
      <c r="CY47" s="7">
        <v>220.75</v>
      </c>
      <c r="CZ47" s="5">
        <f t="array" ref="CZ47">Summary_UpperBound</f>
        <v>244.25892857142856</v>
      </c>
      <c r="DA47" s="6">
        <f t="shared" si="93"/>
        <v>23.508928571428555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38</v>
      </c>
      <c r="M48" s="6">
        <f t="shared" si="7"/>
        <v>50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48.857142857142854</v>
      </c>
      <c r="Q48" s="6">
        <f t="shared" si="11"/>
        <v>64.285714285714278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181.75</v>
      </c>
      <c r="CS48" s="7">
        <f t="shared" si="90"/>
        <v>198.6875</v>
      </c>
      <c r="CT48" s="7">
        <f t="shared" si="90"/>
        <v>39</v>
      </c>
      <c r="CU48" s="7">
        <f t="shared" si="90"/>
        <v>45.571428571428569</v>
      </c>
      <c r="CV48" s="5">
        <f t="shared" si="91"/>
        <v>220.75</v>
      </c>
      <c r="CW48" s="6">
        <f t="shared" si="92"/>
        <v>244.25892857142856</v>
      </c>
      <c r="CY48" s="7">
        <v>220.75</v>
      </c>
      <c r="CZ48" s="5">
        <f t="array" ref="CZ48">Summary_UpperBound</f>
        <v>244.25892857142856</v>
      </c>
      <c r="DA48" s="6">
        <f t="shared" si="93"/>
        <v>23.508928571428555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38</v>
      </c>
      <c r="M49" s="6">
        <f t="shared" si="7"/>
        <v>50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48.857142857142854</v>
      </c>
      <c r="Q49" s="6">
        <f t="shared" si="11"/>
        <v>64.285714285714278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181.75</v>
      </c>
      <c r="CS49" s="7">
        <f t="shared" si="90"/>
        <v>198.6875</v>
      </c>
      <c r="CT49" s="7">
        <f t="shared" si="90"/>
        <v>39</v>
      </c>
      <c r="CU49" s="7">
        <f t="shared" si="90"/>
        <v>45.571428571428569</v>
      </c>
      <c r="CV49" s="5">
        <f t="shared" si="91"/>
        <v>220.75</v>
      </c>
      <c r="CW49" s="6">
        <f t="shared" si="92"/>
        <v>244.25892857142856</v>
      </c>
      <c r="CY49" s="7">
        <v>220.75</v>
      </c>
      <c r="CZ49" s="5">
        <f t="array" ref="CZ49">Summary_UpperBound</f>
        <v>244.25892857142856</v>
      </c>
      <c r="DA49" s="6">
        <f t="shared" si="93"/>
        <v>23.508928571428555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38</v>
      </c>
      <c r="M50" s="6">
        <f t="shared" si="7"/>
        <v>50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48.857142857142854</v>
      </c>
      <c r="Q50" s="6">
        <f t="shared" si="11"/>
        <v>64.285714285714278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181.75</v>
      </c>
      <c r="CS50" s="7">
        <f t="shared" si="90"/>
        <v>198.6875</v>
      </c>
      <c r="CT50" s="7">
        <f t="shared" si="90"/>
        <v>39</v>
      </c>
      <c r="CU50" s="7">
        <f t="shared" si="90"/>
        <v>45.571428571428569</v>
      </c>
      <c r="CV50" s="5">
        <f t="shared" si="91"/>
        <v>220.75</v>
      </c>
      <c r="CW50" s="6">
        <f t="shared" si="92"/>
        <v>244.25892857142856</v>
      </c>
      <c r="CY50" s="7">
        <v>220.75</v>
      </c>
      <c r="CZ50" s="5">
        <f t="array" ref="CZ50">Summary_UpperBound</f>
        <v>244.25892857142856</v>
      </c>
      <c r="DA50" s="6">
        <f t="shared" si="93"/>
        <v>23.508928571428555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38</v>
      </c>
      <c r="M51" s="6">
        <f t="shared" si="7"/>
        <v>50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48.857142857142854</v>
      </c>
      <c r="Q51" s="6">
        <f t="shared" si="11"/>
        <v>64.285714285714278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181.75</v>
      </c>
      <c r="CS51" s="7">
        <f t="shared" si="90"/>
        <v>198.6875</v>
      </c>
      <c r="CT51" s="7">
        <f t="shared" si="90"/>
        <v>39</v>
      </c>
      <c r="CU51" s="7">
        <f t="shared" si="90"/>
        <v>45.571428571428569</v>
      </c>
      <c r="CV51" s="5">
        <f t="shared" si="91"/>
        <v>220.75</v>
      </c>
      <c r="CW51" s="6">
        <f t="shared" si="92"/>
        <v>244.25892857142856</v>
      </c>
      <c r="CY51" s="7">
        <v>220.75</v>
      </c>
      <c r="CZ51" s="5">
        <f t="array" ref="CZ51">Summary_UpperBound</f>
        <v>244.25892857142856</v>
      </c>
      <c r="DA51" s="6">
        <f t="shared" si="93"/>
        <v>23.508928571428555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38</v>
      </c>
      <c r="M52" s="6">
        <f t="shared" si="7"/>
        <v>50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48.857142857142854</v>
      </c>
      <c r="Q52" s="6">
        <f t="shared" si="11"/>
        <v>64.285714285714278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181.75</v>
      </c>
      <c r="CS52" s="7">
        <f t="shared" si="90"/>
        <v>198.6875</v>
      </c>
      <c r="CT52" s="7">
        <f t="shared" si="90"/>
        <v>39</v>
      </c>
      <c r="CU52" s="7">
        <f t="shared" si="90"/>
        <v>45.571428571428569</v>
      </c>
      <c r="CV52" s="5">
        <f t="shared" si="91"/>
        <v>220.75</v>
      </c>
      <c r="CW52" s="6">
        <f t="shared" si="92"/>
        <v>244.25892857142856</v>
      </c>
      <c r="CY52" s="7">
        <v>220.75</v>
      </c>
      <c r="CZ52" s="5">
        <f t="array" ref="CZ52">Summary_UpperBound</f>
        <v>244.25892857142856</v>
      </c>
      <c r="DA52" s="6">
        <f t="shared" si="93"/>
        <v>23.508928571428555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38</v>
      </c>
      <c r="M53" s="6">
        <f t="shared" si="7"/>
        <v>50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48.857142857142854</v>
      </c>
      <c r="Q53" s="6">
        <f t="shared" si="11"/>
        <v>64.285714285714278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181.75</v>
      </c>
      <c r="CS53" s="7">
        <f t="shared" si="90"/>
        <v>198.6875</v>
      </c>
      <c r="CT53" s="7">
        <f t="shared" si="90"/>
        <v>39</v>
      </c>
      <c r="CU53" s="7">
        <f t="shared" si="90"/>
        <v>45.571428571428569</v>
      </c>
      <c r="CV53" s="5">
        <f t="shared" si="91"/>
        <v>220.75</v>
      </c>
      <c r="CW53" s="6">
        <f t="shared" si="92"/>
        <v>244.25892857142856</v>
      </c>
      <c r="CY53" s="7">
        <v>220.75</v>
      </c>
      <c r="CZ53" s="5">
        <f t="array" ref="CZ53">Summary_UpperBound</f>
        <v>244.25892857142856</v>
      </c>
      <c r="DA53" s="6">
        <f t="shared" si="93"/>
        <v>23.508928571428555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38</v>
      </c>
      <c r="M54" s="6">
        <f t="shared" si="7"/>
        <v>50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48.857142857142854</v>
      </c>
      <c r="Q54" s="6">
        <f t="shared" si="11"/>
        <v>64.285714285714278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181.75</v>
      </c>
      <c r="CS54" s="7">
        <f t="shared" si="90"/>
        <v>198.6875</v>
      </c>
      <c r="CT54" s="7">
        <f t="shared" si="90"/>
        <v>39</v>
      </c>
      <c r="CU54" s="7">
        <f t="shared" si="90"/>
        <v>45.571428571428569</v>
      </c>
      <c r="CV54" s="5">
        <f t="shared" si="91"/>
        <v>220.75</v>
      </c>
      <c r="CW54" s="6">
        <f t="shared" si="92"/>
        <v>244.25892857142856</v>
      </c>
      <c r="CY54" s="7">
        <v>220.75</v>
      </c>
      <c r="CZ54" s="5">
        <f t="array" ref="CZ54">Summary_UpperBound</f>
        <v>244.25892857142856</v>
      </c>
      <c r="DA54" s="6">
        <f t="shared" si="93"/>
        <v>23.508928571428555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38</v>
      </c>
      <c r="M55" s="6">
        <f t="shared" si="7"/>
        <v>50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48.857142857142854</v>
      </c>
      <c r="Q55" s="6">
        <f t="shared" si="11"/>
        <v>64.285714285714278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181.75</v>
      </c>
      <c r="CS55" s="7">
        <f t="shared" si="90"/>
        <v>198.6875</v>
      </c>
      <c r="CT55" s="7">
        <f t="shared" si="90"/>
        <v>39</v>
      </c>
      <c r="CU55" s="7">
        <f t="shared" si="90"/>
        <v>45.571428571428569</v>
      </c>
      <c r="CV55" s="5">
        <f t="shared" si="91"/>
        <v>220.75</v>
      </c>
      <c r="CW55" s="6">
        <f t="shared" si="92"/>
        <v>244.25892857142856</v>
      </c>
      <c r="CY55" s="7">
        <v>220.75</v>
      </c>
      <c r="CZ55" s="5">
        <f t="array" ref="CZ55">Summary_UpperBound</f>
        <v>244.25892857142856</v>
      </c>
      <c r="DA55" s="6">
        <f t="shared" si="93"/>
        <v>23.508928571428555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38</v>
      </c>
      <c r="M56" s="10">
        <f t="shared" si="7"/>
        <v>50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48.857142857142854</v>
      </c>
      <c r="Q56" s="10">
        <f t="shared" si="11"/>
        <v>64.285714285714278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181.75</v>
      </c>
      <c r="CS56" s="7">
        <f t="shared" si="90"/>
        <v>198.6875</v>
      </c>
      <c r="CT56" s="7">
        <f t="shared" si="90"/>
        <v>39</v>
      </c>
      <c r="CU56" s="7">
        <f t="shared" si="90"/>
        <v>45.571428571428569</v>
      </c>
      <c r="CV56" s="9">
        <f t="shared" si="91"/>
        <v>220.75</v>
      </c>
      <c r="CW56" s="10">
        <f t="shared" si="92"/>
        <v>244.25892857142856</v>
      </c>
      <c r="CY56" s="8">
        <v>220.75</v>
      </c>
      <c r="CZ56" s="9">
        <f t="array" ref="CZ56">Summary_UpperBound</f>
        <v>244.25892857142856</v>
      </c>
      <c r="DA56" s="10">
        <f t="shared" si="93"/>
        <v>23.508928571428555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128</v>
      </c>
      <c r="E58" s="14"/>
      <c r="F58" s="5"/>
      <c r="G58" s="14" t="s">
        <v>44</v>
      </c>
      <c r="H58" s="5"/>
      <c r="I58" s="14" t="s">
        <v>44</v>
      </c>
      <c r="J58" s="5"/>
      <c r="K58" s="14" t="s">
        <v>44</v>
      </c>
      <c r="L58" s="5"/>
      <c r="M58" s="14" t="s">
        <v>44</v>
      </c>
      <c r="N58" s="5"/>
      <c r="O58" s="14" t="s">
        <v>44</v>
      </c>
      <c r="P58" s="5"/>
      <c r="Q58" s="14" t="s">
        <v>44</v>
      </c>
      <c r="R58" s="5"/>
      <c r="S58" s="14" t="s">
        <v>44</v>
      </c>
      <c r="T58" s="5"/>
      <c r="U58" s="14" t="s">
        <v>44</v>
      </c>
      <c r="V58" s="5"/>
      <c r="W58" s="14" t="s">
        <v>44</v>
      </c>
      <c r="X58" s="5"/>
      <c r="Y58" s="14" t="s">
        <v>44</v>
      </c>
      <c r="Z58" s="5"/>
      <c r="AA58" s="14" t="s">
        <v>44</v>
      </c>
      <c r="AB58" s="5"/>
      <c r="AC58" s="14" t="s">
        <v>44</v>
      </c>
      <c r="AD58" s="5"/>
      <c r="AE58" s="14" t="s">
        <v>44</v>
      </c>
      <c r="AF58" s="5"/>
      <c r="AG58" s="14" t="s">
        <v>44</v>
      </c>
      <c r="AH58" s="5"/>
      <c r="AI58" s="14" t="s">
        <v>44</v>
      </c>
      <c r="AJ58" s="5"/>
      <c r="AK58" s="14" t="s">
        <v>44</v>
      </c>
      <c r="AL58" s="5"/>
      <c r="AM58" s="14" t="s">
        <v>44</v>
      </c>
      <c r="AN58" s="5"/>
      <c r="AO58" s="14" t="s">
        <v>44</v>
      </c>
      <c r="AP58" s="5"/>
      <c r="AQ58" s="14" t="s">
        <v>44</v>
      </c>
      <c r="AR58" s="5"/>
      <c r="AS58" s="14" t="s">
        <v>44</v>
      </c>
      <c r="AT58" s="5"/>
      <c r="AU58" s="14" t="s">
        <v>44</v>
      </c>
      <c r="AV58" s="5"/>
      <c r="AW58" s="14" t="s">
        <v>44</v>
      </c>
      <c r="AX58" s="5"/>
      <c r="AY58" s="14" t="s">
        <v>44</v>
      </c>
      <c r="AZ58" s="5"/>
      <c r="BA58" s="14" t="s">
        <v>44</v>
      </c>
      <c r="BB58" s="5"/>
      <c r="BC58" s="14" t="s">
        <v>44</v>
      </c>
      <c r="BD58" s="5"/>
      <c r="BE58" s="14" t="s">
        <v>44</v>
      </c>
      <c r="BF58" s="5"/>
      <c r="BG58" s="14" t="s">
        <v>44</v>
      </c>
      <c r="BH58" s="5"/>
      <c r="BI58" s="14" t="s">
        <v>44</v>
      </c>
      <c r="BJ58" s="5"/>
      <c r="BK58" s="14" t="s">
        <v>44</v>
      </c>
      <c r="BL58" s="5"/>
      <c r="BM58" s="14" t="s">
        <v>44</v>
      </c>
      <c r="BN58" s="5"/>
      <c r="BO58" s="14" t="s">
        <v>44</v>
      </c>
      <c r="BP58" s="5"/>
      <c r="BQ58" s="14" t="s">
        <v>44</v>
      </c>
      <c r="BR58" s="5"/>
      <c r="BS58" s="14" t="s">
        <v>44</v>
      </c>
      <c r="BT58" s="5"/>
      <c r="BU58" s="14" t="s">
        <v>44</v>
      </c>
      <c r="BV58" s="5"/>
      <c r="BW58" s="14" t="s">
        <v>44</v>
      </c>
      <c r="BX58" s="5"/>
      <c r="BY58" s="14" t="s">
        <v>44</v>
      </c>
      <c r="BZ58" s="5"/>
      <c r="CA58" s="14" t="s">
        <v>44</v>
      </c>
      <c r="CB58" s="5"/>
      <c r="CC58" s="14" t="s">
        <v>44</v>
      </c>
      <c r="CD58" s="5"/>
      <c r="CE58" s="14" t="s">
        <v>44</v>
      </c>
      <c r="CF58" s="5"/>
      <c r="CG58" s="14" t="s">
        <v>44</v>
      </c>
      <c r="CH58" s="5"/>
      <c r="CI58" s="14" t="s">
        <v>44</v>
      </c>
      <c r="CJ58" s="5"/>
      <c r="CK58" s="14" t="s">
        <v>44</v>
      </c>
      <c r="CL58" s="5"/>
      <c r="CM58" s="14" t="s">
        <v>44</v>
      </c>
      <c r="CN58" s="5"/>
      <c r="CO58" s="14" t="s">
        <v>44</v>
      </c>
      <c r="CP58" s="5"/>
      <c r="CQ58" s="14" t="s">
        <v>44</v>
      </c>
      <c r="CR58" s="19" t="s">
        <v>131</v>
      </c>
      <c r="CS58" s="19" t="s">
        <v>131</v>
      </c>
      <c r="CT58" s="19" t="s">
        <v>131</v>
      </c>
      <c r="CU58" s="19" t="s">
        <v>131</v>
      </c>
      <c r="CV58" s="19" t="s">
        <v>131</v>
      </c>
      <c r="CW58" s="19" t="s">
        <v>131</v>
      </c>
    </row>
    <row r="59" spans="2:105" x14ac:dyDescent="0.35">
      <c r="B59" s="14"/>
      <c r="E59" s="14" t="s">
        <v>129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38</v>
      </c>
      <c r="M59" s="5">
        <f>AVERAGE(M5:M56)-L59</f>
        <v>12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48.85714285714284</v>
      </c>
      <c r="Q59" s="5">
        <f>AVERAGE(Q5:Q56)-P59</f>
        <v>15.428571428571395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135</v>
      </c>
      <c r="CZ59" t="s">
        <v>136</v>
      </c>
      <c r="DA59" t="s">
        <v>137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130</v>
      </c>
      <c r="E62" s="14"/>
      <c r="F62" s="5" t="s">
        <v>60</v>
      </c>
      <c r="G62" s="5" t="s">
        <v>44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48.85714285714284</v>
      </c>
      <c r="G64" s="5">
        <f t="array" ref="G64">INDEX($F$59:$CW$60,1,MATCH(1,($E64=$F$1:$CQ$1)*($G$62=$F$58:$CQ$58)*(Summary!$B$5='Required Capacity (Hide)'!$F$2:$CQ$2),0))</f>
        <v>15.428571428571395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7" sqref="W7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141</v>
      </c>
    </row>
    <row r="2" spans="1:46" ht="24" thickBot="1" x14ac:dyDescent="0.6">
      <c r="A2" s="28"/>
    </row>
    <row r="3" spans="1:46" ht="15" thickBot="1" x14ac:dyDescent="0.4">
      <c r="B3" s="63" t="s">
        <v>124</v>
      </c>
      <c r="Y3" s="63" t="s">
        <v>125</v>
      </c>
    </row>
    <row r="5" spans="1:46" ht="15" thickBot="1" x14ac:dyDescent="0.4"/>
    <row r="6" spans="1:46" ht="84.5" thickBot="1" x14ac:dyDescent="0.4">
      <c r="B6" s="106" t="s">
        <v>106</v>
      </c>
      <c r="C6" s="107" t="str" cm="1">
        <f t="array" ref="C6">INDEX('Data Validation (Hide)'!$B$2:$B$16,COLUMN(A1),1)</f>
        <v>20 Group Sessions</v>
      </c>
      <c r="D6" s="108" t="str" cm="1">
        <f t="array" ref="D6">INDEX('Data Validation (Hide)'!$B$2:$B$16,COLUMN(B1),1)</f>
        <v>40 Group Session</v>
      </c>
      <c r="E6" s="108" t="str" cm="1">
        <f t="array" ref="E6">INDEX('Data Validation (Hide)'!$B$2:$B$16,COLUMN(C1),1)</f>
        <v>8 Group Session</v>
      </c>
      <c r="F6" s="108" t="str" cm="1">
        <f t="array" ref="F6">INDEX('Data Validation (Hide)'!$B$2:$B$16,COLUMN(D1),1)</f>
        <v>20 Individual</v>
      </c>
      <c r="G6" s="108" t="str" cm="1">
        <f t="array" ref="G6">INDEX('Data Validation (Hide)'!$B$2:$B$16,COLUMN(E1),1)</f>
        <v>40 Individual</v>
      </c>
      <c r="H6" s="108" t="str" cm="1">
        <f t="array" ref="H6">INDEX('Data Validation (Hide)'!$B$2:$B$16,COLUMN(F1),1)</f>
        <v>Caseload 6</v>
      </c>
      <c r="I6" s="108" t="str" cm="1">
        <f t="array" ref="I6">INDEX('Data Validation (Hide)'!$B$2:$B$16,COLUMN(G1),1)</f>
        <v>Caseload 7</v>
      </c>
      <c r="J6" s="108" t="str" cm="1">
        <f t="array" ref="J6">INDEX('Data Validation (Hide)'!$B$2:$B$16,COLUMN(H1),1)</f>
        <v>Caseload 8</v>
      </c>
      <c r="K6" s="108" t="str" cm="1">
        <f t="array" ref="K6">INDEX('Data Validation (Hide)'!$B$2:$B$16,COLUMN(I1),1)</f>
        <v>Caseload 9</v>
      </c>
      <c r="L6" s="108" t="str" cm="1">
        <f t="array" ref="L6">INDEX('Data Validation (Hide)'!$B$2:$B$16,COLUMN(J1),1)</f>
        <v>Caseload 10</v>
      </c>
      <c r="M6" s="108" t="str" cm="1">
        <f t="array" ref="M6">INDEX('Data Validation (Hide)'!$B$2:$B$16,COLUMN(K1),1)</f>
        <v>Caseload 11</v>
      </c>
      <c r="N6" s="108" t="str" cm="1">
        <f t="array" ref="N6">INDEX('Data Validation (Hide)'!$B$2:$B$16,COLUMN(L1),1)</f>
        <v>Caseload 12</v>
      </c>
      <c r="O6" s="108" t="str" cm="1">
        <f t="array" ref="O6">INDEX('Data Validation (Hide)'!$B$2:$B$16,COLUMN(M1),1)</f>
        <v>Caseload 13</v>
      </c>
      <c r="P6" s="108" t="str" cm="1">
        <f t="array" ref="P6">INDEX('Data Validation (Hide)'!$B$2:$B$16,COLUMN(N1),1)</f>
        <v>Caseload 14</v>
      </c>
      <c r="Q6" s="109" t="str" cm="1">
        <f t="array" ref="Q6">INDEX('Data Validation (Hide)'!$B$2:$B$16,COLUMN(O1),1)</f>
        <v>Caseload 15</v>
      </c>
      <c r="R6" s="63" t="s">
        <v>66</v>
      </c>
      <c r="S6" s="106" t="s">
        <v>67</v>
      </c>
      <c r="T6" s="106" t="s">
        <v>68</v>
      </c>
      <c r="U6" s="106" t="s">
        <v>69</v>
      </c>
      <c r="V6" s="106" t="s">
        <v>70</v>
      </c>
      <c r="W6" s="106" t="s">
        <v>71</v>
      </c>
      <c r="X6" s="5"/>
      <c r="Y6" s="106" t="s">
        <v>106</v>
      </c>
      <c r="Z6" s="110" t="str" cm="1">
        <f t="array" ref="Z6">INDEX('Data Validation (Hide)'!$B$2:$B$16,COLUMN(A1),1)</f>
        <v>20 Group Sessions</v>
      </c>
      <c r="AA6" s="111" t="str" cm="1">
        <f t="array" ref="AA6">INDEX('Data Validation (Hide)'!$B$2:$B$16,COLUMN(B1),1)</f>
        <v>40 Group Session</v>
      </c>
      <c r="AB6" s="111" t="str" cm="1">
        <f t="array" ref="AB6">INDEX('Data Validation (Hide)'!$B$2:$B$16,COLUMN(C1),1)</f>
        <v>8 Group Session</v>
      </c>
      <c r="AC6" s="111" t="str" cm="1">
        <f t="array" ref="AC6">INDEX('Data Validation (Hide)'!$B$2:$B$16,COLUMN(D1),1)</f>
        <v>20 Individual</v>
      </c>
      <c r="AD6" s="111" t="str" cm="1">
        <f t="array" ref="AD6">INDEX('Data Validation (Hide)'!$B$2:$B$16,COLUMN(E1),1)</f>
        <v>40 Individual</v>
      </c>
      <c r="AE6" s="111" t="str" cm="1">
        <f t="array" ref="AE6">INDEX('Data Validation (Hide)'!$B$2:$B$16,COLUMN(F1),1)</f>
        <v>Caseload 6</v>
      </c>
      <c r="AF6" s="111" t="str" cm="1">
        <f t="array" ref="AF6">INDEX('Data Validation (Hide)'!$B$2:$B$16,COLUMN(G1),1)</f>
        <v>Caseload 7</v>
      </c>
      <c r="AG6" s="111" t="str" cm="1">
        <f t="array" ref="AG6">INDEX('Data Validation (Hide)'!$B$2:$B$16,COLUMN(H1),1)</f>
        <v>Caseload 8</v>
      </c>
      <c r="AH6" s="111" t="str" cm="1">
        <f t="array" ref="AH6">INDEX('Data Validation (Hide)'!$B$2:$B$16,COLUMN(I1),1)</f>
        <v>Caseload 9</v>
      </c>
      <c r="AI6" s="111" t="str" cm="1">
        <f t="array" ref="AI6">INDEX('Data Validation (Hide)'!$B$2:$B$16,COLUMN(J1),1)</f>
        <v>Caseload 10</v>
      </c>
      <c r="AJ6" s="111" t="str" cm="1">
        <f t="array" ref="AJ6">INDEX('Data Validation (Hide)'!$B$2:$B$16,COLUMN(K1),1)</f>
        <v>Caseload 11</v>
      </c>
      <c r="AK6" s="111" t="str" cm="1">
        <f t="array" ref="AK6">INDEX('Data Validation (Hide)'!$B$2:$B$16,COLUMN(L1),1)</f>
        <v>Caseload 12</v>
      </c>
      <c r="AL6" s="111" t="str" cm="1">
        <f t="array" ref="AL6">INDEX('Data Validation (Hide)'!$B$2:$B$16,COLUMN(M1),1)</f>
        <v>Caseload 13</v>
      </c>
      <c r="AM6" s="111" t="str" cm="1">
        <f t="array" ref="AM6">INDEX('Data Validation (Hide)'!$B$2:$B$16,COLUMN(N1),1)</f>
        <v>Caseload 14</v>
      </c>
      <c r="AN6" s="112" t="str" cm="1">
        <f t="array" ref="AN6">INDEX('Data Validation (Hide)'!$B$2:$B$16,COLUMN(O1),1)</f>
        <v>Caseload 15</v>
      </c>
      <c r="AO6" s="63" t="s">
        <v>66</v>
      </c>
      <c r="AP6" s="106" t="s">
        <v>67</v>
      </c>
      <c r="AQ6" s="106" t="s">
        <v>68</v>
      </c>
      <c r="AR6" s="106" t="s">
        <v>69</v>
      </c>
      <c r="AS6" s="106" t="s">
        <v>70</v>
      </c>
      <c r="AT6" s="106" t="s">
        <v>71</v>
      </c>
    </row>
    <row r="7" spans="1:46" x14ac:dyDescent="0.35">
      <c r="B7" s="11" t="s">
        <v>151</v>
      </c>
      <c r="C7" s="3" t="s">
        <v>72</v>
      </c>
      <c r="D7" s="4" t="s">
        <v>154</v>
      </c>
      <c r="E7" s="4" t="s">
        <v>154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155</v>
      </c>
      <c r="S7" s="11">
        <v>52</v>
      </c>
      <c r="T7" s="11">
        <v>4800</v>
      </c>
      <c r="U7" s="41">
        <f>IF(T7*S7=0,"",T7*S7)</f>
        <v>249600</v>
      </c>
      <c r="V7" s="41">
        <f t="shared" ref="V7:V70" si="0">IFERROR(U7/52,"")</f>
        <v>4800</v>
      </c>
      <c r="W7" s="4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 t="s">
        <v>153</v>
      </c>
      <c r="C8" s="7"/>
      <c r="D8" s="5"/>
      <c r="E8" s="5"/>
      <c r="F8" s="5" t="s">
        <v>154</v>
      </c>
      <c r="G8" s="5" t="s">
        <v>154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73</v>
      </c>
      <c r="S8" s="39">
        <v>52</v>
      </c>
      <c r="T8" s="39">
        <v>3600</v>
      </c>
      <c r="U8" s="52">
        <f t="shared" ref="U8:U71" si="2">IF(T8*S8=0,"",T8*S8)</f>
        <v>187200</v>
      </c>
      <c r="V8" s="52">
        <f t="shared" si="0"/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124</v>
      </c>
    </row>
    <row r="2" spans="1:101" x14ac:dyDescent="0.35">
      <c r="A2" t="s">
        <v>75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74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16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76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53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131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145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51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131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145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64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131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145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125</v>
      </c>
    </row>
    <row r="132" spans="1:101" x14ac:dyDescent="0.35">
      <c r="A132" t="s">
        <v>75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74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16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76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53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131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145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51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131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145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64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131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145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107</v>
      </c>
      <c r="B259" t="s">
        <v>132</v>
      </c>
      <c r="C259" t="s">
        <v>132</v>
      </c>
      <c r="D259" t="s">
        <v>132</v>
      </c>
      <c r="E259" t="s">
        <v>133</v>
      </c>
      <c r="F259" t="s">
        <v>133</v>
      </c>
      <c r="G259" t="s">
        <v>133</v>
      </c>
      <c r="H259" s="3" t="s">
        <v>145</v>
      </c>
      <c r="I259" s="3" t="s">
        <v>145</v>
      </c>
      <c r="J259" s="3" t="s">
        <v>145</v>
      </c>
    </row>
    <row r="260" spans="1:53" x14ac:dyDescent="0.35">
      <c r="B260" t="s">
        <v>53</v>
      </c>
      <c r="C260" t="s">
        <v>51</v>
      </c>
      <c r="D260" t="s">
        <v>64</v>
      </c>
      <c r="E260" t="s">
        <v>53</v>
      </c>
      <c r="F260" t="s">
        <v>51</v>
      </c>
      <c r="G260" t="s">
        <v>64</v>
      </c>
      <c r="H260" t="s">
        <v>53</v>
      </c>
      <c r="I260" t="s">
        <v>51</v>
      </c>
      <c r="J260" t="s">
        <v>64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145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134</v>
      </c>
      <c r="B277" t="s">
        <v>132</v>
      </c>
      <c r="C277" t="s">
        <v>133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142</v>
      </c>
    </row>
    <row r="2" spans="1:5" ht="15" thickBot="1" x14ac:dyDescent="0.4"/>
    <row r="3" spans="1:5" ht="15" thickBot="1" x14ac:dyDescent="0.4">
      <c r="A3" s="63" t="s">
        <v>62</v>
      </c>
      <c r="B3" s="17" t="s">
        <v>207</v>
      </c>
      <c r="E3" t="str">
        <f>"Capacity summary ("&amp;LOWER(Summary!B7)&amp;") for "&amp;B3&amp;", "&amp;IF(B4="Total","all types of session", LOWER(B4)&amp;" sessions")</f>
        <v>Capacity summary (hours) for 20 Group Sessions, all types of session</v>
      </c>
    </row>
    <row r="4" spans="1:5" ht="15" thickBot="1" x14ac:dyDescent="0.4">
      <c r="A4" s="113" t="s">
        <v>63</v>
      </c>
      <c r="B4" s="17" t="s">
        <v>64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42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5" customWidth="1"/>
    <col min="2" max="2" width="15.6328125" customWidth="1"/>
    <col min="3" max="6" width="12.6328125" customWidth="1"/>
    <col min="7" max="16" width="12.6328125" hidden="1" customWidth="1"/>
  </cols>
  <sheetData>
    <row r="1" spans="1:4" ht="23.5" x14ac:dyDescent="0.55000000000000004">
      <c r="A1" s="28" t="s">
        <v>143</v>
      </c>
    </row>
    <row r="2" spans="1:4" ht="15" customHeight="1" thickBot="1" x14ac:dyDescent="0.6">
      <c r="A2" s="28"/>
    </row>
    <row r="3" spans="1:4" ht="15" thickBot="1" x14ac:dyDescent="0.4">
      <c r="A3" s="63" t="s">
        <v>127</v>
      </c>
      <c r="B3" s="17" t="s">
        <v>193</v>
      </c>
    </row>
    <row r="4" spans="1:4" ht="15" thickBot="1" x14ac:dyDescent="0.4">
      <c r="A4" s="63" t="s">
        <v>62</v>
      </c>
      <c r="B4" s="17" t="s">
        <v>145</v>
      </c>
    </row>
    <row r="5" spans="1:4" ht="15" thickBot="1" x14ac:dyDescent="0.4">
      <c r="A5" s="63" t="s">
        <v>63</v>
      </c>
      <c r="B5" s="17" t="s">
        <v>64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93</v>
      </c>
      <c r="B7" s="17" t="s">
        <v>96</v>
      </c>
      <c r="D7" t="str">
        <f>B7&amp;" per week"</f>
        <v>Hours per week</v>
      </c>
    </row>
    <row r="28" spans="1:17" ht="18.5" x14ac:dyDescent="0.45">
      <c r="A28" s="117" t="s">
        <v>107</v>
      </c>
    </row>
    <row r="29" spans="1:17" x14ac:dyDescent="0.35">
      <c r="A29" s="60"/>
    </row>
    <row r="30" spans="1:17" ht="15" thickBot="1" x14ac:dyDescent="0.4">
      <c r="A30" s="60" t="s">
        <v>109</v>
      </c>
    </row>
    <row r="31" spans="1:17" ht="29.5" thickBot="1" x14ac:dyDescent="0.4">
      <c r="A31" s="60"/>
      <c r="B31" s="106" t="str" cm="1">
        <f t="array" ref="B31">INDEX(Setup!$A$20:$A$34,COLUMN(A1),1)</f>
        <v>20 Group Sessions</v>
      </c>
      <c r="C31" s="106" t="str" cm="1">
        <f t="array" ref="C31">INDEX(Setup!$A$20:$A$34,COLUMN(B1),1)</f>
        <v>40 Group Session</v>
      </c>
      <c r="D31" s="106" t="str" cm="1">
        <f t="array" ref="D31">INDEX(Setup!$A$20:$A$34,COLUMN(C1),1)</f>
        <v>8 Group Session</v>
      </c>
      <c r="E31" s="106" t="str" cm="1">
        <f t="array" ref="E31">INDEX(Setup!$A$20:$A$34,COLUMN(D1),1)</f>
        <v>20 Individual</v>
      </c>
      <c r="F31" s="106" t="str" cm="1">
        <f t="array" ref="F31">INDEX(Setup!$A$20:$A$34,COLUMN(E1),1)</f>
        <v>40 Individual</v>
      </c>
      <c r="G31" s="106" t="str" cm="1">
        <f t="array" ref="G31">INDEX(Setup!$A$20:$A$34,COLUMN(F1),1)</f>
        <v>Caseload 6</v>
      </c>
      <c r="H31" s="106" t="str" cm="1">
        <f t="array" ref="H31">INDEX(Setup!$A$20:$A$34,COLUMN(G1),1)</f>
        <v>Caseload 7</v>
      </c>
      <c r="I31" s="106" t="str" cm="1">
        <f t="array" ref="I31">INDEX(Setup!$A$20:$A$34,COLUMN(H1),1)</f>
        <v>Caseload 8</v>
      </c>
      <c r="J31" s="106" t="str" cm="1">
        <f t="array" ref="J31">INDEX(Setup!$A$20:$A$34,COLUMN(I1),1)</f>
        <v>Caseload 9</v>
      </c>
      <c r="K31" s="106" t="str" cm="1">
        <f t="array" ref="K31">INDEX(Setup!$A$20:$A$34,COLUMN(J1),1)</f>
        <v>Caseload 10</v>
      </c>
      <c r="L31" s="106" t="str" cm="1">
        <f t="array" ref="L31">INDEX(Setup!$A$20:$A$34,COLUMN(K1),1)</f>
        <v>Caseload 11</v>
      </c>
      <c r="M31" s="106" t="str" cm="1">
        <f t="array" ref="M31">INDEX(Setup!$A$20:$A$34,COLUMN(L1),1)</f>
        <v>Caseload 12</v>
      </c>
      <c r="N31" s="106" t="str" cm="1">
        <f t="array" ref="N31">INDEX(Setup!$A$20:$A$34,COLUMN(M1),1)</f>
        <v>Caseload 13</v>
      </c>
      <c r="O31" s="106" t="str" cm="1">
        <f t="array" ref="O31">INDEX(Setup!$A$20:$A$34,COLUMN(N1),1)</f>
        <v>Caseload 14</v>
      </c>
      <c r="P31" s="115" t="str" cm="1">
        <f t="array" ref="P31">INDEX(Setup!$A$20:$A$34,COLUMN(O1),1)</f>
        <v>Caseload 15</v>
      </c>
    </row>
    <row r="32" spans="1:17" ht="15" thickBot="1" x14ac:dyDescent="0.4">
      <c r="A32" s="114" t="s">
        <v>108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66.9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64.3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10.3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71.0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31.8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4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63.8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48.9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8.1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70.0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30.0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110</v>
      </c>
    </row>
    <row r="36" spans="1:31" ht="29" customHeight="1" thickBot="1" x14ac:dyDescent="0.4">
      <c r="B36" s="106" t="str" cm="1">
        <f t="array" ref="B36">INDEX(Setup!$A$20:$A$34,COLUMN(A6),1)</f>
        <v>20 Group Sessions</v>
      </c>
      <c r="C36" s="106" t="str" cm="1">
        <f t="array" ref="C36">INDEX(Setup!$A$20:$A$34,COLUMN(B6),1)</f>
        <v>40 Group Session</v>
      </c>
      <c r="D36" s="106" t="str" cm="1">
        <f t="array" ref="D36">INDEX(Setup!$A$20:$A$34,COLUMN(C6),1)</f>
        <v>8 Group Session</v>
      </c>
      <c r="E36" s="106" t="str" cm="1">
        <f t="array" ref="E36">INDEX(Setup!$A$20:$A$34,COLUMN(D6),1)</f>
        <v>20 Individual</v>
      </c>
      <c r="F36" s="106" t="str" cm="1">
        <f t="array" ref="F36">INDEX(Setup!$A$20:$A$34,COLUMN(E6),1)</f>
        <v>40 Individual</v>
      </c>
      <c r="G36" s="106" t="str" cm="1">
        <f t="array" ref="G36">INDEX(Setup!$A$20:$A$34,COLUMN(F6),1)</f>
        <v>Caseload 6</v>
      </c>
      <c r="H36" s="106" t="str" cm="1">
        <f t="array" ref="H36">INDEX(Setup!$A$20:$A$34,COLUMN(G6),1)</f>
        <v>Caseload 7</v>
      </c>
      <c r="I36" s="106" t="str" cm="1">
        <f t="array" ref="I36">INDEX(Setup!$A$20:$A$34,COLUMN(H6),1)</f>
        <v>Caseload 8</v>
      </c>
      <c r="J36" s="106" t="str" cm="1">
        <f t="array" ref="J36">INDEX(Setup!$A$20:$A$34,COLUMN(I6),1)</f>
        <v>Caseload 9</v>
      </c>
      <c r="K36" s="106" t="str" cm="1">
        <f t="array" ref="K36">INDEX(Setup!$A$20:$A$34,COLUMN(J6),1)</f>
        <v>Caseload 10</v>
      </c>
      <c r="L36" s="106" t="str" cm="1">
        <f t="array" ref="L36">INDEX(Setup!$A$20:$A$34,COLUMN(K6),1)</f>
        <v>Caseload 11</v>
      </c>
      <c r="M36" s="106" t="str" cm="1">
        <f t="array" ref="M36">INDEX(Setup!$A$20:$A$34,COLUMN(L6),1)</f>
        <v>Caseload 12</v>
      </c>
      <c r="N36" s="106" t="str" cm="1">
        <f t="array" ref="N36">INDEX(Setup!$A$20:$A$34,COLUMN(M6),1)</f>
        <v>Caseload 13</v>
      </c>
      <c r="O36" s="106" t="str" cm="1">
        <f t="array" ref="O36">INDEX(Setup!$A$20:$A$34,COLUMN(N6),1)</f>
        <v>Caseload 14</v>
      </c>
      <c r="P36" s="116" t="str" cm="1">
        <f t="array" ref="P36">INDEX(Setup!$A$20:$A$34,COLUMN(O6),1)</f>
        <v>Caseload 15</v>
      </c>
      <c r="Q36" s="7"/>
    </row>
    <row r="37" spans="1:31" ht="15" thickBot="1" x14ac:dyDescent="0.4">
      <c r="A37" s="114" t="s">
        <v>194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30.0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30.0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4" t="s">
        <v>195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197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E22" sqref="E22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156</v>
      </c>
      <c r="I1" s="60" t="s">
        <v>173</v>
      </c>
    </row>
    <row r="2" spans="1:16" ht="15" thickBot="1" x14ac:dyDescent="0.4">
      <c r="I2" s="131" t="s">
        <v>62</v>
      </c>
      <c r="J2" s="133" t="s">
        <v>145</v>
      </c>
      <c r="K2" s="5"/>
      <c r="L2" s="118" t="s">
        <v>63</v>
      </c>
      <c r="M2" s="132" t="s">
        <v>64</v>
      </c>
      <c r="N2" s="5"/>
      <c r="O2" s="118" t="s">
        <v>93</v>
      </c>
      <c r="P2" s="132" t="s">
        <v>96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6" t="s">
        <v>157</v>
      </c>
      <c r="C5" s="106" t="s">
        <v>158</v>
      </c>
      <c r="D5" s="106" t="s">
        <v>159</v>
      </c>
      <c r="E5" s="106" t="s">
        <v>160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Sessions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Caseload 6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163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6" t="s">
        <v>167</v>
      </c>
      <c r="C24" s="106" t="s">
        <v>168</v>
      </c>
      <c r="D24" s="106" t="s">
        <v>169</v>
      </c>
      <c r="E24" s="106" t="s">
        <v>170</v>
      </c>
      <c r="F24" s="70"/>
      <c r="G24" s="70"/>
    </row>
    <row r="25" spans="1:7" x14ac:dyDescent="0.35">
      <c r="A25" s="52" t="str">
        <f>Setup!A20</f>
        <v>20 Group Sessions</v>
      </c>
      <c r="B25" s="88">
        <f>INDEX('Planning Backing (Hide)'!$B$21:$C$35,MATCH(A25,'Planning Backing (Hide)'!$A$21:$A$35,0),1)</f>
        <v>75</v>
      </c>
      <c r="C25" s="89">
        <f>INDEX('Planning Backing (Hide)'!$B$21:$C$35,MATCH(A25,'Planning Backing (Hide)'!$A$21:$A$35,0),2)</f>
        <v>34.285714285714285</v>
      </c>
      <c r="D25" s="90"/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INDEX('Planning Backing (Hide)'!$B$21:$C$35,MATCH(A26,'Planning Backing (Hide)'!$A$21:$A$35,0),1)</f>
        <v>120</v>
      </c>
      <c r="C26" s="93">
        <f>INDEX('Planning Backing (Hide)'!$B$21:$C$35,MATCH(A26,'Planning Backing (Hide)'!$A$21:$A$35,0),2)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INDEX('Planning Backing (Hide)'!$B$21:$C$35,MATCH(A28,'Planning Backing (Hide)'!$A$21:$A$35,0),1)</f>
        <v>60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INDEX('Planning Backing (Hide)'!$B$21:$C$35,MATCH(A29,'Planning Backing (Hide)'!$A$21:$A$35,0),1)</f>
        <v>60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Caseload 6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6" t="s">
        <v>203</v>
      </c>
      <c r="B41" s="5"/>
      <c r="C41" s="5"/>
      <c r="D41" s="5"/>
      <c r="E41" s="5"/>
    </row>
    <row r="42" spans="1:7" ht="15" thickBot="1" x14ac:dyDescent="0.4">
      <c r="A42" s="134" t="s">
        <v>205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6" t="s">
        <v>46</v>
      </c>
      <c r="C43" s="106" t="s">
        <v>201</v>
      </c>
      <c r="D43" s="106" t="s">
        <v>202</v>
      </c>
      <c r="E43" s="5"/>
    </row>
    <row r="44" spans="1:7" x14ac:dyDescent="0.35">
      <c r="A44" s="11"/>
      <c r="B44" s="11"/>
      <c r="C44" s="99" t="str" cm="1">
        <f t="array" ref="C44">IFERROR(INDEX(Service!$E$4:$E$28,MATCH(1,(Service!$B$4:$B$28=Planning!A44)*(Service!$C$4:$C$28=Planning!B44),0),1),"")</f>
        <v/>
      </c>
      <c r="D44" s="15"/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174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6" t="s">
        <v>164</v>
      </c>
      <c r="C62" s="106" t="s">
        <v>165</v>
      </c>
      <c r="D62" s="106" t="str">
        <f>"Edit Non-Group Capacity ("&amp;LOWER(Summary!B7)&amp;")"</f>
        <v>Edit Non-Group Capacity (hours)</v>
      </c>
      <c r="E62" s="106" t="str">
        <f>"Edit Group Capacity ("&amp;LOWER(Summary!B7)&amp;")"</f>
        <v>Edit Group Capacity (hours)</v>
      </c>
    </row>
    <row r="63" spans="1:7" x14ac:dyDescent="0.35">
      <c r="A63" s="52" t="str">
        <f>Setup!A20</f>
        <v>20 Group Sessions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26.666666666666679</v>
      </c>
      <c r="D63" s="11"/>
      <c r="E63" s="11"/>
    </row>
    <row r="64" spans="1:7" x14ac:dyDescent="0.35">
      <c r="A64" s="52" t="str">
        <f>Setup!A21</f>
        <v>40 Group Session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26.666666666666679</v>
      </c>
      <c r="D64" s="39"/>
      <c r="E64" s="39"/>
    </row>
    <row r="65" spans="1:5" x14ac:dyDescent="0.35">
      <c r="A65" s="52" t="str">
        <f>Setup!A22</f>
        <v>8 Group Session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26.666666666666679</v>
      </c>
      <c r="D65" s="39"/>
      <c r="E65" s="39"/>
    </row>
    <row r="66" spans="1:5" x14ac:dyDescent="0.35">
      <c r="A66" s="52" t="str">
        <f>Setup!A23</f>
        <v>20 Individual</v>
      </c>
      <c r="B66" s="92">
        <f>INDEX('Capacity Backing (Hide)'!$H$261:$J$275,MATCH(Planning!$A66,'Capacity Backing (Hide)'!$A$261:$A$275,0),1)</f>
        <v>30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92">
        <f>INDEX('Capacity Backing (Hide)'!$H$261:$J$275,MATCH(Planning!$A67,'Capacity Backing (Hide)'!$A$261:$A$275,0),1)</f>
        <v>30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Caseload 6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166</v>
      </c>
      <c r="I1" s="3" t="s">
        <v>57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145</v>
      </c>
      <c r="CW1" s="3" t="s">
        <v>145</v>
      </c>
      <c r="CX1" s="3" t="s">
        <v>145</v>
      </c>
      <c r="CY1" s="3" t="s">
        <v>145</v>
      </c>
      <c r="CZ1" s="3" t="s">
        <v>145</v>
      </c>
      <c r="DA1" s="3" t="s">
        <v>145</v>
      </c>
    </row>
    <row r="2" spans="1:105" ht="15" thickBot="1" x14ac:dyDescent="0.4">
      <c r="I2" s="7"/>
      <c r="J2" s="7" t="s">
        <v>59</v>
      </c>
      <c r="K2" s="6" t="s">
        <v>59</v>
      </c>
      <c r="L2" s="7" t="s">
        <v>51</v>
      </c>
      <c r="M2" s="6" t="s">
        <v>51</v>
      </c>
      <c r="N2" s="19" t="s">
        <v>64</v>
      </c>
      <c r="O2" s="23" t="s">
        <v>64</v>
      </c>
      <c r="P2" s="7" t="s">
        <v>59</v>
      </c>
      <c r="Q2" s="6" t="s">
        <v>59</v>
      </c>
      <c r="R2" s="7" t="s">
        <v>51</v>
      </c>
      <c r="S2" s="6" t="s">
        <v>51</v>
      </c>
      <c r="T2" s="19" t="s">
        <v>64</v>
      </c>
      <c r="U2" s="23" t="s">
        <v>64</v>
      </c>
      <c r="V2" s="7" t="s">
        <v>59</v>
      </c>
      <c r="W2" s="6" t="s">
        <v>59</v>
      </c>
      <c r="X2" s="7" t="s">
        <v>51</v>
      </c>
      <c r="Y2" s="6" t="s">
        <v>51</v>
      </c>
      <c r="Z2" s="19" t="s">
        <v>64</v>
      </c>
      <c r="AA2" s="23" t="s">
        <v>64</v>
      </c>
      <c r="AB2" s="7" t="s">
        <v>59</v>
      </c>
      <c r="AC2" s="6" t="s">
        <v>59</v>
      </c>
      <c r="AD2" s="7" t="s">
        <v>51</v>
      </c>
      <c r="AE2" s="6" t="s">
        <v>51</v>
      </c>
      <c r="AF2" s="19" t="s">
        <v>64</v>
      </c>
      <c r="AG2" s="23" t="s">
        <v>64</v>
      </c>
      <c r="AH2" s="7" t="s">
        <v>59</v>
      </c>
      <c r="AI2" s="6" t="s">
        <v>59</v>
      </c>
      <c r="AJ2" s="7" t="s">
        <v>51</v>
      </c>
      <c r="AK2" s="6" t="s">
        <v>51</v>
      </c>
      <c r="AL2" s="19" t="s">
        <v>64</v>
      </c>
      <c r="AM2" s="23" t="s">
        <v>64</v>
      </c>
      <c r="AN2" s="7" t="s">
        <v>59</v>
      </c>
      <c r="AO2" s="6" t="s">
        <v>59</v>
      </c>
      <c r="AP2" s="7" t="s">
        <v>51</v>
      </c>
      <c r="AQ2" s="6" t="s">
        <v>51</v>
      </c>
      <c r="AR2" s="19" t="s">
        <v>64</v>
      </c>
      <c r="AS2" s="23" t="s">
        <v>64</v>
      </c>
      <c r="AT2" s="7" t="s">
        <v>59</v>
      </c>
      <c r="AU2" s="6" t="s">
        <v>59</v>
      </c>
      <c r="AV2" s="7" t="s">
        <v>51</v>
      </c>
      <c r="AW2" s="6" t="s">
        <v>51</v>
      </c>
      <c r="AX2" s="19" t="s">
        <v>64</v>
      </c>
      <c r="AY2" s="23" t="s">
        <v>64</v>
      </c>
      <c r="AZ2" s="7" t="s">
        <v>59</v>
      </c>
      <c r="BA2" s="6" t="s">
        <v>59</v>
      </c>
      <c r="BB2" s="7" t="s">
        <v>51</v>
      </c>
      <c r="BC2" s="6" t="s">
        <v>51</v>
      </c>
      <c r="BD2" s="19" t="s">
        <v>64</v>
      </c>
      <c r="BE2" s="23" t="s">
        <v>64</v>
      </c>
      <c r="BF2" s="7" t="s">
        <v>59</v>
      </c>
      <c r="BG2" s="6" t="s">
        <v>59</v>
      </c>
      <c r="BH2" s="7" t="s">
        <v>51</v>
      </c>
      <c r="BI2" s="6" t="s">
        <v>51</v>
      </c>
      <c r="BJ2" s="19" t="s">
        <v>64</v>
      </c>
      <c r="BK2" s="23" t="s">
        <v>64</v>
      </c>
      <c r="BL2" s="7" t="s">
        <v>59</v>
      </c>
      <c r="BM2" s="6" t="s">
        <v>59</v>
      </c>
      <c r="BN2" s="7" t="s">
        <v>51</v>
      </c>
      <c r="BO2" s="6" t="s">
        <v>51</v>
      </c>
      <c r="BP2" s="19" t="s">
        <v>64</v>
      </c>
      <c r="BQ2" s="23" t="s">
        <v>64</v>
      </c>
      <c r="BR2" s="7" t="s">
        <v>59</v>
      </c>
      <c r="BS2" s="6" t="s">
        <v>59</v>
      </c>
      <c r="BT2" s="7" t="s">
        <v>51</v>
      </c>
      <c r="BU2" s="6" t="s">
        <v>51</v>
      </c>
      <c r="BV2" s="19" t="s">
        <v>64</v>
      </c>
      <c r="BW2" s="23" t="s">
        <v>64</v>
      </c>
      <c r="BX2" s="7" t="s">
        <v>59</v>
      </c>
      <c r="BY2" s="6" t="s">
        <v>59</v>
      </c>
      <c r="BZ2" s="7" t="s">
        <v>51</v>
      </c>
      <c r="CA2" s="6" t="s">
        <v>51</v>
      </c>
      <c r="CB2" s="19" t="s">
        <v>64</v>
      </c>
      <c r="CC2" s="23" t="s">
        <v>64</v>
      </c>
      <c r="CD2" s="7" t="s">
        <v>59</v>
      </c>
      <c r="CE2" s="6" t="s">
        <v>59</v>
      </c>
      <c r="CF2" s="7" t="s">
        <v>51</v>
      </c>
      <c r="CG2" s="6" t="s">
        <v>51</v>
      </c>
      <c r="CH2" s="19" t="s">
        <v>64</v>
      </c>
      <c r="CI2" s="23" t="s">
        <v>64</v>
      </c>
      <c r="CJ2" s="7" t="s">
        <v>59</v>
      </c>
      <c r="CK2" s="6" t="s">
        <v>59</v>
      </c>
      <c r="CL2" s="7" t="s">
        <v>51</v>
      </c>
      <c r="CM2" s="6" t="s">
        <v>51</v>
      </c>
      <c r="CN2" s="19" t="s">
        <v>64</v>
      </c>
      <c r="CO2" s="23" t="s">
        <v>64</v>
      </c>
      <c r="CP2" s="7" t="s">
        <v>59</v>
      </c>
      <c r="CQ2" s="6" t="s">
        <v>59</v>
      </c>
      <c r="CR2" s="7" t="s">
        <v>51</v>
      </c>
      <c r="CS2" s="6" t="s">
        <v>51</v>
      </c>
      <c r="CT2" s="19" t="s">
        <v>64</v>
      </c>
      <c r="CU2" s="23" t="s">
        <v>64</v>
      </c>
      <c r="CV2" s="7" t="s">
        <v>59</v>
      </c>
      <c r="CW2" s="6" t="s">
        <v>59</v>
      </c>
      <c r="CX2" s="7" t="s">
        <v>51</v>
      </c>
      <c r="CY2" s="6" t="s">
        <v>51</v>
      </c>
      <c r="CZ2" s="19" t="s">
        <v>64</v>
      </c>
      <c r="DA2" s="23" t="s">
        <v>64</v>
      </c>
    </row>
    <row r="3" spans="1:105" ht="58.5" thickBot="1" x14ac:dyDescent="0.4">
      <c r="A3" t="s">
        <v>45</v>
      </c>
      <c r="B3" s="71" t="s">
        <v>157</v>
      </c>
      <c r="C3" s="71" t="s">
        <v>158</v>
      </c>
      <c r="D3" s="71" t="s">
        <v>159</v>
      </c>
      <c r="E3" s="71" t="s">
        <v>160</v>
      </c>
      <c r="F3" s="71" t="s">
        <v>161</v>
      </c>
      <c r="G3" s="71" t="s">
        <v>162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0.5714285714285714</v>
      </c>
      <c r="M3" s="31"/>
      <c r="N3" s="30"/>
      <c r="O3" s="31"/>
      <c r="P3" s="29">
        <f>INDEX($D$21:$E$35,MATCH(P$1,$A$21:$A$35,0),1)/IF(Summary!$B$7="Minutes",1,60)</f>
        <v>2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58</v>
      </c>
      <c r="J4" s="24" t="s">
        <v>60</v>
      </c>
      <c r="K4" s="26" t="s">
        <v>61</v>
      </c>
      <c r="L4" s="24" t="s">
        <v>60</v>
      </c>
      <c r="M4" s="26" t="s">
        <v>61</v>
      </c>
      <c r="N4" s="25" t="s">
        <v>52</v>
      </c>
      <c r="O4" s="26" t="s">
        <v>61</v>
      </c>
      <c r="P4" s="24" t="s">
        <v>60</v>
      </c>
      <c r="Q4" s="26" t="s">
        <v>61</v>
      </c>
      <c r="R4" s="24" t="s">
        <v>60</v>
      </c>
      <c r="S4" s="26" t="s">
        <v>61</v>
      </c>
      <c r="T4" s="25" t="s">
        <v>52</v>
      </c>
      <c r="U4" s="26" t="s">
        <v>61</v>
      </c>
      <c r="V4" s="24" t="s">
        <v>60</v>
      </c>
      <c r="W4" s="26" t="s">
        <v>61</v>
      </c>
      <c r="X4" s="24" t="s">
        <v>60</v>
      </c>
      <c r="Y4" s="26" t="s">
        <v>61</v>
      </c>
      <c r="Z4" s="25" t="s">
        <v>52</v>
      </c>
      <c r="AA4" s="26" t="s">
        <v>61</v>
      </c>
      <c r="AB4" s="24" t="s">
        <v>60</v>
      </c>
      <c r="AC4" s="26" t="s">
        <v>61</v>
      </c>
      <c r="AD4" s="24" t="s">
        <v>60</v>
      </c>
      <c r="AE4" s="26" t="s">
        <v>61</v>
      </c>
      <c r="AF4" s="25" t="s">
        <v>52</v>
      </c>
      <c r="AG4" s="26" t="s">
        <v>61</v>
      </c>
      <c r="AH4" s="24" t="s">
        <v>60</v>
      </c>
      <c r="AI4" s="26" t="s">
        <v>61</v>
      </c>
      <c r="AJ4" s="24" t="s">
        <v>60</v>
      </c>
      <c r="AK4" s="26" t="s">
        <v>61</v>
      </c>
      <c r="AL4" s="25" t="s">
        <v>52</v>
      </c>
      <c r="AM4" s="26" t="s">
        <v>61</v>
      </c>
      <c r="AN4" s="24" t="s">
        <v>60</v>
      </c>
      <c r="AO4" s="26" t="s">
        <v>61</v>
      </c>
      <c r="AP4" s="24" t="s">
        <v>60</v>
      </c>
      <c r="AQ4" s="26" t="s">
        <v>61</v>
      </c>
      <c r="AR4" s="25" t="s">
        <v>52</v>
      </c>
      <c r="AS4" s="26" t="s">
        <v>61</v>
      </c>
      <c r="AT4" s="24" t="s">
        <v>60</v>
      </c>
      <c r="AU4" s="26" t="s">
        <v>61</v>
      </c>
      <c r="AV4" s="24" t="s">
        <v>60</v>
      </c>
      <c r="AW4" s="26" t="s">
        <v>61</v>
      </c>
      <c r="AX4" s="25" t="s">
        <v>52</v>
      </c>
      <c r="AY4" s="26" t="s">
        <v>61</v>
      </c>
      <c r="AZ4" s="24" t="s">
        <v>60</v>
      </c>
      <c r="BA4" s="26" t="s">
        <v>61</v>
      </c>
      <c r="BB4" s="24" t="s">
        <v>60</v>
      </c>
      <c r="BC4" s="26" t="s">
        <v>61</v>
      </c>
      <c r="BD4" s="25" t="s">
        <v>52</v>
      </c>
      <c r="BE4" s="26" t="s">
        <v>61</v>
      </c>
      <c r="BF4" s="24" t="s">
        <v>60</v>
      </c>
      <c r="BG4" s="26" t="s">
        <v>61</v>
      </c>
      <c r="BH4" s="24" t="s">
        <v>60</v>
      </c>
      <c r="BI4" s="26" t="s">
        <v>61</v>
      </c>
      <c r="BJ4" s="25" t="s">
        <v>52</v>
      </c>
      <c r="BK4" s="26" t="s">
        <v>61</v>
      </c>
      <c r="BL4" s="24" t="s">
        <v>60</v>
      </c>
      <c r="BM4" s="26" t="s">
        <v>61</v>
      </c>
      <c r="BN4" s="24" t="s">
        <v>60</v>
      </c>
      <c r="BO4" s="26" t="s">
        <v>61</v>
      </c>
      <c r="BP4" s="25" t="s">
        <v>52</v>
      </c>
      <c r="BQ4" s="26" t="s">
        <v>61</v>
      </c>
      <c r="BR4" s="24" t="s">
        <v>60</v>
      </c>
      <c r="BS4" s="26" t="s">
        <v>61</v>
      </c>
      <c r="BT4" s="24" t="s">
        <v>60</v>
      </c>
      <c r="BU4" s="26" t="s">
        <v>61</v>
      </c>
      <c r="BV4" s="25" t="s">
        <v>52</v>
      </c>
      <c r="BW4" s="26" t="s">
        <v>61</v>
      </c>
      <c r="BX4" s="24" t="s">
        <v>60</v>
      </c>
      <c r="BY4" s="26" t="s">
        <v>61</v>
      </c>
      <c r="BZ4" s="24" t="s">
        <v>60</v>
      </c>
      <c r="CA4" s="26" t="s">
        <v>61</v>
      </c>
      <c r="CB4" s="25" t="s">
        <v>52</v>
      </c>
      <c r="CC4" s="26" t="s">
        <v>61</v>
      </c>
      <c r="CD4" s="24" t="s">
        <v>60</v>
      </c>
      <c r="CE4" s="26" t="s">
        <v>61</v>
      </c>
      <c r="CF4" s="24" t="s">
        <v>60</v>
      </c>
      <c r="CG4" s="26" t="s">
        <v>61</v>
      </c>
      <c r="CH4" s="25" t="s">
        <v>52</v>
      </c>
      <c r="CI4" s="26" t="s">
        <v>61</v>
      </c>
      <c r="CJ4" s="24" t="s">
        <v>60</v>
      </c>
      <c r="CK4" s="26" t="s">
        <v>61</v>
      </c>
      <c r="CL4" s="24" t="s">
        <v>60</v>
      </c>
      <c r="CM4" s="26" t="s">
        <v>61</v>
      </c>
      <c r="CN4" s="25" t="s">
        <v>52</v>
      </c>
      <c r="CO4" s="26" t="s">
        <v>61</v>
      </c>
      <c r="CP4" s="24" t="s">
        <v>60</v>
      </c>
      <c r="CQ4" s="26" t="s">
        <v>61</v>
      </c>
      <c r="CR4" s="24" t="s">
        <v>60</v>
      </c>
      <c r="CS4" s="26" t="s">
        <v>61</v>
      </c>
      <c r="CT4" s="25" t="s">
        <v>52</v>
      </c>
      <c r="CU4" s="26" t="s">
        <v>61</v>
      </c>
      <c r="CV4" s="24" t="s">
        <v>52</v>
      </c>
      <c r="CW4" s="26" t="s">
        <v>61</v>
      </c>
      <c r="CX4" s="24" t="s">
        <v>52</v>
      </c>
      <c r="CY4" s="26" t="s">
        <v>61</v>
      </c>
      <c r="CZ4" s="25" t="s">
        <v>52</v>
      </c>
      <c r="DA4" s="26" t="s">
        <v>61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48.857142857142854</v>
      </c>
      <c r="U5">
        <f>SUMIF(P$4:S$4,U$4,P5:S5)</f>
        <v>64.285714285714278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181.75</v>
      </c>
      <c r="CW5">
        <f t="shared" si="0"/>
        <v>198.6875</v>
      </c>
      <c r="CX5">
        <f t="shared" si="0"/>
        <v>39</v>
      </c>
      <c r="CY5">
        <f t="shared" si="0"/>
        <v>45.571428571428569</v>
      </c>
      <c r="CZ5">
        <f>SUMIFS($J5:$CU5,$J$2:$CU$2,CZ$2,$J$4:$CU$4,CZ$4)</f>
        <v>220.75</v>
      </c>
      <c r="DA5">
        <f>SUMIFS($J5:$CU5,$J$2:$CU$2,DA$2,$J$4:$CU$4,DA$4)</f>
        <v>244.25892857142856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48.857142857142854</v>
      </c>
      <c r="U6">
        <f t="shared" ref="U6:U56" si="12">SUMIF(P$4:S$4,U$4,P6:S6)</f>
        <v>64.285714285714278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181.75</v>
      </c>
      <c r="CW6">
        <f t="shared" si="91"/>
        <v>198.6875</v>
      </c>
      <c r="CX6">
        <f t="shared" ref="CX6:CY20" si="92">SUMIFS($J6:$CS6,$J$2:$CS$2,CX$2,$J$4:$CS$4,CX$4)</f>
        <v>39</v>
      </c>
      <c r="CY6">
        <f t="shared" si="92"/>
        <v>45.571428571428569</v>
      </c>
      <c r="CZ6">
        <f t="shared" ref="CZ6:DA56" si="93">SUMIFS($J6:$CU6,$J$2:$CU$2,CZ$2,$J$4:$CU$4,CZ$4)</f>
        <v>220.75</v>
      </c>
      <c r="DA6">
        <f t="shared" si="93"/>
        <v>244.25892857142856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38</v>
      </c>
      <c r="Q7">
        <f t="shared" si="8"/>
        <v>50</v>
      </c>
      <c r="R7">
        <f t="shared" si="9"/>
        <v>10.857142857142856</v>
      </c>
      <c r="S7">
        <f t="shared" si="10"/>
        <v>14.285714285714285</v>
      </c>
      <c r="T7">
        <f t="shared" si="11"/>
        <v>48.857142857142854</v>
      </c>
      <c r="U7">
        <f t="shared" si="12"/>
        <v>64.285714285714278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181.75</v>
      </c>
      <c r="CW7">
        <f t="shared" si="91"/>
        <v>198.6875</v>
      </c>
      <c r="CX7">
        <f t="shared" si="92"/>
        <v>39</v>
      </c>
      <c r="CY7">
        <f t="shared" si="92"/>
        <v>45.571428571428569</v>
      </c>
      <c r="CZ7">
        <f t="shared" si="93"/>
        <v>220.75</v>
      </c>
      <c r="DA7">
        <f t="shared" si="93"/>
        <v>244.25892857142856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38</v>
      </c>
      <c r="Q8">
        <f t="shared" si="8"/>
        <v>50</v>
      </c>
      <c r="R8">
        <f t="shared" si="9"/>
        <v>10.857142857142856</v>
      </c>
      <c r="S8">
        <f t="shared" si="10"/>
        <v>14.285714285714285</v>
      </c>
      <c r="T8">
        <f t="shared" si="11"/>
        <v>48.857142857142854</v>
      </c>
      <c r="U8">
        <f t="shared" si="12"/>
        <v>64.285714285714278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181.75</v>
      </c>
      <c r="CW8">
        <f t="shared" si="91"/>
        <v>198.6875</v>
      </c>
      <c r="CX8">
        <f t="shared" si="92"/>
        <v>39</v>
      </c>
      <c r="CY8">
        <f t="shared" si="92"/>
        <v>45.571428571428569</v>
      </c>
      <c r="CZ8">
        <f t="shared" si="93"/>
        <v>220.75</v>
      </c>
      <c r="DA8">
        <f t="shared" si="93"/>
        <v>244.25892857142856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38</v>
      </c>
      <c r="Q9">
        <f t="shared" si="8"/>
        <v>50</v>
      </c>
      <c r="R9">
        <f t="shared" si="9"/>
        <v>10.857142857142856</v>
      </c>
      <c r="S9">
        <f t="shared" si="10"/>
        <v>14.285714285714285</v>
      </c>
      <c r="T9">
        <f t="shared" si="11"/>
        <v>48.857142857142854</v>
      </c>
      <c r="U9">
        <f t="shared" si="12"/>
        <v>64.285714285714278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181.75</v>
      </c>
      <c r="CW9">
        <f t="shared" si="91"/>
        <v>198.6875</v>
      </c>
      <c r="CX9">
        <f t="shared" si="92"/>
        <v>39</v>
      </c>
      <c r="CY9">
        <f t="shared" si="92"/>
        <v>45.571428571428569</v>
      </c>
      <c r="CZ9">
        <f t="shared" si="93"/>
        <v>220.75</v>
      </c>
      <c r="DA9">
        <f t="shared" si="93"/>
        <v>244.25892857142856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38</v>
      </c>
      <c r="Q10">
        <f t="shared" si="8"/>
        <v>50</v>
      </c>
      <c r="R10">
        <f t="shared" si="9"/>
        <v>10.857142857142856</v>
      </c>
      <c r="S10">
        <f t="shared" si="10"/>
        <v>14.285714285714285</v>
      </c>
      <c r="T10">
        <f t="shared" si="11"/>
        <v>48.857142857142854</v>
      </c>
      <c r="U10">
        <f t="shared" si="12"/>
        <v>64.285714285714278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181.75</v>
      </c>
      <c r="CW10">
        <f t="shared" si="91"/>
        <v>198.6875</v>
      </c>
      <c r="CX10">
        <f t="shared" si="92"/>
        <v>39</v>
      </c>
      <c r="CY10">
        <f t="shared" si="92"/>
        <v>45.571428571428569</v>
      </c>
      <c r="CZ10">
        <f t="shared" si="93"/>
        <v>220.75</v>
      </c>
      <c r="DA10">
        <f t="shared" si="93"/>
        <v>244.25892857142856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38</v>
      </c>
      <c r="Q11">
        <f t="shared" si="8"/>
        <v>50</v>
      </c>
      <c r="R11">
        <f t="shared" si="9"/>
        <v>10.857142857142856</v>
      </c>
      <c r="S11">
        <f t="shared" si="10"/>
        <v>14.285714285714285</v>
      </c>
      <c r="T11">
        <f t="shared" si="11"/>
        <v>48.857142857142854</v>
      </c>
      <c r="U11">
        <f t="shared" si="12"/>
        <v>64.285714285714278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181.75</v>
      </c>
      <c r="CW11">
        <f t="shared" si="91"/>
        <v>198.6875</v>
      </c>
      <c r="CX11">
        <f t="shared" si="92"/>
        <v>39</v>
      </c>
      <c r="CY11">
        <f t="shared" si="92"/>
        <v>45.571428571428569</v>
      </c>
      <c r="CZ11">
        <f t="shared" si="93"/>
        <v>220.75</v>
      </c>
      <c r="DA11">
        <f t="shared" si="93"/>
        <v>244.25892857142856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38</v>
      </c>
      <c r="Q12">
        <f t="shared" si="8"/>
        <v>50</v>
      </c>
      <c r="R12">
        <f t="shared" si="9"/>
        <v>10.857142857142856</v>
      </c>
      <c r="S12">
        <f t="shared" si="10"/>
        <v>14.285714285714285</v>
      </c>
      <c r="T12">
        <f t="shared" si="11"/>
        <v>48.857142857142854</v>
      </c>
      <c r="U12">
        <f t="shared" si="12"/>
        <v>64.285714285714278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181.75</v>
      </c>
      <c r="CW12">
        <f t="shared" si="91"/>
        <v>198.6875</v>
      </c>
      <c r="CX12">
        <f t="shared" si="92"/>
        <v>39</v>
      </c>
      <c r="CY12">
        <f t="shared" si="92"/>
        <v>45.571428571428569</v>
      </c>
      <c r="CZ12">
        <f t="shared" si="93"/>
        <v>220.75</v>
      </c>
      <c r="DA12">
        <f t="shared" si="93"/>
        <v>244.25892857142856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38</v>
      </c>
      <c r="Q13">
        <f t="shared" si="8"/>
        <v>50</v>
      </c>
      <c r="R13">
        <f t="shared" si="9"/>
        <v>10.857142857142856</v>
      </c>
      <c r="S13">
        <f t="shared" si="10"/>
        <v>14.285714285714285</v>
      </c>
      <c r="T13">
        <f t="shared" si="11"/>
        <v>48.857142857142854</v>
      </c>
      <c r="U13">
        <f t="shared" si="12"/>
        <v>64.285714285714278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181.75</v>
      </c>
      <c r="CW13">
        <f t="shared" si="91"/>
        <v>198.6875</v>
      </c>
      <c r="CX13">
        <f t="shared" si="92"/>
        <v>39</v>
      </c>
      <c r="CY13">
        <f t="shared" si="92"/>
        <v>45.571428571428569</v>
      </c>
      <c r="CZ13">
        <f t="shared" si="93"/>
        <v>220.75</v>
      </c>
      <c r="DA13">
        <f t="shared" si="93"/>
        <v>244.25892857142856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38</v>
      </c>
      <c r="Q14">
        <f t="shared" si="8"/>
        <v>50</v>
      </c>
      <c r="R14">
        <f t="shared" si="9"/>
        <v>10.857142857142856</v>
      </c>
      <c r="S14">
        <f t="shared" si="10"/>
        <v>14.285714285714285</v>
      </c>
      <c r="T14">
        <f t="shared" si="11"/>
        <v>48.857142857142854</v>
      </c>
      <c r="U14">
        <f t="shared" si="12"/>
        <v>64.285714285714278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181.75</v>
      </c>
      <c r="CW14">
        <f t="shared" si="91"/>
        <v>198.6875</v>
      </c>
      <c r="CX14">
        <f t="shared" si="92"/>
        <v>39</v>
      </c>
      <c r="CY14">
        <f t="shared" si="92"/>
        <v>45.571428571428569</v>
      </c>
      <c r="CZ14">
        <f t="shared" si="93"/>
        <v>220.75</v>
      </c>
      <c r="DA14">
        <f t="shared" si="93"/>
        <v>244.25892857142856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38</v>
      </c>
      <c r="Q15">
        <f t="shared" si="8"/>
        <v>50</v>
      </c>
      <c r="R15">
        <f t="shared" si="9"/>
        <v>10.857142857142856</v>
      </c>
      <c r="S15">
        <f t="shared" si="10"/>
        <v>14.285714285714285</v>
      </c>
      <c r="T15">
        <f t="shared" si="11"/>
        <v>48.857142857142854</v>
      </c>
      <c r="U15">
        <f t="shared" si="12"/>
        <v>64.285714285714278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181.75</v>
      </c>
      <c r="CW15">
        <f t="shared" si="91"/>
        <v>198.6875</v>
      </c>
      <c r="CX15">
        <f t="shared" si="92"/>
        <v>39</v>
      </c>
      <c r="CY15">
        <f t="shared" si="92"/>
        <v>45.571428571428569</v>
      </c>
      <c r="CZ15">
        <f t="shared" si="93"/>
        <v>220.75</v>
      </c>
      <c r="DA15">
        <f t="shared" si="93"/>
        <v>244.25892857142856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38</v>
      </c>
      <c r="Q16">
        <f t="shared" si="8"/>
        <v>50</v>
      </c>
      <c r="R16">
        <f t="shared" si="9"/>
        <v>10.857142857142856</v>
      </c>
      <c r="S16">
        <f t="shared" si="10"/>
        <v>14.285714285714285</v>
      </c>
      <c r="T16">
        <f t="shared" si="11"/>
        <v>48.857142857142854</v>
      </c>
      <c r="U16">
        <f t="shared" si="12"/>
        <v>64.285714285714278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181.75</v>
      </c>
      <c r="CW16">
        <f t="shared" si="91"/>
        <v>198.6875</v>
      </c>
      <c r="CX16">
        <f t="shared" si="92"/>
        <v>39</v>
      </c>
      <c r="CY16">
        <f t="shared" si="92"/>
        <v>45.571428571428569</v>
      </c>
      <c r="CZ16">
        <f t="shared" si="93"/>
        <v>220.75</v>
      </c>
      <c r="DA16">
        <f t="shared" si="93"/>
        <v>244.25892857142856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38</v>
      </c>
      <c r="Q17">
        <f t="shared" si="8"/>
        <v>50</v>
      </c>
      <c r="R17">
        <f t="shared" si="9"/>
        <v>10.857142857142856</v>
      </c>
      <c r="S17">
        <f t="shared" si="10"/>
        <v>14.285714285714285</v>
      </c>
      <c r="T17">
        <f t="shared" si="11"/>
        <v>48.857142857142854</v>
      </c>
      <c r="U17">
        <f t="shared" si="12"/>
        <v>64.285714285714278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181.75</v>
      </c>
      <c r="CW17">
        <f t="shared" si="91"/>
        <v>198.6875</v>
      </c>
      <c r="CX17">
        <f t="shared" si="92"/>
        <v>39</v>
      </c>
      <c r="CY17">
        <f t="shared" si="92"/>
        <v>45.571428571428569</v>
      </c>
      <c r="CZ17">
        <f t="shared" si="93"/>
        <v>220.75</v>
      </c>
      <c r="DA17">
        <f t="shared" si="93"/>
        <v>244.25892857142856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38</v>
      </c>
      <c r="Q18">
        <f t="shared" si="8"/>
        <v>50</v>
      </c>
      <c r="R18">
        <f t="shared" si="9"/>
        <v>10.857142857142856</v>
      </c>
      <c r="S18">
        <f t="shared" si="10"/>
        <v>14.285714285714285</v>
      </c>
      <c r="T18">
        <f t="shared" si="11"/>
        <v>48.857142857142854</v>
      </c>
      <c r="U18">
        <f t="shared" si="12"/>
        <v>64.285714285714278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181.75</v>
      </c>
      <c r="CW18">
        <f t="shared" si="91"/>
        <v>198.6875</v>
      </c>
      <c r="CX18">
        <f t="shared" si="92"/>
        <v>39</v>
      </c>
      <c r="CY18">
        <f t="shared" si="92"/>
        <v>45.571428571428569</v>
      </c>
      <c r="CZ18">
        <f t="shared" si="93"/>
        <v>220.75</v>
      </c>
      <c r="DA18">
        <f t="shared" si="93"/>
        <v>244.25892857142856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38</v>
      </c>
      <c r="Q19">
        <f t="shared" si="8"/>
        <v>50</v>
      </c>
      <c r="R19">
        <f t="shared" si="9"/>
        <v>10.857142857142856</v>
      </c>
      <c r="S19">
        <f t="shared" si="10"/>
        <v>14.285714285714285</v>
      </c>
      <c r="T19">
        <f t="shared" si="11"/>
        <v>48.857142857142854</v>
      </c>
      <c r="U19">
        <f t="shared" si="12"/>
        <v>64.285714285714278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181.75</v>
      </c>
      <c r="CW19">
        <f t="shared" si="91"/>
        <v>198.6875</v>
      </c>
      <c r="CX19">
        <f t="shared" si="92"/>
        <v>39</v>
      </c>
      <c r="CY19">
        <f t="shared" si="92"/>
        <v>45.571428571428569</v>
      </c>
      <c r="CZ19">
        <f t="shared" si="93"/>
        <v>220.75</v>
      </c>
      <c r="DA19">
        <f t="shared" si="93"/>
        <v>244.25892857142856</v>
      </c>
    </row>
    <row r="20" spans="1:105" ht="87" x14ac:dyDescent="0.35">
      <c r="A20" t="s">
        <v>45</v>
      </c>
      <c r="B20" s="71" t="s">
        <v>167</v>
      </c>
      <c r="C20" s="71" t="s">
        <v>168</v>
      </c>
      <c r="D20" s="71" t="s">
        <v>169</v>
      </c>
      <c r="E20" s="71" t="s">
        <v>170</v>
      </c>
      <c r="F20" s="71" t="s">
        <v>171</v>
      </c>
      <c r="G20" s="71" t="s">
        <v>172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38</v>
      </c>
      <c r="Q20">
        <f t="shared" si="8"/>
        <v>50</v>
      </c>
      <c r="R20">
        <f t="shared" si="9"/>
        <v>10.857142857142856</v>
      </c>
      <c r="S20">
        <f t="shared" si="10"/>
        <v>14.285714285714285</v>
      </c>
      <c r="T20">
        <f t="shared" si="11"/>
        <v>48.857142857142854</v>
      </c>
      <c r="U20">
        <f t="shared" si="12"/>
        <v>64.285714285714278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181.75</v>
      </c>
      <c r="CW20">
        <f t="shared" si="91"/>
        <v>198.6875</v>
      </c>
      <c r="CX20">
        <f t="shared" si="92"/>
        <v>39</v>
      </c>
      <c r="CY20">
        <f t="shared" si="92"/>
        <v>45.571428571428569</v>
      </c>
      <c r="CZ20">
        <f t="shared" si="93"/>
        <v>220.75</v>
      </c>
      <c r="DA20">
        <f t="shared" si="93"/>
        <v>244.25892857142856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38</v>
      </c>
      <c r="Q21">
        <f t="shared" si="8"/>
        <v>50</v>
      </c>
      <c r="R21">
        <f t="shared" si="9"/>
        <v>10.857142857142856</v>
      </c>
      <c r="S21">
        <f t="shared" si="10"/>
        <v>14.285714285714285</v>
      </c>
      <c r="T21">
        <f t="shared" si="11"/>
        <v>48.857142857142854</v>
      </c>
      <c r="U21">
        <f t="shared" si="12"/>
        <v>64.285714285714278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181.75</v>
      </c>
      <c r="CW21">
        <f t="shared" si="91"/>
        <v>198.6875</v>
      </c>
      <c r="CX21">
        <f t="shared" si="91"/>
        <v>39</v>
      </c>
      <c r="CY21">
        <f t="shared" si="91"/>
        <v>45.571428571428569</v>
      </c>
      <c r="CZ21">
        <f t="shared" si="93"/>
        <v>220.75</v>
      </c>
      <c r="DA21">
        <f t="shared" si="93"/>
        <v>244.25892857142856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34.285714285714285</v>
      </c>
      <c r="D22">
        <f>IF(Planning!D26="",'Planning Backing (Hide)'!B22,Planning!D26)</f>
        <v>120</v>
      </c>
      <c r="E22">
        <f>IF(Planning!E26="",'Planning Backing (Hide)'!C22,Planning!E26)</f>
        <v>34.285714285714285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38</v>
      </c>
      <c r="Q22">
        <f t="shared" si="8"/>
        <v>50</v>
      </c>
      <c r="R22">
        <f t="shared" si="9"/>
        <v>10.857142857142856</v>
      </c>
      <c r="S22">
        <f t="shared" si="10"/>
        <v>14.285714285714285</v>
      </c>
      <c r="T22">
        <f t="shared" si="11"/>
        <v>48.857142857142854</v>
      </c>
      <c r="U22">
        <f t="shared" si="12"/>
        <v>64.285714285714278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181.75</v>
      </c>
      <c r="CW22">
        <f t="shared" si="91"/>
        <v>198.6875</v>
      </c>
      <c r="CX22">
        <f t="shared" si="91"/>
        <v>39</v>
      </c>
      <c r="CY22">
        <f t="shared" si="91"/>
        <v>45.571428571428569</v>
      </c>
      <c r="CZ22">
        <f t="shared" si="93"/>
        <v>220.75</v>
      </c>
      <c r="DA22">
        <f t="shared" si="93"/>
        <v>244.25892857142856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38</v>
      </c>
      <c r="Q23">
        <f t="shared" si="8"/>
        <v>50</v>
      </c>
      <c r="R23">
        <f t="shared" si="9"/>
        <v>10.857142857142856</v>
      </c>
      <c r="S23">
        <f t="shared" si="10"/>
        <v>14.285714285714285</v>
      </c>
      <c r="T23">
        <f t="shared" si="11"/>
        <v>48.857142857142854</v>
      </c>
      <c r="U23">
        <f t="shared" si="12"/>
        <v>64.285714285714278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181.75</v>
      </c>
      <c r="CW23">
        <f t="shared" si="91"/>
        <v>198.6875</v>
      </c>
      <c r="CX23">
        <f t="shared" si="91"/>
        <v>39</v>
      </c>
      <c r="CY23">
        <f t="shared" si="91"/>
        <v>45.571428571428569</v>
      </c>
      <c r="CZ23">
        <f t="shared" si="93"/>
        <v>220.75</v>
      </c>
      <c r="DA23">
        <f t="shared" si="93"/>
        <v>244.25892857142856</v>
      </c>
    </row>
    <row r="24" spans="1:105" x14ac:dyDescent="0.35">
      <c r="A24" t="str">
        <f>Setup!A23</f>
        <v>20 Individual</v>
      </c>
      <c r="B24">
        <f t="shared" si="94"/>
        <v>60</v>
      </c>
      <c r="C24">
        <f t="shared" si="95"/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38</v>
      </c>
      <c r="Q24">
        <f t="shared" si="8"/>
        <v>50</v>
      </c>
      <c r="R24">
        <f t="shared" si="9"/>
        <v>10.857142857142856</v>
      </c>
      <c r="S24">
        <f t="shared" si="10"/>
        <v>14.285714285714285</v>
      </c>
      <c r="T24">
        <f t="shared" si="11"/>
        <v>48.857142857142854</v>
      </c>
      <c r="U24">
        <f t="shared" si="12"/>
        <v>64.285714285714278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181.75</v>
      </c>
      <c r="CW24">
        <f t="shared" si="91"/>
        <v>198.6875</v>
      </c>
      <c r="CX24">
        <f t="shared" si="91"/>
        <v>39</v>
      </c>
      <c r="CY24">
        <f t="shared" si="91"/>
        <v>45.571428571428569</v>
      </c>
      <c r="CZ24">
        <f t="shared" si="93"/>
        <v>220.75</v>
      </c>
      <c r="DA24">
        <f t="shared" si="93"/>
        <v>244.25892857142856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38</v>
      </c>
      <c r="Q25">
        <f t="shared" si="8"/>
        <v>50</v>
      </c>
      <c r="R25">
        <f t="shared" si="9"/>
        <v>10.857142857142856</v>
      </c>
      <c r="S25">
        <f t="shared" si="10"/>
        <v>14.285714285714285</v>
      </c>
      <c r="T25">
        <f t="shared" si="11"/>
        <v>48.857142857142854</v>
      </c>
      <c r="U25">
        <f t="shared" si="12"/>
        <v>64.285714285714278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181.75</v>
      </c>
      <c r="CW25">
        <f t="shared" si="91"/>
        <v>198.6875</v>
      </c>
      <c r="CX25">
        <f t="shared" si="91"/>
        <v>39</v>
      </c>
      <c r="CY25">
        <f t="shared" si="91"/>
        <v>45.571428571428569</v>
      </c>
      <c r="CZ25">
        <f t="shared" si="93"/>
        <v>220.75</v>
      </c>
      <c r="DA25">
        <f t="shared" si="93"/>
        <v>244.25892857142856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38</v>
      </c>
      <c r="Q26">
        <f t="shared" si="8"/>
        <v>50</v>
      </c>
      <c r="R26">
        <f t="shared" si="9"/>
        <v>10.857142857142856</v>
      </c>
      <c r="S26">
        <f t="shared" si="10"/>
        <v>14.285714285714285</v>
      </c>
      <c r="T26">
        <f t="shared" si="11"/>
        <v>48.857142857142854</v>
      </c>
      <c r="U26">
        <f t="shared" si="12"/>
        <v>64.285714285714278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181.75</v>
      </c>
      <c r="CW26">
        <f t="shared" si="91"/>
        <v>198.6875</v>
      </c>
      <c r="CX26">
        <f t="shared" si="91"/>
        <v>39</v>
      </c>
      <c r="CY26">
        <f t="shared" si="91"/>
        <v>45.571428571428569</v>
      </c>
      <c r="CZ26">
        <f t="shared" si="93"/>
        <v>220.75</v>
      </c>
      <c r="DA26">
        <f t="shared" si="93"/>
        <v>244.25892857142856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38</v>
      </c>
      <c r="Q27">
        <f t="shared" si="8"/>
        <v>50</v>
      </c>
      <c r="R27">
        <f t="shared" si="9"/>
        <v>10.857142857142856</v>
      </c>
      <c r="S27">
        <f t="shared" si="10"/>
        <v>14.285714285714285</v>
      </c>
      <c r="T27">
        <f t="shared" si="11"/>
        <v>48.857142857142854</v>
      </c>
      <c r="U27">
        <f t="shared" si="12"/>
        <v>64.285714285714278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181.75</v>
      </c>
      <c r="CW27">
        <f t="shared" si="91"/>
        <v>198.6875</v>
      </c>
      <c r="CX27">
        <f t="shared" si="91"/>
        <v>39</v>
      </c>
      <c r="CY27">
        <f t="shared" si="91"/>
        <v>45.571428571428569</v>
      </c>
      <c r="CZ27">
        <f t="shared" si="93"/>
        <v>220.75</v>
      </c>
      <c r="DA27">
        <f t="shared" si="93"/>
        <v>244.25892857142856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38</v>
      </c>
      <c r="Q28">
        <f t="shared" si="8"/>
        <v>50</v>
      </c>
      <c r="R28">
        <f t="shared" si="9"/>
        <v>10.857142857142856</v>
      </c>
      <c r="S28">
        <f t="shared" si="10"/>
        <v>14.285714285714285</v>
      </c>
      <c r="T28">
        <f t="shared" si="11"/>
        <v>48.857142857142854</v>
      </c>
      <c r="U28">
        <f t="shared" si="12"/>
        <v>64.285714285714278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181.75</v>
      </c>
      <c r="CW28">
        <f t="shared" si="91"/>
        <v>198.6875</v>
      </c>
      <c r="CX28">
        <f t="shared" si="91"/>
        <v>39</v>
      </c>
      <c r="CY28">
        <f t="shared" si="91"/>
        <v>45.571428571428569</v>
      </c>
      <c r="CZ28">
        <f t="shared" si="93"/>
        <v>220.75</v>
      </c>
      <c r="DA28">
        <f t="shared" si="93"/>
        <v>244.25892857142856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38</v>
      </c>
      <c r="Q29">
        <f t="shared" si="8"/>
        <v>50</v>
      </c>
      <c r="R29">
        <f t="shared" si="9"/>
        <v>10.857142857142856</v>
      </c>
      <c r="S29">
        <f t="shared" si="10"/>
        <v>14.285714285714285</v>
      </c>
      <c r="T29">
        <f t="shared" si="11"/>
        <v>48.857142857142854</v>
      </c>
      <c r="U29">
        <f t="shared" si="12"/>
        <v>64.285714285714278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181.75</v>
      </c>
      <c r="CW29">
        <f t="shared" si="91"/>
        <v>198.6875</v>
      </c>
      <c r="CX29">
        <f t="shared" si="91"/>
        <v>39</v>
      </c>
      <c r="CY29">
        <f t="shared" si="91"/>
        <v>45.571428571428569</v>
      </c>
      <c r="CZ29">
        <f t="shared" si="93"/>
        <v>220.75</v>
      </c>
      <c r="DA29">
        <f t="shared" si="93"/>
        <v>244.25892857142856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38</v>
      </c>
      <c r="Q30">
        <f t="shared" si="8"/>
        <v>50</v>
      </c>
      <c r="R30">
        <f t="shared" si="9"/>
        <v>10.857142857142856</v>
      </c>
      <c r="S30">
        <f t="shared" si="10"/>
        <v>14.285714285714285</v>
      </c>
      <c r="T30">
        <f t="shared" si="11"/>
        <v>48.857142857142854</v>
      </c>
      <c r="U30">
        <f t="shared" si="12"/>
        <v>64.285714285714278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181.75</v>
      </c>
      <c r="CW30">
        <f t="shared" si="91"/>
        <v>198.6875</v>
      </c>
      <c r="CX30">
        <f t="shared" si="91"/>
        <v>39</v>
      </c>
      <c r="CY30">
        <f t="shared" si="91"/>
        <v>45.571428571428569</v>
      </c>
      <c r="CZ30">
        <f t="shared" si="93"/>
        <v>220.75</v>
      </c>
      <c r="DA30">
        <f t="shared" si="93"/>
        <v>244.25892857142856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38</v>
      </c>
      <c r="Q31">
        <f t="shared" si="8"/>
        <v>50</v>
      </c>
      <c r="R31">
        <f t="shared" si="9"/>
        <v>10.857142857142856</v>
      </c>
      <c r="S31">
        <f t="shared" si="10"/>
        <v>14.285714285714285</v>
      </c>
      <c r="T31">
        <f t="shared" si="11"/>
        <v>48.857142857142854</v>
      </c>
      <c r="U31">
        <f t="shared" si="12"/>
        <v>64.285714285714278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181.75</v>
      </c>
      <c r="CW31">
        <f t="shared" si="91"/>
        <v>198.6875</v>
      </c>
      <c r="CX31">
        <f t="shared" si="91"/>
        <v>39</v>
      </c>
      <c r="CY31">
        <f t="shared" si="91"/>
        <v>45.571428571428569</v>
      </c>
      <c r="CZ31">
        <f t="shared" si="93"/>
        <v>220.75</v>
      </c>
      <c r="DA31">
        <f t="shared" si="93"/>
        <v>244.25892857142856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38</v>
      </c>
      <c r="Q32">
        <f t="shared" si="8"/>
        <v>50</v>
      </c>
      <c r="R32">
        <f t="shared" si="9"/>
        <v>10.857142857142856</v>
      </c>
      <c r="S32">
        <f t="shared" si="10"/>
        <v>14.285714285714285</v>
      </c>
      <c r="T32">
        <f t="shared" si="11"/>
        <v>48.857142857142854</v>
      </c>
      <c r="U32">
        <f t="shared" si="12"/>
        <v>64.285714285714278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181.75</v>
      </c>
      <c r="CW32">
        <f t="shared" si="91"/>
        <v>198.6875</v>
      </c>
      <c r="CX32">
        <f t="shared" si="91"/>
        <v>39</v>
      </c>
      <c r="CY32">
        <f t="shared" si="91"/>
        <v>45.571428571428569</v>
      </c>
      <c r="CZ32">
        <f t="shared" si="93"/>
        <v>220.75</v>
      </c>
      <c r="DA32">
        <f t="shared" si="93"/>
        <v>244.25892857142856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38</v>
      </c>
      <c r="Q33">
        <f t="shared" si="8"/>
        <v>50</v>
      </c>
      <c r="R33">
        <f t="shared" si="9"/>
        <v>10.857142857142856</v>
      </c>
      <c r="S33">
        <f t="shared" si="10"/>
        <v>14.285714285714285</v>
      </c>
      <c r="T33">
        <f t="shared" si="11"/>
        <v>48.857142857142854</v>
      </c>
      <c r="U33">
        <f t="shared" si="12"/>
        <v>64.285714285714278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181.75</v>
      </c>
      <c r="CW33">
        <f t="shared" si="91"/>
        <v>198.6875</v>
      </c>
      <c r="CX33">
        <f t="shared" si="91"/>
        <v>39</v>
      </c>
      <c r="CY33">
        <f t="shared" si="91"/>
        <v>45.571428571428569</v>
      </c>
      <c r="CZ33">
        <f t="shared" si="93"/>
        <v>220.75</v>
      </c>
      <c r="DA33">
        <f t="shared" si="93"/>
        <v>244.25892857142856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38</v>
      </c>
      <c r="Q34">
        <f t="shared" si="8"/>
        <v>50</v>
      </c>
      <c r="R34">
        <f t="shared" si="9"/>
        <v>10.857142857142856</v>
      </c>
      <c r="S34">
        <f t="shared" si="10"/>
        <v>14.285714285714285</v>
      </c>
      <c r="T34">
        <f t="shared" si="11"/>
        <v>48.857142857142854</v>
      </c>
      <c r="U34">
        <f t="shared" si="12"/>
        <v>64.285714285714278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181.75</v>
      </c>
      <c r="CW34">
        <f t="shared" si="91"/>
        <v>198.6875</v>
      </c>
      <c r="CX34">
        <f t="shared" si="91"/>
        <v>39</v>
      </c>
      <c r="CY34">
        <f t="shared" si="91"/>
        <v>45.571428571428569</v>
      </c>
      <c r="CZ34">
        <f t="shared" si="93"/>
        <v>220.75</v>
      </c>
      <c r="DA34">
        <f t="shared" si="93"/>
        <v>244.25892857142856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38</v>
      </c>
      <c r="Q35">
        <f t="shared" si="8"/>
        <v>50</v>
      </c>
      <c r="R35">
        <f t="shared" si="9"/>
        <v>10.857142857142856</v>
      </c>
      <c r="S35">
        <f t="shared" si="10"/>
        <v>14.285714285714285</v>
      </c>
      <c r="T35">
        <f t="shared" si="11"/>
        <v>48.857142857142854</v>
      </c>
      <c r="U35">
        <f t="shared" si="12"/>
        <v>64.285714285714278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181.75</v>
      </c>
      <c r="CW35">
        <f t="shared" si="91"/>
        <v>198.6875</v>
      </c>
      <c r="CX35">
        <f t="shared" si="91"/>
        <v>39</v>
      </c>
      <c r="CY35">
        <f t="shared" si="91"/>
        <v>45.571428571428569</v>
      </c>
      <c r="CZ35">
        <f t="shared" si="93"/>
        <v>220.75</v>
      </c>
      <c r="DA35">
        <f t="shared" si="93"/>
        <v>244.25892857142856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38</v>
      </c>
      <c r="Q36">
        <f t="shared" si="8"/>
        <v>50</v>
      </c>
      <c r="R36">
        <f t="shared" si="9"/>
        <v>10.857142857142856</v>
      </c>
      <c r="S36">
        <f t="shared" si="10"/>
        <v>14.285714285714285</v>
      </c>
      <c r="T36">
        <f t="shared" si="11"/>
        <v>48.857142857142854</v>
      </c>
      <c r="U36">
        <f t="shared" si="12"/>
        <v>64.285714285714278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181.75</v>
      </c>
      <c r="CW36">
        <f t="shared" si="91"/>
        <v>198.6875</v>
      </c>
      <c r="CX36">
        <f t="shared" si="91"/>
        <v>39</v>
      </c>
      <c r="CY36">
        <f t="shared" si="91"/>
        <v>45.571428571428569</v>
      </c>
      <c r="CZ36">
        <f t="shared" si="93"/>
        <v>220.75</v>
      </c>
      <c r="DA36">
        <f t="shared" si="93"/>
        <v>244.25892857142856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38</v>
      </c>
      <c r="Q37">
        <f t="shared" si="8"/>
        <v>50</v>
      </c>
      <c r="R37">
        <f t="shared" si="9"/>
        <v>10.857142857142856</v>
      </c>
      <c r="S37">
        <f t="shared" si="10"/>
        <v>14.285714285714285</v>
      </c>
      <c r="T37">
        <f t="shared" si="11"/>
        <v>48.857142857142854</v>
      </c>
      <c r="U37">
        <f t="shared" si="12"/>
        <v>64.285714285714278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181.75</v>
      </c>
      <c r="CW37">
        <f t="shared" si="91"/>
        <v>198.6875</v>
      </c>
      <c r="CX37">
        <f t="shared" si="91"/>
        <v>39</v>
      </c>
      <c r="CY37">
        <f t="shared" si="91"/>
        <v>45.571428571428569</v>
      </c>
      <c r="CZ37">
        <f t="shared" si="93"/>
        <v>220.75</v>
      </c>
      <c r="DA37">
        <f t="shared" si="93"/>
        <v>244.25892857142856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38</v>
      </c>
      <c r="Q38">
        <f t="shared" si="8"/>
        <v>50</v>
      </c>
      <c r="R38">
        <f t="shared" si="9"/>
        <v>10.857142857142856</v>
      </c>
      <c r="S38">
        <f t="shared" si="10"/>
        <v>14.285714285714285</v>
      </c>
      <c r="T38">
        <f t="shared" si="11"/>
        <v>48.857142857142854</v>
      </c>
      <c r="U38">
        <f t="shared" si="12"/>
        <v>64.285714285714278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181.75</v>
      </c>
      <c r="CW38">
        <f t="shared" si="91"/>
        <v>198.6875</v>
      </c>
      <c r="CX38">
        <f t="shared" si="91"/>
        <v>39</v>
      </c>
      <c r="CY38">
        <f t="shared" si="91"/>
        <v>45.571428571428569</v>
      </c>
      <c r="CZ38">
        <f t="shared" si="93"/>
        <v>220.75</v>
      </c>
      <c r="DA38">
        <f t="shared" si="93"/>
        <v>244.25892857142856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38</v>
      </c>
      <c r="Q39">
        <f t="shared" si="8"/>
        <v>50</v>
      </c>
      <c r="R39">
        <f t="shared" si="9"/>
        <v>10.857142857142856</v>
      </c>
      <c r="S39">
        <f t="shared" si="10"/>
        <v>14.285714285714285</v>
      </c>
      <c r="T39">
        <f t="shared" si="11"/>
        <v>48.857142857142854</v>
      </c>
      <c r="U39">
        <f t="shared" si="12"/>
        <v>64.285714285714278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181.75</v>
      </c>
      <c r="CW39">
        <f t="shared" si="91"/>
        <v>198.6875</v>
      </c>
      <c r="CX39">
        <f t="shared" si="91"/>
        <v>39</v>
      </c>
      <c r="CY39">
        <f t="shared" si="91"/>
        <v>45.571428571428569</v>
      </c>
      <c r="CZ39">
        <f t="shared" si="93"/>
        <v>220.75</v>
      </c>
      <c r="DA39">
        <f t="shared" si="93"/>
        <v>244.25892857142856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38</v>
      </c>
      <c r="Q40">
        <f t="shared" si="8"/>
        <v>50</v>
      </c>
      <c r="R40">
        <f t="shared" si="9"/>
        <v>10.857142857142856</v>
      </c>
      <c r="S40">
        <f t="shared" si="10"/>
        <v>14.285714285714285</v>
      </c>
      <c r="T40">
        <f t="shared" si="11"/>
        <v>48.857142857142854</v>
      </c>
      <c r="U40">
        <f t="shared" si="12"/>
        <v>64.285714285714278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181.75</v>
      </c>
      <c r="CW40">
        <f t="shared" si="91"/>
        <v>198.6875</v>
      </c>
      <c r="CX40">
        <f t="shared" si="91"/>
        <v>39</v>
      </c>
      <c r="CY40">
        <f t="shared" si="91"/>
        <v>45.571428571428569</v>
      </c>
      <c r="CZ40">
        <f t="shared" si="93"/>
        <v>220.75</v>
      </c>
      <c r="DA40">
        <f t="shared" si="93"/>
        <v>244.25892857142856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38</v>
      </c>
      <c r="Q41">
        <f t="shared" si="8"/>
        <v>50</v>
      </c>
      <c r="R41">
        <f t="shared" si="9"/>
        <v>10.857142857142856</v>
      </c>
      <c r="S41">
        <f t="shared" si="10"/>
        <v>14.285714285714285</v>
      </c>
      <c r="T41">
        <f t="shared" si="11"/>
        <v>48.857142857142854</v>
      </c>
      <c r="U41">
        <f t="shared" si="12"/>
        <v>64.285714285714278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181.75</v>
      </c>
      <c r="CW41">
        <f t="shared" si="91"/>
        <v>198.6875</v>
      </c>
      <c r="CX41">
        <f t="shared" si="91"/>
        <v>39</v>
      </c>
      <c r="CY41">
        <f t="shared" si="91"/>
        <v>45.571428571428569</v>
      </c>
      <c r="CZ41">
        <f t="shared" si="93"/>
        <v>220.75</v>
      </c>
      <c r="DA41">
        <f t="shared" si="93"/>
        <v>244.25892857142856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38</v>
      </c>
      <c r="Q42">
        <f t="shared" si="8"/>
        <v>50</v>
      </c>
      <c r="R42">
        <f t="shared" si="9"/>
        <v>10.857142857142856</v>
      </c>
      <c r="S42">
        <f t="shared" si="10"/>
        <v>14.285714285714285</v>
      </c>
      <c r="T42">
        <f t="shared" si="11"/>
        <v>48.857142857142854</v>
      </c>
      <c r="U42">
        <f t="shared" si="12"/>
        <v>64.285714285714278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181.75</v>
      </c>
      <c r="CW42">
        <f t="shared" si="91"/>
        <v>198.6875</v>
      </c>
      <c r="CX42">
        <f t="shared" si="91"/>
        <v>39</v>
      </c>
      <c r="CY42">
        <f t="shared" si="91"/>
        <v>45.571428571428569</v>
      </c>
      <c r="CZ42">
        <f t="shared" si="93"/>
        <v>220.75</v>
      </c>
      <c r="DA42">
        <f t="shared" si="93"/>
        <v>244.25892857142856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38</v>
      </c>
      <c r="Q43">
        <f t="shared" si="8"/>
        <v>50</v>
      </c>
      <c r="R43">
        <f t="shared" si="9"/>
        <v>10.857142857142856</v>
      </c>
      <c r="S43">
        <f t="shared" si="10"/>
        <v>14.285714285714285</v>
      </c>
      <c r="T43">
        <f t="shared" si="11"/>
        <v>48.857142857142854</v>
      </c>
      <c r="U43">
        <f t="shared" si="12"/>
        <v>64.285714285714278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181.75</v>
      </c>
      <c r="CW43">
        <f t="shared" si="91"/>
        <v>198.6875</v>
      </c>
      <c r="CX43">
        <f t="shared" si="91"/>
        <v>39</v>
      </c>
      <c r="CY43">
        <f t="shared" si="91"/>
        <v>45.571428571428569</v>
      </c>
      <c r="CZ43">
        <f t="shared" si="93"/>
        <v>220.75</v>
      </c>
      <c r="DA43">
        <f t="shared" si="93"/>
        <v>244.25892857142856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38</v>
      </c>
      <c r="Q44">
        <f t="shared" si="8"/>
        <v>50</v>
      </c>
      <c r="R44">
        <f t="shared" si="9"/>
        <v>10.857142857142856</v>
      </c>
      <c r="S44">
        <f t="shared" si="10"/>
        <v>14.285714285714285</v>
      </c>
      <c r="T44">
        <f t="shared" si="11"/>
        <v>48.857142857142854</v>
      </c>
      <c r="U44">
        <f t="shared" si="12"/>
        <v>64.285714285714278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181.75</v>
      </c>
      <c r="CW44">
        <f t="shared" si="91"/>
        <v>198.6875</v>
      </c>
      <c r="CX44">
        <f t="shared" si="91"/>
        <v>39</v>
      </c>
      <c r="CY44">
        <f t="shared" si="91"/>
        <v>45.571428571428569</v>
      </c>
      <c r="CZ44">
        <f t="shared" si="93"/>
        <v>220.75</v>
      </c>
      <c r="DA44">
        <f t="shared" si="93"/>
        <v>244.25892857142856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38</v>
      </c>
      <c r="Q45">
        <f t="shared" si="8"/>
        <v>50</v>
      </c>
      <c r="R45">
        <f t="shared" si="9"/>
        <v>10.857142857142856</v>
      </c>
      <c r="S45">
        <f t="shared" si="10"/>
        <v>14.285714285714285</v>
      </c>
      <c r="T45">
        <f t="shared" si="11"/>
        <v>48.857142857142854</v>
      </c>
      <c r="U45">
        <f t="shared" si="12"/>
        <v>64.285714285714278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181.75</v>
      </c>
      <c r="CW45">
        <f t="shared" si="91"/>
        <v>198.6875</v>
      </c>
      <c r="CX45">
        <f t="shared" si="91"/>
        <v>39</v>
      </c>
      <c r="CY45">
        <f t="shared" si="91"/>
        <v>45.571428571428569</v>
      </c>
      <c r="CZ45">
        <f t="shared" si="93"/>
        <v>220.75</v>
      </c>
      <c r="DA45">
        <f t="shared" si="93"/>
        <v>244.25892857142856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38</v>
      </c>
      <c r="Q46">
        <f t="shared" si="8"/>
        <v>50</v>
      </c>
      <c r="R46">
        <f t="shared" si="9"/>
        <v>10.857142857142856</v>
      </c>
      <c r="S46">
        <f t="shared" si="10"/>
        <v>14.285714285714285</v>
      </c>
      <c r="T46">
        <f t="shared" si="11"/>
        <v>48.857142857142854</v>
      </c>
      <c r="U46">
        <f t="shared" si="12"/>
        <v>64.285714285714278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181.75</v>
      </c>
      <c r="CW46">
        <f t="shared" si="91"/>
        <v>198.6875</v>
      </c>
      <c r="CX46">
        <f t="shared" si="91"/>
        <v>39</v>
      </c>
      <c r="CY46">
        <f t="shared" si="91"/>
        <v>45.571428571428569</v>
      </c>
      <c r="CZ46">
        <f t="shared" si="93"/>
        <v>220.75</v>
      </c>
      <c r="DA46">
        <f t="shared" si="93"/>
        <v>244.25892857142856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38</v>
      </c>
      <c r="Q47">
        <f t="shared" si="8"/>
        <v>50</v>
      </c>
      <c r="R47">
        <f t="shared" si="9"/>
        <v>10.857142857142856</v>
      </c>
      <c r="S47">
        <f t="shared" si="10"/>
        <v>14.285714285714285</v>
      </c>
      <c r="T47">
        <f t="shared" si="11"/>
        <v>48.857142857142854</v>
      </c>
      <c r="U47">
        <f t="shared" si="12"/>
        <v>64.285714285714278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181.75</v>
      </c>
      <c r="CW47">
        <f t="shared" si="91"/>
        <v>198.6875</v>
      </c>
      <c r="CX47">
        <f t="shared" si="91"/>
        <v>39</v>
      </c>
      <c r="CY47">
        <f t="shared" si="91"/>
        <v>45.571428571428569</v>
      </c>
      <c r="CZ47">
        <f t="shared" si="93"/>
        <v>220.75</v>
      </c>
      <c r="DA47">
        <f t="shared" si="93"/>
        <v>244.25892857142856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38</v>
      </c>
      <c r="Q48">
        <f t="shared" si="8"/>
        <v>50</v>
      </c>
      <c r="R48">
        <f t="shared" si="9"/>
        <v>10.857142857142856</v>
      </c>
      <c r="S48">
        <f t="shared" si="10"/>
        <v>14.285714285714285</v>
      </c>
      <c r="T48">
        <f t="shared" si="11"/>
        <v>48.857142857142854</v>
      </c>
      <c r="U48">
        <f t="shared" si="12"/>
        <v>64.285714285714278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181.75</v>
      </c>
      <c r="CW48">
        <f t="shared" si="91"/>
        <v>198.6875</v>
      </c>
      <c r="CX48">
        <f t="shared" si="91"/>
        <v>39</v>
      </c>
      <c r="CY48">
        <f t="shared" si="91"/>
        <v>45.571428571428569</v>
      </c>
      <c r="CZ48">
        <f t="shared" si="93"/>
        <v>220.75</v>
      </c>
      <c r="DA48">
        <f t="shared" si="93"/>
        <v>244.25892857142856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38</v>
      </c>
      <c r="Q49">
        <f t="shared" si="8"/>
        <v>50</v>
      </c>
      <c r="R49">
        <f t="shared" si="9"/>
        <v>10.857142857142856</v>
      </c>
      <c r="S49">
        <f t="shared" si="10"/>
        <v>14.285714285714285</v>
      </c>
      <c r="T49">
        <f t="shared" si="11"/>
        <v>48.857142857142854</v>
      </c>
      <c r="U49">
        <f t="shared" si="12"/>
        <v>64.285714285714278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181.75</v>
      </c>
      <c r="CW49">
        <f t="shared" si="91"/>
        <v>198.6875</v>
      </c>
      <c r="CX49">
        <f t="shared" si="91"/>
        <v>39</v>
      </c>
      <c r="CY49">
        <f t="shared" si="91"/>
        <v>45.571428571428569</v>
      </c>
      <c r="CZ49">
        <f t="shared" si="93"/>
        <v>220.75</v>
      </c>
      <c r="DA49">
        <f t="shared" si="93"/>
        <v>244.25892857142856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38</v>
      </c>
      <c r="Q50">
        <f t="shared" si="8"/>
        <v>50</v>
      </c>
      <c r="R50">
        <f t="shared" si="9"/>
        <v>10.857142857142856</v>
      </c>
      <c r="S50">
        <f t="shared" si="10"/>
        <v>14.285714285714285</v>
      </c>
      <c r="T50">
        <f t="shared" si="11"/>
        <v>48.857142857142854</v>
      </c>
      <c r="U50">
        <f t="shared" si="12"/>
        <v>64.285714285714278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181.75</v>
      </c>
      <c r="CW50">
        <f t="shared" si="91"/>
        <v>198.6875</v>
      </c>
      <c r="CX50">
        <f t="shared" si="91"/>
        <v>39</v>
      </c>
      <c r="CY50">
        <f t="shared" si="91"/>
        <v>45.571428571428569</v>
      </c>
      <c r="CZ50">
        <f t="shared" si="93"/>
        <v>220.75</v>
      </c>
      <c r="DA50">
        <f t="shared" si="93"/>
        <v>244.25892857142856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38</v>
      </c>
      <c r="Q51">
        <f t="shared" si="8"/>
        <v>50</v>
      </c>
      <c r="R51">
        <f t="shared" si="9"/>
        <v>10.857142857142856</v>
      </c>
      <c r="S51">
        <f t="shared" si="10"/>
        <v>14.285714285714285</v>
      </c>
      <c r="T51">
        <f t="shared" si="11"/>
        <v>48.857142857142854</v>
      </c>
      <c r="U51">
        <f t="shared" si="12"/>
        <v>64.285714285714278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181.75</v>
      </c>
      <c r="CW51">
        <f t="shared" si="91"/>
        <v>198.6875</v>
      </c>
      <c r="CX51">
        <f t="shared" si="91"/>
        <v>39</v>
      </c>
      <c r="CY51">
        <f t="shared" si="91"/>
        <v>45.571428571428569</v>
      </c>
      <c r="CZ51">
        <f t="shared" si="93"/>
        <v>220.75</v>
      </c>
      <c r="DA51">
        <f t="shared" si="93"/>
        <v>244.25892857142856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38</v>
      </c>
      <c r="Q52">
        <f t="shared" si="8"/>
        <v>50</v>
      </c>
      <c r="R52">
        <f t="shared" si="9"/>
        <v>10.857142857142856</v>
      </c>
      <c r="S52">
        <f t="shared" si="10"/>
        <v>14.285714285714285</v>
      </c>
      <c r="T52">
        <f t="shared" si="11"/>
        <v>48.857142857142854</v>
      </c>
      <c r="U52">
        <f t="shared" si="12"/>
        <v>64.285714285714278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181.75</v>
      </c>
      <c r="CW52">
        <f t="shared" si="91"/>
        <v>198.6875</v>
      </c>
      <c r="CX52">
        <f t="shared" si="91"/>
        <v>39</v>
      </c>
      <c r="CY52">
        <f t="shared" si="91"/>
        <v>45.571428571428569</v>
      </c>
      <c r="CZ52">
        <f t="shared" si="93"/>
        <v>220.75</v>
      </c>
      <c r="DA52">
        <f t="shared" si="93"/>
        <v>244.25892857142856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38</v>
      </c>
      <c r="Q53">
        <f t="shared" si="8"/>
        <v>50</v>
      </c>
      <c r="R53">
        <f t="shared" si="9"/>
        <v>10.857142857142856</v>
      </c>
      <c r="S53">
        <f t="shared" si="10"/>
        <v>14.285714285714285</v>
      </c>
      <c r="T53">
        <f t="shared" si="11"/>
        <v>48.857142857142854</v>
      </c>
      <c r="U53">
        <f t="shared" si="12"/>
        <v>64.285714285714278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181.75</v>
      </c>
      <c r="CW53">
        <f t="shared" si="91"/>
        <v>198.6875</v>
      </c>
      <c r="CX53">
        <f t="shared" si="91"/>
        <v>39</v>
      </c>
      <c r="CY53">
        <f t="shared" si="91"/>
        <v>45.571428571428569</v>
      </c>
      <c r="CZ53">
        <f t="shared" si="93"/>
        <v>220.75</v>
      </c>
      <c r="DA53">
        <f t="shared" si="93"/>
        <v>244.25892857142856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38</v>
      </c>
      <c r="Q54">
        <f t="shared" si="8"/>
        <v>50</v>
      </c>
      <c r="R54">
        <f t="shared" si="9"/>
        <v>10.857142857142856</v>
      </c>
      <c r="S54">
        <f t="shared" si="10"/>
        <v>14.285714285714285</v>
      </c>
      <c r="T54">
        <f t="shared" si="11"/>
        <v>48.857142857142854</v>
      </c>
      <c r="U54">
        <f t="shared" si="12"/>
        <v>64.285714285714278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181.75</v>
      </c>
      <c r="CW54">
        <f t="shared" si="91"/>
        <v>198.6875</v>
      </c>
      <c r="CX54">
        <f t="shared" si="91"/>
        <v>39</v>
      </c>
      <c r="CY54">
        <f t="shared" si="91"/>
        <v>45.571428571428569</v>
      </c>
      <c r="CZ54">
        <f t="shared" si="93"/>
        <v>220.75</v>
      </c>
      <c r="DA54">
        <f t="shared" si="93"/>
        <v>244.25892857142856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38</v>
      </c>
      <c r="Q55">
        <f t="shared" si="8"/>
        <v>50</v>
      </c>
      <c r="R55">
        <f t="shared" si="9"/>
        <v>10.857142857142856</v>
      </c>
      <c r="S55">
        <f t="shared" si="10"/>
        <v>14.285714285714285</v>
      </c>
      <c r="T55">
        <f t="shared" si="11"/>
        <v>48.857142857142854</v>
      </c>
      <c r="U55">
        <f t="shared" si="12"/>
        <v>64.285714285714278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181.75</v>
      </c>
      <c r="CW55">
        <f t="shared" si="91"/>
        <v>198.6875</v>
      </c>
      <c r="CX55">
        <f t="shared" si="91"/>
        <v>39</v>
      </c>
      <c r="CY55">
        <f t="shared" si="91"/>
        <v>45.571428571428569</v>
      </c>
      <c r="CZ55">
        <f t="shared" si="93"/>
        <v>220.75</v>
      </c>
      <c r="DA55">
        <f t="shared" si="93"/>
        <v>244.25892857142856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38</v>
      </c>
      <c r="Q56">
        <f t="shared" si="8"/>
        <v>50</v>
      </c>
      <c r="R56">
        <f t="shared" si="9"/>
        <v>10.857142857142856</v>
      </c>
      <c r="S56">
        <f t="shared" si="10"/>
        <v>14.285714285714285</v>
      </c>
      <c r="T56">
        <f t="shared" si="11"/>
        <v>48.857142857142854</v>
      </c>
      <c r="U56">
        <f t="shared" si="12"/>
        <v>64.285714285714278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181.75</v>
      </c>
      <c r="CW56">
        <f t="shared" si="91"/>
        <v>198.6875</v>
      </c>
      <c r="CX56">
        <f t="shared" si="91"/>
        <v>39</v>
      </c>
      <c r="CY56">
        <f t="shared" si="91"/>
        <v>45.571428571428569</v>
      </c>
      <c r="CZ56">
        <f t="shared" si="93"/>
        <v>220.75</v>
      </c>
      <c r="DA56">
        <f t="shared" si="93"/>
        <v>244.25892857142856</v>
      </c>
    </row>
    <row r="58" spans="8:105" x14ac:dyDescent="0.35">
      <c r="H58" t="s">
        <v>128</v>
      </c>
      <c r="I58" s="14"/>
      <c r="J58" s="5"/>
      <c r="K58" s="14" t="s">
        <v>44</v>
      </c>
      <c r="L58" s="5"/>
      <c r="M58" s="14" t="s">
        <v>44</v>
      </c>
      <c r="N58" s="5"/>
      <c r="O58" s="14" t="s">
        <v>44</v>
      </c>
      <c r="P58" s="5"/>
      <c r="Q58" s="14" t="s">
        <v>44</v>
      </c>
      <c r="R58" s="5"/>
      <c r="S58" s="14" t="s">
        <v>44</v>
      </c>
      <c r="T58" s="5"/>
      <c r="U58" s="14" t="s">
        <v>44</v>
      </c>
      <c r="V58" s="5"/>
      <c r="W58" s="14" t="s">
        <v>44</v>
      </c>
      <c r="X58" s="5"/>
      <c r="Y58" s="14" t="s">
        <v>44</v>
      </c>
      <c r="Z58" s="5"/>
      <c r="AA58" s="14" t="s">
        <v>44</v>
      </c>
      <c r="AB58" s="5"/>
      <c r="AC58" s="14" t="s">
        <v>44</v>
      </c>
      <c r="AD58" s="5"/>
      <c r="AE58" s="14" t="s">
        <v>44</v>
      </c>
      <c r="AF58" s="5"/>
      <c r="AG58" s="14" t="s">
        <v>44</v>
      </c>
      <c r="AH58" s="5"/>
      <c r="AI58" s="14" t="s">
        <v>44</v>
      </c>
      <c r="AJ58" s="5"/>
      <c r="AK58" s="14" t="s">
        <v>44</v>
      </c>
      <c r="AL58" s="5"/>
      <c r="AM58" s="14" t="s">
        <v>44</v>
      </c>
      <c r="AN58" s="5"/>
      <c r="AO58" s="14" t="s">
        <v>44</v>
      </c>
      <c r="AP58" s="5"/>
      <c r="AQ58" s="14" t="s">
        <v>44</v>
      </c>
      <c r="AR58" s="5"/>
      <c r="AS58" s="14" t="s">
        <v>44</v>
      </c>
      <c r="AT58" s="5"/>
      <c r="AU58" s="14" t="s">
        <v>44</v>
      </c>
      <c r="AV58" s="5"/>
      <c r="AW58" s="14" t="s">
        <v>44</v>
      </c>
      <c r="AX58" s="5"/>
      <c r="AY58" s="14" t="s">
        <v>44</v>
      </c>
      <c r="AZ58" s="5"/>
      <c r="BA58" s="14" t="s">
        <v>44</v>
      </c>
      <c r="BB58" s="5"/>
      <c r="BC58" s="14" t="s">
        <v>44</v>
      </c>
      <c r="BD58" s="5"/>
      <c r="BE58" s="14" t="s">
        <v>44</v>
      </c>
      <c r="BF58" s="5"/>
      <c r="BG58" s="14" t="s">
        <v>44</v>
      </c>
      <c r="BH58" s="5"/>
      <c r="BI58" s="14" t="s">
        <v>44</v>
      </c>
      <c r="BJ58" s="5"/>
      <c r="BK58" s="14" t="s">
        <v>44</v>
      </c>
      <c r="BL58" s="5"/>
      <c r="BM58" s="14" t="s">
        <v>44</v>
      </c>
      <c r="BN58" s="5"/>
      <c r="BO58" s="14" t="s">
        <v>44</v>
      </c>
      <c r="BP58" s="5"/>
      <c r="BQ58" s="14" t="s">
        <v>44</v>
      </c>
      <c r="BR58" s="5"/>
      <c r="BS58" s="14" t="s">
        <v>44</v>
      </c>
      <c r="BT58" s="5"/>
      <c r="BU58" s="14" t="s">
        <v>44</v>
      </c>
      <c r="BV58" s="5"/>
      <c r="BW58" s="14" t="s">
        <v>44</v>
      </c>
      <c r="BX58" s="5"/>
      <c r="BY58" s="14" t="s">
        <v>44</v>
      </c>
      <c r="BZ58" s="5"/>
      <c r="CA58" s="14" t="s">
        <v>44</v>
      </c>
      <c r="CB58" s="5"/>
      <c r="CC58" s="14" t="s">
        <v>44</v>
      </c>
      <c r="CD58" s="5"/>
      <c r="CE58" s="14" t="s">
        <v>44</v>
      </c>
      <c r="CF58" s="5"/>
      <c r="CG58" s="14" t="s">
        <v>44</v>
      </c>
      <c r="CH58" s="5"/>
      <c r="CI58" s="14" t="s">
        <v>44</v>
      </c>
      <c r="CJ58" s="5"/>
      <c r="CK58" s="14" t="s">
        <v>44</v>
      </c>
      <c r="CL58" s="5"/>
      <c r="CM58" s="14" t="s">
        <v>44</v>
      </c>
      <c r="CN58" s="5"/>
      <c r="CO58" s="14" t="s">
        <v>44</v>
      </c>
      <c r="CP58" s="5"/>
      <c r="CQ58" s="14" t="s">
        <v>44</v>
      </c>
      <c r="CR58" s="5"/>
      <c r="CS58" s="14" t="s">
        <v>44</v>
      </c>
      <c r="CT58" s="5"/>
      <c r="CU58" s="14" t="s">
        <v>44</v>
      </c>
    </row>
    <row r="59" spans="8:105" x14ac:dyDescent="0.35">
      <c r="I59" s="14" t="s">
        <v>129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20</v>
      </c>
      <c r="M59" s="5">
        <f t="shared" ref="M59" si="97">AVERAGE(M5:M56)-L59</f>
        <v>1</v>
      </c>
      <c r="N59" s="5">
        <f t="shared" ref="N59" si="98">AVERAGE(N5:N56)</f>
        <v>63.75</v>
      </c>
      <c r="O59" s="5">
        <f t="shared" ref="O59" si="99">AVERAGE(O5:O56)-N59</f>
        <v>3.1875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10.857142857142851</v>
      </c>
      <c r="S59" s="5">
        <f t="shared" ref="S59" si="103">AVERAGE(S5:S56)-R59</f>
        <v>3.4285714285714466</v>
      </c>
      <c r="T59" s="5">
        <f t="shared" ref="T59" si="104">AVERAGE(T5:T56)</f>
        <v>48.85714285714284</v>
      </c>
      <c r="U59" s="5">
        <f t="shared" ref="U59" si="105">AVERAGE(U5:U56)-T59</f>
        <v>15.428571428571395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70</v>
      </c>
      <c r="AC59" s="5">
        <f t="shared" ref="AC59" si="113">AVERAGE(AC5:AC56)-AB59</f>
        <v>1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70</v>
      </c>
      <c r="AG59" s="5">
        <f t="shared" ref="AG59" si="117">AVERAGE(AG5:AG56)-AF59</f>
        <v>1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130</v>
      </c>
      <c r="I62" s="14"/>
      <c r="J62" s="5" t="s">
        <v>60</v>
      </c>
      <c r="K62" s="5" t="s">
        <v>44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48.85714285714284</v>
      </c>
      <c r="K64" s="5" cm="1">
        <f t="array" ref="K64">INDEX($J$59:$DA$60,1,MATCH(1,($I64=$J$1:$CU$1)*($K$62=$J$58:$CU$58)*(Planning!$M$2=$J$2:$CU$2),0))</f>
        <v>15.428571428571395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110</v>
      </c>
      <c r="I79" s="14"/>
    </row>
    <row r="80" spans="1:11" x14ac:dyDescent="0.35">
      <c r="I80" s="14"/>
    </row>
    <row r="81" spans="1:6" x14ac:dyDescent="0.35">
      <c r="A81" t="s">
        <v>45</v>
      </c>
      <c r="B81" t="s">
        <v>164</v>
      </c>
      <c r="C81" t="s">
        <v>165</v>
      </c>
      <c r="D81" t="s">
        <v>53</v>
      </c>
      <c r="E81" t="s">
        <v>51</v>
      </c>
      <c r="F81" t="s">
        <v>64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IF(Planning!D63="",'Planning Backing (Hide)'!B82,Planning!D63)</f>
        <v>0</v>
      </c>
      <c r="E82">
        <f>IF(Planning!E63="",'Planning Backing (Hide)'!C82,Planning!E63)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IF(Planning!D64="",'Planning Backing (Hide)'!B83,Planning!D64)</f>
        <v>0</v>
      </c>
      <c r="E83">
        <f>IF(Planning!E64="",'Planning Backing (Hide)'!C83,Planning!E64)</f>
        <v>26.666666666666679</v>
      </c>
      <c r="F83">
        <f t="shared" ref="F83:F96" si="184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IF(Planning!D65="",'Planning Backing (Hide)'!B84,Planning!D65)</f>
        <v>0</v>
      </c>
      <c r="E84">
        <f>IF(Planning!E65="",'Planning Backing (Hide)'!C84,Planning!E65)</f>
        <v>26.666666666666679</v>
      </c>
      <c r="F84">
        <f t="shared" si="184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30</v>
      </c>
      <c r="E85">
        <f>IF(Planning!E66="",'Planning Backing (Hide)'!C85,Planning!E66)</f>
        <v>0</v>
      </c>
      <c r="F85">
        <f t="shared" si="184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30</v>
      </c>
      <c r="E86">
        <f>IF(Planning!E67="",'Planning Backing (Hide)'!C86,Planning!E67)</f>
        <v>0</v>
      </c>
      <c r="F86">
        <f t="shared" si="184"/>
        <v>30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57</v>
      </c>
    </row>
    <row r="100" spans="1:9" x14ac:dyDescent="0.35">
      <c r="A100" t="str">
        <f>Service!B4</f>
        <v>20 Group Sessions</v>
      </c>
      <c r="B100" t="str">
        <f>Service!C4</f>
        <v>GS</v>
      </c>
      <c r="C100">
        <f>Service!D4</f>
        <v>240</v>
      </c>
      <c r="D100" cm="1">
        <f t="array" ref="D100">IFERROR(INDEX(Planning!$D$44:$D$58,MATCH(1,(Planning!$A$44:$A$58='Planning Backing (Hide)'!A100)*(Planning!$B$44:$B$58='Planning Backing (Hide)'!B100),0),1),Service!E4)</f>
        <v>7</v>
      </c>
      <c r="E100" t="str">
        <f>Service!F4</f>
        <v>Once a week</v>
      </c>
      <c r="F100">
        <f>Service!G4</f>
        <v>1</v>
      </c>
      <c r="G100">
        <f>C100/D100*F100</f>
        <v>34.285714285714285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Service!B5</f>
        <v>20 Group Sessions</v>
      </c>
      <c r="B101" t="str">
        <f>Service!C5</f>
        <v>Ind</v>
      </c>
      <c r="C101">
        <f>Service!D5</f>
        <v>15</v>
      </c>
      <c r="D101" cm="1">
        <f t="array" ref="D101">IFERROR(INDEX(Planning!$D$44:$D$58,MATCH(1,(Planning!$A$44:$A$58='Planning Backing (Hide)'!A101)*(Planning!$B$44:$B$58='Planning Backing (Hide)'!B101),0),1),Service!E5)</f>
        <v>1</v>
      </c>
      <c r="E101" t="str">
        <f>Service!F5</f>
        <v>Daily (Weekdays)</v>
      </c>
      <c r="F101">
        <f>Service!G5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20 Group Sessions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20 Group Sessions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20 Group Sessions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40 Group Session</v>
      </c>
      <c r="B105" t="str">
        <f>Service!C9</f>
        <v>gs</v>
      </c>
      <c r="C105">
        <f>Service!D9</f>
        <v>240</v>
      </c>
      <c r="D105" cm="1">
        <f t="array" ref="D105">IFERROR(INDEX(Planning!$D$44:$D$58,MATCH(1,(Planning!$A$44:$A$58='Planning Backing (Hide)'!A105)*(Planning!$B$44:$B$58='Planning Backing (Hide)'!B105),0),1),Service!E9)</f>
        <v>7</v>
      </c>
      <c r="E105" t="str">
        <f>Service!F9</f>
        <v>Once a week</v>
      </c>
      <c r="F105">
        <f>Service!G9</f>
        <v>1</v>
      </c>
      <c r="G105">
        <f t="shared" si="185"/>
        <v>34.285714285714285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34.285714285714285</v>
      </c>
    </row>
    <row r="106" spans="1:9" x14ac:dyDescent="0.35">
      <c r="A106" t="str">
        <f>Service!B10</f>
        <v>40 Group Session</v>
      </c>
      <c r="B106" t="str">
        <f>Service!C10</f>
        <v>ind</v>
      </c>
      <c r="C106">
        <f>Service!D10</f>
        <v>120</v>
      </c>
      <c r="D106" cm="1">
        <f t="array" ref="D106">IFERROR(INDEX(Planning!$D$44:$D$58,MATCH(1,(Planning!$A$44:$A$58='Planning Backing (Hide)'!A106)*(Planning!$B$44:$B$58='Planning Backing (Hide)'!B106),0),1),Service!E10)</f>
        <v>1</v>
      </c>
      <c r="E106" t="str">
        <f>Service!F10</f>
        <v>Once a week</v>
      </c>
      <c r="F106">
        <f>Service!G10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40 Group Session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40 Group Session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40 Group Session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8 Group Session</v>
      </c>
      <c r="B110" t="str">
        <f>Service!C14</f>
        <v>GS</v>
      </c>
      <c r="C110">
        <f>Service!D14</f>
        <v>240</v>
      </c>
      <c r="D110" cm="1">
        <f t="array" ref="D110">IFERROR(INDEX(Planning!$D$44:$D$58,MATCH(1,(Planning!$A$44:$A$58='Planning Backing (Hide)'!A110)*(Planning!$B$44:$B$58='Planning Backing (Hide)'!B110),0),1),Service!E14)</f>
        <v>7</v>
      </c>
      <c r="E110" t="str">
        <f>Service!F14</f>
        <v>Once a week</v>
      </c>
      <c r="F110">
        <f>Service!G14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Service!B15</f>
        <v>8 Group Session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8 Group Session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8 Group Session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8 Group Session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20 Individual</v>
      </c>
      <c r="B115" t="str">
        <f>Service!C19</f>
        <v>Ind</v>
      </c>
      <c r="C115">
        <f>Service!D19</f>
        <v>60</v>
      </c>
      <c r="D115" cm="1">
        <f t="array" ref="D115">IFERROR(INDEX(Planning!$D$44:$D$58,MATCH(1,(Planning!$A$44:$A$58='Planning Backing (Hide)'!A115)*(Planning!$B$44:$B$58='Planning Backing (Hide)'!B115),0),1),Service!E19)</f>
        <v>1</v>
      </c>
      <c r="E115" t="str">
        <f>Service!F19</f>
        <v>Once a week</v>
      </c>
      <c r="F115">
        <f>Service!G19</f>
        <v>1</v>
      </c>
      <c r="G115">
        <f t="shared" si="185"/>
        <v>60</v>
      </c>
      <c r="H115">
        <f>SUMIF(INDEX($D$100:$D$174,ROW(A16),0):INDEX($D$100:$D$174,ROUNDUP(ROW(A16)/5,0)*5,1),1,INDEX($G$100:$G$174,ROW(A16),0):INDEX($G$100:$G$174,ROUNDUP(ROW(A16)/5,0)*5,1))</f>
        <v>60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20 Individual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20 Individual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20 Individual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20 Individual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40 Individual</v>
      </c>
      <c r="B120" t="str">
        <f>Service!C24</f>
        <v>Ind</v>
      </c>
      <c r="C120">
        <f>Service!D24</f>
        <v>60</v>
      </c>
      <c r="D120" cm="1">
        <f t="array" ref="D120">IFERROR(INDEX(Planning!$D$44:$D$58,MATCH(1,(Planning!$A$44:$A$58='Planning Backing (Hide)'!A120)*(Planning!$B$44:$B$58='Planning Backing (Hide)'!B120),0),1),Service!E24)</f>
        <v>1</v>
      </c>
      <c r="E120" t="str">
        <f>Service!F24</f>
        <v>Once a week</v>
      </c>
      <c r="F120">
        <f>Service!G24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40 Individual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40 Individual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40 Individual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40 Individual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Caseload 6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Caseload 6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Caseload 6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Caseload 6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Caseload 6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2020-12-11T14:28:50Z</dcterms:modified>
</cp:coreProperties>
</file>