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70B05D7E-167F-4709-9835-F4A616273DC3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state="hidden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2" l="1"/>
  <c r="A43" i="12"/>
  <c r="B19" i="1"/>
  <c r="A19" i="1"/>
  <c r="A17" i="1"/>
  <c r="F101" i="13" l="1"/>
  <c r="F102" i="13"/>
  <c r="F103" i="13"/>
  <c r="F104" i="13"/>
  <c r="F105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F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B9" i="6" a="1"/>
  <c r="B9" i="6" s="1"/>
  <c r="A105" i="13" s="1"/>
  <c r="D105" i="13" s="1" a="1"/>
  <c r="D105" i="13" s="1"/>
  <c r="B10" i="6" a="1"/>
  <c r="B10" i="6" s="1"/>
  <c r="A106" i="13" s="1"/>
  <c r="D106" i="13" s="1" a="1"/>
  <c r="D106" i="13" s="1"/>
  <c r="B11" i="6" a="1"/>
  <c r="B11" i="6" s="1"/>
  <c r="A107" i="13" s="1"/>
  <c r="D107" i="13" s="1" a="1"/>
  <c r="D107" i="13" s="1"/>
  <c r="G107" i="13" s="1"/>
  <c r="B12" i="6" a="1"/>
  <c r="B12" i="6"/>
  <c r="A108" i="13" s="1"/>
  <c r="D108" i="13" s="1" a="1"/>
  <c r="D108" i="13" s="1"/>
  <c r="B13" i="6" a="1"/>
  <c r="B13" i="6" s="1"/>
  <c r="A109" i="13" s="1"/>
  <c r="D109" i="13" s="1" a="1"/>
  <c r="D109" i="13" s="1"/>
  <c r="B14" i="6" a="1"/>
  <c r="B14" i="6" s="1"/>
  <c r="A110" i="13" s="1"/>
  <c r="D110" i="13" s="1" a="1"/>
  <c r="D110" i="13" s="1"/>
  <c r="G110" i="13" s="1"/>
  <c r="B15" i="6" a="1"/>
  <c r="B15" i="6" s="1"/>
  <c r="A111" i="13" s="1"/>
  <c r="D111" i="13" s="1" a="1"/>
  <c r="D111" i="13" s="1"/>
  <c r="G111" i="13" s="1"/>
  <c r="B16" i="6" a="1"/>
  <c r="B16" i="6"/>
  <c r="A112" i="13" s="1"/>
  <c r="D112" i="13" s="1" a="1"/>
  <c r="D112" i="13" s="1"/>
  <c r="G112" i="13" s="1"/>
  <c r="B17" i="6" a="1"/>
  <c r="B17" i="6" s="1"/>
  <c r="A113" i="13" s="1"/>
  <c r="D113" i="13" s="1" a="1"/>
  <c r="D113" i="13" s="1"/>
  <c r="B18" i="6" a="1"/>
  <c r="B18" i="6" s="1"/>
  <c r="A114" i="13" s="1"/>
  <c r="D114" i="13" s="1" a="1"/>
  <c r="D114" i="13" s="1"/>
  <c r="B19" i="6" a="1"/>
  <c r="B19" i="6" s="1"/>
  <c r="A115" i="13" s="1"/>
  <c r="D115" i="13" s="1" a="1"/>
  <c r="D115" i="13" s="1"/>
  <c r="B20" i="6" a="1"/>
  <c r="B20" i="6"/>
  <c r="A116" i="13" s="1"/>
  <c r="D116" i="13" s="1" a="1"/>
  <c r="D116" i="13" s="1"/>
  <c r="B21" i="6" a="1"/>
  <c r="B21" i="6" s="1"/>
  <c r="A117" i="13" s="1"/>
  <c r="D117" i="13" s="1" a="1"/>
  <c r="D117" i="13" s="1"/>
  <c r="G117" i="13" s="1"/>
  <c r="B22" i="6" a="1"/>
  <c r="B22" i="6" s="1"/>
  <c r="A118" i="13" s="1"/>
  <c r="D118" i="13" s="1" a="1"/>
  <c r="D118" i="13" s="1"/>
  <c r="G118" i="13" s="1"/>
  <c r="B23" i="6" a="1"/>
  <c r="B23" i="6" s="1"/>
  <c r="A119" i="13" s="1"/>
  <c r="D119" i="13" s="1" a="1"/>
  <c r="D119" i="13" s="1"/>
  <c r="H119" i="13" s="1"/>
  <c r="B24" i="6" a="1"/>
  <c r="B24" i="6"/>
  <c r="A120" i="13" s="1"/>
  <c r="D120" i="13" s="1" a="1"/>
  <c r="D120" i="13" s="1"/>
  <c r="G120" i="13" s="1"/>
  <c r="B25" i="6" a="1"/>
  <c r="B25" i="6" s="1"/>
  <c r="A121" i="13" s="1"/>
  <c r="D121" i="13" s="1" a="1"/>
  <c r="D121" i="13" s="1"/>
  <c r="G121" i="13" s="1"/>
  <c r="B26" i="6" a="1"/>
  <c r="B26" i="6" s="1"/>
  <c r="A122" i="13" s="1"/>
  <c r="D122" i="13" s="1" a="1"/>
  <c r="D122" i="13" s="1"/>
  <c r="G122" i="13" s="1"/>
  <c r="B27" i="6" a="1"/>
  <c r="B27" i="6" s="1"/>
  <c r="A123" i="13" s="1"/>
  <c r="D123" i="13" s="1" a="1"/>
  <c r="D123" i="13" s="1"/>
  <c r="G123" i="13" s="1"/>
  <c r="B28" i="6" a="1"/>
  <c r="B28" i="6"/>
  <c r="A124" i="13" s="1"/>
  <c r="D124" i="13" s="1" a="1"/>
  <c r="D124" i="13" s="1"/>
  <c r="B29" i="6" a="1"/>
  <c r="B29" i="6" s="1"/>
  <c r="A125" i="13" s="1"/>
  <c r="D125" i="13" s="1" a="1"/>
  <c r="D125" i="13" s="1"/>
  <c r="G125" i="13" s="1"/>
  <c r="B30" i="6" a="1"/>
  <c r="B30" i="6" s="1"/>
  <c r="A126" i="13" s="1"/>
  <c r="D126" i="13" s="1" a="1"/>
  <c r="D126" i="13" s="1"/>
  <c r="G126" i="13" s="1"/>
  <c r="B31" i="6" a="1"/>
  <c r="B31" i="6" s="1"/>
  <c r="A127" i="13" s="1"/>
  <c r="D127" i="13" s="1" a="1"/>
  <c r="D127" i="13" s="1"/>
  <c r="B32" i="6" a="1"/>
  <c r="B32" i="6"/>
  <c r="A128" i="13" s="1"/>
  <c r="D128" i="13" s="1" a="1"/>
  <c r="D128" i="13" s="1"/>
  <c r="G128" i="13" s="1"/>
  <c r="B33" i="6" a="1"/>
  <c r="B33" i="6" s="1"/>
  <c r="A129" i="13" s="1"/>
  <c r="D129" i="13" s="1" a="1"/>
  <c r="D129" i="13" s="1"/>
  <c r="I129" i="13" s="1"/>
  <c r="B34" i="6" a="1"/>
  <c r="B34" i="6" s="1"/>
  <c r="A130" i="13" s="1"/>
  <c r="D130" i="13" s="1" a="1"/>
  <c r="D130" i="13" s="1"/>
  <c r="B35" i="6" a="1"/>
  <c r="B35" i="6" s="1"/>
  <c r="A131" i="13" s="1"/>
  <c r="D131" i="13" s="1" a="1"/>
  <c r="D131" i="13" s="1"/>
  <c r="B36" i="6" a="1"/>
  <c r="B36" i="6"/>
  <c r="A132" i="13" s="1"/>
  <c r="D132" i="13" s="1" a="1"/>
  <c r="D132" i="13" s="1"/>
  <c r="G132" i="13" s="1"/>
  <c r="B37" i="6" a="1"/>
  <c r="B37" i="6" s="1"/>
  <c r="A133" i="13" s="1"/>
  <c r="D133" i="13" s="1" a="1"/>
  <c r="D133" i="13" s="1"/>
  <c r="G133" i="13" s="1"/>
  <c r="B38" i="6" a="1"/>
  <c r="B38" i="6" s="1"/>
  <c r="A134" i="13" s="1"/>
  <c r="D134" i="13" s="1" a="1"/>
  <c r="D134" i="13" s="1"/>
  <c r="B39" i="6" a="1"/>
  <c r="B39" i="6" s="1"/>
  <c r="A135" i="13" s="1"/>
  <c r="D135" i="13" s="1" a="1"/>
  <c r="D135" i="13" s="1"/>
  <c r="G135" i="13" s="1"/>
  <c r="B40" i="6" a="1"/>
  <c r="B40" i="6"/>
  <c r="A136" i="13" s="1"/>
  <c r="D136" i="13" s="1" a="1"/>
  <c r="D136" i="13" s="1"/>
  <c r="G136" i="13" s="1"/>
  <c r="B41" i="6" a="1"/>
  <c r="B41" i="6" s="1"/>
  <c r="A137" i="13" s="1"/>
  <c r="D137" i="13" s="1" a="1"/>
  <c r="D137" i="13" s="1"/>
  <c r="G137" i="13" s="1"/>
  <c r="B42" i="6" a="1"/>
  <c r="B42" i="6" s="1"/>
  <c r="A138" i="13" s="1"/>
  <c r="D138" i="13" s="1" a="1"/>
  <c r="D138" i="13" s="1"/>
  <c r="B43" i="6" a="1"/>
  <c r="B43" i="6" s="1"/>
  <c r="A139" i="13" s="1"/>
  <c r="D139" i="13" s="1" a="1"/>
  <c r="D139" i="13" s="1"/>
  <c r="B44" i="6" a="1"/>
  <c r="B44" i="6"/>
  <c r="A140" i="13" s="1"/>
  <c r="D140" i="13" s="1" a="1"/>
  <c r="D140" i="13" s="1"/>
  <c r="B45" i="6" a="1"/>
  <c r="B45" i="6" s="1"/>
  <c r="A141" i="13" s="1"/>
  <c r="D141" i="13" s="1" a="1"/>
  <c r="D141" i="13" s="1"/>
  <c r="G141" i="13" s="1"/>
  <c r="B46" i="6" a="1"/>
  <c r="B46" i="6" s="1"/>
  <c r="A142" i="13" s="1"/>
  <c r="D142" i="13" s="1" a="1"/>
  <c r="D142" i="13" s="1"/>
  <c r="B47" i="6" a="1"/>
  <c r="B47" i="6" s="1"/>
  <c r="A143" i="13" s="1"/>
  <c r="D143" i="13" s="1" a="1"/>
  <c r="D143" i="13" s="1"/>
  <c r="G143" i="13" s="1"/>
  <c r="B48" i="6" a="1"/>
  <c r="B48" i="6"/>
  <c r="A144" i="13" s="1"/>
  <c r="D144" i="13" s="1" a="1"/>
  <c r="D144" i="13" s="1"/>
  <c r="B49" i="6" a="1"/>
  <c r="B49" i="6" s="1"/>
  <c r="A145" i="13" s="1"/>
  <c r="D145" i="13" s="1" a="1"/>
  <c r="D145" i="13" s="1"/>
  <c r="G145" i="13" s="1"/>
  <c r="B50" i="6" a="1"/>
  <c r="B50" i="6" s="1"/>
  <c r="A146" i="13" s="1"/>
  <c r="D146" i="13" s="1" a="1"/>
  <c r="D146" i="13" s="1"/>
  <c r="B51" i="6" a="1"/>
  <c r="B51" i="6" s="1"/>
  <c r="A147" i="13" s="1"/>
  <c r="D147" i="13" s="1" a="1"/>
  <c r="D147" i="13" s="1"/>
  <c r="G147" i="13" s="1"/>
  <c r="B52" i="6" a="1"/>
  <c r="B52" i="6"/>
  <c r="A148" i="13" s="1"/>
  <c r="D148" i="13" s="1" a="1"/>
  <c r="D148" i="13" s="1"/>
  <c r="G148" i="13" s="1"/>
  <c r="B53" i="6" a="1"/>
  <c r="B53" i="6" s="1"/>
  <c r="A149" i="13" s="1"/>
  <c r="D149" i="13" s="1" a="1"/>
  <c r="D149" i="13" s="1"/>
  <c r="B54" i="6" a="1"/>
  <c r="B54" i="6" s="1"/>
  <c r="A150" i="13" s="1"/>
  <c r="D150" i="13" s="1" a="1"/>
  <c r="D150" i="13" s="1"/>
  <c r="G150" i="13" s="1"/>
  <c r="B55" i="6" a="1"/>
  <c r="B55" i="6" s="1"/>
  <c r="A151" i="13" s="1"/>
  <c r="D151" i="13" s="1" a="1"/>
  <c r="D151" i="13" s="1"/>
  <c r="G151" i="13" s="1"/>
  <c r="B56" i="6" a="1"/>
  <c r="B56" i="6"/>
  <c r="A152" i="13" s="1"/>
  <c r="D152" i="13" s="1" a="1"/>
  <c r="D152" i="13" s="1"/>
  <c r="G152" i="13" s="1"/>
  <c r="B57" i="6" a="1"/>
  <c r="B57" i="6" s="1"/>
  <c r="A153" i="13" s="1"/>
  <c r="D153" i="13" s="1" a="1"/>
  <c r="D153" i="13" s="1"/>
  <c r="B58" i="6" a="1"/>
  <c r="B58" i="6" s="1"/>
  <c r="A154" i="13" s="1"/>
  <c r="D154" i="13" s="1" a="1"/>
  <c r="D154" i="13" s="1"/>
  <c r="B59" i="6" a="1"/>
  <c r="B59" i="6" s="1"/>
  <c r="A155" i="13" s="1"/>
  <c r="D155" i="13" s="1" a="1"/>
  <c r="D155" i="13" s="1"/>
  <c r="G155" i="13" s="1"/>
  <c r="B60" i="6" a="1"/>
  <c r="B60" i="6"/>
  <c r="A156" i="13" s="1"/>
  <c r="D156" i="13" s="1" a="1"/>
  <c r="D156" i="13" s="1"/>
  <c r="G156" i="13" s="1"/>
  <c r="B61" i="6" a="1"/>
  <c r="B61" i="6" s="1"/>
  <c r="A157" i="13" s="1"/>
  <c r="D157" i="13" s="1" a="1"/>
  <c r="D157" i="13" s="1"/>
  <c r="G157" i="13" s="1"/>
  <c r="B62" i="6" a="1"/>
  <c r="B62" i="6" s="1"/>
  <c r="A158" i="13" s="1"/>
  <c r="D158" i="13" s="1" a="1"/>
  <c r="D158" i="13" s="1"/>
  <c r="B63" i="6" a="1"/>
  <c r="B63" i="6" s="1"/>
  <c r="A159" i="13" s="1"/>
  <c r="D159" i="13" s="1" a="1"/>
  <c r="D159" i="13" s="1"/>
  <c r="H159" i="13" s="1"/>
  <c r="B64" i="6" a="1"/>
  <c r="B64" i="6"/>
  <c r="A160" i="13" s="1"/>
  <c r="D160" i="13" s="1" a="1"/>
  <c r="D160" i="13" s="1"/>
  <c r="G160" i="13" s="1"/>
  <c r="B65" i="6" a="1"/>
  <c r="B65" i="6" s="1"/>
  <c r="A161" i="13" s="1"/>
  <c r="D161" i="13" s="1" a="1"/>
  <c r="D161" i="13" s="1"/>
  <c r="G161" i="13" s="1"/>
  <c r="B66" i="6" a="1"/>
  <c r="B66" i="6" s="1"/>
  <c r="A162" i="13" s="1"/>
  <c r="D162" i="13" s="1" a="1"/>
  <c r="D162" i="13" s="1"/>
  <c r="B67" i="6" a="1"/>
  <c r="B67" i="6" s="1"/>
  <c r="A163" i="13" s="1"/>
  <c r="D163" i="13" s="1" a="1"/>
  <c r="D163" i="13" s="1"/>
  <c r="G163" i="13" s="1"/>
  <c r="B68" i="6" a="1"/>
  <c r="B68" i="6"/>
  <c r="A164" i="13" s="1"/>
  <c r="D164" i="13" s="1" a="1"/>
  <c r="D164" i="13" s="1"/>
  <c r="G164" i="13" s="1"/>
  <c r="B69" i="6" a="1"/>
  <c r="B69" i="6" s="1"/>
  <c r="A165" i="13" s="1"/>
  <c r="D165" i="13" s="1" a="1"/>
  <c r="D165" i="13" s="1"/>
  <c r="G165" i="13" s="1"/>
  <c r="B70" i="6" a="1"/>
  <c r="B70" i="6" s="1"/>
  <c r="A166" i="13" s="1"/>
  <c r="D166" i="13" s="1" a="1"/>
  <c r="D166" i="13" s="1"/>
  <c r="B71" i="6" a="1"/>
  <c r="B71" i="6" s="1"/>
  <c r="A167" i="13" s="1"/>
  <c r="D167" i="13" s="1" a="1"/>
  <c r="D167" i="13" s="1"/>
  <c r="G167" i="13" s="1"/>
  <c r="B72" i="6" a="1"/>
  <c r="B72" i="6"/>
  <c r="A168" i="13" s="1"/>
  <c r="D168" i="13" s="1" a="1"/>
  <c r="D168" i="13" s="1"/>
  <c r="B73" i="6" a="1"/>
  <c r="B73" i="6" s="1"/>
  <c r="A169" i="13" s="1"/>
  <c r="D169" i="13" s="1" a="1"/>
  <c r="D169" i="13" s="1"/>
  <c r="I169" i="13" s="1"/>
  <c r="B74" i="6" a="1"/>
  <c r="B74" i="6" s="1"/>
  <c r="A170" i="13" s="1"/>
  <c r="D170" i="13" s="1" a="1"/>
  <c r="D170" i="13" s="1"/>
  <c r="G170" i="13" s="1"/>
  <c r="B75" i="6" a="1"/>
  <c r="B75" i="6" s="1"/>
  <c r="A171" i="13" s="1"/>
  <c r="D171" i="13" s="1" a="1"/>
  <c r="D171" i="13" s="1"/>
  <c r="G171" i="13" s="1"/>
  <c r="B76" i="6" a="1"/>
  <c r="B76" i="6"/>
  <c r="A172" i="13" s="1"/>
  <c r="D172" i="13" s="1" a="1"/>
  <c r="D172" i="13" s="1"/>
  <c r="B77" i="6" a="1"/>
  <c r="B77" i="6" s="1"/>
  <c r="A173" i="13" s="1"/>
  <c r="D173" i="13" s="1" a="1"/>
  <c r="D173" i="13" s="1"/>
  <c r="G173" i="13" s="1"/>
  <c r="B78" i="6" a="1"/>
  <c r="B78" i="6" s="1"/>
  <c r="A174" i="13" s="1"/>
  <c r="D174" i="13" s="1" a="1"/>
  <c r="D174" i="13" s="1"/>
  <c r="H20" i="14"/>
  <c r="I20" i="14" s="1"/>
  <c r="I149" i="13" l="1"/>
  <c r="H149" i="13"/>
  <c r="H139" i="13"/>
  <c r="G139" i="13"/>
  <c r="I109" i="13"/>
  <c r="H109" i="13"/>
  <c r="I116" i="13"/>
  <c r="H108" i="13"/>
  <c r="G159" i="13"/>
  <c r="G169" i="13"/>
  <c r="G149" i="13"/>
  <c r="H157" i="13"/>
  <c r="I140" i="13"/>
  <c r="I144" i="13"/>
  <c r="G144" i="13"/>
  <c r="G142" i="13"/>
  <c r="H141" i="13"/>
  <c r="G134" i="13"/>
  <c r="I134" i="13"/>
  <c r="H133" i="13"/>
  <c r="I124" i="13"/>
  <c r="H124" i="13"/>
  <c r="G124" i="13"/>
  <c r="G158" i="13"/>
  <c r="H169" i="13"/>
  <c r="I159" i="13"/>
  <c r="H132" i="13"/>
  <c r="G129" i="13"/>
  <c r="G109" i="13"/>
  <c r="H125" i="13"/>
  <c r="I162" i="13"/>
  <c r="H162" i="13"/>
  <c r="G162" i="13"/>
  <c r="G130" i="13"/>
  <c r="I130" i="13"/>
  <c r="H130" i="13"/>
  <c r="I168" i="13"/>
  <c r="I167" i="13"/>
  <c r="H168" i="13"/>
  <c r="G168" i="13"/>
  <c r="G138" i="13"/>
  <c r="H136" i="13"/>
  <c r="I135" i="13"/>
  <c r="H146" i="13"/>
  <c r="I146" i="13"/>
  <c r="G146" i="13"/>
  <c r="G114" i="13"/>
  <c r="H113" i="13"/>
  <c r="I114" i="13"/>
  <c r="H114" i="13"/>
  <c r="I154" i="13"/>
  <c r="H153" i="13"/>
  <c r="I151" i="13"/>
  <c r="H154" i="13"/>
  <c r="G154" i="13"/>
  <c r="H152" i="13"/>
  <c r="G116" i="13"/>
  <c r="H164" i="13"/>
  <c r="H156" i="13"/>
  <c r="H118" i="13"/>
  <c r="I158" i="13"/>
  <c r="I148" i="13"/>
  <c r="I119" i="13"/>
  <c r="I108" i="13"/>
  <c r="I153" i="13"/>
  <c r="I113" i="13"/>
  <c r="G153" i="13"/>
  <c r="G140" i="13"/>
  <c r="G127" i="13"/>
  <c r="G113" i="13"/>
  <c r="G108" i="13"/>
  <c r="H148" i="13"/>
  <c r="H134" i="13"/>
  <c r="H129" i="13"/>
  <c r="H117" i="13"/>
  <c r="I164" i="13"/>
  <c r="I156" i="13"/>
  <c r="I132" i="13"/>
  <c r="I118" i="13"/>
  <c r="H163" i="13"/>
  <c r="I160" i="13"/>
  <c r="H155" i="13"/>
  <c r="I150" i="13"/>
  <c r="H147" i="13"/>
  <c r="H131" i="13"/>
  <c r="I128" i="13"/>
  <c r="H123" i="13"/>
  <c r="H120" i="13"/>
  <c r="I115" i="13"/>
  <c r="I112" i="13"/>
  <c r="H107" i="13"/>
  <c r="G119" i="13"/>
  <c r="H158" i="13"/>
  <c r="H116" i="13"/>
  <c r="I157" i="13"/>
  <c r="I133" i="13"/>
  <c r="I117" i="13"/>
  <c r="G174" i="13"/>
  <c r="H173" i="13"/>
  <c r="I174" i="13"/>
  <c r="H174" i="13"/>
  <c r="H172" i="13"/>
  <c r="I172" i="13"/>
  <c r="G172" i="13"/>
  <c r="I166" i="13"/>
  <c r="H166" i="13"/>
  <c r="G166" i="13"/>
  <c r="H165" i="13"/>
  <c r="I170" i="13"/>
  <c r="H170" i="13"/>
  <c r="H160" i="13"/>
  <c r="H144" i="13"/>
  <c r="H138" i="13"/>
  <c r="H128" i="13"/>
  <c r="H122" i="13"/>
  <c r="H112" i="13"/>
  <c r="I143" i="13"/>
  <c r="I138" i="13"/>
  <c r="I127" i="13"/>
  <c r="I122" i="13"/>
  <c r="I111" i="13"/>
  <c r="I106" i="13"/>
  <c r="H167" i="13"/>
  <c r="H151" i="13"/>
  <c r="H143" i="13"/>
  <c r="H135" i="13"/>
  <c r="H127" i="13"/>
  <c r="H111" i="13"/>
  <c r="H142" i="13"/>
  <c r="H137" i="13"/>
  <c r="H126" i="13"/>
  <c r="H121" i="13"/>
  <c r="H110" i="13"/>
  <c r="I163" i="13"/>
  <c r="I152" i="13"/>
  <c r="I147" i="13"/>
  <c r="I142" i="13"/>
  <c r="I136" i="13"/>
  <c r="I131" i="13"/>
  <c r="I126" i="13"/>
  <c r="I120" i="13"/>
  <c r="I110" i="13"/>
  <c r="I161" i="13"/>
  <c r="I145" i="13"/>
  <c r="I137" i="13"/>
  <c r="I121" i="13"/>
  <c r="G105" i="13"/>
  <c r="I105" i="13" s="1"/>
  <c r="H171" i="13"/>
  <c r="G131" i="13"/>
  <c r="G115" i="13"/>
  <c r="H115" i="13" s="1"/>
  <c r="H161" i="13"/>
  <c r="H150" i="13"/>
  <c r="H145" i="13"/>
  <c r="H140" i="13"/>
  <c r="I171" i="13"/>
  <c r="I155" i="13"/>
  <c r="I139" i="13"/>
  <c r="I123" i="13"/>
  <c r="I107" i="13"/>
  <c r="I173" i="13"/>
  <c r="I165" i="13"/>
  <c r="I141" i="13"/>
  <c r="I125" i="13"/>
  <c r="J20" i="14"/>
  <c r="K20" i="14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B36" i="8" a="1"/>
  <c r="B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B31" i="8" a="1"/>
  <c r="B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L20" i="14" l="1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F106" i="13" s="1"/>
  <c r="G106" i="13" s="1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H105" i="13" l="1"/>
  <c r="H106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4" i="6" l="1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I64" i="13" s="1"/>
  <c r="B4" i="3"/>
  <c r="I65" i="13" s="1"/>
  <c r="B5" i="3"/>
  <c r="I66" i="13" s="1"/>
  <c r="B6" i="3"/>
  <c r="I67" i="13" s="1"/>
  <c r="B7" i="3"/>
  <c r="I68" i="13" s="1"/>
  <c r="B8" i="3"/>
  <c r="I69" i="13" s="1"/>
  <c r="B9" i="3"/>
  <c r="I70" i="13" s="1"/>
  <c r="B10" i="3"/>
  <c r="I71" i="13" s="1"/>
  <c r="B11" i="3"/>
  <c r="I72" i="13" s="1"/>
  <c r="B12" i="3"/>
  <c r="I73" i="13" s="1"/>
  <c r="B13" i="3"/>
  <c r="I74" i="13" s="1"/>
  <c r="B14" i="3"/>
  <c r="I75" i="13" s="1"/>
  <c r="B15" i="3"/>
  <c r="I76" i="13" s="1"/>
  <c r="B16" i="3"/>
  <c r="I77" i="13" s="1"/>
  <c r="B2" i="3"/>
  <c r="B5" i="6" l="1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I103" i="13" l="1"/>
  <c r="G103" i="13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I104" i="13"/>
  <c r="H104" i="13"/>
  <c r="G104" i="13"/>
  <c r="G102" i="13"/>
  <c r="I102" i="13"/>
  <c r="H102" i="13"/>
  <c r="G101" i="13"/>
  <c r="H101" i="13" s="1"/>
  <c r="I101" i="13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D100" i="13" l="1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B22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B31" i="12" l="1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G22" i="13" l="1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C7" i="14" s="1"/>
  <c r="H7" i="14" s="1"/>
  <c r="F16" i="5"/>
  <c r="C5" i="14" s="1"/>
  <c r="H5" i="14" s="1"/>
  <c r="P16" i="5"/>
  <c r="C15" i="14" s="1"/>
  <c r="H15" i="14" s="1"/>
  <c r="I16" i="5"/>
  <c r="C8" i="14" s="1"/>
  <c r="H8" i="14" s="1"/>
  <c r="Q16" i="5"/>
  <c r="C16" i="14" s="1"/>
  <c r="H16" i="14" s="1"/>
  <c r="K16" i="5"/>
  <c r="C10" i="14" s="1"/>
  <c r="H10" i="14" s="1"/>
  <c r="N16" i="5"/>
  <c r="C13" i="14" s="1"/>
  <c r="H13" i="14" s="1"/>
  <c r="S16" i="5"/>
  <c r="C18" i="14" s="1"/>
  <c r="H18" i="14" s="1"/>
  <c r="M16" i="5"/>
  <c r="C12" i="14" s="1"/>
  <c r="H12" i="14" s="1"/>
  <c r="J16" i="5"/>
  <c r="C9" i="14" s="1"/>
  <c r="H9" i="14" s="1"/>
  <c r="R16" i="5"/>
  <c r="C17" i="14" s="1"/>
  <c r="H17" i="14" s="1"/>
  <c r="G16" i="5"/>
  <c r="C6" i="14" s="1"/>
  <c r="H6" i="14" s="1"/>
  <c r="L16" i="5"/>
  <c r="C11" i="14" s="1"/>
  <c r="H11" i="14" s="1"/>
  <c r="T16" i="5"/>
  <c r="C19" i="14" s="1"/>
  <c r="H19" i="14" s="1"/>
  <c r="O16" i="5"/>
  <c r="C14" i="14" s="1"/>
  <c r="H14" i="14" s="1"/>
  <c r="V15" i="5" a="1"/>
  <c r="V15" i="5" s="1"/>
  <c r="X15" i="5" a="1"/>
  <c r="X15" i="5" s="1"/>
  <c r="AK7" i="5"/>
  <c r="AJ13" i="5"/>
  <c r="A23" i="2"/>
  <c r="E23" i="2" s="1"/>
  <c r="C22" i="2"/>
  <c r="B17" i="5" s="1"/>
  <c r="I5" i="14" l="1"/>
  <c r="K5" i="14"/>
  <c r="J5" i="14"/>
  <c r="I19" i="14"/>
  <c r="K19" i="14"/>
  <c r="J19" i="14"/>
  <c r="I9" i="14"/>
  <c r="J9" i="14"/>
  <c r="K9" i="14"/>
  <c r="I11" i="14"/>
  <c r="K11" i="14"/>
  <c r="J11" i="14"/>
  <c r="I12" i="14"/>
  <c r="J12" i="14"/>
  <c r="K12" i="14"/>
  <c r="I16" i="14"/>
  <c r="K16" i="14"/>
  <c r="J16" i="14"/>
  <c r="I7" i="14"/>
  <c r="K7" i="14"/>
  <c r="J7" i="14"/>
  <c r="I6" i="14"/>
  <c r="K6" i="14"/>
  <c r="J6" i="14"/>
  <c r="I18" i="14"/>
  <c r="J18" i="14"/>
  <c r="K18" i="14"/>
  <c r="I8" i="14"/>
  <c r="J8" i="14"/>
  <c r="K8" i="14"/>
  <c r="I10" i="14"/>
  <c r="J10" i="14"/>
  <c r="K10" i="14"/>
  <c r="I14" i="14"/>
  <c r="K14" i="14"/>
  <c r="J14" i="14"/>
  <c r="I17" i="14"/>
  <c r="J17" i="14"/>
  <c r="K17" i="14"/>
  <c r="I13" i="14"/>
  <c r="J13" i="14"/>
  <c r="K13" i="14"/>
  <c r="I15" i="14"/>
  <c r="K15" i="14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L12" i="14" l="1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R43" i="7"/>
  <c r="AP26" i="7"/>
  <c r="AR26" i="7"/>
  <c r="AD19" i="7"/>
  <c r="AD10" i="7"/>
  <c r="AD26" i="7"/>
  <c r="AS7" i="7"/>
  <c r="AR5" i="7"/>
  <c r="AP40" i="7"/>
  <c r="AR22" i="7"/>
  <c r="AP18" i="7"/>
  <c r="AQ7" i="7"/>
  <c r="AS44" i="7"/>
  <c r="AP29" i="7"/>
  <c r="AR45" i="7"/>
  <c r="AR46" i="7"/>
  <c r="AP42" i="7"/>
  <c r="AP37" i="7"/>
  <c r="AR17" i="7"/>
  <c r="AJ48" i="7"/>
  <c r="AD17" i="7"/>
  <c r="AF56" i="7"/>
  <c r="AD24" i="7"/>
  <c r="AS15" i="7"/>
  <c r="AQ17" i="7"/>
  <c r="AS23" i="7"/>
  <c r="AR12" i="7"/>
  <c r="AP54" i="7"/>
  <c r="AR44" i="7"/>
  <c r="AP7" i="7"/>
  <c r="AR9" i="7"/>
  <c r="AR24" i="7"/>
  <c r="AL47" i="7"/>
  <c r="AF26" i="7"/>
  <c r="AF55" i="7"/>
  <c r="AF52" i="7"/>
  <c r="AD9" i="7"/>
  <c r="AQ26" i="7"/>
  <c r="AQ9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34" i="7"/>
  <c r="BW46" i="7"/>
  <c r="BU40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17" i="7"/>
  <c r="BW12" i="7"/>
  <c r="BU8" i="7"/>
  <c r="BW47" i="7"/>
  <c r="BU12" i="7"/>
  <c r="BU46" i="7"/>
  <c r="BU52" i="7"/>
  <c r="BU29" i="7"/>
  <c r="BW33" i="7"/>
  <c r="BU28" i="7"/>
  <c r="BW51" i="7"/>
  <c r="BU19" i="7"/>
  <c r="BU27" i="7"/>
  <c r="BW38" i="7"/>
  <c r="BW6" i="7"/>
  <c r="BU26" i="7"/>
  <c r="BU10" i="7"/>
  <c r="BW56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BU32" i="7" l="1"/>
  <c r="BW13" i="7"/>
  <c r="BW32" i="7"/>
  <c r="BW34" i="7"/>
  <c r="BY34" i="7" s="1"/>
  <c r="BU35" i="7"/>
  <c r="BW28" i="7"/>
  <c r="BW8" i="7"/>
  <c r="BW52" i="7"/>
  <c r="BY52" i="7" s="1"/>
  <c r="BU56" i="7"/>
  <c r="BY56" i="7" s="1"/>
  <c r="BW36" i="7"/>
  <c r="BU42" i="7"/>
  <c r="BW15" i="7"/>
  <c r="AS36" i="7"/>
  <c r="AQ11" i="7"/>
  <c r="AS38" i="7"/>
  <c r="AQ30" i="7"/>
  <c r="AQ27" i="7"/>
  <c r="AQ14" i="7"/>
  <c r="AQ5" i="7"/>
  <c r="AB236" i="5"/>
  <c r="AH236" i="5" s="1"/>
  <c r="BW9" i="7"/>
  <c r="BW22" i="7"/>
  <c r="BU9" i="7"/>
  <c r="BU7" i="7"/>
  <c r="BW14" i="7"/>
  <c r="BU36" i="7"/>
  <c r="BU22" i="7"/>
  <c r="BU39" i="7"/>
  <c r="BU30" i="7"/>
  <c r="CM44" i="7"/>
  <c r="CM47" i="7"/>
  <c r="BU41" i="7"/>
  <c r="BU18" i="7"/>
  <c r="AQ29" i="7"/>
  <c r="AS50" i="7"/>
  <c r="AS31" i="7"/>
  <c r="V22" i="7"/>
  <c r="AG52" i="7"/>
  <c r="AE31" i="7"/>
  <c r="AE40" i="7"/>
  <c r="CP51" i="7"/>
  <c r="V23" i="7"/>
  <c r="AG25" i="7"/>
  <c r="AE11" i="7"/>
  <c r="AG50" i="7"/>
  <c r="CJ33" i="7"/>
  <c r="BL53" i="7"/>
  <c r="BL40" i="7"/>
  <c r="BL7" i="7"/>
  <c r="A139" i="10"/>
  <c r="I9" i="13"/>
  <c r="BY12" i="7"/>
  <c r="AY27" i="7"/>
  <c r="AT24" i="7"/>
  <c r="AQ25" i="7"/>
  <c r="AS51" i="7"/>
  <c r="AQ18" i="7"/>
  <c r="AS27" i="7"/>
  <c r="AQ50" i="7"/>
  <c r="AU50" i="7" s="1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W50" i="7"/>
  <c r="BW26" i="7"/>
  <c r="BY26" i="7" s="1"/>
  <c r="BU21" i="7"/>
  <c r="BW5" i="7"/>
  <c r="BU17" i="7"/>
  <c r="BY17" i="7" s="1"/>
  <c r="BW7" i="7"/>
  <c r="BW20" i="7"/>
  <c r="BU48" i="7"/>
  <c r="BU33" i="7"/>
  <c r="BY33" i="7" s="1"/>
  <c r="BU38" i="7"/>
  <c r="BY38" i="7" s="1"/>
  <c r="BW21" i="7"/>
  <c r="BW49" i="7"/>
  <c r="BU24" i="7"/>
  <c r="BU31" i="7"/>
  <c r="BW53" i="7"/>
  <c r="BU15" i="7"/>
  <c r="BW18" i="7"/>
  <c r="BU43" i="7"/>
  <c r="BW23" i="7"/>
  <c r="BU13" i="7"/>
  <c r="BY13" i="7" s="1"/>
  <c r="AS46" i="7"/>
  <c r="AS19" i="7"/>
  <c r="AS11" i="7"/>
  <c r="AU11" i="7" s="1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U14" i="7" s="1"/>
  <c r="AS18" i="7"/>
  <c r="AQ33" i="7"/>
  <c r="AS21" i="7"/>
  <c r="AQ38" i="7"/>
  <c r="AU38" i="7" s="1"/>
  <c r="AQ36" i="7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Y30" i="7" s="1"/>
  <c r="BW55" i="7"/>
  <c r="BW19" i="7"/>
  <c r="BY19" i="7" s="1"/>
  <c r="BU47" i="7"/>
  <c r="BY47" i="7" s="1"/>
  <c r="BU45" i="7"/>
  <c r="BW31" i="7"/>
  <c r="BW16" i="7"/>
  <c r="BY16" i="7" s="1"/>
  <c r="BW24" i="7"/>
  <c r="BW39" i="7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U23" i="7" s="1"/>
  <c r="AS47" i="7"/>
  <c r="AQ56" i="7"/>
  <c r="AQ51" i="7"/>
  <c r="AQ28" i="7"/>
  <c r="AU28" i="7" s="1"/>
  <c r="AS34" i="7"/>
  <c r="AS54" i="7"/>
  <c r="AS26" i="7"/>
  <c r="AU26" i="7" s="1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Q47" i="7"/>
  <c r="AS5" i="7"/>
  <c r="AU5" i="7" s="1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U29" i="7" s="1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U54" i="7"/>
  <c r="BW27" i="7"/>
  <c r="BY27" i="7" s="1"/>
  <c r="BW29" i="7"/>
  <c r="BY29" i="7" s="1"/>
  <c r="BU51" i="7"/>
  <c r="BY51" i="7" s="1"/>
  <c r="BW35" i="7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BY28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Y15" i="7" l="1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CC38" i="13" l="1"/>
  <c r="AG49" i="13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<sst xmlns="http://schemas.openxmlformats.org/spreadsheetml/2006/main" count="822" uniqueCount="208">
  <si>
    <t>Organisation Name</t>
  </si>
  <si>
    <t>Service Name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</si>
  <si>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</si>
  <si>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</si>
  <si>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</si>
  <si>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</si>
  <si>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</si>
  <si>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</si>
  <si>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</si>
  <si>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</si>
  <si>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</si>
  <si>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</si>
  <si>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</si>
  <si>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</si>
  <si>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</si>
  <si>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</si>
  <si>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</si>
  <si>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</si>
  <si>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</si>
  <si>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</si>
  <si>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</si>
  <si>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</si>
  <si>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</si>
  <si>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</si>
  <si>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</si>
  <si>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</si>
  <si>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</si>
  <si>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</si>
  <si>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</si>
  <si>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</si>
  <si>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</si>
  <si>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</si>
  <si>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</si>
  <si>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</si>
  <si>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</si>
  <si>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</si>
  <si>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</si>
  <si>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</si>
  <si>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</si>
  <si>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</si>
  <si>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</si>
  <si>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</si>
  <si>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</si>
  <si>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</si>
  <si>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</si>
  <si>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</si>
  <si>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</si>
  <si>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</si>
  <si>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</si>
  <si>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</si>
  <si>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</si>
  <si>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</si>
  <si>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</si>
  <si>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</si>
  <si>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</si>
  <si>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</si>
  <si>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</si>
  <si>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</si>
  <si>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</si>
  <si>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</si>
  <si>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</si>
  <si>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</si>
  <si>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</si>
  <si>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</si>
  <si>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</si>
  <si>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</si>
  <si>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</si>
  <si>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</si>
  <si>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</si>
  <si>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</si>
  <si>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</si>
  <si>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</si>
  <si>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</si>
  <si>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</si>
  <si>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</si>
  <si>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</si>
  <si>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</si>
  <si>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</si>
  <si>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</si>
  <si>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</si>
  <si>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</si>
  <si>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</si>
  <si>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</si>
  <si>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</si>
  <si>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</si>
  <si>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</si>
  <si>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</si>
  <si>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</si>
  <si>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</si>
  <si>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</si>
  <si>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</si>
  <si>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</si>
  <si>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</si>
  <si>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</si>
  <si>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</si>
  <si>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</si>
  <si>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</si>
  <si>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</si>
  <si>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</si>
  <si>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</si>
  <si>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</si>
  <si>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</si>
  <si>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</si>
  <si>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</si>
  <si>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</si>
  <si>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</si>
  <si>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</si>
  <si>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</si>
  <si>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</si>
  <si>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</si>
  <si>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</si>
  <si>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</si>
  <si>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</si>
  <si>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</si>
  <si>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</si>
  <si>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</si>
  <si>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</si>
  <si>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</si>
  <si>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</si>
  <si>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</si>
  <si>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</si>
  <si>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</si>
  <si>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</si>
  <si>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</si>
  <si>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</si>
  <si>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</si>
  <si>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</si>
  <si>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</si>
  <si>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</si>
  <si>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</si>
  <si>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</si>
  <si>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</si>
  <si>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</si>
  <si>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</si>
  <si>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</si>
  <si>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</si>
  <si>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</si>
  <si>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</si>
  <si>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</si>
  <si>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</si>
  <si>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</si>
  <si>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</si>
  <si>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</si>
  <si>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</si>
  <si>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</si>
  <si>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</si>
  <si>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</si>
  <si>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</si>
  <si>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</si>
  <si>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</si>
  <si>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</si>
  <si>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</si>
  <si>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</si>
  <si>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</si>
  <si>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</si>
  <si>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</si>
  <si>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</si>
  <si>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</si>
  <si>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</si>
  <si>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</si>
  <si>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</si>
  <si>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</si>
  <si>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</si>
  <si>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</si>
  <si>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</si>
  <si>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</si>
  <si>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</si>
  <si>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</si>
  <si>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</si>
  <si>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</si>
  <si>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</si>
  <si>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</si>
  <si>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</si>
  <si>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</si>
  <si>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</si>
  <si>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</si>
  <si>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</si>
  <si>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</si>
  <si>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Mean Demand: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</si>
  <si>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</si>
  <si>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</si>
  <si>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</si>
  <si>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</si>
  <si>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</si>
  <si>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</si>
  <si>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</si>
  <si>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</si>
  <si>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</si>
  <si>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</si>
  <si>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</si>
  <si>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</si>
  <si>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</si>
  <si>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</si>
  <si>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</si>
  <si>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</si>
  <si>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</si>
  <si>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</si>
  <si>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</si>
  <si>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</si>
  <si>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v0.4.5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</si>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</sst>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7" borderId="7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1" fontId="0" fillId="7" borderId="5" xfId="0" applyNumberFormat="1" applyFill="1" applyBorder="1" applyAlignment="1">
      <alignment horizontal="center"/>
    </xf>
    <xf numFmtId="1" fontId="0" fillId="7" borderId="7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14.25</c:v>
                </c:pt>
                <c:pt idx="1">
                  <c:v>14.25</c:v>
                </c:pt>
                <c:pt idx="2">
                  <c:v>14.25</c:v>
                </c:pt>
                <c:pt idx="3">
                  <c:v>14.25</c:v>
                </c:pt>
                <c:pt idx="4">
                  <c:v>14.25</c:v>
                </c:pt>
                <c:pt idx="5">
                  <c:v>14.25</c:v>
                </c:pt>
                <c:pt idx="6">
                  <c:v>14.25</c:v>
                </c:pt>
                <c:pt idx="7">
                  <c:v>14.25</c:v>
                </c:pt>
                <c:pt idx="8">
                  <c:v>14.25</c:v>
                </c:pt>
                <c:pt idx="9">
                  <c:v>14.25</c:v>
                </c:pt>
                <c:pt idx="10">
                  <c:v>14.25</c:v>
                </c:pt>
                <c:pt idx="11">
                  <c:v>14.25</c:v>
                </c:pt>
                <c:pt idx="12">
                  <c:v>14.25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3.75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12.333333333333334</c:v>
                </c:pt>
                <c:pt idx="1">
                  <c:v>12.333333333333334</c:v>
                </c:pt>
                <c:pt idx="2">
                  <c:v>12.333333333333334</c:v>
                </c:pt>
                <c:pt idx="3">
                  <c:v>12.333333333333334</c:v>
                </c:pt>
                <c:pt idx="4">
                  <c:v>12.333333333333334</c:v>
                </c:pt>
                <c:pt idx="5">
                  <c:v>12.333333333333334</c:v>
                </c:pt>
                <c:pt idx="6">
                  <c:v>12.333333333333334</c:v>
                </c:pt>
                <c:pt idx="7">
                  <c:v>12.333333333333334</c:v>
                </c:pt>
                <c:pt idx="8">
                  <c:v>12.333333333333334</c:v>
                </c:pt>
                <c:pt idx="9">
                  <c:v>12.333333333333334</c:v>
                </c:pt>
                <c:pt idx="10">
                  <c:v>12.333333333333334</c:v>
                </c:pt>
                <c:pt idx="11">
                  <c:v>12.333333333333334</c:v>
                </c:pt>
                <c:pt idx="12">
                  <c:v>12.333333333333334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29</c:v>
                </c:pt>
                <c:pt idx="1">
                  <c:v>8</c:v>
                </c:pt>
                <c:pt idx="2">
                  <c:v>13</c:v>
                </c:pt>
                <c:pt idx="3">
                  <c:v>20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13</c:v>
                </c:pt>
                <c:pt idx="9">
                  <c:v>13</c:v>
                </c:pt>
                <c:pt idx="10">
                  <c:v>18</c:v>
                </c:pt>
                <c:pt idx="11">
                  <c:v>18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26.074468085106382</c:v>
                </c:pt>
                <c:pt idx="1">
                  <c:v>26.074468085106382</c:v>
                </c:pt>
                <c:pt idx="2">
                  <c:v>26.074468085106382</c:v>
                </c:pt>
                <c:pt idx="3">
                  <c:v>26.074468085106382</c:v>
                </c:pt>
                <c:pt idx="4">
                  <c:v>26.074468085106382</c:v>
                </c:pt>
                <c:pt idx="5">
                  <c:v>26.074468085106382</c:v>
                </c:pt>
                <c:pt idx="6">
                  <c:v>26.074468085106382</c:v>
                </c:pt>
                <c:pt idx="7">
                  <c:v>26.074468085106382</c:v>
                </c:pt>
                <c:pt idx="8">
                  <c:v>26.074468085106382</c:v>
                </c:pt>
                <c:pt idx="9">
                  <c:v>26.074468085106382</c:v>
                </c:pt>
                <c:pt idx="10">
                  <c:v>26.074468085106382</c:v>
                </c:pt>
                <c:pt idx="11">
                  <c:v>26.074468085106382</c:v>
                </c:pt>
                <c:pt idx="12">
                  <c:v>26.074468085106382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29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3.1725768321513002</c:v>
                </c:pt>
                <c:pt idx="1">
                  <c:v>3.1725768321513002</c:v>
                </c:pt>
                <c:pt idx="2">
                  <c:v>3.1725768321513002</c:v>
                </c:pt>
                <c:pt idx="3">
                  <c:v>3.1725768321513002</c:v>
                </c:pt>
                <c:pt idx="4">
                  <c:v>3.1725768321513002</c:v>
                </c:pt>
                <c:pt idx="5">
                  <c:v>3.1725768321513002</c:v>
                </c:pt>
                <c:pt idx="6">
                  <c:v>3.1725768321513002</c:v>
                </c:pt>
                <c:pt idx="7">
                  <c:v>3.1725768321513002</c:v>
                </c:pt>
                <c:pt idx="8">
                  <c:v>3.1725768321513002</c:v>
                </c:pt>
                <c:pt idx="9">
                  <c:v>3.1725768321513002</c:v>
                </c:pt>
                <c:pt idx="10">
                  <c:v>3.1725768321513002</c:v>
                </c:pt>
                <c:pt idx="11">
                  <c:v>3.1725768321513002</c:v>
                </c:pt>
                <c:pt idx="12">
                  <c:v>3.1725768321513002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7.752955082742317</c:v>
                </c:pt>
                <c:pt idx="1">
                  <c:v>7.752955082742317</c:v>
                </c:pt>
                <c:pt idx="2">
                  <c:v>7.752955082742317</c:v>
                </c:pt>
                <c:pt idx="3">
                  <c:v>7.752955082742317</c:v>
                </c:pt>
                <c:pt idx="4">
                  <c:v>7.752955082742317</c:v>
                </c:pt>
                <c:pt idx="5">
                  <c:v>7.752955082742317</c:v>
                </c:pt>
                <c:pt idx="6">
                  <c:v>7.752955082742317</c:v>
                </c:pt>
                <c:pt idx="7">
                  <c:v>7.752955082742317</c:v>
                </c:pt>
                <c:pt idx="8">
                  <c:v>7.752955082742317</c:v>
                </c:pt>
                <c:pt idx="9">
                  <c:v>7.752955082742317</c:v>
                </c:pt>
                <c:pt idx="10">
                  <c:v>7.752955082742317</c:v>
                </c:pt>
                <c:pt idx="11">
                  <c:v>7.752955082742317</c:v>
                </c:pt>
                <c:pt idx="12">
                  <c:v>7.752955082742317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16.91371158392435</c:v>
                </c:pt>
                <c:pt idx="1">
                  <c:v>16.91371158392435</c:v>
                </c:pt>
                <c:pt idx="2">
                  <c:v>16.91371158392435</c:v>
                </c:pt>
                <c:pt idx="3">
                  <c:v>16.91371158392435</c:v>
                </c:pt>
                <c:pt idx="4">
                  <c:v>16.91371158392435</c:v>
                </c:pt>
                <c:pt idx="5">
                  <c:v>16.91371158392435</c:v>
                </c:pt>
                <c:pt idx="6">
                  <c:v>16.91371158392435</c:v>
                </c:pt>
                <c:pt idx="7">
                  <c:v>16.91371158392435</c:v>
                </c:pt>
                <c:pt idx="8">
                  <c:v>16.91371158392435</c:v>
                </c:pt>
                <c:pt idx="9">
                  <c:v>16.91371158392435</c:v>
                </c:pt>
                <c:pt idx="10">
                  <c:v>16.91371158392435</c:v>
                </c:pt>
                <c:pt idx="11">
                  <c:v>16.91371158392435</c:v>
                </c:pt>
                <c:pt idx="12">
                  <c:v>16.91371158392435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21.494089834515368</c:v>
                </c:pt>
                <c:pt idx="1">
                  <c:v>21.494089834515368</c:v>
                </c:pt>
                <c:pt idx="2">
                  <c:v>21.494089834515368</c:v>
                </c:pt>
                <c:pt idx="3">
                  <c:v>21.494089834515368</c:v>
                </c:pt>
                <c:pt idx="4">
                  <c:v>21.494089834515368</c:v>
                </c:pt>
                <c:pt idx="5">
                  <c:v>21.494089834515368</c:v>
                </c:pt>
                <c:pt idx="6">
                  <c:v>21.494089834515368</c:v>
                </c:pt>
                <c:pt idx="7">
                  <c:v>21.494089834515368</c:v>
                </c:pt>
                <c:pt idx="8">
                  <c:v>21.494089834515368</c:v>
                </c:pt>
                <c:pt idx="9">
                  <c:v>21.494089834515368</c:v>
                </c:pt>
                <c:pt idx="10">
                  <c:v>21.494089834515368</c:v>
                </c:pt>
                <c:pt idx="11">
                  <c:v>21.494089834515368</c:v>
                </c:pt>
                <c:pt idx="12">
                  <c:v>21.494089834515368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220.75</c:v>
                </c:pt>
                <c:pt idx="1">
                  <c:v>220.75</c:v>
                </c:pt>
                <c:pt idx="2">
                  <c:v>220.75</c:v>
                </c:pt>
                <c:pt idx="3">
                  <c:v>220.75</c:v>
                </c:pt>
                <c:pt idx="4">
                  <c:v>220.75</c:v>
                </c:pt>
                <c:pt idx="5">
                  <c:v>220.75</c:v>
                </c:pt>
                <c:pt idx="6">
                  <c:v>220.75</c:v>
                </c:pt>
                <c:pt idx="7">
                  <c:v>220.75</c:v>
                </c:pt>
                <c:pt idx="8">
                  <c:v>220.75</c:v>
                </c:pt>
                <c:pt idx="9">
                  <c:v>220.75</c:v>
                </c:pt>
                <c:pt idx="10">
                  <c:v>220.75</c:v>
                </c:pt>
                <c:pt idx="11">
                  <c:v>220.75</c:v>
                </c:pt>
                <c:pt idx="12">
                  <c:v>220.75</c:v>
                </c:pt>
                <c:pt idx="13">
                  <c:v>220.75</c:v>
                </c:pt>
                <c:pt idx="14">
                  <c:v>220.75</c:v>
                </c:pt>
                <c:pt idx="15">
                  <c:v>220.75</c:v>
                </c:pt>
                <c:pt idx="16">
                  <c:v>220.75</c:v>
                </c:pt>
                <c:pt idx="17">
                  <c:v>220.75</c:v>
                </c:pt>
                <c:pt idx="18">
                  <c:v>220.75</c:v>
                </c:pt>
                <c:pt idx="19">
                  <c:v>220.75</c:v>
                </c:pt>
                <c:pt idx="20">
                  <c:v>220.75</c:v>
                </c:pt>
                <c:pt idx="21">
                  <c:v>220.75</c:v>
                </c:pt>
                <c:pt idx="22">
                  <c:v>220.75</c:v>
                </c:pt>
                <c:pt idx="23">
                  <c:v>220.75</c:v>
                </c:pt>
                <c:pt idx="24">
                  <c:v>220.75</c:v>
                </c:pt>
                <c:pt idx="25">
                  <c:v>220.75</c:v>
                </c:pt>
                <c:pt idx="26">
                  <c:v>220.75</c:v>
                </c:pt>
                <c:pt idx="27">
                  <c:v>220.75</c:v>
                </c:pt>
                <c:pt idx="28">
                  <c:v>220.75</c:v>
                </c:pt>
                <c:pt idx="29">
                  <c:v>220.75</c:v>
                </c:pt>
                <c:pt idx="30">
                  <c:v>220.75</c:v>
                </c:pt>
                <c:pt idx="31">
                  <c:v>220.75</c:v>
                </c:pt>
                <c:pt idx="32">
                  <c:v>220.75</c:v>
                </c:pt>
                <c:pt idx="33">
                  <c:v>220.75</c:v>
                </c:pt>
                <c:pt idx="34">
                  <c:v>220.75</c:v>
                </c:pt>
                <c:pt idx="35">
                  <c:v>220.75</c:v>
                </c:pt>
                <c:pt idx="36">
                  <c:v>220.75</c:v>
                </c:pt>
                <c:pt idx="37">
                  <c:v>220.75</c:v>
                </c:pt>
                <c:pt idx="38">
                  <c:v>220.75</c:v>
                </c:pt>
                <c:pt idx="39">
                  <c:v>220.75</c:v>
                </c:pt>
                <c:pt idx="40">
                  <c:v>220.75</c:v>
                </c:pt>
                <c:pt idx="41">
                  <c:v>220.75</c:v>
                </c:pt>
                <c:pt idx="42">
                  <c:v>220.75</c:v>
                </c:pt>
                <c:pt idx="43">
                  <c:v>220.75</c:v>
                </c:pt>
                <c:pt idx="44">
                  <c:v>220.75</c:v>
                </c:pt>
                <c:pt idx="45">
                  <c:v>220.75</c:v>
                </c:pt>
                <c:pt idx="46">
                  <c:v>220.75</c:v>
                </c:pt>
                <c:pt idx="47">
                  <c:v>220.75</c:v>
                </c:pt>
                <c:pt idx="48">
                  <c:v>220.75</c:v>
                </c:pt>
                <c:pt idx="49">
                  <c:v>220.75</c:v>
                </c:pt>
                <c:pt idx="50">
                  <c:v>220.75</c:v>
                </c:pt>
                <c:pt idx="51">
                  <c:v>220.75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23.508928571428555</c:v>
                </c:pt>
                <c:pt idx="1">
                  <c:v>23.508928571428555</c:v>
                </c:pt>
                <c:pt idx="2">
                  <c:v>23.508928571428555</c:v>
                </c:pt>
                <c:pt idx="3">
                  <c:v>23.508928571428555</c:v>
                </c:pt>
                <c:pt idx="4">
                  <c:v>23.508928571428555</c:v>
                </c:pt>
                <c:pt idx="5">
                  <c:v>23.508928571428555</c:v>
                </c:pt>
                <c:pt idx="6">
                  <c:v>23.508928571428555</c:v>
                </c:pt>
                <c:pt idx="7">
                  <c:v>23.508928571428555</c:v>
                </c:pt>
                <c:pt idx="8">
                  <c:v>23.508928571428555</c:v>
                </c:pt>
                <c:pt idx="9">
                  <c:v>23.508928571428555</c:v>
                </c:pt>
                <c:pt idx="10">
                  <c:v>23.508928571428555</c:v>
                </c:pt>
                <c:pt idx="11">
                  <c:v>23.508928571428555</c:v>
                </c:pt>
                <c:pt idx="12">
                  <c:v>23.508928571428555</c:v>
                </c:pt>
                <c:pt idx="13">
                  <c:v>23.508928571428555</c:v>
                </c:pt>
                <c:pt idx="14">
                  <c:v>23.508928571428555</c:v>
                </c:pt>
                <c:pt idx="15">
                  <c:v>23.508928571428555</c:v>
                </c:pt>
                <c:pt idx="16">
                  <c:v>23.508928571428555</c:v>
                </c:pt>
                <c:pt idx="17">
                  <c:v>23.508928571428555</c:v>
                </c:pt>
                <c:pt idx="18">
                  <c:v>23.508928571428555</c:v>
                </c:pt>
                <c:pt idx="19">
                  <c:v>23.508928571428555</c:v>
                </c:pt>
                <c:pt idx="20">
                  <c:v>23.508928571428555</c:v>
                </c:pt>
                <c:pt idx="21">
                  <c:v>23.508928571428555</c:v>
                </c:pt>
                <c:pt idx="22">
                  <c:v>23.508928571428555</c:v>
                </c:pt>
                <c:pt idx="23">
                  <c:v>23.508928571428555</c:v>
                </c:pt>
                <c:pt idx="24">
                  <c:v>23.508928571428555</c:v>
                </c:pt>
                <c:pt idx="25">
                  <c:v>23.508928571428555</c:v>
                </c:pt>
                <c:pt idx="26">
                  <c:v>23.508928571428555</c:v>
                </c:pt>
                <c:pt idx="27">
                  <c:v>23.508928571428555</c:v>
                </c:pt>
                <c:pt idx="28">
                  <c:v>23.508928571428555</c:v>
                </c:pt>
                <c:pt idx="29">
                  <c:v>23.508928571428555</c:v>
                </c:pt>
                <c:pt idx="30">
                  <c:v>23.508928571428555</c:v>
                </c:pt>
                <c:pt idx="31">
                  <c:v>23.508928571428555</c:v>
                </c:pt>
                <c:pt idx="32">
                  <c:v>23.508928571428555</c:v>
                </c:pt>
                <c:pt idx="33">
                  <c:v>23.508928571428555</c:v>
                </c:pt>
                <c:pt idx="34">
                  <c:v>23.508928571428555</c:v>
                </c:pt>
                <c:pt idx="35">
                  <c:v>23.508928571428555</c:v>
                </c:pt>
                <c:pt idx="36">
                  <c:v>23.508928571428555</c:v>
                </c:pt>
                <c:pt idx="37">
                  <c:v>23.508928571428555</c:v>
                </c:pt>
                <c:pt idx="38">
                  <c:v>23.508928571428555</c:v>
                </c:pt>
                <c:pt idx="39">
                  <c:v>23.508928571428555</c:v>
                </c:pt>
                <c:pt idx="40">
                  <c:v>23.508928571428555</c:v>
                </c:pt>
                <c:pt idx="41">
                  <c:v>23.508928571428555</c:v>
                </c:pt>
                <c:pt idx="42">
                  <c:v>23.508928571428555</c:v>
                </c:pt>
                <c:pt idx="43">
                  <c:v>23.508928571428555</c:v>
                </c:pt>
                <c:pt idx="44">
                  <c:v>23.508928571428555</c:v>
                </c:pt>
                <c:pt idx="45">
                  <c:v>23.508928571428555</c:v>
                </c:pt>
                <c:pt idx="46">
                  <c:v>23.508928571428555</c:v>
                </c:pt>
                <c:pt idx="47">
                  <c:v>23.508928571428555</c:v>
                </c:pt>
                <c:pt idx="48">
                  <c:v>23.508928571428555</c:v>
                </c:pt>
                <c:pt idx="49">
                  <c:v>23.508928571428555</c:v>
                </c:pt>
                <c:pt idx="50">
                  <c:v>23.508928571428555</c:v>
                </c:pt>
                <c:pt idx="51">
                  <c:v>23.508928571428555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209.47499999999999</c:v>
                </c:pt>
                <c:pt idx="1">
                  <c:v>151.28749999999999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22.050000000000011</c:v>
                </c:pt>
                <c:pt idx="1">
                  <c:v>15.925000000000011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100</c:v>
                </c:pt>
                <c:pt idx="1">
                  <c:v>240</c:v>
                </c:pt>
                <c:pt idx="2">
                  <c:v>60</c:v>
                </c:pt>
                <c:pt idx="3">
                  <c:v>500</c:v>
                </c:pt>
                <c:pt idx="5" formatCode="General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31.428571428571395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7.8571428571428683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2</xdr:row>
      <xdr:rowOff>1586</xdr:rowOff>
    </xdr:from>
    <xdr:to>
      <xdr:col>30</xdr:col>
      <xdr:colOff>171450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527050</xdr:colOff>
      <xdr:row>1</xdr:row>
      <xdr:rowOff>184150</xdr:rowOff>
    </xdr:from>
    <xdr:to>
      <xdr:col>30</xdr:col>
      <xdr:colOff>171450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523874</xdr:colOff>
      <xdr:row>42</xdr:row>
      <xdr:rowOff>136524</xdr:rowOff>
    </xdr:from>
    <xdr:to>
      <xdr:col>30</xdr:col>
      <xdr:colOff>190499</xdr:colOff>
      <xdr:row>65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X17"/>
  <sheetViews>
    <sheetView workbookViewId="0"/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4" x14ac:dyDescent="0.35">
      <c r="A1" t="s">
        <v>12</v>
      </c>
      <c r="B1" t="s">
        <v>13</v>
      </c>
      <c r="D1" t="s">
        <v>77</v>
      </c>
      <c r="F1" t="s">
        <v>78</v>
      </c>
      <c r="H1" t="s">
        <v>81</v>
      </c>
      <c r="K1" t="s">
        <v>86</v>
      </c>
      <c r="N1" t="s">
        <v>94</v>
      </c>
      <c r="P1" t="s">
        <v>114</v>
      </c>
      <c r="R1" t="s">
        <v>121</v>
      </c>
      <c r="T1" t="s">
        <v>126</v>
      </c>
      <c r="V1" t="s">
        <v>181</v>
      </c>
      <c r="X1" t="s">
        <v>187</v>
      </c>
    </row>
    <row r="2" spans="1:24" x14ac:dyDescent="0.35">
      <c r="B2" t="str">
        <f>Setup!A20</f>
        <v>20 Group Sessions</v>
      </c>
      <c r="D2">
        <v>1</v>
      </c>
      <c r="F2" t="s">
        <v>59</v>
      </c>
      <c r="H2" t="s">
        <v>82</v>
      </c>
      <c r="I2">
        <v>0.65</v>
      </c>
      <c r="K2" t="s">
        <v>123</v>
      </c>
      <c r="L2">
        <v>7</v>
      </c>
      <c r="N2" t="s">
        <v>95</v>
      </c>
      <c r="P2" t="s">
        <v>115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145</v>
      </c>
      <c r="V2" t="s">
        <v>182</v>
      </c>
      <c r="X2" s="105" t="s">
        <v>45</v>
      </c>
    </row>
    <row r="3" spans="1:24" x14ac:dyDescent="0.35">
      <c r="B3" t="str">
        <f>Setup!A21</f>
        <v>40 Group Session</v>
      </c>
      <c r="D3">
        <v>2</v>
      </c>
      <c r="F3" t="s">
        <v>51</v>
      </c>
      <c r="H3" t="s">
        <v>83</v>
      </c>
      <c r="I3">
        <v>0.7</v>
      </c>
      <c r="K3" t="s">
        <v>122</v>
      </c>
      <c r="L3">
        <v>5</v>
      </c>
      <c r="N3" t="s">
        <v>96</v>
      </c>
      <c r="P3" t="s">
        <v>116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183</v>
      </c>
      <c r="X3" s="105" t="s">
        <v>206</v>
      </c>
    </row>
    <row r="4" spans="1:24" x14ac:dyDescent="0.35">
      <c r="B4" t="str">
        <f>Setup!A22</f>
        <v>8 Group Session</v>
      </c>
      <c r="D4">
        <v>3</v>
      </c>
      <c r="F4" t="s">
        <v>64</v>
      </c>
      <c r="H4" t="s">
        <v>84</v>
      </c>
      <c r="I4">
        <v>0.75</v>
      </c>
      <c r="K4" t="s">
        <v>87</v>
      </c>
      <c r="L4">
        <v>2</v>
      </c>
      <c r="T4" t="str">
        <f>Setup!A21</f>
        <v>40 Group Session</v>
      </c>
      <c r="X4" s="105" t="s">
        <v>188</v>
      </c>
    </row>
    <row r="5" spans="1:24" x14ac:dyDescent="0.35">
      <c r="B5" t="str">
        <f>Setup!A23</f>
        <v>20 Individual</v>
      </c>
      <c r="D5">
        <v>4</v>
      </c>
      <c r="H5" t="s">
        <v>85</v>
      </c>
      <c r="I5">
        <v>0.8</v>
      </c>
      <c r="K5" t="s">
        <v>88</v>
      </c>
      <c r="L5">
        <v>1</v>
      </c>
      <c r="T5" t="str">
        <f>Setup!A22</f>
        <v>8 Group Session</v>
      </c>
      <c r="X5" s="105" t="s">
        <v>189</v>
      </c>
    </row>
    <row r="6" spans="1:24" x14ac:dyDescent="0.35">
      <c r="B6" t="str">
        <f>Setup!A24</f>
        <v>40 Individual</v>
      </c>
      <c r="D6">
        <v>5</v>
      </c>
      <c r="K6" t="s">
        <v>89</v>
      </c>
      <c r="L6">
        <v>0.5</v>
      </c>
      <c r="T6" t="str">
        <f>Setup!A23</f>
        <v>20 Individual</v>
      </c>
      <c r="X6" s="105" t="s">
        <v>190</v>
      </c>
    </row>
    <row r="7" spans="1:24" x14ac:dyDescent="0.35">
      <c r="B7" t="str">
        <f>Setup!A25</f>
        <v>Caseload 6</v>
      </c>
      <c r="D7">
        <v>6</v>
      </c>
      <c r="K7" t="s">
        <v>90</v>
      </c>
      <c r="L7">
        <v>0.25</v>
      </c>
      <c r="T7" t="str">
        <f>Setup!A24</f>
        <v>40 Individual</v>
      </c>
      <c r="X7" s="105" t="s">
        <v>191</v>
      </c>
    </row>
    <row r="8" spans="1:24" x14ac:dyDescent="0.35">
      <c r="B8" t="str">
        <f>Setup!A26</f>
        <v>Caseload 7</v>
      </c>
      <c r="D8">
        <v>7</v>
      </c>
      <c r="K8" t="s">
        <v>91</v>
      </c>
      <c r="L8">
        <v>3.7999999999999999E-2</v>
      </c>
      <c r="T8" t="str">
        <f>Setup!A25</f>
        <v>Caseload 6</v>
      </c>
      <c r="X8" s="105" t="s">
        <v>192</v>
      </c>
    </row>
    <row r="9" spans="1:24" x14ac:dyDescent="0.35">
      <c r="B9" t="str">
        <f>Setup!A27</f>
        <v>Caseload 8</v>
      </c>
      <c r="D9">
        <v>8</v>
      </c>
      <c r="K9" t="s">
        <v>92</v>
      </c>
      <c r="L9">
        <v>1.9E-2</v>
      </c>
      <c r="T9" t="str">
        <f>Setup!A26</f>
        <v>Caseload 7</v>
      </c>
    </row>
    <row r="10" spans="1:24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4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4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4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4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4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4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D21" sqref="D21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79</v>
      </c>
    </row>
    <row r="2" spans="1:19" x14ac:dyDescent="0.35">
      <c r="A2" t="s">
        <v>199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113</v>
      </c>
      <c r="B11" s="38" t="s">
        <v>116</v>
      </c>
    </row>
    <row r="12" spans="1:19" ht="15" thickBot="1" x14ac:dyDescent="0.4"/>
    <row r="13" spans="1:19" ht="15" thickBot="1" x14ac:dyDescent="0.4">
      <c r="A13" s="63" t="s">
        <v>80</v>
      </c>
      <c r="B13" s="38" t="s">
        <v>82</v>
      </c>
    </row>
    <row r="14" spans="1:19" ht="15" thickBot="1" x14ac:dyDescent="0.4"/>
    <row r="15" spans="1:19" ht="15" thickBot="1" x14ac:dyDescent="0.4">
      <c r="A15" s="63" t="s">
        <v>186</v>
      </c>
      <c r="B15" s="38" t="s">
        <v>45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207</v>
      </c>
      <c r="B20" s="11"/>
    </row>
    <row r="21" spans="1:2" x14ac:dyDescent="0.35">
      <c r="A21" s="39" t="s">
        <v>147</v>
      </c>
      <c r="B21" s="39"/>
    </row>
    <row r="22" spans="1:2" x14ac:dyDescent="0.35">
      <c r="A22" s="39" t="s">
        <v>148</v>
      </c>
      <c r="B22" s="39"/>
    </row>
    <row r="23" spans="1:2" x14ac:dyDescent="0.35">
      <c r="A23" s="39" t="s">
        <v>149</v>
      </c>
      <c r="B23" s="39"/>
    </row>
    <row r="24" spans="1:2" ht="15" thickBot="1" x14ac:dyDescent="0.4">
      <c r="A24" s="39" t="s">
        <v>150</v>
      </c>
      <c r="B24" s="39"/>
    </row>
    <row r="25" spans="1:2" ht="15" hidden="1" thickBot="1" x14ac:dyDescent="0.4">
      <c r="A25" s="39" t="s">
        <v>2</v>
      </c>
      <c r="B25" s="39"/>
    </row>
    <row r="26" spans="1:2" ht="15" hidden="1" thickBot="1" x14ac:dyDescent="0.4">
      <c r="A26" s="39" t="s">
        <v>3</v>
      </c>
      <c r="B26" s="39"/>
    </row>
    <row r="27" spans="1:2" ht="15" hidden="1" thickBot="1" x14ac:dyDescent="0.4">
      <c r="A27" s="39" t="s">
        <v>4</v>
      </c>
      <c r="B27" s="39"/>
    </row>
    <row r="28" spans="1:2" ht="15" hidden="1" thickBot="1" x14ac:dyDescent="0.4">
      <c r="A28" s="39" t="s">
        <v>5</v>
      </c>
      <c r="B28" s="39"/>
    </row>
    <row r="29" spans="1:2" ht="15" hidden="1" thickBot="1" x14ac:dyDescent="0.4">
      <c r="A29" s="39" t="s">
        <v>6</v>
      </c>
      <c r="B29" s="39"/>
    </row>
    <row r="30" spans="1:2" ht="15" hidden="1" thickBot="1" x14ac:dyDescent="0.4">
      <c r="A30" s="39" t="s">
        <v>7</v>
      </c>
      <c r="B30" s="39"/>
    </row>
    <row r="31" spans="1:2" ht="15" hidden="1" thickBot="1" x14ac:dyDescent="0.4">
      <c r="A31" s="39" t="s">
        <v>8</v>
      </c>
      <c r="B31" s="39"/>
    </row>
    <row r="32" spans="1:2" ht="15" hidden="1" thickBot="1" x14ac:dyDescent="0.4">
      <c r="A32" s="39" t="s">
        <v>9</v>
      </c>
      <c r="B32" s="39"/>
    </row>
    <row r="33" spans="1:19" ht="15" hidden="1" thickBot="1" x14ac:dyDescent="0.4">
      <c r="A33" s="39" t="s">
        <v>10</v>
      </c>
      <c r="B33" s="39"/>
    </row>
    <row r="34" spans="1:19" ht="15" hidden="1" thickBot="1" x14ac:dyDescent="0.4">
      <c r="A34" s="39" t="s">
        <v>11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26" sqref="F2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138</v>
      </c>
    </row>
    <row r="2" spans="1:21" ht="15" thickBot="1" x14ac:dyDescent="0.4"/>
    <row r="3" spans="1:21" ht="15" hidden="1" thickBot="1" x14ac:dyDescent="0.4">
      <c r="A3" s="63" t="s">
        <v>15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111</v>
      </c>
      <c r="B5" s="62" t="s">
        <v>146</v>
      </c>
    </row>
    <row r="6" spans="1:21" ht="15" thickBot="1" x14ac:dyDescent="0.4">
      <c r="A6" s="63" t="s">
        <v>112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16</v>
      </c>
      <c r="D8" s="55" t="s">
        <v>117</v>
      </c>
      <c r="E8" s="55" t="s">
        <v>118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139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148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97</v>
      </c>
    </row>
    <row r="6" spans="1:4" ht="15" thickBot="1" x14ac:dyDescent="0.4">
      <c r="A6" s="41" t="s">
        <v>43</v>
      </c>
      <c r="B6" s="17" t="s">
        <v>100</v>
      </c>
    </row>
    <row r="7" spans="1:4" ht="15" thickBot="1" x14ac:dyDescent="0.4">
      <c r="A7" s="52" t="s">
        <v>98</v>
      </c>
      <c r="B7" s="17" t="s">
        <v>100</v>
      </c>
    </row>
    <row r="8" spans="1:4" ht="15" thickBot="1" x14ac:dyDescent="0.4">
      <c r="A8" s="52" t="s">
        <v>99</v>
      </c>
      <c r="B8" s="17" t="s">
        <v>100</v>
      </c>
    </row>
    <row r="9" spans="1:4" ht="15" thickBot="1" x14ac:dyDescent="0.4">
      <c r="A9" s="53" t="s">
        <v>30</v>
      </c>
      <c r="B9" s="40" t="s">
        <v>100</v>
      </c>
    </row>
    <row r="10" spans="1:4" ht="15" thickBot="1" x14ac:dyDescent="0.4"/>
    <row r="11" spans="1:4" ht="15" thickBot="1" x14ac:dyDescent="0.4">
      <c r="A11" s="37" t="s">
        <v>101</v>
      </c>
    </row>
    <row r="12" spans="1:4" ht="15" thickBot="1" x14ac:dyDescent="0.4">
      <c r="A12" s="37" t="s">
        <v>104</v>
      </c>
      <c r="B12" s="17" t="s">
        <v>144</v>
      </c>
    </row>
    <row r="13" spans="1:4" ht="15" thickBot="1" x14ac:dyDescent="0.4">
      <c r="A13" s="37" t="s">
        <v>102</v>
      </c>
      <c r="B13" s="47" t="s">
        <v>176</v>
      </c>
    </row>
    <row r="14" spans="1:4" ht="15" thickBot="1" x14ac:dyDescent="0.4">
      <c r="A14" s="53" t="s">
        <v>103</v>
      </c>
      <c r="B14" s="47" t="s">
        <v>175</v>
      </c>
    </row>
    <row r="27" spans="1:2" ht="15" thickBot="1" x14ac:dyDescent="0.4"/>
    <row r="28" spans="1:2" ht="15" thickBot="1" x14ac:dyDescent="0.4">
      <c r="A28" s="48"/>
      <c r="B28" t="s">
        <v>39</v>
      </c>
    </row>
    <row r="29" spans="1:2" ht="15" thickBot="1" x14ac:dyDescent="0.4">
      <c r="A29" s="49"/>
      <c r="B29" t="s">
        <v>40</v>
      </c>
    </row>
    <row r="30" spans="1:2" ht="15" thickBot="1" x14ac:dyDescent="0.4">
      <c r="A30" s="50"/>
      <c r="B30" t="s">
        <v>41</v>
      </c>
    </row>
    <row r="31" spans="1:2" ht="15" thickBot="1" x14ac:dyDescent="0.4">
      <c r="A31" s="51"/>
      <c r="B31" t="s">
        <v>42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17</v>
      </c>
      <c r="B1"/>
      <c r="C1"/>
      <c r="D1"/>
      <c r="E1"/>
      <c r="V1" t="s">
        <v>18</v>
      </c>
      <c r="AN1" t="s">
        <v>43</v>
      </c>
    </row>
    <row r="2" spans="1:42" ht="15" thickBot="1" x14ac:dyDescent="0.4">
      <c r="B2"/>
      <c r="C2"/>
      <c r="D2"/>
      <c r="E2"/>
      <c r="V2" t="s">
        <v>19</v>
      </c>
      <c r="W2" t="str">
        <f>SPC!B3</f>
        <v>8 Group Session</v>
      </c>
      <c r="AG2" t="s">
        <v>30</v>
      </c>
    </row>
    <row r="3" spans="1:42" x14ac:dyDescent="0.35">
      <c r="B3" s="11" t="s">
        <v>16</v>
      </c>
      <c r="C3" s="3" t="s">
        <v>117</v>
      </c>
      <c r="D3" s="3" t="s">
        <v>118</v>
      </c>
      <c r="E3" s="3" t="s">
        <v>119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105</v>
      </c>
      <c r="V3" t="s">
        <v>32</v>
      </c>
      <c r="W3" t="s">
        <v>20</v>
      </c>
      <c r="X3" t="s">
        <v>22</v>
      </c>
      <c r="Y3" t="s">
        <v>21</v>
      </c>
      <c r="Z3" t="s">
        <v>23</v>
      </c>
      <c r="AA3" t="s">
        <v>24</v>
      </c>
      <c r="AB3" s="16" t="s">
        <v>26</v>
      </c>
      <c r="AC3" s="16" t="s">
        <v>27</v>
      </c>
      <c r="AD3" s="16" t="s">
        <v>28</v>
      </c>
      <c r="AE3" s="16" t="s">
        <v>29</v>
      </c>
      <c r="AF3" t="s">
        <v>25</v>
      </c>
      <c r="AG3" t="s">
        <v>31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>
        <f>INDEX('Data Validation (Hide)'!$H$2:$I$5,MATCH(Setup!$B$13,'Data Validation (Hide)'!$H$2:$H$5,0),2)</f>
        <v>0.65</v>
      </c>
      <c r="AO3">
        <v>0.85</v>
      </c>
      <c r="AP3" t="s">
        <v>44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29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">
        <f>Y4/1.128</f>
        <v>4.5803782505910169</v>
      </c>
      <c r="AA4">
        <f>MAX(0,W4-(3*Z4))</f>
        <v>0</v>
      </c>
      <c r="AB4">
        <f>MAX(0,W4-(2*Z4))</f>
        <v>3.1725768321513002</v>
      </c>
      <c r="AC4">
        <f>MAX(0,W4-Z4)</f>
        <v>7.752955082742317</v>
      </c>
      <c r="AD4">
        <f>W4+Z4</f>
        <v>16.91371158392435</v>
      </c>
      <c r="AE4">
        <f>W4+(2*Z4)</f>
        <v>21.494089834515368</v>
      </c>
      <c r="AF4">
        <f>W4+(3*Z4)</f>
        <v>26.074468085106382</v>
      </c>
      <c r="AG4">
        <f>IF(OR(V4&gt;AF4,V4&lt;AA4),V4,NA())</f>
        <v>29</v>
      </c>
      <c r="AH4">
        <f>IF(V4&gt;AE4,2,IF(V4&lt;AB4,-2,IF(V4&gt;W4,1,IF(V4&lt;W4,-1,0))))</f>
        <v>2</v>
      </c>
      <c r="AI4" t="e">
        <f>IF(ABS(SUM(AH4:AH6))&gt;=5,V4,NA())</f>
        <v>#N/A</v>
      </c>
      <c r="AJ4">
        <f>IF(V5&gt;V4,1,IF(V5&lt;V4,-1,0))</f>
        <v>-1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">
        <f>AO4-AN4</f>
        <v>3.75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8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" cm="1">
        <f t="array" ref="X5">ABS(INDEX($F$4:$T$263,ROW(A2),MATCH($W$2,$F$3:$T$3,0))-INDEX($F$4:$T$263,ROW(A1),MATCH($W$2,$F$3:$T$3,0)))</f>
        <v>21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">
        <f t="shared" ref="Z5:Z68" si="0">Y5/1.128</f>
        <v>4.5803782505910169</v>
      </c>
      <c r="AA5">
        <f t="shared" ref="AA5:AA68" si="1">MAX(0,W5-(3*Z5))</f>
        <v>0</v>
      </c>
      <c r="AB5">
        <f t="shared" ref="AB5:AB68" si="2">MAX(0,W5-(2*Z5))</f>
        <v>3.1725768321513002</v>
      </c>
      <c r="AC5">
        <f t="shared" ref="AC5:AC68" si="3">MAX(0,W5-Z5)</f>
        <v>7.752955082742317</v>
      </c>
      <c r="AD5">
        <f t="shared" ref="AD5:AD68" si="4">W5+Z5</f>
        <v>16.91371158392435</v>
      </c>
      <c r="AE5">
        <f t="shared" ref="AE5:AE68" si="5">W5+(2*Z5)</f>
        <v>21.494089834515368</v>
      </c>
      <c r="AF5">
        <f t="shared" ref="AF5:AF68" si="6">W5+(3*Z5)</f>
        <v>26.074468085106382</v>
      </c>
      <c r="AG5" t="e">
        <f t="shared" ref="AG5:AG68" si="7">IF(OR(V5&gt;AF5,V5&lt;AA5),V5,NA())</f>
        <v>#N/A</v>
      </c>
      <c r="AH5">
        <f>IF(V5&gt;AE5,2,IF(V5&lt;AB5,-2,IF(V5&gt;W5,1,IF(V5&lt;W5,-1,0))))</f>
        <v>-1</v>
      </c>
      <c r="AI5" t="e">
        <f t="shared" ref="AI5:AI68" si="8">IF(ABS(SUM(AH5:AH7))&gt;=5,V5,NA())</f>
        <v>#N/A</v>
      </c>
      <c r="AJ5">
        <f t="shared" ref="AJ5:AJ68" si="9">IF(V6&gt;V5,1,IF(V6&lt;V5,-1,0))</f>
        <v>1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">
        <f t="shared" ref="AP5:AP68" si="13">AO5-AN5</f>
        <v>3.75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13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" cm="1">
        <f t="array" ref="X6">ABS(INDEX($F$4:$T$263,ROW(A3),MATCH($W$2,$F$3:$T$3,0))-INDEX($F$4:$T$263,ROW(A2),MATCH($W$2,$F$3:$T$3,0)))</f>
        <v>5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">
        <f t="shared" si="0"/>
        <v>4.5803782505910169</v>
      </c>
      <c r="AA6">
        <f t="shared" si="1"/>
        <v>0</v>
      </c>
      <c r="AB6">
        <f t="shared" si="2"/>
        <v>3.1725768321513002</v>
      </c>
      <c r="AC6">
        <f t="shared" si="3"/>
        <v>7.752955082742317</v>
      </c>
      <c r="AD6">
        <f t="shared" si="4"/>
        <v>16.91371158392435</v>
      </c>
      <c r="AE6">
        <f t="shared" si="5"/>
        <v>21.494089834515368</v>
      </c>
      <c r="AF6">
        <f t="shared" si="6"/>
        <v>26.074468085106382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">
        <f t="shared" si="13"/>
        <v>3.75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20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" cm="1">
        <f t="array" ref="X7">ABS(INDEX($F$4:$T$263,ROW(A4),MATCH($W$2,$F$3:$T$3,0))-INDEX($F$4:$T$263,ROW(A3),MATCH($W$2,$F$3:$T$3,0)))</f>
        <v>7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">
        <f t="shared" si="0"/>
        <v>4.5803782505910169</v>
      </c>
      <c r="AA7">
        <f t="shared" si="1"/>
        <v>0</v>
      </c>
      <c r="AB7">
        <f t="shared" si="2"/>
        <v>3.1725768321513002</v>
      </c>
      <c r="AC7">
        <f t="shared" si="3"/>
        <v>7.752955082742317</v>
      </c>
      <c r="AD7">
        <f t="shared" si="4"/>
        <v>16.91371158392435</v>
      </c>
      <c r="AE7">
        <f t="shared" si="5"/>
        <v>21.494089834515368</v>
      </c>
      <c r="AF7">
        <f t="shared" si="6"/>
        <v>26.074468085106382</v>
      </c>
      <c r="AG7" t="e">
        <f t="shared" si="7"/>
        <v>#N/A</v>
      </c>
      <c r="AH7">
        <f t="shared" si="14"/>
        <v>1</v>
      </c>
      <c r="AI7" t="e">
        <f t="shared" si="8"/>
        <v>#N/A</v>
      </c>
      <c r="AJ7">
        <f t="shared" si="9"/>
        <v>-1</v>
      </c>
      <c r="AK7" t="e">
        <f t="shared" si="10"/>
        <v>#N/A</v>
      </c>
      <c r="AL7">
        <f t="shared" si="11"/>
        <v>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">
        <f t="shared" si="13"/>
        <v>3.75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19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" cm="1">
        <f t="array" ref="X8">ABS(INDEX($F$4:$T$263,ROW(A5),MATCH($W$2,$F$3:$T$3,0))-INDEX($F$4:$T$263,ROW(A4),MATCH($W$2,$F$3:$T$3,0)))</f>
        <v>1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">
        <f t="shared" si="0"/>
        <v>4.5803782505910169</v>
      </c>
      <c r="AA8">
        <f t="shared" si="1"/>
        <v>0</v>
      </c>
      <c r="AB8">
        <f t="shared" si="2"/>
        <v>3.1725768321513002</v>
      </c>
      <c r="AC8">
        <f t="shared" si="3"/>
        <v>7.752955082742317</v>
      </c>
      <c r="AD8">
        <f t="shared" si="4"/>
        <v>16.91371158392435</v>
      </c>
      <c r="AE8">
        <f t="shared" si="5"/>
        <v>21.494089834515368</v>
      </c>
      <c r="AF8">
        <f t="shared" si="6"/>
        <v>26.074468085106382</v>
      </c>
      <c r="AG8" t="e">
        <f t="shared" si="7"/>
        <v>#N/A</v>
      </c>
      <c r="AH8">
        <f t="shared" si="14"/>
        <v>1</v>
      </c>
      <c r="AI8" t="e">
        <f t="shared" si="8"/>
        <v>#N/A</v>
      </c>
      <c r="AJ8">
        <f t="shared" si="9"/>
        <v>1</v>
      </c>
      <c r="AK8" t="e">
        <f t="shared" si="10"/>
        <v>#N/A</v>
      </c>
      <c r="AL8">
        <f t="shared" si="11"/>
        <v>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">
        <f t="shared" si="13"/>
        <v>3.75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21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" cm="1">
        <f t="array" ref="X9">ABS(INDEX($F$4:$T$263,ROW(A6),MATCH($W$2,$F$3:$T$3,0))-INDEX($F$4:$T$263,ROW(A5),MATCH($W$2,$F$3:$T$3,0)))</f>
        <v>2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">
        <f t="shared" si="0"/>
        <v>4.5803782505910169</v>
      </c>
      <c r="AA9">
        <f t="shared" si="1"/>
        <v>0</v>
      </c>
      <c r="AB9">
        <f t="shared" si="2"/>
        <v>3.1725768321513002</v>
      </c>
      <c r="AC9">
        <f t="shared" si="3"/>
        <v>7.752955082742317</v>
      </c>
      <c r="AD9">
        <f t="shared" si="4"/>
        <v>16.91371158392435</v>
      </c>
      <c r="AE9">
        <f t="shared" si="5"/>
        <v>21.494089834515368</v>
      </c>
      <c r="AF9">
        <f t="shared" si="6"/>
        <v>26.074468085106382</v>
      </c>
      <c r="AG9" t="e">
        <f t="shared" si="7"/>
        <v>#N/A</v>
      </c>
      <c r="AH9">
        <f t="shared" si="14"/>
        <v>1</v>
      </c>
      <c r="AI9" t="e">
        <f t="shared" si="8"/>
        <v>#N/A</v>
      </c>
      <c r="AJ9">
        <f t="shared" si="9"/>
        <v>-1</v>
      </c>
      <c r="AK9" t="e">
        <f t="shared" si="10"/>
        <v>#N/A</v>
      </c>
      <c r="AL9">
        <f t="shared" si="11"/>
        <v>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">
        <f t="shared" si="13"/>
        <v>3.75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14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" cm="1">
        <f t="array" ref="X10">ABS(INDEX($F$4:$T$263,ROW(A7),MATCH($W$2,$F$3:$T$3,0))-INDEX($F$4:$T$263,ROW(A6),MATCH($W$2,$F$3:$T$3,0)))</f>
        <v>7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">
        <f t="shared" si="0"/>
        <v>4.5803782505910169</v>
      </c>
      <c r="AA10">
        <f t="shared" si="1"/>
        <v>0</v>
      </c>
      <c r="AB10">
        <f t="shared" si="2"/>
        <v>3.1725768321513002</v>
      </c>
      <c r="AC10">
        <f t="shared" si="3"/>
        <v>7.752955082742317</v>
      </c>
      <c r="AD10">
        <f t="shared" si="4"/>
        <v>16.91371158392435</v>
      </c>
      <c r="AE10">
        <f t="shared" si="5"/>
        <v>21.494089834515368</v>
      </c>
      <c r="AF10">
        <f t="shared" si="6"/>
        <v>26.074468085106382</v>
      </c>
      <c r="AG10" t="e">
        <f t="shared" si="7"/>
        <v>#N/A</v>
      </c>
      <c r="AH10">
        <f t="shared" si="14"/>
        <v>1</v>
      </c>
      <c r="AI10" t="e">
        <f t="shared" si="8"/>
        <v>#N/A</v>
      </c>
      <c r="AJ10">
        <f t="shared" si="9"/>
        <v>-1</v>
      </c>
      <c r="AK10" t="e">
        <f t="shared" si="10"/>
        <v>#N/A</v>
      </c>
      <c r="AL10">
        <f t="shared" si="11"/>
        <v>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">
        <f t="shared" si="13"/>
        <v>3.75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7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" cm="1">
        <f t="array" ref="X11">ABS(INDEX($F$4:$T$263,ROW(A8),MATCH($W$2,$F$3:$T$3,0))-INDEX($F$4:$T$263,ROW(A7),MATCH($W$2,$F$3:$T$3,0)))</f>
        <v>7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">
        <f t="shared" si="0"/>
        <v>4.5803782505910169</v>
      </c>
      <c r="AA11">
        <f t="shared" si="1"/>
        <v>0</v>
      </c>
      <c r="AB11">
        <f t="shared" si="2"/>
        <v>3.1725768321513002</v>
      </c>
      <c r="AC11">
        <f t="shared" si="3"/>
        <v>7.752955082742317</v>
      </c>
      <c r="AD11">
        <f t="shared" si="4"/>
        <v>16.91371158392435</v>
      </c>
      <c r="AE11">
        <f t="shared" si="5"/>
        <v>21.494089834515368</v>
      </c>
      <c r="AF11">
        <f t="shared" si="6"/>
        <v>26.074468085106382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">
        <f t="shared" si="13"/>
        <v>3.75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13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" cm="1">
        <f t="array" ref="X12">ABS(INDEX($F$4:$T$263,ROW(A9),MATCH($W$2,$F$3:$T$3,0))-INDEX($F$4:$T$263,ROW(A8),MATCH($W$2,$F$3:$T$3,0)))</f>
        <v>6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">
        <f t="shared" si="0"/>
        <v>4.5803782505910169</v>
      </c>
      <c r="AA12">
        <f t="shared" si="1"/>
        <v>0</v>
      </c>
      <c r="AB12">
        <f t="shared" si="2"/>
        <v>3.1725768321513002</v>
      </c>
      <c r="AC12">
        <f t="shared" si="3"/>
        <v>7.752955082742317</v>
      </c>
      <c r="AD12">
        <f t="shared" si="4"/>
        <v>16.91371158392435</v>
      </c>
      <c r="AE12">
        <f t="shared" si="5"/>
        <v>21.494089834515368</v>
      </c>
      <c r="AF12">
        <f t="shared" si="6"/>
        <v>26.074468085106382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">
        <f t="shared" si="13"/>
        <v>3.75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13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">
        <f t="shared" si="0"/>
        <v>4.5803782505910169</v>
      </c>
      <c r="AA13">
        <f t="shared" si="1"/>
        <v>0</v>
      </c>
      <c r="AB13">
        <f t="shared" si="2"/>
        <v>3.1725768321513002</v>
      </c>
      <c r="AC13">
        <f t="shared" si="3"/>
        <v>7.752955082742317</v>
      </c>
      <c r="AD13">
        <f t="shared" si="4"/>
        <v>16.91371158392435</v>
      </c>
      <c r="AE13">
        <f t="shared" si="5"/>
        <v>21.494089834515368</v>
      </c>
      <c r="AF13">
        <f t="shared" si="6"/>
        <v>26.074468085106382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">
        <f t="shared" si="13"/>
        <v>3.75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18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" cm="1">
        <f t="array" ref="X14">ABS(INDEX($F$4:$T$263,ROW(A11),MATCH($W$2,$F$3:$T$3,0))-INDEX($F$4:$T$263,ROW(A10),MATCH($W$2,$F$3:$T$3,0)))</f>
        <v>5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">
        <f t="shared" si="0"/>
        <v>4.5803782505910169</v>
      </c>
      <c r="AA14">
        <f t="shared" si="1"/>
        <v>0</v>
      </c>
      <c r="AB14">
        <f t="shared" si="2"/>
        <v>3.1725768321513002</v>
      </c>
      <c r="AC14">
        <f t="shared" si="3"/>
        <v>7.752955082742317</v>
      </c>
      <c r="AD14">
        <f t="shared" si="4"/>
        <v>16.91371158392435</v>
      </c>
      <c r="AE14">
        <f t="shared" si="5"/>
        <v>21.494089834515368</v>
      </c>
      <c r="AF14">
        <f t="shared" si="6"/>
        <v>26.074468085106382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">
        <f t="shared" si="13"/>
        <v>3.75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18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" cm="1">
        <f t="array" ref="X15">ABS(INDEX($F$4:$T$263,ROW(A12),MATCH($W$2,$F$3:$T$3,0))-INDEX($F$4:$T$263,ROW(A11),MATCH($W$2,$F$3:$T$3,0)))</f>
        <v>0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">
        <f t="shared" si="0"/>
        <v>4.5803782505910169</v>
      </c>
      <c r="AA15">
        <f t="shared" si="1"/>
        <v>0</v>
      </c>
      <c r="AB15">
        <f t="shared" si="2"/>
        <v>3.1725768321513002</v>
      </c>
      <c r="AC15">
        <f t="shared" si="3"/>
        <v>7.752955082742317</v>
      </c>
      <c r="AD15">
        <f t="shared" si="4"/>
        <v>16.91371158392435</v>
      </c>
      <c r="AE15">
        <f t="shared" si="5"/>
        <v>21.494089834515368</v>
      </c>
      <c r="AF15">
        <f t="shared" si="6"/>
        <v>26.074468085106382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">
        <f t="shared" si="13"/>
        <v>3.75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5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" cm="1">
        <f t="array" ref="X16">ABS(INDEX($F$4:$T$263,ROW(A13),MATCH($W$2,$F$3:$T$3,0))-INDEX($F$4:$T$263,ROW(A12),MATCH($W$2,$F$3:$T$3,0)))</f>
        <v>13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">
        <f t="shared" si="0"/>
        <v>4.5803782505910169</v>
      </c>
      <c r="AA16">
        <f t="shared" si="1"/>
        <v>0</v>
      </c>
      <c r="AB16">
        <f t="shared" si="2"/>
        <v>3.1725768321513002</v>
      </c>
      <c r="AC16">
        <f t="shared" si="3"/>
        <v>7.752955082742317</v>
      </c>
      <c r="AD16">
        <f t="shared" si="4"/>
        <v>16.91371158392435</v>
      </c>
      <c r="AE16">
        <f t="shared" si="5"/>
        <v>21.494089834515368</v>
      </c>
      <c r="AF16">
        <f t="shared" si="6"/>
        <v>26.074468085106382</v>
      </c>
      <c r="AG16" t="e">
        <f t="shared" si="7"/>
        <v>#N/A</v>
      </c>
      <c r="AH16">
        <f t="shared" si="14"/>
        <v>-1</v>
      </c>
      <c r="AI16">
        <f t="shared" si="8"/>
        <v>5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5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">
        <f t="shared" si="13"/>
        <v>3.75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" cm="1">
        <f t="array" ref="X17">ABS(INDEX($F$4:$T$263,ROW(A14),MATCH($W$2,$F$3:$T$3,0))-INDEX($F$4:$T$263,ROW(A13),MATCH($W$2,$F$3:$T$3,0)))</f>
        <v>5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">
        <f t="shared" si="0"/>
        <v>4.5803782505910169</v>
      </c>
      <c r="AA17">
        <f t="shared" si="1"/>
        <v>0</v>
      </c>
      <c r="AB17">
        <f t="shared" si="2"/>
        <v>3.1725768321513002</v>
      </c>
      <c r="AC17">
        <f t="shared" si="3"/>
        <v>7.752955082742317</v>
      </c>
      <c r="AD17">
        <f t="shared" si="4"/>
        <v>16.91371158392435</v>
      </c>
      <c r="AE17">
        <f t="shared" si="5"/>
        <v>21.494089834515368</v>
      </c>
      <c r="AF17">
        <f t="shared" si="6"/>
        <v>26.074468085106382</v>
      </c>
      <c r="AG17" t="e">
        <f t="shared" si="7"/>
        <v>#N/A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">
        <f t="shared" si="13"/>
        <v>3.75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">
        <f t="shared" si="0"/>
        <v>4.5803782505910169</v>
      </c>
      <c r="AA18">
        <f t="shared" si="1"/>
        <v>0</v>
      </c>
      <c r="AB18">
        <f t="shared" si="2"/>
        <v>3.1725768321513002</v>
      </c>
      <c r="AC18">
        <f t="shared" si="3"/>
        <v>7.752955082742317</v>
      </c>
      <c r="AD18">
        <f t="shared" si="4"/>
        <v>16.91371158392435</v>
      </c>
      <c r="AE18">
        <f t="shared" si="5"/>
        <v>21.494089834515368</v>
      </c>
      <c r="AF18">
        <f t="shared" si="6"/>
        <v>26.074468085106382</v>
      </c>
      <c r="AG18" t="e">
        <f t="shared" si="7"/>
        <v>#N/A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">
        <f t="shared" si="13"/>
        <v>3.75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">
        <f t="shared" si="0"/>
        <v>4.5803782505910169</v>
      </c>
      <c r="AA19">
        <f t="shared" si="1"/>
        <v>0</v>
      </c>
      <c r="AB19">
        <f t="shared" si="2"/>
        <v>3.1725768321513002</v>
      </c>
      <c r="AC19">
        <f t="shared" si="3"/>
        <v>7.752955082742317</v>
      </c>
      <c r="AD19">
        <f t="shared" si="4"/>
        <v>16.91371158392435</v>
      </c>
      <c r="AE19">
        <f t="shared" si="5"/>
        <v>21.494089834515368</v>
      </c>
      <c r="AF19">
        <f t="shared" si="6"/>
        <v>26.074468085106382</v>
      </c>
      <c r="AG19" t="e">
        <f t="shared" si="7"/>
        <v>#N/A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">
        <f t="shared" si="13"/>
        <v>3.75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">
        <f t="shared" si="0"/>
        <v>4.5803782505910169</v>
      </c>
      <c r="AA20">
        <f t="shared" si="1"/>
        <v>0</v>
      </c>
      <c r="AB20">
        <f t="shared" si="2"/>
        <v>3.1725768321513002</v>
      </c>
      <c r="AC20">
        <f t="shared" si="3"/>
        <v>7.752955082742317</v>
      </c>
      <c r="AD20">
        <f t="shared" si="4"/>
        <v>16.91371158392435</v>
      </c>
      <c r="AE20">
        <f t="shared" si="5"/>
        <v>21.494089834515368</v>
      </c>
      <c r="AF20">
        <f t="shared" si="6"/>
        <v>26.074468085106382</v>
      </c>
      <c r="AG20" t="e">
        <f t="shared" si="7"/>
        <v>#N/A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">
        <f t="shared" si="13"/>
        <v>3.75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">
        <f t="shared" si="0"/>
        <v>4.5803782505910169</v>
      </c>
      <c r="AA21">
        <f t="shared" si="1"/>
        <v>0</v>
      </c>
      <c r="AB21">
        <f t="shared" si="2"/>
        <v>3.1725768321513002</v>
      </c>
      <c r="AC21">
        <f t="shared" si="3"/>
        <v>7.752955082742317</v>
      </c>
      <c r="AD21">
        <f t="shared" si="4"/>
        <v>16.91371158392435</v>
      </c>
      <c r="AE21">
        <f t="shared" si="5"/>
        <v>21.494089834515368</v>
      </c>
      <c r="AF21">
        <f t="shared" si="6"/>
        <v>26.074468085106382</v>
      </c>
      <c r="AG21" t="e">
        <f t="shared" si="7"/>
        <v>#N/A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">
        <f t="shared" si="13"/>
        <v>3.75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">
        <f t="shared" si="0"/>
        <v>4.5803782505910169</v>
      </c>
      <c r="AA22">
        <f t="shared" si="1"/>
        <v>0</v>
      </c>
      <c r="AB22">
        <f t="shared" si="2"/>
        <v>3.1725768321513002</v>
      </c>
      <c r="AC22">
        <f t="shared" si="3"/>
        <v>7.752955082742317</v>
      </c>
      <c r="AD22">
        <f t="shared" si="4"/>
        <v>16.91371158392435</v>
      </c>
      <c r="AE22">
        <f t="shared" si="5"/>
        <v>21.494089834515368</v>
      </c>
      <c r="AF22">
        <f t="shared" si="6"/>
        <v>26.074468085106382</v>
      </c>
      <c r="AG22" t="e">
        <f t="shared" si="7"/>
        <v>#N/A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">
        <f t="shared" si="13"/>
        <v>3.75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">
        <f t="shared" si="0"/>
        <v>4.5803782505910169</v>
      </c>
      <c r="AA23">
        <f t="shared" si="1"/>
        <v>0</v>
      </c>
      <c r="AB23">
        <f t="shared" si="2"/>
        <v>3.1725768321513002</v>
      </c>
      <c r="AC23">
        <f t="shared" si="3"/>
        <v>7.752955082742317</v>
      </c>
      <c r="AD23">
        <f t="shared" si="4"/>
        <v>16.91371158392435</v>
      </c>
      <c r="AE23">
        <f t="shared" si="5"/>
        <v>21.494089834515368</v>
      </c>
      <c r="AF23">
        <f t="shared" si="6"/>
        <v>26.074468085106382</v>
      </c>
      <c r="AG23" t="e">
        <f t="shared" si="7"/>
        <v>#N/A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">
        <f t="shared" si="13"/>
        <v>3.75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">
        <f t="shared" si="0"/>
        <v>4.5803782505910169</v>
      </c>
      <c r="AA24">
        <f t="shared" si="1"/>
        <v>0</v>
      </c>
      <c r="AB24">
        <f t="shared" si="2"/>
        <v>3.1725768321513002</v>
      </c>
      <c r="AC24">
        <f t="shared" si="3"/>
        <v>7.752955082742317</v>
      </c>
      <c r="AD24">
        <f t="shared" si="4"/>
        <v>16.91371158392435</v>
      </c>
      <c r="AE24">
        <f t="shared" si="5"/>
        <v>21.494089834515368</v>
      </c>
      <c r="AF24">
        <f t="shared" si="6"/>
        <v>26.074468085106382</v>
      </c>
      <c r="AG24" t="e">
        <f t="shared" si="7"/>
        <v>#N/A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">
        <f t="shared" si="13"/>
        <v>3.75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">
        <f t="shared" si="0"/>
        <v>4.5803782505910169</v>
      </c>
      <c r="AA25">
        <f t="shared" si="1"/>
        <v>0</v>
      </c>
      <c r="AB25">
        <f t="shared" si="2"/>
        <v>3.1725768321513002</v>
      </c>
      <c r="AC25">
        <f t="shared" si="3"/>
        <v>7.752955082742317</v>
      </c>
      <c r="AD25">
        <f t="shared" si="4"/>
        <v>16.91371158392435</v>
      </c>
      <c r="AE25">
        <f t="shared" si="5"/>
        <v>21.494089834515368</v>
      </c>
      <c r="AF25">
        <f t="shared" si="6"/>
        <v>26.074468085106382</v>
      </c>
      <c r="AG25" t="e">
        <f t="shared" si="7"/>
        <v>#N/A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">
        <f t="shared" si="13"/>
        <v>3.75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">
        <f t="shared" si="0"/>
        <v>4.5803782505910169</v>
      </c>
      <c r="AA26">
        <f t="shared" si="1"/>
        <v>0</v>
      </c>
      <c r="AB26">
        <f t="shared" si="2"/>
        <v>3.1725768321513002</v>
      </c>
      <c r="AC26">
        <f t="shared" si="3"/>
        <v>7.752955082742317</v>
      </c>
      <c r="AD26">
        <f t="shared" si="4"/>
        <v>16.91371158392435</v>
      </c>
      <c r="AE26">
        <f t="shared" si="5"/>
        <v>21.494089834515368</v>
      </c>
      <c r="AF26">
        <f t="shared" si="6"/>
        <v>26.074468085106382</v>
      </c>
      <c r="AG26" t="e">
        <f t="shared" si="7"/>
        <v>#N/A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">
        <f t="shared" si="13"/>
        <v>3.75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7">
        <f t="shared" si="0"/>
        <v>4.5803782505910169</v>
      </c>
      <c r="AA27">
        <f t="shared" si="1"/>
        <v>0</v>
      </c>
      <c r="AB27">
        <f t="shared" si="2"/>
        <v>3.1725768321513002</v>
      </c>
      <c r="AC27">
        <f t="shared" si="3"/>
        <v>7.752955082742317</v>
      </c>
      <c r="AD27">
        <f t="shared" si="4"/>
        <v>16.91371158392435</v>
      </c>
      <c r="AE27">
        <f t="shared" si="5"/>
        <v>21.494089834515368</v>
      </c>
      <c r="AF27">
        <f t="shared" si="6"/>
        <v>26.074468085106382</v>
      </c>
      <c r="AG27" t="e">
        <f t="shared" si="7"/>
        <v>#N/A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7">
        <f t="shared" si="13"/>
        <v>3.75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8">
        <f t="shared" si="0"/>
        <v>4.5803782505910169</v>
      </c>
      <c r="AA28">
        <f t="shared" si="1"/>
        <v>0</v>
      </c>
      <c r="AB28">
        <f t="shared" si="2"/>
        <v>3.1725768321513002</v>
      </c>
      <c r="AC28">
        <f t="shared" si="3"/>
        <v>7.752955082742317</v>
      </c>
      <c r="AD28">
        <f t="shared" si="4"/>
        <v>16.91371158392435</v>
      </c>
      <c r="AE28">
        <f t="shared" si="5"/>
        <v>21.494089834515368</v>
      </c>
      <c r="AF28">
        <f t="shared" si="6"/>
        <v>26.074468085106382</v>
      </c>
      <c r="AG28" t="e">
        <f t="shared" si="7"/>
        <v>#N/A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8">
        <f t="shared" si="13"/>
        <v>3.75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9">
        <f t="shared" si="0"/>
        <v>4.5803782505910169</v>
      </c>
      <c r="AA29">
        <f t="shared" si="1"/>
        <v>0</v>
      </c>
      <c r="AB29">
        <f t="shared" si="2"/>
        <v>3.1725768321513002</v>
      </c>
      <c r="AC29">
        <f t="shared" si="3"/>
        <v>7.752955082742317</v>
      </c>
      <c r="AD29">
        <f t="shared" si="4"/>
        <v>16.91371158392435</v>
      </c>
      <c r="AE29">
        <f t="shared" si="5"/>
        <v>21.494089834515368</v>
      </c>
      <c r="AF29">
        <f t="shared" si="6"/>
        <v>26.074468085106382</v>
      </c>
      <c r="AG29" t="e">
        <f t="shared" si="7"/>
        <v>#N/A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9">
        <f t="shared" si="13"/>
        <v>3.75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0">
        <f t="shared" si="0"/>
        <v>4.5803782505910169</v>
      </c>
      <c r="AA30">
        <f t="shared" si="1"/>
        <v>0</v>
      </c>
      <c r="AB30">
        <f t="shared" si="2"/>
        <v>3.1725768321513002</v>
      </c>
      <c r="AC30">
        <f t="shared" si="3"/>
        <v>7.752955082742317</v>
      </c>
      <c r="AD30">
        <f t="shared" si="4"/>
        <v>16.91371158392435</v>
      </c>
      <c r="AE30">
        <f t="shared" si="5"/>
        <v>21.494089834515368</v>
      </c>
      <c r="AF30">
        <f t="shared" si="6"/>
        <v>26.074468085106382</v>
      </c>
      <c r="AG30" t="e">
        <f t="shared" si="7"/>
        <v>#N/A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0">
        <f t="shared" si="13"/>
        <v>3.75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1">
        <f t="shared" si="0"/>
        <v>4.5803782505910169</v>
      </c>
      <c r="AA31">
        <f t="shared" si="1"/>
        <v>0</v>
      </c>
      <c r="AB31">
        <f t="shared" si="2"/>
        <v>3.1725768321513002</v>
      </c>
      <c r="AC31">
        <f t="shared" si="3"/>
        <v>7.752955082742317</v>
      </c>
      <c r="AD31">
        <f t="shared" si="4"/>
        <v>16.91371158392435</v>
      </c>
      <c r="AE31">
        <f t="shared" si="5"/>
        <v>21.494089834515368</v>
      </c>
      <c r="AF31">
        <f t="shared" si="6"/>
        <v>26.074468085106382</v>
      </c>
      <c r="AG31" t="e">
        <f t="shared" si="7"/>
        <v>#N/A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1">
        <f t="shared" si="13"/>
        <v>3.75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2">
        <f t="shared" si="0"/>
        <v>4.5803782505910169</v>
      </c>
      <c r="AA32">
        <f t="shared" si="1"/>
        <v>0</v>
      </c>
      <c r="AB32">
        <f t="shared" si="2"/>
        <v>3.1725768321513002</v>
      </c>
      <c r="AC32">
        <f t="shared" si="3"/>
        <v>7.752955082742317</v>
      </c>
      <c r="AD32">
        <f t="shared" si="4"/>
        <v>16.91371158392435</v>
      </c>
      <c r="AE32">
        <f t="shared" si="5"/>
        <v>21.494089834515368</v>
      </c>
      <c r="AF32">
        <f t="shared" si="6"/>
        <v>26.074468085106382</v>
      </c>
      <c r="AG32" t="e">
        <f t="shared" si="7"/>
        <v>#N/A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2">
        <f t="shared" si="13"/>
        <v>3.75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3">
        <f t="shared" si="0"/>
        <v>4.5803782505910169</v>
      </c>
      <c r="AA33">
        <f t="shared" si="1"/>
        <v>0</v>
      </c>
      <c r="AB33">
        <f t="shared" si="2"/>
        <v>3.1725768321513002</v>
      </c>
      <c r="AC33">
        <f t="shared" si="3"/>
        <v>7.752955082742317</v>
      </c>
      <c r="AD33">
        <f t="shared" si="4"/>
        <v>16.91371158392435</v>
      </c>
      <c r="AE33">
        <f t="shared" si="5"/>
        <v>21.494089834515368</v>
      </c>
      <c r="AF33">
        <f t="shared" si="6"/>
        <v>26.074468085106382</v>
      </c>
      <c r="AG33" t="e">
        <f t="shared" si="7"/>
        <v>#N/A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3">
        <f t="shared" si="13"/>
        <v>3.75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4">
        <f t="shared" si="0"/>
        <v>4.5803782505910169</v>
      </c>
      <c r="AA34">
        <f t="shared" si="1"/>
        <v>0</v>
      </c>
      <c r="AB34">
        <f t="shared" si="2"/>
        <v>3.1725768321513002</v>
      </c>
      <c r="AC34">
        <f t="shared" si="3"/>
        <v>7.752955082742317</v>
      </c>
      <c r="AD34">
        <f t="shared" si="4"/>
        <v>16.91371158392435</v>
      </c>
      <c r="AE34">
        <f t="shared" si="5"/>
        <v>21.494089834515368</v>
      </c>
      <c r="AF34">
        <f t="shared" si="6"/>
        <v>26.074468085106382</v>
      </c>
      <c r="AG34" t="e">
        <f t="shared" si="7"/>
        <v>#N/A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4">
        <f t="shared" si="13"/>
        <v>3.75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5">
        <f t="shared" si="0"/>
        <v>4.5803782505910169</v>
      </c>
      <c r="AA35">
        <f t="shared" si="1"/>
        <v>0</v>
      </c>
      <c r="AB35">
        <f t="shared" si="2"/>
        <v>3.1725768321513002</v>
      </c>
      <c r="AC35">
        <f t="shared" si="3"/>
        <v>7.752955082742317</v>
      </c>
      <c r="AD35">
        <f t="shared" si="4"/>
        <v>16.91371158392435</v>
      </c>
      <c r="AE35">
        <f t="shared" si="5"/>
        <v>21.494089834515368</v>
      </c>
      <c r="AF35">
        <f t="shared" si="6"/>
        <v>26.074468085106382</v>
      </c>
      <c r="AG35" t="e">
        <f t="shared" si="7"/>
        <v>#N/A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5">
        <f t="shared" si="13"/>
        <v>3.75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6">
        <f t="shared" si="0"/>
        <v>4.5803782505910169</v>
      </c>
      <c r="AA36">
        <f t="shared" si="1"/>
        <v>0</v>
      </c>
      <c r="AB36">
        <f t="shared" si="2"/>
        <v>3.1725768321513002</v>
      </c>
      <c r="AC36">
        <f t="shared" si="3"/>
        <v>7.752955082742317</v>
      </c>
      <c r="AD36">
        <f t="shared" si="4"/>
        <v>16.91371158392435</v>
      </c>
      <c r="AE36">
        <f t="shared" si="5"/>
        <v>21.494089834515368</v>
      </c>
      <c r="AF36">
        <f t="shared" si="6"/>
        <v>26.074468085106382</v>
      </c>
      <c r="AG36" t="e">
        <f t="shared" si="7"/>
        <v>#N/A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6">
        <f t="shared" si="13"/>
        <v>3.75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7">
        <f t="shared" si="0"/>
        <v>4.5803782505910169</v>
      </c>
      <c r="AA37">
        <f t="shared" si="1"/>
        <v>0</v>
      </c>
      <c r="AB37">
        <f t="shared" si="2"/>
        <v>3.1725768321513002</v>
      </c>
      <c r="AC37">
        <f t="shared" si="3"/>
        <v>7.752955082742317</v>
      </c>
      <c r="AD37">
        <f t="shared" si="4"/>
        <v>16.91371158392435</v>
      </c>
      <c r="AE37">
        <f t="shared" si="5"/>
        <v>21.494089834515368</v>
      </c>
      <c r="AF37">
        <f t="shared" si="6"/>
        <v>26.074468085106382</v>
      </c>
      <c r="AG37" t="e">
        <f t="shared" si="7"/>
        <v>#N/A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7">
        <f t="shared" si="13"/>
        <v>3.75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8">
        <f t="shared" si="0"/>
        <v>4.5803782505910169</v>
      </c>
      <c r="AA38">
        <f t="shared" si="1"/>
        <v>0</v>
      </c>
      <c r="AB38">
        <f t="shared" si="2"/>
        <v>3.1725768321513002</v>
      </c>
      <c r="AC38">
        <f t="shared" si="3"/>
        <v>7.752955082742317</v>
      </c>
      <c r="AD38">
        <f t="shared" si="4"/>
        <v>16.91371158392435</v>
      </c>
      <c r="AE38">
        <f t="shared" si="5"/>
        <v>21.494089834515368</v>
      </c>
      <c r="AF38">
        <f t="shared" si="6"/>
        <v>26.074468085106382</v>
      </c>
      <c r="AG38" t="e">
        <f t="shared" si="7"/>
        <v>#N/A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8">
        <f t="shared" si="13"/>
        <v>3.75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9">
        <f t="shared" si="0"/>
        <v>4.5803782505910169</v>
      </c>
      <c r="AA39">
        <f t="shared" si="1"/>
        <v>0</v>
      </c>
      <c r="AB39">
        <f t="shared" si="2"/>
        <v>3.1725768321513002</v>
      </c>
      <c r="AC39">
        <f t="shared" si="3"/>
        <v>7.752955082742317</v>
      </c>
      <c r="AD39">
        <f t="shared" si="4"/>
        <v>16.91371158392435</v>
      </c>
      <c r="AE39">
        <f t="shared" si="5"/>
        <v>21.494089834515368</v>
      </c>
      <c r="AF39">
        <f t="shared" si="6"/>
        <v>26.074468085106382</v>
      </c>
      <c r="AG39" t="e">
        <f t="shared" si="7"/>
        <v>#N/A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9">
        <f t="shared" si="13"/>
        <v>3.75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0">
        <f t="shared" si="0"/>
        <v>4.5803782505910169</v>
      </c>
      <c r="AA40">
        <f t="shared" si="1"/>
        <v>0</v>
      </c>
      <c r="AB40">
        <f t="shared" si="2"/>
        <v>3.1725768321513002</v>
      </c>
      <c r="AC40">
        <f t="shared" si="3"/>
        <v>7.752955082742317</v>
      </c>
      <c r="AD40">
        <f t="shared" si="4"/>
        <v>16.91371158392435</v>
      </c>
      <c r="AE40">
        <f t="shared" si="5"/>
        <v>21.494089834515368</v>
      </c>
      <c r="AF40">
        <f t="shared" si="6"/>
        <v>26.074468085106382</v>
      </c>
      <c r="AG40" t="e">
        <f t="shared" si="7"/>
        <v>#N/A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0">
        <f t="shared" si="13"/>
        <v>3.75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1">
        <f t="shared" si="0"/>
        <v>4.5803782505910169</v>
      </c>
      <c r="AA41">
        <f t="shared" si="1"/>
        <v>0</v>
      </c>
      <c r="AB41">
        <f t="shared" si="2"/>
        <v>3.1725768321513002</v>
      </c>
      <c r="AC41">
        <f t="shared" si="3"/>
        <v>7.752955082742317</v>
      </c>
      <c r="AD41">
        <f t="shared" si="4"/>
        <v>16.91371158392435</v>
      </c>
      <c r="AE41">
        <f t="shared" si="5"/>
        <v>21.494089834515368</v>
      </c>
      <c r="AF41">
        <f t="shared" si="6"/>
        <v>26.074468085106382</v>
      </c>
      <c r="AG41" t="e">
        <f t="shared" si="7"/>
        <v>#N/A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1">
        <f t="shared" si="13"/>
        <v>3.75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2">
        <f t="shared" si="0"/>
        <v>4.5803782505910169</v>
      </c>
      <c r="AA42">
        <f t="shared" si="1"/>
        <v>0</v>
      </c>
      <c r="AB42">
        <f t="shared" si="2"/>
        <v>3.1725768321513002</v>
      </c>
      <c r="AC42">
        <f t="shared" si="3"/>
        <v>7.752955082742317</v>
      </c>
      <c r="AD42">
        <f t="shared" si="4"/>
        <v>16.91371158392435</v>
      </c>
      <c r="AE42">
        <f t="shared" si="5"/>
        <v>21.494089834515368</v>
      </c>
      <c r="AF42">
        <f t="shared" si="6"/>
        <v>26.074468085106382</v>
      </c>
      <c r="AG42" t="e">
        <f t="shared" si="7"/>
        <v>#N/A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2">
        <f t="shared" si="13"/>
        <v>3.75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3">
        <f t="shared" si="0"/>
        <v>4.5803782505910169</v>
      </c>
      <c r="AA43">
        <f t="shared" si="1"/>
        <v>0</v>
      </c>
      <c r="AB43">
        <f t="shared" si="2"/>
        <v>3.1725768321513002</v>
      </c>
      <c r="AC43">
        <f t="shared" si="3"/>
        <v>7.752955082742317</v>
      </c>
      <c r="AD43">
        <f t="shared" si="4"/>
        <v>16.91371158392435</v>
      </c>
      <c r="AE43">
        <f t="shared" si="5"/>
        <v>21.494089834515368</v>
      </c>
      <c r="AF43">
        <f t="shared" si="6"/>
        <v>26.074468085106382</v>
      </c>
      <c r="AG43" t="e">
        <f t="shared" si="7"/>
        <v>#N/A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3">
        <f t="shared" si="13"/>
        <v>3.75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4">
        <f t="shared" si="0"/>
        <v>4.5803782505910169</v>
      </c>
      <c r="AA44">
        <f t="shared" si="1"/>
        <v>0</v>
      </c>
      <c r="AB44">
        <f t="shared" si="2"/>
        <v>3.1725768321513002</v>
      </c>
      <c r="AC44">
        <f t="shared" si="3"/>
        <v>7.752955082742317</v>
      </c>
      <c r="AD44">
        <f t="shared" si="4"/>
        <v>16.91371158392435</v>
      </c>
      <c r="AE44">
        <f t="shared" si="5"/>
        <v>21.494089834515368</v>
      </c>
      <c r="AF44">
        <f t="shared" si="6"/>
        <v>26.074468085106382</v>
      </c>
      <c r="AG44" t="e">
        <f t="shared" si="7"/>
        <v>#N/A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4">
        <f t="shared" si="13"/>
        <v>3.75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5">
        <f t="shared" si="0"/>
        <v>4.5803782505910169</v>
      </c>
      <c r="AA45">
        <f t="shared" si="1"/>
        <v>0</v>
      </c>
      <c r="AB45">
        <f t="shared" si="2"/>
        <v>3.1725768321513002</v>
      </c>
      <c r="AC45">
        <f t="shared" si="3"/>
        <v>7.752955082742317</v>
      </c>
      <c r="AD45">
        <f t="shared" si="4"/>
        <v>16.91371158392435</v>
      </c>
      <c r="AE45">
        <f t="shared" si="5"/>
        <v>21.494089834515368</v>
      </c>
      <c r="AF45">
        <f t="shared" si="6"/>
        <v>26.074468085106382</v>
      </c>
      <c r="AG45" t="e">
        <f t="shared" si="7"/>
        <v>#N/A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5">
        <f t="shared" si="13"/>
        <v>3.75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6">
        <f t="shared" si="0"/>
        <v>4.5803782505910169</v>
      </c>
      <c r="AA46">
        <f t="shared" si="1"/>
        <v>0</v>
      </c>
      <c r="AB46">
        <f t="shared" si="2"/>
        <v>3.1725768321513002</v>
      </c>
      <c r="AC46">
        <f t="shared" si="3"/>
        <v>7.752955082742317</v>
      </c>
      <c r="AD46">
        <f t="shared" si="4"/>
        <v>16.91371158392435</v>
      </c>
      <c r="AE46">
        <f t="shared" si="5"/>
        <v>21.494089834515368</v>
      </c>
      <c r="AF46">
        <f t="shared" si="6"/>
        <v>26.074468085106382</v>
      </c>
      <c r="AG46" t="e">
        <f t="shared" si="7"/>
        <v>#N/A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6">
        <f t="shared" si="13"/>
        <v>3.75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7">
        <f t="shared" si="0"/>
        <v>4.5803782505910169</v>
      </c>
      <c r="AA47">
        <f t="shared" si="1"/>
        <v>0</v>
      </c>
      <c r="AB47">
        <f t="shared" si="2"/>
        <v>3.1725768321513002</v>
      </c>
      <c r="AC47">
        <f t="shared" si="3"/>
        <v>7.752955082742317</v>
      </c>
      <c r="AD47">
        <f t="shared" si="4"/>
        <v>16.91371158392435</v>
      </c>
      <c r="AE47">
        <f t="shared" si="5"/>
        <v>21.494089834515368</v>
      </c>
      <c r="AF47">
        <f t="shared" si="6"/>
        <v>26.074468085106382</v>
      </c>
      <c r="AG47" t="e">
        <f t="shared" si="7"/>
        <v>#N/A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7">
        <f t="shared" si="13"/>
        <v>3.75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8">
        <f t="shared" si="0"/>
        <v>4.5803782505910169</v>
      </c>
      <c r="AA48">
        <f t="shared" si="1"/>
        <v>0</v>
      </c>
      <c r="AB48">
        <f t="shared" si="2"/>
        <v>3.1725768321513002</v>
      </c>
      <c r="AC48">
        <f t="shared" si="3"/>
        <v>7.752955082742317</v>
      </c>
      <c r="AD48">
        <f t="shared" si="4"/>
        <v>16.91371158392435</v>
      </c>
      <c r="AE48">
        <f t="shared" si="5"/>
        <v>21.494089834515368</v>
      </c>
      <c r="AF48">
        <f t="shared" si="6"/>
        <v>26.074468085106382</v>
      </c>
      <c r="AG48" t="e">
        <f t="shared" si="7"/>
        <v>#N/A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8">
        <f t="shared" si="13"/>
        <v>3.75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9">
        <f t="shared" si="0"/>
        <v>4.5803782505910169</v>
      </c>
      <c r="AA49">
        <f t="shared" si="1"/>
        <v>0</v>
      </c>
      <c r="AB49">
        <f t="shared" si="2"/>
        <v>3.1725768321513002</v>
      </c>
      <c r="AC49">
        <f t="shared" si="3"/>
        <v>7.752955082742317</v>
      </c>
      <c r="AD49">
        <f t="shared" si="4"/>
        <v>16.91371158392435</v>
      </c>
      <c r="AE49">
        <f t="shared" si="5"/>
        <v>21.494089834515368</v>
      </c>
      <c r="AF49">
        <f t="shared" si="6"/>
        <v>26.074468085106382</v>
      </c>
      <c r="AG49" t="e">
        <f t="shared" si="7"/>
        <v>#N/A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9">
        <f t="shared" si="13"/>
        <v>3.75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0">
        <f t="shared" si="0"/>
        <v>4.5803782505910169</v>
      </c>
      <c r="AA50">
        <f t="shared" si="1"/>
        <v>0</v>
      </c>
      <c r="AB50">
        <f t="shared" si="2"/>
        <v>3.1725768321513002</v>
      </c>
      <c r="AC50">
        <f t="shared" si="3"/>
        <v>7.752955082742317</v>
      </c>
      <c r="AD50">
        <f t="shared" si="4"/>
        <v>16.91371158392435</v>
      </c>
      <c r="AE50">
        <f t="shared" si="5"/>
        <v>21.494089834515368</v>
      </c>
      <c r="AF50">
        <f t="shared" si="6"/>
        <v>26.074468085106382</v>
      </c>
      <c r="AG50" t="e">
        <f t="shared" si="7"/>
        <v>#N/A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0">
        <f t="shared" si="13"/>
        <v>3.75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1">
        <f t="shared" si="0"/>
        <v>4.5803782505910169</v>
      </c>
      <c r="AA51">
        <f t="shared" si="1"/>
        <v>0</v>
      </c>
      <c r="AB51">
        <f t="shared" si="2"/>
        <v>3.1725768321513002</v>
      </c>
      <c r="AC51">
        <f t="shared" si="3"/>
        <v>7.752955082742317</v>
      </c>
      <c r="AD51">
        <f t="shared" si="4"/>
        <v>16.91371158392435</v>
      </c>
      <c r="AE51">
        <f t="shared" si="5"/>
        <v>21.494089834515368</v>
      </c>
      <c r="AF51">
        <f t="shared" si="6"/>
        <v>26.074468085106382</v>
      </c>
      <c r="AG51" t="e">
        <f t="shared" si="7"/>
        <v>#N/A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1">
        <f t="shared" si="13"/>
        <v>3.75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2">
        <f t="shared" si="0"/>
        <v>4.5803782505910169</v>
      </c>
      <c r="AA52">
        <f t="shared" si="1"/>
        <v>0</v>
      </c>
      <c r="AB52">
        <f t="shared" si="2"/>
        <v>3.1725768321513002</v>
      </c>
      <c r="AC52">
        <f t="shared" si="3"/>
        <v>7.752955082742317</v>
      </c>
      <c r="AD52">
        <f t="shared" si="4"/>
        <v>16.91371158392435</v>
      </c>
      <c r="AE52">
        <f t="shared" si="5"/>
        <v>21.494089834515368</v>
      </c>
      <c r="AF52">
        <f t="shared" si="6"/>
        <v>26.074468085106382</v>
      </c>
      <c r="AG52" t="e">
        <f t="shared" si="7"/>
        <v>#N/A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2">
        <f t="shared" si="13"/>
        <v>3.75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3">
        <f t="shared" si="0"/>
        <v>4.5803782505910169</v>
      </c>
      <c r="AA53">
        <f t="shared" si="1"/>
        <v>0</v>
      </c>
      <c r="AB53">
        <f t="shared" si="2"/>
        <v>3.1725768321513002</v>
      </c>
      <c r="AC53">
        <f t="shared" si="3"/>
        <v>7.752955082742317</v>
      </c>
      <c r="AD53">
        <f t="shared" si="4"/>
        <v>16.91371158392435</v>
      </c>
      <c r="AE53">
        <f t="shared" si="5"/>
        <v>21.494089834515368</v>
      </c>
      <c r="AF53">
        <f t="shared" si="6"/>
        <v>26.074468085106382</v>
      </c>
      <c r="AG53" t="e">
        <f t="shared" si="7"/>
        <v>#N/A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3">
        <f t="shared" si="13"/>
        <v>3.75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4">
        <f t="shared" si="0"/>
        <v>4.5803782505910169</v>
      </c>
      <c r="AA54">
        <f t="shared" si="1"/>
        <v>0</v>
      </c>
      <c r="AB54">
        <f t="shared" si="2"/>
        <v>3.1725768321513002</v>
      </c>
      <c r="AC54">
        <f t="shared" si="3"/>
        <v>7.752955082742317</v>
      </c>
      <c r="AD54">
        <f t="shared" si="4"/>
        <v>16.91371158392435</v>
      </c>
      <c r="AE54">
        <f t="shared" si="5"/>
        <v>21.494089834515368</v>
      </c>
      <c r="AF54">
        <f t="shared" si="6"/>
        <v>26.074468085106382</v>
      </c>
      <c r="AG54" t="e">
        <f t="shared" si="7"/>
        <v>#N/A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4">
        <f t="shared" si="13"/>
        <v>3.75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5">
        <f t="shared" si="0"/>
        <v>4.5803782505910169</v>
      </c>
      <c r="AA55">
        <f t="shared" si="1"/>
        <v>0</v>
      </c>
      <c r="AB55">
        <f t="shared" si="2"/>
        <v>3.1725768321513002</v>
      </c>
      <c r="AC55">
        <f t="shared" si="3"/>
        <v>7.752955082742317</v>
      </c>
      <c r="AD55">
        <f t="shared" si="4"/>
        <v>16.91371158392435</v>
      </c>
      <c r="AE55">
        <f t="shared" si="5"/>
        <v>21.494089834515368</v>
      </c>
      <c r="AF55">
        <f t="shared" si="6"/>
        <v>26.074468085106382</v>
      </c>
      <c r="AG55" t="e">
        <f t="shared" si="7"/>
        <v>#N/A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5">
        <f t="shared" si="13"/>
        <v>3.75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6">
        <f t="shared" si="0"/>
        <v>4.5803782505910169</v>
      </c>
      <c r="AA56">
        <f t="shared" si="1"/>
        <v>0</v>
      </c>
      <c r="AB56">
        <f t="shared" si="2"/>
        <v>3.1725768321513002</v>
      </c>
      <c r="AC56">
        <f t="shared" si="3"/>
        <v>7.752955082742317</v>
      </c>
      <c r="AD56">
        <f t="shared" si="4"/>
        <v>16.91371158392435</v>
      </c>
      <c r="AE56">
        <f t="shared" si="5"/>
        <v>21.494089834515368</v>
      </c>
      <c r="AF56">
        <f t="shared" si="6"/>
        <v>26.074468085106382</v>
      </c>
      <c r="AG56" t="e">
        <f t="shared" si="7"/>
        <v>#N/A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6">
        <f t="shared" si="13"/>
        <v>3.75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7">
        <f t="shared" si="0"/>
        <v>4.5803782505910169</v>
      </c>
      <c r="AA57">
        <f t="shared" si="1"/>
        <v>0</v>
      </c>
      <c r="AB57">
        <f t="shared" si="2"/>
        <v>3.1725768321513002</v>
      </c>
      <c r="AC57">
        <f t="shared" si="3"/>
        <v>7.752955082742317</v>
      </c>
      <c r="AD57">
        <f t="shared" si="4"/>
        <v>16.91371158392435</v>
      </c>
      <c r="AE57">
        <f t="shared" si="5"/>
        <v>21.494089834515368</v>
      </c>
      <c r="AF57">
        <f t="shared" si="6"/>
        <v>26.074468085106382</v>
      </c>
      <c r="AG57" t="e">
        <f t="shared" si="7"/>
        <v>#N/A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7">
        <f t="shared" si="13"/>
        <v>3.75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8">
        <f t="shared" si="0"/>
        <v>4.5803782505910169</v>
      </c>
      <c r="AA58">
        <f t="shared" si="1"/>
        <v>0</v>
      </c>
      <c r="AB58">
        <f t="shared" si="2"/>
        <v>3.1725768321513002</v>
      </c>
      <c r="AC58">
        <f t="shared" si="3"/>
        <v>7.752955082742317</v>
      </c>
      <c r="AD58">
        <f t="shared" si="4"/>
        <v>16.91371158392435</v>
      </c>
      <c r="AE58">
        <f t="shared" si="5"/>
        <v>21.494089834515368</v>
      </c>
      <c r="AF58">
        <f t="shared" si="6"/>
        <v>26.074468085106382</v>
      </c>
      <c r="AG58" t="e">
        <f t="shared" si="7"/>
        <v>#N/A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8">
        <f t="shared" si="13"/>
        <v>3.75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9">
        <f t="shared" si="0"/>
        <v>4.5803782505910169</v>
      </c>
      <c r="AA59">
        <f t="shared" si="1"/>
        <v>0</v>
      </c>
      <c r="AB59">
        <f t="shared" si="2"/>
        <v>3.1725768321513002</v>
      </c>
      <c r="AC59">
        <f t="shared" si="3"/>
        <v>7.752955082742317</v>
      </c>
      <c r="AD59">
        <f t="shared" si="4"/>
        <v>16.91371158392435</v>
      </c>
      <c r="AE59">
        <f t="shared" si="5"/>
        <v>21.494089834515368</v>
      </c>
      <c r="AF59">
        <f t="shared" si="6"/>
        <v>26.074468085106382</v>
      </c>
      <c r="AG59" t="e">
        <f t="shared" si="7"/>
        <v>#N/A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9">
        <f t="shared" si="13"/>
        <v>3.75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0">
        <f t="shared" si="0"/>
        <v>4.5803782505910169</v>
      </c>
      <c r="AA60">
        <f t="shared" si="1"/>
        <v>0</v>
      </c>
      <c r="AB60">
        <f t="shared" si="2"/>
        <v>3.1725768321513002</v>
      </c>
      <c r="AC60">
        <f t="shared" si="3"/>
        <v>7.752955082742317</v>
      </c>
      <c r="AD60">
        <f t="shared" si="4"/>
        <v>16.91371158392435</v>
      </c>
      <c r="AE60">
        <f t="shared" si="5"/>
        <v>21.494089834515368</v>
      </c>
      <c r="AF60">
        <f t="shared" si="6"/>
        <v>26.074468085106382</v>
      </c>
      <c r="AG60" t="e">
        <f t="shared" si="7"/>
        <v>#N/A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0">
        <f t="shared" si="13"/>
        <v>3.75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1">
        <f t="shared" si="0"/>
        <v>4.5803782505910169</v>
      </c>
      <c r="AA61">
        <f t="shared" si="1"/>
        <v>0</v>
      </c>
      <c r="AB61">
        <f t="shared" si="2"/>
        <v>3.1725768321513002</v>
      </c>
      <c r="AC61">
        <f t="shared" si="3"/>
        <v>7.752955082742317</v>
      </c>
      <c r="AD61">
        <f t="shared" si="4"/>
        <v>16.91371158392435</v>
      </c>
      <c r="AE61">
        <f t="shared" si="5"/>
        <v>21.494089834515368</v>
      </c>
      <c r="AF61">
        <f t="shared" si="6"/>
        <v>26.074468085106382</v>
      </c>
      <c r="AG61" t="e">
        <f t="shared" si="7"/>
        <v>#N/A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1">
        <f t="shared" si="13"/>
        <v>3.75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2">
        <f t="shared" si="0"/>
        <v>4.5803782505910169</v>
      </c>
      <c r="AA62">
        <f t="shared" si="1"/>
        <v>0</v>
      </c>
      <c r="AB62">
        <f t="shared" si="2"/>
        <v>3.1725768321513002</v>
      </c>
      <c r="AC62">
        <f t="shared" si="3"/>
        <v>7.752955082742317</v>
      </c>
      <c r="AD62">
        <f t="shared" si="4"/>
        <v>16.91371158392435</v>
      </c>
      <c r="AE62">
        <f t="shared" si="5"/>
        <v>21.494089834515368</v>
      </c>
      <c r="AF62">
        <f t="shared" si="6"/>
        <v>26.074468085106382</v>
      </c>
      <c r="AG62" t="e">
        <f t="shared" si="7"/>
        <v>#N/A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2">
        <f t="shared" si="13"/>
        <v>3.75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3">
        <f t="shared" si="0"/>
        <v>4.5803782505910169</v>
      </c>
      <c r="AA63">
        <f t="shared" si="1"/>
        <v>0</v>
      </c>
      <c r="AB63">
        <f t="shared" si="2"/>
        <v>3.1725768321513002</v>
      </c>
      <c r="AC63">
        <f t="shared" si="3"/>
        <v>7.752955082742317</v>
      </c>
      <c r="AD63">
        <f t="shared" si="4"/>
        <v>16.91371158392435</v>
      </c>
      <c r="AE63">
        <f t="shared" si="5"/>
        <v>21.494089834515368</v>
      </c>
      <c r="AF63">
        <f t="shared" si="6"/>
        <v>26.074468085106382</v>
      </c>
      <c r="AG63" t="e">
        <f t="shared" si="7"/>
        <v>#N/A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3">
        <f t="shared" si="13"/>
        <v>3.75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4">
        <f t="shared" si="0"/>
        <v>4.5803782505910169</v>
      </c>
      <c r="AA64">
        <f t="shared" si="1"/>
        <v>0</v>
      </c>
      <c r="AB64">
        <f t="shared" si="2"/>
        <v>3.1725768321513002</v>
      </c>
      <c r="AC64">
        <f t="shared" si="3"/>
        <v>7.752955082742317</v>
      </c>
      <c r="AD64">
        <f t="shared" si="4"/>
        <v>16.91371158392435</v>
      </c>
      <c r="AE64">
        <f t="shared" si="5"/>
        <v>21.494089834515368</v>
      </c>
      <c r="AF64">
        <f t="shared" si="6"/>
        <v>26.074468085106382</v>
      </c>
      <c r="AG64" t="e">
        <f t="shared" si="7"/>
        <v>#N/A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4">
        <f t="shared" si="13"/>
        <v>3.75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5">
        <f t="shared" si="0"/>
        <v>4.5803782505910169</v>
      </c>
      <c r="AA65">
        <f t="shared" si="1"/>
        <v>0</v>
      </c>
      <c r="AB65">
        <f t="shared" si="2"/>
        <v>3.1725768321513002</v>
      </c>
      <c r="AC65">
        <f t="shared" si="3"/>
        <v>7.752955082742317</v>
      </c>
      <c r="AD65">
        <f t="shared" si="4"/>
        <v>16.91371158392435</v>
      </c>
      <c r="AE65">
        <f t="shared" si="5"/>
        <v>21.494089834515368</v>
      </c>
      <c r="AF65">
        <f t="shared" si="6"/>
        <v>26.074468085106382</v>
      </c>
      <c r="AG65" t="e">
        <f t="shared" si="7"/>
        <v>#N/A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5">
        <f t="shared" si="13"/>
        <v>3.75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6">
        <f t="shared" si="0"/>
        <v>4.5803782505910169</v>
      </c>
      <c r="AA66">
        <f t="shared" si="1"/>
        <v>0</v>
      </c>
      <c r="AB66">
        <f t="shared" si="2"/>
        <v>3.1725768321513002</v>
      </c>
      <c r="AC66">
        <f t="shared" si="3"/>
        <v>7.752955082742317</v>
      </c>
      <c r="AD66">
        <f t="shared" si="4"/>
        <v>16.91371158392435</v>
      </c>
      <c r="AE66">
        <f t="shared" si="5"/>
        <v>21.494089834515368</v>
      </c>
      <c r="AF66">
        <f t="shared" si="6"/>
        <v>26.074468085106382</v>
      </c>
      <c r="AG66" t="e">
        <f t="shared" si="7"/>
        <v>#N/A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6">
        <f t="shared" si="13"/>
        <v>3.75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7">
        <f t="shared" si="0"/>
        <v>4.5803782505910169</v>
      </c>
      <c r="AA67">
        <f t="shared" si="1"/>
        <v>0</v>
      </c>
      <c r="AB67">
        <f t="shared" si="2"/>
        <v>3.1725768321513002</v>
      </c>
      <c r="AC67">
        <f t="shared" si="3"/>
        <v>7.752955082742317</v>
      </c>
      <c r="AD67">
        <f t="shared" si="4"/>
        <v>16.91371158392435</v>
      </c>
      <c r="AE67">
        <f t="shared" si="5"/>
        <v>21.494089834515368</v>
      </c>
      <c r="AF67">
        <f t="shared" si="6"/>
        <v>26.074468085106382</v>
      </c>
      <c r="AG67" t="e">
        <f t="shared" si="7"/>
        <v>#N/A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7">
        <f t="shared" si="13"/>
        <v>3.75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8">
        <f t="shared" si="0"/>
        <v>4.5803782505910169</v>
      </c>
      <c r="AA68">
        <f t="shared" si="1"/>
        <v>0</v>
      </c>
      <c r="AB68">
        <f t="shared" si="2"/>
        <v>3.1725768321513002</v>
      </c>
      <c r="AC68">
        <f t="shared" si="3"/>
        <v>7.752955082742317</v>
      </c>
      <c r="AD68">
        <f t="shared" si="4"/>
        <v>16.91371158392435</v>
      </c>
      <c r="AE68">
        <f t="shared" si="5"/>
        <v>21.494089834515368</v>
      </c>
      <c r="AF68">
        <f t="shared" si="6"/>
        <v>26.074468085106382</v>
      </c>
      <c r="AG68" t="e">
        <f t="shared" si="7"/>
        <v>#N/A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8">
        <f t="shared" si="13"/>
        <v>3.75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9">
        <f t="shared" ref="Z69:Z132" si="15">Y69/1.128</f>
        <v>4.5803782505910169</v>
      </c>
      <c r="AA69">
        <f t="shared" ref="AA69:AA132" si="16">MAX(0,W69-(3*Z69))</f>
        <v>0</v>
      </c>
      <c r="AB69">
        <f t="shared" ref="AB69:AB132" si="17">MAX(0,W69-(2*Z69))</f>
        <v>3.1725768321513002</v>
      </c>
      <c r="AC69">
        <f t="shared" ref="AC69:AC132" si="18">MAX(0,W69-Z69)</f>
        <v>7.752955082742317</v>
      </c>
      <c r="AD69">
        <f t="shared" ref="AD69:AD132" si="19">W69+Z69</f>
        <v>16.91371158392435</v>
      </c>
      <c r="AE69">
        <f t="shared" ref="AE69:AE132" si="20">W69+(2*Z69)</f>
        <v>21.494089834515368</v>
      </c>
      <c r="AF69">
        <f t="shared" ref="AF69:AF132" si="21">W69+(3*Z69)</f>
        <v>26.074468085106382</v>
      </c>
      <c r="AG69" t="e">
        <f t="shared" ref="AG69:AG132" si="22">IF(OR(V69&gt;AF69,V69&lt;AA69),V69,NA())</f>
        <v>#N/A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9">
        <f t="shared" ref="AP69:AP132" si="28">AO69-AN69</f>
        <v>3.75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0">
        <f t="shared" si="15"/>
        <v>4.5803782505910169</v>
      </c>
      <c r="AA70">
        <f t="shared" si="16"/>
        <v>0</v>
      </c>
      <c r="AB70">
        <f t="shared" si="17"/>
        <v>3.1725768321513002</v>
      </c>
      <c r="AC70">
        <f t="shared" si="18"/>
        <v>7.752955082742317</v>
      </c>
      <c r="AD70">
        <f t="shared" si="19"/>
        <v>16.91371158392435</v>
      </c>
      <c r="AE70">
        <f t="shared" si="20"/>
        <v>21.494089834515368</v>
      </c>
      <c r="AF70">
        <f t="shared" si="21"/>
        <v>26.074468085106382</v>
      </c>
      <c r="AG70" t="e">
        <f t="shared" si="22"/>
        <v>#N/A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0">
        <f t="shared" si="28"/>
        <v>3.75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1">
        <f t="shared" si="15"/>
        <v>4.5803782505910169</v>
      </c>
      <c r="AA71">
        <f t="shared" si="16"/>
        <v>0</v>
      </c>
      <c r="AB71">
        <f t="shared" si="17"/>
        <v>3.1725768321513002</v>
      </c>
      <c r="AC71">
        <f t="shared" si="18"/>
        <v>7.752955082742317</v>
      </c>
      <c r="AD71">
        <f t="shared" si="19"/>
        <v>16.91371158392435</v>
      </c>
      <c r="AE71">
        <f t="shared" si="20"/>
        <v>21.494089834515368</v>
      </c>
      <c r="AF71">
        <f t="shared" si="21"/>
        <v>26.074468085106382</v>
      </c>
      <c r="AG71" t="e">
        <f t="shared" si="22"/>
        <v>#N/A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1">
        <f t="shared" si="28"/>
        <v>3.75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2">
        <f t="shared" si="15"/>
        <v>4.5803782505910169</v>
      </c>
      <c r="AA72">
        <f t="shared" si="16"/>
        <v>0</v>
      </c>
      <c r="AB72">
        <f t="shared" si="17"/>
        <v>3.1725768321513002</v>
      </c>
      <c r="AC72">
        <f t="shared" si="18"/>
        <v>7.752955082742317</v>
      </c>
      <c r="AD72">
        <f t="shared" si="19"/>
        <v>16.91371158392435</v>
      </c>
      <c r="AE72">
        <f t="shared" si="20"/>
        <v>21.494089834515368</v>
      </c>
      <c r="AF72">
        <f t="shared" si="21"/>
        <v>26.074468085106382</v>
      </c>
      <c r="AG72" t="e">
        <f t="shared" si="22"/>
        <v>#N/A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2">
        <f t="shared" si="28"/>
        <v>3.75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3">
        <f t="shared" si="15"/>
        <v>4.5803782505910169</v>
      </c>
      <c r="AA73">
        <f t="shared" si="16"/>
        <v>0</v>
      </c>
      <c r="AB73">
        <f t="shared" si="17"/>
        <v>3.1725768321513002</v>
      </c>
      <c r="AC73">
        <f t="shared" si="18"/>
        <v>7.752955082742317</v>
      </c>
      <c r="AD73">
        <f t="shared" si="19"/>
        <v>16.91371158392435</v>
      </c>
      <c r="AE73">
        <f t="shared" si="20"/>
        <v>21.494089834515368</v>
      </c>
      <c r="AF73">
        <f t="shared" si="21"/>
        <v>26.074468085106382</v>
      </c>
      <c r="AG73" t="e">
        <f t="shared" si="22"/>
        <v>#N/A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3">
        <f t="shared" si="28"/>
        <v>3.75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4">
        <f t="shared" si="15"/>
        <v>4.5803782505910169</v>
      </c>
      <c r="AA74">
        <f t="shared" si="16"/>
        <v>0</v>
      </c>
      <c r="AB74">
        <f t="shared" si="17"/>
        <v>3.1725768321513002</v>
      </c>
      <c r="AC74">
        <f t="shared" si="18"/>
        <v>7.752955082742317</v>
      </c>
      <c r="AD74">
        <f t="shared" si="19"/>
        <v>16.91371158392435</v>
      </c>
      <c r="AE74">
        <f t="shared" si="20"/>
        <v>21.494089834515368</v>
      </c>
      <c r="AF74">
        <f t="shared" si="21"/>
        <v>26.074468085106382</v>
      </c>
      <c r="AG74" t="e">
        <f t="shared" si="22"/>
        <v>#N/A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4">
        <f t="shared" si="28"/>
        <v>3.75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5">
        <f t="shared" si="15"/>
        <v>4.5803782505910169</v>
      </c>
      <c r="AA75">
        <f t="shared" si="16"/>
        <v>0</v>
      </c>
      <c r="AB75">
        <f t="shared" si="17"/>
        <v>3.1725768321513002</v>
      </c>
      <c r="AC75">
        <f t="shared" si="18"/>
        <v>7.752955082742317</v>
      </c>
      <c r="AD75">
        <f t="shared" si="19"/>
        <v>16.91371158392435</v>
      </c>
      <c r="AE75">
        <f t="shared" si="20"/>
        <v>21.494089834515368</v>
      </c>
      <c r="AF75">
        <f t="shared" si="21"/>
        <v>26.074468085106382</v>
      </c>
      <c r="AG75" t="e">
        <f t="shared" si="22"/>
        <v>#N/A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5">
        <f t="shared" si="28"/>
        <v>3.75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6">
        <f t="shared" si="15"/>
        <v>4.5803782505910169</v>
      </c>
      <c r="AA76">
        <f t="shared" si="16"/>
        <v>0</v>
      </c>
      <c r="AB76">
        <f t="shared" si="17"/>
        <v>3.1725768321513002</v>
      </c>
      <c r="AC76">
        <f t="shared" si="18"/>
        <v>7.752955082742317</v>
      </c>
      <c r="AD76">
        <f t="shared" si="19"/>
        <v>16.91371158392435</v>
      </c>
      <c r="AE76">
        <f t="shared" si="20"/>
        <v>21.494089834515368</v>
      </c>
      <c r="AF76">
        <f t="shared" si="21"/>
        <v>26.074468085106382</v>
      </c>
      <c r="AG76" t="e">
        <f t="shared" si="22"/>
        <v>#N/A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6">
        <f t="shared" si="28"/>
        <v>3.75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7">
        <f t="shared" si="15"/>
        <v>4.5803782505910169</v>
      </c>
      <c r="AA77">
        <f t="shared" si="16"/>
        <v>0</v>
      </c>
      <c r="AB77">
        <f t="shared" si="17"/>
        <v>3.1725768321513002</v>
      </c>
      <c r="AC77">
        <f t="shared" si="18"/>
        <v>7.752955082742317</v>
      </c>
      <c r="AD77">
        <f t="shared" si="19"/>
        <v>16.91371158392435</v>
      </c>
      <c r="AE77">
        <f t="shared" si="20"/>
        <v>21.494089834515368</v>
      </c>
      <c r="AF77">
        <f t="shared" si="21"/>
        <v>26.074468085106382</v>
      </c>
      <c r="AG77" t="e">
        <f t="shared" si="22"/>
        <v>#N/A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7">
        <f t="shared" si="28"/>
        <v>3.75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8">
        <f t="shared" si="15"/>
        <v>4.5803782505910169</v>
      </c>
      <c r="AA78">
        <f t="shared" si="16"/>
        <v>0</v>
      </c>
      <c r="AB78">
        <f t="shared" si="17"/>
        <v>3.1725768321513002</v>
      </c>
      <c r="AC78">
        <f t="shared" si="18"/>
        <v>7.752955082742317</v>
      </c>
      <c r="AD78">
        <f t="shared" si="19"/>
        <v>16.91371158392435</v>
      </c>
      <c r="AE78">
        <f t="shared" si="20"/>
        <v>21.494089834515368</v>
      </c>
      <c r="AF78">
        <f t="shared" si="21"/>
        <v>26.074468085106382</v>
      </c>
      <c r="AG78" t="e">
        <f t="shared" si="22"/>
        <v>#N/A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8">
        <f t="shared" si="28"/>
        <v>3.75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9">
        <f t="shared" si="15"/>
        <v>4.5803782505910169</v>
      </c>
      <c r="AA79">
        <f t="shared" si="16"/>
        <v>0</v>
      </c>
      <c r="AB79">
        <f t="shared" si="17"/>
        <v>3.1725768321513002</v>
      </c>
      <c r="AC79">
        <f t="shared" si="18"/>
        <v>7.752955082742317</v>
      </c>
      <c r="AD79">
        <f t="shared" si="19"/>
        <v>16.91371158392435</v>
      </c>
      <c r="AE79">
        <f t="shared" si="20"/>
        <v>21.494089834515368</v>
      </c>
      <c r="AF79">
        <f t="shared" si="21"/>
        <v>26.074468085106382</v>
      </c>
      <c r="AG79" t="e">
        <f t="shared" si="22"/>
        <v>#N/A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9">
        <f t="shared" si="28"/>
        <v>3.75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0">
        <f t="shared" si="15"/>
        <v>4.5803782505910169</v>
      </c>
      <c r="AA80">
        <f t="shared" si="16"/>
        <v>0</v>
      </c>
      <c r="AB80">
        <f t="shared" si="17"/>
        <v>3.1725768321513002</v>
      </c>
      <c r="AC80">
        <f t="shared" si="18"/>
        <v>7.752955082742317</v>
      </c>
      <c r="AD80">
        <f t="shared" si="19"/>
        <v>16.91371158392435</v>
      </c>
      <c r="AE80">
        <f t="shared" si="20"/>
        <v>21.494089834515368</v>
      </c>
      <c r="AF80">
        <f t="shared" si="21"/>
        <v>26.074468085106382</v>
      </c>
      <c r="AG80" t="e">
        <f t="shared" si="22"/>
        <v>#N/A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0">
        <f t="shared" si="28"/>
        <v>3.75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1">
        <f t="shared" si="15"/>
        <v>4.5803782505910169</v>
      </c>
      <c r="AA81">
        <f t="shared" si="16"/>
        <v>0</v>
      </c>
      <c r="AB81">
        <f t="shared" si="17"/>
        <v>3.1725768321513002</v>
      </c>
      <c r="AC81">
        <f t="shared" si="18"/>
        <v>7.752955082742317</v>
      </c>
      <c r="AD81">
        <f t="shared" si="19"/>
        <v>16.91371158392435</v>
      </c>
      <c r="AE81">
        <f t="shared" si="20"/>
        <v>21.494089834515368</v>
      </c>
      <c r="AF81">
        <f t="shared" si="21"/>
        <v>26.074468085106382</v>
      </c>
      <c r="AG81" t="e">
        <f t="shared" si="22"/>
        <v>#N/A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1">
        <f t="shared" si="28"/>
        <v>3.75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2">
        <f t="shared" si="15"/>
        <v>4.5803782505910169</v>
      </c>
      <c r="AA82">
        <f t="shared" si="16"/>
        <v>0</v>
      </c>
      <c r="AB82">
        <f t="shared" si="17"/>
        <v>3.1725768321513002</v>
      </c>
      <c r="AC82">
        <f t="shared" si="18"/>
        <v>7.752955082742317</v>
      </c>
      <c r="AD82">
        <f t="shared" si="19"/>
        <v>16.91371158392435</v>
      </c>
      <c r="AE82">
        <f t="shared" si="20"/>
        <v>21.494089834515368</v>
      </c>
      <c r="AF82">
        <f t="shared" si="21"/>
        <v>26.074468085106382</v>
      </c>
      <c r="AG82" t="e">
        <f t="shared" si="22"/>
        <v>#N/A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2">
        <f t="shared" si="28"/>
        <v>3.75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3">
        <f t="shared" si="15"/>
        <v>4.5803782505910169</v>
      </c>
      <c r="AA83">
        <f t="shared" si="16"/>
        <v>0</v>
      </c>
      <c r="AB83">
        <f t="shared" si="17"/>
        <v>3.1725768321513002</v>
      </c>
      <c r="AC83">
        <f t="shared" si="18"/>
        <v>7.752955082742317</v>
      </c>
      <c r="AD83">
        <f t="shared" si="19"/>
        <v>16.91371158392435</v>
      </c>
      <c r="AE83">
        <f t="shared" si="20"/>
        <v>21.494089834515368</v>
      </c>
      <c r="AF83">
        <f t="shared" si="21"/>
        <v>26.074468085106382</v>
      </c>
      <c r="AG83" t="e">
        <f t="shared" si="22"/>
        <v>#N/A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3">
        <f t="shared" si="28"/>
        <v>3.75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4">
        <f t="shared" si="15"/>
        <v>4.5803782505910169</v>
      </c>
      <c r="AA84">
        <f t="shared" si="16"/>
        <v>0</v>
      </c>
      <c r="AB84">
        <f t="shared" si="17"/>
        <v>3.1725768321513002</v>
      </c>
      <c r="AC84">
        <f t="shared" si="18"/>
        <v>7.752955082742317</v>
      </c>
      <c r="AD84">
        <f t="shared" si="19"/>
        <v>16.91371158392435</v>
      </c>
      <c r="AE84">
        <f t="shared" si="20"/>
        <v>21.494089834515368</v>
      </c>
      <c r="AF84">
        <f t="shared" si="21"/>
        <v>26.074468085106382</v>
      </c>
      <c r="AG84" t="e">
        <f t="shared" si="22"/>
        <v>#N/A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4">
        <f t="shared" si="28"/>
        <v>3.75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5">
        <f t="shared" si="15"/>
        <v>4.5803782505910169</v>
      </c>
      <c r="AA85">
        <f t="shared" si="16"/>
        <v>0</v>
      </c>
      <c r="AB85">
        <f t="shared" si="17"/>
        <v>3.1725768321513002</v>
      </c>
      <c r="AC85">
        <f t="shared" si="18"/>
        <v>7.752955082742317</v>
      </c>
      <c r="AD85">
        <f t="shared" si="19"/>
        <v>16.91371158392435</v>
      </c>
      <c r="AE85">
        <f t="shared" si="20"/>
        <v>21.494089834515368</v>
      </c>
      <c r="AF85">
        <f t="shared" si="21"/>
        <v>26.074468085106382</v>
      </c>
      <c r="AG85" t="e">
        <f t="shared" si="22"/>
        <v>#N/A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5">
        <f t="shared" si="28"/>
        <v>3.75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6">
        <f t="shared" si="15"/>
        <v>4.5803782505910169</v>
      </c>
      <c r="AA86">
        <f t="shared" si="16"/>
        <v>0</v>
      </c>
      <c r="AB86">
        <f t="shared" si="17"/>
        <v>3.1725768321513002</v>
      </c>
      <c r="AC86">
        <f t="shared" si="18"/>
        <v>7.752955082742317</v>
      </c>
      <c r="AD86">
        <f t="shared" si="19"/>
        <v>16.91371158392435</v>
      </c>
      <c r="AE86">
        <f t="shared" si="20"/>
        <v>21.494089834515368</v>
      </c>
      <c r="AF86">
        <f t="shared" si="21"/>
        <v>26.074468085106382</v>
      </c>
      <c r="AG86" t="e">
        <f t="shared" si="22"/>
        <v>#N/A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6">
        <f t="shared" si="28"/>
        <v>3.75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7">
        <f t="shared" si="15"/>
        <v>4.5803782505910169</v>
      </c>
      <c r="AA87">
        <f t="shared" si="16"/>
        <v>0</v>
      </c>
      <c r="AB87">
        <f t="shared" si="17"/>
        <v>3.1725768321513002</v>
      </c>
      <c r="AC87">
        <f t="shared" si="18"/>
        <v>7.752955082742317</v>
      </c>
      <c r="AD87">
        <f t="shared" si="19"/>
        <v>16.91371158392435</v>
      </c>
      <c r="AE87">
        <f t="shared" si="20"/>
        <v>21.494089834515368</v>
      </c>
      <c r="AF87">
        <f t="shared" si="21"/>
        <v>26.074468085106382</v>
      </c>
      <c r="AG87" t="e">
        <f t="shared" si="22"/>
        <v>#N/A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7">
        <f t="shared" si="28"/>
        <v>3.75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8">
        <f t="shared" si="15"/>
        <v>4.5803782505910169</v>
      </c>
      <c r="AA88">
        <f t="shared" si="16"/>
        <v>0</v>
      </c>
      <c r="AB88">
        <f t="shared" si="17"/>
        <v>3.1725768321513002</v>
      </c>
      <c r="AC88">
        <f t="shared" si="18"/>
        <v>7.752955082742317</v>
      </c>
      <c r="AD88">
        <f t="shared" si="19"/>
        <v>16.91371158392435</v>
      </c>
      <c r="AE88">
        <f t="shared" si="20"/>
        <v>21.494089834515368</v>
      </c>
      <c r="AF88">
        <f t="shared" si="21"/>
        <v>26.074468085106382</v>
      </c>
      <c r="AG88" t="e">
        <f t="shared" si="22"/>
        <v>#N/A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8">
        <f t="shared" si="28"/>
        <v>3.75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9">
        <f t="shared" si="15"/>
        <v>4.5803782505910169</v>
      </c>
      <c r="AA89">
        <f t="shared" si="16"/>
        <v>0</v>
      </c>
      <c r="AB89">
        <f t="shared" si="17"/>
        <v>3.1725768321513002</v>
      </c>
      <c r="AC89">
        <f t="shared" si="18"/>
        <v>7.752955082742317</v>
      </c>
      <c r="AD89">
        <f t="shared" si="19"/>
        <v>16.91371158392435</v>
      </c>
      <c r="AE89">
        <f t="shared" si="20"/>
        <v>21.494089834515368</v>
      </c>
      <c r="AF89">
        <f t="shared" si="21"/>
        <v>26.074468085106382</v>
      </c>
      <c r="AG89" t="e">
        <f t="shared" si="22"/>
        <v>#N/A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9">
        <f t="shared" si="28"/>
        <v>3.75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0">
        <f t="shared" si="15"/>
        <v>4.5803782505910169</v>
      </c>
      <c r="AA90">
        <f t="shared" si="16"/>
        <v>0</v>
      </c>
      <c r="AB90">
        <f t="shared" si="17"/>
        <v>3.1725768321513002</v>
      </c>
      <c r="AC90">
        <f t="shared" si="18"/>
        <v>7.752955082742317</v>
      </c>
      <c r="AD90">
        <f t="shared" si="19"/>
        <v>16.91371158392435</v>
      </c>
      <c r="AE90">
        <f t="shared" si="20"/>
        <v>21.494089834515368</v>
      </c>
      <c r="AF90">
        <f t="shared" si="21"/>
        <v>26.074468085106382</v>
      </c>
      <c r="AG90" t="e">
        <f t="shared" si="22"/>
        <v>#N/A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0">
        <f t="shared" si="28"/>
        <v>3.75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1">
        <f t="shared" si="15"/>
        <v>4.5803782505910169</v>
      </c>
      <c r="AA91">
        <f t="shared" si="16"/>
        <v>0</v>
      </c>
      <c r="AB91">
        <f t="shared" si="17"/>
        <v>3.1725768321513002</v>
      </c>
      <c r="AC91">
        <f t="shared" si="18"/>
        <v>7.752955082742317</v>
      </c>
      <c r="AD91">
        <f t="shared" si="19"/>
        <v>16.91371158392435</v>
      </c>
      <c r="AE91">
        <f t="shared" si="20"/>
        <v>21.494089834515368</v>
      </c>
      <c r="AF91">
        <f t="shared" si="21"/>
        <v>26.074468085106382</v>
      </c>
      <c r="AG91" t="e">
        <f t="shared" si="22"/>
        <v>#N/A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1">
        <f t="shared" si="28"/>
        <v>3.75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2">
        <f t="shared" si="15"/>
        <v>4.5803782505910169</v>
      </c>
      <c r="AA92">
        <f t="shared" si="16"/>
        <v>0</v>
      </c>
      <c r="AB92">
        <f t="shared" si="17"/>
        <v>3.1725768321513002</v>
      </c>
      <c r="AC92">
        <f t="shared" si="18"/>
        <v>7.752955082742317</v>
      </c>
      <c r="AD92">
        <f t="shared" si="19"/>
        <v>16.91371158392435</v>
      </c>
      <c r="AE92">
        <f t="shared" si="20"/>
        <v>21.494089834515368</v>
      </c>
      <c r="AF92">
        <f t="shared" si="21"/>
        <v>26.074468085106382</v>
      </c>
      <c r="AG92" t="e">
        <f t="shared" si="22"/>
        <v>#N/A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2">
        <f t="shared" si="28"/>
        <v>3.75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3">
        <f t="shared" si="15"/>
        <v>4.5803782505910169</v>
      </c>
      <c r="AA93">
        <f t="shared" si="16"/>
        <v>0</v>
      </c>
      <c r="AB93">
        <f t="shared" si="17"/>
        <v>3.1725768321513002</v>
      </c>
      <c r="AC93">
        <f t="shared" si="18"/>
        <v>7.752955082742317</v>
      </c>
      <c r="AD93">
        <f t="shared" si="19"/>
        <v>16.91371158392435</v>
      </c>
      <c r="AE93">
        <f t="shared" si="20"/>
        <v>21.494089834515368</v>
      </c>
      <c r="AF93">
        <f t="shared" si="21"/>
        <v>26.074468085106382</v>
      </c>
      <c r="AG93" t="e">
        <f t="shared" si="22"/>
        <v>#N/A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3">
        <f t="shared" si="28"/>
        <v>3.75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4">
        <f t="shared" si="15"/>
        <v>4.5803782505910169</v>
      </c>
      <c r="AA94">
        <f t="shared" si="16"/>
        <v>0</v>
      </c>
      <c r="AB94">
        <f t="shared" si="17"/>
        <v>3.1725768321513002</v>
      </c>
      <c r="AC94">
        <f t="shared" si="18"/>
        <v>7.752955082742317</v>
      </c>
      <c r="AD94">
        <f t="shared" si="19"/>
        <v>16.91371158392435</v>
      </c>
      <c r="AE94">
        <f t="shared" si="20"/>
        <v>21.494089834515368</v>
      </c>
      <c r="AF94">
        <f t="shared" si="21"/>
        <v>26.074468085106382</v>
      </c>
      <c r="AG94" t="e">
        <f t="shared" si="22"/>
        <v>#N/A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4">
        <f t="shared" si="28"/>
        <v>3.75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5">
        <f t="shared" si="15"/>
        <v>4.5803782505910169</v>
      </c>
      <c r="AA95">
        <f t="shared" si="16"/>
        <v>0</v>
      </c>
      <c r="AB95">
        <f t="shared" si="17"/>
        <v>3.1725768321513002</v>
      </c>
      <c r="AC95">
        <f t="shared" si="18"/>
        <v>7.752955082742317</v>
      </c>
      <c r="AD95">
        <f t="shared" si="19"/>
        <v>16.91371158392435</v>
      </c>
      <c r="AE95">
        <f t="shared" si="20"/>
        <v>21.494089834515368</v>
      </c>
      <c r="AF95">
        <f t="shared" si="21"/>
        <v>26.074468085106382</v>
      </c>
      <c r="AG95" t="e">
        <f t="shared" si="22"/>
        <v>#N/A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5">
        <f t="shared" si="28"/>
        <v>3.75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6">
        <f t="shared" si="15"/>
        <v>4.5803782505910169</v>
      </c>
      <c r="AA96">
        <f t="shared" si="16"/>
        <v>0</v>
      </c>
      <c r="AB96">
        <f t="shared" si="17"/>
        <v>3.1725768321513002</v>
      </c>
      <c r="AC96">
        <f t="shared" si="18"/>
        <v>7.752955082742317</v>
      </c>
      <c r="AD96">
        <f t="shared" si="19"/>
        <v>16.91371158392435</v>
      </c>
      <c r="AE96">
        <f t="shared" si="20"/>
        <v>21.494089834515368</v>
      </c>
      <c r="AF96">
        <f t="shared" si="21"/>
        <v>26.074468085106382</v>
      </c>
      <c r="AG96" t="e">
        <f t="shared" si="22"/>
        <v>#N/A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6">
        <f t="shared" si="28"/>
        <v>3.75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7">
        <f t="shared" si="15"/>
        <v>4.5803782505910169</v>
      </c>
      <c r="AA97">
        <f t="shared" si="16"/>
        <v>0</v>
      </c>
      <c r="AB97">
        <f t="shared" si="17"/>
        <v>3.1725768321513002</v>
      </c>
      <c r="AC97">
        <f t="shared" si="18"/>
        <v>7.752955082742317</v>
      </c>
      <c r="AD97">
        <f t="shared" si="19"/>
        <v>16.91371158392435</v>
      </c>
      <c r="AE97">
        <f t="shared" si="20"/>
        <v>21.494089834515368</v>
      </c>
      <c r="AF97">
        <f t="shared" si="21"/>
        <v>26.074468085106382</v>
      </c>
      <c r="AG97" t="e">
        <f t="shared" si="22"/>
        <v>#N/A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7">
        <f t="shared" si="28"/>
        <v>3.75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8">
        <f t="shared" si="15"/>
        <v>4.5803782505910169</v>
      </c>
      <c r="AA98">
        <f t="shared" si="16"/>
        <v>0</v>
      </c>
      <c r="AB98">
        <f t="shared" si="17"/>
        <v>3.1725768321513002</v>
      </c>
      <c r="AC98">
        <f t="shared" si="18"/>
        <v>7.752955082742317</v>
      </c>
      <c r="AD98">
        <f t="shared" si="19"/>
        <v>16.91371158392435</v>
      </c>
      <c r="AE98">
        <f t="shared" si="20"/>
        <v>21.494089834515368</v>
      </c>
      <c r="AF98">
        <f t="shared" si="21"/>
        <v>26.074468085106382</v>
      </c>
      <c r="AG98" t="e">
        <f t="shared" si="22"/>
        <v>#N/A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8">
        <f t="shared" si="28"/>
        <v>3.75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9">
        <f t="shared" si="15"/>
        <v>4.5803782505910169</v>
      </c>
      <c r="AA99">
        <f t="shared" si="16"/>
        <v>0</v>
      </c>
      <c r="AB99">
        <f t="shared" si="17"/>
        <v>3.1725768321513002</v>
      </c>
      <c r="AC99">
        <f t="shared" si="18"/>
        <v>7.752955082742317</v>
      </c>
      <c r="AD99">
        <f t="shared" si="19"/>
        <v>16.91371158392435</v>
      </c>
      <c r="AE99">
        <f t="shared" si="20"/>
        <v>21.494089834515368</v>
      </c>
      <c r="AF99">
        <f t="shared" si="21"/>
        <v>26.074468085106382</v>
      </c>
      <c r="AG99" t="e">
        <f t="shared" si="22"/>
        <v>#N/A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9">
        <f t="shared" si="28"/>
        <v>3.75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0">
        <f t="shared" si="15"/>
        <v>4.5803782505910169</v>
      </c>
      <c r="AA100">
        <f t="shared" si="16"/>
        <v>0</v>
      </c>
      <c r="AB100">
        <f t="shared" si="17"/>
        <v>3.1725768321513002</v>
      </c>
      <c r="AC100">
        <f t="shared" si="18"/>
        <v>7.752955082742317</v>
      </c>
      <c r="AD100">
        <f t="shared" si="19"/>
        <v>16.91371158392435</v>
      </c>
      <c r="AE100">
        <f t="shared" si="20"/>
        <v>21.494089834515368</v>
      </c>
      <c r="AF100">
        <f t="shared" si="21"/>
        <v>26.074468085106382</v>
      </c>
      <c r="AG100" t="e">
        <f t="shared" si="22"/>
        <v>#N/A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0">
        <f t="shared" si="28"/>
        <v>3.75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1">
        <f t="shared" si="15"/>
        <v>4.5803782505910169</v>
      </c>
      <c r="AA101">
        <f t="shared" si="16"/>
        <v>0</v>
      </c>
      <c r="AB101">
        <f t="shared" si="17"/>
        <v>3.1725768321513002</v>
      </c>
      <c r="AC101">
        <f t="shared" si="18"/>
        <v>7.752955082742317</v>
      </c>
      <c r="AD101">
        <f t="shared" si="19"/>
        <v>16.91371158392435</v>
      </c>
      <c r="AE101">
        <f t="shared" si="20"/>
        <v>21.494089834515368</v>
      </c>
      <c r="AF101">
        <f t="shared" si="21"/>
        <v>26.074468085106382</v>
      </c>
      <c r="AG101" t="e">
        <f t="shared" si="22"/>
        <v>#N/A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1">
        <f t="shared" si="28"/>
        <v>3.75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2">
        <f t="shared" si="15"/>
        <v>4.5803782505910169</v>
      </c>
      <c r="AA102">
        <f t="shared" si="16"/>
        <v>0</v>
      </c>
      <c r="AB102">
        <f t="shared" si="17"/>
        <v>3.1725768321513002</v>
      </c>
      <c r="AC102">
        <f t="shared" si="18"/>
        <v>7.752955082742317</v>
      </c>
      <c r="AD102">
        <f t="shared" si="19"/>
        <v>16.91371158392435</v>
      </c>
      <c r="AE102">
        <f t="shared" si="20"/>
        <v>21.494089834515368</v>
      </c>
      <c r="AF102">
        <f t="shared" si="21"/>
        <v>26.074468085106382</v>
      </c>
      <c r="AG102" t="e">
        <f t="shared" si="22"/>
        <v>#N/A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2">
        <f t="shared" si="28"/>
        <v>3.75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3">
        <f t="shared" si="15"/>
        <v>4.5803782505910169</v>
      </c>
      <c r="AA103">
        <f t="shared" si="16"/>
        <v>0</v>
      </c>
      <c r="AB103">
        <f t="shared" si="17"/>
        <v>3.1725768321513002</v>
      </c>
      <c r="AC103">
        <f t="shared" si="18"/>
        <v>7.752955082742317</v>
      </c>
      <c r="AD103">
        <f t="shared" si="19"/>
        <v>16.91371158392435</v>
      </c>
      <c r="AE103">
        <f t="shared" si="20"/>
        <v>21.494089834515368</v>
      </c>
      <c r="AF103">
        <f t="shared" si="21"/>
        <v>26.074468085106382</v>
      </c>
      <c r="AG103" t="e">
        <f t="shared" si="22"/>
        <v>#N/A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3">
        <f t="shared" si="28"/>
        <v>3.75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4">
        <f t="shared" si="15"/>
        <v>4.5803782505910169</v>
      </c>
      <c r="AA104">
        <f t="shared" si="16"/>
        <v>0</v>
      </c>
      <c r="AB104">
        <f t="shared" si="17"/>
        <v>3.1725768321513002</v>
      </c>
      <c r="AC104">
        <f t="shared" si="18"/>
        <v>7.752955082742317</v>
      </c>
      <c r="AD104">
        <f t="shared" si="19"/>
        <v>16.91371158392435</v>
      </c>
      <c r="AE104">
        <f t="shared" si="20"/>
        <v>21.494089834515368</v>
      </c>
      <c r="AF104">
        <f t="shared" si="21"/>
        <v>26.074468085106382</v>
      </c>
      <c r="AG104" t="e">
        <f t="shared" si="22"/>
        <v>#N/A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4">
        <f t="shared" si="28"/>
        <v>3.75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5">
        <f t="shared" si="15"/>
        <v>4.5803782505910169</v>
      </c>
      <c r="AA105">
        <f t="shared" si="16"/>
        <v>0</v>
      </c>
      <c r="AB105">
        <f t="shared" si="17"/>
        <v>3.1725768321513002</v>
      </c>
      <c r="AC105">
        <f t="shared" si="18"/>
        <v>7.752955082742317</v>
      </c>
      <c r="AD105">
        <f t="shared" si="19"/>
        <v>16.91371158392435</v>
      </c>
      <c r="AE105">
        <f t="shared" si="20"/>
        <v>21.494089834515368</v>
      </c>
      <c r="AF105">
        <f t="shared" si="21"/>
        <v>26.074468085106382</v>
      </c>
      <c r="AG105" t="e">
        <f t="shared" si="22"/>
        <v>#N/A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5">
        <f t="shared" si="28"/>
        <v>3.75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6">
        <f t="shared" si="15"/>
        <v>4.5803782505910169</v>
      </c>
      <c r="AA106">
        <f t="shared" si="16"/>
        <v>0</v>
      </c>
      <c r="AB106">
        <f t="shared" si="17"/>
        <v>3.1725768321513002</v>
      </c>
      <c r="AC106">
        <f t="shared" si="18"/>
        <v>7.752955082742317</v>
      </c>
      <c r="AD106">
        <f t="shared" si="19"/>
        <v>16.91371158392435</v>
      </c>
      <c r="AE106">
        <f t="shared" si="20"/>
        <v>21.494089834515368</v>
      </c>
      <c r="AF106">
        <f t="shared" si="21"/>
        <v>26.074468085106382</v>
      </c>
      <c r="AG106" t="e">
        <f t="shared" si="22"/>
        <v>#N/A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6">
        <f t="shared" si="28"/>
        <v>3.75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7">
        <f t="shared" si="15"/>
        <v>4.5803782505910169</v>
      </c>
      <c r="AA107">
        <f t="shared" si="16"/>
        <v>0</v>
      </c>
      <c r="AB107">
        <f t="shared" si="17"/>
        <v>3.1725768321513002</v>
      </c>
      <c r="AC107">
        <f t="shared" si="18"/>
        <v>7.752955082742317</v>
      </c>
      <c r="AD107">
        <f t="shared" si="19"/>
        <v>16.91371158392435</v>
      </c>
      <c r="AE107">
        <f t="shared" si="20"/>
        <v>21.494089834515368</v>
      </c>
      <c r="AF107">
        <f t="shared" si="21"/>
        <v>26.074468085106382</v>
      </c>
      <c r="AG107" t="e">
        <f t="shared" si="22"/>
        <v>#N/A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7">
        <f t="shared" si="28"/>
        <v>3.75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8">
        <f t="shared" si="15"/>
        <v>4.5803782505910169</v>
      </c>
      <c r="AA108">
        <f t="shared" si="16"/>
        <v>0</v>
      </c>
      <c r="AB108">
        <f t="shared" si="17"/>
        <v>3.1725768321513002</v>
      </c>
      <c r="AC108">
        <f t="shared" si="18"/>
        <v>7.752955082742317</v>
      </c>
      <c r="AD108">
        <f t="shared" si="19"/>
        <v>16.91371158392435</v>
      </c>
      <c r="AE108">
        <f t="shared" si="20"/>
        <v>21.494089834515368</v>
      </c>
      <c r="AF108">
        <f t="shared" si="21"/>
        <v>26.074468085106382</v>
      </c>
      <c r="AG108" t="e">
        <f t="shared" si="22"/>
        <v>#N/A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8">
        <f t="shared" si="28"/>
        <v>3.75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9">
        <f t="shared" si="15"/>
        <v>4.5803782505910169</v>
      </c>
      <c r="AA109">
        <f t="shared" si="16"/>
        <v>0</v>
      </c>
      <c r="AB109">
        <f t="shared" si="17"/>
        <v>3.1725768321513002</v>
      </c>
      <c r="AC109">
        <f t="shared" si="18"/>
        <v>7.752955082742317</v>
      </c>
      <c r="AD109">
        <f t="shared" si="19"/>
        <v>16.91371158392435</v>
      </c>
      <c r="AE109">
        <f t="shared" si="20"/>
        <v>21.494089834515368</v>
      </c>
      <c r="AF109">
        <f t="shared" si="21"/>
        <v>26.074468085106382</v>
      </c>
      <c r="AG109" t="e">
        <f t="shared" si="22"/>
        <v>#N/A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9">
        <f t="shared" si="28"/>
        <v>3.75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0">
        <f t="shared" si="15"/>
        <v>4.5803782505910169</v>
      </c>
      <c r="AA110">
        <f t="shared" si="16"/>
        <v>0</v>
      </c>
      <c r="AB110">
        <f t="shared" si="17"/>
        <v>3.1725768321513002</v>
      </c>
      <c r="AC110">
        <f t="shared" si="18"/>
        <v>7.752955082742317</v>
      </c>
      <c r="AD110">
        <f t="shared" si="19"/>
        <v>16.91371158392435</v>
      </c>
      <c r="AE110">
        <f t="shared" si="20"/>
        <v>21.494089834515368</v>
      </c>
      <c r="AF110">
        <f t="shared" si="21"/>
        <v>26.074468085106382</v>
      </c>
      <c r="AG110" t="e">
        <f t="shared" si="22"/>
        <v>#N/A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0">
        <f t="shared" si="28"/>
        <v>3.75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1">
        <f t="shared" si="15"/>
        <v>4.5803782505910169</v>
      </c>
      <c r="AA111">
        <f t="shared" si="16"/>
        <v>0</v>
      </c>
      <c r="AB111">
        <f t="shared" si="17"/>
        <v>3.1725768321513002</v>
      </c>
      <c r="AC111">
        <f t="shared" si="18"/>
        <v>7.752955082742317</v>
      </c>
      <c r="AD111">
        <f t="shared" si="19"/>
        <v>16.91371158392435</v>
      </c>
      <c r="AE111">
        <f t="shared" si="20"/>
        <v>21.494089834515368</v>
      </c>
      <c r="AF111">
        <f t="shared" si="21"/>
        <v>26.074468085106382</v>
      </c>
      <c r="AG111" t="e">
        <f t="shared" si="22"/>
        <v>#N/A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1">
        <f t="shared" si="28"/>
        <v>3.75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2">
        <f t="shared" si="15"/>
        <v>4.5803782505910169</v>
      </c>
      <c r="AA112">
        <f t="shared" si="16"/>
        <v>0</v>
      </c>
      <c r="AB112">
        <f t="shared" si="17"/>
        <v>3.1725768321513002</v>
      </c>
      <c r="AC112">
        <f t="shared" si="18"/>
        <v>7.752955082742317</v>
      </c>
      <c r="AD112">
        <f t="shared" si="19"/>
        <v>16.91371158392435</v>
      </c>
      <c r="AE112">
        <f t="shared" si="20"/>
        <v>21.494089834515368</v>
      </c>
      <c r="AF112">
        <f t="shared" si="21"/>
        <v>26.074468085106382</v>
      </c>
      <c r="AG112" t="e">
        <f t="shared" si="22"/>
        <v>#N/A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2">
        <f t="shared" si="28"/>
        <v>3.75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3">
        <f t="shared" si="15"/>
        <v>4.5803782505910169</v>
      </c>
      <c r="AA113">
        <f t="shared" si="16"/>
        <v>0</v>
      </c>
      <c r="AB113">
        <f t="shared" si="17"/>
        <v>3.1725768321513002</v>
      </c>
      <c r="AC113">
        <f t="shared" si="18"/>
        <v>7.752955082742317</v>
      </c>
      <c r="AD113">
        <f t="shared" si="19"/>
        <v>16.91371158392435</v>
      </c>
      <c r="AE113">
        <f t="shared" si="20"/>
        <v>21.494089834515368</v>
      </c>
      <c r="AF113">
        <f t="shared" si="21"/>
        <v>26.074468085106382</v>
      </c>
      <c r="AG113" t="e">
        <f t="shared" si="22"/>
        <v>#N/A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3">
        <f t="shared" si="28"/>
        <v>3.75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4">
        <f t="shared" si="15"/>
        <v>4.5803782505910169</v>
      </c>
      <c r="AA114">
        <f t="shared" si="16"/>
        <v>0</v>
      </c>
      <c r="AB114">
        <f t="shared" si="17"/>
        <v>3.1725768321513002</v>
      </c>
      <c r="AC114">
        <f t="shared" si="18"/>
        <v>7.752955082742317</v>
      </c>
      <c r="AD114">
        <f t="shared" si="19"/>
        <v>16.91371158392435</v>
      </c>
      <c r="AE114">
        <f t="shared" si="20"/>
        <v>21.494089834515368</v>
      </c>
      <c r="AF114">
        <f t="shared" si="21"/>
        <v>26.074468085106382</v>
      </c>
      <c r="AG114" t="e">
        <f t="shared" si="22"/>
        <v>#N/A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4">
        <f t="shared" si="28"/>
        <v>3.75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5">
        <f t="shared" si="15"/>
        <v>4.5803782505910169</v>
      </c>
      <c r="AA115">
        <f t="shared" si="16"/>
        <v>0</v>
      </c>
      <c r="AB115">
        <f t="shared" si="17"/>
        <v>3.1725768321513002</v>
      </c>
      <c r="AC115">
        <f t="shared" si="18"/>
        <v>7.752955082742317</v>
      </c>
      <c r="AD115">
        <f t="shared" si="19"/>
        <v>16.91371158392435</v>
      </c>
      <c r="AE115">
        <f t="shared" si="20"/>
        <v>21.494089834515368</v>
      </c>
      <c r="AF115">
        <f t="shared" si="21"/>
        <v>26.074468085106382</v>
      </c>
      <c r="AG115" t="e">
        <f t="shared" si="22"/>
        <v>#N/A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5">
        <f t="shared" si="28"/>
        <v>3.75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6">
        <f t="shared" si="15"/>
        <v>4.5803782505910169</v>
      </c>
      <c r="AA116">
        <f t="shared" si="16"/>
        <v>0</v>
      </c>
      <c r="AB116">
        <f t="shared" si="17"/>
        <v>3.1725768321513002</v>
      </c>
      <c r="AC116">
        <f t="shared" si="18"/>
        <v>7.752955082742317</v>
      </c>
      <c r="AD116">
        <f t="shared" si="19"/>
        <v>16.91371158392435</v>
      </c>
      <c r="AE116">
        <f t="shared" si="20"/>
        <v>21.494089834515368</v>
      </c>
      <c r="AF116">
        <f t="shared" si="21"/>
        <v>26.074468085106382</v>
      </c>
      <c r="AG116" t="e">
        <f t="shared" si="22"/>
        <v>#N/A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6">
        <f t="shared" si="28"/>
        <v>3.75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7">
        <f t="shared" si="15"/>
        <v>4.5803782505910169</v>
      </c>
      <c r="AA117">
        <f t="shared" si="16"/>
        <v>0</v>
      </c>
      <c r="AB117">
        <f t="shared" si="17"/>
        <v>3.1725768321513002</v>
      </c>
      <c r="AC117">
        <f t="shared" si="18"/>
        <v>7.752955082742317</v>
      </c>
      <c r="AD117">
        <f t="shared" si="19"/>
        <v>16.91371158392435</v>
      </c>
      <c r="AE117">
        <f t="shared" si="20"/>
        <v>21.494089834515368</v>
      </c>
      <c r="AF117">
        <f t="shared" si="21"/>
        <v>26.074468085106382</v>
      </c>
      <c r="AG117" t="e">
        <f t="shared" si="22"/>
        <v>#N/A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7">
        <f t="shared" si="28"/>
        <v>3.75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8">
        <f t="shared" si="15"/>
        <v>4.5803782505910169</v>
      </c>
      <c r="AA118">
        <f t="shared" si="16"/>
        <v>0</v>
      </c>
      <c r="AB118">
        <f t="shared" si="17"/>
        <v>3.1725768321513002</v>
      </c>
      <c r="AC118">
        <f t="shared" si="18"/>
        <v>7.752955082742317</v>
      </c>
      <c r="AD118">
        <f t="shared" si="19"/>
        <v>16.91371158392435</v>
      </c>
      <c r="AE118">
        <f t="shared" si="20"/>
        <v>21.494089834515368</v>
      </c>
      <c r="AF118">
        <f t="shared" si="21"/>
        <v>26.074468085106382</v>
      </c>
      <c r="AG118" t="e">
        <f t="shared" si="22"/>
        <v>#N/A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8">
        <f t="shared" si="28"/>
        <v>3.75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9">
        <f t="shared" si="15"/>
        <v>4.5803782505910169</v>
      </c>
      <c r="AA119">
        <f t="shared" si="16"/>
        <v>0</v>
      </c>
      <c r="AB119">
        <f t="shared" si="17"/>
        <v>3.1725768321513002</v>
      </c>
      <c r="AC119">
        <f t="shared" si="18"/>
        <v>7.752955082742317</v>
      </c>
      <c r="AD119">
        <f t="shared" si="19"/>
        <v>16.91371158392435</v>
      </c>
      <c r="AE119">
        <f t="shared" si="20"/>
        <v>21.494089834515368</v>
      </c>
      <c r="AF119">
        <f t="shared" si="21"/>
        <v>26.074468085106382</v>
      </c>
      <c r="AG119" t="e">
        <f t="shared" si="22"/>
        <v>#N/A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9">
        <f t="shared" si="28"/>
        <v>3.75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0">
        <f t="shared" si="15"/>
        <v>4.5803782505910169</v>
      </c>
      <c r="AA120">
        <f t="shared" si="16"/>
        <v>0</v>
      </c>
      <c r="AB120">
        <f t="shared" si="17"/>
        <v>3.1725768321513002</v>
      </c>
      <c r="AC120">
        <f t="shared" si="18"/>
        <v>7.752955082742317</v>
      </c>
      <c r="AD120">
        <f t="shared" si="19"/>
        <v>16.91371158392435</v>
      </c>
      <c r="AE120">
        <f t="shared" si="20"/>
        <v>21.494089834515368</v>
      </c>
      <c r="AF120">
        <f t="shared" si="21"/>
        <v>26.074468085106382</v>
      </c>
      <c r="AG120" t="e">
        <f t="shared" si="22"/>
        <v>#N/A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0">
        <f t="shared" si="28"/>
        <v>3.75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1">
        <f t="shared" si="15"/>
        <v>4.5803782505910169</v>
      </c>
      <c r="AA121">
        <f t="shared" si="16"/>
        <v>0</v>
      </c>
      <c r="AB121">
        <f t="shared" si="17"/>
        <v>3.1725768321513002</v>
      </c>
      <c r="AC121">
        <f t="shared" si="18"/>
        <v>7.752955082742317</v>
      </c>
      <c r="AD121">
        <f t="shared" si="19"/>
        <v>16.91371158392435</v>
      </c>
      <c r="AE121">
        <f t="shared" si="20"/>
        <v>21.494089834515368</v>
      </c>
      <c r="AF121">
        <f t="shared" si="21"/>
        <v>26.074468085106382</v>
      </c>
      <c r="AG121" t="e">
        <f t="shared" si="22"/>
        <v>#N/A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1">
        <f t="shared" si="28"/>
        <v>3.75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2">
        <f t="shared" si="15"/>
        <v>4.5803782505910169</v>
      </c>
      <c r="AA122">
        <f t="shared" si="16"/>
        <v>0</v>
      </c>
      <c r="AB122">
        <f t="shared" si="17"/>
        <v>3.1725768321513002</v>
      </c>
      <c r="AC122">
        <f t="shared" si="18"/>
        <v>7.752955082742317</v>
      </c>
      <c r="AD122">
        <f t="shared" si="19"/>
        <v>16.91371158392435</v>
      </c>
      <c r="AE122">
        <f t="shared" si="20"/>
        <v>21.494089834515368</v>
      </c>
      <c r="AF122">
        <f t="shared" si="21"/>
        <v>26.074468085106382</v>
      </c>
      <c r="AG122" t="e">
        <f t="shared" si="22"/>
        <v>#N/A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2">
        <f t="shared" si="28"/>
        <v>3.75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3">
        <f t="shared" si="15"/>
        <v>4.5803782505910169</v>
      </c>
      <c r="AA123">
        <f t="shared" si="16"/>
        <v>0</v>
      </c>
      <c r="AB123">
        <f t="shared" si="17"/>
        <v>3.1725768321513002</v>
      </c>
      <c r="AC123">
        <f t="shared" si="18"/>
        <v>7.752955082742317</v>
      </c>
      <c r="AD123">
        <f t="shared" si="19"/>
        <v>16.91371158392435</v>
      </c>
      <c r="AE123">
        <f t="shared" si="20"/>
        <v>21.494089834515368</v>
      </c>
      <c r="AF123">
        <f t="shared" si="21"/>
        <v>26.074468085106382</v>
      </c>
      <c r="AG123" t="e">
        <f t="shared" si="22"/>
        <v>#N/A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3">
        <f t="shared" si="28"/>
        <v>3.75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4">
        <f t="shared" si="15"/>
        <v>4.5803782505910169</v>
      </c>
      <c r="AA124">
        <f t="shared" si="16"/>
        <v>0</v>
      </c>
      <c r="AB124">
        <f t="shared" si="17"/>
        <v>3.1725768321513002</v>
      </c>
      <c r="AC124">
        <f t="shared" si="18"/>
        <v>7.752955082742317</v>
      </c>
      <c r="AD124">
        <f t="shared" si="19"/>
        <v>16.91371158392435</v>
      </c>
      <c r="AE124">
        <f t="shared" si="20"/>
        <v>21.494089834515368</v>
      </c>
      <c r="AF124">
        <f t="shared" si="21"/>
        <v>26.074468085106382</v>
      </c>
      <c r="AG124" t="e">
        <f t="shared" si="22"/>
        <v>#N/A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4">
        <f t="shared" si="28"/>
        <v>3.75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5">
        <f t="shared" si="15"/>
        <v>4.5803782505910169</v>
      </c>
      <c r="AA125">
        <f t="shared" si="16"/>
        <v>0</v>
      </c>
      <c r="AB125">
        <f t="shared" si="17"/>
        <v>3.1725768321513002</v>
      </c>
      <c r="AC125">
        <f t="shared" si="18"/>
        <v>7.752955082742317</v>
      </c>
      <c r="AD125">
        <f t="shared" si="19"/>
        <v>16.91371158392435</v>
      </c>
      <c r="AE125">
        <f t="shared" si="20"/>
        <v>21.494089834515368</v>
      </c>
      <c r="AF125">
        <f t="shared" si="21"/>
        <v>26.074468085106382</v>
      </c>
      <c r="AG125" t="e">
        <f t="shared" si="22"/>
        <v>#N/A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5">
        <f t="shared" si="28"/>
        <v>3.75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6">
        <f t="shared" si="15"/>
        <v>4.5803782505910169</v>
      </c>
      <c r="AA126">
        <f t="shared" si="16"/>
        <v>0</v>
      </c>
      <c r="AB126">
        <f t="shared" si="17"/>
        <v>3.1725768321513002</v>
      </c>
      <c r="AC126">
        <f t="shared" si="18"/>
        <v>7.752955082742317</v>
      </c>
      <c r="AD126">
        <f t="shared" si="19"/>
        <v>16.91371158392435</v>
      </c>
      <c r="AE126">
        <f t="shared" si="20"/>
        <v>21.494089834515368</v>
      </c>
      <c r="AF126">
        <f t="shared" si="21"/>
        <v>26.074468085106382</v>
      </c>
      <c r="AG126" t="e">
        <f t="shared" si="22"/>
        <v>#N/A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6">
        <f t="shared" si="28"/>
        <v>3.75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7">
        <f t="shared" si="15"/>
        <v>4.5803782505910169</v>
      </c>
      <c r="AA127">
        <f t="shared" si="16"/>
        <v>0</v>
      </c>
      <c r="AB127">
        <f t="shared" si="17"/>
        <v>3.1725768321513002</v>
      </c>
      <c r="AC127">
        <f t="shared" si="18"/>
        <v>7.752955082742317</v>
      </c>
      <c r="AD127">
        <f t="shared" si="19"/>
        <v>16.91371158392435</v>
      </c>
      <c r="AE127">
        <f t="shared" si="20"/>
        <v>21.494089834515368</v>
      </c>
      <c r="AF127">
        <f t="shared" si="21"/>
        <v>26.074468085106382</v>
      </c>
      <c r="AG127" t="e">
        <f t="shared" si="22"/>
        <v>#N/A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7">
        <f t="shared" si="28"/>
        <v>3.75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8">
        <f t="shared" si="15"/>
        <v>4.5803782505910169</v>
      </c>
      <c r="AA128">
        <f t="shared" si="16"/>
        <v>0</v>
      </c>
      <c r="AB128">
        <f t="shared" si="17"/>
        <v>3.1725768321513002</v>
      </c>
      <c r="AC128">
        <f t="shared" si="18"/>
        <v>7.752955082742317</v>
      </c>
      <c r="AD128">
        <f t="shared" si="19"/>
        <v>16.91371158392435</v>
      </c>
      <c r="AE128">
        <f t="shared" si="20"/>
        <v>21.494089834515368</v>
      </c>
      <c r="AF128">
        <f t="shared" si="21"/>
        <v>26.074468085106382</v>
      </c>
      <c r="AG128" t="e">
        <f t="shared" si="22"/>
        <v>#N/A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8">
        <f t="shared" si="28"/>
        <v>3.75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9">
        <f t="shared" si="15"/>
        <v>4.5803782505910169</v>
      </c>
      <c r="AA129">
        <f t="shared" si="16"/>
        <v>0</v>
      </c>
      <c r="AB129">
        <f t="shared" si="17"/>
        <v>3.1725768321513002</v>
      </c>
      <c r="AC129">
        <f t="shared" si="18"/>
        <v>7.752955082742317</v>
      </c>
      <c r="AD129">
        <f t="shared" si="19"/>
        <v>16.91371158392435</v>
      </c>
      <c r="AE129">
        <f t="shared" si="20"/>
        <v>21.494089834515368</v>
      </c>
      <c r="AF129">
        <f t="shared" si="21"/>
        <v>26.074468085106382</v>
      </c>
      <c r="AG129" t="e">
        <f t="shared" si="22"/>
        <v>#N/A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9">
        <f t="shared" si="28"/>
        <v>3.75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0">
        <f t="shared" si="15"/>
        <v>4.5803782505910169</v>
      </c>
      <c r="AA130">
        <f t="shared" si="16"/>
        <v>0</v>
      </c>
      <c r="AB130">
        <f t="shared" si="17"/>
        <v>3.1725768321513002</v>
      </c>
      <c r="AC130">
        <f t="shared" si="18"/>
        <v>7.752955082742317</v>
      </c>
      <c r="AD130">
        <f t="shared" si="19"/>
        <v>16.91371158392435</v>
      </c>
      <c r="AE130">
        <f t="shared" si="20"/>
        <v>21.494089834515368</v>
      </c>
      <c r="AF130">
        <f t="shared" si="21"/>
        <v>26.074468085106382</v>
      </c>
      <c r="AG130" t="e">
        <f t="shared" si="22"/>
        <v>#N/A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0">
        <f t="shared" si="28"/>
        <v>3.75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1">
        <f t="shared" si="15"/>
        <v>4.5803782505910169</v>
      </c>
      <c r="AA131">
        <f t="shared" si="16"/>
        <v>0</v>
      </c>
      <c r="AB131">
        <f t="shared" si="17"/>
        <v>3.1725768321513002</v>
      </c>
      <c r="AC131">
        <f t="shared" si="18"/>
        <v>7.752955082742317</v>
      </c>
      <c r="AD131">
        <f t="shared" si="19"/>
        <v>16.91371158392435</v>
      </c>
      <c r="AE131">
        <f t="shared" si="20"/>
        <v>21.494089834515368</v>
      </c>
      <c r="AF131">
        <f t="shared" si="21"/>
        <v>26.074468085106382</v>
      </c>
      <c r="AG131" t="e">
        <f t="shared" si="22"/>
        <v>#N/A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1">
        <f t="shared" si="28"/>
        <v>3.75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2">
        <f t="shared" si="15"/>
        <v>4.5803782505910169</v>
      </c>
      <c r="AA132">
        <f t="shared" si="16"/>
        <v>0</v>
      </c>
      <c r="AB132">
        <f t="shared" si="17"/>
        <v>3.1725768321513002</v>
      </c>
      <c r="AC132">
        <f t="shared" si="18"/>
        <v>7.752955082742317</v>
      </c>
      <c r="AD132">
        <f t="shared" si="19"/>
        <v>16.91371158392435</v>
      </c>
      <c r="AE132">
        <f t="shared" si="20"/>
        <v>21.494089834515368</v>
      </c>
      <c r="AF132">
        <f t="shared" si="21"/>
        <v>26.074468085106382</v>
      </c>
      <c r="AG132" t="e">
        <f t="shared" si="22"/>
        <v>#N/A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2">
        <f t="shared" si="28"/>
        <v>3.75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3">
        <f t="shared" ref="Z133:Z196" si="30">Y133/1.128</f>
        <v>4.5803782505910169</v>
      </c>
      <c r="AA133">
        <f t="shared" ref="AA133:AA196" si="31">MAX(0,W133-(3*Z133))</f>
        <v>0</v>
      </c>
      <c r="AB133">
        <f t="shared" ref="AB133:AB196" si="32">MAX(0,W133-(2*Z133))</f>
        <v>3.1725768321513002</v>
      </c>
      <c r="AC133">
        <f t="shared" ref="AC133:AC196" si="33">MAX(0,W133-Z133)</f>
        <v>7.752955082742317</v>
      </c>
      <c r="AD133">
        <f t="shared" ref="AD133:AD196" si="34">W133+Z133</f>
        <v>16.91371158392435</v>
      </c>
      <c r="AE133">
        <f t="shared" ref="AE133:AE196" si="35">W133+(2*Z133)</f>
        <v>21.494089834515368</v>
      </c>
      <c r="AF133">
        <f t="shared" ref="AF133:AF196" si="36">W133+(3*Z133)</f>
        <v>26.074468085106382</v>
      </c>
      <c r="AG133" t="e">
        <f t="shared" ref="AG133:AG196" si="37">IF(OR(V133&gt;AF133,V133&lt;AA133),V133,NA())</f>
        <v>#N/A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3">
        <f t="shared" ref="AP133:AP196" si="43">AO133-AN133</f>
        <v>3.75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4">
        <f t="shared" si="30"/>
        <v>4.5803782505910169</v>
      </c>
      <c r="AA134">
        <f t="shared" si="31"/>
        <v>0</v>
      </c>
      <c r="AB134">
        <f t="shared" si="32"/>
        <v>3.1725768321513002</v>
      </c>
      <c r="AC134">
        <f t="shared" si="33"/>
        <v>7.752955082742317</v>
      </c>
      <c r="AD134">
        <f t="shared" si="34"/>
        <v>16.91371158392435</v>
      </c>
      <c r="AE134">
        <f t="shared" si="35"/>
        <v>21.494089834515368</v>
      </c>
      <c r="AF134">
        <f t="shared" si="36"/>
        <v>26.074468085106382</v>
      </c>
      <c r="AG134" t="e">
        <f t="shared" si="37"/>
        <v>#N/A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4">
        <f t="shared" si="43"/>
        <v>3.75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5">
        <f t="shared" si="30"/>
        <v>4.5803782505910169</v>
      </c>
      <c r="AA135">
        <f t="shared" si="31"/>
        <v>0</v>
      </c>
      <c r="AB135">
        <f t="shared" si="32"/>
        <v>3.1725768321513002</v>
      </c>
      <c r="AC135">
        <f t="shared" si="33"/>
        <v>7.752955082742317</v>
      </c>
      <c r="AD135">
        <f t="shared" si="34"/>
        <v>16.91371158392435</v>
      </c>
      <c r="AE135">
        <f t="shared" si="35"/>
        <v>21.494089834515368</v>
      </c>
      <c r="AF135">
        <f t="shared" si="36"/>
        <v>26.074468085106382</v>
      </c>
      <c r="AG135" t="e">
        <f t="shared" si="37"/>
        <v>#N/A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5">
        <f t="shared" si="43"/>
        <v>3.75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6">
        <f t="shared" si="30"/>
        <v>4.5803782505910169</v>
      </c>
      <c r="AA136">
        <f t="shared" si="31"/>
        <v>0</v>
      </c>
      <c r="AB136">
        <f t="shared" si="32"/>
        <v>3.1725768321513002</v>
      </c>
      <c r="AC136">
        <f t="shared" si="33"/>
        <v>7.752955082742317</v>
      </c>
      <c r="AD136">
        <f t="shared" si="34"/>
        <v>16.91371158392435</v>
      </c>
      <c r="AE136">
        <f t="shared" si="35"/>
        <v>21.494089834515368</v>
      </c>
      <c r="AF136">
        <f t="shared" si="36"/>
        <v>26.074468085106382</v>
      </c>
      <c r="AG136" t="e">
        <f t="shared" si="37"/>
        <v>#N/A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6">
        <f t="shared" si="43"/>
        <v>3.75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7">
        <f t="shared" si="30"/>
        <v>4.5803782505910169</v>
      </c>
      <c r="AA137">
        <f t="shared" si="31"/>
        <v>0</v>
      </c>
      <c r="AB137">
        <f t="shared" si="32"/>
        <v>3.1725768321513002</v>
      </c>
      <c r="AC137">
        <f t="shared" si="33"/>
        <v>7.752955082742317</v>
      </c>
      <c r="AD137">
        <f t="shared" si="34"/>
        <v>16.91371158392435</v>
      </c>
      <c r="AE137">
        <f t="shared" si="35"/>
        <v>21.494089834515368</v>
      </c>
      <c r="AF137">
        <f t="shared" si="36"/>
        <v>26.074468085106382</v>
      </c>
      <c r="AG137" t="e">
        <f t="shared" si="37"/>
        <v>#N/A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7">
        <f t="shared" si="43"/>
        <v>3.75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8">
        <f t="shared" si="30"/>
        <v>4.5803782505910169</v>
      </c>
      <c r="AA138">
        <f t="shared" si="31"/>
        <v>0</v>
      </c>
      <c r="AB138">
        <f t="shared" si="32"/>
        <v>3.1725768321513002</v>
      </c>
      <c r="AC138">
        <f t="shared" si="33"/>
        <v>7.752955082742317</v>
      </c>
      <c r="AD138">
        <f t="shared" si="34"/>
        <v>16.91371158392435</v>
      </c>
      <c r="AE138">
        <f t="shared" si="35"/>
        <v>21.494089834515368</v>
      </c>
      <c r="AF138">
        <f t="shared" si="36"/>
        <v>26.074468085106382</v>
      </c>
      <c r="AG138" t="e">
        <f t="shared" si="37"/>
        <v>#N/A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8">
        <f t="shared" si="43"/>
        <v>3.75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9">
        <f t="shared" si="30"/>
        <v>4.5803782505910169</v>
      </c>
      <c r="AA139">
        <f t="shared" si="31"/>
        <v>0</v>
      </c>
      <c r="AB139">
        <f t="shared" si="32"/>
        <v>3.1725768321513002</v>
      </c>
      <c r="AC139">
        <f t="shared" si="33"/>
        <v>7.752955082742317</v>
      </c>
      <c r="AD139">
        <f t="shared" si="34"/>
        <v>16.91371158392435</v>
      </c>
      <c r="AE139">
        <f t="shared" si="35"/>
        <v>21.494089834515368</v>
      </c>
      <c r="AF139">
        <f t="shared" si="36"/>
        <v>26.074468085106382</v>
      </c>
      <c r="AG139" t="e">
        <f t="shared" si="37"/>
        <v>#N/A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9">
        <f t="shared" si="43"/>
        <v>3.75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0">
        <f t="shared" si="30"/>
        <v>4.5803782505910169</v>
      </c>
      <c r="AA140">
        <f t="shared" si="31"/>
        <v>0</v>
      </c>
      <c r="AB140">
        <f t="shared" si="32"/>
        <v>3.1725768321513002</v>
      </c>
      <c r="AC140">
        <f t="shared" si="33"/>
        <v>7.752955082742317</v>
      </c>
      <c r="AD140">
        <f t="shared" si="34"/>
        <v>16.91371158392435</v>
      </c>
      <c r="AE140">
        <f t="shared" si="35"/>
        <v>21.494089834515368</v>
      </c>
      <c r="AF140">
        <f t="shared" si="36"/>
        <v>26.074468085106382</v>
      </c>
      <c r="AG140" t="e">
        <f t="shared" si="37"/>
        <v>#N/A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0">
        <f t="shared" si="43"/>
        <v>3.75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1">
        <f t="shared" si="30"/>
        <v>4.5803782505910169</v>
      </c>
      <c r="AA141">
        <f t="shared" si="31"/>
        <v>0</v>
      </c>
      <c r="AB141">
        <f t="shared" si="32"/>
        <v>3.1725768321513002</v>
      </c>
      <c r="AC141">
        <f t="shared" si="33"/>
        <v>7.752955082742317</v>
      </c>
      <c r="AD141">
        <f t="shared" si="34"/>
        <v>16.91371158392435</v>
      </c>
      <c r="AE141">
        <f t="shared" si="35"/>
        <v>21.494089834515368</v>
      </c>
      <c r="AF141">
        <f t="shared" si="36"/>
        <v>26.074468085106382</v>
      </c>
      <c r="AG141" t="e">
        <f t="shared" si="37"/>
        <v>#N/A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1">
        <f t="shared" si="43"/>
        <v>3.75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2">
        <f t="shared" si="30"/>
        <v>4.5803782505910169</v>
      </c>
      <c r="AA142">
        <f t="shared" si="31"/>
        <v>0</v>
      </c>
      <c r="AB142">
        <f t="shared" si="32"/>
        <v>3.1725768321513002</v>
      </c>
      <c r="AC142">
        <f t="shared" si="33"/>
        <v>7.752955082742317</v>
      </c>
      <c r="AD142">
        <f t="shared" si="34"/>
        <v>16.91371158392435</v>
      </c>
      <c r="AE142">
        <f t="shared" si="35"/>
        <v>21.494089834515368</v>
      </c>
      <c r="AF142">
        <f t="shared" si="36"/>
        <v>26.074468085106382</v>
      </c>
      <c r="AG142" t="e">
        <f t="shared" si="37"/>
        <v>#N/A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2">
        <f t="shared" si="43"/>
        <v>3.75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3">
        <f t="shared" si="30"/>
        <v>4.5803782505910169</v>
      </c>
      <c r="AA143">
        <f t="shared" si="31"/>
        <v>0</v>
      </c>
      <c r="AB143">
        <f t="shared" si="32"/>
        <v>3.1725768321513002</v>
      </c>
      <c r="AC143">
        <f t="shared" si="33"/>
        <v>7.752955082742317</v>
      </c>
      <c r="AD143">
        <f t="shared" si="34"/>
        <v>16.91371158392435</v>
      </c>
      <c r="AE143">
        <f t="shared" si="35"/>
        <v>21.494089834515368</v>
      </c>
      <c r="AF143">
        <f t="shared" si="36"/>
        <v>26.074468085106382</v>
      </c>
      <c r="AG143" t="e">
        <f t="shared" si="37"/>
        <v>#N/A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3">
        <f t="shared" si="43"/>
        <v>3.75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4">
        <f t="shared" si="30"/>
        <v>4.5803782505910169</v>
      </c>
      <c r="AA144">
        <f t="shared" si="31"/>
        <v>0</v>
      </c>
      <c r="AB144">
        <f t="shared" si="32"/>
        <v>3.1725768321513002</v>
      </c>
      <c r="AC144">
        <f t="shared" si="33"/>
        <v>7.752955082742317</v>
      </c>
      <c r="AD144">
        <f t="shared" si="34"/>
        <v>16.91371158392435</v>
      </c>
      <c r="AE144">
        <f t="shared" si="35"/>
        <v>21.494089834515368</v>
      </c>
      <c r="AF144">
        <f t="shared" si="36"/>
        <v>26.074468085106382</v>
      </c>
      <c r="AG144" t="e">
        <f t="shared" si="37"/>
        <v>#N/A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4">
        <f t="shared" si="43"/>
        <v>3.75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5">
        <f t="shared" si="30"/>
        <v>4.5803782505910169</v>
      </c>
      <c r="AA145">
        <f t="shared" si="31"/>
        <v>0</v>
      </c>
      <c r="AB145">
        <f t="shared" si="32"/>
        <v>3.1725768321513002</v>
      </c>
      <c r="AC145">
        <f t="shared" si="33"/>
        <v>7.752955082742317</v>
      </c>
      <c r="AD145">
        <f t="shared" si="34"/>
        <v>16.91371158392435</v>
      </c>
      <c r="AE145">
        <f t="shared" si="35"/>
        <v>21.494089834515368</v>
      </c>
      <c r="AF145">
        <f t="shared" si="36"/>
        <v>26.074468085106382</v>
      </c>
      <c r="AG145" t="e">
        <f t="shared" si="37"/>
        <v>#N/A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5">
        <f t="shared" si="43"/>
        <v>3.75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6">
        <f t="shared" si="30"/>
        <v>4.5803782505910169</v>
      </c>
      <c r="AA146">
        <f t="shared" si="31"/>
        <v>0</v>
      </c>
      <c r="AB146">
        <f t="shared" si="32"/>
        <v>3.1725768321513002</v>
      </c>
      <c r="AC146">
        <f t="shared" si="33"/>
        <v>7.752955082742317</v>
      </c>
      <c r="AD146">
        <f t="shared" si="34"/>
        <v>16.91371158392435</v>
      </c>
      <c r="AE146">
        <f t="shared" si="35"/>
        <v>21.494089834515368</v>
      </c>
      <c r="AF146">
        <f t="shared" si="36"/>
        <v>26.074468085106382</v>
      </c>
      <c r="AG146" t="e">
        <f t="shared" si="37"/>
        <v>#N/A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6">
        <f t="shared" si="43"/>
        <v>3.75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7">
        <f t="shared" si="30"/>
        <v>4.5803782505910169</v>
      </c>
      <c r="AA147">
        <f t="shared" si="31"/>
        <v>0</v>
      </c>
      <c r="AB147">
        <f t="shared" si="32"/>
        <v>3.1725768321513002</v>
      </c>
      <c r="AC147">
        <f t="shared" si="33"/>
        <v>7.752955082742317</v>
      </c>
      <c r="AD147">
        <f t="shared" si="34"/>
        <v>16.91371158392435</v>
      </c>
      <c r="AE147">
        <f t="shared" si="35"/>
        <v>21.494089834515368</v>
      </c>
      <c r="AF147">
        <f t="shared" si="36"/>
        <v>26.074468085106382</v>
      </c>
      <c r="AG147" t="e">
        <f t="shared" si="37"/>
        <v>#N/A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7">
        <f t="shared" si="43"/>
        <v>3.75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8">
        <f t="shared" si="30"/>
        <v>4.5803782505910169</v>
      </c>
      <c r="AA148">
        <f t="shared" si="31"/>
        <v>0</v>
      </c>
      <c r="AB148">
        <f t="shared" si="32"/>
        <v>3.1725768321513002</v>
      </c>
      <c r="AC148">
        <f t="shared" si="33"/>
        <v>7.752955082742317</v>
      </c>
      <c r="AD148">
        <f t="shared" si="34"/>
        <v>16.91371158392435</v>
      </c>
      <c r="AE148">
        <f t="shared" si="35"/>
        <v>21.494089834515368</v>
      </c>
      <c r="AF148">
        <f t="shared" si="36"/>
        <v>26.074468085106382</v>
      </c>
      <c r="AG148" t="e">
        <f t="shared" si="37"/>
        <v>#N/A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8">
        <f t="shared" si="43"/>
        <v>3.75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9">
        <f t="shared" si="30"/>
        <v>4.5803782505910169</v>
      </c>
      <c r="AA149">
        <f t="shared" si="31"/>
        <v>0</v>
      </c>
      <c r="AB149">
        <f t="shared" si="32"/>
        <v>3.1725768321513002</v>
      </c>
      <c r="AC149">
        <f t="shared" si="33"/>
        <v>7.752955082742317</v>
      </c>
      <c r="AD149">
        <f t="shared" si="34"/>
        <v>16.91371158392435</v>
      </c>
      <c r="AE149">
        <f t="shared" si="35"/>
        <v>21.494089834515368</v>
      </c>
      <c r="AF149">
        <f t="shared" si="36"/>
        <v>26.074468085106382</v>
      </c>
      <c r="AG149" t="e">
        <f t="shared" si="37"/>
        <v>#N/A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9">
        <f t="shared" si="43"/>
        <v>3.75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0">
        <f t="shared" si="30"/>
        <v>4.5803782505910169</v>
      </c>
      <c r="AA150">
        <f t="shared" si="31"/>
        <v>0</v>
      </c>
      <c r="AB150">
        <f t="shared" si="32"/>
        <v>3.1725768321513002</v>
      </c>
      <c r="AC150">
        <f t="shared" si="33"/>
        <v>7.752955082742317</v>
      </c>
      <c r="AD150">
        <f t="shared" si="34"/>
        <v>16.91371158392435</v>
      </c>
      <c r="AE150">
        <f t="shared" si="35"/>
        <v>21.494089834515368</v>
      </c>
      <c r="AF150">
        <f t="shared" si="36"/>
        <v>26.074468085106382</v>
      </c>
      <c r="AG150" t="e">
        <f t="shared" si="37"/>
        <v>#N/A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0">
        <f t="shared" si="43"/>
        <v>3.75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1">
        <f t="shared" si="30"/>
        <v>4.5803782505910169</v>
      </c>
      <c r="AA151">
        <f t="shared" si="31"/>
        <v>0</v>
      </c>
      <c r="AB151">
        <f t="shared" si="32"/>
        <v>3.1725768321513002</v>
      </c>
      <c r="AC151">
        <f t="shared" si="33"/>
        <v>7.752955082742317</v>
      </c>
      <c r="AD151">
        <f t="shared" si="34"/>
        <v>16.91371158392435</v>
      </c>
      <c r="AE151">
        <f t="shared" si="35"/>
        <v>21.494089834515368</v>
      </c>
      <c r="AF151">
        <f t="shared" si="36"/>
        <v>26.074468085106382</v>
      </c>
      <c r="AG151" t="e">
        <f t="shared" si="37"/>
        <v>#N/A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1">
        <f t="shared" si="43"/>
        <v>3.75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2">
        <f t="shared" si="30"/>
        <v>4.5803782505910169</v>
      </c>
      <c r="AA152">
        <f t="shared" si="31"/>
        <v>0</v>
      </c>
      <c r="AB152">
        <f t="shared" si="32"/>
        <v>3.1725768321513002</v>
      </c>
      <c r="AC152">
        <f t="shared" si="33"/>
        <v>7.752955082742317</v>
      </c>
      <c r="AD152">
        <f t="shared" si="34"/>
        <v>16.91371158392435</v>
      </c>
      <c r="AE152">
        <f t="shared" si="35"/>
        <v>21.494089834515368</v>
      </c>
      <c r="AF152">
        <f t="shared" si="36"/>
        <v>26.074468085106382</v>
      </c>
      <c r="AG152" t="e">
        <f t="shared" si="37"/>
        <v>#N/A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2">
        <f t="shared" si="43"/>
        <v>3.75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3">
        <f t="shared" si="30"/>
        <v>4.5803782505910169</v>
      </c>
      <c r="AA153">
        <f t="shared" si="31"/>
        <v>0</v>
      </c>
      <c r="AB153">
        <f t="shared" si="32"/>
        <v>3.1725768321513002</v>
      </c>
      <c r="AC153">
        <f t="shared" si="33"/>
        <v>7.752955082742317</v>
      </c>
      <c r="AD153">
        <f t="shared" si="34"/>
        <v>16.91371158392435</v>
      </c>
      <c r="AE153">
        <f t="shared" si="35"/>
        <v>21.494089834515368</v>
      </c>
      <c r="AF153">
        <f t="shared" si="36"/>
        <v>26.074468085106382</v>
      </c>
      <c r="AG153" t="e">
        <f t="shared" si="37"/>
        <v>#N/A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3">
        <f t="shared" si="43"/>
        <v>3.75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4">
        <f t="shared" si="30"/>
        <v>4.5803782505910169</v>
      </c>
      <c r="AA154">
        <f t="shared" si="31"/>
        <v>0</v>
      </c>
      <c r="AB154">
        <f t="shared" si="32"/>
        <v>3.1725768321513002</v>
      </c>
      <c r="AC154">
        <f t="shared" si="33"/>
        <v>7.752955082742317</v>
      </c>
      <c r="AD154">
        <f t="shared" si="34"/>
        <v>16.91371158392435</v>
      </c>
      <c r="AE154">
        <f t="shared" si="35"/>
        <v>21.494089834515368</v>
      </c>
      <c r="AF154">
        <f t="shared" si="36"/>
        <v>26.074468085106382</v>
      </c>
      <c r="AG154" t="e">
        <f t="shared" si="37"/>
        <v>#N/A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4">
        <f t="shared" si="43"/>
        <v>3.75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5">
        <f t="shared" si="30"/>
        <v>4.5803782505910169</v>
      </c>
      <c r="AA155">
        <f t="shared" si="31"/>
        <v>0</v>
      </c>
      <c r="AB155">
        <f t="shared" si="32"/>
        <v>3.1725768321513002</v>
      </c>
      <c r="AC155">
        <f t="shared" si="33"/>
        <v>7.752955082742317</v>
      </c>
      <c r="AD155">
        <f t="shared" si="34"/>
        <v>16.91371158392435</v>
      </c>
      <c r="AE155">
        <f t="shared" si="35"/>
        <v>21.494089834515368</v>
      </c>
      <c r="AF155">
        <f t="shared" si="36"/>
        <v>26.074468085106382</v>
      </c>
      <c r="AG155" t="e">
        <f t="shared" si="37"/>
        <v>#N/A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5">
        <f t="shared" si="43"/>
        <v>3.75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6">
        <f t="shared" si="30"/>
        <v>4.5803782505910169</v>
      </c>
      <c r="AA156">
        <f t="shared" si="31"/>
        <v>0</v>
      </c>
      <c r="AB156">
        <f t="shared" si="32"/>
        <v>3.1725768321513002</v>
      </c>
      <c r="AC156">
        <f t="shared" si="33"/>
        <v>7.752955082742317</v>
      </c>
      <c r="AD156">
        <f t="shared" si="34"/>
        <v>16.91371158392435</v>
      </c>
      <c r="AE156">
        <f t="shared" si="35"/>
        <v>21.494089834515368</v>
      </c>
      <c r="AF156">
        <f t="shared" si="36"/>
        <v>26.074468085106382</v>
      </c>
      <c r="AG156" t="e">
        <f t="shared" si="37"/>
        <v>#N/A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6">
        <f t="shared" si="43"/>
        <v>3.75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7">
        <f t="shared" si="30"/>
        <v>4.5803782505910169</v>
      </c>
      <c r="AA157">
        <f t="shared" si="31"/>
        <v>0</v>
      </c>
      <c r="AB157">
        <f t="shared" si="32"/>
        <v>3.1725768321513002</v>
      </c>
      <c r="AC157">
        <f t="shared" si="33"/>
        <v>7.752955082742317</v>
      </c>
      <c r="AD157">
        <f t="shared" si="34"/>
        <v>16.91371158392435</v>
      </c>
      <c r="AE157">
        <f t="shared" si="35"/>
        <v>21.494089834515368</v>
      </c>
      <c r="AF157">
        <f t="shared" si="36"/>
        <v>26.074468085106382</v>
      </c>
      <c r="AG157" t="e">
        <f t="shared" si="37"/>
        <v>#N/A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7">
        <f t="shared" si="43"/>
        <v>3.75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8">
        <f t="shared" si="30"/>
        <v>4.5803782505910169</v>
      </c>
      <c r="AA158">
        <f t="shared" si="31"/>
        <v>0</v>
      </c>
      <c r="AB158">
        <f t="shared" si="32"/>
        <v>3.1725768321513002</v>
      </c>
      <c r="AC158">
        <f t="shared" si="33"/>
        <v>7.752955082742317</v>
      </c>
      <c r="AD158">
        <f t="shared" si="34"/>
        <v>16.91371158392435</v>
      </c>
      <c r="AE158">
        <f t="shared" si="35"/>
        <v>21.494089834515368</v>
      </c>
      <c r="AF158">
        <f t="shared" si="36"/>
        <v>26.074468085106382</v>
      </c>
      <c r="AG158" t="e">
        <f t="shared" si="37"/>
        <v>#N/A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8">
        <f t="shared" si="43"/>
        <v>3.75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9">
        <f t="shared" si="30"/>
        <v>4.5803782505910169</v>
      </c>
      <c r="AA159">
        <f t="shared" si="31"/>
        <v>0</v>
      </c>
      <c r="AB159">
        <f t="shared" si="32"/>
        <v>3.1725768321513002</v>
      </c>
      <c r="AC159">
        <f t="shared" si="33"/>
        <v>7.752955082742317</v>
      </c>
      <c r="AD159">
        <f t="shared" si="34"/>
        <v>16.91371158392435</v>
      </c>
      <c r="AE159">
        <f t="shared" si="35"/>
        <v>21.494089834515368</v>
      </c>
      <c r="AF159">
        <f t="shared" si="36"/>
        <v>26.074468085106382</v>
      </c>
      <c r="AG159" t="e">
        <f t="shared" si="37"/>
        <v>#N/A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9">
        <f t="shared" si="43"/>
        <v>3.75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0">
        <f t="shared" si="30"/>
        <v>4.5803782505910169</v>
      </c>
      <c r="AA160">
        <f t="shared" si="31"/>
        <v>0</v>
      </c>
      <c r="AB160">
        <f t="shared" si="32"/>
        <v>3.1725768321513002</v>
      </c>
      <c r="AC160">
        <f t="shared" si="33"/>
        <v>7.752955082742317</v>
      </c>
      <c r="AD160">
        <f t="shared" si="34"/>
        <v>16.91371158392435</v>
      </c>
      <c r="AE160">
        <f t="shared" si="35"/>
        <v>21.494089834515368</v>
      </c>
      <c r="AF160">
        <f t="shared" si="36"/>
        <v>26.074468085106382</v>
      </c>
      <c r="AG160" t="e">
        <f t="shared" si="37"/>
        <v>#N/A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0">
        <f t="shared" si="43"/>
        <v>3.75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1">
        <f t="shared" si="30"/>
        <v>4.5803782505910169</v>
      </c>
      <c r="AA161">
        <f t="shared" si="31"/>
        <v>0</v>
      </c>
      <c r="AB161">
        <f t="shared" si="32"/>
        <v>3.1725768321513002</v>
      </c>
      <c r="AC161">
        <f t="shared" si="33"/>
        <v>7.752955082742317</v>
      </c>
      <c r="AD161">
        <f t="shared" si="34"/>
        <v>16.91371158392435</v>
      </c>
      <c r="AE161">
        <f t="shared" si="35"/>
        <v>21.494089834515368</v>
      </c>
      <c r="AF161">
        <f t="shared" si="36"/>
        <v>26.074468085106382</v>
      </c>
      <c r="AG161" t="e">
        <f t="shared" si="37"/>
        <v>#N/A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1">
        <f t="shared" si="43"/>
        <v>3.75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2">
        <f t="shared" si="30"/>
        <v>4.5803782505910169</v>
      </c>
      <c r="AA162">
        <f t="shared" si="31"/>
        <v>0</v>
      </c>
      <c r="AB162">
        <f t="shared" si="32"/>
        <v>3.1725768321513002</v>
      </c>
      <c r="AC162">
        <f t="shared" si="33"/>
        <v>7.752955082742317</v>
      </c>
      <c r="AD162">
        <f t="shared" si="34"/>
        <v>16.91371158392435</v>
      </c>
      <c r="AE162">
        <f t="shared" si="35"/>
        <v>21.494089834515368</v>
      </c>
      <c r="AF162">
        <f t="shared" si="36"/>
        <v>26.074468085106382</v>
      </c>
      <c r="AG162" t="e">
        <f t="shared" si="37"/>
        <v>#N/A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2">
        <f t="shared" si="43"/>
        <v>3.75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3">
        <f t="shared" si="30"/>
        <v>4.5803782505910169</v>
      </c>
      <c r="AA163">
        <f t="shared" si="31"/>
        <v>0</v>
      </c>
      <c r="AB163">
        <f t="shared" si="32"/>
        <v>3.1725768321513002</v>
      </c>
      <c r="AC163">
        <f t="shared" si="33"/>
        <v>7.752955082742317</v>
      </c>
      <c r="AD163">
        <f t="shared" si="34"/>
        <v>16.91371158392435</v>
      </c>
      <c r="AE163">
        <f t="shared" si="35"/>
        <v>21.494089834515368</v>
      </c>
      <c r="AF163">
        <f t="shared" si="36"/>
        <v>26.074468085106382</v>
      </c>
      <c r="AG163" t="e">
        <f t="shared" si="37"/>
        <v>#N/A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3">
        <f t="shared" si="43"/>
        <v>3.75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4">
        <f t="shared" si="30"/>
        <v>4.5803782505910169</v>
      </c>
      <c r="AA164">
        <f t="shared" si="31"/>
        <v>0</v>
      </c>
      <c r="AB164">
        <f t="shared" si="32"/>
        <v>3.1725768321513002</v>
      </c>
      <c r="AC164">
        <f t="shared" si="33"/>
        <v>7.752955082742317</v>
      </c>
      <c r="AD164">
        <f t="shared" si="34"/>
        <v>16.91371158392435</v>
      </c>
      <c r="AE164">
        <f t="shared" si="35"/>
        <v>21.494089834515368</v>
      </c>
      <c r="AF164">
        <f t="shared" si="36"/>
        <v>26.074468085106382</v>
      </c>
      <c r="AG164" t="e">
        <f t="shared" si="37"/>
        <v>#N/A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4">
        <f t="shared" si="43"/>
        <v>3.75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5">
        <f t="shared" si="30"/>
        <v>4.5803782505910169</v>
      </c>
      <c r="AA165">
        <f t="shared" si="31"/>
        <v>0</v>
      </c>
      <c r="AB165">
        <f t="shared" si="32"/>
        <v>3.1725768321513002</v>
      </c>
      <c r="AC165">
        <f t="shared" si="33"/>
        <v>7.752955082742317</v>
      </c>
      <c r="AD165">
        <f t="shared" si="34"/>
        <v>16.91371158392435</v>
      </c>
      <c r="AE165">
        <f t="shared" si="35"/>
        <v>21.494089834515368</v>
      </c>
      <c r="AF165">
        <f t="shared" si="36"/>
        <v>26.074468085106382</v>
      </c>
      <c r="AG165" t="e">
        <f t="shared" si="37"/>
        <v>#N/A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5">
        <f t="shared" si="43"/>
        <v>3.75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6">
        <f t="shared" si="30"/>
        <v>4.5803782505910169</v>
      </c>
      <c r="AA166">
        <f t="shared" si="31"/>
        <v>0</v>
      </c>
      <c r="AB166">
        <f t="shared" si="32"/>
        <v>3.1725768321513002</v>
      </c>
      <c r="AC166">
        <f t="shared" si="33"/>
        <v>7.752955082742317</v>
      </c>
      <c r="AD166">
        <f t="shared" si="34"/>
        <v>16.91371158392435</v>
      </c>
      <c r="AE166">
        <f t="shared" si="35"/>
        <v>21.494089834515368</v>
      </c>
      <c r="AF166">
        <f t="shared" si="36"/>
        <v>26.074468085106382</v>
      </c>
      <c r="AG166" t="e">
        <f t="shared" si="37"/>
        <v>#N/A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6">
        <f t="shared" si="43"/>
        <v>3.75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7">
        <f t="shared" si="30"/>
        <v>4.5803782505910169</v>
      </c>
      <c r="AA167">
        <f t="shared" si="31"/>
        <v>0</v>
      </c>
      <c r="AB167">
        <f t="shared" si="32"/>
        <v>3.1725768321513002</v>
      </c>
      <c r="AC167">
        <f t="shared" si="33"/>
        <v>7.752955082742317</v>
      </c>
      <c r="AD167">
        <f t="shared" si="34"/>
        <v>16.91371158392435</v>
      </c>
      <c r="AE167">
        <f t="shared" si="35"/>
        <v>21.494089834515368</v>
      </c>
      <c r="AF167">
        <f t="shared" si="36"/>
        <v>26.074468085106382</v>
      </c>
      <c r="AG167" t="e">
        <f t="shared" si="37"/>
        <v>#N/A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7">
        <f t="shared" si="43"/>
        <v>3.75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8">
        <f t="shared" si="30"/>
        <v>4.5803782505910169</v>
      </c>
      <c r="AA168">
        <f t="shared" si="31"/>
        <v>0</v>
      </c>
      <c r="AB168">
        <f t="shared" si="32"/>
        <v>3.1725768321513002</v>
      </c>
      <c r="AC168">
        <f t="shared" si="33"/>
        <v>7.752955082742317</v>
      </c>
      <c r="AD168">
        <f t="shared" si="34"/>
        <v>16.91371158392435</v>
      </c>
      <c r="AE168">
        <f t="shared" si="35"/>
        <v>21.494089834515368</v>
      </c>
      <c r="AF168">
        <f t="shared" si="36"/>
        <v>26.074468085106382</v>
      </c>
      <c r="AG168" t="e">
        <f t="shared" si="37"/>
        <v>#N/A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8">
        <f t="shared" si="43"/>
        <v>3.75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9">
        <f t="shared" si="30"/>
        <v>4.5803782505910169</v>
      </c>
      <c r="AA169">
        <f t="shared" si="31"/>
        <v>0</v>
      </c>
      <c r="AB169">
        <f t="shared" si="32"/>
        <v>3.1725768321513002</v>
      </c>
      <c r="AC169">
        <f t="shared" si="33"/>
        <v>7.752955082742317</v>
      </c>
      <c r="AD169">
        <f t="shared" si="34"/>
        <v>16.91371158392435</v>
      </c>
      <c r="AE169">
        <f t="shared" si="35"/>
        <v>21.494089834515368</v>
      </c>
      <c r="AF169">
        <f t="shared" si="36"/>
        <v>26.074468085106382</v>
      </c>
      <c r="AG169" t="e">
        <f t="shared" si="37"/>
        <v>#N/A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9">
        <f t="shared" si="43"/>
        <v>3.75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0">
        <f t="shared" si="30"/>
        <v>4.5803782505910169</v>
      </c>
      <c r="AA170">
        <f t="shared" si="31"/>
        <v>0</v>
      </c>
      <c r="AB170">
        <f t="shared" si="32"/>
        <v>3.1725768321513002</v>
      </c>
      <c r="AC170">
        <f t="shared" si="33"/>
        <v>7.752955082742317</v>
      </c>
      <c r="AD170">
        <f t="shared" si="34"/>
        <v>16.91371158392435</v>
      </c>
      <c r="AE170">
        <f t="shared" si="35"/>
        <v>21.494089834515368</v>
      </c>
      <c r="AF170">
        <f t="shared" si="36"/>
        <v>26.074468085106382</v>
      </c>
      <c r="AG170" t="e">
        <f t="shared" si="37"/>
        <v>#N/A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0">
        <f t="shared" si="43"/>
        <v>3.75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1">
        <f t="shared" si="30"/>
        <v>4.5803782505910169</v>
      </c>
      <c r="AA171">
        <f t="shared" si="31"/>
        <v>0</v>
      </c>
      <c r="AB171">
        <f t="shared" si="32"/>
        <v>3.1725768321513002</v>
      </c>
      <c r="AC171">
        <f t="shared" si="33"/>
        <v>7.752955082742317</v>
      </c>
      <c r="AD171">
        <f t="shared" si="34"/>
        <v>16.91371158392435</v>
      </c>
      <c r="AE171">
        <f t="shared" si="35"/>
        <v>21.494089834515368</v>
      </c>
      <c r="AF171">
        <f t="shared" si="36"/>
        <v>26.074468085106382</v>
      </c>
      <c r="AG171" t="e">
        <f t="shared" si="37"/>
        <v>#N/A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1">
        <f t="shared" si="43"/>
        <v>3.75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2">
        <f t="shared" si="30"/>
        <v>4.5803782505910169</v>
      </c>
      <c r="AA172">
        <f t="shared" si="31"/>
        <v>0</v>
      </c>
      <c r="AB172">
        <f t="shared" si="32"/>
        <v>3.1725768321513002</v>
      </c>
      <c r="AC172">
        <f t="shared" si="33"/>
        <v>7.752955082742317</v>
      </c>
      <c r="AD172">
        <f t="shared" si="34"/>
        <v>16.91371158392435</v>
      </c>
      <c r="AE172">
        <f t="shared" si="35"/>
        <v>21.494089834515368</v>
      </c>
      <c r="AF172">
        <f t="shared" si="36"/>
        <v>26.074468085106382</v>
      </c>
      <c r="AG172" t="e">
        <f t="shared" si="37"/>
        <v>#N/A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2">
        <f t="shared" si="43"/>
        <v>3.75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3">
        <f t="shared" si="30"/>
        <v>4.5803782505910169</v>
      </c>
      <c r="AA173">
        <f t="shared" si="31"/>
        <v>0</v>
      </c>
      <c r="AB173">
        <f t="shared" si="32"/>
        <v>3.1725768321513002</v>
      </c>
      <c r="AC173">
        <f t="shared" si="33"/>
        <v>7.752955082742317</v>
      </c>
      <c r="AD173">
        <f t="shared" si="34"/>
        <v>16.91371158392435</v>
      </c>
      <c r="AE173">
        <f t="shared" si="35"/>
        <v>21.494089834515368</v>
      </c>
      <c r="AF173">
        <f t="shared" si="36"/>
        <v>26.074468085106382</v>
      </c>
      <c r="AG173" t="e">
        <f t="shared" si="37"/>
        <v>#N/A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3">
        <f t="shared" si="43"/>
        <v>3.75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4">
        <f t="shared" si="30"/>
        <v>4.5803782505910169</v>
      </c>
      <c r="AA174">
        <f t="shared" si="31"/>
        <v>0</v>
      </c>
      <c r="AB174">
        <f t="shared" si="32"/>
        <v>3.1725768321513002</v>
      </c>
      <c r="AC174">
        <f t="shared" si="33"/>
        <v>7.752955082742317</v>
      </c>
      <c r="AD174">
        <f t="shared" si="34"/>
        <v>16.91371158392435</v>
      </c>
      <c r="AE174">
        <f t="shared" si="35"/>
        <v>21.494089834515368</v>
      </c>
      <c r="AF174">
        <f t="shared" si="36"/>
        <v>26.074468085106382</v>
      </c>
      <c r="AG174" t="e">
        <f t="shared" si="37"/>
        <v>#N/A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4">
        <f t="shared" si="43"/>
        <v>3.75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5">
        <f t="shared" si="30"/>
        <v>4.5803782505910169</v>
      </c>
      <c r="AA175">
        <f t="shared" si="31"/>
        <v>0</v>
      </c>
      <c r="AB175">
        <f t="shared" si="32"/>
        <v>3.1725768321513002</v>
      </c>
      <c r="AC175">
        <f t="shared" si="33"/>
        <v>7.752955082742317</v>
      </c>
      <c r="AD175">
        <f t="shared" si="34"/>
        <v>16.91371158392435</v>
      </c>
      <c r="AE175">
        <f t="shared" si="35"/>
        <v>21.494089834515368</v>
      </c>
      <c r="AF175">
        <f t="shared" si="36"/>
        <v>26.074468085106382</v>
      </c>
      <c r="AG175" t="e">
        <f t="shared" si="37"/>
        <v>#N/A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5">
        <f t="shared" si="43"/>
        <v>3.75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6">
        <f t="shared" si="30"/>
        <v>4.5803782505910169</v>
      </c>
      <c r="AA176">
        <f t="shared" si="31"/>
        <v>0</v>
      </c>
      <c r="AB176">
        <f t="shared" si="32"/>
        <v>3.1725768321513002</v>
      </c>
      <c r="AC176">
        <f t="shared" si="33"/>
        <v>7.752955082742317</v>
      </c>
      <c r="AD176">
        <f t="shared" si="34"/>
        <v>16.91371158392435</v>
      </c>
      <c r="AE176">
        <f t="shared" si="35"/>
        <v>21.494089834515368</v>
      </c>
      <c r="AF176">
        <f t="shared" si="36"/>
        <v>26.074468085106382</v>
      </c>
      <c r="AG176" t="e">
        <f t="shared" si="37"/>
        <v>#N/A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6">
        <f t="shared" si="43"/>
        <v>3.75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7">
        <f t="shared" si="30"/>
        <v>4.5803782505910169</v>
      </c>
      <c r="AA177">
        <f t="shared" si="31"/>
        <v>0</v>
      </c>
      <c r="AB177">
        <f t="shared" si="32"/>
        <v>3.1725768321513002</v>
      </c>
      <c r="AC177">
        <f t="shared" si="33"/>
        <v>7.752955082742317</v>
      </c>
      <c r="AD177">
        <f t="shared" si="34"/>
        <v>16.91371158392435</v>
      </c>
      <c r="AE177">
        <f t="shared" si="35"/>
        <v>21.494089834515368</v>
      </c>
      <c r="AF177">
        <f t="shared" si="36"/>
        <v>26.074468085106382</v>
      </c>
      <c r="AG177" t="e">
        <f t="shared" si="37"/>
        <v>#N/A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7">
        <f t="shared" si="43"/>
        <v>3.75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8">
        <f t="shared" si="30"/>
        <v>4.5803782505910169</v>
      </c>
      <c r="AA178">
        <f t="shared" si="31"/>
        <v>0</v>
      </c>
      <c r="AB178">
        <f t="shared" si="32"/>
        <v>3.1725768321513002</v>
      </c>
      <c r="AC178">
        <f t="shared" si="33"/>
        <v>7.752955082742317</v>
      </c>
      <c r="AD178">
        <f t="shared" si="34"/>
        <v>16.91371158392435</v>
      </c>
      <c r="AE178">
        <f t="shared" si="35"/>
        <v>21.494089834515368</v>
      </c>
      <c r="AF178">
        <f t="shared" si="36"/>
        <v>26.074468085106382</v>
      </c>
      <c r="AG178" t="e">
        <f t="shared" si="37"/>
        <v>#N/A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8">
        <f t="shared" si="43"/>
        <v>3.75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9">
        <f t="shared" si="30"/>
        <v>4.5803782505910169</v>
      </c>
      <c r="AA179">
        <f t="shared" si="31"/>
        <v>0</v>
      </c>
      <c r="AB179">
        <f t="shared" si="32"/>
        <v>3.1725768321513002</v>
      </c>
      <c r="AC179">
        <f t="shared" si="33"/>
        <v>7.752955082742317</v>
      </c>
      <c r="AD179">
        <f t="shared" si="34"/>
        <v>16.91371158392435</v>
      </c>
      <c r="AE179">
        <f t="shared" si="35"/>
        <v>21.494089834515368</v>
      </c>
      <c r="AF179">
        <f t="shared" si="36"/>
        <v>26.074468085106382</v>
      </c>
      <c r="AG179" t="e">
        <f t="shared" si="37"/>
        <v>#N/A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9">
        <f t="shared" si="43"/>
        <v>3.75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0">
        <f t="shared" si="30"/>
        <v>4.5803782505910169</v>
      </c>
      <c r="AA180">
        <f t="shared" si="31"/>
        <v>0</v>
      </c>
      <c r="AB180">
        <f t="shared" si="32"/>
        <v>3.1725768321513002</v>
      </c>
      <c r="AC180">
        <f t="shared" si="33"/>
        <v>7.752955082742317</v>
      </c>
      <c r="AD180">
        <f t="shared" si="34"/>
        <v>16.91371158392435</v>
      </c>
      <c r="AE180">
        <f t="shared" si="35"/>
        <v>21.494089834515368</v>
      </c>
      <c r="AF180">
        <f t="shared" si="36"/>
        <v>26.074468085106382</v>
      </c>
      <c r="AG180" t="e">
        <f t="shared" si="37"/>
        <v>#N/A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0">
        <f t="shared" si="43"/>
        <v>3.75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1">
        <f t="shared" si="30"/>
        <v>4.5803782505910169</v>
      </c>
      <c r="AA181">
        <f t="shared" si="31"/>
        <v>0</v>
      </c>
      <c r="AB181">
        <f t="shared" si="32"/>
        <v>3.1725768321513002</v>
      </c>
      <c r="AC181">
        <f t="shared" si="33"/>
        <v>7.752955082742317</v>
      </c>
      <c r="AD181">
        <f t="shared" si="34"/>
        <v>16.91371158392435</v>
      </c>
      <c r="AE181">
        <f t="shared" si="35"/>
        <v>21.494089834515368</v>
      </c>
      <c r="AF181">
        <f t="shared" si="36"/>
        <v>26.074468085106382</v>
      </c>
      <c r="AG181" t="e">
        <f t="shared" si="37"/>
        <v>#N/A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1">
        <f t="shared" si="43"/>
        <v>3.75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2">
        <f t="shared" si="30"/>
        <v>4.5803782505910169</v>
      </c>
      <c r="AA182">
        <f t="shared" si="31"/>
        <v>0</v>
      </c>
      <c r="AB182">
        <f t="shared" si="32"/>
        <v>3.1725768321513002</v>
      </c>
      <c r="AC182">
        <f t="shared" si="33"/>
        <v>7.752955082742317</v>
      </c>
      <c r="AD182">
        <f t="shared" si="34"/>
        <v>16.91371158392435</v>
      </c>
      <c r="AE182">
        <f t="shared" si="35"/>
        <v>21.494089834515368</v>
      </c>
      <c r="AF182">
        <f t="shared" si="36"/>
        <v>26.074468085106382</v>
      </c>
      <c r="AG182" t="e">
        <f t="shared" si="37"/>
        <v>#N/A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2">
        <f t="shared" si="43"/>
        <v>3.75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3">
        <f t="shared" si="30"/>
        <v>4.5803782505910169</v>
      </c>
      <c r="AA183">
        <f t="shared" si="31"/>
        <v>0</v>
      </c>
      <c r="AB183">
        <f t="shared" si="32"/>
        <v>3.1725768321513002</v>
      </c>
      <c r="AC183">
        <f t="shared" si="33"/>
        <v>7.752955082742317</v>
      </c>
      <c r="AD183">
        <f t="shared" si="34"/>
        <v>16.91371158392435</v>
      </c>
      <c r="AE183">
        <f t="shared" si="35"/>
        <v>21.494089834515368</v>
      </c>
      <c r="AF183">
        <f t="shared" si="36"/>
        <v>26.074468085106382</v>
      </c>
      <c r="AG183" t="e">
        <f t="shared" si="37"/>
        <v>#N/A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3">
        <f t="shared" si="43"/>
        <v>3.75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4">
        <f t="shared" si="30"/>
        <v>4.5803782505910169</v>
      </c>
      <c r="AA184">
        <f t="shared" si="31"/>
        <v>0</v>
      </c>
      <c r="AB184">
        <f t="shared" si="32"/>
        <v>3.1725768321513002</v>
      </c>
      <c r="AC184">
        <f t="shared" si="33"/>
        <v>7.752955082742317</v>
      </c>
      <c r="AD184">
        <f t="shared" si="34"/>
        <v>16.91371158392435</v>
      </c>
      <c r="AE184">
        <f t="shared" si="35"/>
        <v>21.494089834515368</v>
      </c>
      <c r="AF184">
        <f t="shared" si="36"/>
        <v>26.074468085106382</v>
      </c>
      <c r="AG184" t="e">
        <f t="shared" si="37"/>
        <v>#N/A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4">
        <f t="shared" si="43"/>
        <v>3.75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5">
        <f t="shared" si="30"/>
        <v>4.5803782505910169</v>
      </c>
      <c r="AA185">
        <f t="shared" si="31"/>
        <v>0</v>
      </c>
      <c r="AB185">
        <f t="shared" si="32"/>
        <v>3.1725768321513002</v>
      </c>
      <c r="AC185">
        <f t="shared" si="33"/>
        <v>7.752955082742317</v>
      </c>
      <c r="AD185">
        <f t="shared" si="34"/>
        <v>16.91371158392435</v>
      </c>
      <c r="AE185">
        <f t="shared" si="35"/>
        <v>21.494089834515368</v>
      </c>
      <c r="AF185">
        <f t="shared" si="36"/>
        <v>26.074468085106382</v>
      </c>
      <c r="AG185" t="e">
        <f t="shared" si="37"/>
        <v>#N/A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5">
        <f t="shared" si="43"/>
        <v>3.75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6">
        <f t="shared" si="30"/>
        <v>4.5803782505910169</v>
      </c>
      <c r="AA186">
        <f t="shared" si="31"/>
        <v>0</v>
      </c>
      <c r="AB186">
        <f t="shared" si="32"/>
        <v>3.1725768321513002</v>
      </c>
      <c r="AC186">
        <f t="shared" si="33"/>
        <v>7.752955082742317</v>
      </c>
      <c r="AD186">
        <f t="shared" si="34"/>
        <v>16.91371158392435</v>
      </c>
      <c r="AE186">
        <f t="shared" si="35"/>
        <v>21.494089834515368</v>
      </c>
      <c r="AF186">
        <f t="shared" si="36"/>
        <v>26.074468085106382</v>
      </c>
      <c r="AG186" t="e">
        <f t="shared" si="37"/>
        <v>#N/A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6">
        <f t="shared" si="43"/>
        <v>3.75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7">
        <f t="shared" si="30"/>
        <v>4.5803782505910169</v>
      </c>
      <c r="AA187">
        <f t="shared" si="31"/>
        <v>0</v>
      </c>
      <c r="AB187">
        <f t="shared" si="32"/>
        <v>3.1725768321513002</v>
      </c>
      <c r="AC187">
        <f t="shared" si="33"/>
        <v>7.752955082742317</v>
      </c>
      <c r="AD187">
        <f t="shared" si="34"/>
        <v>16.91371158392435</v>
      </c>
      <c r="AE187">
        <f t="shared" si="35"/>
        <v>21.494089834515368</v>
      </c>
      <c r="AF187">
        <f t="shared" si="36"/>
        <v>26.074468085106382</v>
      </c>
      <c r="AG187" t="e">
        <f t="shared" si="37"/>
        <v>#N/A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7">
        <f t="shared" si="43"/>
        <v>3.75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8">
        <f t="shared" si="30"/>
        <v>4.5803782505910169</v>
      </c>
      <c r="AA188">
        <f t="shared" si="31"/>
        <v>0</v>
      </c>
      <c r="AB188">
        <f t="shared" si="32"/>
        <v>3.1725768321513002</v>
      </c>
      <c r="AC188">
        <f t="shared" si="33"/>
        <v>7.752955082742317</v>
      </c>
      <c r="AD188">
        <f t="shared" si="34"/>
        <v>16.91371158392435</v>
      </c>
      <c r="AE188">
        <f t="shared" si="35"/>
        <v>21.494089834515368</v>
      </c>
      <c r="AF188">
        <f t="shared" si="36"/>
        <v>26.074468085106382</v>
      </c>
      <c r="AG188" t="e">
        <f t="shared" si="37"/>
        <v>#N/A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8">
        <f t="shared" si="43"/>
        <v>3.75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9">
        <f t="shared" si="30"/>
        <v>4.5803782505910169</v>
      </c>
      <c r="AA189">
        <f t="shared" si="31"/>
        <v>0</v>
      </c>
      <c r="AB189">
        <f t="shared" si="32"/>
        <v>3.1725768321513002</v>
      </c>
      <c r="AC189">
        <f t="shared" si="33"/>
        <v>7.752955082742317</v>
      </c>
      <c r="AD189">
        <f t="shared" si="34"/>
        <v>16.91371158392435</v>
      </c>
      <c r="AE189">
        <f t="shared" si="35"/>
        <v>21.494089834515368</v>
      </c>
      <c r="AF189">
        <f t="shared" si="36"/>
        <v>26.074468085106382</v>
      </c>
      <c r="AG189" t="e">
        <f t="shared" si="37"/>
        <v>#N/A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9">
        <f t="shared" si="43"/>
        <v>3.75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0">
        <f t="shared" si="30"/>
        <v>4.5803782505910169</v>
      </c>
      <c r="AA190">
        <f t="shared" si="31"/>
        <v>0</v>
      </c>
      <c r="AB190">
        <f t="shared" si="32"/>
        <v>3.1725768321513002</v>
      </c>
      <c r="AC190">
        <f t="shared" si="33"/>
        <v>7.752955082742317</v>
      </c>
      <c r="AD190">
        <f t="shared" si="34"/>
        <v>16.91371158392435</v>
      </c>
      <c r="AE190">
        <f t="shared" si="35"/>
        <v>21.494089834515368</v>
      </c>
      <c r="AF190">
        <f t="shared" si="36"/>
        <v>26.074468085106382</v>
      </c>
      <c r="AG190" t="e">
        <f t="shared" si="37"/>
        <v>#N/A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0">
        <f t="shared" si="43"/>
        <v>3.75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1">
        <f t="shared" si="30"/>
        <v>4.5803782505910169</v>
      </c>
      <c r="AA191">
        <f t="shared" si="31"/>
        <v>0</v>
      </c>
      <c r="AB191">
        <f t="shared" si="32"/>
        <v>3.1725768321513002</v>
      </c>
      <c r="AC191">
        <f t="shared" si="33"/>
        <v>7.752955082742317</v>
      </c>
      <c r="AD191">
        <f t="shared" si="34"/>
        <v>16.91371158392435</v>
      </c>
      <c r="AE191">
        <f t="shared" si="35"/>
        <v>21.494089834515368</v>
      </c>
      <c r="AF191">
        <f t="shared" si="36"/>
        <v>26.074468085106382</v>
      </c>
      <c r="AG191" t="e">
        <f t="shared" si="37"/>
        <v>#N/A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1">
        <f t="shared" si="43"/>
        <v>3.75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2">
        <f t="shared" si="30"/>
        <v>4.5803782505910169</v>
      </c>
      <c r="AA192">
        <f t="shared" si="31"/>
        <v>0</v>
      </c>
      <c r="AB192">
        <f t="shared" si="32"/>
        <v>3.1725768321513002</v>
      </c>
      <c r="AC192">
        <f t="shared" si="33"/>
        <v>7.752955082742317</v>
      </c>
      <c r="AD192">
        <f t="shared" si="34"/>
        <v>16.91371158392435</v>
      </c>
      <c r="AE192">
        <f t="shared" si="35"/>
        <v>21.494089834515368</v>
      </c>
      <c r="AF192">
        <f t="shared" si="36"/>
        <v>26.074468085106382</v>
      </c>
      <c r="AG192" t="e">
        <f t="shared" si="37"/>
        <v>#N/A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2">
        <f t="shared" si="43"/>
        <v>3.75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3">
        <f t="shared" si="30"/>
        <v>4.5803782505910169</v>
      </c>
      <c r="AA193">
        <f t="shared" si="31"/>
        <v>0</v>
      </c>
      <c r="AB193">
        <f t="shared" si="32"/>
        <v>3.1725768321513002</v>
      </c>
      <c r="AC193">
        <f t="shared" si="33"/>
        <v>7.752955082742317</v>
      </c>
      <c r="AD193">
        <f t="shared" si="34"/>
        <v>16.91371158392435</v>
      </c>
      <c r="AE193">
        <f t="shared" si="35"/>
        <v>21.494089834515368</v>
      </c>
      <c r="AF193">
        <f t="shared" si="36"/>
        <v>26.074468085106382</v>
      </c>
      <c r="AG193" t="e">
        <f t="shared" si="37"/>
        <v>#N/A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3">
        <f t="shared" si="43"/>
        <v>3.75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4">
        <f t="shared" si="30"/>
        <v>4.5803782505910169</v>
      </c>
      <c r="AA194">
        <f t="shared" si="31"/>
        <v>0</v>
      </c>
      <c r="AB194">
        <f t="shared" si="32"/>
        <v>3.1725768321513002</v>
      </c>
      <c r="AC194">
        <f t="shared" si="33"/>
        <v>7.752955082742317</v>
      </c>
      <c r="AD194">
        <f t="shared" si="34"/>
        <v>16.91371158392435</v>
      </c>
      <c r="AE194">
        <f t="shared" si="35"/>
        <v>21.494089834515368</v>
      </c>
      <c r="AF194">
        <f t="shared" si="36"/>
        <v>26.074468085106382</v>
      </c>
      <c r="AG194" t="e">
        <f t="shared" si="37"/>
        <v>#N/A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4">
        <f t="shared" si="43"/>
        <v>3.75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5">
        <f t="shared" si="30"/>
        <v>4.5803782505910169</v>
      </c>
      <c r="AA195">
        <f t="shared" si="31"/>
        <v>0</v>
      </c>
      <c r="AB195">
        <f t="shared" si="32"/>
        <v>3.1725768321513002</v>
      </c>
      <c r="AC195">
        <f t="shared" si="33"/>
        <v>7.752955082742317</v>
      </c>
      <c r="AD195">
        <f t="shared" si="34"/>
        <v>16.91371158392435</v>
      </c>
      <c r="AE195">
        <f t="shared" si="35"/>
        <v>21.494089834515368</v>
      </c>
      <c r="AF195">
        <f t="shared" si="36"/>
        <v>26.074468085106382</v>
      </c>
      <c r="AG195" t="e">
        <f t="shared" si="37"/>
        <v>#N/A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5">
        <f t="shared" si="43"/>
        <v>3.75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6">
        <f t="shared" si="30"/>
        <v>4.5803782505910169</v>
      </c>
      <c r="AA196">
        <f t="shared" si="31"/>
        <v>0</v>
      </c>
      <c r="AB196">
        <f t="shared" si="32"/>
        <v>3.1725768321513002</v>
      </c>
      <c r="AC196">
        <f t="shared" si="33"/>
        <v>7.752955082742317</v>
      </c>
      <c r="AD196">
        <f t="shared" si="34"/>
        <v>16.91371158392435</v>
      </c>
      <c r="AE196">
        <f t="shared" si="35"/>
        <v>21.494089834515368</v>
      </c>
      <c r="AF196">
        <f t="shared" si="36"/>
        <v>26.074468085106382</v>
      </c>
      <c r="AG196" t="e">
        <f t="shared" si="37"/>
        <v>#N/A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6">
        <f t="shared" si="43"/>
        <v>3.75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7">
        <f t="shared" ref="Z197:Z260" si="45">Y197/1.128</f>
        <v>4.5803782505910169</v>
      </c>
      <c r="AA197">
        <f t="shared" ref="AA197:AA260" si="46">MAX(0,W197-(3*Z197))</f>
        <v>0</v>
      </c>
      <c r="AB197">
        <f t="shared" ref="AB197:AB260" si="47">MAX(0,W197-(2*Z197))</f>
        <v>3.1725768321513002</v>
      </c>
      <c r="AC197">
        <f t="shared" ref="AC197:AC260" si="48">MAX(0,W197-Z197)</f>
        <v>7.752955082742317</v>
      </c>
      <c r="AD197">
        <f t="shared" ref="AD197:AD260" si="49">W197+Z197</f>
        <v>16.91371158392435</v>
      </c>
      <c r="AE197">
        <f t="shared" ref="AE197:AE260" si="50">W197+(2*Z197)</f>
        <v>21.494089834515368</v>
      </c>
      <c r="AF197">
        <f t="shared" ref="AF197:AF260" si="51">W197+(3*Z197)</f>
        <v>26.074468085106382</v>
      </c>
      <c r="AG197" t="e">
        <f t="shared" ref="AG197:AG260" si="52">IF(OR(V197&gt;AF197,V197&lt;AA197),V197,NA())</f>
        <v>#N/A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7">
        <f t="shared" ref="AP197:AP260" si="58">AO197-AN197</f>
        <v>3.75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8">
        <f t="shared" si="45"/>
        <v>4.5803782505910169</v>
      </c>
      <c r="AA198">
        <f t="shared" si="46"/>
        <v>0</v>
      </c>
      <c r="AB198">
        <f t="shared" si="47"/>
        <v>3.1725768321513002</v>
      </c>
      <c r="AC198">
        <f t="shared" si="48"/>
        <v>7.752955082742317</v>
      </c>
      <c r="AD198">
        <f t="shared" si="49"/>
        <v>16.91371158392435</v>
      </c>
      <c r="AE198">
        <f t="shared" si="50"/>
        <v>21.494089834515368</v>
      </c>
      <c r="AF198">
        <f t="shared" si="51"/>
        <v>26.074468085106382</v>
      </c>
      <c r="AG198" t="e">
        <f t="shared" si="52"/>
        <v>#N/A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8">
        <f t="shared" si="58"/>
        <v>3.75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9">
        <f t="shared" si="45"/>
        <v>4.5803782505910169</v>
      </c>
      <c r="AA199">
        <f t="shared" si="46"/>
        <v>0</v>
      </c>
      <c r="AB199">
        <f t="shared" si="47"/>
        <v>3.1725768321513002</v>
      </c>
      <c r="AC199">
        <f t="shared" si="48"/>
        <v>7.752955082742317</v>
      </c>
      <c r="AD199">
        <f t="shared" si="49"/>
        <v>16.91371158392435</v>
      </c>
      <c r="AE199">
        <f t="shared" si="50"/>
        <v>21.494089834515368</v>
      </c>
      <c r="AF199">
        <f t="shared" si="51"/>
        <v>26.074468085106382</v>
      </c>
      <c r="AG199" t="e">
        <f t="shared" si="52"/>
        <v>#N/A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9">
        <f t="shared" si="58"/>
        <v>3.75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0">
        <f t="shared" si="45"/>
        <v>4.5803782505910169</v>
      </c>
      <c r="AA200">
        <f t="shared" si="46"/>
        <v>0</v>
      </c>
      <c r="AB200">
        <f t="shared" si="47"/>
        <v>3.1725768321513002</v>
      </c>
      <c r="AC200">
        <f t="shared" si="48"/>
        <v>7.752955082742317</v>
      </c>
      <c r="AD200">
        <f t="shared" si="49"/>
        <v>16.91371158392435</v>
      </c>
      <c r="AE200">
        <f t="shared" si="50"/>
        <v>21.494089834515368</v>
      </c>
      <c r="AF200">
        <f t="shared" si="51"/>
        <v>26.074468085106382</v>
      </c>
      <c r="AG200" t="e">
        <f t="shared" si="52"/>
        <v>#N/A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0">
        <f t="shared" si="58"/>
        <v>3.75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1">
        <f t="shared" si="45"/>
        <v>4.5803782505910169</v>
      </c>
      <c r="AA201">
        <f t="shared" si="46"/>
        <v>0</v>
      </c>
      <c r="AB201">
        <f t="shared" si="47"/>
        <v>3.1725768321513002</v>
      </c>
      <c r="AC201">
        <f t="shared" si="48"/>
        <v>7.752955082742317</v>
      </c>
      <c r="AD201">
        <f t="shared" si="49"/>
        <v>16.91371158392435</v>
      </c>
      <c r="AE201">
        <f t="shared" si="50"/>
        <v>21.494089834515368</v>
      </c>
      <c r="AF201">
        <f t="shared" si="51"/>
        <v>26.074468085106382</v>
      </c>
      <c r="AG201" t="e">
        <f t="shared" si="52"/>
        <v>#N/A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1">
        <f t="shared" si="58"/>
        <v>3.75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2">
        <f t="shared" si="45"/>
        <v>4.5803782505910169</v>
      </c>
      <c r="AA202">
        <f t="shared" si="46"/>
        <v>0</v>
      </c>
      <c r="AB202">
        <f t="shared" si="47"/>
        <v>3.1725768321513002</v>
      </c>
      <c r="AC202">
        <f t="shared" si="48"/>
        <v>7.752955082742317</v>
      </c>
      <c r="AD202">
        <f t="shared" si="49"/>
        <v>16.91371158392435</v>
      </c>
      <c r="AE202">
        <f t="shared" si="50"/>
        <v>21.494089834515368</v>
      </c>
      <c r="AF202">
        <f t="shared" si="51"/>
        <v>26.074468085106382</v>
      </c>
      <c r="AG202" t="e">
        <f t="shared" si="52"/>
        <v>#N/A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2">
        <f t="shared" si="58"/>
        <v>3.75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3">
        <f t="shared" si="45"/>
        <v>4.5803782505910169</v>
      </c>
      <c r="AA203">
        <f t="shared" si="46"/>
        <v>0</v>
      </c>
      <c r="AB203">
        <f t="shared" si="47"/>
        <v>3.1725768321513002</v>
      </c>
      <c r="AC203">
        <f t="shared" si="48"/>
        <v>7.752955082742317</v>
      </c>
      <c r="AD203">
        <f t="shared" si="49"/>
        <v>16.91371158392435</v>
      </c>
      <c r="AE203">
        <f t="shared" si="50"/>
        <v>21.494089834515368</v>
      </c>
      <c r="AF203">
        <f t="shared" si="51"/>
        <v>26.074468085106382</v>
      </c>
      <c r="AG203" t="e">
        <f t="shared" si="52"/>
        <v>#N/A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3">
        <f t="shared" si="58"/>
        <v>3.75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4">
        <f t="shared" si="45"/>
        <v>4.5803782505910169</v>
      </c>
      <c r="AA204">
        <f t="shared" si="46"/>
        <v>0</v>
      </c>
      <c r="AB204">
        <f t="shared" si="47"/>
        <v>3.1725768321513002</v>
      </c>
      <c r="AC204">
        <f t="shared" si="48"/>
        <v>7.752955082742317</v>
      </c>
      <c r="AD204">
        <f t="shared" si="49"/>
        <v>16.91371158392435</v>
      </c>
      <c r="AE204">
        <f t="shared" si="50"/>
        <v>21.494089834515368</v>
      </c>
      <c r="AF204">
        <f t="shared" si="51"/>
        <v>26.074468085106382</v>
      </c>
      <c r="AG204" t="e">
        <f t="shared" si="52"/>
        <v>#N/A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4">
        <f t="shared" si="58"/>
        <v>3.75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5">
        <f t="shared" si="45"/>
        <v>4.5803782505910169</v>
      </c>
      <c r="AA205">
        <f t="shared" si="46"/>
        <v>0</v>
      </c>
      <c r="AB205">
        <f t="shared" si="47"/>
        <v>3.1725768321513002</v>
      </c>
      <c r="AC205">
        <f t="shared" si="48"/>
        <v>7.752955082742317</v>
      </c>
      <c r="AD205">
        <f t="shared" si="49"/>
        <v>16.91371158392435</v>
      </c>
      <c r="AE205">
        <f t="shared" si="50"/>
        <v>21.494089834515368</v>
      </c>
      <c r="AF205">
        <f t="shared" si="51"/>
        <v>26.074468085106382</v>
      </c>
      <c r="AG205" t="e">
        <f t="shared" si="52"/>
        <v>#N/A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5">
        <f t="shared" si="58"/>
        <v>3.75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6">
        <f t="shared" si="45"/>
        <v>4.5803782505910169</v>
      </c>
      <c r="AA206">
        <f t="shared" si="46"/>
        <v>0</v>
      </c>
      <c r="AB206">
        <f t="shared" si="47"/>
        <v>3.1725768321513002</v>
      </c>
      <c r="AC206">
        <f t="shared" si="48"/>
        <v>7.752955082742317</v>
      </c>
      <c r="AD206">
        <f t="shared" si="49"/>
        <v>16.91371158392435</v>
      </c>
      <c r="AE206">
        <f t="shared" si="50"/>
        <v>21.494089834515368</v>
      </c>
      <c r="AF206">
        <f t="shared" si="51"/>
        <v>26.074468085106382</v>
      </c>
      <c r="AG206" t="e">
        <f t="shared" si="52"/>
        <v>#N/A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6">
        <f t="shared" si="58"/>
        <v>3.75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7">
        <f t="shared" si="45"/>
        <v>4.5803782505910169</v>
      </c>
      <c r="AA207">
        <f t="shared" si="46"/>
        <v>0</v>
      </c>
      <c r="AB207">
        <f t="shared" si="47"/>
        <v>3.1725768321513002</v>
      </c>
      <c r="AC207">
        <f t="shared" si="48"/>
        <v>7.752955082742317</v>
      </c>
      <c r="AD207">
        <f t="shared" si="49"/>
        <v>16.91371158392435</v>
      </c>
      <c r="AE207">
        <f t="shared" si="50"/>
        <v>21.494089834515368</v>
      </c>
      <c r="AF207">
        <f t="shared" si="51"/>
        <v>26.074468085106382</v>
      </c>
      <c r="AG207" t="e">
        <f t="shared" si="52"/>
        <v>#N/A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7">
        <f t="shared" si="58"/>
        <v>3.75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8">
        <f t="shared" si="45"/>
        <v>4.5803782505910169</v>
      </c>
      <c r="AA208">
        <f t="shared" si="46"/>
        <v>0</v>
      </c>
      <c r="AB208">
        <f t="shared" si="47"/>
        <v>3.1725768321513002</v>
      </c>
      <c r="AC208">
        <f t="shared" si="48"/>
        <v>7.752955082742317</v>
      </c>
      <c r="AD208">
        <f t="shared" si="49"/>
        <v>16.91371158392435</v>
      </c>
      <c r="AE208">
        <f t="shared" si="50"/>
        <v>21.494089834515368</v>
      </c>
      <c r="AF208">
        <f t="shared" si="51"/>
        <v>26.074468085106382</v>
      </c>
      <c r="AG208" t="e">
        <f t="shared" si="52"/>
        <v>#N/A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8">
        <f t="shared" si="58"/>
        <v>3.75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9">
        <f t="shared" si="45"/>
        <v>4.5803782505910169</v>
      </c>
      <c r="AA209">
        <f t="shared" si="46"/>
        <v>0</v>
      </c>
      <c r="AB209">
        <f t="shared" si="47"/>
        <v>3.1725768321513002</v>
      </c>
      <c r="AC209">
        <f t="shared" si="48"/>
        <v>7.752955082742317</v>
      </c>
      <c r="AD209">
        <f t="shared" si="49"/>
        <v>16.91371158392435</v>
      </c>
      <c r="AE209">
        <f t="shared" si="50"/>
        <v>21.494089834515368</v>
      </c>
      <c r="AF209">
        <f t="shared" si="51"/>
        <v>26.074468085106382</v>
      </c>
      <c r="AG209" t="e">
        <f t="shared" si="52"/>
        <v>#N/A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9">
        <f t="shared" si="58"/>
        <v>3.75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0">
        <f t="shared" si="45"/>
        <v>4.5803782505910169</v>
      </c>
      <c r="AA210">
        <f t="shared" si="46"/>
        <v>0</v>
      </c>
      <c r="AB210">
        <f t="shared" si="47"/>
        <v>3.1725768321513002</v>
      </c>
      <c r="AC210">
        <f t="shared" si="48"/>
        <v>7.752955082742317</v>
      </c>
      <c r="AD210">
        <f t="shared" si="49"/>
        <v>16.91371158392435</v>
      </c>
      <c r="AE210">
        <f t="shared" si="50"/>
        <v>21.494089834515368</v>
      </c>
      <c r="AF210">
        <f t="shared" si="51"/>
        <v>26.074468085106382</v>
      </c>
      <c r="AG210" t="e">
        <f t="shared" si="52"/>
        <v>#N/A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0">
        <f t="shared" si="58"/>
        <v>3.75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1">
        <f t="shared" si="45"/>
        <v>4.5803782505910169</v>
      </c>
      <c r="AA211">
        <f t="shared" si="46"/>
        <v>0</v>
      </c>
      <c r="AB211">
        <f t="shared" si="47"/>
        <v>3.1725768321513002</v>
      </c>
      <c r="AC211">
        <f t="shared" si="48"/>
        <v>7.752955082742317</v>
      </c>
      <c r="AD211">
        <f t="shared" si="49"/>
        <v>16.91371158392435</v>
      </c>
      <c r="AE211">
        <f t="shared" si="50"/>
        <v>21.494089834515368</v>
      </c>
      <c r="AF211">
        <f t="shared" si="51"/>
        <v>26.074468085106382</v>
      </c>
      <c r="AG211" t="e">
        <f t="shared" si="52"/>
        <v>#N/A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1">
        <f t="shared" si="58"/>
        <v>3.75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2">
        <f t="shared" si="45"/>
        <v>4.5803782505910169</v>
      </c>
      <c r="AA212">
        <f t="shared" si="46"/>
        <v>0</v>
      </c>
      <c r="AB212">
        <f t="shared" si="47"/>
        <v>3.1725768321513002</v>
      </c>
      <c r="AC212">
        <f t="shared" si="48"/>
        <v>7.752955082742317</v>
      </c>
      <c r="AD212">
        <f t="shared" si="49"/>
        <v>16.91371158392435</v>
      </c>
      <c r="AE212">
        <f t="shared" si="50"/>
        <v>21.494089834515368</v>
      </c>
      <c r="AF212">
        <f t="shared" si="51"/>
        <v>26.074468085106382</v>
      </c>
      <c r="AG212" t="e">
        <f t="shared" si="52"/>
        <v>#N/A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2">
        <f t="shared" si="58"/>
        <v>3.75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3">
        <f t="shared" si="45"/>
        <v>4.5803782505910169</v>
      </c>
      <c r="AA213">
        <f t="shared" si="46"/>
        <v>0</v>
      </c>
      <c r="AB213">
        <f t="shared" si="47"/>
        <v>3.1725768321513002</v>
      </c>
      <c r="AC213">
        <f t="shared" si="48"/>
        <v>7.752955082742317</v>
      </c>
      <c r="AD213">
        <f t="shared" si="49"/>
        <v>16.91371158392435</v>
      </c>
      <c r="AE213">
        <f t="shared" si="50"/>
        <v>21.494089834515368</v>
      </c>
      <c r="AF213">
        <f t="shared" si="51"/>
        <v>26.074468085106382</v>
      </c>
      <c r="AG213" t="e">
        <f t="shared" si="52"/>
        <v>#N/A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3">
        <f t="shared" si="58"/>
        <v>3.75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4">
        <f t="shared" si="45"/>
        <v>4.5803782505910169</v>
      </c>
      <c r="AA214">
        <f t="shared" si="46"/>
        <v>0</v>
      </c>
      <c r="AB214">
        <f t="shared" si="47"/>
        <v>3.1725768321513002</v>
      </c>
      <c r="AC214">
        <f t="shared" si="48"/>
        <v>7.752955082742317</v>
      </c>
      <c r="AD214">
        <f t="shared" si="49"/>
        <v>16.91371158392435</v>
      </c>
      <c r="AE214">
        <f t="shared" si="50"/>
        <v>21.494089834515368</v>
      </c>
      <c r="AF214">
        <f t="shared" si="51"/>
        <v>26.074468085106382</v>
      </c>
      <c r="AG214" t="e">
        <f t="shared" si="52"/>
        <v>#N/A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4">
        <f t="shared" si="58"/>
        <v>3.75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5">
        <f t="shared" si="45"/>
        <v>4.5803782505910169</v>
      </c>
      <c r="AA215">
        <f t="shared" si="46"/>
        <v>0</v>
      </c>
      <c r="AB215">
        <f t="shared" si="47"/>
        <v>3.1725768321513002</v>
      </c>
      <c r="AC215">
        <f t="shared" si="48"/>
        <v>7.752955082742317</v>
      </c>
      <c r="AD215">
        <f t="shared" si="49"/>
        <v>16.91371158392435</v>
      </c>
      <c r="AE215">
        <f t="shared" si="50"/>
        <v>21.494089834515368</v>
      </c>
      <c r="AF215">
        <f t="shared" si="51"/>
        <v>26.074468085106382</v>
      </c>
      <c r="AG215" t="e">
        <f t="shared" si="52"/>
        <v>#N/A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5">
        <f t="shared" si="58"/>
        <v>3.75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6">
        <f t="shared" si="45"/>
        <v>4.5803782505910169</v>
      </c>
      <c r="AA216">
        <f t="shared" si="46"/>
        <v>0</v>
      </c>
      <c r="AB216">
        <f t="shared" si="47"/>
        <v>3.1725768321513002</v>
      </c>
      <c r="AC216">
        <f t="shared" si="48"/>
        <v>7.752955082742317</v>
      </c>
      <c r="AD216">
        <f t="shared" si="49"/>
        <v>16.91371158392435</v>
      </c>
      <c r="AE216">
        <f t="shared" si="50"/>
        <v>21.494089834515368</v>
      </c>
      <c r="AF216">
        <f t="shared" si="51"/>
        <v>26.074468085106382</v>
      </c>
      <c r="AG216" t="e">
        <f t="shared" si="52"/>
        <v>#N/A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6">
        <f t="shared" si="58"/>
        <v>3.75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7">
        <f t="shared" si="45"/>
        <v>4.5803782505910169</v>
      </c>
      <c r="AA217">
        <f t="shared" si="46"/>
        <v>0</v>
      </c>
      <c r="AB217">
        <f t="shared" si="47"/>
        <v>3.1725768321513002</v>
      </c>
      <c r="AC217">
        <f t="shared" si="48"/>
        <v>7.752955082742317</v>
      </c>
      <c r="AD217">
        <f t="shared" si="49"/>
        <v>16.91371158392435</v>
      </c>
      <c r="AE217">
        <f t="shared" si="50"/>
        <v>21.494089834515368</v>
      </c>
      <c r="AF217">
        <f t="shared" si="51"/>
        <v>26.074468085106382</v>
      </c>
      <c r="AG217" t="e">
        <f t="shared" si="52"/>
        <v>#N/A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7">
        <f t="shared" si="58"/>
        <v>3.75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8">
        <f t="shared" si="45"/>
        <v>4.5803782505910169</v>
      </c>
      <c r="AA218">
        <f t="shared" si="46"/>
        <v>0</v>
      </c>
      <c r="AB218">
        <f t="shared" si="47"/>
        <v>3.1725768321513002</v>
      </c>
      <c r="AC218">
        <f t="shared" si="48"/>
        <v>7.752955082742317</v>
      </c>
      <c r="AD218">
        <f t="shared" si="49"/>
        <v>16.91371158392435</v>
      </c>
      <c r="AE218">
        <f t="shared" si="50"/>
        <v>21.494089834515368</v>
      </c>
      <c r="AF218">
        <f t="shared" si="51"/>
        <v>26.074468085106382</v>
      </c>
      <c r="AG218" t="e">
        <f t="shared" si="52"/>
        <v>#N/A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8">
        <f t="shared" si="58"/>
        <v>3.75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9">
        <f t="shared" si="45"/>
        <v>4.5803782505910169</v>
      </c>
      <c r="AA219">
        <f t="shared" si="46"/>
        <v>0</v>
      </c>
      <c r="AB219">
        <f t="shared" si="47"/>
        <v>3.1725768321513002</v>
      </c>
      <c r="AC219">
        <f t="shared" si="48"/>
        <v>7.752955082742317</v>
      </c>
      <c r="AD219">
        <f t="shared" si="49"/>
        <v>16.91371158392435</v>
      </c>
      <c r="AE219">
        <f t="shared" si="50"/>
        <v>21.494089834515368</v>
      </c>
      <c r="AF219">
        <f t="shared" si="51"/>
        <v>26.074468085106382</v>
      </c>
      <c r="AG219" t="e">
        <f t="shared" si="52"/>
        <v>#N/A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9">
        <f t="shared" si="58"/>
        <v>3.75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0">
        <f t="shared" si="45"/>
        <v>4.5803782505910169</v>
      </c>
      <c r="AA220">
        <f t="shared" si="46"/>
        <v>0</v>
      </c>
      <c r="AB220">
        <f t="shared" si="47"/>
        <v>3.1725768321513002</v>
      </c>
      <c r="AC220">
        <f t="shared" si="48"/>
        <v>7.752955082742317</v>
      </c>
      <c r="AD220">
        <f t="shared" si="49"/>
        <v>16.91371158392435</v>
      </c>
      <c r="AE220">
        <f t="shared" si="50"/>
        <v>21.494089834515368</v>
      </c>
      <c r="AF220">
        <f t="shared" si="51"/>
        <v>26.074468085106382</v>
      </c>
      <c r="AG220" t="e">
        <f t="shared" si="52"/>
        <v>#N/A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0">
        <f t="shared" si="58"/>
        <v>3.75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1">
        <f t="shared" si="45"/>
        <v>4.5803782505910169</v>
      </c>
      <c r="AA221">
        <f t="shared" si="46"/>
        <v>0</v>
      </c>
      <c r="AB221">
        <f t="shared" si="47"/>
        <v>3.1725768321513002</v>
      </c>
      <c r="AC221">
        <f t="shared" si="48"/>
        <v>7.752955082742317</v>
      </c>
      <c r="AD221">
        <f t="shared" si="49"/>
        <v>16.91371158392435</v>
      </c>
      <c r="AE221">
        <f t="shared" si="50"/>
        <v>21.494089834515368</v>
      </c>
      <c r="AF221">
        <f t="shared" si="51"/>
        <v>26.074468085106382</v>
      </c>
      <c r="AG221" t="e">
        <f t="shared" si="52"/>
        <v>#N/A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1">
        <f t="shared" si="58"/>
        <v>3.75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2">
        <f t="shared" si="45"/>
        <v>4.5803782505910169</v>
      </c>
      <c r="AA222">
        <f t="shared" si="46"/>
        <v>0</v>
      </c>
      <c r="AB222">
        <f t="shared" si="47"/>
        <v>3.1725768321513002</v>
      </c>
      <c r="AC222">
        <f t="shared" si="48"/>
        <v>7.752955082742317</v>
      </c>
      <c r="AD222">
        <f t="shared" si="49"/>
        <v>16.91371158392435</v>
      </c>
      <c r="AE222">
        <f t="shared" si="50"/>
        <v>21.494089834515368</v>
      </c>
      <c r="AF222">
        <f t="shared" si="51"/>
        <v>26.074468085106382</v>
      </c>
      <c r="AG222" t="e">
        <f t="shared" si="52"/>
        <v>#N/A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2">
        <f t="shared" si="58"/>
        <v>3.75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3">
        <f t="shared" si="45"/>
        <v>4.5803782505910169</v>
      </c>
      <c r="AA223">
        <f t="shared" si="46"/>
        <v>0</v>
      </c>
      <c r="AB223">
        <f t="shared" si="47"/>
        <v>3.1725768321513002</v>
      </c>
      <c r="AC223">
        <f t="shared" si="48"/>
        <v>7.752955082742317</v>
      </c>
      <c r="AD223">
        <f t="shared" si="49"/>
        <v>16.91371158392435</v>
      </c>
      <c r="AE223">
        <f t="shared" si="50"/>
        <v>21.494089834515368</v>
      </c>
      <c r="AF223">
        <f t="shared" si="51"/>
        <v>26.074468085106382</v>
      </c>
      <c r="AG223" t="e">
        <f t="shared" si="52"/>
        <v>#N/A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3">
        <f t="shared" si="58"/>
        <v>3.75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4">
        <f t="shared" si="45"/>
        <v>4.5803782505910169</v>
      </c>
      <c r="AA224">
        <f t="shared" si="46"/>
        <v>0</v>
      </c>
      <c r="AB224">
        <f t="shared" si="47"/>
        <v>3.1725768321513002</v>
      </c>
      <c r="AC224">
        <f t="shared" si="48"/>
        <v>7.752955082742317</v>
      </c>
      <c r="AD224">
        <f t="shared" si="49"/>
        <v>16.91371158392435</v>
      </c>
      <c r="AE224">
        <f t="shared" si="50"/>
        <v>21.494089834515368</v>
      </c>
      <c r="AF224">
        <f t="shared" si="51"/>
        <v>26.074468085106382</v>
      </c>
      <c r="AG224" t="e">
        <f t="shared" si="52"/>
        <v>#N/A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4">
        <f t="shared" si="58"/>
        <v>3.75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5">
        <f t="shared" si="45"/>
        <v>4.5803782505910169</v>
      </c>
      <c r="AA225">
        <f t="shared" si="46"/>
        <v>0</v>
      </c>
      <c r="AB225">
        <f t="shared" si="47"/>
        <v>3.1725768321513002</v>
      </c>
      <c r="AC225">
        <f t="shared" si="48"/>
        <v>7.752955082742317</v>
      </c>
      <c r="AD225">
        <f t="shared" si="49"/>
        <v>16.91371158392435</v>
      </c>
      <c r="AE225">
        <f t="shared" si="50"/>
        <v>21.494089834515368</v>
      </c>
      <c r="AF225">
        <f t="shared" si="51"/>
        <v>26.074468085106382</v>
      </c>
      <c r="AG225" t="e">
        <f t="shared" si="52"/>
        <v>#N/A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5">
        <f t="shared" si="58"/>
        <v>3.75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6">
        <f t="shared" si="45"/>
        <v>4.5803782505910169</v>
      </c>
      <c r="AA226">
        <f t="shared" si="46"/>
        <v>0</v>
      </c>
      <c r="AB226">
        <f t="shared" si="47"/>
        <v>3.1725768321513002</v>
      </c>
      <c r="AC226">
        <f t="shared" si="48"/>
        <v>7.752955082742317</v>
      </c>
      <c r="AD226">
        <f t="shared" si="49"/>
        <v>16.91371158392435</v>
      </c>
      <c r="AE226">
        <f t="shared" si="50"/>
        <v>21.494089834515368</v>
      </c>
      <c r="AF226">
        <f t="shared" si="51"/>
        <v>26.074468085106382</v>
      </c>
      <c r="AG226" t="e">
        <f t="shared" si="52"/>
        <v>#N/A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6">
        <f t="shared" si="58"/>
        <v>3.75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7">
        <f t="shared" si="45"/>
        <v>4.5803782505910169</v>
      </c>
      <c r="AA227">
        <f t="shared" si="46"/>
        <v>0</v>
      </c>
      <c r="AB227">
        <f t="shared" si="47"/>
        <v>3.1725768321513002</v>
      </c>
      <c r="AC227">
        <f t="shared" si="48"/>
        <v>7.752955082742317</v>
      </c>
      <c r="AD227">
        <f t="shared" si="49"/>
        <v>16.91371158392435</v>
      </c>
      <c r="AE227">
        <f t="shared" si="50"/>
        <v>21.494089834515368</v>
      </c>
      <c r="AF227">
        <f t="shared" si="51"/>
        <v>26.074468085106382</v>
      </c>
      <c r="AG227" t="e">
        <f t="shared" si="52"/>
        <v>#N/A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7">
        <f t="shared" si="58"/>
        <v>3.75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8">
        <f t="shared" si="45"/>
        <v>4.5803782505910169</v>
      </c>
      <c r="AA228">
        <f t="shared" si="46"/>
        <v>0</v>
      </c>
      <c r="AB228">
        <f t="shared" si="47"/>
        <v>3.1725768321513002</v>
      </c>
      <c r="AC228">
        <f t="shared" si="48"/>
        <v>7.752955082742317</v>
      </c>
      <c r="AD228">
        <f t="shared" si="49"/>
        <v>16.91371158392435</v>
      </c>
      <c r="AE228">
        <f t="shared" si="50"/>
        <v>21.494089834515368</v>
      </c>
      <c r="AF228">
        <f t="shared" si="51"/>
        <v>26.074468085106382</v>
      </c>
      <c r="AG228" t="e">
        <f t="shared" si="52"/>
        <v>#N/A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8">
        <f t="shared" si="58"/>
        <v>3.75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9">
        <f t="shared" si="45"/>
        <v>4.5803782505910169</v>
      </c>
      <c r="AA229">
        <f t="shared" si="46"/>
        <v>0</v>
      </c>
      <c r="AB229">
        <f t="shared" si="47"/>
        <v>3.1725768321513002</v>
      </c>
      <c r="AC229">
        <f t="shared" si="48"/>
        <v>7.752955082742317</v>
      </c>
      <c r="AD229">
        <f t="shared" si="49"/>
        <v>16.91371158392435</v>
      </c>
      <c r="AE229">
        <f t="shared" si="50"/>
        <v>21.494089834515368</v>
      </c>
      <c r="AF229">
        <f t="shared" si="51"/>
        <v>26.074468085106382</v>
      </c>
      <c r="AG229" t="e">
        <f t="shared" si="52"/>
        <v>#N/A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9">
        <f t="shared" si="58"/>
        <v>3.75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0">
        <f t="shared" si="45"/>
        <v>4.5803782505910169</v>
      </c>
      <c r="AA230">
        <f t="shared" si="46"/>
        <v>0</v>
      </c>
      <c r="AB230">
        <f t="shared" si="47"/>
        <v>3.1725768321513002</v>
      </c>
      <c r="AC230">
        <f t="shared" si="48"/>
        <v>7.752955082742317</v>
      </c>
      <c r="AD230">
        <f t="shared" si="49"/>
        <v>16.91371158392435</v>
      </c>
      <c r="AE230">
        <f t="shared" si="50"/>
        <v>21.494089834515368</v>
      </c>
      <c r="AF230">
        <f t="shared" si="51"/>
        <v>26.074468085106382</v>
      </c>
      <c r="AG230" t="e">
        <f t="shared" si="52"/>
        <v>#N/A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0">
        <f t="shared" si="58"/>
        <v>3.75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1">
        <f t="shared" si="45"/>
        <v>4.5803782505910169</v>
      </c>
      <c r="AA231">
        <f t="shared" si="46"/>
        <v>0</v>
      </c>
      <c r="AB231">
        <f t="shared" si="47"/>
        <v>3.1725768321513002</v>
      </c>
      <c r="AC231">
        <f t="shared" si="48"/>
        <v>7.752955082742317</v>
      </c>
      <c r="AD231">
        <f t="shared" si="49"/>
        <v>16.91371158392435</v>
      </c>
      <c r="AE231">
        <f t="shared" si="50"/>
        <v>21.494089834515368</v>
      </c>
      <c r="AF231">
        <f t="shared" si="51"/>
        <v>26.074468085106382</v>
      </c>
      <c r="AG231" t="e">
        <f t="shared" si="52"/>
        <v>#N/A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1">
        <f t="shared" si="58"/>
        <v>3.75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2">
        <f t="shared" si="45"/>
        <v>4.5803782505910169</v>
      </c>
      <c r="AA232">
        <f t="shared" si="46"/>
        <v>0</v>
      </c>
      <c r="AB232">
        <f t="shared" si="47"/>
        <v>3.1725768321513002</v>
      </c>
      <c r="AC232">
        <f t="shared" si="48"/>
        <v>7.752955082742317</v>
      </c>
      <c r="AD232">
        <f t="shared" si="49"/>
        <v>16.91371158392435</v>
      </c>
      <c r="AE232">
        <f t="shared" si="50"/>
        <v>21.494089834515368</v>
      </c>
      <c r="AF232">
        <f t="shared" si="51"/>
        <v>26.074468085106382</v>
      </c>
      <c r="AG232" t="e">
        <f t="shared" si="52"/>
        <v>#N/A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2">
        <f t="shared" si="58"/>
        <v>3.75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3">
        <f t="shared" si="45"/>
        <v>4.5803782505910169</v>
      </c>
      <c r="AA233">
        <f t="shared" si="46"/>
        <v>0</v>
      </c>
      <c r="AB233">
        <f t="shared" si="47"/>
        <v>3.1725768321513002</v>
      </c>
      <c r="AC233">
        <f t="shared" si="48"/>
        <v>7.752955082742317</v>
      </c>
      <c r="AD233">
        <f t="shared" si="49"/>
        <v>16.91371158392435</v>
      </c>
      <c r="AE233">
        <f t="shared" si="50"/>
        <v>21.494089834515368</v>
      </c>
      <c r="AF233">
        <f t="shared" si="51"/>
        <v>26.074468085106382</v>
      </c>
      <c r="AG233" t="e">
        <f t="shared" si="52"/>
        <v>#N/A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3">
        <f t="shared" si="58"/>
        <v>3.75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4">
        <f t="shared" si="45"/>
        <v>4.5803782505910169</v>
      </c>
      <c r="AA234">
        <f t="shared" si="46"/>
        <v>0</v>
      </c>
      <c r="AB234">
        <f t="shared" si="47"/>
        <v>3.1725768321513002</v>
      </c>
      <c r="AC234">
        <f t="shared" si="48"/>
        <v>7.752955082742317</v>
      </c>
      <c r="AD234">
        <f t="shared" si="49"/>
        <v>16.91371158392435</v>
      </c>
      <c r="AE234">
        <f t="shared" si="50"/>
        <v>21.494089834515368</v>
      </c>
      <c r="AF234">
        <f t="shared" si="51"/>
        <v>26.074468085106382</v>
      </c>
      <c r="AG234" t="e">
        <f t="shared" si="52"/>
        <v>#N/A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4">
        <f t="shared" si="58"/>
        <v>3.75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5">
        <f t="shared" si="45"/>
        <v>4.5803782505910169</v>
      </c>
      <c r="AA235">
        <f t="shared" si="46"/>
        <v>0</v>
      </c>
      <c r="AB235">
        <f t="shared" si="47"/>
        <v>3.1725768321513002</v>
      </c>
      <c r="AC235">
        <f t="shared" si="48"/>
        <v>7.752955082742317</v>
      </c>
      <c r="AD235">
        <f t="shared" si="49"/>
        <v>16.91371158392435</v>
      </c>
      <c r="AE235">
        <f t="shared" si="50"/>
        <v>21.494089834515368</v>
      </c>
      <c r="AF235">
        <f t="shared" si="51"/>
        <v>26.074468085106382</v>
      </c>
      <c r="AG235" t="e">
        <f t="shared" si="52"/>
        <v>#N/A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5">
        <f t="shared" si="58"/>
        <v>3.75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6">
        <f t="shared" si="45"/>
        <v>4.5803782505910169</v>
      </c>
      <c r="AA236">
        <f t="shared" si="46"/>
        <v>0</v>
      </c>
      <c r="AB236">
        <f t="shared" si="47"/>
        <v>3.1725768321513002</v>
      </c>
      <c r="AC236">
        <f t="shared" si="48"/>
        <v>7.752955082742317</v>
      </c>
      <c r="AD236">
        <f t="shared" si="49"/>
        <v>16.91371158392435</v>
      </c>
      <c r="AE236">
        <f t="shared" si="50"/>
        <v>21.494089834515368</v>
      </c>
      <c r="AF236">
        <f t="shared" si="51"/>
        <v>26.074468085106382</v>
      </c>
      <c r="AG236" t="e">
        <f t="shared" si="52"/>
        <v>#N/A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6">
        <f t="shared" si="58"/>
        <v>3.75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7">
        <f t="shared" si="45"/>
        <v>4.5803782505910169</v>
      </c>
      <c r="AA237">
        <f t="shared" si="46"/>
        <v>0</v>
      </c>
      <c r="AB237">
        <f t="shared" si="47"/>
        <v>3.1725768321513002</v>
      </c>
      <c r="AC237">
        <f t="shared" si="48"/>
        <v>7.752955082742317</v>
      </c>
      <c r="AD237">
        <f t="shared" si="49"/>
        <v>16.91371158392435</v>
      </c>
      <c r="AE237">
        <f t="shared" si="50"/>
        <v>21.494089834515368</v>
      </c>
      <c r="AF237">
        <f t="shared" si="51"/>
        <v>26.074468085106382</v>
      </c>
      <c r="AG237" t="e">
        <f t="shared" si="52"/>
        <v>#N/A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7">
        <f t="shared" si="58"/>
        <v>3.75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8">
        <f t="shared" si="45"/>
        <v>4.5803782505910169</v>
      </c>
      <c r="AA238">
        <f t="shared" si="46"/>
        <v>0</v>
      </c>
      <c r="AB238">
        <f t="shared" si="47"/>
        <v>3.1725768321513002</v>
      </c>
      <c r="AC238">
        <f t="shared" si="48"/>
        <v>7.752955082742317</v>
      </c>
      <c r="AD238">
        <f t="shared" si="49"/>
        <v>16.91371158392435</v>
      </c>
      <c r="AE238">
        <f t="shared" si="50"/>
        <v>21.494089834515368</v>
      </c>
      <c r="AF238">
        <f t="shared" si="51"/>
        <v>26.074468085106382</v>
      </c>
      <c r="AG238" t="e">
        <f t="shared" si="52"/>
        <v>#N/A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8">
        <f t="shared" si="58"/>
        <v>3.75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9">
        <f t="shared" si="45"/>
        <v>4.5803782505910169</v>
      </c>
      <c r="AA239">
        <f t="shared" si="46"/>
        <v>0</v>
      </c>
      <c r="AB239">
        <f t="shared" si="47"/>
        <v>3.1725768321513002</v>
      </c>
      <c r="AC239">
        <f t="shared" si="48"/>
        <v>7.752955082742317</v>
      </c>
      <c r="AD239">
        <f t="shared" si="49"/>
        <v>16.91371158392435</v>
      </c>
      <c r="AE239">
        <f t="shared" si="50"/>
        <v>21.494089834515368</v>
      </c>
      <c r="AF239">
        <f t="shared" si="51"/>
        <v>26.074468085106382</v>
      </c>
      <c r="AG239" t="e">
        <f t="shared" si="52"/>
        <v>#N/A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9">
        <f t="shared" si="58"/>
        <v>3.75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0">
        <f t="shared" si="45"/>
        <v>4.5803782505910169</v>
      </c>
      <c r="AA240">
        <f t="shared" si="46"/>
        <v>0</v>
      </c>
      <c r="AB240">
        <f t="shared" si="47"/>
        <v>3.1725768321513002</v>
      </c>
      <c r="AC240">
        <f t="shared" si="48"/>
        <v>7.752955082742317</v>
      </c>
      <c r="AD240">
        <f t="shared" si="49"/>
        <v>16.91371158392435</v>
      </c>
      <c r="AE240">
        <f t="shared" si="50"/>
        <v>21.494089834515368</v>
      </c>
      <c r="AF240">
        <f t="shared" si="51"/>
        <v>26.074468085106382</v>
      </c>
      <c r="AG240" t="e">
        <f t="shared" si="52"/>
        <v>#N/A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0">
        <f t="shared" si="58"/>
        <v>3.75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1">
        <f t="shared" si="45"/>
        <v>4.5803782505910169</v>
      </c>
      <c r="AA241">
        <f t="shared" si="46"/>
        <v>0</v>
      </c>
      <c r="AB241">
        <f t="shared" si="47"/>
        <v>3.1725768321513002</v>
      </c>
      <c r="AC241">
        <f t="shared" si="48"/>
        <v>7.752955082742317</v>
      </c>
      <c r="AD241">
        <f t="shared" si="49"/>
        <v>16.91371158392435</v>
      </c>
      <c r="AE241">
        <f t="shared" si="50"/>
        <v>21.494089834515368</v>
      </c>
      <c r="AF241">
        <f t="shared" si="51"/>
        <v>26.074468085106382</v>
      </c>
      <c r="AG241" t="e">
        <f t="shared" si="52"/>
        <v>#N/A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1">
        <f t="shared" si="58"/>
        <v>3.75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2">
        <f t="shared" si="45"/>
        <v>4.5803782505910169</v>
      </c>
      <c r="AA242">
        <f t="shared" si="46"/>
        <v>0</v>
      </c>
      <c r="AB242">
        <f t="shared" si="47"/>
        <v>3.1725768321513002</v>
      </c>
      <c r="AC242">
        <f t="shared" si="48"/>
        <v>7.752955082742317</v>
      </c>
      <c r="AD242">
        <f t="shared" si="49"/>
        <v>16.91371158392435</v>
      </c>
      <c r="AE242">
        <f t="shared" si="50"/>
        <v>21.494089834515368</v>
      </c>
      <c r="AF242">
        <f t="shared" si="51"/>
        <v>26.074468085106382</v>
      </c>
      <c r="AG242" t="e">
        <f t="shared" si="52"/>
        <v>#N/A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2">
        <f t="shared" si="58"/>
        <v>3.75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3">
        <f t="shared" si="45"/>
        <v>4.5803782505910169</v>
      </c>
      <c r="AA243">
        <f t="shared" si="46"/>
        <v>0</v>
      </c>
      <c r="AB243">
        <f t="shared" si="47"/>
        <v>3.1725768321513002</v>
      </c>
      <c r="AC243">
        <f t="shared" si="48"/>
        <v>7.752955082742317</v>
      </c>
      <c r="AD243">
        <f t="shared" si="49"/>
        <v>16.91371158392435</v>
      </c>
      <c r="AE243">
        <f t="shared" si="50"/>
        <v>21.494089834515368</v>
      </c>
      <c r="AF243">
        <f t="shared" si="51"/>
        <v>26.074468085106382</v>
      </c>
      <c r="AG243" t="e">
        <f t="shared" si="52"/>
        <v>#N/A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3">
        <f t="shared" si="58"/>
        <v>3.75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4">
        <f t="shared" si="45"/>
        <v>4.5803782505910169</v>
      </c>
      <c r="AA244">
        <f t="shared" si="46"/>
        <v>0</v>
      </c>
      <c r="AB244">
        <f t="shared" si="47"/>
        <v>3.1725768321513002</v>
      </c>
      <c r="AC244">
        <f t="shared" si="48"/>
        <v>7.752955082742317</v>
      </c>
      <c r="AD244">
        <f t="shared" si="49"/>
        <v>16.91371158392435</v>
      </c>
      <c r="AE244">
        <f t="shared" si="50"/>
        <v>21.494089834515368</v>
      </c>
      <c r="AF244">
        <f t="shared" si="51"/>
        <v>26.074468085106382</v>
      </c>
      <c r="AG244" t="e">
        <f t="shared" si="52"/>
        <v>#N/A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4">
        <f t="shared" si="58"/>
        <v>3.75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5">
        <f t="shared" si="45"/>
        <v>4.5803782505910169</v>
      </c>
      <c r="AA245">
        <f t="shared" si="46"/>
        <v>0</v>
      </c>
      <c r="AB245">
        <f t="shared" si="47"/>
        <v>3.1725768321513002</v>
      </c>
      <c r="AC245">
        <f t="shared" si="48"/>
        <v>7.752955082742317</v>
      </c>
      <c r="AD245">
        <f t="shared" si="49"/>
        <v>16.91371158392435</v>
      </c>
      <c r="AE245">
        <f t="shared" si="50"/>
        <v>21.494089834515368</v>
      </c>
      <c r="AF245">
        <f t="shared" si="51"/>
        <v>26.074468085106382</v>
      </c>
      <c r="AG245" t="e">
        <f t="shared" si="52"/>
        <v>#N/A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5">
        <f t="shared" si="58"/>
        <v>3.75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6">
        <f t="shared" si="45"/>
        <v>4.5803782505910169</v>
      </c>
      <c r="AA246">
        <f t="shared" si="46"/>
        <v>0</v>
      </c>
      <c r="AB246">
        <f t="shared" si="47"/>
        <v>3.1725768321513002</v>
      </c>
      <c r="AC246">
        <f t="shared" si="48"/>
        <v>7.752955082742317</v>
      </c>
      <c r="AD246">
        <f t="shared" si="49"/>
        <v>16.91371158392435</v>
      </c>
      <c r="AE246">
        <f t="shared" si="50"/>
        <v>21.494089834515368</v>
      </c>
      <c r="AF246">
        <f t="shared" si="51"/>
        <v>26.074468085106382</v>
      </c>
      <c r="AG246" t="e">
        <f t="shared" si="52"/>
        <v>#N/A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6">
        <f t="shared" si="58"/>
        <v>3.75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7">
        <f t="shared" si="45"/>
        <v>4.5803782505910169</v>
      </c>
      <c r="AA247">
        <f t="shared" si="46"/>
        <v>0</v>
      </c>
      <c r="AB247">
        <f t="shared" si="47"/>
        <v>3.1725768321513002</v>
      </c>
      <c r="AC247">
        <f t="shared" si="48"/>
        <v>7.752955082742317</v>
      </c>
      <c r="AD247">
        <f t="shared" si="49"/>
        <v>16.91371158392435</v>
      </c>
      <c r="AE247">
        <f t="shared" si="50"/>
        <v>21.494089834515368</v>
      </c>
      <c r="AF247">
        <f t="shared" si="51"/>
        <v>26.074468085106382</v>
      </c>
      <c r="AG247" t="e">
        <f t="shared" si="52"/>
        <v>#N/A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7">
        <f t="shared" si="58"/>
        <v>3.75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8">
        <f t="shared" si="45"/>
        <v>4.5803782505910169</v>
      </c>
      <c r="AA248">
        <f t="shared" si="46"/>
        <v>0</v>
      </c>
      <c r="AB248">
        <f t="shared" si="47"/>
        <v>3.1725768321513002</v>
      </c>
      <c r="AC248">
        <f t="shared" si="48"/>
        <v>7.752955082742317</v>
      </c>
      <c r="AD248">
        <f t="shared" si="49"/>
        <v>16.91371158392435</v>
      </c>
      <c r="AE248">
        <f t="shared" si="50"/>
        <v>21.494089834515368</v>
      </c>
      <c r="AF248">
        <f t="shared" si="51"/>
        <v>26.074468085106382</v>
      </c>
      <c r="AG248" t="e">
        <f t="shared" si="52"/>
        <v>#N/A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8">
        <f t="shared" si="58"/>
        <v>3.75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9">
        <f t="shared" si="45"/>
        <v>4.5803782505910169</v>
      </c>
      <c r="AA249">
        <f t="shared" si="46"/>
        <v>0</v>
      </c>
      <c r="AB249">
        <f t="shared" si="47"/>
        <v>3.1725768321513002</v>
      </c>
      <c r="AC249">
        <f t="shared" si="48"/>
        <v>7.752955082742317</v>
      </c>
      <c r="AD249">
        <f t="shared" si="49"/>
        <v>16.91371158392435</v>
      </c>
      <c r="AE249">
        <f t="shared" si="50"/>
        <v>21.494089834515368</v>
      </c>
      <c r="AF249">
        <f t="shared" si="51"/>
        <v>26.074468085106382</v>
      </c>
      <c r="AG249" t="e">
        <f t="shared" si="52"/>
        <v>#N/A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9">
        <f t="shared" si="58"/>
        <v>3.75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0">
        <f t="shared" si="45"/>
        <v>4.5803782505910169</v>
      </c>
      <c r="AA250">
        <f t="shared" si="46"/>
        <v>0</v>
      </c>
      <c r="AB250">
        <f t="shared" si="47"/>
        <v>3.1725768321513002</v>
      </c>
      <c r="AC250">
        <f t="shared" si="48"/>
        <v>7.752955082742317</v>
      </c>
      <c r="AD250">
        <f t="shared" si="49"/>
        <v>16.91371158392435</v>
      </c>
      <c r="AE250">
        <f t="shared" si="50"/>
        <v>21.494089834515368</v>
      </c>
      <c r="AF250">
        <f t="shared" si="51"/>
        <v>26.074468085106382</v>
      </c>
      <c r="AG250" t="e">
        <f t="shared" si="52"/>
        <v>#N/A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0">
        <f t="shared" si="58"/>
        <v>3.75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1">
        <f t="shared" si="45"/>
        <v>4.5803782505910169</v>
      </c>
      <c r="AA251">
        <f t="shared" si="46"/>
        <v>0</v>
      </c>
      <c r="AB251">
        <f t="shared" si="47"/>
        <v>3.1725768321513002</v>
      </c>
      <c r="AC251">
        <f t="shared" si="48"/>
        <v>7.752955082742317</v>
      </c>
      <c r="AD251">
        <f t="shared" si="49"/>
        <v>16.91371158392435</v>
      </c>
      <c r="AE251">
        <f t="shared" si="50"/>
        <v>21.494089834515368</v>
      </c>
      <c r="AF251">
        <f t="shared" si="51"/>
        <v>26.074468085106382</v>
      </c>
      <c r="AG251" t="e">
        <f t="shared" si="52"/>
        <v>#N/A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1">
        <f t="shared" si="58"/>
        <v>3.75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2">
        <f t="shared" si="45"/>
        <v>4.5803782505910169</v>
      </c>
      <c r="AA252">
        <f t="shared" si="46"/>
        <v>0</v>
      </c>
      <c r="AB252">
        <f t="shared" si="47"/>
        <v>3.1725768321513002</v>
      </c>
      <c r="AC252">
        <f t="shared" si="48"/>
        <v>7.752955082742317</v>
      </c>
      <c r="AD252">
        <f t="shared" si="49"/>
        <v>16.91371158392435</v>
      </c>
      <c r="AE252">
        <f t="shared" si="50"/>
        <v>21.494089834515368</v>
      </c>
      <c r="AF252">
        <f t="shared" si="51"/>
        <v>26.074468085106382</v>
      </c>
      <c r="AG252" t="e">
        <f t="shared" si="52"/>
        <v>#N/A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2">
        <f t="shared" si="58"/>
        <v>3.75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3">
        <f t="shared" si="45"/>
        <v>4.5803782505910169</v>
      </c>
      <c r="AA253">
        <f t="shared" si="46"/>
        <v>0</v>
      </c>
      <c r="AB253">
        <f t="shared" si="47"/>
        <v>3.1725768321513002</v>
      </c>
      <c r="AC253">
        <f t="shared" si="48"/>
        <v>7.752955082742317</v>
      </c>
      <c r="AD253">
        <f t="shared" si="49"/>
        <v>16.91371158392435</v>
      </c>
      <c r="AE253">
        <f t="shared" si="50"/>
        <v>21.494089834515368</v>
      </c>
      <c r="AF253">
        <f t="shared" si="51"/>
        <v>26.074468085106382</v>
      </c>
      <c r="AG253" t="e">
        <f t="shared" si="52"/>
        <v>#N/A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3">
        <f t="shared" si="58"/>
        <v>3.75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4">
        <f t="shared" si="45"/>
        <v>4.5803782505910169</v>
      </c>
      <c r="AA254">
        <f t="shared" si="46"/>
        <v>0</v>
      </c>
      <c r="AB254">
        <f t="shared" si="47"/>
        <v>3.1725768321513002</v>
      </c>
      <c r="AC254">
        <f t="shared" si="48"/>
        <v>7.752955082742317</v>
      </c>
      <c r="AD254">
        <f t="shared" si="49"/>
        <v>16.91371158392435</v>
      </c>
      <c r="AE254">
        <f t="shared" si="50"/>
        <v>21.494089834515368</v>
      </c>
      <c r="AF254">
        <f t="shared" si="51"/>
        <v>26.074468085106382</v>
      </c>
      <c r="AG254" t="e">
        <f t="shared" si="52"/>
        <v>#N/A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4">
        <f t="shared" si="58"/>
        <v>3.75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5">
        <f t="shared" si="45"/>
        <v>4.5803782505910169</v>
      </c>
      <c r="AA255">
        <f t="shared" si="46"/>
        <v>0</v>
      </c>
      <c r="AB255">
        <f t="shared" si="47"/>
        <v>3.1725768321513002</v>
      </c>
      <c r="AC255">
        <f t="shared" si="48"/>
        <v>7.752955082742317</v>
      </c>
      <c r="AD255">
        <f t="shared" si="49"/>
        <v>16.91371158392435</v>
      </c>
      <c r="AE255">
        <f t="shared" si="50"/>
        <v>21.494089834515368</v>
      </c>
      <c r="AF255">
        <f t="shared" si="51"/>
        <v>26.074468085106382</v>
      </c>
      <c r="AG255" t="e">
        <f t="shared" si="52"/>
        <v>#N/A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5">
        <f t="shared" si="58"/>
        <v>3.75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6">
        <f t="shared" si="45"/>
        <v>4.5803782505910169</v>
      </c>
      <c r="AA256">
        <f t="shared" si="46"/>
        <v>0</v>
      </c>
      <c r="AB256">
        <f t="shared" si="47"/>
        <v>3.1725768321513002</v>
      </c>
      <c r="AC256">
        <f t="shared" si="48"/>
        <v>7.752955082742317</v>
      </c>
      <c r="AD256">
        <f t="shared" si="49"/>
        <v>16.91371158392435</v>
      </c>
      <c r="AE256">
        <f t="shared" si="50"/>
        <v>21.494089834515368</v>
      </c>
      <c r="AF256">
        <f t="shared" si="51"/>
        <v>26.074468085106382</v>
      </c>
      <c r="AG256" t="e">
        <f t="shared" si="52"/>
        <v>#N/A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6">
        <f t="shared" si="58"/>
        <v>3.75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7">
        <f t="shared" si="45"/>
        <v>4.5803782505910169</v>
      </c>
      <c r="AA257">
        <f t="shared" si="46"/>
        <v>0</v>
      </c>
      <c r="AB257">
        <f t="shared" si="47"/>
        <v>3.1725768321513002</v>
      </c>
      <c r="AC257">
        <f t="shared" si="48"/>
        <v>7.752955082742317</v>
      </c>
      <c r="AD257">
        <f t="shared" si="49"/>
        <v>16.91371158392435</v>
      </c>
      <c r="AE257">
        <f t="shared" si="50"/>
        <v>21.494089834515368</v>
      </c>
      <c r="AF257">
        <f t="shared" si="51"/>
        <v>26.074468085106382</v>
      </c>
      <c r="AG257" t="e">
        <f t="shared" si="52"/>
        <v>#N/A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7">
        <f t="shared" si="58"/>
        <v>3.75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8">
        <f t="shared" si="45"/>
        <v>4.5803782505910169</v>
      </c>
      <c r="AA258">
        <f t="shared" si="46"/>
        <v>0</v>
      </c>
      <c r="AB258">
        <f t="shared" si="47"/>
        <v>3.1725768321513002</v>
      </c>
      <c r="AC258">
        <f t="shared" si="48"/>
        <v>7.752955082742317</v>
      </c>
      <c r="AD258">
        <f t="shared" si="49"/>
        <v>16.91371158392435</v>
      </c>
      <c r="AE258">
        <f t="shared" si="50"/>
        <v>21.494089834515368</v>
      </c>
      <c r="AF258">
        <f t="shared" si="51"/>
        <v>26.074468085106382</v>
      </c>
      <c r="AG258" t="e">
        <f t="shared" si="52"/>
        <v>#N/A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8">
        <f t="shared" si="58"/>
        <v>3.75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9">
        <f t="shared" si="45"/>
        <v>4.5803782505910169</v>
      </c>
      <c r="AA259">
        <f t="shared" si="46"/>
        <v>0</v>
      </c>
      <c r="AB259">
        <f t="shared" si="47"/>
        <v>3.1725768321513002</v>
      </c>
      <c r="AC259">
        <f t="shared" si="48"/>
        <v>7.752955082742317</v>
      </c>
      <c r="AD259">
        <f t="shared" si="49"/>
        <v>16.91371158392435</v>
      </c>
      <c r="AE259">
        <f t="shared" si="50"/>
        <v>21.494089834515368</v>
      </c>
      <c r="AF259">
        <f t="shared" si="51"/>
        <v>26.074468085106382</v>
      </c>
      <c r="AG259" t="e">
        <f t="shared" si="52"/>
        <v>#N/A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9">
        <f t="shared" si="58"/>
        <v>3.75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0">
        <f t="shared" si="45"/>
        <v>4.5803782505910169</v>
      </c>
      <c r="AA260">
        <f t="shared" si="46"/>
        <v>0</v>
      </c>
      <c r="AB260">
        <f t="shared" si="47"/>
        <v>3.1725768321513002</v>
      </c>
      <c r="AC260">
        <f t="shared" si="48"/>
        <v>7.752955082742317</v>
      </c>
      <c r="AD260">
        <f t="shared" si="49"/>
        <v>16.91371158392435</v>
      </c>
      <c r="AE260">
        <f t="shared" si="50"/>
        <v>21.494089834515368</v>
      </c>
      <c r="AF260">
        <f t="shared" si="51"/>
        <v>26.074468085106382</v>
      </c>
      <c r="AG260" t="e">
        <f t="shared" si="52"/>
        <v>#N/A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0">
        <f t="shared" si="58"/>
        <v>3.75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1">
        <f>Y261/1.128</f>
        <v>4.5803782505910169</v>
      </c>
      <c r="AA261">
        <f>MAX(0,W261-(3*Z261))</f>
        <v>0</v>
      </c>
      <c r="AB261">
        <f>MAX(0,W261-(2*Z261))</f>
        <v>3.1725768321513002</v>
      </c>
      <c r="AC261">
        <f>MAX(0,W261-Z261)</f>
        <v>7.752955082742317</v>
      </c>
      <c r="AD261">
        <f>W261+Z261</f>
        <v>16.91371158392435</v>
      </c>
      <c r="AE261">
        <f>W261+(2*Z261)</f>
        <v>21.494089834515368</v>
      </c>
      <c r="AF261">
        <f>W261+(3*Z261)</f>
        <v>26.074468085106382</v>
      </c>
      <c r="AG261" t="e">
        <f>IF(OR(V261&gt;AF261,V261&lt;AA261),V261,NA())</f>
        <v>#N/A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1">
        <f>AO261-AN261</f>
        <v>3.75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2">
        <f>Y262/1.128</f>
        <v>4.5803782505910169</v>
      </c>
      <c r="AA262">
        <f>MAX(0,W262-(3*Z262))</f>
        <v>0</v>
      </c>
      <c r="AB262">
        <f>MAX(0,W262-(2*Z262))</f>
        <v>3.1725768321513002</v>
      </c>
      <c r="AC262">
        <f>MAX(0,W262-Z262)</f>
        <v>7.752955082742317</v>
      </c>
      <c r="AD262">
        <f>W262+Z262</f>
        <v>16.91371158392435</v>
      </c>
      <c r="AE262">
        <f>W262+(2*Z262)</f>
        <v>21.494089834515368</v>
      </c>
      <c r="AF262">
        <f>W262+(3*Z262)</f>
        <v>26.074468085106382</v>
      </c>
      <c r="AG262" t="e">
        <f>IF(OR(V262&gt;AF262,V262&lt;AA262),V262,NA())</f>
        <v>#N/A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2">
        <f>AO262-AN262</f>
        <v>3.75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3">
        <f>Y263/1.128</f>
        <v>4.5803782505910169</v>
      </c>
      <c r="AA263">
        <f>MAX(0,W263-(3*Z263))</f>
        <v>0</v>
      </c>
      <c r="AB263">
        <f>MAX(0,W263-(2*Z263))</f>
        <v>3.1725768321513002</v>
      </c>
      <c r="AC263">
        <f>MAX(0,W263-Z263)</f>
        <v>7.752955082742317</v>
      </c>
      <c r="AD263">
        <f>W263+Z263</f>
        <v>16.91371158392435</v>
      </c>
      <c r="AE263">
        <f>W263+(2*Z263)</f>
        <v>21.494089834515368</v>
      </c>
      <c r="AF263">
        <f>W263+(3*Z263)</f>
        <v>26.074468085106382</v>
      </c>
      <c r="AG263" t="e">
        <f>IF(OR(V263&gt;AF263,V263&lt;AA263),V263,NA())</f>
        <v>#N/A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3">
        <f>AO263-AN263</f>
        <v>3.75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L20"/>
  <sheetViews>
    <sheetView showGridLines="0" workbookViewId="0">
      <selection activeCell="B20" sqref="B20"/>
    </sheetView>
  </sheetViews>
  <sheetFormatPr defaultRowHeight="14.5" x14ac:dyDescent="0.35"/>
  <cols>
    <col min="2" max="2" width="20.90625" customWidth="1"/>
    <col min="3" max="3" width="13.81640625" bestFit="1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12" ht="23.5" x14ac:dyDescent="0.55000000000000004">
      <c r="A1" s="28" t="s">
        <v>184</v>
      </c>
    </row>
    <row r="3" spans="1:12" ht="15" thickBot="1" x14ac:dyDescent="0.4"/>
    <row r="4" spans="1:12" ht="29.5" thickBot="1" x14ac:dyDescent="0.4">
      <c r="B4" s="118" t="str">
        <f>Setup!B15</f>
        <v>Caseload</v>
      </c>
      <c r="C4" s="118" t="s">
        <v>178</v>
      </c>
      <c r="D4" s="119" t="s">
        <v>198</v>
      </c>
      <c r="E4" s="118" t="s">
        <v>179</v>
      </c>
      <c r="F4" s="118" t="s">
        <v>180</v>
      </c>
      <c r="G4" s="118" t="s">
        <v>93</v>
      </c>
      <c r="H4" s="118" t="s">
        <v>185</v>
      </c>
      <c r="I4" s="118" t="s">
        <v>196</v>
      </c>
    </row>
    <row r="5" spans="1:12" x14ac:dyDescent="0.35">
      <c r="B5" s="41" t="str">
        <f>Setup!A20</f>
        <v>20 Group Sessions</v>
      </c>
      <c r="C5" s="102">
        <f>AVERAGE(INDEX('SPC Backing (Hide)'!$F$4:$T$263,MATCH(SPC!$B$13,IF(Setup!$B$11="Weekly",'SPC Backing (Hide)'!$B$4:$B$263,'SPC Backing (Hide)'!$E$4:$E$263),0),MATCH(B5,'SPC Backing (Hide)'!$F$3:$T$3,0)):INDEX('SPC Backing (Hide)'!$F$4:$T$263,MATCH(SPC!$B$14,IF(Setup!$B$11="Weekly",'SPC Backing (Hide)'!$B$4:$B$263,'SPC Backing (Hide)'!$E$4:$E$263),0),MATCH(B5,'SPC Backing (Hide)'!$F$3:$T$3,0)))</f>
        <v>31.5</v>
      </c>
      <c r="D5" s="120">
        <v>100</v>
      </c>
      <c r="E5" s="96">
        <v>0</v>
      </c>
      <c r="F5" s="96">
        <v>14</v>
      </c>
      <c r="G5" s="11" t="s">
        <v>182</v>
      </c>
      <c r="H5" s="99">
        <f t="shared" ref="H5:H20" si="0">IF(G5="Weeks",C5*((E5*7)+(F5*7-E5*7)/2),C5*(E5+(F5-E5)/2))</f>
        <v>220.5</v>
      </c>
      <c r="I5" s="99" t="str">
        <f t="shared" ref="I5:I6" si="1">IF(H5&lt;&gt;0,TEXT(H5-(H5/100*5),"#.0")&amp;" - "&amp;TEXT(H5+(H5/100*5),"#.0"),"")</f>
        <v>209.5 - 231.5</v>
      </c>
      <c r="J5" s="27">
        <f>H5-(H5/100*5)</f>
        <v>209.47499999999999</v>
      </c>
      <c r="K5" s="27">
        <f>H5+(H5/100*5)</f>
        <v>231.52500000000001</v>
      </c>
      <c r="L5" s="27">
        <f>K5-J5</f>
        <v>22.050000000000011</v>
      </c>
    </row>
    <row r="6" spans="1:12" x14ac:dyDescent="0.35">
      <c r="B6" s="52" t="str">
        <f>Setup!A21</f>
        <v>40 Group Session</v>
      </c>
      <c r="C6" s="103">
        <f>AVERAGE(INDEX('SPC Backing (Hide)'!$F$4:$T$263,MATCH(SPC!$B$13,IF(Setup!$B$11="Weekly",'SPC Backing (Hide)'!$B$4:$B$263,'SPC Backing (Hide)'!$E$4:$E$263),0),MATCH(B6,'SPC Backing (Hide)'!$F$3:$T$3,0)):INDEX('SPC Backing (Hide)'!$F$4:$T$263,MATCH(SPC!$B$14,IF(Setup!$B$11="Weekly",'SPC Backing (Hide)'!$B$4:$B$263,'SPC Backing (Hide)'!$E$4:$E$263),0),MATCH(B6,'SPC Backing (Hide)'!$F$3:$T$3,0)))</f>
        <v>15.166666666666666</v>
      </c>
      <c r="D6" s="121">
        <v>240</v>
      </c>
      <c r="E6" s="97">
        <v>0</v>
      </c>
      <c r="F6" s="97">
        <v>3</v>
      </c>
      <c r="G6" s="39" t="s">
        <v>183</v>
      </c>
      <c r="H6" s="100">
        <f t="shared" si="0"/>
        <v>159.25</v>
      </c>
      <c r="I6" s="100" t="str">
        <f t="shared" si="1"/>
        <v>151.3 - 167.2</v>
      </c>
      <c r="J6" s="27">
        <f t="shared" ref="J6:J19" si="2">H6-(H6/100*5)</f>
        <v>151.28749999999999</v>
      </c>
      <c r="K6" s="27">
        <f t="shared" ref="K6:K19" si="3">H6+(H6/100*5)</f>
        <v>167.21250000000001</v>
      </c>
      <c r="L6" s="27">
        <f t="shared" ref="L6:L19" si="4">K6-J6</f>
        <v>15.925000000000011</v>
      </c>
    </row>
    <row r="7" spans="1:12" x14ac:dyDescent="0.35">
      <c r="B7" s="52" t="str">
        <f>Setup!A22</f>
        <v>8 Group Session</v>
      </c>
      <c r="C7" s="103">
        <f>AVERAGE(INDEX('SPC Backing (Hide)'!$F$4:$T$263,MATCH(SPC!$B$13,IF(Setup!$B$11="Weekly",'SPC Backing (Hide)'!$B$4:$B$263,'SPC Backing (Hide)'!$E$4:$E$263),0),MATCH(B7,'SPC Backing (Hide)'!$F$3:$T$3,0)):INDEX('SPC Backing (Hide)'!$F$4:$T$263,MATCH(SPC!$B$14,IF(Setup!$B$11="Weekly",'SPC Backing (Hide)'!$B$4:$B$263,'SPC Backing (Hide)'!$E$4:$E$263),0),MATCH(B7,'SPC Backing (Hide)'!$F$3:$T$3,0)))</f>
        <v>12.333333333333334</v>
      </c>
      <c r="D7" s="121">
        <v>60</v>
      </c>
      <c r="E7" s="97"/>
      <c r="F7" s="97"/>
      <c r="G7" s="39"/>
      <c r="H7" s="100">
        <f t="shared" si="0"/>
        <v>0</v>
      </c>
      <c r="I7" s="100" t="str">
        <f>IF(H7&lt;&gt;0,TEXT(H7-(H7/100*5),"#.0")&amp;" - "&amp;TEXT(H7+(H7/100*5),"#.0"),"")</f>
        <v/>
      </c>
      <c r="J7" s="27">
        <f t="shared" si="2"/>
        <v>0</v>
      </c>
      <c r="K7" s="27">
        <f t="shared" si="3"/>
        <v>0</v>
      </c>
      <c r="L7" s="27">
        <f t="shared" si="4"/>
        <v>0</v>
      </c>
    </row>
    <row r="8" spans="1:12" x14ac:dyDescent="0.35">
      <c r="B8" s="52" t="str">
        <f>Setup!A23</f>
        <v>20 Individual</v>
      </c>
      <c r="C8" s="103">
        <f>AVERAGE(INDEX('SPC Backing (Hide)'!$F$4:$T$263,MATCH(SPC!$B$13,IF(Setup!$B$11="Weekly",'SPC Backing (Hide)'!$B$4:$B$263,'SPC Backing (Hide)'!$E$4:$E$263),0),MATCH(B8,'SPC Backing (Hide)'!$F$3:$T$3,0)):INDEX('SPC Backing (Hide)'!$F$4:$T$263,MATCH(SPC!$B$14,IF(Setup!$B$11="Weekly",'SPC Backing (Hide)'!$B$4:$B$263,'SPC Backing (Hide)'!$E$4:$E$263),0),MATCH(B8,'SPC Backing (Hide)'!$F$3:$T$3,0)))</f>
        <v>67.5</v>
      </c>
      <c r="D8" s="121">
        <v>500</v>
      </c>
      <c r="E8" s="97"/>
      <c r="F8" s="97"/>
      <c r="G8" s="39"/>
      <c r="H8" s="100">
        <f t="shared" si="0"/>
        <v>0</v>
      </c>
      <c r="I8" s="100" t="str">
        <f t="shared" ref="I8:I19" si="5">IF(H8&lt;&gt;0,TEXT(H8-(H8/100*5),"#.0")&amp;" - "&amp;TEXT(H8+(H8/100*5),"#.0"),"")</f>
        <v/>
      </c>
      <c r="J8" s="27">
        <f t="shared" si="2"/>
        <v>0</v>
      </c>
      <c r="K8" s="27">
        <f t="shared" si="3"/>
        <v>0</v>
      </c>
      <c r="L8" s="27">
        <f t="shared" si="4"/>
        <v>0</v>
      </c>
    </row>
    <row r="9" spans="1:12" ht="15" thickBot="1" x14ac:dyDescent="0.4">
      <c r="B9" s="52" t="str">
        <f>Setup!A24</f>
        <v>40 Individual</v>
      </c>
      <c r="C9" s="103">
        <f>AVERAGE(INDEX('SPC Backing (Hide)'!$F$4:$T$263,MATCH(SPC!$B$13,IF(Setup!$B$11="Weekly",'SPC Backing (Hide)'!$B$4:$B$263,'SPC Backing (Hide)'!$E$4:$E$263),0),MATCH(B9,'SPC Backing (Hide)'!$F$3:$T$3,0)):INDEX('SPC Backing (Hide)'!$F$4:$T$263,MATCH(SPC!$B$14,IF(Setup!$B$11="Weekly",'SPC Backing (Hide)'!$B$4:$B$263,'SPC Backing (Hide)'!$E$4:$E$263),0),MATCH(B9,'SPC Backing (Hide)'!$F$3:$T$3,0)))</f>
        <v>26.166666666666668</v>
      </c>
      <c r="D9" s="121"/>
      <c r="E9" s="97"/>
      <c r="F9" s="97"/>
      <c r="G9" s="39"/>
      <c r="H9" s="100">
        <f t="shared" si="0"/>
        <v>0</v>
      </c>
      <c r="I9" s="100" t="str">
        <f t="shared" si="5"/>
        <v/>
      </c>
      <c r="J9" s="27">
        <f t="shared" si="2"/>
        <v>0</v>
      </c>
      <c r="K9" s="27">
        <f t="shared" si="3"/>
        <v>0</v>
      </c>
      <c r="L9" s="27">
        <f t="shared" si="4"/>
        <v>0</v>
      </c>
    </row>
    <row r="10" spans="1:12" ht="15" hidden="1" thickBot="1" x14ac:dyDescent="0.4">
      <c r="B10" s="52" t="str">
        <f>Setup!A25</f>
        <v>Caseload 6</v>
      </c>
      <c r="C10" s="103">
        <f>AVERAGE(INDEX('SPC Backing (Hide)'!$F$4:$T$263,MATCH(SPC!$B$13,IF(Setup!$B$11="Weekly",'SPC Backing (Hide)'!$B$4:$B$263,'SPC Backing (Hide)'!$E$4:$E$263),0),MATCH(B10,'SPC Backing (Hide)'!$F$3:$T$3,0)):INDEX('SPC Backing (Hide)'!$F$4:$T$263,MATCH(SPC!$B$14,IF(Setup!$B$11="Weekly",'SPC Backing (Hide)'!$B$4:$B$263,'SPC Backing (Hide)'!$E$4:$E$263),0),MATCH(B10,'SPC Backing (Hide)'!$F$3:$T$3,0)))</f>
        <v>0</v>
      </c>
      <c r="D10" s="122"/>
      <c r="E10" s="97"/>
      <c r="F10" s="97"/>
      <c r="G10" s="39"/>
      <c r="H10" s="100">
        <f t="shared" si="0"/>
        <v>0</v>
      </c>
      <c r="I10" s="100" t="str">
        <f t="shared" si="5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</row>
    <row r="11" spans="1:12" ht="15" hidden="1" thickBot="1" x14ac:dyDescent="0.4">
      <c r="B11" s="52" t="str">
        <f>Setup!A26</f>
        <v>Caseload 7</v>
      </c>
      <c r="C11" s="103">
        <f>AVERAGE(INDEX('SPC Backing (Hide)'!$F$4:$T$263,MATCH(SPC!$B$13,IF(Setup!$B$11="Weekly",'SPC Backing (Hide)'!$B$4:$B$263,'SPC Backing (Hide)'!$E$4:$E$263),0),MATCH(B11,'SPC Backing (Hide)'!$F$3:$T$3,0)):INDEX('SPC Backing (Hide)'!$F$4:$T$263,MATCH(SPC!$B$14,IF(Setup!$B$11="Weekly",'SPC Backing (Hide)'!$B$4:$B$263,'SPC Backing (Hide)'!$E$4:$E$263),0),MATCH(B11,'SPC Backing (Hide)'!$F$3:$T$3,0)))</f>
        <v>0</v>
      </c>
      <c r="D11" s="122"/>
      <c r="E11" s="97"/>
      <c r="F11" s="97"/>
      <c r="G11" s="39"/>
      <c r="H11" s="100">
        <f t="shared" si="0"/>
        <v>0</v>
      </c>
      <c r="I11" s="100" t="str">
        <f t="shared" si="5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</row>
    <row r="12" spans="1:12" ht="15" hidden="1" thickBot="1" x14ac:dyDescent="0.4">
      <c r="B12" s="52" t="str">
        <f>Setup!A27</f>
        <v>Caseload 8</v>
      </c>
      <c r="C12" s="103">
        <f>AVERAGE(INDEX('SPC Backing (Hide)'!$F$4:$T$263,MATCH(SPC!$B$13,IF(Setup!$B$11="Weekly",'SPC Backing (Hide)'!$B$4:$B$263,'SPC Backing (Hide)'!$E$4:$E$263),0),MATCH(B12,'SPC Backing (Hide)'!$F$3:$T$3,0)):INDEX('SPC Backing (Hide)'!$F$4:$T$263,MATCH(SPC!$B$14,IF(Setup!$B$11="Weekly",'SPC Backing (Hide)'!$B$4:$B$263,'SPC Backing (Hide)'!$E$4:$E$263),0),MATCH(B12,'SPC Backing (Hide)'!$F$3:$T$3,0)))</f>
        <v>0</v>
      </c>
      <c r="D12" s="122"/>
      <c r="E12" s="97"/>
      <c r="F12" s="97"/>
      <c r="G12" s="39"/>
      <c r="H12" s="100">
        <f t="shared" si="0"/>
        <v>0</v>
      </c>
      <c r="I12" s="100" t="str">
        <f t="shared" si="5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</row>
    <row r="13" spans="1:12" ht="15" hidden="1" thickBot="1" x14ac:dyDescent="0.4">
      <c r="B13" s="52" t="str">
        <f>Setup!A28</f>
        <v>Caseload 9</v>
      </c>
      <c r="C13" s="103">
        <f>AVERAGE(INDEX('SPC Backing (Hide)'!$F$4:$T$263,MATCH(SPC!$B$13,IF(Setup!$B$11="Weekly",'SPC Backing (Hide)'!$B$4:$B$263,'SPC Backing (Hide)'!$E$4:$E$263),0),MATCH(B13,'SPC Backing (Hide)'!$F$3:$T$3,0)):INDEX('SPC Backing (Hide)'!$F$4:$T$263,MATCH(SPC!$B$14,IF(Setup!$B$11="Weekly",'SPC Backing (Hide)'!$B$4:$B$263,'SPC Backing (Hide)'!$E$4:$E$263),0),MATCH(B13,'SPC Backing (Hide)'!$F$3:$T$3,0)))</f>
        <v>0</v>
      </c>
      <c r="D13" s="122"/>
      <c r="E13" s="97"/>
      <c r="F13" s="97"/>
      <c r="G13" s="39"/>
      <c r="H13" s="100">
        <f t="shared" si="0"/>
        <v>0</v>
      </c>
      <c r="I13" s="100" t="str">
        <f t="shared" si="5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</row>
    <row r="14" spans="1:12" ht="15" hidden="1" thickBot="1" x14ac:dyDescent="0.4">
      <c r="B14" s="52" t="str">
        <f>Setup!A29</f>
        <v>Caseload 10</v>
      </c>
      <c r="C14" s="103">
        <f>AVERAGE(INDEX('SPC Backing (Hide)'!$F$4:$T$263,MATCH(SPC!$B$13,IF(Setup!$B$11="Weekly",'SPC Backing (Hide)'!$B$4:$B$263,'SPC Backing (Hide)'!$E$4:$E$263),0),MATCH(B14,'SPC Backing (Hide)'!$F$3:$T$3,0)):INDEX('SPC Backing (Hide)'!$F$4:$T$263,MATCH(SPC!$B$14,IF(Setup!$B$11="Weekly",'SPC Backing (Hide)'!$B$4:$B$263,'SPC Backing (Hide)'!$E$4:$E$263),0),MATCH(B14,'SPC Backing (Hide)'!$F$3:$T$3,0)))</f>
        <v>0</v>
      </c>
      <c r="D14" s="122"/>
      <c r="E14" s="97"/>
      <c r="F14" s="97"/>
      <c r="G14" s="39"/>
      <c r="H14" s="100">
        <f t="shared" si="0"/>
        <v>0</v>
      </c>
      <c r="I14" s="100" t="str">
        <f t="shared" si="5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</row>
    <row r="15" spans="1:12" ht="15" hidden="1" thickBot="1" x14ac:dyDescent="0.4">
      <c r="B15" s="52" t="str">
        <f>Setup!A30</f>
        <v>Caseload 11</v>
      </c>
      <c r="C15" s="103">
        <f>AVERAGE(INDEX('SPC Backing (Hide)'!$F$4:$T$263,MATCH(SPC!$B$13,IF(Setup!$B$11="Weekly",'SPC Backing (Hide)'!$B$4:$B$263,'SPC Backing (Hide)'!$E$4:$E$263),0),MATCH(B15,'SPC Backing (Hide)'!$F$3:$T$3,0)):INDEX('SPC Backing (Hide)'!$F$4:$T$263,MATCH(SPC!$B$14,IF(Setup!$B$11="Weekly",'SPC Backing (Hide)'!$B$4:$B$263,'SPC Backing (Hide)'!$E$4:$E$263),0),MATCH(B15,'SPC Backing (Hide)'!$F$3:$T$3,0)))</f>
        <v>0</v>
      </c>
      <c r="D15" s="122"/>
      <c r="E15" s="97"/>
      <c r="F15" s="97"/>
      <c r="G15" s="39"/>
      <c r="H15" s="100">
        <f t="shared" si="0"/>
        <v>0</v>
      </c>
      <c r="I15" s="100" t="str">
        <f t="shared" si="5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</row>
    <row r="16" spans="1:12" ht="15" hidden="1" thickBot="1" x14ac:dyDescent="0.4">
      <c r="B16" s="52" t="str">
        <f>Setup!A31</f>
        <v>Caseload 12</v>
      </c>
      <c r="C16" s="103">
        <f>AVERAGE(INDEX('SPC Backing (Hide)'!$F$4:$T$263,MATCH(SPC!$B$13,IF(Setup!$B$11="Weekly",'SPC Backing (Hide)'!$B$4:$B$263,'SPC Backing (Hide)'!$E$4:$E$263),0),MATCH(B16,'SPC Backing (Hide)'!$F$3:$T$3,0)):INDEX('SPC Backing (Hide)'!$F$4:$T$263,MATCH(SPC!$B$14,IF(Setup!$B$11="Weekly",'SPC Backing (Hide)'!$B$4:$B$263,'SPC Backing (Hide)'!$E$4:$E$263),0),MATCH(B16,'SPC Backing (Hide)'!$F$3:$T$3,0)))</f>
        <v>0</v>
      </c>
      <c r="D16" s="122"/>
      <c r="E16" s="97"/>
      <c r="F16" s="97"/>
      <c r="G16" s="39"/>
      <c r="H16" s="100">
        <f t="shared" si="0"/>
        <v>0</v>
      </c>
      <c r="I16" s="100" t="str">
        <f t="shared" si="5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</row>
    <row r="17" spans="2:12" ht="15" hidden="1" thickBot="1" x14ac:dyDescent="0.4">
      <c r="B17" s="52" t="str">
        <f>Setup!A32</f>
        <v>Caseload 13</v>
      </c>
      <c r="C17" s="103">
        <f>AVERAGE(INDEX('SPC Backing (Hide)'!$F$4:$T$263,MATCH(SPC!$B$13,IF(Setup!$B$11="Weekly",'SPC Backing (Hide)'!$B$4:$B$263,'SPC Backing (Hide)'!$E$4:$E$263),0),MATCH(B17,'SPC Backing (Hide)'!$F$3:$T$3,0)):INDEX('SPC Backing (Hide)'!$F$4:$T$263,MATCH(SPC!$B$14,IF(Setup!$B$11="Weekly",'SPC Backing (Hide)'!$B$4:$B$263,'SPC Backing (Hide)'!$E$4:$E$263),0),MATCH(B17,'SPC Backing (Hide)'!$F$3:$T$3,0)))</f>
        <v>0</v>
      </c>
      <c r="D17" s="122"/>
      <c r="E17" s="97"/>
      <c r="F17" s="97"/>
      <c r="G17" s="39"/>
      <c r="H17" s="100">
        <f t="shared" si="0"/>
        <v>0</v>
      </c>
      <c r="I17" s="100" t="str">
        <f t="shared" si="5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</row>
    <row r="18" spans="2:12" ht="15" hidden="1" thickBot="1" x14ac:dyDescent="0.4">
      <c r="B18" s="52" t="str">
        <f>Setup!A33</f>
        <v>Caseload 14</v>
      </c>
      <c r="C18" s="103">
        <f>AVERAGE(INDEX('SPC Backing (Hide)'!$F$4:$T$263,MATCH(SPC!$B$13,IF(Setup!$B$11="Weekly",'SPC Backing (Hide)'!$B$4:$B$263,'SPC Backing (Hide)'!$E$4:$E$263),0),MATCH(B18,'SPC Backing (Hide)'!$F$3:$T$3,0)):INDEX('SPC Backing (Hide)'!$F$4:$T$263,MATCH(SPC!$B$14,IF(Setup!$B$11="Weekly",'SPC Backing (Hide)'!$B$4:$B$263,'SPC Backing (Hide)'!$E$4:$E$263),0),MATCH(B18,'SPC Backing (Hide)'!$F$3:$T$3,0)))</f>
        <v>0</v>
      </c>
      <c r="D18" s="122"/>
      <c r="E18" s="97"/>
      <c r="F18" s="97"/>
      <c r="G18" s="39"/>
      <c r="H18" s="100">
        <f t="shared" si="0"/>
        <v>0</v>
      </c>
      <c r="I18" s="100" t="str">
        <f t="shared" si="5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</row>
    <row r="19" spans="2:12" ht="15" hidden="1" thickBot="1" x14ac:dyDescent="0.4">
      <c r="B19" s="53" t="str">
        <f>Setup!A34</f>
        <v>Caseload 15</v>
      </c>
      <c r="C19" s="104">
        <f>AVERAGE(INDEX('SPC Backing (Hide)'!$F$4:$T$263,MATCH(SPC!$B$13,IF(Setup!$B$11="Weekly",'SPC Backing (Hide)'!$B$4:$B$263,'SPC Backing (Hide)'!$E$4:$E$263),0),MATCH(B19,'SPC Backing (Hide)'!$F$3:$T$3,0)):INDEX('SPC Backing (Hide)'!$F$4:$T$263,MATCH(SPC!$B$14,IF(Setup!$B$11="Weekly",'SPC Backing (Hide)'!$B$4:$B$263,'SPC Backing (Hide)'!$E$4:$E$263),0),MATCH(B19,'SPC Backing (Hide)'!$F$3:$T$3,0)))</f>
        <v>0</v>
      </c>
      <c r="D19" s="123"/>
      <c r="E19" s="98"/>
      <c r="F19" s="98"/>
      <c r="G19" s="40"/>
      <c r="H19" s="101">
        <f t="shared" si="0"/>
        <v>0</v>
      </c>
      <c r="I19" s="101" t="str">
        <f t="shared" si="5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</row>
    <row r="20" spans="2:12" ht="15" thickBot="1" x14ac:dyDescent="0.4">
      <c r="B20" s="125" t="s">
        <v>200</v>
      </c>
      <c r="C20" s="38">
        <v>60</v>
      </c>
      <c r="D20" s="38">
        <v>40</v>
      </c>
      <c r="E20" s="38">
        <v>0</v>
      </c>
      <c r="F20" s="38">
        <v>2</v>
      </c>
      <c r="G20" s="17" t="s">
        <v>183</v>
      </c>
      <c r="H20" s="124">
        <f t="shared" si="0"/>
        <v>420</v>
      </c>
      <c r="I20" s="124" t="str">
        <f t="shared" ref="I20" si="6">IF(H20&lt;&gt;0,TEXT(H20-(H20/100*5),"#.0")&amp;" - "&amp;TEXT(H20+(H20/100*5),"#.0"),"")</f>
        <v>399.0 - 441.0</v>
      </c>
      <c r="J20" s="27">
        <f t="shared" ref="J20" si="7">H20-(H20/100*5)</f>
        <v>399</v>
      </c>
      <c r="K20" s="27">
        <f t="shared" ref="K20" si="8">H20+(H20/100*5)</f>
        <v>441</v>
      </c>
      <c r="L20" s="27">
        <f t="shared" ref="L20" si="9">K20-J20</f>
        <v>42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G5:G19 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F5" sqref="F5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140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46</v>
      </c>
      <c r="D3" s="56" t="s">
        <v>177</v>
      </c>
      <c r="E3" s="56" t="s">
        <v>47</v>
      </c>
      <c r="F3" s="56" t="s">
        <v>50</v>
      </c>
      <c r="G3" s="56" t="s">
        <v>48</v>
      </c>
      <c r="H3" s="56" t="s">
        <v>49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8" t="str" cm="1">
        <f t="array" ref="B4">INDEX('Data Validation (Hide)'!$B$2:$B$16,ROUNDUP(ROW(A1)/5,0),1)</f>
        <v>20 Group Sessions</v>
      </c>
      <c r="C4" s="3" t="s">
        <v>151</v>
      </c>
      <c r="D4" s="18">
        <v>240</v>
      </c>
      <c r="E4" s="18">
        <v>7</v>
      </c>
      <c r="F4" s="15" t="s">
        <v>88</v>
      </c>
      <c r="G4" s="4">
        <f>INDEX('Data Validation (Hide)'!$K$2:$L$9,MATCH(Service!F4,'Data Validation (Hide)'!$K$2:$K$8,0),2)</f>
        <v>1</v>
      </c>
      <c r="H4" s="85">
        <f>IFERROR((G4*D4)/E4,"")</f>
        <v>34.285714285714285</v>
      </c>
      <c r="I4" s="141">
        <f>SUMIF($E$4:$E$8,1,$H$4:$H$8)</f>
        <v>75</v>
      </c>
      <c r="J4" s="138">
        <f>SUMIF($E$4:$E$8,"&gt;"&amp;1,$H$4:$H$8)</f>
        <v>34.285714285714285</v>
      </c>
    </row>
    <row r="5" spans="1:10" x14ac:dyDescent="0.35">
      <c r="B5" s="129" t="str" cm="1">
        <f t="array" ref="B5">INDEX('Data Validation (Hide)'!$B$2:$B$16,ROUNDUP(ROW(A2)/5,0),1)</f>
        <v>20 Group Sessions</v>
      </c>
      <c r="C5" s="7" t="s">
        <v>153</v>
      </c>
      <c r="D5" s="20">
        <v>15</v>
      </c>
      <c r="E5" s="20">
        <v>1</v>
      </c>
      <c r="F5" s="6" t="s">
        <v>122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42"/>
      <c r="J5" s="139"/>
    </row>
    <row r="6" spans="1:10" x14ac:dyDescent="0.35">
      <c r="B6" s="127" t="str" cm="1">
        <f t="array" ref="B6">INDEX('Data Validation (Hide)'!$B$2:$B$16,ROUNDUP(ROW(A3)/5,0),1)</f>
        <v>20 Group Sessions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42"/>
      <c r="J6" s="139"/>
    </row>
    <row r="7" spans="1:10" x14ac:dyDescent="0.35">
      <c r="B7" s="129" t="str" cm="1">
        <f t="array" ref="B7">INDEX('Data Validation (Hide)'!$B$2:$B$16,ROUNDUP(ROW(A4)/5,0),1)</f>
        <v>20 Group Sessions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42"/>
      <c r="J7" s="139"/>
    </row>
    <row r="8" spans="1:10" ht="15" thickBot="1" x14ac:dyDescent="0.4">
      <c r="B8" s="130" t="str" cm="1">
        <f t="array" ref="B8">INDEX('Data Validation (Hide)'!$B$2:$B$16,ROUNDUP(ROW(A5)/5,0),1)</f>
        <v>20 Group Sessions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43"/>
      <c r="J8" s="140"/>
    </row>
    <row r="9" spans="1:10" x14ac:dyDescent="0.35">
      <c r="B9" s="128" t="str" cm="1">
        <f t="array" ref="B9">INDEX('Data Validation (Hide)'!$B$2:$B$16,ROUNDUP(ROW(A6)/5,0),1)</f>
        <v>40 Group Session</v>
      </c>
      <c r="C9" s="3" t="s">
        <v>152</v>
      </c>
      <c r="D9" s="18">
        <v>240</v>
      </c>
      <c r="E9" s="18">
        <v>7</v>
      </c>
      <c r="F9" s="15" t="s">
        <v>88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41">
        <f>SUMIF($E$9:$E$13,1,$H$9:$H$13)</f>
        <v>120</v>
      </c>
      <c r="J9" s="141">
        <f>SUMIF($E$9:$E$13,"&gt;"&amp;1,$H$9:$H$13)</f>
        <v>34.285714285714285</v>
      </c>
    </row>
    <row r="10" spans="1:10" x14ac:dyDescent="0.35">
      <c r="B10" s="129" t="str" cm="1">
        <f t="array" ref="B10">INDEX('Data Validation (Hide)'!$B$2:$B$16,ROUNDUP(ROW(A7)/5,0),1)</f>
        <v>40 Group Session</v>
      </c>
      <c r="C10" s="7" t="s">
        <v>204</v>
      </c>
      <c r="D10" s="20">
        <v>120</v>
      </c>
      <c r="E10" s="20">
        <v>1</v>
      </c>
      <c r="F10" s="6" t="s">
        <v>88</v>
      </c>
      <c r="G10" s="5">
        <f>INDEX('Data Validation (Hide)'!$K$2:$L$9,MATCH(Service!F10,'Data Validation (Hide)'!$K$2:$K$8,0),2)</f>
        <v>1</v>
      </c>
      <c r="H10" s="86">
        <f t="shared" si="0"/>
        <v>120</v>
      </c>
      <c r="I10" s="142"/>
      <c r="J10" s="142"/>
    </row>
    <row r="11" spans="1:10" x14ac:dyDescent="0.35">
      <c r="B11" s="127" t="str" cm="1">
        <f t="array" ref="B11">INDEX('Data Validation (Hide)'!$B$2:$B$16,ROUNDUP(ROW(A8)/5,0),1)</f>
        <v>40 Group Session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42"/>
      <c r="J11" s="142"/>
    </row>
    <row r="12" spans="1:10" x14ac:dyDescent="0.35">
      <c r="B12" s="129" t="str" cm="1">
        <f t="array" ref="B12">INDEX('Data Validation (Hide)'!$B$2:$B$16,ROUNDUP(ROW(A9)/5,0),1)</f>
        <v>40 Group Session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42"/>
      <c r="J12" s="142"/>
    </row>
    <row r="13" spans="1:10" ht="15" thickBot="1" x14ac:dyDescent="0.4">
      <c r="B13" s="130" t="str" cm="1">
        <f t="array" ref="B13">INDEX('Data Validation (Hide)'!$B$2:$B$16,ROUNDUP(ROW(A10)/5,0),1)</f>
        <v>40 Group Session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43"/>
      <c r="J13" s="143"/>
    </row>
    <row r="14" spans="1:10" x14ac:dyDescent="0.35">
      <c r="B14" s="128" t="str" cm="1">
        <f t="array" ref="B14">INDEX('Data Validation (Hide)'!$B$2:$B$16,ROUNDUP(ROW(A11)/5,0),1)</f>
        <v>8 Group Session</v>
      </c>
      <c r="C14" s="3" t="s">
        <v>151</v>
      </c>
      <c r="D14" s="18">
        <v>240</v>
      </c>
      <c r="E14" s="18">
        <v>7</v>
      </c>
      <c r="F14" s="15" t="s">
        <v>88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41">
        <f>SUMIF($E$14:$E$18,1,$H$14:$H$18)</f>
        <v>0</v>
      </c>
      <c r="J14" s="141">
        <f>SUMIF($E$14:$E$18,"&gt;"&amp;1,$H$14:$H$18)</f>
        <v>34.285714285714285</v>
      </c>
    </row>
    <row r="15" spans="1:10" x14ac:dyDescent="0.35">
      <c r="B15" s="129" t="str" cm="1">
        <f t="array" ref="B15">INDEX('Data Validation (Hide)'!$B$2:$B$16,ROUNDUP(ROW(A12)/5,0),1)</f>
        <v>8 Group Session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42"/>
      <c r="J15" s="142"/>
    </row>
    <row r="16" spans="1:10" x14ac:dyDescent="0.35">
      <c r="B16" s="127" t="str" cm="1">
        <f t="array" ref="B16">INDEX('Data Validation (Hide)'!$B$2:$B$16,ROUNDUP(ROW(A13)/5,0),1)</f>
        <v>8 Group Session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42"/>
      <c r="J16" s="142"/>
    </row>
    <row r="17" spans="2:10" x14ac:dyDescent="0.35">
      <c r="B17" s="129" t="str" cm="1">
        <f t="array" ref="B17">INDEX('Data Validation (Hide)'!$B$2:$B$16,ROUNDUP(ROW(A14)/5,0),1)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42"/>
      <c r="J17" s="142"/>
    </row>
    <row r="18" spans="2:10" ht="15" thickBot="1" x14ac:dyDescent="0.4">
      <c r="B18" s="130" t="str" cm="1">
        <f t="array" ref="B18">INDEX('Data Validation (Hide)'!$B$2:$B$16,ROUNDUP(ROW(A15)/5,0),1)</f>
        <v>8 Group Session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43"/>
      <c r="J18" s="143"/>
    </row>
    <row r="19" spans="2:10" x14ac:dyDescent="0.35">
      <c r="B19" s="128" t="str" cm="1">
        <f t="array" ref="B19">INDEX('Data Validation (Hide)'!$B$2:$B$16,ROUNDUP(ROW(A16)/5,0),1)</f>
        <v>20 Individual</v>
      </c>
      <c r="C19" s="3" t="s">
        <v>153</v>
      </c>
      <c r="D19" s="18">
        <v>60</v>
      </c>
      <c r="E19" s="18">
        <v>1</v>
      </c>
      <c r="F19" s="15" t="s">
        <v>88</v>
      </c>
      <c r="G19" s="4">
        <f>INDEX('Data Validation (Hide)'!$K$2:$L$9,MATCH(Service!F19,'Data Validation (Hide)'!$K$2:$K$8,0),2)</f>
        <v>1</v>
      </c>
      <c r="H19" s="85">
        <f t="shared" si="0"/>
        <v>60</v>
      </c>
      <c r="I19" s="141">
        <f>SUMIF($E$19:$E$23,1,$H$19:$H$23)</f>
        <v>60</v>
      </c>
      <c r="J19" s="141">
        <f>SUMIF($E$19:$E$23,"&gt;"&amp;1,$H$19:$H$23)</f>
        <v>0</v>
      </c>
    </row>
    <row r="20" spans="2:10" x14ac:dyDescent="0.35">
      <c r="B20" s="129" t="str" cm="1">
        <f t="array" ref="B20">INDEX('Data Validation (Hide)'!$B$2:$B$16,ROUNDUP(ROW(A17)/5,0),1)</f>
        <v>20 Individual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42"/>
      <c r="J20" s="142"/>
    </row>
    <row r="21" spans="2:10" x14ac:dyDescent="0.35">
      <c r="B21" s="127" t="str" cm="1">
        <f t="array" ref="B21">INDEX('Data Validation (Hide)'!$B$2:$B$16,ROUNDUP(ROW(A18)/5,0),1)</f>
        <v>20 Individual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42"/>
      <c r="J21" s="142"/>
    </row>
    <row r="22" spans="2:10" x14ac:dyDescent="0.35">
      <c r="B22" s="129" t="str" cm="1">
        <f t="array" ref="B22">INDEX('Data Validation (Hide)'!$B$2:$B$16,ROUNDUP(ROW(A19)/5,0),1)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42"/>
      <c r="J22" s="142"/>
    </row>
    <row r="23" spans="2:10" ht="15" thickBot="1" x14ac:dyDescent="0.4">
      <c r="B23" s="130" t="str" cm="1">
        <f t="array" ref="B23">INDEX('Data Validation (Hide)'!$B$2:$B$16,ROUNDUP(ROW(A20)/5,0),1)</f>
        <v>20 Individual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43"/>
      <c r="J23" s="143"/>
    </row>
    <row r="24" spans="2:10" x14ac:dyDescent="0.35">
      <c r="B24" s="128" t="str" cm="1">
        <f t="array" ref="B24">INDEX('Data Validation (Hide)'!$B$2:$B$16,ROUNDUP(ROW(A21)/5,0),1)</f>
        <v>40 Individual</v>
      </c>
      <c r="C24" s="3" t="s">
        <v>153</v>
      </c>
      <c r="D24" s="18">
        <v>60</v>
      </c>
      <c r="E24" s="18">
        <v>1</v>
      </c>
      <c r="F24" s="15" t="s">
        <v>88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41">
        <f>SUMIF($E$24:$E$28,1,$H$24:$H$28)</f>
        <v>60</v>
      </c>
      <c r="J24" s="141">
        <f>SUMIF($E$24:$E$28,"&gt;"&amp;1,$H$24:$H$28)</f>
        <v>0</v>
      </c>
    </row>
    <row r="25" spans="2:10" x14ac:dyDescent="0.35">
      <c r="B25" s="129" t="str" cm="1">
        <f t="array" ref="B25">INDEX('Data Validation (Hide)'!$B$2:$B$16,ROUNDUP(ROW(A22)/5,0),1)</f>
        <v>40 Individual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42"/>
      <c r="J25" s="142"/>
    </row>
    <row r="26" spans="2:10" x14ac:dyDescent="0.35">
      <c r="B26" s="127" t="str" cm="1">
        <f t="array" ref="B26">INDEX('Data Validation (Hide)'!$B$2:$B$16,ROUNDUP(ROW(A23)/5,0),1)</f>
        <v>40 Individual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42"/>
      <c r="J26" s="142"/>
    </row>
    <row r="27" spans="2:10" x14ac:dyDescent="0.35">
      <c r="B27" s="129" t="str" cm="1">
        <f t="array" ref="B27">INDEX('Data Validation (Hide)'!$B$2:$B$16,ROUNDUP(ROW(A24)/5,0),1)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42"/>
      <c r="J27" s="142"/>
    </row>
    <row r="28" spans="2:10" ht="15" thickBot="1" x14ac:dyDescent="0.4">
      <c r="B28" s="130" t="str" cm="1">
        <f t="array" ref="B28">INDEX('Data Validation (Hide)'!$B$2:$B$16,ROUNDUP(ROW(A25)/5,0),1)</f>
        <v>40 Individual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43"/>
      <c r="J28" s="143"/>
    </row>
    <row r="29" spans="2:10" x14ac:dyDescent="0.35">
      <c r="B29" s="128" t="str" cm="1">
        <f t="array" ref="B29">INDEX('Data Validation (Hide)'!$B$2:$B$16,ROUNDUP(ROW(A26)/5,0),1)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35">
        <f>SUMIF($E$29:$E$33,1,$H$29:$H$33)</f>
        <v>0</v>
      </c>
      <c r="J29" s="135">
        <f>SUMIF($E$29:$E$33,"&gt;"&amp;1,$H$29:$H$33)</f>
        <v>0</v>
      </c>
    </row>
    <row r="30" spans="2:10" x14ac:dyDescent="0.35">
      <c r="B30" s="129" t="str" cm="1">
        <f t="array" ref="B30">INDEX('Data Validation (Hide)'!$B$2:$B$16,ROUNDUP(ROW(A27)/5,0),1)</f>
        <v>Caseload 6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36"/>
      <c r="J30" s="136"/>
    </row>
    <row r="31" spans="2:10" x14ac:dyDescent="0.35">
      <c r="B31" s="127" t="str" cm="1">
        <f t="array" ref="B31">INDEX('Data Validation (Hide)'!$B$2:$B$16,ROUNDUP(ROW(A28)/5,0),1)</f>
        <v>Caseload 6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36"/>
      <c r="J31" s="136"/>
    </row>
    <row r="32" spans="2:10" x14ac:dyDescent="0.35">
      <c r="B32" s="129" t="str" cm="1">
        <f t="array" ref="B32">INDEX('Data Validation (Hide)'!$B$2:$B$16,ROUNDUP(ROW(A29)/5,0),1)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6"/>
      <c r="J32" s="136"/>
    </row>
    <row r="33" spans="2:10" ht="15" thickBot="1" x14ac:dyDescent="0.4">
      <c r="B33" s="130" t="str" cm="1">
        <f t="array" ref="B33">INDEX('Data Validation (Hide)'!$B$2:$B$16,ROUNDUP(ROW(A30)/5,0),1)</f>
        <v>Caseload 6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37"/>
      <c r="J33" s="137"/>
    </row>
    <row r="34" spans="2:10" x14ac:dyDescent="0.35">
      <c r="B34" s="128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35">
        <f>SUMIF($E$34:$E$38,1,$H$34:$H$38)</f>
        <v>0</v>
      </c>
      <c r="J34" s="135">
        <f>SUMIF($E$34:$E$38,"&gt;"&amp;1,$H$34:$H$38)</f>
        <v>0</v>
      </c>
    </row>
    <row r="35" spans="2:10" x14ac:dyDescent="0.35">
      <c r="B35" s="129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36"/>
      <c r="J35" s="136"/>
    </row>
    <row r="36" spans="2:10" x14ac:dyDescent="0.35">
      <c r="B36" s="127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36"/>
      <c r="J36" s="136"/>
    </row>
    <row r="37" spans="2:10" x14ac:dyDescent="0.35">
      <c r="B37" s="129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36"/>
      <c r="J37" s="136"/>
    </row>
    <row r="38" spans="2:10" ht="15" thickBot="1" x14ac:dyDescent="0.4">
      <c r="B38" s="130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37"/>
      <c r="J38" s="137"/>
    </row>
    <row r="39" spans="2:10" x14ac:dyDescent="0.35">
      <c r="B39" s="128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35">
        <f>SUMIF($E$39:$E$43,1,$H$39:$H$43)</f>
        <v>0</v>
      </c>
      <c r="J39" s="135">
        <f>SUMIF($E$39:$E$43,"&gt;"&amp;1,$H$39:$H$43)</f>
        <v>0</v>
      </c>
    </row>
    <row r="40" spans="2:10" x14ac:dyDescent="0.35">
      <c r="B40" s="129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36"/>
      <c r="J40" s="136"/>
    </row>
    <row r="41" spans="2:10" x14ac:dyDescent="0.35">
      <c r="B41" s="127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36"/>
      <c r="J41" s="136"/>
    </row>
    <row r="42" spans="2:10" x14ac:dyDescent="0.35">
      <c r="B42" s="129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6"/>
      <c r="J42" s="136"/>
    </row>
    <row r="43" spans="2:10" ht="15" thickBot="1" x14ac:dyDescent="0.4">
      <c r="B43" s="130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37"/>
      <c r="J43" s="137"/>
    </row>
    <row r="44" spans="2:10" x14ac:dyDescent="0.35">
      <c r="B44" s="128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35">
        <f>SUMIF($E$44:$E$48,1,$H$44:$H$48)</f>
        <v>0</v>
      </c>
      <c r="J44" s="135">
        <f>SUMIF($E$44:$E$48,"&gt;"&amp;1,$H$44:$H$48)</f>
        <v>0</v>
      </c>
    </row>
    <row r="45" spans="2:10" x14ac:dyDescent="0.35">
      <c r="B45" s="129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36"/>
      <c r="J45" s="136"/>
    </row>
    <row r="46" spans="2:10" x14ac:dyDescent="0.35">
      <c r="B46" s="127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36"/>
      <c r="J46" s="136"/>
    </row>
    <row r="47" spans="2:10" x14ac:dyDescent="0.35">
      <c r="B47" s="129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6"/>
      <c r="J47" s="136"/>
    </row>
    <row r="48" spans="2:10" ht="15" thickBot="1" x14ac:dyDescent="0.4">
      <c r="B48" s="130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37"/>
      <c r="J48" s="137"/>
    </row>
    <row r="49" spans="2:10" x14ac:dyDescent="0.35">
      <c r="B49" s="128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35">
        <f>SUMIF($E$49:$E$53,1,$H$49:$H$53)</f>
        <v>0</v>
      </c>
      <c r="J49" s="135">
        <f>SUMIF($E$49:$E$53,"&gt;"&amp;1,$H$49:$H$53)</f>
        <v>0</v>
      </c>
    </row>
    <row r="50" spans="2:10" x14ac:dyDescent="0.35">
      <c r="B50" s="129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36"/>
      <c r="J50" s="136"/>
    </row>
    <row r="51" spans="2:10" x14ac:dyDescent="0.35">
      <c r="B51" s="127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36"/>
      <c r="J51" s="136"/>
    </row>
    <row r="52" spans="2:10" x14ac:dyDescent="0.35">
      <c r="B52" s="129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6"/>
      <c r="J52" s="136"/>
    </row>
    <row r="53" spans="2:10" ht="15" thickBot="1" x14ac:dyDescent="0.4">
      <c r="B53" s="130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37"/>
      <c r="J53" s="137"/>
    </row>
    <row r="54" spans="2:10" x14ac:dyDescent="0.35">
      <c r="B54" s="128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35">
        <f>SUMIF($E$54:$E$58,1,$H$54:$H$58)</f>
        <v>0</v>
      </c>
      <c r="J54" s="135">
        <f>SUMIF($E$54:$E$58,"&gt;"&amp;1,$H$54:$H$58)</f>
        <v>0</v>
      </c>
    </row>
    <row r="55" spans="2:10" x14ac:dyDescent="0.35">
      <c r="B55" s="129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36"/>
      <c r="J55" s="136"/>
    </row>
    <row r="56" spans="2:10" x14ac:dyDescent="0.35">
      <c r="B56" s="127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36"/>
      <c r="J56" s="136"/>
    </row>
    <row r="57" spans="2:10" x14ac:dyDescent="0.35">
      <c r="B57" s="129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6"/>
      <c r="J57" s="136"/>
    </row>
    <row r="58" spans="2:10" ht="15" thickBot="1" x14ac:dyDescent="0.4">
      <c r="B58" s="130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37"/>
      <c r="J58" s="137"/>
    </row>
    <row r="59" spans="2:10" x14ac:dyDescent="0.35">
      <c r="B59" s="128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35">
        <f>SUMIF($E$59:$E$63,1,$H$59:$H$63)</f>
        <v>0</v>
      </c>
      <c r="J59" s="135">
        <f>SUMIF($E$59:$E$63,"&gt;"&amp;1,$H$59:$H$63)</f>
        <v>0</v>
      </c>
    </row>
    <row r="60" spans="2:10" x14ac:dyDescent="0.35">
      <c r="B60" s="129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36"/>
      <c r="J60" s="136"/>
    </row>
    <row r="61" spans="2:10" x14ac:dyDescent="0.35">
      <c r="B61" s="127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36"/>
      <c r="J61" s="136"/>
    </row>
    <row r="62" spans="2:10" x14ac:dyDescent="0.35">
      <c r="B62" s="129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6"/>
      <c r="J62" s="136"/>
    </row>
    <row r="63" spans="2:10" ht="15" thickBot="1" x14ac:dyDescent="0.4">
      <c r="B63" s="130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37"/>
      <c r="J63" s="137"/>
    </row>
    <row r="64" spans="2:10" x14ac:dyDescent="0.35">
      <c r="B64" s="128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35">
        <f>SUMIF($E$64:$E$68,1,$H$64:$H$68)</f>
        <v>0</v>
      </c>
      <c r="J64" s="135">
        <f>SUMIF($E$64:$E$68,"&gt;"&amp;1,$H$64:$H$68)</f>
        <v>0</v>
      </c>
    </row>
    <row r="65" spans="2:10" x14ac:dyDescent="0.35">
      <c r="B65" s="129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36"/>
      <c r="J65" s="136"/>
    </row>
    <row r="66" spans="2:10" x14ac:dyDescent="0.35">
      <c r="B66" s="127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36"/>
      <c r="J66" s="136"/>
    </row>
    <row r="67" spans="2:10" x14ac:dyDescent="0.35">
      <c r="B67" s="129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6"/>
      <c r="J67" s="136"/>
    </row>
    <row r="68" spans="2:10" ht="15" thickBot="1" x14ac:dyDescent="0.4">
      <c r="B68" s="130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37"/>
      <c r="J68" s="137"/>
    </row>
    <row r="69" spans="2:10" x14ac:dyDescent="0.35">
      <c r="B69" s="128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35">
        <f>SUMIF($E$69:$E$73,1,$H$69:$H$73)</f>
        <v>0</v>
      </c>
      <c r="J69" s="135">
        <f>SUMIF($E$69:$E$73,"&gt;"&amp;1,$H$69:$H$73)</f>
        <v>0</v>
      </c>
    </row>
    <row r="70" spans="2:10" x14ac:dyDescent="0.35">
      <c r="B70" s="129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36"/>
      <c r="J70" s="136"/>
    </row>
    <row r="71" spans="2:10" x14ac:dyDescent="0.35">
      <c r="B71" s="127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36"/>
      <c r="J71" s="136"/>
    </row>
    <row r="72" spans="2:10" x14ac:dyDescent="0.35">
      <c r="B72" s="129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6"/>
      <c r="J72" s="136"/>
    </row>
    <row r="73" spans="2:10" ht="15" thickBot="1" x14ac:dyDescent="0.4">
      <c r="B73" s="130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37"/>
      <c r="J73" s="137"/>
    </row>
    <row r="74" spans="2:10" x14ac:dyDescent="0.35">
      <c r="B74" s="128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35">
        <f>SUMIF($E$74:$E$78,1,$H$74:$H$78)</f>
        <v>0</v>
      </c>
      <c r="J74" s="135">
        <f>SUMIF($E$74:$E$78,"&gt;"&amp;1,$H$74:$H$78)</f>
        <v>0</v>
      </c>
    </row>
    <row r="75" spans="2:10" x14ac:dyDescent="0.35">
      <c r="B75" s="129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36"/>
      <c r="J75" s="136"/>
    </row>
    <row r="76" spans="2:10" x14ac:dyDescent="0.35">
      <c r="B76" s="127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36"/>
      <c r="J76" s="136"/>
    </row>
    <row r="77" spans="2:10" x14ac:dyDescent="0.35">
      <c r="B77" s="129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6"/>
      <c r="J77" s="136"/>
    </row>
    <row r="78" spans="2:10" ht="15" thickBot="1" x14ac:dyDescent="0.4">
      <c r="B78" s="130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37"/>
      <c r="J78" s="137"/>
    </row>
    <row r="79" spans="2:10" x14ac:dyDescent="0.35">
      <c r="E79" s="32"/>
      <c r="H79" s="32"/>
      <c r="I79" s="32"/>
      <c r="J79" s="32"/>
    </row>
  </sheetData>
  <mergeCells count="30">
    <mergeCell ref="I29:I33"/>
    <mergeCell ref="I34:I38"/>
    <mergeCell ref="I4:I8"/>
    <mergeCell ref="I9:I13"/>
    <mergeCell ref="I14:I18"/>
    <mergeCell ref="I19:I23"/>
    <mergeCell ref="I24:I28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J74:J78"/>
    <mergeCell ref="J44:J48"/>
    <mergeCell ref="J49:J53"/>
    <mergeCell ref="J54:J58"/>
    <mergeCell ref="J59:J63"/>
    <mergeCell ref="J64:J68"/>
    <mergeCell ref="J69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54</v>
      </c>
      <c r="E1" s="3" t="s">
        <v>57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145</v>
      </c>
      <c r="CS1" s="3" t="s">
        <v>145</v>
      </c>
      <c r="CT1" s="3" t="s">
        <v>145</v>
      </c>
      <c r="CU1" s="3" t="s">
        <v>145</v>
      </c>
      <c r="CV1" s="3" t="s">
        <v>145</v>
      </c>
      <c r="CW1" s="3" t="s">
        <v>145</v>
      </c>
      <c r="CY1" s="3" t="s">
        <v>65</v>
      </c>
      <c r="CZ1" s="4"/>
      <c r="DA1" s="15"/>
    </row>
    <row r="2" spans="1:105" ht="15" thickBot="1" x14ac:dyDescent="0.4">
      <c r="E2" s="7"/>
      <c r="F2" s="7" t="s">
        <v>59</v>
      </c>
      <c r="G2" s="6" t="s">
        <v>59</v>
      </c>
      <c r="H2" s="7" t="s">
        <v>51</v>
      </c>
      <c r="I2" s="6" t="s">
        <v>51</v>
      </c>
      <c r="J2" s="19" t="s">
        <v>64</v>
      </c>
      <c r="K2" s="23" t="s">
        <v>64</v>
      </c>
      <c r="L2" s="7" t="s">
        <v>59</v>
      </c>
      <c r="M2" s="6" t="s">
        <v>59</v>
      </c>
      <c r="N2" s="7" t="s">
        <v>51</v>
      </c>
      <c r="O2" s="6" t="s">
        <v>51</v>
      </c>
      <c r="P2" s="19" t="s">
        <v>64</v>
      </c>
      <c r="Q2" s="23" t="s">
        <v>64</v>
      </c>
      <c r="R2" s="7" t="s">
        <v>59</v>
      </c>
      <c r="S2" s="6" t="s">
        <v>59</v>
      </c>
      <c r="T2" s="7" t="s">
        <v>51</v>
      </c>
      <c r="U2" s="6" t="s">
        <v>51</v>
      </c>
      <c r="V2" s="19" t="s">
        <v>64</v>
      </c>
      <c r="W2" s="23" t="s">
        <v>64</v>
      </c>
      <c r="X2" s="7" t="s">
        <v>59</v>
      </c>
      <c r="Y2" s="6" t="s">
        <v>59</v>
      </c>
      <c r="Z2" s="7" t="s">
        <v>51</v>
      </c>
      <c r="AA2" s="6" t="s">
        <v>51</v>
      </c>
      <c r="AB2" s="19" t="s">
        <v>64</v>
      </c>
      <c r="AC2" s="23" t="s">
        <v>64</v>
      </c>
      <c r="AD2" s="7" t="s">
        <v>59</v>
      </c>
      <c r="AE2" s="6" t="s">
        <v>59</v>
      </c>
      <c r="AF2" s="7" t="s">
        <v>51</v>
      </c>
      <c r="AG2" s="6" t="s">
        <v>51</v>
      </c>
      <c r="AH2" s="19" t="s">
        <v>64</v>
      </c>
      <c r="AI2" s="23" t="s">
        <v>64</v>
      </c>
      <c r="AJ2" s="7" t="s">
        <v>59</v>
      </c>
      <c r="AK2" s="6" t="s">
        <v>59</v>
      </c>
      <c r="AL2" s="7" t="s">
        <v>51</v>
      </c>
      <c r="AM2" s="6" t="s">
        <v>51</v>
      </c>
      <c r="AN2" s="19" t="s">
        <v>64</v>
      </c>
      <c r="AO2" s="23" t="s">
        <v>64</v>
      </c>
      <c r="AP2" s="7" t="s">
        <v>59</v>
      </c>
      <c r="AQ2" s="6" t="s">
        <v>59</v>
      </c>
      <c r="AR2" s="7" t="s">
        <v>51</v>
      </c>
      <c r="AS2" s="6" t="s">
        <v>51</v>
      </c>
      <c r="AT2" s="19" t="s">
        <v>64</v>
      </c>
      <c r="AU2" s="23" t="s">
        <v>64</v>
      </c>
      <c r="AV2" s="7" t="s">
        <v>59</v>
      </c>
      <c r="AW2" s="6" t="s">
        <v>59</v>
      </c>
      <c r="AX2" s="7" t="s">
        <v>51</v>
      </c>
      <c r="AY2" s="6" t="s">
        <v>51</v>
      </c>
      <c r="AZ2" s="19" t="s">
        <v>64</v>
      </c>
      <c r="BA2" s="23" t="s">
        <v>64</v>
      </c>
      <c r="BB2" s="7" t="s">
        <v>59</v>
      </c>
      <c r="BC2" s="6" t="s">
        <v>59</v>
      </c>
      <c r="BD2" s="7" t="s">
        <v>51</v>
      </c>
      <c r="BE2" s="6" t="s">
        <v>51</v>
      </c>
      <c r="BF2" s="19" t="s">
        <v>64</v>
      </c>
      <c r="BG2" s="23" t="s">
        <v>64</v>
      </c>
      <c r="BH2" s="7" t="s">
        <v>59</v>
      </c>
      <c r="BI2" s="6" t="s">
        <v>59</v>
      </c>
      <c r="BJ2" s="7" t="s">
        <v>51</v>
      </c>
      <c r="BK2" s="6" t="s">
        <v>51</v>
      </c>
      <c r="BL2" s="19" t="s">
        <v>64</v>
      </c>
      <c r="BM2" s="23" t="s">
        <v>64</v>
      </c>
      <c r="BN2" s="7" t="s">
        <v>59</v>
      </c>
      <c r="BO2" s="6" t="s">
        <v>59</v>
      </c>
      <c r="BP2" s="7" t="s">
        <v>51</v>
      </c>
      <c r="BQ2" s="6" t="s">
        <v>51</v>
      </c>
      <c r="BR2" s="19" t="s">
        <v>64</v>
      </c>
      <c r="BS2" s="23" t="s">
        <v>64</v>
      </c>
      <c r="BT2" s="7" t="s">
        <v>59</v>
      </c>
      <c r="BU2" s="6" t="s">
        <v>59</v>
      </c>
      <c r="BV2" s="7" t="s">
        <v>51</v>
      </c>
      <c r="BW2" s="6" t="s">
        <v>51</v>
      </c>
      <c r="BX2" s="19" t="s">
        <v>64</v>
      </c>
      <c r="BY2" s="23" t="s">
        <v>64</v>
      </c>
      <c r="BZ2" s="7" t="s">
        <v>59</v>
      </c>
      <c r="CA2" s="6" t="s">
        <v>59</v>
      </c>
      <c r="CB2" s="7" t="s">
        <v>51</v>
      </c>
      <c r="CC2" s="6" t="s">
        <v>51</v>
      </c>
      <c r="CD2" s="19" t="s">
        <v>64</v>
      </c>
      <c r="CE2" s="23" t="s">
        <v>64</v>
      </c>
      <c r="CF2" s="7" t="s">
        <v>59</v>
      </c>
      <c r="CG2" s="6" t="s">
        <v>59</v>
      </c>
      <c r="CH2" s="7" t="s">
        <v>51</v>
      </c>
      <c r="CI2" s="6" t="s">
        <v>51</v>
      </c>
      <c r="CJ2" s="19" t="s">
        <v>64</v>
      </c>
      <c r="CK2" s="23" t="s">
        <v>64</v>
      </c>
      <c r="CL2" s="7" t="s">
        <v>59</v>
      </c>
      <c r="CM2" s="6" t="s">
        <v>59</v>
      </c>
      <c r="CN2" s="7" t="s">
        <v>51</v>
      </c>
      <c r="CO2" s="6" t="s">
        <v>51</v>
      </c>
      <c r="CP2" s="19" t="s">
        <v>64</v>
      </c>
      <c r="CQ2" s="23" t="s">
        <v>64</v>
      </c>
      <c r="CR2" s="7" t="s">
        <v>59</v>
      </c>
      <c r="CS2" s="6" t="s">
        <v>59</v>
      </c>
      <c r="CT2" s="7" t="s">
        <v>51</v>
      </c>
      <c r="CU2" s="6" t="s">
        <v>51</v>
      </c>
      <c r="CV2" s="19" t="s">
        <v>64</v>
      </c>
      <c r="CW2" s="23" t="s">
        <v>64</v>
      </c>
      <c r="CY2" s="7"/>
      <c r="CZ2" s="5"/>
      <c r="DA2" s="6"/>
    </row>
    <row r="3" spans="1:105" ht="15" thickBot="1" x14ac:dyDescent="0.4">
      <c r="B3" s="5" t="s">
        <v>120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2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14</v>
      </c>
      <c r="B4" s="36" t="s">
        <v>55</v>
      </c>
      <c r="C4" s="31" t="s">
        <v>56</v>
      </c>
      <c r="E4" s="17" t="s">
        <v>58</v>
      </c>
      <c r="F4" s="24" t="s">
        <v>60</v>
      </c>
      <c r="G4" s="26" t="s">
        <v>61</v>
      </c>
      <c r="H4" s="24" t="s">
        <v>60</v>
      </c>
      <c r="I4" s="26" t="s">
        <v>61</v>
      </c>
      <c r="J4" s="25" t="s">
        <v>52</v>
      </c>
      <c r="K4" s="26" t="s">
        <v>61</v>
      </c>
      <c r="L4" s="24" t="s">
        <v>60</v>
      </c>
      <c r="M4" s="26" t="s">
        <v>61</v>
      </c>
      <c r="N4" s="24" t="s">
        <v>60</v>
      </c>
      <c r="O4" s="26" t="s">
        <v>61</v>
      </c>
      <c r="P4" s="25" t="s">
        <v>52</v>
      </c>
      <c r="Q4" s="26" t="s">
        <v>61</v>
      </c>
      <c r="R4" s="24" t="s">
        <v>60</v>
      </c>
      <c r="S4" s="26" t="s">
        <v>61</v>
      </c>
      <c r="T4" s="24" t="s">
        <v>60</v>
      </c>
      <c r="U4" s="26" t="s">
        <v>61</v>
      </c>
      <c r="V4" s="25" t="s">
        <v>52</v>
      </c>
      <c r="W4" s="26" t="s">
        <v>61</v>
      </c>
      <c r="X4" s="24" t="s">
        <v>60</v>
      </c>
      <c r="Y4" s="26" t="s">
        <v>61</v>
      </c>
      <c r="Z4" s="24" t="s">
        <v>60</v>
      </c>
      <c r="AA4" s="26" t="s">
        <v>61</v>
      </c>
      <c r="AB4" s="25" t="s">
        <v>52</v>
      </c>
      <c r="AC4" s="26" t="s">
        <v>61</v>
      </c>
      <c r="AD4" s="24" t="s">
        <v>60</v>
      </c>
      <c r="AE4" s="26" t="s">
        <v>61</v>
      </c>
      <c r="AF4" s="24" t="s">
        <v>60</v>
      </c>
      <c r="AG4" s="26" t="s">
        <v>61</v>
      </c>
      <c r="AH4" s="25" t="s">
        <v>52</v>
      </c>
      <c r="AI4" s="26" t="s">
        <v>61</v>
      </c>
      <c r="AJ4" s="24" t="s">
        <v>60</v>
      </c>
      <c r="AK4" s="26" t="s">
        <v>61</v>
      </c>
      <c r="AL4" s="24" t="s">
        <v>60</v>
      </c>
      <c r="AM4" s="26" t="s">
        <v>61</v>
      </c>
      <c r="AN4" s="25" t="s">
        <v>52</v>
      </c>
      <c r="AO4" s="26" t="s">
        <v>61</v>
      </c>
      <c r="AP4" s="24" t="s">
        <v>60</v>
      </c>
      <c r="AQ4" s="26" t="s">
        <v>61</v>
      </c>
      <c r="AR4" s="24" t="s">
        <v>60</v>
      </c>
      <c r="AS4" s="26" t="s">
        <v>61</v>
      </c>
      <c r="AT4" s="25" t="s">
        <v>52</v>
      </c>
      <c r="AU4" s="26" t="s">
        <v>61</v>
      </c>
      <c r="AV4" s="24" t="s">
        <v>60</v>
      </c>
      <c r="AW4" s="26" t="s">
        <v>61</v>
      </c>
      <c r="AX4" s="24" t="s">
        <v>60</v>
      </c>
      <c r="AY4" s="26" t="s">
        <v>61</v>
      </c>
      <c r="AZ4" s="25" t="s">
        <v>52</v>
      </c>
      <c r="BA4" s="26" t="s">
        <v>61</v>
      </c>
      <c r="BB4" s="24" t="s">
        <v>60</v>
      </c>
      <c r="BC4" s="26" t="s">
        <v>61</v>
      </c>
      <c r="BD4" s="24" t="s">
        <v>60</v>
      </c>
      <c r="BE4" s="26" t="s">
        <v>61</v>
      </c>
      <c r="BF4" s="25" t="s">
        <v>52</v>
      </c>
      <c r="BG4" s="26" t="s">
        <v>61</v>
      </c>
      <c r="BH4" s="24" t="s">
        <v>60</v>
      </c>
      <c r="BI4" s="26" t="s">
        <v>61</v>
      </c>
      <c r="BJ4" s="24" t="s">
        <v>60</v>
      </c>
      <c r="BK4" s="26" t="s">
        <v>61</v>
      </c>
      <c r="BL4" s="25" t="s">
        <v>52</v>
      </c>
      <c r="BM4" s="26" t="s">
        <v>61</v>
      </c>
      <c r="BN4" s="24" t="s">
        <v>60</v>
      </c>
      <c r="BO4" s="26" t="s">
        <v>61</v>
      </c>
      <c r="BP4" s="24" t="s">
        <v>60</v>
      </c>
      <c r="BQ4" s="26" t="s">
        <v>61</v>
      </c>
      <c r="BR4" s="25" t="s">
        <v>52</v>
      </c>
      <c r="BS4" s="26" t="s">
        <v>61</v>
      </c>
      <c r="BT4" s="24" t="s">
        <v>60</v>
      </c>
      <c r="BU4" s="26" t="s">
        <v>61</v>
      </c>
      <c r="BV4" s="24" t="s">
        <v>60</v>
      </c>
      <c r="BW4" s="26" t="s">
        <v>61</v>
      </c>
      <c r="BX4" s="25" t="s">
        <v>52</v>
      </c>
      <c r="BY4" s="26" t="s">
        <v>61</v>
      </c>
      <c r="BZ4" s="24" t="s">
        <v>60</v>
      </c>
      <c r="CA4" s="26" t="s">
        <v>61</v>
      </c>
      <c r="CB4" s="24" t="s">
        <v>60</v>
      </c>
      <c r="CC4" s="26" t="s">
        <v>61</v>
      </c>
      <c r="CD4" s="25" t="s">
        <v>52</v>
      </c>
      <c r="CE4" s="26" t="s">
        <v>61</v>
      </c>
      <c r="CF4" s="24" t="s">
        <v>60</v>
      </c>
      <c r="CG4" s="26" t="s">
        <v>61</v>
      </c>
      <c r="CH4" s="24" t="s">
        <v>60</v>
      </c>
      <c r="CI4" s="26" t="s">
        <v>61</v>
      </c>
      <c r="CJ4" s="25" t="s">
        <v>52</v>
      </c>
      <c r="CK4" s="26" t="s">
        <v>61</v>
      </c>
      <c r="CL4" s="24" t="s">
        <v>60</v>
      </c>
      <c r="CM4" s="26" t="s">
        <v>61</v>
      </c>
      <c r="CN4" s="24" t="s">
        <v>60</v>
      </c>
      <c r="CO4" s="26" t="s">
        <v>61</v>
      </c>
      <c r="CP4" s="25" t="s">
        <v>52</v>
      </c>
      <c r="CQ4" s="26" t="s">
        <v>61</v>
      </c>
      <c r="CR4" s="24" t="s">
        <v>52</v>
      </c>
      <c r="CS4" s="26" t="s">
        <v>61</v>
      </c>
      <c r="CT4" s="24" t="s">
        <v>52</v>
      </c>
      <c r="CU4" s="26" t="s">
        <v>61</v>
      </c>
      <c r="CV4" s="25" t="s">
        <v>52</v>
      </c>
      <c r="CW4" s="26" t="s">
        <v>61</v>
      </c>
      <c r="CY4" s="29" t="s">
        <v>60</v>
      </c>
      <c r="CZ4" s="30" t="s">
        <v>61</v>
      </c>
      <c r="DA4" s="31" t="s">
        <v>44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38</v>
      </c>
      <c r="M5" s="6">
        <f>INDEX($B$5:$C$19,MATCH(L$1,$A$5:$A$19,0),2)*L$3</f>
        <v>50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48.857142857142854</v>
      </c>
      <c r="Q5" s="6">
        <f>SUMIF(L$4:O$4,Q$4,L5:O5)</f>
        <v>64.285714285714278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181.75</v>
      </c>
      <c r="CS5" s="7">
        <f>SUMIFS($F5:$CQ5,$F$2:$CQ$2,CS$2,$F$4:$CQ$4,CS$4)</f>
        <v>198.6875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220.75</v>
      </c>
      <c r="CW5" s="6">
        <f>SUM(CS5,CU5)</f>
        <v>244.25892857142856</v>
      </c>
      <c r="CY5" s="7">
        <f t="array" ref="CY5:CY56">Summary_LowerBound</f>
        <v>220.75</v>
      </c>
      <c r="CZ5" s="5">
        <f t="array" ref="CZ5">Summary_UpperBound</f>
        <v>244.25892857142856</v>
      </c>
      <c r="DA5" s="6">
        <f>CZ5-CY5</f>
        <v>23.508928571428555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48.857142857142854</v>
      </c>
      <c r="Q6" s="6">
        <f t="shared" ref="Q6:Q56" si="11">SUMIF(L$4:O$4,Q$4,L6:O6)</f>
        <v>64.285714285714278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181.75</v>
      </c>
      <c r="CS6" s="7">
        <f t="shared" si="90"/>
        <v>198.6875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220.75</v>
      </c>
      <c r="CW6" s="6">
        <f t="shared" ref="CW6:CW56" si="92">SUM(CS6,CU6)</f>
        <v>244.25892857142856</v>
      </c>
      <c r="CY6" s="7">
        <v>220.75</v>
      </c>
      <c r="CZ6" s="5">
        <f t="array" ref="CZ6">Summary_UpperBound</f>
        <v>244.25892857142856</v>
      </c>
      <c r="DA6" s="6">
        <f t="shared" ref="DA6:DA56" si="93">CZ6-CY6</f>
        <v>23.508928571428555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38</v>
      </c>
      <c r="M7" s="6">
        <f t="shared" si="7"/>
        <v>50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48.857142857142854</v>
      </c>
      <c r="Q7" s="6">
        <f t="shared" si="11"/>
        <v>64.285714285714278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181.75</v>
      </c>
      <c r="CS7" s="7">
        <f t="shared" si="90"/>
        <v>198.6875</v>
      </c>
      <c r="CT7" s="7">
        <f t="shared" si="90"/>
        <v>39</v>
      </c>
      <c r="CU7" s="7">
        <f t="shared" si="90"/>
        <v>45.571428571428569</v>
      </c>
      <c r="CV7" s="5">
        <f t="shared" si="91"/>
        <v>220.75</v>
      </c>
      <c r="CW7" s="6">
        <f t="shared" si="92"/>
        <v>244.25892857142856</v>
      </c>
      <c r="CY7" s="7">
        <v>220.75</v>
      </c>
      <c r="CZ7" s="5">
        <f t="array" ref="CZ7">Summary_UpperBound</f>
        <v>244.25892857142856</v>
      </c>
      <c r="DA7" s="6">
        <f t="shared" si="93"/>
        <v>23.508928571428555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38</v>
      </c>
      <c r="M8" s="6">
        <f t="shared" si="7"/>
        <v>50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48.857142857142854</v>
      </c>
      <c r="Q8" s="6">
        <f t="shared" si="11"/>
        <v>64.285714285714278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181.75</v>
      </c>
      <c r="CS8" s="7">
        <f t="shared" si="90"/>
        <v>198.6875</v>
      </c>
      <c r="CT8" s="7">
        <f t="shared" si="90"/>
        <v>39</v>
      </c>
      <c r="CU8" s="7">
        <f t="shared" si="90"/>
        <v>45.571428571428569</v>
      </c>
      <c r="CV8" s="5">
        <f t="shared" si="91"/>
        <v>220.75</v>
      </c>
      <c r="CW8" s="6">
        <f t="shared" si="92"/>
        <v>244.25892857142856</v>
      </c>
      <c r="CY8" s="7">
        <v>220.75</v>
      </c>
      <c r="CZ8" s="5">
        <f t="array" ref="CZ8">Summary_UpperBound</f>
        <v>244.25892857142856</v>
      </c>
      <c r="DA8" s="6">
        <f t="shared" si="93"/>
        <v>23.508928571428555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38</v>
      </c>
      <c r="M9" s="6">
        <f t="shared" si="7"/>
        <v>50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48.857142857142854</v>
      </c>
      <c r="Q9" s="6">
        <f t="shared" si="11"/>
        <v>64.285714285714278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181.75</v>
      </c>
      <c r="CS9" s="7">
        <f t="shared" si="90"/>
        <v>198.6875</v>
      </c>
      <c r="CT9" s="7">
        <f t="shared" si="90"/>
        <v>39</v>
      </c>
      <c r="CU9" s="7">
        <f t="shared" si="90"/>
        <v>45.571428571428569</v>
      </c>
      <c r="CV9" s="5">
        <f t="shared" si="91"/>
        <v>220.75</v>
      </c>
      <c r="CW9" s="6">
        <f t="shared" si="92"/>
        <v>244.25892857142856</v>
      </c>
      <c r="CY9" s="7">
        <v>220.75</v>
      </c>
      <c r="CZ9" s="5">
        <f t="array" ref="CZ9">Summary_UpperBound</f>
        <v>244.25892857142856</v>
      </c>
      <c r="DA9" s="6">
        <f t="shared" si="93"/>
        <v>23.508928571428555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38</v>
      </c>
      <c r="M10" s="6">
        <f t="shared" si="7"/>
        <v>50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48.857142857142854</v>
      </c>
      <c r="Q10" s="6">
        <f t="shared" si="11"/>
        <v>64.285714285714278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181.75</v>
      </c>
      <c r="CS10" s="7">
        <f t="shared" si="90"/>
        <v>198.6875</v>
      </c>
      <c r="CT10" s="7">
        <f t="shared" si="90"/>
        <v>39</v>
      </c>
      <c r="CU10" s="7">
        <f t="shared" si="90"/>
        <v>45.571428571428569</v>
      </c>
      <c r="CV10" s="5">
        <f t="shared" si="91"/>
        <v>220.75</v>
      </c>
      <c r="CW10" s="6">
        <f t="shared" si="92"/>
        <v>244.25892857142856</v>
      </c>
      <c r="CY10" s="7">
        <v>220.75</v>
      </c>
      <c r="CZ10" s="5">
        <f t="array" ref="CZ10">Summary_UpperBound</f>
        <v>244.25892857142856</v>
      </c>
      <c r="DA10" s="6">
        <f t="shared" si="93"/>
        <v>23.508928571428555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38</v>
      </c>
      <c r="M11" s="6">
        <f t="shared" si="7"/>
        <v>50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48.857142857142854</v>
      </c>
      <c r="Q11" s="6">
        <f t="shared" si="11"/>
        <v>64.285714285714278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181.75</v>
      </c>
      <c r="CS11" s="7">
        <f t="shared" si="90"/>
        <v>198.6875</v>
      </c>
      <c r="CT11" s="7">
        <f t="shared" si="90"/>
        <v>39</v>
      </c>
      <c r="CU11" s="7">
        <f t="shared" si="90"/>
        <v>45.571428571428569</v>
      </c>
      <c r="CV11" s="5">
        <f t="shared" si="91"/>
        <v>220.75</v>
      </c>
      <c r="CW11" s="6">
        <f t="shared" si="92"/>
        <v>244.25892857142856</v>
      </c>
      <c r="CY11" s="7">
        <v>220.75</v>
      </c>
      <c r="CZ11" s="5">
        <f t="array" ref="CZ11">Summary_UpperBound</f>
        <v>244.25892857142856</v>
      </c>
      <c r="DA11" s="6">
        <f t="shared" si="93"/>
        <v>23.508928571428555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38</v>
      </c>
      <c r="M12" s="6">
        <f t="shared" si="7"/>
        <v>50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48.857142857142854</v>
      </c>
      <c r="Q12" s="6">
        <f t="shared" si="11"/>
        <v>64.285714285714278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181.75</v>
      </c>
      <c r="CS12" s="7">
        <f t="shared" si="90"/>
        <v>198.6875</v>
      </c>
      <c r="CT12" s="7">
        <f t="shared" si="90"/>
        <v>39</v>
      </c>
      <c r="CU12" s="7">
        <f t="shared" si="90"/>
        <v>45.571428571428569</v>
      </c>
      <c r="CV12" s="5">
        <f t="shared" si="91"/>
        <v>220.75</v>
      </c>
      <c r="CW12" s="6">
        <f t="shared" si="92"/>
        <v>244.25892857142856</v>
      </c>
      <c r="CY12" s="7">
        <v>220.75</v>
      </c>
      <c r="CZ12" s="5">
        <f t="array" ref="CZ12">Summary_UpperBound</f>
        <v>244.25892857142856</v>
      </c>
      <c r="DA12" s="6">
        <f t="shared" si="93"/>
        <v>23.508928571428555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38</v>
      </c>
      <c r="M13" s="6">
        <f t="shared" si="7"/>
        <v>50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48.857142857142854</v>
      </c>
      <c r="Q13" s="6">
        <f t="shared" si="11"/>
        <v>64.285714285714278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181.75</v>
      </c>
      <c r="CS13" s="7">
        <f t="shared" si="90"/>
        <v>198.6875</v>
      </c>
      <c r="CT13" s="7">
        <f t="shared" si="90"/>
        <v>39</v>
      </c>
      <c r="CU13" s="7">
        <f t="shared" si="90"/>
        <v>45.571428571428569</v>
      </c>
      <c r="CV13" s="5">
        <f t="shared" si="91"/>
        <v>220.75</v>
      </c>
      <c r="CW13" s="6">
        <f t="shared" si="92"/>
        <v>244.25892857142856</v>
      </c>
      <c r="CY13" s="7">
        <v>220.75</v>
      </c>
      <c r="CZ13" s="5">
        <f t="array" ref="CZ13">Summary_UpperBound</f>
        <v>244.25892857142856</v>
      </c>
      <c r="DA13" s="6">
        <f t="shared" si="93"/>
        <v>23.508928571428555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38</v>
      </c>
      <c r="M14" s="6">
        <f t="shared" si="7"/>
        <v>50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48.857142857142854</v>
      </c>
      <c r="Q14" s="6">
        <f t="shared" si="11"/>
        <v>64.285714285714278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181.75</v>
      </c>
      <c r="CS14" s="7">
        <f t="shared" si="90"/>
        <v>198.6875</v>
      </c>
      <c r="CT14" s="7">
        <f t="shared" si="90"/>
        <v>39</v>
      </c>
      <c r="CU14" s="7">
        <f t="shared" si="90"/>
        <v>45.571428571428569</v>
      </c>
      <c r="CV14" s="5">
        <f t="shared" si="91"/>
        <v>220.75</v>
      </c>
      <c r="CW14" s="6">
        <f t="shared" si="92"/>
        <v>244.25892857142856</v>
      </c>
      <c r="CY14" s="7">
        <v>220.75</v>
      </c>
      <c r="CZ14" s="5">
        <f t="array" ref="CZ14">Summary_UpperBound</f>
        <v>244.25892857142856</v>
      </c>
      <c r="DA14" s="6">
        <f t="shared" si="93"/>
        <v>23.508928571428555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38</v>
      </c>
      <c r="M15" s="6">
        <f t="shared" si="7"/>
        <v>50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48.857142857142854</v>
      </c>
      <c r="Q15" s="6">
        <f t="shared" si="11"/>
        <v>64.285714285714278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181.75</v>
      </c>
      <c r="CS15" s="7">
        <f t="shared" si="90"/>
        <v>198.6875</v>
      </c>
      <c r="CT15" s="7">
        <f t="shared" si="90"/>
        <v>39</v>
      </c>
      <c r="CU15" s="7">
        <f t="shared" si="90"/>
        <v>45.571428571428569</v>
      </c>
      <c r="CV15" s="5">
        <f t="shared" si="91"/>
        <v>220.75</v>
      </c>
      <c r="CW15" s="6">
        <f t="shared" si="92"/>
        <v>244.25892857142856</v>
      </c>
      <c r="CY15" s="7">
        <v>220.75</v>
      </c>
      <c r="CZ15" s="5">
        <f t="array" ref="CZ15">Summary_UpperBound</f>
        <v>244.25892857142856</v>
      </c>
      <c r="DA15" s="6">
        <f t="shared" si="93"/>
        <v>23.508928571428555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38</v>
      </c>
      <c r="M16" s="6">
        <f t="shared" si="7"/>
        <v>50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48.857142857142854</v>
      </c>
      <c r="Q16" s="6">
        <f t="shared" si="11"/>
        <v>64.285714285714278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181.75</v>
      </c>
      <c r="CS16" s="7">
        <f t="shared" si="90"/>
        <v>198.6875</v>
      </c>
      <c r="CT16" s="7">
        <f t="shared" si="90"/>
        <v>39</v>
      </c>
      <c r="CU16" s="7">
        <f t="shared" si="90"/>
        <v>45.571428571428569</v>
      </c>
      <c r="CV16" s="5">
        <f t="shared" si="91"/>
        <v>220.75</v>
      </c>
      <c r="CW16" s="6">
        <f t="shared" si="92"/>
        <v>244.25892857142856</v>
      </c>
      <c r="CY16" s="7">
        <v>220.75</v>
      </c>
      <c r="CZ16" s="5">
        <f t="array" ref="CZ16">Summary_UpperBound</f>
        <v>244.25892857142856</v>
      </c>
      <c r="DA16" s="6">
        <f t="shared" si="93"/>
        <v>23.508928571428555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38</v>
      </c>
      <c r="M17" s="6">
        <f t="shared" si="7"/>
        <v>50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48.857142857142854</v>
      </c>
      <c r="Q17" s="6">
        <f t="shared" si="11"/>
        <v>64.285714285714278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181.75</v>
      </c>
      <c r="CS17" s="7">
        <f t="shared" si="90"/>
        <v>198.6875</v>
      </c>
      <c r="CT17" s="7">
        <f t="shared" si="90"/>
        <v>39</v>
      </c>
      <c r="CU17" s="7">
        <f t="shared" si="90"/>
        <v>45.571428571428569</v>
      </c>
      <c r="CV17" s="5">
        <f t="shared" si="91"/>
        <v>220.75</v>
      </c>
      <c r="CW17" s="6">
        <f t="shared" si="92"/>
        <v>244.25892857142856</v>
      </c>
      <c r="CY17" s="7">
        <v>220.75</v>
      </c>
      <c r="CZ17" s="5">
        <f t="array" ref="CZ17">Summary_UpperBound</f>
        <v>244.25892857142856</v>
      </c>
      <c r="DA17" s="6">
        <f t="shared" si="93"/>
        <v>23.508928571428555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38</v>
      </c>
      <c r="M18" s="6">
        <f t="shared" si="7"/>
        <v>50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48.857142857142854</v>
      </c>
      <c r="Q18" s="6">
        <f t="shared" si="11"/>
        <v>64.285714285714278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181.75</v>
      </c>
      <c r="CS18" s="7">
        <f t="shared" si="90"/>
        <v>198.6875</v>
      </c>
      <c r="CT18" s="7">
        <f t="shared" si="90"/>
        <v>39</v>
      </c>
      <c r="CU18" s="7">
        <f t="shared" si="90"/>
        <v>45.571428571428569</v>
      </c>
      <c r="CV18" s="5">
        <f t="shared" si="91"/>
        <v>220.75</v>
      </c>
      <c r="CW18" s="6">
        <f t="shared" si="92"/>
        <v>244.25892857142856</v>
      </c>
      <c r="CY18" s="7">
        <v>220.75</v>
      </c>
      <c r="CZ18" s="5">
        <f t="array" ref="CZ18">Summary_UpperBound</f>
        <v>244.25892857142856</v>
      </c>
      <c r="DA18" s="6">
        <f t="shared" si="93"/>
        <v>23.508928571428555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38</v>
      </c>
      <c r="M19" s="6">
        <f t="shared" si="7"/>
        <v>50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48.857142857142854</v>
      </c>
      <c r="Q19" s="6">
        <f t="shared" si="11"/>
        <v>64.285714285714278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181.75</v>
      </c>
      <c r="CS19" s="7">
        <f t="shared" si="90"/>
        <v>198.6875</v>
      </c>
      <c r="CT19" s="7">
        <f t="shared" si="90"/>
        <v>39</v>
      </c>
      <c r="CU19" s="7">
        <f t="shared" si="90"/>
        <v>45.571428571428569</v>
      </c>
      <c r="CV19" s="5">
        <f t="shared" si="91"/>
        <v>220.75</v>
      </c>
      <c r="CW19" s="6">
        <f t="shared" si="92"/>
        <v>244.25892857142856</v>
      </c>
      <c r="CY19" s="7">
        <v>220.75</v>
      </c>
      <c r="CZ19" s="5">
        <f t="array" ref="CZ19">Summary_UpperBound</f>
        <v>244.25892857142856</v>
      </c>
      <c r="DA19" s="6">
        <f t="shared" si="93"/>
        <v>23.508928571428555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38</v>
      </c>
      <c r="M20" s="6">
        <f t="shared" si="7"/>
        <v>50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48.857142857142854</v>
      </c>
      <c r="Q20" s="6">
        <f t="shared" si="11"/>
        <v>64.285714285714278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181.75</v>
      </c>
      <c r="CS20" s="7">
        <f t="shared" si="90"/>
        <v>198.6875</v>
      </c>
      <c r="CT20" s="7">
        <f t="shared" si="90"/>
        <v>39</v>
      </c>
      <c r="CU20" s="7">
        <f t="shared" si="90"/>
        <v>45.571428571428569</v>
      </c>
      <c r="CV20" s="5">
        <f t="shared" si="91"/>
        <v>220.75</v>
      </c>
      <c r="CW20" s="6">
        <f t="shared" si="92"/>
        <v>244.25892857142856</v>
      </c>
      <c r="CY20" s="7">
        <v>220.75</v>
      </c>
      <c r="CZ20" s="5">
        <f t="array" ref="CZ20">Summary_UpperBound</f>
        <v>244.25892857142856</v>
      </c>
      <c r="DA20" s="6">
        <f t="shared" si="93"/>
        <v>23.508928571428555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38</v>
      </c>
      <c r="M21" s="6">
        <f t="shared" si="7"/>
        <v>50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48.857142857142854</v>
      </c>
      <c r="Q21" s="6">
        <f t="shared" si="11"/>
        <v>64.285714285714278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181.75</v>
      </c>
      <c r="CS21" s="7">
        <f t="shared" si="90"/>
        <v>198.6875</v>
      </c>
      <c r="CT21" s="7">
        <f t="shared" si="90"/>
        <v>39</v>
      </c>
      <c r="CU21" s="7">
        <f t="shared" si="90"/>
        <v>45.571428571428569</v>
      </c>
      <c r="CV21" s="5">
        <f t="shared" si="91"/>
        <v>220.75</v>
      </c>
      <c r="CW21" s="6">
        <f t="shared" si="92"/>
        <v>244.25892857142856</v>
      </c>
      <c r="CY21" s="7">
        <v>220.75</v>
      </c>
      <c r="CZ21" s="5">
        <f t="array" ref="CZ21">Summary_UpperBound</f>
        <v>244.25892857142856</v>
      </c>
      <c r="DA21" s="6">
        <f t="shared" si="93"/>
        <v>23.508928571428555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38</v>
      </c>
      <c r="M22" s="6">
        <f t="shared" si="7"/>
        <v>50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48.857142857142854</v>
      </c>
      <c r="Q22" s="6">
        <f t="shared" si="11"/>
        <v>64.285714285714278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181.75</v>
      </c>
      <c r="CS22" s="7">
        <f t="shared" si="90"/>
        <v>198.6875</v>
      </c>
      <c r="CT22" s="7">
        <f t="shared" si="90"/>
        <v>39</v>
      </c>
      <c r="CU22" s="7">
        <f t="shared" si="90"/>
        <v>45.571428571428569</v>
      </c>
      <c r="CV22" s="5">
        <f t="shared" si="91"/>
        <v>220.75</v>
      </c>
      <c r="CW22" s="6">
        <f t="shared" si="92"/>
        <v>244.25892857142856</v>
      </c>
      <c r="CY22" s="7">
        <v>220.75</v>
      </c>
      <c r="CZ22" s="5">
        <f t="array" ref="CZ22">Summary_UpperBound</f>
        <v>244.25892857142856</v>
      </c>
      <c r="DA22" s="6">
        <f t="shared" si="93"/>
        <v>23.508928571428555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38</v>
      </c>
      <c r="M23" s="6">
        <f t="shared" si="7"/>
        <v>50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48.857142857142854</v>
      </c>
      <c r="Q23" s="6">
        <f t="shared" si="11"/>
        <v>64.285714285714278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181.75</v>
      </c>
      <c r="CS23" s="7">
        <f t="shared" si="90"/>
        <v>198.6875</v>
      </c>
      <c r="CT23" s="7">
        <f t="shared" si="90"/>
        <v>39</v>
      </c>
      <c r="CU23" s="7">
        <f t="shared" si="90"/>
        <v>45.571428571428569</v>
      </c>
      <c r="CV23" s="5">
        <f t="shared" si="91"/>
        <v>220.75</v>
      </c>
      <c r="CW23" s="6">
        <f t="shared" si="92"/>
        <v>244.25892857142856</v>
      </c>
      <c r="CY23" s="7">
        <v>220.75</v>
      </c>
      <c r="CZ23" s="5">
        <f t="array" ref="CZ23">Summary_UpperBound</f>
        <v>244.25892857142856</v>
      </c>
      <c r="DA23" s="6">
        <f t="shared" si="93"/>
        <v>23.508928571428555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38</v>
      </c>
      <c r="M24" s="6">
        <f t="shared" si="7"/>
        <v>50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48.857142857142854</v>
      </c>
      <c r="Q24" s="6">
        <f t="shared" si="11"/>
        <v>64.285714285714278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181.75</v>
      </c>
      <c r="CS24" s="7">
        <f t="shared" si="90"/>
        <v>198.6875</v>
      </c>
      <c r="CT24" s="7">
        <f t="shared" si="90"/>
        <v>39</v>
      </c>
      <c r="CU24" s="7">
        <f t="shared" si="90"/>
        <v>45.571428571428569</v>
      </c>
      <c r="CV24" s="5">
        <f t="shared" si="91"/>
        <v>220.75</v>
      </c>
      <c r="CW24" s="6">
        <f t="shared" si="92"/>
        <v>244.25892857142856</v>
      </c>
      <c r="CY24" s="7">
        <v>220.75</v>
      </c>
      <c r="CZ24" s="5">
        <f t="array" ref="CZ24">Summary_UpperBound</f>
        <v>244.25892857142856</v>
      </c>
      <c r="DA24" s="6">
        <f t="shared" si="93"/>
        <v>23.508928571428555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38</v>
      </c>
      <c r="M25" s="6">
        <f t="shared" si="7"/>
        <v>50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48.857142857142854</v>
      </c>
      <c r="Q25" s="6">
        <f t="shared" si="11"/>
        <v>64.285714285714278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181.75</v>
      </c>
      <c r="CS25" s="7">
        <f t="shared" si="90"/>
        <v>198.6875</v>
      </c>
      <c r="CT25" s="7">
        <f t="shared" si="90"/>
        <v>39</v>
      </c>
      <c r="CU25" s="7">
        <f t="shared" si="90"/>
        <v>45.571428571428569</v>
      </c>
      <c r="CV25" s="5">
        <f t="shared" si="91"/>
        <v>220.75</v>
      </c>
      <c r="CW25" s="6">
        <f t="shared" si="92"/>
        <v>244.25892857142856</v>
      </c>
      <c r="CY25" s="7">
        <v>220.75</v>
      </c>
      <c r="CZ25" s="5">
        <f t="array" ref="CZ25">Summary_UpperBound</f>
        <v>244.25892857142856</v>
      </c>
      <c r="DA25" s="6">
        <f t="shared" si="93"/>
        <v>23.508928571428555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38</v>
      </c>
      <c r="M26" s="6">
        <f t="shared" si="7"/>
        <v>50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48.857142857142854</v>
      </c>
      <c r="Q26" s="6">
        <f t="shared" si="11"/>
        <v>64.285714285714278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181.75</v>
      </c>
      <c r="CS26" s="7">
        <f t="shared" si="90"/>
        <v>198.6875</v>
      </c>
      <c r="CT26" s="7">
        <f t="shared" si="90"/>
        <v>39</v>
      </c>
      <c r="CU26" s="7">
        <f t="shared" si="90"/>
        <v>45.571428571428569</v>
      </c>
      <c r="CV26" s="5">
        <f t="shared" si="91"/>
        <v>220.75</v>
      </c>
      <c r="CW26" s="6">
        <f t="shared" si="92"/>
        <v>244.25892857142856</v>
      </c>
      <c r="CY26" s="7">
        <v>220.75</v>
      </c>
      <c r="CZ26" s="5">
        <f t="array" ref="CZ26">Summary_UpperBound</f>
        <v>244.25892857142856</v>
      </c>
      <c r="DA26" s="6">
        <f t="shared" si="93"/>
        <v>23.508928571428555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38</v>
      </c>
      <c r="M27" s="6">
        <f t="shared" si="7"/>
        <v>50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48.857142857142854</v>
      </c>
      <c r="Q27" s="6">
        <f t="shared" si="11"/>
        <v>64.285714285714278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181.75</v>
      </c>
      <c r="CS27" s="7">
        <f t="shared" si="90"/>
        <v>198.6875</v>
      </c>
      <c r="CT27" s="7">
        <f t="shared" si="90"/>
        <v>39</v>
      </c>
      <c r="CU27" s="7">
        <f t="shared" si="90"/>
        <v>45.571428571428569</v>
      </c>
      <c r="CV27" s="5">
        <f t="shared" si="91"/>
        <v>220.75</v>
      </c>
      <c r="CW27" s="6">
        <f t="shared" si="92"/>
        <v>244.25892857142856</v>
      </c>
      <c r="CY27" s="7">
        <v>220.75</v>
      </c>
      <c r="CZ27" s="5">
        <f t="array" ref="CZ27">Summary_UpperBound</f>
        <v>244.25892857142856</v>
      </c>
      <c r="DA27" s="6">
        <f t="shared" si="93"/>
        <v>23.508928571428555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38</v>
      </c>
      <c r="M28" s="6">
        <f t="shared" si="7"/>
        <v>50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48.857142857142854</v>
      </c>
      <c r="Q28" s="6">
        <f t="shared" si="11"/>
        <v>64.285714285714278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181.75</v>
      </c>
      <c r="CS28" s="7">
        <f t="shared" si="90"/>
        <v>198.6875</v>
      </c>
      <c r="CT28" s="7">
        <f t="shared" si="90"/>
        <v>39</v>
      </c>
      <c r="CU28" s="7">
        <f t="shared" si="90"/>
        <v>45.571428571428569</v>
      </c>
      <c r="CV28" s="5">
        <f t="shared" si="91"/>
        <v>220.75</v>
      </c>
      <c r="CW28" s="6">
        <f t="shared" si="92"/>
        <v>244.25892857142856</v>
      </c>
      <c r="CY28" s="7">
        <v>220.75</v>
      </c>
      <c r="CZ28" s="5">
        <f t="array" ref="CZ28">Summary_UpperBound</f>
        <v>244.25892857142856</v>
      </c>
      <c r="DA28" s="6">
        <f t="shared" si="93"/>
        <v>23.508928571428555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38</v>
      </c>
      <c r="M29" s="6">
        <f t="shared" si="7"/>
        <v>50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48.857142857142854</v>
      </c>
      <c r="Q29" s="6">
        <f t="shared" si="11"/>
        <v>64.285714285714278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181.75</v>
      </c>
      <c r="CS29" s="7">
        <f t="shared" si="90"/>
        <v>198.6875</v>
      </c>
      <c r="CT29" s="7">
        <f t="shared" si="90"/>
        <v>39</v>
      </c>
      <c r="CU29" s="7">
        <f t="shared" si="90"/>
        <v>45.571428571428569</v>
      </c>
      <c r="CV29" s="5">
        <f t="shared" si="91"/>
        <v>220.75</v>
      </c>
      <c r="CW29" s="6">
        <f t="shared" si="92"/>
        <v>244.25892857142856</v>
      </c>
      <c r="CY29" s="7">
        <v>220.75</v>
      </c>
      <c r="CZ29" s="5">
        <f t="array" ref="CZ29">Summary_UpperBound</f>
        <v>244.25892857142856</v>
      </c>
      <c r="DA29" s="6">
        <f t="shared" si="93"/>
        <v>23.508928571428555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38</v>
      </c>
      <c r="M30" s="6">
        <f t="shared" si="7"/>
        <v>50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48.857142857142854</v>
      </c>
      <c r="Q30" s="6">
        <f t="shared" si="11"/>
        <v>64.285714285714278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181.75</v>
      </c>
      <c r="CS30" s="7">
        <f t="shared" si="90"/>
        <v>198.6875</v>
      </c>
      <c r="CT30" s="7">
        <f t="shared" si="90"/>
        <v>39</v>
      </c>
      <c r="CU30" s="7">
        <f t="shared" si="90"/>
        <v>45.571428571428569</v>
      </c>
      <c r="CV30" s="5">
        <f t="shared" si="91"/>
        <v>220.75</v>
      </c>
      <c r="CW30" s="6">
        <f t="shared" si="92"/>
        <v>244.25892857142856</v>
      </c>
      <c r="CY30" s="7">
        <v>220.75</v>
      </c>
      <c r="CZ30" s="5">
        <f t="array" ref="CZ30">Summary_UpperBound</f>
        <v>244.25892857142856</v>
      </c>
      <c r="DA30" s="6">
        <f t="shared" si="93"/>
        <v>23.508928571428555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38</v>
      </c>
      <c r="M31" s="6">
        <f t="shared" si="7"/>
        <v>50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48.857142857142854</v>
      </c>
      <c r="Q31" s="6">
        <f t="shared" si="11"/>
        <v>64.285714285714278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181.75</v>
      </c>
      <c r="CS31" s="7">
        <f t="shared" si="90"/>
        <v>198.6875</v>
      </c>
      <c r="CT31" s="7">
        <f t="shared" si="90"/>
        <v>39</v>
      </c>
      <c r="CU31" s="7">
        <f t="shared" si="90"/>
        <v>45.571428571428569</v>
      </c>
      <c r="CV31" s="5">
        <f t="shared" si="91"/>
        <v>220.75</v>
      </c>
      <c r="CW31" s="6">
        <f t="shared" si="92"/>
        <v>244.25892857142856</v>
      </c>
      <c r="CY31" s="7">
        <v>220.75</v>
      </c>
      <c r="CZ31" s="5">
        <f t="array" ref="CZ31">Summary_UpperBound</f>
        <v>244.25892857142856</v>
      </c>
      <c r="DA31" s="6">
        <f t="shared" si="93"/>
        <v>23.508928571428555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38</v>
      </c>
      <c r="M32" s="6">
        <f t="shared" si="7"/>
        <v>50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48.857142857142854</v>
      </c>
      <c r="Q32" s="6">
        <f t="shared" si="11"/>
        <v>64.285714285714278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181.75</v>
      </c>
      <c r="CS32" s="7">
        <f t="shared" si="90"/>
        <v>198.6875</v>
      </c>
      <c r="CT32" s="7">
        <f t="shared" si="90"/>
        <v>39</v>
      </c>
      <c r="CU32" s="7">
        <f t="shared" si="90"/>
        <v>45.571428571428569</v>
      </c>
      <c r="CV32" s="5">
        <f t="shared" si="91"/>
        <v>220.75</v>
      </c>
      <c r="CW32" s="6">
        <f t="shared" si="92"/>
        <v>244.25892857142856</v>
      </c>
      <c r="CY32" s="7">
        <v>220.75</v>
      </c>
      <c r="CZ32" s="5">
        <f t="array" ref="CZ32">Summary_UpperBound</f>
        <v>244.25892857142856</v>
      </c>
      <c r="DA32" s="6">
        <f t="shared" si="93"/>
        <v>23.508928571428555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38</v>
      </c>
      <c r="M33" s="6">
        <f t="shared" si="7"/>
        <v>50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48.857142857142854</v>
      </c>
      <c r="Q33" s="6">
        <f t="shared" si="11"/>
        <v>64.285714285714278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181.75</v>
      </c>
      <c r="CS33" s="7">
        <f t="shared" si="90"/>
        <v>198.6875</v>
      </c>
      <c r="CT33" s="7">
        <f t="shared" si="90"/>
        <v>39</v>
      </c>
      <c r="CU33" s="7">
        <f t="shared" si="90"/>
        <v>45.571428571428569</v>
      </c>
      <c r="CV33" s="5">
        <f t="shared" si="91"/>
        <v>220.75</v>
      </c>
      <c r="CW33" s="6">
        <f t="shared" si="92"/>
        <v>244.25892857142856</v>
      </c>
      <c r="CY33" s="7">
        <v>220.75</v>
      </c>
      <c r="CZ33" s="5">
        <f t="array" ref="CZ33">Summary_UpperBound</f>
        <v>244.25892857142856</v>
      </c>
      <c r="DA33" s="6">
        <f t="shared" si="93"/>
        <v>23.508928571428555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38</v>
      </c>
      <c r="M34" s="6">
        <f t="shared" si="7"/>
        <v>50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48.857142857142854</v>
      </c>
      <c r="Q34" s="6">
        <f t="shared" si="11"/>
        <v>64.285714285714278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181.75</v>
      </c>
      <c r="CS34" s="7">
        <f t="shared" si="90"/>
        <v>198.6875</v>
      </c>
      <c r="CT34" s="7">
        <f t="shared" si="90"/>
        <v>39</v>
      </c>
      <c r="CU34" s="7">
        <f t="shared" si="90"/>
        <v>45.571428571428569</v>
      </c>
      <c r="CV34" s="5">
        <f t="shared" si="91"/>
        <v>220.75</v>
      </c>
      <c r="CW34" s="6">
        <f t="shared" si="92"/>
        <v>244.25892857142856</v>
      </c>
      <c r="CY34" s="7">
        <v>220.75</v>
      </c>
      <c r="CZ34" s="5">
        <f t="array" ref="CZ34">Summary_UpperBound</f>
        <v>244.25892857142856</v>
      </c>
      <c r="DA34" s="6">
        <f t="shared" si="93"/>
        <v>23.508928571428555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38</v>
      </c>
      <c r="M35" s="6">
        <f t="shared" si="7"/>
        <v>50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48.857142857142854</v>
      </c>
      <c r="Q35" s="6">
        <f t="shared" si="11"/>
        <v>64.285714285714278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181.75</v>
      </c>
      <c r="CS35" s="7">
        <f t="shared" si="90"/>
        <v>198.6875</v>
      </c>
      <c r="CT35" s="7">
        <f t="shared" si="90"/>
        <v>39</v>
      </c>
      <c r="CU35" s="7">
        <f t="shared" si="90"/>
        <v>45.571428571428569</v>
      </c>
      <c r="CV35" s="5">
        <f t="shared" si="91"/>
        <v>220.75</v>
      </c>
      <c r="CW35" s="6">
        <f t="shared" si="92"/>
        <v>244.25892857142856</v>
      </c>
      <c r="CY35" s="7">
        <v>220.75</v>
      </c>
      <c r="CZ35" s="5">
        <f t="array" ref="CZ35">Summary_UpperBound</f>
        <v>244.25892857142856</v>
      </c>
      <c r="DA35" s="6">
        <f t="shared" si="93"/>
        <v>23.508928571428555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38</v>
      </c>
      <c r="M36" s="6">
        <f t="shared" si="7"/>
        <v>50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48.857142857142854</v>
      </c>
      <c r="Q36" s="6">
        <f t="shared" si="11"/>
        <v>64.285714285714278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181.75</v>
      </c>
      <c r="CS36" s="7">
        <f t="shared" si="90"/>
        <v>198.6875</v>
      </c>
      <c r="CT36" s="7">
        <f t="shared" si="90"/>
        <v>39</v>
      </c>
      <c r="CU36" s="7">
        <f t="shared" si="90"/>
        <v>45.571428571428569</v>
      </c>
      <c r="CV36" s="5">
        <f t="shared" si="91"/>
        <v>220.75</v>
      </c>
      <c r="CW36" s="6">
        <f t="shared" si="92"/>
        <v>244.25892857142856</v>
      </c>
      <c r="CY36" s="7">
        <v>220.75</v>
      </c>
      <c r="CZ36" s="5">
        <f t="array" ref="CZ36">Summary_UpperBound</f>
        <v>244.25892857142856</v>
      </c>
      <c r="DA36" s="6">
        <f t="shared" si="93"/>
        <v>23.508928571428555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38</v>
      </c>
      <c r="M37" s="6">
        <f t="shared" si="7"/>
        <v>50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48.857142857142854</v>
      </c>
      <c r="Q37" s="6">
        <f t="shared" si="11"/>
        <v>64.285714285714278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181.75</v>
      </c>
      <c r="CS37" s="7">
        <f t="shared" si="90"/>
        <v>198.6875</v>
      </c>
      <c r="CT37" s="7">
        <f t="shared" si="90"/>
        <v>39</v>
      </c>
      <c r="CU37" s="7">
        <f t="shared" si="90"/>
        <v>45.571428571428569</v>
      </c>
      <c r="CV37" s="5">
        <f t="shared" si="91"/>
        <v>220.75</v>
      </c>
      <c r="CW37" s="6">
        <f t="shared" si="92"/>
        <v>244.25892857142856</v>
      </c>
      <c r="CY37" s="7">
        <v>220.75</v>
      </c>
      <c r="CZ37" s="5">
        <f t="array" ref="CZ37">Summary_UpperBound</f>
        <v>244.25892857142856</v>
      </c>
      <c r="DA37" s="6">
        <f t="shared" si="93"/>
        <v>23.508928571428555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38</v>
      </c>
      <c r="M38" s="6">
        <f t="shared" si="7"/>
        <v>50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48.857142857142854</v>
      </c>
      <c r="Q38" s="6">
        <f t="shared" si="11"/>
        <v>64.285714285714278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181.75</v>
      </c>
      <c r="CS38" s="7">
        <f t="shared" si="90"/>
        <v>198.6875</v>
      </c>
      <c r="CT38" s="7">
        <f t="shared" si="90"/>
        <v>39</v>
      </c>
      <c r="CU38" s="7">
        <f t="shared" si="90"/>
        <v>45.571428571428569</v>
      </c>
      <c r="CV38" s="5">
        <f t="shared" si="91"/>
        <v>220.75</v>
      </c>
      <c r="CW38" s="6">
        <f t="shared" si="92"/>
        <v>244.25892857142856</v>
      </c>
      <c r="CY38" s="7">
        <v>220.75</v>
      </c>
      <c r="CZ38" s="5">
        <f t="array" ref="CZ38">Summary_UpperBound</f>
        <v>244.25892857142856</v>
      </c>
      <c r="DA38" s="6">
        <f t="shared" si="93"/>
        <v>23.508928571428555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38</v>
      </c>
      <c r="M39" s="6">
        <f t="shared" si="7"/>
        <v>50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48.857142857142854</v>
      </c>
      <c r="Q39" s="6">
        <f t="shared" si="11"/>
        <v>64.285714285714278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181.75</v>
      </c>
      <c r="CS39" s="7">
        <f t="shared" si="90"/>
        <v>198.6875</v>
      </c>
      <c r="CT39" s="7">
        <f t="shared" si="90"/>
        <v>39</v>
      </c>
      <c r="CU39" s="7">
        <f t="shared" si="90"/>
        <v>45.571428571428569</v>
      </c>
      <c r="CV39" s="5">
        <f t="shared" si="91"/>
        <v>220.75</v>
      </c>
      <c r="CW39" s="6">
        <f t="shared" si="92"/>
        <v>244.25892857142856</v>
      </c>
      <c r="CY39" s="7">
        <v>220.75</v>
      </c>
      <c r="CZ39" s="5">
        <f t="array" ref="CZ39">Summary_UpperBound</f>
        <v>244.25892857142856</v>
      </c>
      <c r="DA39" s="6">
        <f t="shared" si="93"/>
        <v>23.508928571428555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38</v>
      </c>
      <c r="M40" s="6">
        <f t="shared" si="7"/>
        <v>50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48.857142857142854</v>
      </c>
      <c r="Q40" s="6">
        <f t="shared" si="11"/>
        <v>64.285714285714278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181.75</v>
      </c>
      <c r="CS40" s="7">
        <f t="shared" si="90"/>
        <v>198.6875</v>
      </c>
      <c r="CT40" s="7">
        <f t="shared" si="90"/>
        <v>39</v>
      </c>
      <c r="CU40" s="7">
        <f t="shared" si="90"/>
        <v>45.571428571428569</v>
      </c>
      <c r="CV40" s="5">
        <f t="shared" si="91"/>
        <v>220.75</v>
      </c>
      <c r="CW40" s="6">
        <f t="shared" si="92"/>
        <v>244.25892857142856</v>
      </c>
      <c r="CY40" s="7">
        <v>220.75</v>
      </c>
      <c r="CZ40" s="5">
        <f t="array" ref="CZ40">Summary_UpperBound</f>
        <v>244.25892857142856</v>
      </c>
      <c r="DA40" s="6">
        <f t="shared" si="93"/>
        <v>23.508928571428555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38</v>
      </c>
      <c r="M41" s="6">
        <f t="shared" si="7"/>
        <v>50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48.857142857142854</v>
      </c>
      <c r="Q41" s="6">
        <f t="shared" si="11"/>
        <v>64.285714285714278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181.75</v>
      </c>
      <c r="CS41" s="7">
        <f t="shared" si="90"/>
        <v>198.6875</v>
      </c>
      <c r="CT41" s="7">
        <f t="shared" si="90"/>
        <v>39</v>
      </c>
      <c r="CU41" s="7">
        <f t="shared" si="90"/>
        <v>45.571428571428569</v>
      </c>
      <c r="CV41" s="5">
        <f t="shared" si="91"/>
        <v>220.75</v>
      </c>
      <c r="CW41" s="6">
        <f t="shared" si="92"/>
        <v>244.25892857142856</v>
      </c>
      <c r="CY41" s="7">
        <v>220.75</v>
      </c>
      <c r="CZ41" s="5">
        <f t="array" ref="CZ41">Summary_UpperBound</f>
        <v>244.25892857142856</v>
      </c>
      <c r="DA41" s="6">
        <f t="shared" si="93"/>
        <v>23.508928571428555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38</v>
      </c>
      <c r="M42" s="6">
        <f t="shared" si="7"/>
        <v>50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48.857142857142854</v>
      </c>
      <c r="Q42" s="6">
        <f t="shared" si="11"/>
        <v>64.285714285714278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181.75</v>
      </c>
      <c r="CS42" s="7">
        <f t="shared" si="90"/>
        <v>198.6875</v>
      </c>
      <c r="CT42" s="7">
        <f t="shared" si="90"/>
        <v>39</v>
      </c>
      <c r="CU42" s="7">
        <f t="shared" si="90"/>
        <v>45.571428571428569</v>
      </c>
      <c r="CV42" s="5">
        <f t="shared" si="91"/>
        <v>220.75</v>
      </c>
      <c r="CW42" s="6">
        <f t="shared" si="92"/>
        <v>244.25892857142856</v>
      </c>
      <c r="CY42" s="7">
        <v>220.75</v>
      </c>
      <c r="CZ42" s="5">
        <f t="array" ref="CZ42">Summary_UpperBound</f>
        <v>244.25892857142856</v>
      </c>
      <c r="DA42" s="6">
        <f t="shared" si="93"/>
        <v>23.508928571428555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38</v>
      </c>
      <c r="M43" s="6">
        <f t="shared" si="7"/>
        <v>50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48.857142857142854</v>
      </c>
      <c r="Q43" s="6">
        <f t="shared" si="11"/>
        <v>64.285714285714278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181.75</v>
      </c>
      <c r="CS43" s="7">
        <f t="shared" si="90"/>
        <v>198.6875</v>
      </c>
      <c r="CT43" s="7">
        <f t="shared" si="90"/>
        <v>39</v>
      </c>
      <c r="CU43" s="7">
        <f t="shared" si="90"/>
        <v>45.571428571428569</v>
      </c>
      <c r="CV43" s="5">
        <f t="shared" si="91"/>
        <v>220.75</v>
      </c>
      <c r="CW43" s="6">
        <f t="shared" si="92"/>
        <v>244.25892857142856</v>
      </c>
      <c r="CY43" s="7">
        <v>220.75</v>
      </c>
      <c r="CZ43" s="5">
        <f t="array" ref="CZ43">Summary_UpperBound</f>
        <v>244.25892857142856</v>
      </c>
      <c r="DA43" s="6">
        <f t="shared" si="93"/>
        <v>23.508928571428555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38</v>
      </c>
      <c r="M44" s="6">
        <f t="shared" si="7"/>
        <v>50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48.857142857142854</v>
      </c>
      <c r="Q44" s="6">
        <f t="shared" si="11"/>
        <v>64.285714285714278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181.75</v>
      </c>
      <c r="CS44" s="7">
        <f t="shared" si="90"/>
        <v>198.6875</v>
      </c>
      <c r="CT44" s="7">
        <f t="shared" si="90"/>
        <v>39</v>
      </c>
      <c r="CU44" s="7">
        <f t="shared" si="90"/>
        <v>45.571428571428569</v>
      </c>
      <c r="CV44" s="5">
        <f t="shared" si="91"/>
        <v>220.75</v>
      </c>
      <c r="CW44" s="6">
        <f t="shared" si="92"/>
        <v>244.25892857142856</v>
      </c>
      <c r="CY44" s="7">
        <v>220.75</v>
      </c>
      <c r="CZ44" s="5">
        <f t="array" ref="CZ44">Summary_UpperBound</f>
        <v>244.25892857142856</v>
      </c>
      <c r="DA44" s="6">
        <f t="shared" si="93"/>
        <v>23.508928571428555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38</v>
      </c>
      <c r="M45" s="6">
        <f t="shared" si="7"/>
        <v>50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48.857142857142854</v>
      </c>
      <c r="Q45" s="6">
        <f t="shared" si="11"/>
        <v>64.285714285714278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181.75</v>
      </c>
      <c r="CS45" s="7">
        <f t="shared" si="90"/>
        <v>198.6875</v>
      </c>
      <c r="CT45" s="7">
        <f t="shared" si="90"/>
        <v>39</v>
      </c>
      <c r="CU45" s="7">
        <f t="shared" si="90"/>
        <v>45.571428571428569</v>
      </c>
      <c r="CV45" s="5">
        <f t="shared" si="91"/>
        <v>220.75</v>
      </c>
      <c r="CW45" s="6">
        <f t="shared" si="92"/>
        <v>244.25892857142856</v>
      </c>
      <c r="CY45" s="7">
        <v>220.75</v>
      </c>
      <c r="CZ45" s="5">
        <f t="array" ref="CZ45">Summary_UpperBound</f>
        <v>244.25892857142856</v>
      </c>
      <c r="DA45" s="6">
        <f t="shared" si="93"/>
        <v>23.508928571428555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38</v>
      </c>
      <c r="M46" s="6">
        <f t="shared" si="7"/>
        <v>50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48.857142857142854</v>
      </c>
      <c r="Q46" s="6">
        <f t="shared" si="11"/>
        <v>64.285714285714278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181.75</v>
      </c>
      <c r="CS46" s="7">
        <f t="shared" si="90"/>
        <v>198.6875</v>
      </c>
      <c r="CT46" s="7">
        <f t="shared" si="90"/>
        <v>39</v>
      </c>
      <c r="CU46" s="7">
        <f t="shared" si="90"/>
        <v>45.571428571428569</v>
      </c>
      <c r="CV46" s="5">
        <f t="shared" si="91"/>
        <v>220.75</v>
      </c>
      <c r="CW46" s="6">
        <f t="shared" si="92"/>
        <v>244.25892857142856</v>
      </c>
      <c r="CY46" s="7">
        <v>220.75</v>
      </c>
      <c r="CZ46" s="5">
        <f t="array" ref="CZ46">Summary_UpperBound</f>
        <v>244.25892857142856</v>
      </c>
      <c r="DA46" s="6">
        <f t="shared" si="93"/>
        <v>23.508928571428555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38</v>
      </c>
      <c r="M47" s="6">
        <f t="shared" si="7"/>
        <v>50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48.857142857142854</v>
      </c>
      <c r="Q47" s="6">
        <f t="shared" si="11"/>
        <v>64.285714285714278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181.75</v>
      </c>
      <c r="CS47" s="7">
        <f t="shared" si="90"/>
        <v>198.6875</v>
      </c>
      <c r="CT47" s="7">
        <f t="shared" si="90"/>
        <v>39</v>
      </c>
      <c r="CU47" s="7">
        <f t="shared" si="90"/>
        <v>45.571428571428569</v>
      </c>
      <c r="CV47" s="5">
        <f t="shared" si="91"/>
        <v>220.75</v>
      </c>
      <c r="CW47" s="6">
        <f t="shared" si="92"/>
        <v>244.25892857142856</v>
      </c>
      <c r="CY47" s="7">
        <v>220.75</v>
      </c>
      <c r="CZ47" s="5">
        <f t="array" ref="CZ47">Summary_UpperBound</f>
        <v>244.25892857142856</v>
      </c>
      <c r="DA47" s="6">
        <f t="shared" si="93"/>
        <v>23.508928571428555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38</v>
      </c>
      <c r="M48" s="6">
        <f t="shared" si="7"/>
        <v>50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48.857142857142854</v>
      </c>
      <c r="Q48" s="6">
        <f t="shared" si="11"/>
        <v>64.285714285714278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181.75</v>
      </c>
      <c r="CS48" s="7">
        <f t="shared" si="90"/>
        <v>198.6875</v>
      </c>
      <c r="CT48" s="7">
        <f t="shared" si="90"/>
        <v>39</v>
      </c>
      <c r="CU48" s="7">
        <f t="shared" si="90"/>
        <v>45.571428571428569</v>
      </c>
      <c r="CV48" s="5">
        <f t="shared" si="91"/>
        <v>220.75</v>
      </c>
      <c r="CW48" s="6">
        <f t="shared" si="92"/>
        <v>244.25892857142856</v>
      </c>
      <c r="CY48" s="7">
        <v>220.75</v>
      </c>
      <c r="CZ48" s="5">
        <f t="array" ref="CZ48">Summary_UpperBound</f>
        <v>244.25892857142856</v>
      </c>
      <c r="DA48" s="6">
        <f t="shared" si="93"/>
        <v>23.508928571428555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38</v>
      </c>
      <c r="M49" s="6">
        <f t="shared" si="7"/>
        <v>50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48.857142857142854</v>
      </c>
      <c r="Q49" s="6">
        <f t="shared" si="11"/>
        <v>64.285714285714278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181.75</v>
      </c>
      <c r="CS49" s="7">
        <f t="shared" si="90"/>
        <v>198.6875</v>
      </c>
      <c r="CT49" s="7">
        <f t="shared" si="90"/>
        <v>39</v>
      </c>
      <c r="CU49" s="7">
        <f t="shared" si="90"/>
        <v>45.571428571428569</v>
      </c>
      <c r="CV49" s="5">
        <f t="shared" si="91"/>
        <v>220.75</v>
      </c>
      <c r="CW49" s="6">
        <f t="shared" si="92"/>
        <v>244.25892857142856</v>
      </c>
      <c r="CY49" s="7">
        <v>220.75</v>
      </c>
      <c r="CZ49" s="5">
        <f t="array" ref="CZ49">Summary_UpperBound</f>
        <v>244.25892857142856</v>
      </c>
      <c r="DA49" s="6">
        <f t="shared" si="93"/>
        <v>23.508928571428555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38</v>
      </c>
      <c r="M50" s="6">
        <f t="shared" si="7"/>
        <v>50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48.857142857142854</v>
      </c>
      <c r="Q50" s="6">
        <f t="shared" si="11"/>
        <v>64.285714285714278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181.75</v>
      </c>
      <c r="CS50" s="7">
        <f t="shared" si="90"/>
        <v>198.6875</v>
      </c>
      <c r="CT50" s="7">
        <f t="shared" si="90"/>
        <v>39</v>
      </c>
      <c r="CU50" s="7">
        <f t="shared" si="90"/>
        <v>45.571428571428569</v>
      </c>
      <c r="CV50" s="5">
        <f t="shared" si="91"/>
        <v>220.75</v>
      </c>
      <c r="CW50" s="6">
        <f t="shared" si="92"/>
        <v>244.25892857142856</v>
      </c>
      <c r="CY50" s="7">
        <v>220.75</v>
      </c>
      <c r="CZ50" s="5">
        <f t="array" ref="CZ50">Summary_UpperBound</f>
        <v>244.25892857142856</v>
      </c>
      <c r="DA50" s="6">
        <f t="shared" si="93"/>
        <v>23.508928571428555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38</v>
      </c>
      <c r="M51" s="6">
        <f t="shared" si="7"/>
        <v>50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48.857142857142854</v>
      </c>
      <c r="Q51" s="6">
        <f t="shared" si="11"/>
        <v>64.285714285714278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181.75</v>
      </c>
      <c r="CS51" s="7">
        <f t="shared" si="90"/>
        <v>198.6875</v>
      </c>
      <c r="CT51" s="7">
        <f t="shared" si="90"/>
        <v>39</v>
      </c>
      <c r="CU51" s="7">
        <f t="shared" si="90"/>
        <v>45.571428571428569</v>
      </c>
      <c r="CV51" s="5">
        <f t="shared" si="91"/>
        <v>220.75</v>
      </c>
      <c r="CW51" s="6">
        <f t="shared" si="92"/>
        <v>244.25892857142856</v>
      </c>
      <c r="CY51" s="7">
        <v>220.75</v>
      </c>
      <c r="CZ51" s="5">
        <f t="array" ref="CZ51">Summary_UpperBound</f>
        <v>244.25892857142856</v>
      </c>
      <c r="DA51" s="6">
        <f t="shared" si="93"/>
        <v>23.508928571428555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38</v>
      </c>
      <c r="M52" s="6">
        <f t="shared" si="7"/>
        <v>50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48.857142857142854</v>
      </c>
      <c r="Q52" s="6">
        <f t="shared" si="11"/>
        <v>64.285714285714278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181.75</v>
      </c>
      <c r="CS52" s="7">
        <f t="shared" si="90"/>
        <v>198.6875</v>
      </c>
      <c r="CT52" s="7">
        <f t="shared" si="90"/>
        <v>39</v>
      </c>
      <c r="CU52" s="7">
        <f t="shared" si="90"/>
        <v>45.571428571428569</v>
      </c>
      <c r="CV52" s="5">
        <f t="shared" si="91"/>
        <v>220.75</v>
      </c>
      <c r="CW52" s="6">
        <f t="shared" si="92"/>
        <v>244.25892857142856</v>
      </c>
      <c r="CY52" s="7">
        <v>220.75</v>
      </c>
      <c r="CZ52" s="5">
        <f t="array" ref="CZ52">Summary_UpperBound</f>
        <v>244.25892857142856</v>
      </c>
      <c r="DA52" s="6">
        <f t="shared" si="93"/>
        <v>23.508928571428555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38</v>
      </c>
      <c r="M53" s="6">
        <f t="shared" si="7"/>
        <v>50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48.857142857142854</v>
      </c>
      <c r="Q53" s="6">
        <f t="shared" si="11"/>
        <v>64.285714285714278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181.75</v>
      </c>
      <c r="CS53" s="7">
        <f t="shared" si="90"/>
        <v>198.6875</v>
      </c>
      <c r="CT53" s="7">
        <f t="shared" si="90"/>
        <v>39</v>
      </c>
      <c r="CU53" s="7">
        <f t="shared" si="90"/>
        <v>45.571428571428569</v>
      </c>
      <c r="CV53" s="5">
        <f t="shared" si="91"/>
        <v>220.75</v>
      </c>
      <c r="CW53" s="6">
        <f t="shared" si="92"/>
        <v>244.25892857142856</v>
      </c>
      <c r="CY53" s="7">
        <v>220.75</v>
      </c>
      <c r="CZ53" s="5">
        <f t="array" ref="CZ53">Summary_UpperBound</f>
        <v>244.25892857142856</v>
      </c>
      <c r="DA53" s="6">
        <f t="shared" si="93"/>
        <v>23.508928571428555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38</v>
      </c>
      <c r="M54" s="6">
        <f t="shared" si="7"/>
        <v>50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48.857142857142854</v>
      </c>
      <c r="Q54" s="6">
        <f t="shared" si="11"/>
        <v>64.285714285714278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181.75</v>
      </c>
      <c r="CS54" s="7">
        <f t="shared" si="90"/>
        <v>198.6875</v>
      </c>
      <c r="CT54" s="7">
        <f t="shared" si="90"/>
        <v>39</v>
      </c>
      <c r="CU54" s="7">
        <f t="shared" si="90"/>
        <v>45.571428571428569</v>
      </c>
      <c r="CV54" s="5">
        <f t="shared" si="91"/>
        <v>220.75</v>
      </c>
      <c r="CW54" s="6">
        <f t="shared" si="92"/>
        <v>244.25892857142856</v>
      </c>
      <c r="CY54" s="7">
        <v>220.75</v>
      </c>
      <c r="CZ54" s="5">
        <f t="array" ref="CZ54">Summary_UpperBound</f>
        <v>244.25892857142856</v>
      </c>
      <c r="DA54" s="6">
        <f t="shared" si="93"/>
        <v>23.508928571428555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38</v>
      </c>
      <c r="M55" s="6">
        <f t="shared" si="7"/>
        <v>50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48.857142857142854</v>
      </c>
      <c r="Q55" s="6">
        <f t="shared" si="11"/>
        <v>64.285714285714278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181.75</v>
      </c>
      <c r="CS55" s="7">
        <f t="shared" si="90"/>
        <v>198.6875</v>
      </c>
      <c r="CT55" s="7">
        <f t="shared" si="90"/>
        <v>39</v>
      </c>
      <c r="CU55" s="7">
        <f t="shared" si="90"/>
        <v>45.571428571428569</v>
      </c>
      <c r="CV55" s="5">
        <f t="shared" si="91"/>
        <v>220.75</v>
      </c>
      <c r="CW55" s="6">
        <f t="shared" si="92"/>
        <v>244.25892857142856</v>
      </c>
      <c r="CY55" s="7">
        <v>220.75</v>
      </c>
      <c r="CZ55" s="5">
        <f t="array" ref="CZ55">Summary_UpperBound</f>
        <v>244.25892857142856</v>
      </c>
      <c r="DA55" s="6">
        <f t="shared" si="93"/>
        <v>23.508928571428555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38</v>
      </c>
      <c r="M56" s="10">
        <f t="shared" si="7"/>
        <v>50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48.857142857142854</v>
      </c>
      <c r="Q56" s="10">
        <f t="shared" si="11"/>
        <v>64.285714285714278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181.75</v>
      </c>
      <c r="CS56" s="7">
        <f t="shared" si="90"/>
        <v>198.6875</v>
      </c>
      <c r="CT56" s="7">
        <f t="shared" si="90"/>
        <v>39</v>
      </c>
      <c r="CU56" s="7">
        <f t="shared" si="90"/>
        <v>45.571428571428569</v>
      </c>
      <c r="CV56" s="9">
        <f t="shared" si="91"/>
        <v>220.75</v>
      </c>
      <c r="CW56" s="10">
        <f t="shared" si="92"/>
        <v>244.25892857142856</v>
      </c>
      <c r="CY56" s="8">
        <v>220.75</v>
      </c>
      <c r="CZ56" s="9">
        <f t="array" ref="CZ56">Summary_UpperBound</f>
        <v>244.25892857142856</v>
      </c>
      <c r="DA56" s="10">
        <f t="shared" si="93"/>
        <v>23.508928571428555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128</v>
      </c>
      <c r="E58" s="14"/>
      <c r="F58" s="5"/>
      <c r="G58" s="14" t="s">
        <v>44</v>
      </c>
      <c r="H58" s="5"/>
      <c r="I58" s="14" t="s">
        <v>44</v>
      </c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19" t="s">
        <v>131</v>
      </c>
      <c r="CS58" s="19" t="s">
        <v>131</v>
      </c>
      <c r="CT58" s="19" t="s">
        <v>131</v>
      </c>
      <c r="CU58" s="19" t="s">
        <v>131</v>
      </c>
      <c r="CV58" s="19" t="s">
        <v>131</v>
      </c>
      <c r="CW58" s="19" t="s">
        <v>131</v>
      </c>
    </row>
    <row r="59" spans="2:105" x14ac:dyDescent="0.35">
      <c r="B59" s="14"/>
      <c r="E59" s="14" t="s">
        <v>129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38</v>
      </c>
      <c r="M59" s="5">
        <f>AVERAGE(M5:M56)-L59</f>
        <v>12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48.85714285714284</v>
      </c>
      <c r="Q59" s="5">
        <f>AVERAGE(Q5:Q56)-P59</f>
        <v>15.428571428571395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135</v>
      </c>
      <c r="CZ59" t="s">
        <v>136</v>
      </c>
      <c r="DA59" t="s">
        <v>137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130</v>
      </c>
      <c r="E62" s="14"/>
      <c r="F62" s="5" t="s">
        <v>60</v>
      </c>
      <c r="G62" s="5" t="s">
        <v>44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48.85714285714284</v>
      </c>
      <c r="G64" s="5">
        <f t="array" ref="G64">INDEX($F$59:$CW$60,1,MATCH(1,($E64=$F$1:$CQ$1)*($G$62=$F$58:$CQ$58)*(Summary!$B$5='Required Capacity (Hide)'!$F$2:$CQ$2),0))</f>
        <v>15.428571428571395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141</v>
      </c>
    </row>
    <row r="2" spans="1:46" ht="24" thickBot="1" x14ac:dyDescent="0.6">
      <c r="A2" s="28"/>
    </row>
    <row r="3" spans="1:46" ht="15" thickBot="1" x14ac:dyDescent="0.4">
      <c r="B3" s="63" t="s">
        <v>124</v>
      </c>
      <c r="Y3" s="63" t="s">
        <v>125</v>
      </c>
    </row>
    <row r="5" spans="1:46" ht="15" thickBot="1" x14ac:dyDescent="0.4"/>
    <row r="6" spans="1:46" ht="84.5" thickBot="1" x14ac:dyDescent="0.4">
      <c r="B6" s="106" t="s">
        <v>106</v>
      </c>
      <c r="C6" s="107" t="str" cm="1">
        <f t="array" ref="C6">INDEX('Data Validation (Hide)'!$B$2:$B$16,COLUMN(A1),1)</f>
        <v>20 Group Sessions</v>
      </c>
      <c r="D6" s="108" t="str" cm="1">
        <f t="array" ref="D6">INDEX('Data Validation (Hide)'!$B$2:$B$16,COLUMN(B1),1)</f>
        <v>40 Group Session</v>
      </c>
      <c r="E6" s="108" t="str" cm="1">
        <f t="array" ref="E6">INDEX('Data Validation (Hide)'!$B$2:$B$16,COLUMN(C1),1)</f>
        <v>8 Group Session</v>
      </c>
      <c r="F6" s="108" t="str" cm="1">
        <f t="array" ref="F6">INDEX('Data Validation (Hide)'!$B$2:$B$16,COLUMN(D1),1)</f>
        <v>20 Individual</v>
      </c>
      <c r="G6" s="108" t="str" cm="1">
        <f t="array" ref="G6">INDEX('Data Validation (Hide)'!$B$2:$B$16,COLUMN(E1),1)</f>
        <v>40 Individual</v>
      </c>
      <c r="H6" s="108" t="str" cm="1">
        <f t="array" ref="H6">INDEX('Data Validation (Hide)'!$B$2:$B$16,COLUMN(F1),1)</f>
        <v>Caseload 6</v>
      </c>
      <c r="I6" s="108" t="str" cm="1">
        <f t="array" ref="I6">INDEX('Data Validation (Hide)'!$B$2:$B$16,COLUMN(G1),1)</f>
        <v>Caseload 7</v>
      </c>
      <c r="J6" s="108" t="str" cm="1">
        <f t="array" ref="J6">INDEX('Data Validation (Hide)'!$B$2:$B$16,COLUMN(H1),1)</f>
        <v>Caseload 8</v>
      </c>
      <c r="K6" s="108" t="str" cm="1">
        <f t="array" ref="K6">INDEX('Data Validation (Hide)'!$B$2:$B$16,COLUMN(I1),1)</f>
        <v>Caseload 9</v>
      </c>
      <c r="L6" s="108" t="str" cm="1">
        <f t="array" ref="L6">INDEX('Data Validation (Hide)'!$B$2:$B$16,COLUMN(J1),1)</f>
        <v>Caseload 10</v>
      </c>
      <c r="M6" s="108" t="str" cm="1">
        <f t="array" ref="M6">INDEX('Data Validation (Hide)'!$B$2:$B$16,COLUMN(K1),1)</f>
        <v>Caseload 11</v>
      </c>
      <c r="N6" s="108" t="str" cm="1">
        <f t="array" ref="N6">INDEX('Data Validation (Hide)'!$B$2:$B$16,COLUMN(L1),1)</f>
        <v>Caseload 12</v>
      </c>
      <c r="O6" s="108" t="str" cm="1">
        <f t="array" ref="O6">INDEX('Data Validation (Hide)'!$B$2:$B$16,COLUMN(M1),1)</f>
        <v>Caseload 13</v>
      </c>
      <c r="P6" s="108" t="str" cm="1">
        <f t="array" ref="P6">INDEX('Data Validation (Hide)'!$B$2:$B$16,COLUMN(N1),1)</f>
        <v>Caseload 14</v>
      </c>
      <c r="Q6" s="109" t="str" cm="1">
        <f t="array" ref="Q6">INDEX('Data Validation (Hide)'!$B$2:$B$16,COLUMN(O1),1)</f>
        <v>Caseload 15</v>
      </c>
      <c r="R6" s="63" t="s">
        <v>66</v>
      </c>
      <c r="S6" s="106" t="s">
        <v>67</v>
      </c>
      <c r="T6" s="106" t="s">
        <v>68</v>
      </c>
      <c r="U6" s="106" t="s">
        <v>69</v>
      </c>
      <c r="V6" s="106" t="s">
        <v>70</v>
      </c>
      <c r="W6" s="106" t="s">
        <v>71</v>
      </c>
      <c r="X6" s="5"/>
      <c r="Y6" s="106" t="s">
        <v>106</v>
      </c>
      <c r="Z6" s="110" t="str" cm="1">
        <f t="array" ref="Z6">INDEX('Data Validation (Hide)'!$B$2:$B$16,COLUMN(A1),1)</f>
        <v>20 Group Sessions</v>
      </c>
      <c r="AA6" s="111" t="str" cm="1">
        <f t="array" ref="AA6">INDEX('Data Validation (Hide)'!$B$2:$B$16,COLUMN(B1),1)</f>
        <v>40 Group Session</v>
      </c>
      <c r="AB6" s="111" t="str" cm="1">
        <f t="array" ref="AB6">INDEX('Data Validation (Hide)'!$B$2:$B$16,COLUMN(C1),1)</f>
        <v>8 Group Session</v>
      </c>
      <c r="AC6" s="111" t="str" cm="1">
        <f t="array" ref="AC6">INDEX('Data Validation (Hide)'!$B$2:$B$16,COLUMN(D1),1)</f>
        <v>20 Individual</v>
      </c>
      <c r="AD6" s="111" t="str" cm="1">
        <f t="array" ref="AD6">INDEX('Data Validation (Hide)'!$B$2:$B$16,COLUMN(E1),1)</f>
        <v>40 Individual</v>
      </c>
      <c r="AE6" s="111" t="str" cm="1">
        <f t="array" ref="AE6">INDEX('Data Validation (Hide)'!$B$2:$B$16,COLUMN(F1),1)</f>
        <v>Caseload 6</v>
      </c>
      <c r="AF6" s="111" t="str" cm="1">
        <f t="array" ref="AF6">INDEX('Data Validation (Hide)'!$B$2:$B$16,COLUMN(G1),1)</f>
        <v>Caseload 7</v>
      </c>
      <c r="AG6" s="111" t="str" cm="1">
        <f t="array" ref="AG6">INDEX('Data Validation (Hide)'!$B$2:$B$16,COLUMN(H1),1)</f>
        <v>Caseload 8</v>
      </c>
      <c r="AH6" s="111" t="str" cm="1">
        <f t="array" ref="AH6">INDEX('Data Validation (Hide)'!$B$2:$B$16,COLUMN(I1),1)</f>
        <v>Caseload 9</v>
      </c>
      <c r="AI6" s="111" t="str" cm="1">
        <f t="array" ref="AI6">INDEX('Data Validation (Hide)'!$B$2:$B$16,COLUMN(J1),1)</f>
        <v>Caseload 10</v>
      </c>
      <c r="AJ6" s="111" t="str" cm="1">
        <f t="array" ref="AJ6">INDEX('Data Validation (Hide)'!$B$2:$B$16,COLUMN(K1),1)</f>
        <v>Caseload 11</v>
      </c>
      <c r="AK6" s="111" t="str" cm="1">
        <f t="array" ref="AK6">INDEX('Data Validation (Hide)'!$B$2:$B$16,COLUMN(L1),1)</f>
        <v>Caseload 12</v>
      </c>
      <c r="AL6" s="111" t="str" cm="1">
        <f t="array" ref="AL6">INDEX('Data Validation (Hide)'!$B$2:$B$16,COLUMN(M1),1)</f>
        <v>Caseload 13</v>
      </c>
      <c r="AM6" s="111" t="str" cm="1">
        <f t="array" ref="AM6">INDEX('Data Validation (Hide)'!$B$2:$B$16,COLUMN(N1),1)</f>
        <v>Caseload 14</v>
      </c>
      <c r="AN6" s="112" t="str" cm="1">
        <f t="array" ref="AN6">INDEX('Data Validation (Hide)'!$B$2:$B$16,COLUMN(O1),1)</f>
        <v>Caseload 15</v>
      </c>
      <c r="AO6" s="63" t="s">
        <v>66</v>
      </c>
      <c r="AP6" s="106" t="s">
        <v>67</v>
      </c>
      <c r="AQ6" s="106" t="s">
        <v>68</v>
      </c>
      <c r="AR6" s="106" t="s">
        <v>69</v>
      </c>
      <c r="AS6" s="106" t="s">
        <v>70</v>
      </c>
      <c r="AT6" s="106" t="s">
        <v>71</v>
      </c>
    </row>
    <row r="7" spans="1:46" x14ac:dyDescent="0.35">
      <c r="B7" s="11" t="s">
        <v>151</v>
      </c>
      <c r="C7" s="3" t="s">
        <v>72</v>
      </c>
      <c r="D7" s="4" t="s">
        <v>154</v>
      </c>
      <c r="E7" s="4" t="s">
        <v>154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155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153</v>
      </c>
      <c r="C8" s="7"/>
      <c r="D8" s="5"/>
      <c r="E8" s="5"/>
      <c r="F8" s="5" t="s">
        <v>154</v>
      </c>
      <c r="G8" s="5" t="s">
        <v>154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73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124</v>
      </c>
    </row>
    <row r="2" spans="1:101" x14ac:dyDescent="0.35">
      <c r="A2" t="s">
        <v>75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74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16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76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53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131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145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51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131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145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64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131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145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125</v>
      </c>
    </row>
    <row r="132" spans="1:101" x14ac:dyDescent="0.35">
      <c r="A132" t="s">
        <v>75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74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16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76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53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131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145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51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131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145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64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131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145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107</v>
      </c>
      <c r="B259" t="s">
        <v>132</v>
      </c>
      <c r="C259" t="s">
        <v>132</v>
      </c>
      <c r="D259" t="s">
        <v>132</v>
      </c>
      <c r="E259" t="s">
        <v>133</v>
      </c>
      <c r="F259" t="s">
        <v>133</v>
      </c>
      <c r="G259" t="s">
        <v>133</v>
      </c>
      <c r="H259" s="3" t="s">
        <v>145</v>
      </c>
      <c r="I259" s="3" t="s">
        <v>145</v>
      </c>
      <c r="J259" s="3" t="s">
        <v>145</v>
      </c>
    </row>
    <row r="260" spans="1:53" x14ac:dyDescent="0.35">
      <c r="B260" t="s">
        <v>53</v>
      </c>
      <c r="C260" t="s">
        <v>51</v>
      </c>
      <c r="D260" t="s">
        <v>64</v>
      </c>
      <c r="E260" t="s">
        <v>53</v>
      </c>
      <c r="F260" t="s">
        <v>51</v>
      </c>
      <c r="G260" t="s">
        <v>64</v>
      </c>
      <c r="H260" t="s">
        <v>53</v>
      </c>
      <c r="I260" t="s">
        <v>51</v>
      </c>
      <c r="J260" t="s">
        <v>64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145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134</v>
      </c>
      <c r="B277" t="s">
        <v>132</v>
      </c>
      <c r="C277" t="s">
        <v>133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142</v>
      </c>
    </row>
    <row r="2" spans="1:5" ht="15" thickBot="1" x14ac:dyDescent="0.4"/>
    <row r="3" spans="1:5" ht="15" thickBot="1" x14ac:dyDescent="0.4">
      <c r="A3" s="63" t="s">
        <v>62</v>
      </c>
      <c r="B3" s="17" t="s">
        <v>207</v>
      </c>
      <c r="E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5" ht="15" thickBot="1" x14ac:dyDescent="0.4">
      <c r="A4" s="113" t="s">
        <v>63</v>
      </c>
      <c r="B4" s="17" t="s">
        <v>64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68"/>
  <sheetViews>
    <sheetView showGridLines="0" zoomScaleNormal="100" workbookViewId="0">
      <selection activeCell="B76" sqref="B76"/>
    </sheetView>
  </sheetViews>
  <sheetFormatPr defaultRowHeight="14.5" x14ac:dyDescent="0.35"/>
  <cols>
    <col min="1" max="1" width="15" customWidth="1"/>
    <col min="2" max="2" width="15.6328125" customWidth="1"/>
    <col min="3" max="6" width="12.6328125" customWidth="1"/>
    <col min="7" max="16" width="12.6328125" hidden="1" customWidth="1"/>
  </cols>
  <sheetData>
    <row r="1" spans="1:4" ht="23.5" x14ac:dyDescent="0.55000000000000004">
      <c r="A1" s="28" t="s">
        <v>143</v>
      </c>
    </row>
    <row r="2" spans="1:4" ht="15" customHeight="1" thickBot="1" x14ac:dyDescent="0.6">
      <c r="A2" s="28"/>
    </row>
    <row r="3" spans="1:4" ht="15" thickBot="1" x14ac:dyDescent="0.4">
      <c r="A3" s="63" t="s">
        <v>127</v>
      </c>
      <c r="B3" s="17" t="s">
        <v>193</v>
      </c>
    </row>
    <row r="4" spans="1:4" ht="15" thickBot="1" x14ac:dyDescent="0.4">
      <c r="A4" s="63" t="s">
        <v>62</v>
      </c>
      <c r="B4" s="17" t="s">
        <v>145</v>
      </c>
    </row>
    <row r="5" spans="1:4" ht="15" thickBot="1" x14ac:dyDescent="0.4">
      <c r="A5" s="63" t="s">
        <v>63</v>
      </c>
      <c r="B5" s="17" t="s">
        <v>64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93</v>
      </c>
      <c r="B7" s="17" t="s">
        <v>96</v>
      </c>
      <c r="D7" t="str">
        <f>B7&amp;" per week"</f>
        <v>Hours per week</v>
      </c>
    </row>
    <row r="28" spans="1:17" ht="18.5" x14ac:dyDescent="0.45">
      <c r="A28" s="117" t="s">
        <v>107</v>
      </c>
    </row>
    <row r="29" spans="1:17" x14ac:dyDescent="0.35">
      <c r="A29" s="60"/>
    </row>
    <row r="30" spans="1:17" ht="15" thickBot="1" x14ac:dyDescent="0.4">
      <c r="A30" s="60" t="s">
        <v>109</v>
      </c>
    </row>
    <row r="31" spans="1:17" ht="29.5" thickBot="1" x14ac:dyDescent="0.4">
      <c r="A31" s="60"/>
      <c r="B31" s="106" t="str" cm="1">
        <f t="array" ref="B31">INDEX(Setup!$A$20:$A$34,COLUMN(A1),1)</f>
        <v>20 Group Sessions</v>
      </c>
      <c r="C31" s="106" t="str" cm="1">
        <f t="array" ref="C31">INDEX(Setup!$A$20:$A$34,COLUMN(B1),1)</f>
        <v>40 Group Session</v>
      </c>
      <c r="D31" s="106" t="str" cm="1">
        <f t="array" ref="D31">INDEX(Setup!$A$20:$A$34,COLUMN(C1),1)</f>
        <v>8 Group Session</v>
      </c>
      <c r="E31" s="106" t="str" cm="1">
        <f t="array" ref="E31">INDEX(Setup!$A$20:$A$34,COLUMN(D1),1)</f>
        <v>20 Individual</v>
      </c>
      <c r="F31" s="106" t="str" cm="1">
        <f t="array" ref="F31">INDEX(Setup!$A$20:$A$34,COLUMN(E1),1)</f>
        <v>40 Individual</v>
      </c>
      <c r="G31" s="106" t="str" cm="1">
        <f t="array" ref="G31">INDEX(Setup!$A$20:$A$34,COLUMN(F1),1)</f>
        <v>Caseload 6</v>
      </c>
      <c r="H31" s="106" t="str" cm="1">
        <f t="array" ref="H31">INDEX(Setup!$A$20:$A$34,COLUMN(G1),1)</f>
        <v>Caseload 7</v>
      </c>
      <c r="I31" s="106" t="str" cm="1">
        <f t="array" ref="I31">INDEX(Setup!$A$20:$A$34,COLUMN(H1),1)</f>
        <v>Caseload 8</v>
      </c>
      <c r="J31" s="106" t="str" cm="1">
        <f t="array" ref="J31">INDEX(Setup!$A$20:$A$34,COLUMN(I1),1)</f>
        <v>Caseload 9</v>
      </c>
      <c r="K31" s="106" t="str" cm="1">
        <f t="array" ref="K31">INDEX(Setup!$A$20:$A$34,COLUMN(J1),1)</f>
        <v>Caseload 10</v>
      </c>
      <c r="L31" s="106" t="str" cm="1">
        <f t="array" ref="L31">INDEX(Setup!$A$20:$A$34,COLUMN(K1),1)</f>
        <v>Caseload 11</v>
      </c>
      <c r="M31" s="106" t="str" cm="1">
        <f t="array" ref="M31">INDEX(Setup!$A$20:$A$34,COLUMN(L1),1)</f>
        <v>Caseload 12</v>
      </c>
      <c r="N31" s="106" t="str" cm="1">
        <f t="array" ref="N31">INDEX(Setup!$A$20:$A$34,COLUMN(M1),1)</f>
        <v>Caseload 13</v>
      </c>
      <c r="O31" s="106" t="str" cm="1">
        <f t="array" ref="O31">INDEX(Setup!$A$20:$A$34,COLUMN(N1),1)</f>
        <v>Caseload 14</v>
      </c>
      <c r="P31" s="115" t="str" cm="1">
        <f t="array" ref="P31">INDEX(Setup!$A$20:$A$34,COLUMN(O1),1)</f>
        <v>Caseload 15</v>
      </c>
    </row>
    <row r="32" spans="1:17" ht="15" thickBot="1" x14ac:dyDescent="0.4">
      <c r="A32" s="114" t="s">
        <v>108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66.9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64.3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71.0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4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63.8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48.9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70.0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110</v>
      </c>
    </row>
    <row r="36" spans="1:31" ht="29" customHeight="1" thickBot="1" x14ac:dyDescent="0.4">
      <c r="B36" s="106" t="str" cm="1">
        <f t="array" ref="B36">INDEX(Setup!$A$20:$A$34,COLUMN(A6),1)</f>
        <v>20 Group Sessions</v>
      </c>
      <c r="C36" s="106" t="str" cm="1">
        <f t="array" ref="C36">INDEX(Setup!$A$20:$A$34,COLUMN(B6),1)</f>
        <v>40 Group Session</v>
      </c>
      <c r="D36" s="106" t="str" cm="1">
        <f t="array" ref="D36">INDEX(Setup!$A$20:$A$34,COLUMN(C6),1)</f>
        <v>8 Group Session</v>
      </c>
      <c r="E36" s="106" t="str" cm="1">
        <f t="array" ref="E36">INDEX(Setup!$A$20:$A$34,COLUMN(D6),1)</f>
        <v>20 Individual</v>
      </c>
      <c r="F36" s="106" t="str" cm="1">
        <f t="array" ref="F36">INDEX(Setup!$A$20:$A$34,COLUMN(E6),1)</f>
        <v>40 Individual</v>
      </c>
      <c r="G36" s="106" t="str" cm="1">
        <f t="array" ref="G36">INDEX(Setup!$A$20:$A$34,COLUMN(F6),1)</f>
        <v>Caseload 6</v>
      </c>
      <c r="H36" s="106" t="str" cm="1">
        <f t="array" ref="H36">INDEX(Setup!$A$20:$A$34,COLUMN(G6),1)</f>
        <v>Caseload 7</v>
      </c>
      <c r="I36" s="106" t="str" cm="1">
        <f t="array" ref="I36">INDEX(Setup!$A$20:$A$34,COLUMN(H6),1)</f>
        <v>Caseload 8</v>
      </c>
      <c r="J36" s="106" t="str" cm="1">
        <f t="array" ref="J36">INDEX(Setup!$A$20:$A$34,COLUMN(I6),1)</f>
        <v>Caseload 9</v>
      </c>
      <c r="K36" s="106" t="str" cm="1">
        <f t="array" ref="K36">INDEX(Setup!$A$20:$A$34,COLUMN(J6),1)</f>
        <v>Caseload 10</v>
      </c>
      <c r="L36" s="106" t="str" cm="1">
        <f t="array" ref="L36">INDEX(Setup!$A$20:$A$34,COLUMN(K6),1)</f>
        <v>Caseload 11</v>
      </c>
      <c r="M36" s="106" t="str" cm="1">
        <f t="array" ref="M36">INDEX(Setup!$A$20:$A$34,COLUMN(L6),1)</f>
        <v>Caseload 12</v>
      </c>
      <c r="N36" s="106" t="str" cm="1">
        <f t="array" ref="N36">INDEX(Setup!$A$20:$A$34,COLUMN(M6),1)</f>
        <v>Caseload 13</v>
      </c>
      <c r="O36" s="106" t="str" cm="1">
        <f t="array" ref="O36">INDEX(Setup!$A$20:$A$34,COLUMN(N6),1)</f>
        <v>Caseload 14</v>
      </c>
      <c r="P36" s="116" t="str" cm="1">
        <f t="array" ref="P36">INDEX(Setup!$A$20:$A$34,COLUMN(O6),1)</f>
        <v>Caseload 15</v>
      </c>
      <c r="Q36" s="7"/>
    </row>
    <row r="37" spans="1:31" ht="15" thickBot="1" x14ac:dyDescent="0.4">
      <c r="A37" s="114" t="s">
        <v>194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4" t="s">
        <v>195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hidden="1" x14ac:dyDescent="0.55000000000000004">
      <c r="A42" s="28" t="s">
        <v>197</v>
      </c>
    </row>
    <row r="43" spans="1:31" hidden="1" x14ac:dyDescent="0.35"/>
    <row r="44" spans="1:31" hidden="1" x14ac:dyDescent="0.35"/>
    <row r="45" spans="1:31" hidden="1" x14ac:dyDescent="0.35"/>
    <row r="46" spans="1:31" hidden="1" x14ac:dyDescent="0.35"/>
    <row r="47" spans="1:31" hidden="1" x14ac:dyDescent="0.35"/>
    <row r="48" spans="1:31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  <row r="68" hidden="1" x14ac:dyDescent="0.35"/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E48" sqref="E48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156</v>
      </c>
      <c r="I1" s="60" t="s">
        <v>173</v>
      </c>
    </row>
    <row r="2" spans="1:16" ht="15" thickBot="1" x14ac:dyDescent="0.4">
      <c r="I2" s="131" t="s">
        <v>62</v>
      </c>
      <c r="J2" s="133" t="s">
        <v>145</v>
      </c>
      <c r="K2" s="5"/>
      <c r="L2" s="118" t="s">
        <v>63</v>
      </c>
      <c r="M2" s="132" t="s">
        <v>64</v>
      </c>
      <c r="N2" s="5"/>
      <c r="O2" s="118" t="s">
        <v>93</v>
      </c>
      <c r="P2" s="132" t="s">
        <v>96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6" t="s">
        <v>157</v>
      </c>
      <c r="C5" s="106" t="s">
        <v>158</v>
      </c>
      <c r="D5" s="106" t="s">
        <v>159</v>
      </c>
      <c r="E5" s="106" t="s">
        <v>160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Sessions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>
        <v>20</v>
      </c>
      <c r="E6" s="73">
        <v>25</v>
      </c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Caseload 6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163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6" t="s">
        <v>167</v>
      </c>
      <c r="C24" s="106" t="s">
        <v>168</v>
      </c>
      <c r="D24" s="106" t="s">
        <v>169</v>
      </c>
      <c r="E24" s="106" t="s">
        <v>170</v>
      </c>
      <c r="F24" s="70"/>
      <c r="G24" s="70"/>
    </row>
    <row r="25" spans="1:7" x14ac:dyDescent="0.35">
      <c r="A25" s="52" t="str">
        <f>Setup!A20</f>
        <v>20 Group Sessions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34.285714285714285</v>
      </c>
      <c r="D25" s="90">
        <v>60</v>
      </c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60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Caseload 6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6" t="s">
        <v>203</v>
      </c>
      <c r="B41" s="5"/>
      <c r="C41" s="5"/>
      <c r="D41" s="5"/>
      <c r="E41" s="5"/>
    </row>
    <row r="42" spans="1:7" ht="15" thickBot="1" x14ac:dyDescent="0.4">
      <c r="A42" s="134" t="s">
        <v>205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6" t="s">
        <v>46</v>
      </c>
      <c r="C43" s="106" t="s">
        <v>201</v>
      </c>
      <c r="D43" s="106" t="s">
        <v>202</v>
      </c>
      <c r="E43" s="5"/>
    </row>
    <row r="44" spans="1:7" x14ac:dyDescent="0.35">
      <c r="A44" s="11"/>
      <c r="B44" s="11"/>
      <c r="C44" s="99" t="str" cm="1">
        <f t="array" ref="C44">IFERROR(INDEX(Service!$E$4:$E$28,MATCH(1,(Service!$B$4:$B$28=Planning!A44)*(Service!$C$4:$C$28=Planning!B44),0),1),"")</f>
        <v/>
      </c>
      <c r="D44" s="15"/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174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6" t="s">
        <v>164</v>
      </c>
      <c r="C62" s="106" t="s">
        <v>165</v>
      </c>
      <c r="D62" s="106" t="str">
        <f>"Edit Non-Group Capacity ("&amp;LOWER(Summary!B7)&amp;")"</f>
        <v>Edit Non-Group Capacity (hours)</v>
      </c>
      <c r="E62" s="106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Sessions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Caseload 6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166</v>
      </c>
      <c r="I1" s="3" t="s">
        <v>57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145</v>
      </c>
      <c r="CW1" s="3" t="s">
        <v>145</v>
      </c>
      <c r="CX1" s="3" t="s">
        <v>145</v>
      </c>
      <c r="CY1" s="3" t="s">
        <v>145</v>
      </c>
      <c r="CZ1" s="3" t="s">
        <v>145</v>
      </c>
      <c r="DA1" s="3" t="s">
        <v>145</v>
      </c>
    </row>
    <row r="2" spans="1:105" ht="15" thickBot="1" x14ac:dyDescent="0.4">
      <c r="I2" s="7"/>
      <c r="J2" s="7" t="s">
        <v>59</v>
      </c>
      <c r="K2" s="6" t="s">
        <v>59</v>
      </c>
      <c r="L2" s="7" t="s">
        <v>51</v>
      </c>
      <c r="M2" s="6" t="s">
        <v>51</v>
      </c>
      <c r="N2" s="19" t="s">
        <v>64</v>
      </c>
      <c r="O2" s="23" t="s">
        <v>64</v>
      </c>
      <c r="P2" s="7" t="s">
        <v>59</v>
      </c>
      <c r="Q2" s="6" t="s">
        <v>59</v>
      </c>
      <c r="R2" s="7" t="s">
        <v>51</v>
      </c>
      <c r="S2" s="6" t="s">
        <v>51</v>
      </c>
      <c r="T2" s="19" t="s">
        <v>64</v>
      </c>
      <c r="U2" s="23" t="s">
        <v>64</v>
      </c>
      <c r="V2" s="7" t="s">
        <v>59</v>
      </c>
      <c r="W2" s="6" t="s">
        <v>59</v>
      </c>
      <c r="X2" s="7" t="s">
        <v>51</v>
      </c>
      <c r="Y2" s="6" t="s">
        <v>51</v>
      </c>
      <c r="Z2" s="19" t="s">
        <v>64</v>
      </c>
      <c r="AA2" s="23" t="s">
        <v>64</v>
      </c>
      <c r="AB2" s="7" t="s">
        <v>59</v>
      </c>
      <c r="AC2" s="6" t="s">
        <v>59</v>
      </c>
      <c r="AD2" s="7" t="s">
        <v>51</v>
      </c>
      <c r="AE2" s="6" t="s">
        <v>51</v>
      </c>
      <c r="AF2" s="19" t="s">
        <v>64</v>
      </c>
      <c r="AG2" s="23" t="s">
        <v>64</v>
      </c>
      <c r="AH2" s="7" t="s">
        <v>59</v>
      </c>
      <c r="AI2" s="6" t="s">
        <v>59</v>
      </c>
      <c r="AJ2" s="7" t="s">
        <v>51</v>
      </c>
      <c r="AK2" s="6" t="s">
        <v>51</v>
      </c>
      <c r="AL2" s="19" t="s">
        <v>64</v>
      </c>
      <c r="AM2" s="23" t="s">
        <v>64</v>
      </c>
      <c r="AN2" s="7" t="s">
        <v>59</v>
      </c>
      <c r="AO2" s="6" t="s">
        <v>59</v>
      </c>
      <c r="AP2" s="7" t="s">
        <v>51</v>
      </c>
      <c r="AQ2" s="6" t="s">
        <v>51</v>
      </c>
      <c r="AR2" s="19" t="s">
        <v>64</v>
      </c>
      <c r="AS2" s="23" t="s">
        <v>64</v>
      </c>
      <c r="AT2" s="7" t="s">
        <v>59</v>
      </c>
      <c r="AU2" s="6" t="s">
        <v>59</v>
      </c>
      <c r="AV2" s="7" t="s">
        <v>51</v>
      </c>
      <c r="AW2" s="6" t="s">
        <v>51</v>
      </c>
      <c r="AX2" s="19" t="s">
        <v>64</v>
      </c>
      <c r="AY2" s="23" t="s">
        <v>64</v>
      </c>
      <c r="AZ2" s="7" t="s">
        <v>59</v>
      </c>
      <c r="BA2" s="6" t="s">
        <v>59</v>
      </c>
      <c r="BB2" s="7" t="s">
        <v>51</v>
      </c>
      <c r="BC2" s="6" t="s">
        <v>51</v>
      </c>
      <c r="BD2" s="19" t="s">
        <v>64</v>
      </c>
      <c r="BE2" s="23" t="s">
        <v>64</v>
      </c>
      <c r="BF2" s="7" t="s">
        <v>59</v>
      </c>
      <c r="BG2" s="6" t="s">
        <v>59</v>
      </c>
      <c r="BH2" s="7" t="s">
        <v>51</v>
      </c>
      <c r="BI2" s="6" t="s">
        <v>51</v>
      </c>
      <c r="BJ2" s="19" t="s">
        <v>64</v>
      </c>
      <c r="BK2" s="23" t="s">
        <v>64</v>
      </c>
      <c r="BL2" s="7" t="s">
        <v>59</v>
      </c>
      <c r="BM2" s="6" t="s">
        <v>59</v>
      </c>
      <c r="BN2" s="7" t="s">
        <v>51</v>
      </c>
      <c r="BO2" s="6" t="s">
        <v>51</v>
      </c>
      <c r="BP2" s="19" t="s">
        <v>64</v>
      </c>
      <c r="BQ2" s="23" t="s">
        <v>64</v>
      </c>
      <c r="BR2" s="7" t="s">
        <v>59</v>
      </c>
      <c r="BS2" s="6" t="s">
        <v>59</v>
      </c>
      <c r="BT2" s="7" t="s">
        <v>51</v>
      </c>
      <c r="BU2" s="6" t="s">
        <v>51</v>
      </c>
      <c r="BV2" s="19" t="s">
        <v>64</v>
      </c>
      <c r="BW2" s="23" t="s">
        <v>64</v>
      </c>
      <c r="BX2" s="7" t="s">
        <v>59</v>
      </c>
      <c r="BY2" s="6" t="s">
        <v>59</v>
      </c>
      <c r="BZ2" s="7" t="s">
        <v>51</v>
      </c>
      <c r="CA2" s="6" t="s">
        <v>51</v>
      </c>
      <c r="CB2" s="19" t="s">
        <v>64</v>
      </c>
      <c r="CC2" s="23" t="s">
        <v>64</v>
      </c>
      <c r="CD2" s="7" t="s">
        <v>59</v>
      </c>
      <c r="CE2" s="6" t="s">
        <v>59</v>
      </c>
      <c r="CF2" s="7" t="s">
        <v>51</v>
      </c>
      <c r="CG2" s="6" t="s">
        <v>51</v>
      </c>
      <c r="CH2" s="19" t="s">
        <v>64</v>
      </c>
      <c r="CI2" s="23" t="s">
        <v>64</v>
      </c>
      <c r="CJ2" s="7" t="s">
        <v>59</v>
      </c>
      <c r="CK2" s="6" t="s">
        <v>59</v>
      </c>
      <c r="CL2" s="7" t="s">
        <v>51</v>
      </c>
      <c r="CM2" s="6" t="s">
        <v>51</v>
      </c>
      <c r="CN2" s="19" t="s">
        <v>64</v>
      </c>
      <c r="CO2" s="23" t="s">
        <v>64</v>
      </c>
      <c r="CP2" s="7" t="s">
        <v>59</v>
      </c>
      <c r="CQ2" s="6" t="s">
        <v>59</v>
      </c>
      <c r="CR2" s="7" t="s">
        <v>51</v>
      </c>
      <c r="CS2" s="6" t="s">
        <v>51</v>
      </c>
      <c r="CT2" s="19" t="s">
        <v>64</v>
      </c>
      <c r="CU2" s="23" t="s">
        <v>64</v>
      </c>
      <c r="CV2" s="7" t="s">
        <v>59</v>
      </c>
      <c r="CW2" s="6" t="s">
        <v>59</v>
      </c>
      <c r="CX2" s="7" t="s">
        <v>51</v>
      </c>
      <c r="CY2" s="6" t="s">
        <v>51</v>
      </c>
      <c r="CZ2" s="19" t="s">
        <v>64</v>
      </c>
      <c r="DA2" s="23" t="s">
        <v>64</v>
      </c>
    </row>
    <row r="3" spans="1:105" ht="58.5" thickBot="1" x14ac:dyDescent="0.4">
      <c r="A3" t="s">
        <v>45</v>
      </c>
      <c r="B3" s="71" t="s">
        <v>157</v>
      </c>
      <c r="C3" s="71" t="s">
        <v>158</v>
      </c>
      <c r="D3" s="71" t="s">
        <v>159</v>
      </c>
      <c r="E3" s="71" t="s">
        <v>160</v>
      </c>
      <c r="F3" s="71" t="s">
        <v>161</v>
      </c>
      <c r="G3" s="71" t="s">
        <v>162</v>
      </c>
      <c r="I3" s="7"/>
      <c r="J3" s="29">
        <f>INDEX($D$21:$E$35,MATCH(J$1,$A$21:$A$35,0),1)/IF(Summary!$B$7="Minutes",1,60)</f>
        <v>1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20</v>
      </c>
      <c r="E4">
        <f>IF(Planning!E6="",'Planning Backing (Hide)'!C4,Planning!E6)</f>
        <v>25</v>
      </c>
      <c r="F4">
        <v>1</v>
      </c>
      <c r="G4">
        <v>1.0000000000000002</v>
      </c>
      <c r="I4" s="17" t="s">
        <v>58</v>
      </c>
      <c r="J4" s="24" t="s">
        <v>60</v>
      </c>
      <c r="K4" s="26" t="s">
        <v>61</v>
      </c>
      <c r="L4" s="24" t="s">
        <v>60</v>
      </c>
      <c r="M4" s="26" t="s">
        <v>61</v>
      </c>
      <c r="N4" s="25" t="s">
        <v>52</v>
      </c>
      <c r="O4" s="26" t="s">
        <v>61</v>
      </c>
      <c r="P4" s="24" t="s">
        <v>60</v>
      </c>
      <c r="Q4" s="26" t="s">
        <v>61</v>
      </c>
      <c r="R4" s="24" t="s">
        <v>60</v>
      </c>
      <c r="S4" s="26" t="s">
        <v>61</v>
      </c>
      <c r="T4" s="25" t="s">
        <v>52</v>
      </c>
      <c r="U4" s="26" t="s">
        <v>61</v>
      </c>
      <c r="V4" s="24" t="s">
        <v>60</v>
      </c>
      <c r="W4" s="26" t="s">
        <v>61</v>
      </c>
      <c r="X4" s="24" t="s">
        <v>60</v>
      </c>
      <c r="Y4" s="26" t="s">
        <v>61</v>
      </c>
      <c r="Z4" s="25" t="s">
        <v>52</v>
      </c>
      <c r="AA4" s="26" t="s">
        <v>61</v>
      </c>
      <c r="AB4" s="24" t="s">
        <v>60</v>
      </c>
      <c r="AC4" s="26" t="s">
        <v>61</v>
      </c>
      <c r="AD4" s="24" t="s">
        <v>60</v>
      </c>
      <c r="AE4" s="26" t="s">
        <v>61</v>
      </c>
      <c r="AF4" s="25" t="s">
        <v>52</v>
      </c>
      <c r="AG4" s="26" t="s">
        <v>61</v>
      </c>
      <c r="AH4" s="24" t="s">
        <v>60</v>
      </c>
      <c r="AI4" s="26" t="s">
        <v>61</v>
      </c>
      <c r="AJ4" s="24" t="s">
        <v>60</v>
      </c>
      <c r="AK4" s="26" t="s">
        <v>61</v>
      </c>
      <c r="AL4" s="25" t="s">
        <v>52</v>
      </c>
      <c r="AM4" s="26" t="s">
        <v>61</v>
      </c>
      <c r="AN4" s="24" t="s">
        <v>60</v>
      </c>
      <c r="AO4" s="26" t="s">
        <v>61</v>
      </c>
      <c r="AP4" s="24" t="s">
        <v>60</v>
      </c>
      <c r="AQ4" s="26" t="s">
        <v>61</v>
      </c>
      <c r="AR4" s="25" t="s">
        <v>52</v>
      </c>
      <c r="AS4" s="26" t="s">
        <v>61</v>
      </c>
      <c r="AT4" s="24" t="s">
        <v>60</v>
      </c>
      <c r="AU4" s="26" t="s">
        <v>61</v>
      </c>
      <c r="AV4" s="24" t="s">
        <v>60</v>
      </c>
      <c r="AW4" s="26" t="s">
        <v>61</v>
      </c>
      <c r="AX4" s="25" t="s">
        <v>52</v>
      </c>
      <c r="AY4" s="26" t="s">
        <v>61</v>
      </c>
      <c r="AZ4" s="24" t="s">
        <v>60</v>
      </c>
      <c r="BA4" s="26" t="s">
        <v>61</v>
      </c>
      <c r="BB4" s="24" t="s">
        <v>60</v>
      </c>
      <c r="BC4" s="26" t="s">
        <v>61</v>
      </c>
      <c r="BD4" s="25" t="s">
        <v>52</v>
      </c>
      <c r="BE4" s="26" t="s">
        <v>61</v>
      </c>
      <c r="BF4" s="24" t="s">
        <v>60</v>
      </c>
      <c r="BG4" s="26" t="s">
        <v>61</v>
      </c>
      <c r="BH4" s="24" t="s">
        <v>60</v>
      </c>
      <c r="BI4" s="26" t="s">
        <v>61</v>
      </c>
      <c r="BJ4" s="25" t="s">
        <v>52</v>
      </c>
      <c r="BK4" s="26" t="s">
        <v>61</v>
      </c>
      <c r="BL4" s="24" t="s">
        <v>60</v>
      </c>
      <c r="BM4" s="26" t="s">
        <v>61</v>
      </c>
      <c r="BN4" s="24" t="s">
        <v>60</v>
      </c>
      <c r="BO4" s="26" t="s">
        <v>61</v>
      </c>
      <c r="BP4" s="25" t="s">
        <v>52</v>
      </c>
      <c r="BQ4" s="26" t="s">
        <v>61</v>
      </c>
      <c r="BR4" s="24" t="s">
        <v>60</v>
      </c>
      <c r="BS4" s="26" t="s">
        <v>61</v>
      </c>
      <c r="BT4" s="24" t="s">
        <v>60</v>
      </c>
      <c r="BU4" s="26" t="s">
        <v>61</v>
      </c>
      <c r="BV4" s="25" t="s">
        <v>52</v>
      </c>
      <c r="BW4" s="26" t="s">
        <v>61</v>
      </c>
      <c r="BX4" s="24" t="s">
        <v>60</v>
      </c>
      <c r="BY4" s="26" t="s">
        <v>61</v>
      </c>
      <c r="BZ4" s="24" t="s">
        <v>60</v>
      </c>
      <c r="CA4" s="26" t="s">
        <v>61</v>
      </c>
      <c r="CB4" s="25" t="s">
        <v>52</v>
      </c>
      <c r="CC4" s="26" t="s">
        <v>61</v>
      </c>
      <c r="CD4" s="24" t="s">
        <v>60</v>
      </c>
      <c r="CE4" s="26" t="s">
        <v>61</v>
      </c>
      <c r="CF4" s="24" t="s">
        <v>60</v>
      </c>
      <c r="CG4" s="26" t="s">
        <v>61</v>
      </c>
      <c r="CH4" s="25" t="s">
        <v>52</v>
      </c>
      <c r="CI4" s="26" t="s">
        <v>61</v>
      </c>
      <c r="CJ4" s="24" t="s">
        <v>60</v>
      </c>
      <c r="CK4" s="26" t="s">
        <v>61</v>
      </c>
      <c r="CL4" s="24" t="s">
        <v>60</v>
      </c>
      <c r="CM4" s="26" t="s">
        <v>61</v>
      </c>
      <c r="CN4" s="25" t="s">
        <v>52</v>
      </c>
      <c r="CO4" s="26" t="s">
        <v>61</v>
      </c>
      <c r="CP4" s="24" t="s">
        <v>60</v>
      </c>
      <c r="CQ4" s="26" t="s">
        <v>61</v>
      </c>
      <c r="CR4" s="24" t="s">
        <v>60</v>
      </c>
      <c r="CS4" s="26" t="s">
        <v>61</v>
      </c>
      <c r="CT4" s="25" t="s">
        <v>52</v>
      </c>
      <c r="CU4" s="26" t="s">
        <v>61</v>
      </c>
      <c r="CV4" s="24" t="s">
        <v>52</v>
      </c>
      <c r="CW4" s="26" t="s">
        <v>61</v>
      </c>
      <c r="CX4" s="24" t="s">
        <v>52</v>
      </c>
      <c r="CY4" s="26" t="s">
        <v>61</v>
      </c>
      <c r="CZ4" s="25" t="s">
        <v>52</v>
      </c>
      <c r="DA4" s="26" t="s">
        <v>61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20</v>
      </c>
      <c r="K5">
        <f>INDEX($D$4:$E$18,MATCH(J$1,$A$4:$A$18,0),2)*J$3</f>
        <v>25</v>
      </c>
      <c r="L5">
        <f>INDEX($D$4:$E$18,MATCH(L$1,$A$4:$A$18,0),1)*L$3</f>
        <v>11.428571428571427</v>
      </c>
      <c r="M5">
        <f>INDEX($D$4:$E$18,MATCH(L$1,$A$4:$A$18,0),2)*L$3</f>
        <v>14.285714285714285</v>
      </c>
      <c r="N5">
        <f>SUMIF(J$4:M$4,N$4,J5:M5)</f>
        <v>31.428571428571427</v>
      </c>
      <c r="O5">
        <f>SUMIF(J$4:M$4,O$4,J5:M5)</f>
        <v>39.285714285714285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158</v>
      </c>
      <c r="CW5">
        <f t="shared" si="0"/>
        <v>177.75</v>
      </c>
      <c r="CX5">
        <f t="shared" si="0"/>
        <v>30.428571428571427</v>
      </c>
      <c r="CY5">
        <f t="shared" si="0"/>
        <v>38.857142857142854</v>
      </c>
      <c r="CZ5">
        <f>SUMIFS($J5:$CU5,$J$2:$CU$2,CZ$2,$J$4:$CU$4,CZ$4)</f>
        <v>188.42857142857142</v>
      </c>
      <c r="DA5">
        <f>SUMIFS($J5:$CU5,$J$2:$CU$2,DA$2,$J$4:$CU$4,DA$4)</f>
        <v>216.60714285714283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20</v>
      </c>
      <c r="K6">
        <f t="shared" ref="K6:K56" si="2">INDEX($D$4:$E$18,MATCH(J$1,$A$4:$A$18,0),2)*J$3</f>
        <v>25</v>
      </c>
      <c r="L6">
        <f t="shared" ref="L6:L56" si="3">INDEX($D$4:$E$18,MATCH(L$1,$A$4:$A$18,0),1)*L$3</f>
        <v>11.428571428571427</v>
      </c>
      <c r="M6">
        <f t="shared" ref="M6:M56" si="4">INDEX($D$4:$E$18,MATCH(L$1,$A$4:$A$18,0),2)*L$3</f>
        <v>14.285714285714285</v>
      </c>
      <c r="N6">
        <f t="shared" ref="N6:N56" si="5">SUMIF(J$4:M$4,N$4,J6:M6)</f>
        <v>31.428571428571427</v>
      </c>
      <c r="O6">
        <f t="shared" ref="O6:O56" si="6">SUMIF(J$4:M$4,O$4,J6:M6)</f>
        <v>39.285714285714285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158</v>
      </c>
      <c r="CW6">
        <f t="shared" si="91"/>
        <v>177.75</v>
      </c>
      <c r="CX6">
        <f t="shared" ref="CX6:CY20" si="92">SUMIFS($J6:$CS6,$J$2:$CS$2,CX$2,$J$4:$CS$4,CX$4)</f>
        <v>30.428571428571427</v>
      </c>
      <c r="CY6">
        <f t="shared" si="92"/>
        <v>38.857142857142854</v>
      </c>
      <c r="CZ6">
        <f t="shared" ref="CZ6:DA56" si="93">SUMIFS($J6:$CU6,$J$2:$CU$2,CZ$2,$J$4:$CU$4,CZ$4)</f>
        <v>188.42857142857142</v>
      </c>
      <c r="DA6">
        <f t="shared" si="93"/>
        <v>216.60714285714283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20</v>
      </c>
      <c r="K7">
        <f t="shared" si="2"/>
        <v>25</v>
      </c>
      <c r="L7">
        <f t="shared" si="3"/>
        <v>11.428571428571427</v>
      </c>
      <c r="M7">
        <f t="shared" si="4"/>
        <v>14.285714285714285</v>
      </c>
      <c r="N7">
        <f t="shared" si="5"/>
        <v>31.428571428571427</v>
      </c>
      <c r="O7">
        <f t="shared" si="6"/>
        <v>39.285714285714285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158</v>
      </c>
      <c r="CW7">
        <f t="shared" si="91"/>
        <v>177.75</v>
      </c>
      <c r="CX7">
        <f t="shared" si="92"/>
        <v>30.428571428571427</v>
      </c>
      <c r="CY7">
        <f t="shared" si="92"/>
        <v>38.857142857142854</v>
      </c>
      <c r="CZ7">
        <f t="shared" si="93"/>
        <v>188.42857142857142</v>
      </c>
      <c r="DA7">
        <f t="shared" si="93"/>
        <v>216.60714285714283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20</v>
      </c>
      <c r="K8">
        <f t="shared" si="2"/>
        <v>25</v>
      </c>
      <c r="L8">
        <f t="shared" si="3"/>
        <v>11.428571428571427</v>
      </c>
      <c r="M8">
        <f t="shared" si="4"/>
        <v>14.285714285714285</v>
      </c>
      <c r="N8">
        <f t="shared" si="5"/>
        <v>31.428571428571427</v>
      </c>
      <c r="O8">
        <f t="shared" si="6"/>
        <v>39.285714285714285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158</v>
      </c>
      <c r="CW8">
        <f t="shared" si="91"/>
        <v>177.75</v>
      </c>
      <c r="CX8">
        <f t="shared" si="92"/>
        <v>30.428571428571427</v>
      </c>
      <c r="CY8">
        <f t="shared" si="92"/>
        <v>38.857142857142854</v>
      </c>
      <c r="CZ8">
        <f t="shared" si="93"/>
        <v>188.42857142857142</v>
      </c>
      <c r="DA8">
        <f t="shared" si="93"/>
        <v>216.60714285714283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20</v>
      </c>
      <c r="K9">
        <f t="shared" si="2"/>
        <v>25</v>
      </c>
      <c r="L9">
        <f t="shared" si="3"/>
        <v>11.428571428571427</v>
      </c>
      <c r="M9">
        <f t="shared" si="4"/>
        <v>14.285714285714285</v>
      </c>
      <c r="N9">
        <f t="shared" si="5"/>
        <v>31.428571428571427</v>
      </c>
      <c r="O9">
        <f t="shared" si="6"/>
        <v>39.285714285714285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158</v>
      </c>
      <c r="CW9">
        <f t="shared" si="91"/>
        <v>177.75</v>
      </c>
      <c r="CX9">
        <f t="shared" si="92"/>
        <v>30.428571428571427</v>
      </c>
      <c r="CY9">
        <f t="shared" si="92"/>
        <v>38.857142857142854</v>
      </c>
      <c r="CZ9">
        <f t="shared" si="93"/>
        <v>188.42857142857142</v>
      </c>
      <c r="DA9">
        <f t="shared" si="93"/>
        <v>216.60714285714283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20</v>
      </c>
      <c r="K10">
        <f t="shared" si="2"/>
        <v>25</v>
      </c>
      <c r="L10">
        <f t="shared" si="3"/>
        <v>11.428571428571427</v>
      </c>
      <c r="M10">
        <f t="shared" si="4"/>
        <v>14.285714285714285</v>
      </c>
      <c r="N10">
        <f t="shared" si="5"/>
        <v>31.428571428571427</v>
      </c>
      <c r="O10">
        <f t="shared" si="6"/>
        <v>39.285714285714285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158</v>
      </c>
      <c r="CW10">
        <f t="shared" si="91"/>
        <v>177.75</v>
      </c>
      <c r="CX10">
        <f t="shared" si="92"/>
        <v>30.428571428571427</v>
      </c>
      <c r="CY10">
        <f t="shared" si="92"/>
        <v>38.857142857142854</v>
      </c>
      <c r="CZ10">
        <f t="shared" si="93"/>
        <v>188.42857142857142</v>
      </c>
      <c r="DA10">
        <f t="shared" si="93"/>
        <v>216.60714285714283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20</v>
      </c>
      <c r="K11">
        <f t="shared" si="2"/>
        <v>25</v>
      </c>
      <c r="L11">
        <f t="shared" si="3"/>
        <v>11.428571428571427</v>
      </c>
      <c r="M11">
        <f t="shared" si="4"/>
        <v>14.285714285714285</v>
      </c>
      <c r="N11">
        <f t="shared" si="5"/>
        <v>31.428571428571427</v>
      </c>
      <c r="O11">
        <f t="shared" si="6"/>
        <v>39.285714285714285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158</v>
      </c>
      <c r="CW11">
        <f t="shared" si="91"/>
        <v>177.75</v>
      </c>
      <c r="CX11">
        <f t="shared" si="92"/>
        <v>30.428571428571427</v>
      </c>
      <c r="CY11">
        <f t="shared" si="92"/>
        <v>38.857142857142854</v>
      </c>
      <c r="CZ11">
        <f t="shared" si="93"/>
        <v>188.42857142857142</v>
      </c>
      <c r="DA11">
        <f t="shared" si="93"/>
        <v>216.60714285714283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20</v>
      </c>
      <c r="K12">
        <f t="shared" si="2"/>
        <v>25</v>
      </c>
      <c r="L12">
        <f t="shared" si="3"/>
        <v>11.428571428571427</v>
      </c>
      <c r="M12">
        <f t="shared" si="4"/>
        <v>14.285714285714285</v>
      </c>
      <c r="N12">
        <f t="shared" si="5"/>
        <v>31.428571428571427</v>
      </c>
      <c r="O12">
        <f t="shared" si="6"/>
        <v>39.285714285714285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158</v>
      </c>
      <c r="CW12">
        <f t="shared" si="91"/>
        <v>177.75</v>
      </c>
      <c r="CX12">
        <f t="shared" si="92"/>
        <v>30.428571428571427</v>
      </c>
      <c r="CY12">
        <f t="shared" si="92"/>
        <v>38.857142857142854</v>
      </c>
      <c r="CZ12">
        <f t="shared" si="93"/>
        <v>188.42857142857142</v>
      </c>
      <c r="DA12">
        <f t="shared" si="93"/>
        <v>216.60714285714283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20</v>
      </c>
      <c r="K13">
        <f t="shared" si="2"/>
        <v>25</v>
      </c>
      <c r="L13">
        <f t="shared" si="3"/>
        <v>11.428571428571427</v>
      </c>
      <c r="M13">
        <f t="shared" si="4"/>
        <v>14.285714285714285</v>
      </c>
      <c r="N13">
        <f t="shared" si="5"/>
        <v>31.428571428571427</v>
      </c>
      <c r="O13">
        <f t="shared" si="6"/>
        <v>39.285714285714285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158</v>
      </c>
      <c r="CW13">
        <f t="shared" si="91"/>
        <v>177.75</v>
      </c>
      <c r="CX13">
        <f t="shared" si="92"/>
        <v>30.428571428571427</v>
      </c>
      <c r="CY13">
        <f t="shared" si="92"/>
        <v>38.857142857142854</v>
      </c>
      <c r="CZ13">
        <f t="shared" si="93"/>
        <v>188.42857142857142</v>
      </c>
      <c r="DA13">
        <f t="shared" si="93"/>
        <v>216.60714285714283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20</v>
      </c>
      <c r="K14">
        <f t="shared" si="2"/>
        <v>25</v>
      </c>
      <c r="L14">
        <f t="shared" si="3"/>
        <v>11.428571428571427</v>
      </c>
      <c r="M14">
        <f t="shared" si="4"/>
        <v>14.285714285714285</v>
      </c>
      <c r="N14">
        <f t="shared" si="5"/>
        <v>31.428571428571427</v>
      </c>
      <c r="O14">
        <f t="shared" si="6"/>
        <v>39.285714285714285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158</v>
      </c>
      <c r="CW14">
        <f t="shared" si="91"/>
        <v>177.75</v>
      </c>
      <c r="CX14">
        <f t="shared" si="92"/>
        <v>30.428571428571427</v>
      </c>
      <c r="CY14">
        <f t="shared" si="92"/>
        <v>38.857142857142854</v>
      </c>
      <c r="CZ14">
        <f t="shared" si="93"/>
        <v>188.42857142857142</v>
      </c>
      <c r="DA14">
        <f t="shared" si="93"/>
        <v>216.60714285714283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20</v>
      </c>
      <c r="K15">
        <f t="shared" si="2"/>
        <v>25</v>
      </c>
      <c r="L15">
        <f t="shared" si="3"/>
        <v>11.428571428571427</v>
      </c>
      <c r="M15">
        <f t="shared" si="4"/>
        <v>14.285714285714285</v>
      </c>
      <c r="N15">
        <f t="shared" si="5"/>
        <v>31.428571428571427</v>
      </c>
      <c r="O15">
        <f t="shared" si="6"/>
        <v>39.285714285714285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158</v>
      </c>
      <c r="CW15">
        <f t="shared" si="91"/>
        <v>177.75</v>
      </c>
      <c r="CX15">
        <f t="shared" si="92"/>
        <v>30.428571428571427</v>
      </c>
      <c r="CY15">
        <f t="shared" si="92"/>
        <v>38.857142857142854</v>
      </c>
      <c r="CZ15">
        <f t="shared" si="93"/>
        <v>188.42857142857142</v>
      </c>
      <c r="DA15">
        <f t="shared" si="93"/>
        <v>216.60714285714283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20</v>
      </c>
      <c r="K16">
        <f t="shared" si="2"/>
        <v>25</v>
      </c>
      <c r="L16">
        <f t="shared" si="3"/>
        <v>11.428571428571427</v>
      </c>
      <c r="M16">
        <f t="shared" si="4"/>
        <v>14.285714285714285</v>
      </c>
      <c r="N16">
        <f t="shared" si="5"/>
        <v>31.428571428571427</v>
      </c>
      <c r="O16">
        <f t="shared" si="6"/>
        <v>39.285714285714285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158</v>
      </c>
      <c r="CW16">
        <f t="shared" si="91"/>
        <v>177.75</v>
      </c>
      <c r="CX16">
        <f t="shared" si="92"/>
        <v>30.428571428571427</v>
      </c>
      <c r="CY16">
        <f t="shared" si="92"/>
        <v>38.857142857142854</v>
      </c>
      <c r="CZ16">
        <f t="shared" si="93"/>
        <v>188.42857142857142</v>
      </c>
      <c r="DA16">
        <f t="shared" si="93"/>
        <v>216.60714285714283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20</v>
      </c>
      <c r="K17">
        <f t="shared" si="2"/>
        <v>25</v>
      </c>
      <c r="L17">
        <f t="shared" si="3"/>
        <v>11.428571428571427</v>
      </c>
      <c r="M17">
        <f t="shared" si="4"/>
        <v>14.285714285714285</v>
      </c>
      <c r="N17">
        <f t="shared" si="5"/>
        <v>31.428571428571427</v>
      </c>
      <c r="O17">
        <f t="shared" si="6"/>
        <v>39.285714285714285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158</v>
      </c>
      <c r="CW17">
        <f t="shared" si="91"/>
        <v>177.75</v>
      </c>
      <c r="CX17">
        <f t="shared" si="92"/>
        <v>30.428571428571427</v>
      </c>
      <c r="CY17">
        <f t="shared" si="92"/>
        <v>38.857142857142854</v>
      </c>
      <c r="CZ17">
        <f t="shared" si="93"/>
        <v>188.42857142857142</v>
      </c>
      <c r="DA17">
        <f t="shared" si="93"/>
        <v>216.60714285714283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20</v>
      </c>
      <c r="K18">
        <f t="shared" si="2"/>
        <v>25</v>
      </c>
      <c r="L18">
        <f t="shared" si="3"/>
        <v>11.428571428571427</v>
      </c>
      <c r="M18">
        <f t="shared" si="4"/>
        <v>14.285714285714285</v>
      </c>
      <c r="N18">
        <f t="shared" si="5"/>
        <v>31.428571428571427</v>
      </c>
      <c r="O18">
        <f t="shared" si="6"/>
        <v>39.285714285714285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158</v>
      </c>
      <c r="CW18">
        <f t="shared" si="91"/>
        <v>177.75</v>
      </c>
      <c r="CX18">
        <f t="shared" si="92"/>
        <v>30.428571428571427</v>
      </c>
      <c r="CY18">
        <f t="shared" si="92"/>
        <v>38.857142857142854</v>
      </c>
      <c r="CZ18">
        <f t="shared" si="93"/>
        <v>188.42857142857142</v>
      </c>
      <c r="DA18">
        <f t="shared" si="93"/>
        <v>216.60714285714283</v>
      </c>
    </row>
    <row r="19" spans="1:105" x14ac:dyDescent="0.35">
      <c r="I19" s="12">
        <f>'Required Capacity (Hide)'!E19</f>
        <v>44020</v>
      </c>
      <c r="J19">
        <f t="shared" si="1"/>
        <v>20</v>
      </c>
      <c r="K19">
        <f t="shared" si="2"/>
        <v>25</v>
      </c>
      <c r="L19">
        <f t="shared" si="3"/>
        <v>11.428571428571427</v>
      </c>
      <c r="M19">
        <f t="shared" si="4"/>
        <v>14.285714285714285</v>
      </c>
      <c r="N19">
        <f t="shared" si="5"/>
        <v>31.428571428571427</v>
      </c>
      <c r="O19">
        <f t="shared" si="6"/>
        <v>39.285714285714285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158</v>
      </c>
      <c r="CW19">
        <f t="shared" si="91"/>
        <v>177.75</v>
      </c>
      <c r="CX19">
        <f t="shared" si="92"/>
        <v>30.428571428571427</v>
      </c>
      <c r="CY19">
        <f t="shared" si="92"/>
        <v>38.857142857142854</v>
      </c>
      <c r="CZ19">
        <f t="shared" si="93"/>
        <v>188.42857142857142</v>
      </c>
      <c r="DA19">
        <f t="shared" si="93"/>
        <v>216.60714285714283</v>
      </c>
    </row>
    <row r="20" spans="1:105" ht="87" x14ac:dyDescent="0.35">
      <c r="A20" t="s">
        <v>45</v>
      </c>
      <c r="B20" s="71" t="s">
        <v>167</v>
      </c>
      <c r="C20" s="71" t="s">
        <v>168</v>
      </c>
      <c r="D20" s="71" t="s">
        <v>169</v>
      </c>
      <c r="E20" s="71" t="s">
        <v>170</v>
      </c>
      <c r="F20" s="71" t="s">
        <v>171</v>
      </c>
      <c r="G20" s="71" t="s">
        <v>172</v>
      </c>
      <c r="I20" s="12">
        <f>'Required Capacity (Hide)'!E20</f>
        <v>44027</v>
      </c>
      <c r="J20">
        <f t="shared" si="1"/>
        <v>20</v>
      </c>
      <c r="K20">
        <f t="shared" si="2"/>
        <v>25</v>
      </c>
      <c r="L20">
        <f t="shared" si="3"/>
        <v>11.428571428571427</v>
      </c>
      <c r="M20">
        <f t="shared" si="4"/>
        <v>14.285714285714285</v>
      </c>
      <c r="N20">
        <f t="shared" si="5"/>
        <v>31.428571428571427</v>
      </c>
      <c r="O20">
        <f t="shared" si="6"/>
        <v>39.285714285714285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158</v>
      </c>
      <c r="CW20">
        <f t="shared" si="91"/>
        <v>177.75</v>
      </c>
      <c r="CX20">
        <f t="shared" si="92"/>
        <v>30.428571428571427</v>
      </c>
      <c r="CY20">
        <f t="shared" si="92"/>
        <v>38.857142857142854</v>
      </c>
      <c r="CZ20">
        <f t="shared" si="93"/>
        <v>188.42857142857142</v>
      </c>
      <c r="DA20">
        <f t="shared" si="93"/>
        <v>216.60714285714283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60</v>
      </c>
      <c r="E21">
        <f>IF(Planning!E25="",'Planning Backing (Hide)'!C21,Planning!E25)</f>
        <v>34.285714285714285</v>
      </c>
      <c r="F21">
        <f>IFERROR($D$21/$B$21,"")</f>
        <v>0.8</v>
      </c>
      <c r="G21">
        <f>IFERROR($E$21/$C$21,"")</f>
        <v>1</v>
      </c>
      <c r="I21" s="12">
        <f>'Required Capacity (Hide)'!E21</f>
        <v>44034</v>
      </c>
      <c r="J21">
        <f t="shared" si="1"/>
        <v>20</v>
      </c>
      <c r="K21">
        <f t="shared" si="2"/>
        <v>25</v>
      </c>
      <c r="L21">
        <f t="shared" si="3"/>
        <v>11.428571428571427</v>
      </c>
      <c r="M21">
        <f t="shared" si="4"/>
        <v>14.285714285714285</v>
      </c>
      <c r="N21">
        <f t="shared" si="5"/>
        <v>31.428571428571427</v>
      </c>
      <c r="O21">
        <f t="shared" si="6"/>
        <v>39.285714285714285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158</v>
      </c>
      <c r="CW21">
        <f t="shared" si="91"/>
        <v>177.75</v>
      </c>
      <c r="CX21">
        <f t="shared" si="91"/>
        <v>30.428571428571427</v>
      </c>
      <c r="CY21">
        <f t="shared" si="91"/>
        <v>38.857142857142854</v>
      </c>
      <c r="CZ21">
        <f t="shared" si="93"/>
        <v>188.42857142857142</v>
      </c>
      <c r="DA21">
        <f t="shared" si="93"/>
        <v>216.60714285714283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20</v>
      </c>
      <c r="K22">
        <f t="shared" si="2"/>
        <v>25</v>
      </c>
      <c r="L22">
        <f t="shared" si="3"/>
        <v>11.428571428571427</v>
      </c>
      <c r="M22">
        <f t="shared" si="4"/>
        <v>14.285714285714285</v>
      </c>
      <c r="N22">
        <f t="shared" si="5"/>
        <v>31.428571428571427</v>
      </c>
      <c r="O22">
        <f t="shared" si="6"/>
        <v>39.285714285714285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158</v>
      </c>
      <c r="CW22">
        <f t="shared" si="91"/>
        <v>177.75</v>
      </c>
      <c r="CX22">
        <f t="shared" si="91"/>
        <v>30.428571428571427</v>
      </c>
      <c r="CY22">
        <f t="shared" si="91"/>
        <v>38.857142857142854</v>
      </c>
      <c r="CZ22">
        <f t="shared" si="93"/>
        <v>188.42857142857142</v>
      </c>
      <c r="DA22">
        <f t="shared" si="93"/>
        <v>216.60714285714283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20</v>
      </c>
      <c r="K23">
        <f t="shared" si="2"/>
        <v>25</v>
      </c>
      <c r="L23">
        <f t="shared" si="3"/>
        <v>11.428571428571427</v>
      </c>
      <c r="M23">
        <f t="shared" si="4"/>
        <v>14.285714285714285</v>
      </c>
      <c r="N23">
        <f t="shared" si="5"/>
        <v>31.428571428571427</v>
      </c>
      <c r="O23">
        <f t="shared" si="6"/>
        <v>39.285714285714285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158</v>
      </c>
      <c r="CW23">
        <f t="shared" si="91"/>
        <v>177.75</v>
      </c>
      <c r="CX23">
        <f t="shared" si="91"/>
        <v>30.428571428571427</v>
      </c>
      <c r="CY23">
        <f t="shared" si="91"/>
        <v>38.857142857142854</v>
      </c>
      <c r="CZ23">
        <f t="shared" si="93"/>
        <v>188.42857142857142</v>
      </c>
      <c r="DA23">
        <f t="shared" si="93"/>
        <v>216.60714285714283</v>
      </c>
    </row>
    <row r="24" spans="1:105" x14ac:dyDescent="0.35">
      <c r="A24" t="str">
        <f>Setup!A23</f>
        <v>20 Individual</v>
      </c>
      <c r="B24">
        <f t="shared" si="94"/>
        <v>60</v>
      </c>
      <c r="C24">
        <f t="shared" si="95"/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20</v>
      </c>
      <c r="K24">
        <f t="shared" si="2"/>
        <v>25</v>
      </c>
      <c r="L24">
        <f t="shared" si="3"/>
        <v>11.428571428571427</v>
      </c>
      <c r="M24">
        <f t="shared" si="4"/>
        <v>14.285714285714285</v>
      </c>
      <c r="N24">
        <f t="shared" si="5"/>
        <v>31.428571428571427</v>
      </c>
      <c r="O24">
        <f t="shared" si="6"/>
        <v>39.285714285714285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158</v>
      </c>
      <c r="CW24">
        <f t="shared" si="91"/>
        <v>177.75</v>
      </c>
      <c r="CX24">
        <f t="shared" si="91"/>
        <v>30.428571428571427</v>
      </c>
      <c r="CY24">
        <f t="shared" si="91"/>
        <v>38.857142857142854</v>
      </c>
      <c r="CZ24">
        <f t="shared" si="93"/>
        <v>188.42857142857142</v>
      </c>
      <c r="DA24">
        <f t="shared" si="93"/>
        <v>216.60714285714283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20</v>
      </c>
      <c r="K25">
        <f t="shared" si="2"/>
        <v>25</v>
      </c>
      <c r="L25">
        <f t="shared" si="3"/>
        <v>11.428571428571427</v>
      </c>
      <c r="M25">
        <f t="shared" si="4"/>
        <v>14.285714285714285</v>
      </c>
      <c r="N25">
        <f t="shared" si="5"/>
        <v>31.428571428571427</v>
      </c>
      <c r="O25">
        <f t="shared" si="6"/>
        <v>39.285714285714285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158</v>
      </c>
      <c r="CW25">
        <f t="shared" si="91"/>
        <v>177.75</v>
      </c>
      <c r="CX25">
        <f t="shared" si="91"/>
        <v>30.428571428571427</v>
      </c>
      <c r="CY25">
        <f t="shared" si="91"/>
        <v>38.857142857142854</v>
      </c>
      <c r="CZ25">
        <f t="shared" si="93"/>
        <v>188.42857142857142</v>
      </c>
      <c r="DA25">
        <f t="shared" si="93"/>
        <v>216.60714285714283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20</v>
      </c>
      <c r="K26">
        <f t="shared" si="2"/>
        <v>25</v>
      </c>
      <c r="L26">
        <f t="shared" si="3"/>
        <v>11.428571428571427</v>
      </c>
      <c r="M26">
        <f t="shared" si="4"/>
        <v>14.285714285714285</v>
      </c>
      <c r="N26">
        <f t="shared" si="5"/>
        <v>31.428571428571427</v>
      </c>
      <c r="O26">
        <f t="shared" si="6"/>
        <v>39.285714285714285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158</v>
      </c>
      <c r="CW26">
        <f t="shared" si="91"/>
        <v>177.75</v>
      </c>
      <c r="CX26">
        <f t="shared" si="91"/>
        <v>30.428571428571427</v>
      </c>
      <c r="CY26">
        <f t="shared" si="91"/>
        <v>38.857142857142854</v>
      </c>
      <c r="CZ26">
        <f t="shared" si="93"/>
        <v>188.42857142857142</v>
      </c>
      <c r="DA26">
        <f t="shared" si="93"/>
        <v>216.60714285714283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20</v>
      </c>
      <c r="K27">
        <f t="shared" si="2"/>
        <v>25</v>
      </c>
      <c r="L27">
        <f t="shared" si="3"/>
        <v>11.428571428571427</v>
      </c>
      <c r="M27">
        <f t="shared" si="4"/>
        <v>14.285714285714285</v>
      </c>
      <c r="N27">
        <f t="shared" si="5"/>
        <v>31.428571428571427</v>
      </c>
      <c r="O27">
        <f t="shared" si="6"/>
        <v>39.285714285714285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158</v>
      </c>
      <c r="CW27">
        <f t="shared" si="91"/>
        <v>177.75</v>
      </c>
      <c r="CX27">
        <f t="shared" si="91"/>
        <v>30.428571428571427</v>
      </c>
      <c r="CY27">
        <f t="shared" si="91"/>
        <v>38.857142857142854</v>
      </c>
      <c r="CZ27">
        <f t="shared" si="93"/>
        <v>188.42857142857142</v>
      </c>
      <c r="DA27">
        <f t="shared" si="93"/>
        <v>216.60714285714283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20</v>
      </c>
      <c r="K28">
        <f t="shared" si="2"/>
        <v>25</v>
      </c>
      <c r="L28">
        <f t="shared" si="3"/>
        <v>11.428571428571427</v>
      </c>
      <c r="M28">
        <f t="shared" si="4"/>
        <v>14.285714285714285</v>
      </c>
      <c r="N28">
        <f t="shared" si="5"/>
        <v>31.428571428571427</v>
      </c>
      <c r="O28">
        <f t="shared" si="6"/>
        <v>39.285714285714285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158</v>
      </c>
      <c r="CW28">
        <f t="shared" si="91"/>
        <v>177.75</v>
      </c>
      <c r="CX28">
        <f t="shared" si="91"/>
        <v>30.428571428571427</v>
      </c>
      <c r="CY28">
        <f t="shared" si="91"/>
        <v>38.857142857142854</v>
      </c>
      <c r="CZ28">
        <f t="shared" si="93"/>
        <v>188.42857142857142</v>
      </c>
      <c r="DA28">
        <f t="shared" si="93"/>
        <v>216.60714285714283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20</v>
      </c>
      <c r="K29">
        <f t="shared" si="2"/>
        <v>25</v>
      </c>
      <c r="L29">
        <f t="shared" si="3"/>
        <v>11.428571428571427</v>
      </c>
      <c r="M29">
        <f t="shared" si="4"/>
        <v>14.285714285714285</v>
      </c>
      <c r="N29">
        <f t="shared" si="5"/>
        <v>31.428571428571427</v>
      </c>
      <c r="O29">
        <f t="shared" si="6"/>
        <v>39.285714285714285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158</v>
      </c>
      <c r="CW29">
        <f t="shared" si="91"/>
        <v>177.75</v>
      </c>
      <c r="CX29">
        <f t="shared" si="91"/>
        <v>30.428571428571427</v>
      </c>
      <c r="CY29">
        <f t="shared" si="91"/>
        <v>38.857142857142854</v>
      </c>
      <c r="CZ29">
        <f t="shared" si="93"/>
        <v>188.42857142857142</v>
      </c>
      <c r="DA29">
        <f t="shared" si="93"/>
        <v>216.60714285714283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20</v>
      </c>
      <c r="K30">
        <f t="shared" si="2"/>
        <v>25</v>
      </c>
      <c r="L30">
        <f t="shared" si="3"/>
        <v>11.428571428571427</v>
      </c>
      <c r="M30">
        <f t="shared" si="4"/>
        <v>14.285714285714285</v>
      </c>
      <c r="N30">
        <f t="shared" si="5"/>
        <v>31.428571428571427</v>
      </c>
      <c r="O30">
        <f t="shared" si="6"/>
        <v>39.285714285714285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158</v>
      </c>
      <c r="CW30">
        <f t="shared" si="91"/>
        <v>177.75</v>
      </c>
      <c r="CX30">
        <f t="shared" si="91"/>
        <v>30.428571428571427</v>
      </c>
      <c r="CY30">
        <f t="shared" si="91"/>
        <v>38.857142857142854</v>
      </c>
      <c r="CZ30">
        <f t="shared" si="93"/>
        <v>188.42857142857142</v>
      </c>
      <c r="DA30">
        <f t="shared" si="93"/>
        <v>216.60714285714283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20</v>
      </c>
      <c r="K31">
        <f t="shared" si="2"/>
        <v>25</v>
      </c>
      <c r="L31">
        <f t="shared" si="3"/>
        <v>11.428571428571427</v>
      </c>
      <c r="M31">
        <f t="shared" si="4"/>
        <v>14.285714285714285</v>
      </c>
      <c r="N31">
        <f t="shared" si="5"/>
        <v>31.428571428571427</v>
      </c>
      <c r="O31">
        <f t="shared" si="6"/>
        <v>39.285714285714285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158</v>
      </c>
      <c r="CW31">
        <f t="shared" si="91"/>
        <v>177.75</v>
      </c>
      <c r="CX31">
        <f t="shared" si="91"/>
        <v>30.428571428571427</v>
      </c>
      <c r="CY31">
        <f t="shared" si="91"/>
        <v>38.857142857142854</v>
      </c>
      <c r="CZ31">
        <f t="shared" si="93"/>
        <v>188.42857142857142</v>
      </c>
      <c r="DA31">
        <f t="shared" si="93"/>
        <v>216.60714285714283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20</v>
      </c>
      <c r="K32">
        <f t="shared" si="2"/>
        <v>25</v>
      </c>
      <c r="L32">
        <f t="shared" si="3"/>
        <v>11.428571428571427</v>
      </c>
      <c r="M32">
        <f t="shared" si="4"/>
        <v>14.285714285714285</v>
      </c>
      <c r="N32">
        <f t="shared" si="5"/>
        <v>31.428571428571427</v>
      </c>
      <c r="O32">
        <f t="shared" si="6"/>
        <v>39.285714285714285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158</v>
      </c>
      <c r="CW32">
        <f t="shared" si="91"/>
        <v>177.75</v>
      </c>
      <c r="CX32">
        <f t="shared" si="91"/>
        <v>30.428571428571427</v>
      </c>
      <c r="CY32">
        <f t="shared" si="91"/>
        <v>38.857142857142854</v>
      </c>
      <c r="CZ32">
        <f t="shared" si="93"/>
        <v>188.42857142857142</v>
      </c>
      <c r="DA32">
        <f t="shared" si="93"/>
        <v>216.60714285714283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20</v>
      </c>
      <c r="K33">
        <f t="shared" si="2"/>
        <v>25</v>
      </c>
      <c r="L33">
        <f t="shared" si="3"/>
        <v>11.428571428571427</v>
      </c>
      <c r="M33">
        <f t="shared" si="4"/>
        <v>14.285714285714285</v>
      </c>
      <c r="N33">
        <f t="shared" si="5"/>
        <v>31.428571428571427</v>
      </c>
      <c r="O33">
        <f t="shared" si="6"/>
        <v>39.285714285714285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158</v>
      </c>
      <c r="CW33">
        <f t="shared" si="91"/>
        <v>177.75</v>
      </c>
      <c r="CX33">
        <f t="shared" si="91"/>
        <v>30.428571428571427</v>
      </c>
      <c r="CY33">
        <f t="shared" si="91"/>
        <v>38.857142857142854</v>
      </c>
      <c r="CZ33">
        <f t="shared" si="93"/>
        <v>188.42857142857142</v>
      </c>
      <c r="DA33">
        <f t="shared" si="93"/>
        <v>216.60714285714283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20</v>
      </c>
      <c r="K34">
        <f t="shared" si="2"/>
        <v>25</v>
      </c>
      <c r="L34">
        <f t="shared" si="3"/>
        <v>11.428571428571427</v>
      </c>
      <c r="M34">
        <f t="shared" si="4"/>
        <v>14.285714285714285</v>
      </c>
      <c r="N34">
        <f t="shared" si="5"/>
        <v>31.428571428571427</v>
      </c>
      <c r="O34">
        <f t="shared" si="6"/>
        <v>39.285714285714285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158</v>
      </c>
      <c r="CW34">
        <f t="shared" si="91"/>
        <v>177.75</v>
      </c>
      <c r="CX34">
        <f t="shared" si="91"/>
        <v>30.428571428571427</v>
      </c>
      <c r="CY34">
        <f t="shared" si="91"/>
        <v>38.857142857142854</v>
      </c>
      <c r="CZ34">
        <f t="shared" si="93"/>
        <v>188.42857142857142</v>
      </c>
      <c r="DA34">
        <f t="shared" si="93"/>
        <v>216.60714285714283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20</v>
      </c>
      <c r="K35">
        <f t="shared" si="2"/>
        <v>25</v>
      </c>
      <c r="L35">
        <f t="shared" si="3"/>
        <v>11.428571428571427</v>
      </c>
      <c r="M35">
        <f t="shared" si="4"/>
        <v>14.285714285714285</v>
      </c>
      <c r="N35">
        <f t="shared" si="5"/>
        <v>31.428571428571427</v>
      </c>
      <c r="O35">
        <f t="shared" si="6"/>
        <v>39.285714285714285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158</v>
      </c>
      <c r="CW35">
        <f t="shared" si="91"/>
        <v>177.75</v>
      </c>
      <c r="CX35">
        <f t="shared" si="91"/>
        <v>30.428571428571427</v>
      </c>
      <c r="CY35">
        <f t="shared" si="91"/>
        <v>38.857142857142854</v>
      </c>
      <c r="CZ35">
        <f t="shared" si="93"/>
        <v>188.42857142857142</v>
      </c>
      <c r="DA35">
        <f t="shared" si="93"/>
        <v>216.60714285714283</v>
      </c>
    </row>
    <row r="36" spans="1:105" x14ac:dyDescent="0.35">
      <c r="I36" s="12">
        <f>'Required Capacity (Hide)'!E36</f>
        <v>44139</v>
      </c>
      <c r="J36">
        <f t="shared" si="1"/>
        <v>20</v>
      </c>
      <c r="K36">
        <f t="shared" si="2"/>
        <v>25</v>
      </c>
      <c r="L36">
        <f t="shared" si="3"/>
        <v>11.428571428571427</v>
      </c>
      <c r="M36">
        <f t="shared" si="4"/>
        <v>14.285714285714285</v>
      </c>
      <c r="N36">
        <f t="shared" si="5"/>
        <v>31.428571428571427</v>
      </c>
      <c r="O36">
        <f t="shared" si="6"/>
        <v>39.285714285714285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158</v>
      </c>
      <c r="CW36">
        <f t="shared" si="91"/>
        <v>177.75</v>
      </c>
      <c r="CX36">
        <f t="shared" si="91"/>
        <v>30.428571428571427</v>
      </c>
      <c r="CY36">
        <f t="shared" si="91"/>
        <v>38.857142857142854</v>
      </c>
      <c r="CZ36">
        <f t="shared" si="93"/>
        <v>188.42857142857142</v>
      </c>
      <c r="DA36">
        <f t="shared" si="93"/>
        <v>216.60714285714283</v>
      </c>
    </row>
    <row r="37" spans="1:105" x14ac:dyDescent="0.35">
      <c r="I37" s="12">
        <f>'Required Capacity (Hide)'!E37</f>
        <v>44146</v>
      </c>
      <c r="J37">
        <f t="shared" si="1"/>
        <v>20</v>
      </c>
      <c r="K37">
        <f t="shared" si="2"/>
        <v>25</v>
      </c>
      <c r="L37">
        <f t="shared" si="3"/>
        <v>11.428571428571427</v>
      </c>
      <c r="M37">
        <f t="shared" si="4"/>
        <v>14.285714285714285</v>
      </c>
      <c r="N37">
        <f t="shared" si="5"/>
        <v>31.428571428571427</v>
      </c>
      <c r="O37">
        <f t="shared" si="6"/>
        <v>39.285714285714285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158</v>
      </c>
      <c r="CW37">
        <f t="shared" si="91"/>
        <v>177.75</v>
      </c>
      <c r="CX37">
        <f t="shared" si="91"/>
        <v>30.428571428571427</v>
      </c>
      <c r="CY37">
        <f t="shared" si="91"/>
        <v>38.857142857142854</v>
      </c>
      <c r="CZ37">
        <f t="shared" si="93"/>
        <v>188.42857142857142</v>
      </c>
      <c r="DA37">
        <f t="shared" si="93"/>
        <v>216.60714285714283</v>
      </c>
    </row>
    <row r="38" spans="1:105" x14ac:dyDescent="0.35">
      <c r="I38" s="12">
        <f>'Required Capacity (Hide)'!E38</f>
        <v>44153</v>
      </c>
      <c r="J38">
        <f t="shared" si="1"/>
        <v>20</v>
      </c>
      <c r="K38">
        <f t="shared" si="2"/>
        <v>25</v>
      </c>
      <c r="L38">
        <f t="shared" si="3"/>
        <v>11.428571428571427</v>
      </c>
      <c r="M38">
        <f t="shared" si="4"/>
        <v>14.285714285714285</v>
      </c>
      <c r="N38">
        <f t="shared" si="5"/>
        <v>31.428571428571427</v>
      </c>
      <c r="O38">
        <f t="shared" si="6"/>
        <v>39.285714285714285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158</v>
      </c>
      <c r="CW38">
        <f t="shared" si="91"/>
        <v>177.75</v>
      </c>
      <c r="CX38">
        <f t="shared" si="91"/>
        <v>30.428571428571427</v>
      </c>
      <c r="CY38">
        <f t="shared" si="91"/>
        <v>38.857142857142854</v>
      </c>
      <c r="CZ38">
        <f t="shared" si="93"/>
        <v>188.42857142857142</v>
      </c>
      <c r="DA38">
        <f t="shared" si="93"/>
        <v>216.60714285714283</v>
      </c>
    </row>
    <row r="39" spans="1:105" x14ac:dyDescent="0.35">
      <c r="I39" s="12">
        <f>'Required Capacity (Hide)'!E39</f>
        <v>44160</v>
      </c>
      <c r="J39">
        <f t="shared" si="1"/>
        <v>20</v>
      </c>
      <c r="K39">
        <f t="shared" si="2"/>
        <v>25</v>
      </c>
      <c r="L39">
        <f t="shared" si="3"/>
        <v>11.428571428571427</v>
      </c>
      <c r="M39">
        <f t="shared" si="4"/>
        <v>14.285714285714285</v>
      </c>
      <c r="N39">
        <f t="shared" si="5"/>
        <v>31.428571428571427</v>
      </c>
      <c r="O39">
        <f t="shared" si="6"/>
        <v>39.285714285714285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158</v>
      </c>
      <c r="CW39">
        <f t="shared" si="91"/>
        <v>177.75</v>
      </c>
      <c r="CX39">
        <f t="shared" si="91"/>
        <v>30.428571428571427</v>
      </c>
      <c r="CY39">
        <f t="shared" si="91"/>
        <v>38.857142857142854</v>
      </c>
      <c r="CZ39">
        <f t="shared" si="93"/>
        <v>188.42857142857142</v>
      </c>
      <c r="DA39">
        <f t="shared" si="93"/>
        <v>216.60714285714283</v>
      </c>
    </row>
    <row r="40" spans="1:105" x14ac:dyDescent="0.35">
      <c r="I40" s="12">
        <f>'Required Capacity (Hide)'!E40</f>
        <v>44167</v>
      </c>
      <c r="J40">
        <f t="shared" si="1"/>
        <v>20</v>
      </c>
      <c r="K40">
        <f t="shared" si="2"/>
        <v>25</v>
      </c>
      <c r="L40">
        <f t="shared" si="3"/>
        <v>11.428571428571427</v>
      </c>
      <c r="M40">
        <f t="shared" si="4"/>
        <v>14.285714285714285</v>
      </c>
      <c r="N40">
        <f t="shared" si="5"/>
        <v>31.428571428571427</v>
      </c>
      <c r="O40">
        <f t="shared" si="6"/>
        <v>39.285714285714285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158</v>
      </c>
      <c r="CW40">
        <f t="shared" si="91"/>
        <v>177.75</v>
      </c>
      <c r="CX40">
        <f t="shared" si="91"/>
        <v>30.428571428571427</v>
      </c>
      <c r="CY40">
        <f t="shared" si="91"/>
        <v>38.857142857142854</v>
      </c>
      <c r="CZ40">
        <f t="shared" si="93"/>
        <v>188.42857142857142</v>
      </c>
      <c r="DA40">
        <f t="shared" si="93"/>
        <v>216.60714285714283</v>
      </c>
    </row>
    <row r="41" spans="1:105" x14ac:dyDescent="0.35">
      <c r="I41" s="12">
        <f>'Required Capacity (Hide)'!E41</f>
        <v>44174</v>
      </c>
      <c r="J41">
        <f t="shared" si="1"/>
        <v>20</v>
      </c>
      <c r="K41">
        <f t="shared" si="2"/>
        <v>25</v>
      </c>
      <c r="L41">
        <f t="shared" si="3"/>
        <v>11.428571428571427</v>
      </c>
      <c r="M41">
        <f t="shared" si="4"/>
        <v>14.285714285714285</v>
      </c>
      <c r="N41">
        <f t="shared" si="5"/>
        <v>31.428571428571427</v>
      </c>
      <c r="O41">
        <f t="shared" si="6"/>
        <v>39.285714285714285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158</v>
      </c>
      <c r="CW41">
        <f t="shared" si="91"/>
        <v>177.75</v>
      </c>
      <c r="CX41">
        <f t="shared" si="91"/>
        <v>30.428571428571427</v>
      </c>
      <c r="CY41">
        <f t="shared" si="91"/>
        <v>38.857142857142854</v>
      </c>
      <c r="CZ41">
        <f t="shared" si="93"/>
        <v>188.42857142857142</v>
      </c>
      <c r="DA41">
        <f t="shared" si="93"/>
        <v>216.60714285714283</v>
      </c>
    </row>
    <row r="42" spans="1:105" x14ac:dyDescent="0.35">
      <c r="I42" s="12">
        <f>'Required Capacity (Hide)'!E42</f>
        <v>44181</v>
      </c>
      <c r="J42">
        <f t="shared" si="1"/>
        <v>20</v>
      </c>
      <c r="K42">
        <f t="shared" si="2"/>
        <v>25</v>
      </c>
      <c r="L42">
        <f t="shared" si="3"/>
        <v>11.428571428571427</v>
      </c>
      <c r="M42">
        <f t="shared" si="4"/>
        <v>14.285714285714285</v>
      </c>
      <c r="N42">
        <f t="shared" si="5"/>
        <v>31.428571428571427</v>
      </c>
      <c r="O42">
        <f t="shared" si="6"/>
        <v>39.285714285714285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158</v>
      </c>
      <c r="CW42">
        <f t="shared" si="91"/>
        <v>177.75</v>
      </c>
      <c r="CX42">
        <f t="shared" si="91"/>
        <v>30.428571428571427</v>
      </c>
      <c r="CY42">
        <f t="shared" si="91"/>
        <v>38.857142857142854</v>
      </c>
      <c r="CZ42">
        <f t="shared" si="93"/>
        <v>188.42857142857142</v>
      </c>
      <c r="DA42">
        <f t="shared" si="93"/>
        <v>216.60714285714283</v>
      </c>
    </row>
    <row r="43" spans="1:105" x14ac:dyDescent="0.35">
      <c r="I43" s="12">
        <f>'Required Capacity (Hide)'!E43</f>
        <v>44188</v>
      </c>
      <c r="J43">
        <f t="shared" si="1"/>
        <v>20</v>
      </c>
      <c r="K43">
        <f t="shared" si="2"/>
        <v>25</v>
      </c>
      <c r="L43">
        <f t="shared" si="3"/>
        <v>11.428571428571427</v>
      </c>
      <c r="M43">
        <f t="shared" si="4"/>
        <v>14.285714285714285</v>
      </c>
      <c r="N43">
        <f t="shared" si="5"/>
        <v>31.428571428571427</v>
      </c>
      <c r="O43">
        <f t="shared" si="6"/>
        <v>39.285714285714285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158</v>
      </c>
      <c r="CW43">
        <f t="shared" si="91"/>
        <v>177.75</v>
      </c>
      <c r="CX43">
        <f t="shared" si="91"/>
        <v>30.428571428571427</v>
      </c>
      <c r="CY43">
        <f t="shared" si="91"/>
        <v>38.857142857142854</v>
      </c>
      <c r="CZ43">
        <f t="shared" si="93"/>
        <v>188.42857142857142</v>
      </c>
      <c r="DA43">
        <f t="shared" si="93"/>
        <v>216.60714285714283</v>
      </c>
    </row>
    <row r="44" spans="1:105" x14ac:dyDescent="0.35">
      <c r="I44" s="12">
        <f>'Required Capacity (Hide)'!E44</f>
        <v>44195</v>
      </c>
      <c r="J44">
        <f t="shared" si="1"/>
        <v>20</v>
      </c>
      <c r="K44">
        <f t="shared" si="2"/>
        <v>25</v>
      </c>
      <c r="L44">
        <f t="shared" si="3"/>
        <v>11.428571428571427</v>
      </c>
      <c r="M44">
        <f t="shared" si="4"/>
        <v>14.285714285714285</v>
      </c>
      <c r="N44">
        <f t="shared" si="5"/>
        <v>31.428571428571427</v>
      </c>
      <c r="O44">
        <f t="shared" si="6"/>
        <v>39.285714285714285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158</v>
      </c>
      <c r="CW44">
        <f t="shared" si="91"/>
        <v>177.75</v>
      </c>
      <c r="CX44">
        <f t="shared" si="91"/>
        <v>30.428571428571427</v>
      </c>
      <c r="CY44">
        <f t="shared" si="91"/>
        <v>38.857142857142854</v>
      </c>
      <c r="CZ44">
        <f t="shared" si="93"/>
        <v>188.42857142857142</v>
      </c>
      <c r="DA44">
        <f t="shared" si="93"/>
        <v>216.60714285714283</v>
      </c>
    </row>
    <row r="45" spans="1:105" x14ac:dyDescent="0.35">
      <c r="I45" s="12">
        <f>'Required Capacity (Hide)'!E45</f>
        <v>44202</v>
      </c>
      <c r="J45">
        <f t="shared" si="1"/>
        <v>20</v>
      </c>
      <c r="K45">
        <f t="shared" si="2"/>
        <v>25</v>
      </c>
      <c r="L45">
        <f t="shared" si="3"/>
        <v>11.428571428571427</v>
      </c>
      <c r="M45">
        <f t="shared" si="4"/>
        <v>14.285714285714285</v>
      </c>
      <c r="N45">
        <f t="shared" si="5"/>
        <v>31.428571428571427</v>
      </c>
      <c r="O45">
        <f t="shared" si="6"/>
        <v>39.285714285714285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158</v>
      </c>
      <c r="CW45">
        <f t="shared" si="91"/>
        <v>177.75</v>
      </c>
      <c r="CX45">
        <f t="shared" si="91"/>
        <v>30.428571428571427</v>
      </c>
      <c r="CY45">
        <f t="shared" si="91"/>
        <v>38.857142857142854</v>
      </c>
      <c r="CZ45">
        <f t="shared" si="93"/>
        <v>188.42857142857142</v>
      </c>
      <c r="DA45">
        <f t="shared" si="93"/>
        <v>216.60714285714283</v>
      </c>
    </row>
    <row r="46" spans="1:105" x14ac:dyDescent="0.35">
      <c r="I46" s="12">
        <f>'Required Capacity (Hide)'!E46</f>
        <v>44209</v>
      </c>
      <c r="J46">
        <f t="shared" si="1"/>
        <v>20</v>
      </c>
      <c r="K46">
        <f t="shared" si="2"/>
        <v>25</v>
      </c>
      <c r="L46">
        <f t="shared" si="3"/>
        <v>11.428571428571427</v>
      </c>
      <c r="M46">
        <f t="shared" si="4"/>
        <v>14.285714285714285</v>
      </c>
      <c r="N46">
        <f t="shared" si="5"/>
        <v>31.428571428571427</v>
      </c>
      <c r="O46">
        <f t="shared" si="6"/>
        <v>39.285714285714285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158</v>
      </c>
      <c r="CW46">
        <f t="shared" si="91"/>
        <v>177.75</v>
      </c>
      <c r="CX46">
        <f t="shared" si="91"/>
        <v>30.428571428571427</v>
      </c>
      <c r="CY46">
        <f t="shared" si="91"/>
        <v>38.857142857142854</v>
      </c>
      <c r="CZ46">
        <f t="shared" si="93"/>
        <v>188.42857142857142</v>
      </c>
      <c r="DA46">
        <f t="shared" si="93"/>
        <v>216.60714285714283</v>
      </c>
    </row>
    <row r="47" spans="1:105" x14ac:dyDescent="0.35">
      <c r="I47" s="12">
        <f>'Required Capacity (Hide)'!E47</f>
        <v>44216</v>
      </c>
      <c r="J47">
        <f t="shared" si="1"/>
        <v>20</v>
      </c>
      <c r="K47">
        <f t="shared" si="2"/>
        <v>25</v>
      </c>
      <c r="L47">
        <f t="shared" si="3"/>
        <v>11.428571428571427</v>
      </c>
      <c r="M47">
        <f t="shared" si="4"/>
        <v>14.285714285714285</v>
      </c>
      <c r="N47">
        <f t="shared" si="5"/>
        <v>31.428571428571427</v>
      </c>
      <c r="O47">
        <f t="shared" si="6"/>
        <v>39.285714285714285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158</v>
      </c>
      <c r="CW47">
        <f t="shared" si="91"/>
        <v>177.75</v>
      </c>
      <c r="CX47">
        <f t="shared" si="91"/>
        <v>30.428571428571427</v>
      </c>
      <c r="CY47">
        <f t="shared" si="91"/>
        <v>38.857142857142854</v>
      </c>
      <c r="CZ47">
        <f t="shared" si="93"/>
        <v>188.42857142857142</v>
      </c>
      <c r="DA47">
        <f t="shared" si="93"/>
        <v>216.60714285714283</v>
      </c>
    </row>
    <row r="48" spans="1:105" x14ac:dyDescent="0.35">
      <c r="I48" s="12">
        <f>'Required Capacity (Hide)'!E48</f>
        <v>44223</v>
      </c>
      <c r="J48">
        <f t="shared" si="1"/>
        <v>20</v>
      </c>
      <c r="K48">
        <f t="shared" si="2"/>
        <v>25</v>
      </c>
      <c r="L48">
        <f t="shared" si="3"/>
        <v>11.428571428571427</v>
      </c>
      <c r="M48">
        <f t="shared" si="4"/>
        <v>14.285714285714285</v>
      </c>
      <c r="N48">
        <f t="shared" si="5"/>
        <v>31.428571428571427</v>
      </c>
      <c r="O48">
        <f t="shared" si="6"/>
        <v>39.285714285714285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158</v>
      </c>
      <c r="CW48">
        <f t="shared" si="91"/>
        <v>177.75</v>
      </c>
      <c r="CX48">
        <f t="shared" si="91"/>
        <v>30.428571428571427</v>
      </c>
      <c r="CY48">
        <f t="shared" si="91"/>
        <v>38.857142857142854</v>
      </c>
      <c r="CZ48">
        <f t="shared" si="93"/>
        <v>188.42857142857142</v>
      </c>
      <c r="DA48">
        <f t="shared" si="93"/>
        <v>216.60714285714283</v>
      </c>
    </row>
    <row r="49" spans="8:105" x14ac:dyDescent="0.35">
      <c r="I49" s="12">
        <f>'Required Capacity (Hide)'!E49</f>
        <v>44230</v>
      </c>
      <c r="J49">
        <f t="shared" si="1"/>
        <v>20</v>
      </c>
      <c r="K49">
        <f t="shared" si="2"/>
        <v>25</v>
      </c>
      <c r="L49">
        <f t="shared" si="3"/>
        <v>11.428571428571427</v>
      </c>
      <c r="M49">
        <f t="shared" si="4"/>
        <v>14.285714285714285</v>
      </c>
      <c r="N49">
        <f t="shared" si="5"/>
        <v>31.428571428571427</v>
      </c>
      <c r="O49">
        <f t="shared" si="6"/>
        <v>39.285714285714285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158</v>
      </c>
      <c r="CW49">
        <f t="shared" si="91"/>
        <v>177.75</v>
      </c>
      <c r="CX49">
        <f t="shared" si="91"/>
        <v>30.428571428571427</v>
      </c>
      <c r="CY49">
        <f t="shared" si="91"/>
        <v>38.857142857142854</v>
      </c>
      <c r="CZ49">
        <f t="shared" si="93"/>
        <v>188.42857142857142</v>
      </c>
      <c r="DA49">
        <f t="shared" si="93"/>
        <v>216.60714285714283</v>
      </c>
    </row>
    <row r="50" spans="8:105" x14ac:dyDescent="0.35">
      <c r="I50" s="12">
        <f>'Required Capacity (Hide)'!E50</f>
        <v>44237</v>
      </c>
      <c r="J50">
        <f t="shared" si="1"/>
        <v>20</v>
      </c>
      <c r="K50">
        <f t="shared" si="2"/>
        <v>25</v>
      </c>
      <c r="L50">
        <f t="shared" si="3"/>
        <v>11.428571428571427</v>
      </c>
      <c r="M50">
        <f t="shared" si="4"/>
        <v>14.285714285714285</v>
      </c>
      <c r="N50">
        <f t="shared" si="5"/>
        <v>31.428571428571427</v>
      </c>
      <c r="O50">
        <f t="shared" si="6"/>
        <v>39.285714285714285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158</v>
      </c>
      <c r="CW50">
        <f t="shared" si="91"/>
        <v>177.75</v>
      </c>
      <c r="CX50">
        <f t="shared" si="91"/>
        <v>30.428571428571427</v>
      </c>
      <c r="CY50">
        <f t="shared" si="91"/>
        <v>38.857142857142854</v>
      </c>
      <c r="CZ50">
        <f t="shared" si="93"/>
        <v>188.42857142857142</v>
      </c>
      <c r="DA50">
        <f t="shared" si="93"/>
        <v>216.60714285714283</v>
      </c>
    </row>
    <row r="51" spans="8:105" x14ac:dyDescent="0.35">
      <c r="I51" s="12">
        <f>'Required Capacity (Hide)'!E51</f>
        <v>44244</v>
      </c>
      <c r="J51">
        <f t="shared" si="1"/>
        <v>20</v>
      </c>
      <c r="K51">
        <f t="shared" si="2"/>
        <v>25</v>
      </c>
      <c r="L51">
        <f t="shared" si="3"/>
        <v>11.428571428571427</v>
      </c>
      <c r="M51">
        <f t="shared" si="4"/>
        <v>14.285714285714285</v>
      </c>
      <c r="N51">
        <f t="shared" si="5"/>
        <v>31.428571428571427</v>
      </c>
      <c r="O51">
        <f t="shared" si="6"/>
        <v>39.285714285714285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158</v>
      </c>
      <c r="CW51">
        <f t="shared" si="91"/>
        <v>177.75</v>
      </c>
      <c r="CX51">
        <f t="shared" si="91"/>
        <v>30.428571428571427</v>
      </c>
      <c r="CY51">
        <f t="shared" si="91"/>
        <v>38.857142857142854</v>
      </c>
      <c r="CZ51">
        <f t="shared" si="93"/>
        <v>188.42857142857142</v>
      </c>
      <c r="DA51">
        <f t="shared" si="93"/>
        <v>216.60714285714283</v>
      </c>
    </row>
    <row r="52" spans="8:105" x14ac:dyDescent="0.35">
      <c r="I52" s="12">
        <f>'Required Capacity (Hide)'!E52</f>
        <v>44251</v>
      </c>
      <c r="J52">
        <f t="shared" si="1"/>
        <v>20</v>
      </c>
      <c r="K52">
        <f t="shared" si="2"/>
        <v>25</v>
      </c>
      <c r="L52">
        <f t="shared" si="3"/>
        <v>11.428571428571427</v>
      </c>
      <c r="M52">
        <f t="shared" si="4"/>
        <v>14.285714285714285</v>
      </c>
      <c r="N52">
        <f t="shared" si="5"/>
        <v>31.428571428571427</v>
      </c>
      <c r="O52">
        <f t="shared" si="6"/>
        <v>39.285714285714285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158</v>
      </c>
      <c r="CW52">
        <f t="shared" si="91"/>
        <v>177.75</v>
      </c>
      <c r="CX52">
        <f t="shared" si="91"/>
        <v>30.428571428571427</v>
      </c>
      <c r="CY52">
        <f t="shared" si="91"/>
        <v>38.857142857142854</v>
      </c>
      <c r="CZ52">
        <f t="shared" si="93"/>
        <v>188.42857142857142</v>
      </c>
      <c r="DA52">
        <f t="shared" si="93"/>
        <v>216.60714285714283</v>
      </c>
    </row>
    <row r="53" spans="8:105" x14ac:dyDescent="0.35">
      <c r="I53" s="12">
        <f>'Required Capacity (Hide)'!E53</f>
        <v>44258</v>
      </c>
      <c r="J53">
        <f t="shared" si="1"/>
        <v>20</v>
      </c>
      <c r="K53">
        <f t="shared" si="2"/>
        <v>25</v>
      </c>
      <c r="L53">
        <f t="shared" si="3"/>
        <v>11.428571428571427</v>
      </c>
      <c r="M53">
        <f t="shared" si="4"/>
        <v>14.285714285714285</v>
      </c>
      <c r="N53">
        <f t="shared" si="5"/>
        <v>31.428571428571427</v>
      </c>
      <c r="O53">
        <f t="shared" si="6"/>
        <v>39.285714285714285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158</v>
      </c>
      <c r="CW53">
        <f t="shared" si="91"/>
        <v>177.75</v>
      </c>
      <c r="CX53">
        <f t="shared" si="91"/>
        <v>30.428571428571427</v>
      </c>
      <c r="CY53">
        <f t="shared" si="91"/>
        <v>38.857142857142854</v>
      </c>
      <c r="CZ53">
        <f t="shared" si="93"/>
        <v>188.42857142857142</v>
      </c>
      <c r="DA53">
        <f t="shared" si="93"/>
        <v>216.60714285714283</v>
      </c>
    </row>
    <row r="54" spans="8:105" x14ac:dyDescent="0.35">
      <c r="I54" s="12">
        <f>'Required Capacity (Hide)'!E54</f>
        <v>44265</v>
      </c>
      <c r="J54">
        <f t="shared" si="1"/>
        <v>20</v>
      </c>
      <c r="K54">
        <f t="shared" si="2"/>
        <v>25</v>
      </c>
      <c r="L54">
        <f t="shared" si="3"/>
        <v>11.428571428571427</v>
      </c>
      <c r="M54">
        <f t="shared" si="4"/>
        <v>14.285714285714285</v>
      </c>
      <c r="N54">
        <f t="shared" si="5"/>
        <v>31.428571428571427</v>
      </c>
      <c r="O54">
        <f t="shared" si="6"/>
        <v>39.285714285714285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158</v>
      </c>
      <c r="CW54">
        <f t="shared" si="91"/>
        <v>177.75</v>
      </c>
      <c r="CX54">
        <f t="shared" si="91"/>
        <v>30.428571428571427</v>
      </c>
      <c r="CY54">
        <f t="shared" si="91"/>
        <v>38.857142857142854</v>
      </c>
      <c r="CZ54">
        <f t="shared" si="93"/>
        <v>188.42857142857142</v>
      </c>
      <c r="DA54">
        <f t="shared" si="93"/>
        <v>216.60714285714283</v>
      </c>
    </row>
    <row r="55" spans="8:105" x14ac:dyDescent="0.35">
      <c r="I55" s="12">
        <f>'Required Capacity (Hide)'!E55</f>
        <v>44272</v>
      </c>
      <c r="J55">
        <f t="shared" si="1"/>
        <v>20</v>
      </c>
      <c r="K55">
        <f t="shared" si="2"/>
        <v>25</v>
      </c>
      <c r="L55">
        <f t="shared" si="3"/>
        <v>11.428571428571427</v>
      </c>
      <c r="M55">
        <f t="shared" si="4"/>
        <v>14.285714285714285</v>
      </c>
      <c r="N55">
        <f t="shared" si="5"/>
        <v>31.428571428571427</v>
      </c>
      <c r="O55">
        <f t="shared" si="6"/>
        <v>39.285714285714285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158</v>
      </c>
      <c r="CW55">
        <f t="shared" si="91"/>
        <v>177.75</v>
      </c>
      <c r="CX55">
        <f t="shared" si="91"/>
        <v>30.428571428571427</v>
      </c>
      <c r="CY55">
        <f t="shared" si="91"/>
        <v>38.857142857142854</v>
      </c>
      <c r="CZ55">
        <f t="shared" si="93"/>
        <v>188.42857142857142</v>
      </c>
      <c r="DA55">
        <f t="shared" si="93"/>
        <v>216.60714285714283</v>
      </c>
    </row>
    <row r="56" spans="8:105" ht="15" thickBot="1" x14ac:dyDescent="0.4">
      <c r="I56" s="13">
        <f>'Required Capacity (Hide)'!E56</f>
        <v>44279</v>
      </c>
      <c r="J56">
        <f t="shared" si="1"/>
        <v>20</v>
      </c>
      <c r="K56">
        <f t="shared" si="2"/>
        <v>25</v>
      </c>
      <c r="L56">
        <f t="shared" si="3"/>
        <v>11.428571428571427</v>
      </c>
      <c r="M56">
        <f t="shared" si="4"/>
        <v>14.285714285714285</v>
      </c>
      <c r="N56">
        <f t="shared" si="5"/>
        <v>31.428571428571427</v>
      </c>
      <c r="O56">
        <f t="shared" si="6"/>
        <v>39.285714285714285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158</v>
      </c>
      <c r="CW56">
        <f t="shared" si="91"/>
        <v>177.75</v>
      </c>
      <c r="CX56">
        <f t="shared" si="91"/>
        <v>30.428571428571427</v>
      </c>
      <c r="CY56">
        <f t="shared" si="91"/>
        <v>38.857142857142854</v>
      </c>
      <c r="CZ56">
        <f t="shared" si="93"/>
        <v>188.42857142857142</v>
      </c>
      <c r="DA56">
        <f t="shared" si="93"/>
        <v>216.60714285714283</v>
      </c>
    </row>
    <row r="58" spans="8:105" x14ac:dyDescent="0.35">
      <c r="H58" t="s">
        <v>128</v>
      </c>
      <c r="I58" s="14"/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5"/>
      <c r="CS58" s="14" t="s">
        <v>44</v>
      </c>
      <c r="CT58" s="5"/>
      <c r="CU58" s="14" t="s">
        <v>44</v>
      </c>
    </row>
    <row r="59" spans="8:105" x14ac:dyDescent="0.35">
      <c r="I59" s="14" t="s">
        <v>129</v>
      </c>
      <c r="J59" s="5">
        <f>AVERAGE(J5:J56)</f>
        <v>20</v>
      </c>
      <c r="K59" s="5">
        <f>AVERAGE(K5:K56)-J59</f>
        <v>5</v>
      </c>
      <c r="L59" s="5">
        <f t="shared" ref="L59" si="96">AVERAGE(L5:L56)</f>
        <v>11.428571428571434</v>
      </c>
      <c r="M59" s="5">
        <f t="shared" ref="M59" si="97">AVERAGE(M5:M56)-L59</f>
        <v>2.857142857142863</v>
      </c>
      <c r="N59" s="5">
        <f t="shared" ref="N59" si="98">AVERAGE(N5:N56)</f>
        <v>31.428571428571395</v>
      </c>
      <c r="O59" s="5">
        <f t="shared" ref="O59" si="99">AVERAGE(O5:O56)-N59</f>
        <v>7.8571428571428683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70</v>
      </c>
      <c r="AC59" s="5">
        <f t="shared" ref="AC59" si="113">AVERAGE(AC5:AC56)-AB59</f>
        <v>1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70</v>
      </c>
      <c r="AG59" s="5">
        <f t="shared" ref="AG59" si="117">AVERAGE(AG5:AG56)-AF59</f>
        <v>1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130</v>
      </c>
      <c r="I62" s="14"/>
      <c r="J62" s="5" t="s">
        <v>60</v>
      </c>
      <c r="K62" s="5" t="s">
        <v>44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31.428571428571395</v>
      </c>
      <c r="K63" s="5" cm="1">
        <f t="array" ref="K63">INDEX($J$59:$DA$60,1,MATCH(1,($I63=$J$1:$CU$1)*($K$62=$J$58:$CU$58)*(Planning!$M$2=$J$2:$CU$2),0))</f>
        <v>7.8571428571428683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110</v>
      </c>
      <c r="I79" s="14"/>
    </row>
    <row r="80" spans="1:11" x14ac:dyDescent="0.35">
      <c r="I80" s="14"/>
    </row>
    <row r="81" spans="1:6" x14ac:dyDescent="0.35">
      <c r="A81" t="s">
        <v>45</v>
      </c>
      <c r="B81" t="s">
        <v>164</v>
      </c>
      <c r="C81" t="s">
        <v>165</v>
      </c>
      <c r="D81" t="s">
        <v>53</v>
      </c>
      <c r="E81" t="s">
        <v>51</v>
      </c>
      <c r="F81" t="s">
        <v>64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57</v>
      </c>
    </row>
    <row r="100" spans="1:9" x14ac:dyDescent="0.35">
      <c r="A100" t="str">
        <f>Service!B4</f>
        <v>20 Group Sessions</v>
      </c>
      <c r="B100" t="str">
        <f>Service!C4</f>
        <v>GS</v>
      </c>
      <c r="C100">
        <f>Service!D4</f>
        <v>240</v>
      </c>
      <c r="D100" cm="1">
        <f t="array" ref="D100">IFERROR(INDEX(Planning!$D$44:$D$58,MATCH(1,(Planning!$A$44:$A$58='Planning Backing (Hide)'!A100)*(Planning!$B$44:$B$58='Planning Backing (Hide)'!B100),0),1),Service!E4)</f>
        <v>7</v>
      </c>
      <c r="E100" t="str">
        <f>Service!F4</f>
        <v>Once a week</v>
      </c>
      <c r="F100">
        <f>Service!G4</f>
        <v>1</v>
      </c>
      <c r="G100">
        <f>C100/D100*F100</f>
        <v>34.285714285714285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Service!B5</f>
        <v>20 Group Sessions</v>
      </c>
      <c r="B101" t="str">
        <f>Service!C5</f>
        <v>Ind</v>
      </c>
      <c r="C101">
        <f>Service!D5</f>
        <v>15</v>
      </c>
      <c r="D101" cm="1">
        <f t="array" ref="D101">IFERROR(INDEX(Planning!$D$44:$D$58,MATCH(1,(Planning!$A$44:$A$58='Planning Backing (Hide)'!A101)*(Planning!$B$44:$B$58='Planning Backing (Hide)'!B101),0),1),Service!E5)</f>
        <v>1</v>
      </c>
      <c r="E101" t="str">
        <f>Service!F5</f>
        <v>Daily (Weekdays)</v>
      </c>
      <c r="F101">
        <f>Service!G5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20 Group Sessions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20 Group Sessions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20 Group Sessions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40 Group Session</v>
      </c>
      <c r="B105" t="str">
        <f>Service!C9</f>
        <v>gs</v>
      </c>
      <c r="C105">
        <f>Service!D9</f>
        <v>240</v>
      </c>
      <c r="D105" cm="1">
        <f t="array" ref="D105">IFERROR(INDEX(Planning!$D$44:$D$58,MATCH(1,(Planning!$A$44:$A$58='Planning Backing (Hide)'!A105)*(Planning!$B$44:$B$58='Planning Backing (Hide)'!B105),0),1),Service!E9)</f>
        <v>7</v>
      </c>
      <c r="E105" t="str">
        <f>Service!F9</f>
        <v>Once a week</v>
      </c>
      <c r="F105">
        <f>Service!G9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Service!B10</f>
        <v>40 Group Session</v>
      </c>
      <c r="B106" t="str">
        <f>Service!C10</f>
        <v>ind</v>
      </c>
      <c r="C106">
        <f>Service!D10</f>
        <v>120</v>
      </c>
      <c r="D106" cm="1">
        <f t="array" ref="D106">IFERROR(INDEX(Planning!$D$44:$D$58,MATCH(1,(Planning!$A$44:$A$58='Planning Backing (Hide)'!A106)*(Planning!$B$44:$B$58='Planning Backing (Hide)'!B106),0),1),Service!E10)</f>
        <v>1</v>
      </c>
      <c r="E106" t="str">
        <f>Service!F10</f>
        <v>Once a week</v>
      </c>
      <c r="F106">
        <f>Service!G10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40 Group Session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40 Group Session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40 Group Session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8 Group Session</v>
      </c>
      <c r="B110" t="str">
        <f>Service!C14</f>
        <v>GS</v>
      </c>
      <c r="C110">
        <f>Service!D14</f>
        <v>240</v>
      </c>
      <c r="D110" cm="1">
        <f t="array" ref="D110">IFERROR(INDEX(Planning!$D$44:$D$58,MATCH(1,(Planning!$A$44:$A$58='Planning Backing (Hide)'!A110)*(Planning!$B$44:$B$58='Planning Backing (Hide)'!B110),0),1),Service!E14)</f>
        <v>7</v>
      </c>
      <c r="E110" t="str">
        <f>Service!F14</f>
        <v>Once a week</v>
      </c>
      <c r="F110">
        <f>Service!G14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Service!B15</f>
        <v>8 Group Session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8 Group Session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8 Group Session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8 Group Session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20 Individual</v>
      </c>
      <c r="B115" t="str">
        <f>Service!C19</f>
        <v>Ind</v>
      </c>
      <c r="C115">
        <f>Service!D19</f>
        <v>60</v>
      </c>
      <c r="D115" cm="1">
        <f t="array" ref="D115">IFERROR(INDEX(Planning!$D$44:$D$58,MATCH(1,(Planning!$A$44:$A$58='Planning Backing (Hide)'!A115)*(Planning!$B$44:$B$58='Planning Backing (Hide)'!B115),0),1),Service!E19)</f>
        <v>1</v>
      </c>
      <c r="E115" t="str">
        <f>Service!F19</f>
        <v>Once a week</v>
      </c>
      <c r="F115">
        <f>Service!G19</f>
        <v>1</v>
      </c>
      <c r="G115">
        <f t="shared" si="185"/>
        <v>60</v>
      </c>
      <c r="H115">
        <f>SUMIF(INDEX($D$100:$D$174,ROW(A16),0):INDEX($D$100:$D$174,ROUNDUP(ROW(A16)/5,0)*5,1),1,INDEX($G$100:$G$174,ROW(A16),0):INDEX($G$100:$G$174,ROUNDUP(ROW(A16)/5,0)*5,1))</f>
        <v>60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20 Individual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20 Individual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20 Individual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20 Individual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40 Individual</v>
      </c>
      <c r="B120" t="str">
        <f>Service!C24</f>
        <v>Ind</v>
      </c>
      <c r="C120">
        <f>Service!D24</f>
        <v>60</v>
      </c>
      <c r="D120" cm="1">
        <f t="array" ref="D120">IFERROR(INDEX(Planning!$D$44:$D$58,MATCH(1,(Planning!$A$44:$A$58='Planning Backing (Hide)'!A120)*(Planning!$B$44:$B$58='Planning Backing (Hide)'!B120),0),1),Service!E24)</f>
        <v>1</v>
      </c>
      <c r="E120" t="str">
        <f>Service!F24</f>
        <v>Once a week</v>
      </c>
      <c r="F120">
        <f>Service!G24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40 Individual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40 Individual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40 Individual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40 Individual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Caseload 6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Caseload 6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Caseload 6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Caseload 6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Caseload 6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2020-12-11T16:57:49Z</dcterms:modified>
</cp:coreProperties>
</file>