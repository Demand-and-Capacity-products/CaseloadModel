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8DC4ADB7-6786-4D16-8E53-36070A3CCAC2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8" l="1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W2" i="5" l="1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E63" i="7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D10" i="2"/>
  <c r="C5" i="5" s="1"/>
  <c r="D11" i="2"/>
  <c r="C6" i="5" s="1"/>
  <c r="D6" i="5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T119" i="10" s="1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S125" i="10" s="1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K125" i="10" s="1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S114" i="10" s="1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E124" i="10"/>
  <c r="G124" i="10"/>
  <c r="B121" i="10"/>
  <c r="E117" i="10"/>
  <c r="C114" i="10"/>
  <c r="C11" i="2"/>
  <c r="A12" i="2"/>
  <c r="E12" i="2" s="1"/>
  <c r="B114" i="10" l="1"/>
  <c r="W114" i="10"/>
  <c r="AJ248" i="10"/>
  <c r="W248" i="10"/>
  <c r="E6" i="5"/>
  <c r="W244" i="10"/>
  <c r="X244" i="10"/>
  <c r="AJ244" i="10"/>
  <c r="AZ248" i="10"/>
  <c r="AM248" i="10"/>
  <c r="P245" i="10"/>
  <c r="I116" i="10"/>
  <c r="AD119" i="10"/>
  <c r="V244" i="10"/>
  <c r="AX244" i="10"/>
  <c r="K244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H266" i="10" l="1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I261" i="10"/>
  <c r="I264" i="10"/>
  <c r="W257" i="10"/>
  <c r="H264" i="10"/>
  <c r="H261" i="10"/>
  <c r="BC114" i="10"/>
  <c r="D263" i="10" s="1"/>
  <c r="B280" i="10" s="1" a="1"/>
  <c r="B280" i="10" s="1"/>
  <c r="BC121" i="10"/>
  <c r="D270" i="10" s="1"/>
  <c r="B287" i="10" s="1" a="1"/>
  <c r="B287" i="10" s="1"/>
  <c r="I265" i="10"/>
  <c r="BC120" i="10"/>
  <c r="D269" i="10" s="1"/>
  <c r="B278" i="10" a="1"/>
  <c r="B278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J273" i="10" l="1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C17" i="2"/>
  <c r="B12" i="5" s="1"/>
  <c r="X10" i="5" l="1" a="1"/>
  <c r="X10" i="5" s="1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R2" i="3" s="1" a="1"/>
  <c r="R2" i="3" s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E5" i="7" a="1"/>
  <c r="E5" i="7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/>
  <c r="A137" i="10" s="1"/>
  <c r="B111" i="10" l="1" a="1"/>
  <c r="B111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W172" i="5"/>
  <c r="W146" i="5"/>
  <c r="W253" i="5"/>
  <c r="AL253" i="5" s="1"/>
  <c r="W18" i="5"/>
  <c r="W110" i="5"/>
  <c r="AL110" i="5" s="1"/>
  <c r="W259" i="5"/>
  <c r="AL259" i="5" s="1"/>
  <c r="W10" i="5"/>
  <c r="B14" i="7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33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X7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CL37" i="7" s="1"/>
  <c r="U72" i="5"/>
  <c r="U192" i="5"/>
  <c r="B6" i="7"/>
  <c r="C6" i="7" s="1"/>
  <c r="U256" i="5"/>
  <c r="B10" i="7"/>
  <c r="C10" i="7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AJ246" i="5"/>
  <c r="AJ163" i="5"/>
  <c r="AJ89" i="5"/>
  <c r="AJ90" i="5"/>
  <c r="AJ119" i="5"/>
  <c r="BP54" i="7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T38" i="7"/>
  <c r="T15" i="7"/>
  <c r="T49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CL38" i="7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AL16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BH33" i="7"/>
  <c r="BH6" i="7"/>
  <c r="BH24" i="7"/>
  <c r="BJ22" i="7"/>
  <c r="BH55" i="7"/>
  <c r="BH38" i="7"/>
  <c r="BJ49" i="7"/>
  <c r="BJ27" i="7"/>
  <c r="BH13" i="7"/>
  <c r="BJ8" i="7"/>
  <c r="BH48" i="7"/>
  <c r="AJ192" i="5"/>
  <c r="AJ180" i="5"/>
  <c r="AJ181" i="5"/>
  <c r="AJ255" i="5"/>
  <c r="AJ129" i="5"/>
  <c r="AJ254" i="5"/>
  <c r="X32" i="7"/>
  <c r="X18" i="7"/>
  <c r="X52" i="7"/>
  <c r="X49" i="7"/>
  <c r="Z18" i="7"/>
  <c r="Z29" i="7"/>
  <c r="Z6" i="7"/>
  <c r="X27" i="7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C93" i="10" l="1" a="1"/>
  <c r="C93" i="10" s="1"/>
  <c r="C223" i="10" a="1"/>
  <c r="C223" i="10" s="1"/>
  <c r="CN7" i="7"/>
  <c r="C7" i="7"/>
  <c r="T9" i="7"/>
  <c r="T37" i="7"/>
  <c r="T44" i="7"/>
  <c r="R24" i="7"/>
  <c r="R40" i="7"/>
  <c r="T42" i="7"/>
  <c r="T30" i="7"/>
  <c r="R5" i="7"/>
  <c r="T31" i="7"/>
  <c r="R49" i="7"/>
  <c r="R29" i="7"/>
  <c r="T35" i="7"/>
  <c r="R22" i="7"/>
  <c r="T51" i="7"/>
  <c r="R19" i="7"/>
  <c r="R30" i="7"/>
  <c r="V30" i="7" s="1"/>
  <c r="R9" i="7"/>
  <c r="R12" i="7"/>
  <c r="T5" i="7"/>
  <c r="R41" i="7"/>
  <c r="V41" i="7" s="1"/>
  <c r="R45" i="7"/>
  <c r="T40" i="7"/>
  <c r="R6" i="7"/>
  <c r="T34" i="7"/>
  <c r="V34" i="7" s="1"/>
  <c r="T47" i="7"/>
  <c r="T27" i="7"/>
  <c r="R18" i="7"/>
  <c r="R42" i="7"/>
  <c r="T12" i="7"/>
  <c r="R23" i="7"/>
  <c r="T41" i="7"/>
  <c r="R8" i="7"/>
  <c r="T45" i="7"/>
  <c r="R21" i="7"/>
  <c r="T13" i="7"/>
  <c r="T48" i="7"/>
  <c r="V48" i="7" s="1"/>
  <c r="R28" i="7"/>
  <c r="R20" i="7"/>
  <c r="T24" i="7"/>
  <c r="R52" i="7"/>
  <c r="V52" i="7" s="1"/>
  <c r="T8" i="7"/>
  <c r="C14" i="7"/>
  <c r="BH17" i="7"/>
  <c r="BH50" i="7"/>
  <c r="BL50" i="7" s="1"/>
  <c r="BH51" i="7"/>
  <c r="BH27" i="7"/>
  <c r="BH16" i="7"/>
  <c r="BJ12" i="7"/>
  <c r="BJ44" i="7"/>
  <c r="BH35" i="7"/>
  <c r="BJ55" i="7"/>
  <c r="BJ32" i="7"/>
  <c r="BL32" i="7" s="1"/>
  <c r="BJ23" i="7"/>
  <c r="BJ39" i="7"/>
  <c r="BH42" i="7"/>
  <c r="BH39" i="7"/>
  <c r="BH22" i="7"/>
  <c r="BJ45" i="7"/>
  <c r="BH7" i="7"/>
  <c r="BH11" i="7"/>
  <c r="BL11" i="7" s="1"/>
  <c r="BH37" i="7"/>
  <c r="BH36" i="7"/>
  <c r="BH14" i="7"/>
  <c r="BH9" i="7"/>
  <c r="BJ10" i="7"/>
  <c r="BJ24" i="7"/>
  <c r="BH5" i="7"/>
  <c r="BJ48" i="7"/>
  <c r="BH30" i="7"/>
  <c r="BJ6" i="7"/>
  <c r="BJ9" i="7"/>
  <c r="BH54" i="7"/>
  <c r="BL54" i="7" s="1"/>
  <c r="BJ17" i="7"/>
  <c r="BH19" i="7"/>
  <c r="BH47" i="7"/>
  <c r="BJ13" i="7"/>
  <c r="BJ43" i="7"/>
  <c r="BJ37" i="7"/>
  <c r="BH52" i="7"/>
  <c r="BJ5" i="7"/>
  <c r="BJ59" i="7" s="1"/>
  <c r="BJ26" i="7"/>
  <c r="BJ40" i="7"/>
  <c r="BH31" i="7"/>
  <c r="BJ51" i="7"/>
  <c r="BL51" i="7" s="1"/>
  <c r="BH46" i="7"/>
  <c r="BH56" i="7"/>
  <c r="BJ56" i="7"/>
  <c r="BH12" i="7"/>
  <c r="BL12" i="7" s="1"/>
  <c r="BJ47" i="7"/>
  <c r="BJ19" i="7"/>
  <c r="BJ11" i="7"/>
  <c r="BH23" i="7"/>
  <c r="BL23" i="7" s="1"/>
  <c r="BH34" i="7"/>
  <c r="BH43" i="7"/>
  <c r="BJ16" i="7"/>
  <c r="BJ53" i="7"/>
  <c r="BL53" i="7" s="1"/>
  <c r="BH8" i="7"/>
  <c r="BJ42" i="7"/>
  <c r="BH44" i="7"/>
  <c r="BH18" i="7"/>
  <c r="BL18" i="7" s="1"/>
  <c r="BJ33" i="7"/>
  <c r="BJ29" i="7"/>
  <c r="BJ38" i="7"/>
  <c r="BJ7" i="7"/>
  <c r="BL7" i="7" s="1"/>
  <c r="BH21" i="7"/>
  <c r="CL34" i="7"/>
  <c r="R53" i="7"/>
  <c r="R26" i="7"/>
  <c r="V26" i="7" s="1"/>
  <c r="T26" i="7"/>
  <c r="CN56" i="7"/>
  <c r="CL20" i="7"/>
  <c r="CL52" i="7"/>
  <c r="CN37" i="7"/>
  <c r="CN51" i="7"/>
  <c r="CN48" i="7"/>
  <c r="CL13" i="7"/>
  <c r="CP13" i="7" s="1"/>
  <c r="CL25" i="7"/>
  <c r="CN43" i="7"/>
  <c r="CL44" i="7"/>
  <c r="CN36" i="7"/>
  <c r="CN19" i="7"/>
  <c r="CN30" i="7"/>
  <c r="BJ15" i="7"/>
  <c r="BH20" i="7"/>
  <c r="BL20" i="7" s="1"/>
  <c r="BJ46" i="7"/>
  <c r="BH32" i="7"/>
  <c r="BJ50" i="7"/>
  <c r="BJ25" i="7"/>
  <c r="BL25" i="7" s="1"/>
  <c r="BJ30" i="7"/>
  <c r="BJ36" i="7"/>
  <c r="BJ31" i="7"/>
  <c r="BH29" i="7"/>
  <c r="BL29" i="7" s="1"/>
  <c r="BH40" i="7"/>
  <c r="BJ28" i="7"/>
  <c r="BJ52" i="7"/>
  <c r="BJ41" i="7"/>
  <c r="BJ21" i="7"/>
  <c r="BH15" i="7"/>
  <c r="BH53" i="7"/>
  <c r="BH49" i="7"/>
  <c r="BH25" i="7"/>
  <c r="CL9" i="7"/>
  <c r="CN13" i="7"/>
  <c r="R17" i="7"/>
  <c r="R50" i="7"/>
  <c r="R35" i="7"/>
  <c r="BJ34" i="7"/>
  <c r="BJ20" i="7"/>
  <c r="BH10" i="7"/>
  <c r="BL10" i="7" s="1"/>
  <c r="BJ35" i="7"/>
  <c r="BJ54" i="7"/>
  <c r="BH28" i="7"/>
  <c r="BJ18" i="7"/>
  <c r="BJ14" i="7"/>
  <c r="BH45" i="7"/>
  <c r="BH26" i="7"/>
  <c r="BL26" i="7" s="1"/>
  <c r="BH41" i="7"/>
  <c r="CN42" i="7"/>
  <c r="CN6" i="7"/>
  <c r="T33" i="7"/>
  <c r="V33" i="7" s="1"/>
  <c r="R38" i="7"/>
  <c r="Z31" i="7"/>
  <c r="Z20" i="7"/>
  <c r="C111" i="10" a="1"/>
  <c r="C111" i="10" s="1"/>
  <c r="X20" i="7"/>
  <c r="Z11" i="7"/>
  <c r="AV36" i="7"/>
  <c r="C205" i="10" a="1"/>
  <c r="C205" i="10" s="1"/>
  <c r="Z34" i="7"/>
  <c r="Z30" i="7"/>
  <c r="Z23" i="7"/>
  <c r="X42" i="7"/>
  <c r="CL43" i="7"/>
  <c r="CN45" i="7"/>
  <c r="CL42" i="7"/>
  <c r="CN23" i="7"/>
  <c r="CL50" i="7"/>
  <c r="CN31" i="7"/>
  <c r="C75" i="10" a="1"/>
  <c r="C75" i="10" s="1"/>
  <c r="Z17" i="7"/>
  <c r="Z14" i="7"/>
  <c r="Z26" i="7"/>
  <c r="X15" i="7"/>
  <c r="Z21" i="7"/>
  <c r="AB21" i="7" s="1"/>
  <c r="Z9" i="7"/>
  <c r="Z19" i="7"/>
  <c r="Z10" i="7"/>
  <c r="Z44" i="7"/>
  <c r="Z49" i="7"/>
  <c r="X16" i="7"/>
  <c r="X54" i="7"/>
  <c r="Z28" i="7"/>
  <c r="AB28" i="7" s="1"/>
  <c r="X14" i="7"/>
  <c r="X56" i="7"/>
  <c r="AV49" i="7"/>
  <c r="AX21" i="7"/>
  <c r="AV35" i="7"/>
  <c r="AX10" i="7"/>
  <c r="AV26" i="7"/>
  <c r="AX49" i="7"/>
  <c r="AX45" i="7"/>
  <c r="AV33" i="7"/>
  <c r="AV42" i="7"/>
  <c r="AX36" i="7"/>
  <c r="AZ36" i="7" s="1"/>
  <c r="AV17" i="7"/>
  <c r="X21" i="7"/>
  <c r="Z7" i="7"/>
  <c r="Z36" i="7"/>
  <c r="AB36" i="7" s="1"/>
  <c r="Z32" i="7"/>
  <c r="X41" i="7"/>
  <c r="Z47" i="7"/>
  <c r="Z16" i="7"/>
  <c r="AB16" i="7" s="1"/>
  <c r="X11" i="7"/>
  <c r="Z33" i="7"/>
  <c r="Z37" i="7"/>
  <c r="X55" i="7"/>
  <c r="X30" i="7"/>
  <c r="X36" i="7"/>
  <c r="X5" i="7"/>
  <c r="X19" i="7"/>
  <c r="AB19" i="7" s="1"/>
  <c r="C8" i="7"/>
  <c r="Z46" i="7"/>
  <c r="Z5" i="7"/>
  <c r="X39" i="7"/>
  <c r="AB39" i="7" s="1"/>
  <c r="X25" i="7"/>
  <c r="X44" i="7"/>
  <c r="X48" i="7"/>
  <c r="Z27" i="7"/>
  <c r="AB27" i="7" s="1"/>
  <c r="X46" i="7"/>
  <c r="X23" i="7"/>
  <c r="X35" i="7"/>
  <c r="X24" i="7"/>
  <c r="X28" i="7"/>
  <c r="Z40" i="7"/>
  <c r="Z51" i="7"/>
  <c r="Z22" i="7"/>
  <c r="AB22" i="7" s="1"/>
  <c r="X40" i="7"/>
  <c r="Z24" i="7"/>
  <c r="X31" i="7"/>
  <c r="Z13" i="7"/>
  <c r="AB13" i="7" s="1"/>
  <c r="Z52" i="7"/>
  <c r="Z41" i="7"/>
  <c r="X10" i="7"/>
  <c r="X8" i="7"/>
  <c r="Z56" i="7"/>
  <c r="X38" i="7"/>
  <c r="X45" i="7"/>
  <c r="Z45" i="7"/>
  <c r="X51" i="7"/>
  <c r="X53" i="7"/>
  <c r="Z48" i="7"/>
  <c r="Z8" i="7"/>
  <c r="Z59" i="7" s="1"/>
  <c r="X9" i="7"/>
  <c r="X37" i="7"/>
  <c r="Z38" i="7"/>
  <c r="Z15" i="7"/>
  <c r="Z12" i="7"/>
  <c r="X26" i="7"/>
  <c r="X29" i="7"/>
  <c r="X6" i="7"/>
  <c r="AB6" i="7" s="1"/>
  <c r="Z55" i="7"/>
  <c r="Z43" i="7"/>
  <c r="Z42" i="7"/>
  <c r="X43" i="7"/>
  <c r="Z50" i="7"/>
  <c r="X17" i="7"/>
  <c r="Z35" i="7"/>
  <c r="Z54" i="7"/>
  <c r="Z25" i="7"/>
  <c r="X50" i="7"/>
  <c r="Z39" i="7"/>
  <c r="X7" i="7"/>
  <c r="AB7" i="7" s="1"/>
  <c r="X47" i="7"/>
  <c r="X13" i="7"/>
  <c r="X12" i="7"/>
  <c r="Z53" i="7"/>
  <c r="AB53" i="7" s="1"/>
  <c r="X22" i="7"/>
  <c r="X34" i="7"/>
  <c r="AX44" i="7"/>
  <c r="CL16" i="7"/>
  <c r="CN53" i="7"/>
  <c r="CN22" i="7"/>
  <c r="CL12" i="7"/>
  <c r="CN17" i="7"/>
  <c r="CN11" i="7"/>
  <c r="BI9" i="7"/>
  <c r="BI24" i="7"/>
  <c r="BI14" i="7"/>
  <c r="R31" i="7"/>
  <c r="T21" i="7"/>
  <c r="R43" i="7"/>
  <c r="T29" i="7"/>
  <c r="V29" i="7" s="1"/>
  <c r="T52" i="7"/>
  <c r="T22" i="7"/>
  <c r="R32" i="7"/>
  <c r="T10" i="7"/>
  <c r="R48" i="7"/>
  <c r="R37" i="7"/>
  <c r="T25" i="7"/>
  <c r="T20" i="7"/>
  <c r="V20" i="7" s="1"/>
  <c r="R11" i="7"/>
  <c r="R14" i="7"/>
  <c r="R27" i="7"/>
  <c r="T53" i="7"/>
  <c r="R36" i="7"/>
  <c r="T28" i="7"/>
  <c r="R10" i="7"/>
  <c r="T19" i="7"/>
  <c r="V19" i="7" s="1"/>
  <c r="R56" i="7"/>
  <c r="T46" i="7"/>
  <c r="T16" i="7"/>
  <c r="R16" i="7"/>
  <c r="T18" i="7"/>
  <c r="R51" i="7"/>
  <c r="CL26" i="7"/>
  <c r="CL56" i="7"/>
  <c r="CP56" i="7" s="1"/>
  <c r="CL8" i="7"/>
  <c r="CN54" i="7"/>
  <c r="CL31" i="7"/>
  <c r="CN34" i="7"/>
  <c r="CP34" i="7" s="1"/>
  <c r="CL46" i="7"/>
  <c r="BI13" i="7"/>
  <c r="T50" i="7"/>
  <c r="R39" i="7"/>
  <c r="T14" i="7"/>
  <c r="R7" i="7"/>
  <c r="T11" i="7"/>
  <c r="T55" i="7"/>
  <c r="R44" i="7"/>
  <c r="T56" i="7"/>
  <c r="R54" i="7"/>
  <c r="T6" i="7"/>
  <c r="V6" i="7" s="1"/>
  <c r="R34" i="7"/>
  <c r="T39" i="7"/>
  <c r="T7" i="7"/>
  <c r="T17" i="7"/>
  <c r="R33" i="7"/>
  <c r="T54" i="7"/>
  <c r="T23" i="7"/>
  <c r="R13" i="7"/>
  <c r="V13" i="7" s="1"/>
  <c r="R25" i="7"/>
  <c r="R47" i="7"/>
  <c r="T32" i="7"/>
  <c r="R15" i="7"/>
  <c r="V15" i="7" s="1"/>
  <c r="T36" i="7"/>
  <c r="T43" i="7"/>
  <c r="R46" i="7"/>
  <c r="R55" i="7"/>
  <c r="V55" i="7" s="1"/>
  <c r="AX46" i="7"/>
  <c r="AX56" i="7"/>
  <c r="AX14" i="7"/>
  <c r="AV30" i="7"/>
  <c r="AZ30" i="7" s="1"/>
  <c r="AV40" i="7"/>
  <c r="AV5" i="7"/>
  <c r="AX35" i="7"/>
  <c r="AX50" i="7"/>
  <c r="AV7" i="7"/>
  <c r="AV28" i="7"/>
  <c r="AV47" i="7"/>
  <c r="AX19" i="7"/>
  <c r="AV34" i="7"/>
  <c r="CL10" i="7"/>
  <c r="CL40" i="7"/>
  <c r="CN55" i="7"/>
  <c r="CL32" i="7"/>
  <c r="CN24" i="7"/>
  <c r="CN50" i="7"/>
  <c r="CL41" i="7"/>
  <c r="CP41" i="7" s="1"/>
  <c r="CL51" i="7"/>
  <c r="CN27" i="7"/>
  <c r="CN38" i="7"/>
  <c r="CL49" i="7"/>
  <c r="CN5" i="7"/>
  <c r="AX25" i="7"/>
  <c r="AX29" i="7"/>
  <c r="AX13" i="7"/>
  <c r="AX24" i="7"/>
  <c r="AV56" i="7"/>
  <c r="AX17" i="7"/>
  <c r="AZ17" i="7" s="1"/>
  <c r="AV13" i="7"/>
  <c r="AZ13" i="7" s="1"/>
  <c r="AV24" i="7"/>
  <c r="AV46" i="7"/>
  <c r="AV21" i="7"/>
  <c r="AV31" i="7"/>
  <c r="AX42" i="7"/>
  <c r="AV54" i="7"/>
  <c r="AX53" i="7"/>
  <c r="AX9" i="7"/>
  <c r="AV10" i="7"/>
  <c r="AX18" i="7"/>
  <c r="AX28" i="7"/>
  <c r="AX31" i="7"/>
  <c r="AV29" i="7"/>
  <c r="AX20" i="7"/>
  <c r="AX51" i="7"/>
  <c r="AV11" i="7"/>
  <c r="AV23" i="7"/>
  <c r="AV18" i="7"/>
  <c r="BT36" i="7"/>
  <c r="C16" i="7"/>
  <c r="BU16" i="7" s="1"/>
  <c r="F55" i="7"/>
  <c r="C5" i="7"/>
  <c r="I48" i="7" s="1"/>
  <c r="C9" i="7"/>
  <c r="AE10" i="7" s="1"/>
  <c r="C11" i="7"/>
  <c r="AS30" i="7" s="1"/>
  <c r="C12" i="7"/>
  <c r="AW47" i="7" s="1"/>
  <c r="C19" i="7"/>
  <c r="CO56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P25" i="7" s="1"/>
  <c r="CL53" i="7"/>
  <c r="CP53" i="7" s="1"/>
  <c r="CN46" i="7"/>
  <c r="CL11" i="7"/>
  <c r="CL54" i="7"/>
  <c r="CL36" i="7"/>
  <c r="CP36" i="7" s="1"/>
  <c r="CN9" i="7"/>
  <c r="CP9" i="7" s="1"/>
  <c r="CL29" i="7"/>
  <c r="CL15" i="7"/>
  <c r="CL33" i="7"/>
  <c r="CN15" i="7"/>
  <c r="CN12" i="7"/>
  <c r="CL22" i="7"/>
  <c r="CL39" i="7"/>
  <c r="CP39" i="7" s="1"/>
  <c r="CN21" i="7"/>
  <c r="CL14" i="7"/>
  <c r="AP31" i="7"/>
  <c r="AR35" i="7"/>
  <c r="CL28" i="7"/>
  <c r="CN14" i="7"/>
  <c r="CL55" i="7"/>
  <c r="CN29" i="7"/>
  <c r="CL21" i="7"/>
  <c r="CN39" i="7"/>
  <c r="CL48" i="7"/>
  <c r="CP48" i="7" s="1"/>
  <c r="CN20" i="7"/>
  <c r="CN28" i="7"/>
  <c r="CN10" i="7"/>
  <c r="CP10" i="7" s="1"/>
  <c r="CN52" i="7"/>
  <c r="CL6" i="7"/>
  <c r="CP6" i="7" s="1"/>
  <c r="CL23" i="7"/>
  <c r="CN35" i="7"/>
  <c r="CL30" i="7"/>
  <c r="CP30" i="7" s="1"/>
  <c r="CL27" i="7"/>
  <c r="CN32" i="7"/>
  <c r="CN44" i="7"/>
  <c r="CL17" i="7"/>
  <c r="CL18" i="7"/>
  <c r="CL7" i="7"/>
  <c r="CN40" i="7"/>
  <c r="CN33" i="7"/>
  <c r="CL45" i="7"/>
  <c r="CP45" i="7" s="1"/>
  <c r="CN47" i="7"/>
  <c r="CN8" i="7"/>
  <c r="CP8" i="7" s="1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F26" i="7" s="1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Z54" i="7" s="1"/>
  <c r="AX30" i="7"/>
  <c r="AX32" i="7"/>
  <c r="AX8" i="7"/>
  <c r="AV45" i="7"/>
  <c r="AZ45" i="7" s="1"/>
  <c r="AX33" i="7"/>
  <c r="AZ33" i="7" s="1"/>
  <c r="AX16" i="7"/>
  <c r="AV50" i="7"/>
  <c r="AX47" i="7"/>
  <c r="AZ47" i="7" s="1"/>
  <c r="AX43" i="7"/>
  <c r="AX38" i="7"/>
  <c r="AV12" i="7"/>
  <c r="AV25" i="7"/>
  <c r="AZ25" i="7" s="1"/>
  <c r="AV38" i="7"/>
  <c r="AV48" i="7"/>
  <c r="AX37" i="7"/>
  <c r="AV39" i="7"/>
  <c r="AX5" i="7"/>
  <c r="AZ5" i="7" s="1"/>
  <c r="AV43" i="7"/>
  <c r="AV55" i="7"/>
  <c r="AX27" i="7"/>
  <c r="AV16" i="7"/>
  <c r="AV9" i="7"/>
  <c r="AV51" i="7"/>
  <c r="AZ51" i="7" s="1"/>
  <c r="AV8" i="7"/>
  <c r="AX6" i="7"/>
  <c r="AV15" i="7"/>
  <c r="AX23" i="7"/>
  <c r="AZ23" i="7" s="1"/>
  <c r="AX15" i="7"/>
  <c r="AV41" i="7"/>
  <c r="AX52" i="7"/>
  <c r="AX11" i="7"/>
  <c r="AX55" i="7"/>
  <c r="AV19" i="7"/>
  <c r="AZ19" i="7" s="1"/>
  <c r="AX34" i="7"/>
  <c r="AX41" i="7"/>
  <c r="AX12" i="7"/>
  <c r="AV53" i="7"/>
  <c r="AZ53" i="7" s="1"/>
  <c r="AX39" i="7"/>
  <c r="AV27" i="7"/>
  <c r="AV22" i="7"/>
  <c r="AX40" i="7"/>
  <c r="AZ40" i="7" s="1"/>
  <c r="AX22" i="7"/>
  <c r="AV32" i="7"/>
  <c r="AV52" i="7"/>
  <c r="AV14" i="7"/>
  <c r="AZ14" i="7" s="1"/>
  <c r="AX26" i="7"/>
  <c r="AV37" i="7"/>
  <c r="AZ37" i="7" s="1"/>
  <c r="AV44" i="7"/>
  <c r="AZ44" i="7" s="1"/>
  <c r="AV20" i="7"/>
  <c r="AZ20" i="7" s="1"/>
  <c r="AV6" i="7"/>
  <c r="AE56" i="7"/>
  <c r="AF28" i="7"/>
  <c r="BV21" i="7"/>
  <c r="AF21" i="7"/>
  <c r="AG18" i="7"/>
  <c r="AS5" i="7"/>
  <c r="AR43" i="7"/>
  <c r="AP26" i="7"/>
  <c r="AR26" i="7"/>
  <c r="AD19" i="7"/>
  <c r="AD10" i="7"/>
  <c r="AD26" i="7"/>
  <c r="AQ20" i="7"/>
  <c r="AR5" i="7"/>
  <c r="AP40" i="7"/>
  <c r="AR22" i="7"/>
  <c r="AP18" i="7"/>
  <c r="AS56" i="7"/>
  <c r="AP29" i="7"/>
  <c r="AR45" i="7"/>
  <c r="AR46" i="7"/>
  <c r="AP42" i="7"/>
  <c r="AP37" i="7"/>
  <c r="AR17" i="7"/>
  <c r="AJ48" i="7"/>
  <c r="AE48" i="7"/>
  <c r="AD17" i="7"/>
  <c r="AF56" i="7"/>
  <c r="AD24" i="7"/>
  <c r="AS20" i="7"/>
  <c r="AS53" i="7"/>
  <c r="AR12" i="7"/>
  <c r="AP54" i="7"/>
  <c r="AR44" i="7"/>
  <c r="AP7" i="7"/>
  <c r="AR9" i="7"/>
  <c r="AR24" i="7"/>
  <c r="AL47" i="7"/>
  <c r="AG54" i="7"/>
  <c r="AF26" i="7"/>
  <c r="AF55" i="7"/>
  <c r="AF52" i="7"/>
  <c r="AD9" i="7"/>
  <c r="AQ53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T12" i="7" s="1"/>
  <c r="AR55" i="7"/>
  <c r="AR32" i="7"/>
  <c r="AR25" i="7"/>
  <c r="AG56" i="7"/>
  <c r="AE46" i="7"/>
  <c r="AE44" i="7"/>
  <c r="BT41" i="7"/>
  <c r="BV11" i="7"/>
  <c r="AF38" i="7"/>
  <c r="AF50" i="7"/>
  <c r="AD48" i="7"/>
  <c r="AD55" i="7"/>
  <c r="AF40" i="7"/>
  <c r="AF36" i="7"/>
  <c r="AD38" i="7"/>
  <c r="AF34" i="7"/>
  <c r="AH34" i="7" s="1"/>
  <c r="AF27" i="7"/>
  <c r="AD18" i="7"/>
  <c r="AD11" i="7"/>
  <c r="AD53" i="7"/>
  <c r="AD34" i="7"/>
  <c r="AP19" i="7"/>
  <c r="AP9" i="7"/>
  <c r="AP34" i="7"/>
  <c r="AP24" i="7"/>
  <c r="AP5" i="7"/>
  <c r="AP36" i="7"/>
  <c r="AT36" i="7" s="1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35" i="7"/>
  <c r="AG40" i="7"/>
  <c r="AG24" i="7"/>
  <c r="AE28" i="7"/>
  <c r="BV46" i="7"/>
  <c r="AF54" i="7"/>
  <c r="AF12" i="7"/>
  <c r="AD47" i="7"/>
  <c r="AF44" i="7"/>
  <c r="AH44" i="7" s="1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E42" i="7"/>
  <c r="AE18" i="7"/>
  <c r="AG38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7" i="7"/>
  <c r="AE17" i="7"/>
  <c r="AG36" i="7"/>
  <c r="AG20" i="7"/>
  <c r="AG28" i="7"/>
  <c r="AG47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H8" i="7" s="1"/>
  <c r="AD36" i="7"/>
  <c r="AD20" i="7"/>
  <c r="AF9" i="7"/>
  <c r="AF46" i="7"/>
  <c r="AF20" i="7"/>
  <c r="AF37" i="7"/>
  <c r="AD16" i="7"/>
  <c r="AD27" i="7"/>
  <c r="AD43" i="7"/>
  <c r="AH43" i="7" s="1"/>
  <c r="AF29" i="7"/>
  <c r="AD29" i="7"/>
  <c r="AD22" i="7"/>
  <c r="AD31" i="7"/>
  <c r="AD50" i="7"/>
  <c r="AJ22" i="7"/>
  <c r="AL29" i="7"/>
  <c r="AL22" i="7"/>
  <c r="AJ6" i="7"/>
  <c r="AG49" i="7"/>
  <c r="AE43" i="7"/>
  <c r="AG37" i="7"/>
  <c r="AG15" i="7"/>
  <c r="AG6" i="7"/>
  <c r="AG14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H13" i="7" s="1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I47" i="7"/>
  <c r="AY15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W45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F18" i="7" s="1"/>
  <c r="BB28" i="7"/>
  <c r="BF28" i="7" s="1"/>
  <c r="BD22" i="7"/>
  <c r="BD6" i="7"/>
  <c r="BD55" i="7"/>
  <c r="BB16" i="7"/>
  <c r="BB47" i="7"/>
  <c r="BB12" i="7"/>
  <c r="BB38" i="7"/>
  <c r="BF38" i="7" s="1"/>
  <c r="BD29" i="7"/>
  <c r="BB31" i="7"/>
  <c r="BB13" i="7"/>
  <c r="BF13" i="7" s="1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F39" i="7" s="1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N31" i="7" s="1"/>
  <c r="AL45" i="7"/>
  <c r="BV10" i="7"/>
  <c r="BV34" i="7"/>
  <c r="BV30" i="7"/>
  <c r="BT6" i="7"/>
  <c r="BX6" i="7" s="1"/>
  <c r="BV28" i="7"/>
  <c r="BT22" i="7"/>
  <c r="BT39" i="7"/>
  <c r="BT54" i="7"/>
  <c r="BV15" i="7"/>
  <c r="BT50" i="7"/>
  <c r="BT34" i="7"/>
  <c r="BT56" i="7"/>
  <c r="N16" i="7"/>
  <c r="N53" i="7"/>
  <c r="N40" i="7"/>
  <c r="G26" i="7"/>
  <c r="L46" i="7"/>
  <c r="G14" i="7"/>
  <c r="L38" i="7"/>
  <c r="L34" i="7"/>
  <c r="I5" i="7"/>
  <c r="N12" i="7"/>
  <c r="L54" i="7"/>
  <c r="I9" i="7"/>
  <c r="N18" i="7"/>
  <c r="G37" i="7"/>
  <c r="L31" i="7"/>
  <c r="N35" i="7"/>
  <c r="N50" i="7"/>
  <c r="G34" i="7"/>
  <c r="AY7" i="7"/>
  <c r="AW32" i="7"/>
  <c r="CO6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CM28" i="7"/>
  <c r="AY10" i="7"/>
  <c r="AW56" i="7"/>
  <c r="AW22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CO41" i="7"/>
  <c r="CM19" i="7"/>
  <c r="AY12" i="7"/>
  <c r="AY37" i="7"/>
  <c r="AW19" i="7"/>
  <c r="AW10" i="7"/>
  <c r="F7" i="7"/>
  <c r="H56" i="7"/>
  <c r="L47" i="7"/>
  <c r="N11" i="7"/>
  <c r="N42" i="7"/>
  <c r="L14" i="7"/>
  <c r="N26" i="7"/>
  <c r="L29" i="7"/>
  <c r="L27" i="7"/>
  <c r="CO40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CO20" i="7"/>
  <c r="CO31" i="7"/>
  <c r="AY22" i="7"/>
  <c r="AY56" i="7"/>
  <c r="AW42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J55" i="7" s="1"/>
  <c r="AW18" i="7"/>
  <c r="AW35" i="7"/>
  <c r="AW53" i="7"/>
  <c r="AW28" i="7"/>
  <c r="AY34" i="7"/>
  <c r="AW8" i="7"/>
  <c r="AW44" i="7"/>
  <c r="AY54" i="7"/>
  <c r="AY16" i="7"/>
  <c r="AW16" i="7"/>
  <c r="AW55" i="7"/>
  <c r="AW30" i="7"/>
  <c r="AY38" i="7"/>
  <c r="AW52" i="7"/>
  <c r="AY43" i="7"/>
  <c r="AY14" i="7"/>
  <c r="AY35" i="7"/>
  <c r="AW34" i="7"/>
  <c r="AW45" i="7"/>
  <c r="AY49" i="7"/>
  <c r="AY11" i="7"/>
  <c r="AY19" i="7"/>
  <c r="AY13" i="7"/>
  <c r="AY24" i="7"/>
  <c r="AY21" i="7"/>
  <c r="AY32" i="7"/>
  <c r="AW37" i="7"/>
  <c r="AW54" i="7"/>
  <c r="BA54" i="7" s="1"/>
  <c r="AW36" i="7"/>
  <c r="AW15" i="7"/>
  <c r="AW31" i="7"/>
  <c r="AW23" i="7"/>
  <c r="AW33" i="7"/>
  <c r="AY28" i="7"/>
  <c r="AY52" i="7"/>
  <c r="AW29" i="7"/>
  <c r="AW40" i="7"/>
  <c r="AW24" i="7"/>
  <c r="AY20" i="7"/>
  <c r="AW5" i="7"/>
  <c r="AY25" i="7"/>
  <c r="AY6" i="7"/>
  <c r="AY40" i="7"/>
  <c r="AY55" i="7"/>
  <c r="AW7" i="7"/>
  <c r="AY44" i="7"/>
  <c r="AY29" i="7"/>
  <c r="AY39" i="7"/>
  <c r="AW38" i="7"/>
  <c r="BA38" i="7" s="1"/>
  <c r="AY45" i="7"/>
  <c r="AY41" i="7"/>
  <c r="AY27" i="7"/>
  <c r="AW14" i="7"/>
  <c r="AW39" i="7"/>
  <c r="AW48" i="7"/>
  <c r="AW12" i="7"/>
  <c r="AW6" i="7"/>
  <c r="AW43" i="7"/>
  <c r="AW25" i="7"/>
  <c r="AW27" i="7"/>
  <c r="BA27" i="7" s="1"/>
  <c r="AW46" i="7"/>
  <c r="AY18" i="7"/>
  <c r="AW21" i="7"/>
  <c r="AW20" i="7"/>
  <c r="AW13" i="7"/>
  <c r="AY26" i="7"/>
  <c r="AY17" i="7"/>
  <c r="AY5" i="7"/>
  <c r="AY33" i="7"/>
  <c r="AY9" i="7"/>
  <c r="AY36" i="7"/>
  <c r="AY8" i="7"/>
  <c r="AY50" i="7"/>
  <c r="AY51" i="7"/>
  <c r="AY23" i="7"/>
  <c r="AW41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CM21" i="7"/>
  <c r="CM51" i="7"/>
  <c r="CM15" i="7"/>
  <c r="CM13" i="7"/>
  <c r="AY42" i="7"/>
  <c r="AW9" i="7"/>
  <c r="AY30" i="7"/>
  <c r="AY31" i="7"/>
  <c r="AW51" i="7"/>
  <c r="AY48" i="7"/>
  <c r="AW50" i="7"/>
  <c r="H16" i="7"/>
  <c r="H14" i="7"/>
  <c r="F9" i="7"/>
  <c r="H30" i="7"/>
  <c r="H34" i="7"/>
  <c r="H22" i="7"/>
  <c r="CO37" i="7"/>
  <c r="CM31" i="7"/>
  <c r="CO48" i="7"/>
  <c r="CO54" i="7"/>
  <c r="CO50" i="7"/>
  <c r="CO8" i="7"/>
  <c r="CM46" i="7"/>
  <c r="CM14" i="7"/>
  <c r="CO53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CM29" i="7"/>
  <c r="CM53" i="7"/>
  <c r="CM23" i="7"/>
  <c r="CM39" i="7"/>
  <c r="AY46" i="7"/>
  <c r="AY53" i="7"/>
  <c r="AW26" i="7"/>
  <c r="AY47" i="7"/>
  <c r="AW49" i="7"/>
  <c r="AW11" i="7"/>
  <c r="AW17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W24" i="7"/>
  <c r="BU47" i="7"/>
  <c r="BU55" i="7"/>
  <c r="BU25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X49" i="7" s="1"/>
  <c r="BV39" i="7"/>
  <c r="BV55" i="7"/>
  <c r="BT27" i="7"/>
  <c r="BT5" i="7"/>
  <c r="BX5" i="7" s="1"/>
  <c r="BV7" i="7"/>
  <c r="BV32" i="7"/>
  <c r="BV44" i="7"/>
  <c r="BT31" i="7"/>
  <c r="BT37" i="7"/>
  <c r="BX37" i="7" s="1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R59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V44" i="7"/>
  <c r="V9" i="7"/>
  <c r="AK156" i="5"/>
  <c r="AK235" i="5"/>
  <c r="AK236" i="5"/>
  <c r="AK120" i="5"/>
  <c r="BR21" i="7"/>
  <c r="AK230" i="5"/>
  <c r="AL140" i="5"/>
  <c r="AK91" i="5"/>
  <c r="AK255" i="5"/>
  <c r="V53" i="7"/>
  <c r="CP32" i="7"/>
  <c r="AK220" i="5"/>
  <c r="AK112" i="5"/>
  <c r="AK165" i="5"/>
  <c r="AK168" i="5"/>
  <c r="AB34" i="7"/>
  <c r="AK162" i="5"/>
  <c r="AK128" i="5"/>
  <c r="AK199" i="5"/>
  <c r="AK77" i="5"/>
  <c r="AK214" i="5"/>
  <c r="AK244" i="5"/>
  <c r="BF27" i="7"/>
  <c r="AK136" i="5"/>
  <c r="AK155" i="5"/>
  <c r="BL52" i="7"/>
  <c r="BL55" i="7"/>
  <c r="AK177" i="5"/>
  <c r="AK127" i="5"/>
  <c r="AK146" i="5"/>
  <c r="V25" i="7"/>
  <c r="V46" i="7"/>
  <c r="AZ7" i="7"/>
  <c r="AK185" i="5"/>
  <c r="AK152" i="5"/>
  <c r="AK208" i="5"/>
  <c r="V22" i="7"/>
  <c r="V18" i="7"/>
  <c r="AK126" i="5"/>
  <c r="AK135" i="5"/>
  <c r="AK254" i="5"/>
  <c r="AK117" i="5"/>
  <c r="AK100" i="5"/>
  <c r="AK83" i="5"/>
  <c r="CP20" i="7"/>
  <c r="AK104" i="5"/>
  <c r="V28" i="7"/>
  <c r="V21" i="7"/>
  <c r="V51" i="7"/>
  <c r="AB29" i="7"/>
  <c r="AB37" i="7"/>
  <c r="AB9" i="7"/>
  <c r="AB51" i="7"/>
  <c r="AB10" i="7"/>
  <c r="AB31" i="7"/>
  <c r="BL45" i="7"/>
  <c r="CP26" i="7"/>
  <c r="CP12" i="7"/>
  <c r="CP46" i="7"/>
  <c r="BL47" i="7"/>
  <c r="BL34" i="7"/>
  <c r="BL15" i="7"/>
  <c r="BL14" i="7"/>
  <c r="V42" i="7"/>
  <c r="V50" i="7"/>
  <c r="V38" i="7"/>
  <c r="V35" i="7"/>
  <c r="AB35" i="7"/>
  <c r="AB23" i="7"/>
  <c r="AB44" i="7"/>
  <c r="AB25" i="7"/>
  <c r="CD45" i="7"/>
  <c r="BL48" i="7"/>
  <c r="BL40" i="7"/>
  <c r="BL22" i="7"/>
  <c r="BL42" i="7"/>
  <c r="BL35" i="7"/>
  <c r="BL16" i="7"/>
  <c r="CP38" i="7"/>
  <c r="CP31" i="7"/>
  <c r="V31" i="7"/>
  <c r="V37" i="7"/>
  <c r="AZ56" i="7"/>
  <c r="AL113" i="5"/>
  <c r="AL93" i="5"/>
  <c r="AL27" i="5"/>
  <c r="AD172" i="5"/>
  <c r="AL107" i="5"/>
  <c r="AL114" i="5"/>
  <c r="AE114" i="5"/>
  <c r="AL128" i="5"/>
  <c r="AL126" i="5"/>
  <c r="AL144" i="5"/>
  <c r="AA144" i="5"/>
  <c r="AL60" i="5"/>
  <c r="AB48" i="7"/>
  <c r="AK181" i="5"/>
  <c r="AB17" i="7"/>
  <c r="AB50" i="7"/>
  <c r="AB12" i="7"/>
  <c r="AB14" i="7"/>
  <c r="AB56" i="7"/>
  <c r="CD56" i="7"/>
  <c r="BL28" i="7"/>
  <c r="BL38" i="7"/>
  <c r="BL24" i="7"/>
  <c r="BL56" i="7"/>
  <c r="BL49" i="7"/>
  <c r="BL31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C122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D101" i="5"/>
  <c r="AL225" i="5"/>
  <c r="AL209" i="5"/>
  <c r="AL223" i="5"/>
  <c r="AL145" i="5"/>
  <c r="AL214" i="5"/>
  <c r="AL11" i="5"/>
  <c r="AD108" i="5"/>
  <c r="AL10" i="5"/>
  <c r="AL8" i="5"/>
  <c r="AL68" i="5"/>
  <c r="AL143" i="5"/>
  <c r="AL57" i="5"/>
  <c r="AL173" i="5"/>
  <c r="AC173" i="5"/>
  <c r="AL61" i="5"/>
  <c r="AL36" i="5"/>
  <c r="AL18" i="5"/>
  <c r="AL75" i="5"/>
  <c r="AJ74" i="5"/>
  <c r="AJ75" i="5"/>
  <c r="AK75" i="5" s="1"/>
  <c r="CP42" i="7"/>
  <c r="CP51" i="7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V47" i="7"/>
  <c r="AK256" i="5"/>
  <c r="AK86" i="5"/>
  <c r="AK158" i="5"/>
  <c r="AK173" i="5"/>
  <c r="AK154" i="5"/>
  <c r="AK93" i="5"/>
  <c r="AK161" i="5"/>
  <c r="AZ32" i="7"/>
  <c r="AK119" i="5"/>
  <c r="AB26" i="7"/>
  <c r="AB45" i="7"/>
  <c r="AK192" i="5"/>
  <c r="AK196" i="5"/>
  <c r="AK232" i="5"/>
  <c r="AK251" i="5"/>
  <c r="AK144" i="5"/>
  <c r="AL9" i="5"/>
  <c r="AL99" i="5"/>
  <c r="AL175" i="5"/>
  <c r="AL130" i="5"/>
  <c r="AA130" i="5"/>
  <c r="AB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E192" i="5"/>
  <c r="AL76" i="5"/>
  <c r="AL189" i="5"/>
  <c r="AK252" i="5"/>
  <c r="AK248" i="5"/>
  <c r="AL228" i="5"/>
  <c r="AB41" i="7"/>
  <c r="AK180" i="5"/>
  <c r="BL13" i="7"/>
  <c r="BL27" i="7"/>
  <c r="BL17" i="7"/>
  <c r="AL142" i="5"/>
  <c r="AK189" i="5"/>
  <c r="AB47" i="7"/>
  <c r="AB54" i="7"/>
  <c r="BL36" i="7"/>
  <c r="BL21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B52" i="7"/>
  <c r="AB30" i="7"/>
  <c r="AB42" i="7"/>
  <c r="AB5" i="7"/>
  <c r="AB18" i="7"/>
  <c r="AB32" i="7"/>
  <c r="AB33" i="7"/>
  <c r="CD33" i="7"/>
  <c r="CD28" i="7"/>
  <c r="CD24" i="7"/>
  <c r="AK129" i="5"/>
  <c r="BL44" i="7"/>
  <c r="BL8" i="7"/>
  <c r="BL43" i="7"/>
  <c r="BL9" i="7"/>
  <c r="BL37" i="7"/>
  <c r="BL46" i="7"/>
  <c r="BL3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A167" i="5"/>
  <c r="AL183" i="5"/>
  <c r="AE183" i="5"/>
  <c r="AL74" i="5"/>
  <c r="AL15" i="5"/>
  <c r="AL216" i="5"/>
  <c r="AL125" i="5"/>
  <c r="AL41" i="5"/>
  <c r="AL207" i="5"/>
  <c r="AL52" i="5"/>
  <c r="AL117" i="5"/>
  <c r="AE117" i="5"/>
  <c r="AL170" i="5"/>
  <c r="AL17" i="5"/>
  <c r="AL91" i="5"/>
  <c r="AL45" i="5"/>
  <c r="AL5" i="5"/>
  <c r="AL204" i="5"/>
  <c r="AL198" i="5"/>
  <c r="AC198" i="5"/>
  <c r="AL208" i="5"/>
  <c r="AB153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D89" i="5"/>
  <c r="AL197" i="5"/>
  <c r="AL4" i="5"/>
  <c r="AB232" i="5"/>
  <c r="AL218" i="5"/>
  <c r="AK239" i="5"/>
  <c r="AK171" i="5"/>
  <c r="AK143" i="5"/>
  <c r="CP23" i="7"/>
  <c r="CP7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17" i="7"/>
  <c r="V49" i="7"/>
  <c r="V23" i="7"/>
  <c r="V5" i="7"/>
  <c r="V12" i="7"/>
  <c r="V40" i="7"/>
  <c r="V24" i="7"/>
  <c r="AL251" i="5"/>
  <c r="AL242" i="5"/>
  <c r="AL176" i="5"/>
  <c r="AK122" i="5"/>
  <c r="AK159" i="5"/>
  <c r="AK174" i="5"/>
  <c r="AK193" i="5"/>
  <c r="AK138" i="5"/>
  <c r="AL155" i="5"/>
  <c r="AK111" i="5"/>
  <c r="AK85" i="5"/>
  <c r="AZ35" i="7"/>
  <c r="AZ24" i="7"/>
  <c r="AZ46" i="7"/>
  <c r="AZ26" i="7"/>
  <c r="AH30" i="7"/>
  <c r="AK89" i="5"/>
  <c r="AK163" i="5"/>
  <c r="AK246" i="5"/>
  <c r="AK227" i="5"/>
  <c r="AB38" i="7"/>
  <c r="BL6" i="7"/>
  <c r="AL121" i="5"/>
  <c r="AL137" i="5"/>
  <c r="AL47" i="5"/>
  <c r="AL116" i="5"/>
  <c r="AL241" i="5"/>
  <c r="AL84" i="5"/>
  <c r="AL215" i="5"/>
  <c r="AL69" i="5"/>
  <c r="AB69" i="5"/>
  <c r="AL39" i="5"/>
  <c r="AL194" i="5"/>
  <c r="AL49" i="5"/>
  <c r="AL54" i="5"/>
  <c r="AL44" i="5"/>
  <c r="AL87" i="5"/>
  <c r="AL171" i="5"/>
  <c r="AL19" i="5"/>
  <c r="AL230" i="5"/>
  <c r="AL78" i="5"/>
  <c r="AL157" i="5"/>
  <c r="AC188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CP37" i="7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Z48" i="7"/>
  <c r="AH12" i="7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B200" i="5"/>
  <c r="AL178" i="5"/>
  <c r="AL162" i="5"/>
  <c r="AL32" i="5"/>
  <c r="AE32" i="5"/>
  <c r="AL102" i="5"/>
  <c r="AD102" i="5"/>
  <c r="AL81" i="5"/>
  <c r="AL59" i="5"/>
  <c r="AL98" i="5"/>
  <c r="AL220" i="5"/>
  <c r="AL58" i="5"/>
  <c r="AL238" i="5"/>
  <c r="AA166" i="5"/>
  <c r="AL33" i="5"/>
  <c r="AL50" i="5"/>
  <c r="AL34" i="5"/>
  <c r="AL48" i="5"/>
  <c r="AL37" i="5"/>
  <c r="AL106" i="5"/>
  <c r="AL85" i="5"/>
  <c r="AL154" i="5"/>
  <c r="AL261" i="5"/>
  <c r="AL250" i="5"/>
  <c r="AA250" i="5"/>
  <c r="AB250" i="5"/>
  <c r="AL247" i="5"/>
  <c r="AL217" i="5"/>
  <c r="AL13" i="5"/>
  <c r="AL72" i="5"/>
  <c r="AL210" i="5"/>
  <c r="AL67" i="5"/>
  <c r="AL30" i="5"/>
  <c r="AL20" i="5"/>
  <c r="AF224" i="5"/>
  <c r="BA22" i="7"/>
  <c r="E9" i="7"/>
  <c r="A139" i="10" s="1"/>
  <c r="A8" i="10"/>
  <c r="AL146" i="5"/>
  <c r="AK260" i="5"/>
  <c r="CP5" i="7"/>
  <c r="CP19" i="7"/>
  <c r="CP11" i="7"/>
  <c r="CP14" i="7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V43" i="7"/>
  <c r="V32" i="7"/>
  <c r="V11" i="7"/>
  <c r="V14" i="7"/>
  <c r="V27" i="7"/>
  <c r="V36" i="7"/>
  <c r="V10" i="7"/>
  <c r="V56" i="7"/>
  <c r="J9" i="7"/>
  <c r="AL257" i="5"/>
  <c r="AK237" i="5"/>
  <c r="AK108" i="5"/>
  <c r="AL159" i="5"/>
  <c r="AK238" i="5"/>
  <c r="AL108" i="5"/>
  <c r="AK253" i="5"/>
  <c r="AK106" i="5"/>
  <c r="AZ10" i="7"/>
  <c r="AZ29" i="7"/>
  <c r="AZ28" i="7"/>
  <c r="AZ18" i="7"/>
  <c r="AZ49" i="7"/>
  <c r="AZ34" i="7"/>
  <c r="AL219" i="5"/>
  <c r="CJ43" i="7" l="1"/>
  <c r="CJ53" i="7"/>
  <c r="CP17" i="7"/>
  <c r="CP52" i="7"/>
  <c r="CP55" i="7"/>
  <c r="AZ21" i="7"/>
  <c r="BL5" i="7"/>
  <c r="BF31" i="7"/>
  <c r="AT18" i="7"/>
  <c r="AZ50" i="7"/>
  <c r="BX11" i="7"/>
  <c r="AZ9" i="7"/>
  <c r="BL19" i="7"/>
  <c r="AB238" i="5"/>
  <c r="AH25" i="7"/>
  <c r="AT44" i="7"/>
  <c r="AU53" i="7"/>
  <c r="CP24" i="7"/>
  <c r="AB40" i="7"/>
  <c r="AB46" i="7"/>
  <c r="AB11" i="7"/>
  <c r="CP50" i="7"/>
  <c r="CP43" i="7"/>
  <c r="AB20" i="7"/>
  <c r="BL30" i="7"/>
  <c r="V45" i="7"/>
  <c r="J18" i="7"/>
  <c r="AT10" i="7"/>
  <c r="CD41" i="7"/>
  <c r="CP27" i="7"/>
  <c r="AZ11" i="7"/>
  <c r="AZ31" i="7"/>
  <c r="V16" i="7"/>
  <c r="AB43" i="7"/>
  <c r="AB8" i="7"/>
  <c r="AB24" i="7"/>
  <c r="AB55" i="7"/>
  <c r="BL39" i="7"/>
  <c r="V8" i="7"/>
  <c r="AT15" i="7"/>
  <c r="CP22" i="7"/>
  <c r="CP54" i="7"/>
  <c r="X59" i="7"/>
  <c r="BH59" i="7"/>
  <c r="T59" i="7"/>
  <c r="BL41" i="7"/>
  <c r="BX36" i="7"/>
  <c r="CJ7" i="7"/>
  <c r="AG35" i="7"/>
  <c r="AG39" i="7"/>
  <c r="AE12" i="7"/>
  <c r="AG45" i="7"/>
  <c r="AE39" i="7"/>
  <c r="AI39" i="7" s="1"/>
  <c r="AE23" i="7"/>
  <c r="AG9" i="7"/>
  <c r="AG46" i="7"/>
  <c r="AI46" i="7" s="1"/>
  <c r="AG19" i="7"/>
  <c r="AE52" i="7"/>
  <c r="AG48" i="7"/>
  <c r="AE26" i="7"/>
  <c r="AE27" i="7"/>
  <c r="AG13" i="7"/>
  <c r="AE29" i="7"/>
  <c r="AE41" i="7"/>
  <c r="AI41" i="7" s="1"/>
  <c r="AG55" i="7"/>
  <c r="AG51" i="7"/>
  <c r="AE32" i="7"/>
  <c r="AG21" i="7"/>
  <c r="AG8" i="7"/>
  <c r="AE30" i="7"/>
  <c r="AE55" i="7"/>
  <c r="AE22" i="7"/>
  <c r="AE14" i="7"/>
  <c r="AI14" i="7" s="1"/>
  <c r="CP44" i="7"/>
  <c r="BI6" i="7"/>
  <c r="BI34" i="7"/>
  <c r="BM34" i="7" s="1"/>
  <c r="BI44" i="7"/>
  <c r="BK36" i="7"/>
  <c r="BK55" i="7"/>
  <c r="BI30" i="7"/>
  <c r="BM30" i="7" s="1"/>
  <c r="BI22" i="7"/>
  <c r="BI45" i="7"/>
  <c r="BK38" i="7"/>
  <c r="BK46" i="7"/>
  <c r="BK23" i="7"/>
  <c r="BK7" i="7"/>
  <c r="BI19" i="7"/>
  <c r="BI54" i="7"/>
  <c r="BM54" i="7" s="1"/>
  <c r="BK31" i="7"/>
  <c r="BK44" i="7"/>
  <c r="BK24" i="7"/>
  <c r="BM24" i="7" s="1"/>
  <c r="BK35" i="7"/>
  <c r="BK39" i="7"/>
  <c r="BI53" i="7"/>
  <c r="BI46" i="7"/>
  <c r="BK40" i="7"/>
  <c r="BK17" i="7"/>
  <c r="BI10" i="7"/>
  <c r="BK18" i="7"/>
  <c r="BI51" i="7"/>
  <c r="BK22" i="7"/>
  <c r="BI43" i="7"/>
  <c r="BI42" i="7"/>
  <c r="BI7" i="7"/>
  <c r="BM7" i="7" s="1"/>
  <c r="BI50" i="7"/>
  <c r="BK28" i="7"/>
  <c r="BK21" i="7"/>
  <c r="BI32" i="7"/>
  <c r="BM32" i="7" s="1"/>
  <c r="BI33" i="7"/>
  <c r="BI29" i="7"/>
  <c r="BK37" i="7"/>
  <c r="BK14" i="7"/>
  <c r="BM14" i="7" s="1"/>
  <c r="BI40" i="7"/>
  <c r="BI16" i="7"/>
  <c r="BK26" i="7"/>
  <c r="BK8" i="7"/>
  <c r="BK11" i="7"/>
  <c r="BK13" i="7"/>
  <c r="BM13" i="7" s="1"/>
  <c r="BI27" i="7"/>
  <c r="BI26" i="7"/>
  <c r="BM26" i="7" s="1"/>
  <c r="BI55" i="7"/>
  <c r="BM55" i="7" s="1"/>
  <c r="BI5" i="7"/>
  <c r="BI48" i="7"/>
  <c r="BI25" i="7"/>
  <c r="BM25" i="7" s="1"/>
  <c r="BK30" i="7"/>
  <c r="BK16" i="7"/>
  <c r="BK20" i="7"/>
  <c r="BI52" i="7"/>
  <c r="BM52" i="7" s="1"/>
  <c r="BI23" i="7"/>
  <c r="BM23" i="7" s="1"/>
  <c r="BK10" i="7"/>
  <c r="BK29" i="7"/>
  <c r="BK51" i="7"/>
  <c r="BI35" i="7"/>
  <c r="BK42" i="7"/>
  <c r="BK33" i="7"/>
  <c r="BI39" i="7"/>
  <c r="BM39" i="7" s="1"/>
  <c r="BK47" i="7"/>
  <c r="BI21" i="7"/>
  <c r="BM21" i="7" s="1"/>
  <c r="BK52" i="7"/>
  <c r="BK53" i="7"/>
  <c r="BI37" i="7"/>
  <c r="BM37" i="7" s="1"/>
  <c r="BK12" i="7"/>
  <c r="BK6" i="7"/>
  <c r="BK9" i="7"/>
  <c r="BM9" i="7" s="1"/>
  <c r="BI36" i="7"/>
  <c r="BM36" i="7" s="1"/>
  <c r="BI28" i="7"/>
  <c r="BM28" i="7" s="1"/>
  <c r="BK49" i="7"/>
  <c r="BI41" i="7"/>
  <c r="BM41" i="7" s="1"/>
  <c r="BK25" i="7"/>
  <c r="BI20" i="7"/>
  <c r="BM20" i="7" s="1"/>
  <c r="BK43" i="7"/>
  <c r="BI12" i="7"/>
  <c r="BM12" i="7" s="1"/>
  <c r="BI49" i="7"/>
  <c r="BM49" i="7" s="1"/>
  <c r="BI17" i="7"/>
  <c r="BM17" i="7" s="1"/>
  <c r="BK41" i="7"/>
  <c r="BI47" i="7"/>
  <c r="BM47" i="7" s="1"/>
  <c r="BK27" i="7"/>
  <c r="BK32" i="7"/>
  <c r="BK34" i="7"/>
  <c r="BI18" i="7"/>
  <c r="BM18" i="7" s="1"/>
  <c r="BK5" i="7"/>
  <c r="BK48" i="7"/>
  <c r="BK56" i="7"/>
  <c r="BI56" i="7"/>
  <c r="BM56" i="7" s="1"/>
  <c r="BI8" i="7"/>
  <c r="BI31" i="7"/>
  <c r="BM31" i="7" s="1"/>
  <c r="BI11" i="7"/>
  <c r="BI15" i="7"/>
  <c r="BM15" i="7" s="1"/>
  <c r="BK54" i="7"/>
  <c r="BK45" i="7"/>
  <c r="BK15" i="7"/>
  <c r="BI38" i="7"/>
  <c r="BM38" i="7" s="1"/>
  <c r="BK19" i="7"/>
  <c r="BK50" i="7"/>
  <c r="AG5" i="7"/>
  <c r="AE15" i="7"/>
  <c r="AI15" i="7" s="1"/>
  <c r="AG17" i="7"/>
  <c r="AE11" i="7"/>
  <c r="AG52" i="7"/>
  <c r="AE53" i="7"/>
  <c r="AI53" i="7" s="1"/>
  <c r="AG16" i="7"/>
  <c r="AG41" i="7"/>
  <c r="AE19" i="7"/>
  <c r="AG50" i="7"/>
  <c r="AI50" i="7" s="1"/>
  <c r="AE31" i="7"/>
  <c r="AI31" i="7" s="1"/>
  <c r="AE38" i="7"/>
  <c r="AG31" i="7"/>
  <c r="AG22" i="7"/>
  <c r="AG25" i="7"/>
  <c r="AE5" i="7"/>
  <c r="AG43" i="7"/>
  <c r="AE51" i="7"/>
  <c r="AE25" i="7"/>
  <c r="AI25" i="7" s="1"/>
  <c r="AE33" i="7"/>
  <c r="AE16" i="7"/>
  <c r="AE40" i="7"/>
  <c r="AI40" i="7" s="1"/>
  <c r="AE13" i="7"/>
  <c r="AI13" i="7" s="1"/>
  <c r="AG34" i="7"/>
  <c r="AG32" i="7"/>
  <c r="AG10" i="7"/>
  <c r="AI10" i="7" s="1"/>
  <c r="AE36" i="7"/>
  <c r="AE49" i="7"/>
  <c r="AI49" i="7" s="1"/>
  <c r="AE6" i="7"/>
  <c r="AE45" i="7"/>
  <c r="AI45" i="7" s="1"/>
  <c r="AE21" i="7"/>
  <c r="AG29" i="7"/>
  <c r="AG23" i="7"/>
  <c r="AG11" i="7"/>
  <c r="AE47" i="7"/>
  <c r="AE54" i="7"/>
  <c r="AI54" i="7" s="1"/>
  <c r="AE7" i="7"/>
  <c r="AG44" i="7"/>
  <c r="AG12" i="7"/>
  <c r="AG7" i="7"/>
  <c r="AE34" i="7"/>
  <c r="AG26" i="7"/>
  <c r="AE50" i="7"/>
  <c r="AG27" i="7"/>
  <c r="AE20" i="7"/>
  <c r="AG42" i="7"/>
  <c r="AI42" i="7" s="1"/>
  <c r="AG53" i="7"/>
  <c r="AG30" i="7"/>
  <c r="AE9" i="7"/>
  <c r="AG33" i="7"/>
  <c r="AI33" i="7" s="1"/>
  <c r="AE24" i="7"/>
  <c r="AE8" i="7"/>
  <c r="CD46" i="7"/>
  <c r="S21" i="7"/>
  <c r="W21" i="7" s="1"/>
  <c r="S29" i="7"/>
  <c r="W29" i="7" s="1"/>
  <c r="S52" i="7"/>
  <c r="S55" i="7"/>
  <c r="U34" i="7"/>
  <c r="U41" i="7"/>
  <c r="U20" i="7"/>
  <c r="U7" i="7"/>
  <c r="S6" i="7"/>
  <c r="U55" i="7"/>
  <c r="U15" i="7"/>
  <c r="S31" i="7"/>
  <c r="U5" i="7"/>
  <c r="S35" i="7"/>
  <c r="U12" i="7"/>
  <c r="S38" i="7"/>
  <c r="U23" i="7"/>
  <c r="S20" i="7"/>
  <c r="S34" i="7"/>
  <c r="U10" i="7"/>
  <c r="U6" i="7"/>
  <c r="S49" i="7"/>
  <c r="U21" i="7"/>
  <c r="U29" i="7"/>
  <c r="U45" i="7"/>
  <c r="S42" i="7"/>
  <c r="S36" i="7"/>
  <c r="S54" i="7"/>
  <c r="S19" i="7"/>
  <c r="W19" i="7" s="1"/>
  <c r="S18" i="7"/>
  <c r="U53" i="7"/>
  <c r="S51" i="7"/>
  <c r="S37" i="7"/>
  <c r="W37" i="7" s="1"/>
  <c r="U42" i="7"/>
  <c r="U24" i="7"/>
  <c r="S7" i="7"/>
  <c r="W7" i="7" s="1"/>
  <c r="U18" i="7"/>
  <c r="U38" i="7"/>
  <c r="S46" i="7"/>
  <c r="S5" i="7"/>
  <c r="U40" i="7"/>
  <c r="S15" i="7"/>
  <c r="W15" i="7" s="1"/>
  <c r="S39" i="7"/>
  <c r="U25" i="7"/>
  <c r="U22" i="7"/>
  <c r="S53" i="7"/>
  <c r="W53" i="7" s="1"/>
  <c r="U28" i="7"/>
  <c r="S27" i="7"/>
  <c r="U43" i="7"/>
  <c r="S50" i="7"/>
  <c r="W50" i="7" s="1"/>
  <c r="U17" i="7"/>
  <c r="U36" i="7"/>
  <c r="U32" i="7"/>
  <c r="S12" i="7"/>
  <c r="W12" i="7" s="1"/>
  <c r="U31" i="7"/>
  <c r="S14" i="7"/>
  <c r="U48" i="7"/>
  <c r="S45" i="7"/>
  <c r="S26" i="7"/>
  <c r="U16" i="7"/>
  <c r="U49" i="7"/>
  <c r="S23" i="7"/>
  <c r="S9" i="7"/>
  <c r="U50" i="7"/>
  <c r="S16" i="7"/>
  <c r="W16" i="7" s="1"/>
  <c r="S17" i="7"/>
  <c r="W17" i="7" s="1"/>
  <c r="U33" i="7"/>
  <c r="U26" i="7"/>
  <c r="S32" i="7"/>
  <c r="W32" i="7" s="1"/>
  <c r="U19" i="7"/>
  <c r="U9" i="7"/>
  <c r="U51" i="7"/>
  <c r="S10" i="7"/>
  <c r="W10" i="7" s="1"/>
  <c r="U52" i="7"/>
  <c r="U54" i="7"/>
  <c r="S40" i="7"/>
  <c r="U39" i="7"/>
  <c r="U35" i="7"/>
  <c r="S56" i="7"/>
  <c r="U14" i="7"/>
  <c r="S24" i="7"/>
  <c r="W24" i="7" s="1"/>
  <c r="U27" i="7"/>
  <c r="S33" i="7"/>
  <c r="W33" i="7" s="1"/>
  <c r="U8" i="7"/>
  <c r="S11" i="7"/>
  <c r="W11" i="7" s="1"/>
  <c r="S30" i="7"/>
  <c r="S47" i="7"/>
  <c r="U47" i="7"/>
  <c r="S8" i="7"/>
  <c r="W8" i="7" s="1"/>
  <c r="U56" i="7"/>
  <c r="S13" i="7"/>
  <c r="S22" i="7"/>
  <c r="U13" i="7"/>
  <c r="S41" i="7"/>
  <c r="W41" i="7" s="1"/>
  <c r="U11" i="7"/>
  <c r="S44" i="7"/>
  <c r="U44" i="7"/>
  <c r="U30" i="7"/>
  <c r="S25" i="7"/>
  <c r="W25" i="7" s="1"/>
  <c r="S48" i="7"/>
  <c r="S43" i="7"/>
  <c r="W43" i="7" s="1"/>
  <c r="U37" i="7"/>
  <c r="U46" i="7"/>
  <c r="S28" i="7"/>
  <c r="AA67" i="5"/>
  <c r="AF47" i="5"/>
  <c r="BW42" i="7"/>
  <c r="BW30" i="7"/>
  <c r="BU45" i="7"/>
  <c r="BY45" i="7" s="1"/>
  <c r="BW39" i="7"/>
  <c r="BU23" i="7"/>
  <c r="AS46" i="7"/>
  <c r="AQ42" i="7"/>
  <c r="AU42" i="7" s="1"/>
  <c r="AQ15" i="7"/>
  <c r="AS12" i="7"/>
  <c r="AQ24" i="7"/>
  <c r="AQ36" i="7"/>
  <c r="BU37" i="7"/>
  <c r="BW44" i="7"/>
  <c r="BW55" i="7"/>
  <c r="BW31" i="7"/>
  <c r="BY31" i="7" s="1"/>
  <c r="BU49" i="7"/>
  <c r="BF43" i="7"/>
  <c r="BF10" i="7"/>
  <c r="BU6" i="7"/>
  <c r="BY6" i="7" s="1"/>
  <c r="AS19" i="7"/>
  <c r="AS16" i="7"/>
  <c r="AQ12" i="7"/>
  <c r="AQ43" i="7"/>
  <c r="AA72" i="5"/>
  <c r="AE161" i="5"/>
  <c r="BX39" i="7"/>
  <c r="BW11" i="7"/>
  <c r="BY11" i="7" s="1"/>
  <c r="BW43" i="7"/>
  <c r="BW19" i="7"/>
  <c r="BW16" i="7"/>
  <c r="BW40" i="7"/>
  <c r="AH24" i="7"/>
  <c r="AS11" i="7"/>
  <c r="AQ40" i="7"/>
  <c r="AS25" i="7"/>
  <c r="AU25" i="7" s="1"/>
  <c r="AQ21" i="7"/>
  <c r="AQ54" i="7"/>
  <c r="AQ45" i="7"/>
  <c r="AQ47" i="7"/>
  <c r="AU47" i="7" s="1"/>
  <c r="CP16" i="7"/>
  <c r="AA152" i="5"/>
  <c r="AA33" i="5"/>
  <c r="AF110" i="5"/>
  <c r="AC102" i="5"/>
  <c r="AD188" i="5"/>
  <c r="AB236" i="5"/>
  <c r="AF183" i="5"/>
  <c r="AD130" i="5"/>
  <c r="BY55" i="7"/>
  <c r="P42" i="7"/>
  <c r="CQ31" i="7"/>
  <c r="P48" i="7"/>
  <c r="BF15" i="7"/>
  <c r="CJ29" i="7"/>
  <c r="CJ41" i="7"/>
  <c r="AH55" i="7"/>
  <c r="CD16" i="7"/>
  <c r="CP18" i="7"/>
  <c r="AA212" i="5"/>
  <c r="AA50" i="5"/>
  <c r="AD166" i="5"/>
  <c r="AF252" i="5"/>
  <c r="AA65" i="5"/>
  <c r="AF229" i="5"/>
  <c r="AB188" i="5"/>
  <c r="AD198" i="5"/>
  <c r="AA90" i="5"/>
  <c r="AB52" i="5"/>
  <c r="AB174" i="5"/>
  <c r="AC130" i="5"/>
  <c r="AA57" i="5"/>
  <c r="AA103" i="5"/>
  <c r="AT43" i="7"/>
  <c r="AT9" i="7"/>
  <c r="AZ42" i="7"/>
  <c r="CP40" i="7"/>
  <c r="AT34" i="7"/>
  <c r="AT24" i="7"/>
  <c r="CP29" i="7"/>
  <c r="V39" i="7"/>
  <c r="P44" i="7"/>
  <c r="BX35" i="7"/>
  <c r="AH23" i="7"/>
  <c r="BX21" i="7"/>
  <c r="AT20" i="7"/>
  <c r="V7" i="7"/>
  <c r="AB15" i="7"/>
  <c r="P39" i="7"/>
  <c r="BX40" i="7"/>
  <c r="CJ49" i="7"/>
  <c r="CJ21" i="7"/>
  <c r="AT32" i="7"/>
  <c r="Y12" i="7"/>
  <c r="AA34" i="7"/>
  <c r="Y48" i="7"/>
  <c r="Y54" i="7"/>
  <c r="Y17" i="7"/>
  <c r="Y43" i="7"/>
  <c r="Y21" i="7"/>
  <c r="AA52" i="7"/>
  <c r="Y56" i="7"/>
  <c r="AA19" i="7"/>
  <c r="AA43" i="7"/>
  <c r="Y36" i="7"/>
  <c r="AA26" i="7"/>
  <c r="AA15" i="7"/>
  <c r="Y22" i="7"/>
  <c r="AA22" i="7"/>
  <c r="AA23" i="7"/>
  <c r="Y23" i="7"/>
  <c r="AA48" i="7"/>
  <c r="Y53" i="7"/>
  <c r="AA38" i="7"/>
  <c r="AA35" i="7"/>
  <c r="AA21" i="7"/>
  <c r="AA41" i="7"/>
  <c r="AA29" i="7"/>
  <c r="AA5" i="7"/>
  <c r="AA44" i="7"/>
  <c r="Y32" i="7"/>
  <c r="Y28" i="7"/>
  <c r="Y6" i="7"/>
  <c r="AA7" i="7"/>
  <c r="Y30" i="7"/>
  <c r="AA36" i="7"/>
  <c r="Y8" i="7"/>
  <c r="Y31" i="7"/>
  <c r="AA42" i="7"/>
  <c r="AA30" i="7"/>
  <c r="AA31" i="7"/>
  <c r="Y27" i="7"/>
  <c r="AA46" i="7"/>
  <c r="Y38" i="7"/>
  <c r="AC38" i="7" s="1"/>
  <c r="AA27" i="7"/>
  <c r="AA8" i="7"/>
  <c r="AA56" i="7"/>
  <c r="Y7" i="7"/>
  <c r="AA32" i="7"/>
  <c r="Y33" i="7"/>
  <c r="AA54" i="7"/>
  <c r="AA39" i="7"/>
  <c r="AA6" i="7"/>
  <c r="Y9" i="7"/>
  <c r="Y5" i="7"/>
  <c r="Y46" i="7"/>
  <c r="Y34" i="7"/>
  <c r="AC34" i="7" s="1"/>
  <c r="Y51" i="7"/>
  <c r="AA53" i="7"/>
  <c r="Y24" i="7"/>
  <c r="AA33" i="7"/>
  <c r="Y18" i="7"/>
  <c r="AA14" i="7"/>
  <c r="Y15" i="7"/>
  <c r="Y26" i="7"/>
  <c r="AA45" i="7"/>
  <c r="AA37" i="7"/>
  <c r="Y29" i="7"/>
  <c r="AC29" i="7" s="1"/>
  <c r="AA13" i="7"/>
  <c r="Y20" i="7"/>
  <c r="AA18" i="7"/>
  <c r="AA25" i="7"/>
  <c r="AA20" i="7"/>
  <c r="Y41" i="7"/>
  <c r="Y39" i="7"/>
  <c r="Y52" i="7"/>
  <c r="AA17" i="7"/>
  <c r="AA10" i="7"/>
  <c r="AA50" i="7"/>
  <c r="Y49" i="7"/>
  <c r="AA9" i="7"/>
  <c r="Y19" i="7"/>
  <c r="Y44" i="7"/>
  <c r="Y50" i="7"/>
  <c r="AA11" i="7"/>
  <c r="Y40" i="7"/>
  <c r="AA28" i="7"/>
  <c r="AA55" i="7"/>
  <c r="Y55" i="7"/>
  <c r="Y11" i="7"/>
  <c r="Y37" i="7"/>
  <c r="AC37" i="7" s="1"/>
  <c r="Y45" i="7"/>
  <c r="Y35" i="7"/>
  <c r="AC35" i="7" s="1"/>
  <c r="AA49" i="7"/>
  <c r="Y16" i="7"/>
  <c r="Y10" i="7"/>
  <c r="AA16" i="7"/>
  <c r="Y13" i="7"/>
  <c r="AA24" i="7"/>
  <c r="Y47" i="7"/>
  <c r="Y14" i="7"/>
  <c r="AA40" i="7"/>
  <c r="Y25" i="7"/>
  <c r="AA47" i="7"/>
  <c r="Y42" i="7"/>
  <c r="AA12" i="7"/>
  <c r="AA51" i="7"/>
  <c r="V54" i="7"/>
  <c r="AZ16" i="7"/>
  <c r="AZ38" i="7"/>
  <c r="CD8" i="7"/>
  <c r="CD49" i="7"/>
  <c r="BF45" i="7"/>
  <c r="BF24" i="7"/>
  <c r="AT16" i="7"/>
  <c r="AZ52" i="7"/>
  <c r="CD7" i="7"/>
  <c r="CQ53" i="7"/>
  <c r="BA51" i="7"/>
  <c r="AH35" i="7"/>
  <c r="AN22" i="7"/>
  <c r="AI38" i="7"/>
  <c r="AT13" i="7"/>
  <c r="AU12" i="7"/>
  <c r="CD51" i="7"/>
  <c r="CP21" i="7"/>
  <c r="AZ6" i="7"/>
  <c r="AZ43" i="7"/>
  <c r="BF49" i="7"/>
  <c r="AI17" i="7"/>
  <c r="BU32" i="7"/>
  <c r="BW9" i="7"/>
  <c r="BW13" i="7"/>
  <c r="BW22" i="7"/>
  <c r="BW32" i="7"/>
  <c r="BU9" i="7"/>
  <c r="BW34" i="7"/>
  <c r="BU7" i="7"/>
  <c r="BY7" i="7" s="1"/>
  <c r="BU35" i="7"/>
  <c r="BW14" i="7"/>
  <c r="BW28" i="7"/>
  <c r="BU36" i="7"/>
  <c r="BY36" i="7" s="1"/>
  <c r="BW8" i="7"/>
  <c r="BU22" i="7"/>
  <c r="BW52" i="7"/>
  <c r="BU39" i="7"/>
  <c r="BY39" i="7" s="1"/>
  <c r="BU56" i="7"/>
  <c r="BU30" i="7"/>
  <c r="BW36" i="7"/>
  <c r="CO44" i="7"/>
  <c r="CQ44" i="7" s="1"/>
  <c r="CO7" i="7"/>
  <c r="CM5" i="7"/>
  <c r="CO18" i="7"/>
  <c r="CM25" i="7"/>
  <c r="CO19" i="7"/>
  <c r="CM18" i="7"/>
  <c r="CO25" i="7"/>
  <c r="CM9" i="7"/>
  <c r="CQ9" i="7" s="1"/>
  <c r="CM35" i="7"/>
  <c r="CO28" i="7"/>
  <c r="CM41" i="7"/>
  <c r="CQ41" i="7" s="1"/>
  <c r="CO30" i="7"/>
  <c r="CO21" i="7"/>
  <c r="CM42" i="7"/>
  <c r="CO45" i="7"/>
  <c r="CM48" i="7"/>
  <c r="CQ48" i="7" s="1"/>
  <c r="CM22" i="7"/>
  <c r="CM50" i="7"/>
  <c r="CM49" i="7"/>
  <c r="CO22" i="7"/>
  <c r="CM55" i="7"/>
  <c r="CO14" i="7"/>
  <c r="CM20" i="7"/>
  <c r="CQ20" i="7" s="1"/>
  <c r="CM16" i="7"/>
  <c r="CM33" i="7"/>
  <c r="BU40" i="7"/>
  <c r="BW46" i="7"/>
  <c r="BU34" i="7"/>
  <c r="BY34" i="7" s="1"/>
  <c r="AS35" i="7"/>
  <c r="AS42" i="7"/>
  <c r="AQ8" i="7"/>
  <c r="AQ52" i="7"/>
  <c r="AQ23" i="7"/>
  <c r="AS47" i="7"/>
  <c r="AQ56" i="7"/>
  <c r="AU56" i="7" s="1"/>
  <c r="AQ51" i="7"/>
  <c r="AQ28" i="7"/>
  <c r="AS34" i="7"/>
  <c r="AS54" i="7"/>
  <c r="AU54" i="7" s="1"/>
  <c r="AS26" i="7"/>
  <c r="AQ48" i="7"/>
  <c r="AS9" i="7"/>
  <c r="AQ27" i="7"/>
  <c r="AQ16" i="7"/>
  <c r="AU16" i="7" s="1"/>
  <c r="AS31" i="7"/>
  <c r="AQ35" i="7"/>
  <c r="AS45" i="7"/>
  <c r="AU45" i="7" s="1"/>
  <c r="AQ31" i="7"/>
  <c r="AU31" i="7" s="1"/>
  <c r="AS55" i="7"/>
  <c r="CP49" i="7"/>
  <c r="BW56" i="7"/>
  <c r="BU10" i="7"/>
  <c r="BU26" i="7"/>
  <c r="BW6" i="7"/>
  <c r="BW38" i="7"/>
  <c r="BU27" i="7"/>
  <c r="BU19" i="7"/>
  <c r="BW51" i="7"/>
  <c r="BU28" i="7"/>
  <c r="BY28" i="7" s="1"/>
  <c r="BW33" i="7"/>
  <c r="BU29" i="7"/>
  <c r="BU52" i="7"/>
  <c r="BU46" i="7"/>
  <c r="BY46" i="7" s="1"/>
  <c r="BU12" i="7"/>
  <c r="BW47" i="7"/>
  <c r="BU8" i="7"/>
  <c r="BY8" i="7" s="1"/>
  <c r="BW12" i="7"/>
  <c r="BW17" i="7"/>
  <c r="BU11" i="7"/>
  <c r="CO5" i="7"/>
  <c r="CO16" i="7"/>
  <c r="CO38" i="7"/>
  <c r="CQ38" i="7" s="1"/>
  <c r="CO11" i="7"/>
  <c r="CO33" i="7"/>
  <c r="CO9" i="7"/>
  <c r="CO35" i="7"/>
  <c r="CM56" i="7"/>
  <c r="CM12" i="7"/>
  <c r="CO43" i="7"/>
  <c r="CM30" i="7"/>
  <c r="CO27" i="7"/>
  <c r="CM32" i="7"/>
  <c r="CO55" i="7"/>
  <c r="CO36" i="7"/>
  <c r="CQ36" i="7" s="1"/>
  <c r="CO46" i="7"/>
  <c r="CM37" i="7"/>
  <c r="CM6" i="7"/>
  <c r="CQ6" i="7" s="1"/>
  <c r="CM26" i="7"/>
  <c r="CM52" i="7"/>
  <c r="CO17" i="7"/>
  <c r="CO47" i="7"/>
  <c r="CM27" i="7"/>
  <c r="CQ27" i="7" s="1"/>
  <c r="CM44" i="7"/>
  <c r="CM47" i="7"/>
  <c r="CO52" i="7"/>
  <c r="BU42" i="7"/>
  <c r="BU41" i="7"/>
  <c r="BW15" i="7"/>
  <c r="BU18" i="7"/>
  <c r="AS41" i="7"/>
  <c r="AQ25" i="7"/>
  <c r="AQ9" i="7"/>
  <c r="AS51" i="7"/>
  <c r="AQ26" i="7"/>
  <c r="AU26" i="7" s="1"/>
  <c r="AQ18" i="7"/>
  <c r="AS37" i="7"/>
  <c r="AS23" i="7"/>
  <c r="AQ10" i="7"/>
  <c r="AU10" i="7" s="1"/>
  <c r="AQ17" i="7"/>
  <c r="AS39" i="7"/>
  <c r="AS15" i="7"/>
  <c r="AQ41" i="7"/>
  <c r="AS28" i="7"/>
  <c r="AS44" i="7"/>
  <c r="AQ49" i="7"/>
  <c r="AQ7" i="7"/>
  <c r="AS49" i="7"/>
  <c r="AQ14" i="7"/>
  <c r="AQ13" i="7"/>
  <c r="AQ37" i="7"/>
  <c r="AU37" i="7" s="1"/>
  <c r="AS10" i="7"/>
  <c r="BU50" i="7"/>
  <c r="BW41" i="7"/>
  <c r="BY41" i="7" s="1"/>
  <c r="BW50" i="7"/>
  <c r="BW26" i="7"/>
  <c r="BU21" i="7"/>
  <c r="BW5" i="7"/>
  <c r="BU17" i="7"/>
  <c r="BW7" i="7"/>
  <c r="BW20" i="7"/>
  <c r="BU48" i="7"/>
  <c r="BU33" i="7"/>
  <c r="BY33" i="7" s="1"/>
  <c r="BU38" i="7"/>
  <c r="BW21" i="7"/>
  <c r="BW49" i="7"/>
  <c r="BU24" i="7"/>
  <c r="BY24" i="7" s="1"/>
  <c r="BU31" i="7"/>
  <c r="BW53" i="7"/>
  <c r="BU15" i="7"/>
  <c r="CO10" i="7"/>
  <c r="CO59" i="7" s="1"/>
  <c r="CO32" i="7"/>
  <c r="CM36" i="7"/>
  <c r="CM8" i="7"/>
  <c r="CQ8" i="7" s="1"/>
  <c r="CO13" i="7"/>
  <c r="CQ13" i="7" s="1"/>
  <c r="CM43" i="7"/>
  <c r="CO24" i="7"/>
  <c r="CO34" i="7"/>
  <c r="CO26" i="7"/>
  <c r="CO49" i="7"/>
  <c r="CM38" i="7"/>
  <c r="CM54" i="7"/>
  <c r="CQ54" i="7" s="1"/>
  <c r="CO23" i="7"/>
  <c r="CQ23" i="7" s="1"/>
  <c r="CM45" i="7"/>
  <c r="CO12" i="7"/>
  <c r="CM7" i="7"/>
  <c r="CM34" i="7"/>
  <c r="CQ34" i="7" s="1"/>
  <c r="CM17" i="7"/>
  <c r="CO39" i="7"/>
  <c r="CO29" i="7"/>
  <c r="CM10" i="7"/>
  <c r="CM24" i="7"/>
  <c r="CM11" i="7"/>
  <c r="CM40" i="7"/>
  <c r="CQ40" i="7" s="1"/>
  <c r="CO51" i="7"/>
  <c r="CQ51" i="7" s="1"/>
  <c r="CO15" i="7"/>
  <c r="BW18" i="7"/>
  <c r="BU43" i="7"/>
  <c r="BY43" i="7" s="1"/>
  <c r="BW23" i="7"/>
  <c r="BY23" i="7" s="1"/>
  <c r="BU13" i="7"/>
  <c r="CO42" i="7"/>
  <c r="AS36" i="7"/>
  <c r="AS22" i="7"/>
  <c r="AQ29" i="7"/>
  <c r="AQ39" i="7"/>
  <c r="AQ11" i="7"/>
  <c r="AU11" i="7" s="1"/>
  <c r="AS52" i="7"/>
  <c r="AS38" i="7"/>
  <c r="AS27" i="7"/>
  <c r="AS50" i="7"/>
  <c r="AQ50" i="7"/>
  <c r="AQ30" i="7"/>
  <c r="AQ46" i="7"/>
  <c r="AS14" i="7"/>
  <c r="AS18" i="7"/>
  <c r="AQ33" i="7"/>
  <c r="AS21" i="7"/>
  <c r="AQ38" i="7"/>
  <c r="AU38" i="7" s="1"/>
  <c r="AS7" i="7"/>
  <c r="AQ5" i="7"/>
  <c r="AU5" i="7" s="1"/>
  <c r="P7" i="7"/>
  <c r="AN44" i="7"/>
  <c r="AT8" i="7"/>
  <c r="AT54" i="7"/>
  <c r="AT17" i="7"/>
  <c r="CD12" i="7"/>
  <c r="CD15" i="7"/>
  <c r="CD31" i="7"/>
  <c r="BX42" i="7"/>
  <c r="BX47" i="7"/>
  <c r="P40" i="7"/>
  <c r="BA31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BA15" i="7"/>
  <c r="CJ39" i="7"/>
  <c r="AS40" i="7"/>
  <c r="AU40" i="7" s="1"/>
  <c r="AQ34" i="7"/>
  <c r="BR24" i="7"/>
  <c r="CD18" i="7"/>
  <c r="CD20" i="7"/>
  <c r="CD22" i="7"/>
  <c r="P18" i="7"/>
  <c r="AI11" i="7"/>
  <c r="J27" i="7"/>
  <c r="BX38" i="7"/>
  <c r="G21" i="7"/>
  <c r="K21" i="7" s="1"/>
  <c r="G42" i="7"/>
  <c r="G49" i="7"/>
  <c r="G54" i="7"/>
  <c r="G24" i="7"/>
  <c r="BF21" i="7"/>
  <c r="BF42" i="7"/>
  <c r="AH16" i="7"/>
  <c r="AH33" i="7"/>
  <c r="P12" i="7"/>
  <c r="P16" i="7"/>
  <c r="I34" i="7"/>
  <c r="K34" i="7" s="1"/>
  <c r="G51" i="7"/>
  <c r="K51" i="7" s="1"/>
  <c r="G12" i="7"/>
  <c r="G50" i="7"/>
  <c r="I13" i="7"/>
  <c r="AI21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I19" i="7"/>
  <c r="AT23" i="7"/>
  <c r="AI51" i="7"/>
  <c r="AH39" i="7"/>
  <c r="BR27" i="7"/>
  <c r="BA20" i="7"/>
  <c r="J35" i="7"/>
  <c r="J45" i="7"/>
  <c r="CJ55" i="7"/>
  <c r="AI29" i="7"/>
  <c r="AH38" i="7"/>
  <c r="AH48" i="7"/>
  <c r="AI48" i="7"/>
  <c r="AU20" i="7"/>
  <c r="AH10" i="7"/>
  <c r="AI8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I30" i="7"/>
  <c r="G40" i="7"/>
  <c r="I41" i="7"/>
  <c r="G8" i="7"/>
  <c r="K8" i="7" s="1"/>
  <c r="I17" i="7"/>
  <c r="G5" i="7"/>
  <c r="K5" i="7" s="1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K16" i="7" s="1"/>
  <c r="AD261" i="5"/>
  <c r="AC140" i="5"/>
  <c r="AF37" i="5"/>
  <c r="AF171" i="5"/>
  <c r="AB86" i="5"/>
  <c r="I24" i="7"/>
  <c r="I38" i="7"/>
  <c r="G35" i="7"/>
  <c r="G27" i="7"/>
  <c r="G32" i="7"/>
  <c r="K32" i="7" s="1"/>
  <c r="I54" i="7"/>
  <c r="G29" i="7"/>
  <c r="G25" i="7"/>
  <c r="K25" i="7" s="1"/>
  <c r="I56" i="7"/>
  <c r="G36" i="7"/>
  <c r="I18" i="7"/>
  <c r="G17" i="7"/>
  <c r="I23" i="7"/>
  <c r="G23" i="7"/>
  <c r="G52" i="7"/>
  <c r="I22" i="7"/>
  <c r="G53" i="7"/>
  <c r="K53" i="7" s="1"/>
  <c r="I12" i="7"/>
  <c r="G45" i="7"/>
  <c r="G44" i="7"/>
  <c r="I27" i="7"/>
  <c r="AC220" i="5"/>
  <c r="G47" i="7"/>
  <c r="K47" i="7" s="1"/>
  <c r="G39" i="7"/>
  <c r="I40" i="7"/>
  <c r="I32" i="7"/>
  <c r="I14" i="7"/>
  <c r="K14" i="7" s="1"/>
  <c r="G7" i="7"/>
  <c r="I29" i="7"/>
  <c r="I10" i="7"/>
  <c r="G11" i="7"/>
  <c r="G56" i="7"/>
  <c r="G30" i="7"/>
  <c r="G9" i="7"/>
  <c r="K9" i="7" s="1"/>
  <c r="G28" i="7"/>
  <c r="I35" i="7"/>
  <c r="G38" i="7"/>
  <c r="I19" i="7"/>
  <c r="I55" i="7"/>
  <c r="K55" i="7" s="1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I52" i="7"/>
  <c r="AT47" i="7"/>
  <c r="BR37" i="7"/>
  <c r="J26" i="7"/>
  <c r="CD23" i="7"/>
  <c r="BF19" i="7"/>
  <c r="AS29" i="7"/>
  <c r="AU29" i="7" s="1"/>
  <c r="AQ55" i="7"/>
  <c r="AQ32" i="7"/>
  <c r="AU30" i="7"/>
  <c r="CD38" i="7"/>
  <c r="CD42" i="7"/>
  <c r="AS8" i="7"/>
  <c r="CQ56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BA47" i="7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I6" i="7"/>
  <c r="AI12" i="7"/>
  <c r="AH6" i="7"/>
  <c r="AH22" i="7"/>
  <c r="AT48" i="7"/>
  <c r="AI20" i="7"/>
  <c r="AT56" i="7"/>
  <c r="AH27" i="7"/>
  <c r="AI9" i="7"/>
  <c r="AT7" i="7"/>
  <c r="CJ28" i="7"/>
  <c r="BF41" i="7"/>
  <c r="AS43" i="7"/>
  <c r="AQ19" i="7"/>
  <c r="AU19" i="7" s="1"/>
  <c r="AH40" i="7"/>
  <c r="BF51" i="7"/>
  <c r="AH54" i="7"/>
  <c r="CR17" i="7"/>
  <c r="BA43" i="7"/>
  <c r="J23" i="7"/>
  <c r="CR32" i="7"/>
  <c r="J51" i="7"/>
  <c r="BA37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47" i="7"/>
  <c r="BA17" i="7"/>
  <c r="CQ46" i="7"/>
  <c r="P15" i="7"/>
  <c r="BA40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CR26" i="7"/>
  <c r="CT21" i="7"/>
  <c r="AH31" i="7"/>
  <c r="AH42" i="7"/>
  <c r="AT55" i="7"/>
  <c r="CT17" i="7"/>
  <c r="BX56" i="7"/>
  <c r="AH37" i="7"/>
  <c r="AH50" i="7"/>
  <c r="AU9" i="7"/>
  <c r="AH19" i="7"/>
  <c r="AX59" i="7"/>
  <c r="AY59" i="7" s="1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CR55" i="7"/>
  <c r="AH45" i="7"/>
  <c r="AI34" i="7"/>
  <c r="AZ12" i="7"/>
  <c r="BF20" i="7"/>
  <c r="AH5" i="7"/>
  <c r="AI5" i="7"/>
  <c r="AV59" i="7"/>
  <c r="AW59" i="7" s="1"/>
  <c r="CD9" i="7"/>
  <c r="CB59" i="7"/>
  <c r="CD35" i="7"/>
  <c r="CD14" i="7"/>
  <c r="BZ59" i="7"/>
  <c r="AZ8" i="7"/>
  <c r="BX27" i="7"/>
  <c r="CR9" i="7"/>
  <c r="AT11" i="7"/>
  <c r="AI22" i="7"/>
  <c r="CD44" i="7"/>
  <c r="BF48" i="7"/>
  <c r="AU55" i="7"/>
  <c r="CT18" i="7"/>
  <c r="CT47" i="7"/>
  <c r="AN47" i="7"/>
  <c r="AN49" i="7"/>
  <c r="BX9" i="7"/>
  <c r="BX23" i="7"/>
  <c r="BX8" i="7"/>
  <c r="CJ18" i="7"/>
  <c r="AH49" i="7"/>
  <c r="AH32" i="7"/>
  <c r="AI43" i="7"/>
  <c r="AH36" i="7"/>
  <c r="AI18" i="7"/>
  <c r="AT46" i="7"/>
  <c r="AT22" i="7"/>
  <c r="AU39" i="7"/>
  <c r="BR25" i="7"/>
  <c r="BX32" i="7"/>
  <c r="CR39" i="7"/>
  <c r="BX52" i="7"/>
  <c r="BX31" i="7"/>
  <c r="BX14" i="7"/>
  <c r="CJ46" i="7"/>
  <c r="AI32" i="7"/>
  <c r="AT42" i="7"/>
  <c r="AN28" i="7"/>
  <c r="P6" i="7"/>
  <c r="AF59" i="7"/>
  <c r="AG59" i="7" s="1"/>
  <c r="AN33" i="7"/>
  <c r="BX24" i="7"/>
  <c r="AD59" i="7"/>
  <c r="AP59" i="7"/>
  <c r="AI16" i="7"/>
  <c r="AT50" i="7"/>
  <c r="AH9" i="7"/>
  <c r="AH17" i="7"/>
  <c r="AN48" i="7"/>
  <c r="AU35" i="7"/>
  <c r="AI56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U34" i="7"/>
  <c r="AN52" i="7"/>
  <c r="CJ40" i="7"/>
  <c r="AN26" i="7"/>
  <c r="AN51" i="7"/>
  <c r="AH20" i="7"/>
  <c r="AI47" i="7"/>
  <c r="AT21" i="7"/>
  <c r="AT33" i="7"/>
  <c r="AU14" i="7"/>
  <c r="AT26" i="7"/>
  <c r="CD52" i="7"/>
  <c r="CP15" i="7"/>
  <c r="AT35" i="7"/>
  <c r="J29" i="7"/>
  <c r="BX45" i="7"/>
  <c r="AI37" i="7"/>
  <c r="AN30" i="7"/>
  <c r="AH41" i="7"/>
  <c r="AT52" i="7"/>
  <c r="AH47" i="7"/>
  <c r="AI28" i="7"/>
  <c r="AI35" i="7"/>
  <c r="AH53" i="7"/>
  <c r="AI44" i="7"/>
  <c r="AT39" i="7"/>
  <c r="AU46" i="7"/>
  <c r="AI24" i="7"/>
  <c r="AT37" i="7"/>
  <c r="AT29" i="7"/>
  <c r="AR59" i="7"/>
  <c r="AH26" i="7"/>
  <c r="AI36" i="7"/>
  <c r="AZ15" i="7"/>
  <c r="CD29" i="7"/>
  <c r="CP28" i="7"/>
  <c r="CL59" i="7"/>
  <c r="AI23" i="7"/>
  <c r="AT51" i="7"/>
  <c r="AT49" i="7"/>
  <c r="AI30" i="7"/>
  <c r="AT41" i="7"/>
  <c r="AI55" i="7"/>
  <c r="AU15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H232" i="5" s="1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C250" i="5"/>
  <c r="AF212" i="5"/>
  <c r="AB50" i="5"/>
  <c r="AF166" i="5"/>
  <c r="AG166" i="5" s="1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G130" i="5" s="1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G250" i="5" s="1"/>
  <c r="AD212" i="5"/>
  <c r="AE166" i="5"/>
  <c r="AE110" i="5"/>
  <c r="AF102" i="5"/>
  <c r="AF200" i="5"/>
  <c r="AG200" i="5" s="1"/>
  <c r="AD183" i="5"/>
  <c r="AF57" i="5"/>
  <c r="AN16" i="7"/>
  <c r="BF6" i="7"/>
  <c r="CR33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BY42" i="7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E28" i="7" s="1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CQ32" i="7"/>
  <c r="CT45" i="7"/>
  <c r="CQ26" i="7"/>
  <c r="J14" i="7"/>
  <c r="P46" i="7"/>
  <c r="BA9" i="7"/>
  <c r="BA44" i="7"/>
  <c r="BA19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H114" i="5" s="1"/>
  <c r="AC114" i="5"/>
  <c r="AD114" i="5"/>
  <c r="AB32" i="5"/>
  <c r="AH32" i="5" s="1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G50" i="5" s="1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C85" i="5"/>
  <c r="AF85" i="5"/>
  <c r="AA46" i="5"/>
  <c r="AE46" i="5"/>
  <c r="AF46" i="5"/>
  <c r="AA229" i="5"/>
  <c r="AG229" i="5" s="1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H52" i="5"/>
  <c r="AB212" i="5"/>
  <c r="AB85" i="5"/>
  <c r="AB110" i="5"/>
  <c r="AB252" i="5"/>
  <c r="AH252" i="5" s="1"/>
  <c r="AA252" i="5"/>
  <c r="AG252" i="5" s="1"/>
  <c r="AD229" i="5"/>
  <c r="AF149" i="5"/>
  <c r="AG149" i="5" s="1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G28" i="5" s="1"/>
  <c r="AC123" i="5"/>
  <c r="AC144" i="5"/>
  <c r="AB93" i="5"/>
  <c r="BX13" i="7"/>
  <c r="J42" i="7"/>
  <c r="AN38" i="7"/>
  <c r="AN13" i="7"/>
  <c r="BX43" i="7"/>
  <c r="BA7" i="7"/>
  <c r="P34" i="7"/>
  <c r="P55" i="7"/>
  <c r="P47" i="7"/>
  <c r="G31" i="7"/>
  <c r="BX16" i="7"/>
  <c r="BX7" i="7"/>
  <c r="AN43" i="7"/>
  <c r="I21" i="7"/>
  <c r="G46" i="7"/>
  <c r="K46" i="7" s="1"/>
  <c r="I36" i="7"/>
  <c r="J24" i="7"/>
  <c r="CT48" i="7"/>
  <c r="K35" i="7"/>
  <c r="CJ52" i="7"/>
  <c r="CT53" i="7"/>
  <c r="BA29" i="7"/>
  <c r="BA23" i="7"/>
  <c r="P26" i="7"/>
  <c r="AN32" i="7"/>
  <c r="CT44" i="7"/>
  <c r="CQ24" i="7"/>
  <c r="CT23" i="7"/>
  <c r="CR54" i="7"/>
  <c r="CR10" i="7"/>
  <c r="CT7" i="7"/>
  <c r="CT9" i="7"/>
  <c r="I37" i="7"/>
  <c r="K37" i="7" s="1"/>
  <c r="G13" i="7"/>
  <c r="I45" i="7"/>
  <c r="BU44" i="7"/>
  <c r="BY44" i="7" s="1"/>
  <c r="BW10" i="7"/>
  <c r="BU20" i="7"/>
  <c r="BY20" i="7" s="1"/>
  <c r="BW48" i="7"/>
  <c r="BU53" i="7"/>
  <c r="BY53" i="7" s="1"/>
  <c r="BW37" i="7"/>
  <c r="BY37" i="7" s="1"/>
  <c r="BW54" i="7"/>
  <c r="BU14" i="7"/>
  <c r="BY14" i="7" s="1"/>
  <c r="BU54" i="7"/>
  <c r="BW27" i="7"/>
  <c r="BW29" i="7"/>
  <c r="BY29" i="7" s="1"/>
  <c r="BU51" i="7"/>
  <c r="BY51" i="7" s="1"/>
  <c r="BW35" i="7"/>
  <c r="BY35" i="7" s="1"/>
  <c r="BU5" i="7"/>
  <c r="BX29" i="7"/>
  <c r="J8" i="7"/>
  <c r="P35" i="7"/>
  <c r="CR19" i="7"/>
  <c r="AN34" i="7"/>
  <c r="BF16" i="7"/>
  <c r="CJ44" i="7"/>
  <c r="CJ54" i="7"/>
  <c r="CJ45" i="7"/>
  <c r="I11" i="7"/>
  <c r="I20" i="7"/>
  <c r="K20" i="7" s="1"/>
  <c r="I49" i="7"/>
  <c r="K49" i="7" s="1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O8" i="7" s="1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K26" i="7" s="1"/>
  <c r="CR16" i="7"/>
  <c r="BX28" i="7"/>
  <c r="BY56" i="7"/>
  <c r="J38" i="7"/>
  <c r="CT49" i="7"/>
  <c r="BA50" i="7"/>
  <c r="BA12" i="7"/>
  <c r="J47" i="7"/>
  <c r="CR35" i="7"/>
  <c r="J15" i="7"/>
  <c r="AN21" i="7"/>
  <c r="CT22" i="7"/>
  <c r="CT33" i="7"/>
  <c r="J22" i="7"/>
  <c r="CT35" i="7"/>
  <c r="AN19" i="7"/>
  <c r="BX26" i="7"/>
  <c r="AJ59" i="7"/>
  <c r="J17" i="7"/>
  <c r="CT46" i="7"/>
  <c r="CR41" i="7"/>
  <c r="BX48" i="7"/>
  <c r="BA36" i="7"/>
  <c r="CR40" i="7"/>
  <c r="CR30" i="7"/>
  <c r="CR27" i="7"/>
  <c r="CR29" i="7"/>
  <c r="CT37" i="7"/>
  <c r="BA26" i="7"/>
  <c r="CQ39" i="7"/>
  <c r="CQ29" i="7"/>
  <c r="CQ15" i="7"/>
  <c r="P50" i="7"/>
  <c r="AN35" i="7"/>
  <c r="BY22" i="7"/>
  <c r="CT10" i="7"/>
  <c r="CT32" i="7"/>
  <c r="P28" i="7"/>
  <c r="J6" i="7"/>
  <c r="CR34" i="7"/>
  <c r="CT5" i="7"/>
  <c r="J44" i="7"/>
  <c r="CT20" i="7"/>
  <c r="CR45" i="7"/>
  <c r="CR53" i="7"/>
  <c r="CT42" i="7"/>
  <c r="CT26" i="7"/>
  <c r="CV26" i="7" s="1"/>
  <c r="P29" i="7"/>
  <c r="BA10" i="7"/>
  <c r="P5" i="7"/>
  <c r="K40" i="7"/>
  <c r="CJ19" i="7"/>
  <c r="P20" i="7"/>
  <c r="CJ12" i="7"/>
  <c r="CT31" i="7"/>
  <c r="CT28" i="7"/>
  <c r="CR12" i="7"/>
  <c r="CR43" i="7"/>
  <c r="CQ50" i="7"/>
  <c r="CQ55" i="7"/>
  <c r="CQ16" i="7"/>
  <c r="CR25" i="7"/>
  <c r="BX18" i="7"/>
  <c r="CQ33" i="7"/>
  <c r="P31" i="7"/>
  <c r="BX54" i="7"/>
  <c r="AL59" i="7"/>
  <c r="CT51" i="7"/>
  <c r="AN45" i="7"/>
  <c r="BB59" i="7"/>
  <c r="BD59" i="7"/>
  <c r="AN27" i="7"/>
  <c r="CJ8" i="7"/>
  <c r="CH59" i="7"/>
  <c r="CJ42" i="7"/>
  <c r="BA35" i="7"/>
  <c r="CR22" i="7"/>
  <c r="AN56" i="7"/>
  <c r="BA5" i="7"/>
  <c r="BA30" i="7"/>
  <c r="K43" i="7"/>
  <c r="AF184" i="5"/>
  <c r="BX25" i="7"/>
  <c r="CQ12" i="7"/>
  <c r="BA21" i="7"/>
  <c r="BA25" i="7"/>
  <c r="J53" i="7"/>
  <c r="CR14" i="7"/>
  <c r="BF9" i="7"/>
  <c r="CF59" i="7"/>
  <c r="CT40" i="7"/>
  <c r="CT54" i="7"/>
  <c r="CT14" i="7"/>
  <c r="CQ7" i="7"/>
  <c r="BA24" i="7"/>
  <c r="CT11" i="7"/>
  <c r="CR51" i="7"/>
  <c r="CR56" i="7"/>
  <c r="J13" i="7"/>
  <c r="CT36" i="7"/>
  <c r="CT6" i="7"/>
  <c r="J5" i="7"/>
  <c r="J11" i="7"/>
  <c r="CR42" i="7"/>
  <c r="CT52" i="7"/>
  <c r="CT19" i="7"/>
  <c r="P8" i="7"/>
  <c r="P11" i="7"/>
  <c r="P14" i="7"/>
  <c r="CT56" i="7"/>
  <c r="CQ10" i="7"/>
  <c r="BA56" i="7"/>
  <c r="K6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BY26" i="7"/>
  <c r="BY49" i="7"/>
  <c r="CR31" i="7"/>
  <c r="J50" i="7"/>
  <c r="CR21" i="7"/>
  <c r="CV21" i="7" s="1"/>
  <c r="P56" i="7"/>
  <c r="P9" i="7"/>
  <c r="CT34" i="7"/>
  <c r="CT16" i="7"/>
  <c r="BA46" i="7"/>
  <c r="BA6" i="7"/>
  <c r="BA33" i="7"/>
  <c r="BA18" i="7"/>
  <c r="CT27" i="7"/>
  <c r="CR37" i="7"/>
  <c r="CT43" i="7"/>
  <c r="CT41" i="7"/>
  <c r="CR20" i="7"/>
  <c r="CT39" i="7"/>
  <c r="CV39" i="7" s="1"/>
  <c r="CT24" i="7"/>
  <c r="CT29" i="7"/>
  <c r="CT8" i="7"/>
  <c r="J36" i="7"/>
  <c r="CR8" i="7"/>
  <c r="CT38" i="7"/>
  <c r="J39" i="7"/>
  <c r="J48" i="7"/>
  <c r="CT15" i="7"/>
  <c r="J52" i="7"/>
  <c r="BA42" i="7"/>
  <c r="P21" i="7"/>
  <c r="P23" i="7"/>
  <c r="P27" i="7"/>
  <c r="J7" i="7"/>
  <c r="CQ19" i="7"/>
  <c r="P53" i="7"/>
  <c r="BA32" i="7"/>
  <c r="K24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H241" i="5" s="1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CR24" i="7"/>
  <c r="AB230" i="5"/>
  <c r="AH230" i="5" s="1"/>
  <c r="AB194" i="5"/>
  <c r="CR11" i="7"/>
  <c r="J56" i="7"/>
  <c r="AE89" i="5"/>
  <c r="AB231" i="5"/>
  <c r="AD132" i="5"/>
  <c r="AB196" i="5"/>
  <c r="CR23" i="7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G67" i="5" s="1"/>
  <c r="AC67" i="5"/>
  <c r="AB126" i="5"/>
  <c r="AC126" i="5"/>
  <c r="AC47" i="5"/>
  <c r="AB47" i="5"/>
  <c r="AD47" i="5"/>
  <c r="CR49" i="7"/>
  <c r="J49" i="7"/>
  <c r="AF159" i="5"/>
  <c r="AA217" i="5"/>
  <c r="AB159" i="5"/>
  <c r="AE211" i="5"/>
  <c r="AH211" i="5" s="1"/>
  <c r="AF237" i="5"/>
  <c r="AC230" i="5"/>
  <c r="AA219" i="5"/>
  <c r="CR5" i="7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H248" i="5" s="1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CR48" i="7"/>
  <c r="P54" i="7"/>
  <c r="J31" i="7"/>
  <c r="CR52" i="7"/>
  <c r="BA11" i="7"/>
  <c r="J43" i="7"/>
  <c r="AE202" i="5"/>
  <c r="CR15" i="7"/>
  <c r="CR38" i="7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CR18" i="7"/>
  <c r="AD139" i="5"/>
  <c r="AE17" i="5"/>
  <c r="AH17" i="5" s="1"/>
  <c r="CQ28" i="7"/>
  <c r="CR50" i="7"/>
  <c r="CR7" i="7"/>
  <c r="AB181" i="5"/>
  <c r="AB210" i="5"/>
  <c r="AF169" i="5"/>
  <c r="AE177" i="5"/>
  <c r="AA261" i="5"/>
  <c r="AA106" i="5"/>
  <c r="AE94" i="5"/>
  <c r="AD33" i="5"/>
  <c r="AE238" i="5"/>
  <c r="AH238" i="5" s="1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CR36" i="7"/>
  <c r="CR46" i="7"/>
  <c r="AB26" i="5"/>
  <c r="AA240" i="5"/>
  <c r="AD170" i="5"/>
  <c r="AC7" i="5"/>
  <c r="AF201" i="5"/>
  <c r="J37" i="7"/>
  <c r="P37" i="7"/>
  <c r="AF152" i="5"/>
  <c r="AG152" i="5" s="1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CQ42" i="7"/>
  <c r="AF88" i="5"/>
  <c r="AG88" i="5" s="1"/>
  <c r="CR47" i="7"/>
  <c r="AD68" i="5"/>
  <c r="AB35" i="5"/>
  <c r="CT30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G72" i="5" s="1"/>
  <c r="AA34" i="5"/>
  <c r="AA179" i="5"/>
  <c r="AG179" i="5" s="1"/>
  <c r="AD230" i="5"/>
  <c r="AF219" i="5"/>
  <c r="AF194" i="5"/>
  <c r="AD241" i="5"/>
  <c r="AE137" i="5"/>
  <c r="AA224" i="5"/>
  <c r="AG224" i="5" s="1"/>
  <c r="AB89" i="5"/>
  <c r="AA82" i="5"/>
  <c r="AG82" i="5" s="1"/>
  <c r="AD204" i="5"/>
  <c r="AB5" i="5"/>
  <c r="AE132" i="5"/>
  <c r="AB71" i="5"/>
  <c r="AB9" i="5"/>
  <c r="AF36" i="5"/>
  <c r="AD61" i="5"/>
  <c r="AB225" i="5"/>
  <c r="AA119" i="5"/>
  <c r="AF53" i="5"/>
  <c r="AG53" i="5" s="1"/>
  <c r="AF233" i="5"/>
  <c r="CR28" i="7"/>
  <c r="J32" i="7"/>
  <c r="CR13" i="7"/>
  <c r="J20" i="7"/>
  <c r="CQ11" i="7"/>
  <c r="CQ43" i="7"/>
  <c r="BA52" i="7"/>
  <c r="BA14" i="7"/>
  <c r="BA28" i="7"/>
  <c r="J34" i="7"/>
  <c r="J28" i="7"/>
  <c r="CQ18" i="7"/>
  <c r="CT13" i="7"/>
  <c r="CT50" i="7"/>
  <c r="CT25" i="7"/>
  <c r="CT12" i="7"/>
  <c r="CQ14" i="7"/>
  <c r="CQ37" i="7"/>
  <c r="P10" i="7"/>
  <c r="BX30" i="7"/>
  <c r="BY21" i="7"/>
  <c r="CR6" i="7"/>
  <c r="P13" i="7"/>
  <c r="CQ21" i="7"/>
  <c r="BV59" i="7"/>
  <c r="BY30" i="7"/>
  <c r="BY52" i="7"/>
  <c r="BY17" i="7"/>
  <c r="CQ5" i="7"/>
  <c r="P41" i="7"/>
  <c r="CQ35" i="7"/>
  <c r="BA48" i="7"/>
  <c r="BA55" i="7"/>
  <c r="BA53" i="7"/>
  <c r="CQ17" i="7"/>
  <c r="P17" i="7"/>
  <c r="P32" i="7"/>
  <c r="L59" i="7"/>
  <c r="CT55" i="7"/>
  <c r="CV55" i="7" s="1"/>
  <c r="CR44" i="7"/>
  <c r="AC41" i="5"/>
  <c r="BX12" i="7"/>
  <c r="BA45" i="7"/>
  <c r="BA41" i="7"/>
  <c r="AD15" i="5"/>
  <c r="AB221" i="5"/>
  <c r="P30" i="7"/>
  <c r="BA13" i="7"/>
  <c r="CQ45" i="7"/>
  <c r="P52" i="7"/>
  <c r="BA39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BA49" i="7"/>
  <c r="BA8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H86" i="5" s="1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H199" i="5" s="1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G33" i="5" s="1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BA34" i="7"/>
  <c r="P43" i="7"/>
  <c r="BA16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CQ30" i="7"/>
  <c r="P22" i="7"/>
  <c r="AP141" i="5"/>
  <c r="AP190" i="5"/>
  <c r="AP77" i="5"/>
  <c r="BT59" i="7"/>
  <c r="BY9" i="7"/>
  <c r="AG103" i="5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H179" i="5" s="1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BL59" i="7"/>
  <c r="F72" i="7" s="1" a="1"/>
  <c r="F72" i="7" s="1"/>
  <c r="AB59" i="7"/>
  <c r="F66" i="7" s="1" a="1"/>
  <c r="F66" i="7" s="1"/>
  <c r="V59" i="7"/>
  <c r="F65" i="7" s="1" a="1"/>
  <c r="F65" i="7" s="1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CV17" i="7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H74" i="5" s="1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H78" i="5" s="1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H188" i="5"/>
  <c r="AG167" i="5"/>
  <c r="AM219" i="5"/>
  <c r="AM220" i="5"/>
  <c r="AH200" i="5"/>
  <c r="AM257" i="5"/>
  <c r="AM238" i="5"/>
  <c r="AM195" i="5"/>
  <c r="AH65" i="5"/>
  <c r="AM181" i="5"/>
  <c r="AM259" i="5"/>
  <c r="AH71" i="5"/>
  <c r="AM240" i="5"/>
  <c r="AM224" i="5"/>
  <c r="AH212" i="5"/>
  <c r="AM146" i="5"/>
  <c r="AM229" i="5"/>
  <c r="AG171" i="5"/>
  <c r="AM116" i="5"/>
  <c r="AM249" i="5"/>
  <c r="AM69" i="5"/>
  <c r="AM253" i="5"/>
  <c r="AG120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H250" i="5"/>
  <c r="AM106" i="5"/>
  <c r="AM50" i="5"/>
  <c r="AM32" i="5"/>
  <c r="AM178" i="5"/>
  <c r="AM227" i="5"/>
  <c r="AM200" i="5"/>
  <c r="AG47" i="5"/>
  <c r="AM137" i="5"/>
  <c r="AM258" i="5"/>
  <c r="AM167" i="5"/>
  <c r="AH153" i="5"/>
  <c r="AH208" i="5"/>
  <c r="AH236" i="5"/>
  <c r="AM221" i="5"/>
  <c r="AH192" i="5"/>
  <c r="AH130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H13" i="5"/>
  <c r="AM217" i="5"/>
  <c r="AM85" i="5"/>
  <c r="AM34" i="5"/>
  <c r="AM33" i="5"/>
  <c r="AM98" i="5"/>
  <c r="AM162" i="5"/>
  <c r="AM10" i="5"/>
  <c r="AM12" i="5"/>
  <c r="AM211" i="5"/>
  <c r="AG64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H207" i="5"/>
  <c r="AM125" i="5"/>
  <c r="AM15" i="5"/>
  <c r="AH183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G102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H1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U7" i="7" l="1"/>
  <c r="AE59" i="7"/>
  <c r="AU50" i="7"/>
  <c r="AU36" i="7"/>
  <c r="AU51" i="7"/>
  <c r="BY18" i="7"/>
  <c r="BY38" i="7"/>
  <c r="CQ49" i="7"/>
  <c r="AC26" i="7"/>
  <c r="W28" i="7"/>
  <c r="AI7" i="7"/>
  <c r="AI26" i="7"/>
  <c r="BY27" i="7"/>
  <c r="K15" i="7"/>
  <c r="K11" i="7"/>
  <c r="CM59" i="7"/>
  <c r="W20" i="7"/>
  <c r="BM44" i="7"/>
  <c r="AG65" i="5"/>
  <c r="U59" i="7"/>
  <c r="W6" i="7"/>
  <c r="BM51" i="7"/>
  <c r="CV37" i="7"/>
  <c r="AG236" i="5"/>
  <c r="AG212" i="5"/>
  <c r="AG110" i="5"/>
  <c r="K44" i="7"/>
  <c r="CQ47" i="7"/>
  <c r="W48" i="7"/>
  <c r="W44" i="7"/>
  <c r="W22" i="7"/>
  <c r="W40" i="7"/>
  <c r="W14" i="7"/>
  <c r="W27" i="7"/>
  <c r="W5" i="7"/>
  <c r="W51" i="7"/>
  <c r="W54" i="7"/>
  <c r="W38" i="7"/>
  <c r="W31" i="7"/>
  <c r="W55" i="7"/>
  <c r="BM11" i="7"/>
  <c r="BM48" i="7"/>
  <c r="BM27" i="7"/>
  <c r="BM42" i="7"/>
  <c r="BM46" i="7"/>
  <c r="BM19" i="7"/>
  <c r="BM6" i="7"/>
  <c r="AU43" i="7"/>
  <c r="K28" i="7"/>
  <c r="AC45" i="7"/>
  <c r="AC7" i="7"/>
  <c r="W13" i="7"/>
  <c r="W59" i="7" s="1"/>
  <c r="G65" i="7" s="1" a="1"/>
  <c r="G65" i="7" s="1"/>
  <c r="W47" i="7"/>
  <c r="W56" i="7"/>
  <c r="W9" i="7"/>
  <c r="W26" i="7"/>
  <c r="W39" i="7"/>
  <c r="W46" i="7"/>
  <c r="W36" i="7"/>
  <c r="W34" i="7"/>
  <c r="W52" i="7"/>
  <c r="BM5" i="7"/>
  <c r="BM16" i="7"/>
  <c r="BM29" i="7"/>
  <c r="BM59" i="7" s="1"/>
  <c r="G72" i="7" s="1" a="1"/>
  <c r="G72" i="7" s="1"/>
  <c r="BM43" i="7"/>
  <c r="BM10" i="7"/>
  <c r="BM53" i="7"/>
  <c r="BM45" i="7"/>
  <c r="AC44" i="7"/>
  <c r="W30" i="7"/>
  <c r="W23" i="7"/>
  <c r="W45" i="7"/>
  <c r="W18" i="7"/>
  <c r="W42" i="7"/>
  <c r="W49" i="7"/>
  <c r="W35" i="7"/>
  <c r="BM8" i="7"/>
  <c r="BK59" i="7"/>
  <c r="BM35" i="7"/>
  <c r="BM40" i="7"/>
  <c r="BM33" i="7"/>
  <c r="BM50" i="7"/>
  <c r="BM22" i="7"/>
  <c r="AI27" i="7"/>
  <c r="AG183" i="5"/>
  <c r="AU27" i="7"/>
  <c r="CV54" i="7"/>
  <c r="AG90" i="5"/>
  <c r="BY48" i="7"/>
  <c r="AG57" i="5"/>
  <c r="AU13" i="7"/>
  <c r="S59" i="7"/>
  <c r="BI59" i="7"/>
  <c r="AH247" i="5"/>
  <c r="AH129" i="5"/>
  <c r="AI129" i="5" s="1"/>
  <c r="AH190" i="5"/>
  <c r="AH229" i="5"/>
  <c r="AG181" i="5"/>
  <c r="AH62" i="5"/>
  <c r="AI62" i="5" s="1"/>
  <c r="AH90" i="5"/>
  <c r="AH174" i="5"/>
  <c r="AC15" i="7"/>
  <c r="AC25" i="7"/>
  <c r="AC39" i="7"/>
  <c r="AC5" i="7"/>
  <c r="AG43" i="5"/>
  <c r="K52" i="7"/>
  <c r="BY15" i="7"/>
  <c r="AU23" i="7"/>
  <c r="AC13" i="7"/>
  <c r="AC11" i="7"/>
  <c r="AC19" i="7"/>
  <c r="AC8" i="7"/>
  <c r="AU49" i="7"/>
  <c r="AC20" i="7"/>
  <c r="AC27" i="7"/>
  <c r="AC16" i="7"/>
  <c r="AC33" i="7"/>
  <c r="AC10" i="7"/>
  <c r="AH149" i="5"/>
  <c r="K50" i="7"/>
  <c r="AA59" i="7"/>
  <c r="AC32" i="7"/>
  <c r="AC36" i="7"/>
  <c r="K18" i="7"/>
  <c r="AC40" i="7"/>
  <c r="AC41" i="7"/>
  <c r="AC18" i="7"/>
  <c r="AC51" i="7"/>
  <c r="AC9" i="7"/>
  <c r="AC31" i="7"/>
  <c r="AC22" i="7"/>
  <c r="AC21" i="7"/>
  <c r="AC48" i="7"/>
  <c r="Y59" i="7"/>
  <c r="AU8" i="7"/>
  <c r="AU32" i="7"/>
  <c r="K10" i="7"/>
  <c r="K12" i="7"/>
  <c r="K42" i="7"/>
  <c r="AC42" i="7"/>
  <c r="AC14" i="7"/>
  <c r="AC55" i="7"/>
  <c r="AC6" i="7"/>
  <c r="AC59" i="7" s="1"/>
  <c r="G66" i="7" s="1" a="1"/>
  <c r="G66" i="7" s="1"/>
  <c r="AC23" i="7"/>
  <c r="AC43" i="7"/>
  <c r="BY12" i="7"/>
  <c r="AC47" i="7"/>
  <c r="AC50" i="7"/>
  <c r="AC49" i="7"/>
  <c r="AC52" i="7"/>
  <c r="AC24" i="7"/>
  <c r="AC46" i="7"/>
  <c r="AC30" i="7"/>
  <c r="AC28" i="7"/>
  <c r="AC56" i="7"/>
  <c r="AC17" i="7"/>
  <c r="AC12" i="7"/>
  <c r="CE41" i="7"/>
  <c r="AC53" i="7"/>
  <c r="AC54" i="7"/>
  <c r="AU18" i="7"/>
  <c r="CQ52" i="7"/>
  <c r="CQ22" i="7"/>
  <c r="BY32" i="7"/>
  <c r="AU52" i="7"/>
  <c r="CQ25" i="7"/>
  <c r="K41" i="7"/>
  <c r="BY50" i="7"/>
  <c r="K38" i="7"/>
  <c r="AH115" i="5"/>
  <c r="AG153" i="5"/>
  <c r="AH50" i="5"/>
  <c r="AI48" i="5" s="1"/>
  <c r="AG198" i="5"/>
  <c r="AH189" i="5"/>
  <c r="AG240" i="5"/>
  <c r="AH132" i="5"/>
  <c r="AI130" i="5" s="1"/>
  <c r="K30" i="7"/>
  <c r="CS48" i="7"/>
  <c r="K54" i="7"/>
  <c r="AH182" i="5"/>
  <c r="AI182" i="5" s="1"/>
  <c r="AH172" i="5"/>
  <c r="AH181" i="5"/>
  <c r="AH26" i="5"/>
  <c r="CV7" i="7"/>
  <c r="K13" i="7"/>
  <c r="K36" i="7"/>
  <c r="AH110" i="5"/>
  <c r="AG192" i="5"/>
  <c r="K19" i="7"/>
  <c r="AH155" i="5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S9" i="7"/>
  <c r="CK31" i="7"/>
  <c r="AH70" i="5"/>
  <c r="CE54" i="7"/>
  <c r="CE44" i="7"/>
  <c r="CE51" i="7"/>
  <c r="CK34" i="7"/>
  <c r="CK45" i="7"/>
  <c r="BG43" i="7"/>
  <c r="AH225" i="5"/>
  <c r="AI225" i="5" s="1"/>
  <c r="AG36" i="5"/>
  <c r="AH171" i="5"/>
  <c r="K22" i="7"/>
  <c r="K27" i="7"/>
  <c r="AG24" i="5"/>
  <c r="AH237" i="5"/>
  <c r="AI237" i="5" s="1"/>
  <c r="AG95" i="5"/>
  <c r="AG176" i="5"/>
  <c r="AH12" i="5"/>
  <c r="AI11" i="5" s="1"/>
  <c r="AG51" i="5"/>
  <c r="AH46" i="5"/>
  <c r="AH134" i="5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I143" i="5" s="1"/>
  <c r="AH54" i="5"/>
  <c r="AG108" i="5"/>
  <c r="AH166" i="5"/>
  <c r="AH72" i="5"/>
  <c r="AI70" i="5" s="1"/>
  <c r="AH125" i="5"/>
  <c r="AH97" i="5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G134" i="5"/>
  <c r="AG261" i="5"/>
  <c r="AH23" i="5"/>
  <c r="AH144" i="5"/>
  <c r="AH103" i="5"/>
  <c r="AG32" i="5"/>
  <c r="AH102" i="5"/>
  <c r="AH89" i="5"/>
  <c r="AH221" i="5"/>
  <c r="AH204" i="5"/>
  <c r="AH53" i="5"/>
  <c r="AI52" i="5" s="1"/>
  <c r="AH167" i="5"/>
  <c r="AI167" i="5" s="1"/>
  <c r="AH51" i="5"/>
  <c r="AH197" i="5"/>
  <c r="AI197" i="5" s="1"/>
  <c r="AH186" i="5"/>
  <c r="AG216" i="5"/>
  <c r="AH173" i="5"/>
  <c r="AH94" i="5"/>
  <c r="AU6" i="7"/>
  <c r="I59" i="7"/>
  <c r="CV5" i="7"/>
  <c r="CV32" i="7"/>
  <c r="BS7" i="7"/>
  <c r="BS38" i="7"/>
  <c r="BU59" i="7"/>
  <c r="CV38" i="7"/>
  <c r="CS51" i="7"/>
  <c r="CS54" i="7"/>
  <c r="BS30" i="7"/>
  <c r="BS21" i="7"/>
  <c r="BS6" i="7"/>
  <c r="BS19" i="7"/>
  <c r="BS5" i="7"/>
  <c r="BS17" i="7"/>
  <c r="CK24" i="7"/>
  <c r="CK41" i="7"/>
  <c r="CK21" i="7"/>
  <c r="CK17" i="7"/>
  <c r="CU32" i="7"/>
  <c r="BG9" i="7"/>
  <c r="BG12" i="7"/>
  <c r="BG25" i="7"/>
  <c r="BG35" i="7"/>
  <c r="CV9" i="7"/>
  <c r="CV36" i="7"/>
  <c r="CV18" i="7"/>
  <c r="CV22" i="7"/>
  <c r="CI59" i="7"/>
  <c r="BC59" i="7"/>
  <c r="CS37" i="7"/>
  <c r="CU40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U17" i="7"/>
  <c r="CP59" i="7"/>
  <c r="F77" i="7" s="1" a="1"/>
  <c r="F77" i="7" s="1"/>
  <c r="AT59" i="7"/>
  <c r="F69" i="7" s="1" a="1"/>
  <c r="F69" i="7" s="1"/>
  <c r="CD59" i="7"/>
  <c r="F75" i="7" s="1" a="1"/>
  <c r="F75" i="7" s="1"/>
  <c r="CU47" i="7"/>
  <c r="CS41" i="7"/>
  <c r="CS26" i="7"/>
  <c r="CU19" i="7"/>
  <c r="CU56" i="7"/>
  <c r="CS8" i="7"/>
  <c r="CS23" i="7"/>
  <c r="CE38" i="7"/>
  <c r="CE35" i="7"/>
  <c r="CV51" i="7"/>
  <c r="CS47" i="7"/>
  <c r="CW47" i="7" s="1"/>
  <c r="BS55" i="7"/>
  <c r="CU18" i="7"/>
  <c r="BS43" i="7"/>
  <c r="BQ59" i="7"/>
  <c r="BS13" i="7"/>
  <c r="BS37" i="7"/>
  <c r="CS20" i="7"/>
  <c r="CU52" i="7"/>
  <c r="CK16" i="7"/>
  <c r="CK7" i="7"/>
  <c r="CU31" i="7"/>
  <c r="CU30" i="7"/>
  <c r="CU42" i="7"/>
  <c r="CW42" i="7" s="1"/>
  <c r="CU50" i="7"/>
  <c r="BG53" i="7"/>
  <c r="CU16" i="7"/>
  <c r="BR59" i="7"/>
  <c r="F73" i="7" s="1" a="1"/>
  <c r="F73" i="7" s="1"/>
  <c r="CS18" i="7"/>
  <c r="CW18" i="7" s="1"/>
  <c r="CU53" i="7"/>
  <c r="CU22" i="7"/>
  <c r="AO10" i="7"/>
  <c r="CU51" i="7"/>
  <c r="CU13" i="7"/>
  <c r="CU44" i="7"/>
  <c r="CS43" i="7"/>
  <c r="CU14" i="7"/>
  <c r="CU39" i="7"/>
  <c r="CS45" i="7"/>
  <c r="CU6" i="7"/>
  <c r="CS11" i="7"/>
  <c r="CU8" i="7"/>
  <c r="CU55" i="7"/>
  <c r="CU5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S29" i="7"/>
  <c r="CV44" i="7"/>
  <c r="CV46" i="7"/>
  <c r="CV31" i="7"/>
  <c r="CV35" i="7"/>
  <c r="AO24" i="7"/>
  <c r="AO12" i="7"/>
  <c r="CU35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I240" i="5" s="1"/>
  <c r="AH38" i="5"/>
  <c r="AI36" i="5" s="1"/>
  <c r="CS30" i="7"/>
  <c r="AH137" i="5"/>
  <c r="CV48" i="7"/>
  <c r="AH159" i="5"/>
  <c r="AI157" i="5" s="1"/>
  <c r="AH223" i="5"/>
  <c r="AI223" i="5" s="1"/>
  <c r="CV56" i="7"/>
  <c r="CS22" i="7"/>
  <c r="CW22" i="7" s="1"/>
  <c r="CS35" i="7"/>
  <c r="CU28" i="7"/>
  <c r="AO6" i="7"/>
  <c r="AO50" i="7"/>
  <c r="AO36" i="7"/>
  <c r="CU54" i="7"/>
  <c r="CU48" i="7"/>
  <c r="CS14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S27" i="7"/>
  <c r="CV40" i="7"/>
  <c r="CU23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AI110" i="5" s="1"/>
  <c r="G59" i="7"/>
  <c r="AH55" i="5"/>
  <c r="AI55" i="5" s="1"/>
  <c r="CS42" i="7"/>
  <c r="AG161" i="5"/>
  <c r="CV23" i="7"/>
  <c r="CV42" i="7"/>
  <c r="CG59" i="7"/>
  <c r="BE59" i="7"/>
  <c r="CU36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I23" i="5" s="1"/>
  <c r="AG46" i="5"/>
  <c r="AH256" i="5"/>
  <c r="AG163" i="5"/>
  <c r="AG45" i="5"/>
  <c r="AH106" i="5"/>
  <c r="CU21" i="7"/>
  <c r="AG93" i="5"/>
  <c r="AG44" i="5"/>
  <c r="CU20" i="7"/>
  <c r="AG159" i="5"/>
  <c r="AG160" i="5"/>
  <c r="AH77" i="5"/>
  <c r="AH64" i="5"/>
  <c r="AI64" i="5" s="1"/>
  <c r="AG81" i="5"/>
  <c r="AH47" i="5"/>
  <c r="AI46" i="5" s="1"/>
  <c r="AG5" i="5"/>
  <c r="AH120" i="5"/>
  <c r="AI120" i="5" s="1"/>
  <c r="AG230" i="5"/>
  <c r="AG77" i="5"/>
  <c r="AG22" i="5"/>
  <c r="AG221" i="5"/>
  <c r="CV6" i="7"/>
  <c r="AG6" i="5"/>
  <c r="AG133" i="5"/>
  <c r="CU26" i="7"/>
  <c r="AH93" i="5"/>
  <c r="AI93" i="5" s="1"/>
  <c r="AG142" i="5"/>
  <c r="AG190" i="5"/>
  <c r="AH105" i="5"/>
  <c r="AG8" i="5"/>
  <c r="AH217" i="5"/>
  <c r="AH21" i="5"/>
  <c r="CV53" i="7"/>
  <c r="CU45" i="7"/>
  <c r="AH29" i="5"/>
  <c r="AH201" i="5"/>
  <c r="AI199" i="5" s="1"/>
  <c r="AH7" i="5"/>
  <c r="AH35" i="5"/>
  <c r="AI35" i="5" s="1"/>
  <c r="AG237" i="5"/>
  <c r="AH196" i="5"/>
  <c r="AG16" i="5"/>
  <c r="AH43" i="5"/>
  <c r="AG63" i="5"/>
  <c r="AH76" i="5"/>
  <c r="CV25" i="7"/>
  <c r="CU11" i="7"/>
  <c r="AM59" i="7"/>
  <c r="CS15" i="7"/>
  <c r="CU12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CU34" i="7"/>
  <c r="AH22" i="5"/>
  <c r="AO33" i="7"/>
  <c r="AO34" i="7"/>
  <c r="CU9" i="7"/>
  <c r="AO30" i="7"/>
  <c r="Q14" i="7"/>
  <c r="Q55" i="7"/>
  <c r="CU29" i="7"/>
  <c r="CU38" i="7"/>
  <c r="Q10" i="7"/>
  <c r="CU41" i="7"/>
  <c r="Q21" i="7"/>
  <c r="Q17" i="7"/>
  <c r="AG127" i="5"/>
  <c r="CS12" i="7"/>
  <c r="AO37" i="7"/>
  <c r="AO18" i="7"/>
  <c r="Q47" i="7"/>
  <c r="CU33" i="7"/>
  <c r="CU7" i="7"/>
  <c r="Q19" i="7"/>
  <c r="CU25" i="7"/>
  <c r="CU27" i="7"/>
  <c r="CU24" i="7"/>
  <c r="CU15" i="7"/>
  <c r="CU46" i="7"/>
  <c r="Q28" i="7"/>
  <c r="Q31" i="7"/>
  <c r="CS5" i="7"/>
  <c r="CU10" i="7"/>
  <c r="CU37" i="7"/>
  <c r="CW37" i="7" s="1"/>
  <c r="CV29" i="7"/>
  <c r="AO16" i="7"/>
  <c r="Q33" i="7"/>
  <c r="Q51" i="7"/>
  <c r="Q42" i="7"/>
  <c r="Q16" i="7"/>
  <c r="Q23" i="7"/>
  <c r="CS6" i="7"/>
  <c r="AO7" i="7"/>
  <c r="O59" i="7"/>
  <c r="CS49" i="7"/>
  <c r="CS21" i="7"/>
  <c r="CS40" i="7"/>
  <c r="CS28" i="7"/>
  <c r="BF59" i="7"/>
  <c r="F71" i="7" s="1" a="1"/>
  <c r="F71" i="7" s="1"/>
  <c r="CV16" i="7"/>
  <c r="CS56" i="7"/>
  <c r="CW56" i="7" s="1"/>
  <c r="CV11" i="7"/>
  <c r="CV27" i="7"/>
  <c r="CV30" i="7"/>
  <c r="AK59" i="7"/>
  <c r="CS33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CS52" i="7"/>
  <c r="Q52" i="7"/>
  <c r="Q26" i="7"/>
  <c r="Q35" i="7"/>
  <c r="Q50" i="7"/>
  <c r="Q12" i="7"/>
  <c r="BY10" i="7"/>
  <c r="CS36" i="7"/>
  <c r="BY54" i="7"/>
  <c r="CS19" i="7"/>
  <c r="AO21" i="7"/>
  <c r="CS55" i="7"/>
  <c r="CS31" i="7"/>
  <c r="BW59" i="7"/>
  <c r="CS10" i="7"/>
  <c r="CV52" i="7"/>
  <c r="CS38" i="7"/>
  <c r="CU49" i="7"/>
  <c r="CV20" i="7"/>
  <c r="CS32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CU43" i="7"/>
  <c r="CS44" i="7"/>
  <c r="Q44" i="7"/>
  <c r="Q27" i="7"/>
  <c r="Q48" i="7"/>
  <c r="CS25" i="7"/>
  <c r="Q25" i="7"/>
  <c r="Q20" i="7"/>
  <c r="Q49" i="7"/>
  <c r="Q6" i="7"/>
  <c r="CS24" i="7"/>
  <c r="M59" i="7"/>
  <c r="CS50" i="7"/>
  <c r="CW50" i="7" s="1"/>
  <c r="CV28" i="7"/>
  <c r="CS34" i="7"/>
  <c r="CS39" i="7"/>
  <c r="CS7" i="7"/>
  <c r="CS17" i="7"/>
  <c r="CW17" i="7" s="1"/>
  <c r="CS53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S13" i="7"/>
  <c r="CS46" i="7"/>
  <c r="CS16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I116" i="5" s="1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I31" i="5" s="1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I74" i="5" s="1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I142" i="5" s="1"/>
  <c r="AH168" i="5"/>
  <c r="AI168" i="5" s="1"/>
  <c r="AH34" i="5"/>
  <c r="AI32" i="5" s="1"/>
  <c r="AH244" i="5"/>
  <c r="AI244" i="5" s="1"/>
  <c r="AG234" i="5"/>
  <c r="AG80" i="5"/>
  <c r="AG228" i="5"/>
  <c r="AH113" i="5"/>
  <c r="AI112" i="5" s="1"/>
  <c r="AH205" i="5"/>
  <c r="AH60" i="5"/>
  <c r="AH156" i="5"/>
  <c r="AI154" i="5" s="1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I147" i="5" s="1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I186" i="5" s="1"/>
  <c r="AH253" i="5"/>
  <c r="AG249" i="5"/>
  <c r="AG259" i="5"/>
  <c r="AH92" i="5"/>
  <c r="AH243" i="5"/>
  <c r="AH257" i="5"/>
  <c r="AG78" i="5"/>
  <c r="BA59" i="7"/>
  <c r="G70" i="7" s="1" a="1"/>
  <c r="G70" i="7" s="1"/>
  <c r="AH150" i="5"/>
  <c r="AI149" i="5" s="1"/>
  <c r="AH213" i="5"/>
  <c r="AH73" i="5"/>
  <c r="AH19" i="5"/>
  <c r="AH27" i="5"/>
  <c r="AI25" i="5" s="1"/>
  <c r="AG49" i="5"/>
  <c r="AG129" i="5"/>
  <c r="AG154" i="5"/>
  <c r="AH146" i="5"/>
  <c r="AI145" i="5" s="1"/>
  <c r="AG141" i="5"/>
  <c r="AG258" i="5"/>
  <c r="AH58" i="5"/>
  <c r="AI56" i="5" s="1"/>
  <c r="AG18" i="5"/>
  <c r="AG202" i="5"/>
  <c r="AG25" i="5"/>
  <c r="AH222" i="5"/>
  <c r="AI222" i="5" s="1"/>
  <c r="AH39" i="5"/>
  <c r="AH258" i="5"/>
  <c r="AG58" i="5"/>
  <c r="AG48" i="5"/>
  <c r="AH96" i="5"/>
  <c r="AI96" i="5" s="1"/>
  <c r="AH235" i="5"/>
  <c r="AI234" i="5" s="1"/>
  <c r="AH209" i="5"/>
  <c r="AI208" i="5" s="1"/>
  <c r="AG20" i="5"/>
  <c r="F241" i="10" a="1"/>
  <c r="F241" i="10" s="1"/>
  <c r="F223" i="10" a="1"/>
  <c r="F223" i="10" s="1"/>
  <c r="F205" i="10" a="1"/>
  <c r="F205" i="10" s="1"/>
  <c r="AH178" i="5"/>
  <c r="AH128" i="5"/>
  <c r="AI128" i="5" s="1"/>
  <c r="AG255" i="5"/>
  <c r="AH14" i="5"/>
  <c r="AI13" i="5" s="1"/>
  <c r="AG147" i="5"/>
  <c r="AG109" i="5"/>
  <c r="AH88" i="5"/>
  <c r="AI88" i="5" s="1"/>
  <c r="AG68" i="5"/>
  <c r="AG10" i="5"/>
  <c r="AH107" i="5"/>
  <c r="AI106" i="5" s="1"/>
  <c r="AG66" i="5"/>
  <c r="AH109" i="5"/>
  <c r="AG99" i="5"/>
  <c r="AG92" i="5"/>
  <c r="AG213" i="5"/>
  <c r="AH79" i="5"/>
  <c r="AG164" i="5"/>
  <c r="AH4" i="5"/>
  <c r="AI210" i="5"/>
  <c r="AH251" i="5"/>
  <c r="AI249" i="5" s="1"/>
  <c r="AG79" i="5"/>
  <c r="AI65" i="5"/>
  <c r="AI66" i="5"/>
  <c r="AI159" i="5"/>
  <c r="AI99" i="5"/>
  <c r="AI69" i="5"/>
  <c r="AI10" i="5"/>
  <c r="AI198" i="5"/>
  <c r="AI83" i="5"/>
  <c r="AI133" i="5"/>
  <c r="AI239" i="5"/>
  <c r="AI190" i="5"/>
  <c r="AI153" i="5"/>
  <c r="AI103" i="5"/>
  <c r="AI180" i="5"/>
  <c r="AI236" i="5"/>
  <c r="AI224" i="5"/>
  <c r="AI189" i="5"/>
  <c r="AI246" i="5"/>
  <c r="AI227" i="5"/>
  <c r="AI8" i="5"/>
  <c r="AI238" i="5"/>
  <c r="AI245" i="5"/>
  <c r="AI228" i="5"/>
  <c r="AI68" i="5"/>
  <c r="AI179" i="5"/>
  <c r="AI170" i="5"/>
  <c r="AI195" i="5"/>
  <c r="AI98" i="5"/>
  <c r="AI63" i="5"/>
  <c r="AI194" i="5"/>
  <c r="AI84" i="5"/>
  <c r="AI61" i="5"/>
  <c r="AI121" i="5"/>
  <c r="F93" i="10" a="1"/>
  <c r="F93" i="10" s="1"/>
  <c r="F75" i="10" a="1"/>
  <c r="F75" i="10" s="1"/>
  <c r="F111" i="10" a="1"/>
  <c r="F111" i="10" s="1"/>
  <c r="AI97" i="5"/>
  <c r="AI100" i="5"/>
  <c r="AI247" i="5"/>
  <c r="AI85" i="5"/>
  <c r="E11" i="7"/>
  <c r="A141" i="10" s="1"/>
  <c r="A10" i="10"/>
  <c r="AI169" i="5"/>
  <c r="AI49" i="5"/>
  <c r="AI188" i="5"/>
  <c r="AI248" i="5"/>
  <c r="AI181" i="5"/>
  <c r="AI131" i="5"/>
  <c r="AI67" i="5"/>
  <c r="CW43" i="7" l="1"/>
  <c r="CW29" i="7"/>
  <c r="CW9" i="7"/>
  <c r="CW19" i="7"/>
  <c r="CW6" i="7"/>
  <c r="CW21" i="7"/>
  <c r="CW12" i="7"/>
  <c r="CW34" i="7"/>
  <c r="CW26" i="7"/>
  <c r="CW27" i="7"/>
  <c r="CW23" i="7"/>
  <c r="CW48" i="7"/>
  <c r="CW54" i="7"/>
  <c r="AU59" i="7"/>
  <c r="G69" i="7" s="1" a="1"/>
  <c r="G69" i="7" s="1"/>
  <c r="AI89" i="5"/>
  <c r="AI76" i="5"/>
  <c r="AI50" i="5"/>
  <c r="AI196" i="5"/>
  <c r="AI158" i="5"/>
  <c r="AI132" i="5"/>
  <c r="AI47" i="5"/>
  <c r="AI164" i="5"/>
  <c r="AI44" i="5"/>
  <c r="AI193" i="5"/>
  <c r="AI192" i="5"/>
  <c r="AI37" i="5"/>
  <c r="AI135" i="5"/>
  <c r="CW11" i="7"/>
  <c r="AI134" i="5"/>
  <c r="CW14" i="7"/>
  <c r="CW28" i="7"/>
  <c r="CW25" i="7"/>
  <c r="AI26" i="5"/>
  <c r="AI252" i="5"/>
  <c r="CW5" i="7"/>
  <c r="CZ51" i="7" s="1" a="1"/>
  <c r="CZ51" i="7" s="1"/>
  <c r="AI125" i="5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CZ46" i="7" a="1"/>
  <c r="CZ46" i="7" s="1"/>
  <c r="CZ20" i="7" a="1"/>
  <c r="CZ20" i="7" s="1"/>
  <c r="CZ37" i="7" a="1"/>
  <c r="CZ37" i="7" s="1"/>
  <c r="CZ38" i="7" a="1"/>
  <c r="CZ38" i="7" s="1"/>
  <c r="CZ39" i="7" a="1"/>
  <c r="CZ39" i="7" s="1"/>
  <c r="CZ31" i="7" a="1"/>
  <c r="CZ31" i="7" s="1"/>
  <c r="CZ52" i="7" a="1"/>
  <c r="CZ52" i="7" s="1"/>
  <c r="CZ32" i="7" a="1"/>
  <c r="CZ32" i="7" s="1"/>
  <c r="CZ13" i="7" a="1"/>
  <c r="CZ13" i="7" s="1"/>
  <c r="CZ41" i="7" a="1"/>
  <c r="CZ41" i="7" s="1"/>
  <c r="CZ33" i="7" a="1"/>
  <c r="CZ33" i="7" s="1"/>
  <c r="CZ18" i="7" a="1"/>
  <c r="CZ18" i="7" s="1"/>
  <c r="CZ11" i="7" a="1"/>
  <c r="CZ11" i="7" s="1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Z35" i="7" a="1"/>
  <c r="CZ35" i="7" s="1"/>
  <c r="CZ22" i="7" a="1"/>
  <c r="CZ22" i="7" s="1"/>
  <c r="CZ55" i="7" a="1"/>
  <c r="CZ55" i="7" s="1"/>
  <c r="CZ14" i="7" a="1"/>
  <c r="CZ14" i="7" s="1"/>
  <c r="CZ54" i="7" a="1"/>
  <c r="CZ54" i="7" s="1"/>
  <c r="CZ24" i="7" a="1"/>
  <c r="CZ24" i="7" s="1"/>
  <c r="CZ40" i="7" a="1"/>
  <c r="CZ40" i="7" s="1"/>
  <c r="CZ29" i="7" a="1"/>
  <c r="CZ29" i="7" s="1"/>
  <c r="CZ44" i="7" a="1"/>
  <c r="CZ44" i="7" s="1"/>
  <c r="CZ19" i="7" a="1"/>
  <c r="CZ19" i="7" s="1"/>
  <c r="CZ36" i="7" a="1"/>
  <c r="CZ36" i="7" s="1"/>
  <c r="CZ45" i="7" a="1"/>
  <c r="CZ45" i="7" s="1"/>
  <c r="CZ8" i="7" a="1"/>
  <c r="CZ8" i="7" s="1"/>
  <c r="CZ23" i="7" a="1"/>
  <c r="CZ23" i="7" s="1"/>
  <c r="CZ48" i="7" a="1"/>
  <c r="CZ48" i="7" s="1"/>
  <c r="CZ43" i="7" a="1"/>
  <c r="CZ43" i="7" s="1"/>
  <c r="CZ25" i="7" a="1"/>
  <c r="CZ25" i="7" s="1"/>
  <c r="CZ53" i="7" a="1"/>
  <c r="CZ53" i="7" s="1"/>
  <c r="CZ21" i="7" a="1"/>
  <c r="CZ21" i="7" s="1"/>
  <c r="CZ27" i="7" a="1"/>
  <c r="CZ27" i="7" s="1"/>
  <c r="CZ56" i="7" a="1"/>
  <c r="CZ56" i="7" s="1"/>
  <c r="CZ9" i="7" a="1"/>
  <c r="CZ9" i="7" s="1"/>
  <c r="CZ10" i="7" a="1"/>
  <c r="CZ10" i="7" s="1"/>
  <c r="CZ15" i="7" a="1"/>
  <c r="CZ15" i="7" s="1"/>
  <c r="CZ17" i="7" a="1"/>
  <c r="CZ17" i="7" s="1"/>
  <c r="CZ16" i="7" a="1"/>
  <c r="CZ16" i="7" s="1"/>
  <c r="CZ34" i="7" a="1"/>
  <c r="CZ34" i="7" s="1"/>
  <c r="CZ5" i="7" a="1"/>
  <c r="CZ5" i="7" s="1"/>
  <c r="B31" i="8" s="1"/>
  <c r="CZ12" i="7" a="1"/>
  <c r="CZ12" i="7" s="1"/>
  <c r="CZ26" i="7" a="1"/>
  <c r="CZ26" i="7" s="1"/>
  <c r="CZ30" i="7" a="1"/>
  <c r="CZ30" i="7" s="1"/>
  <c r="CZ28" i="7" a="1"/>
  <c r="CZ28" i="7" s="1"/>
  <c r="CZ6" i="7" a="1"/>
  <c r="CZ6" i="7" s="1"/>
  <c r="CZ49" i="7" a="1"/>
  <c r="CZ49" i="7" s="1"/>
  <c r="CZ42" i="7" a="1"/>
  <c r="CZ42" i="7" s="1"/>
  <c r="CZ50" i="7" a="1"/>
  <c r="CZ50" i="7" s="1"/>
  <c r="CZ47" i="7" a="1"/>
  <c r="CZ47" i="7" s="1"/>
  <c r="CZ7" i="7" a="1"/>
  <c r="CZ7" i="7" s="1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DA23" i="7" l="1"/>
  <c r="CY53" i="7"/>
  <c r="DA53" i="7" s="1"/>
  <c r="CY21" i="7"/>
  <c r="DA21" i="7" s="1"/>
  <c r="CY42" i="7"/>
  <c r="DA42" i="7" s="1"/>
  <c r="CY31" i="7"/>
  <c r="DA31" i="7" s="1"/>
  <c r="CY46" i="7"/>
  <c r="DA46" i="7" s="1"/>
  <c r="CY11" i="7"/>
  <c r="DA11" i="7" s="1"/>
  <c r="CY38" i="7"/>
  <c r="DA38" i="7" s="1"/>
  <c r="CY36" i="7"/>
  <c r="DA36" i="7" s="1"/>
  <c r="CY27" i="7"/>
  <c r="DA27" i="7" s="1"/>
  <c r="CY18" i="7"/>
  <c r="DA18" i="7" s="1"/>
  <c r="CY7" i="7"/>
  <c r="DA7" i="7" s="1"/>
  <c r="CY9" i="7"/>
  <c r="DA9" i="7" s="1"/>
  <c r="CY51" i="7"/>
  <c r="DA51" i="7" s="1"/>
  <c r="CY45" i="7"/>
  <c r="DA45" i="7" s="1"/>
  <c r="CY55" i="7"/>
  <c r="DA55" i="7" s="1"/>
  <c r="CY17" i="7"/>
  <c r="DA17" i="7" s="1"/>
  <c r="CY13" i="7"/>
  <c r="DA13" i="7" s="1"/>
  <c r="CY6" i="7"/>
  <c r="DA6" i="7" s="1"/>
  <c r="CY28" i="7"/>
  <c r="DA28" i="7" s="1"/>
  <c r="CY32" i="7"/>
  <c r="DA32" i="7" s="1"/>
  <c r="CY49" i="7"/>
  <c r="DA49" i="7" s="1"/>
  <c r="CY35" i="7"/>
  <c r="DA35" i="7" s="1"/>
  <c r="CY19" i="7"/>
  <c r="DA19" i="7" s="1"/>
  <c r="CY14" i="7"/>
  <c r="DA14" i="7" s="1"/>
  <c r="CY47" i="7"/>
  <c r="DA47" i="7" s="1"/>
  <c r="CY48" i="7"/>
  <c r="DA48" i="7" s="1"/>
  <c r="CY44" i="7"/>
  <c r="DA44" i="7" s="1"/>
  <c r="CY33" i="7"/>
  <c r="DA33" i="7" s="1"/>
  <c r="CY22" i="7"/>
  <c r="DA22" i="7" s="1"/>
  <c r="CY34" i="7"/>
  <c r="DA34" i="7" s="1"/>
  <c r="CY5" i="7"/>
  <c r="B32" i="8" s="1"/>
  <c r="CY39" i="7"/>
  <c r="DA39" i="7" s="1"/>
  <c r="CY54" i="7"/>
  <c r="DA54" i="7" s="1"/>
  <c r="CY50" i="7"/>
  <c r="DA50" i="7" s="1"/>
  <c r="CY12" i="7"/>
  <c r="DA12" i="7" s="1"/>
  <c r="CY41" i="7"/>
  <c r="DA41" i="7" s="1"/>
  <c r="CY37" i="7"/>
  <c r="DA37" i="7" s="1"/>
  <c r="CY52" i="7"/>
  <c r="DA52" i="7" s="1"/>
  <c r="CY26" i="7"/>
  <c r="DA26" i="7" s="1"/>
  <c r="CY8" i="7"/>
  <c r="DA8" i="7" s="1"/>
  <c r="CY43" i="7"/>
  <c r="DA43" i="7" s="1"/>
  <c r="CY15" i="7"/>
  <c r="DA15" i="7" s="1"/>
  <c r="CY24" i="7"/>
  <c r="DA24" i="7" s="1"/>
  <c r="CY30" i="7"/>
  <c r="DA30" i="7" s="1"/>
  <c r="CY20" i="7"/>
  <c r="DA20" i="7" s="1"/>
  <c r="CY10" i="7"/>
  <c r="DA10" i="7" s="1"/>
  <c r="CY16" i="7"/>
  <c r="DA16" i="7" s="1"/>
  <c r="CY25" i="7"/>
  <c r="DA25" i="7" s="1"/>
  <c r="CY56" i="7"/>
  <c r="DA56" i="7" s="1"/>
  <c r="CY29" i="7"/>
  <c r="DA29" i="7" s="1"/>
  <c r="CY40" i="7"/>
  <c r="DA40" i="7" s="1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5" i="7" l="1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<sst xmlns="http://schemas.openxmlformats.org/spreadsheetml/2006/main" count="483" uniqueCount="162">
  <si>
    <t>Organisation Name</t>
  </si>
  <si>
    <t>Service Name</t>
  </si>
  <si>
    <t>Number of caseloads:</t>
  </si>
  <si>
    <t>Caseload 5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</si>
  <si>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</si>
  <si>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</si>
  <si>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</si>
  <si>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</si>
  <si>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</si>
  <si>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</si>
  <si>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</si>
  <si>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</si>
  <si>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</si>
  <si>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</si>
  <si>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</si>
  <si>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</si>
  <si>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</si>
  <si>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</si>
  <si>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</si>
  <si>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</si>
  <si>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</si>
  <si>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</si>
  <si>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</si>
  <si>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</si>
  <si>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</si>
  <si>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</si>
  <si>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</si>
  <si>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</si>
  <si>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</si>
  <si>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</si>
  <si>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</si>
  <si>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</si>
  <si>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</si>
  <si>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</si>
  <si>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</si>
  <si>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</si>
  <si>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</si>
  <si>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</si>
  <si>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</si>
  <si>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</si>
  <si>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</si>
  <si>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</si>
  <si>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</si>
  <si>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</si>
  <si>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</si>
  <si>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</si>
  <si>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</si>
  <si>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</si>
  <si>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</si>
  <si>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</si>
  <si>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</si>
  <si>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</si>
  <si>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</si>
  <si>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</si>
  <si>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</si>
  <si>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</si>
  <si>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</si>
  <si>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</si>
  <si>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</si>
  <si>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</si>
  <si>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</si>
  <si>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</si>
  <si>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</si>
  <si>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</si>
  <si>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</si>
  <si>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</si>
  <si>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</si>
  <si>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</si>
  <si>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</si>
  <si>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</si>
  <si>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</si>
  <si>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</si>
  <si>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</si>
  <si>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</si>
  <si>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</si>
  <si>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</si>
  <si>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</si>
  <si>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</si>
  <si>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</si>
  <si>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</si>
  <si>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</si>
  <si>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</si>
  <si>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</si>
  <si>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</si>
  <si>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</si>
  <si>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</si>
  <si>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</si>
  <si>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</si>
  <si>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</si>
  <si>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</si>
  <si>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</si>
  <si>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</si>
  <si>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</si>
  <si>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</si>
  <si>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</si>
  <si>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</si>
  <si>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</si>
  <si>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</si>
  <si>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</si>
  <si>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</si>
  <si>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</si>
  <si>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</si>
  <si>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</si>
  <si>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</si>
  <si>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</si>
  <si>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</si>
  <si>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</si>
  <si>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</si>
  <si>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</si>
  <si>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</si>
  <si>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</si>
  <si>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</si>
  <si>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</si>
  <si>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Suitable Caseloads</t>
  </si>
  <si>
    <t>Caseload 1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</si>
  <si>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</si>
  <si>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</si>
  <si>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</si>
  <si>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</si>
  <si>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</si>
  <si>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</si>
  <si>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</si>
  <si>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</si>
  <si>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</si>
  <si>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</si>
  <si>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</si>
  <si>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</si>
  <si>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</si>
  <si>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</si>
  <si>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</si>
  <si>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</si>
  <si>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</si>
  <si>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</si>
  <si>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</si>
  <si>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</si>
  <si>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</si>
  <si>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</si>
  <si>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</si>
  <si>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</si>
  <si>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</si>
  <si>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</si>
  <si>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</si>
  <si>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</si>
  <si>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</si>
  <si>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</si>
  <si>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</si>
  <si>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</si>
  <si>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</si>
  <si>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</si>
  <si>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</si>
  <si>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</si>
  <si>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</si>
  <si>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</si>
  <si>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</si>
  <si>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All Caseloads</t>
  </si>
  <si>
    <t>March</t>
  </si>
  <si>
    <t>Overview</t>
  </si>
  <si>
    <t>Caseload 2</t>
  </si>
  <si>
    <t>Caseload 3</t>
  </si>
  <si>
    <t>Caseload 4</t>
  </si>
  <si>
    <t>v0.3.1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</si>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</sst>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Caseload 1,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259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262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14</v>
      </c>
      <c r="B1" t="s">
        <v>15</v>
      </c>
      <c r="D1" t="s">
        <v>81</v>
      </c>
      <c r="F1" t="s">
        <v>83</v>
      </c>
      <c r="H1" t="s">
        <v>86</v>
      </c>
      <c r="K1" t="s">
        <v>91</v>
      </c>
      <c r="N1" t="s">
        <v>99</v>
      </c>
      <c r="P1" t="s">
        <v>123</v>
      </c>
      <c r="R1" t="s">
        <v>130</v>
      </c>
      <c r="T1" t="s">
        <v>135</v>
      </c>
    </row>
    <row r="2" spans="1:20" x14ac:dyDescent="0.35">
      <c r="B2" t="str">
        <f>Setup!A18</f>
        <v>Caseload 1</v>
      </c>
      <c r="D2">
        <v>1</v>
      </c>
      <c r="F2" t="s">
        <v>65</v>
      </c>
      <c r="H2" t="s">
        <v>87</v>
      </c>
      <c r="I2">
        <v>0.65</v>
      </c>
      <c r="K2" t="s">
        <v>132</v>
      </c>
      <c r="L2">
        <v>7</v>
      </c>
      <c r="N2" t="s">
        <v>100</v>
      </c>
      <c r="P2" t="s">
        <v>124</v>
      </c>
      <c r="R2" t="str" cm="1">
        <f t="array" ref="R2">IF(Setup!B11="Weekly",INDEX('SPC Backing (Hide)'!$B$4:$B$263,IF(Demand!$A$8&lt;51, 1, Demand!$A$8-51),1),INDEX('SPC Backing (Hide)'!E4:E263,Demand!A8-11,1))</f>
        <v/>
      </c>
      <c r="T2" t="s">
        <v>154</v>
      </c>
    </row>
    <row r="3" spans="1:20" x14ac:dyDescent="0.35">
      <c r="B3" t="str">
        <f>Setup!A19</f>
        <v>Caseload 2</v>
      </c>
      <c r="D3">
        <v>2</v>
      </c>
      <c r="F3" t="s">
        <v>57</v>
      </c>
      <c r="H3" t="s">
        <v>88</v>
      </c>
      <c r="I3">
        <v>0.7</v>
      </c>
      <c r="K3" t="s">
        <v>131</v>
      </c>
      <c r="L3">
        <v>5</v>
      </c>
      <c r="N3" t="s">
        <v>101</v>
      </c>
      <c r="P3" t="s">
        <v>125</v>
      </c>
      <c r="R3" t="str" cm="1">
        <f t="array" ref="R3:R262">IF(Setup!B11="Weekly",INDEX('SPC Backing (Hide)'!$B$4:$B$263,Demand!A8,1),INDEX('SPC Backing (Hide)'!E4:E263,Demand!A8,1))</f>
        <v/>
      </c>
      <c r="T3" t="str">
        <f>Setup!A18</f>
        <v>Caseload 1</v>
      </c>
    </row>
    <row r="4" spans="1:20" x14ac:dyDescent="0.35">
      <c r="B4" t="str">
        <f>Setup!A20</f>
        <v>Caseload 3</v>
      </c>
      <c r="D4">
        <v>3</v>
      </c>
      <c r="F4" t="s">
        <v>70</v>
      </c>
      <c r="H4" t="s">
        <v>89</v>
      </c>
      <c r="I4">
        <v>0.75</v>
      </c>
      <c r="K4" t="s">
        <v>92</v>
      </c>
      <c r="L4">
        <v>2</v>
      </c>
      <c r="R4" t="str">
        <v/>
      </c>
      <c r="T4" t="str">
        <f>Setup!A19</f>
        <v>Caseload 2</v>
      </c>
    </row>
    <row r="5" spans="1:20" x14ac:dyDescent="0.35">
      <c r="B5" t="str">
        <f>Setup!A21</f>
        <v>Caseload 4</v>
      </c>
      <c r="D5">
        <v>4</v>
      </c>
      <c r="H5" t="s">
        <v>90</v>
      </c>
      <c r="I5">
        <v>0.8</v>
      </c>
      <c r="K5" t="s">
        <v>93</v>
      </c>
      <c r="L5">
        <v>1</v>
      </c>
      <c r="R5" t="str">
        <v/>
      </c>
      <c r="T5" t="str">
        <f>Setup!A20</f>
        <v>Caseload 3</v>
      </c>
    </row>
    <row r="6" spans="1:20" x14ac:dyDescent="0.35">
      <c r="B6" t="str">
        <f>Setup!A22</f>
        <v>Caseload 5</v>
      </c>
      <c r="D6">
        <v>5</v>
      </c>
      <c r="K6" t="s">
        <v>94</v>
      </c>
      <c r="L6">
        <v>0.5</v>
      </c>
      <c r="R6" t="str">
        <v/>
      </c>
      <c r="T6" t="str">
        <f>Setup!A21</f>
        <v>Caseload 4</v>
      </c>
    </row>
    <row r="7" spans="1:20" x14ac:dyDescent="0.35">
      <c r="B7" t="str">
        <f>Setup!A23</f>
        <v>Caseload 6</v>
      </c>
      <c r="D7">
        <v>6</v>
      </c>
      <c r="K7" t="s">
        <v>95</v>
      </c>
      <c r="L7">
        <v>0.25</v>
      </c>
      <c r="R7" t="str">
        <v/>
      </c>
      <c r="T7" t="str">
        <f>Setup!A22</f>
        <v>Caseload 5</v>
      </c>
    </row>
    <row r="8" spans="1:20" x14ac:dyDescent="0.35">
      <c r="B8" t="str">
        <f>Setup!A24</f>
        <v>Caseload 7</v>
      </c>
      <c r="D8">
        <v>7</v>
      </c>
      <c r="K8" t="s">
        <v>96</v>
      </c>
      <c r="L8">
        <v>3.7999999999999999E-2</v>
      </c>
      <c r="R8" t="str">
        <v/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97</v>
      </c>
      <c r="L9">
        <v>1.9E-2</v>
      </c>
      <c r="R9" t="str">
        <v/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R10" t="str">
        <v/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R11" t="str">
        <v/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R12" t="str">
        <v/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R13" t="str">
        <v/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R14" t="str">
        <v/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R15" t="str">
        <v/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R16" t="str">
        <v/>
      </c>
      <c r="T16" t="str">
        <f>Setup!A31</f>
        <v>Caseload 14</v>
      </c>
    </row>
    <row r="17" spans="18:20" x14ac:dyDescent="0.35">
      <c r="R17" t="str">
        <v/>
      </c>
      <c r="T17" t="str">
        <f>Setup!A32</f>
        <v>Caseload 15</v>
      </c>
    </row>
    <row r="18" spans="18:20" x14ac:dyDescent="0.35">
      <c r="R18" t="str">
        <v/>
      </c>
    </row>
    <row r="19" spans="18:20" x14ac:dyDescent="0.35">
      <c r="R19" t="str">
        <v/>
      </c>
    </row>
    <row r="20" spans="18:20" x14ac:dyDescent="0.35">
      <c r="R20" t="str">
        <v/>
      </c>
    </row>
    <row r="21" spans="18:20" x14ac:dyDescent="0.35">
      <c r="R21" t="str">
        <v/>
      </c>
    </row>
    <row r="22" spans="18:20" x14ac:dyDescent="0.35">
      <c r="R22" t="str">
        <v/>
      </c>
    </row>
    <row r="23" spans="18:20" x14ac:dyDescent="0.35">
      <c r="R23" t="str">
        <v/>
      </c>
    </row>
    <row r="24" spans="18:20" x14ac:dyDescent="0.35">
      <c r="R24" t="str">
        <v/>
      </c>
    </row>
    <row r="25" spans="18:20" x14ac:dyDescent="0.35">
      <c r="R25" t="str">
        <v/>
      </c>
    </row>
    <row r="26" spans="18:20" x14ac:dyDescent="0.35">
      <c r="R26" t="str">
        <v/>
      </c>
    </row>
    <row r="27" spans="18:20" x14ac:dyDescent="0.35">
      <c r="R27" t="str">
        <v/>
      </c>
    </row>
    <row r="28" spans="18:20" x14ac:dyDescent="0.35">
      <c r="R28" t="str">
        <v/>
      </c>
    </row>
    <row r="29" spans="18:20" x14ac:dyDescent="0.35">
      <c r="R29" t="str">
        <v/>
      </c>
    </row>
    <row r="30" spans="18:20" x14ac:dyDescent="0.35">
      <c r="R30" t="str">
        <v/>
      </c>
    </row>
    <row r="31" spans="18:20" x14ac:dyDescent="0.35">
      <c r="R31" t="str">
        <v/>
      </c>
    </row>
    <row r="32" spans="18:20" x14ac:dyDescent="0.35">
      <c r="R32" t="str">
        <v/>
      </c>
    </row>
    <row r="33" spans="18:18" x14ac:dyDescent="0.35">
      <c r="R33" t="str">
        <v/>
      </c>
    </row>
    <row r="34" spans="18:18" x14ac:dyDescent="0.35">
      <c r="R34" t="str">
        <v/>
      </c>
    </row>
    <row r="35" spans="18:18" x14ac:dyDescent="0.35">
      <c r="R35" t="str">
        <v/>
      </c>
    </row>
    <row r="36" spans="18:18" x14ac:dyDescent="0.35">
      <c r="R36" t="str">
        <v/>
      </c>
    </row>
    <row r="37" spans="18:18" x14ac:dyDescent="0.35">
      <c r="R37" t="str">
        <v/>
      </c>
    </row>
    <row r="38" spans="18:18" x14ac:dyDescent="0.35">
      <c r="R38" t="str">
        <v/>
      </c>
    </row>
    <row r="39" spans="18:18" x14ac:dyDescent="0.35">
      <c r="R39" t="str">
        <v/>
      </c>
    </row>
    <row r="40" spans="18:18" x14ac:dyDescent="0.35">
      <c r="R40" t="str">
        <v/>
      </c>
    </row>
    <row r="41" spans="18:18" x14ac:dyDescent="0.35">
      <c r="R41" t="str">
        <v/>
      </c>
    </row>
    <row r="42" spans="18:18" x14ac:dyDescent="0.35">
      <c r="R42" t="str">
        <v/>
      </c>
    </row>
    <row r="43" spans="18:18" x14ac:dyDescent="0.35">
      <c r="R43" t="str">
        <v/>
      </c>
    </row>
    <row r="44" spans="18:18" x14ac:dyDescent="0.35">
      <c r="R44" t="str">
        <v/>
      </c>
    </row>
    <row r="45" spans="18:18" x14ac:dyDescent="0.35">
      <c r="R45" t="str">
        <v/>
      </c>
    </row>
    <row r="46" spans="18:18" x14ac:dyDescent="0.35">
      <c r="R46" t="str">
        <v/>
      </c>
    </row>
    <row r="47" spans="18:18" x14ac:dyDescent="0.35">
      <c r="R47" t="str">
        <v/>
      </c>
    </row>
    <row r="48" spans="18:18" x14ac:dyDescent="0.35">
      <c r="R48" t="str">
        <v/>
      </c>
    </row>
    <row r="49" spans="18:18" x14ac:dyDescent="0.35">
      <c r="R49" t="str">
        <v/>
      </c>
    </row>
    <row r="50" spans="18:18" x14ac:dyDescent="0.35">
      <c r="R50" t="str">
        <v/>
      </c>
    </row>
    <row r="51" spans="18:18" x14ac:dyDescent="0.35">
      <c r="R51" t="str">
        <v/>
      </c>
    </row>
    <row r="52" spans="18:18" x14ac:dyDescent="0.35">
      <c r="R52" t="str">
        <v/>
      </c>
    </row>
    <row r="53" spans="18:18" x14ac:dyDescent="0.35">
      <c r="R53" t="str">
        <v/>
      </c>
    </row>
    <row r="54" spans="18:18" x14ac:dyDescent="0.35">
      <c r="R54" t="str">
        <v/>
      </c>
    </row>
    <row r="55" spans="18:18" x14ac:dyDescent="0.35">
      <c r="R55" t="str">
        <v/>
      </c>
    </row>
    <row r="56" spans="18:18" x14ac:dyDescent="0.35">
      <c r="R56" t="str">
        <v/>
      </c>
    </row>
    <row r="57" spans="18:18" x14ac:dyDescent="0.35">
      <c r="R57" t="str">
        <v/>
      </c>
    </row>
    <row r="58" spans="18:18" x14ac:dyDescent="0.35">
      <c r="R58" t="str">
        <v/>
      </c>
    </row>
    <row r="59" spans="18:18" x14ac:dyDescent="0.35">
      <c r="R59" t="str">
        <v/>
      </c>
    </row>
    <row r="60" spans="18:18" x14ac:dyDescent="0.35">
      <c r="R60" t="str">
        <v/>
      </c>
    </row>
    <row r="61" spans="18:18" x14ac:dyDescent="0.35">
      <c r="R61" t="str">
        <v/>
      </c>
    </row>
    <row r="62" spans="18:18" x14ac:dyDescent="0.35">
      <c r="R62" t="str">
        <v/>
      </c>
    </row>
    <row r="63" spans="18:18" x14ac:dyDescent="0.35">
      <c r="R63" t="str">
        <v/>
      </c>
    </row>
    <row r="64" spans="18:18" x14ac:dyDescent="0.35">
      <c r="R64" t="str">
        <v/>
      </c>
    </row>
    <row r="65" spans="18:18" x14ac:dyDescent="0.35">
      <c r="R65" t="str">
        <v/>
      </c>
    </row>
    <row r="66" spans="18:18" x14ac:dyDescent="0.35">
      <c r="R66" t="str">
        <v/>
      </c>
    </row>
    <row r="67" spans="18:18" x14ac:dyDescent="0.35">
      <c r="R67" t="str">
        <v/>
      </c>
    </row>
    <row r="68" spans="18:18" x14ac:dyDescent="0.35">
      <c r="R68" t="str">
        <v/>
      </c>
    </row>
    <row r="69" spans="18:18" x14ac:dyDescent="0.35">
      <c r="R69" t="str">
        <v/>
      </c>
    </row>
    <row r="70" spans="18:18" x14ac:dyDescent="0.35">
      <c r="R70" t="str">
        <v/>
      </c>
    </row>
    <row r="71" spans="18:18" x14ac:dyDescent="0.35">
      <c r="R71" t="str">
        <v/>
      </c>
    </row>
    <row r="72" spans="18:18" x14ac:dyDescent="0.35">
      <c r="R72" t="str">
        <v/>
      </c>
    </row>
    <row r="73" spans="18:18" x14ac:dyDescent="0.35">
      <c r="R73" t="str">
        <v/>
      </c>
    </row>
    <row r="74" spans="18:18" x14ac:dyDescent="0.35">
      <c r="R74" t="str">
        <v/>
      </c>
    </row>
    <row r="75" spans="18:18" x14ac:dyDescent="0.35">
      <c r="R75" t="str">
        <v/>
      </c>
    </row>
    <row r="76" spans="18:18" x14ac:dyDescent="0.35">
      <c r="R76" t="str">
        <v/>
      </c>
    </row>
    <row r="77" spans="18:18" x14ac:dyDescent="0.35">
      <c r="R77" t="str">
        <v/>
      </c>
    </row>
    <row r="78" spans="18:18" x14ac:dyDescent="0.35">
      <c r="R78" t="str">
        <v/>
      </c>
    </row>
    <row r="79" spans="18:18" x14ac:dyDescent="0.35">
      <c r="R79" t="str">
        <v/>
      </c>
    </row>
    <row r="80" spans="18:18" x14ac:dyDescent="0.35">
      <c r="R80" t="str">
        <v/>
      </c>
    </row>
    <row r="81" spans="18:18" x14ac:dyDescent="0.35">
      <c r="R81" t="str">
        <v/>
      </c>
    </row>
    <row r="82" spans="18:18" x14ac:dyDescent="0.35">
      <c r="R82" t="str">
        <v/>
      </c>
    </row>
    <row r="83" spans="18:18" x14ac:dyDescent="0.35">
      <c r="R83" t="str">
        <v/>
      </c>
    </row>
    <row r="84" spans="18:18" x14ac:dyDescent="0.35">
      <c r="R84" t="str">
        <v/>
      </c>
    </row>
    <row r="85" spans="18:18" x14ac:dyDescent="0.35">
      <c r="R85" t="str">
        <v/>
      </c>
    </row>
    <row r="86" spans="18:18" x14ac:dyDescent="0.35">
      <c r="R86" t="str">
        <v/>
      </c>
    </row>
    <row r="87" spans="18:18" x14ac:dyDescent="0.35">
      <c r="R87" t="str">
        <v/>
      </c>
    </row>
    <row r="88" spans="18:18" x14ac:dyDescent="0.35">
      <c r="R88" t="str">
        <v/>
      </c>
    </row>
    <row r="89" spans="18:18" x14ac:dyDescent="0.35">
      <c r="R89" t="str">
        <v/>
      </c>
    </row>
    <row r="90" spans="18:18" x14ac:dyDescent="0.35">
      <c r="R90" t="str">
        <v/>
      </c>
    </row>
    <row r="91" spans="18:18" x14ac:dyDescent="0.35">
      <c r="R91" t="str">
        <v/>
      </c>
    </row>
    <row r="92" spans="18:18" x14ac:dyDescent="0.35">
      <c r="R92" t="str">
        <v/>
      </c>
    </row>
    <row r="93" spans="18:18" x14ac:dyDescent="0.35">
      <c r="R93" t="str">
        <v/>
      </c>
    </row>
    <row r="94" spans="18:18" x14ac:dyDescent="0.35">
      <c r="R94" t="str">
        <v/>
      </c>
    </row>
    <row r="95" spans="18:18" x14ac:dyDescent="0.35">
      <c r="R95" t="str">
        <v/>
      </c>
    </row>
    <row r="96" spans="18:18" x14ac:dyDescent="0.35">
      <c r="R96" t="str">
        <v/>
      </c>
    </row>
    <row r="97" spans="18:18" x14ac:dyDescent="0.35">
      <c r="R97" t="str">
        <v/>
      </c>
    </row>
    <row r="98" spans="18:18" x14ac:dyDescent="0.35">
      <c r="R98" t="str">
        <v/>
      </c>
    </row>
    <row r="99" spans="18:18" x14ac:dyDescent="0.35">
      <c r="R99" t="str">
        <v/>
      </c>
    </row>
    <row r="100" spans="18:18" x14ac:dyDescent="0.35">
      <c r="R100" t="str">
        <v/>
      </c>
    </row>
    <row r="101" spans="18:18" x14ac:dyDescent="0.35">
      <c r="R101" t="str">
        <v/>
      </c>
    </row>
    <row r="102" spans="18:18" x14ac:dyDescent="0.35">
      <c r="R102" t="str">
        <v/>
      </c>
    </row>
    <row r="103" spans="18:18" x14ac:dyDescent="0.35">
      <c r="R103" t="str">
        <v/>
      </c>
    </row>
    <row r="104" spans="18:18" x14ac:dyDescent="0.35">
      <c r="R104" t="str">
        <v/>
      </c>
    </row>
    <row r="105" spans="18:18" x14ac:dyDescent="0.35">
      <c r="R105" t="str">
        <v/>
      </c>
    </row>
    <row r="106" spans="18:18" x14ac:dyDescent="0.35">
      <c r="R106" t="str">
        <v/>
      </c>
    </row>
    <row r="107" spans="18:18" x14ac:dyDescent="0.35">
      <c r="R107" t="str">
        <v/>
      </c>
    </row>
    <row r="108" spans="18:18" x14ac:dyDescent="0.35">
      <c r="R108" t="str">
        <v/>
      </c>
    </row>
    <row r="109" spans="18:18" x14ac:dyDescent="0.35">
      <c r="R109" t="str">
        <v/>
      </c>
    </row>
    <row r="110" spans="18:18" x14ac:dyDescent="0.35">
      <c r="R110" t="str">
        <v/>
      </c>
    </row>
    <row r="111" spans="18:18" x14ac:dyDescent="0.35">
      <c r="R111" t="str">
        <v/>
      </c>
    </row>
    <row r="112" spans="18:18" x14ac:dyDescent="0.35">
      <c r="R112" t="str">
        <v/>
      </c>
    </row>
    <row r="113" spans="18:18" x14ac:dyDescent="0.35">
      <c r="R113" t="str">
        <v/>
      </c>
    </row>
    <row r="114" spans="18:18" x14ac:dyDescent="0.35">
      <c r="R114" t="str">
        <v/>
      </c>
    </row>
    <row r="115" spans="18:18" x14ac:dyDescent="0.35">
      <c r="R115" t="str">
        <v/>
      </c>
    </row>
    <row r="116" spans="18:18" x14ac:dyDescent="0.35">
      <c r="R116" t="str">
        <v/>
      </c>
    </row>
    <row r="117" spans="18:18" x14ac:dyDescent="0.35">
      <c r="R117" t="str">
        <v/>
      </c>
    </row>
    <row r="118" spans="18:18" x14ac:dyDescent="0.35">
      <c r="R118" t="str">
        <v/>
      </c>
    </row>
    <row r="119" spans="18:18" x14ac:dyDescent="0.35">
      <c r="R119" t="str">
        <v/>
      </c>
    </row>
    <row r="120" spans="18:18" x14ac:dyDescent="0.35">
      <c r="R120" t="str">
        <v/>
      </c>
    </row>
    <row r="121" spans="18:18" x14ac:dyDescent="0.35">
      <c r="R121" t="str">
        <v/>
      </c>
    </row>
    <row r="122" spans="18:18" x14ac:dyDescent="0.35">
      <c r="R122" t="str">
        <v/>
      </c>
    </row>
    <row r="123" spans="18:18" x14ac:dyDescent="0.35">
      <c r="R123" t="str">
        <v/>
      </c>
    </row>
    <row r="124" spans="18:18" x14ac:dyDescent="0.35">
      <c r="R124" t="str">
        <v/>
      </c>
    </row>
    <row r="125" spans="18:18" x14ac:dyDescent="0.35">
      <c r="R125" t="str">
        <v/>
      </c>
    </row>
    <row r="126" spans="18:18" x14ac:dyDescent="0.35">
      <c r="R126" t="str">
        <v/>
      </c>
    </row>
    <row r="127" spans="18:18" x14ac:dyDescent="0.35">
      <c r="R127" t="str">
        <v/>
      </c>
    </row>
    <row r="128" spans="18:18" x14ac:dyDescent="0.35">
      <c r="R128" t="str">
        <v/>
      </c>
    </row>
    <row r="129" spans="18:18" x14ac:dyDescent="0.35">
      <c r="R129" t="str">
        <v/>
      </c>
    </row>
    <row r="130" spans="18:18" x14ac:dyDescent="0.35">
      <c r="R130" t="str">
        <v/>
      </c>
    </row>
    <row r="131" spans="18:18" x14ac:dyDescent="0.35">
      <c r="R131" t="str">
        <v/>
      </c>
    </row>
    <row r="132" spans="18:18" x14ac:dyDescent="0.35">
      <c r="R132" t="str">
        <v/>
      </c>
    </row>
    <row r="133" spans="18:18" x14ac:dyDescent="0.35">
      <c r="R133" t="str">
        <v/>
      </c>
    </row>
    <row r="134" spans="18:18" x14ac:dyDescent="0.35">
      <c r="R134" t="str">
        <v/>
      </c>
    </row>
    <row r="135" spans="18:18" x14ac:dyDescent="0.35">
      <c r="R135" t="str">
        <v/>
      </c>
    </row>
    <row r="136" spans="18:18" x14ac:dyDescent="0.35">
      <c r="R136" t="str">
        <v/>
      </c>
    </row>
    <row r="137" spans="18:18" x14ac:dyDescent="0.35">
      <c r="R137" t="str">
        <v/>
      </c>
    </row>
    <row r="138" spans="18:18" x14ac:dyDescent="0.35">
      <c r="R138" t="str">
        <v/>
      </c>
    </row>
    <row r="139" spans="18:18" x14ac:dyDescent="0.35">
      <c r="R139" t="str">
        <v/>
      </c>
    </row>
    <row r="140" spans="18:18" x14ac:dyDescent="0.35">
      <c r="R140" t="str">
        <v/>
      </c>
    </row>
    <row r="141" spans="18:18" x14ac:dyDescent="0.35">
      <c r="R141" t="str">
        <v/>
      </c>
    </row>
    <row r="142" spans="18:18" x14ac:dyDescent="0.35">
      <c r="R142" t="str">
        <v/>
      </c>
    </row>
    <row r="143" spans="18:18" x14ac:dyDescent="0.35">
      <c r="R143" t="str">
        <v/>
      </c>
    </row>
    <row r="144" spans="18:18" x14ac:dyDescent="0.35">
      <c r="R144" t="str">
        <v/>
      </c>
    </row>
    <row r="145" spans="18:18" x14ac:dyDescent="0.35">
      <c r="R145" t="str">
        <v/>
      </c>
    </row>
    <row r="146" spans="18:18" x14ac:dyDescent="0.35">
      <c r="R146" t="str">
        <v/>
      </c>
    </row>
    <row r="147" spans="18:18" x14ac:dyDescent="0.35">
      <c r="R147" t="str">
        <v/>
      </c>
    </row>
    <row r="148" spans="18:18" x14ac:dyDescent="0.35">
      <c r="R148" t="str">
        <v/>
      </c>
    </row>
    <row r="149" spans="18:18" x14ac:dyDescent="0.35">
      <c r="R149" t="str">
        <v/>
      </c>
    </row>
    <row r="150" spans="18:18" x14ac:dyDescent="0.35">
      <c r="R150" t="str">
        <v/>
      </c>
    </row>
    <row r="151" spans="18:18" x14ac:dyDescent="0.35">
      <c r="R151" t="str">
        <v/>
      </c>
    </row>
    <row r="152" spans="18:18" x14ac:dyDescent="0.35">
      <c r="R152" t="str">
        <v/>
      </c>
    </row>
    <row r="153" spans="18:18" x14ac:dyDescent="0.35">
      <c r="R153" t="str">
        <v/>
      </c>
    </row>
    <row r="154" spans="18:18" x14ac:dyDescent="0.35">
      <c r="R154" t="str">
        <v/>
      </c>
    </row>
    <row r="155" spans="18:18" x14ac:dyDescent="0.35">
      <c r="R155" t="str">
        <v/>
      </c>
    </row>
    <row r="156" spans="18:18" x14ac:dyDescent="0.35">
      <c r="R156" t="str">
        <v/>
      </c>
    </row>
    <row r="157" spans="18:18" x14ac:dyDescent="0.35">
      <c r="R157" t="str">
        <v/>
      </c>
    </row>
    <row r="158" spans="18:18" x14ac:dyDescent="0.35">
      <c r="R158" t="str">
        <v/>
      </c>
    </row>
    <row r="159" spans="18:18" x14ac:dyDescent="0.35">
      <c r="R159" t="str">
        <v/>
      </c>
    </row>
    <row r="160" spans="18:18" x14ac:dyDescent="0.35">
      <c r="R160" t="str">
        <v/>
      </c>
    </row>
    <row r="161" spans="18:18" x14ac:dyDescent="0.35">
      <c r="R161" t="str">
        <v/>
      </c>
    </row>
    <row r="162" spans="18:18" x14ac:dyDescent="0.35">
      <c r="R162" t="str">
        <v/>
      </c>
    </row>
    <row r="163" spans="18:18" x14ac:dyDescent="0.35">
      <c r="R163" t="str">
        <v/>
      </c>
    </row>
    <row r="164" spans="18:18" x14ac:dyDescent="0.35">
      <c r="R164" t="str">
        <v/>
      </c>
    </row>
    <row r="165" spans="18:18" x14ac:dyDescent="0.35">
      <c r="R165" t="str">
        <v/>
      </c>
    </row>
    <row r="166" spans="18:18" x14ac:dyDescent="0.35">
      <c r="R166" t="str">
        <v/>
      </c>
    </row>
    <row r="167" spans="18:18" x14ac:dyDescent="0.35">
      <c r="R167" t="str">
        <v/>
      </c>
    </row>
    <row r="168" spans="18:18" x14ac:dyDescent="0.35">
      <c r="R168" t="str">
        <v/>
      </c>
    </row>
    <row r="169" spans="18:18" x14ac:dyDescent="0.35">
      <c r="R169" t="str">
        <v/>
      </c>
    </row>
    <row r="170" spans="18:18" x14ac:dyDescent="0.35">
      <c r="R170" t="str">
        <v/>
      </c>
    </row>
    <row r="171" spans="18:18" x14ac:dyDescent="0.35">
      <c r="R171" t="str">
        <v/>
      </c>
    </row>
    <row r="172" spans="18:18" x14ac:dyDescent="0.35">
      <c r="R172" t="str">
        <v/>
      </c>
    </row>
    <row r="173" spans="18:18" x14ac:dyDescent="0.35">
      <c r="R173" t="str">
        <v/>
      </c>
    </row>
    <row r="174" spans="18:18" x14ac:dyDescent="0.35">
      <c r="R174" t="str">
        <v/>
      </c>
    </row>
    <row r="175" spans="18:18" x14ac:dyDescent="0.35">
      <c r="R175" t="str">
        <v/>
      </c>
    </row>
    <row r="176" spans="18:18" x14ac:dyDescent="0.35">
      <c r="R176" t="str">
        <v/>
      </c>
    </row>
    <row r="177" spans="18:18" x14ac:dyDescent="0.35">
      <c r="R177" t="str">
        <v/>
      </c>
    </row>
    <row r="178" spans="18:18" x14ac:dyDescent="0.35">
      <c r="R178" t="str">
        <v/>
      </c>
    </row>
    <row r="179" spans="18:18" x14ac:dyDescent="0.35">
      <c r="R179" t="str">
        <v/>
      </c>
    </row>
    <row r="180" spans="18:18" x14ac:dyDescent="0.35">
      <c r="R180" t="str">
        <v/>
      </c>
    </row>
    <row r="181" spans="18:18" x14ac:dyDescent="0.35">
      <c r="R181" t="str">
        <v/>
      </c>
    </row>
    <row r="182" spans="18:18" x14ac:dyDescent="0.35">
      <c r="R182" t="str">
        <v/>
      </c>
    </row>
    <row r="183" spans="18:18" x14ac:dyDescent="0.35">
      <c r="R183" t="str">
        <v/>
      </c>
    </row>
    <row r="184" spans="18:18" x14ac:dyDescent="0.35">
      <c r="R184" t="str">
        <v/>
      </c>
    </row>
    <row r="185" spans="18:18" x14ac:dyDescent="0.35">
      <c r="R185" t="str">
        <v/>
      </c>
    </row>
    <row r="186" spans="18:18" x14ac:dyDescent="0.35">
      <c r="R186" t="str">
        <v/>
      </c>
    </row>
    <row r="187" spans="18:18" x14ac:dyDescent="0.35">
      <c r="R187" t="str">
        <v/>
      </c>
    </row>
    <row r="188" spans="18:18" x14ac:dyDescent="0.35">
      <c r="R188" t="str">
        <v/>
      </c>
    </row>
    <row r="189" spans="18:18" x14ac:dyDescent="0.35">
      <c r="R189" t="str">
        <v/>
      </c>
    </row>
    <row r="190" spans="18:18" x14ac:dyDescent="0.35">
      <c r="R190" t="str">
        <v/>
      </c>
    </row>
    <row r="191" spans="18:18" x14ac:dyDescent="0.35">
      <c r="R191" t="str">
        <v/>
      </c>
    </row>
    <row r="192" spans="18:18" x14ac:dyDescent="0.35">
      <c r="R192" t="str">
        <v/>
      </c>
    </row>
    <row r="193" spans="18:18" x14ac:dyDescent="0.35">
      <c r="R193" t="str">
        <v/>
      </c>
    </row>
    <row r="194" spans="18:18" x14ac:dyDescent="0.35">
      <c r="R194" t="str">
        <v/>
      </c>
    </row>
    <row r="195" spans="18:18" x14ac:dyDescent="0.35">
      <c r="R195" t="str">
        <v/>
      </c>
    </row>
    <row r="196" spans="18:18" x14ac:dyDescent="0.35">
      <c r="R196" t="str">
        <v/>
      </c>
    </row>
    <row r="197" spans="18:18" x14ac:dyDescent="0.35">
      <c r="R197" t="str">
        <v/>
      </c>
    </row>
    <row r="198" spans="18:18" x14ac:dyDescent="0.35">
      <c r="R198" t="str">
        <v/>
      </c>
    </row>
    <row r="199" spans="18:18" x14ac:dyDescent="0.35">
      <c r="R199" t="str">
        <v/>
      </c>
    </row>
    <row r="200" spans="18:18" x14ac:dyDescent="0.35">
      <c r="R200" t="str">
        <v/>
      </c>
    </row>
    <row r="201" spans="18:18" x14ac:dyDescent="0.35">
      <c r="R201" t="str">
        <v/>
      </c>
    </row>
    <row r="202" spans="18:18" x14ac:dyDescent="0.35">
      <c r="R202" t="str">
        <v/>
      </c>
    </row>
    <row r="203" spans="18:18" x14ac:dyDescent="0.35">
      <c r="R203" t="str">
        <v/>
      </c>
    </row>
    <row r="204" spans="18:18" x14ac:dyDescent="0.35">
      <c r="R204" t="str">
        <v/>
      </c>
    </row>
    <row r="205" spans="18:18" x14ac:dyDescent="0.35">
      <c r="R205" t="str">
        <v/>
      </c>
    </row>
    <row r="206" spans="18:18" x14ac:dyDescent="0.35">
      <c r="R206" t="str">
        <v/>
      </c>
    </row>
    <row r="207" spans="18:18" x14ac:dyDescent="0.35">
      <c r="R207" t="str">
        <v/>
      </c>
    </row>
    <row r="208" spans="18:18" x14ac:dyDescent="0.35">
      <c r="R208" t="str">
        <v/>
      </c>
    </row>
    <row r="209" spans="18:18" x14ac:dyDescent="0.35">
      <c r="R209" t="str">
        <v/>
      </c>
    </row>
    <row r="210" spans="18:18" x14ac:dyDescent="0.35">
      <c r="R210" t="str">
        <v/>
      </c>
    </row>
    <row r="211" spans="18:18" x14ac:dyDescent="0.35">
      <c r="R211" t="str">
        <v/>
      </c>
    </row>
    <row r="212" spans="18:18" x14ac:dyDescent="0.35">
      <c r="R212" t="str">
        <v/>
      </c>
    </row>
    <row r="213" spans="18:18" x14ac:dyDescent="0.35">
      <c r="R213" t="str">
        <v/>
      </c>
    </row>
    <row r="214" spans="18:18" x14ac:dyDescent="0.35">
      <c r="R214" t="str">
        <v/>
      </c>
    </row>
    <row r="215" spans="18:18" x14ac:dyDescent="0.35">
      <c r="R215" t="str">
        <v/>
      </c>
    </row>
    <row r="216" spans="18:18" x14ac:dyDescent="0.35">
      <c r="R216" t="str">
        <v/>
      </c>
    </row>
    <row r="217" spans="18:18" x14ac:dyDescent="0.35">
      <c r="R217" t="str">
        <v/>
      </c>
    </row>
    <row r="218" spans="18:18" x14ac:dyDescent="0.35">
      <c r="R218" t="str">
        <v/>
      </c>
    </row>
    <row r="219" spans="18:18" x14ac:dyDescent="0.35">
      <c r="R219" t="str">
        <v/>
      </c>
    </row>
    <row r="220" spans="18:18" x14ac:dyDescent="0.35">
      <c r="R220" t="str">
        <v/>
      </c>
    </row>
    <row r="221" spans="18:18" x14ac:dyDescent="0.35">
      <c r="R221" t="str">
        <v/>
      </c>
    </row>
    <row r="222" spans="18:18" x14ac:dyDescent="0.35">
      <c r="R222" t="str">
        <v/>
      </c>
    </row>
    <row r="223" spans="18:18" x14ac:dyDescent="0.35">
      <c r="R223" t="str">
        <v/>
      </c>
    </row>
    <row r="224" spans="18:18" x14ac:dyDescent="0.35">
      <c r="R224" t="str">
        <v/>
      </c>
    </row>
    <row r="225" spans="18:18" x14ac:dyDescent="0.35">
      <c r="R225" t="str">
        <v/>
      </c>
    </row>
    <row r="226" spans="18:18" x14ac:dyDescent="0.35">
      <c r="R226" t="str">
        <v/>
      </c>
    </row>
    <row r="227" spans="18:18" x14ac:dyDescent="0.35">
      <c r="R227" t="str">
        <v/>
      </c>
    </row>
    <row r="228" spans="18:18" x14ac:dyDescent="0.35">
      <c r="R228" t="str">
        <v/>
      </c>
    </row>
    <row r="229" spans="18:18" x14ac:dyDescent="0.35">
      <c r="R229" t="str">
        <v/>
      </c>
    </row>
    <row r="230" spans="18:18" x14ac:dyDescent="0.35">
      <c r="R230" t="str">
        <v/>
      </c>
    </row>
    <row r="231" spans="18:18" x14ac:dyDescent="0.35">
      <c r="R231" t="str">
        <v/>
      </c>
    </row>
    <row r="232" spans="18:18" x14ac:dyDescent="0.35">
      <c r="R232" t="str">
        <v/>
      </c>
    </row>
    <row r="233" spans="18:18" x14ac:dyDescent="0.35">
      <c r="R233" t="str">
        <v/>
      </c>
    </row>
    <row r="234" spans="18:18" x14ac:dyDescent="0.35">
      <c r="R234" t="str">
        <v/>
      </c>
    </row>
    <row r="235" spans="18:18" x14ac:dyDescent="0.35">
      <c r="R235" t="str">
        <v/>
      </c>
    </row>
    <row r="236" spans="18:18" x14ac:dyDescent="0.35">
      <c r="R236" t="str">
        <v/>
      </c>
    </row>
    <row r="237" spans="18:18" x14ac:dyDescent="0.35">
      <c r="R237" t="str">
        <v/>
      </c>
    </row>
    <row r="238" spans="18:18" x14ac:dyDescent="0.35">
      <c r="R238" t="str">
        <v/>
      </c>
    </row>
    <row r="239" spans="18:18" x14ac:dyDescent="0.35">
      <c r="R239" t="str">
        <v/>
      </c>
    </row>
    <row r="240" spans="18:18" x14ac:dyDescent="0.35">
      <c r="R240" t="str">
        <v/>
      </c>
    </row>
    <row r="241" spans="18:18" x14ac:dyDescent="0.35">
      <c r="R241" t="str">
        <v/>
      </c>
    </row>
    <row r="242" spans="18:18" x14ac:dyDescent="0.35">
      <c r="R242" t="str">
        <v/>
      </c>
    </row>
    <row r="243" spans="18:18" x14ac:dyDescent="0.35">
      <c r="R243" t="str">
        <v/>
      </c>
    </row>
    <row r="244" spans="18:18" x14ac:dyDescent="0.35">
      <c r="R244" t="str">
        <v/>
      </c>
    </row>
    <row r="245" spans="18:18" x14ac:dyDescent="0.35">
      <c r="R245" t="str">
        <v/>
      </c>
    </row>
    <row r="246" spans="18:18" x14ac:dyDescent="0.35">
      <c r="R246" t="str">
        <v/>
      </c>
    </row>
    <row r="247" spans="18:18" x14ac:dyDescent="0.35">
      <c r="R247" t="str">
        <v/>
      </c>
    </row>
    <row r="248" spans="18:18" x14ac:dyDescent="0.35">
      <c r="R248" t="str">
        <v/>
      </c>
    </row>
    <row r="249" spans="18:18" x14ac:dyDescent="0.35">
      <c r="R249" t="str">
        <v/>
      </c>
    </row>
    <row r="250" spans="18:18" x14ac:dyDescent="0.35">
      <c r="R250" t="str">
        <v/>
      </c>
    </row>
    <row r="251" spans="18:18" x14ac:dyDescent="0.35">
      <c r="R251" t="str">
        <v/>
      </c>
    </row>
    <row r="252" spans="18:18" x14ac:dyDescent="0.35">
      <c r="R252" t="str">
        <v/>
      </c>
    </row>
    <row r="253" spans="18:18" x14ac:dyDescent="0.35">
      <c r="R253" t="str">
        <v/>
      </c>
    </row>
    <row r="254" spans="18:18" x14ac:dyDescent="0.35">
      <c r="R254" t="str">
        <v/>
      </c>
    </row>
    <row r="255" spans="18:18" x14ac:dyDescent="0.35">
      <c r="R255" t="str">
        <v/>
      </c>
    </row>
    <row r="256" spans="18:18" x14ac:dyDescent="0.35">
      <c r="R256" t="str">
        <v/>
      </c>
    </row>
    <row r="257" spans="18:18" x14ac:dyDescent="0.35">
      <c r="R257" t="str">
        <v/>
      </c>
    </row>
    <row r="258" spans="18:18" x14ac:dyDescent="0.35">
      <c r="R258" t="str">
        <v/>
      </c>
    </row>
    <row r="259" spans="18:18" x14ac:dyDescent="0.35">
      <c r="R259" t="str">
        <v/>
      </c>
    </row>
    <row r="260" spans="18:18" x14ac:dyDescent="0.35">
      <c r="R260" t="str">
        <v/>
      </c>
    </row>
    <row r="261" spans="18:18" x14ac:dyDescent="0.35">
      <c r="R261" t="str">
        <v/>
      </c>
    </row>
    <row r="262" spans="18:18" x14ac:dyDescent="0.35">
      <c r="R262" t="str"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C21" sqref="C21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84</v>
      </c>
    </row>
    <row r="2" spans="1:19" x14ac:dyDescent="0.35">
      <c r="A2" t="s">
        <v>160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122</v>
      </c>
      <c r="B11" s="39" t="s">
        <v>124</v>
      </c>
    </row>
    <row r="12" spans="1:19" ht="15" thickBot="1" x14ac:dyDescent="0.4"/>
    <row r="13" spans="1:19" ht="15" thickBot="1" x14ac:dyDescent="0.4">
      <c r="A13" s="37" t="s">
        <v>85</v>
      </c>
      <c r="B13" s="39" t="s">
        <v>87</v>
      </c>
    </row>
    <row r="14" spans="1:19" ht="15" thickBot="1" x14ac:dyDescent="0.4"/>
    <row r="15" spans="1:19" ht="15" thickBot="1" x14ac:dyDescent="0.4">
      <c r="A15" s="37" t="s">
        <v>2</v>
      </c>
      <c r="B15" s="39">
        <v>15</v>
      </c>
    </row>
    <row r="16" spans="1:19" ht="15" thickBot="1" x14ac:dyDescent="0.4"/>
    <row r="17" spans="1:2" ht="15" thickBot="1" x14ac:dyDescent="0.4">
      <c r="A17" s="37" t="s">
        <v>82</v>
      </c>
      <c r="B17" s="38" t="s">
        <v>102</v>
      </c>
    </row>
    <row r="18" spans="1:2" x14ac:dyDescent="0.35">
      <c r="A18" s="11" t="s">
        <v>114</v>
      </c>
      <c r="B18" s="11"/>
    </row>
    <row r="19" spans="1:2" x14ac:dyDescent="0.35">
      <c r="A19" s="40" t="s">
        <v>157</v>
      </c>
      <c r="B19" s="40"/>
    </row>
    <row r="20" spans="1:2" x14ac:dyDescent="0.35">
      <c r="A20" s="40" t="s">
        <v>158</v>
      </c>
      <c r="B20" s="40"/>
    </row>
    <row r="21" spans="1:2" x14ac:dyDescent="0.35">
      <c r="A21" s="40" t="s">
        <v>159</v>
      </c>
      <c r="B21" s="40"/>
    </row>
    <row r="22" spans="1:2" x14ac:dyDescent="0.35">
      <c r="A22" s="40" t="s">
        <v>3</v>
      </c>
      <c r="B22" s="40"/>
    </row>
    <row r="23" spans="1:2" x14ac:dyDescent="0.35">
      <c r="A23" s="40" t="s">
        <v>4</v>
      </c>
      <c r="B23" s="40"/>
    </row>
    <row r="24" spans="1:2" x14ac:dyDescent="0.35">
      <c r="A24" s="40" t="s">
        <v>5</v>
      </c>
      <c r="B24" s="40"/>
    </row>
    <row r="25" spans="1:2" x14ac:dyDescent="0.35">
      <c r="A25" s="40" t="s">
        <v>6</v>
      </c>
      <c r="B25" s="40"/>
    </row>
    <row r="26" spans="1:2" x14ac:dyDescent="0.35">
      <c r="A26" s="40" t="s">
        <v>7</v>
      </c>
      <c r="B26" s="40"/>
    </row>
    <row r="27" spans="1:2" x14ac:dyDescent="0.35">
      <c r="A27" s="40" t="s">
        <v>8</v>
      </c>
      <c r="B27" s="40"/>
    </row>
    <row r="28" spans="1:2" x14ac:dyDescent="0.35">
      <c r="A28" s="40" t="s">
        <v>9</v>
      </c>
      <c r="B28" s="40"/>
    </row>
    <row r="29" spans="1:2" x14ac:dyDescent="0.35">
      <c r="A29" s="40" t="s">
        <v>10</v>
      </c>
      <c r="B29" s="40"/>
    </row>
    <row r="30" spans="1:2" x14ac:dyDescent="0.35">
      <c r="A30" s="40" t="s">
        <v>11</v>
      </c>
      <c r="B30" s="40"/>
    </row>
    <row r="31" spans="1:2" x14ac:dyDescent="0.35">
      <c r="A31" s="40" t="s">
        <v>12</v>
      </c>
      <c r="B31" s="40"/>
    </row>
    <row r="32" spans="1:2" x14ac:dyDescent="0.35">
      <c r="A32" s="40" t="s">
        <v>13</v>
      </c>
      <c r="B32" s="40"/>
    </row>
    <row r="33" spans="1:19" x14ac:dyDescent="0.35">
      <c r="A33" s="62"/>
      <c r="B33" s="62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B3" sqref="B3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customWidth="1"/>
    <col min="4" max="5" width="10.453125" hidden="1" customWidth="1"/>
    <col min="6" max="20" width="8.7265625" customWidth="1"/>
  </cols>
  <sheetData>
    <row r="1" spans="1:21" ht="23.5" x14ac:dyDescent="0.55000000000000004">
      <c r="A1" s="28" t="s">
        <v>148</v>
      </c>
    </row>
    <row r="2" spans="1:21" ht="15" thickBot="1" x14ac:dyDescent="0.4"/>
    <row r="3" spans="1:21" ht="15" thickBot="1" x14ac:dyDescent="0.4">
      <c r="A3" s="67" t="s">
        <v>17</v>
      </c>
      <c r="B3" s="49"/>
    </row>
    <row r="4" spans="1:21" ht="15" hidden="1" thickBot="1" x14ac:dyDescent="0.4"/>
    <row r="5" spans="1:21" ht="15" hidden="1" thickBot="1" x14ac:dyDescent="0.4">
      <c r="A5" s="67" t="s">
        <v>120</v>
      </c>
      <c r="B5" s="66" t="s">
        <v>155</v>
      </c>
    </row>
    <row r="6" spans="1:21" ht="15" hidden="1" thickBot="1" x14ac:dyDescent="0.4">
      <c r="A6" s="67" t="s">
        <v>121</v>
      </c>
      <c r="B6" s="65">
        <v>2019</v>
      </c>
    </row>
    <row r="7" spans="1:21" ht="15" thickBot="1" x14ac:dyDescent="0.4"/>
    <row r="8" spans="1:21" ht="28.5" customHeight="1" thickBot="1" x14ac:dyDescent="0.4">
      <c r="A8" s="27">
        <f>MAX(A9:A268)</f>
        <v>0</v>
      </c>
      <c r="C8" s="74" t="s">
        <v>18</v>
      </c>
      <c r="D8" s="57" t="s">
        <v>126</v>
      </c>
      <c r="E8" s="57" t="s">
        <v>127</v>
      </c>
      <c r="F8" s="46" t="str" cm="1">
        <f t="array" ref="F8">INDEX('Data Validation (Hide)'!$B$2:$B$16,COLUMN(A1),1)</f>
        <v>Caseload 1</v>
      </c>
      <c r="G8" s="46" t="str" cm="1">
        <f t="array" ref="G8">INDEX('Data Validation (Hide)'!$B$2:$B$16,COLUMN(B1),1)</f>
        <v>Caseload 2</v>
      </c>
      <c r="H8" s="46" t="str" cm="1">
        <f t="array" ref="H8">INDEX('Data Validation (Hide)'!$B$2:$B$16,COLUMN(C1),1)</f>
        <v>Caseload 3</v>
      </c>
      <c r="I8" s="46" t="str" cm="1">
        <f t="array" ref="I8">INDEX('Data Validation (Hide)'!$B$2:$B$16,COLUMN(D1),1)</f>
        <v>Caseload 4</v>
      </c>
      <c r="J8" s="47" t="str" cm="1">
        <f t="array" ref="J8">INDEX('Data Validation (Hide)'!$B$2:$B$16,COLUMN(E1),1)</f>
        <v>Caseload 5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 t="str">
        <f>IF(COUNTBLANK(F9:T9)=15,"",1)</f>
        <v/>
      </c>
      <c r="C9" s="43" t="str">
        <f>IF(A9="","",B3)</f>
        <v/>
      </c>
      <c r="D9" s="70" t="str">
        <f>IF(A9="","",B6)</f>
        <v/>
      </c>
      <c r="E9" s="70" t="str">
        <f>IF(A9="","",MONTH(DATEVALUE(B5&amp;" 1")))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 t="str">
        <f t="shared" ref="A10:A73" si="0">IF(COUNTBLANK(F10:T10)=15,"",A9+1)</f>
        <v/>
      </c>
      <c r="C10" s="43" t="str">
        <f t="shared" ref="C10:C73" si="1">IF(A10="","",C9+7)</f>
        <v/>
      </c>
      <c r="D10" s="71" t="str">
        <f>IF(E10=1,MAX($D$9:D9)+1,"")</f>
        <v/>
      </c>
      <c r="E10" s="71" t="str">
        <f>IF(A10="","",IF(E9=12,1,E9+1))</f>
        <v/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 t="str">
        <f t="shared" si="0"/>
        <v/>
      </c>
      <c r="C11" s="43" t="str">
        <f t="shared" si="1"/>
        <v/>
      </c>
      <c r="D11" s="71" t="str">
        <f>IF(E11=1,MAX($D$9:D10)+1,"")</f>
        <v/>
      </c>
      <c r="E11" s="71" t="str">
        <f t="shared" ref="E11:E74" si="2">IF(A11="","",IF(E10=12,1,E10+1))</f>
        <v/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 t="str">
        <f t="shared" si="0"/>
        <v/>
      </c>
      <c r="C12" s="43" t="str">
        <f t="shared" si="1"/>
        <v/>
      </c>
      <c r="D12" s="71" t="str">
        <f>IF(E12=1,MAX($D$9:D11)+1,"")</f>
        <v/>
      </c>
      <c r="E12" s="71" t="str">
        <f t="shared" si="2"/>
        <v/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 t="str">
        <f t="shared" si="0"/>
        <v/>
      </c>
      <c r="C13" s="43" t="str">
        <f t="shared" si="1"/>
        <v/>
      </c>
      <c r="D13" s="71" t="str">
        <f>IF(E13=1,MAX($D$9:D12)+1,"")</f>
        <v/>
      </c>
      <c r="E13" s="71" t="str">
        <f t="shared" si="2"/>
        <v/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 t="str">
        <f t="shared" si="0"/>
        <v/>
      </c>
      <c r="C14" s="43" t="str">
        <f t="shared" si="1"/>
        <v/>
      </c>
      <c r="D14" s="71" t="str">
        <f>IF(E14=1,MAX($D$9:D13)+1,"")</f>
        <v/>
      </c>
      <c r="E14" s="71" t="str">
        <f t="shared" si="2"/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 t="str">
        <f t="shared" si="0"/>
        <v/>
      </c>
      <c r="C15" s="43" t="str">
        <f t="shared" si="1"/>
        <v/>
      </c>
      <c r="D15" s="71" t="str">
        <f>IF(E15=1,MAX($D$9:D14)+1,"")</f>
        <v/>
      </c>
      <c r="E15" s="71" t="str">
        <f t="shared" si="2"/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 t="str">
        <f t="shared" si="0"/>
        <v/>
      </c>
      <c r="C16" s="43" t="str">
        <f t="shared" si="1"/>
        <v/>
      </c>
      <c r="D16" s="71" t="str">
        <f>IF(E16=1,MAX($D$9:D15)+1,"")</f>
        <v/>
      </c>
      <c r="E16" s="71" t="str">
        <f t="shared" si="2"/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 t="str">
        <f t="shared" si="0"/>
        <v/>
      </c>
      <c r="C17" s="43" t="str">
        <f t="shared" si="1"/>
        <v/>
      </c>
      <c r="D17" s="71" t="str">
        <f>IF(E17=1,MAX($D$9:D16)+1,"")</f>
        <v/>
      </c>
      <c r="E17" s="71" t="str">
        <f t="shared" si="2"/>
        <v/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 t="str">
        <f t="shared" si="0"/>
        <v/>
      </c>
      <c r="C18" s="43" t="str">
        <f t="shared" si="1"/>
        <v/>
      </c>
      <c r="D18" s="71" t="str">
        <f>IF(E18=1,MAX($D$9:D17)+1,"")</f>
        <v/>
      </c>
      <c r="E18" s="71" t="str">
        <f t="shared" si="2"/>
        <v/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 t="str">
        <f t="shared" si="0"/>
        <v/>
      </c>
      <c r="C19" s="43" t="str">
        <f t="shared" si="1"/>
        <v/>
      </c>
      <c r="D19" s="71" t="str">
        <f>IF(E19=1,MAX($D$9:D18)+1,"")</f>
        <v/>
      </c>
      <c r="E19" s="71" t="str">
        <f t="shared" si="2"/>
        <v/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 t="str">
        <f t="shared" si="0"/>
        <v/>
      </c>
      <c r="C20" s="43" t="str">
        <f t="shared" si="1"/>
        <v/>
      </c>
      <c r="D20" s="71" t="str">
        <f>IF(E20=1,MAX($D$9:D19)+1,"")</f>
        <v/>
      </c>
      <c r="E20" s="71" t="str">
        <f t="shared" si="2"/>
        <v/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 t="str">
        <f t="shared" si="0"/>
        <v/>
      </c>
      <c r="C21" s="43" t="str">
        <f t="shared" si="1"/>
        <v/>
      </c>
      <c r="D21" s="71" t="str">
        <f>IF(E21=1,MAX($D$9:D20)+1,"")</f>
        <v/>
      </c>
      <c r="E21" s="71" t="str">
        <f t="shared" si="2"/>
        <v/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1" t="str">
        <f>IF(E22=1,MAX($D$9:D21)+1,"")</f>
        <v/>
      </c>
      <c r="E22" s="71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1" t="str">
        <f>IF(E23=1,MAX($D$9:D22)+1,"")</f>
        <v/>
      </c>
      <c r="E23" s="71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1" t="str">
        <f>IF(E24=1,MAX($D$9:D23)+1,"")</f>
        <v/>
      </c>
      <c r="E24" s="71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1" t="str">
        <f>IF(E25=1,MAX($D$9:D24)+1,"")</f>
        <v/>
      </c>
      <c r="E25" s="71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1" t="str">
        <f>IF(E26=1,MAX($D$9:D25)+1,"")</f>
        <v/>
      </c>
      <c r="E26" s="71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1" t="str">
        <f>IF(E27=1,MAX($D$9:D26)+1,"")</f>
        <v/>
      </c>
      <c r="E27" s="71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1" t="str">
        <f>IF(E28=1,MAX($D$9:D27)+1,"")</f>
        <v/>
      </c>
      <c r="E28" s="71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1" t="str">
        <f>IF(E29=1,MAX($D$9:D28)+1,"")</f>
        <v/>
      </c>
      <c r="E29" s="71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1" t="str">
        <f>IF(E30=1,MAX($D$9:D29)+1,"")</f>
        <v/>
      </c>
      <c r="E30" s="71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1" t="str">
        <f>IF(E31=1,MAX($D$9:D30)+1,"")</f>
        <v/>
      </c>
      <c r="E31" s="71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1" t="str">
        <f>IF(E32=1,MAX($D$9:D31)+1,"")</f>
        <v/>
      </c>
      <c r="E32" s="71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1" t="str">
        <f>IF(E33=1,MAX($D$9:D32)+1,"")</f>
        <v/>
      </c>
      <c r="E33" s="71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1" t="str">
        <f>IF(E34=1,MAX($D$9:D33)+1,"")</f>
        <v/>
      </c>
      <c r="E34" s="71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1" t="str">
        <f>IF(E35=1,MAX($D$9:D34)+1,"")</f>
        <v/>
      </c>
      <c r="E35" s="71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1" t="str">
        <f>IF(E36=1,MAX($D$9:D35)+1,"")</f>
        <v/>
      </c>
      <c r="E36" s="71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1" t="str">
        <f>IF(E37=1,MAX($D$9:D36)+1,"")</f>
        <v/>
      </c>
      <c r="E37" s="71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1" t="str">
        <f>IF(E38=1,MAX($D$9:D37)+1,"")</f>
        <v/>
      </c>
      <c r="E38" s="71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1" t="str">
        <f>IF(E39=1,MAX($D$9:D38)+1,"")</f>
        <v/>
      </c>
      <c r="E39" s="71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1" t="str">
        <f>IF(E40=1,MAX($D$9:D39)+1,"")</f>
        <v/>
      </c>
      <c r="E40" s="71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1" t="str">
        <f>IF(E41=1,MAX($D$9:D40)+1,"")</f>
        <v/>
      </c>
      <c r="E41" s="71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1" t="str">
        <f>IF(E42=1,MAX($D$9:D41)+1,"")</f>
        <v/>
      </c>
      <c r="E42" s="71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1" t="str">
        <f>IF(E43=1,MAX($D$9:D42)+1,"")</f>
        <v/>
      </c>
      <c r="E43" s="71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1" t="str">
        <f>IF(E44=1,MAX($D$9:D43)+1,"")</f>
        <v/>
      </c>
      <c r="E44" s="71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1" t="str">
        <f>IF(E45=1,MAX($D$9:D44)+1,"")</f>
        <v/>
      </c>
      <c r="E45" s="71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1" t="str">
        <f>IF(E46=1,MAX($D$9:D45)+1,"")</f>
        <v/>
      </c>
      <c r="E46" s="71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1" t="str">
        <f>IF(E47=1,MAX($D$9:D46)+1,"")</f>
        <v/>
      </c>
      <c r="E47" s="71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1" t="str">
        <f>IF(E48=1,MAX($D$9:D47)+1,"")</f>
        <v/>
      </c>
      <c r="E48" s="71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1" t="str">
        <f>IF(E49=1,MAX($D$9:D48)+1,"")</f>
        <v/>
      </c>
      <c r="E49" s="71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1" t="str">
        <f>IF(E50=1,MAX($D$9:D49)+1,"")</f>
        <v/>
      </c>
      <c r="E50" s="71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1" t="str">
        <f>IF(E51=1,MAX($D$9:D50)+1,"")</f>
        <v/>
      </c>
      <c r="E51" s="71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1" t="str">
        <f>IF(E52=1,MAX($D$9:D51)+1,"")</f>
        <v/>
      </c>
      <c r="E52" s="71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1" t="str">
        <f>IF(E53=1,MAX($D$9:D52)+1,"")</f>
        <v/>
      </c>
      <c r="E53" s="71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1" t="str">
        <f>IF(E54=1,MAX($D$9:D53)+1,"")</f>
        <v/>
      </c>
      <c r="E54" s="71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1" t="str">
        <f>IF(E55=1,MAX($D$9:D54)+1,"")</f>
        <v/>
      </c>
      <c r="E55" s="71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1" t="str">
        <f>IF(E56=1,MAX($D$9:D55)+1,"")</f>
        <v/>
      </c>
      <c r="E56" s="71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1" t="str">
        <f>IF(E57=1,MAX($D$9:D56)+1,"")</f>
        <v/>
      </c>
      <c r="E57" s="71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1" t="str">
        <f>IF(E58=1,MAX($D$9:D57)+1,"")</f>
        <v/>
      </c>
      <c r="E58" s="71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1" t="str">
        <f>IF(E59=1,MAX($D$9:D58)+1,"")</f>
        <v/>
      </c>
      <c r="E59" s="71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1" t="str">
        <f>IF(E60=1,MAX($D$9:D59)+1,"")</f>
        <v/>
      </c>
      <c r="E60" s="71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1" t="str">
        <f>IF(E61=1,MAX($D$9:D60)+1,"")</f>
        <v/>
      </c>
      <c r="E61" s="71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1" t="str">
        <f>IF(E62=1,MAX($D$9:D61)+1,"")</f>
        <v/>
      </c>
      <c r="E62" s="71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1" t="str">
        <f>IF(E63=1,MAX($D$9:D62)+1,"")</f>
        <v/>
      </c>
      <c r="E63" s="71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1" t="str">
        <f>IF(E64=1,MAX($D$9:D63)+1,"")</f>
        <v/>
      </c>
      <c r="E64" s="71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1" t="str">
        <f>IF(E65=1,MAX($D$9:D64)+1,"")</f>
        <v/>
      </c>
      <c r="E65" s="71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1" t="str">
        <f>IF(E66=1,MAX($D$9:D65)+1,"")</f>
        <v/>
      </c>
      <c r="E66" s="71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1" t="str">
        <f>IF(E67=1,MAX($D$9:D66)+1,"")</f>
        <v/>
      </c>
      <c r="E67" s="71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1" t="str">
        <f>IF(E68=1,MAX($D$9:D67)+1,"")</f>
        <v/>
      </c>
      <c r="E68" s="71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1" t="str">
        <f>IF(E69=1,MAX($D$9:D68)+1,"")</f>
        <v/>
      </c>
      <c r="E69" s="71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1" t="str">
        <f>IF(E70=1,MAX($D$9:D69)+1,"")</f>
        <v/>
      </c>
      <c r="E70" s="71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1" t="str">
        <f>IF(E71=1,MAX($D$9:D70)+1,"")</f>
        <v/>
      </c>
      <c r="E71" s="71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1" t="str">
        <f>IF(E72=1,MAX($D$9:D71)+1,"")</f>
        <v/>
      </c>
      <c r="E72" s="71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1" t="str">
        <f>IF(E73=1,MAX($D$9:D72)+1,"")</f>
        <v/>
      </c>
      <c r="E73" s="71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1" t="str">
        <f>IF(E74=1,MAX($D$9:D73)+1,"")</f>
        <v/>
      </c>
      <c r="E74" s="71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1" t="str">
        <f>IF(E75=1,MAX($D$9:D74)+1,"")</f>
        <v/>
      </c>
      <c r="E75" s="71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1" t="str">
        <f>IF(E76=1,MAX($D$9:D75)+1,"")</f>
        <v/>
      </c>
      <c r="E76" s="71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1" t="str">
        <f>IF(E77=1,MAX($D$9:D76)+1,"")</f>
        <v/>
      </c>
      <c r="E77" s="71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1" t="str">
        <f>IF(E78=1,MAX($D$9:D77)+1,"")</f>
        <v/>
      </c>
      <c r="E78" s="71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1" t="str">
        <f>IF(E79=1,MAX($D$9:D78)+1,"")</f>
        <v/>
      </c>
      <c r="E79" s="71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1" t="str">
        <f>IF(E80=1,MAX($D$9:D79)+1,"")</f>
        <v/>
      </c>
      <c r="E80" s="71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1" t="str">
        <f>IF(E81=1,MAX($D$9:D80)+1,"")</f>
        <v/>
      </c>
      <c r="E81" s="71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1" t="str">
        <f>IF(E82=1,MAX($D$9:D81)+1,"")</f>
        <v/>
      </c>
      <c r="E82" s="71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1" t="str">
        <f>IF(E83=1,MAX($D$9:D82)+1,"")</f>
        <v/>
      </c>
      <c r="E83" s="71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1" t="str">
        <f>IF(E84=1,MAX($D$9:D83)+1,"")</f>
        <v/>
      </c>
      <c r="E84" s="71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1" t="str">
        <f>IF(E85=1,MAX($D$9:D84)+1,"")</f>
        <v/>
      </c>
      <c r="E85" s="71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1" t="str">
        <f>IF(E86=1,MAX($D$9:D85)+1,"")</f>
        <v/>
      </c>
      <c r="E86" s="71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1" t="str">
        <f>IF(E87=1,MAX($D$9:D86)+1,"")</f>
        <v/>
      </c>
      <c r="E87" s="71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1" t="str">
        <f>IF(E88=1,MAX($D$9:D87)+1,"")</f>
        <v/>
      </c>
      <c r="E88" s="71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1" t="str">
        <f>IF(E89=1,MAX($D$9:D88)+1,"")</f>
        <v/>
      </c>
      <c r="E89" s="71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1" t="str">
        <f>IF(E90=1,MAX($D$9:D89)+1,"")</f>
        <v/>
      </c>
      <c r="E90" s="71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1" t="str">
        <f>IF(E91=1,MAX($D$9:D90)+1,"")</f>
        <v/>
      </c>
      <c r="E91" s="71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1" t="str">
        <f>IF(E92=1,MAX($D$9:D91)+1,"")</f>
        <v/>
      </c>
      <c r="E92" s="71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1" t="str">
        <f>IF(E93=1,MAX($D$9:D92)+1,"")</f>
        <v/>
      </c>
      <c r="E93" s="71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1" t="str">
        <f>IF(E94=1,MAX($D$9:D93)+1,"")</f>
        <v/>
      </c>
      <c r="E94" s="71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1" t="str">
        <f>IF(E95=1,MAX($D$9:D94)+1,"")</f>
        <v/>
      </c>
      <c r="E95" s="71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1" t="str">
        <f>IF(E96=1,MAX($D$9:D95)+1,"")</f>
        <v/>
      </c>
      <c r="E96" s="71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1" t="str">
        <f>IF(E97=1,MAX($D$9:D96)+1,"")</f>
        <v/>
      </c>
      <c r="E97" s="71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1" t="str">
        <f>IF(E98=1,MAX($D$9:D97)+1,"")</f>
        <v/>
      </c>
      <c r="E98" s="71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1" t="str">
        <f>IF(E99=1,MAX($D$9:D98)+1,"")</f>
        <v/>
      </c>
      <c r="E99" s="71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1" t="str">
        <f>IF(E100=1,MAX($D$9:D99)+1,"")</f>
        <v/>
      </c>
      <c r="E100" s="71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1" t="str">
        <f>IF(E101=1,MAX($D$9:D100)+1,"")</f>
        <v/>
      </c>
      <c r="E101" s="71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1" t="str">
        <f>IF(E102=1,MAX($D$9:D101)+1,"")</f>
        <v/>
      </c>
      <c r="E102" s="71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1" t="str">
        <f>IF(E103=1,MAX($D$9:D102)+1,"")</f>
        <v/>
      </c>
      <c r="E103" s="71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1" t="str">
        <f>IF(E104=1,MAX($D$9:D103)+1,"")</f>
        <v/>
      </c>
      <c r="E104" s="71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1" t="str">
        <f>IF(E105=1,MAX($D$9:D104)+1,"")</f>
        <v/>
      </c>
      <c r="E105" s="71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1" t="str">
        <f>IF(E106=1,MAX($D$9:D105)+1,"")</f>
        <v/>
      </c>
      <c r="E106" s="71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1" t="str">
        <f>IF(E107=1,MAX($D$9:D106)+1,"")</f>
        <v/>
      </c>
      <c r="E107" s="71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1" t="str">
        <f>IF(E108=1,MAX($D$9:D107)+1,"")</f>
        <v/>
      </c>
      <c r="E108" s="71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1" t="str">
        <f>IF(E109=1,MAX($D$9:D108)+1,"")</f>
        <v/>
      </c>
      <c r="E109" s="71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1" t="str">
        <f>IF(E110=1,MAX($D$9:D109)+1,"")</f>
        <v/>
      </c>
      <c r="E110" s="71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1" t="str">
        <f>IF(E111=1,MAX($D$9:D110)+1,"")</f>
        <v/>
      </c>
      <c r="E111" s="71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1" t="str">
        <f>IF(E112=1,MAX($D$9:D111)+1,"")</f>
        <v/>
      </c>
      <c r="E112" s="71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1" t="str">
        <f>IF(E113=1,MAX($D$9:D112)+1,"")</f>
        <v/>
      </c>
      <c r="E113" s="71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1" t="str">
        <f>IF(E114=1,MAX($D$9:D113)+1,"")</f>
        <v/>
      </c>
      <c r="E114" s="71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1" t="str">
        <f>IF(E115=1,MAX($D$9:D114)+1,"")</f>
        <v/>
      </c>
      <c r="E115" s="71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1" t="str">
        <f>IF(E116=1,MAX($D$9:D115)+1,"")</f>
        <v/>
      </c>
      <c r="E116" s="71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1" t="str">
        <f>IF(E117=1,MAX($D$9:D116)+1,"")</f>
        <v/>
      </c>
      <c r="E117" s="71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1" t="str">
        <f>IF(E118=1,MAX($D$9:D117)+1,"")</f>
        <v/>
      </c>
      <c r="E118" s="71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1" t="str">
        <f>IF(E119=1,MAX($D$9:D118)+1,"")</f>
        <v/>
      </c>
      <c r="E119" s="71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1" t="str">
        <f>IF(E120=1,MAX($D$9:D119)+1,"")</f>
        <v/>
      </c>
      <c r="E120" s="71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1" t="str">
        <f>IF(E121=1,MAX($D$9:D120)+1,"")</f>
        <v/>
      </c>
      <c r="E121" s="71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1" t="str">
        <f>IF(E122=1,MAX($D$9:D121)+1,"")</f>
        <v/>
      </c>
      <c r="E122" s="71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1" t="str">
        <f>IF(E123=1,MAX($D$9:D122)+1,"")</f>
        <v/>
      </c>
      <c r="E123" s="71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1" t="str">
        <f>IF(E124=1,MAX($D$9:D123)+1,"")</f>
        <v/>
      </c>
      <c r="E124" s="71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1" t="str">
        <f>IF(E125=1,MAX($D$9:D124)+1,"")</f>
        <v/>
      </c>
      <c r="E125" s="71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1" t="str">
        <f>IF(E126=1,MAX($D$9:D125)+1,"")</f>
        <v/>
      </c>
      <c r="E126" s="71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1" t="str">
        <f>IF(E127=1,MAX($D$9:D126)+1,"")</f>
        <v/>
      </c>
      <c r="E127" s="71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1" t="str">
        <f>IF(E128=1,MAX($D$9:D127)+1,"")</f>
        <v/>
      </c>
      <c r="E128" s="71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1" t="str">
        <f>IF(E129=1,MAX($D$9:D128)+1,"")</f>
        <v/>
      </c>
      <c r="E129" s="71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1" t="str">
        <f>IF(E130=1,MAX($D$9:D129)+1,"")</f>
        <v/>
      </c>
      <c r="E130" s="71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1" t="str">
        <f>IF(E131=1,MAX($D$9:D130)+1,"")</f>
        <v/>
      </c>
      <c r="E131" s="71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1" t="str">
        <f>IF(E132=1,MAX($D$9:D131)+1,"")</f>
        <v/>
      </c>
      <c r="E132" s="71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1" t="str">
        <f>IF(E133=1,MAX($D$9:D132)+1,"")</f>
        <v/>
      </c>
      <c r="E133" s="71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1" t="str">
        <f>IF(E134=1,MAX($D$9:D133)+1,"")</f>
        <v/>
      </c>
      <c r="E134" s="71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1" t="str">
        <f>IF(E135=1,MAX($D$9:D134)+1,"")</f>
        <v/>
      </c>
      <c r="E135" s="71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1" t="str">
        <f>IF(E136=1,MAX($D$9:D135)+1,"")</f>
        <v/>
      </c>
      <c r="E136" s="71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1" t="str">
        <f>IF(E137=1,MAX($D$9:D136)+1,"")</f>
        <v/>
      </c>
      <c r="E137" s="71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1" t="str">
        <f>IF(E138=1,MAX($D$9:D137)+1,"")</f>
        <v/>
      </c>
      <c r="E138" s="71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1" t="str">
        <f>IF(E139=1,MAX($D$9:D138)+1,"")</f>
        <v/>
      </c>
      <c r="E139" s="71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1" t="str">
        <f>IF(E140=1,MAX($D$9:D139)+1,"")</f>
        <v/>
      </c>
      <c r="E140" s="71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1" t="str">
        <f>IF(E141=1,MAX($D$9:D140)+1,"")</f>
        <v/>
      </c>
      <c r="E141" s="71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1" t="str">
        <f>IF(E142=1,MAX($D$9:D141)+1,"")</f>
        <v/>
      </c>
      <c r="E142" s="71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1" t="str">
        <f>IF(E143=1,MAX($D$9:D142)+1,"")</f>
        <v/>
      </c>
      <c r="E143" s="71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1" t="str">
        <f>IF(E144=1,MAX($D$9:D143)+1,"")</f>
        <v/>
      </c>
      <c r="E144" s="71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1" t="str">
        <f>IF(E145=1,MAX($D$9:D144)+1,"")</f>
        <v/>
      </c>
      <c r="E145" s="71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1" t="str">
        <f>IF(E146=1,MAX($D$9:D145)+1,"")</f>
        <v/>
      </c>
      <c r="E146" s="71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1" t="str">
        <f>IF(E147=1,MAX($D$9:D146)+1,"")</f>
        <v/>
      </c>
      <c r="E147" s="71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1" t="str">
        <f>IF(E148=1,MAX($D$9:D147)+1,"")</f>
        <v/>
      </c>
      <c r="E148" s="71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1" t="str">
        <f>IF(E149=1,MAX($D$9:D148)+1,"")</f>
        <v/>
      </c>
      <c r="E149" s="71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1" t="str">
        <f>IF(E150=1,MAX($D$9:D149)+1,"")</f>
        <v/>
      </c>
      <c r="E150" s="71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1" t="str">
        <f>IF(E151=1,MAX($D$9:D150)+1,"")</f>
        <v/>
      </c>
      <c r="E151" s="71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1" t="str">
        <f>IF(E152=1,MAX($D$9:D151)+1,"")</f>
        <v/>
      </c>
      <c r="E152" s="71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1" t="str">
        <f>IF(E153=1,MAX($D$9:D152)+1,"")</f>
        <v/>
      </c>
      <c r="E153" s="71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1" t="str">
        <f>IF(E154=1,MAX($D$9:D153)+1,"")</f>
        <v/>
      </c>
      <c r="E154" s="71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1" t="str">
        <f>IF(E155=1,MAX($D$9:D154)+1,"")</f>
        <v/>
      </c>
      <c r="E155" s="71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1" t="str">
        <f>IF(E156=1,MAX($D$9:D155)+1,"")</f>
        <v/>
      </c>
      <c r="E156" s="71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1" t="str">
        <f>IF(E157=1,MAX($D$9:D156)+1,"")</f>
        <v/>
      </c>
      <c r="E157" s="71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1" t="str">
        <f>IF(E158=1,MAX($D$9:D157)+1,"")</f>
        <v/>
      </c>
      <c r="E158" s="71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1" t="str">
        <f>IF(E159=1,MAX($D$9:D158)+1,"")</f>
        <v/>
      </c>
      <c r="E159" s="71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1" t="str">
        <f>IF(E160=1,MAX($D$9:D159)+1,"")</f>
        <v/>
      </c>
      <c r="E160" s="71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1" t="str">
        <f>IF(E161=1,MAX($D$9:D160)+1,"")</f>
        <v/>
      </c>
      <c r="E161" s="71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1" t="str">
        <f>IF(E162=1,MAX($D$9:D161)+1,"")</f>
        <v/>
      </c>
      <c r="E162" s="71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1" t="str">
        <f>IF(E163=1,MAX($D$9:D162)+1,"")</f>
        <v/>
      </c>
      <c r="E163" s="71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1" t="str">
        <f>IF(E164=1,MAX($D$9:D163)+1,"")</f>
        <v/>
      </c>
      <c r="E164" s="71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1" t="str">
        <f>IF(E165=1,MAX($D$9:D164)+1,"")</f>
        <v/>
      </c>
      <c r="E165" s="71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1" t="str">
        <f>IF(E166=1,MAX($D$9:D165)+1,"")</f>
        <v/>
      </c>
      <c r="E166" s="71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1" t="str">
        <f>IF(E167=1,MAX($D$9:D166)+1,"")</f>
        <v/>
      </c>
      <c r="E167" s="71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1" t="str">
        <f>IF(E168=1,MAX($D$9:D167)+1,"")</f>
        <v/>
      </c>
      <c r="E168" s="71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1" t="str">
        <f>IF(E169=1,MAX($D$9:D168)+1,"")</f>
        <v/>
      </c>
      <c r="E169" s="71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1" t="str">
        <f>IF(E170=1,MAX($D$9:D169)+1,"")</f>
        <v/>
      </c>
      <c r="E170" s="71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1" t="str">
        <f>IF(E171=1,MAX($D$9:D170)+1,"")</f>
        <v/>
      </c>
      <c r="E171" s="71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1" t="str">
        <f>IF(E172=1,MAX($D$9:D171)+1,"")</f>
        <v/>
      </c>
      <c r="E172" s="71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1" t="str">
        <f>IF(E173=1,MAX($D$9:D172)+1,"")</f>
        <v/>
      </c>
      <c r="E173" s="71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1" t="str">
        <f>IF(E174=1,MAX($D$9:D173)+1,"")</f>
        <v/>
      </c>
      <c r="E174" s="71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1" t="str">
        <f>IF(E175=1,MAX($D$9:D174)+1,"")</f>
        <v/>
      </c>
      <c r="E175" s="71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1" t="str">
        <f>IF(E176=1,MAX($D$9:D175)+1,"")</f>
        <v/>
      </c>
      <c r="E176" s="71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1" t="str">
        <f>IF(E177=1,MAX($D$9:D176)+1,"")</f>
        <v/>
      </c>
      <c r="E177" s="71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1" t="str">
        <f>IF(E178=1,MAX($D$9:D177)+1,"")</f>
        <v/>
      </c>
      <c r="E178" s="71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1" t="str">
        <f>IF(E179=1,MAX($D$9:D178)+1,"")</f>
        <v/>
      </c>
      <c r="E179" s="71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1" t="str">
        <f>IF(E180=1,MAX($D$9:D179)+1,"")</f>
        <v/>
      </c>
      <c r="E180" s="71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1" t="str">
        <f>IF(E181=1,MAX($D$9:D180)+1,"")</f>
        <v/>
      </c>
      <c r="E181" s="71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1" t="str">
        <f>IF(E182=1,MAX($D$9:D181)+1,"")</f>
        <v/>
      </c>
      <c r="E182" s="71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1" t="str">
        <f>IF(E183=1,MAX($D$9:D182)+1,"")</f>
        <v/>
      </c>
      <c r="E183" s="71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1" t="str">
        <f>IF(E184=1,MAX($D$9:D183)+1,"")</f>
        <v/>
      </c>
      <c r="E184" s="71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1" t="str">
        <f>IF(E185=1,MAX($D$9:D184)+1,"")</f>
        <v/>
      </c>
      <c r="E185" s="71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1" t="str">
        <f>IF(E186=1,MAX($D$9:D185)+1,"")</f>
        <v/>
      </c>
      <c r="E186" s="71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1" t="str">
        <f>IF(E187=1,MAX($D$9:D186)+1,"")</f>
        <v/>
      </c>
      <c r="E187" s="71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1" t="str">
        <f>IF(E188=1,MAX($D$9:D187)+1,"")</f>
        <v/>
      </c>
      <c r="E188" s="71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1" t="str">
        <f>IF(E189=1,MAX($D$9:D188)+1,"")</f>
        <v/>
      </c>
      <c r="E189" s="71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1" t="str">
        <f>IF(E190=1,MAX($D$9:D189)+1,"")</f>
        <v/>
      </c>
      <c r="E190" s="71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1" t="str">
        <f>IF(E191=1,MAX($D$9:D190)+1,"")</f>
        <v/>
      </c>
      <c r="E191" s="71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1" t="str">
        <f>IF(E192=1,MAX($D$9:D191)+1,"")</f>
        <v/>
      </c>
      <c r="E192" s="71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1" t="str">
        <f>IF(E193=1,MAX($D$9:D192)+1,"")</f>
        <v/>
      </c>
      <c r="E193" s="71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1" t="str">
        <f>IF(E194=1,MAX($D$9:D193)+1,"")</f>
        <v/>
      </c>
      <c r="E194" s="71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1" t="str">
        <f>IF(E195=1,MAX($D$9:D194)+1,"")</f>
        <v/>
      </c>
      <c r="E195" s="71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1" t="str">
        <f>IF(E196=1,MAX($D$9:D195)+1,"")</f>
        <v/>
      </c>
      <c r="E196" s="71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1" t="str">
        <f>IF(E197=1,MAX($D$9:D196)+1,"")</f>
        <v/>
      </c>
      <c r="E197" s="71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1" t="str">
        <f>IF(E198=1,MAX($D$9:D197)+1,"")</f>
        <v/>
      </c>
      <c r="E198" s="71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1" t="str">
        <f>IF(E199=1,MAX($D$9:D198)+1,"")</f>
        <v/>
      </c>
      <c r="E199" s="71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1" t="str">
        <f>IF(E200=1,MAX($D$9:D199)+1,"")</f>
        <v/>
      </c>
      <c r="E200" s="71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1" t="str">
        <f>IF(E201=1,MAX($D$9:D200)+1,"")</f>
        <v/>
      </c>
      <c r="E201" s="71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1" t="str">
        <f>IF(E202=1,MAX($D$9:D201)+1,"")</f>
        <v/>
      </c>
      <c r="E202" s="71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1" t="str">
        <f>IF(E203=1,MAX($D$9:D202)+1,"")</f>
        <v/>
      </c>
      <c r="E203" s="71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1" t="str">
        <f>IF(E204=1,MAX($D$9:D203)+1,"")</f>
        <v/>
      </c>
      <c r="E204" s="71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1" t="str">
        <f>IF(E205=1,MAX($D$9:D204)+1,"")</f>
        <v/>
      </c>
      <c r="E205" s="71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1" t="str">
        <f>IF(E206=1,MAX($D$9:D205)+1,"")</f>
        <v/>
      </c>
      <c r="E206" s="71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1" t="str">
        <f>IF(E207=1,MAX($D$9:D206)+1,"")</f>
        <v/>
      </c>
      <c r="E207" s="71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1" t="str">
        <f>IF(E208=1,MAX($D$9:D207)+1,"")</f>
        <v/>
      </c>
      <c r="E208" s="71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1" t="str">
        <f>IF(E209=1,MAX($D$9:D208)+1,"")</f>
        <v/>
      </c>
      <c r="E209" s="71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1" t="str">
        <f>IF(E210=1,MAX($D$9:D209)+1,"")</f>
        <v/>
      </c>
      <c r="E210" s="71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1" t="str">
        <f>IF(E211=1,MAX($D$9:D210)+1,"")</f>
        <v/>
      </c>
      <c r="E211" s="71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1" t="str">
        <f>IF(E212=1,MAX($D$9:D211)+1,"")</f>
        <v/>
      </c>
      <c r="E212" s="71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1" t="str">
        <f>IF(E213=1,MAX($D$9:D212)+1,"")</f>
        <v/>
      </c>
      <c r="E213" s="71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1" t="str">
        <f>IF(E214=1,MAX($D$9:D213)+1,"")</f>
        <v/>
      </c>
      <c r="E214" s="71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1" t="str">
        <f>IF(E215=1,MAX($D$9:D214)+1,"")</f>
        <v/>
      </c>
      <c r="E215" s="71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1" t="str">
        <f>IF(E216=1,MAX($D$9:D215)+1,"")</f>
        <v/>
      </c>
      <c r="E216" s="71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1" t="str">
        <f>IF(E217=1,MAX($D$9:D216)+1,"")</f>
        <v/>
      </c>
      <c r="E217" s="71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1" t="str">
        <f>IF(E218=1,MAX($D$9:D217)+1,"")</f>
        <v/>
      </c>
      <c r="E218" s="71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1" t="str">
        <f>IF(E219=1,MAX($D$9:D218)+1,"")</f>
        <v/>
      </c>
      <c r="E219" s="71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1" t="str">
        <f>IF(E220=1,MAX($D$9:D219)+1,"")</f>
        <v/>
      </c>
      <c r="E220" s="71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1" t="str">
        <f>IF(E221=1,MAX($D$9:D220)+1,"")</f>
        <v/>
      </c>
      <c r="E221" s="71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1" t="str">
        <f>IF(E222=1,MAX($D$9:D221)+1,"")</f>
        <v/>
      </c>
      <c r="E222" s="71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1" t="str">
        <f>IF(E223=1,MAX($D$9:D222)+1,"")</f>
        <v/>
      </c>
      <c r="E223" s="71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1" t="str">
        <f>IF(E224=1,MAX($D$9:D223)+1,"")</f>
        <v/>
      </c>
      <c r="E224" s="71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1" t="str">
        <f>IF(E225=1,MAX($D$9:D224)+1,"")</f>
        <v/>
      </c>
      <c r="E225" s="71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1" t="str">
        <f>IF(E226=1,MAX($D$9:D225)+1,"")</f>
        <v/>
      </c>
      <c r="E226" s="71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1" t="str">
        <f>IF(E227=1,MAX($D$9:D226)+1,"")</f>
        <v/>
      </c>
      <c r="E227" s="71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1" t="str">
        <f>IF(E228=1,MAX($D$9:D227)+1,"")</f>
        <v/>
      </c>
      <c r="E228" s="71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1" t="str">
        <f>IF(E229=1,MAX($D$9:D228)+1,"")</f>
        <v/>
      </c>
      <c r="E229" s="71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1" t="str">
        <f>IF(E230=1,MAX($D$9:D229)+1,"")</f>
        <v/>
      </c>
      <c r="E230" s="71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1" t="str">
        <f>IF(E231=1,MAX($D$9:D230)+1,"")</f>
        <v/>
      </c>
      <c r="E231" s="71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1" t="str">
        <f>IF(E232=1,MAX($D$9:D231)+1,"")</f>
        <v/>
      </c>
      <c r="E232" s="71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1" t="str">
        <f>IF(E233=1,MAX($D$9:D232)+1,"")</f>
        <v/>
      </c>
      <c r="E233" s="71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1" t="str">
        <f>IF(E234=1,MAX($D$9:D233)+1,"")</f>
        <v/>
      </c>
      <c r="E234" s="71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1" t="str">
        <f>IF(E235=1,MAX($D$9:D234)+1,"")</f>
        <v/>
      </c>
      <c r="E235" s="71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1" t="str">
        <f>IF(E236=1,MAX($D$9:D235)+1,"")</f>
        <v/>
      </c>
      <c r="E236" s="71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1" t="str">
        <f>IF(E237=1,MAX($D$9:D236)+1,"")</f>
        <v/>
      </c>
      <c r="E237" s="71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1" t="str">
        <f>IF(E238=1,MAX($D$9:D237)+1,"")</f>
        <v/>
      </c>
      <c r="E238" s="71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1" t="str">
        <f>IF(E239=1,MAX($D$9:D238)+1,"")</f>
        <v/>
      </c>
      <c r="E239" s="71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1" t="str">
        <f>IF(E240=1,MAX($D$9:D239)+1,"")</f>
        <v/>
      </c>
      <c r="E240" s="71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1" t="str">
        <f>IF(E241=1,MAX($D$9:D240)+1,"")</f>
        <v/>
      </c>
      <c r="E241" s="71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1" t="str">
        <f>IF(E242=1,MAX($D$9:D241)+1,"")</f>
        <v/>
      </c>
      <c r="E242" s="71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1" t="str">
        <f>IF(E243=1,MAX($D$9:D242)+1,"")</f>
        <v/>
      </c>
      <c r="E243" s="71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1" t="str">
        <f>IF(E244=1,MAX($D$9:D243)+1,"")</f>
        <v/>
      </c>
      <c r="E244" s="71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1" t="str">
        <f>IF(E245=1,MAX($D$9:D244)+1,"")</f>
        <v/>
      </c>
      <c r="E245" s="71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1" t="str">
        <f>IF(E246=1,MAX($D$9:D245)+1,"")</f>
        <v/>
      </c>
      <c r="E246" s="71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1" t="str">
        <f>IF(E247=1,MAX($D$9:D246)+1,"")</f>
        <v/>
      </c>
      <c r="E247" s="71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1" t="str">
        <f>IF(E248=1,MAX($D$9:D247)+1,"")</f>
        <v/>
      </c>
      <c r="E248" s="71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1" t="str">
        <f>IF(E249=1,MAX($D$9:D248)+1,"")</f>
        <v/>
      </c>
      <c r="E249" s="71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1" t="str">
        <f>IF(E250=1,MAX($D$9:D249)+1,"")</f>
        <v/>
      </c>
      <c r="E250" s="71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1" t="str">
        <f>IF(E251=1,MAX($D$9:D250)+1,"")</f>
        <v/>
      </c>
      <c r="E251" s="71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1" t="str">
        <f>IF(E252=1,MAX($D$9:D251)+1,"")</f>
        <v/>
      </c>
      <c r="E252" s="71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1" t="str">
        <f>IF(E253=1,MAX($D$9:D252)+1,"")</f>
        <v/>
      </c>
      <c r="E253" s="71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1" t="str">
        <f>IF(E254=1,MAX($D$9:D253)+1,"")</f>
        <v/>
      </c>
      <c r="E254" s="71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1" t="str">
        <f>IF(E255=1,MAX($D$9:D254)+1,"")</f>
        <v/>
      </c>
      <c r="E255" s="71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1" t="str">
        <f>IF(E256=1,MAX($D$9:D255)+1,"")</f>
        <v/>
      </c>
      <c r="E256" s="71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1" t="str">
        <f>IF(E257=1,MAX($D$9:D256)+1,"")</f>
        <v/>
      </c>
      <c r="E257" s="71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1" t="str">
        <f>IF(E258=1,MAX($D$9:D257)+1,"")</f>
        <v/>
      </c>
      <c r="E258" s="71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1" t="str">
        <f>IF(E259=1,MAX($D$9:D258)+1,"")</f>
        <v/>
      </c>
      <c r="E259" s="71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1" t="str">
        <f>IF(E260=1,MAX($D$9:D259)+1,"")</f>
        <v/>
      </c>
      <c r="E260" s="71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1" t="str">
        <f>IF(E261=1,MAX($D$9:D260)+1,"")</f>
        <v/>
      </c>
      <c r="E261" s="71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1" t="str">
        <f>IF(E262=1,MAX($D$9:D261)+1,"")</f>
        <v/>
      </c>
      <c r="E262" s="71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1" t="str">
        <f>IF(E263=1,MAX($D$9:D262)+1,"")</f>
        <v/>
      </c>
      <c r="E263" s="71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1" t="str">
        <f>IF(E264=1,MAX($D$9:D263)+1,"")</f>
        <v/>
      </c>
      <c r="E264" s="71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1" t="str">
        <f>IF(E265=1,MAX($D$9:D264)+1,"")</f>
        <v/>
      </c>
      <c r="E265" s="71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1" t="str">
        <f>IF(E266=1,MAX($D$9:D265)+1,"")</f>
        <v/>
      </c>
      <c r="E266" s="71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1" t="str">
        <f>IF(E267=1,MAX($D$9:D266)+1,"")</f>
        <v/>
      </c>
      <c r="E267" s="71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2" t="str">
        <f>IF(E268=1,MAX($D$9:D267)+1,"")</f>
        <v/>
      </c>
      <c r="E268" s="72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23" sqref="B2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149</v>
      </c>
    </row>
    <row r="2" spans="1:2" ht="15" thickBot="1" x14ac:dyDescent="0.4"/>
    <row r="3" spans="1:2" ht="15" thickBot="1" x14ac:dyDescent="0.4">
      <c r="A3" s="37" t="s">
        <v>22</v>
      </c>
      <c r="B3" s="17" t="s">
        <v>114</v>
      </c>
    </row>
    <row r="4" spans="1:2" ht="15" thickBot="1" x14ac:dyDescent="0.4"/>
    <row r="5" spans="1:2" ht="15" thickBot="1" x14ac:dyDescent="0.4">
      <c r="A5" s="37" t="s">
        <v>103</v>
      </c>
    </row>
    <row r="6" spans="1:2" ht="15" thickBot="1" x14ac:dyDescent="0.4">
      <c r="A6" s="42" t="s">
        <v>46</v>
      </c>
      <c r="B6" s="17" t="s">
        <v>106</v>
      </c>
    </row>
    <row r="7" spans="1:2" ht="15" thickBot="1" x14ac:dyDescent="0.4">
      <c r="A7" s="54" t="s">
        <v>104</v>
      </c>
      <c r="B7" s="17" t="s">
        <v>106</v>
      </c>
    </row>
    <row r="8" spans="1:2" ht="15" thickBot="1" x14ac:dyDescent="0.4">
      <c r="A8" s="54" t="s">
        <v>105</v>
      </c>
      <c r="B8" s="17" t="s">
        <v>106</v>
      </c>
    </row>
    <row r="9" spans="1:2" ht="15" thickBot="1" x14ac:dyDescent="0.4">
      <c r="A9" s="55" t="s">
        <v>33</v>
      </c>
      <c r="B9" s="41" t="s">
        <v>106</v>
      </c>
    </row>
    <row r="10" spans="1:2" ht="15" thickBot="1" x14ac:dyDescent="0.4"/>
    <row r="11" spans="1:2" ht="15" thickBot="1" x14ac:dyDescent="0.4">
      <c r="A11" s="37" t="s">
        <v>107</v>
      </c>
    </row>
    <row r="12" spans="1:2" ht="15" thickBot="1" x14ac:dyDescent="0.4">
      <c r="A12" s="37" t="s">
        <v>110</v>
      </c>
      <c r="B12" s="17" t="s">
        <v>106</v>
      </c>
    </row>
    <row r="13" spans="1:2" ht="15" thickBot="1" x14ac:dyDescent="0.4">
      <c r="A13" s="37" t="s">
        <v>108</v>
      </c>
      <c r="B13" s="49" t="s">
        <v>161</v>
      </c>
    </row>
    <row r="14" spans="1:2" ht="15" thickBot="1" x14ac:dyDescent="0.4">
      <c r="A14" s="55" t="s">
        <v>109</v>
      </c>
      <c r="B14" s="49" t="s">
        <v>161</v>
      </c>
    </row>
    <row r="27" spans="1:2" ht="15" thickBot="1" x14ac:dyDescent="0.4"/>
    <row r="28" spans="1:2" ht="15" thickBot="1" x14ac:dyDescent="0.4">
      <c r="A28" s="50"/>
      <c r="B28" t="s">
        <v>42</v>
      </c>
    </row>
    <row r="29" spans="1:2" ht="15" thickBot="1" x14ac:dyDescent="0.4">
      <c r="A29" s="51"/>
      <c r="B29" t="s">
        <v>43</v>
      </c>
    </row>
    <row r="30" spans="1:2" ht="15" thickBot="1" x14ac:dyDescent="0.4">
      <c r="A30" s="52"/>
      <c r="B30" t="s">
        <v>44</v>
      </c>
    </row>
    <row r="31" spans="1:2" ht="15" thickBot="1" x14ac:dyDescent="0.4">
      <c r="A31" s="53"/>
      <c r="B31" t="s">
        <v>45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S1" workbookViewId="0">
      <selection activeCell="AR140" sqref="AR140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19</v>
      </c>
      <c r="B1"/>
      <c r="C1"/>
      <c r="D1"/>
      <c r="E1"/>
      <c r="V1" t="s">
        <v>20</v>
      </c>
      <c r="AN1" t="s">
        <v>46</v>
      </c>
    </row>
    <row r="2" spans="1:42" ht="15" thickBot="1" x14ac:dyDescent="0.4">
      <c r="B2"/>
      <c r="C2"/>
      <c r="D2"/>
      <c r="E2"/>
      <c r="V2" t="s">
        <v>21</v>
      </c>
      <c r="W2" t="str">
        <f>SPC!B3</f>
        <v>Caseload 1</v>
      </c>
      <c r="AG2" t="s">
        <v>33</v>
      </c>
    </row>
    <row r="3" spans="1:42" x14ac:dyDescent="0.35">
      <c r="B3" s="11" t="s">
        <v>18</v>
      </c>
      <c r="C3" s="3" t="s">
        <v>126</v>
      </c>
      <c r="D3" s="3" t="s">
        <v>127</v>
      </c>
      <c r="E3" s="3" t="s">
        <v>128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Caseload 2</v>
      </c>
      <c r="H3" s="4" t="str" cm="1">
        <f t="array" ref="H3">INDEX('Data Validation (Hide)'!$B$2:$B$16,COLUMN(C1),1)</f>
        <v>Caseload 3</v>
      </c>
      <c r="I3" s="4" t="str" cm="1">
        <f t="array" ref="I3">INDEX('Data Validation (Hide)'!$B$2:$B$16,COLUMN(D1),1)</f>
        <v>Caseload 4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111</v>
      </c>
      <c r="V3" t="s">
        <v>35</v>
      </c>
      <c r="W3" t="s">
        <v>23</v>
      </c>
      <c r="X3" t="s">
        <v>25</v>
      </c>
      <c r="Y3" t="s">
        <v>24</v>
      </c>
      <c r="Z3" t="s">
        <v>26</v>
      </c>
      <c r="AA3" t="s">
        <v>27</v>
      </c>
      <c r="AB3" s="16" t="s">
        <v>29</v>
      </c>
      <c r="AC3" s="16" t="s">
        <v>30</v>
      </c>
      <c r="AD3" s="16" t="s">
        <v>31</v>
      </c>
      <c r="AE3" s="16" t="s">
        <v>32</v>
      </c>
      <c r="AF3" t="s">
        <v>28</v>
      </c>
      <c r="AG3" t="s">
        <v>34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>
        <f>INDEX('Data Validation (Hide)'!$H$2:$I$5,MATCH(Setup!$B$13,'Data Validation (Hide)'!$H$2:$H$5,0),2)</f>
        <v>0.65</v>
      </c>
      <c r="AO3">
        <v>0.85</v>
      </c>
      <c r="AP3" t="s">
        <v>47</v>
      </c>
    </row>
    <row r="4" spans="1:42" x14ac:dyDescent="0.35">
      <c r="B4" s="12" t="str">
        <f>Demand!C9</f>
        <v/>
      </c>
      <c r="C4" s="68" t="str">
        <f>Demand!D9</f>
        <v/>
      </c>
      <c r="D4" s="68" t="str">
        <f>Demand!E9</f>
        <v/>
      </c>
      <c r="E4" s="68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1</v>
      </c>
      <c r="V4" cm="1">
        <f t="array" ref="V4">INDEX($F$4:$T$263,ROW(A1),MATCH($W$2,$F$3:$T$3,0))</f>
        <v>0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" t="e">
        <f>Y4/1.128</f>
        <v>#DIV/0!</v>
      </c>
      <c r="AA4" t="e">
        <f>MAX(0,W4-(3*Z4))</f>
        <v>#DIV/0!</v>
      </c>
      <c r="AB4" t="e">
        <f>MAX(0,W4-(2*Z4))</f>
        <v>#DIV/0!</v>
      </c>
      <c r="AC4" t="e">
        <f>MAX(0,W4-Z4)</f>
        <v>#DIV/0!</v>
      </c>
      <c r="AD4" t="e">
        <f>W4+Z4</f>
        <v>#DIV/0!</v>
      </c>
      <c r="AE4" t="e">
        <f>W4+(2*Z4)</f>
        <v>#DIV/0!</v>
      </c>
      <c r="AF4" t="e">
        <f>W4+(3*Z4)</f>
        <v>#DIV/0!</v>
      </c>
      <c r="AG4" t="e">
        <f>IF(OR(V4&gt;AF4,V4&lt;AA4),V4,NA())</f>
        <v>#DIV/0!</v>
      </c>
      <c r="AH4" t="e">
        <f>IF(V4&gt;AE4,2,IF(V4&lt;AB4,-2,IF(V4&gt;W4,1,IF(V4&lt;W4,-1,0))))</f>
        <v>#DIV/0!</v>
      </c>
      <c r="AI4" t="e">
        <f>IF(ABS(SUM(AH4:AH6))&gt;=5,V4,NA())</f>
        <v>#DIV/0!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0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">
        <f>AO4-AN4</f>
        <v>1</v>
      </c>
    </row>
    <row r="5" spans="1:42" x14ac:dyDescent="0.35">
      <c r="B5" s="12" t="str">
        <f>Demand!C10</f>
        <v/>
      </c>
      <c r="C5" s="68" t="str">
        <f>Demand!D10</f>
        <v/>
      </c>
      <c r="D5" s="68" t="str">
        <f>Demand!E10</f>
        <v/>
      </c>
      <c r="E5" s="68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0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" t="e">
        <f t="shared" ref="Z5:Z68" si="0">Y5/1.128</f>
        <v>#DIV/0!</v>
      </c>
      <c r="AA5" t="e">
        <f t="shared" ref="AA5:AA68" si="1">MAX(0,W5-(3*Z5))</f>
        <v>#DIV/0!</v>
      </c>
      <c r="AB5" t="e">
        <f t="shared" ref="AB5:AB68" si="2">MAX(0,W5-(2*Z5))</f>
        <v>#DIV/0!</v>
      </c>
      <c r="AC5" t="e">
        <f t="shared" ref="AC5:AC68" si="3">MAX(0,W5-Z5)</f>
        <v>#DIV/0!</v>
      </c>
      <c r="AD5" t="e">
        <f t="shared" ref="AD5:AD68" si="4">W5+Z5</f>
        <v>#DIV/0!</v>
      </c>
      <c r="AE5" t="e">
        <f t="shared" ref="AE5:AE68" si="5">W5+(2*Z5)</f>
        <v>#DIV/0!</v>
      </c>
      <c r="AF5" t="e">
        <f t="shared" ref="AF5:AF68" si="6">W5+(3*Z5)</f>
        <v>#DIV/0!</v>
      </c>
      <c r="AG5" t="e">
        <f t="shared" ref="AG5:AG68" si="7">IF(OR(V5&gt;AF5,V5&lt;AA5),V5,NA())</f>
        <v>#DIV/0!</v>
      </c>
      <c r="AH5" t="e">
        <f>IF(V5&gt;AE5,2,IF(V5&lt;AB5,-2,IF(V5&gt;W5,1,IF(V5&lt;W5,-1,0))))</f>
        <v>#DIV/0!</v>
      </c>
      <c r="AI5" t="e">
        <f t="shared" ref="AI5:AI68" si="8">IF(ABS(SUM(AH5:AH7))&gt;=5,V5,NA())</f>
        <v>#DIV/0!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0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">
        <f t="shared" ref="AP5:AP68" si="13">AO5-AN5</f>
        <v>1</v>
      </c>
    </row>
    <row r="6" spans="1:42" x14ac:dyDescent="0.35">
      <c r="B6" s="12" t="str">
        <f>Demand!C11</f>
        <v/>
      </c>
      <c r="C6" s="68" t="str">
        <f>Demand!D11</f>
        <v/>
      </c>
      <c r="D6" s="68" t="str">
        <f>Demand!E11</f>
        <v/>
      </c>
      <c r="E6" s="68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0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" t="e">
        <f t="shared" si="0"/>
        <v>#DIV/0!</v>
      </c>
      <c r="AA6" t="e">
        <f t="shared" si="1"/>
        <v>#DIV/0!</v>
      </c>
      <c r="AB6" t="e">
        <f t="shared" si="2"/>
        <v>#DIV/0!</v>
      </c>
      <c r="AC6" t="e">
        <f t="shared" si="3"/>
        <v>#DIV/0!</v>
      </c>
      <c r="AD6" t="e">
        <f t="shared" si="4"/>
        <v>#DIV/0!</v>
      </c>
      <c r="AE6" t="e">
        <f t="shared" si="5"/>
        <v>#DIV/0!</v>
      </c>
      <c r="AF6" t="e">
        <f t="shared" si="6"/>
        <v>#DIV/0!</v>
      </c>
      <c r="AG6" t="e">
        <f t="shared" si="7"/>
        <v>#DIV/0!</v>
      </c>
      <c r="AH6" t="e">
        <f t="shared" ref="AH6:AH69" si="14">IF(V6&gt;AE6,2,IF(V6&lt;AB6,-2,IF(V6&gt;W6,1,IF(V6&lt;W6,-1,0))))</f>
        <v>#DIV/0!</v>
      </c>
      <c r="AI6" t="e">
        <f t="shared" si="8"/>
        <v>#DIV/0!</v>
      </c>
      <c r="AJ6">
        <f t="shared" si="9"/>
        <v>0</v>
      </c>
      <c r="AK6" t="e">
        <f t="shared" si="10"/>
        <v>#N/A</v>
      </c>
      <c r="AL6">
        <f t="shared" si="11"/>
        <v>0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">
        <f t="shared" si="13"/>
        <v>1</v>
      </c>
    </row>
    <row r="7" spans="1:42" x14ac:dyDescent="0.35">
      <c r="B7" s="12" t="str">
        <f>Demand!C12</f>
        <v/>
      </c>
      <c r="C7" s="68" t="str">
        <f>Demand!D12</f>
        <v/>
      </c>
      <c r="D7" s="68" t="str">
        <f>Demand!E12</f>
        <v/>
      </c>
      <c r="E7" s="68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" t="e">
        <f t="shared" si="0"/>
        <v>#DIV/0!</v>
      </c>
      <c r="AA7" t="e">
        <f t="shared" si="1"/>
        <v>#DIV/0!</v>
      </c>
      <c r="AB7" t="e">
        <f t="shared" si="2"/>
        <v>#DIV/0!</v>
      </c>
      <c r="AC7" t="e">
        <f t="shared" si="3"/>
        <v>#DIV/0!</v>
      </c>
      <c r="AD7" t="e">
        <f t="shared" si="4"/>
        <v>#DIV/0!</v>
      </c>
      <c r="AE7" t="e">
        <f t="shared" si="5"/>
        <v>#DIV/0!</v>
      </c>
      <c r="AF7" t="e">
        <f t="shared" si="6"/>
        <v>#DIV/0!</v>
      </c>
      <c r="AG7" t="e">
        <f t="shared" si="7"/>
        <v>#DIV/0!</v>
      </c>
      <c r="AH7" t="e">
        <f t="shared" si="14"/>
        <v>#DIV/0!</v>
      </c>
      <c r="AI7" t="e">
        <f t="shared" si="8"/>
        <v>#DIV/0!</v>
      </c>
      <c r="AJ7">
        <f t="shared" si="9"/>
        <v>0</v>
      </c>
      <c r="AK7" t="e">
        <f t="shared" si="10"/>
        <v>#N/A</v>
      </c>
      <c r="AL7">
        <f t="shared" si="11"/>
        <v>0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">
        <f t="shared" si="13"/>
        <v>1</v>
      </c>
    </row>
    <row r="8" spans="1:42" x14ac:dyDescent="0.35">
      <c r="B8" s="12" t="str">
        <f>Demand!C13</f>
        <v/>
      </c>
      <c r="C8" s="68" t="str">
        <f>Demand!D13</f>
        <v/>
      </c>
      <c r="D8" s="68" t="str">
        <f>Demand!E13</f>
        <v/>
      </c>
      <c r="E8" s="68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" t="e">
        <f t="shared" si="0"/>
        <v>#DIV/0!</v>
      </c>
      <c r="AA8" t="e">
        <f t="shared" si="1"/>
        <v>#DIV/0!</v>
      </c>
      <c r="AB8" t="e">
        <f t="shared" si="2"/>
        <v>#DIV/0!</v>
      </c>
      <c r="AC8" t="e">
        <f t="shared" si="3"/>
        <v>#DIV/0!</v>
      </c>
      <c r="AD8" t="e">
        <f t="shared" si="4"/>
        <v>#DIV/0!</v>
      </c>
      <c r="AE8" t="e">
        <f t="shared" si="5"/>
        <v>#DIV/0!</v>
      </c>
      <c r="AF8" t="e">
        <f t="shared" si="6"/>
        <v>#DIV/0!</v>
      </c>
      <c r="AG8" t="e">
        <f t="shared" si="7"/>
        <v>#DIV/0!</v>
      </c>
      <c r="AH8" t="e">
        <f t="shared" si="14"/>
        <v>#DIV/0!</v>
      </c>
      <c r="AI8" t="e">
        <f t="shared" si="8"/>
        <v>#DIV/0!</v>
      </c>
      <c r="AJ8">
        <f t="shared" si="9"/>
        <v>0</v>
      </c>
      <c r="AK8" t="e">
        <f t="shared" si="10"/>
        <v>#N/A</v>
      </c>
      <c r="AL8">
        <f t="shared" si="11"/>
        <v>0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">
        <f t="shared" si="13"/>
        <v>1</v>
      </c>
    </row>
    <row r="9" spans="1:42" x14ac:dyDescent="0.35">
      <c r="B9" s="12" t="str">
        <f>Demand!C14</f>
        <v/>
      </c>
      <c r="C9" s="68" t="str">
        <f>Demand!D14</f>
        <v/>
      </c>
      <c r="D9" s="68" t="str">
        <f>Demand!E14</f>
        <v/>
      </c>
      <c r="E9" s="68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" t="e">
        <f t="shared" si="0"/>
        <v>#DIV/0!</v>
      </c>
      <c r="AA9" t="e">
        <f t="shared" si="1"/>
        <v>#DIV/0!</v>
      </c>
      <c r="AB9" t="e">
        <f t="shared" si="2"/>
        <v>#DIV/0!</v>
      </c>
      <c r="AC9" t="e">
        <f t="shared" si="3"/>
        <v>#DIV/0!</v>
      </c>
      <c r="AD9" t="e">
        <f t="shared" si="4"/>
        <v>#DIV/0!</v>
      </c>
      <c r="AE9" t="e">
        <f t="shared" si="5"/>
        <v>#DIV/0!</v>
      </c>
      <c r="AF9" t="e">
        <f t="shared" si="6"/>
        <v>#DIV/0!</v>
      </c>
      <c r="AG9" t="e">
        <f t="shared" si="7"/>
        <v>#DIV/0!</v>
      </c>
      <c r="AH9" t="e">
        <f t="shared" si="14"/>
        <v>#DIV/0!</v>
      </c>
      <c r="AI9" t="e">
        <f t="shared" si="8"/>
        <v>#DIV/0!</v>
      </c>
      <c r="AJ9">
        <f t="shared" si="9"/>
        <v>0</v>
      </c>
      <c r="AK9" t="e">
        <f t="shared" si="10"/>
        <v>#N/A</v>
      </c>
      <c r="AL9">
        <f t="shared" si="11"/>
        <v>0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">
        <f t="shared" si="13"/>
        <v>1</v>
      </c>
    </row>
    <row r="10" spans="1:42" x14ac:dyDescent="0.35">
      <c r="B10" s="12" t="str">
        <f>Demand!C15</f>
        <v/>
      </c>
      <c r="C10" s="68" t="str">
        <f>Demand!D15</f>
        <v/>
      </c>
      <c r="D10" s="68" t="str">
        <f>Demand!E15</f>
        <v/>
      </c>
      <c r="E10" s="68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0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" t="e">
        <f t="shared" si="0"/>
        <v>#DIV/0!</v>
      </c>
      <c r="AA10" t="e">
        <f t="shared" si="1"/>
        <v>#DIV/0!</v>
      </c>
      <c r="AB10" t="e">
        <f t="shared" si="2"/>
        <v>#DIV/0!</v>
      </c>
      <c r="AC10" t="e">
        <f t="shared" si="3"/>
        <v>#DIV/0!</v>
      </c>
      <c r="AD10" t="e">
        <f t="shared" si="4"/>
        <v>#DIV/0!</v>
      </c>
      <c r="AE10" t="e">
        <f t="shared" si="5"/>
        <v>#DIV/0!</v>
      </c>
      <c r="AF10" t="e">
        <f t="shared" si="6"/>
        <v>#DIV/0!</v>
      </c>
      <c r="AG10" t="e">
        <f t="shared" si="7"/>
        <v>#DIV/0!</v>
      </c>
      <c r="AH10" t="e">
        <f t="shared" si="14"/>
        <v>#DIV/0!</v>
      </c>
      <c r="AI10" t="e">
        <f t="shared" si="8"/>
        <v>#DIV/0!</v>
      </c>
      <c r="AJ10">
        <f t="shared" si="9"/>
        <v>0</v>
      </c>
      <c r="AK10" t="e">
        <f t="shared" si="10"/>
        <v>#N/A</v>
      </c>
      <c r="AL10">
        <f t="shared" si="11"/>
        <v>0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">
        <f t="shared" si="13"/>
        <v>1</v>
      </c>
    </row>
    <row r="11" spans="1:42" x14ac:dyDescent="0.35">
      <c r="B11" s="12" t="str">
        <f>Demand!C16</f>
        <v/>
      </c>
      <c r="C11" s="68" t="str">
        <f>Demand!D16</f>
        <v/>
      </c>
      <c r="D11" s="68" t="str">
        <f>Demand!E16</f>
        <v/>
      </c>
      <c r="E11" s="68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0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" t="e">
        <f t="shared" si="0"/>
        <v>#DIV/0!</v>
      </c>
      <c r="AA11" t="e">
        <f t="shared" si="1"/>
        <v>#DIV/0!</v>
      </c>
      <c r="AB11" t="e">
        <f t="shared" si="2"/>
        <v>#DIV/0!</v>
      </c>
      <c r="AC11" t="e">
        <f t="shared" si="3"/>
        <v>#DIV/0!</v>
      </c>
      <c r="AD11" t="e">
        <f t="shared" si="4"/>
        <v>#DIV/0!</v>
      </c>
      <c r="AE11" t="e">
        <f t="shared" si="5"/>
        <v>#DIV/0!</v>
      </c>
      <c r="AF11" t="e">
        <f t="shared" si="6"/>
        <v>#DIV/0!</v>
      </c>
      <c r="AG11" t="e">
        <f t="shared" si="7"/>
        <v>#DIV/0!</v>
      </c>
      <c r="AH11" t="e">
        <f t="shared" si="14"/>
        <v>#DIV/0!</v>
      </c>
      <c r="AI11" t="e">
        <f t="shared" si="8"/>
        <v>#DIV/0!</v>
      </c>
      <c r="AJ11">
        <f t="shared" si="9"/>
        <v>0</v>
      </c>
      <c r="AK11" t="e">
        <f t="shared" si="10"/>
        <v>#N/A</v>
      </c>
      <c r="AL11">
        <f t="shared" si="11"/>
        <v>0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">
        <f t="shared" si="13"/>
        <v>1</v>
      </c>
    </row>
    <row r="12" spans="1:42" x14ac:dyDescent="0.35">
      <c r="B12" s="12" t="str">
        <f>Demand!C17</f>
        <v/>
      </c>
      <c r="C12" s="68" t="str">
        <f>Demand!D17</f>
        <v/>
      </c>
      <c r="D12" s="68" t="str">
        <f>Demand!E17</f>
        <v/>
      </c>
      <c r="E12" s="68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0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" t="e">
        <f t="shared" si="0"/>
        <v>#DIV/0!</v>
      </c>
      <c r="AA12" t="e">
        <f t="shared" si="1"/>
        <v>#DIV/0!</v>
      </c>
      <c r="AB12" t="e">
        <f t="shared" si="2"/>
        <v>#DIV/0!</v>
      </c>
      <c r="AC12" t="e">
        <f t="shared" si="3"/>
        <v>#DIV/0!</v>
      </c>
      <c r="AD12" t="e">
        <f t="shared" si="4"/>
        <v>#DIV/0!</v>
      </c>
      <c r="AE12" t="e">
        <f t="shared" si="5"/>
        <v>#DIV/0!</v>
      </c>
      <c r="AF12" t="e">
        <f t="shared" si="6"/>
        <v>#DIV/0!</v>
      </c>
      <c r="AG12" t="e">
        <f t="shared" si="7"/>
        <v>#DIV/0!</v>
      </c>
      <c r="AH12" t="e">
        <f t="shared" si="14"/>
        <v>#DIV/0!</v>
      </c>
      <c r="AI12" t="e">
        <f t="shared" si="8"/>
        <v>#DIV/0!</v>
      </c>
      <c r="AJ12">
        <f t="shared" si="9"/>
        <v>0</v>
      </c>
      <c r="AK12" t="e">
        <f t="shared" si="10"/>
        <v>#N/A</v>
      </c>
      <c r="AL12">
        <f t="shared" si="11"/>
        <v>0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">
        <f t="shared" si="13"/>
        <v>1</v>
      </c>
    </row>
    <row r="13" spans="1:42" x14ac:dyDescent="0.35">
      <c r="B13" s="12" t="str">
        <f>Demand!C18</f>
        <v/>
      </c>
      <c r="C13" s="68" t="str">
        <f>Demand!D18</f>
        <v/>
      </c>
      <c r="D13" s="68" t="str">
        <f>Demand!E18</f>
        <v/>
      </c>
      <c r="E13" s="68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0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" t="e">
        <f t="shared" si="0"/>
        <v>#DIV/0!</v>
      </c>
      <c r="AA13" t="e">
        <f t="shared" si="1"/>
        <v>#DIV/0!</v>
      </c>
      <c r="AB13" t="e">
        <f t="shared" si="2"/>
        <v>#DIV/0!</v>
      </c>
      <c r="AC13" t="e">
        <f t="shared" si="3"/>
        <v>#DIV/0!</v>
      </c>
      <c r="AD13" t="e">
        <f t="shared" si="4"/>
        <v>#DIV/0!</v>
      </c>
      <c r="AE13" t="e">
        <f t="shared" si="5"/>
        <v>#DIV/0!</v>
      </c>
      <c r="AF13" t="e">
        <f t="shared" si="6"/>
        <v>#DIV/0!</v>
      </c>
      <c r="AG13" t="e">
        <f t="shared" si="7"/>
        <v>#DIV/0!</v>
      </c>
      <c r="AH13" t="e">
        <f t="shared" si="14"/>
        <v>#DIV/0!</v>
      </c>
      <c r="AI13" t="e">
        <f t="shared" si="8"/>
        <v>#DIV/0!</v>
      </c>
      <c r="AJ13">
        <f t="shared" si="9"/>
        <v>0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">
        <f t="shared" si="13"/>
        <v>1</v>
      </c>
    </row>
    <row r="14" spans="1:42" x14ac:dyDescent="0.35">
      <c r="B14" s="12" t="str">
        <f>Demand!C19</f>
        <v/>
      </c>
      <c r="C14" s="68" t="str">
        <f>Demand!D19</f>
        <v/>
      </c>
      <c r="D14" s="68" t="str">
        <f>Demand!E19</f>
        <v/>
      </c>
      <c r="E14" s="68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0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" t="e">
        <f t="shared" si="0"/>
        <v>#DIV/0!</v>
      </c>
      <c r="AA14" t="e">
        <f t="shared" si="1"/>
        <v>#DIV/0!</v>
      </c>
      <c r="AB14" t="e">
        <f t="shared" si="2"/>
        <v>#DIV/0!</v>
      </c>
      <c r="AC14" t="e">
        <f t="shared" si="3"/>
        <v>#DIV/0!</v>
      </c>
      <c r="AD14" t="e">
        <f t="shared" si="4"/>
        <v>#DIV/0!</v>
      </c>
      <c r="AE14" t="e">
        <f t="shared" si="5"/>
        <v>#DIV/0!</v>
      </c>
      <c r="AF14" t="e">
        <f t="shared" si="6"/>
        <v>#DIV/0!</v>
      </c>
      <c r="AG14" t="e">
        <f t="shared" si="7"/>
        <v>#DIV/0!</v>
      </c>
      <c r="AH14" t="e">
        <f t="shared" si="14"/>
        <v>#DIV/0!</v>
      </c>
      <c r="AI14" t="e">
        <f t="shared" si="8"/>
        <v>#DIV/0!</v>
      </c>
      <c r="AJ14">
        <f t="shared" si="9"/>
        <v>0</v>
      </c>
      <c r="AK14" t="e">
        <f t="shared" si="10"/>
        <v>#N/A</v>
      </c>
      <c r="AL14">
        <f t="shared" si="11"/>
        <v>0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">
        <f t="shared" si="13"/>
        <v>1</v>
      </c>
    </row>
    <row r="15" spans="1:42" x14ac:dyDescent="0.35">
      <c r="B15" s="12" t="str">
        <f>Demand!C20</f>
        <v/>
      </c>
      <c r="C15" s="68" t="str">
        <f>Demand!D20</f>
        <v/>
      </c>
      <c r="D15" s="68" t="str">
        <f>Demand!E20</f>
        <v/>
      </c>
      <c r="E15" s="68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0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" t="e">
        <f t="shared" si="0"/>
        <v>#DIV/0!</v>
      </c>
      <c r="AA15" t="e">
        <f t="shared" si="1"/>
        <v>#DIV/0!</v>
      </c>
      <c r="AB15" t="e">
        <f t="shared" si="2"/>
        <v>#DIV/0!</v>
      </c>
      <c r="AC15" t="e">
        <f t="shared" si="3"/>
        <v>#DIV/0!</v>
      </c>
      <c r="AD15" t="e">
        <f t="shared" si="4"/>
        <v>#DIV/0!</v>
      </c>
      <c r="AE15" t="e">
        <f t="shared" si="5"/>
        <v>#DIV/0!</v>
      </c>
      <c r="AF15" t="e">
        <f t="shared" si="6"/>
        <v>#DIV/0!</v>
      </c>
      <c r="AG15" t="e">
        <f t="shared" si="7"/>
        <v>#DIV/0!</v>
      </c>
      <c r="AH15" t="e">
        <f t="shared" si="14"/>
        <v>#DIV/0!</v>
      </c>
      <c r="AI15" t="e">
        <f t="shared" si="8"/>
        <v>#DIV/0!</v>
      </c>
      <c r="AJ15">
        <f t="shared" si="9"/>
        <v>0</v>
      </c>
      <c r="AK15" t="e">
        <f t="shared" si="10"/>
        <v>#N/A</v>
      </c>
      <c r="AL15">
        <f t="shared" si="11"/>
        <v>0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">
        <f t="shared" si="13"/>
        <v>1</v>
      </c>
    </row>
    <row r="16" spans="1:42" x14ac:dyDescent="0.35">
      <c r="B16" s="12" t="str">
        <f>Demand!C21</f>
        <v/>
      </c>
      <c r="C16" s="68" t="str">
        <f>Demand!D21</f>
        <v/>
      </c>
      <c r="D16" s="68" t="str">
        <f>Demand!E21</f>
        <v/>
      </c>
      <c r="E16" s="68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0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" t="e">
        <f t="shared" si="0"/>
        <v>#DIV/0!</v>
      </c>
      <c r="AA16" t="e">
        <f t="shared" si="1"/>
        <v>#DIV/0!</v>
      </c>
      <c r="AB16" t="e">
        <f t="shared" si="2"/>
        <v>#DIV/0!</v>
      </c>
      <c r="AC16" t="e">
        <f t="shared" si="3"/>
        <v>#DIV/0!</v>
      </c>
      <c r="AD16" t="e">
        <f t="shared" si="4"/>
        <v>#DIV/0!</v>
      </c>
      <c r="AE16" t="e">
        <f t="shared" si="5"/>
        <v>#DIV/0!</v>
      </c>
      <c r="AF16" t="e">
        <f t="shared" si="6"/>
        <v>#DIV/0!</v>
      </c>
      <c r="AG16" t="e">
        <f t="shared" si="7"/>
        <v>#DIV/0!</v>
      </c>
      <c r="AH16" t="e">
        <f t="shared" si="14"/>
        <v>#DIV/0!</v>
      </c>
      <c r="AI16" t="e">
        <f t="shared" si="8"/>
        <v>#DIV/0!</v>
      </c>
      <c r="AJ16">
        <f t="shared" si="9"/>
        <v>0</v>
      </c>
      <c r="AK16" t="e">
        <f t="shared" si="10"/>
        <v>#N/A</v>
      </c>
      <c r="AL16">
        <f t="shared" si="11"/>
        <v>0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">
        <f t="shared" si="13"/>
        <v>1</v>
      </c>
    </row>
    <row r="17" spans="2:42" x14ac:dyDescent="0.35">
      <c r="B17" s="12" t="str">
        <f>Demand!C22</f>
        <v/>
      </c>
      <c r="C17" s="68" t="str">
        <f>Demand!D22</f>
        <v/>
      </c>
      <c r="D17" s="68" t="str">
        <f>Demand!E22</f>
        <v/>
      </c>
      <c r="E17" s="6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1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" t="e">
        <f t="shared" si="0"/>
        <v>#DIV/0!</v>
      </c>
      <c r="AA17" t="e">
        <f t="shared" si="1"/>
        <v>#DIV/0!</v>
      </c>
      <c r="AB17" t="e">
        <f t="shared" si="2"/>
        <v>#DIV/0!</v>
      </c>
      <c r="AC17" t="e">
        <f t="shared" si="3"/>
        <v>#DIV/0!</v>
      </c>
      <c r="AD17" t="e">
        <f t="shared" si="4"/>
        <v>#DIV/0!</v>
      </c>
      <c r="AE17" t="e">
        <f t="shared" si="5"/>
        <v>#DIV/0!</v>
      </c>
      <c r="AF17" t="e">
        <f t="shared" si="6"/>
        <v>#DIV/0!</v>
      </c>
      <c r="AG17" t="e">
        <f t="shared" si="7"/>
        <v>#DIV/0!</v>
      </c>
      <c r="AH17" t="e">
        <f t="shared" si="14"/>
        <v>#DIV/0!</v>
      </c>
      <c r="AI17" t="e">
        <f t="shared" si="8"/>
        <v>#DIV/0!</v>
      </c>
      <c r="AJ17">
        <f t="shared" si="9"/>
        <v>0</v>
      </c>
      <c r="AK17" t="e">
        <f t="shared" si="10"/>
        <v>#N/A</v>
      </c>
      <c r="AL17">
        <f t="shared" si="11"/>
        <v>0</v>
      </c>
      <c r="AM17" t="e">
        <f t="shared" si="12"/>
        <v>#N/A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">
        <f t="shared" si="13"/>
        <v>1</v>
      </c>
    </row>
    <row r="18" spans="2:42" x14ac:dyDescent="0.35">
      <c r="B18" s="12" t="str">
        <f>Demand!C23</f>
        <v/>
      </c>
      <c r="C18" s="68" t="str">
        <f>Demand!D23</f>
        <v/>
      </c>
      <c r="D18" s="68" t="str">
        <f>Demand!E23</f>
        <v/>
      </c>
      <c r="E18" s="6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1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" t="e">
        <f t="shared" si="0"/>
        <v>#DIV/0!</v>
      </c>
      <c r="AA18" t="e">
        <f t="shared" si="1"/>
        <v>#DIV/0!</v>
      </c>
      <c r="AB18" t="e">
        <f t="shared" si="2"/>
        <v>#DIV/0!</v>
      </c>
      <c r="AC18" t="e">
        <f t="shared" si="3"/>
        <v>#DIV/0!</v>
      </c>
      <c r="AD18" t="e">
        <f t="shared" si="4"/>
        <v>#DIV/0!</v>
      </c>
      <c r="AE18" t="e">
        <f t="shared" si="5"/>
        <v>#DIV/0!</v>
      </c>
      <c r="AF18" t="e">
        <f t="shared" si="6"/>
        <v>#DIV/0!</v>
      </c>
      <c r="AG18" t="e">
        <f t="shared" si="7"/>
        <v>#DIV/0!</v>
      </c>
      <c r="AH18" t="e">
        <f t="shared" si="14"/>
        <v>#DIV/0!</v>
      </c>
      <c r="AI18" t="e">
        <f t="shared" si="8"/>
        <v>#DIV/0!</v>
      </c>
      <c r="AJ18">
        <f t="shared" si="9"/>
        <v>0</v>
      </c>
      <c r="AK18" t="e">
        <f t="shared" si="10"/>
        <v>#N/A</v>
      </c>
      <c r="AL18">
        <f t="shared" si="11"/>
        <v>0</v>
      </c>
      <c r="AM18" t="e">
        <f t="shared" si="12"/>
        <v>#N/A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">
        <f t="shared" si="13"/>
        <v>1</v>
      </c>
    </row>
    <row r="19" spans="2:42" x14ac:dyDescent="0.35">
      <c r="B19" s="12" t="str">
        <f>Demand!C24</f>
        <v/>
      </c>
      <c r="C19" s="68" t="str">
        <f>Demand!D24</f>
        <v/>
      </c>
      <c r="D19" s="68" t="str">
        <f>Demand!E24</f>
        <v/>
      </c>
      <c r="E19" s="6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1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" t="e">
        <f t="shared" si="0"/>
        <v>#DIV/0!</v>
      </c>
      <c r="AA19" t="e">
        <f t="shared" si="1"/>
        <v>#DIV/0!</v>
      </c>
      <c r="AB19" t="e">
        <f t="shared" si="2"/>
        <v>#DIV/0!</v>
      </c>
      <c r="AC19" t="e">
        <f t="shared" si="3"/>
        <v>#DIV/0!</v>
      </c>
      <c r="AD19" t="e">
        <f t="shared" si="4"/>
        <v>#DIV/0!</v>
      </c>
      <c r="AE19" t="e">
        <f t="shared" si="5"/>
        <v>#DIV/0!</v>
      </c>
      <c r="AF19" t="e">
        <f t="shared" si="6"/>
        <v>#DIV/0!</v>
      </c>
      <c r="AG19" t="e">
        <f t="shared" si="7"/>
        <v>#DIV/0!</v>
      </c>
      <c r="AH19" t="e">
        <f t="shared" si="14"/>
        <v>#DIV/0!</v>
      </c>
      <c r="AI19" t="e">
        <f t="shared" si="8"/>
        <v>#DIV/0!</v>
      </c>
      <c r="AJ19">
        <f t="shared" si="9"/>
        <v>0</v>
      </c>
      <c r="AK19" t="e">
        <f t="shared" si="10"/>
        <v>#N/A</v>
      </c>
      <c r="AL19">
        <f t="shared" si="11"/>
        <v>0</v>
      </c>
      <c r="AM19" t="e">
        <f t="shared" si="12"/>
        <v>#N/A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">
        <f t="shared" si="13"/>
        <v>1</v>
      </c>
    </row>
    <row r="20" spans="2:42" x14ac:dyDescent="0.35">
      <c r="B20" s="12" t="str">
        <f>Demand!C25</f>
        <v/>
      </c>
      <c r="C20" s="68" t="str">
        <f>Demand!D25</f>
        <v/>
      </c>
      <c r="D20" s="68" t="str">
        <f>Demand!E25</f>
        <v/>
      </c>
      <c r="E20" s="6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1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" t="e">
        <f t="shared" si="0"/>
        <v>#DIV/0!</v>
      </c>
      <c r="AA20" t="e">
        <f t="shared" si="1"/>
        <v>#DIV/0!</v>
      </c>
      <c r="AB20" t="e">
        <f t="shared" si="2"/>
        <v>#DIV/0!</v>
      </c>
      <c r="AC20" t="e">
        <f t="shared" si="3"/>
        <v>#DIV/0!</v>
      </c>
      <c r="AD20" t="e">
        <f t="shared" si="4"/>
        <v>#DIV/0!</v>
      </c>
      <c r="AE20" t="e">
        <f t="shared" si="5"/>
        <v>#DIV/0!</v>
      </c>
      <c r="AF20" t="e">
        <f t="shared" si="6"/>
        <v>#DIV/0!</v>
      </c>
      <c r="AG20" t="e">
        <f t="shared" si="7"/>
        <v>#DIV/0!</v>
      </c>
      <c r="AH20" t="e">
        <f t="shared" si="14"/>
        <v>#DIV/0!</v>
      </c>
      <c r="AI20" t="e">
        <f t="shared" si="8"/>
        <v>#DIV/0!</v>
      </c>
      <c r="AJ20">
        <f t="shared" si="9"/>
        <v>0</v>
      </c>
      <c r="AK20" t="e">
        <f t="shared" si="10"/>
        <v>#N/A</v>
      </c>
      <c r="AL20">
        <f t="shared" si="11"/>
        <v>0</v>
      </c>
      <c r="AM20" t="e">
        <f t="shared" si="12"/>
        <v>#N/A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">
        <f t="shared" si="13"/>
        <v>1</v>
      </c>
    </row>
    <row r="21" spans="2:42" x14ac:dyDescent="0.35">
      <c r="B21" s="12" t="str">
        <f>Demand!C26</f>
        <v/>
      </c>
      <c r="C21" s="68" t="str">
        <f>Demand!D26</f>
        <v/>
      </c>
      <c r="D21" s="68" t="str">
        <f>Demand!E26</f>
        <v/>
      </c>
      <c r="E21" s="6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1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" t="e">
        <f t="shared" si="0"/>
        <v>#DIV/0!</v>
      </c>
      <c r="AA21" t="e">
        <f t="shared" si="1"/>
        <v>#DIV/0!</v>
      </c>
      <c r="AB21" t="e">
        <f t="shared" si="2"/>
        <v>#DIV/0!</v>
      </c>
      <c r="AC21" t="e">
        <f t="shared" si="3"/>
        <v>#DIV/0!</v>
      </c>
      <c r="AD21" t="e">
        <f t="shared" si="4"/>
        <v>#DIV/0!</v>
      </c>
      <c r="AE21" t="e">
        <f t="shared" si="5"/>
        <v>#DIV/0!</v>
      </c>
      <c r="AF21" t="e">
        <f t="shared" si="6"/>
        <v>#DIV/0!</v>
      </c>
      <c r="AG21" t="e">
        <f t="shared" si="7"/>
        <v>#DIV/0!</v>
      </c>
      <c r="AH21" t="e">
        <f t="shared" si="14"/>
        <v>#DIV/0!</v>
      </c>
      <c r="AI21" t="e">
        <f t="shared" si="8"/>
        <v>#DIV/0!</v>
      </c>
      <c r="AJ21">
        <f t="shared" si="9"/>
        <v>0</v>
      </c>
      <c r="AK21" t="e">
        <f t="shared" si="10"/>
        <v>#N/A</v>
      </c>
      <c r="AL21">
        <f t="shared" si="11"/>
        <v>0</v>
      </c>
      <c r="AM21" t="e">
        <f t="shared" si="12"/>
        <v>#N/A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">
        <f t="shared" si="13"/>
        <v>1</v>
      </c>
    </row>
    <row r="22" spans="2:42" x14ac:dyDescent="0.35">
      <c r="B22" s="12" t="str">
        <f>Demand!C27</f>
        <v/>
      </c>
      <c r="C22" s="68" t="str">
        <f>Demand!D27</f>
        <v/>
      </c>
      <c r="D22" s="68" t="str">
        <f>Demand!E27</f>
        <v/>
      </c>
      <c r="E22" s="6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1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" t="e">
        <f t="shared" si="0"/>
        <v>#DIV/0!</v>
      </c>
      <c r="AA22" t="e">
        <f t="shared" si="1"/>
        <v>#DIV/0!</v>
      </c>
      <c r="AB22" t="e">
        <f t="shared" si="2"/>
        <v>#DIV/0!</v>
      </c>
      <c r="AC22" t="e">
        <f t="shared" si="3"/>
        <v>#DIV/0!</v>
      </c>
      <c r="AD22" t="e">
        <f t="shared" si="4"/>
        <v>#DIV/0!</v>
      </c>
      <c r="AE22" t="e">
        <f t="shared" si="5"/>
        <v>#DIV/0!</v>
      </c>
      <c r="AF22" t="e">
        <f t="shared" si="6"/>
        <v>#DIV/0!</v>
      </c>
      <c r="AG22" t="e">
        <f t="shared" si="7"/>
        <v>#DIV/0!</v>
      </c>
      <c r="AH22" t="e">
        <f t="shared" si="14"/>
        <v>#DIV/0!</v>
      </c>
      <c r="AI22" t="e">
        <f t="shared" si="8"/>
        <v>#DIV/0!</v>
      </c>
      <c r="AJ22">
        <f t="shared" si="9"/>
        <v>0</v>
      </c>
      <c r="AK22" t="e">
        <f t="shared" si="10"/>
        <v>#N/A</v>
      </c>
      <c r="AL22">
        <f t="shared" si="11"/>
        <v>0</v>
      </c>
      <c r="AM22" t="e">
        <f t="shared" si="12"/>
        <v>#N/A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">
        <f t="shared" si="13"/>
        <v>1</v>
      </c>
    </row>
    <row r="23" spans="2:42" x14ac:dyDescent="0.35">
      <c r="B23" s="12" t="str">
        <f>Demand!C28</f>
        <v/>
      </c>
      <c r="C23" s="68" t="str">
        <f>Demand!D28</f>
        <v/>
      </c>
      <c r="D23" s="68" t="str">
        <f>Demand!E28</f>
        <v/>
      </c>
      <c r="E23" s="6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1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" t="e">
        <f t="shared" si="0"/>
        <v>#DIV/0!</v>
      </c>
      <c r="AA23" t="e">
        <f t="shared" si="1"/>
        <v>#DIV/0!</v>
      </c>
      <c r="AB23" t="e">
        <f t="shared" si="2"/>
        <v>#DIV/0!</v>
      </c>
      <c r="AC23" t="e">
        <f t="shared" si="3"/>
        <v>#DIV/0!</v>
      </c>
      <c r="AD23" t="e">
        <f t="shared" si="4"/>
        <v>#DIV/0!</v>
      </c>
      <c r="AE23" t="e">
        <f t="shared" si="5"/>
        <v>#DIV/0!</v>
      </c>
      <c r="AF23" t="e">
        <f t="shared" si="6"/>
        <v>#DIV/0!</v>
      </c>
      <c r="AG23" t="e">
        <f t="shared" si="7"/>
        <v>#DIV/0!</v>
      </c>
      <c r="AH23" t="e">
        <f t="shared" si="14"/>
        <v>#DIV/0!</v>
      </c>
      <c r="AI23" t="e">
        <f t="shared" si="8"/>
        <v>#DIV/0!</v>
      </c>
      <c r="AJ23">
        <f t="shared" si="9"/>
        <v>0</v>
      </c>
      <c r="AK23" t="e">
        <f t="shared" si="10"/>
        <v>#N/A</v>
      </c>
      <c r="AL23">
        <f t="shared" si="11"/>
        <v>0</v>
      </c>
      <c r="AM23" t="e">
        <f t="shared" si="12"/>
        <v>#N/A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">
        <f t="shared" si="13"/>
        <v>1</v>
      </c>
    </row>
    <row r="24" spans="2:42" x14ac:dyDescent="0.35">
      <c r="B24" s="12" t="str">
        <f>Demand!C29</f>
        <v/>
      </c>
      <c r="C24" s="68" t="str">
        <f>Demand!D29</f>
        <v/>
      </c>
      <c r="D24" s="68" t="str">
        <f>Demand!E29</f>
        <v/>
      </c>
      <c r="E24" s="6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1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" t="e">
        <f t="shared" si="0"/>
        <v>#DIV/0!</v>
      </c>
      <c r="AA24" t="e">
        <f t="shared" si="1"/>
        <v>#DIV/0!</v>
      </c>
      <c r="AB24" t="e">
        <f t="shared" si="2"/>
        <v>#DIV/0!</v>
      </c>
      <c r="AC24" t="e">
        <f t="shared" si="3"/>
        <v>#DIV/0!</v>
      </c>
      <c r="AD24" t="e">
        <f t="shared" si="4"/>
        <v>#DIV/0!</v>
      </c>
      <c r="AE24" t="e">
        <f t="shared" si="5"/>
        <v>#DIV/0!</v>
      </c>
      <c r="AF24" t="e">
        <f t="shared" si="6"/>
        <v>#DIV/0!</v>
      </c>
      <c r="AG24" t="e">
        <f t="shared" si="7"/>
        <v>#DIV/0!</v>
      </c>
      <c r="AH24" t="e">
        <f t="shared" si="14"/>
        <v>#DIV/0!</v>
      </c>
      <c r="AI24" t="e">
        <f t="shared" si="8"/>
        <v>#DIV/0!</v>
      </c>
      <c r="AJ24">
        <f t="shared" si="9"/>
        <v>0</v>
      </c>
      <c r="AK24" t="e">
        <f t="shared" si="10"/>
        <v>#N/A</v>
      </c>
      <c r="AL24">
        <f t="shared" si="11"/>
        <v>0</v>
      </c>
      <c r="AM24" t="e">
        <f t="shared" si="12"/>
        <v>#N/A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">
        <f t="shared" si="13"/>
        <v>1</v>
      </c>
    </row>
    <row r="25" spans="2:42" x14ac:dyDescent="0.35">
      <c r="B25" s="12" t="str">
        <f>Demand!C30</f>
        <v/>
      </c>
      <c r="C25" s="68" t="str">
        <f>Demand!D30</f>
        <v/>
      </c>
      <c r="D25" s="68" t="str">
        <f>Demand!E30</f>
        <v/>
      </c>
      <c r="E25" s="6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1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" t="e">
        <f t="shared" si="0"/>
        <v>#DIV/0!</v>
      </c>
      <c r="AA25" t="e">
        <f t="shared" si="1"/>
        <v>#DIV/0!</v>
      </c>
      <c r="AB25" t="e">
        <f t="shared" si="2"/>
        <v>#DIV/0!</v>
      </c>
      <c r="AC25" t="e">
        <f t="shared" si="3"/>
        <v>#DIV/0!</v>
      </c>
      <c r="AD25" t="e">
        <f t="shared" si="4"/>
        <v>#DIV/0!</v>
      </c>
      <c r="AE25" t="e">
        <f t="shared" si="5"/>
        <v>#DIV/0!</v>
      </c>
      <c r="AF25" t="e">
        <f t="shared" si="6"/>
        <v>#DIV/0!</v>
      </c>
      <c r="AG25" t="e">
        <f t="shared" si="7"/>
        <v>#DIV/0!</v>
      </c>
      <c r="AH25" t="e">
        <f t="shared" si="14"/>
        <v>#DIV/0!</v>
      </c>
      <c r="AI25" t="e">
        <f t="shared" si="8"/>
        <v>#DIV/0!</v>
      </c>
      <c r="AJ25">
        <f t="shared" si="9"/>
        <v>0</v>
      </c>
      <c r="AK25" t="e">
        <f t="shared" si="10"/>
        <v>#N/A</v>
      </c>
      <c r="AL25">
        <f t="shared" si="11"/>
        <v>0</v>
      </c>
      <c r="AM25" t="e">
        <f t="shared" si="12"/>
        <v>#N/A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">
        <f t="shared" si="13"/>
        <v>1</v>
      </c>
    </row>
    <row r="26" spans="2:42" x14ac:dyDescent="0.35">
      <c r="B26" s="12" t="str">
        <f>Demand!C31</f>
        <v/>
      </c>
      <c r="C26" s="68" t="str">
        <f>Demand!D31</f>
        <v/>
      </c>
      <c r="D26" s="68" t="str">
        <f>Demand!E31</f>
        <v/>
      </c>
      <c r="E26" s="6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1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" t="e">
        <f t="shared" si="0"/>
        <v>#DIV/0!</v>
      </c>
      <c r="AA26" t="e">
        <f t="shared" si="1"/>
        <v>#DIV/0!</v>
      </c>
      <c r="AB26" t="e">
        <f t="shared" si="2"/>
        <v>#DIV/0!</v>
      </c>
      <c r="AC26" t="e">
        <f t="shared" si="3"/>
        <v>#DIV/0!</v>
      </c>
      <c r="AD26" t="e">
        <f t="shared" si="4"/>
        <v>#DIV/0!</v>
      </c>
      <c r="AE26" t="e">
        <f t="shared" si="5"/>
        <v>#DIV/0!</v>
      </c>
      <c r="AF26" t="e">
        <f t="shared" si="6"/>
        <v>#DIV/0!</v>
      </c>
      <c r="AG26" t="e">
        <f t="shared" si="7"/>
        <v>#DIV/0!</v>
      </c>
      <c r="AH26" t="e">
        <f t="shared" si="14"/>
        <v>#DIV/0!</v>
      </c>
      <c r="AI26" t="e">
        <f t="shared" si="8"/>
        <v>#DIV/0!</v>
      </c>
      <c r="AJ26">
        <f t="shared" si="9"/>
        <v>0</v>
      </c>
      <c r="AK26" t="e">
        <f t="shared" si="10"/>
        <v>#N/A</v>
      </c>
      <c r="AL26">
        <f t="shared" si="11"/>
        <v>0</v>
      </c>
      <c r="AM26" t="e">
        <f t="shared" si="12"/>
        <v>#N/A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">
        <f t="shared" si="13"/>
        <v>1</v>
      </c>
    </row>
    <row r="27" spans="2:42" x14ac:dyDescent="0.35">
      <c r="B27" s="12" t="str">
        <f>Demand!C32</f>
        <v/>
      </c>
      <c r="C27" s="68" t="str">
        <f>Demand!D32</f>
        <v/>
      </c>
      <c r="D27" s="68" t="str">
        <f>Demand!E32</f>
        <v/>
      </c>
      <c r="E27" s="6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1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7" t="e">
        <f t="shared" si="0"/>
        <v>#DIV/0!</v>
      </c>
      <c r="AA27" t="e">
        <f t="shared" si="1"/>
        <v>#DIV/0!</v>
      </c>
      <c r="AB27" t="e">
        <f t="shared" si="2"/>
        <v>#DIV/0!</v>
      </c>
      <c r="AC27" t="e">
        <f t="shared" si="3"/>
        <v>#DIV/0!</v>
      </c>
      <c r="AD27" t="e">
        <f t="shared" si="4"/>
        <v>#DIV/0!</v>
      </c>
      <c r="AE27" t="e">
        <f t="shared" si="5"/>
        <v>#DIV/0!</v>
      </c>
      <c r="AF27" t="e">
        <f t="shared" si="6"/>
        <v>#DIV/0!</v>
      </c>
      <c r="AG27" t="e">
        <f t="shared" si="7"/>
        <v>#DIV/0!</v>
      </c>
      <c r="AH27" t="e">
        <f t="shared" si="14"/>
        <v>#DIV/0!</v>
      </c>
      <c r="AI27" t="e">
        <f t="shared" si="8"/>
        <v>#DIV/0!</v>
      </c>
      <c r="AJ27">
        <f t="shared" si="9"/>
        <v>0</v>
      </c>
      <c r="AK27" t="e">
        <f t="shared" si="10"/>
        <v>#N/A</v>
      </c>
      <c r="AL27">
        <f t="shared" si="11"/>
        <v>0</v>
      </c>
      <c r="AM27" t="e">
        <f t="shared" si="12"/>
        <v>#N/A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7">
        <f t="shared" si="13"/>
        <v>1</v>
      </c>
    </row>
    <row r="28" spans="2:42" x14ac:dyDescent="0.35">
      <c r="B28" s="12" t="str">
        <f>Demand!C33</f>
        <v/>
      </c>
      <c r="C28" s="68" t="str">
        <f>Demand!D33</f>
        <v/>
      </c>
      <c r="D28" s="68" t="str">
        <f>Demand!E33</f>
        <v/>
      </c>
      <c r="E28" s="6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1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8" t="e">
        <f t="shared" si="0"/>
        <v>#DIV/0!</v>
      </c>
      <c r="AA28" t="e">
        <f t="shared" si="1"/>
        <v>#DIV/0!</v>
      </c>
      <c r="AB28" t="e">
        <f t="shared" si="2"/>
        <v>#DIV/0!</v>
      </c>
      <c r="AC28" t="e">
        <f t="shared" si="3"/>
        <v>#DIV/0!</v>
      </c>
      <c r="AD28" t="e">
        <f t="shared" si="4"/>
        <v>#DIV/0!</v>
      </c>
      <c r="AE28" t="e">
        <f t="shared" si="5"/>
        <v>#DIV/0!</v>
      </c>
      <c r="AF28" t="e">
        <f t="shared" si="6"/>
        <v>#DIV/0!</v>
      </c>
      <c r="AG28" t="e">
        <f t="shared" si="7"/>
        <v>#DIV/0!</v>
      </c>
      <c r="AH28" t="e">
        <f t="shared" si="14"/>
        <v>#DIV/0!</v>
      </c>
      <c r="AI28" t="e">
        <f t="shared" si="8"/>
        <v>#DIV/0!</v>
      </c>
      <c r="AJ28">
        <f t="shared" si="9"/>
        <v>0</v>
      </c>
      <c r="AK28" t="e">
        <f t="shared" si="10"/>
        <v>#N/A</v>
      </c>
      <c r="AL28">
        <f t="shared" si="11"/>
        <v>0</v>
      </c>
      <c r="AM28" t="e">
        <f t="shared" si="12"/>
        <v>#N/A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8">
        <f t="shared" si="13"/>
        <v>1</v>
      </c>
    </row>
    <row r="29" spans="2:42" x14ac:dyDescent="0.35">
      <c r="B29" s="12" t="str">
        <f>Demand!C34</f>
        <v/>
      </c>
      <c r="C29" s="68" t="str">
        <f>Demand!D34</f>
        <v/>
      </c>
      <c r="D29" s="68" t="str">
        <f>Demand!E34</f>
        <v/>
      </c>
      <c r="E29" s="6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1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9" t="e">
        <f t="shared" si="0"/>
        <v>#DIV/0!</v>
      </c>
      <c r="AA29" t="e">
        <f t="shared" si="1"/>
        <v>#DIV/0!</v>
      </c>
      <c r="AB29" t="e">
        <f t="shared" si="2"/>
        <v>#DIV/0!</v>
      </c>
      <c r="AC29" t="e">
        <f t="shared" si="3"/>
        <v>#DIV/0!</v>
      </c>
      <c r="AD29" t="e">
        <f t="shared" si="4"/>
        <v>#DIV/0!</v>
      </c>
      <c r="AE29" t="e">
        <f t="shared" si="5"/>
        <v>#DIV/0!</v>
      </c>
      <c r="AF29" t="e">
        <f t="shared" si="6"/>
        <v>#DIV/0!</v>
      </c>
      <c r="AG29" t="e">
        <f t="shared" si="7"/>
        <v>#DIV/0!</v>
      </c>
      <c r="AH29" t="e">
        <f t="shared" si="14"/>
        <v>#DIV/0!</v>
      </c>
      <c r="AI29" t="e">
        <f t="shared" si="8"/>
        <v>#DIV/0!</v>
      </c>
      <c r="AJ29">
        <f t="shared" si="9"/>
        <v>0</v>
      </c>
      <c r="AK29" t="e">
        <f t="shared" si="10"/>
        <v>#N/A</v>
      </c>
      <c r="AL29">
        <f t="shared" si="11"/>
        <v>0</v>
      </c>
      <c r="AM29" t="e">
        <f t="shared" si="12"/>
        <v>#N/A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9">
        <f t="shared" si="13"/>
        <v>1</v>
      </c>
    </row>
    <row r="30" spans="2:42" x14ac:dyDescent="0.35">
      <c r="B30" s="12" t="str">
        <f>Demand!C35</f>
        <v/>
      </c>
      <c r="C30" s="68" t="str">
        <f>Demand!D35</f>
        <v/>
      </c>
      <c r="D30" s="68" t="str">
        <f>Demand!E35</f>
        <v/>
      </c>
      <c r="E30" s="6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1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0" t="e">
        <f t="shared" si="0"/>
        <v>#DIV/0!</v>
      </c>
      <c r="AA30" t="e">
        <f t="shared" si="1"/>
        <v>#DIV/0!</v>
      </c>
      <c r="AB30" t="e">
        <f t="shared" si="2"/>
        <v>#DIV/0!</v>
      </c>
      <c r="AC30" t="e">
        <f t="shared" si="3"/>
        <v>#DIV/0!</v>
      </c>
      <c r="AD30" t="e">
        <f t="shared" si="4"/>
        <v>#DIV/0!</v>
      </c>
      <c r="AE30" t="e">
        <f t="shared" si="5"/>
        <v>#DIV/0!</v>
      </c>
      <c r="AF30" t="e">
        <f t="shared" si="6"/>
        <v>#DIV/0!</v>
      </c>
      <c r="AG30" t="e">
        <f t="shared" si="7"/>
        <v>#DIV/0!</v>
      </c>
      <c r="AH30" t="e">
        <f t="shared" si="14"/>
        <v>#DIV/0!</v>
      </c>
      <c r="AI30" t="e">
        <f t="shared" si="8"/>
        <v>#DIV/0!</v>
      </c>
      <c r="AJ30">
        <f t="shared" si="9"/>
        <v>0</v>
      </c>
      <c r="AK30" t="e">
        <f t="shared" si="10"/>
        <v>#N/A</v>
      </c>
      <c r="AL30">
        <f t="shared" si="11"/>
        <v>0</v>
      </c>
      <c r="AM30" t="e">
        <f t="shared" si="12"/>
        <v>#N/A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0">
        <f t="shared" si="13"/>
        <v>1</v>
      </c>
    </row>
    <row r="31" spans="2:42" x14ac:dyDescent="0.35">
      <c r="B31" s="12" t="str">
        <f>Demand!C36</f>
        <v/>
      </c>
      <c r="C31" s="68" t="str">
        <f>Demand!D36</f>
        <v/>
      </c>
      <c r="D31" s="68" t="str">
        <f>Demand!E36</f>
        <v/>
      </c>
      <c r="E31" s="6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1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1" t="e">
        <f t="shared" si="0"/>
        <v>#DIV/0!</v>
      </c>
      <c r="AA31" t="e">
        <f t="shared" si="1"/>
        <v>#DIV/0!</v>
      </c>
      <c r="AB31" t="e">
        <f t="shared" si="2"/>
        <v>#DIV/0!</v>
      </c>
      <c r="AC31" t="e">
        <f t="shared" si="3"/>
        <v>#DIV/0!</v>
      </c>
      <c r="AD31" t="e">
        <f t="shared" si="4"/>
        <v>#DIV/0!</v>
      </c>
      <c r="AE31" t="e">
        <f t="shared" si="5"/>
        <v>#DIV/0!</v>
      </c>
      <c r="AF31" t="e">
        <f t="shared" si="6"/>
        <v>#DIV/0!</v>
      </c>
      <c r="AG31" t="e">
        <f t="shared" si="7"/>
        <v>#DIV/0!</v>
      </c>
      <c r="AH31" t="e">
        <f t="shared" si="14"/>
        <v>#DIV/0!</v>
      </c>
      <c r="AI31" t="e">
        <f t="shared" si="8"/>
        <v>#DIV/0!</v>
      </c>
      <c r="AJ31">
        <f t="shared" si="9"/>
        <v>0</v>
      </c>
      <c r="AK31" t="e">
        <f t="shared" si="10"/>
        <v>#N/A</v>
      </c>
      <c r="AL31">
        <f t="shared" si="11"/>
        <v>0</v>
      </c>
      <c r="AM31" t="e">
        <f t="shared" si="12"/>
        <v>#N/A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1">
        <f t="shared" si="13"/>
        <v>1</v>
      </c>
    </row>
    <row r="32" spans="2:42" x14ac:dyDescent="0.35">
      <c r="B32" s="12" t="str">
        <f>Demand!C37</f>
        <v/>
      </c>
      <c r="C32" s="68" t="str">
        <f>Demand!D37</f>
        <v/>
      </c>
      <c r="D32" s="68" t="str">
        <f>Demand!E37</f>
        <v/>
      </c>
      <c r="E32" s="6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1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2" t="e">
        <f t="shared" si="0"/>
        <v>#DIV/0!</v>
      </c>
      <c r="AA32" t="e">
        <f t="shared" si="1"/>
        <v>#DIV/0!</v>
      </c>
      <c r="AB32" t="e">
        <f t="shared" si="2"/>
        <v>#DIV/0!</v>
      </c>
      <c r="AC32" t="e">
        <f t="shared" si="3"/>
        <v>#DIV/0!</v>
      </c>
      <c r="AD32" t="e">
        <f t="shared" si="4"/>
        <v>#DIV/0!</v>
      </c>
      <c r="AE32" t="e">
        <f t="shared" si="5"/>
        <v>#DIV/0!</v>
      </c>
      <c r="AF32" t="e">
        <f t="shared" si="6"/>
        <v>#DIV/0!</v>
      </c>
      <c r="AG32" t="e">
        <f t="shared" si="7"/>
        <v>#DIV/0!</v>
      </c>
      <c r="AH32" t="e">
        <f t="shared" si="14"/>
        <v>#DIV/0!</v>
      </c>
      <c r="AI32" t="e">
        <f t="shared" si="8"/>
        <v>#DIV/0!</v>
      </c>
      <c r="AJ32">
        <f t="shared" si="9"/>
        <v>0</v>
      </c>
      <c r="AK32" t="e">
        <f t="shared" si="10"/>
        <v>#N/A</v>
      </c>
      <c r="AL32">
        <f t="shared" si="11"/>
        <v>0</v>
      </c>
      <c r="AM32" t="e">
        <f t="shared" si="12"/>
        <v>#N/A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2">
        <f t="shared" si="13"/>
        <v>1</v>
      </c>
    </row>
    <row r="33" spans="2:42" x14ac:dyDescent="0.35">
      <c r="B33" s="12" t="str">
        <f>Demand!C38</f>
        <v/>
      </c>
      <c r="C33" s="68" t="str">
        <f>Demand!D38</f>
        <v/>
      </c>
      <c r="D33" s="68" t="str">
        <f>Demand!E38</f>
        <v/>
      </c>
      <c r="E33" s="6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1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3" t="e">
        <f t="shared" si="0"/>
        <v>#DIV/0!</v>
      </c>
      <c r="AA33" t="e">
        <f t="shared" si="1"/>
        <v>#DIV/0!</v>
      </c>
      <c r="AB33" t="e">
        <f t="shared" si="2"/>
        <v>#DIV/0!</v>
      </c>
      <c r="AC33" t="e">
        <f t="shared" si="3"/>
        <v>#DIV/0!</v>
      </c>
      <c r="AD33" t="e">
        <f t="shared" si="4"/>
        <v>#DIV/0!</v>
      </c>
      <c r="AE33" t="e">
        <f t="shared" si="5"/>
        <v>#DIV/0!</v>
      </c>
      <c r="AF33" t="e">
        <f t="shared" si="6"/>
        <v>#DIV/0!</v>
      </c>
      <c r="AG33" t="e">
        <f t="shared" si="7"/>
        <v>#DIV/0!</v>
      </c>
      <c r="AH33" t="e">
        <f t="shared" si="14"/>
        <v>#DIV/0!</v>
      </c>
      <c r="AI33" t="e">
        <f t="shared" si="8"/>
        <v>#DIV/0!</v>
      </c>
      <c r="AJ33">
        <f t="shared" si="9"/>
        <v>0</v>
      </c>
      <c r="AK33" t="e">
        <f t="shared" si="10"/>
        <v>#N/A</v>
      </c>
      <c r="AL33">
        <f t="shared" si="11"/>
        <v>0</v>
      </c>
      <c r="AM33" t="e">
        <f t="shared" si="12"/>
        <v>#N/A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3">
        <f t="shared" si="13"/>
        <v>1</v>
      </c>
    </row>
    <row r="34" spans="2:42" x14ac:dyDescent="0.35">
      <c r="B34" s="12" t="str">
        <f>Demand!C39</f>
        <v/>
      </c>
      <c r="C34" s="68" t="str">
        <f>Demand!D39</f>
        <v/>
      </c>
      <c r="D34" s="68" t="str">
        <f>Demand!E39</f>
        <v/>
      </c>
      <c r="E34" s="6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1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4" t="e">
        <f t="shared" si="0"/>
        <v>#DIV/0!</v>
      </c>
      <c r="AA34" t="e">
        <f t="shared" si="1"/>
        <v>#DIV/0!</v>
      </c>
      <c r="AB34" t="e">
        <f t="shared" si="2"/>
        <v>#DIV/0!</v>
      </c>
      <c r="AC34" t="e">
        <f t="shared" si="3"/>
        <v>#DIV/0!</v>
      </c>
      <c r="AD34" t="e">
        <f t="shared" si="4"/>
        <v>#DIV/0!</v>
      </c>
      <c r="AE34" t="e">
        <f t="shared" si="5"/>
        <v>#DIV/0!</v>
      </c>
      <c r="AF34" t="e">
        <f t="shared" si="6"/>
        <v>#DIV/0!</v>
      </c>
      <c r="AG34" t="e">
        <f t="shared" si="7"/>
        <v>#DIV/0!</v>
      </c>
      <c r="AH34" t="e">
        <f t="shared" si="14"/>
        <v>#DIV/0!</v>
      </c>
      <c r="AI34" t="e">
        <f t="shared" si="8"/>
        <v>#DIV/0!</v>
      </c>
      <c r="AJ34">
        <f t="shared" si="9"/>
        <v>0</v>
      </c>
      <c r="AK34" t="e">
        <f t="shared" si="10"/>
        <v>#N/A</v>
      </c>
      <c r="AL34">
        <f t="shared" si="11"/>
        <v>0</v>
      </c>
      <c r="AM34" t="e">
        <f t="shared" si="12"/>
        <v>#N/A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4">
        <f t="shared" si="13"/>
        <v>1</v>
      </c>
    </row>
    <row r="35" spans="2:42" x14ac:dyDescent="0.35">
      <c r="B35" s="12" t="str">
        <f>Demand!C40</f>
        <v/>
      </c>
      <c r="C35" s="68" t="str">
        <f>Demand!D40</f>
        <v/>
      </c>
      <c r="D35" s="68" t="str">
        <f>Demand!E40</f>
        <v/>
      </c>
      <c r="E35" s="6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1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5" t="e">
        <f t="shared" si="0"/>
        <v>#DIV/0!</v>
      </c>
      <c r="AA35" t="e">
        <f t="shared" si="1"/>
        <v>#DIV/0!</v>
      </c>
      <c r="AB35" t="e">
        <f t="shared" si="2"/>
        <v>#DIV/0!</v>
      </c>
      <c r="AC35" t="e">
        <f t="shared" si="3"/>
        <v>#DIV/0!</v>
      </c>
      <c r="AD35" t="e">
        <f t="shared" si="4"/>
        <v>#DIV/0!</v>
      </c>
      <c r="AE35" t="e">
        <f t="shared" si="5"/>
        <v>#DIV/0!</v>
      </c>
      <c r="AF35" t="e">
        <f t="shared" si="6"/>
        <v>#DIV/0!</v>
      </c>
      <c r="AG35" t="e">
        <f t="shared" si="7"/>
        <v>#DIV/0!</v>
      </c>
      <c r="AH35" t="e">
        <f t="shared" si="14"/>
        <v>#DIV/0!</v>
      </c>
      <c r="AI35" t="e">
        <f t="shared" si="8"/>
        <v>#DIV/0!</v>
      </c>
      <c r="AJ35">
        <f t="shared" si="9"/>
        <v>0</v>
      </c>
      <c r="AK35" t="e">
        <f t="shared" si="10"/>
        <v>#N/A</v>
      </c>
      <c r="AL35">
        <f t="shared" si="11"/>
        <v>0</v>
      </c>
      <c r="AM35" t="e">
        <f t="shared" si="12"/>
        <v>#N/A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5">
        <f t="shared" si="13"/>
        <v>1</v>
      </c>
    </row>
    <row r="36" spans="2:42" x14ac:dyDescent="0.35">
      <c r="B36" s="12" t="str">
        <f>Demand!C41</f>
        <v/>
      </c>
      <c r="C36" s="68" t="str">
        <f>Demand!D41</f>
        <v/>
      </c>
      <c r="D36" s="68" t="str">
        <f>Demand!E41</f>
        <v/>
      </c>
      <c r="E36" s="6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1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6" t="e">
        <f t="shared" si="0"/>
        <v>#DIV/0!</v>
      </c>
      <c r="AA36" t="e">
        <f t="shared" si="1"/>
        <v>#DIV/0!</v>
      </c>
      <c r="AB36" t="e">
        <f t="shared" si="2"/>
        <v>#DIV/0!</v>
      </c>
      <c r="AC36" t="e">
        <f t="shared" si="3"/>
        <v>#DIV/0!</v>
      </c>
      <c r="AD36" t="e">
        <f t="shared" si="4"/>
        <v>#DIV/0!</v>
      </c>
      <c r="AE36" t="e">
        <f t="shared" si="5"/>
        <v>#DIV/0!</v>
      </c>
      <c r="AF36" t="e">
        <f t="shared" si="6"/>
        <v>#DIV/0!</v>
      </c>
      <c r="AG36" t="e">
        <f t="shared" si="7"/>
        <v>#DIV/0!</v>
      </c>
      <c r="AH36" t="e">
        <f t="shared" si="14"/>
        <v>#DIV/0!</v>
      </c>
      <c r="AI36" t="e">
        <f t="shared" si="8"/>
        <v>#DIV/0!</v>
      </c>
      <c r="AJ36">
        <f t="shared" si="9"/>
        <v>0</v>
      </c>
      <c r="AK36" t="e">
        <f t="shared" si="10"/>
        <v>#N/A</v>
      </c>
      <c r="AL36">
        <f t="shared" si="11"/>
        <v>0</v>
      </c>
      <c r="AM36" t="e">
        <f t="shared" si="12"/>
        <v>#N/A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6">
        <f t="shared" si="13"/>
        <v>1</v>
      </c>
    </row>
    <row r="37" spans="2:42" x14ac:dyDescent="0.35">
      <c r="B37" s="12" t="str">
        <f>Demand!C42</f>
        <v/>
      </c>
      <c r="C37" s="68" t="str">
        <f>Demand!D42</f>
        <v/>
      </c>
      <c r="D37" s="68" t="str">
        <f>Demand!E42</f>
        <v/>
      </c>
      <c r="E37" s="6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1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7" t="e">
        <f t="shared" si="0"/>
        <v>#DIV/0!</v>
      </c>
      <c r="AA37" t="e">
        <f t="shared" si="1"/>
        <v>#DIV/0!</v>
      </c>
      <c r="AB37" t="e">
        <f t="shared" si="2"/>
        <v>#DIV/0!</v>
      </c>
      <c r="AC37" t="e">
        <f t="shared" si="3"/>
        <v>#DIV/0!</v>
      </c>
      <c r="AD37" t="e">
        <f t="shared" si="4"/>
        <v>#DIV/0!</v>
      </c>
      <c r="AE37" t="e">
        <f t="shared" si="5"/>
        <v>#DIV/0!</v>
      </c>
      <c r="AF37" t="e">
        <f t="shared" si="6"/>
        <v>#DIV/0!</v>
      </c>
      <c r="AG37" t="e">
        <f t="shared" si="7"/>
        <v>#DIV/0!</v>
      </c>
      <c r="AH37" t="e">
        <f t="shared" si="14"/>
        <v>#DIV/0!</v>
      </c>
      <c r="AI37" t="e">
        <f t="shared" si="8"/>
        <v>#DIV/0!</v>
      </c>
      <c r="AJ37">
        <f t="shared" si="9"/>
        <v>0</v>
      </c>
      <c r="AK37" t="e">
        <f t="shared" si="10"/>
        <v>#N/A</v>
      </c>
      <c r="AL37">
        <f t="shared" si="11"/>
        <v>0</v>
      </c>
      <c r="AM37" t="e">
        <f t="shared" si="12"/>
        <v>#N/A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7">
        <f t="shared" si="13"/>
        <v>1</v>
      </c>
    </row>
    <row r="38" spans="2:42" x14ac:dyDescent="0.35">
      <c r="B38" s="12" t="str">
        <f>Demand!C43</f>
        <v/>
      </c>
      <c r="C38" s="68" t="str">
        <f>Demand!D43</f>
        <v/>
      </c>
      <c r="D38" s="68" t="str">
        <f>Demand!E43</f>
        <v/>
      </c>
      <c r="E38" s="6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1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8" t="e">
        <f t="shared" si="0"/>
        <v>#DIV/0!</v>
      </c>
      <c r="AA38" t="e">
        <f t="shared" si="1"/>
        <v>#DIV/0!</v>
      </c>
      <c r="AB38" t="e">
        <f t="shared" si="2"/>
        <v>#DIV/0!</v>
      </c>
      <c r="AC38" t="e">
        <f t="shared" si="3"/>
        <v>#DIV/0!</v>
      </c>
      <c r="AD38" t="e">
        <f t="shared" si="4"/>
        <v>#DIV/0!</v>
      </c>
      <c r="AE38" t="e">
        <f t="shared" si="5"/>
        <v>#DIV/0!</v>
      </c>
      <c r="AF38" t="e">
        <f t="shared" si="6"/>
        <v>#DIV/0!</v>
      </c>
      <c r="AG38" t="e">
        <f t="shared" si="7"/>
        <v>#DIV/0!</v>
      </c>
      <c r="AH38" t="e">
        <f t="shared" si="14"/>
        <v>#DIV/0!</v>
      </c>
      <c r="AI38" t="e">
        <f t="shared" si="8"/>
        <v>#DIV/0!</v>
      </c>
      <c r="AJ38">
        <f t="shared" si="9"/>
        <v>0</v>
      </c>
      <c r="AK38" t="e">
        <f t="shared" si="10"/>
        <v>#N/A</v>
      </c>
      <c r="AL38">
        <f t="shared" si="11"/>
        <v>0</v>
      </c>
      <c r="AM38" t="e">
        <f t="shared" si="12"/>
        <v>#N/A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8">
        <f t="shared" si="13"/>
        <v>1</v>
      </c>
    </row>
    <row r="39" spans="2:42" x14ac:dyDescent="0.35">
      <c r="B39" s="12" t="str">
        <f>Demand!C44</f>
        <v/>
      </c>
      <c r="C39" s="68" t="str">
        <f>Demand!D44</f>
        <v/>
      </c>
      <c r="D39" s="68" t="str">
        <f>Demand!E44</f>
        <v/>
      </c>
      <c r="E39" s="6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1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9" t="e">
        <f t="shared" si="0"/>
        <v>#DIV/0!</v>
      </c>
      <c r="AA39" t="e">
        <f t="shared" si="1"/>
        <v>#DIV/0!</v>
      </c>
      <c r="AB39" t="e">
        <f t="shared" si="2"/>
        <v>#DIV/0!</v>
      </c>
      <c r="AC39" t="e">
        <f t="shared" si="3"/>
        <v>#DIV/0!</v>
      </c>
      <c r="AD39" t="e">
        <f t="shared" si="4"/>
        <v>#DIV/0!</v>
      </c>
      <c r="AE39" t="e">
        <f t="shared" si="5"/>
        <v>#DIV/0!</v>
      </c>
      <c r="AF39" t="e">
        <f t="shared" si="6"/>
        <v>#DIV/0!</v>
      </c>
      <c r="AG39" t="e">
        <f t="shared" si="7"/>
        <v>#DIV/0!</v>
      </c>
      <c r="AH39" t="e">
        <f t="shared" si="14"/>
        <v>#DIV/0!</v>
      </c>
      <c r="AI39" t="e">
        <f t="shared" si="8"/>
        <v>#DIV/0!</v>
      </c>
      <c r="AJ39">
        <f t="shared" si="9"/>
        <v>0</v>
      </c>
      <c r="AK39" t="e">
        <f t="shared" si="10"/>
        <v>#N/A</v>
      </c>
      <c r="AL39">
        <f t="shared" si="11"/>
        <v>0</v>
      </c>
      <c r="AM39" t="e">
        <f t="shared" si="12"/>
        <v>#N/A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9">
        <f t="shared" si="13"/>
        <v>1</v>
      </c>
    </row>
    <row r="40" spans="2:42" x14ac:dyDescent="0.35">
      <c r="B40" s="12" t="str">
        <f>Demand!C45</f>
        <v/>
      </c>
      <c r="C40" s="68" t="str">
        <f>Demand!D45</f>
        <v/>
      </c>
      <c r="D40" s="68" t="str">
        <f>Demand!E45</f>
        <v/>
      </c>
      <c r="E40" s="6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1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0" t="e">
        <f t="shared" si="0"/>
        <v>#DIV/0!</v>
      </c>
      <c r="AA40" t="e">
        <f t="shared" si="1"/>
        <v>#DIV/0!</v>
      </c>
      <c r="AB40" t="e">
        <f t="shared" si="2"/>
        <v>#DIV/0!</v>
      </c>
      <c r="AC40" t="e">
        <f t="shared" si="3"/>
        <v>#DIV/0!</v>
      </c>
      <c r="AD40" t="e">
        <f t="shared" si="4"/>
        <v>#DIV/0!</v>
      </c>
      <c r="AE40" t="e">
        <f t="shared" si="5"/>
        <v>#DIV/0!</v>
      </c>
      <c r="AF40" t="e">
        <f t="shared" si="6"/>
        <v>#DIV/0!</v>
      </c>
      <c r="AG40" t="e">
        <f t="shared" si="7"/>
        <v>#DIV/0!</v>
      </c>
      <c r="AH40" t="e">
        <f t="shared" si="14"/>
        <v>#DIV/0!</v>
      </c>
      <c r="AI40" t="e">
        <f t="shared" si="8"/>
        <v>#DIV/0!</v>
      </c>
      <c r="AJ40">
        <f t="shared" si="9"/>
        <v>0</v>
      </c>
      <c r="AK40" t="e">
        <f t="shared" si="10"/>
        <v>#N/A</v>
      </c>
      <c r="AL40">
        <f t="shared" si="11"/>
        <v>0</v>
      </c>
      <c r="AM40" t="e">
        <f t="shared" si="12"/>
        <v>#N/A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0">
        <f t="shared" si="13"/>
        <v>1</v>
      </c>
    </row>
    <row r="41" spans="2:42" x14ac:dyDescent="0.35">
      <c r="B41" s="12" t="str">
        <f>Demand!C46</f>
        <v/>
      </c>
      <c r="C41" s="68" t="str">
        <f>Demand!D46</f>
        <v/>
      </c>
      <c r="D41" s="68" t="str">
        <f>Demand!E46</f>
        <v/>
      </c>
      <c r="E41" s="6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1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1" t="e">
        <f t="shared" si="0"/>
        <v>#DIV/0!</v>
      </c>
      <c r="AA41" t="e">
        <f t="shared" si="1"/>
        <v>#DIV/0!</v>
      </c>
      <c r="AB41" t="e">
        <f t="shared" si="2"/>
        <v>#DIV/0!</v>
      </c>
      <c r="AC41" t="e">
        <f t="shared" si="3"/>
        <v>#DIV/0!</v>
      </c>
      <c r="AD41" t="e">
        <f t="shared" si="4"/>
        <v>#DIV/0!</v>
      </c>
      <c r="AE41" t="e">
        <f t="shared" si="5"/>
        <v>#DIV/0!</v>
      </c>
      <c r="AF41" t="e">
        <f t="shared" si="6"/>
        <v>#DIV/0!</v>
      </c>
      <c r="AG41" t="e">
        <f t="shared" si="7"/>
        <v>#DIV/0!</v>
      </c>
      <c r="AH41" t="e">
        <f t="shared" si="14"/>
        <v>#DIV/0!</v>
      </c>
      <c r="AI41" t="e">
        <f t="shared" si="8"/>
        <v>#DIV/0!</v>
      </c>
      <c r="AJ41">
        <f t="shared" si="9"/>
        <v>0</v>
      </c>
      <c r="AK41" t="e">
        <f t="shared" si="10"/>
        <v>#N/A</v>
      </c>
      <c r="AL41">
        <f t="shared" si="11"/>
        <v>0</v>
      </c>
      <c r="AM41" t="e">
        <f t="shared" si="12"/>
        <v>#N/A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1">
        <f t="shared" si="13"/>
        <v>1</v>
      </c>
    </row>
    <row r="42" spans="2:42" x14ac:dyDescent="0.35">
      <c r="B42" s="12" t="str">
        <f>Demand!C47</f>
        <v/>
      </c>
      <c r="C42" s="68" t="str">
        <f>Demand!D47</f>
        <v/>
      </c>
      <c r="D42" s="68" t="str">
        <f>Demand!E47</f>
        <v/>
      </c>
      <c r="E42" s="6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1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2" t="e">
        <f t="shared" si="0"/>
        <v>#DIV/0!</v>
      </c>
      <c r="AA42" t="e">
        <f t="shared" si="1"/>
        <v>#DIV/0!</v>
      </c>
      <c r="AB42" t="e">
        <f t="shared" si="2"/>
        <v>#DIV/0!</v>
      </c>
      <c r="AC42" t="e">
        <f t="shared" si="3"/>
        <v>#DIV/0!</v>
      </c>
      <c r="AD42" t="e">
        <f t="shared" si="4"/>
        <v>#DIV/0!</v>
      </c>
      <c r="AE42" t="e">
        <f t="shared" si="5"/>
        <v>#DIV/0!</v>
      </c>
      <c r="AF42" t="e">
        <f t="shared" si="6"/>
        <v>#DIV/0!</v>
      </c>
      <c r="AG42" t="e">
        <f t="shared" si="7"/>
        <v>#DIV/0!</v>
      </c>
      <c r="AH42" t="e">
        <f t="shared" si="14"/>
        <v>#DIV/0!</v>
      </c>
      <c r="AI42" t="e">
        <f t="shared" si="8"/>
        <v>#DIV/0!</v>
      </c>
      <c r="AJ42">
        <f t="shared" si="9"/>
        <v>0</v>
      </c>
      <c r="AK42" t="e">
        <f t="shared" si="10"/>
        <v>#N/A</v>
      </c>
      <c r="AL42">
        <f t="shared" si="11"/>
        <v>0</v>
      </c>
      <c r="AM42" t="e">
        <f t="shared" si="12"/>
        <v>#N/A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2">
        <f t="shared" si="13"/>
        <v>1</v>
      </c>
    </row>
    <row r="43" spans="2:42" x14ac:dyDescent="0.35">
      <c r="B43" s="12" t="str">
        <f>Demand!C48</f>
        <v/>
      </c>
      <c r="C43" s="68" t="str">
        <f>Demand!D48</f>
        <v/>
      </c>
      <c r="D43" s="68" t="str">
        <f>Demand!E48</f>
        <v/>
      </c>
      <c r="E43" s="6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1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3" t="e">
        <f t="shared" si="0"/>
        <v>#DIV/0!</v>
      </c>
      <c r="AA43" t="e">
        <f t="shared" si="1"/>
        <v>#DIV/0!</v>
      </c>
      <c r="AB43" t="e">
        <f t="shared" si="2"/>
        <v>#DIV/0!</v>
      </c>
      <c r="AC43" t="e">
        <f t="shared" si="3"/>
        <v>#DIV/0!</v>
      </c>
      <c r="AD43" t="e">
        <f t="shared" si="4"/>
        <v>#DIV/0!</v>
      </c>
      <c r="AE43" t="e">
        <f t="shared" si="5"/>
        <v>#DIV/0!</v>
      </c>
      <c r="AF43" t="e">
        <f t="shared" si="6"/>
        <v>#DIV/0!</v>
      </c>
      <c r="AG43" t="e">
        <f t="shared" si="7"/>
        <v>#DIV/0!</v>
      </c>
      <c r="AH43" t="e">
        <f t="shared" si="14"/>
        <v>#DIV/0!</v>
      </c>
      <c r="AI43" t="e">
        <f t="shared" si="8"/>
        <v>#DIV/0!</v>
      </c>
      <c r="AJ43">
        <f t="shared" si="9"/>
        <v>0</v>
      </c>
      <c r="AK43" t="e">
        <f t="shared" si="10"/>
        <v>#N/A</v>
      </c>
      <c r="AL43">
        <f t="shared" si="11"/>
        <v>0</v>
      </c>
      <c r="AM43" t="e">
        <f t="shared" si="12"/>
        <v>#N/A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3">
        <f t="shared" si="13"/>
        <v>1</v>
      </c>
    </row>
    <row r="44" spans="2:42" x14ac:dyDescent="0.35">
      <c r="B44" s="12" t="str">
        <f>Demand!C49</f>
        <v/>
      </c>
      <c r="C44" s="68" t="str">
        <f>Demand!D49</f>
        <v/>
      </c>
      <c r="D44" s="68" t="str">
        <f>Demand!E49</f>
        <v/>
      </c>
      <c r="E44" s="68" t="e">
        <f>TEXT(D44*29,"mmm")&amp;"-"&amp;IF(D44=1,MAX($C$4:C43)+1,MAX($C$4:C43))</f>
        <v>#VALUE!</v>
      </c>
      <c r="F44" s="56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1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4" t="e">
        <f t="shared" si="0"/>
        <v>#DIV/0!</v>
      </c>
      <c r="AA44" t="e">
        <f t="shared" si="1"/>
        <v>#DIV/0!</v>
      </c>
      <c r="AB44" t="e">
        <f t="shared" si="2"/>
        <v>#DIV/0!</v>
      </c>
      <c r="AC44" t="e">
        <f t="shared" si="3"/>
        <v>#DIV/0!</v>
      </c>
      <c r="AD44" t="e">
        <f t="shared" si="4"/>
        <v>#DIV/0!</v>
      </c>
      <c r="AE44" t="e">
        <f t="shared" si="5"/>
        <v>#DIV/0!</v>
      </c>
      <c r="AF44" t="e">
        <f t="shared" si="6"/>
        <v>#DIV/0!</v>
      </c>
      <c r="AG44" t="e">
        <f t="shared" si="7"/>
        <v>#DIV/0!</v>
      </c>
      <c r="AH44" t="e">
        <f t="shared" si="14"/>
        <v>#DIV/0!</v>
      </c>
      <c r="AI44" t="e">
        <f t="shared" si="8"/>
        <v>#DIV/0!</v>
      </c>
      <c r="AJ44">
        <f t="shared" si="9"/>
        <v>0</v>
      </c>
      <c r="AK44" t="e">
        <f t="shared" si="10"/>
        <v>#N/A</v>
      </c>
      <c r="AL44">
        <f t="shared" si="11"/>
        <v>0</v>
      </c>
      <c r="AM44" t="e">
        <f t="shared" si="12"/>
        <v>#N/A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4">
        <f t="shared" si="13"/>
        <v>1</v>
      </c>
    </row>
    <row r="45" spans="2:42" x14ac:dyDescent="0.35">
      <c r="B45" s="12" t="str">
        <f>Demand!C50</f>
        <v/>
      </c>
      <c r="C45" s="68" t="str">
        <f>Demand!D50</f>
        <v/>
      </c>
      <c r="D45" s="68" t="str">
        <f>Demand!E50</f>
        <v/>
      </c>
      <c r="E45" s="68" t="e">
        <f>TEXT(D45*29,"mmm")&amp;"-"&amp;IF(D45=1,MAX($C$4:C44)+1,MAX($C$4:C44))</f>
        <v>#VALUE!</v>
      </c>
      <c r="F45" s="56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1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5" t="e">
        <f t="shared" si="0"/>
        <v>#DIV/0!</v>
      </c>
      <c r="AA45" t="e">
        <f t="shared" si="1"/>
        <v>#DIV/0!</v>
      </c>
      <c r="AB45" t="e">
        <f t="shared" si="2"/>
        <v>#DIV/0!</v>
      </c>
      <c r="AC45" t="e">
        <f t="shared" si="3"/>
        <v>#DIV/0!</v>
      </c>
      <c r="AD45" t="e">
        <f t="shared" si="4"/>
        <v>#DIV/0!</v>
      </c>
      <c r="AE45" t="e">
        <f t="shared" si="5"/>
        <v>#DIV/0!</v>
      </c>
      <c r="AF45" t="e">
        <f t="shared" si="6"/>
        <v>#DIV/0!</v>
      </c>
      <c r="AG45" t="e">
        <f t="shared" si="7"/>
        <v>#DIV/0!</v>
      </c>
      <c r="AH45" t="e">
        <f t="shared" si="14"/>
        <v>#DIV/0!</v>
      </c>
      <c r="AI45" t="e">
        <f t="shared" si="8"/>
        <v>#DIV/0!</v>
      </c>
      <c r="AJ45">
        <f t="shared" si="9"/>
        <v>0</v>
      </c>
      <c r="AK45" t="e">
        <f t="shared" si="10"/>
        <v>#N/A</v>
      </c>
      <c r="AL45">
        <f t="shared" si="11"/>
        <v>0</v>
      </c>
      <c r="AM45" t="e">
        <f t="shared" si="12"/>
        <v>#N/A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5">
        <f t="shared" si="13"/>
        <v>1</v>
      </c>
    </row>
    <row r="46" spans="2:42" x14ac:dyDescent="0.35">
      <c r="B46" s="12" t="str">
        <f>Demand!C51</f>
        <v/>
      </c>
      <c r="C46" s="68" t="str">
        <f>Demand!D51</f>
        <v/>
      </c>
      <c r="D46" s="68" t="str">
        <f>Demand!E51</f>
        <v/>
      </c>
      <c r="E46" s="68" t="e">
        <f>TEXT(D46*29,"mmm")&amp;"-"&amp;IF(D46=1,MAX($C$4:C45)+1,MAX($C$4:C45))</f>
        <v>#VALUE!</v>
      </c>
      <c r="F46" s="56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1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6" t="e">
        <f t="shared" si="0"/>
        <v>#DIV/0!</v>
      </c>
      <c r="AA46" t="e">
        <f t="shared" si="1"/>
        <v>#DIV/0!</v>
      </c>
      <c r="AB46" t="e">
        <f t="shared" si="2"/>
        <v>#DIV/0!</v>
      </c>
      <c r="AC46" t="e">
        <f t="shared" si="3"/>
        <v>#DIV/0!</v>
      </c>
      <c r="AD46" t="e">
        <f t="shared" si="4"/>
        <v>#DIV/0!</v>
      </c>
      <c r="AE46" t="e">
        <f t="shared" si="5"/>
        <v>#DIV/0!</v>
      </c>
      <c r="AF46" t="e">
        <f t="shared" si="6"/>
        <v>#DIV/0!</v>
      </c>
      <c r="AG46" t="e">
        <f t="shared" si="7"/>
        <v>#DIV/0!</v>
      </c>
      <c r="AH46" t="e">
        <f t="shared" si="14"/>
        <v>#DIV/0!</v>
      </c>
      <c r="AI46" t="e">
        <f t="shared" si="8"/>
        <v>#DIV/0!</v>
      </c>
      <c r="AJ46">
        <f t="shared" si="9"/>
        <v>0</v>
      </c>
      <c r="AK46" t="e">
        <f t="shared" si="10"/>
        <v>#N/A</v>
      </c>
      <c r="AL46">
        <f t="shared" si="11"/>
        <v>0</v>
      </c>
      <c r="AM46" t="e">
        <f t="shared" si="12"/>
        <v>#N/A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6">
        <f t="shared" si="13"/>
        <v>1</v>
      </c>
    </row>
    <row r="47" spans="2:42" x14ac:dyDescent="0.35">
      <c r="B47" s="12" t="str">
        <f>Demand!C52</f>
        <v/>
      </c>
      <c r="C47" s="68" t="str">
        <f>Demand!D52</f>
        <v/>
      </c>
      <c r="D47" s="68" t="str">
        <f>Demand!E52</f>
        <v/>
      </c>
      <c r="E47" s="68" t="e">
        <f>TEXT(D47*29,"mmm")&amp;"-"&amp;IF(D47=1,MAX($C$4:C46)+1,MAX($C$4:C46))</f>
        <v>#VALUE!</v>
      </c>
      <c r="F47" s="56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1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7" t="e">
        <f t="shared" si="0"/>
        <v>#DIV/0!</v>
      </c>
      <c r="AA47" t="e">
        <f t="shared" si="1"/>
        <v>#DIV/0!</v>
      </c>
      <c r="AB47" t="e">
        <f t="shared" si="2"/>
        <v>#DIV/0!</v>
      </c>
      <c r="AC47" t="e">
        <f t="shared" si="3"/>
        <v>#DIV/0!</v>
      </c>
      <c r="AD47" t="e">
        <f t="shared" si="4"/>
        <v>#DIV/0!</v>
      </c>
      <c r="AE47" t="e">
        <f t="shared" si="5"/>
        <v>#DIV/0!</v>
      </c>
      <c r="AF47" t="e">
        <f t="shared" si="6"/>
        <v>#DIV/0!</v>
      </c>
      <c r="AG47" t="e">
        <f t="shared" si="7"/>
        <v>#DIV/0!</v>
      </c>
      <c r="AH47" t="e">
        <f t="shared" si="14"/>
        <v>#DIV/0!</v>
      </c>
      <c r="AI47" t="e">
        <f t="shared" si="8"/>
        <v>#DIV/0!</v>
      </c>
      <c r="AJ47">
        <f t="shared" si="9"/>
        <v>0</v>
      </c>
      <c r="AK47" t="e">
        <f t="shared" si="10"/>
        <v>#N/A</v>
      </c>
      <c r="AL47">
        <f t="shared" si="11"/>
        <v>0</v>
      </c>
      <c r="AM47" t="e">
        <f t="shared" si="12"/>
        <v>#N/A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7">
        <f t="shared" si="13"/>
        <v>1</v>
      </c>
    </row>
    <row r="48" spans="2:42" x14ac:dyDescent="0.35">
      <c r="B48" s="12" t="str">
        <f>Demand!C53</f>
        <v/>
      </c>
      <c r="C48" s="68" t="str">
        <f>Demand!D53</f>
        <v/>
      </c>
      <c r="D48" s="68" t="str">
        <f>Demand!E53</f>
        <v/>
      </c>
      <c r="E48" s="6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1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8" t="e">
        <f t="shared" si="0"/>
        <v>#DIV/0!</v>
      </c>
      <c r="AA48" t="e">
        <f t="shared" si="1"/>
        <v>#DIV/0!</v>
      </c>
      <c r="AB48" t="e">
        <f t="shared" si="2"/>
        <v>#DIV/0!</v>
      </c>
      <c r="AC48" t="e">
        <f t="shared" si="3"/>
        <v>#DIV/0!</v>
      </c>
      <c r="AD48" t="e">
        <f t="shared" si="4"/>
        <v>#DIV/0!</v>
      </c>
      <c r="AE48" t="e">
        <f t="shared" si="5"/>
        <v>#DIV/0!</v>
      </c>
      <c r="AF48" t="e">
        <f t="shared" si="6"/>
        <v>#DIV/0!</v>
      </c>
      <c r="AG48" t="e">
        <f t="shared" si="7"/>
        <v>#DIV/0!</v>
      </c>
      <c r="AH48" t="e">
        <f t="shared" si="14"/>
        <v>#DIV/0!</v>
      </c>
      <c r="AI48" t="e">
        <f t="shared" si="8"/>
        <v>#DIV/0!</v>
      </c>
      <c r="AJ48">
        <f t="shared" si="9"/>
        <v>0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8">
        <f t="shared" si="13"/>
        <v>1</v>
      </c>
    </row>
    <row r="49" spans="2:42" x14ac:dyDescent="0.35">
      <c r="B49" s="12" t="str">
        <f>Demand!C54</f>
        <v/>
      </c>
      <c r="C49" s="68" t="str">
        <f>Demand!D54</f>
        <v/>
      </c>
      <c r="D49" s="68" t="str">
        <f>Demand!E54</f>
        <v/>
      </c>
      <c r="E49" s="6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1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9" t="e">
        <f t="shared" si="0"/>
        <v>#DIV/0!</v>
      </c>
      <c r="AA49" t="e">
        <f t="shared" si="1"/>
        <v>#DIV/0!</v>
      </c>
      <c r="AB49" t="e">
        <f t="shared" si="2"/>
        <v>#DIV/0!</v>
      </c>
      <c r="AC49" t="e">
        <f t="shared" si="3"/>
        <v>#DIV/0!</v>
      </c>
      <c r="AD49" t="e">
        <f t="shared" si="4"/>
        <v>#DIV/0!</v>
      </c>
      <c r="AE49" t="e">
        <f t="shared" si="5"/>
        <v>#DIV/0!</v>
      </c>
      <c r="AF49" t="e">
        <f t="shared" si="6"/>
        <v>#DIV/0!</v>
      </c>
      <c r="AG49" t="e">
        <f t="shared" si="7"/>
        <v>#DIV/0!</v>
      </c>
      <c r="AH49" t="e">
        <f t="shared" si="14"/>
        <v>#DIV/0!</v>
      </c>
      <c r="AI49" t="e">
        <f t="shared" si="8"/>
        <v>#DIV/0!</v>
      </c>
      <c r="AJ49">
        <f t="shared" si="9"/>
        <v>0</v>
      </c>
      <c r="AK49" t="e">
        <f t="shared" si="10"/>
        <v>#N/A</v>
      </c>
      <c r="AL49">
        <f t="shared" si="11"/>
        <v>0</v>
      </c>
      <c r="AM49" t="e">
        <f t="shared" si="12"/>
        <v>#N/A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9">
        <f t="shared" si="13"/>
        <v>1</v>
      </c>
    </row>
    <row r="50" spans="2:42" x14ac:dyDescent="0.35">
      <c r="B50" s="12" t="str">
        <f>Demand!C55</f>
        <v/>
      </c>
      <c r="C50" s="68" t="str">
        <f>Demand!D55</f>
        <v/>
      </c>
      <c r="D50" s="68" t="str">
        <f>Demand!E55</f>
        <v/>
      </c>
      <c r="E50" s="6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1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0" t="e">
        <f t="shared" si="0"/>
        <v>#DIV/0!</v>
      </c>
      <c r="AA50" t="e">
        <f t="shared" si="1"/>
        <v>#DIV/0!</v>
      </c>
      <c r="AB50" t="e">
        <f t="shared" si="2"/>
        <v>#DIV/0!</v>
      </c>
      <c r="AC50" t="e">
        <f t="shared" si="3"/>
        <v>#DIV/0!</v>
      </c>
      <c r="AD50" t="e">
        <f t="shared" si="4"/>
        <v>#DIV/0!</v>
      </c>
      <c r="AE50" t="e">
        <f t="shared" si="5"/>
        <v>#DIV/0!</v>
      </c>
      <c r="AF50" t="e">
        <f t="shared" si="6"/>
        <v>#DIV/0!</v>
      </c>
      <c r="AG50" t="e">
        <f t="shared" si="7"/>
        <v>#DIV/0!</v>
      </c>
      <c r="AH50" t="e">
        <f t="shared" si="14"/>
        <v>#DIV/0!</v>
      </c>
      <c r="AI50" t="e">
        <f t="shared" si="8"/>
        <v>#DIV/0!</v>
      </c>
      <c r="AJ50">
        <f t="shared" si="9"/>
        <v>0</v>
      </c>
      <c r="AK50" t="e">
        <f t="shared" si="10"/>
        <v>#N/A</v>
      </c>
      <c r="AL50">
        <f t="shared" si="11"/>
        <v>0</v>
      </c>
      <c r="AM50" t="e">
        <f t="shared" si="12"/>
        <v>#N/A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0">
        <f t="shared" si="13"/>
        <v>1</v>
      </c>
    </row>
    <row r="51" spans="2:42" x14ac:dyDescent="0.35">
      <c r="B51" s="12" t="str">
        <f>Demand!C56</f>
        <v/>
      </c>
      <c r="C51" s="68" t="str">
        <f>Demand!D56</f>
        <v/>
      </c>
      <c r="D51" s="68" t="str">
        <f>Demand!E56</f>
        <v/>
      </c>
      <c r="E51" s="6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1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1" t="e">
        <f t="shared" si="0"/>
        <v>#DIV/0!</v>
      </c>
      <c r="AA51" t="e">
        <f t="shared" si="1"/>
        <v>#DIV/0!</v>
      </c>
      <c r="AB51" t="e">
        <f t="shared" si="2"/>
        <v>#DIV/0!</v>
      </c>
      <c r="AC51" t="e">
        <f t="shared" si="3"/>
        <v>#DIV/0!</v>
      </c>
      <c r="AD51" t="e">
        <f t="shared" si="4"/>
        <v>#DIV/0!</v>
      </c>
      <c r="AE51" t="e">
        <f t="shared" si="5"/>
        <v>#DIV/0!</v>
      </c>
      <c r="AF51" t="e">
        <f t="shared" si="6"/>
        <v>#DIV/0!</v>
      </c>
      <c r="AG51" t="e">
        <f t="shared" si="7"/>
        <v>#DIV/0!</v>
      </c>
      <c r="AH51" t="e">
        <f t="shared" si="14"/>
        <v>#DIV/0!</v>
      </c>
      <c r="AI51" t="e">
        <f t="shared" si="8"/>
        <v>#DIV/0!</v>
      </c>
      <c r="AJ51">
        <f t="shared" si="9"/>
        <v>0</v>
      </c>
      <c r="AK51" t="e">
        <f t="shared" si="10"/>
        <v>#N/A</v>
      </c>
      <c r="AL51">
        <f t="shared" si="11"/>
        <v>0</v>
      </c>
      <c r="AM51" t="e">
        <f t="shared" si="12"/>
        <v>#N/A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1">
        <f t="shared" si="13"/>
        <v>1</v>
      </c>
    </row>
    <row r="52" spans="2:42" x14ac:dyDescent="0.35">
      <c r="B52" s="12" t="str">
        <f>Demand!C57</f>
        <v/>
      </c>
      <c r="C52" s="68" t="str">
        <f>Demand!D57</f>
        <v/>
      </c>
      <c r="D52" s="68" t="str">
        <f>Demand!E57</f>
        <v/>
      </c>
      <c r="E52" s="6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1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2" t="e">
        <f t="shared" si="0"/>
        <v>#DIV/0!</v>
      </c>
      <c r="AA52" t="e">
        <f t="shared" si="1"/>
        <v>#DIV/0!</v>
      </c>
      <c r="AB52" t="e">
        <f t="shared" si="2"/>
        <v>#DIV/0!</v>
      </c>
      <c r="AC52" t="e">
        <f t="shared" si="3"/>
        <v>#DIV/0!</v>
      </c>
      <c r="AD52" t="e">
        <f t="shared" si="4"/>
        <v>#DIV/0!</v>
      </c>
      <c r="AE52" t="e">
        <f t="shared" si="5"/>
        <v>#DIV/0!</v>
      </c>
      <c r="AF52" t="e">
        <f t="shared" si="6"/>
        <v>#DIV/0!</v>
      </c>
      <c r="AG52" t="e">
        <f t="shared" si="7"/>
        <v>#DIV/0!</v>
      </c>
      <c r="AH52" t="e">
        <f t="shared" si="14"/>
        <v>#DIV/0!</v>
      </c>
      <c r="AI52" t="e">
        <f t="shared" si="8"/>
        <v>#DIV/0!</v>
      </c>
      <c r="AJ52">
        <f t="shared" si="9"/>
        <v>0</v>
      </c>
      <c r="AK52" t="e">
        <f t="shared" si="10"/>
        <v>#N/A</v>
      </c>
      <c r="AL52">
        <f t="shared" si="11"/>
        <v>0</v>
      </c>
      <c r="AM52" t="e">
        <f t="shared" si="12"/>
        <v>#N/A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2">
        <f t="shared" si="13"/>
        <v>1</v>
      </c>
    </row>
    <row r="53" spans="2:42" x14ac:dyDescent="0.35">
      <c r="B53" s="12" t="str">
        <f>Demand!C58</f>
        <v/>
      </c>
      <c r="C53" s="68" t="str">
        <f>Demand!D58</f>
        <v/>
      </c>
      <c r="D53" s="68" t="str">
        <f>Demand!E58</f>
        <v/>
      </c>
      <c r="E53" s="6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1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3" t="e">
        <f t="shared" si="0"/>
        <v>#DIV/0!</v>
      </c>
      <c r="AA53" t="e">
        <f t="shared" si="1"/>
        <v>#DIV/0!</v>
      </c>
      <c r="AB53" t="e">
        <f t="shared" si="2"/>
        <v>#DIV/0!</v>
      </c>
      <c r="AC53" t="e">
        <f t="shared" si="3"/>
        <v>#DIV/0!</v>
      </c>
      <c r="AD53" t="e">
        <f t="shared" si="4"/>
        <v>#DIV/0!</v>
      </c>
      <c r="AE53" t="e">
        <f t="shared" si="5"/>
        <v>#DIV/0!</v>
      </c>
      <c r="AF53" t="e">
        <f t="shared" si="6"/>
        <v>#DIV/0!</v>
      </c>
      <c r="AG53" t="e">
        <f t="shared" si="7"/>
        <v>#DIV/0!</v>
      </c>
      <c r="AH53" t="e">
        <f t="shared" si="14"/>
        <v>#DIV/0!</v>
      </c>
      <c r="AI53" t="e">
        <f t="shared" si="8"/>
        <v>#DIV/0!</v>
      </c>
      <c r="AJ53">
        <f t="shared" si="9"/>
        <v>0</v>
      </c>
      <c r="AK53" t="e">
        <f t="shared" si="10"/>
        <v>#N/A</v>
      </c>
      <c r="AL53">
        <f t="shared" si="11"/>
        <v>0</v>
      </c>
      <c r="AM53" t="e">
        <f t="shared" si="12"/>
        <v>#N/A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3">
        <f t="shared" si="13"/>
        <v>1</v>
      </c>
    </row>
    <row r="54" spans="2:42" x14ac:dyDescent="0.35">
      <c r="B54" s="12" t="str">
        <f>Demand!C59</f>
        <v/>
      </c>
      <c r="C54" s="68" t="str">
        <f>Demand!D59</f>
        <v/>
      </c>
      <c r="D54" s="68" t="str">
        <f>Demand!E59</f>
        <v/>
      </c>
      <c r="E54" s="6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1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4" t="e">
        <f t="shared" si="0"/>
        <v>#DIV/0!</v>
      </c>
      <c r="AA54" t="e">
        <f t="shared" si="1"/>
        <v>#DIV/0!</v>
      </c>
      <c r="AB54" t="e">
        <f t="shared" si="2"/>
        <v>#DIV/0!</v>
      </c>
      <c r="AC54" t="e">
        <f t="shared" si="3"/>
        <v>#DIV/0!</v>
      </c>
      <c r="AD54" t="e">
        <f t="shared" si="4"/>
        <v>#DIV/0!</v>
      </c>
      <c r="AE54" t="e">
        <f t="shared" si="5"/>
        <v>#DIV/0!</v>
      </c>
      <c r="AF54" t="e">
        <f t="shared" si="6"/>
        <v>#DIV/0!</v>
      </c>
      <c r="AG54" t="e">
        <f t="shared" si="7"/>
        <v>#DIV/0!</v>
      </c>
      <c r="AH54" t="e">
        <f t="shared" si="14"/>
        <v>#DIV/0!</v>
      </c>
      <c r="AI54" t="e">
        <f t="shared" si="8"/>
        <v>#DIV/0!</v>
      </c>
      <c r="AJ54">
        <f t="shared" si="9"/>
        <v>0</v>
      </c>
      <c r="AK54" t="e">
        <f t="shared" si="10"/>
        <v>#N/A</v>
      </c>
      <c r="AL54">
        <f t="shared" si="11"/>
        <v>0</v>
      </c>
      <c r="AM54" t="e">
        <f t="shared" si="12"/>
        <v>#N/A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4">
        <f t="shared" si="13"/>
        <v>1</v>
      </c>
    </row>
    <row r="55" spans="2:42" x14ac:dyDescent="0.35">
      <c r="B55" s="12" t="str">
        <f>Demand!C60</f>
        <v/>
      </c>
      <c r="C55" s="68" t="str">
        <f>Demand!D60</f>
        <v/>
      </c>
      <c r="D55" s="68" t="str">
        <f>Demand!E60</f>
        <v/>
      </c>
      <c r="E55" s="6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1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5" t="e">
        <f t="shared" si="0"/>
        <v>#DIV/0!</v>
      </c>
      <c r="AA55" t="e">
        <f t="shared" si="1"/>
        <v>#DIV/0!</v>
      </c>
      <c r="AB55" t="e">
        <f t="shared" si="2"/>
        <v>#DIV/0!</v>
      </c>
      <c r="AC55" t="e">
        <f t="shared" si="3"/>
        <v>#DIV/0!</v>
      </c>
      <c r="AD55" t="e">
        <f t="shared" si="4"/>
        <v>#DIV/0!</v>
      </c>
      <c r="AE55" t="e">
        <f t="shared" si="5"/>
        <v>#DIV/0!</v>
      </c>
      <c r="AF55" t="e">
        <f t="shared" si="6"/>
        <v>#DIV/0!</v>
      </c>
      <c r="AG55" t="e">
        <f t="shared" si="7"/>
        <v>#DIV/0!</v>
      </c>
      <c r="AH55" t="e">
        <f t="shared" si="14"/>
        <v>#DIV/0!</v>
      </c>
      <c r="AI55" t="e">
        <f t="shared" si="8"/>
        <v>#DIV/0!</v>
      </c>
      <c r="AJ55">
        <f t="shared" si="9"/>
        <v>0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5">
        <f t="shared" si="13"/>
        <v>1</v>
      </c>
    </row>
    <row r="56" spans="2:42" x14ac:dyDescent="0.35">
      <c r="B56" s="12" t="str">
        <f>Demand!C61</f>
        <v/>
      </c>
      <c r="C56" s="68" t="str">
        <f>Demand!D61</f>
        <v/>
      </c>
      <c r="D56" s="68" t="str">
        <f>Demand!E61</f>
        <v/>
      </c>
      <c r="E56" s="6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1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6" t="e">
        <f t="shared" si="0"/>
        <v>#DIV/0!</v>
      </c>
      <c r="AA56" t="e">
        <f t="shared" si="1"/>
        <v>#DIV/0!</v>
      </c>
      <c r="AB56" t="e">
        <f t="shared" si="2"/>
        <v>#DIV/0!</v>
      </c>
      <c r="AC56" t="e">
        <f t="shared" si="3"/>
        <v>#DIV/0!</v>
      </c>
      <c r="AD56" t="e">
        <f t="shared" si="4"/>
        <v>#DIV/0!</v>
      </c>
      <c r="AE56" t="e">
        <f t="shared" si="5"/>
        <v>#DIV/0!</v>
      </c>
      <c r="AF56" t="e">
        <f t="shared" si="6"/>
        <v>#DIV/0!</v>
      </c>
      <c r="AG56" t="e">
        <f t="shared" si="7"/>
        <v>#DIV/0!</v>
      </c>
      <c r="AH56" t="e">
        <f t="shared" si="14"/>
        <v>#DIV/0!</v>
      </c>
      <c r="AI56" t="e">
        <f t="shared" si="8"/>
        <v>#DIV/0!</v>
      </c>
      <c r="AJ56">
        <f t="shared" si="9"/>
        <v>0</v>
      </c>
      <c r="AK56" t="e">
        <f t="shared" si="10"/>
        <v>#N/A</v>
      </c>
      <c r="AL56">
        <f t="shared" si="11"/>
        <v>0</v>
      </c>
      <c r="AM56" t="e">
        <f t="shared" si="12"/>
        <v>#N/A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6">
        <f t="shared" si="13"/>
        <v>1</v>
      </c>
    </row>
    <row r="57" spans="2:42" x14ac:dyDescent="0.35">
      <c r="B57" s="12" t="str">
        <f>Demand!C62</f>
        <v/>
      </c>
      <c r="C57" s="68" t="str">
        <f>Demand!D62</f>
        <v/>
      </c>
      <c r="D57" s="68" t="str">
        <f>Demand!E62</f>
        <v/>
      </c>
      <c r="E57" s="6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1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7" t="e">
        <f t="shared" si="0"/>
        <v>#DIV/0!</v>
      </c>
      <c r="AA57" t="e">
        <f t="shared" si="1"/>
        <v>#DIV/0!</v>
      </c>
      <c r="AB57" t="e">
        <f t="shared" si="2"/>
        <v>#DIV/0!</v>
      </c>
      <c r="AC57" t="e">
        <f t="shared" si="3"/>
        <v>#DIV/0!</v>
      </c>
      <c r="AD57" t="e">
        <f t="shared" si="4"/>
        <v>#DIV/0!</v>
      </c>
      <c r="AE57" t="e">
        <f t="shared" si="5"/>
        <v>#DIV/0!</v>
      </c>
      <c r="AF57" t="e">
        <f t="shared" si="6"/>
        <v>#DIV/0!</v>
      </c>
      <c r="AG57" t="e">
        <f t="shared" si="7"/>
        <v>#DIV/0!</v>
      </c>
      <c r="AH57" t="e">
        <f t="shared" si="14"/>
        <v>#DIV/0!</v>
      </c>
      <c r="AI57" t="e">
        <f t="shared" si="8"/>
        <v>#DIV/0!</v>
      </c>
      <c r="AJ57">
        <f t="shared" si="9"/>
        <v>0</v>
      </c>
      <c r="AK57" t="e">
        <f t="shared" si="10"/>
        <v>#N/A</v>
      </c>
      <c r="AL57">
        <f t="shared" si="11"/>
        <v>0</v>
      </c>
      <c r="AM57" t="e">
        <f t="shared" si="12"/>
        <v>#N/A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7">
        <f t="shared" si="13"/>
        <v>1</v>
      </c>
    </row>
    <row r="58" spans="2:42" x14ac:dyDescent="0.35">
      <c r="B58" s="12" t="str">
        <f>Demand!C63</f>
        <v/>
      </c>
      <c r="C58" s="68" t="str">
        <f>Demand!D63</f>
        <v/>
      </c>
      <c r="D58" s="68" t="str">
        <f>Demand!E63</f>
        <v/>
      </c>
      <c r="E58" s="6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1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8" t="e">
        <f t="shared" si="0"/>
        <v>#DIV/0!</v>
      </c>
      <c r="AA58" t="e">
        <f t="shared" si="1"/>
        <v>#DIV/0!</v>
      </c>
      <c r="AB58" t="e">
        <f t="shared" si="2"/>
        <v>#DIV/0!</v>
      </c>
      <c r="AC58" t="e">
        <f t="shared" si="3"/>
        <v>#DIV/0!</v>
      </c>
      <c r="AD58" t="e">
        <f t="shared" si="4"/>
        <v>#DIV/0!</v>
      </c>
      <c r="AE58" t="e">
        <f t="shared" si="5"/>
        <v>#DIV/0!</v>
      </c>
      <c r="AF58" t="e">
        <f t="shared" si="6"/>
        <v>#DIV/0!</v>
      </c>
      <c r="AG58" t="e">
        <f t="shared" si="7"/>
        <v>#DIV/0!</v>
      </c>
      <c r="AH58" t="e">
        <f t="shared" si="14"/>
        <v>#DIV/0!</v>
      </c>
      <c r="AI58" t="e">
        <f t="shared" si="8"/>
        <v>#DIV/0!</v>
      </c>
      <c r="AJ58">
        <f t="shared" si="9"/>
        <v>0</v>
      </c>
      <c r="AK58" t="e">
        <f t="shared" si="10"/>
        <v>#N/A</v>
      </c>
      <c r="AL58">
        <f t="shared" si="11"/>
        <v>0</v>
      </c>
      <c r="AM58" t="e">
        <f t="shared" si="12"/>
        <v>#N/A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8">
        <f t="shared" si="13"/>
        <v>1</v>
      </c>
    </row>
    <row r="59" spans="2:42" x14ac:dyDescent="0.35">
      <c r="B59" s="12" t="str">
        <f>Demand!C64</f>
        <v/>
      </c>
      <c r="C59" s="68" t="str">
        <f>Demand!D64</f>
        <v/>
      </c>
      <c r="D59" s="68" t="str">
        <f>Demand!E64</f>
        <v/>
      </c>
      <c r="E59" s="6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1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9" t="e">
        <f t="shared" si="0"/>
        <v>#DIV/0!</v>
      </c>
      <c r="AA59" t="e">
        <f t="shared" si="1"/>
        <v>#DIV/0!</v>
      </c>
      <c r="AB59" t="e">
        <f t="shared" si="2"/>
        <v>#DIV/0!</v>
      </c>
      <c r="AC59" t="e">
        <f t="shared" si="3"/>
        <v>#DIV/0!</v>
      </c>
      <c r="AD59" t="e">
        <f t="shared" si="4"/>
        <v>#DIV/0!</v>
      </c>
      <c r="AE59" t="e">
        <f t="shared" si="5"/>
        <v>#DIV/0!</v>
      </c>
      <c r="AF59" t="e">
        <f t="shared" si="6"/>
        <v>#DIV/0!</v>
      </c>
      <c r="AG59" t="e">
        <f t="shared" si="7"/>
        <v>#DIV/0!</v>
      </c>
      <c r="AH59" t="e">
        <f t="shared" si="14"/>
        <v>#DIV/0!</v>
      </c>
      <c r="AI59" t="e">
        <f t="shared" si="8"/>
        <v>#DIV/0!</v>
      </c>
      <c r="AJ59">
        <f t="shared" si="9"/>
        <v>0</v>
      </c>
      <c r="AK59" t="e">
        <f t="shared" si="10"/>
        <v>#N/A</v>
      </c>
      <c r="AL59">
        <f t="shared" si="11"/>
        <v>0</v>
      </c>
      <c r="AM59" t="e">
        <f t="shared" si="12"/>
        <v>#N/A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9">
        <f t="shared" si="13"/>
        <v>1</v>
      </c>
    </row>
    <row r="60" spans="2:42" x14ac:dyDescent="0.35">
      <c r="B60" s="12" t="str">
        <f>Demand!C65</f>
        <v/>
      </c>
      <c r="C60" s="68" t="str">
        <f>Demand!D65</f>
        <v/>
      </c>
      <c r="D60" s="68" t="str">
        <f>Demand!E65</f>
        <v/>
      </c>
      <c r="E60" s="6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1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0" t="e">
        <f t="shared" si="0"/>
        <v>#DIV/0!</v>
      </c>
      <c r="AA60" t="e">
        <f t="shared" si="1"/>
        <v>#DIV/0!</v>
      </c>
      <c r="AB60" t="e">
        <f t="shared" si="2"/>
        <v>#DIV/0!</v>
      </c>
      <c r="AC60" t="e">
        <f t="shared" si="3"/>
        <v>#DIV/0!</v>
      </c>
      <c r="AD60" t="e">
        <f t="shared" si="4"/>
        <v>#DIV/0!</v>
      </c>
      <c r="AE60" t="e">
        <f t="shared" si="5"/>
        <v>#DIV/0!</v>
      </c>
      <c r="AF60" t="e">
        <f t="shared" si="6"/>
        <v>#DIV/0!</v>
      </c>
      <c r="AG60" t="e">
        <f t="shared" si="7"/>
        <v>#DIV/0!</v>
      </c>
      <c r="AH60" t="e">
        <f t="shared" si="14"/>
        <v>#DIV/0!</v>
      </c>
      <c r="AI60" t="e">
        <f t="shared" si="8"/>
        <v>#DIV/0!</v>
      </c>
      <c r="AJ60">
        <f t="shared" si="9"/>
        <v>0</v>
      </c>
      <c r="AK60" t="e">
        <f t="shared" si="10"/>
        <v>#N/A</v>
      </c>
      <c r="AL60">
        <f t="shared" si="11"/>
        <v>0</v>
      </c>
      <c r="AM60" t="e">
        <f t="shared" si="12"/>
        <v>#N/A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0">
        <f t="shared" si="13"/>
        <v>1</v>
      </c>
    </row>
    <row r="61" spans="2:42" x14ac:dyDescent="0.35">
      <c r="B61" s="12" t="str">
        <f>Demand!C66</f>
        <v/>
      </c>
      <c r="C61" s="68" t="str">
        <f>Demand!D66</f>
        <v/>
      </c>
      <c r="D61" s="68" t="str">
        <f>Demand!E66</f>
        <v/>
      </c>
      <c r="E61" s="6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1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1" t="e">
        <f t="shared" si="0"/>
        <v>#DIV/0!</v>
      </c>
      <c r="AA61" t="e">
        <f t="shared" si="1"/>
        <v>#DIV/0!</v>
      </c>
      <c r="AB61" t="e">
        <f t="shared" si="2"/>
        <v>#DIV/0!</v>
      </c>
      <c r="AC61" t="e">
        <f t="shared" si="3"/>
        <v>#DIV/0!</v>
      </c>
      <c r="AD61" t="e">
        <f t="shared" si="4"/>
        <v>#DIV/0!</v>
      </c>
      <c r="AE61" t="e">
        <f t="shared" si="5"/>
        <v>#DIV/0!</v>
      </c>
      <c r="AF61" t="e">
        <f t="shared" si="6"/>
        <v>#DIV/0!</v>
      </c>
      <c r="AG61" t="e">
        <f t="shared" si="7"/>
        <v>#DIV/0!</v>
      </c>
      <c r="AH61" t="e">
        <f t="shared" si="14"/>
        <v>#DIV/0!</v>
      </c>
      <c r="AI61" t="e">
        <f t="shared" si="8"/>
        <v>#DIV/0!</v>
      </c>
      <c r="AJ61">
        <f t="shared" si="9"/>
        <v>0</v>
      </c>
      <c r="AK61" t="e">
        <f t="shared" si="10"/>
        <v>#N/A</v>
      </c>
      <c r="AL61">
        <f t="shared" si="11"/>
        <v>0</v>
      </c>
      <c r="AM61" t="e">
        <f t="shared" si="12"/>
        <v>#N/A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1">
        <f t="shared" si="13"/>
        <v>1</v>
      </c>
    </row>
    <row r="62" spans="2:42" x14ac:dyDescent="0.35">
      <c r="B62" s="12" t="str">
        <f>Demand!C67</f>
        <v/>
      </c>
      <c r="C62" s="68" t="str">
        <f>Demand!D67</f>
        <v/>
      </c>
      <c r="D62" s="68" t="str">
        <f>Demand!E67</f>
        <v/>
      </c>
      <c r="E62" s="6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1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2" t="e">
        <f t="shared" si="0"/>
        <v>#DIV/0!</v>
      </c>
      <c r="AA62" t="e">
        <f t="shared" si="1"/>
        <v>#DIV/0!</v>
      </c>
      <c r="AB62" t="e">
        <f t="shared" si="2"/>
        <v>#DIV/0!</v>
      </c>
      <c r="AC62" t="e">
        <f t="shared" si="3"/>
        <v>#DIV/0!</v>
      </c>
      <c r="AD62" t="e">
        <f t="shared" si="4"/>
        <v>#DIV/0!</v>
      </c>
      <c r="AE62" t="e">
        <f t="shared" si="5"/>
        <v>#DIV/0!</v>
      </c>
      <c r="AF62" t="e">
        <f t="shared" si="6"/>
        <v>#DIV/0!</v>
      </c>
      <c r="AG62" t="e">
        <f t="shared" si="7"/>
        <v>#DIV/0!</v>
      </c>
      <c r="AH62" t="e">
        <f t="shared" si="14"/>
        <v>#DIV/0!</v>
      </c>
      <c r="AI62" t="e">
        <f t="shared" si="8"/>
        <v>#DIV/0!</v>
      </c>
      <c r="AJ62">
        <f t="shared" si="9"/>
        <v>0</v>
      </c>
      <c r="AK62" t="e">
        <f t="shared" si="10"/>
        <v>#N/A</v>
      </c>
      <c r="AL62">
        <f t="shared" si="11"/>
        <v>0</v>
      </c>
      <c r="AM62" t="e">
        <f t="shared" si="12"/>
        <v>#N/A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2">
        <f t="shared" si="13"/>
        <v>1</v>
      </c>
    </row>
    <row r="63" spans="2:42" x14ac:dyDescent="0.35">
      <c r="B63" s="12" t="str">
        <f>Demand!C68</f>
        <v/>
      </c>
      <c r="C63" s="68" t="str">
        <f>Demand!D68</f>
        <v/>
      </c>
      <c r="D63" s="68" t="str">
        <f>Demand!E68</f>
        <v/>
      </c>
      <c r="E63" s="6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1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3" t="e">
        <f t="shared" si="0"/>
        <v>#DIV/0!</v>
      </c>
      <c r="AA63" t="e">
        <f t="shared" si="1"/>
        <v>#DIV/0!</v>
      </c>
      <c r="AB63" t="e">
        <f t="shared" si="2"/>
        <v>#DIV/0!</v>
      </c>
      <c r="AC63" t="e">
        <f t="shared" si="3"/>
        <v>#DIV/0!</v>
      </c>
      <c r="AD63" t="e">
        <f t="shared" si="4"/>
        <v>#DIV/0!</v>
      </c>
      <c r="AE63" t="e">
        <f t="shared" si="5"/>
        <v>#DIV/0!</v>
      </c>
      <c r="AF63" t="e">
        <f t="shared" si="6"/>
        <v>#DIV/0!</v>
      </c>
      <c r="AG63" t="e">
        <f t="shared" si="7"/>
        <v>#DIV/0!</v>
      </c>
      <c r="AH63" t="e">
        <f t="shared" si="14"/>
        <v>#DIV/0!</v>
      </c>
      <c r="AI63" t="e">
        <f t="shared" si="8"/>
        <v>#DIV/0!</v>
      </c>
      <c r="AJ63">
        <f t="shared" si="9"/>
        <v>0</v>
      </c>
      <c r="AK63" t="e">
        <f t="shared" si="10"/>
        <v>#N/A</v>
      </c>
      <c r="AL63">
        <f t="shared" si="11"/>
        <v>0</v>
      </c>
      <c r="AM63" t="e">
        <f t="shared" si="12"/>
        <v>#N/A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3">
        <f t="shared" si="13"/>
        <v>1</v>
      </c>
    </row>
    <row r="64" spans="2:42" x14ac:dyDescent="0.35">
      <c r="B64" s="12" t="str">
        <f>Demand!C69</f>
        <v/>
      </c>
      <c r="C64" s="68" t="str">
        <f>Demand!D69</f>
        <v/>
      </c>
      <c r="D64" s="68" t="str">
        <f>Demand!E69</f>
        <v/>
      </c>
      <c r="E64" s="6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1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4" t="e">
        <f t="shared" si="0"/>
        <v>#DIV/0!</v>
      </c>
      <c r="AA64" t="e">
        <f t="shared" si="1"/>
        <v>#DIV/0!</v>
      </c>
      <c r="AB64" t="e">
        <f t="shared" si="2"/>
        <v>#DIV/0!</v>
      </c>
      <c r="AC64" t="e">
        <f t="shared" si="3"/>
        <v>#DIV/0!</v>
      </c>
      <c r="AD64" t="e">
        <f t="shared" si="4"/>
        <v>#DIV/0!</v>
      </c>
      <c r="AE64" t="e">
        <f t="shared" si="5"/>
        <v>#DIV/0!</v>
      </c>
      <c r="AF64" t="e">
        <f t="shared" si="6"/>
        <v>#DIV/0!</v>
      </c>
      <c r="AG64" t="e">
        <f t="shared" si="7"/>
        <v>#DIV/0!</v>
      </c>
      <c r="AH64" t="e">
        <f t="shared" si="14"/>
        <v>#DIV/0!</v>
      </c>
      <c r="AI64" t="e">
        <f t="shared" si="8"/>
        <v>#DIV/0!</v>
      </c>
      <c r="AJ64">
        <f t="shared" si="9"/>
        <v>0</v>
      </c>
      <c r="AK64" t="e">
        <f t="shared" si="10"/>
        <v>#N/A</v>
      </c>
      <c r="AL64">
        <f t="shared" si="11"/>
        <v>0</v>
      </c>
      <c r="AM64" t="e">
        <f t="shared" si="12"/>
        <v>#N/A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4">
        <f t="shared" si="13"/>
        <v>1</v>
      </c>
    </row>
    <row r="65" spans="2:42" x14ac:dyDescent="0.35">
      <c r="B65" s="12" t="str">
        <f>Demand!C70</f>
        <v/>
      </c>
      <c r="C65" s="68" t="str">
        <f>Demand!D70</f>
        <v/>
      </c>
      <c r="D65" s="68" t="str">
        <f>Demand!E70</f>
        <v/>
      </c>
      <c r="E65" s="6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1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5" t="e">
        <f t="shared" si="0"/>
        <v>#DIV/0!</v>
      </c>
      <c r="AA65" t="e">
        <f t="shared" si="1"/>
        <v>#DIV/0!</v>
      </c>
      <c r="AB65" t="e">
        <f t="shared" si="2"/>
        <v>#DIV/0!</v>
      </c>
      <c r="AC65" t="e">
        <f t="shared" si="3"/>
        <v>#DIV/0!</v>
      </c>
      <c r="AD65" t="e">
        <f t="shared" si="4"/>
        <v>#DIV/0!</v>
      </c>
      <c r="AE65" t="e">
        <f t="shared" si="5"/>
        <v>#DIV/0!</v>
      </c>
      <c r="AF65" t="e">
        <f t="shared" si="6"/>
        <v>#DIV/0!</v>
      </c>
      <c r="AG65" t="e">
        <f t="shared" si="7"/>
        <v>#DIV/0!</v>
      </c>
      <c r="AH65" t="e">
        <f t="shared" si="14"/>
        <v>#DIV/0!</v>
      </c>
      <c r="AI65" t="e">
        <f t="shared" si="8"/>
        <v>#DIV/0!</v>
      </c>
      <c r="AJ65">
        <f t="shared" si="9"/>
        <v>0</v>
      </c>
      <c r="AK65" t="e">
        <f t="shared" si="10"/>
        <v>#N/A</v>
      </c>
      <c r="AL65">
        <f t="shared" si="11"/>
        <v>0</v>
      </c>
      <c r="AM65" t="e">
        <f t="shared" si="12"/>
        <v>#N/A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5">
        <f t="shared" si="13"/>
        <v>1</v>
      </c>
    </row>
    <row r="66" spans="2:42" x14ac:dyDescent="0.35">
      <c r="B66" s="12" t="str">
        <f>Demand!C71</f>
        <v/>
      </c>
      <c r="C66" s="68" t="str">
        <f>Demand!D71</f>
        <v/>
      </c>
      <c r="D66" s="68" t="str">
        <f>Demand!E71</f>
        <v/>
      </c>
      <c r="E66" s="6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1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6" t="e">
        <f t="shared" si="0"/>
        <v>#DIV/0!</v>
      </c>
      <c r="AA66" t="e">
        <f t="shared" si="1"/>
        <v>#DIV/0!</v>
      </c>
      <c r="AB66" t="e">
        <f t="shared" si="2"/>
        <v>#DIV/0!</v>
      </c>
      <c r="AC66" t="e">
        <f t="shared" si="3"/>
        <v>#DIV/0!</v>
      </c>
      <c r="AD66" t="e">
        <f t="shared" si="4"/>
        <v>#DIV/0!</v>
      </c>
      <c r="AE66" t="e">
        <f t="shared" si="5"/>
        <v>#DIV/0!</v>
      </c>
      <c r="AF66" t="e">
        <f t="shared" si="6"/>
        <v>#DIV/0!</v>
      </c>
      <c r="AG66" t="e">
        <f t="shared" si="7"/>
        <v>#DIV/0!</v>
      </c>
      <c r="AH66" t="e">
        <f t="shared" si="14"/>
        <v>#DIV/0!</v>
      </c>
      <c r="AI66" t="e">
        <f t="shared" si="8"/>
        <v>#DIV/0!</v>
      </c>
      <c r="AJ66">
        <f t="shared" si="9"/>
        <v>0</v>
      </c>
      <c r="AK66" t="e">
        <f t="shared" si="10"/>
        <v>#N/A</v>
      </c>
      <c r="AL66">
        <f t="shared" si="11"/>
        <v>0</v>
      </c>
      <c r="AM66" t="e">
        <f t="shared" si="12"/>
        <v>#N/A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6">
        <f t="shared" si="13"/>
        <v>1</v>
      </c>
    </row>
    <row r="67" spans="2:42" x14ac:dyDescent="0.35">
      <c r="B67" s="12" t="str">
        <f>Demand!C72</f>
        <v/>
      </c>
      <c r="C67" s="68" t="str">
        <f>Demand!D72</f>
        <v/>
      </c>
      <c r="D67" s="68" t="str">
        <f>Demand!E72</f>
        <v/>
      </c>
      <c r="E67" s="6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1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7" t="e">
        <f t="shared" si="0"/>
        <v>#DIV/0!</v>
      </c>
      <c r="AA67" t="e">
        <f t="shared" si="1"/>
        <v>#DIV/0!</v>
      </c>
      <c r="AB67" t="e">
        <f t="shared" si="2"/>
        <v>#DIV/0!</v>
      </c>
      <c r="AC67" t="e">
        <f t="shared" si="3"/>
        <v>#DIV/0!</v>
      </c>
      <c r="AD67" t="e">
        <f t="shared" si="4"/>
        <v>#DIV/0!</v>
      </c>
      <c r="AE67" t="e">
        <f t="shared" si="5"/>
        <v>#DIV/0!</v>
      </c>
      <c r="AF67" t="e">
        <f t="shared" si="6"/>
        <v>#DIV/0!</v>
      </c>
      <c r="AG67" t="e">
        <f t="shared" si="7"/>
        <v>#DIV/0!</v>
      </c>
      <c r="AH67" t="e">
        <f t="shared" si="14"/>
        <v>#DIV/0!</v>
      </c>
      <c r="AI67" t="e">
        <f t="shared" si="8"/>
        <v>#DIV/0!</v>
      </c>
      <c r="AJ67">
        <f t="shared" si="9"/>
        <v>0</v>
      </c>
      <c r="AK67" t="e">
        <f t="shared" si="10"/>
        <v>#N/A</v>
      </c>
      <c r="AL67">
        <f t="shared" si="11"/>
        <v>0</v>
      </c>
      <c r="AM67" t="e">
        <f t="shared" si="12"/>
        <v>#N/A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7">
        <f t="shared" si="13"/>
        <v>1</v>
      </c>
    </row>
    <row r="68" spans="2:42" x14ac:dyDescent="0.35">
      <c r="B68" s="12" t="str">
        <f>Demand!C73</f>
        <v/>
      </c>
      <c r="C68" s="68" t="str">
        <f>Demand!D73</f>
        <v/>
      </c>
      <c r="D68" s="68" t="str">
        <f>Demand!E73</f>
        <v/>
      </c>
      <c r="E68" s="6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1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8" t="e">
        <f t="shared" si="0"/>
        <v>#DIV/0!</v>
      </c>
      <c r="AA68" t="e">
        <f t="shared" si="1"/>
        <v>#DIV/0!</v>
      </c>
      <c r="AB68" t="e">
        <f t="shared" si="2"/>
        <v>#DIV/0!</v>
      </c>
      <c r="AC68" t="e">
        <f t="shared" si="3"/>
        <v>#DIV/0!</v>
      </c>
      <c r="AD68" t="e">
        <f t="shared" si="4"/>
        <v>#DIV/0!</v>
      </c>
      <c r="AE68" t="e">
        <f t="shared" si="5"/>
        <v>#DIV/0!</v>
      </c>
      <c r="AF68" t="e">
        <f t="shared" si="6"/>
        <v>#DIV/0!</v>
      </c>
      <c r="AG68" t="e">
        <f t="shared" si="7"/>
        <v>#DIV/0!</v>
      </c>
      <c r="AH68" t="e">
        <f t="shared" si="14"/>
        <v>#DIV/0!</v>
      </c>
      <c r="AI68" t="e">
        <f t="shared" si="8"/>
        <v>#DIV/0!</v>
      </c>
      <c r="AJ68">
        <f t="shared" si="9"/>
        <v>0</v>
      </c>
      <c r="AK68" t="e">
        <f t="shared" si="10"/>
        <v>#N/A</v>
      </c>
      <c r="AL68">
        <f t="shared" si="11"/>
        <v>0</v>
      </c>
      <c r="AM68" t="e">
        <f t="shared" si="12"/>
        <v>#N/A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8">
        <f t="shared" si="13"/>
        <v>1</v>
      </c>
    </row>
    <row r="69" spans="2:42" x14ac:dyDescent="0.35">
      <c r="B69" s="12" t="str">
        <f>Demand!C74</f>
        <v/>
      </c>
      <c r="C69" s="68" t="str">
        <f>Demand!D74</f>
        <v/>
      </c>
      <c r="D69" s="68" t="str">
        <f>Demand!E74</f>
        <v/>
      </c>
      <c r="E69" s="6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1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9" t="e">
        <f t="shared" ref="Z69:Z132" si="15">Y69/1.128</f>
        <v>#DIV/0!</v>
      </c>
      <c r="AA69" t="e">
        <f t="shared" ref="AA69:AA132" si="16">MAX(0,W69-(3*Z69))</f>
        <v>#DIV/0!</v>
      </c>
      <c r="AB69" t="e">
        <f t="shared" ref="AB69:AB132" si="17">MAX(0,W69-(2*Z69))</f>
        <v>#DIV/0!</v>
      </c>
      <c r="AC69" t="e">
        <f t="shared" ref="AC69:AC132" si="18">MAX(0,W69-Z69)</f>
        <v>#DIV/0!</v>
      </c>
      <c r="AD69" t="e">
        <f t="shared" ref="AD69:AD132" si="19">W69+Z69</f>
        <v>#DIV/0!</v>
      </c>
      <c r="AE69" t="e">
        <f t="shared" ref="AE69:AE132" si="20">W69+(2*Z69)</f>
        <v>#DIV/0!</v>
      </c>
      <c r="AF69" t="e">
        <f t="shared" ref="AF69:AF132" si="21">W69+(3*Z69)</f>
        <v>#DIV/0!</v>
      </c>
      <c r="AG69" t="e">
        <f t="shared" ref="AG69:AG132" si="22">IF(OR(V69&gt;AF69,V69&lt;AA69),V69,NA())</f>
        <v>#DIV/0!</v>
      </c>
      <c r="AH69" t="e">
        <f t="shared" si="14"/>
        <v>#DIV/0!</v>
      </c>
      <c r="AI69" t="e">
        <f t="shared" ref="AI69:AI132" si="23">IF(ABS(SUM(AH69:AH71))&gt;=5,V69,NA())</f>
        <v>#DIV/0!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0</v>
      </c>
      <c r="AM69" t="e">
        <f t="shared" ref="AM69:AM132" si="27">IF(ABS(SUM(AL69:AL77))=9,V69,NA())</f>
        <v>#N/A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9">
        <f t="shared" ref="AP69:AP132" si="28">AO69-AN69</f>
        <v>1</v>
      </c>
    </row>
    <row r="70" spans="2:42" x14ac:dyDescent="0.35">
      <c r="B70" s="12" t="str">
        <f>Demand!C75</f>
        <v/>
      </c>
      <c r="C70" s="68" t="str">
        <f>Demand!D75</f>
        <v/>
      </c>
      <c r="D70" s="68" t="str">
        <f>Demand!E75</f>
        <v/>
      </c>
      <c r="E70" s="6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1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0" t="e">
        <f t="shared" si="15"/>
        <v>#DIV/0!</v>
      </c>
      <c r="AA70" t="e">
        <f t="shared" si="16"/>
        <v>#DIV/0!</v>
      </c>
      <c r="AB70" t="e">
        <f t="shared" si="17"/>
        <v>#DIV/0!</v>
      </c>
      <c r="AC70" t="e">
        <f t="shared" si="18"/>
        <v>#DIV/0!</v>
      </c>
      <c r="AD70" t="e">
        <f t="shared" si="19"/>
        <v>#DIV/0!</v>
      </c>
      <c r="AE70" t="e">
        <f t="shared" si="20"/>
        <v>#DIV/0!</v>
      </c>
      <c r="AF70" t="e">
        <f t="shared" si="21"/>
        <v>#DIV/0!</v>
      </c>
      <c r="AG70" t="e">
        <f t="shared" si="22"/>
        <v>#DIV/0!</v>
      </c>
      <c r="AH70" t="e">
        <f t="shared" ref="AH70:AH133" si="29">IF(V70&gt;AE70,2,IF(V70&lt;AB70,-2,IF(V70&gt;W70,1,IF(V70&lt;W70,-1,0))))</f>
        <v>#DIV/0!</v>
      </c>
      <c r="AI70" t="e">
        <f t="shared" si="23"/>
        <v>#DIV/0!</v>
      </c>
      <c r="AJ70">
        <f t="shared" si="24"/>
        <v>0</v>
      </c>
      <c r="AK70" t="e">
        <f t="shared" si="25"/>
        <v>#N/A</v>
      </c>
      <c r="AL70">
        <f t="shared" si="26"/>
        <v>0</v>
      </c>
      <c r="AM70" t="e">
        <f t="shared" si="27"/>
        <v>#N/A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0">
        <f t="shared" si="28"/>
        <v>1</v>
      </c>
    </row>
    <row r="71" spans="2:42" x14ac:dyDescent="0.35">
      <c r="B71" s="12" t="str">
        <f>Demand!C76</f>
        <v/>
      </c>
      <c r="C71" s="68" t="str">
        <f>Demand!D76</f>
        <v/>
      </c>
      <c r="D71" s="68" t="str">
        <f>Demand!E76</f>
        <v/>
      </c>
      <c r="E71" s="6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1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1" t="e">
        <f t="shared" si="15"/>
        <v>#DIV/0!</v>
      </c>
      <c r="AA71" t="e">
        <f t="shared" si="16"/>
        <v>#DIV/0!</v>
      </c>
      <c r="AB71" t="e">
        <f t="shared" si="17"/>
        <v>#DIV/0!</v>
      </c>
      <c r="AC71" t="e">
        <f t="shared" si="18"/>
        <v>#DIV/0!</v>
      </c>
      <c r="AD71" t="e">
        <f t="shared" si="19"/>
        <v>#DIV/0!</v>
      </c>
      <c r="AE71" t="e">
        <f t="shared" si="20"/>
        <v>#DIV/0!</v>
      </c>
      <c r="AF71" t="e">
        <f t="shared" si="21"/>
        <v>#DIV/0!</v>
      </c>
      <c r="AG71" t="e">
        <f t="shared" si="22"/>
        <v>#DIV/0!</v>
      </c>
      <c r="AH71" t="e">
        <f t="shared" si="29"/>
        <v>#DIV/0!</v>
      </c>
      <c r="AI71" t="e">
        <f t="shared" si="23"/>
        <v>#DIV/0!</v>
      </c>
      <c r="AJ71">
        <f t="shared" si="24"/>
        <v>0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1">
        <f t="shared" si="28"/>
        <v>1</v>
      </c>
    </row>
    <row r="72" spans="2:42" x14ac:dyDescent="0.35">
      <c r="B72" s="12" t="str">
        <f>Demand!C77</f>
        <v/>
      </c>
      <c r="C72" s="68" t="str">
        <f>Demand!D77</f>
        <v/>
      </c>
      <c r="D72" s="68" t="str">
        <f>Demand!E77</f>
        <v/>
      </c>
      <c r="E72" s="6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1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2" t="e">
        <f t="shared" si="15"/>
        <v>#DIV/0!</v>
      </c>
      <c r="AA72" t="e">
        <f t="shared" si="16"/>
        <v>#DIV/0!</v>
      </c>
      <c r="AB72" t="e">
        <f t="shared" si="17"/>
        <v>#DIV/0!</v>
      </c>
      <c r="AC72" t="e">
        <f t="shared" si="18"/>
        <v>#DIV/0!</v>
      </c>
      <c r="AD72" t="e">
        <f t="shared" si="19"/>
        <v>#DIV/0!</v>
      </c>
      <c r="AE72" t="e">
        <f t="shared" si="20"/>
        <v>#DIV/0!</v>
      </c>
      <c r="AF72" t="e">
        <f t="shared" si="21"/>
        <v>#DIV/0!</v>
      </c>
      <c r="AG72" t="e">
        <f t="shared" si="22"/>
        <v>#DIV/0!</v>
      </c>
      <c r="AH72" t="e">
        <f t="shared" si="29"/>
        <v>#DIV/0!</v>
      </c>
      <c r="AI72" t="e">
        <f t="shared" si="23"/>
        <v>#DIV/0!</v>
      </c>
      <c r="AJ72">
        <f t="shared" si="24"/>
        <v>0</v>
      </c>
      <c r="AK72" t="e">
        <f t="shared" si="25"/>
        <v>#N/A</v>
      </c>
      <c r="AL72">
        <f t="shared" si="26"/>
        <v>0</v>
      </c>
      <c r="AM72" t="e">
        <f t="shared" si="27"/>
        <v>#N/A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2">
        <f t="shared" si="28"/>
        <v>1</v>
      </c>
    </row>
    <row r="73" spans="2:42" x14ac:dyDescent="0.35">
      <c r="B73" s="12" t="str">
        <f>Demand!C78</f>
        <v/>
      </c>
      <c r="C73" s="68" t="str">
        <f>Demand!D78</f>
        <v/>
      </c>
      <c r="D73" s="68" t="str">
        <f>Demand!E78</f>
        <v/>
      </c>
      <c r="E73" s="6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1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3" t="e">
        <f t="shared" si="15"/>
        <v>#DIV/0!</v>
      </c>
      <c r="AA73" t="e">
        <f t="shared" si="16"/>
        <v>#DIV/0!</v>
      </c>
      <c r="AB73" t="e">
        <f t="shared" si="17"/>
        <v>#DIV/0!</v>
      </c>
      <c r="AC73" t="e">
        <f t="shared" si="18"/>
        <v>#DIV/0!</v>
      </c>
      <c r="AD73" t="e">
        <f t="shared" si="19"/>
        <v>#DIV/0!</v>
      </c>
      <c r="AE73" t="e">
        <f t="shared" si="20"/>
        <v>#DIV/0!</v>
      </c>
      <c r="AF73" t="e">
        <f t="shared" si="21"/>
        <v>#DIV/0!</v>
      </c>
      <c r="AG73" t="e">
        <f t="shared" si="22"/>
        <v>#DIV/0!</v>
      </c>
      <c r="AH73" t="e">
        <f t="shared" si="29"/>
        <v>#DIV/0!</v>
      </c>
      <c r="AI73" t="e">
        <f t="shared" si="23"/>
        <v>#DIV/0!</v>
      </c>
      <c r="AJ73">
        <f t="shared" si="24"/>
        <v>0</v>
      </c>
      <c r="AK73" t="e">
        <f t="shared" si="25"/>
        <v>#N/A</v>
      </c>
      <c r="AL73">
        <f t="shared" si="26"/>
        <v>0</v>
      </c>
      <c r="AM73" t="e">
        <f t="shared" si="27"/>
        <v>#N/A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3">
        <f t="shared" si="28"/>
        <v>1</v>
      </c>
    </row>
    <row r="74" spans="2:42" x14ac:dyDescent="0.35">
      <c r="B74" s="12" t="str">
        <f>Demand!C79</f>
        <v/>
      </c>
      <c r="C74" s="68" t="str">
        <f>Demand!D79</f>
        <v/>
      </c>
      <c r="D74" s="68" t="str">
        <f>Demand!E79</f>
        <v/>
      </c>
      <c r="E74" s="6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1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4" t="e">
        <f t="shared" si="15"/>
        <v>#DIV/0!</v>
      </c>
      <c r="AA74" t="e">
        <f t="shared" si="16"/>
        <v>#DIV/0!</v>
      </c>
      <c r="AB74" t="e">
        <f t="shared" si="17"/>
        <v>#DIV/0!</v>
      </c>
      <c r="AC74" t="e">
        <f t="shared" si="18"/>
        <v>#DIV/0!</v>
      </c>
      <c r="AD74" t="e">
        <f t="shared" si="19"/>
        <v>#DIV/0!</v>
      </c>
      <c r="AE74" t="e">
        <f t="shared" si="20"/>
        <v>#DIV/0!</v>
      </c>
      <c r="AF74" t="e">
        <f t="shared" si="21"/>
        <v>#DIV/0!</v>
      </c>
      <c r="AG74" t="e">
        <f t="shared" si="22"/>
        <v>#DIV/0!</v>
      </c>
      <c r="AH74" t="e">
        <f t="shared" si="29"/>
        <v>#DIV/0!</v>
      </c>
      <c r="AI74" t="e">
        <f t="shared" si="23"/>
        <v>#DIV/0!</v>
      </c>
      <c r="AJ74">
        <f t="shared" si="24"/>
        <v>0</v>
      </c>
      <c r="AK74" t="e">
        <f t="shared" si="25"/>
        <v>#N/A</v>
      </c>
      <c r="AL74">
        <f t="shared" si="26"/>
        <v>0</v>
      </c>
      <c r="AM74" t="e">
        <f t="shared" si="27"/>
        <v>#N/A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4">
        <f t="shared" si="28"/>
        <v>1</v>
      </c>
    </row>
    <row r="75" spans="2:42" x14ac:dyDescent="0.35">
      <c r="B75" s="12" t="str">
        <f>Demand!C80</f>
        <v/>
      </c>
      <c r="C75" s="68" t="str">
        <f>Demand!D80</f>
        <v/>
      </c>
      <c r="D75" s="68" t="str">
        <f>Demand!E80</f>
        <v/>
      </c>
      <c r="E75" s="6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1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5" t="e">
        <f t="shared" si="15"/>
        <v>#DIV/0!</v>
      </c>
      <c r="AA75" t="e">
        <f t="shared" si="16"/>
        <v>#DIV/0!</v>
      </c>
      <c r="AB75" t="e">
        <f t="shared" si="17"/>
        <v>#DIV/0!</v>
      </c>
      <c r="AC75" t="e">
        <f t="shared" si="18"/>
        <v>#DIV/0!</v>
      </c>
      <c r="AD75" t="e">
        <f t="shared" si="19"/>
        <v>#DIV/0!</v>
      </c>
      <c r="AE75" t="e">
        <f t="shared" si="20"/>
        <v>#DIV/0!</v>
      </c>
      <c r="AF75" t="e">
        <f t="shared" si="21"/>
        <v>#DIV/0!</v>
      </c>
      <c r="AG75" t="e">
        <f t="shared" si="22"/>
        <v>#DIV/0!</v>
      </c>
      <c r="AH75" t="e">
        <f t="shared" si="29"/>
        <v>#DIV/0!</v>
      </c>
      <c r="AI75" t="e">
        <f t="shared" si="23"/>
        <v>#DIV/0!</v>
      </c>
      <c r="AJ75">
        <f t="shared" si="24"/>
        <v>0</v>
      </c>
      <c r="AK75" t="e">
        <f t="shared" si="25"/>
        <v>#N/A</v>
      </c>
      <c r="AL75">
        <f t="shared" si="26"/>
        <v>0</v>
      </c>
      <c r="AM75" t="e">
        <f t="shared" si="27"/>
        <v>#N/A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5">
        <f t="shared" si="28"/>
        <v>1</v>
      </c>
    </row>
    <row r="76" spans="2:42" x14ac:dyDescent="0.35">
      <c r="B76" s="12" t="str">
        <f>Demand!C81</f>
        <v/>
      </c>
      <c r="C76" s="68" t="str">
        <f>Demand!D81</f>
        <v/>
      </c>
      <c r="D76" s="68" t="str">
        <f>Demand!E81</f>
        <v/>
      </c>
      <c r="E76" s="6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6" t="e">
        <f t="shared" si="15"/>
        <v>#DIV/0!</v>
      </c>
      <c r="AA76" t="e">
        <f t="shared" si="16"/>
        <v>#DIV/0!</v>
      </c>
      <c r="AB76" t="e">
        <f t="shared" si="17"/>
        <v>#DIV/0!</v>
      </c>
      <c r="AC76" t="e">
        <f t="shared" si="18"/>
        <v>#DIV/0!</v>
      </c>
      <c r="AD76" t="e">
        <f t="shared" si="19"/>
        <v>#DIV/0!</v>
      </c>
      <c r="AE76" t="e">
        <f t="shared" si="20"/>
        <v>#DIV/0!</v>
      </c>
      <c r="AF76" t="e">
        <f t="shared" si="21"/>
        <v>#DIV/0!</v>
      </c>
      <c r="AG76" t="e">
        <f t="shared" si="22"/>
        <v>#DIV/0!</v>
      </c>
      <c r="AH76" t="e">
        <f t="shared" si="29"/>
        <v>#DIV/0!</v>
      </c>
      <c r="AI76" t="e">
        <f t="shared" si="23"/>
        <v>#DIV/0!</v>
      </c>
      <c r="AJ76">
        <f t="shared" si="24"/>
        <v>0</v>
      </c>
      <c r="AK76" t="e">
        <f t="shared" si="25"/>
        <v>#N/A</v>
      </c>
      <c r="AL76">
        <f t="shared" si="26"/>
        <v>0</v>
      </c>
      <c r="AM76" t="e">
        <f t="shared" si="27"/>
        <v>#N/A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6">
        <f t="shared" si="28"/>
        <v>1</v>
      </c>
    </row>
    <row r="77" spans="2:42" x14ac:dyDescent="0.35">
      <c r="B77" s="12" t="str">
        <f>Demand!C82</f>
        <v/>
      </c>
      <c r="C77" s="68" t="str">
        <f>Demand!D82</f>
        <v/>
      </c>
      <c r="D77" s="68" t="str">
        <f>Demand!E82</f>
        <v/>
      </c>
      <c r="E77" s="6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7" t="e">
        <f t="shared" si="15"/>
        <v>#DIV/0!</v>
      </c>
      <c r="AA77" t="e">
        <f t="shared" si="16"/>
        <v>#DIV/0!</v>
      </c>
      <c r="AB77" t="e">
        <f t="shared" si="17"/>
        <v>#DIV/0!</v>
      </c>
      <c r="AC77" t="e">
        <f t="shared" si="18"/>
        <v>#DIV/0!</v>
      </c>
      <c r="AD77" t="e">
        <f t="shared" si="19"/>
        <v>#DIV/0!</v>
      </c>
      <c r="AE77" t="e">
        <f t="shared" si="20"/>
        <v>#DIV/0!</v>
      </c>
      <c r="AF77" t="e">
        <f t="shared" si="21"/>
        <v>#DIV/0!</v>
      </c>
      <c r="AG77" t="e">
        <f t="shared" si="22"/>
        <v>#DIV/0!</v>
      </c>
      <c r="AH77" t="e">
        <f t="shared" si="29"/>
        <v>#DIV/0!</v>
      </c>
      <c r="AI77" t="e">
        <f t="shared" si="23"/>
        <v>#DIV/0!</v>
      </c>
      <c r="AJ77">
        <f t="shared" si="24"/>
        <v>0</v>
      </c>
      <c r="AK77" t="e">
        <f t="shared" si="25"/>
        <v>#N/A</v>
      </c>
      <c r="AL77">
        <f t="shared" si="26"/>
        <v>0</v>
      </c>
      <c r="AM77" t="e">
        <f t="shared" si="27"/>
        <v>#N/A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7">
        <f t="shared" si="28"/>
        <v>1</v>
      </c>
    </row>
    <row r="78" spans="2:42" x14ac:dyDescent="0.35">
      <c r="B78" s="12" t="str">
        <f>Demand!C83</f>
        <v/>
      </c>
      <c r="C78" s="68" t="str">
        <f>Demand!D83</f>
        <v/>
      </c>
      <c r="D78" s="68" t="str">
        <f>Demand!E83</f>
        <v/>
      </c>
      <c r="E78" s="6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8" t="e">
        <f t="shared" si="15"/>
        <v>#DIV/0!</v>
      </c>
      <c r="AA78" t="e">
        <f t="shared" si="16"/>
        <v>#DIV/0!</v>
      </c>
      <c r="AB78" t="e">
        <f t="shared" si="17"/>
        <v>#DIV/0!</v>
      </c>
      <c r="AC78" t="e">
        <f t="shared" si="18"/>
        <v>#DIV/0!</v>
      </c>
      <c r="AD78" t="e">
        <f t="shared" si="19"/>
        <v>#DIV/0!</v>
      </c>
      <c r="AE78" t="e">
        <f t="shared" si="20"/>
        <v>#DIV/0!</v>
      </c>
      <c r="AF78" t="e">
        <f t="shared" si="21"/>
        <v>#DIV/0!</v>
      </c>
      <c r="AG78" t="e">
        <f t="shared" si="22"/>
        <v>#DIV/0!</v>
      </c>
      <c r="AH78" t="e">
        <f t="shared" si="29"/>
        <v>#DIV/0!</v>
      </c>
      <c r="AI78" t="e">
        <f t="shared" si="23"/>
        <v>#DIV/0!</v>
      </c>
      <c r="AJ78">
        <f t="shared" si="24"/>
        <v>0</v>
      </c>
      <c r="AK78" t="e">
        <f t="shared" si="25"/>
        <v>#N/A</v>
      </c>
      <c r="AL78">
        <f t="shared" si="26"/>
        <v>0</v>
      </c>
      <c r="AM78" t="e">
        <f t="shared" si="27"/>
        <v>#N/A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8">
        <f t="shared" si="28"/>
        <v>1</v>
      </c>
    </row>
    <row r="79" spans="2:42" x14ac:dyDescent="0.35">
      <c r="B79" s="12" t="str">
        <f>Demand!C84</f>
        <v/>
      </c>
      <c r="C79" s="68" t="str">
        <f>Demand!D84</f>
        <v/>
      </c>
      <c r="D79" s="68" t="str">
        <f>Demand!E84</f>
        <v/>
      </c>
      <c r="E79" s="6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9" t="e">
        <f t="shared" si="15"/>
        <v>#DIV/0!</v>
      </c>
      <c r="AA79" t="e">
        <f t="shared" si="16"/>
        <v>#DIV/0!</v>
      </c>
      <c r="AB79" t="e">
        <f t="shared" si="17"/>
        <v>#DIV/0!</v>
      </c>
      <c r="AC79" t="e">
        <f t="shared" si="18"/>
        <v>#DIV/0!</v>
      </c>
      <c r="AD79" t="e">
        <f t="shared" si="19"/>
        <v>#DIV/0!</v>
      </c>
      <c r="AE79" t="e">
        <f t="shared" si="20"/>
        <v>#DIV/0!</v>
      </c>
      <c r="AF79" t="e">
        <f t="shared" si="21"/>
        <v>#DIV/0!</v>
      </c>
      <c r="AG79" t="e">
        <f t="shared" si="22"/>
        <v>#DIV/0!</v>
      </c>
      <c r="AH79" t="e">
        <f t="shared" si="29"/>
        <v>#DIV/0!</v>
      </c>
      <c r="AI79" t="e">
        <f t="shared" si="23"/>
        <v>#DIV/0!</v>
      </c>
      <c r="AJ79">
        <f t="shared" si="24"/>
        <v>0</v>
      </c>
      <c r="AK79" t="e">
        <f t="shared" si="25"/>
        <v>#N/A</v>
      </c>
      <c r="AL79">
        <f t="shared" si="26"/>
        <v>0</v>
      </c>
      <c r="AM79" t="e">
        <f t="shared" si="27"/>
        <v>#N/A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9">
        <f t="shared" si="28"/>
        <v>1</v>
      </c>
    </row>
    <row r="80" spans="2:42" x14ac:dyDescent="0.35">
      <c r="B80" s="12" t="str">
        <f>Demand!C85</f>
        <v/>
      </c>
      <c r="C80" s="68" t="str">
        <f>Demand!D85</f>
        <v/>
      </c>
      <c r="D80" s="68" t="str">
        <f>Demand!E85</f>
        <v/>
      </c>
      <c r="E80" s="6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0" t="e">
        <f t="shared" si="15"/>
        <v>#DIV/0!</v>
      </c>
      <c r="AA80" t="e">
        <f t="shared" si="16"/>
        <v>#DIV/0!</v>
      </c>
      <c r="AB80" t="e">
        <f t="shared" si="17"/>
        <v>#DIV/0!</v>
      </c>
      <c r="AC80" t="e">
        <f t="shared" si="18"/>
        <v>#DIV/0!</v>
      </c>
      <c r="AD80" t="e">
        <f t="shared" si="19"/>
        <v>#DIV/0!</v>
      </c>
      <c r="AE80" t="e">
        <f t="shared" si="20"/>
        <v>#DIV/0!</v>
      </c>
      <c r="AF80" t="e">
        <f t="shared" si="21"/>
        <v>#DIV/0!</v>
      </c>
      <c r="AG80" t="e">
        <f t="shared" si="22"/>
        <v>#DIV/0!</v>
      </c>
      <c r="AH80" t="e">
        <f t="shared" si="29"/>
        <v>#DIV/0!</v>
      </c>
      <c r="AI80" t="e">
        <f t="shared" si="23"/>
        <v>#DIV/0!</v>
      </c>
      <c r="AJ80">
        <f t="shared" si="24"/>
        <v>0</v>
      </c>
      <c r="AK80" t="e">
        <f t="shared" si="25"/>
        <v>#N/A</v>
      </c>
      <c r="AL80">
        <f t="shared" si="26"/>
        <v>0</v>
      </c>
      <c r="AM80" t="e">
        <f t="shared" si="27"/>
        <v>#N/A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0">
        <f t="shared" si="28"/>
        <v>1</v>
      </c>
    </row>
    <row r="81" spans="2:42" x14ac:dyDescent="0.35">
      <c r="B81" s="12" t="str">
        <f>Demand!C86</f>
        <v/>
      </c>
      <c r="C81" s="68" t="str">
        <f>Demand!D86</f>
        <v/>
      </c>
      <c r="D81" s="68" t="str">
        <f>Demand!E86</f>
        <v/>
      </c>
      <c r="E81" s="6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1" t="e">
        <f t="shared" si="15"/>
        <v>#DIV/0!</v>
      </c>
      <c r="AA81" t="e">
        <f t="shared" si="16"/>
        <v>#DIV/0!</v>
      </c>
      <c r="AB81" t="e">
        <f t="shared" si="17"/>
        <v>#DIV/0!</v>
      </c>
      <c r="AC81" t="e">
        <f t="shared" si="18"/>
        <v>#DIV/0!</v>
      </c>
      <c r="AD81" t="e">
        <f t="shared" si="19"/>
        <v>#DIV/0!</v>
      </c>
      <c r="AE81" t="e">
        <f t="shared" si="20"/>
        <v>#DIV/0!</v>
      </c>
      <c r="AF81" t="e">
        <f t="shared" si="21"/>
        <v>#DIV/0!</v>
      </c>
      <c r="AG81" t="e">
        <f t="shared" si="22"/>
        <v>#DIV/0!</v>
      </c>
      <c r="AH81" t="e">
        <f t="shared" si="29"/>
        <v>#DIV/0!</v>
      </c>
      <c r="AI81" t="e">
        <f t="shared" si="23"/>
        <v>#DIV/0!</v>
      </c>
      <c r="AJ81">
        <f t="shared" si="24"/>
        <v>0</v>
      </c>
      <c r="AK81" t="e">
        <f t="shared" si="25"/>
        <v>#N/A</v>
      </c>
      <c r="AL81">
        <f t="shared" si="26"/>
        <v>0</v>
      </c>
      <c r="AM81" t="e">
        <f t="shared" si="27"/>
        <v>#N/A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1">
        <f t="shared" si="28"/>
        <v>1</v>
      </c>
    </row>
    <row r="82" spans="2:42" x14ac:dyDescent="0.35">
      <c r="B82" s="12" t="str">
        <f>Demand!C87</f>
        <v/>
      </c>
      <c r="C82" s="68" t="str">
        <f>Demand!D87</f>
        <v/>
      </c>
      <c r="D82" s="68" t="str">
        <f>Demand!E87</f>
        <v/>
      </c>
      <c r="E82" s="6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2" t="e">
        <f t="shared" si="15"/>
        <v>#DIV/0!</v>
      </c>
      <c r="AA82" t="e">
        <f t="shared" si="16"/>
        <v>#DIV/0!</v>
      </c>
      <c r="AB82" t="e">
        <f t="shared" si="17"/>
        <v>#DIV/0!</v>
      </c>
      <c r="AC82" t="e">
        <f t="shared" si="18"/>
        <v>#DIV/0!</v>
      </c>
      <c r="AD82" t="e">
        <f t="shared" si="19"/>
        <v>#DIV/0!</v>
      </c>
      <c r="AE82" t="e">
        <f t="shared" si="20"/>
        <v>#DIV/0!</v>
      </c>
      <c r="AF82" t="e">
        <f t="shared" si="21"/>
        <v>#DIV/0!</v>
      </c>
      <c r="AG82" t="e">
        <f t="shared" si="22"/>
        <v>#DIV/0!</v>
      </c>
      <c r="AH82" t="e">
        <f t="shared" si="29"/>
        <v>#DIV/0!</v>
      </c>
      <c r="AI82" t="e">
        <f t="shared" si="23"/>
        <v>#DIV/0!</v>
      </c>
      <c r="AJ82">
        <f t="shared" si="24"/>
        <v>0</v>
      </c>
      <c r="AK82" t="e">
        <f t="shared" si="25"/>
        <v>#N/A</v>
      </c>
      <c r="AL82">
        <f t="shared" si="26"/>
        <v>0</v>
      </c>
      <c r="AM82" t="e">
        <f t="shared" si="27"/>
        <v>#N/A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2">
        <f t="shared" si="28"/>
        <v>1</v>
      </c>
    </row>
    <row r="83" spans="2:42" x14ac:dyDescent="0.35">
      <c r="B83" s="12" t="str">
        <f>Demand!C88</f>
        <v/>
      </c>
      <c r="C83" s="68" t="str">
        <f>Demand!D88</f>
        <v/>
      </c>
      <c r="D83" s="68" t="str">
        <f>Demand!E88</f>
        <v/>
      </c>
      <c r="E83" s="6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3" t="e">
        <f t="shared" si="15"/>
        <v>#DIV/0!</v>
      </c>
      <c r="AA83" t="e">
        <f t="shared" si="16"/>
        <v>#DIV/0!</v>
      </c>
      <c r="AB83" t="e">
        <f t="shared" si="17"/>
        <v>#DIV/0!</v>
      </c>
      <c r="AC83" t="e">
        <f t="shared" si="18"/>
        <v>#DIV/0!</v>
      </c>
      <c r="AD83" t="e">
        <f t="shared" si="19"/>
        <v>#DIV/0!</v>
      </c>
      <c r="AE83" t="e">
        <f t="shared" si="20"/>
        <v>#DIV/0!</v>
      </c>
      <c r="AF83" t="e">
        <f t="shared" si="21"/>
        <v>#DIV/0!</v>
      </c>
      <c r="AG83" t="e">
        <f t="shared" si="22"/>
        <v>#DIV/0!</v>
      </c>
      <c r="AH83" t="e">
        <f t="shared" si="29"/>
        <v>#DIV/0!</v>
      </c>
      <c r="AI83" t="e">
        <f t="shared" si="23"/>
        <v>#DIV/0!</v>
      </c>
      <c r="AJ83">
        <f t="shared" si="24"/>
        <v>0</v>
      </c>
      <c r="AK83" t="e">
        <f t="shared" si="25"/>
        <v>#N/A</v>
      </c>
      <c r="AL83">
        <f t="shared" si="26"/>
        <v>0</v>
      </c>
      <c r="AM83" t="e">
        <f t="shared" si="27"/>
        <v>#N/A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3">
        <f t="shared" si="28"/>
        <v>1</v>
      </c>
    </row>
    <row r="84" spans="2:42" x14ac:dyDescent="0.35">
      <c r="B84" s="12" t="str">
        <f>Demand!C89</f>
        <v/>
      </c>
      <c r="C84" s="68" t="str">
        <f>Demand!D89</f>
        <v/>
      </c>
      <c r="D84" s="68" t="str">
        <f>Demand!E89</f>
        <v/>
      </c>
      <c r="E84" s="6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4" t="e">
        <f t="shared" si="15"/>
        <v>#DIV/0!</v>
      </c>
      <c r="AA84" t="e">
        <f t="shared" si="16"/>
        <v>#DIV/0!</v>
      </c>
      <c r="AB84" t="e">
        <f t="shared" si="17"/>
        <v>#DIV/0!</v>
      </c>
      <c r="AC84" t="e">
        <f t="shared" si="18"/>
        <v>#DIV/0!</v>
      </c>
      <c r="AD84" t="e">
        <f t="shared" si="19"/>
        <v>#DIV/0!</v>
      </c>
      <c r="AE84" t="e">
        <f t="shared" si="20"/>
        <v>#DIV/0!</v>
      </c>
      <c r="AF84" t="e">
        <f t="shared" si="21"/>
        <v>#DIV/0!</v>
      </c>
      <c r="AG84" t="e">
        <f t="shared" si="22"/>
        <v>#DIV/0!</v>
      </c>
      <c r="AH84" t="e">
        <f t="shared" si="29"/>
        <v>#DIV/0!</v>
      </c>
      <c r="AI84" t="e">
        <f t="shared" si="23"/>
        <v>#DIV/0!</v>
      </c>
      <c r="AJ84">
        <f t="shared" si="24"/>
        <v>0</v>
      </c>
      <c r="AK84" t="e">
        <f t="shared" si="25"/>
        <v>#N/A</v>
      </c>
      <c r="AL84">
        <f t="shared" si="26"/>
        <v>0</v>
      </c>
      <c r="AM84" t="e">
        <f t="shared" si="27"/>
        <v>#N/A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4">
        <f t="shared" si="28"/>
        <v>1</v>
      </c>
    </row>
    <row r="85" spans="2:42" x14ac:dyDescent="0.35">
      <c r="B85" s="12" t="str">
        <f>Demand!C90</f>
        <v/>
      </c>
      <c r="C85" s="68" t="str">
        <f>Demand!D90</f>
        <v/>
      </c>
      <c r="D85" s="68" t="str">
        <f>Demand!E90</f>
        <v/>
      </c>
      <c r="E85" s="6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5" t="e">
        <f t="shared" si="15"/>
        <v>#DIV/0!</v>
      </c>
      <c r="AA85" t="e">
        <f t="shared" si="16"/>
        <v>#DIV/0!</v>
      </c>
      <c r="AB85" t="e">
        <f t="shared" si="17"/>
        <v>#DIV/0!</v>
      </c>
      <c r="AC85" t="e">
        <f t="shared" si="18"/>
        <v>#DIV/0!</v>
      </c>
      <c r="AD85" t="e">
        <f t="shared" si="19"/>
        <v>#DIV/0!</v>
      </c>
      <c r="AE85" t="e">
        <f t="shared" si="20"/>
        <v>#DIV/0!</v>
      </c>
      <c r="AF85" t="e">
        <f t="shared" si="21"/>
        <v>#DIV/0!</v>
      </c>
      <c r="AG85" t="e">
        <f t="shared" si="22"/>
        <v>#DIV/0!</v>
      </c>
      <c r="AH85" t="e">
        <f t="shared" si="29"/>
        <v>#DIV/0!</v>
      </c>
      <c r="AI85" t="e">
        <f t="shared" si="23"/>
        <v>#DIV/0!</v>
      </c>
      <c r="AJ85">
        <f t="shared" si="24"/>
        <v>0</v>
      </c>
      <c r="AK85" t="e">
        <f t="shared" si="25"/>
        <v>#N/A</v>
      </c>
      <c r="AL85">
        <f t="shared" si="26"/>
        <v>0</v>
      </c>
      <c r="AM85" t="e">
        <f t="shared" si="27"/>
        <v>#N/A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5">
        <f t="shared" si="28"/>
        <v>1</v>
      </c>
    </row>
    <row r="86" spans="2:42" x14ac:dyDescent="0.35">
      <c r="B86" s="12" t="str">
        <f>Demand!C91</f>
        <v/>
      </c>
      <c r="C86" s="68" t="str">
        <f>Demand!D91</f>
        <v/>
      </c>
      <c r="D86" s="68" t="str">
        <f>Demand!E91</f>
        <v/>
      </c>
      <c r="E86" s="6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6" t="e">
        <f t="shared" si="15"/>
        <v>#DIV/0!</v>
      </c>
      <c r="AA86" t="e">
        <f t="shared" si="16"/>
        <v>#DIV/0!</v>
      </c>
      <c r="AB86" t="e">
        <f t="shared" si="17"/>
        <v>#DIV/0!</v>
      </c>
      <c r="AC86" t="e">
        <f t="shared" si="18"/>
        <v>#DIV/0!</v>
      </c>
      <c r="AD86" t="e">
        <f t="shared" si="19"/>
        <v>#DIV/0!</v>
      </c>
      <c r="AE86" t="e">
        <f t="shared" si="20"/>
        <v>#DIV/0!</v>
      </c>
      <c r="AF86" t="e">
        <f t="shared" si="21"/>
        <v>#DIV/0!</v>
      </c>
      <c r="AG86" t="e">
        <f t="shared" si="22"/>
        <v>#DIV/0!</v>
      </c>
      <c r="AH86" t="e">
        <f t="shared" si="29"/>
        <v>#DIV/0!</v>
      </c>
      <c r="AI86" t="e">
        <f t="shared" si="23"/>
        <v>#DIV/0!</v>
      </c>
      <c r="AJ86">
        <f t="shared" si="24"/>
        <v>0</v>
      </c>
      <c r="AK86" t="e">
        <f t="shared" si="25"/>
        <v>#N/A</v>
      </c>
      <c r="AL86">
        <f t="shared" si="26"/>
        <v>0</v>
      </c>
      <c r="AM86" t="e">
        <f t="shared" si="27"/>
        <v>#N/A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6">
        <f t="shared" si="28"/>
        <v>1</v>
      </c>
    </row>
    <row r="87" spans="2:42" x14ac:dyDescent="0.35">
      <c r="B87" s="12" t="str">
        <f>Demand!C92</f>
        <v/>
      </c>
      <c r="C87" s="68" t="str">
        <f>Demand!D92</f>
        <v/>
      </c>
      <c r="D87" s="68" t="str">
        <f>Demand!E92</f>
        <v/>
      </c>
      <c r="E87" s="6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7" t="e">
        <f t="shared" si="15"/>
        <v>#DIV/0!</v>
      </c>
      <c r="AA87" t="e">
        <f t="shared" si="16"/>
        <v>#DIV/0!</v>
      </c>
      <c r="AB87" t="e">
        <f t="shared" si="17"/>
        <v>#DIV/0!</v>
      </c>
      <c r="AC87" t="e">
        <f t="shared" si="18"/>
        <v>#DIV/0!</v>
      </c>
      <c r="AD87" t="e">
        <f t="shared" si="19"/>
        <v>#DIV/0!</v>
      </c>
      <c r="AE87" t="e">
        <f t="shared" si="20"/>
        <v>#DIV/0!</v>
      </c>
      <c r="AF87" t="e">
        <f t="shared" si="21"/>
        <v>#DIV/0!</v>
      </c>
      <c r="AG87" t="e">
        <f t="shared" si="22"/>
        <v>#DIV/0!</v>
      </c>
      <c r="AH87" t="e">
        <f t="shared" si="29"/>
        <v>#DIV/0!</v>
      </c>
      <c r="AI87" t="e">
        <f t="shared" si="23"/>
        <v>#DIV/0!</v>
      </c>
      <c r="AJ87">
        <f t="shared" si="24"/>
        <v>0</v>
      </c>
      <c r="AK87" t="e">
        <f t="shared" si="25"/>
        <v>#N/A</v>
      </c>
      <c r="AL87">
        <f t="shared" si="26"/>
        <v>0</v>
      </c>
      <c r="AM87" t="e">
        <f t="shared" si="27"/>
        <v>#N/A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7">
        <f t="shared" si="28"/>
        <v>1</v>
      </c>
    </row>
    <row r="88" spans="2:42" x14ac:dyDescent="0.35">
      <c r="B88" s="12" t="str">
        <f>Demand!C93</f>
        <v/>
      </c>
      <c r="C88" s="68" t="str">
        <f>Demand!D93</f>
        <v/>
      </c>
      <c r="D88" s="68" t="str">
        <f>Demand!E93</f>
        <v/>
      </c>
      <c r="E88" s="6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8" t="e">
        <f t="shared" si="15"/>
        <v>#DIV/0!</v>
      </c>
      <c r="AA88" t="e">
        <f t="shared" si="16"/>
        <v>#DIV/0!</v>
      </c>
      <c r="AB88" t="e">
        <f t="shared" si="17"/>
        <v>#DIV/0!</v>
      </c>
      <c r="AC88" t="e">
        <f t="shared" si="18"/>
        <v>#DIV/0!</v>
      </c>
      <c r="AD88" t="e">
        <f t="shared" si="19"/>
        <v>#DIV/0!</v>
      </c>
      <c r="AE88" t="e">
        <f t="shared" si="20"/>
        <v>#DIV/0!</v>
      </c>
      <c r="AF88" t="e">
        <f t="shared" si="21"/>
        <v>#DIV/0!</v>
      </c>
      <c r="AG88" t="e">
        <f t="shared" si="22"/>
        <v>#DIV/0!</v>
      </c>
      <c r="AH88" t="e">
        <f t="shared" si="29"/>
        <v>#DIV/0!</v>
      </c>
      <c r="AI88" t="e">
        <f t="shared" si="23"/>
        <v>#DIV/0!</v>
      </c>
      <c r="AJ88">
        <f t="shared" si="24"/>
        <v>0</v>
      </c>
      <c r="AK88" t="e">
        <f t="shared" si="25"/>
        <v>#N/A</v>
      </c>
      <c r="AL88">
        <f t="shared" si="26"/>
        <v>0</v>
      </c>
      <c r="AM88" t="e">
        <f t="shared" si="27"/>
        <v>#N/A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8">
        <f t="shared" si="28"/>
        <v>1</v>
      </c>
    </row>
    <row r="89" spans="2:42" x14ac:dyDescent="0.35">
      <c r="B89" s="12" t="str">
        <f>Demand!C94</f>
        <v/>
      </c>
      <c r="C89" s="68" t="str">
        <f>Demand!D94</f>
        <v/>
      </c>
      <c r="D89" s="68" t="str">
        <f>Demand!E94</f>
        <v/>
      </c>
      <c r="E89" s="6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9" t="e">
        <f t="shared" si="15"/>
        <v>#DIV/0!</v>
      </c>
      <c r="AA89" t="e">
        <f t="shared" si="16"/>
        <v>#DIV/0!</v>
      </c>
      <c r="AB89" t="e">
        <f t="shared" si="17"/>
        <v>#DIV/0!</v>
      </c>
      <c r="AC89" t="e">
        <f t="shared" si="18"/>
        <v>#DIV/0!</v>
      </c>
      <c r="AD89" t="e">
        <f t="shared" si="19"/>
        <v>#DIV/0!</v>
      </c>
      <c r="AE89" t="e">
        <f t="shared" si="20"/>
        <v>#DIV/0!</v>
      </c>
      <c r="AF89" t="e">
        <f t="shared" si="21"/>
        <v>#DIV/0!</v>
      </c>
      <c r="AG89" t="e">
        <f t="shared" si="22"/>
        <v>#DIV/0!</v>
      </c>
      <c r="AH89" t="e">
        <f t="shared" si="29"/>
        <v>#DIV/0!</v>
      </c>
      <c r="AI89" t="e">
        <f t="shared" si="23"/>
        <v>#DIV/0!</v>
      </c>
      <c r="AJ89">
        <f t="shared" si="24"/>
        <v>0</v>
      </c>
      <c r="AK89" t="e">
        <f t="shared" si="25"/>
        <v>#N/A</v>
      </c>
      <c r="AL89">
        <f t="shared" si="26"/>
        <v>0</v>
      </c>
      <c r="AM89" t="e">
        <f t="shared" si="27"/>
        <v>#N/A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9">
        <f t="shared" si="28"/>
        <v>1</v>
      </c>
    </row>
    <row r="90" spans="2:42" x14ac:dyDescent="0.35">
      <c r="B90" s="12" t="str">
        <f>Demand!C95</f>
        <v/>
      </c>
      <c r="C90" s="68" t="str">
        <f>Demand!D95</f>
        <v/>
      </c>
      <c r="D90" s="68" t="str">
        <f>Demand!E95</f>
        <v/>
      </c>
      <c r="E90" s="6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0" t="e">
        <f t="shared" si="15"/>
        <v>#DIV/0!</v>
      </c>
      <c r="AA90" t="e">
        <f t="shared" si="16"/>
        <v>#DIV/0!</v>
      </c>
      <c r="AB90" t="e">
        <f t="shared" si="17"/>
        <v>#DIV/0!</v>
      </c>
      <c r="AC90" t="e">
        <f t="shared" si="18"/>
        <v>#DIV/0!</v>
      </c>
      <c r="AD90" t="e">
        <f t="shared" si="19"/>
        <v>#DIV/0!</v>
      </c>
      <c r="AE90" t="e">
        <f t="shared" si="20"/>
        <v>#DIV/0!</v>
      </c>
      <c r="AF90" t="e">
        <f t="shared" si="21"/>
        <v>#DIV/0!</v>
      </c>
      <c r="AG90" t="e">
        <f t="shared" si="22"/>
        <v>#DIV/0!</v>
      </c>
      <c r="AH90" t="e">
        <f t="shared" si="29"/>
        <v>#DIV/0!</v>
      </c>
      <c r="AI90" t="e">
        <f t="shared" si="23"/>
        <v>#DIV/0!</v>
      </c>
      <c r="AJ90">
        <f t="shared" si="24"/>
        <v>0</v>
      </c>
      <c r="AK90" t="e">
        <f t="shared" si="25"/>
        <v>#N/A</v>
      </c>
      <c r="AL90">
        <f t="shared" si="26"/>
        <v>0</v>
      </c>
      <c r="AM90" t="e">
        <f t="shared" si="27"/>
        <v>#N/A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0">
        <f t="shared" si="28"/>
        <v>1</v>
      </c>
    </row>
    <row r="91" spans="2:42" x14ac:dyDescent="0.35">
      <c r="B91" s="12" t="str">
        <f>Demand!C96</f>
        <v/>
      </c>
      <c r="C91" s="68" t="str">
        <f>Demand!D96</f>
        <v/>
      </c>
      <c r="D91" s="68" t="str">
        <f>Demand!E96</f>
        <v/>
      </c>
      <c r="E91" s="6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1" t="e">
        <f t="shared" si="15"/>
        <v>#DIV/0!</v>
      </c>
      <c r="AA91" t="e">
        <f t="shared" si="16"/>
        <v>#DIV/0!</v>
      </c>
      <c r="AB91" t="e">
        <f t="shared" si="17"/>
        <v>#DIV/0!</v>
      </c>
      <c r="AC91" t="e">
        <f t="shared" si="18"/>
        <v>#DIV/0!</v>
      </c>
      <c r="AD91" t="e">
        <f t="shared" si="19"/>
        <v>#DIV/0!</v>
      </c>
      <c r="AE91" t="e">
        <f t="shared" si="20"/>
        <v>#DIV/0!</v>
      </c>
      <c r="AF91" t="e">
        <f t="shared" si="21"/>
        <v>#DIV/0!</v>
      </c>
      <c r="AG91" t="e">
        <f t="shared" si="22"/>
        <v>#DIV/0!</v>
      </c>
      <c r="AH91" t="e">
        <f t="shared" si="29"/>
        <v>#DIV/0!</v>
      </c>
      <c r="AI91" t="e">
        <f t="shared" si="23"/>
        <v>#DIV/0!</v>
      </c>
      <c r="AJ91">
        <f t="shared" si="24"/>
        <v>0</v>
      </c>
      <c r="AK91" t="e">
        <f t="shared" si="25"/>
        <v>#N/A</v>
      </c>
      <c r="AL91">
        <f t="shared" si="26"/>
        <v>0</v>
      </c>
      <c r="AM91" t="e">
        <f t="shared" si="27"/>
        <v>#N/A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1">
        <f t="shared" si="28"/>
        <v>1</v>
      </c>
    </row>
    <row r="92" spans="2:42" x14ac:dyDescent="0.35">
      <c r="B92" s="12" t="str">
        <f>Demand!C97</f>
        <v/>
      </c>
      <c r="C92" s="68" t="str">
        <f>Demand!D97</f>
        <v/>
      </c>
      <c r="D92" s="68" t="str">
        <f>Demand!E97</f>
        <v/>
      </c>
      <c r="E92" s="6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2" t="e">
        <f t="shared" si="15"/>
        <v>#DIV/0!</v>
      </c>
      <c r="AA92" t="e">
        <f t="shared" si="16"/>
        <v>#DIV/0!</v>
      </c>
      <c r="AB92" t="e">
        <f t="shared" si="17"/>
        <v>#DIV/0!</v>
      </c>
      <c r="AC92" t="e">
        <f t="shared" si="18"/>
        <v>#DIV/0!</v>
      </c>
      <c r="AD92" t="e">
        <f t="shared" si="19"/>
        <v>#DIV/0!</v>
      </c>
      <c r="AE92" t="e">
        <f t="shared" si="20"/>
        <v>#DIV/0!</v>
      </c>
      <c r="AF92" t="e">
        <f t="shared" si="21"/>
        <v>#DIV/0!</v>
      </c>
      <c r="AG92" t="e">
        <f t="shared" si="22"/>
        <v>#DIV/0!</v>
      </c>
      <c r="AH92" t="e">
        <f t="shared" si="29"/>
        <v>#DIV/0!</v>
      </c>
      <c r="AI92" t="e">
        <f t="shared" si="23"/>
        <v>#DIV/0!</v>
      </c>
      <c r="AJ92">
        <f t="shared" si="24"/>
        <v>0</v>
      </c>
      <c r="AK92" t="e">
        <f t="shared" si="25"/>
        <v>#N/A</v>
      </c>
      <c r="AL92">
        <f t="shared" si="26"/>
        <v>0</v>
      </c>
      <c r="AM92" t="e">
        <f t="shared" si="27"/>
        <v>#N/A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2">
        <f t="shared" si="28"/>
        <v>1</v>
      </c>
    </row>
    <row r="93" spans="2:42" x14ac:dyDescent="0.35">
      <c r="B93" s="12" t="str">
        <f>Demand!C98</f>
        <v/>
      </c>
      <c r="C93" s="68" t="str">
        <f>Demand!D98</f>
        <v/>
      </c>
      <c r="D93" s="68" t="str">
        <f>Demand!E98</f>
        <v/>
      </c>
      <c r="E93" s="6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3" t="e">
        <f t="shared" si="15"/>
        <v>#DIV/0!</v>
      </c>
      <c r="AA93" t="e">
        <f t="shared" si="16"/>
        <v>#DIV/0!</v>
      </c>
      <c r="AB93" t="e">
        <f t="shared" si="17"/>
        <v>#DIV/0!</v>
      </c>
      <c r="AC93" t="e">
        <f t="shared" si="18"/>
        <v>#DIV/0!</v>
      </c>
      <c r="AD93" t="e">
        <f t="shared" si="19"/>
        <v>#DIV/0!</v>
      </c>
      <c r="AE93" t="e">
        <f t="shared" si="20"/>
        <v>#DIV/0!</v>
      </c>
      <c r="AF93" t="e">
        <f t="shared" si="21"/>
        <v>#DIV/0!</v>
      </c>
      <c r="AG93" t="e">
        <f t="shared" si="22"/>
        <v>#DIV/0!</v>
      </c>
      <c r="AH93" t="e">
        <f t="shared" si="29"/>
        <v>#DIV/0!</v>
      </c>
      <c r="AI93" t="e">
        <f t="shared" si="23"/>
        <v>#DIV/0!</v>
      </c>
      <c r="AJ93">
        <f t="shared" si="24"/>
        <v>0</v>
      </c>
      <c r="AK93" t="e">
        <f t="shared" si="25"/>
        <v>#N/A</v>
      </c>
      <c r="AL93">
        <f t="shared" si="26"/>
        <v>0</v>
      </c>
      <c r="AM93" t="e">
        <f t="shared" si="27"/>
        <v>#N/A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3">
        <f t="shared" si="28"/>
        <v>1</v>
      </c>
    </row>
    <row r="94" spans="2:42" x14ac:dyDescent="0.35">
      <c r="B94" s="12" t="str">
        <f>Demand!C99</f>
        <v/>
      </c>
      <c r="C94" s="68" t="str">
        <f>Demand!D99</f>
        <v/>
      </c>
      <c r="D94" s="68" t="str">
        <f>Demand!E99</f>
        <v/>
      </c>
      <c r="E94" s="6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4" t="e">
        <f t="shared" si="15"/>
        <v>#DIV/0!</v>
      </c>
      <c r="AA94" t="e">
        <f t="shared" si="16"/>
        <v>#DIV/0!</v>
      </c>
      <c r="AB94" t="e">
        <f t="shared" si="17"/>
        <v>#DIV/0!</v>
      </c>
      <c r="AC94" t="e">
        <f t="shared" si="18"/>
        <v>#DIV/0!</v>
      </c>
      <c r="AD94" t="e">
        <f t="shared" si="19"/>
        <v>#DIV/0!</v>
      </c>
      <c r="AE94" t="e">
        <f t="shared" si="20"/>
        <v>#DIV/0!</v>
      </c>
      <c r="AF94" t="e">
        <f t="shared" si="21"/>
        <v>#DIV/0!</v>
      </c>
      <c r="AG94" t="e">
        <f t="shared" si="22"/>
        <v>#DIV/0!</v>
      </c>
      <c r="AH94" t="e">
        <f t="shared" si="29"/>
        <v>#DIV/0!</v>
      </c>
      <c r="AI94" t="e">
        <f t="shared" si="23"/>
        <v>#DIV/0!</v>
      </c>
      <c r="AJ94">
        <f t="shared" si="24"/>
        <v>0</v>
      </c>
      <c r="AK94" t="e">
        <f t="shared" si="25"/>
        <v>#N/A</v>
      </c>
      <c r="AL94">
        <f t="shared" si="26"/>
        <v>0</v>
      </c>
      <c r="AM94" t="e">
        <f t="shared" si="27"/>
        <v>#N/A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4">
        <f t="shared" si="28"/>
        <v>1</v>
      </c>
    </row>
    <row r="95" spans="2:42" x14ac:dyDescent="0.35">
      <c r="B95" s="12" t="str">
        <f>Demand!C100</f>
        <v/>
      </c>
      <c r="C95" s="68" t="str">
        <f>Demand!D100</f>
        <v/>
      </c>
      <c r="D95" s="68" t="str">
        <f>Demand!E100</f>
        <v/>
      </c>
      <c r="E95" s="6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5" t="e">
        <f t="shared" si="15"/>
        <v>#DIV/0!</v>
      </c>
      <c r="AA95" t="e">
        <f t="shared" si="16"/>
        <v>#DIV/0!</v>
      </c>
      <c r="AB95" t="e">
        <f t="shared" si="17"/>
        <v>#DIV/0!</v>
      </c>
      <c r="AC95" t="e">
        <f t="shared" si="18"/>
        <v>#DIV/0!</v>
      </c>
      <c r="AD95" t="e">
        <f t="shared" si="19"/>
        <v>#DIV/0!</v>
      </c>
      <c r="AE95" t="e">
        <f t="shared" si="20"/>
        <v>#DIV/0!</v>
      </c>
      <c r="AF95" t="e">
        <f t="shared" si="21"/>
        <v>#DIV/0!</v>
      </c>
      <c r="AG95" t="e">
        <f t="shared" si="22"/>
        <v>#DIV/0!</v>
      </c>
      <c r="AH95" t="e">
        <f t="shared" si="29"/>
        <v>#DIV/0!</v>
      </c>
      <c r="AI95" t="e">
        <f t="shared" si="23"/>
        <v>#DIV/0!</v>
      </c>
      <c r="AJ95">
        <f t="shared" si="24"/>
        <v>0</v>
      </c>
      <c r="AK95" t="e">
        <f t="shared" si="25"/>
        <v>#N/A</v>
      </c>
      <c r="AL95">
        <f t="shared" si="26"/>
        <v>0</v>
      </c>
      <c r="AM95" t="e">
        <f t="shared" si="27"/>
        <v>#N/A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5">
        <f t="shared" si="28"/>
        <v>1</v>
      </c>
    </row>
    <row r="96" spans="2:42" x14ac:dyDescent="0.35">
      <c r="B96" s="12" t="str">
        <f>Demand!C101</f>
        <v/>
      </c>
      <c r="C96" s="68" t="str">
        <f>Demand!D101</f>
        <v/>
      </c>
      <c r="D96" s="68" t="str">
        <f>Demand!E101</f>
        <v/>
      </c>
      <c r="E96" s="6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6" t="e">
        <f t="shared" si="15"/>
        <v>#DIV/0!</v>
      </c>
      <c r="AA96" t="e">
        <f t="shared" si="16"/>
        <v>#DIV/0!</v>
      </c>
      <c r="AB96" t="e">
        <f t="shared" si="17"/>
        <v>#DIV/0!</v>
      </c>
      <c r="AC96" t="e">
        <f t="shared" si="18"/>
        <v>#DIV/0!</v>
      </c>
      <c r="AD96" t="e">
        <f t="shared" si="19"/>
        <v>#DIV/0!</v>
      </c>
      <c r="AE96" t="e">
        <f t="shared" si="20"/>
        <v>#DIV/0!</v>
      </c>
      <c r="AF96" t="e">
        <f t="shared" si="21"/>
        <v>#DIV/0!</v>
      </c>
      <c r="AG96" t="e">
        <f t="shared" si="22"/>
        <v>#DIV/0!</v>
      </c>
      <c r="AH96" t="e">
        <f t="shared" si="29"/>
        <v>#DIV/0!</v>
      </c>
      <c r="AI96" t="e">
        <f t="shared" si="23"/>
        <v>#DIV/0!</v>
      </c>
      <c r="AJ96">
        <f t="shared" si="24"/>
        <v>0</v>
      </c>
      <c r="AK96" t="e">
        <f t="shared" si="25"/>
        <v>#N/A</v>
      </c>
      <c r="AL96">
        <f t="shared" si="26"/>
        <v>0</v>
      </c>
      <c r="AM96" t="e">
        <f t="shared" si="27"/>
        <v>#N/A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6">
        <f t="shared" si="28"/>
        <v>1</v>
      </c>
    </row>
    <row r="97" spans="2:42" x14ac:dyDescent="0.35">
      <c r="B97" s="12" t="str">
        <f>Demand!C102</f>
        <v/>
      </c>
      <c r="C97" s="68" t="str">
        <f>Demand!D102</f>
        <v/>
      </c>
      <c r="D97" s="68" t="str">
        <f>Demand!E102</f>
        <v/>
      </c>
      <c r="E97" s="6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7" t="e">
        <f t="shared" si="15"/>
        <v>#DIV/0!</v>
      </c>
      <c r="AA97" t="e">
        <f t="shared" si="16"/>
        <v>#DIV/0!</v>
      </c>
      <c r="AB97" t="e">
        <f t="shared" si="17"/>
        <v>#DIV/0!</v>
      </c>
      <c r="AC97" t="e">
        <f t="shared" si="18"/>
        <v>#DIV/0!</v>
      </c>
      <c r="AD97" t="e">
        <f t="shared" si="19"/>
        <v>#DIV/0!</v>
      </c>
      <c r="AE97" t="e">
        <f t="shared" si="20"/>
        <v>#DIV/0!</v>
      </c>
      <c r="AF97" t="e">
        <f t="shared" si="21"/>
        <v>#DIV/0!</v>
      </c>
      <c r="AG97" t="e">
        <f t="shared" si="22"/>
        <v>#DIV/0!</v>
      </c>
      <c r="AH97" t="e">
        <f t="shared" si="29"/>
        <v>#DIV/0!</v>
      </c>
      <c r="AI97" t="e">
        <f t="shared" si="23"/>
        <v>#DIV/0!</v>
      </c>
      <c r="AJ97">
        <f t="shared" si="24"/>
        <v>0</v>
      </c>
      <c r="AK97" t="e">
        <f t="shared" si="25"/>
        <v>#N/A</v>
      </c>
      <c r="AL97">
        <f t="shared" si="26"/>
        <v>0</v>
      </c>
      <c r="AM97" t="e">
        <f t="shared" si="27"/>
        <v>#N/A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7">
        <f t="shared" si="28"/>
        <v>1</v>
      </c>
    </row>
    <row r="98" spans="2:42" x14ac:dyDescent="0.35">
      <c r="B98" s="12" t="str">
        <f>Demand!C103</f>
        <v/>
      </c>
      <c r="C98" s="68" t="str">
        <f>Demand!D103</f>
        <v/>
      </c>
      <c r="D98" s="68" t="str">
        <f>Demand!E103</f>
        <v/>
      </c>
      <c r="E98" s="6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8" t="e">
        <f t="shared" si="15"/>
        <v>#DIV/0!</v>
      </c>
      <c r="AA98" t="e">
        <f t="shared" si="16"/>
        <v>#DIV/0!</v>
      </c>
      <c r="AB98" t="e">
        <f t="shared" si="17"/>
        <v>#DIV/0!</v>
      </c>
      <c r="AC98" t="e">
        <f t="shared" si="18"/>
        <v>#DIV/0!</v>
      </c>
      <c r="AD98" t="e">
        <f t="shared" si="19"/>
        <v>#DIV/0!</v>
      </c>
      <c r="AE98" t="e">
        <f t="shared" si="20"/>
        <v>#DIV/0!</v>
      </c>
      <c r="AF98" t="e">
        <f t="shared" si="21"/>
        <v>#DIV/0!</v>
      </c>
      <c r="AG98" t="e">
        <f t="shared" si="22"/>
        <v>#DIV/0!</v>
      </c>
      <c r="AH98" t="e">
        <f t="shared" si="29"/>
        <v>#DIV/0!</v>
      </c>
      <c r="AI98" t="e">
        <f t="shared" si="23"/>
        <v>#DIV/0!</v>
      </c>
      <c r="AJ98">
        <f t="shared" si="24"/>
        <v>0</v>
      </c>
      <c r="AK98" t="e">
        <f t="shared" si="25"/>
        <v>#N/A</v>
      </c>
      <c r="AL98">
        <f t="shared" si="26"/>
        <v>0</v>
      </c>
      <c r="AM98" t="e">
        <f t="shared" si="27"/>
        <v>#N/A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8">
        <f t="shared" si="28"/>
        <v>1</v>
      </c>
    </row>
    <row r="99" spans="2:42" x14ac:dyDescent="0.35">
      <c r="B99" s="12" t="str">
        <f>Demand!C104</f>
        <v/>
      </c>
      <c r="C99" s="68" t="str">
        <f>Demand!D104</f>
        <v/>
      </c>
      <c r="D99" s="68" t="str">
        <f>Demand!E104</f>
        <v/>
      </c>
      <c r="E99" s="6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9" t="e">
        <f t="shared" si="15"/>
        <v>#DIV/0!</v>
      </c>
      <c r="AA99" t="e">
        <f t="shared" si="16"/>
        <v>#DIV/0!</v>
      </c>
      <c r="AB99" t="e">
        <f t="shared" si="17"/>
        <v>#DIV/0!</v>
      </c>
      <c r="AC99" t="e">
        <f t="shared" si="18"/>
        <v>#DIV/0!</v>
      </c>
      <c r="AD99" t="e">
        <f t="shared" si="19"/>
        <v>#DIV/0!</v>
      </c>
      <c r="AE99" t="e">
        <f t="shared" si="20"/>
        <v>#DIV/0!</v>
      </c>
      <c r="AF99" t="e">
        <f t="shared" si="21"/>
        <v>#DIV/0!</v>
      </c>
      <c r="AG99" t="e">
        <f t="shared" si="22"/>
        <v>#DIV/0!</v>
      </c>
      <c r="AH99" t="e">
        <f t="shared" si="29"/>
        <v>#DIV/0!</v>
      </c>
      <c r="AI99" t="e">
        <f t="shared" si="23"/>
        <v>#DIV/0!</v>
      </c>
      <c r="AJ99">
        <f t="shared" si="24"/>
        <v>0</v>
      </c>
      <c r="AK99" t="e">
        <f t="shared" si="25"/>
        <v>#N/A</v>
      </c>
      <c r="AL99">
        <f t="shared" si="26"/>
        <v>0</v>
      </c>
      <c r="AM99" t="e">
        <f t="shared" si="27"/>
        <v>#N/A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9">
        <f t="shared" si="28"/>
        <v>1</v>
      </c>
    </row>
    <row r="100" spans="2:42" x14ac:dyDescent="0.35">
      <c r="B100" s="12" t="str">
        <f>Demand!C105</f>
        <v/>
      </c>
      <c r="C100" s="68" t="str">
        <f>Demand!D105</f>
        <v/>
      </c>
      <c r="D100" s="68" t="str">
        <f>Demand!E105</f>
        <v/>
      </c>
      <c r="E100" s="6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0" t="e">
        <f t="shared" si="15"/>
        <v>#DIV/0!</v>
      </c>
      <c r="AA100" t="e">
        <f t="shared" si="16"/>
        <v>#DIV/0!</v>
      </c>
      <c r="AB100" t="e">
        <f t="shared" si="17"/>
        <v>#DIV/0!</v>
      </c>
      <c r="AC100" t="e">
        <f t="shared" si="18"/>
        <v>#DIV/0!</v>
      </c>
      <c r="AD100" t="e">
        <f t="shared" si="19"/>
        <v>#DIV/0!</v>
      </c>
      <c r="AE100" t="e">
        <f t="shared" si="20"/>
        <v>#DIV/0!</v>
      </c>
      <c r="AF100" t="e">
        <f t="shared" si="21"/>
        <v>#DIV/0!</v>
      </c>
      <c r="AG100" t="e">
        <f t="shared" si="22"/>
        <v>#DIV/0!</v>
      </c>
      <c r="AH100" t="e">
        <f t="shared" si="29"/>
        <v>#DIV/0!</v>
      </c>
      <c r="AI100" t="e">
        <f t="shared" si="23"/>
        <v>#DIV/0!</v>
      </c>
      <c r="AJ100">
        <f t="shared" si="24"/>
        <v>0</v>
      </c>
      <c r="AK100" t="e">
        <f t="shared" si="25"/>
        <v>#N/A</v>
      </c>
      <c r="AL100">
        <f t="shared" si="26"/>
        <v>0</v>
      </c>
      <c r="AM100" t="e">
        <f t="shared" si="27"/>
        <v>#N/A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0">
        <f t="shared" si="28"/>
        <v>1</v>
      </c>
    </row>
    <row r="101" spans="2:42" x14ac:dyDescent="0.35">
      <c r="B101" s="12" t="str">
        <f>Demand!C106</f>
        <v/>
      </c>
      <c r="C101" s="68" t="str">
        <f>Demand!D106</f>
        <v/>
      </c>
      <c r="D101" s="68" t="str">
        <f>Demand!E106</f>
        <v/>
      </c>
      <c r="E101" s="6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1" t="e">
        <f t="shared" si="15"/>
        <v>#DIV/0!</v>
      </c>
      <c r="AA101" t="e">
        <f t="shared" si="16"/>
        <v>#DIV/0!</v>
      </c>
      <c r="AB101" t="e">
        <f t="shared" si="17"/>
        <v>#DIV/0!</v>
      </c>
      <c r="AC101" t="e">
        <f t="shared" si="18"/>
        <v>#DIV/0!</v>
      </c>
      <c r="AD101" t="e">
        <f t="shared" si="19"/>
        <v>#DIV/0!</v>
      </c>
      <c r="AE101" t="e">
        <f t="shared" si="20"/>
        <v>#DIV/0!</v>
      </c>
      <c r="AF101" t="e">
        <f t="shared" si="21"/>
        <v>#DIV/0!</v>
      </c>
      <c r="AG101" t="e">
        <f t="shared" si="22"/>
        <v>#DIV/0!</v>
      </c>
      <c r="AH101" t="e">
        <f t="shared" si="29"/>
        <v>#DIV/0!</v>
      </c>
      <c r="AI101" t="e">
        <f t="shared" si="23"/>
        <v>#DIV/0!</v>
      </c>
      <c r="AJ101">
        <f t="shared" si="24"/>
        <v>0</v>
      </c>
      <c r="AK101" t="e">
        <f t="shared" si="25"/>
        <v>#N/A</v>
      </c>
      <c r="AL101">
        <f t="shared" si="26"/>
        <v>0</v>
      </c>
      <c r="AM101" t="e">
        <f t="shared" si="27"/>
        <v>#N/A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1">
        <f t="shared" si="28"/>
        <v>1</v>
      </c>
    </row>
    <row r="102" spans="2:42" x14ac:dyDescent="0.35">
      <c r="B102" s="12" t="str">
        <f>Demand!C107</f>
        <v/>
      </c>
      <c r="C102" s="68" t="str">
        <f>Demand!D107</f>
        <v/>
      </c>
      <c r="D102" s="68" t="str">
        <f>Demand!E107</f>
        <v/>
      </c>
      <c r="E102" s="6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2" t="e">
        <f t="shared" si="15"/>
        <v>#DIV/0!</v>
      </c>
      <c r="AA102" t="e">
        <f t="shared" si="16"/>
        <v>#DIV/0!</v>
      </c>
      <c r="AB102" t="e">
        <f t="shared" si="17"/>
        <v>#DIV/0!</v>
      </c>
      <c r="AC102" t="e">
        <f t="shared" si="18"/>
        <v>#DIV/0!</v>
      </c>
      <c r="AD102" t="e">
        <f t="shared" si="19"/>
        <v>#DIV/0!</v>
      </c>
      <c r="AE102" t="e">
        <f t="shared" si="20"/>
        <v>#DIV/0!</v>
      </c>
      <c r="AF102" t="e">
        <f t="shared" si="21"/>
        <v>#DIV/0!</v>
      </c>
      <c r="AG102" t="e">
        <f t="shared" si="22"/>
        <v>#DIV/0!</v>
      </c>
      <c r="AH102" t="e">
        <f t="shared" si="29"/>
        <v>#DIV/0!</v>
      </c>
      <c r="AI102" t="e">
        <f t="shared" si="23"/>
        <v>#DIV/0!</v>
      </c>
      <c r="AJ102">
        <f t="shared" si="24"/>
        <v>0</v>
      </c>
      <c r="AK102" t="e">
        <f t="shared" si="25"/>
        <v>#N/A</v>
      </c>
      <c r="AL102">
        <f t="shared" si="26"/>
        <v>0</v>
      </c>
      <c r="AM102" t="e">
        <f t="shared" si="27"/>
        <v>#N/A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2">
        <f t="shared" si="28"/>
        <v>1</v>
      </c>
    </row>
    <row r="103" spans="2:42" x14ac:dyDescent="0.35">
      <c r="B103" s="12" t="str">
        <f>Demand!C108</f>
        <v/>
      </c>
      <c r="C103" s="68" t="str">
        <f>Demand!D108</f>
        <v/>
      </c>
      <c r="D103" s="68" t="str">
        <f>Demand!E108</f>
        <v/>
      </c>
      <c r="E103" s="6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3" t="e">
        <f t="shared" si="15"/>
        <v>#DIV/0!</v>
      </c>
      <c r="AA103" t="e">
        <f t="shared" si="16"/>
        <v>#DIV/0!</v>
      </c>
      <c r="AB103" t="e">
        <f t="shared" si="17"/>
        <v>#DIV/0!</v>
      </c>
      <c r="AC103" t="e">
        <f t="shared" si="18"/>
        <v>#DIV/0!</v>
      </c>
      <c r="AD103" t="e">
        <f t="shared" si="19"/>
        <v>#DIV/0!</v>
      </c>
      <c r="AE103" t="e">
        <f t="shared" si="20"/>
        <v>#DIV/0!</v>
      </c>
      <c r="AF103" t="e">
        <f t="shared" si="21"/>
        <v>#DIV/0!</v>
      </c>
      <c r="AG103" t="e">
        <f t="shared" si="22"/>
        <v>#DIV/0!</v>
      </c>
      <c r="AH103" t="e">
        <f t="shared" si="29"/>
        <v>#DIV/0!</v>
      </c>
      <c r="AI103" t="e">
        <f t="shared" si="23"/>
        <v>#DIV/0!</v>
      </c>
      <c r="AJ103">
        <f t="shared" si="24"/>
        <v>0</v>
      </c>
      <c r="AK103" t="e">
        <f t="shared" si="25"/>
        <v>#N/A</v>
      </c>
      <c r="AL103">
        <f t="shared" si="26"/>
        <v>0</v>
      </c>
      <c r="AM103" t="e">
        <f t="shared" si="27"/>
        <v>#N/A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3">
        <f t="shared" si="28"/>
        <v>1</v>
      </c>
    </row>
    <row r="104" spans="2:42" x14ac:dyDescent="0.35">
      <c r="B104" s="12" t="str">
        <f>Demand!C109</f>
        <v/>
      </c>
      <c r="C104" s="68" t="str">
        <f>Demand!D109</f>
        <v/>
      </c>
      <c r="D104" s="68" t="str">
        <f>Demand!E109</f>
        <v/>
      </c>
      <c r="E104" s="6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4" t="e">
        <f t="shared" si="15"/>
        <v>#DIV/0!</v>
      </c>
      <c r="AA104" t="e">
        <f t="shared" si="16"/>
        <v>#DIV/0!</v>
      </c>
      <c r="AB104" t="e">
        <f t="shared" si="17"/>
        <v>#DIV/0!</v>
      </c>
      <c r="AC104" t="e">
        <f t="shared" si="18"/>
        <v>#DIV/0!</v>
      </c>
      <c r="AD104" t="e">
        <f t="shared" si="19"/>
        <v>#DIV/0!</v>
      </c>
      <c r="AE104" t="e">
        <f t="shared" si="20"/>
        <v>#DIV/0!</v>
      </c>
      <c r="AF104" t="e">
        <f t="shared" si="21"/>
        <v>#DIV/0!</v>
      </c>
      <c r="AG104" t="e">
        <f t="shared" si="22"/>
        <v>#DIV/0!</v>
      </c>
      <c r="AH104" t="e">
        <f t="shared" si="29"/>
        <v>#DIV/0!</v>
      </c>
      <c r="AI104" t="e">
        <f t="shared" si="23"/>
        <v>#DIV/0!</v>
      </c>
      <c r="AJ104">
        <f t="shared" si="24"/>
        <v>0</v>
      </c>
      <c r="AK104" t="e">
        <f t="shared" si="25"/>
        <v>#N/A</v>
      </c>
      <c r="AL104">
        <f t="shared" si="26"/>
        <v>0</v>
      </c>
      <c r="AM104" t="e">
        <f t="shared" si="27"/>
        <v>#N/A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4">
        <f t="shared" si="28"/>
        <v>1</v>
      </c>
    </row>
    <row r="105" spans="2:42" x14ac:dyDescent="0.35">
      <c r="B105" s="12" t="str">
        <f>Demand!C110</f>
        <v/>
      </c>
      <c r="C105" s="68" t="str">
        <f>Demand!D110</f>
        <v/>
      </c>
      <c r="D105" s="68" t="str">
        <f>Demand!E110</f>
        <v/>
      </c>
      <c r="E105" s="6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5" t="e">
        <f t="shared" si="15"/>
        <v>#DIV/0!</v>
      </c>
      <c r="AA105" t="e">
        <f t="shared" si="16"/>
        <v>#DIV/0!</v>
      </c>
      <c r="AB105" t="e">
        <f t="shared" si="17"/>
        <v>#DIV/0!</v>
      </c>
      <c r="AC105" t="e">
        <f t="shared" si="18"/>
        <v>#DIV/0!</v>
      </c>
      <c r="AD105" t="e">
        <f t="shared" si="19"/>
        <v>#DIV/0!</v>
      </c>
      <c r="AE105" t="e">
        <f t="shared" si="20"/>
        <v>#DIV/0!</v>
      </c>
      <c r="AF105" t="e">
        <f t="shared" si="21"/>
        <v>#DIV/0!</v>
      </c>
      <c r="AG105" t="e">
        <f t="shared" si="22"/>
        <v>#DIV/0!</v>
      </c>
      <c r="AH105" t="e">
        <f t="shared" si="29"/>
        <v>#DIV/0!</v>
      </c>
      <c r="AI105" t="e">
        <f t="shared" si="23"/>
        <v>#DIV/0!</v>
      </c>
      <c r="AJ105">
        <f t="shared" si="24"/>
        <v>0</v>
      </c>
      <c r="AK105" t="e">
        <f t="shared" si="25"/>
        <v>#N/A</v>
      </c>
      <c r="AL105">
        <f t="shared" si="26"/>
        <v>0</v>
      </c>
      <c r="AM105" t="e">
        <f t="shared" si="27"/>
        <v>#N/A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5">
        <f t="shared" si="28"/>
        <v>1</v>
      </c>
    </row>
    <row r="106" spans="2:42" x14ac:dyDescent="0.35">
      <c r="B106" s="12" t="str">
        <f>Demand!C111</f>
        <v/>
      </c>
      <c r="C106" s="68" t="str">
        <f>Demand!D111</f>
        <v/>
      </c>
      <c r="D106" s="68" t="str">
        <f>Demand!E111</f>
        <v/>
      </c>
      <c r="E106" s="6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6" t="e">
        <f t="shared" si="15"/>
        <v>#DIV/0!</v>
      </c>
      <c r="AA106" t="e">
        <f t="shared" si="16"/>
        <v>#DIV/0!</v>
      </c>
      <c r="AB106" t="e">
        <f t="shared" si="17"/>
        <v>#DIV/0!</v>
      </c>
      <c r="AC106" t="e">
        <f t="shared" si="18"/>
        <v>#DIV/0!</v>
      </c>
      <c r="AD106" t="e">
        <f t="shared" si="19"/>
        <v>#DIV/0!</v>
      </c>
      <c r="AE106" t="e">
        <f t="shared" si="20"/>
        <v>#DIV/0!</v>
      </c>
      <c r="AF106" t="e">
        <f t="shared" si="21"/>
        <v>#DIV/0!</v>
      </c>
      <c r="AG106" t="e">
        <f t="shared" si="22"/>
        <v>#DIV/0!</v>
      </c>
      <c r="AH106" t="e">
        <f t="shared" si="29"/>
        <v>#DIV/0!</v>
      </c>
      <c r="AI106" t="e">
        <f t="shared" si="23"/>
        <v>#DIV/0!</v>
      </c>
      <c r="AJ106">
        <f t="shared" si="24"/>
        <v>0</v>
      </c>
      <c r="AK106" t="e">
        <f t="shared" si="25"/>
        <v>#N/A</v>
      </c>
      <c r="AL106">
        <f t="shared" si="26"/>
        <v>0</v>
      </c>
      <c r="AM106" t="e">
        <f t="shared" si="27"/>
        <v>#N/A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6">
        <f t="shared" si="28"/>
        <v>1</v>
      </c>
    </row>
    <row r="107" spans="2:42" x14ac:dyDescent="0.35">
      <c r="B107" s="12" t="str">
        <f>Demand!C112</f>
        <v/>
      </c>
      <c r="C107" s="68" t="str">
        <f>Demand!D112</f>
        <v/>
      </c>
      <c r="D107" s="68" t="str">
        <f>Demand!E112</f>
        <v/>
      </c>
      <c r="E107" s="6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7" t="e">
        <f t="shared" si="15"/>
        <v>#DIV/0!</v>
      </c>
      <c r="AA107" t="e">
        <f t="shared" si="16"/>
        <v>#DIV/0!</v>
      </c>
      <c r="AB107" t="e">
        <f t="shared" si="17"/>
        <v>#DIV/0!</v>
      </c>
      <c r="AC107" t="e">
        <f t="shared" si="18"/>
        <v>#DIV/0!</v>
      </c>
      <c r="AD107" t="e">
        <f t="shared" si="19"/>
        <v>#DIV/0!</v>
      </c>
      <c r="AE107" t="e">
        <f t="shared" si="20"/>
        <v>#DIV/0!</v>
      </c>
      <c r="AF107" t="e">
        <f t="shared" si="21"/>
        <v>#DIV/0!</v>
      </c>
      <c r="AG107" t="e">
        <f t="shared" si="22"/>
        <v>#DIV/0!</v>
      </c>
      <c r="AH107" t="e">
        <f t="shared" si="29"/>
        <v>#DIV/0!</v>
      </c>
      <c r="AI107" t="e">
        <f t="shared" si="23"/>
        <v>#DIV/0!</v>
      </c>
      <c r="AJ107">
        <f t="shared" si="24"/>
        <v>0</v>
      </c>
      <c r="AK107" t="e">
        <f t="shared" si="25"/>
        <v>#N/A</v>
      </c>
      <c r="AL107">
        <f t="shared" si="26"/>
        <v>0</v>
      </c>
      <c r="AM107" t="e">
        <f t="shared" si="27"/>
        <v>#N/A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7">
        <f t="shared" si="28"/>
        <v>1</v>
      </c>
    </row>
    <row r="108" spans="2:42" x14ac:dyDescent="0.35">
      <c r="B108" s="12" t="str">
        <f>Demand!C113</f>
        <v/>
      </c>
      <c r="C108" s="68" t="str">
        <f>Demand!D113</f>
        <v/>
      </c>
      <c r="D108" s="68" t="str">
        <f>Demand!E113</f>
        <v/>
      </c>
      <c r="E108" s="6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8" t="e">
        <f t="shared" si="15"/>
        <v>#DIV/0!</v>
      </c>
      <c r="AA108" t="e">
        <f t="shared" si="16"/>
        <v>#DIV/0!</v>
      </c>
      <c r="AB108" t="e">
        <f t="shared" si="17"/>
        <v>#DIV/0!</v>
      </c>
      <c r="AC108" t="e">
        <f t="shared" si="18"/>
        <v>#DIV/0!</v>
      </c>
      <c r="AD108" t="e">
        <f t="shared" si="19"/>
        <v>#DIV/0!</v>
      </c>
      <c r="AE108" t="e">
        <f t="shared" si="20"/>
        <v>#DIV/0!</v>
      </c>
      <c r="AF108" t="e">
        <f t="shared" si="21"/>
        <v>#DIV/0!</v>
      </c>
      <c r="AG108" t="e">
        <f t="shared" si="22"/>
        <v>#DIV/0!</v>
      </c>
      <c r="AH108" t="e">
        <f t="shared" si="29"/>
        <v>#DIV/0!</v>
      </c>
      <c r="AI108" t="e">
        <f t="shared" si="23"/>
        <v>#DIV/0!</v>
      </c>
      <c r="AJ108">
        <f t="shared" si="24"/>
        <v>0</v>
      </c>
      <c r="AK108" t="e">
        <f t="shared" si="25"/>
        <v>#N/A</v>
      </c>
      <c r="AL108">
        <f t="shared" si="26"/>
        <v>0</v>
      </c>
      <c r="AM108" t="e">
        <f t="shared" si="27"/>
        <v>#N/A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8">
        <f t="shared" si="28"/>
        <v>1</v>
      </c>
    </row>
    <row r="109" spans="2:42" x14ac:dyDescent="0.35">
      <c r="B109" s="12" t="str">
        <f>Demand!C114</f>
        <v/>
      </c>
      <c r="C109" s="68" t="str">
        <f>Demand!D114</f>
        <v/>
      </c>
      <c r="D109" s="68" t="str">
        <f>Demand!E114</f>
        <v/>
      </c>
      <c r="E109" s="6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9" t="e">
        <f t="shared" si="15"/>
        <v>#DIV/0!</v>
      </c>
      <c r="AA109" t="e">
        <f t="shared" si="16"/>
        <v>#DIV/0!</v>
      </c>
      <c r="AB109" t="e">
        <f t="shared" si="17"/>
        <v>#DIV/0!</v>
      </c>
      <c r="AC109" t="e">
        <f t="shared" si="18"/>
        <v>#DIV/0!</v>
      </c>
      <c r="AD109" t="e">
        <f t="shared" si="19"/>
        <v>#DIV/0!</v>
      </c>
      <c r="AE109" t="e">
        <f t="shared" si="20"/>
        <v>#DIV/0!</v>
      </c>
      <c r="AF109" t="e">
        <f t="shared" si="21"/>
        <v>#DIV/0!</v>
      </c>
      <c r="AG109" t="e">
        <f t="shared" si="22"/>
        <v>#DIV/0!</v>
      </c>
      <c r="AH109" t="e">
        <f t="shared" si="29"/>
        <v>#DIV/0!</v>
      </c>
      <c r="AI109" t="e">
        <f t="shared" si="23"/>
        <v>#DIV/0!</v>
      </c>
      <c r="AJ109">
        <f t="shared" si="24"/>
        <v>0</v>
      </c>
      <c r="AK109" t="e">
        <f t="shared" si="25"/>
        <v>#N/A</v>
      </c>
      <c r="AL109">
        <f t="shared" si="26"/>
        <v>0</v>
      </c>
      <c r="AM109" t="e">
        <f t="shared" si="27"/>
        <v>#N/A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9">
        <f t="shared" si="28"/>
        <v>1</v>
      </c>
    </row>
    <row r="110" spans="2:42" x14ac:dyDescent="0.35">
      <c r="B110" s="12" t="str">
        <f>Demand!C115</f>
        <v/>
      </c>
      <c r="C110" s="68" t="str">
        <f>Demand!D115</f>
        <v/>
      </c>
      <c r="D110" s="68" t="str">
        <f>Demand!E115</f>
        <v/>
      </c>
      <c r="E110" s="6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0" t="e">
        <f t="shared" si="15"/>
        <v>#DIV/0!</v>
      </c>
      <c r="AA110" t="e">
        <f t="shared" si="16"/>
        <v>#DIV/0!</v>
      </c>
      <c r="AB110" t="e">
        <f t="shared" si="17"/>
        <v>#DIV/0!</v>
      </c>
      <c r="AC110" t="e">
        <f t="shared" si="18"/>
        <v>#DIV/0!</v>
      </c>
      <c r="AD110" t="e">
        <f t="shared" si="19"/>
        <v>#DIV/0!</v>
      </c>
      <c r="AE110" t="e">
        <f t="shared" si="20"/>
        <v>#DIV/0!</v>
      </c>
      <c r="AF110" t="e">
        <f t="shared" si="21"/>
        <v>#DIV/0!</v>
      </c>
      <c r="AG110" t="e">
        <f t="shared" si="22"/>
        <v>#DIV/0!</v>
      </c>
      <c r="AH110" t="e">
        <f t="shared" si="29"/>
        <v>#DIV/0!</v>
      </c>
      <c r="AI110" t="e">
        <f t="shared" si="23"/>
        <v>#DIV/0!</v>
      </c>
      <c r="AJ110">
        <f t="shared" si="24"/>
        <v>0</v>
      </c>
      <c r="AK110" t="e">
        <f t="shared" si="25"/>
        <v>#N/A</v>
      </c>
      <c r="AL110">
        <f t="shared" si="26"/>
        <v>0</v>
      </c>
      <c r="AM110" t="e">
        <f t="shared" si="27"/>
        <v>#N/A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0">
        <f t="shared" si="28"/>
        <v>1</v>
      </c>
    </row>
    <row r="111" spans="2:42" x14ac:dyDescent="0.35">
      <c r="B111" s="12" t="str">
        <f>Demand!C116</f>
        <v/>
      </c>
      <c r="C111" s="68" t="str">
        <f>Demand!D116</f>
        <v/>
      </c>
      <c r="D111" s="68" t="str">
        <f>Demand!E116</f>
        <v/>
      </c>
      <c r="E111" s="6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1" t="e">
        <f t="shared" si="15"/>
        <v>#DIV/0!</v>
      </c>
      <c r="AA111" t="e">
        <f t="shared" si="16"/>
        <v>#DIV/0!</v>
      </c>
      <c r="AB111" t="e">
        <f t="shared" si="17"/>
        <v>#DIV/0!</v>
      </c>
      <c r="AC111" t="e">
        <f t="shared" si="18"/>
        <v>#DIV/0!</v>
      </c>
      <c r="AD111" t="e">
        <f t="shared" si="19"/>
        <v>#DIV/0!</v>
      </c>
      <c r="AE111" t="e">
        <f t="shared" si="20"/>
        <v>#DIV/0!</v>
      </c>
      <c r="AF111" t="e">
        <f t="shared" si="21"/>
        <v>#DIV/0!</v>
      </c>
      <c r="AG111" t="e">
        <f t="shared" si="22"/>
        <v>#DIV/0!</v>
      </c>
      <c r="AH111" t="e">
        <f t="shared" si="29"/>
        <v>#DIV/0!</v>
      </c>
      <c r="AI111" t="e">
        <f t="shared" si="23"/>
        <v>#DIV/0!</v>
      </c>
      <c r="AJ111">
        <f t="shared" si="24"/>
        <v>0</v>
      </c>
      <c r="AK111" t="e">
        <f t="shared" si="25"/>
        <v>#N/A</v>
      </c>
      <c r="AL111">
        <f t="shared" si="26"/>
        <v>0</v>
      </c>
      <c r="AM111" t="e">
        <f t="shared" si="27"/>
        <v>#N/A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1">
        <f t="shared" si="28"/>
        <v>1</v>
      </c>
    </row>
    <row r="112" spans="2:42" x14ac:dyDescent="0.35">
      <c r="B112" s="12" t="str">
        <f>Demand!C117</f>
        <v/>
      </c>
      <c r="C112" s="68" t="str">
        <f>Demand!D117</f>
        <v/>
      </c>
      <c r="D112" s="68" t="str">
        <f>Demand!E117</f>
        <v/>
      </c>
      <c r="E112" s="6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2" t="e">
        <f t="shared" si="15"/>
        <v>#DIV/0!</v>
      </c>
      <c r="AA112" t="e">
        <f t="shared" si="16"/>
        <v>#DIV/0!</v>
      </c>
      <c r="AB112" t="e">
        <f t="shared" si="17"/>
        <v>#DIV/0!</v>
      </c>
      <c r="AC112" t="e">
        <f t="shared" si="18"/>
        <v>#DIV/0!</v>
      </c>
      <c r="AD112" t="e">
        <f t="shared" si="19"/>
        <v>#DIV/0!</v>
      </c>
      <c r="AE112" t="e">
        <f t="shared" si="20"/>
        <v>#DIV/0!</v>
      </c>
      <c r="AF112" t="e">
        <f t="shared" si="21"/>
        <v>#DIV/0!</v>
      </c>
      <c r="AG112" t="e">
        <f t="shared" si="22"/>
        <v>#DIV/0!</v>
      </c>
      <c r="AH112" t="e">
        <f t="shared" si="29"/>
        <v>#DIV/0!</v>
      </c>
      <c r="AI112" t="e">
        <f t="shared" si="23"/>
        <v>#DIV/0!</v>
      </c>
      <c r="AJ112">
        <f t="shared" si="24"/>
        <v>0</v>
      </c>
      <c r="AK112" t="e">
        <f t="shared" si="25"/>
        <v>#N/A</v>
      </c>
      <c r="AL112">
        <f t="shared" si="26"/>
        <v>0</v>
      </c>
      <c r="AM112" t="e">
        <f t="shared" si="27"/>
        <v>#N/A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2">
        <f t="shared" si="28"/>
        <v>1</v>
      </c>
    </row>
    <row r="113" spans="2:42" x14ac:dyDescent="0.35">
      <c r="B113" s="12" t="str">
        <f>Demand!C118</f>
        <v/>
      </c>
      <c r="C113" s="68" t="str">
        <f>Demand!D118</f>
        <v/>
      </c>
      <c r="D113" s="68" t="str">
        <f>Demand!E118</f>
        <v/>
      </c>
      <c r="E113" s="6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3" t="e">
        <f t="shared" si="15"/>
        <v>#DIV/0!</v>
      </c>
      <c r="AA113" t="e">
        <f t="shared" si="16"/>
        <v>#DIV/0!</v>
      </c>
      <c r="AB113" t="e">
        <f t="shared" si="17"/>
        <v>#DIV/0!</v>
      </c>
      <c r="AC113" t="e">
        <f t="shared" si="18"/>
        <v>#DIV/0!</v>
      </c>
      <c r="AD113" t="e">
        <f t="shared" si="19"/>
        <v>#DIV/0!</v>
      </c>
      <c r="AE113" t="e">
        <f t="shared" si="20"/>
        <v>#DIV/0!</v>
      </c>
      <c r="AF113" t="e">
        <f t="shared" si="21"/>
        <v>#DIV/0!</v>
      </c>
      <c r="AG113" t="e">
        <f t="shared" si="22"/>
        <v>#DIV/0!</v>
      </c>
      <c r="AH113" t="e">
        <f t="shared" si="29"/>
        <v>#DIV/0!</v>
      </c>
      <c r="AI113" t="e">
        <f t="shared" si="23"/>
        <v>#DIV/0!</v>
      </c>
      <c r="AJ113">
        <f t="shared" si="24"/>
        <v>0</v>
      </c>
      <c r="AK113" t="e">
        <f t="shared" si="25"/>
        <v>#N/A</v>
      </c>
      <c r="AL113">
        <f t="shared" si="26"/>
        <v>0</v>
      </c>
      <c r="AM113" t="e">
        <f t="shared" si="27"/>
        <v>#N/A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3">
        <f t="shared" si="28"/>
        <v>1</v>
      </c>
    </row>
    <row r="114" spans="2:42" x14ac:dyDescent="0.35">
      <c r="B114" s="12" t="str">
        <f>Demand!C119</f>
        <v/>
      </c>
      <c r="C114" s="68" t="str">
        <f>Demand!D119</f>
        <v/>
      </c>
      <c r="D114" s="68" t="str">
        <f>Demand!E119</f>
        <v/>
      </c>
      <c r="E114" s="6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4" t="e">
        <f t="shared" si="15"/>
        <v>#DIV/0!</v>
      </c>
      <c r="AA114" t="e">
        <f t="shared" si="16"/>
        <v>#DIV/0!</v>
      </c>
      <c r="AB114" t="e">
        <f t="shared" si="17"/>
        <v>#DIV/0!</v>
      </c>
      <c r="AC114" t="e">
        <f t="shared" si="18"/>
        <v>#DIV/0!</v>
      </c>
      <c r="AD114" t="e">
        <f t="shared" si="19"/>
        <v>#DIV/0!</v>
      </c>
      <c r="AE114" t="e">
        <f t="shared" si="20"/>
        <v>#DIV/0!</v>
      </c>
      <c r="AF114" t="e">
        <f t="shared" si="21"/>
        <v>#DIV/0!</v>
      </c>
      <c r="AG114" t="e">
        <f t="shared" si="22"/>
        <v>#DIV/0!</v>
      </c>
      <c r="AH114" t="e">
        <f t="shared" si="29"/>
        <v>#DIV/0!</v>
      </c>
      <c r="AI114" t="e">
        <f t="shared" si="23"/>
        <v>#DIV/0!</v>
      </c>
      <c r="AJ114">
        <f t="shared" si="24"/>
        <v>0</v>
      </c>
      <c r="AK114" t="e">
        <f t="shared" si="25"/>
        <v>#N/A</v>
      </c>
      <c r="AL114">
        <f t="shared" si="26"/>
        <v>0</v>
      </c>
      <c r="AM114" t="e">
        <f t="shared" si="27"/>
        <v>#N/A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4">
        <f t="shared" si="28"/>
        <v>1</v>
      </c>
    </row>
    <row r="115" spans="2:42" x14ac:dyDescent="0.35">
      <c r="B115" s="12" t="str">
        <f>Demand!C120</f>
        <v/>
      </c>
      <c r="C115" s="68" t="str">
        <f>Demand!D120</f>
        <v/>
      </c>
      <c r="D115" s="68" t="str">
        <f>Demand!E120</f>
        <v/>
      </c>
      <c r="E115" s="6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5" t="e">
        <f t="shared" si="15"/>
        <v>#DIV/0!</v>
      </c>
      <c r="AA115" t="e">
        <f t="shared" si="16"/>
        <v>#DIV/0!</v>
      </c>
      <c r="AB115" t="e">
        <f t="shared" si="17"/>
        <v>#DIV/0!</v>
      </c>
      <c r="AC115" t="e">
        <f t="shared" si="18"/>
        <v>#DIV/0!</v>
      </c>
      <c r="AD115" t="e">
        <f t="shared" si="19"/>
        <v>#DIV/0!</v>
      </c>
      <c r="AE115" t="e">
        <f t="shared" si="20"/>
        <v>#DIV/0!</v>
      </c>
      <c r="AF115" t="e">
        <f t="shared" si="21"/>
        <v>#DIV/0!</v>
      </c>
      <c r="AG115" t="e">
        <f t="shared" si="22"/>
        <v>#DIV/0!</v>
      </c>
      <c r="AH115" t="e">
        <f t="shared" si="29"/>
        <v>#DIV/0!</v>
      </c>
      <c r="AI115" t="e">
        <f t="shared" si="23"/>
        <v>#DIV/0!</v>
      </c>
      <c r="AJ115">
        <f t="shared" si="24"/>
        <v>0</v>
      </c>
      <c r="AK115" t="e">
        <f t="shared" si="25"/>
        <v>#N/A</v>
      </c>
      <c r="AL115">
        <f t="shared" si="26"/>
        <v>0</v>
      </c>
      <c r="AM115" t="e">
        <f t="shared" si="27"/>
        <v>#N/A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5">
        <f t="shared" si="28"/>
        <v>1</v>
      </c>
    </row>
    <row r="116" spans="2:42" x14ac:dyDescent="0.35">
      <c r="B116" s="12" t="str">
        <f>Demand!C121</f>
        <v/>
      </c>
      <c r="C116" s="68" t="str">
        <f>Demand!D121</f>
        <v/>
      </c>
      <c r="D116" s="68" t="str">
        <f>Demand!E121</f>
        <v/>
      </c>
      <c r="E116" s="6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6" t="e">
        <f t="shared" si="15"/>
        <v>#DIV/0!</v>
      </c>
      <c r="AA116" t="e">
        <f t="shared" si="16"/>
        <v>#DIV/0!</v>
      </c>
      <c r="AB116" t="e">
        <f t="shared" si="17"/>
        <v>#DIV/0!</v>
      </c>
      <c r="AC116" t="e">
        <f t="shared" si="18"/>
        <v>#DIV/0!</v>
      </c>
      <c r="AD116" t="e">
        <f t="shared" si="19"/>
        <v>#DIV/0!</v>
      </c>
      <c r="AE116" t="e">
        <f t="shared" si="20"/>
        <v>#DIV/0!</v>
      </c>
      <c r="AF116" t="e">
        <f t="shared" si="21"/>
        <v>#DIV/0!</v>
      </c>
      <c r="AG116" t="e">
        <f t="shared" si="22"/>
        <v>#DIV/0!</v>
      </c>
      <c r="AH116" t="e">
        <f t="shared" si="29"/>
        <v>#DIV/0!</v>
      </c>
      <c r="AI116" t="e">
        <f t="shared" si="23"/>
        <v>#DIV/0!</v>
      </c>
      <c r="AJ116">
        <f t="shared" si="24"/>
        <v>0</v>
      </c>
      <c r="AK116" t="e">
        <f t="shared" si="25"/>
        <v>#N/A</v>
      </c>
      <c r="AL116">
        <f t="shared" si="26"/>
        <v>0</v>
      </c>
      <c r="AM116" t="e">
        <f t="shared" si="27"/>
        <v>#N/A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6">
        <f t="shared" si="28"/>
        <v>1</v>
      </c>
    </row>
    <row r="117" spans="2:42" x14ac:dyDescent="0.35">
      <c r="B117" s="12" t="str">
        <f>Demand!C122</f>
        <v/>
      </c>
      <c r="C117" s="68" t="str">
        <f>Demand!D122</f>
        <v/>
      </c>
      <c r="D117" s="68" t="str">
        <f>Demand!E122</f>
        <v/>
      </c>
      <c r="E117" s="6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7" t="e">
        <f t="shared" si="15"/>
        <v>#DIV/0!</v>
      </c>
      <c r="AA117" t="e">
        <f t="shared" si="16"/>
        <v>#DIV/0!</v>
      </c>
      <c r="AB117" t="e">
        <f t="shared" si="17"/>
        <v>#DIV/0!</v>
      </c>
      <c r="AC117" t="e">
        <f t="shared" si="18"/>
        <v>#DIV/0!</v>
      </c>
      <c r="AD117" t="e">
        <f t="shared" si="19"/>
        <v>#DIV/0!</v>
      </c>
      <c r="AE117" t="e">
        <f t="shared" si="20"/>
        <v>#DIV/0!</v>
      </c>
      <c r="AF117" t="e">
        <f t="shared" si="21"/>
        <v>#DIV/0!</v>
      </c>
      <c r="AG117" t="e">
        <f t="shared" si="22"/>
        <v>#DIV/0!</v>
      </c>
      <c r="AH117" t="e">
        <f t="shared" si="29"/>
        <v>#DIV/0!</v>
      </c>
      <c r="AI117" t="e">
        <f t="shared" si="23"/>
        <v>#DIV/0!</v>
      </c>
      <c r="AJ117">
        <f t="shared" si="24"/>
        <v>0</v>
      </c>
      <c r="AK117" t="e">
        <f t="shared" si="25"/>
        <v>#N/A</v>
      </c>
      <c r="AL117">
        <f t="shared" si="26"/>
        <v>0</v>
      </c>
      <c r="AM117" t="e">
        <f t="shared" si="27"/>
        <v>#N/A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7">
        <f t="shared" si="28"/>
        <v>1</v>
      </c>
    </row>
    <row r="118" spans="2:42" x14ac:dyDescent="0.35">
      <c r="B118" s="12" t="str">
        <f>Demand!C123</f>
        <v/>
      </c>
      <c r="C118" s="68" t="str">
        <f>Demand!D123</f>
        <v/>
      </c>
      <c r="D118" s="68" t="str">
        <f>Demand!E123</f>
        <v/>
      </c>
      <c r="E118" s="6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8" t="e">
        <f t="shared" si="15"/>
        <v>#DIV/0!</v>
      </c>
      <c r="AA118" t="e">
        <f t="shared" si="16"/>
        <v>#DIV/0!</v>
      </c>
      <c r="AB118" t="e">
        <f t="shared" si="17"/>
        <v>#DIV/0!</v>
      </c>
      <c r="AC118" t="e">
        <f t="shared" si="18"/>
        <v>#DIV/0!</v>
      </c>
      <c r="AD118" t="e">
        <f t="shared" si="19"/>
        <v>#DIV/0!</v>
      </c>
      <c r="AE118" t="e">
        <f t="shared" si="20"/>
        <v>#DIV/0!</v>
      </c>
      <c r="AF118" t="e">
        <f t="shared" si="21"/>
        <v>#DIV/0!</v>
      </c>
      <c r="AG118" t="e">
        <f t="shared" si="22"/>
        <v>#DIV/0!</v>
      </c>
      <c r="AH118" t="e">
        <f t="shared" si="29"/>
        <v>#DIV/0!</v>
      </c>
      <c r="AI118" t="e">
        <f t="shared" si="23"/>
        <v>#DIV/0!</v>
      </c>
      <c r="AJ118">
        <f t="shared" si="24"/>
        <v>0</v>
      </c>
      <c r="AK118" t="e">
        <f t="shared" si="25"/>
        <v>#N/A</v>
      </c>
      <c r="AL118">
        <f t="shared" si="26"/>
        <v>0</v>
      </c>
      <c r="AM118" t="e">
        <f t="shared" si="27"/>
        <v>#N/A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8">
        <f t="shared" si="28"/>
        <v>1</v>
      </c>
    </row>
    <row r="119" spans="2:42" x14ac:dyDescent="0.35">
      <c r="B119" s="12" t="str">
        <f>Demand!C124</f>
        <v/>
      </c>
      <c r="C119" s="68" t="str">
        <f>Demand!D124</f>
        <v/>
      </c>
      <c r="D119" s="68" t="str">
        <f>Demand!E124</f>
        <v/>
      </c>
      <c r="E119" s="6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9" t="e">
        <f t="shared" si="15"/>
        <v>#DIV/0!</v>
      </c>
      <c r="AA119" t="e">
        <f t="shared" si="16"/>
        <v>#DIV/0!</v>
      </c>
      <c r="AB119" t="e">
        <f t="shared" si="17"/>
        <v>#DIV/0!</v>
      </c>
      <c r="AC119" t="e">
        <f t="shared" si="18"/>
        <v>#DIV/0!</v>
      </c>
      <c r="AD119" t="e">
        <f t="shared" si="19"/>
        <v>#DIV/0!</v>
      </c>
      <c r="AE119" t="e">
        <f t="shared" si="20"/>
        <v>#DIV/0!</v>
      </c>
      <c r="AF119" t="e">
        <f t="shared" si="21"/>
        <v>#DIV/0!</v>
      </c>
      <c r="AG119" t="e">
        <f t="shared" si="22"/>
        <v>#DIV/0!</v>
      </c>
      <c r="AH119" t="e">
        <f t="shared" si="29"/>
        <v>#DIV/0!</v>
      </c>
      <c r="AI119" t="e">
        <f t="shared" si="23"/>
        <v>#DIV/0!</v>
      </c>
      <c r="AJ119">
        <f t="shared" si="24"/>
        <v>0</v>
      </c>
      <c r="AK119" t="e">
        <f t="shared" si="25"/>
        <v>#N/A</v>
      </c>
      <c r="AL119">
        <f t="shared" si="26"/>
        <v>0</v>
      </c>
      <c r="AM119" t="e">
        <f t="shared" si="27"/>
        <v>#N/A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9">
        <f t="shared" si="28"/>
        <v>1</v>
      </c>
    </row>
    <row r="120" spans="2:42" x14ac:dyDescent="0.35">
      <c r="B120" s="12" t="str">
        <f>Demand!C125</f>
        <v/>
      </c>
      <c r="C120" s="68" t="str">
        <f>Demand!D125</f>
        <v/>
      </c>
      <c r="D120" s="68" t="str">
        <f>Demand!E125</f>
        <v/>
      </c>
      <c r="E120" s="6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0" t="e">
        <f t="shared" si="15"/>
        <v>#DIV/0!</v>
      </c>
      <c r="AA120" t="e">
        <f t="shared" si="16"/>
        <v>#DIV/0!</v>
      </c>
      <c r="AB120" t="e">
        <f t="shared" si="17"/>
        <v>#DIV/0!</v>
      </c>
      <c r="AC120" t="e">
        <f t="shared" si="18"/>
        <v>#DIV/0!</v>
      </c>
      <c r="AD120" t="e">
        <f t="shared" si="19"/>
        <v>#DIV/0!</v>
      </c>
      <c r="AE120" t="e">
        <f t="shared" si="20"/>
        <v>#DIV/0!</v>
      </c>
      <c r="AF120" t="e">
        <f t="shared" si="21"/>
        <v>#DIV/0!</v>
      </c>
      <c r="AG120" t="e">
        <f t="shared" si="22"/>
        <v>#DIV/0!</v>
      </c>
      <c r="AH120" t="e">
        <f t="shared" si="29"/>
        <v>#DIV/0!</v>
      </c>
      <c r="AI120" t="e">
        <f t="shared" si="23"/>
        <v>#DIV/0!</v>
      </c>
      <c r="AJ120">
        <f t="shared" si="24"/>
        <v>0</v>
      </c>
      <c r="AK120" t="e">
        <f t="shared" si="25"/>
        <v>#N/A</v>
      </c>
      <c r="AL120">
        <f t="shared" si="26"/>
        <v>0</v>
      </c>
      <c r="AM120" t="e">
        <f t="shared" si="27"/>
        <v>#N/A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0">
        <f t="shared" si="28"/>
        <v>1</v>
      </c>
    </row>
    <row r="121" spans="2:42" x14ac:dyDescent="0.35">
      <c r="B121" s="12" t="str">
        <f>Demand!C126</f>
        <v/>
      </c>
      <c r="C121" s="68" t="str">
        <f>Demand!D126</f>
        <v/>
      </c>
      <c r="D121" s="68" t="str">
        <f>Demand!E126</f>
        <v/>
      </c>
      <c r="E121" s="6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1" t="e">
        <f t="shared" si="15"/>
        <v>#DIV/0!</v>
      </c>
      <c r="AA121" t="e">
        <f t="shared" si="16"/>
        <v>#DIV/0!</v>
      </c>
      <c r="AB121" t="e">
        <f t="shared" si="17"/>
        <v>#DIV/0!</v>
      </c>
      <c r="AC121" t="e">
        <f t="shared" si="18"/>
        <v>#DIV/0!</v>
      </c>
      <c r="AD121" t="e">
        <f t="shared" si="19"/>
        <v>#DIV/0!</v>
      </c>
      <c r="AE121" t="e">
        <f t="shared" si="20"/>
        <v>#DIV/0!</v>
      </c>
      <c r="AF121" t="e">
        <f t="shared" si="21"/>
        <v>#DIV/0!</v>
      </c>
      <c r="AG121" t="e">
        <f t="shared" si="22"/>
        <v>#DIV/0!</v>
      </c>
      <c r="AH121" t="e">
        <f t="shared" si="29"/>
        <v>#DIV/0!</v>
      </c>
      <c r="AI121" t="e">
        <f t="shared" si="23"/>
        <v>#DIV/0!</v>
      </c>
      <c r="AJ121">
        <f t="shared" si="24"/>
        <v>0</v>
      </c>
      <c r="AK121" t="e">
        <f t="shared" si="25"/>
        <v>#N/A</v>
      </c>
      <c r="AL121">
        <f t="shared" si="26"/>
        <v>0</v>
      </c>
      <c r="AM121" t="e">
        <f t="shared" si="27"/>
        <v>#N/A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1">
        <f t="shared" si="28"/>
        <v>1</v>
      </c>
    </row>
    <row r="122" spans="2:42" x14ac:dyDescent="0.35">
      <c r="B122" s="12" t="str">
        <f>Demand!C127</f>
        <v/>
      </c>
      <c r="C122" s="68" t="str">
        <f>Demand!D127</f>
        <v/>
      </c>
      <c r="D122" s="68" t="str">
        <f>Demand!E127</f>
        <v/>
      </c>
      <c r="E122" s="6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2" t="e">
        <f t="shared" si="15"/>
        <v>#DIV/0!</v>
      </c>
      <c r="AA122" t="e">
        <f t="shared" si="16"/>
        <v>#DIV/0!</v>
      </c>
      <c r="AB122" t="e">
        <f t="shared" si="17"/>
        <v>#DIV/0!</v>
      </c>
      <c r="AC122" t="e">
        <f t="shared" si="18"/>
        <v>#DIV/0!</v>
      </c>
      <c r="AD122" t="e">
        <f t="shared" si="19"/>
        <v>#DIV/0!</v>
      </c>
      <c r="AE122" t="e">
        <f t="shared" si="20"/>
        <v>#DIV/0!</v>
      </c>
      <c r="AF122" t="e">
        <f t="shared" si="21"/>
        <v>#DIV/0!</v>
      </c>
      <c r="AG122" t="e">
        <f t="shared" si="22"/>
        <v>#DIV/0!</v>
      </c>
      <c r="AH122" t="e">
        <f t="shared" si="29"/>
        <v>#DIV/0!</v>
      </c>
      <c r="AI122" t="e">
        <f t="shared" si="23"/>
        <v>#DIV/0!</v>
      </c>
      <c r="AJ122">
        <f t="shared" si="24"/>
        <v>0</v>
      </c>
      <c r="AK122" t="e">
        <f t="shared" si="25"/>
        <v>#N/A</v>
      </c>
      <c r="AL122">
        <f t="shared" si="26"/>
        <v>0</v>
      </c>
      <c r="AM122" t="e">
        <f t="shared" si="27"/>
        <v>#N/A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2">
        <f t="shared" si="28"/>
        <v>1</v>
      </c>
    </row>
    <row r="123" spans="2:42" x14ac:dyDescent="0.35">
      <c r="B123" s="12" t="str">
        <f>Demand!C128</f>
        <v/>
      </c>
      <c r="C123" s="68" t="str">
        <f>Demand!D128</f>
        <v/>
      </c>
      <c r="D123" s="68" t="str">
        <f>Demand!E128</f>
        <v/>
      </c>
      <c r="E123" s="6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3" t="e">
        <f t="shared" si="15"/>
        <v>#DIV/0!</v>
      </c>
      <c r="AA123" t="e">
        <f t="shared" si="16"/>
        <v>#DIV/0!</v>
      </c>
      <c r="AB123" t="e">
        <f t="shared" si="17"/>
        <v>#DIV/0!</v>
      </c>
      <c r="AC123" t="e">
        <f t="shared" si="18"/>
        <v>#DIV/0!</v>
      </c>
      <c r="AD123" t="e">
        <f t="shared" si="19"/>
        <v>#DIV/0!</v>
      </c>
      <c r="AE123" t="e">
        <f t="shared" si="20"/>
        <v>#DIV/0!</v>
      </c>
      <c r="AF123" t="e">
        <f t="shared" si="21"/>
        <v>#DIV/0!</v>
      </c>
      <c r="AG123" t="e">
        <f t="shared" si="22"/>
        <v>#DIV/0!</v>
      </c>
      <c r="AH123" t="e">
        <f t="shared" si="29"/>
        <v>#DIV/0!</v>
      </c>
      <c r="AI123" t="e">
        <f t="shared" si="23"/>
        <v>#DIV/0!</v>
      </c>
      <c r="AJ123">
        <f t="shared" si="24"/>
        <v>0</v>
      </c>
      <c r="AK123" t="e">
        <f t="shared" si="25"/>
        <v>#N/A</v>
      </c>
      <c r="AL123">
        <f t="shared" si="26"/>
        <v>0</v>
      </c>
      <c r="AM123" t="e">
        <f t="shared" si="27"/>
        <v>#N/A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3">
        <f t="shared" si="28"/>
        <v>1</v>
      </c>
    </row>
    <row r="124" spans="2:42" x14ac:dyDescent="0.35">
      <c r="B124" s="12" t="str">
        <f>Demand!C129</f>
        <v/>
      </c>
      <c r="C124" s="68" t="str">
        <f>Demand!D129</f>
        <v/>
      </c>
      <c r="D124" s="68" t="str">
        <f>Demand!E129</f>
        <v/>
      </c>
      <c r="E124" s="6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4" t="e">
        <f t="shared" si="15"/>
        <v>#DIV/0!</v>
      </c>
      <c r="AA124" t="e">
        <f t="shared" si="16"/>
        <v>#DIV/0!</v>
      </c>
      <c r="AB124" t="e">
        <f t="shared" si="17"/>
        <v>#DIV/0!</v>
      </c>
      <c r="AC124" t="e">
        <f t="shared" si="18"/>
        <v>#DIV/0!</v>
      </c>
      <c r="AD124" t="e">
        <f t="shared" si="19"/>
        <v>#DIV/0!</v>
      </c>
      <c r="AE124" t="e">
        <f t="shared" si="20"/>
        <v>#DIV/0!</v>
      </c>
      <c r="AF124" t="e">
        <f t="shared" si="21"/>
        <v>#DIV/0!</v>
      </c>
      <c r="AG124" t="e">
        <f t="shared" si="22"/>
        <v>#DIV/0!</v>
      </c>
      <c r="AH124" t="e">
        <f t="shared" si="29"/>
        <v>#DIV/0!</v>
      </c>
      <c r="AI124" t="e">
        <f t="shared" si="23"/>
        <v>#DIV/0!</v>
      </c>
      <c r="AJ124">
        <f t="shared" si="24"/>
        <v>0</v>
      </c>
      <c r="AK124" t="e">
        <f t="shared" si="25"/>
        <v>#N/A</v>
      </c>
      <c r="AL124">
        <f t="shared" si="26"/>
        <v>0</v>
      </c>
      <c r="AM124" t="e">
        <f t="shared" si="27"/>
        <v>#N/A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4">
        <f t="shared" si="28"/>
        <v>1</v>
      </c>
    </row>
    <row r="125" spans="2:42" x14ac:dyDescent="0.35">
      <c r="B125" s="12" t="str">
        <f>Demand!C130</f>
        <v/>
      </c>
      <c r="C125" s="68" t="str">
        <f>Demand!D130</f>
        <v/>
      </c>
      <c r="D125" s="68" t="str">
        <f>Demand!E130</f>
        <v/>
      </c>
      <c r="E125" s="6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5" t="e">
        <f t="shared" si="15"/>
        <v>#DIV/0!</v>
      </c>
      <c r="AA125" t="e">
        <f t="shared" si="16"/>
        <v>#DIV/0!</v>
      </c>
      <c r="AB125" t="e">
        <f t="shared" si="17"/>
        <v>#DIV/0!</v>
      </c>
      <c r="AC125" t="e">
        <f t="shared" si="18"/>
        <v>#DIV/0!</v>
      </c>
      <c r="AD125" t="e">
        <f t="shared" si="19"/>
        <v>#DIV/0!</v>
      </c>
      <c r="AE125" t="e">
        <f t="shared" si="20"/>
        <v>#DIV/0!</v>
      </c>
      <c r="AF125" t="e">
        <f t="shared" si="21"/>
        <v>#DIV/0!</v>
      </c>
      <c r="AG125" t="e">
        <f t="shared" si="22"/>
        <v>#DIV/0!</v>
      </c>
      <c r="AH125" t="e">
        <f t="shared" si="29"/>
        <v>#DIV/0!</v>
      </c>
      <c r="AI125" t="e">
        <f t="shared" si="23"/>
        <v>#DIV/0!</v>
      </c>
      <c r="AJ125">
        <f t="shared" si="24"/>
        <v>0</v>
      </c>
      <c r="AK125" t="e">
        <f t="shared" si="25"/>
        <v>#N/A</v>
      </c>
      <c r="AL125">
        <f t="shared" si="26"/>
        <v>0</v>
      </c>
      <c r="AM125" t="e">
        <f t="shared" si="27"/>
        <v>#N/A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5">
        <f t="shared" si="28"/>
        <v>1</v>
      </c>
    </row>
    <row r="126" spans="2:42" x14ac:dyDescent="0.35">
      <c r="B126" s="12" t="str">
        <f>Demand!C131</f>
        <v/>
      </c>
      <c r="C126" s="68" t="str">
        <f>Demand!D131</f>
        <v/>
      </c>
      <c r="D126" s="68" t="str">
        <f>Demand!E131</f>
        <v/>
      </c>
      <c r="E126" s="6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6" t="e">
        <f t="shared" si="15"/>
        <v>#DIV/0!</v>
      </c>
      <c r="AA126" t="e">
        <f t="shared" si="16"/>
        <v>#DIV/0!</v>
      </c>
      <c r="AB126" t="e">
        <f t="shared" si="17"/>
        <v>#DIV/0!</v>
      </c>
      <c r="AC126" t="e">
        <f t="shared" si="18"/>
        <v>#DIV/0!</v>
      </c>
      <c r="AD126" t="e">
        <f t="shared" si="19"/>
        <v>#DIV/0!</v>
      </c>
      <c r="AE126" t="e">
        <f t="shared" si="20"/>
        <v>#DIV/0!</v>
      </c>
      <c r="AF126" t="e">
        <f t="shared" si="21"/>
        <v>#DIV/0!</v>
      </c>
      <c r="AG126" t="e">
        <f t="shared" si="22"/>
        <v>#DIV/0!</v>
      </c>
      <c r="AH126" t="e">
        <f t="shared" si="29"/>
        <v>#DIV/0!</v>
      </c>
      <c r="AI126" t="e">
        <f t="shared" si="23"/>
        <v>#DIV/0!</v>
      </c>
      <c r="AJ126">
        <f t="shared" si="24"/>
        <v>0</v>
      </c>
      <c r="AK126" t="e">
        <f t="shared" si="25"/>
        <v>#N/A</v>
      </c>
      <c r="AL126">
        <f t="shared" si="26"/>
        <v>0</v>
      </c>
      <c r="AM126" t="e">
        <f t="shared" si="27"/>
        <v>#N/A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6">
        <f t="shared" si="28"/>
        <v>1</v>
      </c>
    </row>
    <row r="127" spans="2:42" x14ac:dyDescent="0.35">
      <c r="B127" s="12" t="str">
        <f>Demand!C132</f>
        <v/>
      </c>
      <c r="C127" s="68" t="str">
        <f>Demand!D132</f>
        <v/>
      </c>
      <c r="D127" s="68" t="str">
        <f>Demand!E132</f>
        <v/>
      </c>
      <c r="E127" s="6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7" t="e">
        <f t="shared" si="15"/>
        <v>#DIV/0!</v>
      </c>
      <c r="AA127" t="e">
        <f t="shared" si="16"/>
        <v>#DIV/0!</v>
      </c>
      <c r="AB127" t="e">
        <f t="shared" si="17"/>
        <v>#DIV/0!</v>
      </c>
      <c r="AC127" t="e">
        <f t="shared" si="18"/>
        <v>#DIV/0!</v>
      </c>
      <c r="AD127" t="e">
        <f t="shared" si="19"/>
        <v>#DIV/0!</v>
      </c>
      <c r="AE127" t="e">
        <f t="shared" si="20"/>
        <v>#DIV/0!</v>
      </c>
      <c r="AF127" t="e">
        <f t="shared" si="21"/>
        <v>#DIV/0!</v>
      </c>
      <c r="AG127" t="e">
        <f t="shared" si="22"/>
        <v>#DIV/0!</v>
      </c>
      <c r="AH127" t="e">
        <f t="shared" si="29"/>
        <v>#DIV/0!</v>
      </c>
      <c r="AI127" t="e">
        <f t="shared" si="23"/>
        <v>#DIV/0!</v>
      </c>
      <c r="AJ127">
        <f t="shared" si="24"/>
        <v>0</v>
      </c>
      <c r="AK127" t="e">
        <f t="shared" si="25"/>
        <v>#N/A</v>
      </c>
      <c r="AL127">
        <f t="shared" si="26"/>
        <v>0</v>
      </c>
      <c r="AM127" t="e">
        <f t="shared" si="27"/>
        <v>#N/A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7">
        <f t="shared" si="28"/>
        <v>1</v>
      </c>
    </row>
    <row r="128" spans="2:42" x14ac:dyDescent="0.35">
      <c r="B128" s="12" t="str">
        <f>Demand!C133</f>
        <v/>
      </c>
      <c r="C128" s="68" t="str">
        <f>Demand!D133</f>
        <v/>
      </c>
      <c r="D128" s="68" t="str">
        <f>Demand!E133</f>
        <v/>
      </c>
      <c r="E128" s="6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8" t="e">
        <f t="shared" si="15"/>
        <v>#DIV/0!</v>
      </c>
      <c r="AA128" t="e">
        <f t="shared" si="16"/>
        <v>#DIV/0!</v>
      </c>
      <c r="AB128" t="e">
        <f t="shared" si="17"/>
        <v>#DIV/0!</v>
      </c>
      <c r="AC128" t="e">
        <f t="shared" si="18"/>
        <v>#DIV/0!</v>
      </c>
      <c r="AD128" t="e">
        <f t="shared" si="19"/>
        <v>#DIV/0!</v>
      </c>
      <c r="AE128" t="e">
        <f t="shared" si="20"/>
        <v>#DIV/0!</v>
      </c>
      <c r="AF128" t="e">
        <f t="shared" si="21"/>
        <v>#DIV/0!</v>
      </c>
      <c r="AG128" t="e">
        <f t="shared" si="22"/>
        <v>#DIV/0!</v>
      </c>
      <c r="AH128" t="e">
        <f t="shared" si="29"/>
        <v>#DIV/0!</v>
      </c>
      <c r="AI128" t="e">
        <f t="shared" si="23"/>
        <v>#DIV/0!</v>
      </c>
      <c r="AJ128">
        <f t="shared" si="24"/>
        <v>0</v>
      </c>
      <c r="AK128" t="e">
        <f t="shared" si="25"/>
        <v>#N/A</v>
      </c>
      <c r="AL128">
        <f t="shared" si="26"/>
        <v>0</v>
      </c>
      <c r="AM128" t="e">
        <f t="shared" si="27"/>
        <v>#N/A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8">
        <f t="shared" si="28"/>
        <v>1</v>
      </c>
    </row>
    <row r="129" spans="2:42" x14ac:dyDescent="0.35">
      <c r="B129" s="12" t="str">
        <f>Demand!C134</f>
        <v/>
      </c>
      <c r="C129" s="68" t="str">
        <f>Demand!D134</f>
        <v/>
      </c>
      <c r="D129" s="68" t="str">
        <f>Demand!E134</f>
        <v/>
      </c>
      <c r="E129" s="6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9" t="e">
        <f t="shared" si="15"/>
        <v>#DIV/0!</v>
      </c>
      <c r="AA129" t="e">
        <f t="shared" si="16"/>
        <v>#DIV/0!</v>
      </c>
      <c r="AB129" t="e">
        <f t="shared" si="17"/>
        <v>#DIV/0!</v>
      </c>
      <c r="AC129" t="e">
        <f t="shared" si="18"/>
        <v>#DIV/0!</v>
      </c>
      <c r="AD129" t="e">
        <f t="shared" si="19"/>
        <v>#DIV/0!</v>
      </c>
      <c r="AE129" t="e">
        <f t="shared" si="20"/>
        <v>#DIV/0!</v>
      </c>
      <c r="AF129" t="e">
        <f t="shared" si="21"/>
        <v>#DIV/0!</v>
      </c>
      <c r="AG129" t="e">
        <f t="shared" si="22"/>
        <v>#DIV/0!</v>
      </c>
      <c r="AH129" t="e">
        <f t="shared" si="29"/>
        <v>#DIV/0!</v>
      </c>
      <c r="AI129" t="e">
        <f t="shared" si="23"/>
        <v>#DIV/0!</v>
      </c>
      <c r="AJ129">
        <f t="shared" si="24"/>
        <v>0</v>
      </c>
      <c r="AK129" t="e">
        <f t="shared" si="25"/>
        <v>#N/A</v>
      </c>
      <c r="AL129">
        <f t="shared" si="26"/>
        <v>0</v>
      </c>
      <c r="AM129" t="e">
        <f t="shared" si="27"/>
        <v>#N/A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9">
        <f t="shared" si="28"/>
        <v>1</v>
      </c>
    </row>
    <row r="130" spans="2:42" x14ac:dyDescent="0.35">
      <c r="B130" s="12" t="str">
        <f>Demand!C135</f>
        <v/>
      </c>
      <c r="C130" s="68" t="str">
        <f>Demand!D135</f>
        <v/>
      </c>
      <c r="D130" s="68" t="str">
        <f>Demand!E135</f>
        <v/>
      </c>
      <c r="E130" s="6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0" t="e">
        <f t="shared" si="15"/>
        <v>#DIV/0!</v>
      </c>
      <c r="AA130" t="e">
        <f t="shared" si="16"/>
        <v>#DIV/0!</v>
      </c>
      <c r="AB130" t="e">
        <f t="shared" si="17"/>
        <v>#DIV/0!</v>
      </c>
      <c r="AC130" t="e">
        <f t="shared" si="18"/>
        <v>#DIV/0!</v>
      </c>
      <c r="AD130" t="e">
        <f t="shared" si="19"/>
        <v>#DIV/0!</v>
      </c>
      <c r="AE130" t="e">
        <f t="shared" si="20"/>
        <v>#DIV/0!</v>
      </c>
      <c r="AF130" t="e">
        <f t="shared" si="21"/>
        <v>#DIV/0!</v>
      </c>
      <c r="AG130" t="e">
        <f t="shared" si="22"/>
        <v>#DIV/0!</v>
      </c>
      <c r="AH130" t="e">
        <f t="shared" si="29"/>
        <v>#DIV/0!</v>
      </c>
      <c r="AI130" t="e">
        <f t="shared" si="23"/>
        <v>#DIV/0!</v>
      </c>
      <c r="AJ130">
        <f t="shared" si="24"/>
        <v>0</v>
      </c>
      <c r="AK130" t="e">
        <f t="shared" si="25"/>
        <v>#N/A</v>
      </c>
      <c r="AL130">
        <f t="shared" si="26"/>
        <v>0</v>
      </c>
      <c r="AM130" t="e">
        <f t="shared" si="27"/>
        <v>#N/A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0">
        <f t="shared" si="28"/>
        <v>1</v>
      </c>
    </row>
    <row r="131" spans="2:42" x14ac:dyDescent="0.35">
      <c r="B131" s="12" t="str">
        <f>Demand!C136</f>
        <v/>
      </c>
      <c r="C131" s="68" t="str">
        <f>Demand!D136</f>
        <v/>
      </c>
      <c r="D131" s="68" t="str">
        <f>Demand!E136</f>
        <v/>
      </c>
      <c r="E131" s="6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1" t="e">
        <f t="shared" si="15"/>
        <v>#DIV/0!</v>
      </c>
      <c r="AA131" t="e">
        <f t="shared" si="16"/>
        <v>#DIV/0!</v>
      </c>
      <c r="AB131" t="e">
        <f t="shared" si="17"/>
        <v>#DIV/0!</v>
      </c>
      <c r="AC131" t="e">
        <f t="shared" si="18"/>
        <v>#DIV/0!</v>
      </c>
      <c r="AD131" t="e">
        <f t="shared" si="19"/>
        <v>#DIV/0!</v>
      </c>
      <c r="AE131" t="e">
        <f t="shared" si="20"/>
        <v>#DIV/0!</v>
      </c>
      <c r="AF131" t="e">
        <f t="shared" si="21"/>
        <v>#DIV/0!</v>
      </c>
      <c r="AG131" t="e">
        <f t="shared" si="22"/>
        <v>#DIV/0!</v>
      </c>
      <c r="AH131" t="e">
        <f t="shared" si="29"/>
        <v>#DIV/0!</v>
      </c>
      <c r="AI131" t="e">
        <f t="shared" si="23"/>
        <v>#DIV/0!</v>
      </c>
      <c r="AJ131">
        <f t="shared" si="24"/>
        <v>0</v>
      </c>
      <c r="AK131" t="e">
        <f t="shared" si="25"/>
        <v>#N/A</v>
      </c>
      <c r="AL131">
        <f t="shared" si="26"/>
        <v>0</v>
      </c>
      <c r="AM131" t="e">
        <f t="shared" si="27"/>
        <v>#N/A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1">
        <f t="shared" si="28"/>
        <v>1</v>
      </c>
    </row>
    <row r="132" spans="2:42" x14ac:dyDescent="0.35">
      <c r="B132" s="12" t="str">
        <f>Demand!C137</f>
        <v/>
      </c>
      <c r="C132" s="68" t="str">
        <f>Demand!D137</f>
        <v/>
      </c>
      <c r="D132" s="68" t="str">
        <f>Demand!E137</f>
        <v/>
      </c>
      <c r="E132" s="6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2" t="e">
        <f t="shared" si="15"/>
        <v>#DIV/0!</v>
      </c>
      <c r="AA132" t="e">
        <f t="shared" si="16"/>
        <v>#DIV/0!</v>
      </c>
      <c r="AB132" t="e">
        <f t="shared" si="17"/>
        <v>#DIV/0!</v>
      </c>
      <c r="AC132" t="e">
        <f t="shared" si="18"/>
        <v>#DIV/0!</v>
      </c>
      <c r="AD132" t="e">
        <f t="shared" si="19"/>
        <v>#DIV/0!</v>
      </c>
      <c r="AE132" t="e">
        <f t="shared" si="20"/>
        <v>#DIV/0!</v>
      </c>
      <c r="AF132" t="e">
        <f t="shared" si="21"/>
        <v>#DIV/0!</v>
      </c>
      <c r="AG132" t="e">
        <f t="shared" si="22"/>
        <v>#DIV/0!</v>
      </c>
      <c r="AH132" t="e">
        <f t="shared" si="29"/>
        <v>#DIV/0!</v>
      </c>
      <c r="AI132" t="e">
        <f t="shared" si="23"/>
        <v>#DIV/0!</v>
      </c>
      <c r="AJ132">
        <f t="shared" si="24"/>
        <v>0</v>
      </c>
      <c r="AK132" t="e">
        <f t="shared" si="25"/>
        <v>#N/A</v>
      </c>
      <c r="AL132">
        <f t="shared" si="26"/>
        <v>0</v>
      </c>
      <c r="AM132" t="e">
        <f t="shared" si="27"/>
        <v>#N/A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2">
        <f t="shared" si="28"/>
        <v>1</v>
      </c>
    </row>
    <row r="133" spans="2:42" x14ac:dyDescent="0.35">
      <c r="B133" s="12" t="str">
        <f>Demand!C138</f>
        <v/>
      </c>
      <c r="C133" s="68" t="str">
        <f>Demand!D138</f>
        <v/>
      </c>
      <c r="D133" s="68" t="str">
        <f>Demand!E138</f>
        <v/>
      </c>
      <c r="E133" s="6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3" t="e">
        <f t="shared" ref="Z133:Z196" si="30">Y133/1.128</f>
        <v>#DIV/0!</v>
      </c>
      <c r="AA133" t="e">
        <f t="shared" ref="AA133:AA196" si="31">MAX(0,W133-(3*Z133))</f>
        <v>#DIV/0!</v>
      </c>
      <c r="AB133" t="e">
        <f t="shared" ref="AB133:AB196" si="32">MAX(0,W133-(2*Z133))</f>
        <v>#DIV/0!</v>
      </c>
      <c r="AC133" t="e">
        <f t="shared" ref="AC133:AC196" si="33">MAX(0,W133-Z133)</f>
        <v>#DIV/0!</v>
      </c>
      <c r="AD133" t="e">
        <f t="shared" ref="AD133:AD196" si="34">W133+Z133</f>
        <v>#DIV/0!</v>
      </c>
      <c r="AE133" t="e">
        <f t="shared" ref="AE133:AE196" si="35">W133+(2*Z133)</f>
        <v>#DIV/0!</v>
      </c>
      <c r="AF133" t="e">
        <f t="shared" ref="AF133:AF196" si="36">W133+(3*Z133)</f>
        <v>#DIV/0!</v>
      </c>
      <c r="AG133" t="e">
        <f t="shared" ref="AG133:AG196" si="37">IF(OR(V133&gt;AF133,V133&lt;AA133),V133,NA())</f>
        <v>#DIV/0!</v>
      </c>
      <c r="AH133" t="e">
        <f t="shared" si="29"/>
        <v>#DIV/0!</v>
      </c>
      <c r="AI133" t="e">
        <f t="shared" ref="AI133:AI196" si="38">IF(ABS(SUM(AH133:AH135))&gt;=5,V133,NA())</f>
        <v>#DIV/0!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0</v>
      </c>
      <c r="AM133" t="e">
        <f t="shared" ref="AM133:AM196" si="42">IF(ABS(SUM(AL133:AL141))=9,V133,NA())</f>
        <v>#N/A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3">
        <f t="shared" ref="AP133:AP196" si="43">AO133-AN133</f>
        <v>1</v>
      </c>
    </row>
    <row r="134" spans="2:42" x14ac:dyDescent="0.35">
      <c r="B134" s="12" t="str">
        <f>Demand!C139</f>
        <v/>
      </c>
      <c r="C134" s="68" t="str">
        <f>Demand!D139</f>
        <v/>
      </c>
      <c r="D134" s="68" t="str">
        <f>Demand!E139</f>
        <v/>
      </c>
      <c r="E134" s="6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4" t="e">
        <f t="shared" si="30"/>
        <v>#DIV/0!</v>
      </c>
      <c r="AA134" t="e">
        <f t="shared" si="31"/>
        <v>#DIV/0!</v>
      </c>
      <c r="AB134" t="e">
        <f t="shared" si="32"/>
        <v>#DIV/0!</v>
      </c>
      <c r="AC134" t="e">
        <f t="shared" si="33"/>
        <v>#DIV/0!</v>
      </c>
      <c r="AD134" t="e">
        <f t="shared" si="34"/>
        <v>#DIV/0!</v>
      </c>
      <c r="AE134" t="e">
        <f t="shared" si="35"/>
        <v>#DIV/0!</v>
      </c>
      <c r="AF134" t="e">
        <f t="shared" si="36"/>
        <v>#DIV/0!</v>
      </c>
      <c r="AG134" t="e">
        <f t="shared" si="37"/>
        <v>#DIV/0!</v>
      </c>
      <c r="AH134" t="e">
        <f t="shared" ref="AH134:AH197" si="44">IF(V134&gt;AE134,2,IF(V134&lt;AB134,-2,IF(V134&gt;W134,1,IF(V134&lt;W134,-1,0))))</f>
        <v>#DIV/0!</v>
      </c>
      <c r="AI134" t="e">
        <f t="shared" si="38"/>
        <v>#DIV/0!</v>
      </c>
      <c r="AJ134">
        <f t="shared" si="39"/>
        <v>0</v>
      </c>
      <c r="AK134" t="e">
        <f t="shared" si="40"/>
        <v>#N/A</v>
      </c>
      <c r="AL134">
        <f t="shared" si="41"/>
        <v>0</v>
      </c>
      <c r="AM134" t="e">
        <f t="shared" si="42"/>
        <v>#N/A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4">
        <f t="shared" si="43"/>
        <v>1</v>
      </c>
    </row>
    <row r="135" spans="2:42" x14ac:dyDescent="0.35">
      <c r="B135" s="12" t="str">
        <f>Demand!C140</f>
        <v/>
      </c>
      <c r="C135" s="68" t="str">
        <f>Demand!D140</f>
        <v/>
      </c>
      <c r="D135" s="68" t="str">
        <f>Demand!E140</f>
        <v/>
      </c>
      <c r="E135" s="6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5" t="e">
        <f t="shared" si="30"/>
        <v>#DIV/0!</v>
      </c>
      <c r="AA135" t="e">
        <f t="shared" si="31"/>
        <v>#DIV/0!</v>
      </c>
      <c r="AB135" t="e">
        <f t="shared" si="32"/>
        <v>#DIV/0!</v>
      </c>
      <c r="AC135" t="e">
        <f t="shared" si="33"/>
        <v>#DIV/0!</v>
      </c>
      <c r="AD135" t="e">
        <f t="shared" si="34"/>
        <v>#DIV/0!</v>
      </c>
      <c r="AE135" t="e">
        <f t="shared" si="35"/>
        <v>#DIV/0!</v>
      </c>
      <c r="AF135" t="e">
        <f t="shared" si="36"/>
        <v>#DIV/0!</v>
      </c>
      <c r="AG135" t="e">
        <f t="shared" si="37"/>
        <v>#DIV/0!</v>
      </c>
      <c r="AH135" t="e">
        <f t="shared" si="44"/>
        <v>#DIV/0!</v>
      </c>
      <c r="AI135" t="e">
        <f t="shared" si="38"/>
        <v>#DIV/0!</v>
      </c>
      <c r="AJ135">
        <f t="shared" si="39"/>
        <v>0</v>
      </c>
      <c r="AK135" t="e">
        <f t="shared" si="40"/>
        <v>#N/A</v>
      </c>
      <c r="AL135">
        <f t="shared" si="41"/>
        <v>0</v>
      </c>
      <c r="AM135" t="e">
        <f t="shared" si="42"/>
        <v>#N/A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5">
        <f t="shared" si="43"/>
        <v>1</v>
      </c>
    </row>
    <row r="136" spans="2:42" x14ac:dyDescent="0.35">
      <c r="B136" s="12" t="str">
        <f>Demand!C141</f>
        <v/>
      </c>
      <c r="C136" s="68" t="str">
        <f>Demand!D141</f>
        <v/>
      </c>
      <c r="D136" s="68" t="str">
        <f>Demand!E141</f>
        <v/>
      </c>
      <c r="E136" s="6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6" t="e">
        <f t="shared" si="30"/>
        <v>#DIV/0!</v>
      </c>
      <c r="AA136" t="e">
        <f t="shared" si="31"/>
        <v>#DIV/0!</v>
      </c>
      <c r="AB136" t="e">
        <f t="shared" si="32"/>
        <v>#DIV/0!</v>
      </c>
      <c r="AC136" t="e">
        <f t="shared" si="33"/>
        <v>#DIV/0!</v>
      </c>
      <c r="AD136" t="e">
        <f t="shared" si="34"/>
        <v>#DIV/0!</v>
      </c>
      <c r="AE136" t="e">
        <f t="shared" si="35"/>
        <v>#DIV/0!</v>
      </c>
      <c r="AF136" t="e">
        <f t="shared" si="36"/>
        <v>#DIV/0!</v>
      </c>
      <c r="AG136" t="e">
        <f t="shared" si="37"/>
        <v>#DIV/0!</v>
      </c>
      <c r="AH136" t="e">
        <f t="shared" si="44"/>
        <v>#DIV/0!</v>
      </c>
      <c r="AI136" t="e">
        <f t="shared" si="38"/>
        <v>#DIV/0!</v>
      </c>
      <c r="AJ136">
        <f t="shared" si="39"/>
        <v>0</v>
      </c>
      <c r="AK136" t="e">
        <f t="shared" si="40"/>
        <v>#N/A</v>
      </c>
      <c r="AL136">
        <f t="shared" si="41"/>
        <v>0</v>
      </c>
      <c r="AM136" t="e">
        <f t="shared" si="42"/>
        <v>#N/A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6">
        <f t="shared" si="43"/>
        <v>1</v>
      </c>
    </row>
    <row r="137" spans="2:42" x14ac:dyDescent="0.35">
      <c r="B137" s="12" t="str">
        <f>Demand!C142</f>
        <v/>
      </c>
      <c r="C137" s="68" t="str">
        <f>Demand!D142</f>
        <v/>
      </c>
      <c r="D137" s="68" t="str">
        <f>Demand!E142</f>
        <v/>
      </c>
      <c r="E137" s="6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7" t="e">
        <f t="shared" si="30"/>
        <v>#DIV/0!</v>
      </c>
      <c r="AA137" t="e">
        <f t="shared" si="31"/>
        <v>#DIV/0!</v>
      </c>
      <c r="AB137" t="e">
        <f t="shared" si="32"/>
        <v>#DIV/0!</v>
      </c>
      <c r="AC137" t="e">
        <f t="shared" si="33"/>
        <v>#DIV/0!</v>
      </c>
      <c r="AD137" t="e">
        <f t="shared" si="34"/>
        <v>#DIV/0!</v>
      </c>
      <c r="AE137" t="e">
        <f t="shared" si="35"/>
        <v>#DIV/0!</v>
      </c>
      <c r="AF137" t="e">
        <f t="shared" si="36"/>
        <v>#DIV/0!</v>
      </c>
      <c r="AG137" t="e">
        <f t="shared" si="37"/>
        <v>#DIV/0!</v>
      </c>
      <c r="AH137" t="e">
        <f t="shared" si="44"/>
        <v>#DIV/0!</v>
      </c>
      <c r="AI137" t="e">
        <f t="shared" si="38"/>
        <v>#DIV/0!</v>
      </c>
      <c r="AJ137">
        <f t="shared" si="39"/>
        <v>0</v>
      </c>
      <c r="AK137" t="e">
        <f t="shared" si="40"/>
        <v>#N/A</v>
      </c>
      <c r="AL137">
        <f t="shared" si="41"/>
        <v>0</v>
      </c>
      <c r="AM137" t="e">
        <f t="shared" si="42"/>
        <v>#N/A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7">
        <f t="shared" si="43"/>
        <v>1</v>
      </c>
    </row>
    <row r="138" spans="2:42" x14ac:dyDescent="0.35">
      <c r="B138" s="12" t="str">
        <f>Demand!C143</f>
        <v/>
      </c>
      <c r="C138" s="68" t="str">
        <f>Demand!D143</f>
        <v/>
      </c>
      <c r="D138" s="68" t="str">
        <f>Demand!E143</f>
        <v/>
      </c>
      <c r="E138" s="6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8" t="e">
        <f t="shared" si="30"/>
        <v>#DIV/0!</v>
      </c>
      <c r="AA138" t="e">
        <f t="shared" si="31"/>
        <v>#DIV/0!</v>
      </c>
      <c r="AB138" t="e">
        <f t="shared" si="32"/>
        <v>#DIV/0!</v>
      </c>
      <c r="AC138" t="e">
        <f t="shared" si="33"/>
        <v>#DIV/0!</v>
      </c>
      <c r="AD138" t="e">
        <f t="shared" si="34"/>
        <v>#DIV/0!</v>
      </c>
      <c r="AE138" t="e">
        <f t="shared" si="35"/>
        <v>#DIV/0!</v>
      </c>
      <c r="AF138" t="e">
        <f t="shared" si="36"/>
        <v>#DIV/0!</v>
      </c>
      <c r="AG138" t="e">
        <f t="shared" si="37"/>
        <v>#DIV/0!</v>
      </c>
      <c r="AH138" t="e">
        <f t="shared" si="44"/>
        <v>#DIV/0!</v>
      </c>
      <c r="AI138" t="e">
        <f t="shared" si="38"/>
        <v>#DIV/0!</v>
      </c>
      <c r="AJ138">
        <f t="shared" si="39"/>
        <v>0</v>
      </c>
      <c r="AK138" t="e">
        <f t="shared" si="40"/>
        <v>#N/A</v>
      </c>
      <c r="AL138">
        <f t="shared" si="41"/>
        <v>0</v>
      </c>
      <c r="AM138" t="e">
        <f t="shared" si="42"/>
        <v>#N/A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8">
        <f t="shared" si="43"/>
        <v>1</v>
      </c>
    </row>
    <row r="139" spans="2:42" x14ac:dyDescent="0.35">
      <c r="B139" s="12" t="str">
        <f>Demand!C144</f>
        <v/>
      </c>
      <c r="C139" s="68" t="str">
        <f>Demand!D144</f>
        <v/>
      </c>
      <c r="D139" s="68" t="str">
        <f>Demand!E144</f>
        <v/>
      </c>
      <c r="E139" s="6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9" t="e">
        <f t="shared" si="30"/>
        <v>#DIV/0!</v>
      </c>
      <c r="AA139" t="e">
        <f t="shared" si="31"/>
        <v>#DIV/0!</v>
      </c>
      <c r="AB139" t="e">
        <f t="shared" si="32"/>
        <v>#DIV/0!</v>
      </c>
      <c r="AC139" t="e">
        <f t="shared" si="33"/>
        <v>#DIV/0!</v>
      </c>
      <c r="AD139" t="e">
        <f t="shared" si="34"/>
        <v>#DIV/0!</v>
      </c>
      <c r="AE139" t="e">
        <f t="shared" si="35"/>
        <v>#DIV/0!</v>
      </c>
      <c r="AF139" t="e">
        <f t="shared" si="36"/>
        <v>#DIV/0!</v>
      </c>
      <c r="AG139" t="e">
        <f t="shared" si="37"/>
        <v>#DIV/0!</v>
      </c>
      <c r="AH139" t="e">
        <f t="shared" si="44"/>
        <v>#DIV/0!</v>
      </c>
      <c r="AI139" t="e">
        <f t="shared" si="38"/>
        <v>#DIV/0!</v>
      </c>
      <c r="AJ139">
        <f t="shared" si="39"/>
        <v>0</v>
      </c>
      <c r="AK139" t="e">
        <f t="shared" si="40"/>
        <v>#N/A</v>
      </c>
      <c r="AL139">
        <f t="shared" si="41"/>
        <v>0</v>
      </c>
      <c r="AM139" t="e">
        <f t="shared" si="42"/>
        <v>#N/A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9">
        <f t="shared" si="43"/>
        <v>1</v>
      </c>
    </row>
    <row r="140" spans="2:42" x14ac:dyDescent="0.35">
      <c r="B140" s="12" t="str">
        <f>Demand!C145</f>
        <v/>
      </c>
      <c r="C140" s="68" t="str">
        <f>Demand!D145</f>
        <v/>
      </c>
      <c r="D140" s="68" t="str">
        <f>Demand!E145</f>
        <v/>
      </c>
      <c r="E140" s="6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0" t="e">
        <f t="shared" si="30"/>
        <v>#DIV/0!</v>
      </c>
      <c r="AA140" t="e">
        <f t="shared" si="31"/>
        <v>#DIV/0!</v>
      </c>
      <c r="AB140" t="e">
        <f t="shared" si="32"/>
        <v>#DIV/0!</v>
      </c>
      <c r="AC140" t="e">
        <f t="shared" si="33"/>
        <v>#DIV/0!</v>
      </c>
      <c r="AD140" t="e">
        <f t="shared" si="34"/>
        <v>#DIV/0!</v>
      </c>
      <c r="AE140" t="e">
        <f t="shared" si="35"/>
        <v>#DIV/0!</v>
      </c>
      <c r="AF140" t="e">
        <f t="shared" si="36"/>
        <v>#DIV/0!</v>
      </c>
      <c r="AG140" t="e">
        <f t="shared" si="37"/>
        <v>#DIV/0!</v>
      </c>
      <c r="AH140" t="e">
        <f t="shared" si="44"/>
        <v>#DIV/0!</v>
      </c>
      <c r="AI140" t="e">
        <f t="shared" si="38"/>
        <v>#DIV/0!</v>
      </c>
      <c r="AJ140">
        <f t="shared" si="39"/>
        <v>0</v>
      </c>
      <c r="AK140" t="e">
        <f t="shared" si="40"/>
        <v>#N/A</v>
      </c>
      <c r="AL140">
        <f t="shared" si="41"/>
        <v>0</v>
      </c>
      <c r="AM140" t="e">
        <f t="shared" si="42"/>
        <v>#N/A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0">
        <f t="shared" si="43"/>
        <v>1</v>
      </c>
    </row>
    <row r="141" spans="2:42" x14ac:dyDescent="0.35">
      <c r="B141" s="12" t="str">
        <f>Demand!C146</f>
        <v/>
      </c>
      <c r="C141" s="68" t="str">
        <f>Demand!D146</f>
        <v/>
      </c>
      <c r="D141" s="68" t="str">
        <f>Demand!E146</f>
        <v/>
      </c>
      <c r="E141" s="6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1" t="e">
        <f t="shared" si="30"/>
        <v>#DIV/0!</v>
      </c>
      <c r="AA141" t="e">
        <f t="shared" si="31"/>
        <v>#DIV/0!</v>
      </c>
      <c r="AB141" t="e">
        <f t="shared" si="32"/>
        <v>#DIV/0!</v>
      </c>
      <c r="AC141" t="e">
        <f t="shared" si="33"/>
        <v>#DIV/0!</v>
      </c>
      <c r="AD141" t="e">
        <f t="shared" si="34"/>
        <v>#DIV/0!</v>
      </c>
      <c r="AE141" t="e">
        <f t="shared" si="35"/>
        <v>#DIV/0!</v>
      </c>
      <c r="AF141" t="e">
        <f t="shared" si="36"/>
        <v>#DIV/0!</v>
      </c>
      <c r="AG141" t="e">
        <f t="shared" si="37"/>
        <v>#DIV/0!</v>
      </c>
      <c r="AH141" t="e">
        <f t="shared" si="44"/>
        <v>#DIV/0!</v>
      </c>
      <c r="AI141" t="e">
        <f t="shared" si="38"/>
        <v>#DIV/0!</v>
      </c>
      <c r="AJ141">
        <f t="shared" si="39"/>
        <v>0</v>
      </c>
      <c r="AK141" t="e">
        <f t="shared" si="40"/>
        <v>#N/A</v>
      </c>
      <c r="AL141">
        <f t="shared" si="41"/>
        <v>0</v>
      </c>
      <c r="AM141" t="e">
        <f t="shared" si="42"/>
        <v>#N/A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1">
        <f t="shared" si="43"/>
        <v>1</v>
      </c>
    </row>
    <row r="142" spans="2:42" x14ac:dyDescent="0.35">
      <c r="B142" s="12" t="str">
        <f>Demand!C147</f>
        <v/>
      </c>
      <c r="C142" s="68" t="str">
        <f>Demand!D147</f>
        <v/>
      </c>
      <c r="D142" s="68" t="str">
        <f>Demand!E147</f>
        <v/>
      </c>
      <c r="E142" s="6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2" t="e">
        <f t="shared" si="30"/>
        <v>#DIV/0!</v>
      </c>
      <c r="AA142" t="e">
        <f t="shared" si="31"/>
        <v>#DIV/0!</v>
      </c>
      <c r="AB142" t="e">
        <f t="shared" si="32"/>
        <v>#DIV/0!</v>
      </c>
      <c r="AC142" t="e">
        <f t="shared" si="33"/>
        <v>#DIV/0!</v>
      </c>
      <c r="AD142" t="e">
        <f t="shared" si="34"/>
        <v>#DIV/0!</v>
      </c>
      <c r="AE142" t="e">
        <f t="shared" si="35"/>
        <v>#DIV/0!</v>
      </c>
      <c r="AF142" t="e">
        <f t="shared" si="36"/>
        <v>#DIV/0!</v>
      </c>
      <c r="AG142" t="e">
        <f t="shared" si="37"/>
        <v>#DIV/0!</v>
      </c>
      <c r="AH142" t="e">
        <f t="shared" si="44"/>
        <v>#DIV/0!</v>
      </c>
      <c r="AI142" t="e">
        <f t="shared" si="38"/>
        <v>#DIV/0!</v>
      </c>
      <c r="AJ142">
        <f t="shared" si="39"/>
        <v>0</v>
      </c>
      <c r="AK142" t="e">
        <f t="shared" si="40"/>
        <v>#N/A</v>
      </c>
      <c r="AL142">
        <f t="shared" si="41"/>
        <v>0</v>
      </c>
      <c r="AM142" t="e">
        <f t="shared" si="42"/>
        <v>#N/A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2">
        <f t="shared" si="43"/>
        <v>1</v>
      </c>
    </row>
    <row r="143" spans="2:42" x14ac:dyDescent="0.35">
      <c r="B143" s="12" t="str">
        <f>Demand!C148</f>
        <v/>
      </c>
      <c r="C143" s="68" t="str">
        <f>Demand!D148</f>
        <v/>
      </c>
      <c r="D143" s="68" t="str">
        <f>Demand!E148</f>
        <v/>
      </c>
      <c r="E143" s="6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3" t="e">
        <f t="shared" si="30"/>
        <v>#DIV/0!</v>
      </c>
      <c r="AA143" t="e">
        <f t="shared" si="31"/>
        <v>#DIV/0!</v>
      </c>
      <c r="AB143" t="e">
        <f t="shared" si="32"/>
        <v>#DIV/0!</v>
      </c>
      <c r="AC143" t="e">
        <f t="shared" si="33"/>
        <v>#DIV/0!</v>
      </c>
      <c r="AD143" t="e">
        <f t="shared" si="34"/>
        <v>#DIV/0!</v>
      </c>
      <c r="AE143" t="e">
        <f t="shared" si="35"/>
        <v>#DIV/0!</v>
      </c>
      <c r="AF143" t="e">
        <f t="shared" si="36"/>
        <v>#DIV/0!</v>
      </c>
      <c r="AG143" t="e">
        <f t="shared" si="37"/>
        <v>#DIV/0!</v>
      </c>
      <c r="AH143" t="e">
        <f t="shared" si="44"/>
        <v>#DIV/0!</v>
      </c>
      <c r="AI143" t="e">
        <f t="shared" si="38"/>
        <v>#DIV/0!</v>
      </c>
      <c r="AJ143">
        <f t="shared" si="39"/>
        <v>0</v>
      </c>
      <c r="AK143" t="e">
        <f t="shared" si="40"/>
        <v>#N/A</v>
      </c>
      <c r="AL143">
        <f t="shared" si="41"/>
        <v>0</v>
      </c>
      <c r="AM143" t="e">
        <f t="shared" si="42"/>
        <v>#N/A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3">
        <f t="shared" si="43"/>
        <v>1</v>
      </c>
    </row>
    <row r="144" spans="2:42" x14ac:dyDescent="0.35">
      <c r="B144" s="12" t="str">
        <f>Demand!C149</f>
        <v/>
      </c>
      <c r="C144" s="68" t="str">
        <f>Demand!D149</f>
        <v/>
      </c>
      <c r="D144" s="68" t="str">
        <f>Demand!E149</f>
        <v/>
      </c>
      <c r="E144" s="6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4" t="e">
        <f t="shared" si="30"/>
        <v>#DIV/0!</v>
      </c>
      <c r="AA144" t="e">
        <f t="shared" si="31"/>
        <v>#DIV/0!</v>
      </c>
      <c r="AB144" t="e">
        <f t="shared" si="32"/>
        <v>#DIV/0!</v>
      </c>
      <c r="AC144" t="e">
        <f t="shared" si="33"/>
        <v>#DIV/0!</v>
      </c>
      <c r="AD144" t="e">
        <f t="shared" si="34"/>
        <v>#DIV/0!</v>
      </c>
      <c r="AE144" t="e">
        <f t="shared" si="35"/>
        <v>#DIV/0!</v>
      </c>
      <c r="AF144" t="e">
        <f t="shared" si="36"/>
        <v>#DIV/0!</v>
      </c>
      <c r="AG144" t="e">
        <f t="shared" si="37"/>
        <v>#DIV/0!</v>
      </c>
      <c r="AH144" t="e">
        <f t="shared" si="44"/>
        <v>#DIV/0!</v>
      </c>
      <c r="AI144" t="e">
        <f t="shared" si="38"/>
        <v>#DIV/0!</v>
      </c>
      <c r="AJ144">
        <f t="shared" si="39"/>
        <v>0</v>
      </c>
      <c r="AK144" t="e">
        <f t="shared" si="40"/>
        <v>#N/A</v>
      </c>
      <c r="AL144">
        <f t="shared" si="41"/>
        <v>0</v>
      </c>
      <c r="AM144" t="e">
        <f t="shared" si="42"/>
        <v>#N/A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4">
        <f t="shared" si="43"/>
        <v>1</v>
      </c>
    </row>
    <row r="145" spans="2:42" x14ac:dyDescent="0.35">
      <c r="B145" s="12" t="str">
        <f>Demand!C150</f>
        <v/>
      </c>
      <c r="C145" s="68" t="str">
        <f>Demand!D150</f>
        <v/>
      </c>
      <c r="D145" s="68" t="str">
        <f>Demand!E150</f>
        <v/>
      </c>
      <c r="E145" s="6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5" t="e">
        <f t="shared" si="30"/>
        <v>#DIV/0!</v>
      </c>
      <c r="AA145" t="e">
        <f t="shared" si="31"/>
        <v>#DIV/0!</v>
      </c>
      <c r="AB145" t="e">
        <f t="shared" si="32"/>
        <v>#DIV/0!</v>
      </c>
      <c r="AC145" t="e">
        <f t="shared" si="33"/>
        <v>#DIV/0!</v>
      </c>
      <c r="AD145" t="e">
        <f t="shared" si="34"/>
        <v>#DIV/0!</v>
      </c>
      <c r="AE145" t="e">
        <f t="shared" si="35"/>
        <v>#DIV/0!</v>
      </c>
      <c r="AF145" t="e">
        <f t="shared" si="36"/>
        <v>#DIV/0!</v>
      </c>
      <c r="AG145" t="e">
        <f t="shared" si="37"/>
        <v>#DIV/0!</v>
      </c>
      <c r="AH145" t="e">
        <f t="shared" si="44"/>
        <v>#DIV/0!</v>
      </c>
      <c r="AI145" t="e">
        <f t="shared" si="38"/>
        <v>#DIV/0!</v>
      </c>
      <c r="AJ145">
        <f t="shared" si="39"/>
        <v>0</v>
      </c>
      <c r="AK145" t="e">
        <f t="shared" si="40"/>
        <v>#N/A</v>
      </c>
      <c r="AL145">
        <f t="shared" si="41"/>
        <v>0</v>
      </c>
      <c r="AM145" t="e">
        <f t="shared" si="42"/>
        <v>#N/A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5">
        <f t="shared" si="43"/>
        <v>1</v>
      </c>
    </row>
    <row r="146" spans="2:42" x14ac:dyDescent="0.35">
      <c r="B146" s="12" t="str">
        <f>Demand!C151</f>
        <v/>
      </c>
      <c r="C146" s="68" t="str">
        <f>Demand!D151</f>
        <v/>
      </c>
      <c r="D146" s="68" t="str">
        <f>Demand!E151</f>
        <v/>
      </c>
      <c r="E146" s="6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6" t="e">
        <f t="shared" si="30"/>
        <v>#DIV/0!</v>
      </c>
      <c r="AA146" t="e">
        <f t="shared" si="31"/>
        <v>#DIV/0!</v>
      </c>
      <c r="AB146" t="e">
        <f t="shared" si="32"/>
        <v>#DIV/0!</v>
      </c>
      <c r="AC146" t="e">
        <f t="shared" si="33"/>
        <v>#DIV/0!</v>
      </c>
      <c r="AD146" t="e">
        <f t="shared" si="34"/>
        <v>#DIV/0!</v>
      </c>
      <c r="AE146" t="e">
        <f t="shared" si="35"/>
        <v>#DIV/0!</v>
      </c>
      <c r="AF146" t="e">
        <f t="shared" si="36"/>
        <v>#DIV/0!</v>
      </c>
      <c r="AG146" t="e">
        <f t="shared" si="37"/>
        <v>#DIV/0!</v>
      </c>
      <c r="AH146" t="e">
        <f t="shared" si="44"/>
        <v>#DIV/0!</v>
      </c>
      <c r="AI146" t="e">
        <f t="shared" si="38"/>
        <v>#DIV/0!</v>
      </c>
      <c r="AJ146">
        <f t="shared" si="39"/>
        <v>0</v>
      </c>
      <c r="AK146" t="e">
        <f t="shared" si="40"/>
        <v>#N/A</v>
      </c>
      <c r="AL146">
        <f t="shared" si="41"/>
        <v>0</v>
      </c>
      <c r="AM146" t="e">
        <f t="shared" si="42"/>
        <v>#N/A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6">
        <f t="shared" si="43"/>
        <v>1</v>
      </c>
    </row>
    <row r="147" spans="2:42" x14ac:dyDescent="0.35">
      <c r="B147" s="12" t="str">
        <f>Demand!C152</f>
        <v/>
      </c>
      <c r="C147" s="68" t="str">
        <f>Demand!D152</f>
        <v/>
      </c>
      <c r="D147" s="68" t="str">
        <f>Demand!E152</f>
        <v/>
      </c>
      <c r="E147" s="6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7" t="e">
        <f t="shared" si="30"/>
        <v>#DIV/0!</v>
      </c>
      <c r="AA147" t="e">
        <f t="shared" si="31"/>
        <v>#DIV/0!</v>
      </c>
      <c r="AB147" t="e">
        <f t="shared" si="32"/>
        <v>#DIV/0!</v>
      </c>
      <c r="AC147" t="e">
        <f t="shared" si="33"/>
        <v>#DIV/0!</v>
      </c>
      <c r="AD147" t="e">
        <f t="shared" si="34"/>
        <v>#DIV/0!</v>
      </c>
      <c r="AE147" t="e">
        <f t="shared" si="35"/>
        <v>#DIV/0!</v>
      </c>
      <c r="AF147" t="e">
        <f t="shared" si="36"/>
        <v>#DIV/0!</v>
      </c>
      <c r="AG147" t="e">
        <f t="shared" si="37"/>
        <v>#DIV/0!</v>
      </c>
      <c r="AH147" t="e">
        <f t="shared" si="44"/>
        <v>#DIV/0!</v>
      </c>
      <c r="AI147" t="e">
        <f t="shared" si="38"/>
        <v>#DIV/0!</v>
      </c>
      <c r="AJ147">
        <f t="shared" si="39"/>
        <v>0</v>
      </c>
      <c r="AK147" t="e">
        <f t="shared" si="40"/>
        <v>#N/A</v>
      </c>
      <c r="AL147">
        <f t="shared" si="41"/>
        <v>0</v>
      </c>
      <c r="AM147" t="e">
        <f t="shared" si="42"/>
        <v>#N/A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7">
        <f t="shared" si="43"/>
        <v>1</v>
      </c>
    </row>
    <row r="148" spans="2:42" x14ac:dyDescent="0.35">
      <c r="B148" s="12" t="str">
        <f>Demand!C153</f>
        <v/>
      </c>
      <c r="C148" s="68" t="str">
        <f>Demand!D153</f>
        <v/>
      </c>
      <c r="D148" s="68" t="str">
        <f>Demand!E153</f>
        <v/>
      </c>
      <c r="E148" s="6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8" t="e">
        <f t="shared" si="30"/>
        <v>#DIV/0!</v>
      </c>
      <c r="AA148" t="e">
        <f t="shared" si="31"/>
        <v>#DIV/0!</v>
      </c>
      <c r="AB148" t="e">
        <f t="shared" si="32"/>
        <v>#DIV/0!</v>
      </c>
      <c r="AC148" t="e">
        <f t="shared" si="33"/>
        <v>#DIV/0!</v>
      </c>
      <c r="AD148" t="e">
        <f t="shared" si="34"/>
        <v>#DIV/0!</v>
      </c>
      <c r="AE148" t="e">
        <f t="shared" si="35"/>
        <v>#DIV/0!</v>
      </c>
      <c r="AF148" t="e">
        <f t="shared" si="36"/>
        <v>#DIV/0!</v>
      </c>
      <c r="AG148" t="e">
        <f t="shared" si="37"/>
        <v>#DIV/0!</v>
      </c>
      <c r="AH148" t="e">
        <f t="shared" si="44"/>
        <v>#DIV/0!</v>
      </c>
      <c r="AI148" t="e">
        <f t="shared" si="38"/>
        <v>#DIV/0!</v>
      </c>
      <c r="AJ148">
        <f t="shared" si="39"/>
        <v>0</v>
      </c>
      <c r="AK148" t="e">
        <f t="shared" si="40"/>
        <v>#N/A</v>
      </c>
      <c r="AL148">
        <f t="shared" si="41"/>
        <v>0</v>
      </c>
      <c r="AM148" t="e">
        <f t="shared" si="42"/>
        <v>#N/A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8">
        <f t="shared" si="43"/>
        <v>1</v>
      </c>
    </row>
    <row r="149" spans="2:42" x14ac:dyDescent="0.35">
      <c r="B149" s="12" t="str">
        <f>Demand!C154</f>
        <v/>
      </c>
      <c r="C149" s="68" t="str">
        <f>Demand!D154</f>
        <v/>
      </c>
      <c r="D149" s="68" t="str">
        <f>Demand!E154</f>
        <v/>
      </c>
      <c r="E149" s="6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9" t="e">
        <f t="shared" si="30"/>
        <v>#DIV/0!</v>
      </c>
      <c r="AA149" t="e">
        <f t="shared" si="31"/>
        <v>#DIV/0!</v>
      </c>
      <c r="AB149" t="e">
        <f t="shared" si="32"/>
        <v>#DIV/0!</v>
      </c>
      <c r="AC149" t="e">
        <f t="shared" si="33"/>
        <v>#DIV/0!</v>
      </c>
      <c r="AD149" t="e">
        <f t="shared" si="34"/>
        <v>#DIV/0!</v>
      </c>
      <c r="AE149" t="e">
        <f t="shared" si="35"/>
        <v>#DIV/0!</v>
      </c>
      <c r="AF149" t="e">
        <f t="shared" si="36"/>
        <v>#DIV/0!</v>
      </c>
      <c r="AG149" t="e">
        <f t="shared" si="37"/>
        <v>#DIV/0!</v>
      </c>
      <c r="AH149" t="e">
        <f t="shared" si="44"/>
        <v>#DIV/0!</v>
      </c>
      <c r="AI149" t="e">
        <f t="shared" si="38"/>
        <v>#DIV/0!</v>
      </c>
      <c r="AJ149">
        <f t="shared" si="39"/>
        <v>0</v>
      </c>
      <c r="AK149" t="e">
        <f t="shared" si="40"/>
        <v>#N/A</v>
      </c>
      <c r="AL149">
        <f t="shared" si="41"/>
        <v>0</v>
      </c>
      <c r="AM149" t="e">
        <f t="shared" si="42"/>
        <v>#N/A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9">
        <f t="shared" si="43"/>
        <v>1</v>
      </c>
    </row>
    <row r="150" spans="2:42" x14ac:dyDescent="0.35">
      <c r="B150" s="12" t="str">
        <f>Demand!C155</f>
        <v/>
      </c>
      <c r="C150" s="68" t="str">
        <f>Demand!D155</f>
        <v/>
      </c>
      <c r="D150" s="68" t="str">
        <f>Demand!E155</f>
        <v/>
      </c>
      <c r="E150" s="6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0" t="e">
        <f t="shared" si="30"/>
        <v>#DIV/0!</v>
      </c>
      <c r="AA150" t="e">
        <f t="shared" si="31"/>
        <v>#DIV/0!</v>
      </c>
      <c r="AB150" t="e">
        <f t="shared" si="32"/>
        <v>#DIV/0!</v>
      </c>
      <c r="AC150" t="e">
        <f t="shared" si="33"/>
        <v>#DIV/0!</v>
      </c>
      <c r="AD150" t="e">
        <f t="shared" si="34"/>
        <v>#DIV/0!</v>
      </c>
      <c r="AE150" t="e">
        <f t="shared" si="35"/>
        <v>#DIV/0!</v>
      </c>
      <c r="AF150" t="e">
        <f t="shared" si="36"/>
        <v>#DIV/0!</v>
      </c>
      <c r="AG150" t="e">
        <f t="shared" si="37"/>
        <v>#DIV/0!</v>
      </c>
      <c r="AH150" t="e">
        <f t="shared" si="44"/>
        <v>#DIV/0!</v>
      </c>
      <c r="AI150" t="e">
        <f t="shared" si="38"/>
        <v>#DIV/0!</v>
      </c>
      <c r="AJ150">
        <f t="shared" si="39"/>
        <v>0</v>
      </c>
      <c r="AK150" t="e">
        <f t="shared" si="40"/>
        <v>#N/A</v>
      </c>
      <c r="AL150">
        <f t="shared" si="41"/>
        <v>0</v>
      </c>
      <c r="AM150" t="e">
        <f t="shared" si="42"/>
        <v>#N/A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0">
        <f t="shared" si="43"/>
        <v>1</v>
      </c>
    </row>
    <row r="151" spans="2:42" x14ac:dyDescent="0.35">
      <c r="B151" s="12" t="str">
        <f>Demand!C156</f>
        <v/>
      </c>
      <c r="C151" s="68" t="str">
        <f>Demand!D156</f>
        <v/>
      </c>
      <c r="D151" s="68" t="str">
        <f>Demand!E156</f>
        <v/>
      </c>
      <c r="E151" s="6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1" t="e">
        <f t="shared" si="30"/>
        <v>#DIV/0!</v>
      </c>
      <c r="AA151" t="e">
        <f t="shared" si="31"/>
        <v>#DIV/0!</v>
      </c>
      <c r="AB151" t="e">
        <f t="shared" si="32"/>
        <v>#DIV/0!</v>
      </c>
      <c r="AC151" t="e">
        <f t="shared" si="33"/>
        <v>#DIV/0!</v>
      </c>
      <c r="AD151" t="e">
        <f t="shared" si="34"/>
        <v>#DIV/0!</v>
      </c>
      <c r="AE151" t="e">
        <f t="shared" si="35"/>
        <v>#DIV/0!</v>
      </c>
      <c r="AF151" t="e">
        <f t="shared" si="36"/>
        <v>#DIV/0!</v>
      </c>
      <c r="AG151" t="e">
        <f t="shared" si="37"/>
        <v>#DIV/0!</v>
      </c>
      <c r="AH151" t="e">
        <f t="shared" si="44"/>
        <v>#DIV/0!</v>
      </c>
      <c r="AI151" t="e">
        <f t="shared" si="38"/>
        <v>#DIV/0!</v>
      </c>
      <c r="AJ151">
        <f t="shared" si="39"/>
        <v>0</v>
      </c>
      <c r="AK151" t="e">
        <f t="shared" si="40"/>
        <v>#N/A</v>
      </c>
      <c r="AL151">
        <f t="shared" si="41"/>
        <v>0</v>
      </c>
      <c r="AM151" t="e">
        <f t="shared" si="42"/>
        <v>#N/A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1">
        <f t="shared" si="43"/>
        <v>1</v>
      </c>
    </row>
    <row r="152" spans="2:42" x14ac:dyDescent="0.35">
      <c r="B152" s="12" t="str">
        <f>Demand!C157</f>
        <v/>
      </c>
      <c r="C152" s="68" t="str">
        <f>Demand!D157</f>
        <v/>
      </c>
      <c r="D152" s="68" t="str">
        <f>Demand!E157</f>
        <v/>
      </c>
      <c r="E152" s="6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2" t="e">
        <f t="shared" si="30"/>
        <v>#DIV/0!</v>
      </c>
      <c r="AA152" t="e">
        <f t="shared" si="31"/>
        <v>#DIV/0!</v>
      </c>
      <c r="AB152" t="e">
        <f t="shared" si="32"/>
        <v>#DIV/0!</v>
      </c>
      <c r="AC152" t="e">
        <f t="shared" si="33"/>
        <v>#DIV/0!</v>
      </c>
      <c r="AD152" t="e">
        <f t="shared" si="34"/>
        <v>#DIV/0!</v>
      </c>
      <c r="AE152" t="e">
        <f t="shared" si="35"/>
        <v>#DIV/0!</v>
      </c>
      <c r="AF152" t="e">
        <f t="shared" si="36"/>
        <v>#DIV/0!</v>
      </c>
      <c r="AG152" t="e">
        <f t="shared" si="37"/>
        <v>#DIV/0!</v>
      </c>
      <c r="AH152" t="e">
        <f t="shared" si="44"/>
        <v>#DIV/0!</v>
      </c>
      <c r="AI152" t="e">
        <f t="shared" si="38"/>
        <v>#DIV/0!</v>
      </c>
      <c r="AJ152">
        <f t="shared" si="39"/>
        <v>0</v>
      </c>
      <c r="AK152" t="e">
        <f t="shared" si="40"/>
        <v>#N/A</v>
      </c>
      <c r="AL152">
        <f t="shared" si="41"/>
        <v>0</v>
      </c>
      <c r="AM152" t="e">
        <f t="shared" si="42"/>
        <v>#N/A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2">
        <f t="shared" si="43"/>
        <v>1</v>
      </c>
    </row>
    <row r="153" spans="2:42" x14ac:dyDescent="0.35">
      <c r="B153" s="12" t="str">
        <f>Demand!C158</f>
        <v/>
      </c>
      <c r="C153" s="68" t="str">
        <f>Demand!D158</f>
        <v/>
      </c>
      <c r="D153" s="68" t="str">
        <f>Demand!E158</f>
        <v/>
      </c>
      <c r="E153" s="6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3" t="e">
        <f t="shared" si="30"/>
        <v>#DIV/0!</v>
      </c>
      <c r="AA153" t="e">
        <f t="shared" si="31"/>
        <v>#DIV/0!</v>
      </c>
      <c r="AB153" t="e">
        <f t="shared" si="32"/>
        <v>#DIV/0!</v>
      </c>
      <c r="AC153" t="e">
        <f t="shared" si="33"/>
        <v>#DIV/0!</v>
      </c>
      <c r="AD153" t="e">
        <f t="shared" si="34"/>
        <v>#DIV/0!</v>
      </c>
      <c r="AE153" t="e">
        <f t="shared" si="35"/>
        <v>#DIV/0!</v>
      </c>
      <c r="AF153" t="e">
        <f t="shared" si="36"/>
        <v>#DIV/0!</v>
      </c>
      <c r="AG153" t="e">
        <f t="shared" si="37"/>
        <v>#DIV/0!</v>
      </c>
      <c r="AH153" t="e">
        <f t="shared" si="44"/>
        <v>#DIV/0!</v>
      </c>
      <c r="AI153" t="e">
        <f t="shared" si="38"/>
        <v>#DIV/0!</v>
      </c>
      <c r="AJ153">
        <f t="shared" si="39"/>
        <v>0</v>
      </c>
      <c r="AK153" t="e">
        <f t="shared" si="40"/>
        <v>#N/A</v>
      </c>
      <c r="AL153">
        <f t="shared" si="41"/>
        <v>0</v>
      </c>
      <c r="AM153" t="e">
        <f t="shared" si="42"/>
        <v>#N/A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3">
        <f t="shared" si="43"/>
        <v>1</v>
      </c>
    </row>
    <row r="154" spans="2:42" x14ac:dyDescent="0.35">
      <c r="B154" s="12" t="str">
        <f>Demand!C159</f>
        <v/>
      </c>
      <c r="C154" s="68" t="str">
        <f>Demand!D159</f>
        <v/>
      </c>
      <c r="D154" s="68" t="str">
        <f>Demand!E159</f>
        <v/>
      </c>
      <c r="E154" s="6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4" t="e">
        <f t="shared" si="30"/>
        <v>#DIV/0!</v>
      </c>
      <c r="AA154" t="e">
        <f t="shared" si="31"/>
        <v>#DIV/0!</v>
      </c>
      <c r="AB154" t="e">
        <f t="shared" si="32"/>
        <v>#DIV/0!</v>
      </c>
      <c r="AC154" t="e">
        <f t="shared" si="33"/>
        <v>#DIV/0!</v>
      </c>
      <c r="AD154" t="e">
        <f t="shared" si="34"/>
        <v>#DIV/0!</v>
      </c>
      <c r="AE154" t="e">
        <f t="shared" si="35"/>
        <v>#DIV/0!</v>
      </c>
      <c r="AF154" t="e">
        <f t="shared" si="36"/>
        <v>#DIV/0!</v>
      </c>
      <c r="AG154" t="e">
        <f t="shared" si="37"/>
        <v>#DIV/0!</v>
      </c>
      <c r="AH154" t="e">
        <f t="shared" si="44"/>
        <v>#DIV/0!</v>
      </c>
      <c r="AI154" t="e">
        <f t="shared" si="38"/>
        <v>#DIV/0!</v>
      </c>
      <c r="AJ154">
        <f t="shared" si="39"/>
        <v>0</v>
      </c>
      <c r="AK154" t="e">
        <f t="shared" si="40"/>
        <v>#N/A</v>
      </c>
      <c r="AL154">
        <f t="shared" si="41"/>
        <v>0</v>
      </c>
      <c r="AM154" t="e">
        <f t="shared" si="42"/>
        <v>#N/A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4">
        <f t="shared" si="43"/>
        <v>1</v>
      </c>
    </row>
    <row r="155" spans="2:42" x14ac:dyDescent="0.35">
      <c r="B155" s="12" t="str">
        <f>Demand!C160</f>
        <v/>
      </c>
      <c r="C155" s="68" t="str">
        <f>Demand!D160</f>
        <v/>
      </c>
      <c r="D155" s="68" t="str">
        <f>Demand!E160</f>
        <v/>
      </c>
      <c r="E155" s="6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5" t="e">
        <f t="shared" si="30"/>
        <v>#DIV/0!</v>
      </c>
      <c r="AA155" t="e">
        <f t="shared" si="31"/>
        <v>#DIV/0!</v>
      </c>
      <c r="AB155" t="e">
        <f t="shared" si="32"/>
        <v>#DIV/0!</v>
      </c>
      <c r="AC155" t="e">
        <f t="shared" si="33"/>
        <v>#DIV/0!</v>
      </c>
      <c r="AD155" t="e">
        <f t="shared" si="34"/>
        <v>#DIV/0!</v>
      </c>
      <c r="AE155" t="e">
        <f t="shared" si="35"/>
        <v>#DIV/0!</v>
      </c>
      <c r="AF155" t="e">
        <f t="shared" si="36"/>
        <v>#DIV/0!</v>
      </c>
      <c r="AG155" t="e">
        <f t="shared" si="37"/>
        <v>#DIV/0!</v>
      </c>
      <c r="AH155" t="e">
        <f t="shared" si="44"/>
        <v>#DIV/0!</v>
      </c>
      <c r="AI155" t="e">
        <f t="shared" si="38"/>
        <v>#DIV/0!</v>
      </c>
      <c r="AJ155">
        <f t="shared" si="39"/>
        <v>0</v>
      </c>
      <c r="AK155" t="e">
        <f t="shared" si="40"/>
        <v>#N/A</v>
      </c>
      <c r="AL155">
        <f t="shared" si="41"/>
        <v>0</v>
      </c>
      <c r="AM155" t="e">
        <f t="shared" si="42"/>
        <v>#N/A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5">
        <f t="shared" si="43"/>
        <v>1</v>
      </c>
    </row>
    <row r="156" spans="2:42" x14ac:dyDescent="0.35">
      <c r="B156" s="12" t="str">
        <f>Demand!C161</f>
        <v/>
      </c>
      <c r="C156" s="68" t="str">
        <f>Demand!D161</f>
        <v/>
      </c>
      <c r="D156" s="68" t="str">
        <f>Demand!E161</f>
        <v/>
      </c>
      <c r="E156" s="6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6" t="e">
        <f t="shared" si="30"/>
        <v>#DIV/0!</v>
      </c>
      <c r="AA156" t="e">
        <f t="shared" si="31"/>
        <v>#DIV/0!</v>
      </c>
      <c r="AB156" t="e">
        <f t="shared" si="32"/>
        <v>#DIV/0!</v>
      </c>
      <c r="AC156" t="e">
        <f t="shared" si="33"/>
        <v>#DIV/0!</v>
      </c>
      <c r="AD156" t="e">
        <f t="shared" si="34"/>
        <v>#DIV/0!</v>
      </c>
      <c r="AE156" t="e">
        <f t="shared" si="35"/>
        <v>#DIV/0!</v>
      </c>
      <c r="AF156" t="e">
        <f t="shared" si="36"/>
        <v>#DIV/0!</v>
      </c>
      <c r="AG156" t="e">
        <f t="shared" si="37"/>
        <v>#DIV/0!</v>
      </c>
      <c r="AH156" t="e">
        <f t="shared" si="44"/>
        <v>#DIV/0!</v>
      </c>
      <c r="AI156" t="e">
        <f t="shared" si="38"/>
        <v>#DIV/0!</v>
      </c>
      <c r="AJ156">
        <f t="shared" si="39"/>
        <v>0</v>
      </c>
      <c r="AK156" t="e">
        <f t="shared" si="40"/>
        <v>#N/A</v>
      </c>
      <c r="AL156">
        <f t="shared" si="41"/>
        <v>0</v>
      </c>
      <c r="AM156" t="e">
        <f t="shared" si="42"/>
        <v>#N/A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6">
        <f t="shared" si="43"/>
        <v>1</v>
      </c>
    </row>
    <row r="157" spans="2:42" x14ac:dyDescent="0.35">
      <c r="B157" s="12" t="str">
        <f>Demand!C162</f>
        <v/>
      </c>
      <c r="C157" s="68" t="str">
        <f>Demand!D162</f>
        <v/>
      </c>
      <c r="D157" s="68" t="str">
        <f>Demand!E162</f>
        <v/>
      </c>
      <c r="E157" s="6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7" t="e">
        <f t="shared" si="30"/>
        <v>#DIV/0!</v>
      </c>
      <c r="AA157" t="e">
        <f t="shared" si="31"/>
        <v>#DIV/0!</v>
      </c>
      <c r="AB157" t="e">
        <f t="shared" si="32"/>
        <v>#DIV/0!</v>
      </c>
      <c r="AC157" t="e">
        <f t="shared" si="33"/>
        <v>#DIV/0!</v>
      </c>
      <c r="AD157" t="e">
        <f t="shared" si="34"/>
        <v>#DIV/0!</v>
      </c>
      <c r="AE157" t="e">
        <f t="shared" si="35"/>
        <v>#DIV/0!</v>
      </c>
      <c r="AF157" t="e">
        <f t="shared" si="36"/>
        <v>#DIV/0!</v>
      </c>
      <c r="AG157" t="e">
        <f t="shared" si="37"/>
        <v>#DIV/0!</v>
      </c>
      <c r="AH157" t="e">
        <f t="shared" si="44"/>
        <v>#DIV/0!</v>
      </c>
      <c r="AI157" t="e">
        <f t="shared" si="38"/>
        <v>#DIV/0!</v>
      </c>
      <c r="AJ157">
        <f t="shared" si="39"/>
        <v>0</v>
      </c>
      <c r="AK157" t="e">
        <f t="shared" si="40"/>
        <v>#N/A</v>
      </c>
      <c r="AL157">
        <f t="shared" si="41"/>
        <v>0</v>
      </c>
      <c r="AM157" t="e">
        <f t="shared" si="42"/>
        <v>#N/A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7">
        <f t="shared" si="43"/>
        <v>1</v>
      </c>
    </row>
    <row r="158" spans="2:42" x14ac:dyDescent="0.35">
      <c r="B158" s="12" t="str">
        <f>Demand!C163</f>
        <v/>
      </c>
      <c r="C158" s="68" t="str">
        <f>Demand!D163</f>
        <v/>
      </c>
      <c r="D158" s="68" t="str">
        <f>Demand!E163</f>
        <v/>
      </c>
      <c r="E158" s="6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8" t="e">
        <f t="shared" si="30"/>
        <v>#DIV/0!</v>
      </c>
      <c r="AA158" t="e">
        <f t="shared" si="31"/>
        <v>#DIV/0!</v>
      </c>
      <c r="AB158" t="e">
        <f t="shared" si="32"/>
        <v>#DIV/0!</v>
      </c>
      <c r="AC158" t="e">
        <f t="shared" si="33"/>
        <v>#DIV/0!</v>
      </c>
      <c r="AD158" t="e">
        <f t="shared" si="34"/>
        <v>#DIV/0!</v>
      </c>
      <c r="AE158" t="e">
        <f t="shared" si="35"/>
        <v>#DIV/0!</v>
      </c>
      <c r="AF158" t="e">
        <f t="shared" si="36"/>
        <v>#DIV/0!</v>
      </c>
      <c r="AG158" t="e">
        <f t="shared" si="37"/>
        <v>#DIV/0!</v>
      </c>
      <c r="AH158" t="e">
        <f t="shared" si="44"/>
        <v>#DIV/0!</v>
      </c>
      <c r="AI158" t="e">
        <f t="shared" si="38"/>
        <v>#DIV/0!</v>
      </c>
      <c r="AJ158">
        <f t="shared" si="39"/>
        <v>0</v>
      </c>
      <c r="AK158" t="e">
        <f t="shared" si="40"/>
        <v>#N/A</v>
      </c>
      <c r="AL158">
        <f t="shared" si="41"/>
        <v>0</v>
      </c>
      <c r="AM158" t="e">
        <f t="shared" si="42"/>
        <v>#N/A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8">
        <f t="shared" si="43"/>
        <v>1</v>
      </c>
    </row>
    <row r="159" spans="2:42" x14ac:dyDescent="0.35">
      <c r="B159" s="12" t="str">
        <f>Demand!C164</f>
        <v/>
      </c>
      <c r="C159" s="68" t="str">
        <f>Demand!D164</f>
        <v/>
      </c>
      <c r="D159" s="68" t="str">
        <f>Demand!E164</f>
        <v/>
      </c>
      <c r="E159" s="6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9" t="e">
        <f t="shared" si="30"/>
        <v>#DIV/0!</v>
      </c>
      <c r="AA159" t="e">
        <f t="shared" si="31"/>
        <v>#DIV/0!</v>
      </c>
      <c r="AB159" t="e">
        <f t="shared" si="32"/>
        <v>#DIV/0!</v>
      </c>
      <c r="AC159" t="e">
        <f t="shared" si="33"/>
        <v>#DIV/0!</v>
      </c>
      <c r="AD159" t="e">
        <f t="shared" si="34"/>
        <v>#DIV/0!</v>
      </c>
      <c r="AE159" t="e">
        <f t="shared" si="35"/>
        <v>#DIV/0!</v>
      </c>
      <c r="AF159" t="e">
        <f t="shared" si="36"/>
        <v>#DIV/0!</v>
      </c>
      <c r="AG159" t="e">
        <f t="shared" si="37"/>
        <v>#DIV/0!</v>
      </c>
      <c r="AH159" t="e">
        <f t="shared" si="44"/>
        <v>#DIV/0!</v>
      </c>
      <c r="AI159" t="e">
        <f t="shared" si="38"/>
        <v>#DIV/0!</v>
      </c>
      <c r="AJ159">
        <f t="shared" si="39"/>
        <v>0</v>
      </c>
      <c r="AK159" t="e">
        <f t="shared" si="40"/>
        <v>#N/A</v>
      </c>
      <c r="AL159">
        <f t="shared" si="41"/>
        <v>0</v>
      </c>
      <c r="AM159" t="e">
        <f t="shared" si="42"/>
        <v>#N/A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9">
        <f t="shared" si="43"/>
        <v>1</v>
      </c>
    </row>
    <row r="160" spans="2:42" x14ac:dyDescent="0.35">
      <c r="B160" s="12" t="str">
        <f>Demand!C165</f>
        <v/>
      </c>
      <c r="C160" s="68" t="str">
        <f>Demand!D165</f>
        <v/>
      </c>
      <c r="D160" s="68" t="str">
        <f>Demand!E165</f>
        <v/>
      </c>
      <c r="E160" s="6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0" t="e">
        <f t="shared" si="30"/>
        <v>#DIV/0!</v>
      </c>
      <c r="AA160" t="e">
        <f t="shared" si="31"/>
        <v>#DIV/0!</v>
      </c>
      <c r="AB160" t="e">
        <f t="shared" si="32"/>
        <v>#DIV/0!</v>
      </c>
      <c r="AC160" t="e">
        <f t="shared" si="33"/>
        <v>#DIV/0!</v>
      </c>
      <c r="AD160" t="e">
        <f t="shared" si="34"/>
        <v>#DIV/0!</v>
      </c>
      <c r="AE160" t="e">
        <f t="shared" si="35"/>
        <v>#DIV/0!</v>
      </c>
      <c r="AF160" t="e">
        <f t="shared" si="36"/>
        <v>#DIV/0!</v>
      </c>
      <c r="AG160" t="e">
        <f t="shared" si="37"/>
        <v>#DIV/0!</v>
      </c>
      <c r="AH160" t="e">
        <f t="shared" si="44"/>
        <v>#DIV/0!</v>
      </c>
      <c r="AI160" t="e">
        <f t="shared" si="38"/>
        <v>#DIV/0!</v>
      </c>
      <c r="AJ160">
        <f t="shared" si="39"/>
        <v>0</v>
      </c>
      <c r="AK160" t="e">
        <f t="shared" si="40"/>
        <v>#N/A</v>
      </c>
      <c r="AL160">
        <f t="shared" si="41"/>
        <v>0</v>
      </c>
      <c r="AM160" t="e">
        <f t="shared" si="42"/>
        <v>#N/A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0">
        <f t="shared" si="43"/>
        <v>1</v>
      </c>
    </row>
    <row r="161" spans="2:42" x14ac:dyDescent="0.35">
      <c r="B161" s="12" t="str">
        <f>Demand!C166</f>
        <v/>
      </c>
      <c r="C161" s="68" t="str">
        <f>Demand!D166</f>
        <v/>
      </c>
      <c r="D161" s="68" t="str">
        <f>Demand!E166</f>
        <v/>
      </c>
      <c r="E161" s="6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1" t="e">
        <f t="shared" si="30"/>
        <v>#DIV/0!</v>
      </c>
      <c r="AA161" t="e">
        <f t="shared" si="31"/>
        <v>#DIV/0!</v>
      </c>
      <c r="AB161" t="e">
        <f t="shared" si="32"/>
        <v>#DIV/0!</v>
      </c>
      <c r="AC161" t="e">
        <f t="shared" si="33"/>
        <v>#DIV/0!</v>
      </c>
      <c r="AD161" t="e">
        <f t="shared" si="34"/>
        <v>#DIV/0!</v>
      </c>
      <c r="AE161" t="e">
        <f t="shared" si="35"/>
        <v>#DIV/0!</v>
      </c>
      <c r="AF161" t="e">
        <f t="shared" si="36"/>
        <v>#DIV/0!</v>
      </c>
      <c r="AG161" t="e">
        <f t="shared" si="37"/>
        <v>#DIV/0!</v>
      </c>
      <c r="AH161" t="e">
        <f t="shared" si="44"/>
        <v>#DIV/0!</v>
      </c>
      <c r="AI161" t="e">
        <f t="shared" si="38"/>
        <v>#DIV/0!</v>
      </c>
      <c r="AJ161">
        <f t="shared" si="39"/>
        <v>0</v>
      </c>
      <c r="AK161" t="e">
        <f t="shared" si="40"/>
        <v>#N/A</v>
      </c>
      <c r="AL161">
        <f t="shared" si="41"/>
        <v>0</v>
      </c>
      <c r="AM161" t="e">
        <f t="shared" si="42"/>
        <v>#N/A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1">
        <f t="shared" si="43"/>
        <v>1</v>
      </c>
    </row>
    <row r="162" spans="2:42" x14ac:dyDescent="0.35">
      <c r="B162" s="12" t="str">
        <f>Demand!C167</f>
        <v/>
      </c>
      <c r="C162" s="68" t="str">
        <f>Demand!D167</f>
        <v/>
      </c>
      <c r="D162" s="68" t="str">
        <f>Demand!E167</f>
        <v/>
      </c>
      <c r="E162" s="6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2" t="e">
        <f t="shared" si="30"/>
        <v>#DIV/0!</v>
      </c>
      <c r="AA162" t="e">
        <f t="shared" si="31"/>
        <v>#DIV/0!</v>
      </c>
      <c r="AB162" t="e">
        <f t="shared" si="32"/>
        <v>#DIV/0!</v>
      </c>
      <c r="AC162" t="e">
        <f t="shared" si="33"/>
        <v>#DIV/0!</v>
      </c>
      <c r="AD162" t="e">
        <f t="shared" si="34"/>
        <v>#DIV/0!</v>
      </c>
      <c r="AE162" t="e">
        <f t="shared" si="35"/>
        <v>#DIV/0!</v>
      </c>
      <c r="AF162" t="e">
        <f t="shared" si="36"/>
        <v>#DIV/0!</v>
      </c>
      <c r="AG162" t="e">
        <f t="shared" si="37"/>
        <v>#DIV/0!</v>
      </c>
      <c r="AH162" t="e">
        <f t="shared" si="44"/>
        <v>#DIV/0!</v>
      </c>
      <c r="AI162" t="e">
        <f t="shared" si="38"/>
        <v>#DIV/0!</v>
      </c>
      <c r="AJ162">
        <f t="shared" si="39"/>
        <v>0</v>
      </c>
      <c r="AK162" t="e">
        <f t="shared" si="40"/>
        <v>#N/A</v>
      </c>
      <c r="AL162">
        <f t="shared" si="41"/>
        <v>0</v>
      </c>
      <c r="AM162" t="e">
        <f t="shared" si="42"/>
        <v>#N/A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2">
        <f t="shared" si="43"/>
        <v>1</v>
      </c>
    </row>
    <row r="163" spans="2:42" x14ac:dyDescent="0.35">
      <c r="B163" s="12" t="str">
        <f>Demand!C168</f>
        <v/>
      </c>
      <c r="C163" s="68" t="str">
        <f>Demand!D168</f>
        <v/>
      </c>
      <c r="D163" s="68" t="str">
        <f>Demand!E168</f>
        <v/>
      </c>
      <c r="E163" s="6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3" t="e">
        <f t="shared" si="30"/>
        <v>#DIV/0!</v>
      </c>
      <c r="AA163" t="e">
        <f t="shared" si="31"/>
        <v>#DIV/0!</v>
      </c>
      <c r="AB163" t="e">
        <f t="shared" si="32"/>
        <v>#DIV/0!</v>
      </c>
      <c r="AC163" t="e">
        <f t="shared" si="33"/>
        <v>#DIV/0!</v>
      </c>
      <c r="AD163" t="e">
        <f t="shared" si="34"/>
        <v>#DIV/0!</v>
      </c>
      <c r="AE163" t="e">
        <f t="shared" si="35"/>
        <v>#DIV/0!</v>
      </c>
      <c r="AF163" t="e">
        <f t="shared" si="36"/>
        <v>#DIV/0!</v>
      </c>
      <c r="AG163" t="e">
        <f t="shared" si="37"/>
        <v>#DIV/0!</v>
      </c>
      <c r="AH163" t="e">
        <f t="shared" si="44"/>
        <v>#DIV/0!</v>
      </c>
      <c r="AI163" t="e">
        <f t="shared" si="38"/>
        <v>#DIV/0!</v>
      </c>
      <c r="AJ163">
        <f t="shared" si="39"/>
        <v>0</v>
      </c>
      <c r="AK163" t="e">
        <f t="shared" si="40"/>
        <v>#N/A</v>
      </c>
      <c r="AL163">
        <f t="shared" si="41"/>
        <v>0</v>
      </c>
      <c r="AM163" t="e">
        <f t="shared" si="42"/>
        <v>#N/A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3">
        <f t="shared" si="43"/>
        <v>1</v>
      </c>
    </row>
    <row r="164" spans="2:42" x14ac:dyDescent="0.35">
      <c r="B164" s="12" t="str">
        <f>Demand!C169</f>
        <v/>
      </c>
      <c r="C164" s="68" t="str">
        <f>Demand!D169</f>
        <v/>
      </c>
      <c r="D164" s="68" t="str">
        <f>Demand!E169</f>
        <v/>
      </c>
      <c r="E164" s="6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4" t="e">
        <f t="shared" si="30"/>
        <v>#DIV/0!</v>
      </c>
      <c r="AA164" t="e">
        <f t="shared" si="31"/>
        <v>#DIV/0!</v>
      </c>
      <c r="AB164" t="e">
        <f t="shared" si="32"/>
        <v>#DIV/0!</v>
      </c>
      <c r="AC164" t="e">
        <f t="shared" si="33"/>
        <v>#DIV/0!</v>
      </c>
      <c r="AD164" t="e">
        <f t="shared" si="34"/>
        <v>#DIV/0!</v>
      </c>
      <c r="AE164" t="e">
        <f t="shared" si="35"/>
        <v>#DIV/0!</v>
      </c>
      <c r="AF164" t="e">
        <f t="shared" si="36"/>
        <v>#DIV/0!</v>
      </c>
      <c r="AG164" t="e">
        <f t="shared" si="37"/>
        <v>#DIV/0!</v>
      </c>
      <c r="AH164" t="e">
        <f t="shared" si="44"/>
        <v>#DIV/0!</v>
      </c>
      <c r="AI164" t="e">
        <f t="shared" si="38"/>
        <v>#DIV/0!</v>
      </c>
      <c r="AJ164">
        <f t="shared" si="39"/>
        <v>0</v>
      </c>
      <c r="AK164" t="e">
        <f t="shared" si="40"/>
        <v>#N/A</v>
      </c>
      <c r="AL164">
        <f t="shared" si="41"/>
        <v>0</v>
      </c>
      <c r="AM164" t="e">
        <f t="shared" si="42"/>
        <v>#N/A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4">
        <f t="shared" si="43"/>
        <v>1</v>
      </c>
    </row>
    <row r="165" spans="2:42" x14ac:dyDescent="0.35">
      <c r="B165" s="12" t="str">
        <f>Demand!C170</f>
        <v/>
      </c>
      <c r="C165" s="68" t="str">
        <f>Demand!D170</f>
        <v/>
      </c>
      <c r="D165" s="68" t="str">
        <f>Demand!E170</f>
        <v/>
      </c>
      <c r="E165" s="6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5" t="e">
        <f t="shared" si="30"/>
        <v>#DIV/0!</v>
      </c>
      <c r="AA165" t="e">
        <f t="shared" si="31"/>
        <v>#DIV/0!</v>
      </c>
      <c r="AB165" t="e">
        <f t="shared" si="32"/>
        <v>#DIV/0!</v>
      </c>
      <c r="AC165" t="e">
        <f t="shared" si="33"/>
        <v>#DIV/0!</v>
      </c>
      <c r="AD165" t="e">
        <f t="shared" si="34"/>
        <v>#DIV/0!</v>
      </c>
      <c r="AE165" t="e">
        <f t="shared" si="35"/>
        <v>#DIV/0!</v>
      </c>
      <c r="AF165" t="e">
        <f t="shared" si="36"/>
        <v>#DIV/0!</v>
      </c>
      <c r="AG165" t="e">
        <f t="shared" si="37"/>
        <v>#DIV/0!</v>
      </c>
      <c r="AH165" t="e">
        <f t="shared" si="44"/>
        <v>#DIV/0!</v>
      </c>
      <c r="AI165" t="e">
        <f t="shared" si="38"/>
        <v>#DIV/0!</v>
      </c>
      <c r="AJ165">
        <f t="shared" si="39"/>
        <v>0</v>
      </c>
      <c r="AK165" t="e">
        <f t="shared" si="40"/>
        <v>#N/A</v>
      </c>
      <c r="AL165">
        <f t="shared" si="41"/>
        <v>0</v>
      </c>
      <c r="AM165" t="e">
        <f t="shared" si="42"/>
        <v>#N/A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5">
        <f t="shared" si="43"/>
        <v>1</v>
      </c>
    </row>
    <row r="166" spans="2:42" x14ac:dyDescent="0.35">
      <c r="B166" s="12" t="str">
        <f>Demand!C171</f>
        <v/>
      </c>
      <c r="C166" s="68" t="str">
        <f>Demand!D171</f>
        <v/>
      </c>
      <c r="D166" s="68" t="str">
        <f>Demand!E171</f>
        <v/>
      </c>
      <c r="E166" s="6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6" t="e">
        <f t="shared" si="30"/>
        <v>#DIV/0!</v>
      </c>
      <c r="AA166" t="e">
        <f t="shared" si="31"/>
        <v>#DIV/0!</v>
      </c>
      <c r="AB166" t="e">
        <f t="shared" si="32"/>
        <v>#DIV/0!</v>
      </c>
      <c r="AC166" t="e">
        <f t="shared" si="33"/>
        <v>#DIV/0!</v>
      </c>
      <c r="AD166" t="e">
        <f t="shared" si="34"/>
        <v>#DIV/0!</v>
      </c>
      <c r="AE166" t="e">
        <f t="shared" si="35"/>
        <v>#DIV/0!</v>
      </c>
      <c r="AF166" t="e">
        <f t="shared" si="36"/>
        <v>#DIV/0!</v>
      </c>
      <c r="AG166" t="e">
        <f t="shared" si="37"/>
        <v>#DIV/0!</v>
      </c>
      <c r="AH166" t="e">
        <f t="shared" si="44"/>
        <v>#DIV/0!</v>
      </c>
      <c r="AI166" t="e">
        <f t="shared" si="38"/>
        <v>#DIV/0!</v>
      </c>
      <c r="AJ166">
        <f t="shared" si="39"/>
        <v>0</v>
      </c>
      <c r="AK166" t="e">
        <f t="shared" si="40"/>
        <v>#N/A</v>
      </c>
      <c r="AL166">
        <f t="shared" si="41"/>
        <v>0</v>
      </c>
      <c r="AM166" t="e">
        <f t="shared" si="42"/>
        <v>#N/A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6">
        <f t="shared" si="43"/>
        <v>1</v>
      </c>
    </row>
    <row r="167" spans="2:42" x14ac:dyDescent="0.35">
      <c r="B167" s="12" t="str">
        <f>Demand!C172</f>
        <v/>
      </c>
      <c r="C167" s="68" t="str">
        <f>Demand!D172</f>
        <v/>
      </c>
      <c r="D167" s="68" t="str">
        <f>Demand!E172</f>
        <v/>
      </c>
      <c r="E167" s="6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7" t="e">
        <f t="shared" si="30"/>
        <v>#DIV/0!</v>
      </c>
      <c r="AA167" t="e">
        <f t="shared" si="31"/>
        <v>#DIV/0!</v>
      </c>
      <c r="AB167" t="e">
        <f t="shared" si="32"/>
        <v>#DIV/0!</v>
      </c>
      <c r="AC167" t="e">
        <f t="shared" si="33"/>
        <v>#DIV/0!</v>
      </c>
      <c r="AD167" t="e">
        <f t="shared" si="34"/>
        <v>#DIV/0!</v>
      </c>
      <c r="AE167" t="e">
        <f t="shared" si="35"/>
        <v>#DIV/0!</v>
      </c>
      <c r="AF167" t="e">
        <f t="shared" si="36"/>
        <v>#DIV/0!</v>
      </c>
      <c r="AG167" t="e">
        <f t="shared" si="37"/>
        <v>#DIV/0!</v>
      </c>
      <c r="AH167" t="e">
        <f t="shared" si="44"/>
        <v>#DIV/0!</v>
      </c>
      <c r="AI167" t="e">
        <f t="shared" si="38"/>
        <v>#DIV/0!</v>
      </c>
      <c r="AJ167">
        <f t="shared" si="39"/>
        <v>0</v>
      </c>
      <c r="AK167" t="e">
        <f t="shared" si="40"/>
        <v>#N/A</v>
      </c>
      <c r="AL167">
        <f t="shared" si="41"/>
        <v>0</v>
      </c>
      <c r="AM167" t="e">
        <f t="shared" si="42"/>
        <v>#N/A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7">
        <f t="shared" si="43"/>
        <v>1</v>
      </c>
    </row>
    <row r="168" spans="2:42" x14ac:dyDescent="0.35">
      <c r="B168" s="12" t="str">
        <f>Demand!C173</f>
        <v/>
      </c>
      <c r="C168" s="68" t="str">
        <f>Demand!D173</f>
        <v/>
      </c>
      <c r="D168" s="68" t="str">
        <f>Demand!E173</f>
        <v/>
      </c>
      <c r="E168" s="6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8" t="e">
        <f t="shared" si="30"/>
        <v>#DIV/0!</v>
      </c>
      <c r="AA168" t="e">
        <f t="shared" si="31"/>
        <v>#DIV/0!</v>
      </c>
      <c r="AB168" t="e">
        <f t="shared" si="32"/>
        <v>#DIV/0!</v>
      </c>
      <c r="AC168" t="e">
        <f t="shared" si="33"/>
        <v>#DIV/0!</v>
      </c>
      <c r="AD168" t="e">
        <f t="shared" si="34"/>
        <v>#DIV/0!</v>
      </c>
      <c r="AE168" t="e">
        <f t="shared" si="35"/>
        <v>#DIV/0!</v>
      </c>
      <c r="AF168" t="e">
        <f t="shared" si="36"/>
        <v>#DIV/0!</v>
      </c>
      <c r="AG168" t="e">
        <f t="shared" si="37"/>
        <v>#DIV/0!</v>
      </c>
      <c r="AH168" t="e">
        <f t="shared" si="44"/>
        <v>#DIV/0!</v>
      </c>
      <c r="AI168" t="e">
        <f t="shared" si="38"/>
        <v>#DIV/0!</v>
      </c>
      <c r="AJ168">
        <f t="shared" si="39"/>
        <v>0</v>
      </c>
      <c r="AK168" t="e">
        <f t="shared" si="40"/>
        <v>#N/A</v>
      </c>
      <c r="AL168">
        <f t="shared" si="41"/>
        <v>0</v>
      </c>
      <c r="AM168" t="e">
        <f t="shared" si="42"/>
        <v>#N/A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8">
        <f t="shared" si="43"/>
        <v>1</v>
      </c>
    </row>
    <row r="169" spans="2:42" x14ac:dyDescent="0.35">
      <c r="B169" s="12" t="str">
        <f>Demand!C174</f>
        <v/>
      </c>
      <c r="C169" s="68" t="str">
        <f>Demand!D174</f>
        <v/>
      </c>
      <c r="D169" s="68" t="str">
        <f>Demand!E174</f>
        <v/>
      </c>
      <c r="E169" s="6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9" t="e">
        <f t="shared" si="30"/>
        <v>#DIV/0!</v>
      </c>
      <c r="AA169" t="e">
        <f t="shared" si="31"/>
        <v>#DIV/0!</v>
      </c>
      <c r="AB169" t="e">
        <f t="shared" si="32"/>
        <v>#DIV/0!</v>
      </c>
      <c r="AC169" t="e">
        <f t="shared" si="33"/>
        <v>#DIV/0!</v>
      </c>
      <c r="AD169" t="e">
        <f t="shared" si="34"/>
        <v>#DIV/0!</v>
      </c>
      <c r="AE169" t="e">
        <f t="shared" si="35"/>
        <v>#DIV/0!</v>
      </c>
      <c r="AF169" t="e">
        <f t="shared" si="36"/>
        <v>#DIV/0!</v>
      </c>
      <c r="AG169" t="e">
        <f t="shared" si="37"/>
        <v>#DIV/0!</v>
      </c>
      <c r="AH169" t="e">
        <f t="shared" si="44"/>
        <v>#DIV/0!</v>
      </c>
      <c r="AI169" t="e">
        <f t="shared" si="38"/>
        <v>#DIV/0!</v>
      </c>
      <c r="AJ169">
        <f t="shared" si="39"/>
        <v>0</v>
      </c>
      <c r="AK169" t="e">
        <f t="shared" si="40"/>
        <v>#N/A</v>
      </c>
      <c r="AL169">
        <f t="shared" si="41"/>
        <v>0</v>
      </c>
      <c r="AM169" t="e">
        <f t="shared" si="42"/>
        <v>#N/A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9">
        <f t="shared" si="43"/>
        <v>1</v>
      </c>
    </row>
    <row r="170" spans="2:42" x14ac:dyDescent="0.35">
      <c r="B170" s="12" t="str">
        <f>Demand!C175</f>
        <v/>
      </c>
      <c r="C170" s="68" t="str">
        <f>Demand!D175</f>
        <v/>
      </c>
      <c r="D170" s="68" t="str">
        <f>Demand!E175</f>
        <v/>
      </c>
      <c r="E170" s="6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0" t="e">
        <f t="shared" si="30"/>
        <v>#DIV/0!</v>
      </c>
      <c r="AA170" t="e">
        <f t="shared" si="31"/>
        <v>#DIV/0!</v>
      </c>
      <c r="AB170" t="e">
        <f t="shared" si="32"/>
        <v>#DIV/0!</v>
      </c>
      <c r="AC170" t="e">
        <f t="shared" si="33"/>
        <v>#DIV/0!</v>
      </c>
      <c r="AD170" t="e">
        <f t="shared" si="34"/>
        <v>#DIV/0!</v>
      </c>
      <c r="AE170" t="e">
        <f t="shared" si="35"/>
        <v>#DIV/0!</v>
      </c>
      <c r="AF170" t="e">
        <f t="shared" si="36"/>
        <v>#DIV/0!</v>
      </c>
      <c r="AG170" t="e">
        <f t="shared" si="37"/>
        <v>#DIV/0!</v>
      </c>
      <c r="AH170" t="e">
        <f t="shared" si="44"/>
        <v>#DIV/0!</v>
      </c>
      <c r="AI170" t="e">
        <f t="shared" si="38"/>
        <v>#DIV/0!</v>
      </c>
      <c r="AJ170">
        <f t="shared" si="39"/>
        <v>0</v>
      </c>
      <c r="AK170" t="e">
        <f t="shared" si="40"/>
        <v>#N/A</v>
      </c>
      <c r="AL170">
        <f t="shared" si="41"/>
        <v>0</v>
      </c>
      <c r="AM170" t="e">
        <f t="shared" si="42"/>
        <v>#N/A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0">
        <f t="shared" si="43"/>
        <v>1</v>
      </c>
    </row>
    <row r="171" spans="2:42" x14ac:dyDescent="0.35">
      <c r="B171" s="12" t="str">
        <f>Demand!C176</f>
        <v/>
      </c>
      <c r="C171" s="68" t="str">
        <f>Demand!D176</f>
        <v/>
      </c>
      <c r="D171" s="68" t="str">
        <f>Demand!E176</f>
        <v/>
      </c>
      <c r="E171" s="6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1" t="e">
        <f t="shared" si="30"/>
        <v>#DIV/0!</v>
      </c>
      <c r="AA171" t="e">
        <f t="shared" si="31"/>
        <v>#DIV/0!</v>
      </c>
      <c r="AB171" t="e">
        <f t="shared" si="32"/>
        <v>#DIV/0!</v>
      </c>
      <c r="AC171" t="e">
        <f t="shared" si="33"/>
        <v>#DIV/0!</v>
      </c>
      <c r="AD171" t="e">
        <f t="shared" si="34"/>
        <v>#DIV/0!</v>
      </c>
      <c r="AE171" t="e">
        <f t="shared" si="35"/>
        <v>#DIV/0!</v>
      </c>
      <c r="AF171" t="e">
        <f t="shared" si="36"/>
        <v>#DIV/0!</v>
      </c>
      <c r="AG171" t="e">
        <f t="shared" si="37"/>
        <v>#DIV/0!</v>
      </c>
      <c r="AH171" t="e">
        <f t="shared" si="44"/>
        <v>#DIV/0!</v>
      </c>
      <c r="AI171" t="e">
        <f t="shared" si="38"/>
        <v>#DIV/0!</v>
      </c>
      <c r="AJ171">
        <f t="shared" si="39"/>
        <v>0</v>
      </c>
      <c r="AK171" t="e">
        <f t="shared" si="40"/>
        <v>#N/A</v>
      </c>
      <c r="AL171">
        <f t="shared" si="41"/>
        <v>0</v>
      </c>
      <c r="AM171" t="e">
        <f t="shared" si="42"/>
        <v>#N/A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1">
        <f t="shared" si="43"/>
        <v>1</v>
      </c>
    </row>
    <row r="172" spans="2:42" x14ac:dyDescent="0.35">
      <c r="B172" s="12" t="str">
        <f>Demand!C177</f>
        <v/>
      </c>
      <c r="C172" s="68" t="str">
        <f>Demand!D177</f>
        <v/>
      </c>
      <c r="D172" s="68" t="str">
        <f>Demand!E177</f>
        <v/>
      </c>
      <c r="E172" s="6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2" t="e">
        <f t="shared" si="30"/>
        <v>#DIV/0!</v>
      </c>
      <c r="AA172" t="e">
        <f t="shared" si="31"/>
        <v>#DIV/0!</v>
      </c>
      <c r="AB172" t="e">
        <f t="shared" si="32"/>
        <v>#DIV/0!</v>
      </c>
      <c r="AC172" t="e">
        <f t="shared" si="33"/>
        <v>#DIV/0!</v>
      </c>
      <c r="AD172" t="e">
        <f t="shared" si="34"/>
        <v>#DIV/0!</v>
      </c>
      <c r="AE172" t="e">
        <f t="shared" si="35"/>
        <v>#DIV/0!</v>
      </c>
      <c r="AF172" t="e">
        <f t="shared" si="36"/>
        <v>#DIV/0!</v>
      </c>
      <c r="AG172" t="e">
        <f t="shared" si="37"/>
        <v>#DIV/0!</v>
      </c>
      <c r="AH172" t="e">
        <f t="shared" si="44"/>
        <v>#DIV/0!</v>
      </c>
      <c r="AI172" t="e">
        <f t="shared" si="38"/>
        <v>#DIV/0!</v>
      </c>
      <c r="AJ172">
        <f t="shared" si="39"/>
        <v>0</v>
      </c>
      <c r="AK172" t="e">
        <f t="shared" si="40"/>
        <v>#N/A</v>
      </c>
      <c r="AL172">
        <f t="shared" si="41"/>
        <v>0</v>
      </c>
      <c r="AM172" t="e">
        <f t="shared" si="42"/>
        <v>#N/A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2">
        <f t="shared" si="43"/>
        <v>1</v>
      </c>
    </row>
    <row r="173" spans="2:42" x14ac:dyDescent="0.35">
      <c r="B173" s="12" t="str">
        <f>Demand!C178</f>
        <v/>
      </c>
      <c r="C173" s="68" t="str">
        <f>Demand!D178</f>
        <v/>
      </c>
      <c r="D173" s="68" t="str">
        <f>Demand!E178</f>
        <v/>
      </c>
      <c r="E173" s="6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3" t="e">
        <f t="shared" si="30"/>
        <v>#DIV/0!</v>
      </c>
      <c r="AA173" t="e">
        <f t="shared" si="31"/>
        <v>#DIV/0!</v>
      </c>
      <c r="AB173" t="e">
        <f t="shared" si="32"/>
        <v>#DIV/0!</v>
      </c>
      <c r="AC173" t="e">
        <f t="shared" si="33"/>
        <v>#DIV/0!</v>
      </c>
      <c r="AD173" t="e">
        <f t="shared" si="34"/>
        <v>#DIV/0!</v>
      </c>
      <c r="AE173" t="e">
        <f t="shared" si="35"/>
        <v>#DIV/0!</v>
      </c>
      <c r="AF173" t="e">
        <f t="shared" si="36"/>
        <v>#DIV/0!</v>
      </c>
      <c r="AG173" t="e">
        <f t="shared" si="37"/>
        <v>#DIV/0!</v>
      </c>
      <c r="AH173" t="e">
        <f t="shared" si="44"/>
        <v>#DIV/0!</v>
      </c>
      <c r="AI173" t="e">
        <f t="shared" si="38"/>
        <v>#DIV/0!</v>
      </c>
      <c r="AJ173">
        <f t="shared" si="39"/>
        <v>0</v>
      </c>
      <c r="AK173" t="e">
        <f t="shared" si="40"/>
        <v>#N/A</v>
      </c>
      <c r="AL173">
        <f t="shared" si="41"/>
        <v>0</v>
      </c>
      <c r="AM173" t="e">
        <f t="shared" si="42"/>
        <v>#N/A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3">
        <f t="shared" si="43"/>
        <v>1</v>
      </c>
    </row>
    <row r="174" spans="2:42" x14ac:dyDescent="0.35">
      <c r="B174" s="12" t="str">
        <f>Demand!C179</f>
        <v/>
      </c>
      <c r="C174" s="68" t="str">
        <f>Demand!D179</f>
        <v/>
      </c>
      <c r="D174" s="68" t="str">
        <f>Demand!E179</f>
        <v/>
      </c>
      <c r="E174" s="6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4" t="e">
        <f t="shared" si="30"/>
        <v>#DIV/0!</v>
      </c>
      <c r="AA174" t="e">
        <f t="shared" si="31"/>
        <v>#DIV/0!</v>
      </c>
      <c r="AB174" t="e">
        <f t="shared" si="32"/>
        <v>#DIV/0!</v>
      </c>
      <c r="AC174" t="e">
        <f t="shared" si="33"/>
        <v>#DIV/0!</v>
      </c>
      <c r="AD174" t="e">
        <f t="shared" si="34"/>
        <v>#DIV/0!</v>
      </c>
      <c r="AE174" t="e">
        <f t="shared" si="35"/>
        <v>#DIV/0!</v>
      </c>
      <c r="AF174" t="e">
        <f t="shared" si="36"/>
        <v>#DIV/0!</v>
      </c>
      <c r="AG174" t="e">
        <f t="shared" si="37"/>
        <v>#DIV/0!</v>
      </c>
      <c r="AH174" t="e">
        <f t="shared" si="44"/>
        <v>#DIV/0!</v>
      </c>
      <c r="AI174" t="e">
        <f t="shared" si="38"/>
        <v>#DIV/0!</v>
      </c>
      <c r="AJ174">
        <f t="shared" si="39"/>
        <v>0</v>
      </c>
      <c r="AK174" t="e">
        <f t="shared" si="40"/>
        <v>#N/A</v>
      </c>
      <c r="AL174">
        <f t="shared" si="41"/>
        <v>0</v>
      </c>
      <c r="AM174" t="e">
        <f t="shared" si="42"/>
        <v>#N/A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4">
        <f t="shared" si="43"/>
        <v>1</v>
      </c>
    </row>
    <row r="175" spans="2:42" x14ac:dyDescent="0.35">
      <c r="B175" s="12" t="str">
        <f>Demand!C180</f>
        <v/>
      </c>
      <c r="C175" s="68" t="str">
        <f>Demand!D180</f>
        <v/>
      </c>
      <c r="D175" s="68" t="str">
        <f>Demand!E180</f>
        <v/>
      </c>
      <c r="E175" s="6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5" t="e">
        <f t="shared" si="30"/>
        <v>#DIV/0!</v>
      </c>
      <c r="AA175" t="e">
        <f t="shared" si="31"/>
        <v>#DIV/0!</v>
      </c>
      <c r="AB175" t="e">
        <f t="shared" si="32"/>
        <v>#DIV/0!</v>
      </c>
      <c r="AC175" t="e">
        <f t="shared" si="33"/>
        <v>#DIV/0!</v>
      </c>
      <c r="AD175" t="e">
        <f t="shared" si="34"/>
        <v>#DIV/0!</v>
      </c>
      <c r="AE175" t="e">
        <f t="shared" si="35"/>
        <v>#DIV/0!</v>
      </c>
      <c r="AF175" t="e">
        <f t="shared" si="36"/>
        <v>#DIV/0!</v>
      </c>
      <c r="AG175" t="e">
        <f t="shared" si="37"/>
        <v>#DIV/0!</v>
      </c>
      <c r="AH175" t="e">
        <f t="shared" si="44"/>
        <v>#DIV/0!</v>
      </c>
      <c r="AI175" t="e">
        <f t="shared" si="38"/>
        <v>#DIV/0!</v>
      </c>
      <c r="AJ175">
        <f t="shared" si="39"/>
        <v>0</v>
      </c>
      <c r="AK175" t="e">
        <f t="shared" si="40"/>
        <v>#N/A</v>
      </c>
      <c r="AL175">
        <f t="shared" si="41"/>
        <v>0</v>
      </c>
      <c r="AM175" t="e">
        <f t="shared" si="42"/>
        <v>#N/A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5">
        <f t="shared" si="43"/>
        <v>1</v>
      </c>
    </row>
    <row r="176" spans="2:42" x14ac:dyDescent="0.35">
      <c r="B176" s="12" t="str">
        <f>Demand!C181</f>
        <v/>
      </c>
      <c r="C176" s="68" t="str">
        <f>Demand!D181</f>
        <v/>
      </c>
      <c r="D176" s="68" t="str">
        <f>Demand!E181</f>
        <v/>
      </c>
      <c r="E176" s="6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6" t="e">
        <f t="shared" si="30"/>
        <v>#DIV/0!</v>
      </c>
      <c r="AA176" t="e">
        <f t="shared" si="31"/>
        <v>#DIV/0!</v>
      </c>
      <c r="AB176" t="e">
        <f t="shared" si="32"/>
        <v>#DIV/0!</v>
      </c>
      <c r="AC176" t="e">
        <f t="shared" si="33"/>
        <v>#DIV/0!</v>
      </c>
      <c r="AD176" t="e">
        <f t="shared" si="34"/>
        <v>#DIV/0!</v>
      </c>
      <c r="AE176" t="e">
        <f t="shared" si="35"/>
        <v>#DIV/0!</v>
      </c>
      <c r="AF176" t="e">
        <f t="shared" si="36"/>
        <v>#DIV/0!</v>
      </c>
      <c r="AG176" t="e">
        <f t="shared" si="37"/>
        <v>#DIV/0!</v>
      </c>
      <c r="AH176" t="e">
        <f t="shared" si="44"/>
        <v>#DIV/0!</v>
      </c>
      <c r="AI176" t="e">
        <f t="shared" si="38"/>
        <v>#DIV/0!</v>
      </c>
      <c r="AJ176">
        <f t="shared" si="39"/>
        <v>0</v>
      </c>
      <c r="AK176" t="e">
        <f t="shared" si="40"/>
        <v>#N/A</v>
      </c>
      <c r="AL176">
        <f t="shared" si="41"/>
        <v>0</v>
      </c>
      <c r="AM176" t="e">
        <f t="shared" si="42"/>
        <v>#N/A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6">
        <f t="shared" si="43"/>
        <v>1</v>
      </c>
    </row>
    <row r="177" spans="2:42" x14ac:dyDescent="0.35">
      <c r="B177" s="12" t="str">
        <f>Demand!C182</f>
        <v/>
      </c>
      <c r="C177" s="68" t="str">
        <f>Demand!D182</f>
        <v/>
      </c>
      <c r="D177" s="68" t="str">
        <f>Demand!E182</f>
        <v/>
      </c>
      <c r="E177" s="6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7" t="e">
        <f t="shared" si="30"/>
        <v>#DIV/0!</v>
      </c>
      <c r="AA177" t="e">
        <f t="shared" si="31"/>
        <v>#DIV/0!</v>
      </c>
      <c r="AB177" t="e">
        <f t="shared" si="32"/>
        <v>#DIV/0!</v>
      </c>
      <c r="AC177" t="e">
        <f t="shared" si="33"/>
        <v>#DIV/0!</v>
      </c>
      <c r="AD177" t="e">
        <f t="shared" si="34"/>
        <v>#DIV/0!</v>
      </c>
      <c r="AE177" t="e">
        <f t="shared" si="35"/>
        <v>#DIV/0!</v>
      </c>
      <c r="AF177" t="e">
        <f t="shared" si="36"/>
        <v>#DIV/0!</v>
      </c>
      <c r="AG177" t="e">
        <f t="shared" si="37"/>
        <v>#DIV/0!</v>
      </c>
      <c r="AH177" t="e">
        <f t="shared" si="44"/>
        <v>#DIV/0!</v>
      </c>
      <c r="AI177" t="e">
        <f t="shared" si="38"/>
        <v>#DIV/0!</v>
      </c>
      <c r="AJ177">
        <f t="shared" si="39"/>
        <v>0</v>
      </c>
      <c r="AK177" t="e">
        <f t="shared" si="40"/>
        <v>#N/A</v>
      </c>
      <c r="AL177">
        <f t="shared" si="41"/>
        <v>0</v>
      </c>
      <c r="AM177" t="e">
        <f t="shared" si="42"/>
        <v>#N/A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7">
        <f t="shared" si="43"/>
        <v>1</v>
      </c>
    </row>
    <row r="178" spans="2:42" x14ac:dyDescent="0.35">
      <c r="B178" s="12" t="str">
        <f>Demand!C183</f>
        <v/>
      </c>
      <c r="C178" s="68" t="str">
        <f>Demand!D183</f>
        <v/>
      </c>
      <c r="D178" s="68" t="str">
        <f>Demand!E183</f>
        <v/>
      </c>
      <c r="E178" s="6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8" t="e">
        <f t="shared" si="30"/>
        <v>#DIV/0!</v>
      </c>
      <c r="AA178" t="e">
        <f t="shared" si="31"/>
        <v>#DIV/0!</v>
      </c>
      <c r="AB178" t="e">
        <f t="shared" si="32"/>
        <v>#DIV/0!</v>
      </c>
      <c r="AC178" t="e">
        <f t="shared" si="33"/>
        <v>#DIV/0!</v>
      </c>
      <c r="AD178" t="e">
        <f t="shared" si="34"/>
        <v>#DIV/0!</v>
      </c>
      <c r="AE178" t="e">
        <f t="shared" si="35"/>
        <v>#DIV/0!</v>
      </c>
      <c r="AF178" t="e">
        <f t="shared" si="36"/>
        <v>#DIV/0!</v>
      </c>
      <c r="AG178" t="e">
        <f t="shared" si="37"/>
        <v>#DIV/0!</v>
      </c>
      <c r="AH178" t="e">
        <f t="shared" si="44"/>
        <v>#DIV/0!</v>
      </c>
      <c r="AI178" t="e">
        <f t="shared" si="38"/>
        <v>#DIV/0!</v>
      </c>
      <c r="AJ178">
        <f t="shared" si="39"/>
        <v>0</v>
      </c>
      <c r="AK178" t="e">
        <f t="shared" si="40"/>
        <v>#N/A</v>
      </c>
      <c r="AL178">
        <f t="shared" si="41"/>
        <v>0</v>
      </c>
      <c r="AM178" t="e">
        <f t="shared" si="42"/>
        <v>#N/A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8">
        <f t="shared" si="43"/>
        <v>1</v>
      </c>
    </row>
    <row r="179" spans="2:42" x14ac:dyDescent="0.35">
      <c r="B179" s="12" t="str">
        <f>Demand!C184</f>
        <v/>
      </c>
      <c r="C179" s="68" t="str">
        <f>Demand!D184</f>
        <v/>
      </c>
      <c r="D179" s="68" t="str">
        <f>Demand!E184</f>
        <v/>
      </c>
      <c r="E179" s="6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9" t="e">
        <f t="shared" si="30"/>
        <v>#DIV/0!</v>
      </c>
      <c r="AA179" t="e">
        <f t="shared" si="31"/>
        <v>#DIV/0!</v>
      </c>
      <c r="AB179" t="e">
        <f t="shared" si="32"/>
        <v>#DIV/0!</v>
      </c>
      <c r="AC179" t="e">
        <f t="shared" si="33"/>
        <v>#DIV/0!</v>
      </c>
      <c r="AD179" t="e">
        <f t="shared" si="34"/>
        <v>#DIV/0!</v>
      </c>
      <c r="AE179" t="e">
        <f t="shared" si="35"/>
        <v>#DIV/0!</v>
      </c>
      <c r="AF179" t="e">
        <f t="shared" si="36"/>
        <v>#DIV/0!</v>
      </c>
      <c r="AG179" t="e">
        <f t="shared" si="37"/>
        <v>#DIV/0!</v>
      </c>
      <c r="AH179" t="e">
        <f t="shared" si="44"/>
        <v>#DIV/0!</v>
      </c>
      <c r="AI179" t="e">
        <f t="shared" si="38"/>
        <v>#DIV/0!</v>
      </c>
      <c r="AJ179">
        <f t="shared" si="39"/>
        <v>0</v>
      </c>
      <c r="AK179" t="e">
        <f t="shared" si="40"/>
        <v>#N/A</v>
      </c>
      <c r="AL179">
        <f t="shared" si="41"/>
        <v>0</v>
      </c>
      <c r="AM179" t="e">
        <f t="shared" si="42"/>
        <v>#N/A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9">
        <f t="shared" si="43"/>
        <v>1</v>
      </c>
    </row>
    <row r="180" spans="2:42" x14ac:dyDescent="0.35">
      <c r="B180" s="12" t="str">
        <f>Demand!C185</f>
        <v/>
      </c>
      <c r="C180" s="68" t="str">
        <f>Demand!D185</f>
        <v/>
      </c>
      <c r="D180" s="68" t="str">
        <f>Demand!E185</f>
        <v/>
      </c>
      <c r="E180" s="6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0" t="e">
        <f t="shared" si="30"/>
        <v>#DIV/0!</v>
      </c>
      <c r="AA180" t="e">
        <f t="shared" si="31"/>
        <v>#DIV/0!</v>
      </c>
      <c r="AB180" t="e">
        <f t="shared" si="32"/>
        <v>#DIV/0!</v>
      </c>
      <c r="AC180" t="e">
        <f t="shared" si="33"/>
        <v>#DIV/0!</v>
      </c>
      <c r="AD180" t="e">
        <f t="shared" si="34"/>
        <v>#DIV/0!</v>
      </c>
      <c r="AE180" t="e">
        <f t="shared" si="35"/>
        <v>#DIV/0!</v>
      </c>
      <c r="AF180" t="e">
        <f t="shared" si="36"/>
        <v>#DIV/0!</v>
      </c>
      <c r="AG180" t="e">
        <f t="shared" si="37"/>
        <v>#DIV/0!</v>
      </c>
      <c r="AH180" t="e">
        <f t="shared" si="44"/>
        <v>#DIV/0!</v>
      </c>
      <c r="AI180" t="e">
        <f t="shared" si="38"/>
        <v>#DIV/0!</v>
      </c>
      <c r="AJ180">
        <f t="shared" si="39"/>
        <v>0</v>
      </c>
      <c r="AK180" t="e">
        <f t="shared" si="40"/>
        <v>#N/A</v>
      </c>
      <c r="AL180">
        <f t="shared" si="41"/>
        <v>0</v>
      </c>
      <c r="AM180" t="e">
        <f t="shared" si="42"/>
        <v>#N/A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0">
        <f t="shared" si="43"/>
        <v>1</v>
      </c>
    </row>
    <row r="181" spans="2:42" x14ac:dyDescent="0.35">
      <c r="B181" s="12" t="str">
        <f>Demand!C186</f>
        <v/>
      </c>
      <c r="C181" s="68" t="str">
        <f>Demand!D186</f>
        <v/>
      </c>
      <c r="D181" s="68" t="str">
        <f>Demand!E186</f>
        <v/>
      </c>
      <c r="E181" s="6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1" t="e">
        <f t="shared" si="30"/>
        <v>#DIV/0!</v>
      </c>
      <c r="AA181" t="e">
        <f t="shared" si="31"/>
        <v>#DIV/0!</v>
      </c>
      <c r="AB181" t="e">
        <f t="shared" si="32"/>
        <v>#DIV/0!</v>
      </c>
      <c r="AC181" t="e">
        <f t="shared" si="33"/>
        <v>#DIV/0!</v>
      </c>
      <c r="AD181" t="e">
        <f t="shared" si="34"/>
        <v>#DIV/0!</v>
      </c>
      <c r="AE181" t="e">
        <f t="shared" si="35"/>
        <v>#DIV/0!</v>
      </c>
      <c r="AF181" t="e">
        <f t="shared" si="36"/>
        <v>#DIV/0!</v>
      </c>
      <c r="AG181" t="e">
        <f t="shared" si="37"/>
        <v>#DIV/0!</v>
      </c>
      <c r="AH181" t="e">
        <f t="shared" si="44"/>
        <v>#DIV/0!</v>
      </c>
      <c r="AI181" t="e">
        <f t="shared" si="38"/>
        <v>#DIV/0!</v>
      </c>
      <c r="AJ181">
        <f t="shared" si="39"/>
        <v>0</v>
      </c>
      <c r="AK181" t="e">
        <f t="shared" si="40"/>
        <v>#N/A</v>
      </c>
      <c r="AL181">
        <f t="shared" si="41"/>
        <v>0</v>
      </c>
      <c r="AM181" t="e">
        <f t="shared" si="42"/>
        <v>#N/A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1">
        <f t="shared" si="43"/>
        <v>1</v>
      </c>
    </row>
    <row r="182" spans="2:42" x14ac:dyDescent="0.35">
      <c r="B182" s="12" t="str">
        <f>Demand!C187</f>
        <v/>
      </c>
      <c r="C182" s="68" t="str">
        <f>Demand!D187</f>
        <v/>
      </c>
      <c r="D182" s="68" t="str">
        <f>Demand!E187</f>
        <v/>
      </c>
      <c r="E182" s="6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2" t="e">
        <f t="shared" si="30"/>
        <v>#DIV/0!</v>
      </c>
      <c r="AA182" t="e">
        <f t="shared" si="31"/>
        <v>#DIV/0!</v>
      </c>
      <c r="AB182" t="e">
        <f t="shared" si="32"/>
        <v>#DIV/0!</v>
      </c>
      <c r="AC182" t="e">
        <f t="shared" si="33"/>
        <v>#DIV/0!</v>
      </c>
      <c r="AD182" t="e">
        <f t="shared" si="34"/>
        <v>#DIV/0!</v>
      </c>
      <c r="AE182" t="e">
        <f t="shared" si="35"/>
        <v>#DIV/0!</v>
      </c>
      <c r="AF182" t="e">
        <f t="shared" si="36"/>
        <v>#DIV/0!</v>
      </c>
      <c r="AG182" t="e">
        <f t="shared" si="37"/>
        <v>#DIV/0!</v>
      </c>
      <c r="AH182" t="e">
        <f t="shared" si="44"/>
        <v>#DIV/0!</v>
      </c>
      <c r="AI182" t="e">
        <f t="shared" si="38"/>
        <v>#DIV/0!</v>
      </c>
      <c r="AJ182">
        <f t="shared" si="39"/>
        <v>0</v>
      </c>
      <c r="AK182" t="e">
        <f t="shared" si="40"/>
        <v>#N/A</v>
      </c>
      <c r="AL182">
        <f t="shared" si="41"/>
        <v>0</v>
      </c>
      <c r="AM182" t="e">
        <f t="shared" si="42"/>
        <v>#N/A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2">
        <f t="shared" si="43"/>
        <v>1</v>
      </c>
    </row>
    <row r="183" spans="2:42" x14ac:dyDescent="0.35">
      <c r="B183" s="12" t="str">
        <f>Demand!C188</f>
        <v/>
      </c>
      <c r="C183" s="68" t="str">
        <f>Demand!D188</f>
        <v/>
      </c>
      <c r="D183" s="68" t="str">
        <f>Demand!E188</f>
        <v/>
      </c>
      <c r="E183" s="6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3" t="e">
        <f t="shared" si="30"/>
        <v>#DIV/0!</v>
      </c>
      <c r="AA183" t="e">
        <f t="shared" si="31"/>
        <v>#DIV/0!</v>
      </c>
      <c r="AB183" t="e">
        <f t="shared" si="32"/>
        <v>#DIV/0!</v>
      </c>
      <c r="AC183" t="e">
        <f t="shared" si="33"/>
        <v>#DIV/0!</v>
      </c>
      <c r="AD183" t="e">
        <f t="shared" si="34"/>
        <v>#DIV/0!</v>
      </c>
      <c r="AE183" t="e">
        <f t="shared" si="35"/>
        <v>#DIV/0!</v>
      </c>
      <c r="AF183" t="e">
        <f t="shared" si="36"/>
        <v>#DIV/0!</v>
      </c>
      <c r="AG183" t="e">
        <f t="shared" si="37"/>
        <v>#DIV/0!</v>
      </c>
      <c r="AH183" t="e">
        <f t="shared" si="44"/>
        <v>#DIV/0!</v>
      </c>
      <c r="AI183" t="e">
        <f t="shared" si="38"/>
        <v>#DIV/0!</v>
      </c>
      <c r="AJ183">
        <f t="shared" si="39"/>
        <v>0</v>
      </c>
      <c r="AK183" t="e">
        <f t="shared" si="40"/>
        <v>#N/A</v>
      </c>
      <c r="AL183">
        <f t="shared" si="41"/>
        <v>0</v>
      </c>
      <c r="AM183" t="e">
        <f t="shared" si="42"/>
        <v>#N/A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3">
        <f t="shared" si="43"/>
        <v>1</v>
      </c>
    </row>
    <row r="184" spans="2:42" x14ac:dyDescent="0.35">
      <c r="B184" s="12" t="str">
        <f>Demand!C189</f>
        <v/>
      </c>
      <c r="C184" s="68" t="str">
        <f>Demand!D189</f>
        <v/>
      </c>
      <c r="D184" s="68" t="str">
        <f>Demand!E189</f>
        <v/>
      </c>
      <c r="E184" s="6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4" t="e">
        <f t="shared" si="30"/>
        <v>#DIV/0!</v>
      </c>
      <c r="AA184" t="e">
        <f t="shared" si="31"/>
        <v>#DIV/0!</v>
      </c>
      <c r="AB184" t="e">
        <f t="shared" si="32"/>
        <v>#DIV/0!</v>
      </c>
      <c r="AC184" t="e">
        <f t="shared" si="33"/>
        <v>#DIV/0!</v>
      </c>
      <c r="AD184" t="e">
        <f t="shared" si="34"/>
        <v>#DIV/0!</v>
      </c>
      <c r="AE184" t="e">
        <f t="shared" si="35"/>
        <v>#DIV/0!</v>
      </c>
      <c r="AF184" t="e">
        <f t="shared" si="36"/>
        <v>#DIV/0!</v>
      </c>
      <c r="AG184" t="e">
        <f t="shared" si="37"/>
        <v>#DIV/0!</v>
      </c>
      <c r="AH184" t="e">
        <f t="shared" si="44"/>
        <v>#DIV/0!</v>
      </c>
      <c r="AI184" t="e">
        <f t="shared" si="38"/>
        <v>#DIV/0!</v>
      </c>
      <c r="AJ184">
        <f t="shared" si="39"/>
        <v>0</v>
      </c>
      <c r="AK184" t="e">
        <f t="shared" si="40"/>
        <v>#N/A</v>
      </c>
      <c r="AL184">
        <f t="shared" si="41"/>
        <v>0</v>
      </c>
      <c r="AM184" t="e">
        <f t="shared" si="42"/>
        <v>#N/A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4">
        <f t="shared" si="43"/>
        <v>1</v>
      </c>
    </row>
    <row r="185" spans="2:42" x14ac:dyDescent="0.35">
      <c r="B185" s="12" t="str">
        <f>Demand!C190</f>
        <v/>
      </c>
      <c r="C185" s="68" t="str">
        <f>Demand!D190</f>
        <v/>
      </c>
      <c r="D185" s="68" t="str">
        <f>Demand!E190</f>
        <v/>
      </c>
      <c r="E185" s="6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5" t="e">
        <f t="shared" si="30"/>
        <v>#DIV/0!</v>
      </c>
      <c r="AA185" t="e">
        <f t="shared" si="31"/>
        <v>#DIV/0!</v>
      </c>
      <c r="AB185" t="e">
        <f t="shared" si="32"/>
        <v>#DIV/0!</v>
      </c>
      <c r="AC185" t="e">
        <f t="shared" si="33"/>
        <v>#DIV/0!</v>
      </c>
      <c r="AD185" t="e">
        <f t="shared" si="34"/>
        <v>#DIV/0!</v>
      </c>
      <c r="AE185" t="e">
        <f t="shared" si="35"/>
        <v>#DIV/0!</v>
      </c>
      <c r="AF185" t="e">
        <f t="shared" si="36"/>
        <v>#DIV/0!</v>
      </c>
      <c r="AG185" t="e">
        <f t="shared" si="37"/>
        <v>#DIV/0!</v>
      </c>
      <c r="AH185" t="e">
        <f t="shared" si="44"/>
        <v>#DIV/0!</v>
      </c>
      <c r="AI185" t="e">
        <f t="shared" si="38"/>
        <v>#DIV/0!</v>
      </c>
      <c r="AJ185">
        <f t="shared" si="39"/>
        <v>0</v>
      </c>
      <c r="AK185" t="e">
        <f t="shared" si="40"/>
        <v>#N/A</v>
      </c>
      <c r="AL185">
        <f t="shared" si="41"/>
        <v>0</v>
      </c>
      <c r="AM185" t="e">
        <f t="shared" si="42"/>
        <v>#N/A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5">
        <f t="shared" si="43"/>
        <v>1</v>
      </c>
    </row>
    <row r="186" spans="2:42" x14ac:dyDescent="0.35">
      <c r="B186" s="12" t="str">
        <f>Demand!C191</f>
        <v/>
      </c>
      <c r="C186" s="68" t="str">
        <f>Demand!D191</f>
        <v/>
      </c>
      <c r="D186" s="68" t="str">
        <f>Demand!E191</f>
        <v/>
      </c>
      <c r="E186" s="6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6" t="e">
        <f t="shared" si="30"/>
        <v>#DIV/0!</v>
      </c>
      <c r="AA186" t="e">
        <f t="shared" si="31"/>
        <v>#DIV/0!</v>
      </c>
      <c r="AB186" t="e">
        <f t="shared" si="32"/>
        <v>#DIV/0!</v>
      </c>
      <c r="AC186" t="e">
        <f t="shared" si="33"/>
        <v>#DIV/0!</v>
      </c>
      <c r="AD186" t="e">
        <f t="shared" si="34"/>
        <v>#DIV/0!</v>
      </c>
      <c r="AE186" t="e">
        <f t="shared" si="35"/>
        <v>#DIV/0!</v>
      </c>
      <c r="AF186" t="e">
        <f t="shared" si="36"/>
        <v>#DIV/0!</v>
      </c>
      <c r="AG186" t="e">
        <f t="shared" si="37"/>
        <v>#DIV/0!</v>
      </c>
      <c r="AH186" t="e">
        <f t="shared" si="44"/>
        <v>#DIV/0!</v>
      </c>
      <c r="AI186" t="e">
        <f t="shared" si="38"/>
        <v>#DIV/0!</v>
      </c>
      <c r="AJ186">
        <f t="shared" si="39"/>
        <v>0</v>
      </c>
      <c r="AK186" t="e">
        <f t="shared" si="40"/>
        <v>#N/A</v>
      </c>
      <c r="AL186">
        <f t="shared" si="41"/>
        <v>0</v>
      </c>
      <c r="AM186" t="e">
        <f t="shared" si="42"/>
        <v>#N/A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6">
        <f t="shared" si="43"/>
        <v>1</v>
      </c>
    </row>
    <row r="187" spans="2:42" x14ac:dyDescent="0.35">
      <c r="B187" s="12" t="str">
        <f>Demand!C192</f>
        <v/>
      </c>
      <c r="C187" s="68" t="str">
        <f>Demand!D192</f>
        <v/>
      </c>
      <c r="D187" s="68" t="str">
        <f>Demand!E192</f>
        <v/>
      </c>
      <c r="E187" s="6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7" t="e">
        <f t="shared" si="30"/>
        <v>#DIV/0!</v>
      </c>
      <c r="AA187" t="e">
        <f t="shared" si="31"/>
        <v>#DIV/0!</v>
      </c>
      <c r="AB187" t="e">
        <f t="shared" si="32"/>
        <v>#DIV/0!</v>
      </c>
      <c r="AC187" t="e">
        <f t="shared" si="33"/>
        <v>#DIV/0!</v>
      </c>
      <c r="AD187" t="e">
        <f t="shared" si="34"/>
        <v>#DIV/0!</v>
      </c>
      <c r="AE187" t="e">
        <f t="shared" si="35"/>
        <v>#DIV/0!</v>
      </c>
      <c r="AF187" t="e">
        <f t="shared" si="36"/>
        <v>#DIV/0!</v>
      </c>
      <c r="AG187" t="e">
        <f t="shared" si="37"/>
        <v>#DIV/0!</v>
      </c>
      <c r="AH187" t="e">
        <f t="shared" si="44"/>
        <v>#DIV/0!</v>
      </c>
      <c r="AI187" t="e">
        <f t="shared" si="38"/>
        <v>#DIV/0!</v>
      </c>
      <c r="AJ187">
        <f t="shared" si="39"/>
        <v>0</v>
      </c>
      <c r="AK187" t="e">
        <f t="shared" si="40"/>
        <v>#N/A</v>
      </c>
      <c r="AL187">
        <f t="shared" si="41"/>
        <v>0</v>
      </c>
      <c r="AM187" t="e">
        <f t="shared" si="42"/>
        <v>#N/A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7">
        <f t="shared" si="43"/>
        <v>1</v>
      </c>
    </row>
    <row r="188" spans="2:42" x14ac:dyDescent="0.35">
      <c r="B188" s="12" t="str">
        <f>Demand!C193</f>
        <v/>
      </c>
      <c r="C188" s="68" t="str">
        <f>Demand!D193</f>
        <v/>
      </c>
      <c r="D188" s="68" t="str">
        <f>Demand!E193</f>
        <v/>
      </c>
      <c r="E188" s="6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8" t="e">
        <f t="shared" si="30"/>
        <v>#DIV/0!</v>
      </c>
      <c r="AA188" t="e">
        <f t="shared" si="31"/>
        <v>#DIV/0!</v>
      </c>
      <c r="AB188" t="e">
        <f t="shared" si="32"/>
        <v>#DIV/0!</v>
      </c>
      <c r="AC188" t="e">
        <f t="shared" si="33"/>
        <v>#DIV/0!</v>
      </c>
      <c r="AD188" t="e">
        <f t="shared" si="34"/>
        <v>#DIV/0!</v>
      </c>
      <c r="AE188" t="e">
        <f t="shared" si="35"/>
        <v>#DIV/0!</v>
      </c>
      <c r="AF188" t="e">
        <f t="shared" si="36"/>
        <v>#DIV/0!</v>
      </c>
      <c r="AG188" t="e">
        <f t="shared" si="37"/>
        <v>#DIV/0!</v>
      </c>
      <c r="AH188" t="e">
        <f t="shared" si="44"/>
        <v>#DIV/0!</v>
      </c>
      <c r="AI188" t="e">
        <f t="shared" si="38"/>
        <v>#DIV/0!</v>
      </c>
      <c r="AJ188">
        <f t="shared" si="39"/>
        <v>0</v>
      </c>
      <c r="AK188" t="e">
        <f t="shared" si="40"/>
        <v>#N/A</v>
      </c>
      <c r="AL188">
        <f t="shared" si="41"/>
        <v>0</v>
      </c>
      <c r="AM188" t="e">
        <f t="shared" si="42"/>
        <v>#N/A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8">
        <f t="shared" si="43"/>
        <v>1</v>
      </c>
    </row>
    <row r="189" spans="2:42" x14ac:dyDescent="0.35">
      <c r="B189" s="12" t="str">
        <f>Demand!C194</f>
        <v/>
      </c>
      <c r="C189" s="68" t="str">
        <f>Demand!D194</f>
        <v/>
      </c>
      <c r="D189" s="68" t="str">
        <f>Demand!E194</f>
        <v/>
      </c>
      <c r="E189" s="6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9" t="e">
        <f t="shared" si="30"/>
        <v>#DIV/0!</v>
      </c>
      <c r="AA189" t="e">
        <f t="shared" si="31"/>
        <v>#DIV/0!</v>
      </c>
      <c r="AB189" t="e">
        <f t="shared" si="32"/>
        <v>#DIV/0!</v>
      </c>
      <c r="AC189" t="e">
        <f t="shared" si="33"/>
        <v>#DIV/0!</v>
      </c>
      <c r="AD189" t="e">
        <f t="shared" si="34"/>
        <v>#DIV/0!</v>
      </c>
      <c r="AE189" t="e">
        <f t="shared" si="35"/>
        <v>#DIV/0!</v>
      </c>
      <c r="AF189" t="e">
        <f t="shared" si="36"/>
        <v>#DIV/0!</v>
      </c>
      <c r="AG189" t="e">
        <f t="shared" si="37"/>
        <v>#DIV/0!</v>
      </c>
      <c r="AH189" t="e">
        <f t="shared" si="44"/>
        <v>#DIV/0!</v>
      </c>
      <c r="AI189" t="e">
        <f t="shared" si="38"/>
        <v>#DIV/0!</v>
      </c>
      <c r="AJ189">
        <f t="shared" si="39"/>
        <v>0</v>
      </c>
      <c r="AK189" t="e">
        <f t="shared" si="40"/>
        <v>#N/A</v>
      </c>
      <c r="AL189">
        <f t="shared" si="41"/>
        <v>0</v>
      </c>
      <c r="AM189" t="e">
        <f t="shared" si="42"/>
        <v>#N/A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9">
        <f t="shared" si="43"/>
        <v>1</v>
      </c>
    </row>
    <row r="190" spans="2:42" x14ac:dyDescent="0.35">
      <c r="B190" s="12" t="str">
        <f>Demand!C195</f>
        <v/>
      </c>
      <c r="C190" s="68" t="str">
        <f>Demand!D195</f>
        <v/>
      </c>
      <c r="D190" s="68" t="str">
        <f>Demand!E195</f>
        <v/>
      </c>
      <c r="E190" s="6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0" t="e">
        <f t="shared" si="30"/>
        <v>#DIV/0!</v>
      </c>
      <c r="AA190" t="e">
        <f t="shared" si="31"/>
        <v>#DIV/0!</v>
      </c>
      <c r="AB190" t="e">
        <f t="shared" si="32"/>
        <v>#DIV/0!</v>
      </c>
      <c r="AC190" t="e">
        <f t="shared" si="33"/>
        <v>#DIV/0!</v>
      </c>
      <c r="AD190" t="e">
        <f t="shared" si="34"/>
        <v>#DIV/0!</v>
      </c>
      <c r="AE190" t="e">
        <f t="shared" si="35"/>
        <v>#DIV/0!</v>
      </c>
      <c r="AF190" t="e">
        <f t="shared" si="36"/>
        <v>#DIV/0!</v>
      </c>
      <c r="AG190" t="e">
        <f t="shared" si="37"/>
        <v>#DIV/0!</v>
      </c>
      <c r="AH190" t="e">
        <f t="shared" si="44"/>
        <v>#DIV/0!</v>
      </c>
      <c r="AI190" t="e">
        <f t="shared" si="38"/>
        <v>#DIV/0!</v>
      </c>
      <c r="AJ190">
        <f t="shared" si="39"/>
        <v>0</v>
      </c>
      <c r="AK190" t="e">
        <f t="shared" si="40"/>
        <v>#N/A</v>
      </c>
      <c r="AL190">
        <f t="shared" si="41"/>
        <v>0</v>
      </c>
      <c r="AM190" t="e">
        <f t="shared" si="42"/>
        <v>#N/A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0">
        <f t="shared" si="43"/>
        <v>1</v>
      </c>
    </row>
    <row r="191" spans="2:42" x14ac:dyDescent="0.35">
      <c r="B191" s="12" t="str">
        <f>Demand!C196</f>
        <v/>
      </c>
      <c r="C191" s="68" t="str">
        <f>Demand!D196</f>
        <v/>
      </c>
      <c r="D191" s="68" t="str">
        <f>Demand!E196</f>
        <v/>
      </c>
      <c r="E191" s="6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1" t="e">
        <f t="shared" si="30"/>
        <v>#DIV/0!</v>
      </c>
      <c r="AA191" t="e">
        <f t="shared" si="31"/>
        <v>#DIV/0!</v>
      </c>
      <c r="AB191" t="e">
        <f t="shared" si="32"/>
        <v>#DIV/0!</v>
      </c>
      <c r="AC191" t="e">
        <f t="shared" si="33"/>
        <v>#DIV/0!</v>
      </c>
      <c r="AD191" t="e">
        <f t="shared" si="34"/>
        <v>#DIV/0!</v>
      </c>
      <c r="AE191" t="e">
        <f t="shared" si="35"/>
        <v>#DIV/0!</v>
      </c>
      <c r="AF191" t="e">
        <f t="shared" si="36"/>
        <v>#DIV/0!</v>
      </c>
      <c r="AG191" t="e">
        <f t="shared" si="37"/>
        <v>#DIV/0!</v>
      </c>
      <c r="AH191" t="e">
        <f t="shared" si="44"/>
        <v>#DIV/0!</v>
      </c>
      <c r="AI191" t="e">
        <f t="shared" si="38"/>
        <v>#DIV/0!</v>
      </c>
      <c r="AJ191">
        <f t="shared" si="39"/>
        <v>0</v>
      </c>
      <c r="AK191" t="e">
        <f t="shared" si="40"/>
        <v>#N/A</v>
      </c>
      <c r="AL191">
        <f t="shared" si="41"/>
        <v>0</v>
      </c>
      <c r="AM191" t="e">
        <f t="shared" si="42"/>
        <v>#N/A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1">
        <f t="shared" si="43"/>
        <v>1</v>
      </c>
    </row>
    <row r="192" spans="2:42" x14ac:dyDescent="0.35">
      <c r="B192" s="12" t="str">
        <f>Demand!C197</f>
        <v/>
      </c>
      <c r="C192" s="68" t="str">
        <f>Demand!D197</f>
        <v/>
      </c>
      <c r="D192" s="68" t="str">
        <f>Demand!E197</f>
        <v/>
      </c>
      <c r="E192" s="6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2" t="e">
        <f t="shared" si="30"/>
        <v>#DIV/0!</v>
      </c>
      <c r="AA192" t="e">
        <f t="shared" si="31"/>
        <v>#DIV/0!</v>
      </c>
      <c r="AB192" t="e">
        <f t="shared" si="32"/>
        <v>#DIV/0!</v>
      </c>
      <c r="AC192" t="e">
        <f t="shared" si="33"/>
        <v>#DIV/0!</v>
      </c>
      <c r="AD192" t="e">
        <f t="shared" si="34"/>
        <v>#DIV/0!</v>
      </c>
      <c r="AE192" t="e">
        <f t="shared" si="35"/>
        <v>#DIV/0!</v>
      </c>
      <c r="AF192" t="e">
        <f t="shared" si="36"/>
        <v>#DIV/0!</v>
      </c>
      <c r="AG192" t="e">
        <f t="shared" si="37"/>
        <v>#DIV/0!</v>
      </c>
      <c r="AH192" t="e">
        <f t="shared" si="44"/>
        <v>#DIV/0!</v>
      </c>
      <c r="AI192" t="e">
        <f t="shared" si="38"/>
        <v>#DIV/0!</v>
      </c>
      <c r="AJ192">
        <f t="shared" si="39"/>
        <v>0</v>
      </c>
      <c r="AK192" t="e">
        <f t="shared" si="40"/>
        <v>#N/A</v>
      </c>
      <c r="AL192">
        <f t="shared" si="41"/>
        <v>0</v>
      </c>
      <c r="AM192" t="e">
        <f t="shared" si="42"/>
        <v>#N/A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2">
        <f t="shared" si="43"/>
        <v>1</v>
      </c>
    </row>
    <row r="193" spans="2:42" x14ac:dyDescent="0.35">
      <c r="B193" s="12" t="str">
        <f>Demand!C198</f>
        <v/>
      </c>
      <c r="C193" s="68" t="str">
        <f>Demand!D198</f>
        <v/>
      </c>
      <c r="D193" s="68" t="str">
        <f>Demand!E198</f>
        <v/>
      </c>
      <c r="E193" s="6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3" t="e">
        <f t="shared" si="30"/>
        <v>#DIV/0!</v>
      </c>
      <c r="AA193" t="e">
        <f t="shared" si="31"/>
        <v>#DIV/0!</v>
      </c>
      <c r="AB193" t="e">
        <f t="shared" si="32"/>
        <v>#DIV/0!</v>
      </c>
      <c r="AC193" t="e">
        <f t="shared" si="33"/>
        <v>#DIV/0!</v>
      </c>
      <c r="AD193" t="e">
        <f t="shared" si="34"/>
        <v>#DIV/0!</v>
      </c>
      <c r="AE193" t="e">
        <f t="shared" si="35"/>
        <v>#DIV/0!</v>
      </c>
      <c r="AF193" t="e">
        <f t="shared" si="36"/>
        <v>#DIV/0!</v>
      </c>
      <c r="AG193" t="e">
        <f t="shared" si="37"/>
        <v>#DIV/0!</v>
      </c>
      <c r="AH193" t="e">
        <f t="shared" si="44"/>
        <v>#DIV/0!</v>
      </c>
      <c r="AI193" t="e">
        <f t="shared" si="38"/>
        <v>#DIV/0!</v>
      </c>
      <c r="AJ193">
        <f t="shared" si="39"/>
        <v>0</v>
      </c>
      <c r="AK193" t="e">
        <f t="shared" si="40"/>
        <v>#N/A</v>
      </c>
      <c r="AL193">
        <f t="shared" si="41"/>
        <v>0</v>
      </c>
      <c r="AM193" t="e">
        <f t="shared" si="42"/>
        <v>#N/A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3">
        <f t="shared" si="43"/>
        <v>1</v>
      </c>
    </row>
    <row r="194" spans="2:42" x14ac:dyDescent="0.35">
      <c r="B194" s="12" t="str">
        <f>Demand!C199</f>
        <v/>
      </c>
      <c r="C194" s="68" t="str">
        <f>Demand!D199</f>
        <v/>
      </c>
      <c r="D194" s="68" t="str">
        <f>Demand!E199</f>
        <v/>
      </c>
      <c r="E194" s="6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4" t="e">
        <f t="shared" si="30"/>
        <v>#DIV/0!</v>
      </c>
      <c r="AA194" t="e">
        <f t="shared" si="31"/>
        <v>#DIV/0!</v>
      </c>
      <c r="AB194" t="e">
        <f t="shared" si="32"/>
        <v>#DIV/0!</v>
      </c>
      <c r="AC194" t="e">
        <f t="shared" si="33"/>
        <v>#DIV/0!</v>
      </c>
      <c r="AD194" t="e">
        <f t="shared" si="34"/>
        <v>#DIV/0!</v>
      </c>
      <c r="AE194" t="e">
        <f t="shared" si="35"/>
        <v>#DIV/0!</v>
      </c>
      <c r="AF194" t="e">
        <f t="shared" si="36"/>
        <v>#DIV/0!</v>
      </c>
      <c r="AG194" t="e">
        <f t="shared" si="37"/>
        <v>#DIV/0!</v>
      </c>
      <c r="AH194" t="e">
        <f t="shared" si="44"/>
        <v>#DIV/0!</v>
      </c>
      <c r="AI194" t="e">
        <f t="shared" si="38"/>
        <v>#DIV/0!</v>
      </c>
      <c r="AJ194">
        <f t="shared" si="39"/>
        <v>0</v>
      </c>
      <c r="AK194" t="e">
        <f t="shared" si="40"/>
        <v>#N/A</v>
      </c>
      <c r="AL194">
        <f t="shared" si="41"/>
        <v>0</v>
      </c>
      <c r="AM194" t="e">
        <f t="shared" si="42"/>
        <v>#N/A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4">
        <f t="shared" si="43"/>
        <v>1</v>
      </c>
    </row>
    <row r="195" spans="2:42" x14ac:dyDescent="0.35">
      <c r="B195" s="12" t="str">
        <f>Demand!C200</f>
        <v/>
      </c>
      <c r="C195" s="68" t="str">
        <f>Demand!D200</f>
        <v/>
      </c>
      <c r="D195" s="68" t="str">
        <f>Demand!E200</f>
        <v/>
      </c>
      <c r="E195" s="6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5" t="e">
        <f t="shared" si="30"/>
        <v>#DIV/0!</v>
      </c>
      <c r="AA195" t="e">
        <f t="shared" si="31"/>
        <v>#DIV/0!</v>
      </c>
      <c r="AB195" t="e">
        <f t="shared" si="32"/>
        <v>#DIV/0!</v>
      </c>
      <c r="AC195" t="e">
        <f t="shared" si="33"/>
        <v>#DIV/0!</v>
      </c>
      <c r="AD195" t="e">
        <f t="shared" si="34"/>
        <v>#DIV/0!</v>
      </c>
      <c r="AE195" t="e">
        <f t="shared" si="35"/>
        <v>#DIV/0!</v>
      </c>
      <c r="AF195" t="e">
        <f t="shared" si="36"/>
        <v>#DIV/0!</v>
      </c>
      <c r="AG195" t="e">
        <f t="shared" si="37"/>
        <v>#DIV/0!</v>
      </c>
      <c r="AH195" t="e">
        <f t="shared" si="44"/>
        <v>#DIV/0!</v>
      </c>
      <c r="AI195" t="e">
        <f t="shared" si="38"/>
        <v>#DIV/0!</v>
      </c>
      <c r="AJ195">
        <f t="shared" si="39"/>
        <v>0</v>
      </c>
      <c r="AK195" t="e">
        <f t="shared" si="40"/>
        <v>#N/A</v>
      </c>
      <c r="AL195">
        <f t="shared" si="41"/>
        <v>0</v>
      </c>
      <c r="AM195" t="e">
        <f t="shared" si="42"/>
        <v>#N/A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5">
        <f t="shared" si="43"/>
        <v>1</v>
      </c>
    </row>
    <row r="196" spans="2:42" x14ac:dyDescent="0.35">
      <c r="B196" s="12" t="str">
        <f>Demand!C201</f>
        <v/>
      </c>
      <c r="C196" s="68" t="str">
        <f>Demand!D201</f>
        <v/>
      </c>
      <c r="D196" s="68" t="str">
        <f>Demand!E201</f>
        <v/>
      </c>
      <c r="E196" s="6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6" t="e">
        <f t="shared" si="30"/>
        <v>#DIV/0!</v>
      </c>
      <c r="AA196" t="e">
        <f t="shared" si="31"/>
        <v>#DIV/0!</v>
      </c>
      <c r="AB196" t="e">
        <f t="shared" si="32"/>
        <v>#DIV/0!</v>
      </c>
      <c r="AC196" t="e">
        <f t="shared" si="33"/>
        <v>#DIV/0!</v>
      </c>
      <c r="AD196" t="e">
        <f t="shared" si="34"/>
        <v>#DIV/0!</v>
      </c>
      <c r="AE196" t="e">
        <f t="shared" si="35"/>
        <v>#DIV/0!</v>
      </c>
      <c r="AF196" t="e">
        <f t="shared" si="36"/>
        <v>#DIV/0!</v>
      </c>
      <c r="AG196" t="e">
        <f t="shared" si="37"/>
        <v>#DIV/0!</v>
      </c>
      <c r="AH196" t="e">
        <f t="shared" si="44"/>
        <v>#DIV/0!</v>
      </c>
      <c r="AI196" t="e">
        <f t="shared" si="38"/>
        <v>#DIV/0!</v>
      </c>
      <c r="AJ196">
        <f t="shared" si="39"/>
        <v>0</v>
      </c>
      <c r="AK196" t="e">
        <f t="shared" si="40"/>
        <v>#N/A</v>
      </c>
      <c r="AL196">
        <f t="shared" si="41"/>
        <v>0</v>
      </c>
      <c r="AM196" t="e">
        <f t="shared" si="42"/>
        <v>#N/A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6">
        <f t="shared" si="43"/>
        <v>1</v>
      </c>
    </row>
    <row r="197" spans="2:42" x14ac:dyDescent="0.35">
      <c r="B197" s="12" t="str">
        <f>Demand!C202</f>
        <v/>
      </c>
      <c r="C197" s="68" t="str">
        <f>Demand!D202</f>
        <v/>
      </c>
      <c r="D197" s="68" t="str">
        <f>Demand!E202</f>
        <v/>
      </c>
      <c r="E197" s="6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7" t="e">
        <f t="shared" ref="Z197:Z260" si="45">Y197/1.128</f>
        <v>#DIV/0!</v>
      </c>
      <c r="AA197" t="e">
        <f t="shared" ref="AA197:AA260" si="46">MAX(0,W197-(3*Z197))</f>
        <v>#DIV/0!</v>
      </c>
      <c r="AB197" t="e">
        <f t="shared" ref="AB197:AB260" si="47">MAX(0,W197-(2*Z197))</f>
        <v>#DIV/0!</v>
      </c>
      <c r="AC197" t="e">
        <f t="shared" ref="AC197:AC260" si="48">MAX(0,W197-Z197)</f>
        <v>#DIV/0!</v>
      </c>
      <c r="AD197" t="e">
        <f t="shared" ref="AD197:AD260" si="49">W197+Z197</f>
        <v>#DIV/0!</v>
      </c>
      <c r="AE197" t="e">
        <f t="shared" ref="AE197:AE260" si="50">W197+(2*Z197)</f>
        <v>#DIV/0!</v>
      </c>
      <c r="AF197" t="e">
        <f t="shared" ref="AF197:AF260" si="51">W197+(3*Z197)</f>
        <v>#DIV/0!</v>
      </c>
      <c r="AG197" t="e">
        <f t="shared" ref="AG197:AG260" si="52">IF(OR(V197&gt;AF197,V197&lt;AA197),V197,NA())</f>
        <v>#DIV/0!</v>
      </c>
      <c r="AH197" t="e">
        <f t="shared" si="44"/>
        <v>#DIV/0!</v>
      </c>
      <c r="AI197" t="e">
        <f t="shared" ref="AI197:AI260" si="53">IF(ABS(SUM(AH197:AH199))&gt;=5,V197,NA())</f>
        <v>#DIV/0!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0</v>
      </c>
      <c r="AM197" t="e">
        <f t="shared" ref="AM197:AM260" si="57">IF(ABS(SUM(AL197:AL205))=9,V197,NA())</f>
        <v>#N/A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7">
        <f t="shared" ref="AP197:AP260" si="58">AO197-AN197</f>
        <v>1</v>
      </c>
    </row>
    <row r="198" spans="2:42" x14ac:dyDescent="0.35">
      <c r="B198" s="12" t="str">
        <f>Demand!C203</f>
        <v/>
      </c>
      <c r="C198" s="68" t="str">
        <f>Demand!D203</f>
        <v/>
      </c>
      <c r="D198" s="68" t="str">
        <f>Demand!E203</f>
        <v/>
      </c>
      <c r="E198" s="6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8" t="e">
        <f t="shared" si="45"/>
        <v>#DIV/0!</v>
      </c>
      <c r="AA198" t="e">
        <f t="shared" si="46"/>
        <v>#DIV/0!</v>
      </c>
      <c r="AB198" t="e">
        <f t="shared" si="47"/>
        <v>#DIV/0!</v>
      </c>
      <c r="AC198" t="e">
        <f t="shared" si="48"/>
        <v>#DIV/0!</v>
      </c>
      <c r="AD198" t="e">
        <f t="shared" si="49"/>
        <v>#DIV/0!</v>
      </c>
      <c r="AE198" t="e">
        <f t="shared" si="50"/>
        <v>#DIV/0!</v>
      </c>
      <c r="AF198" t="e">
        <f t="shared" si="51"/>
        <v>#DIV/0!</v>
      </c>
      <c r="AG198" t="e">
        <f t="shared" si="52"/>
        <v>#DIV/0!</v>
      </c>
      <c r="AH198" t="e">
        <f t="shared" ref="AH198:AH261" si="59">IF(V198&gt;AE198,2,IF(V198&lt;AB198,-2,IF(V198&gt;W198,1,IF(V198&lt;W198,-1,0))))</f>
        <v>#DIV/0!</v>
      </c>
      <c r="AI198" t="e">
        <f t="shared" si="53"/>
        <v>#DIV/0!</v>
      </c>
      <c r="AJ198">
        <f t="shared" si="54"/>
        <v>0</v>
      </c>
      <c r="AK198" t="e">
        <f t="shared" si="55"/>
        <v>#N/A</v>
      </c>
      <c r="AL198">
        <f t="shared" si="56"/>
        <v>0</v>
      </c>
      <c r="AM198" t="e">
        <f t="shared" si="57"/>
        <v>#N/A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8">
        <f t="shared" si="58"/>
        <v>1</v>
      </c>
    </row>
    <row r="199" spans="2:42" x14ac:dyDescent="0.35">
      <c r="B199" s="12" t="str">
        <f>Demand!C204</f>
        <v/>
      </c>
      <c r="C199" s="68" t="str">
        <f>Demand!D204</f>
        <v/>
      </c>
      <c r="D199" s="68" t="str">
        <f>Demand!E204</f>
        <v/>
      </c>
      <c r="E199" s="6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9" t="e">
        <f t="shared" si="45"/>
        <v>#DIV/0!</v>
      </c>
      <c r="AA199" t="e">
        <f t="shared" si="46"/>
        <v>#DIV/0!</v>
      </c>
      <c r="AB199" t="e">
        <f t="shared" si="47"/>
        <v>#DIV/0!</v>
      </c>
      <c r="AC199" t="e">
        <f t="shared" si="48"/>
        <v>#DIV/0!</v>
      </c>
      <c r="AD199" t="e">
        <f t="shared" si="49"/>
        <v>#DIV/0!</v>
      </c>
      <c r="AE199" t="e">
        <f t="shared" si="50"/>
        <v>#DIV/0!</v>
      </c>
      <c r="AF199" t="e">
        <f t="shared" si="51"/>
        <v>#DIV/0!</v>
      </c>
      <c r="AG199" t="e">
        <f t="shared" si="52"/>
        <v>#DIV/0!</v>
      </c>
      <c r="AH199" t="e">
        <f t="shared" si="59"/>
        <v>#DIV/0!</v>
      </c>
      <c r="AI199" t="e">
        <f t="shared" si="53"/>
        <v>#DIV/0!</v>
      </c>
      <c r="AJ199">
        <f t="shared" si="54"/>
        <v>0</v>
      </c>
      <c r="AK199" t="e">
        <f t="shared" si="55"/>
        <v>#N/A</v>
      </c>
      <c r="AL199">
        <f t="shared" si="56"/>
        <v>0</v>
      </c>
      <c r="AM199" t="e">
        <f t="shared" si="57"/>
        <v>#N/A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9">
        <f t="shared" si="58"/>
        <v>1</v>
      </c>
    </row>
    <row r="200" spans="2:42" x14ac:dyDescent="0.35">
      <c r="B200" s="12" t="str">
        <f>Demand!C205</f>
        <v/>
      </c>
      <c r="C200" s="68" t="str">
        <f>Demand!D205</f>
        <v/>
      </c>
      <c r="D200" s="68" t="str">
        <f>Demand!E205</f>
        <v/>
      </c>
      <c r="E200" s="6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0" t="e">
        <f t="shared" si="45"/>
        <v>#DIV/0!</v>
      </c>
      <c r="AA200" t="e">
        <f t="shared" si="46"/>
        <v>#DIV/0!</v>
      </c>
      <c r="AB200" t="e">
        <f t="shared" si="47"/>
        <v>#DIV/0!</v>
      </c>
      <c r="AC200" t="e">
        <f t="shared" si="48"/>
        <v>#DIV/0!</v>
      </c>
      <c r="AD200" t="e">
        <f t="shared" si="49"/>
        <v>#DIV/0!</v>
      </c>
      <c r="AE200" t="e">
        <f t="shared" si="50"/>
        <v>#DIV/0!</v>
      </c>
      <c r="AF200" t="e">
        <f t="shared" si="51"/>
        <v>#DIV/0!</v>
      </c>
      <c r="AG200" t="e">
        <f t="shared" si="52"/>
        <v>#DIV/0!</v>
      </c>
      <c r="AH200" t="e">
        <f t="shared" si="59"/>
        <v>#DIV/0!</v>
      </c>
      <c r="AI200" t="e">
        <f t="shared" si="53"/>
        <v>#DIV/0!</v>
      </c>
      <c r="AJ200">
        <f t="shared" si="54"/>
        <v>0</v>
      </c>
      <c r="AK200" t="e">
        <f t="shared" si="55"/>
        <v>#N/A</v>
      </c>
      <c r="AL200">
        <f t="shared" si="56"/>
        <v>0</v>
      </c>
      <c r="AM200" t="e">
        <f t="shared" si="57"/>
        <v>#N/A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0">
        <f t="shared" si="58"/>
        <v>1</v>
      </c>
    </row>
    <row r="201" spans="2:42" x14ac:dyDescent="0.35">
      <c r="B201" s="12" t="str">
        <f>Demand!C206</f>
        <v/>
      </c>
      <c r="C201" s="68" t="str">
        <f>Demand!D206</f>
        <v/>
      </c>
      <c r="D201" s="68" t="str">
        <f>Demand!E206</f>
        <v/>
      </c>
      <c r="E201" s="6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1" t="e">
        <f t="shared" si="45"/>
        <v>#DIV/0!</v>
      </c>
      <c r="AA201" t="e">
        <f t="shared" si="46"/>
        <v>#DIV/0!</v>
      </c>
      <c r="AB201" t="e">
        <f t="shared" si="47"/>
        <v>#DIV/0!</v>
      </c>
      <c r="AC201" t="e">
        <f t="shared" si="48"/>
        <v>#DIV/0!</v>
      </c>
      <c r="AD201" t="e">
        <f t="shared" si="49"/>
        <v>#DIV/0!</v>
      </c>
      <c r="AE201" t="e">
        <f t="shared" si="50"/>
        <v>#DIV/0!</v>
      </c>
      <c r="AF201" t="e">
        <f t="shared" si="51"/>
        <v>#DIV/0!</v>
      </c>
      <c r="AG201" t="e">
        <f t="shared" si="52"/>
        <v>#DIV/0!</v>
      </c>
      <c r="AH201" t="e">
        <f t="shared" si="59"/>
        <v>#DIV/0!</v>
      </c>
      <c r="AI201" t="e">
        <f t="shared" si="53"/>
        <v>#DIV/0!</v>
      </c>
      <c r="AJ201">
        <f t="shared" si="54"/>
        <v>0</v>
      </c>
      <c r="AK201" t="e">
        <f t="shared" si="55"/>
        <v>#N/A</v>
      </c>
      <c r="AL201">
        <f t="shared" si="56"/>
        <v>0</v>
      </c>
      <c r="AM201" t="e">
        <f t="shared" si="57"/>
        <v>#N/A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1">
        <f t="shared" si="58"/>
        <v>1</v>
      </c>
    </row>
    <row r="202" spans="2:42" x14ac:dyDescent="0.35">
      <c r="B202" s="12" t="str">
        <f>Demand!C207</f>
        <v/>
      </c>
      <c r="C202" s="68" t="str">
        <f>Demand!D207</f>
        <v/>
      </c>
      <c r="D202" s="68" t="str">
        <f>Demand!E207</f>
        <v/>
      </c>
      <c r="E202" s="6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2" t="e">
        <f t="shared" si="45"/>
        <v>#DIV/0!</v>
      </c>
      <c r="AA202" t="e">
        <f t="shared" si="46"/>
        <v>#DIV/0!</v>
      </c>
      <c r="AB202" t="e">
        <f t="shared" si="47"/>
        <v>#DIV/0!</v>
      </c>
      <c r="AC202" t="e">
        <f t="shared" si="48"/>
        <v>#DIV/0!</v>
      </c>
      <c r="AD202" t="e">
        <f t="shared" si="49"/>
        <v>#DIV/0!</v>
      </c>
      <c r="AE202" t="e">
        <f t="shared" si="50"/>
        <v>#DIV/0!</v>
      </c>
      <c r="AF202" t="e">
        <f t="shared" si="51"/>
        <v>#DIV/0!</v>
      </c>
      <c r="AG202" t="e">
        <f t="shared" si="52"/>
        <v>#DIV/0!</v>
      </c>
      <c r="AH202" t="e">
        <f t="shared" si="59"/>
        <v>#DIV/0!</v>
      </c>
      <c r="AI202" t="e">
        <f t="shared" si="53"/>
        <v>#DIV/0!</v>
      </c>
      <c r="AJ202">
        <f t="shared" si="54"/>
        <v>0</v>
      </c>
      <c r="AK202" t="e">
        <f t="shared" si="55"/>
        <v>#N/A</v>
      </c>
      <c r="AL202">
        <f t="shared" si="56"/>
        <v>0</v>
      </c>
      <c r="AM202" t="e">
        <f t="shared" si="57"/>
        <v>#N/A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2">
        <f t="shared" si="58"/>
        <v>1</v>
      </c>
    </row>
    <row r="203" spans="2:42" x14ac:dyDescent="0.35">
      <c r="B203" s="12" t="str">
        <f>Demand!C208</f>
        <v/>
      </c>
      <c r="C203" s="68" t="str">
        <f>Demand!D208</f>
        <v/>
      </c>
      <c r="D203" s="68" t="str">
        <f>Demand!E208</f>
        <v/>
      </c>
      <c r="E203" s="6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3" t="e">
        <f t="shared" si="45"/>
        <v>#DIV/0!</v>
      </c>
      <c r="AA203" t="e">
        <f t="shared" si="46"/>
        <v>#DIV/0!</v>
      </c>
      <c r="AB203" t="e">
        <f t="shared" si="47"/>
        <v>#DIV/0!</v>
      </c>
      <c r="AC203" t="e">
        <f t="shared" si="48"/>
        <v>#DIV/0!</v>
      </c>
      <c r="AD203" t="e">
        <f t="shared" si="49"/>
        <v>#DIV/0!</v>
      </c>
      <c r="AE203" t="e">
        <f t="shared" si="50"/>
        <v>#DIV/0!</v>
      </c>
      <c r="AF203" t="e">
        <f t="shared" si="51"/>
        <v>#DIV/0!</v>
      </c>
      <c r="AG203" t="e">
        <f t="shared" si="52"/>
        <v>#DIV/0!</v>
      </c>
      <c r="AH203" t="e">
        <f t="shared" si="59"/>
        <v>#DIV/0!</v>
      </c>
      <c r="AI203" t="e">
        <f t="shared" si="53"/>
        <v>#DIV/0!</v>
      </c>
      <c r="AJ203">
        <f t="shared" si="54"/>
        <v>0</v>
      </c>
      <c r="AK203" t="e">
        <f t="shared" si="55"/>
        <v>#N/A</v>
      </c>
      <c r="AL203">
        <f t="shared" si="56"/>
        <v>0</v>
      </c>
      <c r="AM203" t="e">
        <f t="shared" si="57"/>
        <v>#N/A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3">
        <f t="shared" si="58"/>
        <v>1</v>
      </c>
    </row>
    <row r="204" spans="2:42" x14ac:dyDescent="0.35">
      <c r="B204" s="12" t="str">
        <f>Demand!C209</f>
        <v/>
      </c>
      <c r="C204" s="68" t="str">
        <f>Demand!D209</f>
        <v/>
      </c>
      <c r="D204" s="68" t="str">
        <f>Demand!E209</f>
        <v/>
      </c>
      <c r="E204" s="6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4" t="e">
        <f t="shared" si="45"/>
        <v>#DIV/0!</v>
      </c>
      <c r="AA204" t="e">
        <f t="shared" si="46"/>
        <v>#DIV/0!</v>
      </c>
      <c r="AB204" t="e">
        <f t="shared" si="47"/>
        <v>#DIV/0!</v>
      </c>
      <c r="AC204" t="e">
        <f t="shared" si="48"/>
        <v>#DIV/0!</v>
      </c>
      <c r="AD204" t="e">
        <f t="shared" si="49"/>
        <v>#DIV/0!</v>
      </c>
      <c r="AE204" t="e">
        <f t="shared" si="50"/>
        <v>#DIV/0!</v>
      </c>
      <c r="AF204" t="e">
        <f t="shared" si="51"/>
        <v>#DIV/0!</v>
      </c>
      <c r="AG204" t="e">
        <f t="shared" si="52"/>
        <v>#DIV/0!</v>
      </c>
      <c r="AH204" t="e">
        <f t="shared" si="59"/>
        <v>#DIV/0!</v>
      </c>
      <c r="AI204" t="e">
        <f t="shared" si="53"/>
        <v>#DIV/0!</v>
      </c>
      <c r="AJ204">
        <f t="shared" si="54"/>
        <v>0</v>
      </c>
      <c r="AK204" t="e">
        <f t="shared" si="55"/>
        <v>#N/A</v>
      </c>
      <c r="AL204">
        <f t="shared" si="56"/>
        <v>0</v>
      </c>
      <c r="AM204" t="e">
        <f t="shared" si="57"/>
        <v>#N/A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4">
        <f t="shared" si="58"/>
        <v>1</v>
      </c>
    </row>
    <row r="205" spans="2:42" x14ac:dyDescent="0.35">
      <c r="B205" s="12" t="str">
        <f>Demand!C210</f>
        <v/>
      </c>
      <c r="C205" s="68" t="str">
        <f>Demand!D210</f>
        <v/>
      </c>
      <c r="D205" s="68" t="str">
        <f>Demand!E210</f>
        <v/>
      </c>
      <c r="E205" s="6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5" t="e">
        <f t="shared" si="45"/>
        <v>#DIV/0!</v>
      </c>
      <c r="AA205" t="e">
        <f t="shared" si="46"/>
        <v>#DIV/0!</v>
      </c>
      <c r="AB205" t="e">
        <f t="shared" si="47"/>
        <v>#DIV/0!</v>
      </c>
      <c r="AC205" t="e">
        <f t="shared" si="48"/>
        <v>#DIV/0!</v>
      </c>
      <c r="AD205" t="e">
        <f t="shared" si="49"/>
        <v>#DIV/0!</v>
      </c>
      <c r="AE205" t="e">
        <f t="shared" si="50"/>
        <v>#DIV/0!</v>
      </c>
      <c r="AF205" t="e">
        <f t="shared" si="51"/>
        <v>#DIV/0!</v>
      </c>
      <c r="AG205" t="e">
        <f t="shared" si="52"/>
        <v>#DIV/0!</v>
      </c>
      <c r="AH205" t="e">
        <f t="shared" si="59"/>
        <v>#DIV/0!</v>
      </c>
      <c r="AI205" t="e">
        <f t="shared" si="53"/>
        <v>#DIV/0!</v>
      </c>
      <c r="AJ205">
        <f t="shared" si="54"/>
        <v>0</v>
      </c>
      <c r="AK205" t="e">
        <f t="shared" si="55"/>
        <v>#N/A</v>
      </c>
      <c r="AL205">
        <f t="shared" si="56"/>
        <v>0</v>
      </c>
      <c r="AM205" t="e">
        <f t="shared" si="57"/>
        <v>#N/A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5">
        <f t="shared" si="58"/>
        <v>1</v>
      </c>
    </row>
    <row r="206" spans="2:42" x14ac:dyDescent="0.35">
      <c r="B206" s="12" t="str">
        <f>Demand!C211</f>
        <v/>
      </c>
      <c r="C206" s="68" t="str">
        <f>Demand!D211</f>
        <v/>
      </c>
      <c r="D206" s="68" t="str">
        <f>Demand!E211</f>
        <v/>
      </c>
      <c r="E206" s="6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6" t="e">
        <f t="shared" si="45"/>
        <v>#DIV/0!</v>
      </c>
      <c r="AA206" t="e">
        <f t="shared" si="46"/>
        <v>#DIV/0!</v>
      </c>
      <c r="AB206" t="e">
        <f t="shared" si="47"/>
        <v>#DIV/0!</v>
      </c>
      <c r="AC206" t="e">
        <f t="shared" si="48"/>
        <v>#DIV/0!</v>
      </c>
      <c r="AD206" t="e">
        <f t="shared" si="49"/>
        <v>#DIV/0!</v>
      </c>
      <c r="AE206" t="e">
        <f t="shared" si="50"/>
        <v>#DIV/0!</v>
      </c>
      <c r="AF206" t="e">
        <f t="shared" si="51"/>
        <v>#DIV/0!</v>
      </c>
      <c r="AG206" t="e">
        <f t="shared" si="52"/>
        <v>#DIV/0!</v>
      </c>
      <c r="AH206" t="e">
        <f t="shared" si="59"/>
        <v>#DIV/0!</v>
      </c>
      <c r="AI206" t="e">
        <f t="shared" si="53"/>
        <v>#DIV/0!</v>
      </c>
      <c r="AJ206">
        <f t="shared" si="54"/>
        <v>0</v>
      </c>
      <c r="AK206" t="e">
        <f t="shared" si="55"/>
        <v>#N/A</v>
      </c>
      <c r="AL206">
        <f t="shared" si="56"/>
        <v>0</v>
      </c>
      <c r="AM206" t="e">
        <f t="shared" si="57"/>
        <v>#N/A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6">
        <f t="shared" si="58"/>
        <v>1</v>
      </c>
    </row>
    <row r="207" spans="2:42" x14ac:dyDescent="0.35">
      <c r="B207" s="12" t="str">
        <f>Demand!C212</f>
        <v/>
      </c>
      <c r="C207" s="68" t="str">
        <f>Demand!D212</f>
        <v/>
      </c>
      <c r="D207" s="68" t="str">
        <f>Demand!E212</f>
        <v/>
      </c>
      <c r="E207" s="6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7" t="e">
        <f t="shared" si="45"/>
        <v>#DIV/0!</v>
      </c>
      <c r="AA207" t="e">
        <f t="shared" si="46"/>
        <v>#DIV/0!</v>
      </c>
      <c r="AB207" t="e">
        <f t="shared" si="47"/>
        <v>#DIV/0!</v>
      </c>
      <c r="AC207" t="e">
        <f t="shared" si="48"/>
        <v>#DIV/0!</v>
      </c>
      <c r="AD207" t="e">
        <f t="shared" si="49"/>
        <v>#DIV/0!</v>
      </c>
      <c r="AE207" t="e">
        <f t="shared" si="50"/>
        <v>#DIV/0!</v>
      </c>
      <c r="AF207" t="e">
        <f t="shared" si="51"/>
        <v>#DIV/0!</v>
      </c>
      <c r="AG207" t="e">
        <f t="shared" si="52"/>
        <v>#DIV/0!</v>
      </c>
      <c r="AH207" t="e">
        <f t="shared" si="59"/>
        <v>#DIV/0!</v>
      </c>
      <c r="AI207" t="e">
        <f t="shared" si="53"/>
        <v>#DIV/0!</v>
      </c>
      <c r="AJ207">
        <f t="shared" si="54"/>
        <v>0</v>
      </c>
      <c r="AK207" t="e">
        <f t="shared" si="55"/>
        <v>#N/A</v>
      </c>
      <c r="AL207">
        <f t="shared" si="56"/>
        <v>0</v>
      </c>
      <c r="AM207" t="e">
        <f t="shared" si="57"/>
        <v>#N/A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7">
        <f t="shared" si="58"/>
        <v>1</v>
      </c>
    </row>
    <row r="208" spans="2:42" x14ac:dyDescent="0.35">
      <c r="B208" s="12" t="str">
        <f>Demand!C213</f>
        <v/>
      </c>
      <c r="C208" s="68" t="str">
        <f>Demand!D213</f>
        <v/>
      </c>
      <c r="D208" s="68" t="str">
        <f>Demand!E213</f>
        <v/>
      </c>
      <c r="E208" s="6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8" t="e">
        <f t="shared" si="45"/>
        <v>#DIV/0!</v>
      </c>
      <c r="AA208" t="e">
        <f t="shared" si="46"/>
        <v>#DIV/0!</v>
      </c>
      <c r="AB208" t="e">
        <f t="shared" si="47"/>
        <v>#DIV/0!</v>
      </c>
      <c r="AC208" t="e">
        <f t="shared" si="48"/>
        <v>#DIV/0!</v>
      </c>
      <c r="AD208" t="e">
        <f t="shared" si="49"/>
        <v>#DIV/0!</v>
      </c>
      <c r="AE208" t="e">
        <f t="shared" si="50"/>
        <v>#DIV/0!</v>
      </c>
      <c r="AF208" t="e">
        <f t="shared" si="51"/>
        <v>#DIV/0!</v>
      </c>
      <c r="AG208" t="e">
        <f t="shared" si="52"/>
        <v>#DIV/0!</v>
      </c>
      <c r="AH208" t="e">
        <f t="shared" si="59"/>
        <v>#DIV/0!</v>
      </c>
      <c r="AI208" t="e">
        <f t="shared" si="53"/>
        <v>#DIV/0!</v>
      </c>
      <c r="AJ208">
        <f t="shared" si="54"/>
        <v>0</v>
      </c>
      <c r="AK208" t="e">
        <f t="shared" si="55"/>
        <v>#N/A</v>
      </c>
      <c r="AL208">
        <f t="shared" si="56"/>
        <v>0</v>
      </c>
      <c r="AM208" t="e">
        <f t="shared" si="57"/>
        <v>#N/A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8">
        <f t="shared" si="58"/>
        <v>1</v>
      </c>
    </row>
    <row r="209" spans="2:42" x14ac:dyDescent="0.35">
      <c r="B209" s="12" t="str">
        <f>Demand!C214</f>
        <v/>
      </c>
      <c r="C209" s="68" t="str">
        <f>Demand!D214</f>
        <v/>
      </c>
      <c r="D209" s="68" t="str">
        <f>Demand!E214</f>
        <v/>
      </c>
      <c r="E209" s="6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9" t="e">
        <f t="shared" si="45"/>
        <v>#DIV/0!</v>
      </c>
      <c r="AA209" t="e">
        <f t="shared" si="46"/>
        <v>#DIV/0!</v>
      </c>
      <c r="AB209" t="e">
        <f t="shared" si="47"/>
        <v>#DIV/0!</v>
      </c>
      <c r="AC209" t="e">
        <f t="shared" si="48"/>
        <v>#DIV/0!</v>
      </c>
      <c r="AD209" t="e">
        <f t="shared" si="49"/>
        <v>#DIV/0!</v>
      </c>
      <c r="AE209" t="e">
        <f t="shared" si="50"/>
        <v>#DIV/0!</v>
      </c>
      <c r="AF209" t="e">
        <f t="shared" si="51"/>
        <v>#DIV/0!</v>
      </c>
      <c r="AG209" t="e">
        <f t="shared" si="52"/>
        <v>#DIV/0!</v>
      </c>
      <c r="AH209" t="e">
        <f t="shared" si="59"/>
        <v>#DIV/0!</v>
      </c>
      <c r="AI209" t="e">
        <f t="shared" si="53"/>
        <v>#DIV/0!</v>
      </c>
      <c r="AJ209">
        <f t="shared" si="54"/>
        <v>0</v>
      </c>
      <c r="AK209" t="e">
        <f t="shared" si="55"/>
        <v>#N/A</v>
      </c>
      <c r="AL209">
        <f t="shared" si="56"/>
        <v>0</v>
      </c>
      <c r="AM209" t="e">
        <f t="shared" si="57"/>
        <v>#N/A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9">
        <f t="shared" si="58"/>
        <v>1</v>
      </c>
    </row>
    <row r="210" spans="2:42" x14ac:dyDescent="0.35">
      <c r="B210" s="12" t="str">
        <f>Demand!C215</f>
        <v/>
      </c>
      <c r="C210" s="68" t="str">
        <f>Demand!D215</f>
        <v/>
      </c>
      <c r="D210" s="68" t="str">
        <f>Demand!E215</f>
        <v/>
      </c>
      <c r="E210" s="6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0" t="e">
        <f t="shared" si="45"/>
        <v>#DIV/0!</v>
      </c>
      <c r="AA210" t="e">
        <f t="shared" si="46"/>
        <v>#DIV/0!</v>
      </c>
      <c r="AB210" t="e">
        <f t="shared" si="47"/>
        <v>#DIV/0!</v>
      </c>
      <c r="AC210" t="e">
        <f t="shared" si="48"/>
        <v>#DIV/0!</v>
      </c>
      <c r="AD210" t="e">
        <f t="shared" si="49"/>
        <v>#DIV/0!</v>
      </c>
      <c r="AE210" t="e">
        <f t="shared" si="50"/>
        <v>#DIV/0!</v>
      </c>
      <c r="AF210" t="e">
        <f t="shared" si="51"/>
        <v>#DIV/0!</v>
      </c>
      <c r="AG210" t="e">
        <f t="shared" si="52"/>
        <v>#DIV/0!</v>
      </c>
      <c r="AH210" t="e">
        <f t="shared" si="59"/>
        <v>#DIV/0!</v>
      </c>
      <c r="AI210" t="e">
        <f t="shared" si="53"/>
        <v>#DIV/0!</v>
      </c>
      <c r="AJ210">
        <f t="shared" si="54"/>
        <v>0</v>
      </c>
      <c r="AK210" t="e">
        <f t="shared" si="55"/>
        <v>#N/A</v>
      </c>
      <c r="AL210">
        <f t="shared" si="56"/>
        <v>0</v>
      </c>
      <c r="AM210" t="e">
        <f t="shared" si="57"/>
        <v>#N/A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0">
        <f t="shared" si="58"/>
        <v>1</v>
      </c>
    </row>
    <row r="211" spans="2:42" x14ac:dyDescent="0.35">
      <c r="B211" s="12" t="str">
        <f>Demand!C216</f>
        <v/>
      </c>
      <c r="C211" s="68" t="str">
        <f>Demand!D216</f>
        <v/>
      </c>
      <c r="D211" s="68" t="str">
        <f>Demand!E216</f>
        <v/>
      </c>
      <c r="E211" s="6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1" t="e">
        <f t="shared" si="45"/>
        <v>#DIV/0!</v>
      </c>
      <c r="AA211" t="e">
        <f t="shared" si="46"/>
        <v>#DIV/0!</v>
      </c>
      <c r="AB211" t="e">
        <f t="shared" si="47"/>
        <v>#DIV/0!</v>
      </c>
      <c r="AC211" t="e">
        <f t="shared" si="48"/>
        <v>#DIV/0!</v>
      </c>
      <c r="AD211" t="e">
        <f t="shared" si="49"/>
        <v>#DIV/0!</v>
      </c>
      <c r="AE211" t="e">
        <f t="shared" si="50"/>
        <v>#DIV/0!</v>
      </c>
      <c r="AF211" t="e">
        <f t="shared" si="51"/>
        <v>#DIV/0!</v>
      </c>
      <c r="AG211" t="e">
        <f t="shared" si="52"/>
        <v>#DIV/0!</v>
      </c>
      <c r="AH211" t="e">
        <f t="shared" si="59"/>
        <v>#DIV/0!</v>
      </c>
      <c r="AI211" t="e">
        <f t="shared" si="53"/>
        <v>#DIV/0!</v>
      </c>
      <c r="AJ211">
        <f t="shared" si="54"/>
        <v>0</v>
      </c>
      <c r="AK211" t="e">
        <f t="shared" si="55"/>
        <v>#N/A</v>
      </c>
      <c r="AL211">
        <f t="shared" si="56"/>
        <v>0</v>
      </c>
      <c r="AM211" t="e">
        <f t="shared" si="57"/>
        <v>#N/A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1">
        <f t="shared" si="58"/>
        <v>1</v>
      </c>
    </row>
    <row r="212" spans="2:42" x14ac:dyDescent="0.35">
      <c r="B212" s="12" t="str">
        <f>Demand!C217</f>
        <v/>
      </c>
      <c r="C212" s="68" t="str">
        <f>Demand!D217</f>
        <v/>
      </c>
      <c r="D212" s="68" t="str">
        <f>Demand!E217</f>
        <v/>
      </c>
      <c r="E212" s="6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2" t="e">
        <f t="shared" si="45"/>
        <v>#DIV/0!</v>
      </c>
      <c r="AA212" t="e">
        <f t="shared" si="46"/>
        <v>#DIV/0!</v>
      </c>
      <c r="AB212" t="e">
        <f t="shared" si="47"/>
        <v>#DIV/0!</v>
      </c>
      <c r="AC212" t="e">
        <f t="shared" si="48"/>
        <v>#DIV/0!</v>
      </c>
      <c r="AD212" t="e">
        <f t="shared" si="49"/>
        <v>#DIV/0!</v>
      </c>
      <c r="AE212" t="e">
        <f t="shared" si="50"/>
        <v>#DIV/0!</v>
      </c>
      <c r="AF212" t="e">
        <f t="shared" si="51"/>
        <v>#DIV/0!</v>
      </c>
      <c r="AG212" t="e">
        <f t="shared" si="52"/>
        <v>#DIV/0!</v>
      </c>
      <c r="AH212" t="e">
        <f t="shared" si="59"/>
        <v>#DIV/0!</v>
      </c>
      <c r="AI212" t="e">
        <f t="shared" si="53"/>
        <v>#DIV/0!</v>
      </c>
      <c r="AJ212">
        <f t="shared" si="54"/>
        <v>0</v>
      </c>
      <c r="AK212" t="e">
        <f t="shared" si="55"/>
        <v>#N/A</v>
      </c>
      <c r="AL212">
        <f t="shared" si="56"/>
        <v>0</v>
      </c>
      <c r="AM212" t="e">
        <f t="shared" si="57"/>
        <v>#N/A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2">
        <f t="shared" si="58"/>
        <v>1</v>
      </c>
    </row>
    <row r="213" spans="2:42" x14ac:dyDescent="0.35">
      <c r="B213" s="12" t="str">
        <f>Demand!C218</f>
        <v/>
      </c>
      <c r="C213" s="68" t="str">
        <f>Demand!D218</f>
        <v/>
      </c>
      <c r="D213" s="68" t="str">
        <f>Demand!E218</f>
        <v/>
      </c>
      <c r="E213" s="6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3" t="e">
        <f t="shared" si="45"/>
        <v>#DIV/0!</v>
      </c>
      <c r="AA213" t="e">
        <f t="shared" si="46"/>
        <v>#DIV/0!</v>
      </c>
      <c r="AB213" t="e">
        <f t="shared" si="47"/>
        <v>#DIV/0!</v>
      </c>
      <c r="AC213" t="e">
        <f t="shared" si="48"/>
        <v>#DIV/0!</v>
      </c>
      <c r="AD213" t="e">
        <f t="shared" si="49"/>
        <v>#DIV/0!</v>
      </c>
      <c r="AE213" t="e">
        <f t="shared" si="50"/>
        <v>#DIV/0!</v>
      </c>
      <c r="AF213" t="e">
        <f t="shared" si="51"/>
        <v>#DIV/0!</v>
      </c>
      <c r="AG213" t="e">
        <f t="shared" si="52"/>
        <v>#DIV/0!</v>
      </c>
      <c r="AH213" t="e">
        <f t="shared" si="59"/>
        <v>#DIV/0!</v>
      </c>
      <c r="AI213" t="e">
        <f t="shared" si="53"/>
        <v>#DIV/0!</v>
      </c>
      <c r="AJ213">
        <f t="shared" si="54"/>
        <v>0</v>
      </c>
      <c r="AK213" t="e">
        <f t="shared" si="55"/>
        <v>#N/A</v>
      </c>
      <c r="AL213">
        <f t="shared" si="56"/>
        <v>0</v>
      </c>
      <c r="AM213" t="e">
        <f t="shared" si="57"/>
        <v>#N/A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3">
        <f t="shared" si="58"/>
        <v>1</v>
      </c>
    </row>
    <row r="214" spans="2:42" x14ac:dyDescent="0.35">
      <c r="B214" s="12" t="str">
        <f>Demand!C219</f>
        <v/>
      </c>
      <c r="C214" s="68" t="str">
        <f>Demand!D219</f>
        <v/>
      </c>
      <c r="D214" s="68" t="str">
        <f>Demand!E219</f>
        <v/>
      </c>
      <c r="E214" s="6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4" t="e">
        <f t="shared" si="45"/>
        <v>#DIV/0!</v>
      </c>
      <c r="AA214" t="e">
        <f t="shared" si="46"/>
        <v>#DIV/0!</v>
      </c>
      <c r="AB214" t="e">
        <f t="shared" si="47"/>
        <v>#DIV/0!</v>
      </c>
      <c r="AC214" t="e">
        <f t="shared" si="48"/>
        <v>#DIV/0!</v>
      </c>
      <c r="AD214" t="e">
        <f t="shared" si="49"/>
        <v>#DIV/0!</v>
      </c>
      <c r="AE214" t="e">
        <f t="shared" si="50"/>
        <v>#DIV/0!</v>
      </c>
      <c r="AF214" t="e">
        <f t="shared" si="51"/>
        <v>#DIV/0!</v>
      </c>
      <c r="AG214" t="e">
        <f t="shared" si="52"/>
        <v>#DIV/0!</v>
      </c>
      <c r="AH214" t="e">
        <f t="shared" si="59"/>
        <v>#DIV/0!</v>
      </c>
      <c r="AI214" t="e">
        <f t="shared" si="53"/>
        <v>#DIV/0!</v>
      </c>
      <c r="AJ214">
        <f t="shared" si="54"/>
        <v>0</v>
      </c>
      <c r="AK214" t="e">
        <f t="shared" si="55"/>
        <v>#N/A</v>
      </c>
      <c r="AL214">
        <f t="shared" si="56"/>
        <v>0</v>
      </c>
      <c r="AM214" t="e">
        <f t="shared" si="57"/>
        <v>#N/A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4">
        <f t="shared" si="58"/>
        <v>1</v>
      </c>
    </row>
    <row r="215" spans="2:42" x14ac:dyDescent="0.35">
      <c r="B215" s="12" t="str">
        <f>Demand!C220</f>
        <v/>
      </c>
      <c r="C215" s="68" t="str">
        <f>Demand!D220</f>
        <v/>
      </c>
      <c r="D215" s="68" t="str">
        <f>Demand!E220</f>
        <v/>
      </c>
      <c r="E215" s="6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5" t="e">
        <f t="shared" si="45"/>
        <v>#DIV/0!</v>
      </c>
      <c r="AA215" t="e">
        <f t="shared" si="46"/>
        <v>#DIV/0!</v>
      </c>
      <c r="AB215" t="e">
        <f t="shared" si="47"/>
        <v>#DIV/0!</v>
      </c>
      <c r="AC215" t="e">
        <f t="shared" si="48"/>
        <v>#DIV/0!</v>
      </c>
      <c r="AD215" t="e">
        <f t="shared" si="49"/>
        <v>#DIV/0!</v>
      </c>
      <c r="AE215" t="e">
        <f t="shared" si="50"/>
        <v>#DIV/0!</v>
      </c>
      <c r="AF215" t="e">
        <f t="shared" si="51"/>
        <v>#DIV/0!</v>
      </c>
      <c r="AG215" t="e">
        <f t="shared" si="52"/>
        <v>#DIV/0!</v>
      </c>
      <c r="AH215" t="e">
        <f t="shared" si="59"/>
        <v>#DIV/0!</v>
      </c>
      <c r="AI215" t="e">
        <f t="shared" si="53"/>
        <v>#DIV/0!</v>
      </c>
      <c r="AJ215">
        <f t="shared" si="54"/>
        <v>0</v>
      </c>
      <c r="AK215" t="e">
        <f t="shared" si="55"/>
        <v>#N/A</v>
      </c>
      <c r="AL215">
        <f t="shared" si="56"/>
        <v>0</v>
      </c>
      <c r="AM215" t="e">
        <f t="shared" si="57"/>
        <v>#N/A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5">
        <f t="shared" si="58"/>
        <v>1</v>
      </c>
    </row>
    <row r="216" spans="2:42" x14ac:dyDescent="0.35">
      <c r="B216" s="12" t="str">
        <f>Demand!C221</f>
        <v/>
      </c>
      <c r="C216" s="68" t="str">
        <f>Demand!D221</f>
        <v/>
      </c>
      <c r="D216" s="68" t="str">
        <f>Demand!E221</f>
        <v/>
      </c>
      <c r="E216" s="6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6" t="e">
        <f t="shared" si="45"/>
        <v>#DIV/0!</v>
      </c>
      <c r="AA216" t="e">
        <f t="shared" si="46"/>
        <v>#DIV/0!</v>
      </c>
      <c r="AB216" t="e">
        <f t="shared" si="47"/>
        <v>#DIV/0!</v>
      </c>
      <c r="AC216" t="e">
        <f t="shared" si="48"/>
        <v>#DIV/0!</v>
      </c>
      <c r="AD216" t="e">
        <f t="shared" si="49"/>
        <v>#DIV/0!</v>
      </c>
      <c r="AE216" t="e">
        <f t="shared" si="50"/>
        <v>#DIV/0!</v>
      </c>
      <c r="AF216" t="e">
        <f t="shared" si="51"/>
        <v>#DIV/0!</v>
      </c>
      <c r="AG216" t="e">
        <f t="shared" si="52"/>
        <v>#DIV/0!</v>
      </c>
      <c r="AH216" t="e">
        <f t="shared" si="59"/>
        <v>#DIV/0!</v>
      </c>
      <c r="AI216" t="e">
        <f t="shared" si="53"/>
        <v>#DIV/0!</v>
      </c>
      <c r="AJ216">
        <f t="shared" si="54"/>
        <v>0</v>
      </c>
      <c r="AK216" t="e">
        <f t="shared" si="55"/>
        <v>#N/A</v>
      </c>
      <c r="AL216">
        <f t="shared" si="56"/>
        <v>0</v>
      </c>
      <c r="AM216" t="e">
        <f t="shared" si="57"/>
        <v>#N/A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6">
        <f t="shared" si="58"/>
        <v>1</v>
      </c>
    </row>
    <row r="217" spans="2:42" x14ac:dyDescent="0.35">
      <c r="B217" s="12" t="str">
        <f>Demand!C222</f>
        <v/>
      </c>
      <c r="C217" s="68" t="str">
        <f>Demand!D222</f>
        <v/>
      </c>
      <c r="D217" s="68" t="str">
        <f>Demand!E222</f>
        <v/>
      </c>
      <c r="E217" s="6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7" t="e">
        <f t="shared" si="45"/>
        <v>#DIV/0!</v>
      </c>
      <c r="AA217" t="e">
        <f t="shared" si="46"/>
        <v>#DIV/0!</v>
      </c>
      <c r="AB217" t="e">
        <f t="shared" si="47"/>
        <v>#DIV/0!</v>
      </c>
      <c r="AC217" t="e">
        <f t="shared" si="48"/>
        <v>#DIV/0!</v>
      </c>
      <c r="AD217" t="e">
        <f t="shared" si="49"/>
        <v>#DIV/0!</v>
      </c>
      <c r="AE217" t="e">
        <f t="shared" si="50"/>
        <v>#DIV/0!</v>
      </c>
      <c r="AF217" t="e">
        <f t="shared" si="51"/>
        <v>#DIV/0!</v>
      </c>
      <c r="AG217" t="e">
        <f t="shared" si="52"/>
        <v>#DIV/0!</v>
      </c>
      <c r="AH217" t="e">
        <f t="shared" si="59"/>
        <v>#DIV/0!</v>
      </c>
      <c r="AI217" t="e">
        <f t="shared" si="53"/>
        <v>#DIV/0!</v>
      </c>
      <c r="AJ217">
        <f t="shared" si="54"/>
        <v>0</v>
      </c>
      <c r="AK217" t="e">
        <f t="shared" si="55"/>
        <v>#N/A</v>
      </c>
      <c r="AL217">
        <f t="shared" si="56"/>
        <v>0</v>
      </c>
      <c r="AM217" t="e">
        <f t="shared" si="57"/>
        <v>#N/A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7">
        <f t="shared" si="58"/>
        <v>1</v>
      </c>
    </row>
    <row r="218" spans="2:42" x14ac:dyDescent="0.35">
      <c r="B218" s="12" t="str">
        <f>Demand!C223</f>
        <v/>
      </c>
      <c r="C218" s="68" t="str">
        <f>Demand!D223</f>
        <v/>
      </c>
      <c r="D218" s="68" t="str">
        <f>Demand!E223</f>
        <v/>
      </c>
      <c r="E218" s="6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8" t="e">
        <f t="shared" si="45"/>
        <v>#DIV/0!</v>
      </c>
      <c r="AA218" t="e">
        <f t="shared" si="46"/>
        <v>#DIV/0!</v>
      </c>
      <c r="AB218" t="e">
        <f t="shared" si="47"/>
        <v>#DIV/0!</v>
      </c>
      <c r="AC218" t="e">
        <f t="shared" si="48"/>
        <v>#DIV/0!</v>
      </c>
      <c r="AD218" t="e">
        <f t="shared" si="49"/>
        <v>#DIV/0!</v>
      </c>
      <c r="AE218" t="e">
        <f t="shared" si="50"/>
        <v>#DIV/0!</v>
      </c>
      <c r="AF218" t="e">
        <f t="shared" si="51"/>
        <v>#DIV/0!</v>
      </c>
      <c r="AG218" t="e">
        <f t="shared" si="52"/>
        <v>#DIV/0!</v>
      </c>
      <c r="AH218" t="e">
        <f t="shared" si="59"/>
        <v>#DIV/0!</v>
      </c>
      <c r="AI218" t="e">
        <f t="shared" si="53"/>
        <v>#DIV/0!</v>
      </c>
      <c r="AJ218">
        <f t="shared" si="54"/>
        <v>0</v>
      </c>
      <c r="AK218" t="e">
        <f t="shared" si="55"/>
        <v>#N/A</v>
      </c>
      <c r="AL218">
        <f t="shared" si="56"/>
        <v>0</v>
      </c>
      <c r="AM218" t="e">
        <f t="shared" si="57"/>
        <v>#N/A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8">
        <f t="shared" si="58"/>
        <v>1</v>
      </c>
    </row>
    <row r="219" spans="2:42" x14ac:dyDescent="0.35">
      <c r="B219" s="12" t="str">
        <f>Demand!C224</f>
        <v/>
      </c>
      <c r="C219" s="68" t="str">
        <f>Demand!D224</f>
        <v/>
      </c>
      <c r="D219" s="68" t="str">
        <f>Demand!E224</f>
        <v/>
      </c>
      <c r="E219" s="6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9" t="e">
        <f t="shared" si="45"/>
        <v>#DIV/0!</v>
      </c>
      <c r="AA219" t="e">
        <f t="shared" si="46"/>
        <v>#DIV/0!</v>
      </c>
      <c r="AB219" t="e">
        <f t="shared" si="47"/>
        <v>#DIV/0!</v>
      </c>
      <c r="AC219" t="e">
        <f t="shared" si="48"/>
        <v>#DIV/0!</v>
      </c>
      <c r="AD219" t="e">
        <f t="shared" si="49"/>
        <v>#DIV/0!</v>
      </c>
      <c r="AE219" t="e">
        <f t="shared" si="50"/>
        <v>#DIV/0!</v>
      </c>
      <c r="AF219" t="e">
        <f t="shared" si="51"/>
        <v>#DIV/0!</v>
      </c>
      <c r="AG219" t="e">
        <f t="shared" si="52"/>
        <v>#DIV/0!</v>
      </c>
      <c r="AH219" t="e">
        <f t="shared" si="59"/>
        <v>#DIV/0!</v>
      </c>
      <c r="AI219" t="e">
        <f t="shared" si="53"/>
        <v>#DIV/0!</v>
      </c>
      <c r="AJ219">
        <f t="shared" si="54"/>
        <v>0</v>
      </c>
      <c r="AK219" t="e">
        <f t="shared" si="55"/>
        <v>#N/A</v>
      </c>
      <c r="AL219">
        <f t="shared" si="56"/>
        <v>0</v>
      </c>
      <c r="AM219" t="e">
        <f t="shared" si="57"/>
        <v>#N/A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9">
        <f t="shared" si="58"/>
        <v>1</v>
      </c>
    </row>
    <row r="220" spans="2:42" x14ac:dyDescent="0.35">
      <c r="B220" s="12" t="str">
        <f>Demand!C225</f>
        <v/>
      </c>
      <c r="C220" s="68" t="str">
        <f>Demand!D225</f>
        <v/>
      </c>
      <c r="D220" s="68" t="str">
        <f>Demand!E225</f>
        <v/>
      </c>
      <c r="E220" s="6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0" t="e">
        <f t="shared" si="45"/>
        <v>#DIV/0!</v>
      </c>
      <c r="AA220" t="e">
        <f t="shared" si="46"/>
        <v>#DIV/0!</v>
      </c>
      <c r="AB220" t="e">
        <f t="shared" si="47"/>
        <v>#DIV/0!</v>
      </c>
      <c r="AC220" t="e">
        <f t="shared" si="48"/>
        <v>#DIV/0!</v>
      </c>
      <c r="AD220" t="e">
        <f t="shared" si="49"/>
        <v>#DIV/0!</v>
      </c>
      <c r="AE220" t="e">
        <f t="shared" si="50"/>
        <v>#DIV/0!</v>
      </c>
      <c r="AF220" t="e">
        <f t="shared" si="51"/>
        <v>#DIV/0!</v>
      </c>
      <c r="AG220" t="e">
        <f t="shared" si="52"/>
        <v>#DIV/0!</v>
      </c>
      <c r="AH220" t="e">
        <f t="shared" si="59"/>
        <v>#DIV/0!</v>
      </c>
      <c r="AI220" t="e">
        <f t="shared" si="53"/>
        <v>#DIV/0!</v>
      </c>
      <c r="AJ220">
        <f t="shared" si="54"/>
        <v>0</v>
      </c>
      <c r="AK220" t="e">
        <f t="shared" si="55"/>
        <v>#N/A</v>
      </c>
      <c r="AL220">
        <f t="shared" si="56"/>
        <v>0</v>
      </c>
      <c r="AM220" t="e">
        <f t="shared" si="57"/>
        <v>#N/A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0">
        <f t="shared" si="58"/>
        <v>1</v>
      </c>
    </row>
    <row r="221" spans="2:42" x14ac:dyDescent="0.35">
      <c r="B221" s="12" t="str">
        <f>Demand!C226</f>
        <v/>
      </c>
      <c r="C221" s="68" t="str">
        <f>Demand!D226</f>
        <v/>
      </c>
      <c r="D221" s="68" t="str">
        <f>Demand!E226</f>
        <v/>
      </c>
      <c r="E221" s="6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1" t="e">
        <f t="shared" si="45"/>
        <v>#DIV/0!</v>
      </c>
      <c r="AA221" t="e">
        <f t="shared" si="46"/>
        <v>#DIV/0!</v>
      </c>
      <c r="AB221" t="e">
        <f t="shared" si="47"/>
        <v>#DIV/0!</v>
      </c>
      <c r="AC221" t="e">
        <f t="shared" si="48"/>
        <v>#DIV/0!</v>
      </c>
      <c r="AD221" t="e">
        <f t="shared" si="49"/>
        <v>#DIV/0!</v>
      </c>
      <c r="AE221" t="e">
        <f t="shared" si="50"/>
        <v>#DIV/0!</v>
      </c>
      <c r="AF221" t="e">
        <f t="shared" si="51"/>
        <v>#DIV/0!</v>
      </c>
      <c r="AG221" t="e">
        <f t="shared" si="52"/>
        <v>#DIV/0!</v>
      </c>
      <c r="AH221" t="e">
        <f t="shared" si="59"/>
        <v>#DIV/0!</v>
      </c>
      <c r="AI221" t="e">
        <f t="shared" si="53"/>
        <v>#DIV/0!</v>
      </c>
      <c r="AJ221">
        <f t="shared" si="54"/>
        <v>0</v>
      </c>
      <c r="AK221" t="e">
        <f t="shared" si="55"/>
        <v>#N/A</v>
      </c>
      <c r="AL221">
        <f t="shared" si="56"/>
        <v>0</v>
      </c>
      <c r="AM221" t="e">
        <f t="shared" si="57"/>
        <v>#N/A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1">
        <f t="shared" si="58"/>
        <v>1</v>
      </c>
    </row>
    <row r="222" spans="2:42" x14ac:dyDescent="0.35">
      <c r="B222" s="12" t="str">
        <f>Demand!C227</f>
        <v/>
      </c>
      <c r="C222" s="68" t="str">
        <f>Demand!D227</f>
        <v/>
      </c>
      <c r="D222" s="68" t="str">
        <f>Demand!E227</f>
        <v/>
      </c>
      <c r="E222" s="6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2" t="e">
        <f t="shared" si="45"/>
        <v>#DIV/0!</v>
      </c>
      <c r="AA222" t="e">
        <f t="shared" si="46"/>
        <v>#DIV/0!</v>
      </c>
      <c r="AB222" t="e">
        <f t="shared" si="47"/>
        <v>#DIV/0!</v>
      </c>
      <c r="AC222" t="e">
        <f t="shared" si="48"/>
        <v>#DIV/0!</v>
      </c>
      <c r="AD222" t="e">
        <f t="shared" si="49"/>
        <v>#DIV/0!</v>
      </c>
      <c r="AE222" t="e">
        <f t="shared" si="50"/>
        <v>#DIV/0!</v>
      </c>
      <c r="AF222" t="e">
        <f t="shared" si="51"/>
        <v>#DIV/0!</v>
      </c>
      <c r="AG222" t="e">
        <f t="shared" si="52"/>
        <v>#DIV/0!</v>
      </c>
      <c r="AH222" t="e">
        <f t="shared" si="59"/>
        <v>#DIV/0!</v>
      </c>
      <c r="AI222" t="e">
        <f t="shared" si="53"/>
        <v>#DIV/0!</v>
      </c>
      <c r="AJ222">
        <f t="shared" si="54"/>
        <v>0</v>
      </c>
      <c r="AK222" t="e">
        <f t="shared" si="55"/>
        <v>#N/A</v>
      </c>
      <c r="AL222">
        <f t="shared" si="56"/>
        <v>0</v>
      </c>
      <c r="AM222" t="e">
        <f t="shared" si="57"/>
        <v>#N/A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2">
        <f t="shared" si="58"/>
        <v>1</v>
      </c>
    </row>
    <row r="223" spans="2:42" x14ac:dyDescent="0.35">
      <c r="B223" s="12" t="str">
        <f>Demand!C228</f>
        <v/>
      </c>
      <c r="C223" s="68" t="str">
        <f>Demand!D228</f>
        <v/>
      </c>
      <c r="D223" s="68" t="str">
        <f>Demand!E228</f>
        <v/>
      </c>
      <c r="E223" s="6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3" t="e">
        <f t="shared" si="45"/>
        <v>#DIV/0!</v>
      </c>
      <c r="AA223" t="e">
        <f t="shared" si="46"/>
        <v>#DIV/0!</v>
      </c>
      <c r="AB223" t="e">
        <f t="shared" si="47"/>
        <v>#DIV/0!</v>
      </c>
      <c r="AC223" t="e">
        <f t="shared" si="48"/>
        <v>#DIV/0!</v>
      </c>
      <c r="AD223" t="e">
        <f t="shared" si="49"/>
        <v>#DIV/0!</v>
      </c>
      <c r="AE223" t="e">
        <f t="shared" si="50"/>
        <v>#DIV/0!</v>
      </c>
      <c r="AF223" t="e">
        <f t="shared" si="51"/>
        <v>#DIV/0!</v>
      </c>
      <c r="AG223" t="e">
        <f t="shared" si="52"/>
        <v>#DIV/0!</v>
      </c>
      <c r="AH223" t="e">
        <f t="shared" si="59"/>
        <v>#DIV/0!</v>
      </c>
      <c r="AI223" t="e">
        <f t="shared" si="53"/>
        <v>#DIV/0!</v>
      </c>
      <c r="AJ223">
        <f t="shared" si="54"/>
        <v>0</v>
      </c>
      <c r="AK223" t="e">
        <f t="shared" si="55"/>
        <v>#N/A</v>
      </c>
      <c r="AL223">
        <f t="shared" si="56"/>
        <v>0</v>
      </c>
      <c r="AM223" t="e">
        <f t="shared" si="57"/>
        <v>#N/A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3">
        <f t="shared" si="58"/>
        <v>1</v>
      </c>
    </row>
    <row r="224" spans="2:42" x14ac:dyDescent="0.35">
      <c r="B224" s="12" t="str">
        <f>Demand!C229</f>
        <v/>
      </c>
      <c r="C224" s="68" t="str">
        <f>Demand!D229</f>
        <v/>
      </c>
      <c r="D224" s="68" t="str">
        <f>Demand!E229</f>
        <v/>
      </c>
      <c r="E224" s="6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4" t="e">
        <f t="shared" si="45"/>
        <v>#DIV/0!</v>
      </c>
      <c r="AA224" t="e">
        <f t="shared" si="46"/>
        <v>#DIV/0!</v>
      </c>
      <c r="AB224" t="e">
        <f t="shared" si="47"/>
        <v>#DIV/0!</v>
      </c>
      <c r="AC224" t="e">
        <f t="shared" si="48"/>
        <v>#DIV/0!</v>
      </c>
      <c r="AD224" t="e">
        <f t="shared" si="49"/>
        <v>#DIV/0!</v>
      </c>
      <c r="AE224" t="e">
        <f t="shared" si="50"/>
        <v>#DIV/0!</v>
      </c>
      <c r="AF224" t="e">
        <f t="shared" si="51"/>
        <v>#DIV/0!</v>
      </c>
      <c r="AG224" t="e">
        <f t="shared" si="52"/>
        <v>#DIV/0!</v>
      </c>
      <c r="AH224" t="e">
        <f t="shared" si="59"/>
        <v>#DIV/0!</v>
      </c>
      <c r="AI224" t="e">
        <f t="shared" si="53"/>
        <v>#DIV/0!</v>
      </c>
      <c r="AJ224">
        <f t="shared" si="54"/>
        <v>0</v>
      </c>
      <c r="AK224" t="e">
        <f t="shared" si="55"/>
        <v>#N/A</v>
      </c>
      <c r="AL224">
        <f t="shared" si="56"/>
        <v>0</v>
      </c>
      <c r="AM224" t="e">
        <f t="shared" si="57"/>
        <v>#N/A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4">
        <f t="shared" si="58"/>
        <v>1</v>
      </c>
    </row>
    <row r="225" spans="2:42" x14ac:dyDescent="0.35">
      <c r="B225" s="12" t="str">
        <f>Demand!C230</f>
        <v/>
      </c>
      <c r="C225" s="68" t="str">
        <f>Demand!D230</f>
        <v/>
      </c>
      <c r="D225" s="68" t="str">
        <f>Demand!E230</f>
        <v/>
      </c>
      <c r="E225" s="6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5" t="e">
        <f t="shared" si="45"/>
        <v>#DIV/0!</v>
      </c>
      <c r="AA225" t="e">
        <f t="shared" si="46"/>
        <v>#DIV/0!</v>
      </c>
      <c r="AB225" t="e">
        <f t="shared" si="47"/>
        <v>#DIV/0!</v>
      </c>
      <c r="AC225" t="e">
        <f t="shared" si="48"/>
        <v>#DIV/0!</v>
      </c>
      <c r="AD225" t="e">
        <f t="shared" si="49"/>
        <v>#DIV/0!</v>
      </c>
      <c r="AE225" t="e">
        <f t="shared" si="50"/>
        <v>#DIV/0!</v>
      </c>
      <c r="AF225" t="e">
        <f t="shared" si="51"/>
        <v>#DIV/0!</v>
      </c>
      <c r="AG225" t="e">
        <f t="shared" si="52"/>
        <v>#DIV/0!</v>
      </c>
      <c r="AH225" t="e">
        <f t="shared" si="59"/>
        <v>#DIV/0!</v>
      </c>
      <c r="AI225" t="e">
        <f t="shared" si="53"/>
        <v>#DIV/0!</v>
      </c>
      <c r="AJ225">
        <f t="shared" si="54"/>
        <v>0</v>
      </c>
      <c r="AK225" t="e">
        <f t="shared" si="55"/>
        <v>#N/A</v>
      </c>
      <c r="AL225">
        <f t="shared" si="56"/>
        <v>0</v>
      </c>
      <c r="AM225" t="e">
        <f t="shared" si="57"/>
        <v>#N/A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5">
        <f t="shared" si="58"/>
        <v>1</v>
      </c>
    </row>
    <row r="226" spans="2:42" x14ac:dyDescent="0.35">
      <c r="B226" s="12" t="str">
        <f>Demand!C231</f>
        <v/>
      </c>
      <c r="C226" s="68" t="str">
        <f>Demand!D231</f>
        <v/>
      </c>
      <c r="D226" s="68" t="str">
        <f>Demand!E231</f>
        <v/>
      </c>
      <c r="E226" s="6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6" t="e">
        <f t="shared" si="45"/>
        <v>#DIV/0!</v>
      </c>
      <c r="AA226" t="e">
        <f t="shared" si="46"/>
        <v>#DIV/0!</v>
      </c>
      <c r="AB226" t="e">
        <f t="shared" si="47"/>
        <v>#DIV/0!</v>
      </c>
      <c r="AC226" t="e">
        <f t="shared" si="48"/>
        <v>#DIV/0!</v>
      </c>
      <c r="AD226" t="e">
        <f t="shared" si="49"/>
        <v>#DIV/0!</v>
      </c>
      <c r="AE226" t="e">
        <f t="shared" si="50"/>
        <v>#DIV/0!</v>
      </c>
      <c r="AF226" t="e">
        <f t="shared" si="51"/>
        <v>#DIV/0!</v>
      </c>
      <c r="AG226" t="e">
        <f t="shared" si="52"/>
        <v>#DIV/0!</v>
      </c>
      <c r="AH226" t="e">
        <f t="shared" si="59"/>
        <v>#DIV/0!</v>
      </c>
      <c r="AI226" t="e">
        <f t="shared" si="53"/>
        <v>#DIV/0!</v>
      </c>
      <c r="AJ226">
        <f t="shared" si="54"/>
        <v>0</v>
      </c>
      <c r="AK226" t="e">
        <f t="shared" si="55"/>
        <v>#N/A</v>
      </c>
      <c r="AL226">
        <f t="shared" si="56"/>
        <v>0</v>
      </c>
      <c r="AM226" t="e">
        <f t="shared" si="57"/>
        <v>#N/A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6">
        <f t="shared" si="58"/>
        <v>1</v>
      </c>
    </row>
    <row r="227" spans="2:42" x14ac:dyDescent="0.35">
      <c r="B227" s="12" t="str">
        <f>Demand!C232</f>
        <v/>
      </c>
      <c r="C227" s="68" t="str">
        <f>Demand!D232</f>
        <v/>
      </c>
      <c r="D227" s="68" t="str">
        <f>Demand!E232</f>
        <v/>
      </c>
      <c r="E227" s="6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7" t="e">
        <f t="shared" si="45"/>
        <v>#DIV/0!</v>
      </c>
      <c r="AA227" t="e">
        <f t="shared" si="46"/>
        <v>#DIV/0!</v>
      </c>
      <c r="AB227" t="e">
        <f t="shared" si="47"/>
        <v>#DIV/0!</v>
      </c>
      <c r="AC227" t="e">
        <f t="shared" si="48"/>
        <v>#DIV/0!</v>
      </c>
      <c r="AD227" t="e">
        <f t="shared" si="49"/>
        <v>#DIV/0!</v>
      </c>
      <c r="AE227" t="e">
        <f t="shared" si="50"/>
        <v>#DIV/0!</v>
      </c>
      <c r="AF227" t="e">
        <f t="shared" si="51"/>
        <v>#DIV/0!</v>
      </c>
      <c r="AG227" t="e">
        <f t="shared" si="52"/>
        <v>#DIV/0!</v>
      </c>
      <c r="AH227" t="e">
        <f t="shared" si="59"/>
        <v>#DIV/0!</v>
      </c>
      <c r="AI227" t="e">
        <f t="shared" si="53"/>
        <v>#DIV/0!</v>
      </c>
      <c r="AJ227">
        <f t="shared" si="54"/>
        <v>0</v>
      </c>
      <c r="AK227" t="e">
        <f t="shared" si="55"/>
        <v>#N/A</v>
      </c>
      <c r="AL227">
        <f t="shared" si="56"/>
        <v>0</v>
      </c>
      <c r="AM227" t="e">
        <f t="shared" si="57"/>
        <v>#N/A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7">
        <f t="shared" si="58"/>
        <v>1</v>
      </c>
    </row>
    <row r="228" spans="2:42" x14ac:dyDescent="0.35">
      <c r="B228" s="12" t="str">
        <f>Demand!C233</f>
        <v/>
      </c>
      <c r="C228" s="68" t="str">
        <f>Demand!D233</f>
        <v/>
      </c>
      <c r="D228" s="68" t="str">
        <f>Demand!E233</f>
        <v/>
      </c>
      <c r="E228" s="6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8" t="e">
        <f t="shared" si="45"/>
        <v>#DIV/0!</v>
      </c>
      <c r="AA228" t="e">
        <f t="shared" si="46"/>
        <v>#DIV/0!</v>
      </c>
      <c r="AB228" t="e">
        <f t="shared" si="47"/>
        <v>#DIV/0!</v>
      </c>
      <c r="AC228" t="e">
        <f t="shared" si="48"/>
        <v>#DIV/0!</v>
      </c>
      <c r="AD228" t="e">
        <f t="shared" si="49"/>
        <v>#DIV/0!</v>
      </c>
      <c r="AE228" t="e">
        <f t="shared" si="50"/>
        <v>#DIV/0!</v>
      </c>
      <c r="AF228" t="e">
        <f t="shared" si="51"/>
        <v>#DIV/0!</v>
      </c>
      <c r="AG228" t="e">
        <f t="shared" si="52"/>
        <v>#DIV/0!</v>
      </c>
      <c r="AH228" t="e">
        <f t="shared" si="59"/>
        <v>#DIV/0!</v>
      </c>
      <c r="AI228" t="e">
        <f t="shared" si="53"/>
        <v>#DIV/0!</v>
      </c>
      <c r="AJ228">
        <f t="shared" si="54"/>
        <v>0</v>
      </c>
      <c r="AK228" t="e">
        <f t="shared" si="55"/>
        <v>#N/A</v>
      </c>
      <c r="AL228">
        <f t="shared" si="56"/>
        <v>0</v>
      </c>
      <c r="AM228" t="e">
        <f t="shared" si="57"/>
        <v>#N/A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8">
        <f t="shared" si="58"/>
        <v>1</v>
      </c>
    </row>
    <row r="229" spans="2:42" x14ac:dyDescent="0.35">
      <c r="B229" s="12" t="str">
        <f>Demand!C234</f>
        <v/>
      </c>
      <c r="C229" s="68" t="str">
        <f>Demand!D234</f>
        <v/>
      </c>
      <c r="D229" s="68" t="str">
        <f>Demand!E234</f>
        <v/>
      </c>
      <c r="E229" s="6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9" t="e">
        <f t="shared" si="45"/>
        <v>#DIV/0!</v>
      </c>
      <c r="AA229" t="e">
        <f t="shared" si="46"/>
        <v>#DIV/0!</v>
      </c>
      <c r="AB229" t="e">
        <f t="shared" si="47"/>
        <v>#DIV/0!</v>
      </c>
      <c r="AC229" t="e">
        <f t="shared" si="48"/>
        <v>#DIV/0!</v>
      </c>
      <c r="AD229" t="e">
        <f t="shared" si="49"/>
        <v>#DIV/0!</v>
      </c>
      <c r="AE229" t="e">
        <f t="shared" si="50"/>
        <v>#DIV/0!</v>
      </c>
      <c r="AF229" t="e">
        <f t="shared" si="51"/>
        <v>#DIV/0!</v>
      </c>
      <c r="AG229" t="e">
        <f t="shared" si="52"/>
        <v>#DIV/0!</v>
      </c>
      <c r="AH229" t="e">
        <f t="shared" si="59"/>
        <v>#DIV/0!</v>
      </c>
      <c r="AI229" t="e">
        <f t="shared" si="53"/>
        <v>#DIV/0!</v>
      </c>
      <c r="AJ229">
        <f t="shared" si="54"/>
        <v>0</v>
      </c>
      <c r="AK229" t="e">
        <f t="shared" si="55"/>
        <v>#N/A</v>
      </c>
      <c r="AL229">
        <f t="shared" si="56"/>
        <v>0</v>
      </c>
      <c r="AM229" t="e">
        <f t="shared" si="57"/>
        <v>#N/A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9">
        <f t="shared" si="58"/>
        <v>1</v>
      </c>
    </row>
    <row r="230" spans="2:42" x14ac:dyDescent="0.35">
      <c r="B230" s="12" t="str">
        <f>Demand!C235</f>
        <v/>
      </c>
      <c r="C230" s="68" t="str">
        <f>Demand!D235</f>
        <v/>
      </c>
      <c r="D230" s="68" t="str">
        <f>Demand!E235</f>
        <v/>
      </c>
      <c r="E230" s="6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0" t="e">
        <f t="shared" si="45"/>
        <v>#DIV/0!</v>
      </c>
      <c r="AA230" t="e">
        <f t="shared" si="46"/>
        <v>#DIV/0!</v>
      </c>
      <c r="AB230" t="e">
        <f t="shared" si="47"/>
        <v>#DIV/0!</v>
      </c>
      <c r="AC230" t="e">
        <f t="shared" si="48"/>
        <v>#DIV/0!</v>
      </c>
      <c r="AD230" t="e">
        <f t="shared" si="49"/>
        <v>#DIV/0!</v>
      </c>
      <c r="AE230" t="e">
        <f t="shared" si="50"/>
        <v>#DIV/0!</v>
      </c>
      <c r="AF230" t="e">
        <f t="shared" si="51"/>
        <v>#DIV/0!</v>
      </c>
      <c r="AG230" t="e">
        <f t="shared" si="52"/>
        <v>#DIV/0!</v>
      </c>
      <c r="AH230" t="e">
        <f t="shared" si="59"/>
        <v>#DIV/0!</v>
      </c>
      <c r="AI230" t="e">
        <f t="shared" si="53"/>
        <v>#DIV/0!</v>
      </c>
      <c r="AJ230">
        <f t="shared" si="54"/>
        <v>0</v>
      </c>
      <c r="AK230" t="e">
        <f t="shared" si="55"/>
        <v>#N/A</v>
      </c>
      <c r="AL230">
        <f t="shared" si="56"/>
        <v>0</v>
      </c>
      <c r="AM230" t="e">
        <f t="shared" si="57"/>
        <v>#N/A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0">
        <f t="shared" si="58"/>
        <v>1</v>
      </c>
    </row>
    <row r="231" spans="2:42" x14ac:dyDescent="0.35">
      <c r="B231" s="12" t="str">
        <f>Demand!C236</f>
        <v/>
      </c>
      <c r="C231" s="68" t="str">
        <f>Demand!D236</f>
        <v/>
      </c>
      <c r="D231" s="68" t="str">
        <f>Demand!E236</f>
        <v/>
      </c>
      <c r="E231" s="6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1" t="e">
        <f t="shared" si="45"/>
        <v>#DIV/0!</v>
      </c>
      <c r="AA231" t="e">
        <f t="shared" si="46"/>
        <v>#DIV/0!</v>
      </c>
      <c r="AB231" t="e">
        <f t="shared" si="47"/>
        <v>#DIV/0!</v>
      </c>
      <c r="AC231" t="e">
        <f t="shared" si="48"/>
        <v>#DIV/0!</v>
      </c>
      <c r="AD231" t="e">
        <f t="shared" si="49"/>
        <v>#DIV/0!</v>
      </c>
      <c r="AE231" t="e">
        <f t="shared" si="50"/>
        <v>#DIV/0!</v>
      </c>
      <c r="AF231" t="e">
        <f t="shared" si="51"/>
        <v>#DIV/0!</v>
      </c>
      <c r="AG231" t="e">
        <f t="shared" si="52"/>
        <v>#DIV/0!</v>
      </c>
      <c r="AH231" t="e">
        <f t="shared" si="59"/>
        <v>#DIV/0!</v>
      </c>
      <c r="AI231" t="e">
        <f t="shared" si="53"/>
        <v>#DIV/0!</v>
      </c>
      <c r="AJ231">
        <f t="shared" si="54"/>
        <v>0</v>
      </c>
      <c r="AK231" t="e">
        <f t="shared" si="55"/>
        <v>#N/A</v>
      </c>
      <c r="AL231">
        <f t="shared" si="56"/>
        <v>0</v>
      </c>
      <c r="AM231" t="e">
        <f t="shared" si="57"/>
        <v>#N/A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1">
        <f t="shared" si="58"/>
        <v>1</v>
      </c>
    </row>
    <row r="232" spans="2:42" x14ac:dyDescent="0.35">
      <c r="B232" s="12" t="str">
        <f>Demand!C237</f>
        <v/>
      </c>
      <c r="C232" s="68" t="str">
        <f>Demand!D237</f>
        <v/>
      </c>
      <c r="D232" s="68" t="str">
        <f>Demand!E237</f>
        <v/>
      </c>
      <c r="E232" s="6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2" t="e">
        <f t="shared" si="45"/>
        <v>#DIV/0!</v>
      </c>
      <c r="AA232" t="e">
        <f t="shared" si="46"/>
        <v>#DIV/0!</v>
      </c>
      <c r="AB232" t="e">
        <f t="shared" si="47"/>
        <v>#DIV/0!</v>
      </c>
      <c r="AC232" t="e">
        <f t="shared" si="48"/>
        <v>#DIV/0!</v>
      </c>
      <c r="AD232" t="e">
        <f t="shared" si="49"/>
        <v>#DIV/0!</v>
      </c>
      <c r="AE232" t="e">
        <f t="shared" si="50"/>
        <v>#DIV/0!</v>
      </c>
      <c r="AF232" t="e">
        <f t="shared" si="51"/>
        <v>#DIV/0!</v>
      </c>
      <c r="AG232" t="e">
        <f t="shared" si="52"/>
        <v>#DIV/0!</v>
      </c>
      <c r="AH232" t="e">
        <f t="shared" si="59"/>
        <v>#DIV/0!</v>
      </c>
      <c r="AI232" t="e">
        <f t="shared" si="53"/>
        <v>#DIV/0!</v>
      </c>
      <c r="AJ232">
        <f t="shared" si="54"/>
        <v>0</v>
      </c>
      <c r="AK232" t="e">
        <f t="shared" si="55"/>
        <v>#N/A</v>
      </c>
      <c r="AL232">
        <f t="shared" si="56"/>
        <v>0</v>
      </c>
      <c r="AM232" t="e">
        <f t="shared" si="57"/>
        <v>#N/A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2">
        <f t="shared" si="58"/>
        <v>1</v>
      </c>
    </row>
    <row r="233" spans="2:42" x14ac:dyDescent="0.35">
      <c r="B233" s="12" t="str">
        <f>Demand!C238</f>
        <v/>
      </c>
      <c r="C233" s="68" t="str">
        <f>Demand!D238</f>
        <v/>
      </c>
      <c r="D233" s="68" t="str">
        <f>Demand!E238</f>
        <v/>
      </c>
      <c r="E233" s="6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3" t="e">
        <f t="shared" si="45"/>
        <v>#DIV/0!</v>
      </c>
      <c r="AA233" t="e">
        <f t="shared" si="46"/>
        <v>#DIV/0!</v>
      </c>
      <c r="AB233" t="e">
        <f t="shared" si="47"/>
        <v>#DIV/0!</v>
      </c>
      <c r="AC233" t="e">
        <f t="shared" si="48"/>
        <v>#DIV/0!</v>
      </c>
      <c r="AD233" t="e">
        <f t="shared" si="49"/>
        <v>#DIV/0!</v>
      </c>
      <c r="AE233" t="e">
        <f t="shared" si="50"/>
        <v>#DIV/0!</v>
      </c>
      <c r="AF233" t="e">
        <f t="shared" si="51"/>
        <v>#DIV/0!</v>
      </c>
      <c r="AG233" t="e">
        <f t="shared" si="52"/>
        <v>#DIV/0!</v>
      </c>
      <c r="AH233" t="e">
        <f t="shared" si="59"/>
        <v>#DIV/0!</v>
      </c>
      <c r="AI233" t="e">
        <f t="shared" si="53"/>
        <v>#DIV/0!</v>
      </c>
      <c r="AJ233">
        <f t="shared" si="54"/>
        <v>0</v>
      </c>
      <c r="AK233" t="e">
        <f t="shared" si="55"/>
        <v>#N/A</v>
      </c>
      <c r="AL233">
        <f t="shared" si="56"/>
        <v>0</v>
      </c>
      <c r="AM233" t="e">
        <f t="shared" si="57"/>
        <v>#N/A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3">
        <f t="shared" si="58"/>
        <v>1</v>
      </c>
    </row>
    <row r="234" spans="2:42" x14ac:dyDescent="0.35">
      <c r="B234" s="12" t="str">
        <f>Demand!C239</f>
        <v/>
      </c>
      <c r="C234" s="68" t="str">
        <f>Demand!D239</f>
        <v/>
      </c>
      <c r="D234" s="68" t="str">
        <f>Demand!E239</f>
        <v/>
      </c>
      <c r="E234" s="6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4" t="e">
        <f t="shared" si="45"/>
        <v>#DIV/0!</v>
      </c>
      <c r="AA234" t="e">
        <f t="shared" si="46"/>
        <v>#DIV/0!</v>
      </c>
      <c r="AB234" t="e">
        <f t="shared" si="47"/>
        <v>#DIV/0!</v>
      </c>
      <c r="AC234" t="e">
        <f t="shared" si="48"/>
        <v>#DIV/0!</v>
      </c>
      <c r="AD234" t="e">
        <f t="shared" si="49"/>
        <v>#DIV/0!</v>
      </c>
      <c r="AE234" t="e">
        <f t="shared" si="50"/>
        <v>#DIV/0!</v>
      </c>
      <c r="AF234" t="e">
        <f t="shared" si="51"/>
        <v>#DIV/0!</v>
      </c>
      <c r="AG234" t="e">
        <f t="shared" si="52"/>
        <v>#DIV/0!</v>
      </c>
      <c r="AH234" t="e">
        <f t="shared" si="59"/>
        <v>#DIV/0!</v>
      </c>
      <c r="AI234" t="e">
        <f t="shared" si="53"/>
        <v>#DIV/0!</v>
      </c>
      <c r="AJ234">
        <f t="shared" si="54"/>
        <v>0</v>
      </c>
      <c r="AK234" t="e">
        <f t="shared" si="55"/>
        <v>#N/A</v>
      </c>
      <c r="AL234">
        <f t="shared" si="56"/>
        <v>0</v>
      </c>
      <c r="AM234" t="e">
        <f t="shared" si="57"/>
        <v>#N/A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4">
        <f t="shared" si="58"/>
        <v>1</v>
      </c>
    </row>
    <row r="235" spans="2:42" x14ac:dyDescent="0.35">
      <c r="B235" s="12" t="str">
        <f>Demand!C240</f>
        <v/>
      </c>
      <c r="C235" s="68" t="str">
        <f>Demand!D240</f>
        <v/>
      </c>
      <c r="D235" s="68" t="str">
        <f>Demand!E240</f>
        <v/>
      </c>
      <c r="E235" s="6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5" t="e">
        <f t="shared" si="45"/>
        <v>#DIV/0!</v>
      </c>
      <c r="AA235" t="e">
        <f t="shared" si="46"/>
        <v>#DIV/0!</v>
      </c>
      <c r="AB235" t="e">
        <f t="shared" si="47"/>
        <v>#DIV/0!</v>
      </c>
      <c r="AC235" t="e">
        <f t="shared" si="48"/>
        <v>#DIV/0!</v>
      </c>
      <c r="AD235" t="e">
        <f t="shared" si="49"/>
        <v>#DIV/0!</v>
      </c>
      <c r="AE235" t="e">
        <f t="shared" si="50"/>
        <v>#DIV/0!</v>
      </c>
      <c r="AF235" t="e">
        <f t="shared" si="51"/>
        <v>#DIV/0!</v>
      </c>
      <c r="AG235" t="e">
        <f t="shared" si="52"/>
        <v>#DIV/0!</v>
      </c>
      <c r="AH235" t="e">
        <f t="shared" si="59"/>
        <v>#DIV/0!</v>
      </c>
      <c r="AI235" t="e">
        <f t="shared" si="53"/>
        <v>#DIV/0!</v>
      </c>
      <c r="AJ235">
        <f t="shared" si="54"/>
        <v>0</v>
      </c>
      <c r="AK235" t="e">
        <f t="shared" si="55"/>
        <v>#N/A</v>
      </c>
      <c r="AL235">
        <f t="shared" si="56"/>
        <v>0</v>
      </c>
      <c r="AM235" t="e">
        <f t="shared" si="57"/>
        <v>#N/A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5">
        <f t="shared" si="58"/>
        <v>1</v>
      </c>
    </row>
    <row r="236" spans="2:42" x14ac:dyDescent="0.35">
      <c r="B236" s="12" t="str">
        <f>Demand!C241</f>
        <v/>
      </c>
      <c r="C236" s="68" t="str">
        <f>Demand!D241</f>
        <v/>
      </c>
      <c r="D236" s="68" t="str">
        <f>Demand!E241</f>
        <v/>
      </c>
      <c r="E236" s="6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6" t="e">
        <f t="shared" si="45"/>
        <v>#DIV/0!</v>
      </c>
      <c r="AA236" t="e">
        <f t="shared" si="46"/>
        <v>#DIV/0!</v>
      </c>
      <c r="AB236" t="e">
        <f t="shared" si="47"/>
        <v>#DIV/0!</v>
      </c>
      <c r="AC236" t="e">
        <f t="shared" si="48"/>
        <v>#DIV/0!</v>
      </c>
      <c r="AD236" t="e">
        <f t="shared" si="49"/>
        <v>#DIV/0!</v>
      </c>
      <c r="AE236" t="e">
        <f t="shared" si="50"/>
        <v>#DIV/0!</v>
      </c>
      <c r="AF236" t="e">
        <f t="shared" si="51"/>
        <v>#DIV/0!</v>
      </c>
      <c r="AG236" t="e">
        <f t="shared" si="52"/>
        <v>#DIV/0!</v>
      </c>
      <c r="AH236" t="e">
        <f t="shared" si="59"/>
        <v>#DIV/0!</v>
      </c>
      <c r="AI236" t="e">
        <f t="shared" si="53"/>
        <v>#DIV/0!</v>
      </c>
      <c r="AJ236">
        <f t="shared" si="54"/>
        <v>0</v>
      </c>
      <c r="AK236" t="e">
        <f t="shared" si="55"/>
        <v>#N/A</v>
      </c>
      <c r="AL236">
        <f t="shared" si="56"/>
        <v>0</v>
      </c>
      <c r="AM236" t="e">
        <f t="shared" si="57"/>
        <v>#N/A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6">
        <f t="shared" si="58"/>
        <v>1</v>
      </c>
    </row>
    <row r="237" spans="2:42" x14ac:dyDescent="0.35">
      <c r="B237" s="12" t="str">
        <f>Demand!C242</f>
        <v/>
      </c>
      <c r="C237" s="68" t="str">
        <f>Demand!D242</f>
        <v/>
      </c>
      <c r="D237" s="68" t="str">
        <f>Demand!E242</f>
        <v/>
      </c>
      <c r="E237" s="6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7" t="e">
        <f t="shared" si="45"/>
        <v>#DIV/0!</v>
      </c>
      <c r="AA237" t="e">
        <f t="shared" si="46"/>
        <v>#DIV/0!</v>
      </c>
      <c r="AB237" t="e">
        <f t="shared" si="47"/>
        <v>#DIV/0!</v>
      </c>
      <c r="AC237" t="e">
        <f t="shared" si="48"/>
        <v>#DIV/0!</v>
      </c>
      <c r="AD237" t="e">
        <f t="shared" si="49"/>
        <v>#DIV/0!</v>
      </c>
      <c r="AE237" t="e">
        <f t="shared" si="50"/>
        <v>#DIV/0!</v>
      </c>
      <c r="AF237" t="e">
        <f t="shared" si="51"/>
        <v>#DIV/0!</v>
      </c>
      <c r="AG237" t="e">
        <f t="shared" si="52"/>
        <v>#DIV/0!</v>
      </c>
      <c r="AH237" t="e">
        <f t="shared" si="59"/>
        <v>#DIV/0!</v>
      </c>
      <c r="AI237" t="e">
        <f t="shared" si="53"/>
        <v>#DIV/0!</v>
      </c>
      <c r="AJ237">
        <f t="shared" si="54"/>
        <v>0</v>
      </c>
      <c r="AK237" t="e">
        <f t="shared" si="55"/>
        <v>#N/A</v>
      </c>
      <c r="AL237">
        <f t="shared" si="56"/>
        <v>0</v>
      </c>
      <c r="AM237" t="e">
        <f t="shared" si="57"/>
        <v>#N/A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7">
        <f t="shared" si="58"/>
        <v>1</v>
      </c>
    </row>
    <row r="238" spans="2:42" x14ac:dyDescent="0.35">
      <c r="B238" s="12" t="str">
        <f>Demand!C243</f>
        <v/>
      </c>
      <c r="C238" s="68" t="str">
        <f>Demand!D243</f>
        <v/>
      </c>
      <c r="D238" s="68" t="str">
        <f>Demand!E243</f>
        <v/>
      </c>
      <c r="E238" s="6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8" t="e">
        <f t="shared" si="45"/>
        <v>#DIV/0!</v>
      </c>
      <c r="AA238" t="e">
        <f t="shared" si="46"/>
        <v>#DIV/0!</v>
      </c>
      <c r="AB238" t="e">
        <f t="shared" si="47"/>
        <v>#DIV/0!</v>
      </c>
      <c r="AC238" t="e">
        <f t="shared" si="48"/>
        <v>#DIV/0!</v>
      </c>
      <c r="AD238" t="e">
        <f t="shared" si="49"/>
        <v>#DIV/0!</v>
      </c>
      <c r="AE238" t="e">
        <f t="shared" si="50"/>
        <v>#DIV/0!</v>
      </c>
      <c r="AF238" t="e">
        <f t="shared" si="51"/>
        <v>#DIV/0!</v>
      </c>
      <c r="AG238" t="e">
        <f t="shared" si="52"/>
        <v>#DIV/0!</v>
      </c>
      <c r="AH238" t="e">
        <f t="shared" si="59"/>
        <v>#DIV/0!</v>
      </c>
      <c r="AI238" t="e">
        <f t="shared" si="53"/>
        <v>#DIV/0!</v>
      </c>
      <c r="AJ238">
        <f t="shared" si="54"/>
        <v>0</v>
      </c>
      <c r="AK238" t="e">
        <f t="shared" si="55"/>
        <v>#N/A</v>
      </c>
      <c r="AL238">
        <f t="shared" si="56"/>
        <v>0</v>
      </c>
      <c r="AM238" t="e">
        <f t="shared" si="57"/>
        <v>#N/A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8">
        <f t="shared" si="58"/>
        <v>1</v>
      </c>
    </row>
    <row r="239" spans="2:42" x14ac:dyDescent="0.35">
      <c r="B239" s="12" t="str">
        <f>Demand!C244</f>
        <v/>
      </c>
      <c r="C239" s="68" t="str">
        <f>Demand!D244</f>
        <v/>
      </c>
      <c r="D239" s="68" t="str">
        <f>Demand!E244</f>
        <v/>
      </c>
      <c r="E239" s="6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9" t="e">
        <f t="shared" si="45"/>
        <v>#DIV/0!</v>
      </c>
      <c r="AA239" t="e">
        <f t="shared" si="46"/>
        <v>#DIV/0!</v>
      </c>
      <c r="AB239" t="e">
        <f t="shared" si="47"/>
        <v>#DIV/0!</v>
      </c>
      <c r="AC239" t="e">
        <f t="shared" si="48"/>
        <v>#DIV/0!</v>
      </c>
      <c r="AD239" t="e">
        <f t="shared" si="49"/>
        <v>#DIV/0!</v>
      </c>
      <c r="AE239" t="e">
        <f t="shared" si="50"/>
        <v>#DIV/0!</v>
      </c>
      <c r="AF239" t="e">
        <f t="shared" si="51"/>
        <v>#DIV/0!</v>
      </c>
      <c r="AG239" t="e">
        <f t="shared" si="52"/>
        <v>#DIV/0!</v>
      </c>
      <c r="AH239" t="e">
        <f t="shared" si="59"/>
        <v>#DIV/0!</v>
      </c>
      <c r="AI239" t="e">
        <f t="shared" si="53"/>
        <v>#DIV/0!</v>
      </c>
      <c r="AJ239">
        <f t="shared" si="54"/>
        <v>0</v>
      </c>
      <c r="AK239" t="e">
        <f t="shared" si="55"/>
        <v>#N/A</v>
      </c>
      <c r="AL239">
        <f t="shared" si="56"/>
        <v>0</v>
      </c>
      <c r="AM239" t="e">
        <f t="shared" si="57"/>
        <v>#N/A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9">
        <f t="shared" si="58"/>
        <v>1</v>
      </c>
    </row>
    <row r="240" spans="2:42" x14ac:dyDescent="0.35">
      <c r="B240" s="12" t="str">
        <f>Demand!C245</f>
        <v/>
      </c>
      <c r="C240" s="68" t="str">
        <f>Demand!D245</f>
        <v/>
      </c>
      <c r="D240" s="68" t="str">
        <f>Demand!E245</f>
        <v/>
      </c>
      <c r="E240" s="6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0" t="e">
        <f t="shared" si="45"/>
        <v>#DIV/0!</v>
      </c>
      <c r="AA240" t="e">
        <f t="shared" si="46"/>
        <v>#DIV/0!</v>
      </c>
      <c r="AB240" t="e">
        <f t="shared" si="47"/>
        <v>#DIV/0!</v>
      </c>
      <c r="AC240" t="e">
        <f t="shared" si="48"/>
        <v>#DIV/0!</v>
      </c>
      <c r="AD240" t="e">
        <f t="shared" si="49"/>
        <v>#DIV/0!</v>
      </c>
      <c r="AE240" t="e">
        <f t="shared" si="50"/>
        <v>#DIV/0!</v>
      </c>
      <c r="AF240" t="e">
        <f t="shared" si="51"/>
        <v>#DIV/0!</v>
      </c>
      <c r="AG240" t="e">
        <f t="shared" si="52"/>
        <v>#DIV/0!</v>
      </c>
      <c r="AH240" t="e">
        <f t="shared" si="59"/>
        <v>#DIV/0!</v>
      </c>
      <c r="AI240" t="e">
        <f t="shared" si="53"/>
        <v>#DIV/0!</v>
      </c>
      <c r="AJ240">
        <f t="shared" si="54"/>
        <v>0</v>
      </c>
      <c r="AK240" t="e">
        <f t="shared" si="55"/>
        <v>#N/A</v>
      </c>
      <c r="AL240">
        <f t="shared" si="56"/>
        <v>0</v>
      </c>
      <c r="AM240" t="e">
        <f t="shared" si="57"/>
        <v>#N/A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0">
        <f t="shared" si="58"/>
        <v>1</v>
      </c>
    </row>
    <row r="241" spans="2:42" x14ac:dyDescent="0.35">
      <c r="B241" s="12" t="str">
        <f>Demand!C246</f>
        <v/>
      </c>
      <c r="C241" s="68" t="str">
        <f>Demand!D246</f>
        <v/>
      </c>
      <c r="D241" s="68" t="str">
        <f>Demand!E246</f>
        <v/>
      </c>
      <c r="E241" s="6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1" t="e">
        <f t="shared" si="45"/>
        <v>#DIV/0!</v>
      </c>
      <c r="AA241" t="e">
        <f t="shared" si="46"/>
        <v>#DIV/0!</v>
      </c>
      <c r="AB241" t="e">
        <f t="shared" si="47"/>
        <v>#DIV/0!</v>
      </c>
      <c r="AC241" t="e">
        <f t="shared" si="48"/>
        <v>#DIV/0!</v>
      </c>
      <c r="AD241" t="e">
        <f t="shared" si="49"/>
        <v>#DIV/0!</v>
      </c>
      <c r="AE241" t="e">
        <f t="shared" si="50"/>
        <v>#DIV/0!</v>
      </c>
      <c r="AF241" t="e">
        <f t="shared" si="51"/>
        <v>#DIV/0!</v>
      </c>
      <c r="AG241" t="e">
        <f t="shared" si="52"/>
        <v>#DIV/0!</v>
      </c>
      <c r="AH241" t="e">
        <f t="shared" si="59"/>
        <v>#DIV/0!</v>
      </c>
      <c r="AI241" t="e">
        <f t="shared" si="53"/>
        <v>#DIV/0!</v>
      </c>
      <c r="AJ241">
        <f t="shared" si="54"/>
        <v>0</v>
      </c>
      <c r="AK241" t="e">
        <f t="shared" si="55"/>
        <v>#N/A</v>
      </c>
      <c r="AL241">
        <f t="shared" si="56"/>
        <v>0</v>
      </c>
      <c r="AM241" t="e">
        <f t="shared" si="57"/>
        <v>#N/A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1">
        <f t="shared" si="58"/>
        <v>1</v>
      </c>
    </row>
    <row r="242" spans="2:42" x14ac:dyDescent="0.35">
      <c r="B242" s="12" t="str">
        <f>Demand!C247</f>
        <v/>
      </c>
      <c r="C242" s="68" t="str">
        <f>Demand!D247</f>
        <v/>
      </c>
      <c r="D242" s="68" t="str">
        <f>Demand!E247</f>
        <v/>
      </c>
      <c r="E242" s="6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2" t="e">
        <f t="shared" si="45"/>
        <v>#DIV/0!</v>
      </c>
      <c r="AA242" t="e">
        <f t="shared" si="46"/>
        <v>#DIV/0!</v>
      </c>
      <c r="AB242" t="e">
        <f t="shared" si="47"/>
        <v>#DIV/0!</v>
      </c>
      <c r="AC242" t="e">
        <f t="shared" si="48"/>
        <v>#DIV/0!</v>
      </c>
      <c r="AD242" t="e">
        <f t="shared" si="49"/>
        <v>#DIV/0!</v>
      </c>
      <c r="AE242" t="e">
        <f t="shared" si="50"/>
        <v>#DIV/0!</v>
      </c>
      <c r="AF242" t="e">
        <f t="shared" si="51"/>
        <v>#DIV/0!</v>
      </c>
      <c r="AG242" t="e">
        <f t="shared" si="52"/>
        <v>#DIV/0!</v>
      </c>
      <c r="AH242" t="e">
        <f t="shared" si="59"/>
        <v>#DIV/0!</v>
      </c>
      <c r="AI242" t="e">
        <f t="shared" si="53"/>
        <v>#DIV/0!</v>
      </c>
      <c r="AJ242">
        <f t="shared" si="54"/>
        <v>0</v>
      </c>
      <c r="AK242" t="e">
        <f t="shared" si="55"/>
        <v>#N/A</v>
      </c>
      <c r="AL242">
        <f t="shared" si="56"/>
        <v>0</v>
      </c>
      <c r="AM242" t="e">
        <f t="shared" si="57"/>
        <v>#N/A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2">
        <f t="shared" si="58"/>
        <v>1</v>
      </c>
    </row>
    <row r="243" spans="2:42" x14ac:dyDescent="0.35">
      <c r="B243" s="12" t="str">
        <f>Demand!C248</f>
        <v/>
      </c>
      <c r="C243" s="68" t="str">
        <f>Demand!D248</f>
        <v/>
      </c>
      <c r="D243" s="68" t="str">
        <f>Demand!E248</f>
        <v/>
      </c>
      <c r="E243" s="6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3" t="e">
        <f t="shared" si="45"/>
        <v>#DIV/0!</v>
      </c>
      <c r="AA243" t="e">
        <f t="shared" si="46"/>
        <v>#DIV/0!</v>
      </c>
      <c r="AB243" t="e">
        <f t="shared" si="47"/>
        <v>#DIV/0!</v>
      </c>
      <c r="AC243" t="e">
        <f t="shared" si="48"/>
        <v>#DIV/0!</v>
      </c>
      <c r="AD243" t="e">
        <f t="shared" si="49"/>
        <v>#DIV/0!</v>
      </c>
      <c r="AE243" t="e">
        <f t="shared" si="50"/>
        <v>#DIV/0!</v>
      </c>
      <c r="AF243" t="e">
        <f t="shared" si="51"/>
        <v>#DIV/0!</v>
      </c>
      <c r="AG243" t="e">
        <f t="shared" si="52"/>
        <v>#DIV/0!</v>
      </c>
      <c r="AH243" t="e">
        <f t="shared" si="59"/>
        <v>#DIV/0!</v>
      </c>
      <c r="AI243" t="e">
        <f t="shared" si="53"/>
        <v>#DIV/0!</v>
      </c>
      <c r="AJ243">
        <f t="shared" si="54"/>
        <v>0</v>
      </c>
      <c r="AK243" t="e">
        <f t="shared" si="55"/>
        <v>#N/A</v>
      </c>
      <c r="AL243">
        <f t="shared" si="56"/>
        <v>0</v>
      </c>
      <c r="AM243" t="e">
        <f t="shared" si="57"/>
        <v>#N/A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3">
        <f t="shared" si="58"/>
        <v>1</v>
      </c>
    </row>
    <row r="244" spans="2:42" x14ac:dyDescent="0.35">
      <c r="B244" s="12" t="str">
        <f>Demand!C249</f>
        <v/>
      </c>
      <c r="C244" s="68" t="str">
        <f>Demand!D249</f>
        <v/>
      </c>
      <c r="D244" s="68" t="str">
        <f>Demand!E249</f>
        <v/>
      </c>
      <c r="E244" s="6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4" t="e">
        <f t="shared" si="45"/>
        <v>#DIV/0!</v>
      </c>
      <c r="AA244" t="e">
        <f t="shared" si="46"/>
        <v>#DIV/0!</v>
      </c>
      <c r="AB244" t="e">
        <f t="shared" si="47"/>
        <v>#DIV/0!</v>
      </c>
      <c r="AC244" t="e">
        <f t="shared" si="48"/>
        <v>#DIV/0!</v>
      </c>
      <c r="AD244" t="e">
        <f t="shared" si="49"/>
        <v>#DIV/0!</v>
      </c>
      <c r="AE244" t="e">
        <f t="shared" si="50"/>
        <v>#DIV/0!</v>
      </c>
      <c r="AF244" t="e">
        <f t="shared" si="51"/>
        <v>#DIV/0!</v>
      </c>
      <c r="AG244" t="e">
        <f t="shared" si="52"/>
        <v>#DIV/0!</v>
      </c>
      <c r="AH244" t="e">
        <f t="shared" si="59"/>
        <v>#DIV/0!</v>
      </c>
      <c r="AI244" t="e">
        <f t="shared" si="53"/>
        <v>#DIV/0!</v>
      </c>
      <c r="AJ244">
        <f t="shared" si="54"/>
        <v>0</v>
      </c>
      <c r="AK244" t="e">
        <f t="shared" si="55"/>
        <v>#N/A</v>
      </c>
      <c r="AL244">
        <f t="shared" si="56"/>
        <v>0</v>
      </c>
      <c r="AM244" t="e">
        <f t="shared" si="57"/>
        <v>#N/A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4">
        <f t="shared" si="58"/>
        <v>1</v>
      </c>
    </row>
    <row r="245" spans="2:42" x14ac:dyDescent="0.35">
      <c r="B245" s="12" t="str">
        <f>Demand!C250</f>
        <v/>
      </c>
      <c r="C245" s="68" t="str">
        <f>Demand!D250</f>
        <v/>
      </c>
      <c r="D245" s="68" t="str">
        <f>Demand!E250</f>
        <v/>
      </c>
      <c r="E245" s="6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5" t="e">
        <f t="shared" si="45"/>
        <v>#DIV/0!</v>
      </c>
      <c r="AA245" t="e">
        <f t="shared" si="46"/>
        <v>#DIV/0!</v>
      </c>
      <c r="AB245" t="e">
        <f t="shared" si="47"/>
        <v>#DIV/0!</v>
      </c>
      <c r="AC245" t="e">
        <f t="shared" si="48"/>
        <v>#DIV/0!</v>
      </c>
      <c r="AD245" t="e">
        <f t="shared" si="49"/>
        <v>#DIV/0!</v>
      </c>
      <c r="AE245" t="e">
        <f t="shared" si="50"/>
        <v>#DIV/0!</v>
      </c>
      <c r="AF245" t="e">
        <f t="shared" si="51"/>
        <v>#DIV/0!</v>
      </c>
      <c r="AG245" t="e">
        <f t="shared" si="52"/>
        <v>#DIV/0!</v>
      </c>
      <c r="AH245" t="e">
        <f t="shared" si="59"/>
        <v>#DIV/0!</v>
      </c>
      <c r="AI245" t="e">
        <f t="shared" si="53"/>
        <v>#DIV/0!</v>
      </c>
      <c r="AJ245">
        <f t="shared" si="54"/>
        <v>0</v>
      </c>
      <c r="AK245" t="e">
        <f t="shared" si="55"/>
        <v>#N/A</v>
      </c>
      <c r="AL245">
        <f t="shared" si="56"/>
        <v>0</v>
      </c>
      <c r="AM245" t="e">
        <f t="shared" si="57"/>
        <v>#N/A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5">
        <f t="shared" si="58"/>
        <v>1</v>
      </c>
    </row>
    <row r="246" spans="2:42" x14ac:dyDescent="0.35">
      <c r="B246" s="12" t="str">
        <f>Demand!C251</f>
        <v/>
      </c>
      <c r="C246" s="68" t="str">
        <f>Demand!D251</f>
        <v/>
      </c>
      <c r="D246" s="68" t="str">
        <f>Demand!E251</f>
        <v/>
      </c>
      <c r="E246" s="6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6" t="e">
        <f t="shared" si="45"/>
        <v>#DIV/0!</v>
      </c>
      <c r="AA246" t="e">
        <f t="shared" si="46"/>
        <v>#DIV/0!</v>
      </c>
      <c r="AB246" t="e">
        <f t="shared" si="47"/>
        <v>#DIV/0!</v>
      </c>
      <c r="AC246" t="e">
        <f t="shared" si="48"/>
        <v>#DIV/0!</v>
      </c>
      <c r="AD246" t="e">
        <f t="shared" si="49"/>
        <v>#DIV/0!</v>
      </c>
      <c r="AE246" t="e">
        <f t="shared" si="50"/>
        <v>#DIV/0!</v>
      </c>
      <c r="AF246" t="e">
        <f t="shared" si="51"/>
        <v>#DIV/0!</v>
      </c>
      <c r="AG246" t="e">
        <f t="shared" si="52"/>
        <v>#DIV/0!</v>
      </c>
      <c r="AH246" t="e">
        <f t="shared" si="59"/>
        <v>#DIV/0!</v>
      </c>
      <c r="AI246" t="e">
        <f t="shared" si="53"/>
        <v>#DIV/0!</v>
      </c>
      <c r="AJ246">
        <f t="shared" si="54"/>
        <v>0</v>
      </c>
      <c r="AK246" t="e">
        <f t="shared" si="55"/>
        <v>#N/A</v>
      </c>
      <c r="AL246">
        <f t="shared" si="56"/>
        <v>0</v>
      </c>
      <c r="AM246" t="e">
        <f t="shared" si="57"/>
        <v>#N/A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6">
        <f t="shared" si="58"/>
        <v>1</v>
      </c>
    </row>
    <row r="247" spans="2:42" x14ac:dyDescent="0.35">
      <c r="B247" s="12" t="str">
        <f>Demand!C252</f>
        <v/>
      </c>
      <c r="C247" s="68" t="str">
        <f>Demand!D252</f>
        <v/>
      </c>
      <c r="D247" s="68" t="str">
        <f>Demand!E252</f>
        <v/>
      </c>
      <c r="E247" s="6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7" t="e">
        <f t="shared" si="45"/>
        <v>#DIV/0!</v>
      </c>
      <c r="AA247" t="e">
        <f t="shared" si="46"/>
        <v>#DIV/0!</v>
      </c>
      <c r="AB247" t="e">
        <f t="shared" si="47"/>
        <v>#DIV/0!</v>
      </c>
      <c r="AC247" t="e">
        <f t="shared" si="48"/>
        <v>#DIV/0!</v>
      </c>
      <c r="AD247" t="e">
        <f t="shared" si="49"/>
        <v>#DIV/0!</v>
      </c>
      <c r="AE247" t="e">
        <f t="shared" si="50"/>
        <v>#DIV/0!</v>
      </c>
      <c r="AF247" t="e">
        <f t="shared" si="51"/>
        <v>#DIV/0!</v>
      </c>
      <c r="AG247" t="e">
        <f t="shared" si="52"/>
        <v>#DIV/0!</v>
      </c>
      <c r="AH247" t="e">
        <f t="shared" si="59"/>
        <v>#DIV/0!</v>
      </c>
      <c r="AI247" t="e">
        <f t="shared" si="53"/>
        <v>#DIV/0!</v>
      </c>
      <c r="AJ247">
        <f t="shared" si="54"/>
        <v>0</v>
      </c>
      <c r="AK247" t="e">
        <f t="shared" si="55"/>
        <v>#N/A</v>
      </c>
      <c r="AL247">
        <f t="shared" si="56"/>
        <v>0</v>
      </c>
      <c r="AM247" t="e">
        <f t="shared" si="57"/>
        <v>#N/A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7">
        <f t="shared" si="58"/>
        <v>1</v>
      </c>
    </row>
    <row r="248" spans="2:42" x14ac:dyDescent="0.35">
      <c r="B248" s="12" t="str">
        <f>Demand!C253</f>
        <v/>
      </c>
      <c r="C248" s="68" t="str">
        <f>Demand!D253</f>
        <v/>
      </c>
      <c r="D248" s="68" t="str">
        <f>Demand!E253</f>
        <v/>
      </c>
      <c r="E248" s="6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8" t="e">
        <f t="shared" si="45"/>
        <v>#DIV/0!</v>
      </c>
      <c r="AA248" t="e">
        <f t="shared" si="46"/>
        <v>#DIV/0!</v>
      </c>
      <c r="AB248" t="e">
        <f t="shared" si="47"/>
        <v>#DIV/0!</v>
      </c>
      <c r="AC248" t="e">
        <f t="shared" si="48"/>
        <v>#DIV/0!</v>
      </c>
      <c r="AD248" t="e">
        <f t="shared" si="49"/>
        <v>#DIV/0!</v>
      </c>
      <c r="AE248" t="e">
        <f t="shared" si="50"/>
        <v>#DIV/0!</v>
      </c>
      <c r="AF248" t="e">
        <f t="shared" si="51"/>
        <v>#DIV/0!</v>
      </c>
      <c r="AG248" t="e">
        <f t="shared" si="52"/>
        <v>#DIV/0!</v>
      </c>
      <c r="AH248" t="e">
        <f t="shared" si="59"/>
        <v>#DIV/0!</v>
      </c>
      <c r="AI248" t="e">
        <f t="shared" si="53"/>
        <v>#DIV/0!</v>
      </c>
      <c r="AJ248">
        <f t="shared" si="54"/>
        <v>0</v>
      </c>
      <c r="AK248" t="e">
        <f t="shared" si="55"/>
        <v>#N/A</v>
      </c>
      <c r="AL248">
        <f t="shared" si="56"/>
        <v>0</v>
      </c>
      <c r="AM248" t="e">
        <f t="shared" si="57"/>
        <v>#N/A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8">
        <f t="shared" si="58"/>
        <v>1</v>
      </c>
    </row>
    <row r="249" spans="2:42" x14ac:dyDescent="0.35">
      <c r="B249" s="12" t="str">
        <f>Demand!C254</f>
        <v/>
      </c>
      <c r="C249" s="68" t="str">
        <f>Demand!D254</f>
        <v/>
      </c>
      <c r="D249" s="68" t="str">
        <f>Demand!E254</f>
        <v/>
      </c>
      <c r="E249" s="6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9" t="e">
        <f t="shared" si="45"/>
        <v>#DIV/0!</v>
      </c>
      <c r="AA249" t="e">
        <f t="shared" si="46"/>
        <v>#DIV/0!</v>
      </c>
      <c r="AB249" t="e">
        <f t="shared" si="47"/>
        <v>#DIV/0!</v>
      </c>
      <c r="AC249" t="e">
        <f t="shared" si="48"/>
        <v>#DIV/0!</v>
      </c>
      <c r="AD249" t="e">
        <f t="shared" si="49"/>
        <v>#DIV/0!</v>
      </c>
      <c r="AE249" t="e">
        <f t="shared" si="50"/>
        <v>#DIV/0!</v>
      </c>
      <c r="AF249" t="e">
        <f t="shared" si="51"/>
        <v>#DIV/0!</v>
      </c>
      <c r="AG249" t="e">
        <f t="shared" si="52"/>
        <v>#DIV/0!</v>
      </c>
      <c r="AH249" t="e">
        <f t="shared" si="59"/>
        <v>#DIV/0!</v>
      </c>
      <c r="AI249" t="e">
        <f t="shared" si="53"/>
        <v>#DIV/0!</v>
      </c>
      <c r="AJ249">
        <f t="shared" si="54"/>
        <v>0</v>
      </c>
      <c r="AK249" t="e">
        <f t="shared" si="55"/>
        <v>#N/A</v>
      </c>
      <c r="AL249">
        <f t="shared" si="56"/>
        <v>0</v>
      </c>
      <c r="AM249" t="e">
        <f t="shared" si="57"/>
        <v>#N/A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9">
        <f t="shared" si="58"/>
        <v>1</v>
      </c>
    </row>
    <row r="250" spans="2:42" x14ac:dyDescent="0.35">
      <c r="B250" s="12" t="str">
        <f>Demand!C255</f>
        <v/>
      </c>
      <c r="C250" s="68" t="str">
        <f>Demand!D255</f>
        <v/>
      </c>
      <c r="D250" s="68" t="str">
        <f>Demand!E255</f>
        <v/>
      </c>
      <c r="E250" s="6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0" t="e">
        <f t="shared" si="45"/>
        <v>#DIV/0!</v>
      </c>
      <c r="AA250" t="e">
        <f t="shared" si="46"/>
        <v>#DIV/0!</v>
      </c>
      <c r="AB250" t="e">
        <f t="shared" si="47"/>
        <v>#DIV/0!</v>
      </c>
      <c r="AC250" t="e">
        <f t="shared" si="48"/>
        <v>#DIV/0!</v>
      </c>
      <c r="AD250" t="e">
        <f t="shared" si="49"/>
        <v>#DIV/0!</v>
      </c>
      <c r="AE250" t="e">
        <f t="shared" si="50"/>
        <v>#DIV/0!</v>
      </c>
      <c r="AF250" t="e">
        <f t="shared" si="51"/>
        <v>#DIV/0!</v>
      </c>
      <c r="AG250" t="e">
        <f t="shared" si="52"/>
        <v>#DIV/0!</v>
      </c>
      <c r="AH250" t="e">
        <f t="shared" si="59"/>
        <v>#DIV/0!</v>
      </c>
      <c r="AI250" t="e">
        <f t="shared" si="53"/>
        <v>#DIV/0!</v>
      </c>
      <c r="AJ250">
        <f t="shared" si="54"/>
        <v>0</v>
      </c>
      <c r="AK250" t="e">
        <f t="shared" si="55"/>
        <v>#N/A</v>
      </c>
      <c r="AL250">
        <f t="shared" si="56"/>
        <v>0</v>
      </c>
      <c r="AM250" t="e">
        <f t="shared" si="57"/>
        <v>#N/A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0">
        <f t="shared" si="58"/>
        <v>1</v>
      </c>
    </row>
    <row r="251" spans="2:42" x14ac:dyDescent="0.35">
      <c r="B251" s="12" t="str">
        <f>Demand!C256</f>
        <v/>
      </c>
      <c r="C251" s="68" t="str">
        <f>Demand!D256</f>
        <v/>
      </c>
      <c r="D251" s="68" t="str">
        <f>Demand!E256</f>
        <v/>
      </c>
      <c r="E251" s="6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1" t="e">
        <f t="shared" si="45"/>
        <v>#DIV/0!</v>
      </c>
      <c r="AA251" t="e">
        <f t="shared" si="46"/>
        <v>#DIV/0!</v>
      </c>
      <c r="AB251" t="e">
        <f t="shared" si="47"/>
        <v>#DIV/0!</v>
      </c>
      <c r="AC251" t="e">
        <f t="shared" si="48"/>
        <v>#DIV/0!</v>
      </c>
      <c r="AD251" t="e">
        <f t="shared" si="49"/>
        <v>#DIV/0!</v>
      </c>
      <c r="AE251" t="e">
        <f t="shared" si="50"/>
        <v>#DIV/0!</v>
      </c>
      <c r="AF251" t="e">
        <f t="shared" si="51"/>
        <v>#DIV/0!</v>
      </c>
      <c r="AG251" t="e">
        <f t="shared" si="52"/>
        <v>#DIV/0!</v>
      </c>
      <c r="AH251" t="e">
        <f t="shared" si="59"/>
        <v>#DIV/0!</v>
      </c>
      <c r="AI251" t="e">
        <f t="shared" si="53"/>
        <v>#DIV/0!</v>
      </c>
      <c r="AJ251">
        <f t="shared" si="54"/>
        <v>0</v>
      </c>
      <c r="AK251" t="e">
        <f t="shared" si="55"/>
        <v>#N/A</v>
      </c>
      <c r="AL251">
        <f t="shared" si="56"/>
        <v>0</v>
      </c>
      <c r="AM251" t="e">
        <f t="shared" si="57"/>
        <v>#N/A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1">
        <f t="shared" si="58"/>
        <v>1</v>
      </c>
    </row>
    <row r="252" spans="2:42" x14ac:dyDescent="0.35">
      <c r="B252" s="12" t="str">
        <f>Demand!C257</f>
        <v/>
      </c>
      <c r="C252" s="68" t="str">
        <f>Demand!D257</f>
        <v/>
      </c>
      <c r="D252" s="68" t="str">
        <f>Demand!E257</f>
        <v/>
      </c>
      <c r="E252" s="6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2" t="e">
        <f t="shared" si="45"/>
        <v>#DIV/0!</v>
      </c>
      <c r="AA252" t="e">
        <f t="shared" si="46"/>
        <v>#DIV/0!</v>
      </c>
      <c r="AB252" t="e">
        <f t="shared" si="47"/>
        <v>#DIV/0!</v>
      </c>
      <c r="AC252" t="e">
        <f t="shared" si="48"/>
        <v>#DIV/0!</v>
      </c>
      <c r="AD252" t="e">
        <f t="shared" si="49"/>
        <v>#DIV/0!</v>
      </c>
      <c r="AE252" t="e">
        <f t="shared" si="50"/>
        <v>#DIV/0!</v>
      </c>
      <c r="AF252" t="e">
        <f t="shared" si="51"/>
        <v>#DIV/0!</v>
      </c>
      <c r="AG252" t="e">
        <f t="shared" si="52"/>
        <v>#DIV/0!</v>
      </c>
      <c r="AH252" t="e">
        <f t="shared" si="59"/>
        <v>#DIV/0!</v>
      </c>
      <c r="AI252" t="e">
        <f t="shared" si="53"/>
        <v>#DIV/0!</v>
      </c>
      <c r="AJ252">
        <f t="shared" si="54"/>
        <v>0</v>
      </c>
      <c r="AK252" t="e">
        <f t="shared" si="55"/>
        <v>#N/A</v>
      </c>
      <c r="AL252">
        <f t="shared" si="56"/>
        <v>0</v>
      </c>
      <c r="AM252" t="e">
        <f t="shared" si="57"/>
        <v>#N/A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2">
        <f t="shared" si="58"/>
        <v>1</v>
      </c>
    </row>
    <row r="253" spans="2:42" x14ac:dyDescent="0.35">
      <c r="B253" s="12" t="str">
        <f>Demand!C258</f>
        <v/>
      </c>
      <c r="C253" s="68" t="str">
        <f>Demand!D258</f>
        <v/>
      </c>
      <c r="D253" s="68" t="str">
        <f>Demand!E258</f>
        <v/>
      </c>
      <c r="E253" s="6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3" t="e">
        <f t="shared" si="45"/>
        <v>#DIV/0!</v>
      </c>
      <c r="AA253" t="e">
        <f t="shared" si="46"/>
        <v>#DIV/0!</v>
      </c>
      <c r="AB253" t="e">
        <f t="shared" si="47"/>
        <v>#DIV/0!</v>
      </c>
      <c r="AC253" t="e">
        <f t="shared" si="48"/>
        <v>#DIV/0!</v>
      </c>
      <c r="AD253" t="e">
        <f t="shared" si="49"/>
        <v>#DIV/0!</v>
      </c>
      <c r="AE253" t="e">
        <f t="shared" si="50"/>
        <v>#DIV/0!</v>
      </c>
      <c r="AF253" t="e">
        <f t="shared" si="51"/>
        <v>#DIV/0!</v>
      </c>
      <c r="AG253" t="e">
        <f t="shared" si="52"/>
        <v>#DIV/0!</v>
      </c>
      <c r="AH253" t="e">
        <f t="shared" si="59"/>
        <v>#DIV/0!</v>
      </c>
      <c r="AI253" t="e">
        <f t="shared" si="53"/>
        <v>#DIV/0!</v>
      </c>
      <c r="AJ253">
        <f t="shared" si="54"/>
        <v>0</v>
      </c>
      <c r="AK253" t="e">
        <f t="shared" si="55"/>
        <v>#N/A</v>
      </c>
      <c r="AL253">
        <f t="shared" si="56"/>
        <v>0</v>
      </c>
      <c r="AM253" t="e">
        <f t="shared" si="57"/>
        <v>#N/A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3">
        <f t="shared" si="58"/>
        <v>1</v>
      </c>
    </row>
    <row r="254" spans="2:42" x14ac:dyDescent="0.35">
      <c r="B254" s="12" t="str">
        <f>Demand!C259</f>
        <v/>
      </c>
      <c r="C254" s="68" t="str">
        <f>Demand!D259</f>
        <v/>
      </c>
      <c r="D254" s="68" t="str">
        <f>Demand!E259</f>
        <v/>
      </c>
      <c r="E254" s="6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4" t="e">
        <f t="shared" si="45"/>
        <v>#DIV/0!</v>
      </c>
      <c r="AA254" t="e">
        <f t="shared" si="46"/>
        <v>#DIV/0!</v>
      </c>
      <c r="AB254" t="e">
        <f t="shared" si="47"/>
        <v>#DIV/0!</v>
      </c>
      <c r="AC254" t="e">
        <f t="shared" si="48"/>
        <v>#DIV/0!</v>
      </c>
      <c r="AD254" t="e">
        <f t="shared" si="49"/>
        <v>#DIV/0!</v>
      </c>
      <c r="AE254" t="e">
        <f t="shared" si="50"/>
        <v>#DIV/0!</v>
      </c>
      <c r="AF254" t="e">
        <f t="shared" si="51"/>
        <v>#DIV/0!</v>
      </c>
      <c r="AG254" t="e">
        <f t="shared" si="52"/>
        <v>#DIV/0!</v>
      </c>
      <c r="AH254" t="e">
        <f t="shared" si="59"/>
        <v>#DIV/0!</v>
      </c>
      <c r="AI254" t="e">
        <f t="shared" si="53"/>
        <v>#DIV/0!</v>
      </c>
      <c r="AJ254">
        <f t="shared" si="54"/>
        <v>0</v>
      </c>
      <c r="AK254" t="e">
        <f t="shared" si="55"/>
        <v>#N/A</v>
      </c>
      <c r="AL254">
        <f t="shared" si="56"/>
        <v>0</v>
      </c>
      <c r="AM254" t="e">
        <f t="shared" si="57"/>
        <v>#N/A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4">
        <f t="shared" si="58"/>
        <v>1</v>
      </c>
    </row>
    <row r="255" spans="2:42" x14ac:dyDescent="0.35">
      <c r="B255" s="12" t="str">
        <f>Demand!C260</f>
        <v/>
      </c>
      <c r="C255" s="68" t="str">
        <f>Demand!D260</f>
        <v/>
      </c>
      <c r="D255" s="68" t="str">
        <f>Demand!E260</f>
        <v/>
      </c>
      <c r="E255" s="6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5" t="e">
        <f t="shared" si="45"/>
        <v>#DIV/0!</v>
      </c>
      <c r="AA255" t="e">
        <f t="shared" si="46"/>
        <v>#DIV/0!</v>
      </c>
      <c r="AB255" t="e">
        <f t="shared" si="47"/>
        <v>#DIV/0!</v>
      </c>
      <c r="AC255" t="e">
        <f t="shared" si="48"/>
        <v>#DIV/0!</v>
      </c>
      <c r="AD255" t="e">
        <f t="shared" si="49"/>
        <v>#DIV/0!</v>
      </c>
      <c r="AE255" t="e">
        <f t="shared" si="50"/>
        <v>#DIV/0!</v>
      </c>
      <c r="AF255" t="e">
        <f t="shared" si="51"/>
        <v>#DIV/0!</v>
      </c>
      <c r="AG255" t="e">
        <f t="shared" si="52"/>
        <v>#DIV/0!</v>
      </c>
      <c r="AH255" t="e">
        <f t="shared" si="59"/>
        <v>#DIV/0!</v>
      </c>
      <c r="AI255" t="e">
        <f t="shared" si="53"/>
        <v>#DIV/0!</v>
      </c>
      <c r="AJ255">
        <f t="shared" si="54"/>
        <v>0</v>
      </c>
      <c r="AK255" t="e">
        <f t="shared" si="55"/>
        <v>#N/A</v>
      </c>
      <c r="AL255">
        <f t="shared" si="56"/>
        <v>0</v>
      </c>
      <c r="AM255" t="e">
        <f t="shared" si="57"/>
        <v>#N/A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5">
        <f t="shared" si="58"/>
        <v>1</v>
      </c>
    </row>
    <row r="256" spans="2:42" x14ac:dyDescent="0.35">
      <c r="B256" s="12" t="str">
        <f>Demand!C261</f>
        <v/>
      </c>
      <c r="C256" s="68" t="str">
        <f>Demand!D261</f>
        <v/>
      </c>
      <c r="D256" s="68" t="str">
        <f>Demand!E261</f>
        <v/>
      </c>
      <c r="E256" s="6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6" t="e">
        <f t="shared" si="45"/>
        <v>#DIV/0!</v>
      </c>
      <c r="AA256" t="e">
        <f t="shared" si="46"/>
        <v>#DIV/0!</v>
      </c>
      <c r="AB256" t="e">
        <f t="shared" si="47"/>
        <v>#DIV/0!</v>
      </c>
      <c r="AC256" t="e">
        <f t="shared" si="48"/>
        <v>#DIV/0!</v>
      </c>
      <c r="AD256" t="e">
        <f t="shared" si="49"/>
        <v>#DIV/0!</v>
      </c>
      <c r="AE256" t="e">
        <f t="shared" si="50"/>
        <v>#DIV/0!</v>
      </c>
      <c r="AF256" t="e">
        <f t="shared" si="51"/>
        <v>#DIV/0!</v>
      </c>
      <c r="AG256" t="e">
        <f t="shared" si="52"/>
        <v>#DIV/0!</v>
      </c>
      <c r="AH256" t="e">
        <f t="shared" si="59"/>
        <v>#DIV/0!</v>
      </c>
      <c r="AI256" t="e">
        <f t="shared" si="53"/>
        <v>#DIV/0!</v>
      </c>
      <c r="AJ256">
        <f t="shared" si="54"/>
        <v>0</v>
      </c>
      <c r="AK256" t="e">
        <f t="shared" si="55"/>
        <v>#N/A</v>
      </c>
      <c r="AL256">
        <f t="shared" si="56"/>
        <v>0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6">
        <f t="shared" si="58"/>
        <v>1</v>
      </c>
    </row>
    <row r="257" spans="2:42" x14ac:dyDescent="0.35">
      <c r="B257" s="12" t="str">
        <f>Demand!C262</f>
        <v/>
      </c>
      <c r="C257" s="68" t="str">
        <f>Demand!D262</f>
        <v/>
      </c>
      <c r="D257" s="68" t="str">
        <f>Demand!E262</f>
        <v/>
      </c>
      <c r="E257" s="6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7" t="e">
        <f t="shared" si="45"/>
        <v>#DIV/0!</v>
      </c>
      <c r="AA257" t="e">
        <f t="shared" si="46"/>
        <v>#DIV/0!</v>
      </c>
      <c r="AB257" t="e">
        <f t="shared" si="47"/>
        <v>#DIV/0!</v>
      </c>
      <c r="AC257" t="e">
        <f t="shared" si="48"/>
        <v>#DIV/0!</v>
      </c>
      <c r="AD257" t="e">
        <f t="shared" si="49"/>
        <v>#DIV/0!</v>
      </c>
      <c r="AE257" t="e">
        <f t="shared" si="50"/>
        <v>#DIV/0!</v>
      </c>
      <c r="AF257" t="e">
        <f t="shared" si="51"/>
        <v>#DIV/0!</v>
      </c>
      <c r="AG257" t="e">
        <f t="shared" si="52"/>
        <v>#DIV/0!</v>
      </c>
      <c r="AH257" t="e">
        <f t="shared" si="59"/>
        <v>#DIV/0!</v>
      </c>
      <c r="AI257" t="e">
        <f t="shared" si="53"/>
        <v>#DIV/0!</v>
      </c>
      <c r="AJ257">
        <f t="shared" si="54"/>
        <v>0</v>
      </c>
      <c r="AK257" t="e">
        <f t="shared" si="55"/>
        <v>#N/A</v>
      </c>
      <c r="AL257">
        <f t="shared" si="56"/>
        <v>0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7">
        <f t="shared" si="58"/>
        <v>1</v>
      </c>
    </row>
    <row r="258" spans="2:42" x14ac:dyDescent="0.35">
      <c r="B258" s="12" t="str">
        <f>Demand!C263</f>
        <v/>
      </c>
      <c r="C258" s="68" t="str">
        <f>Demand!D263</f>
        <v/>
      </c>
      <c r="D258" s="68" t="str">
        <f>Demand!E263</f>
        <v/>
      </c>
      <c r="E258" s="6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8" t="e">
        <f t="shared" si="45"/>
        <v>#DIV/0!</v>
      </c>
      <c r="AA258" t="e">
        <f t="shared" si="46"/>
        <v>#DIV/0!</v>
      </c>
      <c r="AB258" t="e">
        <f t="shared" si="47"/>
        <v>#DIV/0!</v>
      </c>
      <c r="AC258" t="e">
        <f t="shared" si="48"/>
        <v>#DIV/0!</v>
      </c>
      <c r="AD258" t="e">
        <f t="shared" si="49"/>
        <v>#DIV/0!</v>
      </c>
      <c r="AE258" t="e">
        <f t="shared" si="50"/>
        <v>#DIV/0!</v>
      </c>
      <c r="AF258" t="e">
        <f t="shared" si="51"/>
        <v>#DIV/0!</v>
      </c>
      <c r="AG258" t="e">
        <f t="shared" si="52"/>
        <v>#DIV/0!</v>
      </c>
      <c r="AH258" t="e">
        <f t="shared" si="59"/>
        <v>#DIV/0!</v>
      </c>
      <c r="AI258" t="e">
        <f t="shared" si="53"/>
        <v>#DIV/0!</v>
      </c>
      <c r="AJ258">
        <f t="shared" si="54"/>
        <v>0</v>
      </c>
      <c r="AK258" t="e">
        <f t="shared" si="55"/>
        <v>#N/A</v>
      </c>
      <c r="AL258">
        <f t="shared" si="56"/>
        <v>0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8">
        <f t="shared" si="58"/>
        <v>1</v>
      </c>
    </row>
    <row r="259" spans="2:42" x14ac:dyDescent="0.35">
      <c r="B259" s="12" t="str">
        <f>Demand!C264</f>
        <v/>
      </c>
      <c r="C259" s="68" t="str">
        <f>Demand!D264</f>
        <v/>
      </c>
      <c r="D259" s="68" t="str">
        <f>Demand!E264</f>
        <v/>
      </c>
      <c r="E259" s="6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9" t="e">
        <f t="shared" si="45"/>
        <v>#DIV/0!</v>
      </c>
      <c r="AA259" t="e">
        <f t="shared" si="46"/>
        <v>#DIV/0!</v>
      </c>
      <c r="AB259" t="e">
        <f t="shared" si="47"/>
        <v>#DIV/0!</v>
      </c>
      <c r="AC259" t="e">
        <f t="shared" si="48"/>
        <v>#DIV/0!</v>
      </c>
      <c r="AD259" t="e">
        <f t="shared" si="49"/>
        <v>#DIV/0!</v>
      </c>
      <c r="AE259" t="e">
        <f t="shared" si="50"/>
        <v>#DIV/0!</v>
      </c>
      <c r="AF259" t="e">
        <f t="shared" si="51"/>
        <v>#DIV/0!</v>
      </c>
      <c r="AG259" t="e">
        <f t="shared" si="52"/>
        <v>#DIV/0!</v>
      </c>
      <c r="AH259" t="e">
        <f t="shared" si="59"/>
        <v>#DIV/0!</v>
      </c>
      <c r="AI259" t="e">
        <f t="shared" si="53"/>
        <v>#DIV/0!</v>
      </c>
      <c r="AJ259">
        <f t="shared" si="54"/>
        <v>0</v>
      </c>
      <c r="AK259" t="e">
        <f t="shared" si="55"/>
        <v>#N/A</v>
      </c>
      <c r="AL259">
        <f t="shared" si="56"/>
        <v>0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9">
        <f t="shared" si="58"/>
        <v>1</v>
      </c>
    </row>
    <row r="260" spans="2:42" x14ac:dyDescent="0.35">
      <c r="B260" s="12" t="str">
        <f>Demand!C265</f>
        <v/>
      </c>
      <c r="C260" s="68" t="str">
        <f>Demand!D265</f>
        <v/>
      </c>
      <c r="D260" s="68" t="str">
        <f>Demand!E265</f>
        <v/>
      </c>
      <c r="E260" s="6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0" t="e">
        <f t="shared" si="45"/>
        <v>#DIV/0!</v>
      </c>
      <c r="AA260" t="e">
        <f t="shared" si="46"/>
        <v>#DIV/0!</v>
      </c>
      <c r="AB260" t="e">
        <f t="shared" si="47"/>
        <v>#DIV/0!</v>
      </c>
      <c r="AC260" t="e">
        <f t="shared" si="48"/>
        <v>#DIV/0!</v>
      </c>
      <c r="AD260" t="e">
        <f t="shared" si="49"/>
        <v>#DIV/0!</v>
      </c>
      <c r="AE260" t="e">
        <f t="shared" si="50"/>
        <v>#DIV/0!</v>
      </c>
      <c r="AF260" t="e">
        <f t="shared" si="51"/>
        <v>#DIV/0!</v>
      </c>
      <c r="AG260" t="e">
        <f t="shared" si="52"/>
        <v>#DIV/0!</v>
      </c>
      <c r="AH260" t="e">
        <f t="shared" si="59"/>
        <v>#DIV/0!</v>
      </c>
      <c r="AI260" t="e">
        <f t="shared" si="53"/>
        <v>#DIV/0!</v>
      </c>
      <c r="AJ260">
        <f t="shared" si="54"/>
        <v>0</v>
      </c>
      <c r="AK260" t="e">
        <f t="shared" si="55"/>
        <v>#N/A</v>
      </c>
      <c r="AL260">
        <f t="shared" si="56"/>
        <v>0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0">
        <f t="shared" si="58"/>
        <v>1</v>
      </c>
    </row>
    <row r="261" spans="2:42" x14ac:dyDescent="0.35">
      <c r="B261" s="12" t="str">
        <f>Demand!C266</f>
        <v/>
      </c>
      <c r="C261" s="68" t="str">
        <f>Demand!D266</f>
        <v/>
      </c>
      <c r="D261" s="68" t="str">
        <f>Demand!E266</f>
        <v/>
      </c>
      <c r="E261" s="6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1" t="e">
        <f>Y261/1.128</f>
        <v>#DIV/0!</v>
      </c>
      <c r="AA261" t="e">
        <f>MAX(0,W261-(3*Z261))</f>
        <v>#DIV/0!</v>
      </c>
      <c r="AB261" t="e">
        <f>MAX(0,W261-(2*Z261))</f>
        <v>#DIV/0!</v>
      </c>
      <c r="AC261" t="e">
        <f>MAX(0,W261-Z261)</f>
        <v>#DIV/0!</v>
      </c>
      <c r="AD261" t="e">
        <f>W261+Z261</f>
        <v>#DIV/0!</v>
      </c>
      <c r="AE261" t="e">
        <f>W261+(2*Z261)</f>
        <v>#DIV/0!</v>
      </c>
      <c r="AF261" t="e">
        <f>W261+(3*Z261)</f>
        <v>#DIV/0!</v>
      </c>
      <c r="AG261" t="e">
        <f>IF(OR(V261&gt;AF261,V261&lt;AA261),V261,NA())</f>
        <v>#DIV/0!</v>
      </c>
      <c r="AH261" t="e">
        <f t="shared" si="59"/>
        <v>#DIV/0!</v>
      </c>
      <c r="AI261" t="e">
        <f>IF(ABS(SUM(AH261:AH263))&gt;=5,V261,NA())</f>
        <v>#DIV/0!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0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1">
        <f>AO261-AN261</f>
        <v>1</v>
      </c>
    </row>
    <row r="262" spans="2:42" x14ac:dyDescent="0.35">
      <c r="B262" s="12" t="str">
        <f>Demand!C267</f>
        <v/>
      </c>
      <c r="C262" s="68" t="str">
        <f>Demand!D267</f>
        <v/>
      </c>
      <c r="D262" s="68" t="str">
        <f>Demand!E267</f>
        <v/>
      </c>
      <c r="E262" s="6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2" t="e">
        <f>Y262/1.128</f>
        <v>#DIV/0!</v>
      </c>
      <c r="AA262" t="e">
        <f>MAX(0,W262-(3*Z262))</f>
        <v>#DIV/0!</v>
      </c>
      <c r="AB262" t="e">
        <f>MAX(0,W262-(2*Z262))</f>
        <v>#DIV/0!</v>
      </c>
      <c r="AC262" t="e">
        <f>MAX(0,W262-Z262)</f>
        <v>#DIV/0!</v>
      </c>
      <c r="AD262" t="e">
        <f>W262+Z262</f>
        <v>#DIV/0!</v>
      </c>
      <c r="AE262" t="e">
        <f>W262+(2*Z262)</f>
        <v>#DIV/0!</v>
      </c>
      <c r="AF262" t="e">
        <f>W262+(3*Z262)</f>
        <v>#DIV/0!</v>
      </c>
      <c r="AG262" t="e">
        <f>IF(OR(V262&gt;AF262,V262&lt;AA262),V262,NA())</f>
        <v>#DIV/0!</v>
      </c>
      <c r="AH262" t="e">
        <f>IF(V262&gt;AE262,2,IF(V262&lt;AB262,-2,IF(V262&gt;W262,1,IF(V262&lt;W262,-1,0))))</f>
        <v>#DIV/0!</v>
      </c>
      <c r="AI262" t="e">
        <f>IF(ABS(SUM(AH262:AH264))&gt;=5,V262,NA())</f>
        <v>#DIV/0!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0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2">
        <f>AO262-AN262</f>
        <v>1</v>
      </c>
    </row>
    <row r="263" spans="2:42" ht="15" thickBot="1" x14ac:dyDescent="0.4">
      <c r="B263" s="13" t="str">
        <f>Demand!C268</f>
        <v/>
      </c>
      <c r="C263" s="69" t="str">
        <f>Demand!D268</f>
        <v/>
      </c>
      <c r="D263" s="69" t="str">
        <f>Demand!E268</f>
        <v/>
      </c>
      <c r="E263" s="6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3" t="e">
        <f>Y263/1.128</f>
        <v>#DIV/0!</v>
      </c>
      <c r="AA263" t="e">
        <f>MAX(0,W263-(3*Z263))</f>
        <v>#DIV/0!</v>
      </c>
      <c r="AB263" t="e">
        <f>MAX(0,W263-(2*Z263))</f>
        <v>#DIV/0!</v>
      </c>
      <c r="AC263" t="e">
        <f>MAX(0,W263-Z263)</f>
        <v>#DIV/0!</v>
      </c>
      <c r="AD263" t="e">
        <f>W263+Z263</f>
        <v>#DIV/0!</v>
      </c>
      <c r="AE263" t="e">
        <f>W263+(2*Z263)</f>
        <v>#DIV/0!</v>
      </c>
      <c r="AF263" t="e">
        <f>W263+(3*Z263)</f>
        <v>#DIV/0!</v>
      </c>
      <c r="AG263" t="e">
        <f>IF(OR(V263&gt;AF263,V263&lt;AA263),V263,NA())</f>
        <v>#DIV/0!</v>
      </c>
      <c r="AH263" t="e">
        <f>IF(V263&gt;AE263,2,IF(V263&lt;AB263,-2,IF(V263&gt;W263,1,IF(V263&lt;W263,-1,0))))</f>
        <v>#DIV/0!</v>
      </c>
      <c r="AI263" t="e">
        <f>IF(ABS(SUM(AH263:AH265))&gt;=5,V263,NA())</f>
        <v>#DIV/0!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0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3">
        <f>AO263-AN263</f>
        <v>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C4" sqref="C4:F25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150</v>
      </c>
    </row>
    <row r="2" spans="1:10" ht="15" thickBot="1" x14ac:dyDescent="0.4"/>
    <row r="3" spans="1:10" ht="39" customHeight="1" thickBot="1" x14ac:dyDescent="0.4">
      <c r="B3" s="57" t="s">
        <v>48</v>
      </c>
      <c r="C3" s="58" t="s">
        <v>49</v>
      </c>
      <c r="D3" s="58" t="s">
        <v>50</v>
      </c>
      <c r="E3" s="58" t="s">
        <v>51</v>
      </c>
      <c r="F3" s="58" t="s">
        <v>56</v>
      </c>
      <c r="G3" s="58" t="s">
        <v>52</v>
      </c>
      <c r="H3" s="58" t="s">
        <v>53</v>
      </c>
      <c r="I3" s="58" t="s">
        <v>55</v>
      </c>
      <c r="J3" s="58" t="s">
        <v>54</v>
      </c>
    </row>
    <row r="4" spans="1:10" x14ac:dyDescent="0.35">
      <c r="B4" s="79" t="str">
        <f>'Data Validation (Hide)'!B2</f>
        <v>Caseload 1</v>
      </c>
      <c r="C4" s="3"/>
      <c r="D4" s="18"/>
      <c r="E4" s="18"/>
      <c r="F4" s="15"/>
      <c r="G4" s="4" t="e">
        <f>INDEX('Data Validation (Hide)'!$K$2:$L$9,MATCH(Service!F4,'Data Validation (Hide)'!$K$2:$K$8,0),2)</f>
        <v>#N/A</v>
      </c>
      <c r="H4" s="59" t="str">
        <f>IFERROR((G4*D4)/E4,"")</f>
        <v/>
      </c>
      <c r="I4" s="79">
        <f>SUMIF($E$4:$E$8,1,$H$4:$H$8)</f>
        <v>0</v>
      </c>
      <c r="J4" s="82">
        <f>SUMIF($E$4:$E$8,"&gt;"&amp;1,$H$4:$H$8)</f>
        <v>0</v>
      </c>
    </row>
    <row r="5" spans="1:10" x14ac:dyDescent="0.35">
      <c r="B5" s="80"/>
      <c r="C5" s="7"/>
      <c r="D5" s="20"/>
      <c r="E5" s="20"/>
      <c r="F5" s="6"/>
      <c r="G5" s="19" t="e">
        <f>INDEX('Data Validation (Hide)'!$K$2:$L$9,MATCH(Service!F5,'Data Validation (Hide)'!$K$2:$K$8,0),2)</f>
        <v>#N/A</v>
      </c>
      <c r="H5" s="60" t="str">
        <f t="shared" ref="H5:H35" si="0">IFERROR((G5*D5)/E5,"")</f>
        <v/>
      </c>
      <c r="I5" s="80"/>
      <c r="J5" s="83"/>
    </row>
    <row r="6" spans="1:10" x14ac:dyDescent="0.35">
      <c r="B6" s="80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80"/>
      <c r="J6" s="83"/>
    </row>
    <row r="7" spans="1:10" x14ac:dyDescent="0.35">
      <c r="B7" s="80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80"/>
      <c r="J7" s="83"/>
    </row>
    <row r="8" spans="1:10" ht="15" thickBot="1" x14ac:dyDescent="0.4">
      <c r="B8" s="81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81"/>
      <c r="J8" s="84"/>
    </row>
    <row r="9" spans="1:10" x14ac:dyDescent="0.35">
      <c r="B9" s="79" t="str">
        <f>'Data Validation (Hide)'!B3</f>
        <v>Caseload 2</v>
      </c>
      <c r="C9" s="3"/>
      <c r="D9" s="18"/>
      <c r="E9" s="18"/>
      <c r="F9" s="15"/>
      <c r="G9" s="4" t="e">
        <f>INDEX('Data Validation (Hide)'!$K$2:$L$9,MATCH(Service!F9,'Data Validation (Hide)'!$K$2:$K$8,0),2)</f>
        <v>#N/A</v>
      </c>
      <c r="H9" s="59" t="str">
        <f t="shared" si="0"/>
        <v/>
      </c>
      <c r="I9" s="79">
        <f>SUMIF($E$9:$E$13,1,$H$9:$H$13)</f>
        <v>0</v>
      </c>
      <c r="J9" s="79">
        <f>SUMIF($E$9:$E$13,"&gt;"&amp;1,$H$9:$H$13)</f>
        <v>0</v>
      </c>
    </row>
    <row r="10" spans="1:10" x14ac:dyDescent="0.35">
      <c r="B10" s="80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80"/>
      <c r="J10" s="80"/>
    </row>
    <row r="11" spans="1:10" x14ac:dyDescent="0.35">
      <c r="B11" s="80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80"/>
      <c r="J11" s="80"/>
    </row>
    <row r="12" spans="1:10" x14ac:dyDescent="0.35">
      <c r="B12" s="80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80"/>
      <c r="J12" s="80"/>
    </row>
    <row r="13" spans="1:10" ht="15" thickBot="1" x14ac:dyDescent="0.4">
      <c r="B13" s="81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81"/>
      <c r="J13" s="81"/>
    </row>
    <row r="14" spans="1:10" x14ac:dyDescent="0.35">
      <c r="B14" s="79" t="str">
        <f>'Data Validation (Hide)'!B4</f>
        <v>Caseload 3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59" t="str">
        <f t="shared" si="0"/>
        <v/>
      </c>
      <c r="I14" s="79">
        <f>SUMIF($E$14:$E$18,1,$H$14:$H$18)</f>
        <v>0</v>
      </c>
      <c r="J14" s="79">
        <f>SUMIF($E$14:$E$18,"&gt;"&amp;1,$H$14:$H$18)</f>
        <v>0</v>
      </c>
    </row>
    <row r="15" spans="1:10" x14ac:dyDescent="0.35">
      <c r="B15" s="80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80"/>
      <c r="J15" s="80"/>
    </row>
    <row r="16" spans="1:10" x14ac:dyDescent="0.35">
      <c r="B16" s="80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80"/>
      <c r="J16" s="80"/>
    </row>
    <row r="17" spans="2:10" x14ac:dyDescent="0.35">
      <c r="B17" s="80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80"/>
      <c r="J17" s="80"/>
    </row>
    <row r="18" spans="2:10" ht="15" thickBot="1" x14ac:dyDescent="0.4">
      <c r="B18" s="81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81"/>
      <c r="J18" s="81"/>
    </row>
    <row r="19" spans="2:10" x14ac:dyDescent="0.35">
      <c r="B19" s="79" t="str">
        <f>'Data Validation (Hide)'!B5</f>
        <v>Caseload 4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59" t="str">
        <f t="shared" si="0"/>
        <v/>
      </c>
      <c r="I19" s="79">
        <f>SUMIF($E$19:$E$23,1,$H$19:$H$23)</f>
        <v>0</v>
      </c>
      <c r="J19" s="79">
        <f>SUMIF($E$19:$E$23,"&gt;"&amp;1,$H$19:$H$23)</f>
        <v>0</v>
      </c>
    </row>
    <row r="20" spans="2:10" x14ac:dyDescent="0.35">
      <c r="B20" s="80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80"/>
      <c r="J20" s="80"/>
    </row>
    <row r="21" spans="2:10" x14ac:dyDescent="0.35">
      <c r="B21" s="80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80"/>
      <c r="J21" s="80"/>
    </row>
    <row r="22" spans="2:10" x14ac:dyDescent="0.35">
      <c r="B22" s="80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80"/>
      <c r="J22" s="80"/>
    </row>
    <row r="23" spans="2:10" ht="15" thickBot="1" x14ac:dyDescent="0.4">
      <c r="B23" s="81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81"/>
      <c r="J23" s="81"/>
    </row>
    <row r="24" spans="2:10" x14ac:dyDescent="0.35">
      <c r="B24" s="79" t="str">
        <f>'Data Validation (Hide)'!B6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59" t="str">
        <f t="shared" si="0"/>
        <v/>
      </c>
      <c r="I24" s="79">
        <f>SUMIF($E$24:$E$28,1,$H$24:$H$28)</f>
        <v>0</v>
      </c>
      <c r="J24" s="79">
        <f>SUMIF($E$24:$E$28,"&gt;"&amp;1,$H$24:$H$28)</f>
        <v>0</v>
      </c>
    </row>
    <row r="25" spans="2:10" x14ac:dyDescent="0.35">
      <c r="B25" s="80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80"/>
      <c r="J25" s="80"/>
    </row>
    <row r="26" spans="2:10" x14ac:dyDescent="0.35">
      <c r="B26" s="80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80"/>
      <c r="J26" s="80"/>
    </row>
    <row r="27" spans="2:10" x14ac:dyDescent="0.35">
      <c r="B27" s="80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80"/>
      <c r="J27" s="80"/>
    </row>
    <row r="28" spans="2:10" ht="15" thickBot="1" x14ac:dyDescent="0.4">
      <c r="B28" s="81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81"/>
      <c r="J28" s="81"/>
    </row>
    <row r="29" spans="2:10" x14ac:dyDescent="0.35">
      <c r="B29" s="79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79">
        <f>SUMIF($E$29:$E$33,1,$H$29:$H$33)</f>
        <v>0</v>
      </c>
      <c r="J29" s="79">
        <f>SUMIF($E$29:$E$33,"&gt;"&amp;1,$H$29:$H$33)</f>
        <v>0</v>
      </c>
    </row>
    <row r="30" spans="2:10" x14ac:dyDescent="0.35">
      <c r="B30" s="80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80"/>
      <c r="J30" s="80"/>
    </row>
    <row r="31" spans="2:10" x14ac:dyDescent="0.35">
      <c r="B31" s="80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80"/>
      <c r="J31" s="80"/>
    </row>
    <row r="32" spans="2:10" x14ac:dyDescent="0.35">
      <c r="B32" s="80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80"/>
      <c r="J32" s="80"/>
    </row>
    <row r="33" spans="2:10" ht="15" thickBot="1" x14ac:dyDescent="0.4">
      <c r="B33" s="81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81"/>
      <c r="J33" s="81"/>
    </row>
    <row r="34" spans="2:10" x14ac:dyDescent="0.35">
      <c r="B34" s="79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79">
        <f>SUMIF($E$34:$E$38,1,$H$34:$H$38)</f>
        <v>0</v>
      </c>
      <c r="J34" s="79">
        <f>SUMIF($E$34:$E$38,"&gt;"&amp;1,$H$34:$H$38)</f>
        <v>0</v>
      </c>
    </row>
    <row r="35" spans="2:10" x14ac:dyDescent="0.35">
      <c r="B35" s="80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80"/>
      <c r="J35" s="80"/>
    </row>
    <row r="36" spans="2:10" x14ac:dyDescent="0.35">
      <c r="B36" s="80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80"/>
      <c r="J36" s="80"/>
    </row>
    <row r="37" spans="2:10" x14ac:dyDescent="0.35">
      <c r="B37" s="80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80"/>
      <c r="J37" s="80"/>
    </row>
    <row r="38" spans="2:10" ht="15" thickBot="1" x14ac:dyDescent="0.4">
      <c r="B38" s="81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81"/>
      <c r="J38" s="81"/>
    </row>
    <row r="39" spans="2:10" x14ac:dyDescent="0.35">
      <c r="B39" s="79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79">
        <f>SUMIF($E$39:$E$43,1,$H$39:$H$43)</f>
        <v>0</v>
      </c>
      <c r="J39" s="79">
        <f>SUMIF($E$39:$E$43,"&gt;"&amp;1,$H$39:$H$43)</f>
        <v>0</v>
      </c>
    </row>
    <row r="40" spans="2:10" x14ac:dyDescent="0.35">
      <c r="B40" s="80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80"/>
      <c r="J40" s="80"/>
    </row>
    <row r="41" spans="2:10" x14ac:dyDescent="0.35">
      <c r="B41" s="80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80"/>
      <c r="J41" s="80"/>
    </row>
    <row r="42" spans="2:10" x14ac:dyDescent="0.35">
      <c r="B42" s="80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80"/>
      <c r="J42" s="80"/>
    </row>
    <row r="43" spans="2:10" ht="15" thickBot="1" x14ac:dyDescent="0.4">
      <c r="B43" s="81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81"/>
      <c r="J43" s="81"/>
    </row>
    <row r="44" spans="2:10" x14ac:dyDescent="0.35">
      <c r="B44" s="79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79">
        <f>SUMIF($E$44:$E$48,1,$H$44:$H$48)</f>
        <v>0</v>
      </c>
      <c r="J44" s="79">
        <f>SUMIF($E$44:$E$48,"&gt;"&amp;1,$H$44:$H$48)</f>
        <v>0</v>
      </c>
    </row>
    <row r="45" spans="2:10" x14ac:dyDescent="0.35">
      <c r="B45" s="80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80"/>
      <c r="J45" s="80"/>
    </row>
    <row r="46" spans="2:10" x14ac:dyDescent="0.35">
      <c r="B46" s="80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80"/>
      <c r="J46" s="80"/>
    </row>
    <row r="47" spans="2:10" x14ac:dyDescent="0.35">
      <c r="B47" s="80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80"/>
      <c r="J47" s="80"/>
    </row>
    <row r="48" spans="2:10" ht="15" thickBot="1" x14ac:dyDescent="0.4">
      <c r="B48" s="81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81"/>
      <c r="J48" s="81"/>
    </row>
    <row r="49" spans="2:10" x14ac:dyDescent="0.35">
      <c r="B49" s="79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79">
        <f>SUMIF($E$49:$E$53,1,$H$49:$H$53)</f>
        <v>0</v>
      </c>
      <c r="J49" s="79">
        <f>SUMIF($E$49:$E$53,"&gt;"&amp;1,$H$49:$H$53)</f>
        <v>0</v>
      </c>
    </row>
    <row r="50" spans="2:10" x14ac:dyDescent="0.35">
      <c r="B50" s="80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80"/>
      <c r="J50" s="80"/>
    </row>
    <row r="51" spans="2:10" x14ac:dyDescent="0.35">
      <c r="B51" s="80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80"/>
      <c r="J51" s="80"/>
    </row>
    <row r="52" spans="2:10" x14ac:dyDescent="0.35">
      <c r="B52" s="80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80"/>
      <c r="J52" s="80"/>
    </row>
    <row r="53" spans="2:10" ht="15" thickBot="1" x14ac:dyDescent="0.4">
      <c r="B53" s="81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81"/>
      <c r="J53" s="81"/>
    </row>
    <row r="54" spans="2:10" x14ac:dyDescent="0.35">
      <c r="B54" s="79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79">
        <f>SUMIF($E$54:$E$58,1,$H$54:$H$58)</f>
        <v>0</v>
      </c>
      <c r="J54" s="79">
        <f>SUMIF($E$54:$E$58,"&gt;"&amp;1,$H$54:$H$58)</f>
        <v>0</v>
      </c>
    </row>
    <row r="55" spans="2:10" x14ac:dyDescent="0.35">
      <c r="B55" s="80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80"/>
      <c r="J55" s="80"/>
    </row>
    <row r="56" spans="2:10" x14ac:dyDescent="0.35">
      <c r="B56" s="80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80"/>
      <c r="J56" s="80"/>
    </row>
    <row r="57" spans="2:10" x14ac:dyDescent="0.35">
      <c r="B57" s="80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80"/>
      <c r="J57" s="80"/>
    </row>
    <row r="58" spans="2:10" ht="15" thickBot="1" x14ac:dyDescent="0.4">
      <c r="B58" s="81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81"/>
      <c r="J58" s="81"/>
    </row>
    <row r="59" spans="2:10" x14ac:dyDescent="0.35">
      <c r="B59" s="79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79">
        <f>SUMIF($E$59:$E$63,1,$H$59:$H$63)</f>
        <v>0</v>
      </c>
      <c r="J59" s="79">
        <f>SUMIF($E$59:$E$63,"&gt;"&amp;1,$H$59:$H$63)</f>
        <v>0</v>
      </c>
    </row>
    <row r="60" spans="2:10" x14ac:dyDescent="0.35">
      <c r="B60" s="80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80"/>
      <c r="J60" s="80"/>
    </row>
    <row r="61" spans="2:10" x14ac:dyDescent="0.35">
      <c r="B61" s="80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80"/>
      <c r="J61" s="80"/>
    </row>
    <row r="62" spans="2:10" x14ac:dyDescent="0.35">
      <c r="B62" s="80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80"/>
      <c r="J62" s="80"/>
    </row>
    <row r="63" spans="2:10" ht="15" thickBot="1" x14ac:dyDescent="0.4">
      <c r="B63" s="81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81"/>
      <c r="J63" s="81"/>
    </row>
    <row r="64" spans="2:10" x14ac:dyDescent="0.35">
      <c r="B64" s="79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79">
        <f>SUMIF($E$64:$E$68,1,$H$64:$H$68)</f>
        <v>0</v>
      </c>
      <c r="J64" s="79">
        <f>SUMIF($E$64:$E$68,"&gt;"&amp;1,$H$64:$H$68)</f>
        <v>0</v>
      </c>
    </row>
    <row r="65" spans="2:10" x14ac:dyDescent="0.35">
      <c r="B65" s="80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80"/>
      <c r="J65" s="80"/>
    </row>
    <row r="66" spans="2:10" x14ac:dyDescent="0.35">
      <c r="B66" s="80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80"/>
      <c r="J66" s="80"/>
    </row>
    <row r="67" spans="2:10" x14ac:dyDescent="0.35">
      <c r="B67" s="80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80"/>
      <c r="J67" s="80"/>
    </row>
    <row r="68" spans="2:10" ht="15" thickBot="1" x14ac:dyDescent="0.4">
      <c r="B68" s="81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81"/>
      <c r="J68" s="81"/>
    </row>
    <row r="69" spans="2:10" x14ac:dyDescent="0.35">
      <c r="B69" s="79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79">
        <f>SUMIF($E$69:$E$73,1,$H$69:$H$73)</f>
        <v>0</v>
      </c>
      <c r="J69" s="79">
        <f>SUMIF($E$69:$E$73,"&gt;"&amp;1,$H$69:$H$73)</f>
        <v>0</v>
      </c>
    </row>
    <row r="70" spans="2:10" x14ac:dyDescent="0.35">
      <c r="B70" s="80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80"/>
      <c r="J70" s="80"/>
    </row>
    <row r="71" spans="2:10" x14ac:dyDescent="0.35">
      <c r="B71" s="80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80"/>
      <c r="J71" s="80"/>
    </row>
    <row r="72" spans="2:10" x14ac:dyDescent="0.35">
      <c r="B72" s="80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80"/>
      <c r="J72" s="80"/>
    </row>
    <row r="73" spans="2:10" ht="15" thickBot="1" x14ac:dyDescent="0.4">
      <c r="B73" s="81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81"/>
      <c r="J73" s="81"/>
    </row>
    <row r="74" spans="2:10" x14ac:dyDescent="0.35">
      <c r="B74" s="79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79">
        <f>SUMIF($E$74:$E$78,1,$H$74:$H$78)</f>
        <v>0</v>
      </c>
      <c r="J74" s="79">
        <f>SUMIF($E$74:$E$78,"&gt;"&amp;1,$H$74:$H$78)</f>
        <v>0</v>
      </c>
    </row>
    <row r="75" spans="2:10" x14ac:dyDescent="0.35">
      <c r="B75" s="80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80"/>
      <c r="J75" s="80"/>
    </row>
    <row r="76" spans="2:10" x14ac:dyDescent="0.35">
      <c r="B76" s="80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80"/>
      <c r="J76" s="80"/>
    </row>
    <row r="77" spans="2:10" x14ac:dyDescent="0.35">
      <c r="B77" s="80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80"/>
      <c r="J77" s="80"/>
    </row>
    <row r="78" spans="2:10" ht="15" thickBot="1" x14ac:dyDescent="0.4">
      <c r="B78" s="81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81"/>
      <c r="J78" s="81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C5" sqref="C5:C1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60</v>
      </c>
      <c r="E1" s="3" t="s">
        <v>63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Caseload 2</v>
      </c>
      <c r="M1" s="15" t="str" cm="1">
        <f t="array" ref="M1">INDEX($A$5:$A$19,ROUNDUP(COLUMN(H1)/6,0),1)</f>
        <v>Caseload 2</v>
      </c>
      <c r="N1" s="3" t="str" cm="1">
        <f t="array" ref="N1">INDEX($A$5:$A$19,ROUNDUP(COLUMN(I1)/6,0),1)</f>
        <v>Caseload 2</v>
      </c>
      <c r="O1" s="15" t="str" cm="1">
        <f t="array" ref="O1">INDEX($A$5:$A$19,ROUNDUP(COLUMN(J1)/6,0),1)</f>
        <v>Caseload 2</v>
      </c>
      <c r="P1" s="4" t="str" cm="1">
        <f t="array" ref="P1">INDEX($A$5:$A$19,ROUNDUP(COLUMN(K1)/6,0),1)</f>
        <v>Caseload 2</v>
      </c>
      <c r="Q1" s="15" t="str" cm="1">
        <f t="array" ref="Q1">INDEX($A$5:$A$19,ROUNDUP(COLUMN(L1)/6,0),1)</f>
        <v>Caseload 2</v>
      </c>
      <c r="R1" s="3" t="str" cm="1">
        <f t="array" ref="R1">INDEX($A$5:$A$19,ROUNDUP(COLUMN(M1)/6,0),1)</f>
        <v>Caseload 3</v>
      </c>
      <c r="S1" s="15" t="str" cm="1">
        <f t="array" ref="S1">INDEX($A$5:$A$19,ROUNDUP(COLUMN(N1)/6,0),1)</f>
        <v>Caseload 3</v>
      </c>
      <c r="T1" s="3" t="str" cm="1">
        <f t="array" ref="T1">INDEX($A$5:$A$19,ROUNDUP(COLUMN(O1)/6,0),1)</f>
        <v>Caseload 3</v>
      </c>
      <c r="U1" s="15" t="str" cm="1">
        <f t="array" ref="U1">INDEX($A$5:$A$19,ROUNDUP(COLUMN(P1)/6,0),1)</f>
        <v>Caseload 3</v>
      </c>
      <c r="V1" s="4" t="str" cm="1">
        <f t="array" ref="V1">INDEX($A$5:$A$19,ROUNDUP(COLUMN(Q1)/6,0),1)</f>
        <v>Caseload 3</v>
      </c>
      <c r="W1" s="15" t="str" cm="1">
        <f t="array" ref="W1">INDEX($A$5:$A$19,ROUNDUP(COLUMN(R1)/6,0),1)</f>
        <v>Caseload 3</v>
      </c>
      <c r="X1" s="3" t="str" cm="1">
        <f t="array" ref="X1">INDEX($A$5:$A$19,ROUNDUP(COLUMN(S1)/6,0),1)</f>
        <v>Caseload 4</v>
      </c>
      <c r="Y1" s="15" t="str" cm="1">
        <f t="array" ref="Y1">INDEX($A$5:$A$19,ROUNDUP(COLUMN(T1)/6,0),1)</f>
        <v>Caseload 4</v>
      </c>
      <c r="Z1" s="3" t="str" cm="1">
        <f t="array" ref="Z1">INDEX($A$5:$A$19,ROUNDUP(COLUMN(U1)/6,0),1)</f>
        <v>Caseload 4</v>
      </c>
      <c r="AA1" s="15" t="str" cm="1">
        <f t="array" ref="AA1">INDEX($A$5:$A$19,ROUNDUP(COLUMN(V1)/6,0),1)</f>
        <v>Caseload 4</v>
      </c>
      <c r="AB1" s="4" t="str" cm="1">
        <f t="array" ref="AB1">INDEX($A$5:$A$19,ROUNDUP(COLUMN(W1)/6,0),1)</f>
        <v>Caseload 4</v>
      </c>
      <c r="AC1" s="15" t="str" cm="1">
        <f t="array" ref="AC1">INDEX($A$5:$A$19,ROUNDUP(COLUMN(X1)/6,0),1)</f>
        <v>Caseload 4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154</v>
      </c>
      <c r="CS1" s="3" t="s">
        <v>154</v>
      </c>
      <c r="CT1" s="3" t="s">
        <v>154</v>
      </c>
      <c r="CU1" s="3" t="s">
        <v>154</v>
      </c>
      <c r="CV1" s="3" t="s">
        <v>154</v>
      </c>
      <c r="CW1" s="3" t="s">
        <v>154</v>
      </c>
      <c r="CY1" s="3" t="s">
        <v>71</v>
      </c>
      <c r="CZ1" s="4"/>
      <c r="DA1" s="15"/>
    </row>
    <row r="2" spans="1:105" ht="15" thickBot="1" x14ac:dyDescent="0.4">
      <c r="E2" s="7"/>
      <c r="F2" s="7" t="s">
        <v>65</v>
      </c>
      <c r="G2" s="6" t="s">
        <v>65</v>
      </c>
      <c r="H2" s="7" t="s">
        <v>57</v>
      </c>
      <c r="I2" s="6" t="s">
        <v>57</v>
      </c>
      <c r="J2" s="19" t="s">
        <v>70</v>
      </c>
      <c r="K2" s="23" t="s">
        <v>70</v>
      </c>
      <c r="L2" s="7" t="s">
        <v>65</v>
      </c>
      <c r="M2" s="6" t="s">
        <v>65</v>
      </c>
      <c r="N2" s="7" t="s">
        <v>57</v>
      </c>
      <c r="O2" s="6" t="s">
        <v>57</v>
      </c>
      <c r="P2" s="19" t="s">
        <v>70</v>
      </c>
      <c r="Q2" s="23" t="s">
        <v>70</v>
      </c>
      <c r="R2" s="7" t="s">
        <v>65</v>
      </c>
      <c r="S2" s="6" t="s">
        <v>65</v>
      </c>
      <c r="T2" s="7" t="s">
        <v>57</v>
      </c>
      <c r="U2" s="6" t="s">
        <v>57</v>
      </c>
      <c r="V2" s="19" t="s">
        <v>70</v>
      </c>
      <c r="W2" s="23" t="s">
        <v>70</v>
      </c>
      <c r="X2" s="7" t="s">
        <v>65</v>
      </c>
      <c r="Y2" s="6" t="s">
        <v>65</v>
      </c>
      <c r="Z2" s="7" t="s">
        <v>57</v>
      </c>
      <c r="AA2" s="6" t="s">
        <v>57</v>
      </c>
      <c r="AB2" s="19" t="s">
        <v>70</v>
      </c>
      <c r="AC2" s="23" t="s">
        <v>70</v>
      </c>
      <c r="AD2" s="7" t="s">
        <v>65</v>
      </c>
      <c r="AE2" s="6" t="s">
        <v>65</v>
      </c>
      <c r="AF2" s="7" t="s">
        <v>57</v>
      </c>
      <c r="AG2" s="6" t="s">
        <v>57</v>
      </c>
      <c r="AH2" s="19" t="s">
        <v>70</v>
      </c>
      <c r="AI2" s="23" t="s">
        <v>70</v>
      </c>
      <c r="AJ2" s="7" t="s">
        <v>65</v>
      </c>
      <c r="AK2" s="6" t="s">
        <v>65</v>
      </c>
      <c r="AL2" s="7" t="s">
        <v>57</v>
      </c>
      <c r="AM2" s="6" t="s">
        <v>57</v>
      </c>
      <c r="AN2" s="19" t="s">
        <v>70</v>
      </c>
      <c r="AO2" s="23" t="s">
        <v>70</v>
      </c>
      <c r="AP2" s="7" t="s">
        <v>65</v>
      </c>
      <c r="AQ2" s="6" t="s">
        <v>65</v>
      </c>
      <c r="AR2" s="7" t="s">
        <v>57</v>
      </c>
      <c r="AS2" s="6" t="s">
        <v>57</v>
      </c>
      <c r="AT2" s="19" t="s">
        <v>70</v>
      </c>
      <c r="AU2" s="23" t="s">
        <v>70</v>
      </c>
      <c r="AV2" s="7" t="s">
        <v>65</v>
      </c>
      <c r="AW2" s="6" t="s">
        <v>65</v>
      </c>
      <c r="AX2" s="7" t="s">
        <v>57</v>
      </c>
      <c r="AY2" s="6" t="s">
        <v>57</v>
      </c>
      <c r="AZ2" s="19" t="s">
        <v>70</v>
      </c>
      <c r="BA2" s="23" t="s">
        <v>70</v>
      </c>
      <c r="BB2" s="7" t="s">
        <v>65</v>
      </c>
      <c r="BC2" s="6" t="s">
        <v>65</v>
      </c>
      <c r="BD2" s="7" t="s">
        <v>57</v>
      </c>
      <c r="BE2" s="6" t="s">
        <v>57</v>
      </c>
      <c r="BF2" s="19" t="s">
        <v>70</v>
      </c>
      <c r="BG2" s="23" t="s">
        <v>70</v>
      </c>
      <c r="BH2" s="7" t="s">
        <v>65</v>
      </c>
      <c r="BI2" s="6" t="s">
        <v>65</v>
      </c>
      <c r="BJ2" s="7" t="s">
        <v>57</v>
      </c>
      <c r="BK2" s="6" t="s">
        <v>57</v>
      </c>
      <c r="BL2" s="19" t="s">
        <v>70</v>
      </c>
      <c r="BM2" s="23" t="s">
        <v>70</v>
      </c>
      <c r="BN2" s="7" t="s">
        <v>65</v>
      </c>
      <c r="BO2" s="6" t="s">
        <v>65</v>
      </c>
      <c r="BP2" s="7" t="s">
        <v>57</v>
      </c>
      <c r="BQ2" s="6" t="s">
        <v>57</v>
      </c>
      <c r="BR2" s="19" t="s">
        <v>70</v>
      </c>
      <c r="BS2" s="23" t="s">
        <v>70</v>
      </c>
      <c r="BT2" s="7" t="s">
        <v>65</v>
      </c>
      <c r="BU2" s="6" t="s">
        <v>65</v>
      </c>
      <c r="BV2" s="7" t="s">
        <v>57</v>
      </c>
      <c r="BW2" s="6" t="s">
        <v>57</v>
      </c>
      <c r="BX2" s="19" t="s">
        <v>70</v>
      </c>
      <c r="BY2" s="23" t="s">
        <v>70</v>
      </c>
      <c r="BZ2" s="7" t="s">
        <v>65</v>
      </c>
      <c r="CA2" s="6" t="s">
        <v>65</v>
      </c>
      <c r="CB2" s="7" t="s">
        <v>57</v>
      </c>
      <c r="CC2" s="6" t="s">
        <v>57</v>
      </c>
      <c r="CD2" s="19" t="s">
        <v>70</v>
      </c>
      <c r="CE2" s="23" t="s">
        <v>70</v>
      </c>
      <c r="CF2" s="7" t="s">
        <v>65</v>
      </c>
      <c r="CG2" s="6" t="s">
        <v>65</v>
      </c>
      <c r="CH2" s="7" t="s">
        <v>57</v>
      </c>
      <c r="CI2" s="6" t="s">
        <v>57</v>
      </c>
      <c r="CJ2" s="19" t="s">
        <v>70</v>
      </c>
      <c r="CK2" s="23" t="s">
        <v>70</v>
      </c>
      <c r="CL2" s="7" t="s">
        <v>65</v>
      </c>
      <c r="CM2" s="6" t="s">
        <v>65</v>
      </c>
      <c r="CN2" s="7" t="s">
        <v>57</v>
      </c>
      <c r="CO2" s="6" t="s">
        <v>57</v>
      </c>
      <c r="CP2" s="19" t="s">
        <v>70</v>
      </c>
      <c r="CQ2" s="23" t="s">
        <v>70</v>
      </c>
      <c r="CR2" s="7" t="s">
        <v>65</v>
      </c>
      <c r="CS2" s="6" t="s">
        <v>65</v>
      </c>
      <c r="CT2" s="7" t="s">
        <v>57</v>
      </c>
      <c r="CU2" s="6" t="s">
        <v>57</v>
      </c>
      <c r="CV2" s="19" t="s">
        <v>70</v>
      </c>
      <c r="CW2" s="23" t="s">
        <v>70</v>
      </c>
      <c r="CY2" s="7"/>
      <c r="CZ2" s="5"/>
      <c r="DA2" s="6"/>
    </row>
    <row r="3" spans="1:105" ht="15" thickBot="1" x14ac:dyDescent="0.4">
      <c r="B3" s="5" t="s">
        <v>129</v>
      </c>
      <c r="E3" s="7"/>
      <c r="F3" s="29">
        <f>INDEX(Service!$I$4:$J$78,MATCH('Required Capacity (Hide)'!F$1,Service!$B$4:$B$78,0),1)/IF(Summary!$B$7="Minutes",1,60)</f>
        <v>0</v>
      </c>
      <c r="G3" s="31"/>
      <c r="H3" s="29">
        <f>INDEX(Service!$I$4:$J$78,MATCH('Required Capacity (Hide)'!F$1,Service!$B$4:$B$78,0),2)/IF(Summary!$B$7="Minutes",1,60)</f>
        <v>0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</v>
      </c>
      <c r="U3" s="31"/>
      <c r="V3" s="30"/>
      <c r="W3" s="31"/>
      <c r="X3" s="29">
        <f>INDEX(Service!$I$4:$J$78,MATCH('Required Capacity (Hide)'!X$1,Service!$B$4:$B$78,0),1)/IF(Summary!$B$7="Minutes",1,60)</f>
        <v>0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0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16</v>
      </c>
      <c r="B4" s="36" t="s">
        <v>61</v>
      </c>
      <c r="C4" s="31" t="s">
        <v>62</v>
      </c>
      <c r="E4" s="17" t="s">
        <v>64</v>
      </c>
      <c r="F4" s="24" t="s">
        <v>66</v>
      </c>
      <c r="G4" s="26" t="s">
        <v>67</v>
      </c>
      <c r="H4" s="24" t="s">
        <v>66</v>
      </c>
      <c r="I4" s="26" t="s">
        <v>67</v>
      </c>
      <c r="J4" s="25" t="s">
        <v>58</v>
      </c>
      <c r="K4" s="26" t="s">
        <v>67</v>
      </c>
      <c r="L4" s="24" t="s">
        <v>66</v>
      </c>
      <c r="M4" s="26" t="s">
        <v>67</v>
      </c>
      <c r="N4" s="24" t="s">
        <v>66</v>
      </c>
      <c r="O4" s="26" t="s">
        <v>67</v>
      </c>
      <c r="P4" s="25" t="s">
        <v>58</v>
      </c>
      <c r="Q4" s="26" t="s">
        <v>67</v>
      </c>
      <c r="R4" s="24" t="s">
        <v>66</v>
      </c>
      <c r="S4" s="26" t="s">
        <v>67</v>
      </c>
      <c r="T4" s="24" t="s">
        <v>66</v>
      </c>
      <c r="U4" s="26" t="s">
        <v>67</v>
      </c>
      <c r="V4" s="25" t="s">
        <v>58</v>
      </c>
      <c r="W4" s="26" t="s">
        <v>67</v>
      </c>
      <c r="X4" s="24" t="s">
        <v>66</v>
      </c>
      <c r="Y4" s="26" t="s">
        <v>67</v>
      </c>
      <c r="Z4" s="24" t="s">
        <v>66</v>
      </c>
      <c r="AA4" s="26" t="s">
        <v>67</v>
      </c>
      <c r="AB4" s="25" t="s">
        <v>58</v>
      </c>
      <c r="AC4" s="26" t="s">
        <v>67</v>
      </c>
      <c r="AD4" s="24" t="s">
        <v>66</v>
      </c>
      <c r="AE4" s="26" t="s">
        <v>67</v>
      </c>
      <c r="AF4" s="24" t="s">
        <v>66</v>
      </c>
      <c r="AG4" s="26" t="s">
        <v>67</v>
      </c>
      <c r="AH4" s="25" t="s">
        <v>58</v>
      </c>
      <c r="AI4" s="26" t="s">
        <v>67</v>
      </c>
      <c r="AJ4" s="24" t="s">
        <v>66</v>
      </c>
      <c r="AK4" s="26" t="s">
        <v>67</v>
      </c>
      <c r="AL4" s="24" t="s">
        <v>66</v>
      </c>
      <c r="AM4" s="26" t="s">
        <v>67</v>
      </c>
      <c r="AN4" s="25" t="s">
        <v>58</v>
      </c>
      <c r="AO4" s="26" t="s">
        <v>67</v>
      </c>
      <c r="AP4" s="24" t="s">
        <v>66</v>
      </c>
      <c r="AQ4" s="26" t="s">
        <v>67</v>
      </c>
      <c r="AR4" s="24" t="s">
        <v>66</v>
      </c>
      <c r="AS4" s="26" t="s">
        <v>67</v>
      </c>
      <c r="AT4" s="25" t="s">
        <v>58</v>
      </c>
      <c r="AU4" s="26" t="s">
        <v>67</v>
      </c>
      <c r="AV4" s="24" t="s">
        <v>66</v>
      </c>
      <c r="AW4" s="26" t="s">
        <v>67</v>
      </c>
      <c r="AX4" s="24" t="s">
        <v>66</v>
      </c>
      <c r="AY4" s="26" t="s">
        <v>67</v>
      </c>
      <c r="AZ4" s="25" t="s">
        <v>58</v>
      </c>
      <c r="BA4" s="26" t="s">
        <v>67</v>
      </c>
      <c r="BB4" s="24" t="s">
        <v>66</v>
      </c>
      <c r="BC4" s="26" t="s">
        <v>67</v>
      </c>
      <c r="BD4" s="24" t="s">
        <v>66</v>
      </c>
      <c r="BE4" s="26" t="s">
        <v>67</v>
      </c>
      <c r="BF4" s="25" t="s">
        <v>58</v>
      </c>
      <c r="BG4" s="26" t="s">
        <v>67</v>
      </c>
      <c r="BH4" s="24" t="s">
        <v>66</v>
      </c>
      <c r="BI4" s="26" t="s">
        <v>67</v>
      </c>
      <c r="BJ4" s="24" t="s">
        <v>66</v>
      </c>
      <c r="BK4" s="26" t="s">
        <v>67</v>
      </c>
      <c r="BL4" s="25" t="s">
        <v>58</v>
      </c>
      <c r="BM4" s="26" t="s">
        <v>67</v>
      </c>
      <c r="BN4" s="24" t="s">
        <v>66</v>
      </c>
      <c r="BO4" s="26" t="s">
        <v>67</v>
      </c>
      <c r="BP4" s="24" t="s">
        <v>66</v>
      </c>
      <c r="BQ4" s="26" t="s">
        <v>67</v>
      </c>
      <c r="BR4" s="25" t="s">
        <v>58</v>
      </c>
      <c r="BS4" s="26" t="s">
        <v>67</v>
      </c>
      <c r="BT4" s="24" t="s">
        <v>66</v>
      </c>
      <c r="BU4" s="26" t="s">
        <v>67</v>
      </c>
      <c r="BV4" s="24" t="s">
        <v>66</v>
      </c>
      <c r="BW4" s="26" t="s">
        <v>67</v>
      </c>
      <c r="BX4" s="25" t="s">
        <v>58</v>
      </c>
      <c r="BY4" s="26" t="s">
        <v>67</v>
      </c>
      <c r="BZ4" s="24" t="s">
        <v>66</v>
      </c>
      <c r="CA4" s="26" t="s">
        <v>67</v>
      </c>
      <c r="CB4" s="24" t="s">
        <v>66</v>
      </c>
      <c r="CC4" s="26" t="s">
        <v>67</v>
      </c>
      <c r="CD4" s="25" t="s">
        <v>58</v>
      </c>
      <c r="CE4" s="26" t="s">
        <v>67</v>
      </c>
      <c r="CF4" s="24" t="s">
        <v>66</v>
      </c>
      <c r="CG4" s="26" t="s">
        <v>67</v>
      </c>
      <c r="CH4" s="24" t="s">
        <v>66</v>
      </c>
      <c r="CI4" s="26" t="s">
        <v>67</v>
      </c>
      <c r="CJ4" s="25" t="s">
        <v>58</v>
      </c>
      <c r="CK4" s="26" t="s">
        <v>67</v>
      </c>
      <c r="CL4" s="24" t="s">
        <v>66</v>
      </c>
      <c r="CM4" s="26" t="s">
        <v>67</v>
      </c>
      <c r="CN4" s="24" t="s">
        <v>66</v>
      </c>
      <c r="CO4" s="26" t="s">
        <v>67</v>
      </c>
      <c r="CP4" s="25" t="s">
        <v>58</v>
      </c>
      <c r="CQ4" s="26" t="s">
        <v>67</v>
      </c>
      <c r="CR4" s="24" t="s">
        <v>58</v>
      </c>
      <c r="CS4" s="26" t="s">
        <v>67</v>
      </c>
      <c r="CT4" s="24" t="s">
        <v>58</v>
      </c>
      <c r="CU4" s="26" t="s">
        <v>67</v>
      </c>
      <c r="CV4" s="25" t="s">
        <v>58</v>
      </c>
      <c r="CW4" s="26" t="s">
        <v>67</v>
      </c>
      <c r="CY4" s="29" t="s">
        <v>66</v>
      </c>
      <c r="CZ4" s="30" t="s">
        <v>67</v>
      </c>
      <c r="DA4" s="31" t="s">
        <v>47</v>
      </c>
    </row>
    <row r="5" spans="1:105" x14ac:dyDescent="0.35">
      <c r="A5" s="7" t="str">
        <f>'Data Validation (Hide)'!B2</f>
        <v>Caseload 1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0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1</v>
      </c>
      <c r="E5" s="12" t="e" cm="1" vm="1">
        <f t="array" aca="1" ref="E5" ca="1">INDEX(Demand!C9:C268,Demand!A8,1)+7</f>
        <v>#VALUE!</v>
      </c>
      <c r="F5" s="7">
        <f>INDEX($B$5:$C$19,MATCH(F$1,$A$5:$A$19,0),1)*F$3</f>
        <v>0</v>
      </c>
      <c r="G5" s="6">
        <f>INDEX($B$5:$C$19,MATCH(F$1,$A$5:$A$19,0),2)*F$3</f>
        <v>0</v>
      </c>
      <c r="H5" s="7">
        <f>INDEX($B$5:$C$19,MATCH(F$1,$A$5:$A$19,0),1)*H$3</f>
        <v>0</v>
      </c>
      <c r="I5" s="6">
        <f>INDEX($B$5:$C$19,MATCH(F$1,$A$5:$A$19,0),2)*H$3</f>
        <v>0</v>
      </c>
      <c r="J5" s="5">
        <f>SUMIF(F$4:I$4,J$4,F5:I5)</f>
        <v>0</v>
      </c>
      <c r="K5" s="6">
        <f>SUMIF(F$4:I$4,K$4,F5:I5)</f>
        <v>0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0</v>
      </c>
      <c r="Q5" s="6">
        <f>SUMIF(L$4:O$4,Q$4,L5:O5)</f>
        <v>0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0</v>
      </c>
      <c r="CS5" s="6">
        <f t="shared" si="0"/>
        <v>0</v>
      </c>
      <c r="CT5" s="7">
        <f t="shared" si="0"/>
        <v>0</v>
      </c>
      <c r="CU5" s="6">
        <f t="shared" si="0"/>
        <v>0</v>
      </c>
      <c r="CV5" s="5">
        <f>SUM(CR5,CT5)</f>
        <v>0</v>
      </c>
      <c r="CW5" s="6">
        <f>SUM(CS5,CU5)</f>
        <v>0</v>
      </c>
      <c r="CY5" s="7">
        <f t="array" ref="CY5:CY56">Summary_LowerBound</f>
        <v>0</v>
      </c>
      <c r="CZ5" s="5">
        <f t="array" ref="CZ5">Summary_UpperBound</f>
        <v>0</v>
      </c>
      <c r="DA5" s="6">
        <f>CZ5-CY5</f>
        <v>0</v>
      </c>
    </row>
    <row r="6" spans="1:105" x14ac:dyDescent="0.35">
      <c r="A6" s="7" t="str">
        <f>'Data Validation (Hide)'!B3</f>
        <v>Caseload 2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0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</v>
      </c>
      <c r="E6" s="12" t="e" vm="2">
        <f ca="1">E5+7</f>
        <v>#VALUE!</v>
      </c>
      <c r="F6" s="7">
        <f t="shared" ref="F6:F56" si="1">INDEX($B$5:$C$19,MATCH(F$1,$A$5:$A$19,0),1)*F$3</f>
        <v>0</v>
      </c>
      <c r="G6" s="6">
        <f t="shared" ref="G6:G56" si="2">INDEX($B$5:$C$19,MATCH(F$1,$A$5:$A$19,0),2)*F$3</f>
        <v>0</v>
      </c>
      <c r="H6" s="7">
        <f t="shared" ref="H6:H56" si="3">INDEX($B$5:$C$19,MATCH(F$1,$A$5:$A$19,0),1)*H$3</f>
        <v>0</v>
      </c>
      <c r="I6" s="6">
        <f t="shared" ref="I6:I56" si="4">INDEX($B$5:$C$19,MATCH(F$1,$A$5:$A$19,0),2)*H$3</f>
        <v>0</v>
      </c>
      <c r="J6" s="5">
        <f t="shared" ref="J6:J56" si="5">SUMIF(F$4:I$4,J$4,F6:I6)</f>
        <v>0</v>
      </c>
      <c r="K6" s="6">
        <f t="shared" ref="K6:K56" si="6">SUMIF(F$4:I$4,K$4,F6:I6)</f>
        <v>0</v>
      </c>
      <c r="L6" s="7">
        <f t="shared" ref="L6:L56" si="7">INDEX($B$5:$C$19,MATCH(L$1,$A$5:$A$19,0),1)*L$3</f>
        <v>0</v>
      </c>
      <c r="M6" s="6">
        <f t="shared" ref="M6:M56" si="8">INDEX($B$5:$C$19,MATCH(L$1,$A$5:$A$19,0),2)*L$3</f>
        <v>0</v>
      </c>
      <c r="N6" s="7">
        <f t="shared" ref="N6:N56" si="9">INDEX($B$5:$C$19,MATCH(L$1,$A$5:$A$19,0),1)*N$3</f>
        <v>0</v>
      </c>
      <c r="O6" s="6">
        <f t="shared" ref="O6:O56" si="10">INDEX($B$5:$C$19,MATCH(L$1,$A$5:$A$19,0),2)*N$3</f>
        <v>0</v>
      </c>
      <c r="P6" s="5">
        <f t="shared" ref="P6:P56" si="11">SUMIF(L$4:O$4,P$4,L6:O6)</f>
        <v>0</v>
      </c>
      <c r="Q6" s="6">
        <f t="shared" ref="Q6:Q56" si="12">SUMIF(L$4:O$4,Q$4,L6:O6)</f>
        <v>0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0</v>
      </c>
      <c r="U6" s="6">
        <f t="shared" ref="U6:U56" si="16">INDEX($B$5:$C$19,MATCH(R$1,$A$5:$A$19,0),2)*T$3</f>
        <v>0</v>
      </c>
      <c r="V6" s="5">
        <f t="shared" ref="V6:V56" si="17">SUMIF(R$4:U$4,V$4,R6:U6)</f>
        <v>0</v>
      </c>
      <c r="W6" s="6">
        <f t="shared" ref="W6:W56" si="18">SUMIF(R$4:U$4,W$4,R6:U6)</f>
        <v>0</v>
      </c>
      <c r="X6" s="7">
        <f t="shared" ref="X6:X56" si="19">INDEX($B$5:$C$19,MATCH(X$1,$A$5:$A$19,0),1)*X$3</f>
        <v>0</v>
      </c>
      <c r="Y6" s="6">
        <f t="shared" ref="Y6:Y56" si="20">INDEX($B$5:$C$19,MATCH(X$1,$A$5:$A$19,0),2)*X$3</f>
        <v>0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0</v>
      </c>
      <c r="AC6" s="6">
        <f t="shared" ref="AC6:AC56" si="24">SUMIF(X$4:AA$4,AC$4,X6:AA6)</f>
        <v>0</v>
      </c>
      <c r="AD6" s="7">
        <f t="shared" ref="AD6:AD56" si="25">INDEX($B$5:$C$19,MATCH(AD$1,$A$5:$A$19,0),1)*AD$3</f>
        <v>0</v>
      </c>
      <c r="AE6" s="6">
        <f t="shared" ref="AE6:AE56" si="26">INDEX($B$5:$C$19,MATCH(AD$1,$A$5:$A$19,0),2)*AD$3</f>
        <v>0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0</v>
      </c>
      <c r="AI6" s="6">
        <f t="shared" ref="AI6:AI56" si="30">SUMIF(AD$4:AG$4,AI$4,AD6:AG6)</f>
        <v>0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0</v>
      </c>
      <c r="CS6" s="6">
        <f t="shared" si="0"/>
        <v>0</v>
      </c>
      <c r="CT6" s="7">
        <f t="shared" si="0"/>
        <v>0</v>
      </c>
      <c r="CU6" s="6">
        <f t="shared" si="0"/>
        <v>0</v>
      </c>
      <c r="CV6" s="5">
        <f t="shared" ref="CV6:CV56" si="91">SUM(CR6,CT6)</f>
        <v>0</v>
      </c>
      <c r="CW6" s="6">
        <f t="shared" ref="CW6:CW56" si="92">SUM(CS6,CU6)</f>
        <v>0</v>
      </c>
      <c r="CY6" s="7">
        <v>0</v>
      </c>
      <c r="CZ6" s="5">
        <f t="array" ref="CZ6">Summary_UpperBound</f>
        <v>0</v>
      </c>
      <c r="DA6" s="6">
        <f t="shared" ref="DA6:DA56" si="93">CZ6-CY6</f>
        <v>0</v>
      </c>
    </row>
    <row r="7" spans="1:105" x14ac:dyDescent="0.35">
      <c r="A7" s="7" t="str">
        <f>'Data Validation (Hide)'!B4</f>
        <v>Caseload 3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0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</v>
      </c>
      <c r="E7" s="12" t="e" vm="2">
        <f t="shared" ref="E7:E56" ca="1" si="94">E6+7</f>
        <v>#VALUE!</v>
      </c>
      <c r="F7" s="7">
        <f t="shared" si="1"/>
        <v>0</v>
      </c>
      <c r="G7" s="6">
        <f t="shared" si="2"/>
        <v>0</v>
      </c>
      <c r="H7" s="7">
        <f t="shared" si="3"/>
        <v>0</v>
      </c>
      <c r="I7" s="6">
        <f t="shared" si="4"/>
        <v>0</v>
      </c>
      <c r="J7" s="5">
        <f t="shared" si="5"/>
        <v>0</v>
      </c>
      <c r="K7" s="6">
        <f t="shared" si="6"/>
        <v>0</v>
      </c>
      <c r="L7" s="7">
        <f t="shared" si="7"/>
        <v>0</v>
      </c>
      <c r="M7" s="6">
        <f t="shared" si="8"/>
        <v>0</v>
      </c>
      <c r="N7" s="7">
        <f t="shared" si="9"/>
        <v>0</v>
      </c>
      <c r="O7" s="6">
        <f t="shared" si="10"/>
        <v>0</v>
      </c>
      <c r="P7" s="5">
        <f t="shared" si="11"/>
        <v>0</v>
      </c>
      <c r="Q7" s="6">
        <f t="shared" si="12"/>
        <v>0</v>
      </c>
      <c r="R7" s="7">
        <f t="shared" si="13"/>
        <v>0</v>
      </c>
      <c r="S7" s="6">
        <f t="shared" si="14"/>
        <v>0</v>
      </c>
      <c r="T7" s="7">
        <f t="shared" si="15"/>
        <v>0</v>
      </c>
      <c r="U7" s="6">
        <f t="shared" si="16"/>
        <v>0</v>
      </c>
      <c r="V7" s="5">
        <f t="shared" si="17"/>
        <v>0</v>
      </c>
      <c r="W7" s="6">
        <f t="shared" si="18"/>
        <v>0</v>
      </c>
      <c r="X7" s="7">
        <f t="shared" si="19"/>
        <v>0</v>
      </c>
      <c r="Y7" s="6">
        <f t="shared" si="20"/>
        <v>0</v>
      </c>
      <c r="Z7" s="7">
        <f t="shared" si="21"/>
        <v>0</v>
      </c>
      <c r="AA7" s="6">
        <f t="shared" si="22"/>
        <v>0</v>
      </c>
      <c r="AB7" s="5">
        <f t="shared" si="23"/>
        <v>0</v>
      </c>
      <c r="AC7" s="6">
        <f t="shared" si="24"/>
        <v>0</v>
      </c>
      <c r="AD7" s="7">
        <f t="shared" si="25"/>
        <v>0</v>
      </c>
      <c r="AE7" s="6">
        <f t="shared" si="26"/>
        <v>0</v>
      </c>
      <c r="AF7" s="7">
        <f t="shared" si="27"/>
        <v>0</v>
      </c>
      <c r="AG7" s="6">
        <f t="shared" si="28"/>
        <v>0</v>
      </c>
      <c r="AH7" s="5">
        <f t="shared" si="29"/>
        <v>0</v>
      </c>
      <c r="AI7" s="6">
        <f t="shared" si="30"/>
        <v>0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0</v>
      </c>
      <c r="CS7" s="6">
        <f t="shared" si="0"/>
        <v>0</v>
      </c>
      <c r="CT7" s="7">
        <f t="shared" si="0"/>
        <v>0</v>
      </c>
      <c r="CU7" s="6">
        <f t="shared" si="0"/>
        <v>0</v>
      </c>
      <c r="CV7" s="5">
        <f t="shared" si="91"/>
        <v>0</v>
      </c>
      <c r="CW7" s="6">
        <f t="shared" si="92"/>
        <v>0</v>
      </c>
      <c r="CY7" s="7">
        <v>0</v>
      </c>
      <c r="CZ7" s="5">
        <f t="array" ref="CZ7">Summary_UpperBound</f>
        <v>0</v>
      </c>
      <c r="DA7" s="6">
        <f t="shared" si="93"/>
        <v>0</v>
      </c>
    </row>
    <row r="8" spans="1:105" x14ac:dyDescent="0.35">
      <c r="A8" s="7" t="str">
        <f>'Data Validation (Hide)'!B5</f>
        <v>Caseload 4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1</v>
      </c>
      <c r="E8" s="12" t="e" vm="2">
        <f t="shared" ca="1" si="94"/>
        <v>#VALUE!</v>
      </c>
      <c r="F8" s="7">
        <f t="shared" si="1"/>
        <v>0</v>
      </c>
      <c r="G8" s="6">
        <f t="shared" si="2"/>
        <v>0</v>
      </c>
      <c r="H8" s="7">
        <f t="shared" si="3"/>
        <v>0</v>
      </c>
      <c r="I8" s="6">
        <f t="shared" si="4"/>
        <v>0</v>
      </c>
      <c r="J8" s="5">
        <f t="shared" si="5"/>
        <v>0</v>
      </c>
      <c r="K8" s="6">
        <f t="shared" si="6"/>
        <v>0</v>
      </c>
      <c r="L8" s="7">
        <f t="shared" si="7"/>
        <v>0</v>
      </c>
      <c r="M8" s="6">
        <f t="shared" si="8"/>
        <v>0</v>
      </c>
      <c r="N8" s="7">
        <f t="shared" si="9"/>
        <v>0</v>
      </c>
      <c r="O8" s="6">
        <f t="shared" si="10"/>
        <v>0</v>
      </c>
      <c r="P8" s="5">
        <f t="shared" si="11"/>
        <v>0</v>
      </c>
      <c r="Q8" s="6">
        <f t="shared" si="12"/>
        <v>0</v>
      </c>
      <c r="R8" s="7">
        <f t="shared" si="13"/>
        <v>0</v>
      </c>
      <c r="S8" s="6">
        <f t="shared" si="14"/>
        <v>0</v>
      </c>
      <c r="T8" s="7">
        <f t="shared" si="15"/>
        <v>0</v>
      </c>
      <c r="U8" s="6">
        <f t="shared" si="16"/>
        <v>0</v>
      </c>
      <c r="V8" s="5">
        <f t="shared" si="17"/>
        <v>0</v>
      </c>
      <c r="W8" s="6">
        <f t="shared" si="18"/>
        <v>0</v>
      </c>
      <c r="X8" s="7">
        <f t="shared" si="19"/>
        <v>0</v>
      </c>
      <c r="Y8" s="6">
        <f t="shared" si="20"/>
        <v>0</v>
      </c>
      <c r="Z8" s="7">
        <f t="shared" si="21"/>
        <v>0</v>
      </c>
      <c r="AA8" s="6">
        <f t="shared" si="22"/>
        <v>0</v>
      </c>
      <c r="AB8" s="5">
        <f t="shared" si="23"/>
        <v>0</v>
      </c>
      <c r="AC8" s="6">
        <f t="shared" si="24"/>
        <v>0</v>
      </c>
      <c r="AD8" s="7">
        <f t="shared" si="25"/>
        <v>0</v>
      </c>
      <c r="AE8" s="6">
        <f t="shared" si="26"/>
        <v>0</v>
      </c>
      <c r="AF8" s="7">
        <f t="shared" si="27"/>
        <v>0</v>
      </c>
      <c r="AG8" s="6">
        <f t="shared" si="28"/>
        <v>0</v>
      </c>
      <c r="AH8" s="5">
        <f t="shared" si="29"/>
        <v>0</v>
      </c>
      <c r="AI8" s="6">
        <f t="shared" si="30"/>
        <v>0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0</v>
      </c>
      <c r="CS8" s="6">
        <f t="shared" si="0"/>
        <v>0</v>
      </c>
      <c r="CT8" s="7">
        <f t="shared" si="0"/>
        <v>0</v>
      </c>
      <c r="CU8" s="6">
        <f t="shared" si="0"/>
        <v>0</v>
      </c>
      <c r="CV8" s="5">
        <f t="shared" si="91"/>
        <v>0</v>
      </c>
      <c r="CW8" s="6">
        <f t="shared" si="92"/>
        <v>0</v>
      </c>
      <c r="CY8" s="7">
        <v>0</v>
      </c>
      <c r="CZ8" s="5">
        <f t="array" ref="CZ8">Summary_UpperBound</f>
        <v>0</v>
      </c>
      <c r="DA8" s="6">
        <f t="shared" si="93"/>
        <v>0</v>
      </c>
    </row>
    <row r="9" spans="1:105" x14ac:dyDescent="0.35">
      <c r="A9" s="7" t="str">
        <f>'Data Validation (Hide)'!B6</f>
        <v>Caseload 5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1</v>
      </c>
      <c r="E9" s="12" t="e" vm="2">
        <f t="shared" ca="1" si="94"/>
        <v>#VALUE!</v>
      </c>
      <c r="F9" s="7">
        <f t="shared" si="1"/>
        <v>0</v>
      </c>
      <c r="G9" s="6">
        <f t="shared" si="2"/>
        <v>0</v>
      </c>
      <c r="H9" s="7">
        <f t="shared" si="3"/>
        <v>0</v>
      </c>
      <c r="I9" s="6">
        <f t="shared" si="4"/>
        <v>0</v>
      </c>
      <c r="J9" s="5">
        <f t="shared" si="5"/>
        <v>0</v>
      </c>
      <c r="K9" s="6">
        <f t="shared" si="6"/>
        <v>0</v>
      </c>
      <c r="L9" s="7">
        <f t="shared" si="7"/>
        <v>0</v>
      </c>
      <c r="M9" s="6">
        <f t="shared" si="8"/>
        <v>0</v>
      </c>
      <c r="N9" s="7">
        <f t="shared" si="9"/>
        <v>0</v>
      </c>
      <c r="O9" s="6">
        <f t="shared" si="10"/>
        <v>0</v>
      </c>
      <c r="P9" s="5">
        <f t="shared" si="11"/>
        <v>0</v>
      </c>
      <c r="Q9" s="6">
        <f t="shared" si="12"/>
        <v>0</v>
      </c>
      <c r="R9" s="7">
        <f t="shared" si="13"/>
        <v>0</v>
      </c>
      <c r="S9" s="6">
        <f t="shared" si="14"/>
        <v>0</v>
      </c>
      <c r="T9" s="7">
        <f t="shared" si="15"/>
        <v>0</v>
      </c>
      <c r="U9" s="6">
        <f t="shared" si="16"/>
        <v>0</v>
      </c>
      <c r="V9" s="5">
        <f t="shared" si="17"/>
        <v>0</v>
      </c>
      <c r="W9" s="6">
        <f t="shared" si="18"/>
        <v>0</v>
      </c>
      <c r="X9" s="7">
        <f t="shared" si="19"/>
        <v>0</v>
      </c>
      <c r="Y9" s="6">
        <f t="shared" si="20"/>
        <v>0</v>
      </c>
      <c r="Z9" s="7">
        <f t="shared" si="21"/>
        <v>0</v>
      </c>
      <c r="AA9" s="6">
        <f t="shared" si="22"/>
        <v>0</v>
      </c>
      <c r="AB9" s="5">
        <f t="shared" si="23"/>
        <v>0</v>
      </c>
      <c r="AC9" s="6">
        <f t="shared" si="24"/>
        <v>0</v>
      </c>
      <c r="AD9" s="7">
        <f t="shared" si="25"/>
        <v>0</v>
      </c>
      <c r="AE9" s="6">
        <f t="shared" si="26"/>
        <v>0</v>
      </c>
      <c r="AF9" s="7">
        <f t="shared" si="27"/>
        <v>0</v>
      </c>
      <c r="AG9" s="6">
        <f t="shared" si="28"/>
        <v>0</v>
      </c>
      <c r="AH9" s="5">
        <f t="shared" si="29"/>
        <v>0</v>
      </c>
      <c r="AI9" s="6">
        <f t="shared" si="30"/>
        <v>0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0</v>
      </c>
      <c r="CS9" s="6">
        <f t="shared" si="0"/>
        <v>0</v>
      </c>
      <c r="CT9" s="7">
        <f t="shared" si="0"/>
        <v>0</v>
      </c>
      <c r="CU9" s="6">
        <f t="shared" si="0"/>
        <v>0</v>
      </c>
      <c r="CV9" s="5">
        <f t="shared" si="91"/>
        <v>0</v>
      </c>
      <c r="CW9" s="6">
        <f t="shared" si="92"/>
        <v>0</v>
      </c>
      <c r="CY9" s="7">
        <v>0</v>
      </c>
      <c r="CZ9" s="5">
        <f t="array" ref="CZ9">Summary_UpperBound</f>
        <v>0</v>
      </c>
      <c r="DA9" s="6">
        <f t="shared" si="93"/>
        <v>0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 t="e" vm="2">
        <f t="shared" ca="1" si="94"/>
        <v>#VALUE!</v>
      </c>
      <c r="F10" s="7">
        <f t="shared" si="1"/>
        <v>0</v>
      </c>
      <c r="G10" s="6">
        <f t="shared" si="2"/>
        <v>0</v>
      </c>
      <c r="H10" s="7">
        <f t="shared" si="3"/>
        <v>0</v>
      </c>
      <c r="I10" s="6">
        <f t="shared" si="4"/>
        <v>0</v>
      </c>
      <c r="J10" s="5">
        <f t="shared" si="5"/>
        <v>0</v>
      </c>
      <c r="K10" s="6">
        <f t="shared" si="6"/>
        <v>0</v>
      </c>
      <c r="L10" s="7">
        <f t="shared" si="7"/>
        <v>0</v>
      </c>
      <c r="M10" s="6">
        <f t="shared" si="8"/>
        <v>0</v>
      </c>
      <c r="N10" s="7">
        <f t="shared" si="9"/>
        <v>0</v>
      </c>
      <c r="O10" s="6">
        <f t="shared" si="10"/>
        <v>0</v>
      </c>
      <c r="P10" s="5">
        <f t="shared" si="11"/>
        <v>0</v>
      </c>
      <c r="Q10" s="6">
        <f t="shared" si="12"/>
        <v>0</v>
      </c>
      <c r="R10" s="7">
        <f t="shared" si="13"/>
        <v>0</v>
      </c>
      <c r="S10" s="6">
        <f t="shared" si="14"/>
        <v>0</v>
      </c>
      <c r="T10" s="7">
        <f t="shared" si="15"/>
        <v>0</v>
      </c>
      <c r="U10" s="6">
        <f t="shared" si="16"/>
        <v>0</v>
      </c>
      <c r="V10" s="5">
        <f t="shared" si="17"/>
        <v>0</v>
      </c>
      <c r="W10" s="6">
        <f t="shared" si="18"/>
        <v>0</v>
      </c>
      <c r="X10" s="7">
        <f t="shared" si="19"/>
        <v>0</v>
      </c>
      <c r="Y10" s="6">
        <f t="shared" si="20"/>
        <v>0</v>
      </c>
      <c r="Z10" s="7">
        <f t="shared" si="21"/>
        <v>0</v>
      </c>
      <c r="AA10" s="6">
        <f t="shared" si="22"/>
        <v>0</v>
      </c>
      <c r="AB10" s="5">
        <f t="shared" si="23"/>
        <v>0</v>
      </c>
      <c r="AC10" s="6">
        <f t="shared" si="24"/>
        <v>0</v>
      </c>
      <c r="AD10" s="7">
        <f t="shared" si="25"/>
        <v>0</v>
      </c>
      <c r="AE10" s="6">
        <f t="shared" si="26"/>
        <v>0</v>
      </c>
      <c r="AF10" s="7">
        <f t="shared" si="27"/>
        <v>0</v>
      </c>
      <c r="AG10" s="6">
        <f t="shared" si="28"/>
        <v>0</v>
      </c>
      <c r="AH10" s="5">
        <f t="shared" si="29"/>
        <v>0</v>
      </c>
      <c r="AI10" s="6">
        <f t="shared" si="30"/>
        <v>0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0</v>
      </c>
      <c r="CS10" s="6">
        <f t="shared" si="0"/>
        <v>0</v>
      </c>
      <c r="CT10" s="7">
        <f t="shared" si="0"/>
        <v>0</v>
      </c>
      <c r="CU10" s="6">
        <f t="shared" si="0"/>
        <v>0</v>
      </c>
      <c r="CV10" s="5">
        <f t="shared" si="91"/>
        <v>0</v>
      </c>
      <c r="CW10" s="6">
        <f t="shared" si="92"/>
        <v>0</v>
      </c>
      <c r="CY10" s="7">
        <v>0</v>
      </c>
      <c r="CZ10" s="5">
        <f t="array" ref="CZ10">Summary_UpperBound</f>
        <v>0</v>
      </c>
      <c r="DA10" s="6">
        <f t="shared" si="93"/>
        <v>0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 t="e" vm="2">
        <f t="shared" ca="1" si="94"/>
        <v>#VALUE!</v>
      </c>
      <c r="F11" s="7">
        <f t="shared" si="1"/>
        <v>0</v>
      </c>
      <c r="G11" s="6">
        <f t="shared" si="2"/>
        <v>0</v>
      </c>
      <c r="H11" s="7">
        <f t="shared" si="3"/>
        <v>0</v>
      </c>
      <c r="I11" s="6">
        <f t="shared" si="4"/>
        <v>0</v>
      </c>
      <c r="J11" s="5">
        <f t="shared" si="5"/>
        <v>0</v>
      </c>
      <c r="K11" s="6">
        <f t="shared" si="6"/>
        <v>0</v>
      </c>
      <c r="L11" s="7">
        <f t="shared" si="7"/>
        <v>0</v>
      </c>
      <c r="M11" s="6">
        <f t="shared" si="8"/>
        <v>0</v>
      </c>
      <c r="N11" s="7">
        <f t="shared" si="9"/>
        <v>0</v>
      </c>
      <c r="O11" s="6">
        <f t="shared" si="10"/>
        <v>0</v>
      </c>
      <c r="P11" s="5">
        <f t="shared" si="11"/>
        <v>0</v>
      </c>
      <c r="Q11" s="6">
        <f t="shared" si="12"/>
        <v>0</v>
      </c>
      <c r="R11" s="7">
        <f t="shared" si="13"/>
        <v>0</v>
      </c>
      <c r="S11" s="6">
        <f t="shared" si="14"/>
        <v>0</v>
      </c>
      <c r="T11" s="7">
        <f t="shared" si="15"/>
        <v>0</v>
      </c>
      <c r="U11" s="6">
        <f t="shared" si="16"/>
        <v>0</v>
      </c>
      <c r="V11" s="5">
        <f t="shared" si="17"/>
        <v>0</v>
      </c>
      <c r="W11" s="6">
        <f t="shared" si="18"/>
        <v>0</v>
      </c>
      <c r="X11" s="7">
        <f t="shared" si="19"/>
        <v>0</v>
      </c>
      <c r="Y11" s="6">
        <f t="shared" si="20"/>
        <v>0</v>
      </c>
      <c r="Z11" s="7">
        <f t="shared" si="21"/>
        <v>0</v>
      </c>
      <c r="AA11" s="6">
        <f t="shared" si="22"/>
        <v>0</v>
      </c>
      <c r="AB11" s="5">
        <f t="shared" si="23"/>
        <v>0</v>
      </c>
      <c r="AC11" s="6">
        <f t="shared" si="24"/>
        <v>0</v>
      </c>
      <c r="AD11" s="7">
        <f t="shared" si="25"/>
        <v>0</v>
      </c>
      <c r="AE11" s="6">
        <f t="shared" si="26"/>
        <v>0</v>
      </c>
      <c r="AF11" s="7">
        <f t="shared" si="27"/>
        <v>0</v>
      </c>
      <c r="AG11" s="6">
        <f t="shared" si="28"/>
        <v>0</v>
      </c>
      <c r="AH11" s="5">
        <f t="shared" si="29"/>
        <v>0</v>
      </c>
      <c r="AI11" s="6">
        <f t="shared" si="30"/>
        <v>0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0</v>
      </c>
      <c r="CS11" s="6">
        <f t="shared" si="0"/>
        <v>0</v>
      </c>
      <c r="CT11" s="7">
        <f t="shared" si="0"/>
        <v>0</v>
      </c>
      <c r="CU11" s="6">
        <f t="shared" si="0"/>
        <v>0</v>
      </c>
      <c r="CV11" s="5">
        <f t="shared" si="91"/>
        <v>0</v>
      </c>
      <c r="CW11" s="6">
        <f t="shared" si="92"/>
        <v>0</v>
      </c>
      <c r="CY11" s="7">
        <v>0</v>
      </c>
      <c r="CZ11" s="5">
        <f t="array" ref="CZ11">Summary_UpperBound</f>
        <v>0</v>
      </c>
      <c r="DA11" s="6">
        <f t="shared" si="93"/>
        <v>0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 t="e" vm="2">
        <f t="shared" ca="1" si="94"/>
        <v>#VALUE!</v>
      </c>
      <c r="F12" s="7">
        <f t="shared" si="1"/>
        <v>0</v>
      </c>
      <c r="G12" s="6">
        <f t="shared" si="2"/>
        <v>0</v>
      </c>
      <c r="H12" s="7">
        <f t="shared" si="3"/>
        <v>0</v>
      </c>
      <c r="I12" s="6">
        <f t="shared" si="4"/>
        <v>0</v>
      </c>
      <c r="J12" s="5">
        <f t="shared" si="5"/>
        <v>0</v>
      </c>
      <c r="K12" s="6">
        <f t="shared" si="6"/>
        <v>0</v>
      </c>
      <c r="L12" s="7">
        <f t="shared" si="7"/>
        <v>0</v>
      </c>
      <c r="M12" s="6">
        <f t="shared" si="8"/>
        <v>0</v>
      </c>
      <c r="N12" s="7">
        <f t="shared" si="9"/>
        <v>0</v>
      </c>
      <c r="O12" s="6">
        <f t="shared" si="10"/>
        <v>0</v>
      </c>
      <c r="P12" s="5">
        <f t="shared" si="11"/>
        <v>0</v>
      </c>
      <c r="Q12" s="6">
        <f t="shared" si="12"/>
        <v>0</v>
      </c>
      <c r="R12" s="7">
        <f t="shared" si="13"/>
        <v>0</v>
      </c>
      <c r="S12" s="6">
        <f t="shared" si="14"/>
        <v>0</v>
      </c>
      <c r="T12" s="7">
        <f t="shared" si="15"/>
        <v>0</v>
      </c>
      <c r="U12" s="6">
        <f t="shared" si="16"/>
        <v>0</v>
      </c>
      <c r="V12" s="5">
        <f t="shared" si="17"/>
        <v>0</v>
      </c>
      <c r="W12" s="6">
        <f t="shared" si="18"/>
        <v>0</v>
      </c>
      <c r="X12" s="7">
        <f t="shared" si="19"/>
        <v>0</v>
      </c>
      <c r="Y12" s="6">
        <f t="shared" si="20"/>
        <v>0</v>
      </c>
      <c r="Z12" s="7">
        <f t="shared" si="21"/>
        <v>0</v>
      </c>
      <c r="AA12" s="6">
        <f t="shared" si="22"/>
        <v>0</v>
      </c>
      <c r="AB12" s="5">
        <f t="shared" si="23"/>
        <v>0</v>
      </c>
      <c r="AC12" s="6">
        <f t="shared" si="24"/>
        <v>0</v>
      </c>
      <c r="AD12" s="7">
        <f t="shared" si="25"/>
        <v>0</v>
      </c>
      <c r="AE12" s="6">
        <f t="shared" si="26"/>
        <v>0</v>
      </c>
      <c r="AF12" s="7">
        <f t="shared" si="27"/>
        <v>0</v>
      </c>
      <c r="AG12" s="6">
        <f t="shared" si="28"/>
        <v>0</v>
      </c>
      <c r="AH12" s="5">
        <f t="shared" si="29"/>
        <v>0</v>
      </c>
      <c r="AI12" s="6">
        <f t="shared" si="30"/>
        <v>0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0</v>
      </c>
      <c r="CS12" s="6">
        <f t="shared" si="0"/>
        <v>0</v>
      </c>
      <c r="CT12" s="7">
        <f t="shared" si="0"/>
        <v>0</v>
      </c>
      <c r="CU12" s="6">
        <f t="shared" si="0"/>
        <v>0</v>
      </c>
      <c r="CV12" s="5">
        <f t="shared" si="91"/>
        <v>0</v>
      </c>
      <c r="CW12" s="6">
        <f t="shared" si="92"/>
        <v>0</v>
      </c>
      <c r="CY12" s="7">
        <v>0</v>
      </c>
      <c r="CZ12" s="5">
        <f t="array" ref="CZ12">Summary_UpperBound</f>
        <v>0</v>
      </c>
      <c r="DA12" s="6">
        <f t="shared" si="93"/>
        <v>0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 t="e" vm="2">
        <f t="shared" ca="1" si="94"/>
        <v>#VALUE!</v>
      </c>
      <c r="F13" s="7">
        <f t="shared" si="1"/>
        <v>0</v>
      </c>
      <c r="G13" s="6">
        <f t="shared" si="2"/>
        <v>0</v>
      </c>
      <c r="H13" s="7">
        <f t="shared" si="3"/>
        <v>0</v>
      </c>
      <c r="I13" s="6">
        <f t="shared" si="4"/>
        <v>0</v>
      </c>
      <c r="J13" s="5">
        <f t="shared" si="5"/>
        <v>0</v>
      </c>
      <c r="K13" s="6">
        <f t="shared" si="6"/>
        <v>0</v>
      </c>
      <c r="L13" s="7">
        <f t="shared" si="7"/>
        <v>0</v>
      </c>
      <c r="M13" s="6">
        <f t="shared" si="8"/>
        <v>0</v>
      </c>
      <c r="N13" s="7">
        <f t="shared" si="9"/>
        <v>0</v>
      </c>
      <c r="O13" s="6">
        <f t="shared" si="10"/>
        <v>0</v>
      </c>
      <c r="P13" s="5">
        <f t="shared" si="11"/>
        <v>0</v>
      </c>
      <c r="Q13" s="6">
        <f t="shared" si="12"/>
        <v>0</v>
      </c>
      <c r="R13" s="7">
        <f t="shared" si="13"/>
        <v>0</v>
      </c>
      <c r="S13" s="6">
        <f t="shared" si="14"/>
        <v>0</v>
      </c>
      <c r="T13" s="7">
        <f t="shared" si="15"/>
        <v>0</v>
      </c>
      <c r="U13" s="6">
        <f t="shared" si="16"/>
        <v>0</v>
      </c>
      <c r="V13" s="5">
        <f t="shared" si="17"/>
        <v>0</v>
      </c>
      <c r="W13" s="6">
        <f t="shared" si="18"/>
        <v>0</v>
      </c>
      <c r="X13" s="7">
        <f t="shared" si="19"/>
        <v>0</v>
      </c>
      <c r="Y13" s="6">
        <f t="shared" si="20"/>
        <v>0</v>
      </c>
      <c r="Z13" s="7">
        <f t="shared" si="21"/>
        <v>0</v>
      </c>
      <c r="AA13" s="6">
        <f t="shared" si="22"/>
        <v>0</v>
      </c>
      <c r="AB13" s="5">
        <f t="shared" si="23"/>
        <v>0</v>
      </c>
      <c r="AC13" s="6">
        <f t="shared" si="24"/>
        <v>0</v>
      </c>
      <c r="AD13" s="7">
        <f t="shared" si="25"/>
        <v>0</v>
      </c>
      <c r="AE13" s="6">
        <f t="shared" si="26"/>
        <v>0</v>
      </c>
      <c r="AF13" s="7">
        <f t="shared" si="27"/>
        <v>0</v>
      </c>
      <c r="AG13" s="6">
        <f t="shared" si="28"/>
        <v>0</v>
      </c>
      <c r="AH13" s="5">
        <f t="shared" si="29"/>
        <v>0</v>
      </c>
      <c r="AI13" s="6">
        <f t="shared" si="30"/>
        <v>0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0</v>
      </c>
      <c r="CS13" s="6">
        <f t="shared" si="0"/>
        <v>0</v>
      </c>
      <c r="CT13" s="7">
        <f t="shared" si="0"/>
        <v>0</v>
      </c>
      <c r="CU13" s="6">
        <f t="shared" si="0"/>
        <v>0</v>
      </c>
      <c r="CV13" s="5">
        <f t="shared" si="91"/>
        <v>0</v>
      </c>
      <c r="CW13" s="6">
        <f t="shared" si="92"/>
        <v>0</v>
      </c>
      <c r="CY13" s="7">
        <v>0</v>
      </c>
      <c r="CZ13" s="5">
        <f t="array" ref="CZ13">Summary_UpperBound</f>
        <v>0</v>
      </c>
      <c r="DA13" s="6">
        <f t="shared" si="93"/>
        <v>0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 t="e" vm="2">
        <f t="shared" ca="1" si="94"/>
        <v>#VALUE!</v>
      </c>
      <c r="F14" s="7">
        <f t="shared" si="1"/>
        <v>0</v>
      </c>
      <c r="G14" s="6">
        <f t="shared" si="2"/>
        <v>0</v>
      </c>
      <c r="H14" s="7">
        <f t="shared" si="3"/>
        <v>0</v>
      </c>
      <c r="I14" s="6">
        <f t="shared" si="4"/>
        <v>0</v>
      </c>
      <c r="J14" s="5">
        <f t="shared" si="5"/>
        <v>0</v>
      </c>
      <c r="K14" s="6">
        <f t="shared" si="6"/>
        <v>0</v>
      </c>
      <c r="L14" s="7">
        <f t="shared" si="7"/>
        <v>0</v>
      </c>
      <c r="M14" s="6">
        <f t="shared" si="8"/>
        <v>0</v>
      </c>
      <c r="N14" s="7">
        <f t="shared" si="9"/>
        <v>0</v>
      </c>
      <c r="O14" s="6">
        <f t="shared" si="10"/>
        <v>0</v>
      </c>
      <c r="P14" s="5">
        <f t="shared" si="11"/>
        <v>0</v>
      </c>
      <c r="Q14" s="6">
        <f t="shared" si="12"/>
        <v>0</v>
      </c>
      <c r="R14" s="7">
        <f t="shared" si="13"/>
        <v>0</v>
      </c>
      <c r="S14" s="6">
        <f t="shared" si="14"/>
        <v>0</v>
      </c>
      <c r="T14" s="7">
        <f t="shared" si="15"/>
        <v>0</v>
      </c>
      <c r="U14" s="6">
        <f t="shared" si="16"/>
        <v>0</v>
      </c>
      <c r="V14" s="5">
        <f t="shared" si="17"/>
        <v>0</v>
      </c>
      <c r="W14" s="6">
        <f t="shared" si="18"/>
        <v>0</v>
      </c>
      <c r="X14" s="7">
        <f t="shared" si="19"/>
        <v>0</v>
      </c>
      <c r="Y14" s="6">
        <f t="shared" si="20"/>
        <v>0</v>
      </c>
      <c r="Z14" s="7">
        <f t="shared" si="21"/>
        <v>0</v>
      </c>
      <c r="AA14" s="6">
        <f t="shared" si="22"/>
        <v>0</v>
      </c>
      <c r="AB14" s="5">
        <f t="shared" si="23"/>
        <v>0</v>
      </c>
      <c r="AC14" s="6">
        <f t="shared" si="24"/>
        <v>0</v>
      </c>
      <c r="AD14" s="7">
        <f t="shared" si="25"/>
        <v>0</v>
      </c>
      <c r="AE14" s="6">
        <f t="shared" si="26"/>
        <v>0</v>
      </c>
      <c r="AF14" s="7">
        <f t="shared" si="27"/>
        <v>0</v>
      </c>
      <c r="AG14" s="6">
        <f t="shared" si="28"/>
        <v>0</v>
      </c>
      <c r="AH14" s="5">
        <f t="shared" si="29"/>
        <v>0</v>
      </c>
      <c r="AI14" s="6">
        <f t="shared" si="30"/>
        <v>0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0</v>
      </c>
      <c r="CS14" s="6">
        <f t="shared" si="0"/>
        <v>0</v>
      </c>
      <c r="CT14" s="7">
        <f t="shared" si="0"/>
        <v>0</v>
      </c>
      <c r="CU14" s="6">
        <f t="shared" si="0"/>
        <v>0</v>
      </c>
      <c r="CV14" s="5">
        <f t="shared" si="91"/>
        <v>0</v>
      </c>
      <c r="CW14" s="6">
        <f t="shared" si="92"/>
        <v>0</v>
      </c>
      <c r="CY14" s="7">
        <v>0</v>
      </c>
      <c r="CZ14" s="5">
        <f t="array" ref="CZ14">Summary_UpperBound</f>
        <v>0</v>
      </c>
      <c r="DA14" s="6">
        <f t="shared" si="93"/>
        <v>0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 t="e" vm="2">
        <f t="shared" ca="1" si="94"/>
        <v>#VALUE!</v>
      </c>
      <c r="F15" s="7">
        <f t="shared" si="1"/>
        <v>0</v>
      </c>
      <c r="G15" s="6">
        <f t="shared" si="2"/>
        <v>0</v>
      </c>
      <c r="H15" s="7">
        <f t="shared" si="3"/>
        <v>0</v>
      </c>
      <c r="I15" s="6">
        <f t="shared" si="4"/>
        <v>0</v>
      </c>
      <c r="J15" s="5">
        <f t="shared" si="5"/>
        <v>0</v>
      </c>
      <c r="K15" s="6">
        <f t="shared" si="6"/>
        <v>0</v>
      </c>
      <c r="L15" s="7">
        <f t="shared" si="7"/>
        <v>0</v>
      </c>
      <c r="M15" s="6">
        <f t="shared" si="8"/>
        <v>0</v>
      </c>
      <c r="N15" s="7">
        <f t="shared" si="9"/>
        <v>0</v>
      </c>
      <c r="O15" s="6">
        <f t="shared" si="10"/>
        <v>0</v>
      </c>
      <c r="P15" s="5">
        <f t="shared" si="11"/>
        <v>0</v>
      </c>
      <c r="Q15" s="6">
        <f t="shared" si="12"/>
        <v>0</v>
      </c>
      <c r="R15" s="7">
        <f t="shared" si="13"/>
        <v>0</v>
      </c>
      <c r="S15" s="6">
        <f t="shared" si="14"/>
        <v>0</v>
      </c>
      <c r="T15" s="7">
        <f t="shared" si="15"/>
        <v>0</v>
      </c>
      <c r="U15" s="6">
        <f t="shared" si="16"/>
        <v>0</v>
      </c>
      <c r="V15" s="5">
        <f t="shared" si="17"/>
        <v>0</v>
      </c>
      <c r="W15" s="6">
        <f t="shared" si="18"/>
        <v>0</v>
      </c>
      <c r="X15" s="7">
        <f t="shared" si="19"/>
        <v>0</v>
      </c>
      <c r="Y15" s="6">
        <f t="shared" si="20"/>
        <v>0</v>
      </c>
      <c r="Z15" s="7">
        <f t="shared" si="21"/>
        <v>0</v>
      </c>
      <c r="AA15" s="6">
        <f t="shared" si="22"/>
        <v>0</v>
      </c>
      <c r="AB15" s="5">
        <f t="shared" si="23"/>
        <v>0</v>
      </c>
      <c r="AC15" s="6">
        <f t="shared" si="24"/>
        <v>0</v>
      </c>
      <c r="AD15" s="7">
        <f t="shared" si="25"/>
        <v>0</v>
      </c>
      <c r="AE15" s="6">
        <f t="shared" si="26"/>
        <v>0</v>
      </c>
      <c r="AF15" s="7">
        <f t="shared" si="27"/>
        <v>0</v>
      </c>
      <c r="AG15" s="6">
        <f t="shared" si="28"/>
        <v>0</v>
      </c>
      <c r="AH15" s="5">
        <f t="shared" si="29"/>
        <v>0</v>
      </c>
      <c r="AI15" s="6">
        <f t="shared" si="30"/>
        <v>0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0</v>
      </c>
      <c r="CS15" s="6">
        <f t="shared" si="0"/>
        <v>0</v>
      </c>
      <c r="CT15" s="7">
        <f t="shared" si="0"/>
        <v>0</v>
      </c>
      <c r="CU15" s="6">
        <f t="shared" si="0"/>
        <v>0</v>
      </c>
      <c r="CV15" s="5">
        <f t="shared" si="91"/>
        <v>0</v>
      </c>
      <c r="CW15" s="6">
        <f t="shared" si="92"/>
        <v>0</v>
      </c>
      <c r="CY15" s="7">
        <v>0</v>
      </c>
      <c r="CZ15" s="5">
        <f t="array" ref="CZ15">Summary_UpperBound</f>
        <v>0</v>
      </c>
      <c r="DA15" s="6">
        <f t="shared" si="93"/>
        <v>0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 t="e" vm="2">
        <f t="shared" ca="1" si="94"/>
        <v>#VALUE!</v>
      </c>
      <c r="F16" s="7">
        <f t="shared" si="1"/>
        <v>0</v>
      </c>
      <c r="G16" s="6">
        <f t="shared" si="2"/>
        <v>0</v>
      </c>
      <c r="H16" s="7">
        <f t="shared" si="3"/>
        <v>0</v>
      </c>
      <c r="I16" s="6">
        <f t="shared" si="4"/>
        <v>0</v>
      </c>
      <c r="J16" s="5">
        <f t="shared" si="5"/>
        <v>0</v>
      </c>
      <c r="K16" s="6">
        <f t="shared" si="6"/>
        <v>0</v>
      </c>
      <c r="L16" s="7">
        <f t="shared" si="7"/>
        <v>0</v>
      </c>
      <c r="M16" s="6">
        <f t="shared" si="8"/>
        <v>0</v>
      </c>
      <c r="N16" s="7">
        <f t="shared" si="9"/>
        <v>0</v>
      </c>
      <c r="O16" s="6">
        <f t="shared" si="10"/>
        <v>0</v>
      </c>
      <c r="P16" s="5">
        <f t="shared" si="11"/>
        <v>0</v>
      </c>
      <c r="Q16" s="6">
        <f t="shared" si="12"/>
        <v>0</v>
      </c>
      <c r="R16" s="7">
        <f t="shared" si="13"/>
        <v>0</v>
      </c>
      <c r="S16" s="6">
        <f t="shared" si="14"/>
        <v>0</v>
      </c>
      <c r="T16" s="7">
        <f t="shared" si="15"/>
        <v>0</v>
      </c>
      <c r="U16" s="6">
        <f t="shared" si="16"/>
        <v>0</v>
      </c>
      <c r="V16" s="5">
        <f t="shared" si="17"/>
        <v>0</v>
      </c>
      <c r="W16" s="6">
        <f t="shared" si="18"/>
        <v>0</v>
      </c>
      <c r="X16" s="7">
        <f t="shared" si="19"/>
        <v>0</v>
      </c>
      <c r="Y16" s="6">
        <f t="shared" si="20"/>
        <v>0</v>
      </c>
      <c r="Z16" s="7">
        <f t="shared" si="21"/>
        <v>0</v>
      </c>
      <c r="AA16" s="6">
        <f t="shared" si="22"/>
        <v>0</v>
      </c>
      <c r="AB16" s="5">
        <f t="shared" si="23"/>
        <v>0</v>
      </c>
      <c r="AC16" s="6">
        <f t="shared" si="24"/>
        <v>0</v>
      </c>
      <c r="AD16" s="7">
        <f t="shared" si="25"/>
        <v>0</v>
      </c>
      <c r="AE16" s="6">
        <f t="shared" si="26"/>
        <v>0</v>
      </c>
      <c r="AF16" s="7">
        <f t="shared" si="27"/>
        <v>0</v>
      </c>
      <c r="AG16" s="6">
        <f t="shared" si="28"/>
        <v>0</v>
      </c>
      <c r="AH16" s="5">
        <f t="shared" si="29"/>
        <v>0</v>
      </c>
      <c r="AI16" s="6">
        <f t="shared" si="30"/>
        <v>0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0</v>
      </c>
      <c r="CS16" s="6">
        <f t="shared" si="0"/>
        <v>0</v>
      </c>
      <c r="CT16" s="7">
        <f t="shared" si="0"/>
        <v>0</v>
      </c>
      <c r="CU16" s="6">
        <f t="shared" si="0"/>
        <v>0</v>
      </c>
      <c r="CV16" s="5">
        <f t="shared" si="91"/>
        <v>0</v>
      </c>
      <c r="CW16" s="6">
        <f t="shared" si="92"/>
        <v>0</v>
      </c>
      <c r="CY16" s="7">
        <v>0</v>
      </c>
      <c r="CZ16" s="5">
        <f t="array" ref="CZ16">Summary_UpperBound</f>
        <v>0</v>
      </c>
      <c r="DA16" s="6">
        <f t="shared" si="93"/>
        <v>0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 t="e" vm="2">
        <f t="shared" ca="1" si="94"/>
        <v>#VALUE!</v>
      </c>
      <c r="F17" s="7">
        <f t="shared" si="1"/>
        <v>0</v>
      </c>
      <c r="G17" s="6">
        <f t="shared" si="2"/>
        <v>0</v>
      </c>
      <c r="H17" s="7">
        <f t="shared" si="3"/>
        <v>0</v>
      </c>
      <c r="I17" s="6">
        <f t="shared" si="4"/>
        <v>0</v>
      </c>
      <c r="J17" s="5">
        <f t="shared" si="5"/>
        <v>0</v>
      </c>
      <c r="K17" s="6">
        <f t="shared" si="6"/>
        <v>0</v>
      </c>
      <c r="L17" s="7">
        <f t="shared" si="7"/>
        <v>0</v>
      </c>
      <c r="M17" s="6">
        <f t="shared" si="8"/>
        <v>0</v>
      </c>
      <c r="N17" s="7">
        <f t="shared" si="9"/>
        <v>0</v>
      </c>
      <c r="O17" s="6">
        <f t="shared" si="10"/>
        <v>0</v>
      </c>
      <c r="P17" s="5">
        <f t="shared" si="11"/>
        <v>0</v>
      </c>
      <c r="Q17" s="6">
        <f t="shared" si="12"/>
        <v>0</v>
      </c>
      <c r="R17" s="7">
        <f t="shared" si="13"/>
        <v>0</v>
      </c>
      <c r="S17" s="6">
        <f t="shared" si="14"/>
        <v>0</v>
      </c>
      <c r="T17" s="7">
        <f t="shared" si="15"/>
        <v>0</v>
      </c>
      <c r="U17" s="6">
        <f t="shared" si="16"/>
        <v>0</v>
      </c>
      <c r="V17" s="5">
        <f t="shared" si="17"/>
        <v>0</v>
      </c>
      <c r="W17" s="6">
        <f t="shared" si="18"/>
        <v>0</v>
      </c>
      <c r="X17" s="7">
        <f t="shared" si="19"/>
        <v>0</v>
      </c>
      <c r="Y17" s="6">
        <f t="shared" si="20"/>
        <v>0</v>
      </c>
      <c r="Z17" s="7">
        <f t="shared" si="21"/>
        <v>0</v>
      </c>
      <c r="AA17" s="6">
        <f t="shared" si="22"/>
        <v>0</v>
      </c>
      <c r="AB17" s="5">
        <f t="shared" si="23"/>
        <v>0</v>
      </c>
      <c r="AC17" s="6">
        <f t="shared" si="24"/>
        <v>0</v>
      </c>
      <c r="AD17" s="7">
        <f t="shared" si="25"/>
        <v>0</v>
      </c>
      <c r="AE17" s="6">
        <f t="shared" si="26"/>
        <v>0</v>
      </c>
      <c r="AF17" s="7">
        <f t="shared" si="27"/>
        <v>0</v>
      </c>
      <c r="AG17" s="6">
        <f t="shared" si="28"/>
        <v>0</v>
      </c>
      <c r="AH17" s="5">
        <f t="shared" si="29"/>
        <v>0</v>
      </c>
      <c r="AI17" s="6">
        <f t="shared" si="30"/>
        <v>0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0</v>
      </c>
      <c r="CS17" s="6">
        <f t="shared" si="0"/>
        <v>0</v>
      </c>
      <c r="CT17" s="7">
        <f t="shared" si="0"/>
        <v>0</v>
      </c>
      <c r="CU17" s="6">
        <f t="shared" si="0"/>
        <v>0</v>
      </c>
      <c r="CV17" s="5">
        <f t="shared" si="91"/>
        <v>0</v>
      </c>
      <c r="CW17" s="6">
        <f t="shared" si="92"/>
        <v>0</v>
      </c>
      <c r="CY17" s="7">
        <v>0</v>
      </c>
      <c r="CZ17" s="5">
        <f t="array" ref="CZ17">Summary_UpperBound</f>
        <v>0</v>
      </c>
      <c r="DA17" s="6">
        <f t="shared" si="93"/>
        <v>0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 t="e" vm="2">
        <f t="shared" ca="1" si="94"/>
        <v>#VALUE!</v>
      </c>
      <c r="F18" s="7">
        <f t="shared" si="1"/>
        <v>0</v>
      </c>
      <c r="G18" s="6">
        <f t="shared" si="2"/>
        <v>0</v>
      </c>
      <c r="H18" s="7">
        <f t="shared" si="3"/>
        <v>0</v>
      </c>
      <c r="I18" s="6">
        <f t="shared" si="4"/>
        <v>0</v>
      </c>
      <c r="J18" s="5">
        <f t="shared" si="5"/>
        <v>0</v>
      </c>
      <c r="K18" s="6">
        <f t="shared" si="6"/>
        <v>0</v>
      </c>
      <c r="L18" s="7">
        <f t="shared" si="7"/>
        <v>0</v>
      </c>
      <c r="M18" s="6">
        <f t="shared" si="8"/>
        <v>0</v>
      </c>
      <c r="N18" s="7">
        <f t="shared" si="9"/>
        <v>0</v>
      </c>
      <c r="O18" s="6">
        <f t="shared" si="10"/>
        <v>0</v>
      </c>
      <c r="P18" s="5">
        <f t="shared" si="11"/>
        <v>0</v>
      </c>
      <c r="Q18" s="6">
        <f t="shared" si="12"/>
        <v>0</v>
      </c>
      <c r="R18" s="7">
        <f t="shared" si="13"/>
        <v>0</v>
      </c>
      <c r="S18" s="6">
        <f t="shared" si="14"/>
        <v>0</v>
      </c>
      <c r="T18" s="7">
        <f t="shared" si="15"/>
        <v>0</v>
      </c>
      <c r="U18" s="6">
        <f t="shared" si="16"/>
        <v>0</v>
      </c>
      <c r="V18" s="5">
        <f t="shared" si="17"/>
        <v>0</v>
      </c>
      <c r="W18" s="6">
        <f t="shared" si="18"/>
        <v>0</v>
      </c>
      <c r="X18" s="7">
        <f t="shared" si="19"/>
        <v>0</v>
      </c>
      <c r="Y18" s="6">
        <f t="shared" si="20"/>
        <v>0</v>
      </c>
      <c r="Z18" s="7">
        <f t="shared" si="21"/>
        <v>0</v>
      </c>
      <c r="AA18" s="6">
        <f t="shared" si="22"/>
        <v>0</v>
      </c>
      <c r="AB18" s="5">
        <f t="shared" si="23"/>
        <v>0</v>
      </c>
      <c r="AC18" s="6">
        <f t="shared" si="24"/>
        <v>0</v>
      </c>
      <c r="AD18" s="7">
        <f t="shared" si="25"/>
        <v>0</v>
      </c>
      <c r="AE18" s="6">
        <f t="shared" si="26"/>
        <v>0</v>
      </c>
      <c r="AF18" s="7">
        <f t="shared" si="27"/>
        <v>0</v>
      </c>
      <c r="AG18" s="6">
        <f t="shared" si="28"/>
        <v>0</v>
      </c>
      <c r="AH18" s="5">
        <f t="shared" si="29"/>
        <v>0</v>
      </c>
      <c r="AI18" s="6">
        <f t="shared" si="30"/>
        <v>0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0</v>
      </c>
      <c r="CS18" s="6">
        <f t="shared" si="0"/>
        <v>0</v>
      </c>
      <c r="CT18" s="7">
        <f t="shared" si="0"/>
        <v>0</v>
      </c>
      <c r="CU18" s="6">
        <f t="shared" si="0"/>
        <v>0</v>
      </c>
      <c r="CV18" s="5">
        <f t="shared" si="91"/>
        <v>0</v>
      </c>
      <c r="CW18" s="6">
        <f t="shared" si="92"/>
        <v>0</v>
      </c>
      <c r="CY18" s="7">
        <v>0</v>
      </c>
      <c r="CZ18" s="5">
        <f t="array" ref="CZ18">Summary_UpperBound</f>
        <v>0</v>
      </c>
      <c r="DA18" s="6">
        <f t="shared" si="93"/>
        <v>0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 t="e" vm="2">
        <f t="shared" ca="1" si="94"/>
        <v>#VALUE!</v>
      </c>
      <c r="F19" s="7">
        <f t="shared" si="1"/>
        <v>0</v>
      </c>
      <c r="G19" s="6">
        <f t="shared" si="2"/>
        <v>0</v>
      </c>
      <c r="H19" s="7">
        <f t="shared" si="3"/>
        <v>0</v>
      </c>
      <c r="I19" s="6">
        <f t="shared" si="4"/>
        <v>0</v>
      </c>
      <c r="J19" s="5">
        <f t="shared" si="5"/>
        <v>0</v>
      </c>
      <c r="K19" s="6">
        <f t="shared" si="6"/>
        <v>0</v>
      </c>
      <c r="L19" s="7">
        <f t="shared" si="7"/>
        <v>0</v>
      </c>
      <c r="M19" s="6">
        <f t="shared" si="8"/>
        <v>0</v>
      </c>
      <c r="N19" s="7">
        <f t="shared" si="9"/>
        <v>0</v>
      </c>
      <c r="O19" s="6">
        <f t="shared" si="10"/>
        <v>0</v>
      </c>
      <c r="P19" s="5">
        <f t="shared" si="11"/>
        <v>0</v>
      </c>
      <c r="Q19" s="6">
        <f t="shared" si="12"/>
        <v>0</v>
      </c>
      <c r="R19" s="7">
        <f t="shared" si="13"/>
        <v>0</v>
      </c>
      <c r="S19" s="6">
        <f t="shared" si="14"/>
        <v>0</v>
      </c>
      <c r="T19" s="7">
        <f t="shared" si="15"/>
        <v>0</v>
      </c>
      <c r="U19" s="6">
        <f t="shared" si="16"/>
        <v>0</v>
      </c>
      <c r="V19" s="5">
        <f t="shared" si="17"/>
        <v>0</v>
      </c>
      <c r="W19" s="6">
        <f t="shared" si="18"/>
        <v>0</v>
      </c>
      <c r="X19" s="7">
        <f t="shared" si="19"/>
        <v>0</v>
      </c>
      <c r="Y19" s="6">
        <f t="shared" si="20"/>
        <v>0</v>
      </c>
      <c r="Z19" s="7">
        <f t="shared" si="21"/>
        <v>0</v>
      </c>
      <c r="AA19" s="6">
        <f t="shared" si="22"/>
        <v>0</v>
      </c>
      <c r="AB19" s="5">
        <f t="shared" si="23"/>
        <v>0</v>
      </c>
      <c r="AC19" s="6">
        <f t="shared" si="24"/>
        <v>0</v>
      </c>
      <c r="AD19" s="7">
        <f t="shared" si="25"/>
        <v>0</v>
      </c>
      <c r="AE19" s="6">
        <f t="shared" si="26"/>
        <v>0</v>
      </c>
      <c r="AF19" s="7">
        <f t="shared" si="27"/>
        <v>0</v>
      </c>
      <c r="AG19" s="6">
        <f t="shared" si="28"/>
        <v>0</v>
      </c>
      <c r="AH19" s="5">
        <f t="shared" si="29"/>
        <v>0</v>
      </c>
      <c r="AI19" s="6">
        <f t="shared" si="30"/>
        <v>0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0</v>
      </c>
      <c r="CS19" s="6">
        <f t="shared" si="0"/>
        <v>0</v>
      </c>
      <c r="CT19" s="7">
        <f t="shared" si="0"/>
        <v>0</v>
      </c>
      <c r="CU19" s="6">
        <f t="shared" si="0"/>
        <v>0</v>
      </c>
      <c r="CV19" s="5">
        <f t="shared" si="91"/>
        <v>0</v>
      </c>
      <c r="CW19" s="6">
        <f t="shared" si="92"/>
        <v>0</v>
      </c>
      <c r="CY19" s="7">
        <v>0</v>
      </c>
      <c r="CZ19" s="5">
        <f t="array" ref="CZ19">Summary_UpperBound</f>
        <v>0</v>
      </c>
      <c r="DA19" s="6">
        <f t="shared" si="93"/>
        <v>0</v>
      </c>
    </row>
    <row r="20" spans="1:105" x14ac:dyDescent="0.35">
      <c r="B20" s="14"/>
      <c r="E20" s="12" t="e" vm="2">
        <f t="shared" ca="1" si="94"/>
        <v>#VALUE!</v>
      </c>
      <c r="F20" s="7">
        <f t="shared" si="1"/>
        <v>0</v>
      </c>
      <c r="G20" s="6">
        <f t="shared" si="2"/>
        <v>0</v>
      </c>
      <c r="H20" s="7">
        <f t="shared" si="3"/>
        <v>0</v>
      </c>
      <c r="I20" s="6">
        <f t="shared" si="4"/>
        <v>0</v>
      </c>
      <c r="J20" s="5">
        <f t="shared" si="5"/>
        <v>0</v>
      </c>
      <c r="K20" s="6">
        <f t="shared" si="6"/>
        <v>0</v>
      </c>
      <c r="L20" s="7">
        <f t="shared" si="7"/>
        <v>0</v>
      </c>
      <c r="M20" s="6">
        <f t="shared" si="8"/>
        <v>0</v>
      </c>
      <c r="N20" s="7">
        <f t="shared" si="9"/>
        <v>0</v>
      </c>
      <c r="O20" s="6">
        <f t="shared" si="10"/>
        <v>0</v>
      </c>
      <c r="P20" s="5">
        <f t="shared" si="11"/>
        <v>0</v>
      </c>
      <c r="Q20" s="6">
        <f t="shared" si="12"/>
        <v>0</v>
      </c>
      <c r="R20" s="7">
        <f t="shared" si="13"/>
        <v>0</v>
      </c>
      <c r="S20" s="6">
        <f t="shared" si="14"/>
        <v>0</v>
      </c>
      <c r="T20" s="7">
        <f t="shared" si="15"/>
        <v>0</v>
      </c>
      <c r="U20" s="6">
        <f t="shared" si="16"/>
        <v>0</v>
      </c>
      <c r="V20" s="5">
        <f t="shared" si="17"/>
        <v>0</v>
      </c>
      <c r="W20" s="6">
        <f t="shared" si="18"/>
        <v>0</v>
      </c>
      <c r="X20" s="7">
        <f t="shared" si="19"/>
        <v>0</v>
      </c>
      <c r="Y20" s="6">
        <f t="shared" si="20"/>
        <v>0</v>
      </c>
      <c r="Z20" s="7">
        <f t="shared" si="21"/>
        <v>0</v>
      </c>
      <c r="AA20" s="6">
        <f t="shared" si="22"/>
        <v>0</v>
      </c>
      <c r="AB20" s="5">
        <f t="shared" si="23"/>
        <v>0</v>
      </c>
      <c r="AC20" s="6">
        <f t="shared" si="24"/>
        <v>0</v>
      </c>
      <c r="AD20" s="7">
        <f t="shared" si="25"/>
        <v>0</v>
      </c>
      <c r="AE20" s="6">
        <f t="shared" si="26"/>
        <v>0</v>
      </c>
      <c r="AF20" s="7">
        <f t="shared" si="27"/>
        <v>0</v>
      </c>
      <c r="AG20" s="6">
        <f t="shared" si="28"/>
        <v>0</v>
      </c>
      <c r="AH20" s="5">
        <f t="shared" si="29"/>
        <v>0</v>
      </c>
      <c r="AI20" s="6">
        <f t="shared" si="30"/>
        <v>0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0</v>
      </c>
      <c r="CS20" s="6">
        <f t="shared" si="0"/>
        <v>0</v>
      </c>
      <c r="CT20" s="7">
        <f t="shared" si="0"/>
        <v>0</v>
      </c>
      <c r="CU20" s="6">
        <f t="shared" si="0"/>
        <v>0</v>
      </c>
      <c r="CV20" s="5">
        <f t="shared" si="91"/>
        <v>0</v>
      </c>
      <c r="CW20" s="6">
        <f t="shared" si="92"/>
        <v>0</v>
      </c>
      <c r="CY20" s="7">
        <v>0</v>
      </c>
      <c r="CZ20" s="5">
        <f t="array" ref="CZ20">Summary_UpperBound</f>
        <v>0</v>
      </c>
      <c r="DA20" s="6">
        <f t="shared" si="93"/>
        <v>0</v>
      </c>
    </row>
    <row r="21" spans="1:105" x14ac:dyDescent="0.35">
      <c r="B21" s="14"/>
      <c r="E21" s="12" t="e" vm="2">
        <f t="shared" ca="1" si="94"/>
        <v>#VALUE!</v>
      </c>
      <c r="F21" s="7">
        <f t="shared" si="1"/>
        <v>0</v>
      </c>
      <c r="G21" s="6">
        <f t="shared" si="2"/>
        <v>0</v>
      </c>
      <c r="H21" s="7">
        <f t="shared" si="3"/>
        <v>0</v>
      </c>
      <c r="I21" s="6">
        <f t="shared" si="4"/>
        <v>0</v>
      </c>
      <c r="J21" s="5">
        <f t="shared" si="5"/>
        <v>0</v>
      </c>
      <c r="K21" s="6">
        <f t="shared" si="6"/>
        <v>0</v>
      </c>
      <c r="L21" s="7">
        <f t="shared" si="7"/>
        <v>0</v>
      </c>
      <c r="M21" s="6">
        <f t="shared" si="8"/>
        <v>0</v>
      </c>
      <c r="N21" s="7">
        <f t="shared" si="9"/>
        <v>0</v>
      </c>
      <c r="O21" s="6">
        <f t="shared" si="10"/>
        <v>0</v>
      </c>
      <c r="P21" s="5">
        <f t="shared" si="11"/>
        <v>0</v>
      </c>
      <c r="Q21" s="6">
        <f t="shared" si="12"/>
        <v>0</v>
      </c>
      <c r="R21" s="7">
        <f t="shared" si="13"/>
        <v>0</v>
      </c>
      <c r="S21" s="6">
        <f t="shared" si="14"/>
        <v>0</v>
      </c>
      <c r="T21" s="7">
        <f t="shared" si="15"/>
        <v>0</v>
      </c>
      <c r="U21" s="6">
        <f t="shared" si="16"/>
        <v>0</v>
      </c>
      <c r="V21" s="5">
        <f t="shared" si="17"/>
        <v>0</v>
      </c>
      <c r="W21" s="6">
        <f t="shared" si="18"/>
        <v>0</v>
      </c>
      <c r="X21" s="7">
        <f t="shared" si="19"/>
        <v>0</v>
      </c>
      <c r="Y21" s="6">
        <f t="shared" si="20"/>
        <v>0</v>
      </c>
      <c r="Z21" s="7">
        <f t="shared" si="21"/>
        <v>0</v>
      </c>
      <c r="AA21" s="6">
        <f t="shared" si="22"/>
        <v>0</v>
      </c>
      <c r="AB21" s="5">
        <f t="shared" si="23"/>
        <v>0</v>
      </c>
      <c r="AC21" s="6">
        <f t="shared" si="24"/>
        <v>0</v>
      </c>
      <c r="AD21" s="7">
        <f t="shared" si="25"/>
        <v>0</v>
      </c>
      <c r="AE21" s="6">
        <f t="shared" si="26"/>
        <v>0</v>
      </c>
      <c r="AF21" s="7">
        <f t="shared" si="27"/>
        <v>0</v>
      </c>
      <c r="AG21" s="6">
        <f t="shared" si="28"/>
        <v>0</v>
      </c>
      <c r="AH21" s="5">
        <f t="shared" si="29"/>
        <v>0</v>
      </c>
      <c r="AI21" s="6">
        <f t="shared" si="30"/>
        <v>0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0</v>
      </c>
      <c r="CS21" s="6">
        <f t="shared" si="0"/>
        <v>0</v>
      </c>
      <c r="CT21" s="7">
        <f t="shared" si="0"/>
        <v>0</v>
      </c>
      <c r="CU21" s="6">
        <f t="shared" si="0"/>
        <v>0</v>
      </c>
      <c r="CV21" s="5">
        <f t="shared" si="91"/>
        <v>0</v>
      </c>
      <c r="CW21" s="6">
        <f t="shared" si="92"/>
        <v>0</v>
      </c>
      <c r="CY21" s="7">
        <v>0</v>
      </c>
      <c r="CZ21" s="5">
        <f t="array" ref="CZ21">Summary_UpperBound</f>
        <v>0</v>
      </c>
      <c r="DA21" s="6">
        <f t="shared" si="93"/>
        <v>0</v>
      </c>
    </row>
    <row r="22" spans="1:105" x14ac:dyDescent="0.35">
      <c r="B22" s="14"/>
      <c r="E22" s="12" t="e" vm="2">
        <f t="shared" ca="1" si="94"/>
        <v>#VALUE!</v>
      </c>
      <c r="F22" s="7">
        <f t="shared" si="1"/>
        <v>0</v>
      </c>
      <c r="G22" s="6">
        <f t="shared" si="2"/>
        <v>0</v>
      </c>
      <c r="H22" s="7">
        <f t="shared" si="3"/>
        <v>0</v>
      </c>
      <c r="I22" s="6">
        <f t="shared" si="4"/>
        <v>0</v>
      </c>
      <c r="J22" s="5">
        <f t="shared" si="5"/>
        <v>0</v>
      </c>
      <c r="K22" s="6">
        <f t="shared" si="6"/>
        <v>0</v>
      </c>
      <c r="L22" s="7">
        <f t="shared" si="7"/>
        <v>0</v>
      </c>
      <c r="M22" s="6">
        <f t="shared" si="8"/>
        <v>0</v>
      </c>
      <c r="N22" s="7">
        <f t="shared" si="9"/>
        <v>0</v>
      </c>
      <c r="O22" s="6">
        <f t="shared" si="10"/>
        <v>0</v>
      </c>
      <c r="P22" s="5">
        <f t="shared" si="11"/>
        <v>0</v>
      </c>
      <c r="Q22" s="6">
        <f t="shared" si="12"/>
        <v>0</v>
      </c>
      <c r="R22" s="7">
        <f t="shared" si="13"/>
        <v>0</v>
      </c>
      <c r="S22" s="6">
        <f t="shared" si="14"/>
        <v>0</v>
      </c>
      <c r="T22" s="7">
        <f t="shared" si="15"/>
        <v>0</v>
      </c>
      <c r="U22" s="6">
        <f t="shared" si="16"/>
        <v>0</v>
      </c>
      <c r="V22" s="5">
        <f t="shared" si="17"/>
        <v>0</v>
      </c>
      <c r="W22" s="6">
        <f t="shared" si="18"/>
        <v>0</v>
      </c>
      <c r="X22" s="7">
        <f t="shared" si="19"/>
        <v>0</v>
      </c>
      <c r="Y22" s="6">
        <f t="shared" si="20"/>
        <v>0</v>
      </c>
      <c r="Z22" s="7">
        <f t="shared" si="21"/>
        <v>0</v>
      </c>
      <c r="AA22" s="6">
        <f t="shared" si="22"/>
        <v>0</v>
      </c>
      <c r="AB22" s="5">
        <f t="shared" si="23"/>
        <v>0</v>
      </c>
      <c r="AC22" s="6">
        <f t="shared" si="24"/>
        <v>0</v>
      </c>
      <c r="AD22" s="7">
        <f t="shared" si="25"/>
        <v>0</v>
      </c>
      <c r="AE22" s="6">
        <f t="shared" si="26"/>
        <v>0</v>
      </c>
      <c r="AF22" s="7">
        <f t="shared" si="27"/>
        <v>0</v>
      </c>
      <c r="AG22" s="6">
        <f t="shared" si="28"/>
        <v>0</v>
      </c>
      <c r="AH22" s="5">
        <f t="shared" si="29"/>
        <v>0</v>
      </c>
      <c r="AI22" s="6">
        <f t="shared" si="30"/>
        <v>0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0</v>
      </c>
      <c r="CS22" s="6">
        <f t="shared" si="0"/>
        <v>0</v>
      </c>
      <c r="CT22" s="7">
        <f t="shared" si="0"/>
        <v>0</v>
      </c>
      <c r="CU22" s="6">
        <f t="shared" si="0"/>
        <v>0</v>
      </c>
      <c r="CV22" s="5">
        <f t="shared" si="91"/>
        <v>0</v>
      </c>
      <c r="CW22" s="6">
        <f t="shared" si="92"/>
        <v>0</v>
      </c>
      <c r="CY22" s="7">
        <v>0</v>
      </c>
      <c r="CZ22" s="5">
        <f t="array" ref="CZ22">Summary_UpperBound</f>
        <v>0</v>
      </c>
      <c r="DA22" s="6">
        <f t="shared" si="93"/>
        <v>0</v>
      </c>
    </row>
    <row r="23" spans="1:105" x14ac:dyDescent="0.35">
      <c r="B23" s="14"/>
      <c r="E23" s="12" t="e" vm="2">
        <f t="shared" ca="1" si="94"/>
        <v>#VALUE!</v>
      </c>
      <c r="F23" s="7">
        <f t="shared" si="1"/>
        <v>0</v>
      </c>
      <c r="G23" s="6">
        <f t="shared" si="2"/>
        <v>0</v>
      </c>
      <c r="H23" s="7">
        <f t="shared" si="3"/>
        <v>0</v>
      </c>
      <c r="I23" s="6">
        <f t="shared" si="4"/>
        <v>0</v>
      </c>
      <c r="J23" s="5">
        <f t="shared" si="5"/>
        <v>0</v>
      </c>
      <c r="K23" s="6">
        <f t="shared" si="6"/>
        <v>0</v>
      </c>
      <c r="L23" s="7">
        <f t="shared" si="7"/>
        <v>0</v>
      </c>
      <c r="M23" s="6">
        <f t="shared" si="8"/>
        <v>0</v>
      </c>
      <c r="N23" s="7">
        <f t="shared" si="9"/>
        <v>0</v>
      </c>
      <c r="O23" s="6">
        <f t="shared" si="10"/>
        <v>0</v>
      </c>
      <c r="P23" s="5">
        <f t="shared" si="11"/>
        <v>0</v>
      </c>
      <c r="Q23" s="6">
        <f t="shared" si="12"/>
        <v>0</v>
      </c>
      <c r="R23" s="7">
        <f t="shared" si="13"/>
        <v>0</v>
      </c>
      <c r="S23" s="6">
        <f t="shared" si="14"/>
        <v>0</v>
      </c>
      <c r="T23" s="7">
        <f t="shared" si="15"/>
        <v>0</v>
      </c>
      <c r="U23" s="6">
        <f t="shared" si="16"/>
        <v>0</v>
      </c>
      <c r="V23" s="5">
        <f t="shared" si="17"/>
        <v>0</v>
      </c>
      <c r="W23" s="6">
        <f t="shared" si="18"/>
        <v>0</v>
      </c>
      <c r="X23" s="7">
        <f t="shared" si="19"/>
        <v>0</v>
      </c>
      <c r="Y23" s="6">
        <f t="shared" si="20"/>
        <v>0</v>
      </c>
      <c r="Z23" s="7">
        <f t="shared" si="21"/>
        <v>0</v>
      </c>
      <c r="AA23" s="6">
        <f t="shared" si="22"/>
        <v>0</v>
      </c>
      <c r="AB23" s="5">
        <f t="shared" si="23"/>
        <v>0</v>
      </c>
      <c r="AC23" s="6">
        <f t="shared" si="24"/>
        <v>0</v>
      </c>
      <c r="AD23" s="7">
        <f t="shared" si="25"/>
        <v>0</v>
      </c>
      <c r="AE23" s="6">
        <f t="shared" si="26"/>
        <v>0</v>
      </c>
      <c r="AF23" s="7">
        <f t="shared" si="27"/>
        <v>0</v>
      </c>
      <c r="AG23" s="6">
        <f t="shared" si="28"/>
        <v>0</v>
      </c>
      <c r="AH23" s="5">
        <f t="shared" si="29"/>
        <v>0</v>
      </c>
      <c r="AI23" s="6">
        <f t="shared" si="30"/>
        <v>0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0</v>
      </c>
      <c r="CS23" s="6">
        <f t="shared" si="0"/>
        <v>0</v>
      </c>
      <c r="CT23" s="7">
        <f t="shared" si="0"/>
        <v>0</v>
      </c>
      <c r="CU23" s="6">
        <f t="shared" si="0"/>
        <v>0</v>
      </c>
      <c r="CV23" s="5">
        <f t="shared" si="91"/>
        <v>0</v>
      </c>
      <c r="CW23" s="6">
        <f t="shared" si="92"/>
        <v>0</v>
      </c>
      <c r="CY23" s="7">
        <v>0</v>
      </c>
      <c r="CZ23" s="5">
        <f t="array" ref="CZ23">Summary_UpperBound</f>
        <v>0</v>
      </c>
      <c r="DA23" s="6">
        <f t="shared" si="93"/>
        <v>0</v>
      </c>
    </row>
    <row r="24" spans="1:105" x14ac:dyDescent="0.35">
      <c r="B24" s="14"/>
      <c r="E24" s="12" t="e" vm="2">
        <f t="shared" ca="1" si="94"/>
        <v>#VALUE!</v>
      </c>
      <c r="F24" s="7">
        <f t="shared" si="1"/>
        <v>0</v>
      </c>
      <c r="G24" s="6">
        <f t="shared" si="2"/>
        <v>0</v>
      </c>
      <c r="H24" s="7">
        <f t="shared" si="3"/>
        <v>0</v>
      </c>
      <c r="I24" s="6">
        <f t="shared" si="4"/>
        <v>0</v>
      </c>
      <c r="J24" s="5">
        <f t="shared" si="5"/>
        <v>0</v>
      </c>
      <c r="K24" s="6">
        <f t="shared" si="6"/>
        <v>0</v>
      </c>
      <c r="L24" s="7">
        <f t="shared" si="7"/>
        <v>0</v>
      </c>
      <c r="M24" s="6">
        <f t="shared" si="8"/>
        <v>0</v>
      </c>
      <c r="N24" s="7">
        <f t="shared" si="9"/>
        <v>0</v>
      </c>
      <c r="O24" s="6">
        <f t="shared" si="10"/>
        <v>0</v>
      </c>
      <c r="P24" s="5">
        <f t="shared" si="11"/>
        <v>0</v>
      </c>
      <c r="Q24" s="6">
        <f t="shared" si="12"/>
        <v>0</v>
      </c>
      <c r="R24" s="7">
        <f t="shared" si="13"/>
        <v>0</v>
      </c>
      <c r="S24" s="6">
        <f t="shared" si="14"/>
        <v>0</v>
      </c>
      <c r="T24" s="7">
        <f t="shared" si="15"/>
        <v>0</v>
      </c>
      <c r="U24" s="6">
        <f t="shared" si="16"/>
        <v>0</v>
      </c>
      <c r="V24" s="5">
        <f t="shared" si="17"/>
        <v>0</v>
      </c>
      <c r="W24" s="6">
        <f t="shared" si="18"/>
        <v>0</v>
      </c>
      <c r="X24" s="7">
        <f t="shared" si="19"/>
        <v>0</v>
      </c>
      <c r="Y24" s="6">
        <f t="shared" si="20"/>
        <v>0</v>
      </c>
      <c r="Z24" s="7">
        <f t="shared" si="21"/>
        <v>0</v>
      </c>
      <c r="AA24" s="6">
        <f t="shared" si="22"/>
        <v>0</v>
      </c>
      <c r="AB24" s="5">
        <f t="shared" si="23"/>
        <v>0</v>
      </c>
      <c r="AC24" s="6">
        <f t="shared" si="24"/>
        <v>0</v>
      </c>
      <c r="AD24" s="7">
        <f t="shared" si="25"/>
        <v>0</v>
      </c>
      <c r="AE24" s="6">
        <f t="shared" si="26"/>
        <v>0</v>
      </c>
      <c r="AF24" s="7">
        <f t="shared" si="27"/>
        <v>0</v>
      </c>
      <c r="AG24" s="6">
        <f t="shared" si="28"/>
        <v>0</v>
      </c>
      <c r="AH24" s="5">
        <f t="shared" si="29"/>
        <v>0</v>
      </c>
      <c r="AI24" s="6">
        <f t="shared" si="30"/>
        <v>0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0</v>
      </c>
      <c r="CS24" s="6">
        <f t="shared" si="0"/>
        <v>0</v>
      </c>
      <c r="CT24" s="7">
        <f t="shared" si="0"/>
        <v>0</v>
      </c>
      <c r="CU24" s="6">
        <f t="shared" si="0"/>
        <v>0</v>
      </c>
      <c r="CV24" s="5">
        <f t="shared" si="91"/>
        <v>0</v>
      </c>
      <c r="CW24" s="6">
        <f t="shared" si="92"/>
        <v>0</v>
      </c>
      <c r="CY24" s="7">
        <v>0</v>
      </c>
      <c r="CZ24" s="5">
        <f t="array" ref="CZ24">Summary_UpperBound</f>
        <v>0</v>
      </c>
      <c r="DA24" s="6">
        <f t="shared" si="93"/>
        <v>0</v>
      </c>
    </row>
    <row r="25" spans="1:105" x14ac:dyDescent="0.35">
      <c r="B25" s="14"/>
      <c r="E25" s="12" t="e" vm="2">
        <f t="shared" ca="1" si="94"/>
        <v>#VALUE!</v>
      </c>
      <c r="F25" s="7">
        <f t="shared" si="1"/>
        <v>0</v>
      </c>
      <c r="G25" s="6">
        <f t="shared" si="2"/>
        <v>0</v>
      </c>
      <c r="H25" s="7">
        <f t="shared" si="3"/>
        <v>0</v>
      </c>
      <c r="I25" s="6">
        <f t="shared" si="4"/>
        <v>0</v>
      </c>
      <c r="J25" s="5">
        <f t="shared" si="5"/>
        <v>0</v>
      </c>
      <c r="K25" s="6">
        <f t="shared" si="6"/>
        <v>0</v>
      </c>
      <c r="L25" s="7">
        <f t="shared" si="7"/>
        <v>0</v>
      </c>
      <c r="M25" s="6">
        <f t="shared" si="8"/>
        <v>0</v>
      </c>
      <c r="N25" s="7">
        <f t="shared" si="9"/>
        <v>0</v>
      </c>
      <c r="O25" s="6">
        <f t="shared" si="10"/>
        <v>0</v>
      </c>
      <c r="P25" s="5">
        <f t="shared" si="11"/>
        <v>0</v>
      </c>
      <c r="Q25" s="6">
        <f t="shared" si="12"/>
        <v>0</v>
      </c>
      <c r="R25" s="7">
        <f t="shared" si="13"/>
        <v>0</v>
      </c>
      <c r="S25" s="6">
        <f t="shared" si="14"/>
        <v>0</v>
      </c>
      <c r="T25" s="7">
        <f t="shared" si="15"/>
        <v>0</v>
      </c>
      <c r="U25" s="6">
        <f t="shared" si="16"/>
        <v>0</v>
      </c>
      <c r="V25" s="5">
        <f t="shared" si="17"/>
        <v>0</v>
      </c>
      <c r="W25" s="6">
        <f t="shared" si="18"/>
        <v>0</v>
      </c>
      <c r="X25" s="7">
        <f t="shared" si="19"/>
        <v>0</v>
      </c>
      <c r="Y25" s="6">
        <f t="shared" si="20"/>
        <v>0</v>
      </c>
      <c r="Z25" s="7">
        <f t="shared" si="21"/>
        <v>0</v>
      </c>
      <c r="AA25" s="6">
        <f t="shared" si="22"/>
        <v>0</v>
      </c>
      <c r="AB25" s="5">
        <f t="shared" si="23"/>
        <v>0</v>
      </c>
      <c r="AC25" s="6">
        <f t="shared" si="24"/>
        <v>0</v>
      </c>
      <c r="AD25" s="7">
        <f t="shared" si="25"/>
        <v>0</v>
      </c>
      <c r="AE25" s="6">
        <f t="shared" si="26"/>
        <v>0</v>
      </c>
      <c r="AF25" s="7">
        <f t="shared" si="27"/>
        <v>0</v>
      </c>
      <c r="AG25" s="6">
        <f t="shared" si="28"/>
        <v>0</v>
      </c>
      <c r="AH25" s="5">
        <f t="shared" si="29"/>
        <v>0</v>
      </c>
      <c r="AI25" s="6">
        <f t="shared" si="30"/>
        <v>0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0</v>
      </c>
      <c r="CS25" s="6">
        <f t="shared" si="95"/>
        <v>0</v>
      </c>
      <c r="CT25" s="7">
        <f t="shared" si="95"/>
        <v>0</v>
      </c>
      <c r="CU25" s="6">
        <f t="shared" si="95"/>
        <v>0</v>
      </c>
      <c r="CV25" s="5">
        <f t="shared" si="91"/>
        <v>0</v>
      </c>
      <c r="CW25" s="6">
        <f t="shared" si="92"/>
        <v>0</v>
      </c>
      <c r="CY25" s="7">
        <v>0</v>
      </c>
      <c r="CZ25" s="5">
        <f t="array" ref="CZ25">Summary_UpperBound</f>
        <v>0</v>
      </c>
      <c r="DA25" s="6">
        <f t="shared" si="93"/>
        <v>0</v>
      </c>
    </row>
    <row r="26" spans="1:105" x14ac:dyDescent="0.35">
      <c r="B26" s="14"/>
      <c r="E26" s="12" t="e" vm="2">
        <f t="shared" ca="1" si="94"/>
        <v>#VALUE!</v>
      </c>
      <c r="F26" s="7">
        <f t="shared" si="1"/>
        <v>0</v>
      </c>
      <c r="G26" s="6">
        <f t="shared" si="2"/>
        <v>0</v>
      </c>
      <c r="H26" s="7">
        <f t="shared" si="3"/>
        <v>0</v>
      </c>
      <c r="I26" s="6">
        <f t="shared" si="4"/>
        <v>0</v>
      </c>
      <c r="J26" s="5">
        <f t="shared" si="5"/>
        <v>0</v>
      </c>
      <c r="K26" s="6">
        <f t="shared" si="6"/>
        <v>0</v>
      </c>
      <c r="L26" s="7">
        <f t="shared" si="7"/>
        <v>0</v>
      </c>
      <c r="M26" s="6">
        <f t="shared" si="8"/>
        <v>0</v>
      </c>
      <c r="N26" s="7">
        <f t="shared" si="9"/>
        <v>0</v>
      </c>
      <c r="O26" s="6">
        <f t="shared" si="10"/>
        <v>0</v>
      </c>
      <c r="P26" s="5">
        <f t="shared" si="11"/>
        <v>0</v>
      </c>
      <c r="Q26" s="6">
        <f t="shared" si="12"/>
        <v>0</v>
      </c>
      <c r="R26" s="7">
        <f t="shared" si="13"/>
        <v>0</v>
      </c>
      <c r="S26" s="6">
        <f t="shared" si="14"/>
        <v>0</v>
      </c>
      <c r="T26" s="7">
        <f t="shared" si="15"/>
        <v>0</v>
      </c>
      <c r="U26" s="6">
        <f t="shared" si="16"/>
        <v>0</v>
      </c>
      <c r="V26" s="5">
        <f t="shared" si="17"/>
        <v>0</v>
      </c>
      <c r="W26" s="6">
        <f t="shared" si="18"/>
        <v>0</v>
      </c>
      <c r="X26" s="7">
        <f t="shared" si="19"/>
        <v>0</v>
      </c>
      <c r="Y26" s="6">
        <f t="shared" si="20"/>
        <v>0</v>
      </c>
      <c r="Z26" s="7">
        <f t="shared" si="21"/>
        <v>0</v>
      </c>
      <c r="AA26" s="6">
        <f t="shared" si="22"/>
        <v>0</v>
      </c>
      <c r="AB26" s="5">
        <f t="shared" si="23"/>
        <v>0</v>
      </c>
      <c r="AC26" s="6">
        <f t="shared" si="24"/>
        <v>0</v>
      </c>
      <c r="AD26" s="7">
        <f t="shared" si="25"/>
        <v>0</v>
      </c>
      <c r="AE26" s="6">
        <f t="shared" si="26"/>
        <v>0</v>
      </c>
      <c r="AF26" s="7">
        <f t="shared" si="27"/>
        <v>0</v>
      </c>
      <c r="AG26" s="6">
        <f t="shared" si="28"/>
        <v>0</v>
      </c>
      <c r="AH26" s="5">
        <f t="shared" si="29"/>
        <v>0</v>
      </c>
      <c r="AI26" s="6">
        <f t="shared" si="30"/>
        <v>0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0</v>
      </c>
      <c r="CS26" s="6">
        <f t="shared" si="95"/>
        <v>0</v>
      </c>
      <c r="CT26" s="7">
        <f t="shared" si="95"/>
        <v>0</v>
      </c>
      <c r="CU26" s="6">
        <f t="shared" si="95"/>
        <v>0</v>
      </c>
      <c r="CV26" s="5">
        <f t="shared" si="91"/>
        <v>0</v>
      </c>
      <c r="CW26" s="6">
        <f t="shared" si="92"/>
        <v>0</v>
      </c>
      <c r="CY26" s="7">
        <v>0</v>
      </c>
      <c r="CZ26" s="5">
        <f t="array" ref="CZ26">Summary_UpperBound</f>
        <v>0</v>
      </c>
      <c r="DA26" s="6">
        <f t="shared" si="93"/>
        <v>0</v>
      </c>
    </row>
    <row r="27" spans="1:105" x14ac:dyDescent="0.35">
      <c r="B27" s="14"/>
      <c r="E27" s="12" t="e" vm="2">
        <f t="shared" ca="1" si="94"/>
        <v>#VALUE!</v>
      </c>
      <c r="F27" s="7">
        <f t="shared" si="1"/>
        <v>0</v>
      </c>
      <c r="G27" s="6">
        <f t="shared" si="2"/>
        <v>0</v>
      </c>
      <c r="H27" s="7">
        <f t="shared" si="3"/>
        <v>0</v>
      </c>
      <c r="I27" s="6">
        <f t="shared" si="4"/>
        <v>0</v>
      </c>
      <c r="J27" s="5">
        <f t="shared" si="5"/>
        <v>0</v>
      </c>
      <c r="K27" s="6">
        <f t="shared" si="6"/>
        <v>0</v>
      </c>
      <c r="L27" s="7">
        <f t="shared" si="7"/>
        <v>0</v>
      </c>
      <c r="M27" s="6">
        <f t="shared" si="8"/>
        <v>0</v>
      </c>
      <c r="N27" s="7">
        <f t="shared" si="9"/>
        <v>0</v>
      </c>
      <c r="O27" s="6">
        <f t="shared" si="10"/>
        <v>0</v>
      </c>
      <c r="P27" s="5">
        <f t="shared" si="11"/>
        <v>0</v>
      </c>
      <c r="Q27" s="6">
        <f t="shared" si="12"/>
        <v>0</v>
      </c>
      <c r="R27" s="7">
        <f t="shared" si="13"/>
        <v>0</v>
      </c>
      <c r="S27" s="6">
        <f t="shared" si="14"/>
        <v>0</v>
      </c>
      <c r="T27" s="7">
        <f t="shared" si="15"/>
        <v>0</v>
      </c>
      <c r="U27" s="6">
        <f t="shared" si="16"/>
        <v>0</v>
      </c>
      <c r="V27" s="5">
        <f t="shared" si="17"/>
        <v>0</v>
      </c>
      <c r="W27" s="6">
        <f t="shared" si="18"/>
        <v>0</v>
      </c>
      <c r="X27" s="7">
        <f t="shared" si="19"/>
        <v>0</v>
      </c>
      <c r="Y27" s="6">
        <f t="shared" si="20"/>
        <v>0</v>
      </c>
      <c r="Z27" s="7">
        <f t="shared" si="21"/>
        <v>0</v>
      </c>
      <c r="AA27" s="6">
        <f t="shared" si="22"/>
        <v>0</v>
      </c>
      <c r="AB27" s="5">
        <f t="shared" si="23"/>
        <v>0</v>
      </c>
      <c r="AC27" s="6">
        <f t="shared" si="24"/>
        <v>0</v>
      </c>
      <c r="AD27" s="7">
        <f t="shared" si="25"/>
        <v>0</v>
      </c>
      <c r="AE27" s="6">
        <f t="shared" si="26"/>
        <v>0</v>
      </c>
      <c r="AF27" s="7">
        <f t="shared" si="27"/>
        <v>0</v>
      </c>
      <c r="AG27" s="6">
        <f t="shared" si="28"/>
        <v>0</v>
      </c>
      <c r="AH27" s="5">
        <f t="shared" si="29"/>
        <v>0</v>
      </c>
      <c r="AI27" s="6">
        <f t="shared" si="30"/>
        <v>0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0</v>
      </c>
      <c r="CS27" s="6">
        <f t="shared" si="95"/>
        <v>0</v>
      </c>
      <c r="CT27" s="7">
        <f t="shared" si="95"/>
        <v>0</v>
      </c>
      <c r="CU27" s="6">
        <f t="shared" si="95"/>
        <v>0</v>
      </c>
      <c r="CV27" s="5">
        <f t="shared" si="91"/>
        <v>0</v>
      </c>
      <c r="CW27" s="6">
        <f t="shared" si="92"/>
        <v>0</v>
      </c>
      <c r="CY27" s="7">
        <v>0</v>
      </c>
      <c r="CZ27" s="5">
        <f t="array" ref="CZ27">Summary_UpperBound</f>
        <v>0</v>
      </c>
      <c r="DA27" s="6">
        <f t="shared" si="93"/>
        <v>0</v>
      </c>
    </row>
    <row r="28" spans="1:105" x14ac:dyDescent="0.35">
      <c r="B28" s="14"/>
      <c r="E28" s="12" t="e" vm="2">
        <f t="shared" ca="1" si="94"/>
        <v>#VALUE!</v>
      </c>
      <c r="F28" s="7">
        <f t="shared" si="1"/>
        <v>0</v>
      </c>
      <c r="G28" s="6">
        <f t="shared" si="2"/>
        <v>0</v>
      </c>
      <c r="H28" s="7">
        <f t="shared" si="3"/>
        <v>0</v>
      </c>
      <c r="I28" s="6">
        <f t="shared" si="4"/>
        <v>0</v>
      </c>
      <c r="J28" s="5">
        <f t="shared" si="5"/>
        <v>0</v>
      </c>
      <c r="K28" s="6">
        <f t="shared" si="6"/>
        <v>0</v>
      </c>
      <c r="L28" s="7">
        <f t="shared" si="7"/>
        <v>0</v>
      </c>
      <c r="M28" s="6">
        <f t="shared" si="8"/>
        <v>0</v>
      </c>
      <c r="N28" s="7">
        <f t="shared" si="9"/>
        <v>0</v>
      </c>
      <c r="O28" s="6">
        <f t="shared" si="10"/>
        <v>0</v>
      </c>
      <c r="P28" s="5">
        <f t="shared" si="11"/>
        <v>0</v>
      </c>
      <c r="Q28" s="6">
        <f t="shared" si="12"/>
        <v>0</v>
      </c>
      <c r="R28" s="7">
        <f t="shared" si="13"/>
        <v>0</v>
      </c>
      <c r="S28" s="6">
        <f t="shared" si="14"/>
        <v>0</v>
      </c>
      <c r="T28" s="7">
        <f t="shared" si="15"/>
        <v>0</v>
      </c>
      <c r="U28" s="6">
        <f t="shared" si="16"/>
        <v>0</v>
      </c>
      <c r="V28" s="5">
        <f t="shared" si="17"/>
        <v>0</v>
      </c>
      <c r="W28" s="6">
        <f t="shared" si="18"/>
        <v>0</v>
      </c>
      <c r="X28" s="7">
        <f t="shared" si="19"/>
        <v>0</v>
      </c>
      <c r="Y28" s="6">
        <f t="shared" si="20"/>
        <v>0</v>
      </c>
      <c r="Z28" s="7">
        <f t="shared" si="21"/>
        <v>0</v>
      </c>
      <c r="AA28" s="6">
        <f t="shared" si="22"/>
        <v>0</v>
      </c>
      <c r="AB28" s="5">
        <f t="shared" si="23"/>
        <v>0</v>
      </c>
      <c r="AC28" s="6">
        <f t="shared" si="24"/>
        <v>0</v>
      </c>
      <c r="AD28" s="7">
        <f t="shared" si="25"/>
        <v>0</v>
      </c>
      <c r="AE28" s="6">
        <f t="shared" si="26"/>
        <v>0</v>
      </c>
      <c r="AF28" s="7">
        <f t="shared" si="27"/>
        <v>0</v>
      </c>
      <c r="AG28" s="6">
        <f t="shared" si="28"/>
        <v>0</v>
      </c>
      <c r="AH28" s="5">
        <f t="shared" si="29"/>
        <v>0</v>
      </c>
      <c r="AI28" s="6">
        <f t="shared" si="30"/>
        <v>0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0</v>
      </c>
      <c r="CS28" s="6">
        <f t="shared" si="95"/>
        <v>0</v>
      </c>
      <c r="CT28" s="7">
        <f t="shared" si="95"/>
        <v>0</v>
      </c>
      <c r="CU28" s="6">
        <f t="shared" si="95"/>
        <v>0</v>
      </c>
      <c r="CV28" s="5">
        <f t="shared" si="91"/>
        <v>0</v>
      </c>
      <c r="CW28" s="6">
        <f t="shared" si="92"/>
        <v>0</v>
      </c>
      <c r="CY28" s="7">
        <v>0</v>
      </c>
      <c r="CZ28" s="5">
        <f t="array" ref="CZ28">Summary_UpperBound</f>
        <v>0</v>
      </c>
      <c r="DA28" s="6">
        <f t="shared" si="93"/>
        <v>0</v>
      </c>
    </row>
    <row r="29" spans="1:105" x14ac:dyDescent="0.35">
      <c r="B29" s="14"/>
      <c r="E29" s="12" t="e" vm="2">
        <f t="shared" ca="1" si="94"/>
        <v>#VALUE!</v>
      </c>
      <c r="F29" s="7">
        <f t="shared" si="1"/>
        <v>0</v>
      </c>
      <c r="G29" s="6">
        <f t="shared" si="2"/>
        <v>0</v>
      </c>
      <c r="H29" s="7">
        <f t="shared" si="3"/>
        <v>0</v>
      </c>
      <c r="I29" s="6">
        <f t="shared" si="4"/>
        <v>0</v>
      </c>
      <c r="J29" s="5">
        <f t="shared" si="5"/>
        <v>0</v>
      </c>
      <c r="K29" s="6">
        <f t="shared" si="6"/>
        <v>0</v>
      </c>
      <c r="L29" s="7">
        <f t="shared" si="7"/>
        <v>0</v>
      </c>
      <c r="M29" s="6">
        <f t="shared" si="8"/>
        <v>0</v>
      </c>
      <c r="N29" s="7">
        <f t="shared" si="9"/>
        <v>0</v>
      </c>
      <c r="O29" s="6">
        <f t="shared" si="10"/>
        <v>0</v>
      </c>
      <c r="P29" s="5">
        <f t="shared" si="11"/>
        <v>0</v>
      </c>
      <c r="Q29" s="6">
        <f t="shared" si="12"/>
        <v>0</v>
      </c>
      <c r="R29" s="7">
        <f t="shared" si="13"/>
        <v>0</v>
      </c>
      <c r="S29" s="6">
        <f t="shared" si="14"/>
        <v>0</v>
      </c>
      <c r="T29" s="7">
        <f t="shared" si="15"/>
        <v>0</v>
      </c>
      <c r="U29" s="6">
        <f t="shared" si="16"/>
        <v>0</v>
      </c>
      <c r="V29" s="5">
        <f t="shared" si="17"/>
        <v>0</v>
      </c>
      <c r="W29" s="6">
        <f t="shared" si="18"/>
        <v>0</v>
      </c>
      <c r="X29" s="7">
        <f t="shared" si="19"/>
        <v>0</v>
      </c>
      <c r="Y29" s="6">
        <f t="shared" si="20"/>
        <v>0</v>
      </c>
      <c r="Z29" s="7">
        <f t="shared" si="21"/>
        <v>0</v>
      </c>
      <c r="AA29" s="6">
        <f t="shared" si="22"/>
        <v>0</v>
      </c>
      <c r="AB29" s="5">
        <f t="shared" si="23"/>
        <v>0</v>
      </c>
      <c r="AC29" s="6">
        <f t="shared" si="24"/>
        <v>0</v>
      </c>
      <c r="AD29" s="7">
        <f t="shared" si="25"/>
        <v>0</v>
      </c>
      <c r="AE29" s="6">
        <f t="shared" si="26"/>
        <v>0</v>
      </c>
      <c r="AF29" s="7">
        <f t="shared" si="27"/>
        <v>0</v>
      </c>
      <c r="AG29" s="6">
        <f t="shared" si="28"/>
        <v>0</v>
      </c>
      <c r="AH29" s="5">
        <f t="shared" si="29"/>
        <v>0</v>
      </c>
      <c r="AI29" s="6">
        <f t="shared" si="30"/>
        <v>0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0</v>
      </c>
      <c r="CS29" s="6">
        <f t="shared" si="95"/>
        <v>0</v>
      </c>
      <c r="CT29" s="7">
        <f t="shared" si="95"/>
        <v>0</v>
      </c>
      <c r="CU29" s="6">
        <f t="shared" si="95"/>
        <v>0</v>
      </c>
      <c r="CV29" s="5">
        <f t="shared" si="91"/>
        <v>0</v>
      </c>
      <c r="CW29" s="6">
        <f t="shared" si="92"/>
        <v>0</v>
      </c>
      <c r="CY29" s="7">
        <v>0</v>
      </c>
      <c r="CZ29" s="5">
        <f t="array" ref="CZ29">Summary_UpperBound</f>
        <v>0</v>
      </c>
      <c r="DA29" s="6">
        <f t="shared" si="93"/>
        <v>0</v>
      </c>
    </row>
    <row r="30" spans="1:105" x14ac:dyDescent="0.35">
      <c r="B30" s="14"/>
      <c r="E30" s="12" t="e" vm="2">
        <f t="shared" ca="1" si="94"/>
        <v>#VALUE!</v>
      </c>
      <c r="F30" s="7">
        <f t="shared" si="1"/>
        <v>0</v>
      </c>
      <c r="G30" s="6">
        <f t="shared" si="2"/>
        <v>0</v>
      </c>
      <c r="H30" s="7">
        <f t="shared" si="3"/>
        <v>0</v>
      </c>
      <c r="I30" s="6">
        <f t="shared" si="4"/>
        <v>0</v>
      </c>
      <c r="J30" s="5">
        <f t="shared" si="5"/>
        <v>0</v>
      </c>
      <c r="K30" s="6">
        <f t="shared" si="6"/>
        <v>0</v>
      </c>
      <c r="L30" s="7">
        <f t="shared" si="7"/>
        <v>0</v>
      </c>
      <c r="M30" s="6">
        <f t="shared" si="8"/>
        <v>0</v>
      </c>
      <c r="N30" s="7">
        <f t="shared" si="9"/>
        <v>0</v>
      </c>
      <c r="O30" s="6">
        <f t="shared" si="10"/>
        <v>0</v>
      </c>
      <c r="P30" s="5">
        <f t="shared" si="11"/>
        <v>0</v>
      </c>
      <c r="Q30" s="6">
        <f t="shared" si="12"/>
        <v>0</v>
      </c>
      <c r="R30" s="7">
        <f t="shared" si="13"/>
        <v>0</v>
      </c>
      <c r="S30" s="6">
        <f t="shared" si="14"/>
        <v>0</v>
      </c>
      <c r="T30" s="7">
        <f t="shared" si="15"/>
        <v>0</v>
      </c>
      <c r="U30" s="6">
        <f t="shared" si="16"/>
        <v>0</v>
      </c>
      <c r="V30" s="5">
        <f t="shared" si="17"/>
        <v>0</v>
      </c>
      <c r="W30" s="6">
        <f t="shared" si="18"/>
        <v>0</v>
      </c>
      <c r="X30" s="7">
        <f t="shared" si="19"/>
        <v>0</v>
      </c>
      <c r="Y30" s="6">
        <f t="shared" si="20"/>
        <v>0</v>
      </c>
      <c r="Z30" s="7">
        <f t="shared" si="21"/>
        <v>0</v>
      </c>
      <c r="AA30" s="6">
        <f t="shared" si="22"/>
        <v>0</v>
      </c>
      <c r="AB30" s="5">
        <f t="shared" si="23"/>
        <v>0</v>
      </c>
      <c r="AC30" s="6">
        <f t="shared" si="24"/>
        <v>0</v>
      </c>
      <c r="AD30" s="7">
        <f t="shared" si="25"/>
        <v>0</v>
      </c>
      <c r="AE30" s="6">
        <f t="shared" si="26"/>
        <v>0</v>
      </c>
      <c r="AF30" s="7">
        <f t="shared" si="27"/>
        <v>0</v>
      </c>
      <c r="AG30" s="6">
        <f t="shared" si="28"/>
        <v>0</v>
      </c>
      <c r="AH30" s="5">
        <f t="shared" si="29"/>
        <v>0</v>
      </c>
      <c r="AI30" s="6">
        <f t="shared" si="30"/>
        <v>0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0</v>
      </c>
      <c r="CS30" s="6">
        <f t="shared" si="95"/>
        <v>0</v>
      </c>
      <c r="CT30" s="7">
        <f t="shared" si="95"/>
        <v>0</v>
      </c>
      <c r="CU30" s="6">
        <f t="shared" si="95"/>
        <v>0</v>
      </c>
      <c r="CV30" s="5">
        <f t="shared" si="91"/>
        <v>0</v>
      </c>
      <c r="CW30" s="6">
        <f t="shared" si="92"/>
        <v>0</v>
      </c>
      <c r="CY30" s="7">
        <v>0</v>
      </c>
      <c r="CZ30" s="5">
        <f t="array" ref="CZ30">Summary_UpperBound</f>
        <v>0</v>
      </c>
      <c r="DA30" s="6">
        <f t="shared" si="93"/>
        <v>0</v>
      </c>
    </row>
    <row r="31" spans="1:105" x14ac:dyDescent="0.35">
      <c r="B31" s="14"/>
      <c r="E31" s="12" t="e" vm="2">
        <f t="shared" ca="1" si="94"/>
        <v>#VALUE!</v>
      </c>
      <c r="F31" s="7">
        <f t="shared" si="1"/>
        <v>0</v>
      </c>
      <c r="G31" s="6">
        <f t="shared" si="2"/>
        <v>0</v>
      </c>
      <c r="H31" s="7">
        <f t="shared" si="3"/>
        <v>0</v>
      </c>
      <c r="I31" s="6">
        <f t="shared" si="4"/>
        <v>0</v>
      </c>
      <c r="J31" s="5">
        <f t="shared" si="5"/>
        <v>0</v>
      </c>
      <c r="K31" s="6">
        <f t="shared" si="6"/>
        <v>0</v>
      </c>
      <c r="L31" s="7">
        <f t="shared" si="7"/>
        <v>0</v>
      </c>
      <c r="M31" s="6">
        <f t="shared" si="8"/>
        <v>0</v>
      </c>
      <c r="N31" s="7">
        <f t="shared" si="9"/>
        <v>0</v>
      </c>
      <c r="O31" s="6">
        <f t="shared" si="10"/>
        <v>0</v>
      </c>
      <c r="P31" s="5">
        <f t="shared" si="11"/>
        <v>0</v>
      </c>
      <c r="Q31" s="6">
        <f t="shared" si="12"/>
        <v>0</v>
      </c>
      <c r="R31" s="7">
        <f t="shared" si="13"/>
        <v>0</v>
      </c>
      <c r="S31" s="6">
        <f t="shared" si="14"/>
        <v>0</v>
      </c>
      <c r="T31" s="7">
        <f t="shared" si="15"/>
        <v>0</v>
      </c>
      <c r="U31" s="6">
        <f t="shared" si="16"/>
        <v>0</v>
      </c>
      <c r="V31" s="5">
        <f t="shared" si="17"/>
        <v>0</v>
      </c>
      <c r="W31" s="6">
        <f t="shared" si="18"/>
        <v>0</v>
      </c>
      <c r="X31" s="7">
        <f t="shared" si="19"/>
        <v>0</v>
      </c>
      <c r="Y31" s="6">
        <f t="shared" si="20"/>
        <v>0</v>
      </c>
      <c r="Z31" s="7">
        <f t="shared" si="21"/>
        <v>0</v>
      </c>
      <c r="AA31" s="6">
        <f t="shared" si="22"/>
        <v>0</v>
      </c>
      <c r="AB31" s="5">
        <f t="shared" si="23"/>
        <v>0</v>
      </c>
      <c r="AC31" s="6">
        <f t="shared" si="24"/>
        <v>0</v>
      </c>
      <c r="AD31" s="7">
        <f t="shared" si="25"/>
        <v>0</v>
      </c>
      <c r="AE31" s="6">
        <f t="shared" si="26"/>
        <v>0</v>
      </c>
      <c r="AF31" s="7">
        <f t="shared" si="27"/>
        <v>0</v>
      </c>
      <c r="AG31" s="6">
        <f t="shared" si="28"/>
        <v>0</v>
      </c>
      <c r="AH31" s="5">
        <f t="shared" si="29"/>
        <v>0</v>
      </c>
      <c r="AI31" s="6">
        <f t="shared" si="30"/>
        <v>0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0</v>
      </c>
      <c r="CS31" s="6">
        <f t="shared" si="95"/>
        <v>0</v>
      </c>
      <c r="CT31" s="7">
        <f t="shared" si="95"/>
        <v>0</v>
      </c>
      <c r="CU31" s="6">
        <f t="shared" si="95"/>
        <v>0</v>
      </c>
      <c r="CV31" s="5">
        <f t="shared" si="91"/>
        <v>0</v>
      </c>
      <c r="CW31" s="6">
        <f t="shared" si="92"/>
        <v>0</v>
      </c>
      <c r="CY31" s="7">
        <v>0</v>
      </c>
      <c r="CZ31" s="5">
        <f t="array" ref="CZ31">Summary_UpperBound</f>
        <v>0</v>
      </c>
      <c r="DA31" s="6">
        <f t="shared" si="93"/>
        <v>0</v>
      </c>
    </row>
    <row r="32" spans="1:105" x14ac:dyDescent="0.35">
      <c r="B32" s="14"/>
      <c r="E32" s="12" t="e" vm="2">
        <f t="shared" ca="1" si="94"/>
        <v>#VALUE!</v>
      </c>
      <c r="F32" s="7">
        <f t="shared" si="1"/>
        <v>0</v>
      </c>
      <c r="G32" s="6">
        <f t="shared" si="2"/>
        <v>0</v>
      </c>
      <c r="H32" s="7">
        <f t="shared" si="3"/>
        <v>0</v>
      </c>
      <c r="I32" s="6">
        <f t="shared" si="4"/>
        <v>0</v>
      </c>
      <c r="J32" s="5">
        <f t="shared" si="5"/>
        <v>0</v>
      </c>
      <c r="K32" s="6">
        <f t="shared" si="6"/>
        <v>0</v>
      </c>
      <c r="L32" s="7">
        <f t="shared" si="7"/>
        <v>0</v>
      </c>
      <c r="M32" s="6">
        <f t="shared" si="8"/>
        <v>0</v>
      </c>
      <c r="N32" s="7">
        <f t="shared" si="9"/>
        <v>0</v>
      </c>
      <c r="O32" s="6">
        <f t="shared" si="10"/>
        <v>0</v>
      </c>
      <c r="P32" s="5">
        <f t="shared" si="11"/>
        <v>0</v>
      </c>
      <c r="Q32" s="6">
        <f t="shared" si="12"/>
        <v>0</v>
      </c>
      <c r="R32" s="7">
        <f t="shared" si="13"/>
        <v>0</v>
      </c>
      <c r="S32" s="6">
        <f t="shared" si="14"/>
        <v>0</v>
      </c>
      <c r="T32" s="7">
        <f t="shared" si="15"/>
        <v>0</v>
      </c>
      <c r="U32" s="6">
        <f t="shared" si="16"/>
        <v>0</v>
      </c>
      <c r="V32" s="5">
        <f t="shared" si="17"/>
        <v>0</v>
      </c>
      <c r="W32" s="6">
        <f t="shared" si="18"/>
        <v>0</v>
      </c>
      <c r="X32" s="7">
        <f t="shared" si="19"/>
        <v>0</v>
      </c>
      <c r="Y32" s="6">
        <f t="shared" si="20"/>
        <v>0</v>
      </c>
      <c r="Z32" s="7">
        <f t="shared" si="21"/>
        <v>0</v>
      </c>
      <c r="AA32" s="6">
        <f t="shared" si="22"/>
        <v>0</v>
      </c>
      <c r="AB32" s="5">
        <f t="shared" si="23"/>
        <v>0</v>
      </c>
      <c r="AC32" s="6">
        <f t="shared" si="24"/>
        <v>0</v>
      </c>
      <c r="AD32" s="7">
        <f t="shared" si="25"/>
        <v>0</v>
      </c>
      <c r="AE32" s="6">
        <f t="shared" si="26"/>
        <v>0</v>
      </c>
      <c r="AF32" s="7">
        <f t="shared" si="27"/>
        <v>0</v>
      </c>
      <c r="AG32" s="6">
        <f t="shared" si="28"/>
        <v>0</v>
      </c>
      <c r="AH32" s="5">
        <f t="shared" si="29"/>
        <v>0</v>
      </c>
      <c r="AI32" s="6">
        <f t="shared" si="30"/>
        <v>0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0</v>
      </c>
      <c r="CS32" s="6">
        <f t="shared" si="95"/>
        <v>0</v>
      </c>
      <c r="CT32" s="7">
        <f t="shared" si="95"/>
        <v>0</v>
      </c>
      <c r="CU32" s="6">
        <f t="shared" si="95"/>
        <v>0</v>
      </c>
      <c r="CV32" s="5">
        <f t="shared" si="91"/>
        <v>0</v>
      </c>
      <c r="CW32" s="6">
        <f t="shared" si="92"/>
        <v>0</v>
      </c>
      <c r="CY32" s="7">
        <v>0</v>
      </c>
      <c r="CZ32" s="5">
        <f t="array" ref="CZ32">Summary_UpperBound</f>
        <v>0</v>
      </c>
      <c r="DA32" s="6">
        <f t="shared" si="93"/>
        <v>0</v>
      </c>
    </row>
    <row r="33" spans="2:105" x14ac:dyDescent="0.35">
      <c r="B33" s="14"/>
      <c r="E33" s="12" t="e" vm="2">
        <f t="shared" ca="1" si="94"/>
        <v>#VALUE!</v>
      </c>
      <c r="F33" s="7">
        <f t="shared" si="1"/>
        <v>0</v>
      </c>
      <c r="G33" s="6">
        <f t="shared" si="2"/>
        <v>0</v>
      </c>
      <c r="H33" s="7">
        <f t="shared" si="3"/>
        <v>0</v>
      </c>
      <c r="I33" s="6">
        <f t="shared" si="4"/>
        <v>0</v>
      </c>
      <c r="J33" s="5">
        <f t="shared" si="5"/>
        <v>0</v>
      </c>
      <c r="K33" s="6">
        <f t="shared" si="6"/>
        <v>0</v>
      </c>
      <c r="L33" s="7">
        <f t="shared" si="7"/>
        <v>0</v>
      </c>
      <c r="M33" s="6">
        <f t="shared" si="8"/>
        <v>0</v>
      </c>
      <c r="N33" s="7">
        <f t="shared" si="9"/>
        <v>0</v>
      </c>
      <c r="O33" s="6">
        <f t="shared" si="10"/>
        <v>0</v>
      </c>
      <c r="P33" s="5">
        <f t="shared" si="11"/>
        <v>0</v>
      </c>
      <c r="Q33" s="6">
        <f t="shared" si="12"/>
        <v>0</v>
      </c>
      <c r="R33" s="7">
        <f t="shared" si="13"/>
        <v>0</v>
      </c>
      <c r="S33" s="6">
        <f t="shared" si="14"/>
        <v>0</v>
      </c>
      <c r="T33" s="7">
        <f t="shared" si="15"/>
        <v>0</v>
      </c>
      <c r="U33" s="6">
        <f t="shared" si="16"/>
        <v>0</v>
      </c>
      <c r="V33" s="5">
        <f t="shared" si="17"/>
        <v>0</v>
      </c>
      <c r="W33" s="6">
        <f t="shared" si="18"/>
        <v>0</v>
      </c>
      <c r="X33" s="7">
        <f t="shared" si="19"/>
        <v>0</v>
      </c>
      <c r="Y33" s="6">
        <f t="shared" si="20"/>
        <v>0</v>
      </c>
      <c r="Z33" s="7">
        <f t="shared" si="21"/>
        <v>0</v>
      </c>
      <c r="AA33" s="6">
        <f t="shared" si="22"/>
        <v>0</v>
      </c>
      <c r="AB33" s="5">
        <f t="shared" si="23"/>
        <v>0</v>
      </c>
      <c r="AC33" s="6">
        <f t="shared" si="24"/>
        <v>0</v>
      </c>
      <c r="AD33" s="7">
        <f t="shared" si="25"/>
        <v>0</v>
      </c>
      <c r="AE33" s="6">
        <f t="shared" si="26"/>
        <v>0</v>
      </c>
      <c r="AF33" s="7">
        <f t="shared" si="27"/>
        <v>0</v>
      </c>
      <c r="AG33" s="6">
        <f t="shared" si="28"/>
        <v>0</v>
      </c>
      <c r="AH33" s="5">
        <f t="shared" si="29"/>
        <v>0</v>
      </c>
      <c r="AI33" s="6">
        <f t="shared" si="30"/>
        <v>0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0</v>
      </c>
      <c r="CS33" s="6">
        <f t="shared" si="95"/>
        <v>0</v>
      </c>
      <c r="CT33" s="7">
        <f t="shared" si="95"/>
        <v>0</v>
      </c>
      <c r="CU33" s="6">
        <f t="shared" si="95"/>
        <v>0</v>
      </c>
      <c r="CV33" s="5">
        <f t="shared" si="91"/>
        <v>0</v>
      </c>
      <c r="CW33" s="6">
        <f t="shared" si="92"/>
        <v>0</v>
      </c>
      <c r="CY33" s="7">
        <v>0</v>
      </c>
      <c r="CZ33" s="5">
        <f t="array" ref="CZ33">Summary_UpperBound</f>
        <v>0</v>
      </c>
      <c r="DA33" s="6">
        <f t="shared" si="93"/>
        <v>0</v>
      </c>
    </row>
    <row r="34" spans="2:105" x14ac:dyDescent="0.35">
      <c r="B34" s="14"/>
      <c r="E34" s="12" t="e" vm="2">
        <f t="shared" ca="1" si="94"/>
        <v>#VALUE!</v>
      </c>
      <c r="F34" s="7">
        <f t="shared" si="1"/>
        <v>0</v>
      </c>
      <c r="G34" s="6">
        <f t="shared" si="2"/>
        <v>0</v>
      </c>
      <c r="H34" s="7">
        <f t="shared" si="3"/>
        <v>0</v>
      </c>
      <c r="I34" s="6">
        <f t="shared" si="4"/>
        <v>0</v>
      </c>
      <c r="J34" s="5">
        <f t="shared" si="5"/>
        <v>0</v>
      </c>
      <c r="K34" s="6">
        <f t="shared" si="6"/>
        <v>0</v>
      </c>
      <c r="L34" s="7">
        <f t="shared" si="7"/>
        <v>0</v>
      </c>
      <c r="M34" s="6">
        <f t="shared" si="8"/>
        <v>0</v>
      </c>
      <c r="N34" s="7">
        <f t="shared" si="9"/>
        <v>0</v>
      </c>
      <c r="O34" s="6">
        <f t="shared" si="10"/>
        <v>0</v>
      </c>
      <c r="P34" s="5">
        <f t="shared" si="11"/>
        <v>0</v>
      </c>
      <c r="Q34" s="6">
        <f t="shared" si="12"/>
        <v>0</v>
      </c>
      <c r="R34" s="7">
        <f t="shared" si="13"/>
        <v>0</v>
      </c>
      <c r="S34" s="6">
        <f t="shared" si="14"/>
        <v>0</v>
      </c>
      <c r="T34" s="7">
        <f t="shared" si="15"/>
        <v>0</v>
      </c>
      <c r="U34" s="6">
        <f t="shared" si="16"/>
        <v>0</v>
      </c>
      <c r="V34" s="5">
        <f t="shared" si="17"/>
        <v>0</v>
      </c>
      <c r="W34" s="6">
        <f t="shared" si="18"/>
        <v>0</v>
      </c>
      <c r="X34" s="7">
        <f t="shared" si="19"/>
        <v>0</v>
      </c>
      <c r="Y34" s="6">
        <f t="shared" si="20"/>
        <v>0</v>
      </c>
      <c r="Z34" s="7">
        <f t="shared" si="21"/>
        <v>0</v>
      </c>
      <c r="AA34" s="6">
        <f t="shared" si="22"/>
        <v>0</v>
      </c>
      <c r="AB34" s="5">
        <f t="shared" si="23"/>
        <v>0</v>
      </c>
      <c r="AC34" s="6">
        <f t="shared" si="24"/>
        <v>0</v>
      </c>
      <c r="AD34" s="7">
        <f t="shared" si="25"/>
        <v>0</v>
      </c>
      <c r="AE34" s="6">
        <f t="shared" si="26"/>
        <v>0</v>
      </c>
      <c r="AF34" s="7">
        <f t="shared" si="27"/>
        <v>0</v>
      </c>
      <c r="AG34" s="6">
        <f t="shared" si="28"/>
        <v>0</v>
      </c>
      <c r="AH34" s="5">
        <f t="shared" si="29"/>
        <v>0</v>
      </c>
      <c r="AI34" s="6">
        <f t="shared" si="30"/>
        <v>0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0</v>
      </c>
      <c r="CS34" s="6">
        <f t="shared" si="95"/>
        <v>0</v>
      </c>
      <c r="CT34" s="7">
        <f t="shared" si="95"/>
        <v>0</v>
      </c>
      <c r="CU34" s="6">
        <f t="shared" si="95"/>
        <v>0</v>
      </c>
      <c r="CV34" s="5">
        <f t="shared" si="91"/>
        <v>0</v>
      </c>
      <c r="CW34" s="6">
        <f t="shared" si="92"/>
        <v>0</v>
      </c>
      <c r="CY34" s="7">
        <v>0</v>
      </c>
      <c r="CZ34" s="5">
        <f t="array" ref="CZ34">Summary_UpperBound</f>
        <v>0</v>
      </c>
      <c r="DA34" s="6">
        <f t="shared" si="93"/>
        <v>0</v>
      </c>
    </row>
    <row r="35" spans="2:105" x14ac:dyDescent="0.35">
      <c r="B35" s="14"/>
      <c r="E35" s="12" t="e" vm="2">
        <f t="shared" ca="1" si="94"/>
        <v>#VALUE!</v>
      </c>
      <c r="F35" s="7">
        <f t="shared" si="1"/>
        <v>0</v>
      </c>
      <c r="G35" s="6">
        <f t="shared" si="2"/>
        <v>0</v>
      </c>
      <c r="H35" s="7">
        <f t="shared" si="3"/>
        <v>0</v>
      </c>
      <c r="I35" s="6">
        <f t="shared" si="4"/>
        <v>0</v>
      </c>
      <c r="J35" s="5">
        <f t="shared" si="5"/>
        <v>0</v>
      </c>
      <c r="K35" s="6">
        <f t="shared" si="6"/>
        <v>0</v>
      </c>
      <c r="L35" s="7">
        <f t="shared" si="7"/>
        <v>0</v>
      </c>
      <c r="M35" s="6">
        <f t="shared" si="8"/>
        <v>0</v>
      </c>
      <c r="N35" s="7">
        <f t="shared" si="9"/>
        <v>0</v>
      </c>
      <c r="O35" s="6">
        <f t="shared" si="10"/>
        <v>0</v>
      </c>
      <c r="P35" s="5">
        <f t="shared" si="11"/>
        <v>0</v>
      </c>
      <c r="Q35" s="6">
        <f t="shared" si="12"/>
        <v>0</v>
      </c>
      <c r="R35" s="7">
        <f t="shared" si="13"/>
        <v>0</v>
      </c>
      <c r="S35" s="6">
        <f t="shared" si="14"/>
        <v>0</v>
      </c>
      <c r="T35" s="7">
        <f t="shared" si="15"/>
        <v>0</v>
      </c>
      <c r="U35" s="6">
        <f t="shared" si="16"/>
        <v>0</v>
      </c>
      <c r="V35" s="5">
        <f t="shared" si="17"/>
        <v>0</v>
      </c>
      <c r="W35" s="6">
        <f t="shared" si="18"/>
        <v>0</v>
      </c>
      <c r="X35" s="7">
        <f t="shared" si="19"/>
        <v>0</v>
      </c>
      <c r="Y35" s="6">
        <f t="shared" si="20"/>
        <v>0</v>
      </c>
      <c r="Z35" s="7">
        <f t="shared" si="21"/>
        <v>0</v>
      </c>
      <c r="AA35" s="6">
        <f t="shared" si="22"/>
        <v>0</v>
      </c>
      <c r="AB35" s="5">
        <f t="shared" si="23"/>
        <v>0</v>
      </c>
      <c r="AC35" s="6">
        <f t="shared" si="24"/>
        <v>0</v>
      </c>
      <c r="AD35" s="7">
        <f t="shared" si="25"/>
        <v>0</v>
      </c>
      <c r="AE35" s="6">
        <f t="shared" si="26"/>
        <v>0</v>
      </c>
      <c r="AF35" s="7">
        <f t="shared" si="27"/>
        <v>0</v>
      </c>
      <c r="AG35" s="6">
        <f t="shared" si="28"/>
        <v>0</v>
      </c>
      <c r="AH35" s="5">
        <f t="shared" si="29"/>
        <v>0</v>
      </c>
      <c r="AI35" s="6">
        <f t="shared" si="30"/>
        <v>0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0</v>
      </c>
      <c r="CS35" s="6">
        <f t="shared" si="95"/>
        <v>0</v>
      </c>
      <c r="CT35" s="7">
        <f t="shared" si="95"/>
        <v>0</v>
      </c>
      <c r="CU35" s="6">
        <f t="shared" si="95"/>
        <v>0</v>
      </c>
      <c r="CV35" s="5">
        <f t="shared" si="91"/>
        <v>0</v>
      </c>
      <c r="CW35" s="6">
        <f t="shared" si="92"/>
        <v>0</v>
      </c>
      <c r="CY35" s="7">
        <v>0</v>
      </c>
      <c r="CZ35" s="5">
        <f t="array" ref="CZ35">Summary_UpperBound</f>
        <v>0</v>
      </c>
      <c r="DA35" s="6">
        <f t="shared" si="93"/>
        <v>0</v>
      </c>
    </row>
    <row r="36" spans="2:105" x14ac:dyDescent="0.35">
      <c r="B36" s="14"/>
      <c r="E36" s="12" t="e" vm="2">
        <f t="shared" ca="1" si="94"/>
        <v>#VALUE!</v>
      </c>
      <c r="F36" s="7">
        <f t="shared" si="1"/>
        <v>0</v>
      </c>
      <c r="G36" s="6">
        <f t="shared" si="2"/>
        <v>0</v>
      </c>
      <c r="H36" s="7">
        <f t="shared" si="3"/>
        <v>0</v>
      </c>
      <c r="I36" s="6">
        <f t="shared" si="4"/>
        <v>0</v>
      </c>
      <c r="J36" s="5">
        <f t="shared" si="5"/>
        <v>0</v>
      </c>
      <c r="K36" s="6">
        <f t="shared" si="6"/>
        <v>0</v>
      </c>
      <c r="L36" s="7">
        <f t="shared" si="7"/>
        <v>0</v>
      </c>
      <c r="M36" s="6">
        <f t="shared" si="8"/>
        <v>0</v>
      </c>
      <c r="N36" s="7">
        <f t="shared" si="9"/>
        <v>0</v>
      </c>
      <c r="O36" s="6">
        <f t="shared" si="10"/>
        <v>0</v>
      </c>
      <c r="P36" s="5">
        <f t="shared" si="11"/>
        <v>0</v>
      </c>
      <c r="Q36" s="6">
        <f t="shared" si="12"/>
        <v>0</v>
      </c>
      <c r="R36" s="7">
        <f t="shared" si="13"/>
        <v>0</v>
      </c>
      <c r="S36" s="6">
        <f t="shared" si="14"/>
        <v>0</v>
      </c>
      <c r="T36" s="7">
        <f t="shared" si="15"/>
        <v>0</v>
      </c>
      <c r="U36" s="6">
        <f t="shared" si="16"/>
        <v>0</v>
      </c>
      <c r="V36" s="5">
        <f t="shared" si="17"/>
        <v>0</v>
      </c>
      <c r="W36" s="6">
        <f t="shared" si="18"/>
        <v>0</v>
      </c>
      <c r="X36" s="7">
        <f t="shared" si="19"/>
        <v>0</v>
      </c>
      <c r="Y36" s="6">
        <f t="shared" si="20"/>
        <v>0</v>
      </c>
      <c r="Z36" s="7">
        <f t="shared" si="21"/>
        <v>0</v>
      </c>
      <c r="AA36" s="6">
        <f t="shared" si="22"/>
        <v>0</v>
      </c>
      <c r="AB36" s="5">
        <f t="shared" si="23"/>
        <v>0</v>
      </c>
      <c r="AC36" s="6">
        <f t="shared" si="24"/>
        <v>0</v>
      </c>
      <c r="AD36" s="7">
        <f t="shared" si="25"/>
        <v>0</v>
      </c>
      <c r="AE36" s="6">
        <f t="shared" si="26"/>
        <v>0</v>
      </c>
      <c r="AF36" s="7">
        <f t="shared" si="27"/>
        <v>0</v>
      </c>
      <c r="AG36" s="6">
        <f t="shared" si="28"/>
        <v>0</v>
      </c>
      <c r="AH36" s="5">
        <f t="shared" si="29"/>
        <v>0</v>
      </c>
      <c r="AI36" s="6">
        <f t="shared" si="30"/>
        <v>0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0</v>
      </c>
      <c r="CS36" s="6">
        <f t="shared" si="95"/>
        <v>0</v>
      </c>
      <c r="CT36" s="7">
        <f t="shared" si="95"/>
        <v>0</v>
      </c>
      <c r="CU36" s="6">
        <f t="shared" si="95"/>
        <v>0</v>
      </c>
      <c r="CV36" s="5">
        <f t="shared" si="91"/>
        <v>0</v>
      </c>
      <c r="CW36" s="6">
        <f t="shared" si="92"/>
        <v>0</v>
      </c>
      <c r="CY36" s="7">
        <v>0</v>
      </c>
      <c r="CZ36" s="5">
        <f t="array" ref="CZ36">Summary_UpperBound</f>
        <v>0</v>
      </c>
      <c r="DA36" s="6">
        <f t="shared" si="93"/>
        <v>0</v>
      </c>
    </row>
    <row r="37" spans="2:105" x14ac:dyDescent="0.35">
      <c r="B37" s="14"/>
      <c r="E37" s="12" t="e" vm="2">
        <f t="shared" ca="1" si="94"/>
        <v>#VALUE!</v>
      </c>
      <c r="F37" s="7">
        <f t="shared" si="1"/>
        <v>0</v>
      </c>
      <c r="G37" s="6">
        <f t="shared" si="2"/>
        <v>0</v>
      </c>
      <c r="H37" s="7">
        <f t="shared" si="3"/>
        <v>0</v>
      </c>
      <c r="I37" s="6">
        <f t="shared" si="4"/>
        <v>0</v>
      </c>
      <c r="J37" s="5">
        <f t="shared" si="5"/>
        <v>0</v>
      </c>
      <c r="K37" s="6">
        <f t="shared" si="6"/>
        <v>0</v>
      </c>
      <c r="L37" s="7">
        <f t="shared" si="7"/>
        <v>0</v>
      </c>
      <c r="M37" s="6">
        <f t="shared" si="8"/>
        <v>0</v>
      </c>
      <c r="N37" s="7">
        <f t="shared" si="9"/>
        <v>0</v>
      </c>
      <c r="O37" s="6">
        <f t="shared" si="10"/>
        <v>0</v>
      </c>
      <c r="P37" s="5">
        <f t="shared" si="11"/>
        <v>0</v>
      </c>
      <c r="Q37" s="6">
        <f t="shared" si="12"/>
        <v>0</v>
      </c>
      <c r="R37" s="7">
        <f t="shared" si="13"/>
        <v>0</v>
      </c>
      <c r="S37" s="6">
        <f t="shared" si="14"/>
        <v>0</v>
      </c>
      <c r="T37" s="7">
        <f t="shared" si="15"/>
        <v>0</v>
      </c>
      <c r="U37" s="6">
        <f t="shared" si="16"/>
        <v>0</v>
      </c>
      <c r="V37" s="5">
        <f t="shared" si="17"/>
        <v>0</v>
      </c>
      <c r="W37" s="6">
        <f t="shared" si="18"/>
        <v>0</v>
      </c>
      <c r="X37" s="7">
        <f t="shared" si="19"/>
        <v>0</v>
      </c>
      <c r="Y37" s="6">
        <f t="shared" si="20"/>
        <v>0</v>
      </c>
      <c r="Z37" s="7">
        <f t="shared" si="21"/>
        <v>0</v>
      </c>
      <c r="AA37" s="6">
        <f t="shared" si="22"/>
        <v>0</v>
      </c>
      <c r="AB37" s="5">
        <f t="shared" si="23"/>
        <v>0</v>
      </c>
      <c r="AC37" s="6">
        <f t="shared" si="24"/>
        <v>0</v>
      </c>
      <c r="AD37" s="7">
        <f t="shared" si="25"/>
        <v>0</v>
      </c>
      <c r="AE37" s="6">
        <f t="shared" si="26"/>
        <v>0</v>
      </c>
      <c r="AF37" s="7">
        <f t="shared" si="27"/>
        <v>0</v>
      </c>
      <c r="AG37" s="6">
        <f t="shared" si="28"/>
        <v>0</v>
      </c>
      <c r="AH37" s="5">
        <f t="shared" si="29"/>
        <v>0</v>
      </c>
      <c r="AI37" s="6">
        <f t="shared" si="30"/>
        <v>0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0</v>
      </c>
      <c r="CS37" s="6">
        <f t="shared" si="95"/>
        <v>0</v>
      </c>
      <c r="CT37" s="7">
        <f t="shared" si="95"/>
        <v>0</v>
      </c>
      <c r="CU37" s="6">
        <f t="shared" si="95"/>
        <v>0</v>
      </c>
      <c r="CV37" s="5">
        <f t="shared" si="91"/>
        <v>0</v>
      </c>
      <c r="CW37" s="6">
        <f t="shared" si="92"/>
        <v>0</v>
      </c>
      <c r="CY37" s="7">
        <v>0</v>
      </c>
      <c r="CZ37" s="5">
        <f t="array" ref="CZ37">Summary_UpperBound</f>
        <v>0</v>
      </c>
      <c r="DA37" s="6">
        <f t="shared" si="93"/>
        <v>0</v>
      </c>
    </row>
    <row r="38" spans="2:105" x14ac:dyDescent="0.35">
      <c r="B38" s="14"/>
      <c r="E38" s="12" t="e" vm="2">
        <f t="shared" ca="1" si="94"/>
        <v>#VALUE!</v>
      </c>
      <c r="F38" s="7">
        <f t="shared" si="1"/>
        <v>0</v>
      </c>
      <c r="G38" s="6">
        <f t="shared" si="2"/>
        <v>0</v>
      </c>
      <c r="H38" s="7">
        <f t="shared" si="3"/>
        <v>0</v>
      </c>
      <c r="I38" s="6">
        <f t="shared" si="4"/>
        <v>0</v>
      </c>
      <c r="J38" s="5">
        <f t="shared" si="5"/>
        <v>0</v>
      </c>
      <c r="K38" s="6">
        <f t="shared" si="6"/>
        <v>0</v>
      </c>
      <c r="L38" s="7">
        <f t="shared" si="7"/>
        <v>0</v>
      </c>
      <c r="M38" s="6">
        <f t="shared" si="8"/>
        <v>0</v>
      </c>
      <c r="N38" s="7">
        <f t="shared" si="9"/>
        <v>0</v>
      </c>
      <c r="O38" s="6">
        <f t="shared" si="10"/>
        <v>0</v>
      </c>
      <c r="P38" s="5">
        <f t="shared" si="11"/>
        <v>0</v>
      </c>
      <c r="Q38" s="6">
        <f t="shared" si="12"/>
        <v>0</v>
      </c>
      <c r="R38" s="7">
        <f t="shared" si="13"/>
        <v>0</v>
      </c>
      <c r="S38" s="6">
        <f t="shared" si="14"/>
        <v>0</v>
      </c>
      <c r="T38" s="7">
        <f t="shared" si="15"/>
        <v>0</v>
      </c>
      <c r="U38" s="6">
        <f t="shared" si="16"/>
        <v>0</v>
      </c>
      <c r="V38" s="5">
        <f t="shared" si="17"/>
        <v>0</v>
      </c>
      <c r="W38" s="6">
        <f t="shared" si="18"/>
        <v>0</v>
      </c>
      <c r="X38" s="7">
        <f t="shared" si="19"/>
        <v>0</v>
      </c>
      <c r="Y38" s="6">
        <f t="shared" si="20"/>
        <v>0</v>
      </c>
      <c r="Z38" s="7">
        <f t="shared" si="21"/>
        <v>0</v>
      </c>
      <c r="AA38" s="6">
        <f t="shared" si="22"/>
        <v>0</v>
      </c>
      <c r="AB38" s="5">
        <f t="shared" si="23"/>
        <v>0</v>
      </c>
      <c r="AC38" s="6">
        <f t="shared" si="24"/>
        <v>0</v>
      </c>
      <c r="AD38" s="7">
        <f t="shared" si="25"/>
        <v>0</v>
      </c>
      <c r="AE38" s="6">
        <f t="shared" si="26"/>
        <v>0</v>
      </c>
      <c r="AF38" s="7">
        <f t="shared" si="27"/>
        <v>0</v>
      </c>
      <c r="AG38" s="6">
        <f t="shared" si="28"/>
        <v>0</v>
      </c>
      <c r="AH38" s="5">
        <f t="shared" si="29"/>
        <v>0</v>
      </c>
      <c r="AI38" s="6">
        <f t="shared" si="30"/>
        <v>0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0</v>
      </c>
      <c r="CS38" s="6">
        <f t="shared" si="95"/>
        <v>0</v>
      </c>
      <c r="CT38" s="7">
        <f t="shared" si="95"/>
        <v>0</v>
      </c>
      <c r="CU38" s="6">
        <f t="shared" si="95"/>
        <v>0</v>
      </c>
      <c r="CV38" s="5">
        <f t="shared" si="91"/>
        <v>0</v>
      </c>
      <c r="CW38" s="6">
        <f t="shared" si="92"/>
        <v>0</v>
      </c>
      <c r="CY38" s="7">
        <v>0</v>
      </c>
      <c r="CZ38" s="5">
        <f t="array" ref="CZ38">Summary_UpperBound</f>
        <v>0</v>
      </c>
      <c r="DA38" s="6">
        <f t="shared" si="93"/>
        <v>0</v>
      </c>
    </row>
    <row r="39" spans="2:105" x14ac:dyDescent="0.35">
      <c r="B39" s="14"/>
      <c r="E39" s="12" t="e" vm="2">
        <f t="shared" ca="1" si="94"/>
        <v>#VALUE!</v>
      </c>
      <c r="F39" s="7">
        <f t="shared" si="1"/>
        <v>0</v>
      </c>
      <c r="G39" s="6">
        <f t="shared" si="2"/>
        <v>0</v>
      </c>
      <c r="H39" s="7">
        <f t="shared" si="3"/>
        <v>0</v>
      </c>
      <c r="I39" s="6">
        <f t="shared" si="4"/>
        <v>0</v>
      </c>
      <c r="J39" s="5">
        <f t="shared" si="5"/>
        <v>0</v>
      </c>
      <c r="K39" s="6">
        <f t="shared" si="6"/>
        <v>0</v>
      </c>
      <c r="L39" s="7">
        <f t="shared" si="7"/>
        <v>0</v>
      </c>
      <c r="M39" s="6">
        <f t="shared" si="8"/>
        <v>0</v>
      </c>
      <c r="N39" s="7">
        <f t="shared" si="9"/>
        <v>0</v>
      </c>
      <c r="O39" s="6">
        <f t="shared" si="10"/>
        <v>0</v>
      </c>
      <c r="P39" s="5">
        <f t="shared" si="11"/>
        <v>0</v>
      </c>
      <c r="Q39" s="6">
        <f t="shared" si="12"/>
        <v>0</v>
      </c>
      <c r="R39" s="7">
        <f t="shared" si="13"/>
        <v>0</v>
      </c>
      <c r="S39" s="6">
        <f t="shared" si="14"/>
        <v>0</v>
      </c>
      <c r="T39" s="7">
        <f t="shared" si="15"/>
        <v>0</v>
      </c>
      <c r="U39" s="6">
        <f t="shared" si="16"/>
        <v>0</v>
      </c>
      <c r="V39" s="5">
        <f t="shared" si="17"/>
        <v>0</v>
      </c>
      <c r="W39" s="6">
        <f t="shared" si="18"/>
        <v>0</v>
      </c>
      <c r="X39" s="7">
        <f t="shared" si="19"/>
        <v>0</v>
      </c>
      <c r="Y39" s="6">
        <f t="shared" si="20"/>
        <v>0</v>
      </c>
      <c r="Z39" s="7">
        <f t="shared" si="21"/>
        <v>0</v>
      </c>
      <c r="AA39" s="6">
        <f t="shared" si="22"/>
        <v>0</v>
      </c>
      <c r="AB39" s="5">
        <f t="shared" si="23"/>
        <v>0</v>
      </c>
      <c r="AC39" s="6">
        <f t="shared" si="24"/>
        <v>0</v>
      </c>
      <c r="AD39" s="7">
        <f t="shared" si="25"/>
        <v>0</v>
      </c>
      <c r="AE39" s="6">
        <f t="shared" si="26"/>
        <v>0</v>
      </c>
      <c r="AF39" s="7">
        <f t="shared" si="27"/>
        <v>0</v>
      </c>
      <c r="AG39" s="6">
        <f t="shared" si="28"/>
        <v>0</v>
      </c>
      <c r="AH39" s="5">
        <f t="shared" si="29"/>
        <v>0</v>
      </c>
      <c r="AI39" s="6">
        <f t="shared" si="30"/>
        <v>0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0</v>
      </c>
      <c r="CS39" s="6">
        <f t="shared" si="95"/>
        <v>0</v>
      </c>
      <c r="CT39" s="7">
        <f t="shared" si="95"/>
        <v>0</v>
      </c>
      <c r="CU39" s="6">
        <f t="shared" si="95"/>
        <v>0</v>
      </c>
      <c r="CV39" s="5">
        <f t="shared" si="91"/>
        <v>0</v>
      </c>
      <c r="CW39" s="6">
        <f t="shared" si="92"/>
        <v>0</v>
      </c>
      <c r="CY39" s="7">
        <v>0</v>
      </c>
      <c r="CZ39" s="5">
        <f t="array" ref="CZ39">Summary_UpperBound</f>
        <v>0</v>
      </c>
      <c r="DA39" s="6">
        <f t="shared" si="93"/>
        <v>0</v>
      </c>
    </row>
    <row r="40" spans="2:105" x14ac:dyDescent="0.35">
      <c r="B40" s="14"/>
      <c r="E40" s="12" t="e" vm="2">
        <f t="shared" ca="1" si="94"/>
        <v>#VALUE!</v>
      </c>
      <c r="F40" s="7">
        <f t="shared" si="1"/>
        <v>0</v>
      </c>
      <c r="G40" s="6">
        <f t="shared" si="2"/>
        <v>0</v>
      </c>
      <c r="H40" s="7">
        <f t="shared" si="3"/>
        <v>0</v>
      </c>
      <c r="I40" s="6">
        <f t="shared" si="4"/>
        <v>0</v>
      </c>
      <c r="J40" s="5">
        <f t="shared" si="5"/>
        <v>0</v>
      </c>
      <c r="K40" s="6">
        <f t="shared" si="6"/>
        <v>0</v>
      </c>
      <c r="L40" s="7">
        <f t="shared" si="7"/>
        <v>0</v>
      </c>
      <c r="M40" s="6">
        <f t="shared" si="8"/>
        <v>0</v>
      </c>
      <c r="N40" s="7">
        <f t="shared" si="9"/>
        <v>0</v>
      </c>
      <c r="O40" s="6">
        <f t="shared" si="10"/>
        <v>0</v>
      </c>
      <c r="P40" s="5">
        <f t="shared" si="11"/>
        <v>0</v>
      </c>
      <c r="Q40" s="6">
        <f t="shared" si="12"/>
        <v>0</v>
      </c>
      <c r="R40" s="7">
        <f t="shared" si="13"/>
        <v>0</v>
      </c>
      <c r="S40" s="6">
        <f t="shared" si="14"/>
        <v>0</v>
      </c>
      <c r="T40" s="7">
        <f t="shared" si="15"/>
        <v>0</v>
      </c>
      <c r="U40" s="6">
        <f t="shared" si="16"/>
        <v>0</v>
      </c>
      <c r="V40" s="5">
        <f t="shared" si="17"/>
        <v>0</v>
      </c>
      <c r="W40" s="6">
        <f t="shared" si="18"/>
        <v>0</v>
      </c>
      <c r="X40" s="7">
        <f t="shared" si="19"/>
        <v>0</v>
      </c>
      <c r="Y40" s="6">
        <f t="shared" si="20"/>
        <v>0</v>
      </c>
      <c r="Z40" s="7">
        <f t="shared" si="21"/>
        <v>0</v>
      </c>
      <c r="AA40" s="6">
        <f t="shared" si="22"/>
        <v>0</v>
      </c>
      <c r="AB40" s="5">
        <f t="shared" si="23"/>
        <v>0</v>
      </c>
      <c r="AC40" s="6">
        <f t="shared" si="24"/>
        <v>0</v>
      </c>
      <c r="AD40" s="7">
        <f t="shared" si="25"/>
        <v>0</v>
      </c>
      <c r="AE40" s="6">
        <f t="shared" si="26"/>
        <v>0</v>
      </c>
      <c r="AF40" s="7">
        <f t="shared" si="27"/>
        <v>0</v>
      </c>
      <c r="AG40" s="6">
        <f t="shared" si="28"/>
        <v>0</v>
      </c>
      <c r="AH40" s="5">
        <f t="shared" si="29"/>
        <v>0</v>
      </c>
      <c r="AI40" s="6">
        <f t="shared" si="30"/>
        <v>0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0</v>
      </c>
      <c r="CS40" s="6">
        <f t="shared" si="95"/>
        <v>0</v>
      </c>
      <c r="CT40" s="7">
        <f t="shared" si="95"/>
        <v>0</v>
      </c>
      <c r="CU40" s="6">
        <f t="shared" si="95"/>
        <v>0</v>
      </c>
      <c r="CV40" s="5">
        <f t="shared" si="91"/>
        <v>0</v>
      </c>
      <c r="CW40" s="6">
        <f t="shared" si="92"/>
        <v>0</v>
      </c>
      <c r="CY40" s="7">
        <v>0</v>
      </c>
      <c r="CZ40" s="5">
        <f t="array" ref="CZ40">Summary_UpperBound</f>
        <v>0</v>
      </c>
      <c r="DA40" s="6">
        <f t="shared" si="93"/>
        <v>0</v>
      </c>
    </row>
    <row r="41" spans="2:105" x14ac:dyDescent="0.35">
      <c r="B41" s="14"/>
      <c r="E41" s="12" t="e" vm="2">
        <f t="shared" ca="1" si="94"/>
        <v>#VALUE!</v>
      </c>
      <c r="F41" s="7">
        <f t="shared" si="1"/>
        <v>0</v>
      </c>
      <c r="G41" s="6">
        <f t="shared" si="2"/>
        <v>0</v>
      </c>
      <c r="H41" s="7">
        <f t="shared" si="3"/>
        <v>0</v>
      </c>
      <c r="I41" s="6">
        <f t="shared" si="4"/>
        <v>0</v>
      </c>
      <c r="J41" s="5">
        <f t="shared" si="5"/>
        <v>0</v>
      </c>
      <c r="K41" s="6">
        <f t="shared" si="6"/>
        <v>0</v>
      </c>
      <c r="L41" s="7">
        <f t="shared" si="7"/>
        <v>0</v>
      </c>
      <c r="M41" s="6">
        <f t="shared" si="8"/>
        <v>0</v>
      </c>
      <c r="N41" s="7">
        <f t="shared" si="9"/>
        <v>0</v>
      </c>
      <c r="O41" s="6">
        <f t="shared" si="10"/>
        <v>0</v>
      </c>
      <c r="P41" s="5">
        <f t="shared" si="11"/>
        <v>0</v>
      </c>
      <c r="Q41" s="6">
        <f t="shared" si="12"/>
        <v>0</v>
      </c>
      <c r="R41" s="7">
        <f t="shared" si="13"/>
        <v>0</v>
      </c>
      <c r="S41" s="6">
        <f t="shared" si="14"/>
        <v>0</v>
      </c>
      <c r="T41" s="7">
        <f t="shared" si="15"/>
        <v>0</v>
      </c>
      <c r="U41" s="6">
        <f t="shared" si="16"/>
        <v>0</v>
      </c>
      <c r="V41" s="5">
        <f t="shared" si="17"/>
        <v>0</v>
      </c>
      <c r="W41" s="6">
        <f t="shared" si="18"/>
        <v>0</v>
      </c>
      <c r="X41" s="7">
        <f t="shared" si="19"/>
        <v>0</v>
      </c>
      <c r="Y41" s="6">
        <f t="shared" si="20"/>
        <v>0</v>
      </c>
      <c r="Z41" s="7">
        <f t="shared" si="21"/>
        <v>0</v>
      </c>
      <c r="AA41" s="6">
        <f t="shared" si="22"/>
        <v>0</v>
      </c>
      <c r="AB41" s="5">
        <f t="shared" si="23"/>
        <v>0</v>
      </c>
      <c r="AC41" s="6">
        <f t="shared" si="24"/>
        <v>0</v>
      </c>
      <c r="AD41" s="7">
        <f t="shared" si="25"/>
        <v>0</v>
      </c>
      <c r="AE41" s="6">
        <f t="shared" si="26"/>
        <v>0</v>
      </c>
      <c r="AF41" s="7">
        <f t="shared" si="27"/>
        <v>0</v>
      </c>
      <c r="AG41" s="6">
        <f t="shared" si="28"/>
        <v>0</v>
      </c>
      <c r="AH41" s="5">
        <f t="shared" si="29"/>
        <v>0</v>
      </c>
      <c r="AI41" s="6">
        <f t="shared" si="30"/>
        <v>0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0</v>
      </c>
      <c r="CS41" s="6">
        <f t="shared" si="95"/>
        <v>0</v>
      </c>
      <c r="CT41" s="7">
        <f t="shared" si="95"/>
        <v>0</v>
      </c>
      <c r="CU41" s="6">
        <f t="shared" si="95"/>
        <v>0</v>
      </c>
      <c r="CV41" s="5">
        <f t="shared" si="91"/>
        <v>0</v>
      </c>
      <c r="CW41" s="6">
        <f t="shared" si="92"/>
        <v>0</v>
      </c>
      <c r="CY41" s="7">
        <v>0</v>
      </c>
      <c r="CZ41" s="5">
        <f t="array" ref="CZ41">Summary_UpperBound</f>
        <v>0</v>
      </c>
      <c r="DA41" s="6">
        <f t="shared" si="93"/>
        <v>0</v>
      </c>
    </row>
    <row r="42" spans="2:105" x14ac:dyDescent="0.35">
      <c r="B42" s="14"/>
      <c r="E42" s="12" t="e" vm="2">
        <f t="shared" ca="1" si="94"/>
        <v>#VALUE!</v>
      </c>
      <c r="F42" s="7">
        <f t="shared" si="1"/>
        <v>0</v>
      </c>
      <c r="G42" s="6">
        <f t="shared" si="2"/>
        <v>0</v>
      </c>
      <c r="H42" s="7">
        <f t="shared" si="3"/>
        <v>0</v>
      </c>
      <c r="I42" s="6">
        <f t="shared" si="4"/>
        <v>0</v>
      </c>
      <c r="J42" s="5">
        <f t="shared" si="5"/>
        <v>0</v>
      </c>
      <c r="K42" s="6">
        <f t="shared" si="6"/>
        <v>0</v>
      </c>
      <c r="L42" s="7">
        <f t="shared" si="7"/>
        <v>0</v>
      </c>
      <c r="M42" s="6">
        <f t="shared" si="8"/>
        <v>0</v>
      </c>
      <c r="N42" s="7">
        <f t="shared" si="9"/>
        <v>0</v>
      </c>
      <c r="O42" s="6">
        <f t="shared" si="10"/>
        <v>0</v>
      </c>
      <c r="P42" s="5">
        <f t="shared" si="11"/>
        <v>0</v>
      </c>
      <c r="Q42" s="6">
        <f t="shared" si="12"/>
        <v>0</v>
      </c>
      <c r="R42" s="7">
        <f t="shared" si="13"/>
        <v>0</v>
      </c>
      <c r="S42" s="6">
        <f t="shared" si="14"/>
        <v>0</v>
      </c>
      <c r="T42" s="7">
        <f t="shared" si="15"/>
        <v>0</v>
      </c>
      <c r="U42" s="6">
        <f t="shared" si="16"/>
        <v>0</v>
      </c>
      <c r="V42" s="5">
        <f t="shared" si="17"/>
        <v>0</v>
      </c>
      <c r="W42" s="6">
        <f t="shared" si="18"/>
        <v>0</v>
      </c>
      <c r="X42" s="7">
        <f t="shared" si="19"/>
        <v>0</v>
      </c>
      <c r="Y42" s="6">
        <f t="shared" si="20"/>
        <v>0</v>
      </c>
      <c r="Z42" s="7">
        <f t="shared" si="21"/>
        <v>0</v>
      </c>
      <c r="AA42" s="6">
        <f t="shared" si="22"/>
        <v>0</v>
      </c>
      <c r="AB42" s="5">
        <f t="shared" si="23"/>
        <v>0</v>
      </c>
      <c r="AC42" s="6">
        <f t="shared" si="24"/>
        <v>0</v>
      </c>
      <c r="AD42" s="7">
        <f t="shared" si="25"/>
        <v>0</v>
      </c>
      <c r="AE42" s="6">
        <f t="shared" si="26"/>
        <v>0</v>
      </c>
      <c r="AF42" s="7">
        <f t="shared" si="27"/>
        <v>0</v>
      </c>
      <c r="AG42" s="6">
        <f t="shared" si="28"/>
        <v>0</v>
      </c>
      <c r="AH42" s="5">
        <f t="shared" si="29"/>
        <v>0</v>
      </c>
      <c r="AI42" s="6">
        <f t="shared" si="30"/>
        <v>0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0</v>
      </c>
      <c r="CS42" s="6">
        <f t="shared" si="95"/>
        <v>0</v>
      </c>
      <c r="CT42" s="7">
        <f t="shared" si="95"/>
        <v>0</v>
      </c>
      <c r="CU42" s="6">
        <f t="shared" si="95"/>
        <v>0</v>
      </c>
      <c r="CV42" s="5">
        <f t="shared" si="91"/>
        <v>0</v>
      </c>
      <c r="CW42" s="6">
        <f t="shared" si="92"/>
        <v>0</v>
      </c>
      <c r="CY42" s="7">
        <v>0</v>
      </c>
      <c r="CZ42" s="5">
        <f t="array" ref="CZ42">Summary_UpperBound</f>
        <v>0</v>
      </c>
      <c r="DA42" s="6">
        <f t="shared" si="93"/>
        <v>0</v>
      </c>
    </row>
    <row r="43" spans="2:105" x14ac:dyDescent="0.35">
      <c r="B43" s="14"/>
      <c r="E43" s="12" t="e" vm="2">
        <f t="shared" ca="1" si="94"/>
        <v>#VALUE!</v>
      </c>
      <c r="F43" s="7">
        <f t="shared" si="1"/>
        <v>0</v>
      </c>
      <c r="G43" s="6">
        <f t="shared" si="2"/>
        <v>0</v>
      </c>
      <c r="H43" s="7">
        <f t="shared" si="3"/>
        <v>0</v>
      </c>
      <c r="I43" s="6">
        <f t="shared" si="4"/>
        <v>0</v>
      </c>
      <c r="J43" s="5">
        <f t="shared" si="5"/>
        <v>0</v>
      </c>
      <c r="K43" s="6">
        <f t="shared" si="6"/>
        <v>0</v>
      </c>
      <c r="L43" s="7">
        <f t="shared" si="7"/>
        <v>0</v>
      </c>
      <c r="M43" s="6">
        <f t="shared" si="8"/>
        <v>0</v>
      </c>
      <c r="N43" s="7">
        <f t="shared" si="9"/>
        <v>0</v>
      </c>
      <c r="O43" s="6">
        <f t="shared" si="10"/>
        <v>0</v>
      </c>
      <c r="P43" s="5">
        <f t="shared" si="11"/>
        <v>0</v>
      </c>
      <c r="Q43" s="6">
        <f t="shared" si="12"/>
        <v>0</v>
      </c>
      <c r="R43" s="7">
        <f t="shared" si="13"/>
        <v>0</v>
      </c>
      <c r="S43" s="6">
        <f t="shared" si="14"/>
        <v>0</v>
      </c>
      <c r="T43" s="7">
        <f t="shared" si="15"/>
        <v>0</v>
      </c>
      <c r="U43" s="6">
        <f t="shared" si="16"/>
        <v>0</v>
      </c>
      <c r="V43" s="5">
        <f t="shared" si="17"/>
        <v>0</v>
      </c>
      <c r="W43" s="6">
        <f t="shared" si="18"/>
        <v>0</v>
      </c>
      <c r="X43" s="7">
        <f t="shared" si="19"/>
        <v>0</v>
      </c>
      <c r="Y43" s="6">
        <f t="shared" si="20"/>
        <v>0</v>
      </c>
      <c r="Z43" s="7">
        <f t="shared" si="21"/>
        <v>0</v>
      </c>
      <c r="AA43" s="6">
        <f t="shared" si="22"/>
        <v>0</v>
      </c>
      <c r="AB43" s="5">
        <f t="shared" si="23"/>
        <v>0</v>
      </c>
      <c r="AC43" s="6">
        <f t="shared" si="24"/>
        <v>0</v>
      </c>
      <c r="AD43" s="7">
        <f t="shared" si="25"/>
        <v>0</v>
      </c>
      <c r="AE43" s="6">
        <f t="shared" si="26"/>
        <v>0</v>
      </c>
      <c r="AF43" s="7">
        <f t="shared" si="27"/>
        <v>0</v>
      </c>
      <c r="AG43" s="6">
        <f t="shared" si="28"/>
        <v>0</v>
      </c>
      <c r="AH43" s="5">
        <f t="shared" si="29"/>
        <v>0</v>
      </c>
      <c r="AI43" s="6">
        <f t="shared" si="30"/>
        <v>0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0</v>
      </c>
      <c r="CS43" s="6">
        <f t="shared" si="95"/>
        <v>0</v>
      </c>
      <c r="CT43" s="7">
        <f t="shared" si="95"/>
        <v>0</v>
      </c>
      <c r="CU43" s="6">
        <f t="shared" si="95"/>
        <v>0</v>
      </c>
      <c r="CV43" s="5">
        <f t="shared" si="91"/>
        <v>0</v>
      </c>
      <c r="CW43" s="6">
        <f t="shared" si="92"/>
        <v>0</v>
      </c>
      <c r="CY43" s="7">
        <v>0</v>
      </c>
      <c r="CZ43" s="5">
        <f t="array" ref="CZ43">Summary_UpperBound</f>
        <v>0</v>
      </c>
      <c r="DA43" s="6">
        <f t="shared" si="93"/>
        <v>0</v>
      </c>
    </row>
    <row r="44" spans="2:105" x14ac:dyDescent="0.35">
      <c r="B44" s="14"/>
      <c r="E44" s="12" t="e" vm="2">
        <f t="shared" ca="1" si="94"/>
        <v>#VALUE!</v>
      </c>
      <c r="F44" s="7">
        <f t="shared" si="1"/>
        <v>0</v>
      </c>
      <c r="G44" s="6">
        <f t="shared" si="2"/>
        <v>0</v>
      </c>
      <c r="H44" s="7">
        <f t="shared" si="3"/>
        <v>0</v>
      </c>
      <c r="I44" s="6">
        <f t="shared" si="4"/>
        <v>0</v>
      </c>
      <c r="J44" s="5">
        <f t="shared" si="5"/>
        <v>0</v>
      </c>
      <c r="K44" s="6">
        <f t="shared" si="6"/>
        <v>0</v>
      </c>
      <c r="L44" s="7">
        <f t="shared" si="7"/>
        <v>0</v>
      </c>
      <c r="M44" s="6">
        <f t="shared" si="8"/>
        <v>0</v>
      </c>
      <c r="N44" s="7">
        <f t="shared" si="9"/>
        <v>0</v>
      </c>
      <c r="O44" s="6">
        <f t="shared" si="10"/>
        <v>0</v>
      </c>
      <c r="P44" s="5">
        <f t="shared" si="11"/>
        <v>0</v>
      </c>
      <c r="Q44" s="6">
        <f t="shared" si="12"/>
        <v>0</v>
      </c>
      <c r="R44" s="7">
        <f t="shared" si="13"/>
        <v>0</v>
      </c>
      <c r="S44" s="6">
        <f t="shared" si="14"/>
        <v>0</v>
      </c>
      <c r="T44" s="7">
        <f t="shared" si="15"/>
        <v>0</v>
      </c>
      <c r="U44" s="6">
        <f t="shared" si="16"/>
        <v>0</v>
      </c>
      <c r="V44" s="5">
        <f t="shared" si="17"/>
        <v>0</v>
      </c>
      <c r="W44" s="6">
        <f t="shared" si="18"/>
        <v>0</v>
      </c>
      <c r="X44" s="7">
        <f t="shared" si="19"/>
        <v>0</v>
      </c>
      <c r="Y44" s="6">
        <f t="shared" si="20"/>
        <v>0</v>
      </c>
      <c r="Z44" s="7">
        <f t="shared" si="21"/>
        <v>0</v>
      </c>
      <c r="AA44" s="6">
        <f t="shared" si="22"/>
        <v>0</v>
      </c>
      <c r="AB44" s="5">
        <f t="shared" si="23"/>
        <v>0</v>
      </c>
      <c r="AC44" s="6">
        <f t="shared" si="24"/>
        <v>0</v>
      </c>
      <c r="AD44" s="7">
        <f t="shared" si="25"/>
        <v>0</v>
      </c>
      <c r="AE44" s="6">
        <f t="shared" si="26"/>
        <v>0</v>
      </c>
      <c r="AF44" s="7">
        <f t="shared" si="27"/>
        <v>0</v>
      </c>
      <c r="AG44" s="6">
        <f t="shared" si="28"/>
        <v>0</v>
      </c>
      <c r="AH44" s="5">
        <f t="shared" si="29"/>
        <v>0</v>
      </c>
      <c r="AI44" s="6">
        <f t="shared" si="30"/>
        <v>0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0</v>
      </c>
      <c r="CS44" s="6">
        <f t="shared" si="95"/>
        <v>0</v>
      </c>
      <c r="CT44" s="7">
        <f t="shared" si="95"/>
        <v>0</v>
      </c>
      <c r="CU44" s="6">
        <f t="shared" si="95"/>
        <v>0</v>
      </c>
      <c r="CV44" s="5">
        <f t="shared" si="91"/>
        <v>0</v>
      </c>
      <c r="CW44" s="6">
        <f t="shared" si="92"/>
        <v>0</v>
      </c>
      <c r="CY44" s="7">
        <v>0</v>
      </c>
      <c r="CZ44" s="5">
        <f t="array" ref="CZ44">Summary_UpperBound</f>
        <v>0</v>
      </c>
      <c r="DA44" s="6">
        <f t="shared" si="93"/>
        <v>0</v>
      </c>
    </row>
    <row r="45" spans="2:105" x14ac:dyDescent="0.35">
      <c r="B45" s="14"/>
      <c r="E45" s="12" t="e" vm="2">
        <f t="shared" ca="1" si="94"/>
        <v>#VALUE!</v>
      </c>
      <c r="F45" s="7">
        <f t="shared" si="1"/>
        <v>0</v>
      </c>
      <c r="G45" s="6">
        <f t="shared" si="2"/>
        <v>0</v>
      </c>
      <c r="H45" s="7">
        <f t="shared" si="3"/>
        <v>0</v>
      </c>
      <c r="I45" s="6">
        <f t="shared" si="4"/>
        <v>0</v>
      </c>
      <c r="J45" s="5">
        <f t="shared" si="5"/>
        <v>0</v>
      </c>
      <c r="K45" s="6">
        <f t="shared" si="6"/>
        <v>0</v>
      </c>
      <c r="L45" s="7">
        <f t="shared" si="7"/>
        <v>0</v>
      </c>
      <c r="M45" s="6">
        <f t="shared" si="8"/>
        <v>0</v>
      </c>
      <c r="N45" s="7">
        <f t="shared" si="9"/>
        <v>0</v>
      </c>
      <c r="O45" s="6">
        <f t="shared" si="10"/>
        <v>0</v>
      </c>
      <c r="P45" s="5">
        <f t="shared" si="11"/>
        <v>0</v>
      </c>
      <c r="Q45" s="6">
        <f t="shared" si="12"/>
        <v>0</v>
      </c>
      <c r="R45" s="7">
        <f t="shared" si="13"/>
        <v>0</v>
      </c>
      <c r="S45" s="6">
        <f t="shared" si="14"/>
        <v>0</v>
      </c>
      <c r="T45" s="7">
        <f t="shared" si="15"/>
        <v>0</v>
      </c>
      <c r="U45" s="6">
        <f t="shared" si="16"/>
        <v>0</v>
      </c>
      <c r="V45" s="5">
        <f t="shared" si="17"/>
        <v>0</v>
      </c>
      <c r="W45" s="6">
        <f t="shared" si="18"/>
        <v>0</v>
      </c>
      <c r="X45" s="7">
        <f t="shared" si="19"/>
        <v>0</v>
      </c>
      <c r="Y45" s="6">
        <f t="shared" si="20"/>
        <v>0</v>
      </c>
      <c r="Z45" s="7">
        <f t="shared" si="21"/>
        <v>0</v>
      </c>
      <c r="AA45" s="6">
        <f t="shared" si="22"/>
        <v>0</v>
      </c>
      <c r="AB45" s="5">
        <f t="shared" si="23"/>
        <v>0</v>
      </c>
      <c r="AC45" s="6">
        <f t="shared" si="24"/>
        <v>0</v>
      </c>
      <c r="AD45" s="7">
        <f t="shared" si="25"/>
        <v>0</v>
      </c>
      <c r="AE45" s="6">
        <f t="shared" si="26"/>
        <v>0</v>
      </c>
      <c r="AF45" s="7">
        <f t="shared" si="27"/>
        <v>0</v>
      </c>
      <c r="AG45" s="6">
        <f t="shared" si="28"/>
        <v>0</v>
      </c>
      <c r="AH45" s="5">
        <f t="shared" si="29"/>
        <v>0</v>
      </c>
      <c r="AI45" s="6">
        <f t="shared" si="30"/>
        <v>0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0</v>
      </c>
      <c r="CS45" s="6">
        <f t="shared" si="96"/>
        <v>0</v>
      </c>
      <c r="CT45" s="7">
        <f t="shared" si="96"/>
        <v>0</v>
      </c>
      <c r="CU45" s="6">
        <f t="shared" si="96"/>
        <v>0</v>
      </c>
      <c r="CV45" s="5">
        <f t="shared" si="91"/>
        <v>0</v>
      </c>
      <c r="CW45" s="6">
        <f t="shared" si="92"/>
        <v>0</v>
      </c>
      <c r="CY45" s="7">
        <v>0</v>
      </c>
      <c r="CZ45" s="5">
        <f t="array" ref="CZ45">Summary_UpperBound</f>
        <v>0</v>
      </c>
      <c r="DA45" s="6">
        <f t="shared" si="93"/>
        <v>0</v>
      </c>
    </row>
    <row r="46" spans="2:105" x14ac:dyDescent="0.35">
      <c r="B46" s="14"/>
      <c r="E46" s="12" t="e" vm="2">
        <f t="shared" ca="1" si="94"/>
        <v>#VALUE!</v>
      </c>
      <c r="F46" s="7">
        <f t="shared" si="1"/>
        <v>0</v>
      </c>
      <c r="G46" s="6">
        <f t="shared" si="2"/>
        <v>0</v>
      </c>
      <c r="H46" s="7">
        <f t="shared" si="3"/>
        <v>0</v>
      </c>
      <c r="I46" s="6">
        <f t="shared" si="4"/>
        <v>0</v>
      </c>
      <c r="J46" s="5">
        <f t="shared" si="5"/>
        <v>0</v>
      </c>
      <c r="K46" s="6">
        <f t="shared" si="6"/>
        <v>0</v>
      </c>
      <c r="L46" s="7">
        <f t="shared" si="7"/>
        <v>0</v>
      </c>
      <c r="M46" s="6">
        <f t="shared" si="8"/>
        <v>0</v>
      </c>
      <c r="N46" s="7">
        <f t="shared" si="9"/>
        <v>0</v>
      </c>
      <c r="O46" s="6">
        <f t="shared" si="10"/>
        <v>0</v>
      </c>
      <c r="P46" s="5">
        <f t="shared" si="11"/>
        <v>0</v>
      </c>
      <c r="Q46" s="6">
        <f t="shared" si="12"/>
        <v>0</v>
      </c>
      <c r="R46" s="7">
        <f t="shared" si="13"/>
        <v>0</v>
      </c>
      <c r="S46" s="6">
        <f t="shared" si="14"/>
        <v>0</v>
      </c>
      <c r="T46" s="7">
        <f t="shared" si="15"/>
        <v>0</v>
      </c>
      <c r="U46" s="6">
        <f t="shared" si="16"/>
        <v>0</v>
      </c>
      <c r="V46" s="5">
        <f t="shared" si="17"/>
        <v>0</v>
      </c>
      <c r="W46" s="6">
        <f t="shared" si="18"/>
        <v>0</v>
      </c>
      <c r="X46" s="7">
        <f t="shared" si="19"/>
        <v>0</v>
      </c>
      <c r="Y46" s="6">
        <f t="shared" si="20"/>
        <v>0</v>
      </c>
      <c r="Z46" s="7">
        <f t="shared" si="21"/>
        <v>0</v>
      </c>
      <c r="AA46" s="6">
        <f t="shared" si="22"/>
        <v>0</v>
      </c>
      <c r="AB46" s="5">
        <f t="shared" si="23"/>
        <v>0</v>
      </c>
      <c r="AC46" s="6">
        <f t="shared" si="24"/>
        <v>0</v>
      </c>
      <c r="AD46" s="7">
        <f t="shared" si="25"/>
        <v>0</v>
      </c>
      <c r="AE46" s="6">
        <f t="shared" si="26"/>
        <v>0</v>
      </c>
      <c r="AF46" s="7">
        <f t="shared" si="27"/>
        <v>0</v>
      </c>
      <c r="AG46" s="6">
        <f t="shared" si="28"/>
        <v>0</v>
      </c>
      <c r="AH46" s="5">
        <f t="shared" si="29"/>
        <v>0</v>
      </c>
      <c r="AI46" s="6">
        <f t="shared" si="30"/>
        <v>0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0</v>
      </c>
      <c r="CS46" s="6">
        <f t="shared" si="96"/>
        <v>0</v>
      </c>
      <c r="CT46" s="7">
        <f t="shared" si="96"/>
        <v>0</v>
      </c>
      <c r="CU46" s="6">
        <f t="shared" si="96"/>
        <v>0</v>
      </c>
      <c r="CV46" s="5">
        <f t="shared" si="91"/>
        <v>0</v>
      </c>
      <c r="CW46" s="6">
        <f t="shared" si="92"/>
        <v>0</v>
      </c>
      <c r="CY46" s="7">
        <v>0</v>
      </c>
      <c r="CZ46" s="5">
        <f t="array" ref="CZ46">Summary_UpperBound</f>
        <v>0</v>
      </c>
      <c r="DA46" s="6">
        <f t="shared" si="93"/>
        <v>0</v>
      </c>
    </row>
    <row r="47" spans="2:105" x14ac:dyDescent="0.35">
      <c r="B47" s="14"/>
      <c r="E47" s="12" t="e" vm="2">
        <f t="shared" ca="1" si="94"/>
        <v>#VALUE!</v>
      </c>
      <c r="F47" s="7">
        <f t="shared" si="1"/>
        <v>0</v>
      </c>
      <c r="G47" s="6">
        <f t="shared" si="2"/>
        <v>0</v>
      </c>
      <c r="H47" s="7">
        <f t="shared" si="3"/>
        <v>0</v>
      </c>
      <c r="I47" s="6">
        <f t="shared" si="4"/>
        <v>0</v>
      </c>
      <c r="J47" s="5">
        <f t="shared" si="5"/>
        <v>0</v>
      </c>
      <c r="K47" s="6">
        <f t="shared" si="6"/>
        <v>0</v>
      </c>
      <c r="L47" s="7">
        <f t="shared" si="7"/>
        <v>0</v>
      </c>
      <c r="M47" s="6">
        <f t="shared" si="8"/>
        <v>0</v>
      </c>
      <c r="N47" s="7">
        <f t="shared" si="9"/>
        <v>0</v>
      </c>
      <c r="O47" s="6">
        <f t="shared" si="10"/>
        <v>0</v>
      </c>
      <c r="P47" s="5">
        <f t="shared" si="11"/>
        <v>0</v>
      </c>
      <c r="Q47" s="6">
        <f t="shared" si="12"/>
        <v>0</v>
      </c>
      <c r="R47" s="7">
        <f t="shared" si="13"/>
        <v>0</v>
      </c>
      <c r="S47" s="6">
        <f t="shared" si="14"/>
        <v>0</v>
      </c>
      <c r="T47" s="7">
        <f t="shared" si="15"/>
        <v>0</v>
      </c>
      <c r="U47" s="6">
        <f t="shared" si="16"/>
        <v>0</v>
      </c>
      <c r="V47" s="5">
        <f t="shared" si="17"/>
        <v>0</v>
      </c>
      <c r="W47" s="6">
        <f t="shared" si="18"/>
        <v>0</v>
      </c>
      <c r="X47" s="7">
        <f t="shared" si="19"/>
        <v>0</v>
      </c>
      <c r="Y47" s="6">
        <f t="shared" si="20"/>
        <v>0</v>
      </c>
      <c r="Z47" s="7">
        <f t="shared" si="21"/>
        <v>0</v>
      </c>
      <c r="AA47" s="6">
        <f t="shared" si="22"/>
        <v>0</v>
      </c>
      <c r="AB47" s="5">
        <f t="shared" si="23"/>
        <v>0</v>
      </c>
      <c r="AC47" s="6">
        <f t="shared" si="24"/>
        <v>0</v>
      </c>
      <c r="AD47" s="7">
        <f t="shared" si="25"/>
        <v>0</v>
      </c>
      <c r="AE47" s="6">
        <f t="shared" si="26"/>
        <v>0</v>
      </c>
      <c r="AF47" s="7">
        <f t="shared" si="27"/>
        <v>0</v>
      </c>
      <c r="AG47" s="6">
        <f t="shared" si="28"/>
        <v>0</v>
      </c>
      <c r="AH47" s="5">
        <f t="shared" si="29"/>
        <v>0</v>
      </c>
      <c r="AI47" s="6">
        <f t="shared" si="30"/>
        <v>0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0</v>
      </c>
      <c r="CS47" s="6">
        <f t="shared" si="96"/>
        <v>0</v>
      </c>
      <c r="CT47" s="7">
        <f t="shared" si="96"/>
        <v>0</v>
      </c>
      <c r="CU47" s="6">
        <f t="shared" si="96"/>
        <v>0</v>
      </c>
      <c r="CV47" s="5">
        <f t="shared" si="91"/>
        <v>0</v>
      </c>
      <c r="CW47" s="6">
        <f t="shared" si="92"/>
        <v>0</v>
      </c>
      <c r="CY47" s="7">
        <v>0</v>
      </c>
      <c r="CZ47" s="5">
        <f t="array" ref="CZ47">Summary_UpperBound</f>
        <v>0</v>
      </c>
      <c r="DA47" s="6">
        <f t="shared" si="93"/>
        <v>0</v>
      </c>
    </row>
    <row r="48" spans="2:105" x14ac:dyDescent="0.35">
      <c r="B48" s="14"/>
      <c r="E48" s="12" t="e" vm="2">
        <f t="shared" ca="1" si="94"/>
        <v>#VALUE!</v>
      </c>
      <c r="F48" s="7">
        <f t="shared" si="1"/>
        <v>0</v>
      </c>
      <c r="G48" s="6">
        <f t="shared" si="2"/>
        <v>0</v>
      </c>
      <c r="H48" s="7">
        <f t="shared" si="3"/>
        <v>0</v>
      </c>
      <c r="I48" s="6">
        <f t="shared" si="4"/>
        <v>0</v>
      </c>
      <c r="J48" s="5">
        <f t="shared" si="5"/>
        <v>0</v>
      </c>
      <c r="K48" s="6">
        <f t="shared" si="6"/>
        <v>0</v>
      </c>
      <c r="L48" s="7">
        <f t="shared" si="7"/>
        <v>0</v>
      </c>
      <c r="M48" s="6">
        <f t="shared" si="8"/>
        <v>0</v>
      </c>
      <c r="N48" s="7">
        <f t="shared" si="9"/>
        <v>0</v>
      </c>
      <c r="O48" s="6">
        <f t="shared" si="10"/>
        <v>0</v>
      </c>
      <c r="P48" s="5">
        <f t="shared" si="11"/>
        <v>0</v>
      </c>
      <c r="Q48" s="6">
        <f t="shared" si="12"/>
        <v>0</v>
      </c>
      <c r="R48" s="7">
        <f t="shared" si="13"/>
        <v>0</v>
      </c>
      <c r="S48" s="6">
        <f t="shared" si="14"/>
        <v>0</v>
      </c>
      <c r="T48" s="7">
        <f t="shared" si="15"/>
        <v>0</v>
      </c>
      <c r="U48" s="6">
        <f t="shared" si="16"/>
        <v>0</v>
      </c>
      <c r="V48" s="5">
        <f t="shared" si="17"/>
        <v>0</v>
      </c>
      <c r="W48" s="6">
        <f t="shared" si="18"/>
        <v>0</v>
      </c>
      <c r="X48" s="7">
        <f t="shared" si="19"/>
        <v>0</v>
      </c>
      <c r="Y48" s="6">
        <f t="shared" si="20"/>
        <v>0</v>
      </c>
      <c r="Z48" s="7">
        <f t="shared" si="21"/>
        <v>0</v>
      </c>
      <c r="AA48" s="6">
        <f t="shared" si="22"/>
        <v>0</v>
      </c>
      <c r="AB48" s="5">
        <f t="shared" si="23"/>
        <v>0</v>
      </c>
      <c r="AC48" s="6">
        <f t="shared" si="24"/>
        <v>0</v>
      </c>
      <c r="AD48" s="7">
        <f t="shared" si="25"/>
        <v>0</v>
      </c>
      <c r="AE48" s="6">
        <f t="shared" si="26"/>
        <v>0</v>
      </c>
      <c r="AF48" s="7">
        <f t="shared" si="27"/>
        <v>0</v>
      </c>
      <c r="AG48" s="6">
        <f t="shared" si="28"/>
        <v>0</v>
      </c>
      <c r="AH48" s="5">
        <f t="shared" si="29"/>
        <v>0</v>
      </c>
      <c r="AI48" s="6">
        <f t="shared" si="30"/>
        <v>0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0</v>
      </c>
      <c r="CS48" s="6">
        <f t="shared" si="96"/>
        <v>0</v>
      </c>
      <c r="CT48" s="7">
        <f t="shared" si="96"/>
        <v>0</v>
      </c>
      <c r="CU48" s="6">
        <f t="shared" si="96"/>
        <v>0</v>
      </c>
      <c r="CV48" s="5">
        <f t="shared" si="91"/>
        <v>0</v>
      </c>
      <c r="CW48" s="6">
        <f t="shared" si="92"/>
        <v>0</v>
      </c>
      <c r="CY48" s="7">
        <v>0</v>
      </c>
      <c r="CZ48" s="5">
        <f t="array" ref="CZ48">Summary_UpperBound</f>
        <v>0</v>
      </c>
      <c r="DA48" s="6">
        <f t="shared" si="93"/>
        <v>0</v>
      </c>
    </row>
    <row r="49" spans="2:105" x14ac:dyDescent="0.35">
      <c r="B49" s="14"/>
      <c r="E49" s="12" t="e" vm="2">
        <f t="shared" ca="1" si="94"/>
        <v>#VALUE!</v>
      </c>
      <c r="F49" s="7">
        <f t="shared" si="1"/>
        <v>0</v>
      </c>
      <c r="G49" s="6">
        <f t="shared" si="2"/>
        <v>0</v>
      </c>
      <c r="H49" s="7">
        <f t="shared" si="3"/>
        <v>0</v>
      </c>
      <c r="I49" s="6">
        <f t="shared" si="4"/>
        <v>0</v>
      </c>
      <c r="J49" s="5">
        <f t="shared" si="5"/>
        <v>0</v>
      </c>
      <c r="K49" s="6">
        <f t="shared" si="6"/>
        <v>0</v>
      </c>
      <c r="L49" s="7">
        <f t="shared" si="7"/>
        <v>0</v>
      </c>
      <c r="M49" s="6">
        <f t="shared" si="8"/>
        <v>0</v>
      </c>
      <c r="N49" s="7">
        <f t="shared" si="9"/>
        <v>0</v>
      </c>
      <c r="O49" s="6">
        <f t="shared" si="10"/>
        <v>0</v>
      </c>
      <c r="P49" s="5">
        <f t="shared" si="11"/>
        <v>0</v>
      </c>
      <c r="Q49" s="6">
        <f t="shared" si="12"/>
        <v>0</v>
      </c>
      <c r="R49" s="7">
        <f t="shared" si="13"/>
        <v>0</v>
      </c>
      <c r="S49" s="6">
        <f t="shared" si="14"/>
        <v>0</v>
      </c>
      <c r="T49" s="7">
        <f t="shared" si="15"/>
        <v>0</v>
      </c>
      <c r="U49" s="6">
        <f t="shared" si="16"/>
        <v>0</v>
      </c>
      <c r="V49" s="5">
        <f t="shared" si="17"/>
        <v>0</v>
      </c>
      <c r="W49" s="6">
        <f t="shared" si="18"/>
        <v>0</v>
      </c>
      <c r="X49" s="7">
        <f t="shared" si="19"/>
        <v>0</v>
      </c>
      <c r="Y49" s="6">
        <f t="shared" si="20"/>
        <v>0</v>
      </c>
      <c r="Z49" s="7">
        <f t="shared" si="21"/>
        <v>0</v>
      </c>
      <c r="AA49" s="6">
        <f t="shared" si="22"/>
        <v>0</v>
      </c>
      <c r="AB49" s="5">
        <f t="shared" si="23"/>
        <v>0</v>
      </c>
      <c r="AC49" s="6">
        <f t="shared" si="24"/>
        <v>0</v>
      </c>
      <c r="AD49" s="7">
        <f t="shared" si="25"/>
        <v>0</v>
      </c>
      <c r="AE49" s="6">
        <f t="shared" si="26"/>
        <v>0</v>
      </c>
      <c r="AF49" s="7">
        <f t="shared" si="27"/>
        <v>0</v>
      </c>
      <c r="AG49" s="6">
        <f t="shared" si="28"/>
        <v>0</v>
      </c>
      <c r="AH49" s="5">
        <f t="shared" si="29"/>
        <v>0</v>
      </c>
      <c r="AI49" s="6">
        <f t="shared" si="30"/>
        <v>0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0</v>
      </c>
      <c r="CS49" s="6">
        <f t="shared" si="96"/>
        <v>0</v>
      </c>
      <c r="CT49" s="7">
        <f t="shared" si="96"/>
        <v>0</v>
      </c>
      <c r="CU49" s="6">
        <f t="shared" si="96"/>
        <v>0</v>
      </c>
      <c r="CV49" s="5">
        <f t="shared" si="91"/>
        <v>0</v>
      </c>
      <c r="CW49" s="6">
        <f t="shared" si="92"/>
        <v>0</v>
      </c>
      <c r="CY49" s="7">
        <v>0</v>
      </c>
      <c r="CZ49" s="5">
        <f t="array" ref="CZ49">Summary_UpperBound</f>
        <v>0</v>
      </c>
      <c r="DA49" s="6">
        <f t="shared" si="93"/>
        <v>0</v>
      </c>
    </row>
    <row r="50" spans="2:105" x14ac:dyDescent="0.35">
      <c r="B50" s="14"/>
      <c r="E50" s="12" t="e" vm="2">
        <f t="shared" ca="1" si="94"/>
        <v>#VALUE!</v>
      </c>
      <c r="F50" s="7">
        <f t="shared" si="1"/>
        <v>0</v>
      </c>
      <c r="G50" s="6">
        <f t="shared" si="2"/>
        <v>0</v>
      </c>
      <c r="H50" s="7">
        <f t="shared" si="3"/>
        <v>0</v>
      </c>
      <c r="I50" s="6">
        <f t="shared" si="4"/>
        <v>0</v>
      </c>
      <c r="J50" s="5">
        <f t="shared" si="5"/>
        <v>0</v>
      </c>
      <c r="K50" s="6">
        <f t="shared" si="6"/>
        <v>0</v>
      </c>
      <c r="L50" s="7">
        <f t="shared" si="7"/>
        <v>0</v>
      </c>
      <c r="M50" s="6">
        <f t="shared" si="8"/>
        <v>0</v>
      </c>
      <c r="N50" s="7">
        <f t="shared" si="9"/>
        <v>0</v>
      </c>
      <c r="O50" s="6">
        <f t="shared" si="10"/>
        <v>0</v>
      </c>
      <c r="P50" s="5">
        <f t="shared" si="11"/>
        <v>0</v>
      </c>
      <c r="Q50" s="6">
        <f t="shared" si="12"/>
        <v>0</v>
      </c>
      <c r="R50" s="7">
        <f t="shared" si="13"/>
        <v>0</v>
      </c>
      <c r="S50" s="6">
        <f t="shared" si="14"/>
        <v>0</v>
      </c>
      <c r="T50" s="7">
        <f t="shared" si="15"/>
        <v>0</v>
      </c>
      <c r="U50" s="6">
        <f t="shared" si="16"/>
        <v>0</v>
      </c>
      <c r="V50" s="5">
        <f t="shared" si="17"/>
        <v>0</v>
      </c>
      <c r="W50" s="6">
        <f t="shared" si="18"/>
        <v>0</v>
      </c>
      <c r="X50" s="7">
        <f t="shared" si="19"/>
        <v>0</v>
      </c>
      <c r="Y50" s="6">
        <f t="shared" si="20"/>
        <v>0</v>
      </c>
      <c r="Z50" s="7">
        <f t="shared" si="21"/>
        <v>0</v>
      </c>
      <c r="AA50" s="6">
        <f t="shared" si="22"/>
        <v>0</v>
      </c>
      <c r="AB50" s="5">
        <f t="shared" si="23"/>
        <v>0</v>
      </c>
      <c r="AC50" s="6">
        <f t="shared" si="24"/>
        <v>0</v>
      </c>
      <c r="AD50" s="7">
        <f t="shared" si="25"/>
        <v>0</v>
      </c>
      <c r="AE50" s="6">
        <f t="shared" si="26"/>
        <v>0</v>
      </c>
      <c r="AF50" s="7">
        <f t="shared" si="27"/>
        <v>0</v>
      </c>
      <c r="AG50" s="6">
        <f t="shared" si="28"/>
        <v>0</v>
      </c>
      <c r="AH50" s="5">
        <f t="shared" si="29"/>
        <v>0</v>
      </c>
      <c r="AI50" s="6">
        <f t="shared" si="30"/>
        <v>0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0</v>
      </c>
      <c r="CS50" s="6">
        <f t="shared" si="96"/>
        <v>0</v>
      </c>
      <c r="CT50" s="7">
        <f t="shared" si="96"/>
        <v>0</v>
      </c>
      <c r="CU50" s="6">
        <f t="shared" si="96"/>
        <v>0</v>
      </c>
      <c r="CV50" s="5">
        <f t="shared" si="91"/>
        <v>0</v>
      </c>
      <c r="CW50" s="6">
        <f t="shared" si="92"/>
        <v>0</v>
      </c>
      <c r="CY50" s="7">
        <v>0</v>
      </c>
      <c r="CZ50" s="5">
        <f t="array" ref="CZ50">Summary_UpperBound</f>
        <v>0</v>
      </c>
      <c r="DA50" s="6">
        <f t="shared" si="93"/>
        <v>0</v>
      </c>
    </row>
    <row r="51" spans="2:105" x14ac:dyDescent="0.35">
      <c r="B51" s="14"/>
      <c r="E51" s="12" t="e" vm="2">
        <f t="shared" ca="1" si="94"/>
        <v>#VALUE!</v>
      </c>
      <c r="F51" s="7">
        <f t="shared" si="1"/>
        <v>0</v>
      </c>
      <c r="G51" s="6">
        <f t="shared" si="2"/>
        <v>0</v>
      </c>
      <c r="H51" s="7">
        <f t="shared" si="3"/>
        <v>0</v>
      </c>
      <c r="I51" s="6">
        <f t="shared" si="4"/>
        <v>0</v>
      </c>
      <c r="J51" s="5">
        <f t="shared" si="5"/>
        <v>0</v>
      </c>
      <c r="K51" s="6">
        <f t="shared" si="6"/>
        <v>0</v>
      </c>
      <c r="L51" s="7">
        <f t="shared" si="7"/>
        <v>0</v>
      </c>
      <c r="M51" s="6">
        <f t="shared" si="8"/>
        <v>0</v>
      </c>
      <c r="N51" s="7">
        <f t="shared" si="9"/>
        <v>0</v>
      </c>
      <c r="O51" s="6">
        <f t="shared" si="10"/>
        <v>0</v>
      </c>
      <c r="P51" s="5">
        <f t="shared" si="11"/>
        <v>0</v>
      </c>
      <c r="Q51" s="6">
        <f t="shared" si="12"/>
        <v>0</v>
      </c>
      <c r="R51" s="7">
        <f t="shared" si="13"/>
        <v>0</v>
      </c>
      <c r="S51" s="6">
        <f t="shared" si="14"/>
        <v>0</v>
      </c>
      <c r="T51" s="7">
        <f t="shared" si="15"/>
        <v>0</v>
      </c>
      <c r="U51" s="6">
        <f t="shared" si="16"/>
        <v>0</v>
      </c>
      <c r="V51" s="5">
        <f t="shared" si="17"/>
        <v>0</v>
      </c>
      <c r="W51" s="6">
        <f t="shared" si="18"/>
        <v>0</v>
      </c>
      <c r="X51" s="7">
        <f t="shared" si="19"/>
        <v>0</v>
      </c>
      <c r="Y51" s="6">
        <f t="shared" si="20"/>
        <v>0</v>
      </c>
      <c r="Z51" s="7">
        <f t="shared" si="21"/>
        <v>0</v>
      </c>
      <c r="AA51" s="6">
        <f t="shared" si="22"/>
        <v>0</v>
      </c>
      <c r="AB51" s="5">
        <f t="shared" si="23"/>
        <v>0</v>
      </c>
      <c r="AC51" s="6">
        <f t="shared" si="24"/>
        <v>0</v>
      </c>
      <c r="AD51" s="7">
        <f t="shared" si="25"/>
        <v>0</v>
      </c>
      <c r="AE51" s="6">
        <f t="shared" si="26"/>
        <v>0</v>
      </c>
      <c r="AF51" s="7">
        <f t="shared" si="27"/>
        <v>0</v>
      </c>
      <c r="AG51" s="6">
        <f t="shared" si="28"/>
        <v>0</v>
      </c>
      <c r="AH51" s="5">
        <f t="shared" si="29"/>
        <v>0</v>
      </c>
      <c r="AI51" s="6">
        <f t="shared" si="30"/>
        <v>0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0</v>
      </c>
      <c r="CS51" s="6">
        <f t="shared" si="96"/>
        <v>0</v>
      </c>
      <c r="CT51" s="7">
        <f t="shared" si="96"/>
        <v>0</v>
      </c>
      <c r="CU51" s="6">
        <f t="shared" si="96"/>
        <v>0</v>
      </c>
      <c r="CV51" s="5">
        <f t="shared" si="91"/>
        <v>0</v>
      </c>
      <c r="CW51" s="6">
        <f t="shared" si="92"/>
        <v>0</v>
      </c>
      <c r="CY51" s="7">
        <v>0</v>
      </c>
      <c r="CZ51" s="5">
        <f t="array" ref="CZ51">Summary_UpperBound</f>
        <v>0</v>
      </c>
      <c r="DA51" s="6">
        <f t="shared" si="93"/>
        <v>0</v>
      </c>
    </row>
    <row r="52" spans="2:105" x14ac:dyDescent="0.35">
      <c r="B52" s="14"/>
      <c r="E52" s="12" t="e" vm="2">
        <f t="shared" ca="1" si="94"/>
        <v>#VALUE!</v>
      </c>
      <c r="F52" s="7">
        <f t="shared" si="1"/>
        <v>0</v>
      </c>
      <c r="G52" s="6">
        <f t="shared" si="2"/>
        <v>0</v>
      </c>
      <c r="H52" s="7">
        <f t="shared" si="3"/>
        <v>0</v>
      </c>
      <c r="I52" s="6">
        <f t="shared" si="4"/>
        <v>0</v>
      </c>
      <c r="J52" s="5">
        <f t="shared" si="5"/>
        <v>0</v>
      </c>
      <c r="K52" s="6">
        <f t="shared" si="6"/>
        <v>0</v>
      </c>
      <c r="L52" s="7">
        <f t="shared" si="7"/>
        <v>0</v>
      </c>
      <c r="M52" s="6">
        <f t="shared" si="8"/>
        <v>0</v>
      </c>
      <c r="N52" s="7">
        <f t="shared" si="9"/>
        <v>0</v>
      </c>
      <c r="O52" s="6">
        <f t="shared" si="10"/>
        <v>0</v>
      </c>
      <c r="P52" s="5">
        <f t="shared" si="11"/>
        <v>0</v>
      </c>
      <c r="Q52" s="6">
        <f t="shared" si="12"/>
        <v>0</v>
      </c>
      <c r="R52" s="7">
        <f t="shared" si="13"/>
        <v>0</v>
      </c>
      <c r="S52" s="6">
        <f t="shared" si="14"/>
        <v>0</v>
      </c>
      <c r="T52" s="7">
        <f t="shared" si="15"/>
        <v>0</v>
      </c>
      <c r="U52" s="6">
        <f t="shared" si="16"/>
        <v>0</v>
      </c>
      <c r="V52" s="5">
        <f t="shared" si="17"/>
        <v>0</v>
      </c>
      <c r="W52" s="6">
        <f t="shared" si="18"/>
        <v>0</v>
      </c>
      <c r="X52" s="7">
        <f t="shared" si="19"/>
        <v>0</v>
      </c>
      <c r="Y52" s="6">
        <f t="shared" si="20"/>
        <v>0</v>
      </c>
      <c r="Z52" s="7">
        <f t="shared" si="21"/>
        <v>0</v>
      </c>
      <c r="AA52" s="6">
        <f t="shared" si="22"/>
        <v>0</v>
      </c>
      <c r="AB52" s="5">
        <f t="shared" si="23"/>
        <v>0</v>
      </c>
      <c r="AC52" s="6">
        <f t="shared" si="24"/>
        <v>0</v>
      </c>
      <c r="AD52" s="7">
        <f t="shared" si="25"/>
        <v>0</v>
      </c>
      <c r="AE52" s="6">
        <f t="shared" si="26"/>
        <v>0</v>
      </c>
      <c r="AF52" s="7">
        <f t="shared" si="27"/>
        <v>0</v>
      </c>
      <c r="AG52" s="6">
        <f t="shared" si="28"/>
        <v>0</v>
      </c>
      <c r="AH52" s="5">
        <f t="shared" si="29"/>
        <v>0</v>
      </c>
      <c r="AI52" s="6">
        <f t="shared" si="30"/>
        <v>0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0</v>
      </c>
      <c r="CS52" s="6">
        <f t="shared" si="96"/>
        <v>0</v>
      </c>
      <c r="CT52" s="7">
        <f t="shared" si="96"/>
        <v>0</v>
      </c>
      <c r="CU52" s="6">
        <f t="shared" si="96"/>
        <v>0</v>
      </c>
      <c r="CV52" s="5">
        <f t="shared" si="91"/>
        <v>0</v>
      </c>
      <c r="CW52" s="6">
        <f t="shared" si="92"/>
        <v>0</v>
      </c>
      <c r="CY52" s="7">
        <v>0</v>
      </c>
      <c r="CZ52" s="5">
        <f t="array" ref="CZ52">Summary_UpperBound</f>
        <v>0</v>
      </c>
      <c r="DA52" s="6">
        <f t="shared" si="93"/>
        <v>0</v>
      </c>
    </row>
    <row r="53" spans="2:105" x14ac:dyDescent="0.35">
      <c r="B53" s="14"/>
      <c r="E53" s="12" t="e" vm="2">
        <f t="shared" ca="1" si="94"/>
        <v>#VALUE!</v>
      </c>
      <c r="F53" s="7">
        <f t="shared" si="1"/>
        <v>0</v>
      </c>
      <c r="G53" s="6">
        <f t="shared" si="2"/>
        <v>0</v>
      </c>
      <c r="H53" s="7">
        <f t="shared" si="3"/>
        <v>0</v>
      </c>
      <c r="I53" s="6">
        <f t="shared" si="4"/>
        <v>0</v>
      </c>
      <c r="J53" s="5">
        <f t="shared" si="5"/>
        <v>0</v>
      </c>
      <c r="K53" s="6">
        <f t="shared" si="6"/>
        <v>0</v>
      </c>
      <c r="L53" s="7">
        <f t="shared" si="7"/>
        <v>0</v>
      </c>
      <c r="M53" s="6">
        <f t="shared" si="8"/>
        <v>0</v>
      </c>
      <c r="N53" s="7">
        <f t="shared" si="9"/>
        <v>0</v>
      </c>
      <c r="O53" s="6">
        <f t="shared" si="10"/>
        <v>0</v>
      </c>
      <c r="P53" s="5">
        <f t="shared" si="11"/>
        <v>0</v>
      </c>
      <c r="Q53" s="6">
        <f t="shared" si="12"/>
        <v>0</v>
      </c>
      <c r="R53" s="7">
        <f t="shared" si="13"/>
        <v>0</v>
      </c>
      <c r="S53" s="6">
        <f t="shared" si="14"/>
        <v>0</v>
      </c>
      <c r="T53" s="7">
        <f t="shared" si="15"/>
        <v>0</v>
      </c>
      <c r="U53" s="6">
        <f t="shared" si="16"/>
        <v>0</v>
      </c>
      <c r="V53" s="5">
        <f t="shared" si="17"/>
        <v>0</v>
      </c>
      <c r="W53" s="6">
        <f t="shared" si="18"/>
        <v>0</v>
      </c>
      <c r="X53" s="7">
        <f t="shared" si="19"/>
        <v>0</v>
      </c>
      <c r="Y53" s="6">
        <f t="shared" si="20"/>
        <v>0</v>
      </c>
      <c r="Z53" s="7">
        <f t="shared" si="21"/>
        <v>0</v>
      </c>
      <c r="AA53" s="6">
        <f t="shared" si="22"/>
        <v>0</v>
      </c>
      <c r="AB53" s="5">
        <f t="shared" si="23"/>
        <v>0</v>
      </c>
      <c r="AC53" s="6">
        <f t="shared" si="24"/>
        <v>0</v>
      </c>
      <c r="AD53" s="7">
        <f t="shared" si="25"/>
        <v>0</v>
      </c>
      <c r="AE53" s="6">
        <f t="shared" si="26"/>
        <v>0</v>
      </c>
      <c r="AF53" s="7">
        <f t="shared" si="27"/>
        <v>0</v>
      </c>
      <c r="AG53" s="6">
        <f t="shared" si="28"/>
        <v>0</v>
      </c>
      <c r="AH53" s="5">
        <f t="shared" si="29"/>
        <v>0</v>
      </c>
      <c r="AI53" s="6">
        <f t="shared" si="30"/>
        <v>0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0</v>
      </c>
      <c r="CS53" s="6">
        <f t="shared" si="96"/>
        <v>0</v>
      </c>
      <c r="CT53" s="7">
        <f t="shared" si="96"/>
        <v>0</v>
      </c>
      <c r="CU53" s="6">
        <f t="shared" si="96"/>
        <v>0</v>
      </c>
      <c r="CV53" s="5">
        <f t="shared" si="91"/>
        <v>0</v>
      </c>
      <c r="CW53" s="6">
        <f t="shared" si="92"/>
        <v>0</v>
      </c>
      <c r="CY53" s="7">
        <v>0</v>
      </c>
      <c r="CZ53" s="5">
        <f t="array" ref="CZ53">Summary_UpperBound</f>
        <v>0</v>
      </c>
      <c r="DA53" s="6">
        <f t="shared" si="93"/>
        <v>0</v>
      </c>
    </row>
    <row r="54" spans="2:105" x14ac:dyDescent="0.35">
      <c r="B54" s="14"/>
      <c r="E54" s="12" t="e" vm="2">
        <f t="shared" ca="1" si="94"/>
        <v>#VALUE!</v>
      </c>
      <c r="F54" s="7">
        <f t="shared" si="1"/>
        <v>0</v>
      </c>
      <c r="G54" s="6">
        <f t="shared" si="2"/>
        <v>0</v>
      </c>
      <c r="H54" s="7">
        <f t="shared" si="3"/>
        <v>0</v>
      </c>
      <c r="I54" s="6">
        <f t="shared" si="4"/>
        <v>0</v>
      </c>
      <c r="J54" s="5">
        <f t="shared" si="5"/>
        <v>0</v>
      </c>
      <c r="K54" s="6">
        <f t="shared" si="6"/>
        <v>0</v>
      </c>
      <c r="L54" s="7">
        <f t="shared" si="7"/>
        <v>0</v>
      </c>
      <c r="M54" s="6">
        <f t="shared" si="8"/>
        <v>0</v>
      </c>
      <c r="N54" s="7">
        <f t="shared" si="9"/>
        <v>0</v>
      </c>
      <c r="O54" s="6">
        <f t="shared" si="10"/>
        <v>0</v>
      </c>
      <c r="P54" s="5">
        <f t="shared" si="11"/>
        <v>0</v>
      </c>
      <c r="Q54" s="6">
        <f t="shared" si="12"/>
        <v>0</v>
      </c>
      <c r="R54" s="7">
        <f t="shared" si="13"/>
        <v>0</v>
      </c>
      <c r="S54" s="6">
        <f t="shared" si="14"/>
        <v>0</v>
      </c>
      <c r="T54" s="7">
        <f t="shared" si="15"/>
        <v>0</v>
      </c>
      <c r="U54" s="6">
        <f t="shared" si="16"/>
        <v>0</v>
      </c>
      <c r="V54" s="5">
        <f t="shared" si="17"/>
        <v>0</v>
      </c>
      <c r="W54" s="6">
        <f t="shared" si="18"/>
        <v>0</v>
      </c>
      <c r="X54" s="7">
        <f t="shared" si="19"/>
        <v>0</v>
      </c>
      <c r="Y54" s="6">
        <f t="shared" si="20"/>
        <v>0</v>
      </c>
      <c r="Z54" s="7">
        <f t="shared" si="21"/>
        <v>0</v>
      </c>
      <c r="AA54" s="6">
        <f t="shared" si="22"/>
        <v>0</v>
      </c>
      <c r="AB54" s="5">
        <f t="shared" si="23"/>
        <v>0</v>
      </c>
      <c r="AC54" s="6">
        <f t="shared" si="24"/>
        <v>0</v>
      </c>
      <c r="AD54" s="7">
        <f t="shared" si="25"/>
        <v>0</v>
      </c>
      <c r="AE54" s="6">
        <f t="shared" si="26"/>
        <v>0</v>
      </c>
      <c r="AF54" s="7">
        <f t="shared" si="27"/>
        <v>0</v>
      </c>
      <c r="AG54" s="6">
        <f t="shared" si="28"/>
        <v>0</v>
      </c>
      <c r="AH54" s="5">
        <f t="shared" si="29"/>
        <v>0</v>
      </c>
      <c r="AI54" s="6">
        <f t="shared" si="30"/>
        <v>0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0</v>
      </c>
      <c r="CS54" s="6">
        <f t="shared" si="96"/>
        <v>0</v>
      </c>
      <c r="CT54" s="7">
        <f t="shared" si="96"/>
        <v>0</v>
      </c>
      <c r="CU54" s="6">
        <f t="shared" si="96"/>
        <v>0</v>
      </c>
      <c r="CV54" s="5">
        <f t="shared" si="91"/>
        <v>0</v>
      </c>
      <c r="CW54" s="6">
        <f t="shared" si="92"/>
        <v>0</v>
      </c>
      <c r="CY54" s="7">
        <v>0</v>
      </c>
      <c r="CZ54" s="5">
        <f t="array" ref="CZ54">Summary_UpperBound</f>
        <v>0</v>
      </c>
      <c r="DA54" s="6">
        <f t="shared" si="93"/>
        <v>0</v>
      </c>
    </row>
    <row r="55" spans="2:105" x14ac:dyDescent="0.35">
      <c r="B55" s="14"/>
      <c r="E55" s="12" t="e" vm="2">
        <f t="shared" ca="1" si="94"/>
        <v>#VALUE!</v>
      </c>
      <c r="F55" s="7">
        <f t="shared" si="1"/>
        <v>0</v>
      </c>
      <c r="G55" s="6">
        <f t="shared" si="2"/>
        <v>0</v>
      </c>
      <c r="H55" s="7">
        <f t="shared" si="3"/>
        <v>0</v>
      </c>
      <c r="I55" s="6">
        <f t="shared" si="4"/>
        <v>0</v>
      </c>
      <c r="J55" s="5">
        <f t="shared" si="5"/>
        <v>0</v>
      </c>
      <c r="K55" s="6">
        <f t="shared" si="6"/>
        <v>0</v>
      </c>
      <c r="L55" s="7">
        <f t="shared" si="7"/>
        <v>0</v>
      </c>
      <c r="M55" s="6">
        <f t="shared" si="8"/>
        <v>0</v>
      </c>
      <c r="N55" s="7">
        <f t="shared" si="9"/>
        <v>0</v>
      </c>
      <c r="O55" s="6">
        <f t="shared" si="10"/>
        <v>0</v>
      </c>
      <c r="P55" s="5">
        <f t="shared" si="11"/>
        <v>0</v>
      </c>
      <c r="Q55" s="6">
        <f t="shared" si="12"/>
        <v>0</v>
      </c>
      <c r="R55" s="7">
        <f t="shared" si="13"/>
        <v>0</v>
      </c>
      <c r="S55" s="6">
        <f t="shared" si="14"/>
        <v>0</v>
      </c>
      <c r="T55" s="7">
        <f t="shared" si="15"/>
        <v>0</v>
      </c>
      <c r="U55" s="6">
        <f t="shared" si="16"/>
        <v>0</v>
      </c>
      <c r="V55" s="5">
        <f t="shared" si="17"/>
        <v>0</v>
      </c>
      <c r="W55" s="6">
        <f t="shared" si="18"/>
        <v>0</v>
      </c>
      <c r="X55" s="7">
        <f t="shared" si="19"/>
        <v>0</v>
      </c>
      <c r="Y55" s="6">
        <f t="shared" si="20"/>
        <v>0</v>
      </c>
      <c r="Z55" s="7">
        <f t="shared" si="21"/>
        <v>0</v>
      </c>
      <c r="AA55" s="6">
        <f t="shared" si="22"/>
        <v>0</v>
      </c>
      <c r="AB55" s="5">
        <f t="shared" si="23"/>
        <v>0</v>
      </c>
      <c r="AC55" s="6">
        <f t="shared" si="24"/>
        <v>0</v>
      </c>
      <c r="AD55" s="7">
        <f t="shared" si="25"/>
        <v>0</v>
      </c>
      <c r="AE55" s="6">
        <f t="shared" si="26"/>
        <v>0</v>
      </c>
      <c r="AF55" s="7">
        <f t="shared" si="27"/>
        <v>0</v>
      </c>
      <c r="AG55" s="6">
        <f t="shared" si="28"/>
        <v>0</v>
      </c>
      <c r="AH55" s="5">
        <f t="shared" si="29"/>
        <v>0</v>
      </c>
      <c r="AI55" s="6">
        <f t="shared" si="30"/>
        <v>0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0</v>
      </c>
      <c r="CS55" s="6">
        <f t="shared" si="96"/>
        <v>0</v>
      </c>
      <c r="CT55" s="7">
        <f t="shared" si="96"/>
        <v>0</v>
      </c>
      <c r="CU55" s="6">
        <f t="shared" si="96"/>
        <v>0</v>
      </c>
      <c r="CV55" s="5">
        <f t="shared" si="91"/>
        <v>0</v>
      </c>
      <c r="CW55" s="6">
        <f t="shared" si="92"/>
        <v>0</v>
      </c>
      <c r="CY55" s="7">
        <v>0</v>
      </c>
      <c r="CZ55" s="5">
        <f t="array" ref="CZ55">Summary_UpperBound</f>
        <v>0</v>
      </c>
      <c r="DA55" s="6">
        <f t="shared" si="93"/>
        <v>0</v>
      </c>
    </row>
    <row r="56" spans="2:105" ht="15" thickBot="1" x14ac:dyDescent="0.4">
      <c r="B56" s="14"/>
      <c r="E56" s="13" t="e" vm="2">
        <f t="shared" ca="1" si="94"/>
        <v>#VALUE!</v>
      </c>
      <c r="F56" s="8">
        <f t="shared" si="1"/>
        <v>0</v>
      </c>
      <c r="G56" s="10">
        <f t="shared" si="2"/>
        <v>0</v>
      </c>
      <c r="H56" s="8">
        <f t="shared" si="3"/>
        <v>0</v>
      </c>
      <c r="I56" s="10">
        <f t="shared" si="4"/>
        <v>0</v>
      </c>
      <c r="J56" s="9">
        <f t="shared" si="5"/>
        <v>0</v>
      </c>
      <c r="K56" s="10">
        <f t="shared" si="6"/>
        <v>0</v>
      </c>
      <c r="L56" s="8">
        <f t="shared" si="7"/>
        <v>0</v>
      </c>
      <c r="M56" s="10">
        <f t="shared" si="8"/>
        <v>0</v>
      </c>
      <c r="N56" s="8">
        <f t="shared" si="9"/>
        <v>0</v>
      </c>
      <c r="O56" s="10">
        <f t="shared" si="10"/>
        <v>0</v>
      </c>
      <c r="P56" s="9">
        <f t="shared" si="11"/>
        <v>0</v>
      </c>
      <c r="Q56" s="10">
        <f t="shared" si="12"/>
        <v>0</v>
      </c>
      <c r="R56" s="8">
        <f t="shared" si="13"/>
        <v>0</v>
      </c>
      <c r="S56" s="10">
        <f t="shared" si="14"/>
        <v>0</v>
      </c>
      <c r="T56" s="8">
        <f t="shared" si="15"/>
        <v>0</v>
      </c>
      <c r="U56" s="10">
        <f t="shared" si="16"/>
        <v>0</v>
      </c>
      <c r="V56" s="9">
        <f t="shared" si="17"/>
        <v>0</v>
      </c>
      <c r="W56" s="10">
        <f t="shared" si="18"/>
        <v>0</v>
      </c>
      <c r="X56" s="8">
        <f t="shared" si="19"/>
        <v>0</v>
      </c>
      <c r="Y56" s="10">
        <f t="shared" si="20"/>
        <v>0</v>
      </c>
      <c r="Z56" s="8">
        <f t="shared" si="21"/>
        <v>0</v>
      </c>
      <c r="AA56" s="10">
        <f t="shared" si="22"/>
        <v>0</v>
      </c>
      <c r="AB56" s="9">
        <f t="shared" si="23"/>
        <v>0</v>
      </c>
      <c r="AC56" s="10">
        <f t="shared" si="24"/>
        <v>0</v>
      </c>
      <c r="AD56" s="8">
        <f t="shared" si="25"/>
        <v>0</v>
      </c>
      <c r="AE56" s="10">
        <f t="shared" si="26"/>
        <v>0</v>
      </c>
      <c r="AF56" s="8">
        <f t="shared" si="27"/>
        <v>0</v>
      </c>
      <c r="AG56" s="10">
        <f t="shared" si="28"/>
        <v>0</v>
      </c>
      <c r="AH56" s="9">
        <f t="shared" si="29"/>
        <v>0</v>
      </c>
      <c r="AI56" s="10">
        <f t="shared" si="30"/>
        <v>0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0</v>
      </c>
      <c r="CS56" s="10">
        <f t="shared" si="96"/>
        <v>0</v>
      </c>
      <c r="CT56" s="8">
        <f t="shared" si="96"/>
        <v>0</v>
      </c>
      <c r="CU56" s="10">
        <f t="shared" si="96"/>
        <v>0</v>
      </c>
      <c r="CV56" s="9">
        <f t="shared" si="91"/>
        <v>0</v>
      </c>
      <c r="CW56" s="10">
        <f t="shared" si="92"/>
        <v>0</v>
      </c>
      <c r="CY56" s="8">
        <v>0</v>
      </c>
      <c r="CZ56" s="9">
        <f t="array" ref="CZ56">Summary_UpperBound</f>
        <v>0</v>
      </c>
      <c r="DA56" s="10">
        <f t="shared" si="93"/>
        <v>0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137</v>
      </c>
      <c r="E58" s="14"/>
      <c r="F58" s="5"/>
      <c r="G58" s="14" t="s">
        <v>47</v>
      </c>
      <c r="H58" s="5"/>
      <c r="I58" s="14" t="s">
        <v>47</v>
      </c>
      <c r="J58" s="5"/>
      <c r="K58" s="14" t="s">
        <v>47</v>
      </c>
      <c r="L58" s="5"/>
      <c r="M58" s="14" t="s">
        <v>47</v>
      </c>
      <c r="N58" s="5"/>
      <c r="O58" s="14" t="s">
        <v>47</v>
      </c>
      <c r="P58" s="5"/>
      <c r="Q58" s="14" t="s">
        <v>47</v>
      </c>
      <c r="R58" s="5"/>
      <c r="S58" s="14" t="s">
        <v>47</v>
      </c>
      <c r="T58" s="5"/>
      <c r="U58" s="14" t="s">
        <v>47</v>
      </c>
      <c r="V58" s="5"/>
      <c r="W58" s="14" t="s">
        <v>47</v>
      </c>
      <c r="X58" s="5"/>
      <c r="Y58" s="14" t="s">
        <v>47</v>
      </c>
      <c r="Z58" s="5"/>
      <c r="AA58" s="14" t="s">
        <v>47</v>
      </c>
      <c r="AB58" s="5"/>
      <c r="AC58" s="14" t="s">
        <v>47</v>
      </c>
      <c r="AD58" s="5"/>
      <c r="AE58" s="14" t="s">
        <v>47</v>
      </c>
      <c r="AF58" s="5"/>
      <c r="AG58" s="14" t="s">
        <v>47</v>
      </c>
      <c r="AH58" s="5"/>
      <c r="AI58" s="14" t="s">
        <v>47</v>
      </c>
      <c r="AJ58" s="5"/>
      <c r="AK58" s="14" t="s">
        <v>47</v>
      </c>
      <c r="AL58" s="5"/>
      <c r="AM58" s="14" t="s">
        <v>47</v>
      </c>
      <c r="AN58" s="5"/>
      <c r="AO58" s="14" t="s">
        <v>47</v>
      </c>
      <c r="AP58" s="5"/>
      <c r="AQ58" s="14" t="s">
        <v>47</v>
      </c>
      <c r="AR58" s="5"/>
      <c r="AS58" s="14" t="s">
        <v>47</v>
      </c>
      <c r="AT58" s="5"/>
      <c r="AU58" s="14" t="s">
        <v>47</v>
      </c>
      <c r="AV58" s="5"/>
      <c r="AW58" s="14" t="s">
        <v>47</v>
      </c>
      <c r="AX58" s="5"/>
      <c r="AY58" s="14" t="s">
        <v>47</v>
      </c>
      <c r="AZ58" s="5"/>
      <c r="BA58" s="14" t="s">
        <v>47</v>
      </c>
      <c r="BB58" s="5"/>
      <c r="BC58" s="14" t="s">
        <v>47</v>
      </c>
      <c r="BD58" s="5"/>
      <c r="BE58" s="14" t="s">
        <v>47</v>
      </c>
      <c r="BF58" s="5"/>
      <c r="BG58" s="14" t="s">
        <v>47</v>
      </c>
      <c r="BH58" s="5"/>
      <c r="BI58" s="14" t="s">
        <v>47</v>
      </c>
      <c r="BJ58" s="5"/>
      <c r="BK58" s="14" t="s">
        <v>47</v>
      </c>
      <c r="BL58" s="5"/>
      <c r="BM58" s="14" t="s">
        <v>47</v>
      </c>
      <c r="BN58" s="5"/>
      <c r="BO58" s="14" t="s">
        <v>47</v>
      </c>
      <c r="BP58" s="5"/>
      <c r="BQ58" s="14" t="s">
        <v>47</v>
      </c>
      <c r="BR58" s="5"/>
      <c r="BS58" s="14" t="s">
        <v>47</v>
      </c>
      <c r="BT58" s="5"/>
      <c r="BU58" s="14" t="s">
        <v>47</v>
      </c>
      <c r="BV58" s="5"/>
      <c r="BW58" s="14" t="s">
        <v>47</v>
      </c>
      <c r="BX58" s="5"/>
      <c r="BY58" s="14" t="s">
        <v>47</v>
      </c>
      <c r="BZ58" s="5"/>
      <c r="CA58" s="14" t="s">
        <v>47</v>
      </c>
      <c r="CB58" s="5"/>
      <c r="CC58" s="14" t="s">
        <v>47</v>
      </c>
      <c r="CD58" s="5"/>
      <c r="CE58" s="14" t="s">
        <v>47</v>
      </c>
      <c r="CF58" s="5"/>
      <c r="CG58" s="14" t="s">
        <v>47</v>
      </c>
      <c r="CH58" s="5"/>
      <c r="CI58" s="14" t="s">
        <v>47</v>
      </c>
      <c r="CJ58" s="5"/>
      <c r="CK58" s="14" t="s">
        <v>47</v>
      </c>
      <c r="CL58" s="5"/>
      <c r="CM58" s="14" t="s">
        <v>47</v>
      </c>
      <c r="CN58" s="5"/>
      <c r="CO58" s="14" t="s">
        <v>47</v>
      </c>
      <c r="CP58" s="5"/>
      <c r="CQ58" s="14" t="s">
        <v>47</v>
      </c>
      <c r="CR58" s="19" t="s">
        <v>140</v>
      </c>
      <c r="CS58" s="19" t="s">
        <v>140</v>
      </c>
      <c r="CT58" s="19" t="s">
        <v>140</v>
      </c>
      <c r="CU58" s="19" t="s">
        <v>140</v>
      </c>
      <c r="CV58" s="19" t="s">
        <v>140</v>
      </c>
      <c r="CW58" s="19" t="s">
        <v>140</v>
      </c>
    </row>
    <row r="59" spans="2:105" x14ac:dyDescent="0.35">
      <c r="B59" s="14"/>
      <c r="E59" s="14" t="s">
        <v>138</v>
      </c>
      <c r="F59" s="5">
        <f>AVERAGE(F5:F56)</f>
        <v>0</v>
      </c>
      <c r="G59" s="5">
        <f>AVERAGE(G5:G56)-F59</f>
        <v>0</v>
      </c>
      <c r="H59" s="5">
        <f t="shared" ref="H59:BR59" si="97">AVERAGE(H5:H56)</f>
        <v>0</v>
      </c>
      <c r="I59" s="5">
        <f>AVERAGE(I5:I56)-H59</f>
        <v>0</v>
      </c>
      <c r="J59" s="5">
        <f t="shared" si="97"/>
        <v>0</v>
      </c>
      <c r="K59" s="5">
        <f>AVERAGE(K5:K56)-J59</f>
        <v>0</v>
      </c>
      <c r="L59" s="5">
        <f t="shared" si="97"/>
        <v>0</v>
      </c>
      <c r="M59" s="5">
        <f>AVERAGE(M5:M56)-L59</f>
        <v>0</v>
      </c>
      <c r="N59" s="5">
        <f t="shared" si="97"/>
        <v>0</v>
      </c>
      <c r="O59" s="5">
        <f>AVERAGE(O5:O56)-N59</f>
        <v>0</v>
      </c>
      <c r="P59" s="5">
        <f t="shared" si="97"/>
        <v>0</v>
      </c>
      <c r="Q59" s="5">
        <f>AVERAGE(Q5:Q56)-P59</f>
        <v>0</v>
      </c>
      <c r="R59" s="5">
        <f t="shared" si="97"/>
        <v>0</v>
      </c>
      <c r="S59" s="5">
        <f>AVERAGE(S5:S56)-R59</f>
        <v>0</v>
      </c>
      <c r="T59" s="5">
        <f t="shared" si="97"/>
        <v>0</v>
      </c>
      <c r="U59" s="5">
        <f>AVERAGE(U5:U56)-T59</f>
        <v>0</v>
      </c>
      <c r="V59" s="5">
        <f t="shared" si="97"/>
        <v>0</v>
      </c>
      <c r="W59" s="5">
        <f>AVERAGE(W5:W56)-V59</f>
        <v>0</v>
      </c>
      <c r="X59" s="5">
        <f t="shared" si="97"/>
        <v>0</v>
      </c>
      <c r="Y59" s="5">
        <f>AVERAGE(Y5:Y56)-X59</f>
        <v>0</v>
      </c>
      <c r="Z59" s="5">
        <f t="shared" si="97"/>
        <v>0</v>
      </c>
      <c r="AA59" s="5">
        <f>AVERAGE(AA5:AA56)-Z59</f>
        <v>0</v>
      </c>
      <c r="AB59" s="5">
        <f t="shared" si="97"/>
        <v>0</v>
      </c>
      <c r="AC59" s="5">
        <f>AVERAGE(AC5:AC56)-AB59</f>
        <v>0</v>
      </c>
      <c r="AD59" s="5">
        <f t="shared" si="97"/>
        <v>0</v>
      </c>
      <c r="AE59" s="5">
        <f>AVERAGE(AE5:AE56)-AD59</f>
        <v>0</v>
      </c>
      <c r="AF59" s="5">
        <f t="shared" si="97"/>
        <v>0</v>
      </c>
      <c r="AG59" s="5">
        <f>AVERAGE(AG5:AG56)-AF59</f>
        <v>0</v>
      </c>
      <c r="AH59" s="5">
        <f t="shared" si="97"/>
        <v>0</v>
      </c>
      <c r="AI59" s="5">
        <f>AVERAGE(AI5:AI56)-AH59</f>
        <v>0</v>
      </c>
      <c r="AJ59" s="5">
        <f t="shared" si="97"/>
        <v>0</v>
      </c>
      <c r="AK59" s="5">
        <f>AVERAGE(AK5:AK56)-AJ59</f>
        <v>0</v>
      </c>
      <c r="AL59" s="5">
        <f t="shared" si="97"/>
        <v>0</v>
      </c>
      <c r="AM59" s="5">
        <f>AVERAGE(AM5:AM56)-AL59</f>
        <v>0</v>
      </c>
      <c r="AN59" s="5">
        <f t="shared" si="97"/>
        <v>0</v>
      </c>
      <c r="AO59" s="5">
        <f>AVERAGE(AO5:AO56)-AN59</f>
        <v>0</v>
      </c>
      <c r="AP59" s="5">
        <f t="shared" si="97"/>
        <v>0</v>
      </c>
      <c r="AQ59" s="5">
        <f>AVERAGE(AQ5:AQ56)-AP59</f>
        <v>0</v>
      </c>
      <c r="AR59" s="5">
        <f t="shared" si="97"/>
        <v>0</v>
      </c>
      <c r="AS59" s="5">
        <f>AVERAGE(AS5:AS56)-AR59</f>
        <v>0</v>
      </c>
      <c r="AT59" s="5">
        <f t="shared" si="97"/>
        <v>0</v>
      </c>
      <c r="AU59" s="5">
        <f>AVERAGE(AU5:AU56)-AT59</f>
        <v>0</v>
      </c>
      <c r="AV59" s="5">
        <f t="shared" si="97"/>
        <v>0</v>
      </c>
      <c r="AW59" s="5">
        <f>AVERAGE(AW5:AW56)-AV59</f>
        <v>0</v>
      </c>
      <c r="AX59" s="5">
        <f t="shared" si="97"/>
        <v>0</v>
      </c>
      <c r="AY59" s="5">
        <f>AVERAGE(AY5:AY56)-AX59</f>
        <v>0</v>
      </c>
      <c r="AZ59" s="5">
        <f t="shared" si="97"/>
        <v>0</v>
      </c>
      <c r="BA59" s="5">
        <f>AVERAGE(BA5:BA56)-AZ59</f>
        <v>0</v>
      </c>
      <c r="BB59" s="5">
        <f t="shared" si="97"/>
        <v>0</v>
      </c>
      <c r="BC59" s="5">
        <f>AVERAGE(BC5:BC56)-BB59</f>
        <v>0</v>
      </c>
      <c r="BD59" s="5">
        <f t="shared" si="97"/>
        <v>0</v>
      </c>
      <c r="BE59" s="5">
        <f>AVERAGE(BE5:BE56)-BD59</f>
        <v>0</v>
      </c>
      <c r="BF59" s="5">
        <f t="shared" si="97"/>
        <v>0</v>
      </c>
      <c r="BG59" s="5">
        <f>AVERAGE(BG5:BG56)-BF59</f>
        <v>0</v>
      </c>
      <c r="BH59" s="5">
        <f t="shared" si="97"/>
        <v>0</v>
      </c>
      <c r="BI59" s="5">
        <f>AVERAGE(BI5:BI56)-BH59</f>
        <v>0</v>
      </c>
      <c r="BJ59" s="5">
        <f t="shared" si="97"/>
        <v>0</v>
      </c>
      <c r="BK59" s="5">
        <f>AVERAGE(BK5:BK56)-BJ59</f>
        <v>0</v>
      </c>
      <c r="BL59" s="5">
        <f t="shared" si="97"/>
        <v>0</v>
      </c>
      <c r="BM59" s="5">
        <f>AVERAGE(BM5:BM56)-BL59</f>
        <v>0</v>
      </c>
      <c r="BN59" s="5">
        <f t="shared" si="97"/>
        <v>0</v>
      </c>
      <c r="BO59" s="5">
        <f>AVERAGE(BO5:BO56)-BN59</f>
        <v>0</v>
      </c>
      <c r="BP59" s="5">
        <f t="shared" si="97"/>
        <v>0</v>
      </c>
      <c r="BQ59" s="5">
        <f>AVERAGE(BQ5:BQ56)-BP59</f>
        <v>0</v>
      </c>
      <c r="BR59" s="5">
        <f t="shared" si="97"/>
        <v>0</v>
      </c>
      <c r="BS59" s="5">
        <f>AVERAGE(BS5:BS56)-BR59</f>
        <v>0</v>
      </c>
      <c r="BT59" s="5">
        <f t="shared" ref="BT59:CP59" si="98">AVERAGE(BT5:BT56)</f>
        <v>0</v>
      </c>
      <c r="BU59" s="5">
        <f>AVERAGE(BU5:BU56)-BT59</f>
        <v>0</v>
      </c>
      <c r="BV59" s="5">
        <f t="shared" si="98"/>
        <v>0</v>
      </c>
      <c r="BW59" s="5">
        <f>AVERAGE(BW5:BW56)-BV59</f>
        <v>0</v>
      </c>
      <c r="BX59" s="5">
        <f t="shared" si="98"/>
        <v>0</v>
      </c>
      <c r="BY59" s="5">
        <f>AVERAGE(BY5:BY56)-BX59</f>
        <v>0</v>
      </c>
      <c r="BZ59" s="5">
        <f t="shared" si="98"/>
        <v>0</v>
      </c>
      <c r="CA59" s="5">
        <f>AVERAGE(CA5:CA56)-BZ59</f>
        <v>0</v>
      </c>
      <c r="CB59" s="5">
        <f t="shared" si="98"/>
        <v>0</v>
      </c>
      <c r="CC59" s="5">
        <f>AVERAGE(CC5:CC56)-CB59</f>
        <v>0</v>
      </c>
      <c r="CD59" s="5">
        <f t="shared" si="98"/>
        <v>0</v>
      </c>
      <c r="CE59" s="5">
        <f>AVERAGE(CE5:CE56)-CD59</f>
        <v>0</v>
      </c>
      <c r="CF59" s="5">
        <f t="shared" si="98"/>
        <v>0</v>
      </c>
      <c r="CG59" s="5">
        <f>AVERAGE(CG5:CG56)-CF59</f>
        <v>0</v>
      </c>
      <c r="CH59" s="5">
        <f t="shared" si="98"/>
        <v>0</v>
      </c>
      <c r="CI59" s="5">
        <f>AVERAGE(CI5:CI56)-CH59</f>
        <v>0</v>
      </c>
      <c r="CJ59" s="5">
        <f t="shared" si="98"/>
        <v>0</v>
      </c>
      <c r="CK59" s="5">
        <f>AVERAGE(CK5:CK56)-CJ59</f>
        <v>0</v>
      </c>
      <c r="CL59" s="5">
        <f t="shared" si="98"/>
        <v>0</v>
      </c>
      <c r="CM59" s="5">
        <f>AVERAGE(CM5:CM56)-CL59</f>
        <v>0</v>
      </c>
      <c r="CN59" s="5">
        <f t="shared" si="98"/>
        <v>0</v>
      </c>
      <c r="CO59" s="5">
        <f>AVERAGE(CO5:CO56)-CN59</f>
        <v>0</v>
      </c>
      <c r="CP59" s="5">
        <f t="shared" si="98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145</v>
      </c>
      <c r="CZ59" t="s">
        <v>146</v>
      </c>
      <c r="DA59" t="s">
        <v>147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139</v>
      </c>
      <c r="E62" s="14"/>
      <c r="F62" s="5" t="s">
        <v>66</v>
      </c>
      <c r="G62" s="5" t="s">
        <v>47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>
        <f t="array" ref="F63">INDEX($F$59:$CW$60,1,MATCH(1,($E63=$F$1:$CQ$1)*($F$62=$F$4:$CQ$4)*(Summary!$B$5='Required Capacity (Hide)'!$F$2:$CQ$2),0))</f>
        <v>0</v>
      </c>
      <c r="G63" s="5" cm="1">
        <f t="array" ref="G63">INDEX($F$59:$CW$60,1,MATCH(1,($E63=$F$1:$CQ$1)*($G$62=$F$58:$CQ$58)*(Summary!$B$5='Required Capacity (Hide)'!$F$2:$CQ$2),0))</f>
        <v>0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Caseload 2</v>
      </c>
      <c r="F64" s="5">
        <f t="array" ref="F64">INDEX($F$59:$CW$60,1,MATCH(1,($E64=$F$1:$CQ$1)*($F$62=$F$4:$CQ$4)*(Summary!$B$5='Required Capacity (Hide)'!$F$2:$CQ$2),0))</f>
        <v>0</v>
      </c>
      <c r="G64" s="5" cm="1">
        <f t="array" ref="G64">INDEX($F$59:$CW$60,1,MATCH(1,($E64=$F$1:$CQ$1)*($G$62=$F$58:$CQ$58)*(Summary!$B$5='Required Capacity (Hide)'!$F$2:$CQ$2),0))</f>
        <v>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Caseload 3</v>
      </c>
      <c r="F65" s="5">
        <f t="array" ref="F65">INDEX($F$59:$CW$60,1,MATCH(1,($E65=$F$1:$CQ$1)*($F$62=$F$4:$CQ$4)*(Summary!$B$5='Required Capacity (Hide)'!$F$2:$CQ$2),0))</f>
        <v>0</v>
      </c>
      <c r="G65" s="5" cm="1">
        <f t="array" ref="G65">INDEX($F$59:$CW$60,1,MATCH(1,($E65=$F$1:$CQ$1)*($G$62=$F$58:$CQ$58)*(Summary!$B$5='Required Capacity (Hide)'!$F$2:$CQ$2),0))</f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Caseload 4</v>
      </c>
      <c r="F66" s="5">
        <f t="array" ref="F66">INDEX($F$59:$CW$60,1,MATCH(1,($E66=$F$1:$CQ$1)*($F$62=$F$4:$CQ$4)*(Summary!$B$5='Required Capacity (Hide)'!$F$2:$CQ$2),0))</f>
        <v>0</v>
      </c>
      <c r="G66" s="5" cm="1">
        <f t="array" ref="G66">INDEX($F$59:$CW$60,1,MATCH(1,($E66=$F$1:$CQ$1)*($G$62=$F$58:$CQ$58)*(Summary!$B$5='Required Capacity (Hide)'!$F$2:$CQ$2),0))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Caseload 5</v>
      </c>
      <c r="F67" s="5">
        <f t="array" ref="F67">INDEX($F$59:$CW$60,1,MATCH(1,($E67=$F$1:$CQ$1)*($F$62=$F$4:$CQ$4)*(Summary!$B$5='Required Capacity (Hide)'!$F$2:$CQ$2),0))</f>
        <v>0</v>
      </c>
      <c r="G67" s="5" cm="1">
        <f t="array" ref="G67">INDEX($F$59:$CW$60,1,MATCH(1,($E67=$F$1:$CQ$1)*($G$62=$F$58:$CQ$58)*(Summary!$B$5='Required Capacity (Hide)'!$F$2:$CQ$2),0))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B7" sqref="B7:T8"/>
    </sheetView>
  </sheetViews>
  <sheetFormatPr defaultRowHeight="14.5" x14ac:dyDescent="0.35"/>
  <cols>
    <col min="2" max="2" width="16.08984375" customWidth="1"/>
    <col min="3" max="3" width="11" customWidth="1"/>
    <col min="4" max="11" width="9.90625" customWidth="1"/>
    <col min="12" max="17" width="10.90625" customWidth="1"/>
    <col min="18" max="18" width="14" bestFit="1" customWidth="1"/>
    <col min="23" max="23" width="12" customWidth="1"/>
    <col min="25" max="25" width="18.36328125" customWidth="1"/>
    <col min="26" max="40" width="11.6328125" customWidth="1"/>
  </cols>
  <sheetData>
    <row r="1" spans="1:46" ht="23.5" x14ac:dyDescent="0.55000000000000004">
      <c r="A1" s="28" t="s">
        <v>151</v>
      </c>
    </row>
    <row r="2" spans="1:46" ht="24" thickBot="1" x14ac:dyDescent="0.6">
      <c r="A2" s="28"/>
    </row>
    <row r="3" spans="1:46" ht="15" thickBot="1" x14ac:dyDescent="0.4">
      <c r="B3" s="37" t="s">
        <v>133</v>
      </c>
      <c r="Y3" s="37" t="s">
        <v>134</v>
      </c>
    </row>
    <row r="5" spans="1:46" ht="15" thickBot="1" x14ac:dyDescent="0.4">
      <c r="C5" t="s">
        <v>113</v>
      </c>
    </row>
    <row r="6" spans="1:46" ht="44" thickBot="1" x14ac:dyDescent="0.4">
      <c r="B6" s="75" t="s">
        <v>112</v>
      </c>
      <c r="C6" s="73" t="str" cm="1">
        <f t="array" ref="C6">INDEX('Data Validation (Hide)'!$B$2:$B$16,COLUMN(A1),1)</f>
        <v>Caseload 1</v>
      </c>
      <c r="D6" s="45" t="str" cm="1">
        <f t="array" ref="D6">INDEX('Data Validation (Hide)'!$B$2:$B$16,COLUMN(B1),1)</f>
        <v>Caseload 2</v>
      </c>
      <c r="E6" s="45" t="str" cm="1">
        <f t="array" ref="E6">INDEX('Data Validation (Hide)'!$B$2:$B$16,COLUMN(C1),1)</f>
        <v>Caseload 3</v>
      </c>
      <c r="F6" s="45" t="str" cm="1">
        <f t="array" ref="F6">INDEX('Data Validation (Hide)'!$B$2:$B$16,COLUMN(D1),1)</f>
        <v>Caseload 4</v>
      </c>
      <c r="G6" s="45" t="str" cm="1">
        <f t="array" ref="G6">INDEX('Data Validation (Hide)'!$B$2:$B$16,COLUMN(E1),1)</f>
        <v>Caseload 5</v>
      </c>
      <c r="H6" s="45" t="str" cm="1">
        <f t="array" ref="H6">INDEX('Data Validation (Hide)'!$B$2:$B$16,COLUMN(F1),1)</f>
        <v>Caseload 6</v>
      </c>
      <c r="I6" s="45" t="str" cm="1">
        <f t="array" ref="I6">INDEX('Data Validation (Hide)'!$B$2:$B$16,COLUMN(G1),1)</f>
        <v>Caseload 7</v>
      </c>
      <c r="J6" s="45" t="str" cm="1">
        <f t="array" ref="J6">INDEX('Data Validation (Hide)'!$B$2:$B$16,COLUMN(H1),1)</f>
        <v>Caseload 8</v>
      </c>
      <c r="K6" s="45" t="str" cm="1">
        <f t="array" ref="K6">INDEX('Data Validation (Hide)'!$B$2:$B$16,COLUMN(I1),1)</f>
        <v>Caseload 9</v>
      </c>
      <c r="L6" s="45" t="str" cm="1">
        <f t="array" ref="L6">INDEX('Data Validation (Hide)'!$B$2:$B$16,COLUMN(J1),1)</f>
        <v>Caseload 10</v>
      </c>
      <c r="M6" s="45" t="str" cm="1">
        <f t="array" ref="M6">INDEX('Data Validation (Hide)'!$B$2:$B$16,COLUMN(K1),1)</f>
        <v>Caseload 11</v>
      </c>
      <c r="N6" s="45" t="str" cm="1">
        <f t="array" ref="N6">INDEX('Data Validation (Hide)'!$B$2:$B$16,COLUMN(L1),1)</f>
        <v>Caseload 12</v>
      </c>
      <c r="O6" s="45" t="str" cm="1">
        <f t="array" ref="O6">INDEX('Data Validation (Hide)'!$B$2:$B$16,COLUMN(M1),1)</f>
        <v>Caseload 13</v>
      </c>
      <c r="P6" s="45" t="str" cm="1">
        <f t="array" ref="P6">INDEX('Data Validation (Hide)'!$B$2:$B$16,COLUMN(N1),1)</f>
        <v>Caseload 14</v>
      </c>
      <c r="Q6" s="38" t="str" cm="1">
        <f t="array" ref="Q6">INDEX('Data Validation (Hide)'!$B$2:$B$16,COLUMN(O1),1)</f>
        <v>Caseload 15</v>
      </c>
      <c r="R6" s="37" t="s">
        <v>72</v>
      </c>
      <c r="S6" s="75" t="s">
        <v>73</v>
      </c>
      <c r="T6" s="75" t="s">
        <v>74</v>
      </c>
      <c r="U6" s="75" t="s">
        <v>75</v>
      </c>
      <c r="V6" s="75" t="s">
        <v>76</v>
      </c>
      <c r="W6" s="75" t="s">
        <v>77</v>
      </c>
      <c r="X6" s="5"/>
      <c r="Y6" s="75" t="s">
        <v>112</v>
      </c>
      <c r="Z6" s="76" t="str" cm="1">
        <f t="array" ref="Z6">INDEX('Data Validation (Hide)'!$B$2:$B$16,COLUMN(A1),1)</f>
        <v>Caseload 1</v>
      </c>
      <c r="AA6" s="77" t="str" cm="1">
        <f t="array" ref="AA6">INDEX('Data Validation (Hide)'!$B$2:$B$16,COLUMN(B1),1)</f>
        <v>Caseload 2</v>
      </c>
      <c r="AB6" s="77" t="str" cm="1">
        <f t="array" ref="AB6">INDEX('Data Validation (Hide)'!$B$2:$B$16,COLUMN(C1),1)</f>
        <v>Caseload 3</v>
      </c>
      <c r="AC6" s="77" t="str" cm="1">
        <f t="array" ref="AC6">INDEX('Data Validation (Hide)'!$B$2:$B$16,COLUMN(D1),1)</f>
        <v>Caseload 4</v>
      </c>
      <c r="AD6" s="77" t="str" cm="1">
        <f t="array" ref="AD6">INDEX('Data Validation (Hide)'!$B$2:$B$16,COLUMN(E1),1)</f>
        <v>Caseload 5</v>
      </c>
      <c r="AE6" s="77" t="str" cm="1">
        <f t="array" ref="AE6">INDEX('Data Validation (Hide)'!$B$2:$B$16,COLUMN(F1),1)</f>
        <v>Caseload 6</v>
      </c>
      <c r="AF6" s="77" t="str" cm="1">
        <f t="array" ref="AF6">INDEX('Data Validation (Hide)'!$B$2:$B$16,COLUMN(G1),1)</f>
        <v>Caseload 7</v>
      </c>
      <c r="AG6" s="77" t="str" cm="1">
        <f t="array" ref="AG6">INDEX('Data Validation (Hide)'!$B$2:$B$16,COLUMN(H1),1)</f>
        <v>Caseload 8</v>
      </c>
      <c r="AH6" s="77" t="str" cm="1">
        <f t="array" ref="AH6">INDEX('Data Validation (Hide)'!$B$2:$B$16,COLUMN(I1),1)</f>
        <v>Caseload 9</v>
      </c>
      <c r="AI6" s="77" t="str" cm="1">
        <f t="array" ref="AI6">INDEX('Data Validation (Hide)'!$B$2:$B$16,COLUMN(J1),1)</f>
        <v>Caseload 10</v>
      </c>
      <c r="AJ6" s="77" t="str" cm="1">
        <f t="array" ref="AJ6">INDEX('Data Validation (Hide)'!$B$2:$B$16,COLUMN(K1),1)</f>
        <v>Caseload 11</v>
      </c>
      <c r="AK6" s="77" t="str" cm="1">
        <f t="array" ref="AK6">INDEX('Data Validation (Hide)'!$B$2:$B$16,COLUMN(L1),1)</f>
        <v>Caseload 12</v>
      </c>
      <c r="AL6" s="77" t="str" cm="1">
        <f t="array" ref="AL6">INDEX('Data Validation (Hide)'!$B$2:$B$16,COLUMN(M1),1)</f>
        <v>Caseload 13</v>
      </c>
      <c r="AM6" s="77" t="str" cm="1">
        <f t="array" ref="AM6">INDEX('Data Validation (Hide)'!$B$2:$B$16,COLUMN(N1),1)</f>
        <v>Caseload 14</v>
      </c>
      <c r="AN6" s="78" t="str" cm="1">
        <f t="array" ref="AN6">INDEX('Data Validation (Hide)'!$B$2:$B$16,COLUMN(O1),1)</f>
        <v>Caseload 15</v>
      </c>
      <c r="AO6" s="37" t="s">
        <v>72</v>
      </c>
      <c r="AP6" s="75" t="s">
        <v>73</v>
      </c>
      <c r="AQ6" s="75" t="s">
        <v>74</v>
      </c>
      <c r="AR6" s="75" t="s">
        <v>75</v>
      </c>
      <c r="AS6" s="75" t="s">
        <v>76</v>
      </c>
      <c r="AT6" s="75" t="s">
        <v>77</v>
      </c>
    </row>
    <row r="7" spans="1:46" x14ac:dyDescent="0.35">
      <c r="B7" s="11"/>
      <c r="C7" s="3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/>
      <c r="S7" s="11"/>
      <c r="T7" s="11"/>
      <c r="U7" s="11" t="str">
        <f>IF(T7*S7=0,"",T7*S7)</f>
        <v/>
      </c>
      <c r="V7" s="11" t="str">
        <f t="shared" ref="V7:V70" si="0">IFERROR(U7/52,"")</f>
        <v/>
      </c>
      <c r="W7" s="11" t="str">
        <f>IFERROR(V7/COUNTIF(C7:Q7,"="&amp;"x"),"")</f>
        <v/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40"/>
      <c r="S8" s="40"/>
      <c r="T8" s="40"/>
      <c r="U8" s="40" t="str">
        <f t="shared" ref="U8:U71" si="2">IF(T8*S8=0,"",T8*S8)</f>
        <v/>
      </c>
      <c r="V8" s="40" t="str">
        <f t="shared" si="0"/>
        <v/>
      </c>
      <c r="W8" s="40" t="str">
        <f t="shared" ref="W8:W71" si="3">IFERROR(V8/COUNTIF(C8:Q8,"="&amp;"x"),"")</f>
        <v/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9" workbookViewId="0">
      <selection activeCell="L265" sqref="L26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133</v>
      </c>
    </row>
    <row r="2" spans="1:101" x14ac:dyDescent="0.35">
      <c r="A2" t="s">
        <v>79</v>
      </c>
      <c r="B2" cm="1">
        <f t="array" ref="B2">INDEX(Capacity!$B$7:$B$106,COLUMN(A2),1)</f>
        <v>0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78</v>
      </c>
      <c r="B3" cm="1">
        <f t="array" ref="B3">INDEX(Capacity!$R$7:$R$106,COLUMN(A2),1)</f>
        <v>0</v>
      </c>
      <c r="C3" cm="1">
        <f t="array" ref="C3">INDEX(Capacity!$R$7:$R$106,COLUMN(B2),1)</f>
        <v>0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18</v>
      </c>
    </row>
    <row r="5" spans="1:101" x14ac:dyDescent="0.35">
      <c r="A5" s="2" t="e" vm="2">
        <f ca="1">'Required Capacity (Hide)'!E5</f>
        <v>#VALUE!</v>
      </c>
      <c r="B5" t="e" cm="1">
        <f t="array" ref="B5">INDEX(Capacity!$W$7:$W$106,COLUMN(A2),1)/IF(Summary!$B$7="Minutes",1,60)</f>
        <v>#VALUE!</v>
      </c>
      <c r="C5" t="e" cm="1">
        <f t="array" ref="C5">INDEX(Capacity!$W$7:$W$106,COLUMN(B2),1)/IF(Summary!$B$7="Minutes",1,60)</f>
        <v>#VALUE!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 t="e" vm="2">
        <f ca="1">'Required Capacity (Hide)'!E6</f>
        <v>#VALUE!</v>
      </c>
      <c r="B6" t="e" cm="1">
        <f t="array" ref="B6">INDEX(Capacity!$W$7:$W$106,COLUMN(A3),1)/IF(Summary!$B$7="Minutes",1,60)</f>
        <v>#VALUE!</v>
      </c>
      <c r="C6" t="e" cm="1">
        <f t="array" ref="C6">INDEX(Capacity!$W$7:$W$106,COLUMN(B3),1)/IF(Summary!$B$7="Minutes",1,60)</f>
        <v>#VALUE!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 t="e" vm="2">
        <f ca="1">'Required Capacity (Hide)'!E7</f>
        <v>#VALUE!</v>
      </c>
      <c r="B7" t="e" cm="1">
        <f t="array" ref="B7">INDEX(Capacity!$W$7:$W$106,COLUMN(A4),1)/IF(Summary!$B$7="Minutes",1,60)</f>
        <v>#VALUE!</v>
      </c>
      <c r="C7" t="e" cm="1">
        <f t="array" ref="C7">INDEX(Capacity!$W$7:$W$106,COLUMN(B4),1)/IF(Summary!$B$7="Minutes",1,60)</f>
        <v>#VALUE!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 t="e" vm="2">
        <f ca="1">'Required Capacity (Hide)'!E8</f>
        <v>#VALUE!</v>
      </c>
      <c r="B8" t="e" cm="1">
        <f t="array" ref="B8">INDEX(Capacity!$W$7:$W$106,COLUMN(A5),1)/IF(Summary!$B$7="Minutes",1,60)</f>
        <v>#VALUE!</v>
      </c>
      <c r="C8" t="e" cm="1">
        <f t="array" ref="C8">INDEX(Capacity!$W$7:$W$106,COLUMN(B5),1)/IF(Summary!$B$7="Minutes",1,60)</f>
        <v>#VALUE!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 t="e" vm="2">
        <f ca="1">'Required Capacity (Hide)'!E9</f>
        <v>#VALUE!</v>
      </c>
      <c r="B9" t="e" cm="1">
        <f t="array" ref="B9">INDEX(Capacity!$W$7:$W$106,COLUMN(A6),1)/IF(Summary!$B$7="Minutes",1,60)</f>
        <v>#VALUE!</v>
      </c>
      <c r="C9" t="e" cm="1">
        <f t="array" ref="C9">INDEX(Capacity!$W$7:$W$106,COLUMN(B6),1)/IF(Summary!$B$7="Minutes",1,60)</f>
        <v>#VALUE!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 t="e" vm="2">
        <f ca="1">'Required Capacity (Hide)'!E10</f>
        <v>#VALUE!</v>
      </c>
      <c r="B10" t="e" cm="1">
        <f t="array" ref="B10">INDEX(Capacity!$W$7:$W$106,COLUMN(A7),1)/IF(Summary!$B$7="Minutes",1,60)</f>
        <v>#VALUE!</v>
      </c>
      <c r="C10" t="e" cm="1">
        <f t="array" ref="C10">INDEX(Capacity!$W$7:$W$106,COLUMN(B7),1)/IF(Summary!$B$7="Minutes",1,60)</f>
        <v>#VALUE!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 t="e" vm="2">
        <f ca="1">'Required Capacity (Hide)'!E11</f>
        <v>#VALUE!</v>
      </c>
      <c r="B11" t="e" cm="1">
        <f t="array" ref="B11">INDEX(Capacity!$W$7:$W$106,COLUMN(A8),1)/IF(Summary!$B$7="Minutes",1,60)</f>
        <v>#VALUE!</v>
      </c>
      <c r="C11" t="e" cm="1">
        <f t="array" ref="C11">INDEX(Capacity!$W$7:$W$106,COLUMN(B8),1)/IF(Summary!$B$7="Minutes",1,60)</f>
        <v>#VALUE!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 t="e" vm="2">
        <f ca="1">'Required Capacity (Hide)'!E12</f>
        <v>#VALUE!</v>
      </c>
      <c r="B12" t="e" cm="1">
        <f t="array" ref="B12">INDEX(Capacity!$W$7:$W$106,COLUMN(A9),1)/IF(Summary!$B$7="Minutes",1,60)</f>
        <v>#VALUE!</v>
      </c>
      <c r="C12" t="e" cm="1">
        <f t="array" ref="C12">INDEX(Capacity!$W$7:$W$106,COLUMN(B9),1)/IF(Summary!$B$7="Minutes",1,60)</f>
        <v>#VALUE!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 t="e" vm="2">
        <f ca="1">'Required Capacity (Hide)'!E13</f>
        <v>#VALUE!</v>
      </c>
      <c r="B13" t="e" cm="1">
        <f t="array" ref="B13">INDEX(Capacity!$W$7:$W$106,COLUMN(A10),1)/IF(Summary!$B$7="Minutes",1,60)</f>
        <v>#VALUE!</v>
      </c>
      <c r="C13" t="e" cm="1">
        <f t="array" ref="C13">INDEX(Capacity!$W$7:$W$106,COLUMN(B10),1)/IF(Summary!$B$7="Minutes",1,60)</f>
        <v>#VALUE!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 t="e" vm="2">
        <f ca="1">'Required Capacity (Hide)'!E14</f>
        <v>#VALUE!</v>
      </c>
      <c r="B14" t="e" cm="1">
        <f t="array" ref="B14">INDEX(Capacity!$W$7:$W$106,COLUMN(A11),1)/IF(Summary!$B$7="Minutes",1,60)</f>
        <v>#VALUE!</v>
      </c>
      <c r="C14" t="e" cm="1">
        <f t="array" ref="C14">INDEX(Capacity!$W$7:$W$106,COLUMN(B11),1)/IF(Summary!$B$7="Minutes",1,60)</f>
        <v>#VALUE!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 t="e" vm="2">
        <f ca="1">'Required Capacity (Hide)'!E15</f>
        <v>#VALUE!</v>
      </c>
      <c r="B15" t="e" cm="1">
        <f t="array" ref="B15">INDEX(Capacity!$W$7:$W$106,COLUMN(A12),1)/IF(Summary!$B$7="Minutes",1,60)</f>
        <v>#VALUE!</v>
      </c>
      <c r="C15" t="e" cm="1">
        <f t="array" ref="C15">INDEX(Capacity!$W$7:$W$106,COLUMN(B12),1)/IF(Summary!$B$7="Minutes",1,60)</f>
        <v>#VALUE!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 t="e" vm="2">
        <f ca="1">'Required Capacity (Hide)'!E16</f>
        <v>#VALUE!</v>
      </c>
      <c r="B16" t="e" cm="1">
        <f t="array" ref="B16">INDEX(Capacity!$W$7:$W$106,COLUMN(A13),1)/IF(Summary!$B$7="Minutes",1,60)</f>
        <v>#VALUE!</v>
      </c>
      <c r="C16" t="e" cm="1">
        <f t="array" ref="C16">INDEX(Capacity!$W$7:$W$106,COLUMN(B13),1)/IF(Summary!$B$7="Minutes",1,60)</f>
        <v>#VALUE!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 t="e" vm="2">
        <f ca="1">'Required Capacity (Hide)'!E17</f>
        <v>#VALUE!</v>
      </c>
      <c r="B17" t="e" cm="1">
        <f t="array" ref="B17">INDEX(Capacity!$W$7:$W$106,COLUMN(A14),1)/IF(Summary!$B$7="Minutes",1,60)</f>
        <v>#VALUE!</v>
      </c>
      <c r="C17" t="e" cm="1">
        <f t="array" ref="C17">INDEX(Capacity!$W$7:$W$106,COLUMN(B14),1)/IF(Summary!$B$7="Minutes",1,60)</f>
        <v>#VALUE!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 t="e" vm="2">
        <f ca="1">'Required Capacity (Hide)'!E18</f>
        <v>#VALUE!</v>
      </c>
      <c r="B18" t="e" cm="1">
        <f t="array" ref="B18">INDEX(Capacity!$W$7:$W$106,COLUMN(A15),1)/IF(Summary!$B$7="Minutes",1,60)</f>
        <v>#VALUE!</v>
      </c>
      <c r="C18" t="e" cm="1">
        <f t="array" ref="C18">INDEX(Capacity!$W$7:$W$106,COLUMN(B15),1)/IF(Summary!$B$7="Minutes",1,60)</f>
        <v>#VALUE!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 t="e" vm="2">
        <f ca="1">'Required Capacity (Hide)'!E19</f>
        <v>#VALUE!</v>
      </c>
      <c r="B19" t="e" cm="1">
        <f t="array" ref="B19">INDEX(Capacity!$W$7:$W$106,COLUMN(A16),1)/IF(Summary!$B$7="Minutes",1,60)</f>
        <v>#VALUE!</v>
      </c>
      <c r="C19" t="e" cm="1">
        <f t="array" ref="C19">INDEX(Capacity!$W$7:$W$106,COLUMN(B16),1)/IF(Summary!$B$7="Minutes",1,60)</f>
        <v>#VALUE!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 t="e" vm="2">
        <f ca="1">'Required Capacity (Hide)'!E20</f>
        <v>#VALUE!</v>
      </c>
      <c r="B20" t="e" cm="1">
        <f t="array" ref="B20">INDEX(Capacity!$W$7:$W$106,COLUMN(A17),1)/IF(Summary!$B$7="Minutes",1,60)</f>
        <v>#VALUE!</v>
      </c>
      <c r="C20" t="e" cm="1">
        <f t="array" ref="C20">INDEX(Capacity!$W$7:$W$106,COLUMN(B17),1)/IF(Summary!$B$7="Minutes",1,60)</f>
        <v>#VALUE!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 t="e" vm="2">
        <f ca="1">'Required Capacity (Hide)'!E21</f>
        <v>#VALUE!</v>
      </c>
      <c r="B21" t="e" cm="1">
        <f t="array" ref="B21">INDEX(Capacity!$W$7:$W$106,COLUMN(A18),1)/IF(Summary!$B$7="Minutes",1,60)</f>
        <v>#VALUE!</v>
      </c>
      <c r="C21" t="e" cm="1">
        <f t="array" ref="C21">INDEX(Capacity!$W$7:$W$106,COLUMN(B18),1)/IF(Summary!$B$7="Minutes",1,60)</f>
        <v>#VALUE!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 t="e" vm="2">
        <f ca="1">'Required Capacity (Hide)'!E22</f>
        <v>#VALUE!</v>
      </c>
      <c r="B22" t="e" cm="1">
        <f t="array" ref="B22">INDEX(Capacity!$W$7:$W$106,COLUMN(A19),1)/IF(Summary!$B$7="Minutes",1,60)</f>
        <v>#VALUE!</v>
      </c>
      <c r="C22" t="e" cm="1">
        <f t="array" ref="C22">INDEX(Capacity!$W$7:$W$106,COLUMN(B19),1)/IF(Summary!$B$7="Minutes",1,60)</f>
        <v>#VALUE!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 t="e" vm="2">
        <f ca="1">'Required Capacity (Hide)'!E23</f>
        <v>#VALUE!</v>
      </c>
      <c r="B23" t="e" cm="1">
        <f t="array" ref="B23">INDEX(Capacity!$W$7:$W$106,COLUMN(A20),1)/IF(Summary!$B$7="Minutes",1,60)</f>
        <v>#VALUE!</v>
      </c>
      <c r="C23" t="e" cm="1">
        <f t="array" ref="C23">INDEX(Capacity!$W$7:$W$106,COLUMN(B20),1)/IF(Summary!$B$7="Minutes",1,60)</f>
        <v>#VALUE!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 t="e" vm="2">
        <f ca="1">'Required Capacity (Hide)'!E24</f>
        <v>#VALUE!</v>
      </c>
      <c r="B24" t="e" cm="1">
        <f t="array" ref="B24">INDEX(Capacity!$W$7:$W$106,COLUMN(A21),1)/IF(Summary!$B$7="Minutes",1,60)</f>
        <v>#VALUE!</v>
      </c>
      <c r="C24" t="e" cm="1">
        <f t="array" ref="C24">INDEX(Capacity!$W$7:$W$106,COLUMN(B21),1)/IF(Summary!$B$7="Minutes",1,60)</f>
        <v>#VALUE!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 t="e" vm="2">
        <f ca="1">'Required Capacity (Hide)'!E25</f>
        <v>#VALUE!</v>
      </c>
      <c r="B25" t="e" cm="1">
        <f t="array" ref="B25">INDEX(Capacity!$W$7:$W$106,COLUMN(A22),1)/IF(Summary!$B$7="Minutes",1,60)</f>
        <v>#VALUE!</v>
      </c>
      <c r="C25" t="e" cm="1">
        <f t="array" ref="C25">INDEX(Capacity!$W$7:$W$106,COLUMN(B22),1)/IF(Summary!$B$7="Minutes",1,60)</f>
        <v>#VALUE!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 t="e" vm="2">
        <f ca="1">'Required Capacity (Hide)'!E26</f>
        <v>#VALUE!</v>
      </c>
      <c r="B26" t="e" cm="1">
        <f t="array" ref="B26">INDEX(Capacity!$W$7:$W$106,COLUMN(A23),1)/IF(Summary!$B$7="Minutes",1,60)</f>
        <v>#VALUE!</v>
      </c>
      <c r="C26" t="e" cm="1">
        <f t="array" ref="C26">INDEX(Capacity!$W$7:$W$106,COLUMN(B23),1)/IF(Summary!$B$7="Minutes",1,60)</f>
        <v>#VALUE!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 t="e" vm="2">
        <f ca="1">'Required Capacity (Hide)'!E27</f>
        <v>#VALUE!</v>
      </c>
      <c r="B27" t="e" cm="1">
        <f t="array" ref="B27">INDEX(Capacity!$W$7:$W$106,COLUMN(A24),1)/IF(Summary!$B$7="Minutes",1,60)</f>
        <v>#VALUE!</v>
      </c>
      <c r="C27" t="e" cm="1">
        <f t="array" ref="C27">INDEX(Capacity!$W$7:$W$106,COLUMN(B24),1)/IF(Summary!$B$7="Minutes",1,60)</f>
        <v>#VALUE!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 t="e" vm="2">
        <f ca="1">'Required Capacity (Hide)'!E28</f>
        <v>#VALUE!</v>
      </c>
      <c r="B28" t="e" cm="1">
        <f t="array" ref="B28">INDEX(Capacity!$W$7:$W$106,COLUMN(A25),1)/IF(Summary!$B$7="Minutes",1,60)</f>
        <v>#VALUE!</v>
      </c>
      <c r="C28" t="e" cm="1">
        <f t="array" ref="C28">INDEX(Capacity!$W$7:$W$106,COLUMN(B25),1)/IF(Summary!$B$7="Minutes",1,60)</f>
        <v>#VALUE!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 t="e" vm="2">
        <f ca="1">'Required Capacity (Hide)'!E29</f>
        <v>#VALUE!</v>
      </c>
      <c r="B29" t="e" cm="1">
        <f t="array" ref="B29">INDEX(Capacity!$W$7:$W$106,COLUMN(A26),1)/IF(Summary!$B$7="Minutes",1,60)</f>
        <v>#VALUE!</v>
      </c>
      <c r="C29" t="e" cm="1">
        <f t="array" ref="C29">INDEX(Capacity!$W$7:$W$106,COLUMN(B26),1)/IF(Summary!$B$7="Minutes",1,60)</f>
        <v>#VALUE!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 t="e" vm="2">
        <f ca="1">'Required Capacity (Hide)'!E30</f>
        <v>#VALUE!</v>
      </c>
      <c r="B30" t="e" cm="1">
        <f t="array" ref="B30">INDEX(Capacity!$W$7:$W$106,COLUMN(A27),1)/IF(Summary!$B$7="Minutes",1,60)</f>
        <v>#VALUE!</v>
      </c>
      <c r="C30" t="e" cm="1">
        <f t="array" ref="C30">INDEX(Capacity!$W$7:$W$106,COLUMN(B27),1)/IF(Summary!$B$7="Minutes",1,60)</f>
        <v>#VALUE!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 t="e" vm="2">
        <f ca="1">'Required Capacity (Hide)'!E31</f>
        <v>#VALUE!</v>
      </c>
      <c r="B31" t="e" cm="1">
        <f t="array" ref="B31">INDEX(Capacity!$W$7:$W$106,COLUMN(A28),1)/IF(Summary!$B$7="Minutes",1,60)</f>
        <v>#VALUE!</v>
      </c>
      <c r="C31" t="e" cm="1">
        <f t="array" ref="C31">INDEX(Capacity!$W$7:$W$106,COLUMN(B28),1)/IF(Summary!$B$7="Minutes",1,60)</f>
        <v>#VALUE!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 t="e" vm="2">
        <f ca="1">'Required Capacity (Hide)'!E32</f>
        <v>#VALUE!</v>
      </c>
      <c r="B32" t="e" cm="1">
        <f t="array" ref="B32">INDEX(Capacity!$W$7:$W$106,COLUMN(A29),1)/IF(Summary!$B$7="Minutes",1,60)</f>
        <v>#VALUE!</v>
      </c>
      <c r="C32" t="e" cm="1">
        <f t="array" ref="C32">INDEX(Capacity!$W$7:$W$106,COLUMN(B29),1)/IF(Summary!$B$7="Minutes",1,60)</f>
        <v>#VALUE!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 t="e" vm="2">
        <f ca="1">'Required Capacity (Hide)'!E33</f>
        <v>#VALUE!</v>
      </c>
      <c r="B33" t="e" cm="1">
        <f t="array" ref="B33">INDEX(Capacity!$W$7:$W$106,COLUMN(A30),1)/IF(Summary!$B$7="Minutes",1,60)</f>
        <v>#VALUE!</v>
      </c>
      <c r="C33" t="e" cm="1">
        <f t="array" ref="C33">INDEX(Capacity!$W$7:$W$106,COLUMN(B30),1)/IF(Summary!$B$7="Minutes",1,60)</f>
        <v>#VALUE!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 t="e" vm="2">
        <f ca="1">'Required Capacity (Hide)'!E34</f>
        <v>#VALUE!</v>
      </c>
      <c r="B34" t="e" cm="1">
        <f t="array" ref="B34">INDEX(Capacity!$W$7:$W$106,COLUMN(A31),1)/IF(Summary!$B$7="Minutes",1,60)</f>
        <v>#VALUE!</v>
      </c>
      <c r="C34" t="e" cm="1">
        <f t="array" ref="C34">INDEX(Capacity!$W$7:$W$106,COLUMN(B31),1)/IF(Summary!$B$7="Minutes",1,60)</f>
        <v>#VALUE!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 t="e" vm="2">
        <f ca="1">'Required Capacity (Hide)'!E35</f>
        <v>#VALUE!</v>
      </c>
      <c r="B35" t="e" cm="1">
        <f t="array" ref="B35">INDEX(Capacity!$W$7:$W$106,COLUMN(A32),1)/IF(Summary!$B$7="Minutes",1,60)</f>
        <v>#VALUE!</v>
      </c>
      <c r="C35" t="e" cm="1">
        <f t="array" ref="C35">INDEX(Capacity!$W$7:$W$106,COLUMN(B32),1)/IF(Summary!$B$7="Minutes",1,60)</f>
        <v>#VALUE!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 t="e" vm="2">
        <f ca="1">'Required Capacity (Hide)'!E36</f>
        <v>#VALUE!</v>
      </c>
      <c r="B36" t="e" cm="1">
        <f t="array" ref="B36">INDEX(Capacity!$W$7:$W$106,COLUMN(A33),1)/IF(Summary!$B$7="Minutes",1,60)</f>
        <v>#VALUE!</v>
      </c>
      <c r="C36" t="e" cm="1">
        <f t="array" ref="C36">INDEX(Capacity!$W$7:$W$106,COLUMN(B33),1)/IF(Summary!$B$7="Minutes",1,60)</f>
        <v>#VALUE!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 t="e" vm="2">
        <f ca="1">'Required Capacity (Hide)'!E37</f>
        <v>#VALUE!</v>
      </c>
      <c r="B37" t="e" cm="1">
        <f t="array" ref="B37">INDEX(Capacity!$W$7:$W$106,COLUMN(A34),1)/IF(Summary!$B$7="Minutes",1,60)</f>
        <v>#VALUE!</v>
      </c>
      <c r="C37" t="e" cm="1">
        <f t="array" ref="C37">INDEX(Capacity!$W$7:$W$106,COLUMN(B34),1)/IF(Summary!$B$7="Minutes",1,60)</f>
        <v>#VALUE!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 t="e" vm="2">
        <f ca="1">'Required Capacity (Hide)'!E38</f>
        <v>#VALUE!</v>
      </c>
      <c r="B38" t="e" cm="1">
        <f t="array" ref="B38">INDEX(Capacity!$W$7:$W$106,COLUMN(A35),1)/IF(Summary!$B$7="Minutes",1,60)</f>
        <v>#VALUE!</v>
      </c>
      <c r="C38" t="e" cm="1">
        <f t="array" ref="C38">INDEX(Capacity!$W$7:$W$106,COLUMN(B35),1)/IF(Summary!$B$7="Minutes",1,60)</f>
        <v>#VALUE!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 t="e" vm="2">
        <f ca="1">'Required Capacity (Hide)'!E39</f>
        <v>#VALUE!</v>
      </c>
      <c r="B39" t="e" cm="1">
        <f t="array" ref="B39">INDEX(Capacity!$W$7:$W$106,COLUMN(A36),1)/IF(Summary!$B$7="Minutes",1,60)</f>
        <v>#VALUE!</v>
      </c>
      <c r="C39" t="e" cm="1">
        <f t="array" ref="C39">INDEX(Capacity!$W$7:$W$106,COLUMN(B36),1)/IF(Summary!$B$7="Minutes",1,60)</f>
        <v>#VALUE!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 t="e" vm="2">
        <f ca="1">'Required Capacity (Hide)'!E40</f>
        <v>#VALUE!</v>
      </c>
      <c r="B40" t="e" cm="1">
        <f t="array" ref="B40">INDEX(Capacity!$W$7:$W$106,COLUMN(A37),1)/IF(Summary!$B$7="Minutes",1,60)</f>
        <v>#VALUE!</v>
      </c>
      <c r="C40" t="e" cm="1">
        <f t="array" ref="C40">INDEX(Capacity!$W$7:$W$106,COLUMN(B37),1)/IF(Summary!$B$7="Minutes",1,60)</f>
        <v>#VALUE!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 t="e" vm="2">
        <f ca="1">'Required Capacity (Hide)'!E41</f>
        <v>#VALUE!</v>
      </c>
      <c r="B41" t="e" cm="1">
        <f t="array" ref="B41">INDEX(Capacity!$W$7:$W$106,COLUMN(A38),1)/IF(Summary!$B$7="Minutes",1,60)</f>
        <v>#VALUE!</v>
      </c>
      <c r="C41" t="e" cm="1">
        <f t="array" ref="C41">INDEX(Capacity!$W$7:$W$106,COLUMN(B38),1)/IF(Summary!$B$7="Minutes",1,60)</f>
        <v>#VALUE!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 t="e" vm="2">
        <f ca="1">'Required Capacity (Hide)'!E42</f>
        <v>#VALUE!</v>
      </c>
      <c r="B42" t="e" cm="1">
        <f t="array" ref="B42">INDEX(Capacity!$W$7:$W$106,COLUMN(A39),1)/IF(Summary!$B$7="Minutes",1,60)</f>
        <v>#VALUE!</v>
      </c>
      <c r="C42" t="e" cm="1">
        <f t="array" ref="C42">INDEX(Capacity!$W$7:$W$106,COLUMN(B39),1)/IF(Summary!$B$7="Minutes",1,60)</f>
        <v>#VALUE!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 t="e" vm="2">
        <f ca="1">'Required Capacity (Hide)'!E43</f>
        <v>#VALUE!</v>
      </c>
      <c r="B43" t="e" cm="1">
        <f t="array" ref="B43">INDEX(Capacity!$W$7:$W$106,COLUMN(A40),1)/IF(Summary!$B$7="Minutes",1,60)</f>
        <v>#VALUE!</v>
      </c>
      <c r="C43" t="e" cm="1">
        <f t="array" ref="C43">INDEX(Capacity!$W$7:$W$106,COLUMN(B40),1)/IF(Summary!$B$7="Minutes",1,60)</f>
        <v>#VALUE!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 t="e" vm="2">
        <f ca="1">'Required Capacity (Hide)'!E44</f>
        <v>#VALUE!</v>
      </c>
      <c r="B44" t="e" cm="1">
        <f t="array" ref="B44">INDEX(Capacity!$W$7:$W$106,COLUMN(A41),1)/IF(Summary!$B$7="Minutes",1,60)</f>
        <v>#VALUE!</v>
      </c>
      <c r="C44" t="e" cm="1">
        <f t="array" ref="C44">INDEX(Capacity!$W$7:$W$106,COLUMN(B41),1)/IF(Summary!$B$7="Minutes",1,60)</f>
        <v>#VALUE!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 t="e" vm="2">
        <f ca="1">'Required Capacity (Hide)'!E45</f>
        <v>#VALUE!</v>
      </c>
      <c r="B45" t="e" cm="1">
        <f t="array" ref="B45">INDEX(Capacity!$W$7:$W$106,COLUMN(A42),1)/IF(Summary!$B$7="Minutes",1,60)</f>
        <v>#VALUE!</v>
      </c>
      <c r="C45" t="e" cm="1">
        <f t="array" ref="C45">INDEX(Capacity!$W$7:$W$106,COLUMN(B42),1)/IF(Summary!$B$7="Minutes",1,60)</f>
        <v>#VALUE!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 t="e" vm="2">
        <f ca="1">'Required Capacity (Hide)'!E46</f>
        <v>#VALUE!</v>
      </c>
      <c r="B46" t="e" cm="1">
        <f t="array" ref="B46">INDEX(Capacity!$W$7:$W$106,COLUMN(A43),1)/IF(Summary!$B$7="Minutes",1,60)</f>
        <v>#VALUE!</v>
      </c>
      <c r="C46" t="e" cm="1">
        <f t="array" ref="C46">INDEX(Capacity!$W$7:$W$106,COLUMN(B43),1)/IF(Summary!$B$7="Minutes",1,60)</f>
        <v>#VALUE!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 t="e" vm="2">
        <f ca="1">'Required Capacity (Hide)'!E47</f>
        <v>#VALUE!</v>
      </c>
      <c r="B47" t="e" cm="1">
        <f t="array" ref="B47">INDEX(Capacity!$W$7:$W$106,COLUMN(A44),1)/IF(Summary!$B$7="Minutes",1,60)</f>
        <v>#VALUE!</v>
      </c>
      <c r="C47" t="e" cm="1">
        <f t="array" ref="C47">INDEX(Capacity!$W$7:$W$106,COLUMN(B44),1)/IF(Summary!$B$7="Minutes",1,60)</f>
        <v>#VALUE!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 t="e" vm="2">
        <f ca="1">'Required Capacity (Hide)'!E48</f>
        <v>#VALUE!</v>
      </c>
      <c r="B48" t="e" cm="1">
        <f t="array" ref="B48">INDEX(Capacity!$W$7:$W$106,COLUMN(A45),1)/IF(Summary!$B$7="Minutes",1,60)</f>
        <v>#VALUE!</v>
      </c>
      <c r="C48" t="e" cm="1">
        <f t="array" ref="C48">INDEX(Capacity!$W$7:$W$106,COLUMN(B45),1)/IF(Summary!$B$7="Minutes",1,60)</f>
        <v>#VALUE!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 t="e" vm="2">
        <f ca="1">'Required Capacity (Hide)'!E49</f>
        <v>#VALUE!</v>
      </c>
      <c r="B49" t="e" cm="1">
        <f t="array" ref="B49">INDEX(Capacity!$W$7:$W$106,COLUMN(A46),1)/IF(Summary!$B$7="Minutes",1,60)</f>
        <v>#VALUE!</v>
      </c>
      <c r="C49" t="e" cm="1">
        <f t="array" ref="C49">INDEX(Capacity!$W$7:$W$106,COLUMN(B46),1)/IF(Summary!$B$7="Minutes",1,60)</f>
        <v>#VALUE!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 t="e" vm="2">
        <f ca="1">'Required Capacity (Hide)'!E50</f>
        <v>#VALUE!</v>
      </c>
      <c r="B50" t="e" cm="1">
        <f t="array" ref="B50">INDEX(Capacity!$W$7:$W$106,COLUMN(A47),1)/IF(Summary!$B$7="Minutes",1,60)</f>
        <v>#VALUE!</v>
      </c>
      <c r="C50" t="e" cm="1">
        <f t="array" ref="C50">INDEX(Capacity!$W$7:$W$106,COLUMN(B47),1)/IF(Summary!$B$7="Minutes",1,60)</f>
        <v>#VALUE!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 t="e" vm="2">
        <f ca="1">'Required Capacity (Hide)'!E51</f>
        <v>#VALUE!</v>
      </c>
      <c r="B51" t="e" cm="1">
        <f t="array" ref="B51">INDEX(Capacity!$W$7:$W$106,COLUMN(A48),1)/IF(Summary!$B$7="Minutes",1,60)</f>
        <v>#VALUE!</v>
      </c>
      <c r="C51" t="e" cm="1">
        <f t="array" ref="C51">INDEX(Capacity!$W$7:$W$106,COLUMN(B48),1)/IF(Summary!$B$7="Minutes",1,60)</f>
        <v>#VALUE!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 t="e" vm="2">
        <f ca="1">'Required Capacity (Hide)'!E52</f>
        <v>#VALUE!</v>
      </c>
      <c r="B52" t="e" cm="1">
        <f t="array" ref="B52">INDEX(Capacity!$W$7:$W$106,COLUMN(A49),1)/IF(Summary!$B$7="Minutes",1,60)</f>
        <v>#VALUE!</v>
      </c>
      <c r="C52" t="e" cm="1">
        <f t="array" ref="C52">INDEX(Capacity!$W$7:$W$106,COLUMN(B49),1)/IF(Summary!$B$7="Minutes",1,60)</f>
        <v>#VALUE!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 t="e" vm="2">
        <f ca="1">'Required Capacity (Hide)'!E53</f>
        <v>#VALUE!</v>
      </c>
      <c r="B53" t="e" cm="1">
        <f t="array" ref="B53">INDEX(Capacity!$W$7:$W$106,COLUMN(A50),1)/IF(Summary!$B$7="Minutes",1,60)</f>
        <v>#VALUE!</v>
      </c>
      <c r="C53" t="e" cm="1">
        <f t="array" ref="C53">INDEX(Capacity!$W$7:$W$106,COLUMN(B50),1)/IF(Summary!$B$7="Minutes",1,60)</f>
        <v>#VALUE!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 t="e" vm="2">
        <f ca="1">'Required Capacity (Hide)'!E54</f>
        <v>#VALUE!</v>
      </c>
      <c r="B54" t="e" cm="1">
        <f t="array" ref="B54">INDEX(Capacity!$W$7:$W$106,COLUMN(A51),1)/IF(Summary!$B$7="Minutes",1,60)</f>
        <v>#VALUE!</v>
      </c>
      <c r="C54" t="e" cm="1">
        <f t="array" ref="C54">INDEX(Capacity!$W$7:$W$106,COLUMN(B51),1)/IF(Summary!$B$7="Minutes",1,60)</f>
        <v>#VALUE!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 t="e" vm="2">
        <f ca="1">'Required Capacity (Hide)'!E55</f>
        <v>#VALUE!</v>
      </c>
      <c r="B55" t="e" cm="1">
        <f t="array" ref="B55">INDEX(Capacity!$W$7:$W$106,COLUMN(A52),1)/IF(Summary!$B$7="Minutes",1,60)</f>
        <v>#VALUE!</v>
      </c>
      <c r="C55" t="e" cm="1">
        <f t="array" ref="C55">INDEX(Capacity!$W$7:$W$106,COLUMN(B52),1)/IF(Summary!$B$7="Minutes",1,60)</f>
        <v>#VALUE!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 t="e" vm="2">
        <f ca="1">'Required Capacity (Hide)'!E56</f>
        <v>#VALUE!</v>
      </c>
      <c r="B56" t="e" cm="1">
        <f t="array" ref="B56">INDEX(Capacity!$W$7:$W$106,COLUMN(A53),1)/IF(Summary!$B$7="Minutes",1,60)</f>
        <v>#VALUE!</v>
      </c>
      <c r="C56" t="e" cm="1">
        <f t="array" ref="C56">INDEX(Capacity!$W$7:$W$106,COLUMN(B53),1)/IF(Summary!$B$7="Minutes",1,60)</f>
        <v>#VALUE!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80</v>
      </c>
    </row>
    <row r="59" spans="1:101" x14ac:dyDescent="0.35">
      <c r="A59" s="2" t="str" cm="1">
        <f t="array" ref="A59">INDEX('Data Validation (Hide)'!$B$2:$B$16,ROW(A1),1)</f>
        <v>Caseload 1</v>
      </c>
      <c r="B59" cm="1">
        <f t="array" ref="B59">INDEX(Capacity!$C$7:$Q$106,COLUMN(A2),MATCH('Capacity Backing (Hide)'!$A59,Capacity!$C$6:$Q$6,0))</f>
        <v>0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Caseload 2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Caseload 3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Caseload 4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59</v>
      </c>
      <c r="B75" s="2" t="e" cm="1" vm="2">
        <f t="array" aca="1" ref="B75" ca="1">INDEX($A$5:$A$56,COLUMN(A2),1)</f>
        <v>#VALUE!</v>
      </c>
      <c r="C75" s="2" t="e" cm="1" vm="2">
        <f t="array" aca="1" ref="C75" ca="1">INDEX($A$5:$A$56,COLUMN(B2),1)</f>
        <v>#VALUE!</v>
      </c>
      <c r="D75" s="2" t="e" cm="1" vm="2">
        <f t="array" aca="1" ref="D75" ca="1">INDEX($A$5:$A$56,COLUMN(C2),1)</f>
        <v>#VALUE!</v>
      </c>
      <c r="E75" s="2" t="e" cm="1" vm="2">
        <f t="array" aca="1" ref="E75" ca="1">INDEX($A$5:$A$56,COLUMN(D2),1)</f>
        <v>#VALUE!</v>
      </c>
      <c r="F75" s="2" t="e" cm="1" vm="2">
        <f t="array" aca="1" ref="F75" ca="1">INDEX($A$5:$A$56,COLUMN(E2),1)</f>
        <v>#VALUE!</v>
      </c>
      <c r="G75" s="2" t="e" cm="1" vm="2">
        <f t="array" aca="1" ref="G75" ca="1">INDEX($A$5:$A$56,COLUMN(F2),1)</f>
        <v>#VALUE!</v>
      </c>
      <c r="H75" s="2" t="e" cm="1" vm="2">
        <f t="array" aca="1" ref="H75" ca="1">INDEX($A$5:$A$56,COLUMN(G2),1)</f>
        <v>#VALUE!</v>
      </c>
      <c r="I75" s="2" t="e" cm="1" vm="2">
        <f t="array" aca="1" ref="I75" ca="1">INDEX($A$5:$A$56,COLUMN(H2),1)</f>
        <v>#VALUE!</v>
      </c>
      <c r="J75" s="2" t="e" cm="1" vm="2">
        <f t="array" aca="1" ref="J75" ca="1">INDEX($A$5:$A$56,COLUMN(I2),1)</f>
        <v>#VALUE!</v>
      </c>
      <c r="K75" s="2" t="e" cm="1" vm="2">
        <f t="array" aca="1" ref="K75" ca="1">INDEX($A$5:$A$56,COLUMN(J2),1)</f>
        <v>#VALUE!</v>
      </c>
      <c r="L75" s="2" t="e" cm="1" vm="2">
        <f t="array" aca="1" ref="L75" ca="1">INDEX($A$5:$A$56,COLUMN(K2),1)</f>
        <v>#VALUE!</v>
      </c>
      <c r="M75" s="2" t="e" cm="1" vm="2">
        <f t="array" aca="1" ref="M75" ca="1">INDEX($A$5:$A$56,COLUMN(L2),1)</f>
        <v>#VALUE!</v>
      </c>
      <c r="N75" s="2" t="e" cm="1" vm="2">
        <f t="array" aca="1" ref="N75" ca="1">INDEX($A$5:$A$56,COLUMN(M2),1)</f>
        <v>#VALUE!</v>
      </c>
      <c r="O75" s="2" t="e" cm="1" vm="2">
        <f t="array" aca="1" ref="O75" ca="1">INDEX($A$5:$A$56,COLUMN(N2),1)</f>
        <v>#VALUE!</v>
      </c>
      <c r="P75" s="2" t="e" cm="1" vm="2">
        <f t="array" aca="1" ref="P75" ca="1">INDEX($A$5:$A$56,COLUMN(O2),1)</f>
        <v>#VALUE!</v>
      </c>
      <c r="Q75" s="2" t="e" cm="1" vm="2">
        <f t="array" aca="1" ref="Q75" ca="1">INDEX($A$5:$A$56,COLUMN(P2),1)</f>
        <v>#VALUE!</v>
      </c>
      <c r="R75" s="2" t="e" cm="1" vm="2">
        <f t="array" aca="1" ref="R75" ca="1">INDEX($A$5:$A$56,COLUMN(Q2),1)</f>
        <v>#VALUE!</v>
      </c>
      <c r="S75" s="2" t="e" cm="1" vm="2">
        <f t="array" aca="1" ref="S75" ca="1">INDEX($A$5:$A$56,COLUMN(R2),1)</f>
        <v>#VALUE!</v>
      </c>
      <c r="T75" s="2" t="e" cm="1" vm="2">
        <f t="array" aca="1" ref="T75" ca="1">INDEX($A$5:$A$56,COLUMN(S2),1)</f>
        <v>#VALUE!</v>
      </c>
      <c r="U75" s="2" t="e" cm="1" vm="2">
        <f t="array" aca="1" ref="U75" ca="1">INDEX($A$5:$A$56,COLUMN(T2),1)</f>
        <v>#VALUE!</v>
      </c>
      <c r="V75" s="2" t="e" cm="1" vm="2">
        <f t="array" aca="1" ref="V75" ca="1">INDEX($A$5:$A$56,COLUMN(U2),1)</f>
        <v>#VALUE!</v>
      </c>
      <c r="W75" s="2" t="e" cm="1" vm="2">
        <f t="array" aca="1" ref="W75" ca="1">INDEX($A$5:$A$56,COLUMN(V2),1)</f>
        <v>#VALUE!</v>
      </c>
      <c r="X75" s="2" t="e" cm="1" vm="2">
        <f t="array" aca="1" ref="X75" ca="1">INDEX($A$5:$A$56,COLUMN(W2),1)</f>
        <v>#VALUE!</v>
      </c>
      <c r="Y75" s="2" t="e" cm="1" vm="2">
        <f t="array" aca="1" ref="Y75" ca="1">INDEX($A$5:$A$56,COLUMN(X2),1)</f>
        <v>#VALUE!</v>
      </c>
      <c r="Z75" s="2" t="e" cm="1" vm="2">
        <f t="array" aca="1" ref="Z75" ca="1">INDEX($A$5:$A$56,COLUMN(Y2),1)</f>
        <v>#VALUE!</v>
      </c>
      <c r="AA75" s="2" t="e" cm="1" vm="2">
        <f t="array" aca="1" ref="AA75" ca="1">INDEX($A$5:$A$56,COLUMN(Z2),1)</f>
        <v>#VALUE!</v>
      </c>
      <c r="AB75" s="2" t="e" cm="1" vm="2">
        <f t="array" aca="1" ref="AB75" ca="1">INDEX($A$5:$A$56,COLUMN(AA2),1)</f>
        <v>#VALUE!</v>
      </c>
      <c r="AC75" s="2" t="e" cm="1" vm="2">
        <f t="array" aca="1" ref="AC75" ca="1">INDEX($A$5:$A$56,COLUMN(AB2),1)</f>
        <v>#VALUE!</v>
      </c>
      <c r="AD75" s="2" t="e" cm="1" vm="2">
        <f t="array" aca="1" ref="AD75" ca="1">INDEX($A$5:$A$56,COLUMN(AC2),1)</f>
        <v>#VALUE!</v>
      </c>
      <c r="AE75" s="2" t="e" cm="1" vm="2">
        <f t="array" aca="1" ref="AE75" ca="1">INDEX($A$5:$A$56,COLUMN(AD2),1)</f>
        <v>#VALUE!</v>
      </c>
      <c r="AF75" s="2" t="e" cm="1" vm="2">
        <f t="array" aca="1" ref="AF75" ca="1">INDEX($A$5:$A$56,COLUMN(AE2),1)</f>
        <v>#VALUE!</v>
      </c>
      <c r="AG75" s="2" t="e" cm="1" vm="2">
        <f t="array" aca="1" ref="AG75" ca="1">INDEX($A$5:$A$56,COLUMN(AF2),1)</f>
        <v>#VALUE!</v>
      </c>
      <c r="AH75" s="2" t="e" cm="1" vm="2">
        <f t="array" aca="1" ref="AH75" ca="1">INDEX($A$5:$A$56,COLUMN(AG2),1)</f>
        <v>#VALUE!</v>
      </c>
      <c r="AI75" s="2" t="e" cm="1" vm="2">
        <f t="array" aca="1" ref="AI75" ca="1">INDEX($A$5:$A$56,COLUMN(AH2),1)</f>
        <v>#VALUE!</v>
      </c>
      <c r="AJ75" s="2" t="e" cm="1" vm="2">
        <f t="array" aca="1" ref="AJ75" ca="1">INDEX($A$5:$A$56,COLUMN(AI2),1)</f>
        <v>#VALUE!</v>
      </c>
      <c r="AK75" s="2" t="e" cm="1" vm="2">
        <f t="array" aca="1" ref="AK75" ca="1">INDEX($A$5:$A$56,COLUMN(AJ2),1)</f>
        <v>#VALUE!</v>
      </c>
      <c r="AL75" s="2" t="e" cm="1" vm="2">
        <f t="array" aca="1" ref="AL75" ca="1">INDEX($A$5:$A$56,COLUMN(AK2),1)</f>
        <v>#VALUE!</v>
      </c>
      <c r="AM75" s="2" t="e" cm="1" vm="2">
        <f t="array" aca="1" ref="AM75" ca="1">INDEX($A$5:$A$56,COLUMN(AL2),1)</f>
        <v>#VALUE!</v>
      </c>
      <c r="AN75" s="2" t="e" cm="1" vm="2">
        <f t="array" aca="1" ref="AN75" ca="1">INDEX($A$5:$A$56,COLUMN(AM2),1)</f>
        <v>#VALUE!</v>
      </c>
      <c r="AO75" s="2" t="e" cm="1" vm="2">
        <f t="array" aca="1" ref="AO75" ca="1">INDEX($A$5:$A$56,COLUMN(AN2),1)</f>
        <v>#VALUE!</v>
      </c>
      <c r="AP75" s="2" t="e" cm="1" vm="2">
        <f t="array" aca="1" ref="AP75" ca="1">INDEX($A$5:$A$56,COLUMN(AO2),1)</f>
        <v>#VALUE!</v>
      </c>
      <c r="AQ75" s="2" t="e" cm="1" vm="2">
        <f t="array" aca="1" ref="AQ75" ca="1">INDEX($A$5:$A$56,COLUMN(AP2),1)</f>
        <v>#VALUE!</v>
      </c>
      <c r="AR75" s="2" t="e" cm="1" vm="2">
        <f t="array" aca="1" ref="AR75" ca="1">INDEX($A$5:$A$56,COLUMN(AQ2),1)</f>
        <v>#VALUE!</v>
      </c>
      <c r="AS75" s="2" t="e" cm="1" vm="2">
        <f t="array" aca="1" ref="AS75" ca="1">INDEX($A$5:$A$56,COLUMN(AR2),1)</f>
        <v>#VALUE!</v>
      </c>
      <c r="AT75" s="2" t="e" cm="1" vm="2">
        <f t="array" aca="1" ref="AT75" ca="1">INDEX($A$5:$A$56,COLUMN(AS2),1)</f>
        <v>#VALUE!</v>
      </c>
      <c r="AU75" s="2" t="e" cm="1" vm="2">
        <f t="array" aca="1" ref="AU75" ca="1">INDEX($A$5:$A$56,COLUMN(AT2),1)</f>
        <v>#VALUE!</v>
      </c>
      <c r="AV75" s="2" t="e" cm="1" vm="2">
        <f t="array" aca="1" ref="AV75" ca="1">INDEX($A$5:$A$56,COLUMN(AU2),1)</f>
        <v>#VALUE!</v>
      </c>
      <c r="AW75" s="2" t="e" cm="1" vm="2">
        <f t="array" aca="1" ref="AW75" ca="1">INDEX($A$5:$A$56,COLUMN(AV2),1)</f>
        <v>#VALUE!</v>
      </c>
      <c r="AX75" s="2" t="e" cm="1" vm="2">
        <f t="array" aca="1" ref="AX75" ca="1">INDEX($A$5:$A$56,COLUMN(AW2),1)</f>
        <v>#VALUE!</v>
      </c>
      <c r="AY75" s="2" t="e" cm="1" vm="2">
        <f t="array" aca="1" ref="AY75" ca="1">INDEX($A$5:$A$56,COLUMN(AX2),1)</f>
        <v>#VALUE!</v>
      </c>
      <c r="AZ75" s="2" t="e" cm="1" vm="2">
        <f t="array" aca="1" ref="AZ75" ca="1">INDEX($A$5:$A$56,COLUMN(AY2),1)</f>
        <v>#VALUE!</v>
      </c>
      <c r="BA75" s="2" t="e" cm="1" vm="2">
        <f t="array" aca="1" ref="BA75" ca="1">INDEX($A$5:$A$56,COLUMN(AZ2),1)</f>
        <v>#VALUE!</v>
      </c>
      <c r="BB75" s="2"/>
      <c r="BC75" s="2" t="s">
        <v>140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Caseload 2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Caseload 3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Caseload 4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154</v>
      </c>
      <c r="B91">
        <f>SUM(B76:B90)</f>
        <v>0</v>
      </c>
      <c r="C91">
        <f t="shared" ref="C91:BA91" si="5">SUM(C76:C90)</f>
        <v>0</v>
      </c>
      <c r="D91">
        <f t="shared" si="5"/>
        <v>0</v>
      </c>
      <c r="E91">
        <f t="shared" si="5"/>
        <v>0</v>
      </c>
      <c r="F91">
        <f t="shared" si="5"/>
        <v>0</v>
      </c>
      <c r="G91">
        <f t="shared" si="5"/>
        <v>0</v>
      </c>
      <c r="H91">
        <f t="shared" si="5"/>
        <v>0</v>
      </c>
      <c r="I91">
        <f t="shared" si="5"/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N91">
        <f t="shared" si="5"/>
        <v>0</v>
      </c>
      <c r="O91">
        <f t="shared" si="5"/>
        <v>0</v>
      </c>
      <c r="P91">
        <f t="shared" si="5"/>
        <v>0</v>
      </c>
      <c r="Q91">
        <f t="shared" si="5"/>
        <v>0</v>
      </c>
      <c r="R91">
        <f t="shared" si="5"/>
        <v>0</v>
      </c>
      <c r="S91">
        <f t="shared" si="5"/>
        <v>0</v>
      </c>
      <c r="T91">
        <f t="shared" si="5"/>
        <v>0</v>
      </c>
      <c r="U91">
        <f t="shared" si="5"/>
        <v>0</v>
      </c>
      <c r="V91">
        <f t="shared" si="5"/>
        <v>0</v>
      </c>
      <c r="W91">
        <f t="shared" si="5"/>
        <v>0</v>
      </c>
      <c r="X91">
        <f t="shared" si="5"/>
        <v>0</v>
      </c>
      <c r="Y91">
        <f t="shared" si="5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5"/>
        <v>0</v>
      </c>
      <c r="AE91">
        <f t="shared" si="5"/>
        <v>0</v>
      </c>
      <c r="AF91">
        <f t="shared" si="5"/>
        <v>0</v>
      </c>
      <c r="AG91">
        <f t="shared" si="5"/>
        <v>0</v>
      </c>
      <c r="AH91">
        <f t="shared" si="5"/>
        <v>0</v>
      </c>
      <c r="AI91">
        <f t="shared" si="5"/>
        <v>0</v>
      </c>
      <c r="AJ91">
        <f t="shared" si="5"/>
        <v>0</v>
      </c>
      <c r="AK91">
        <f t="shared" si="5"/>
        <v>0</v>
      </c>
      <c r="AL91">
        <f t="shared" si="5"/>
        <v>0</v>
      </c>
      <c r="AM91">
        <f t="shared" si="5"/>
        <v>0</v>
      </c>
      <c r="AN91">
        <f t="shared" si="5"/>
        <v>0</v>
      </c>
      <c r="AO91">
        <f t="shared" si="5"/>
        <v>0</v>
      </c>
      <c r="AP91">
        <f t="shared" si="5"/>
        <v>0</v>
      </c>
      <c r="AQ91">
        <f t="shared" si="5"/>
        <v>0</v>
      </c>
      <c r="AR91">
        <f t="shared" si="5"/>
        <v>0</v>
      </c>
      <c r="AS91">
        <f t="shared" si="5"/>
        <v>0</v>
      </c>
      <c r="AT91">
        <f t="shared" si="5"/>
        <v>0</v>
      </c>
      <c r="AU91">
        <f t="shared" si="5"/>
        <v>0</v>
      </c>
      <c r="AV91">
        <f t="shared" si="5"/>
        <v>0</v>
      </c>
      <c r="AW91">
        <f t="shared" si="5"/>
        <v>0</v>
      </c>
      <c r="AX91">
        <f t="shared" si="5"/>
        <v>0</v>
      </c>
      <c r="AY91">
        <f t="shared" si="5"/>
        <v>0</v>
      </c>
      <c r="AZ91">
        <f t="shared" si="5"/>
        <v>0</v>
      </c>
      <c r="BA91">
        <f t="shared" si="5"/>
        <v>0</v>
      </c>
    </row>
    <row r="92" spans="1:55" x14ac:dyDescent="0.35">
      <c r="A92" s="2"/>
    </row>
    <row r="93" spans="1:55" x14ac:dyDescent="0.35">
      <c r="A93" s="2" t="s">
        <v>57</v>
      </c>
      <c r="B93" s="2" t="e" cm="1" vm="2">
        <f t="array" aca="1" ref="B93" ca="1">INDEX($A$5:$A$56,COLUMN(A19),1)</f>
        <v>#VALUE!</v>
      </c>
      <c r="C93" s="2" t="e" cm="1" vm="2">
        <f t="array" aca="1" ref="C93" ca="1">INDEX($A$5:$A$56,COLUMN(B19),1)</f>
        <v>#VALUE!</v>
      </c>
      <c r="D93" s="2" t="e" cm="1" vm="2">
        <f t="array" aca="1" ref="D93" ca="1">INDEX($A$5:$A$56,COLUMN(C19),1)</f>
        <v>#VALUE!</v>
      </c>
      <c r="E93" s="2" t="e" cm="1" vm="2">
        <f t="array" aca="1" ref="E93" ca="1">INDEX($A$5:$A$56,COLUMN(D19),1)</f>
        <v>#VALUE!</v>
      </c>
      <c r="F93" s="2" t="e" cm="1" vm="2">
        <f t="array" aca="1" ref="F93" ca="1">INDEX($A$5:$A$56,COLUMN(E19),1)</f>
        <v>#VALUE!</v>
      </c>
      <c r="G93" s="2" t="e" cm="1" vm="2">
        <f t="array" aca="1" ref="G93" ca="1">INDEX($A$5:$A$56,COLUMN(F19),1)</f>
        <v>#VALUE!</v>
      </c>
      <c r="H93" s="2" t="e" cm="1" vm="2">
        <f t="array" aca="1" ref="H93" ca="1">INDEX($A$5:$A$56,COLUMN(G19),1)</f>
        <v>#VALUE!</v>
      </c>
      <c r="I93" s="2" t="e" cm="1" vm="2">
        <f t="array" aca="1" ref="I93" ca="1">INDEX($A$5:$A$56,COLUMN(H19),1)</f>
        <v>#VALUE!</v>
      </c>
      <c r="J93" s="2" t="e" cm="1" vm="2">
        <f t="array" aca="1" ref="J93" ca="1">INDEX($A$5:$A$56,COLUMN(I19),1)</f>
        <v>#VALUE!</v>
      </c>
      <c r="K93" s="2" t="e" cm="1" vm="2">
        <f t="array" aca="1" ref="K93" ca="1">INDEX($A$5:$A$56,COLUMN(J19),1)</f>
        <v>#VALUE!</v>
      </c>
      <c r="L93" s="2" t="e" cm="1" vm="2">
        <f t="array" aca="1" ref="L93" ca="1">INDEX($A$5:$A$56,COLUMN(K19),1)</f>
        <v>#VALUE!</v>
      </c>
      <c r="M93" s="2" t="e" cm="1" vm="2">
        <f t="array" aca="1" ref="M93" ca="1">INDEX($A$5:$A$56,COLUMN(L19),1)</f>
        <v>#VALUE!</v>
      </c>
      <c r="N93" s="2" t="e" cm="1" vm="2">
        <f t="array" aca="1" ref="N93" ca="1">INDEX($A$5:$A$56,COLUMN(M19),1)</f>
        <v>#VALUE!</v>
      </c>
      <c r="O93" s="2" t="e" cm="1" vm="2">
        <f t="array" aca="1" ref="O93" ca="1">INDEX($A$5:$A$56,COLUMN(N19),1)</f>
        <v>#VALUE!</v>
      </c>
      <c r="P93" s="2" t="e" cm="1" vm="2">
        <f t="array" aca="1" ref="P93" ca="1">INDEX($A$5:$A$56,COLUMN(O19),1)</f>
        <v>#VALUE!</v>
      </c>
      <c r="Q93" s="2" t="e" cm="1" vm="2">
        <f t="array" aca="1" ref="Q93" ca="1">INDEX($A$5:$A$56,COLUMN(P19),1)</f>
        <v>#VALUE!</v>
      </c>
      <c r="R93" s="2" t="e" cm="1" vm="2">
        <f t="array" aca="1" ref="R93" ca="1">INDEX($A$5:$A$56,COLUMN(Q19),1)</f>
        <v>#VALUE!</v>
      </c>
      <c r="S93" s="2" t="e" cm="1" vm="2">
        <f t="array" aca="1" ref="S93" ca="1">INDEX($A$5:$A$56,COLUMN(R19),1)</f>
        <v>#VALUE!</v>
      </c>
      <c r="T93" s="2" t="e" cm="1" vm="2">
        <f t="array" aca="1" ref="T93" ca="1">INDEX($A$5:$A$56,COLUMN(S19),1)</f>
        <v>#VALUE!</v>
      </c>
      <c r="U93" s="2" t="e" cm="1" vm="2">
        <f t="array" aca="1" ref="U93" ca="1">INDEX($A$5:$A$56,COLUMN(T19),1)</f>
        <v>#VALUE!</v>
      </c>
      <c r="V93" s="2" t="e" cm="1" vm="2">
        <f t="array" aca="1" ref="V93" ca="1">INDEX($A$5:$A$56,COLUMN(U19),1)</f>
        <v>#VALUE!</v>
      </c>
      <c r="W93" s="2" t="e" cm="1" vm="2">
        <f t="array" aca="1" ref="W93" ca="1">INDEX($A$5:$A$56,COLUMN(V19),1)</f>
        <v>#VALUE!</v>
      </c>
      <c r="X93" s="2" t="e" cm="1" vm="2">
        <f t="array" aca="1" ref="X93" ca="1">INDEX($A$5:$A$56,COLUMN(W19),1)</f>
        <v>#VALUE!</v>
      </c>
      <c r="Y93" s="2" t="e" cm="1" vm="2">
        <f t="array" aca="1" ref="Y93" ca="1">INDEX($A$5:$A$56,COLUMN(X19),1)</f>
        <v>#VALUE!</v>
      </c>
      <c r="Z93" s="2" t="e" cm="1" vm="2">
        <f t="array" aca="1" ref="Z93" ca="1">INDEX($A$5:$A$56,COLUMN(Y19),1)</f>
        <v>#VALUE!</v>
      </c>
      <c r="AA93" s="2" t="e" cm="1" vm="2">
        <f t="array" aca="1" ref="AA93" ca="1">INDEX($A$5:$A$56,COLUMN(Z19),1)</f>
        <v>#VALUE!</v>
      </c>
      <c r="AB93" s="2" t="e" cm="1" vm="2">
        <f t="array" aca="1" ref="AB93" ca="1">INDEX($A$5:$A$56,COLUMN(AA19),1)</f>
        <v>#VALUE!</v>
      </c>
      <c r="AC93" s="2" t="e" cm="1" vm="2">
        <f t="array" aca="1" ref="AC93" ca="1">INDEX($A$5:$A$56,COLUMN(AB19),1)</f>
        <v>#VALUE!</v>
      </c>
      <c r="AD93" s="2" t="e" cm="1" vm="2">
        <f t="array" aca="1" ref="AD93" ca="1">INDEX($A$5:$A$56,COLUMN(AC19),1)</f>
        <v>#VALUE!</v>
      </c>
      <c r="AE93" s="2" t="e" cm="1" vm="2">
        <f t="array" aca="1" ref="AE93" ca="1">INDEX($A$5:$A$56,COLUMN(AD19),1)</f>
        <v>#VALUE!</v>
      </c>
      <c r="AF93" s="2" t="e" cm="1" vm="2">
        <f t="array" aca="1" ref="AF93" ca="1">INDEX($A$5:$A$56,COLUMN(AE19),1)</f>
        <v>#VALUE!</v>
      </c>
      <c r="AG93" s="2" t="e" cm="1" vm="2">
        <f t="array" aca="1" ref="AG93" ca="1">INDEX($A$5:$A$56,COLUMN(AF19),1)</f>
        <v>#VALUE!</v>
      </c>
      <c r="AH93" s="2" t="e" cm="1" vm="2">
        <f t="array" aca="1" ref="AH93" ca="1">INDEX($A$5:$A$56,COLUMN(AG19),1)</f>
        <v>#VALUE!</v>
      </c>
      <c r="AI93" s="2" t="e" cm="1" vm="2">
        <f t="array" aca="1" ref="AI93" ca="1">INDEX($A$5:$A$56,COLUMN(AH19),1)</f>
        <v>#VALUE!</v>
      </c>
      <c r="AJ93" s="2" t="e" cm="1" vm="2">
        <f t="array" aca="1" ref="AJ93" ca="1">INDEX($A$5:$A$56,COLUMN(AI19),1)</f>
        <v>#VALUE!</v>
      </c>
      <c r="AK93" s="2" t="e" cm="1" vm="2">
        <f t="array" aca="1" ref="AK93" ca="1">INDEX($A$5:$A$56,COLUMN(AJ19),1)</f>
        <v>#VALUE!</v>
      </c>
      <c r="AL93" s="2" t="e" cm="1" vm="2">
        <f t="array" aca="1" ref="AL93" ca="1">INDEX($A$5:$A$56,COLUMN(AK19),1)</f>
        <v>#VALUE!</v>
      </c>
      <c r="AM93" s="2" t="e" cm="1" vm="2">
        <f t="array" aca="1" ref="AM93" ca="1">INDEX($A$5:$A$56,COLUMN(AL19),1)</f>
        <v>#VALUE!</v>
      </c>
      <c r="AN93" s="2" t="e" cm="1" vm="2">
        <f t="array" aca="1" ref="AN93" ca="1">INDEX($A$5:$A$56,COLUMN(AM19),1)</f>
        <v>#VALUE!</v>
      </c>
      <c r="AO93" s="2" t="e" cm="1" vm="2">
        <f t="array" aca="1" ref="AO93" ca="1">INDEX($A$5:$A$56,COLUMN(AN19),1)</f>
        <v>#VALUE!</v>
      </c>
      <c r="AP93" s="2" t="e" cm="1" vm="2">
        <f t="array" aca="1" ref="AP93" ca="1">INDEX($A$5:$A$56,COLUMN(AO19),1)</f>
        <v>#VALUE!</v>
      </c>
      <c r="AQ93" s="2" t="e" cm="1" vm="2">
        <f t="array" aca="1" ref="AQ93" ca="1">INDEX($A$5:$A$56,COLUMN(AP19),1)</f>
        <v>#VALUE!</v>
      </c>
      <c r="AR93" s="2" t="e" cm="1" vm="2">
        <f t="array" aca="1" ref="AR93" ca="1">INDEX($A$5:$A$56,COLUMN(AQ19),1)</f>
        <v>#VALUE!</v>
      </c>
      <c r="AS93" s="2" t="e" cm="1" vm="2">
        <f t="array" aca="1" ref="AS93" ca="1">INDEX($A$5:$A$56,COLUMN(AR19),1)</f>
        <v>#VALUE!</v>
      </c>
      <c r="AT93" s="2" t="e" cm="1" vm="2">
        <f t="array" aca="1" ref="AT93" ca="1">INDEX($A$5:$A$56,COLUMN(AS19),1)</f>
        <v>#VALUE!</v>
      </c>
      <c r="AU93" s="2" t="e" cm="1" vm="2">
        <f t="array" aca="1" ref="AU93" ca="1">INDEX($A$5:$A$56,COLUMN(AT19),1)</f>
        <v>#VALUE!</v>
      </c>
      <c r="AV93" s="2" t="e" cm="1" vm="2">
        <f t="array" aca="1" ref="AV93" ca="1">INDEX($A$5:$A$56,COLUMN(AU19),1)</f>
        <v>#VALUE!</v>
      </c>
      <c r="AW93" s="2" t="e" cm="1" vm="2">
        <f t="array" aca="1" ref="AW93" ca="1">INDEX($A$5:$A$56,COLUMN(AV19),1)</f>
        <v>#VALUE!</v>
      </c>
      <c r="AX93" s="2" t="e" cm="1" vm="2">
        <f t="array" aca="1" ref="AX93" ca="1">INDEX($A$5:$A$56,COLUMN(AW19),1)</f>
        <v>#VALUE!</v>
      </c>
      <c r="AY93" s="2" t="e" cm="1" vm="2">
        <f t="array" aca="1" ref="AY93" ca="1">INDEX($A$5:$A$56,COLUMN(AX19),1)</f>
        <v>#VALUE!</v>
      </c>
      <c r="AZ93" s="2" t="e" cm="1" vm="2">
        <f t="array" aca="1" ref="AZ93" ca="1">INDEX($A$5:$A$56,COLUMN(AY19),1)</f>
        <v>#VALUE!</v>
      </c>
      <c r="BA93" s="2" t="e" cm="1" vm="2">
        <f t="array" aca="1" ref="BA93" ca="1">INDEX($A$5:$A$56,COLUMN(AZ19),1)</f>
        <v>#VALUE!</v>
      </c>
      <c r="BC93" t="s">
        <v>140</v>
      </c>
    </row>
    <row r="94" spans="1:55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0</v>
      </c>
      <c r="C94">
        <f t="shared" ref="C94:BA99" si="6">SUMIFS($B$5:$CW$5,$B59:$CW59,"="&amp;"x",$B$3:$CW$3,"="&amp;"Y")</f>
        <v>0</v>
      </c>
      <c r="D94">
        <f t="shared" si="6"/>
        <v>0</v>
      </c>
      <c r="E94">
        <f t="shared" si="6"/>
        <v>0</v>
      </c>
      <c r="F94">
        <f t="shared" si="6"/>
        <v>0</v>
      </c>
      <c r="G94">
        <f t="shared" si="6"/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>
        <f t="shared" si="6"/>
        <v>0</v>
      </c>
      <c r="N94">
        <f t="shared" si="6"/>
        <v>0</v>
      </c>
      <c r="O94">
        <f t="shared" si="6"/>
        <v>0</v>
      </c>
      <c r="P94">
        <f t="shared" si="6"/>
        <v>0</v>
      </c>
      <c r="Q94">
        <f t="shared" si="6"/>
        <v>0</v>
      </c>
      <c r="R94">
        <f t="shared" si="6"/>
        <v>0</v>
      </c>
      <c r="S94">
        <f t="shared" si="6"/>
        <v>0</v>
      </c>
      <c r="T94">
        <f t="shared" si="6"/>
        <v>0</v>
      </c>
      <c r="U94">
        <f t="shared" si="6"/>
        <v>0</v>
      </c>
      <c r="V94">
        <f t="shared" si="6"/>
        <v>0</v>
      </c>
      <c r="W94">
        <f t="shared" si="6"/>
        <v>0</v>
      </c>
      <c r="X94">
        <f t="shared" si="6"/>
        <v>0</v>
      </c>
      <c r="Y94">
        <f t="shared" si="6"/>
        <v>0</v>
      </c>
      <c r="Z94">
        <f t="shared" si="6"/>
        <v>0</v>
      </c>
      <c r="AA94">
        <f t="shared" si="6"/>
        <v>0</v>
      </c>
      <c r="AB94">
        <f t="shared" si="6"/>
        <v>0</v>
      </c>
      <c r="AC94">
        <f t="shared" si="6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6"/>
        <v>0</v>
      </c>
      <c r="AI94">
        <f t="shared" si="6"/>
        <v>0</v>
      </c>
      <c r="AJ94">
        <f t="shared" si="6"/>
        <v>0</v>
      </c>
      <c r="AK94">
        <f t="shared" si="6"/>
        <v>0</v>
      </c>
      <c r="AL94">
        <f t="shared" si="6"/>
        <v>0</v>
      </c>
      <c r="AM94">
        <f t="shared" si="6"/>
        <v>0</v>
      </c>
      <c r="AN94">
        <f t="shared" si="6"/>
        <v>0</v>
      </c>
      <c r="AO94">
        <f t="shared" si="6"/>
        <v>0</v>
      </c>
      <c r="AP94">
        <f t="shared" si="6"/>
        <v>0</v>
      </c>
      <c r="AQ94">
        <f t="shared" si="6"/>
        <v>0</v>
      </c>
      <c r="AR94">
        <f t="shared" si="6"/>
        <v>0</v>
      </c>
      <c r="AS94">
        <f t="shared" si="6"/>
        <v>0</v>
      </c>
      <c r="AT94">
        <f t="shared" si="6"/>
        <v>0</v>
      </c>
      <c r="AU94">
        <f t="shared" si="6"/>
        <v>0</v>
      </c>
      <c r="AV94">
        <f t="shared" si="6"/>
        <v>0</v>
      </c>
      <c r="AW94">
        <f t="shared" si="6"/>
        <v>0</v>
      </c>
      <c r="AX94">
        <f t="shared" si="6"/>
        <v>0</v>
      </c>
      <c r="AY94">
        <f t="shared" si="6"/>
        <v>0</v>
      </c>
      <c r="AZ94">
        <f t="shared" si="6"/>
        <v>0</v>
      </c>
      <c r="BA94">
        <f t="shared" si="6"/>
        <v>0</v>
      </c>
      <c r="BC94">
        <f>AVERAGE(B94:BA94)</f>
        <v>0</v>
      </c>
    </row>
    <row r="95" spans="1:55" x14ac:dyDescent="0.35">
      <c r="A95" s="2" t="str" cm="1">
        <f t="array" ref="A95">INDEX('Data Validation (Hide)'!$B$2:$B$16,ROW(A2),1)</f>
        <v>Caseload 2</v>
      </c>
      <c r="B95">
        <f t="shared" ref="B95:Q108" si="7">SUMIFS($B$5:$CW$5,$B60:$CW60,"="&amp;"x",$B$3:$CW$3,"="&amp;"Y")</f>
        <v>0</v>
      </c>
      <c r="C95">
        <f t="shared" si="7"/>
        <v>0</v>
      </c>
      <c r="D95">
        <f t="shared" si="7"/>
        <v>0</v>
      </c>
      <c r="E95">
        <f t="shared" si="7"/>
        <v>0</v>
      </c>
      <c r="F95">
        <f t="shared" si="7"/>
        <v>0</v>
      </c>
      <c r="G95">
        <f t="shared" si="7"/>
        <v>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0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  <c r="AB95">
        <f t="shared" si="6"/>
        <v>0</v>
      </c>
      <c r="AC95">
        <f t="shared" si="6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6"/>
        <v>0</v>
      </c>
      <c r="AI95">
        <f t="shared" si="6"/>
        <v>0</v>
      </c>
      <c r="AJ95">
        <f t="shared" si="6"/>
        <v>0</v>
      </c>
      <c r="AK95">
        <f t="shared" si="6"/>
        <v>0</v>
      </c>
      <c r="AL95">
        <f t="shared" si="6"/>
        <v>0</v>
      </c>
      <c r="AM95">
        <f t="shared" si="6"/>
        <v>0</v>
      </c>
      <c r="AN95">
        <f t="shared" si="6"/>
        <v>0</v>
      </c>
      <c r="AO95">
        <f t="shared" si="6"/>
        <v>0</v>
      </c>
      <c r="AP95">
        <f t="shared" si="6"/>
        <v>0</v>
      </c>
      <c r="AQ95">
        <f t="shared" si="6"/>
        <v>0</v>
      </c>
      <c r="AR95">
        <f t="shared" si="6"/>
        <v>0</v>
      </c>
      <c r="AS95">
        <f t="shared" si="6"/>
        <v>0</v>
      </c>
      <c r="AT95">
        <f t="shared" si="6"/>
        <v>0</v>
      </c>
      <c r="AU95">
        <f t="shared" si="6"/>
        <v>0</v>
      </c>
      <c r="AV95">
        <f t="shared" si="6"/>
        <v>0</v>
      </c>
      <c r="AW95">
        <f t="shared" si="6"/>
        <v>0</v>
      </c>
      <c r="AX95">
        <f t="shared" si="6"/>
        <v>0</v>
      </c>
      <c r="AY95">
        <f t="shared" si="6"/>
        <v>0</v>
      </c>
      <c r="AZ95">
        <f t="shared" si="6"/>
        <v>0</v>
      </c>
      <c r="BA95">
        <f t="shared" si="6"/>
        <v>0</v>
      </c>
      <c r="BC95">
        <f t="shared" ref="BC95:BC108" si="8">AVERAGE(B95:BA95)</f>
        <v>0</v>
      </c>
    </row>
    <row r="96" spans="1:55" x14ac:dyDescent="0.35">
      <c r="A96" s="2" t="str" cm="1">
        <f t="array" ref="A96">INDEX('Data Validation (Hide)'!$B$2:$B$16,ROW(A3),1)</f>
        <v>Caseload 3</v>
      </c>
      <c r="B96">
        <f t="shared" si="7"/>
        <v>0</v>
      </c>
      <c r="C96">
        <f t="shared" si="6"/>
        <v>0</v>
      </c>
      <c r="D96">
        <f t="shared" si="6"/>
        <v>0</v>
      </c>
      <c r="E96">
        <f t="shared" si="6"/>
        <v>0</v>
      </c>
      <c r="F96">
        <f t="shared" si="6"/>
        <v>0</v>
      </c>
      <c r="G96">
        <f t="shared" si="6"/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>
        <f t="shared" si="6"/>
        <v>0</v>
      </c>
      <c r="O96">
        <f t="shared" si="6"/>
        <v>0</v>
      </c>
      <c r="P96">
        <f t="shared" si="6"/>
        <v>0</v>
      </c>
      <c r="Q96">
        <f t="shared" si="6"/>
        <v>0</v>
      </c>
      <c r="R96">
        <f t="shared" si="6"/>
        <v>0</v>
      </c>
      <c r="S96">
        <f t="shared" si="6"/>
        <v>0</v>
      </c>
      <c r="T96">
        <f t="shared" si="6"/>
        <v>0</v>
      </c>
      <c r="U96">
        <f t="shared" si="6"/>
        <v>0</v>
      </c>
      <c r="V96">
        <f t="shared" si="6"/>
        <v>0</v>
      </c>
      <c r="W96">
        <f t="shared" si="6"/>
        <v>0</v>
      </c>
      <c r="X96">
        <f t="shared" si="6"/>
        <v>0</v>
      </c>
      <c r="Y96">
        <f t="shared" si="6"/>
        <v>0</v>
      </c>
      <c r="Z96">
        <f t="shared" si="6"/>
        <v>0</v>
      </c>
      <c r="AA96">
        <f t="shared" si="6"/>
        <v>0</v>
      </c>
      <c r="AB96">
        <f t="shared" si="6"/>
        <v>0</v>
      </c>
      <c r="AC96">
        <f t="shared" si="6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6"/>
        <v>0</v>
      </c>
      <c r="AI96">
        <f t="shared" si="6"/>
        <v>0</v>
      </c>
      <c r="AJ96">
        <f t="shared" si="6"/>
        <v>0</v>
      </c>
      <c r="AK96">
        <f t="shared" si="6"/>
        <v>0</v>
      </c>
      <c r="AL96">
        <f t="shared" si="6"/>
        <v>0</v>
      </c>
      <c r="AM96">
        <f t="shared" si="6"/>
        <v>0</v>
      </c>
      <c r="AN96">
        <f t="shared" si="6"/>
        <v>0</v>
      </c>
      <c r="AO96">
        <f t="shared" si="6"/>
        <v>0</v>
      </c>
      <c r="AP96">
        <f t="shared" si="6"/>
        <v>0</v>
      </c>
      <c r="AQ96">
        <f t="shared" si="6"/>
        <v>0</v>
      </c>
      <c r="AR96">
        <f t="shared" si="6"/>
        <v>0</v>
      </c>
      <c r="AS96">
        <f t="shared" si="6"/>
        <v>0</v>
      </c>
      <c r="AT96">
        <f t="shared" si="6"/>
        <v>0</v>
      </c>
      <c r="AU96">
        <f t="shared" si="6"/>
        <v>0</v>
      </c>
      <c r="AV96">
        <f t="shared" si="6"/>
        <v>0</v>
      </c>
      <c r="AW96">
        <f t="shared" si="6"/>
        <v>0</v>
      </c>
      <c r="AX96">
        <f t="shared" si="6"/>
        <v>0</v>
      </c>
      <c r="AY96">
        <f t="shared" si="6"/>
        <v>0</v>
      </c>
      <c r="AZ96">
        <f t="shared" si="6"/>
        <v>0</v>
      </c>
      <c r="BA96">
        <f t="shared" si="6"/>
        <v>0</v>
      </c>
      <c r="BC96">
        <f t="shared" si="8"/>
        <v>0</v>
      </c>
    </row>
    <row r="97" spans="1:55" x14ac:dyDescent="0.35">
      <c r="A97" s="2" t="str" cm="1">
        <f t="array" ref="A97">INDEX('Data Validation (Hide)'!$B$2:$B$16,ROW(A4),1)</f>
        <v>Caseload 4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154</v>
      </c>
      <c r="B109">
        <f>SUM(B94:B108)</f>
        <v>0</v>
      </c>
      <c r="C109">
        <f t="shared" ref="C109:BA109" si="11">SUM(C94:C108)</f>
        <v>0</v>
      </c>
      <c r="D109">
        <f t="shared" si="11"/>
        <v>0</v>
      </c>
      <c r="E109">
        <f t="shared" si="11"/>
        <v>0</v>
      </c>
      <c r="F109">
        <f t="shared" si="11"/>
        <v>0</v>
      </c>
      <c r="G109">
        <f t="shared" si="11"/>
        <v>0</v>
      </c>
      <c r="H109">
        <f t="shared" si="11"/>
        <v>0</v>
      </c>
      <c r="I109">
        <f t="shared" si="11"/>
        <v>0</v>
      </c>
      <c r="J109">
        <f t="shared" si="11"/>
        <v>0</v>
      </c>
      <c r="K109">
        <f t="shared" si="11"/>
        <v>0</v>
      </c>
      <c r="L109">
        <f t="shared" si="11"/>
        <v>0</v>
      </c>
      <c r="M109">
        <f t="shared" si="11"/>
        <v>0</v>
      </c>
      <c r="N109">
        <f t="shared" si="11"/>
        <v>0</v>
      </c>
      <c r="O109">
        <f t="shared" si="11"/>
        <v>0</v>
      </c>
      <c r="P109">
        <f t="shared" si="11"/>
        <v>0</v>
      </c>
      <c r="Q109">
        <f t="shared" si="11"/>
        <v>0</v>
      </c>
      <c r="R109">
        <f t="shared" si="11"/>
        <v>0</v>
      </c>
      <c r="S109">
        <f t="shared" si="11"/>
        <v>0</v>
      </c>
      <c r="T109">
        <f t="shared" si="11"/>
        <v>0</v>
      </c>
      <c r="U109">
        <f t="shared" si="11"/>
        <v>0</v>
      </c>
      <c r="V109">
        <f t="shared" si="11"/>
        <v>0</v>
      </c>
      <c r="W109">
        <f t="shared" si="11"/>
        <v>0</v>
      </c>
      <c r="X109">
        <f t="shared" si="11"/>
        <v>0</v>
      </c>
      <c r="Y109">
        <f t="shared" si="11"/>
        <v>0</v>
      </c>
      <c r="Z109">
        <f t="shared" si="11"/>
        <v>0</v>
      </c>
      <c r="AA109">
        <f t="shared" si="11"/>
        <v>0</v>
      </c>
      <c r="AB109">
        <f t="shared" si="11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1"/>
        <v>0</v>
      </c>
      <c r="AH109">
        <f t="shared" si="11"/>
        <v>0</v>
      </c>
      <c r="AI109">
        <f t="shared" si="11"/>
        <v>0</v>
      </c>
      <c r="AJ109">
        <f t="shared" si="11"/>
        <v>0</v>
      </c>
      <c r="AK109">
        <f t="shared" si="11"/>
        <v>0</v>
      </c>
      <c r="AL109">
        <f t="shared" si="11"/>
        <v>0</v>
      </c>
      <c r="AM109">
        <f t="shared" si="11"/>
        <v>0</v>
      </c>
      <c r="AN109">
        <f t="shared" si="11"/>
        <v>0</v>
      </c>
      <c r="AO109">
        <f t="shared" si="11"/>
        <v>0</v>
      </c>
      <c r="AP109">
        <f t="shared" si="11"/>
        <v>0</v>
      </c>
      <c r="AQ109">
        <f t="shared" si="11"/>
        <v>0</v>
      </c>
      <c r="AR109">
        <f t="shared" si="11"/>
        <v>0</v>
      </c>
      <c r="AS109">
        <f t="shared" si="11"/>
        <v>0</v>
      </c>
      <c r="AT109">
        <f t="shared" si="11"/>
        <v>0</v>
      </c>
      <c r="AU109">
        <f t="shared" si="11"/>
        <v>0</v>
      </c>
      <c r="AV109">
        <f t="shared" si="11"/>
        <v>0</v>
      </c>
      <c r="AW109">
        <f t="shared" si="11"/>
        <v>0</v>
      </c>
      <c r="AX109">
        <f t="shared" si="11"/>
        <v>0</v>
      </c>
      <c r="AY109">
        <f t="shared" si="11"/>
        <v>0</v>
      </c>
      <c r="AZ109">
        <f t="shared" si="11"/>
        <v>0</v>
      </c>
      <c r="BA109">
        <f t="shared" si="11"/>
        <v>0</v>
      </c>
    </row>
    <row r="110" spans="1:55" x14ac:dyDescent="0.35">
      <c r="A110" s="2"/>
    </row>
    <row r="111" spans="1:55" x14ac:dyDescent="0.35">
      <c r="A111" s="2" t="s">
        <v>70</v>
      </c>
      <c r="B111" s="2" t="e" cm="1" vm="2">
        <f t="array" aca="1" ref="B111" ca="1">INDEX($A$5:$A$56,COLUMN(A19),1)</f>
        <v>#VALUE!</v>
      </c>
      <c r="C111" s="2" t="e" cm="1" vm="2">
        <f t="array" aca="1" ref="C111" ca="1">INDEX($A$5:$A$56,COLUMN(B19),1)</f>
        <v>#VALUE!</v>
      </c>
      <c r="D111" s="2" t="e" cm="1" vm="2">
        <f t="array" aca="1" ref="D111" ca="1">INDEX($A$5:$A$56,COLUMN(C19),1)</f>
        <v>#VALUE!</v>
      </c>
      <c r="E111" s="2" t="e" cm="1" vm="2">
        <f t="array" aca="1" ref="E111" ca="1">INDEX($A$5:$A$56,COLUMN(D19),1)</f>
        <v>#VALUE!</v>
      </c>
      <c r="F111" s="2" t="e" cm="1" vm="2">
        <f t="array" aca="1" ref="F111" ca="1">INDEX($A$5:$A$56,COLUMN(E19),1)</f>
        <v>#VALUE!</v>
      </c>
      <c r="G111" s="2" t="e" cm="1" vm="2">
        <f t="array" aca="1" ref="G111" ca="1">INDEX($A$5:$A$56,COLUMN(F19),1)</f>
        <v>#VALUE!</v>
      </c>
      <c r="H111" s="2" t="e" cm="1" vm="2">
        <f t="array" aca="1" ref="H111" ca="1">INDEX($A$5:$A$56,COLUMN(G19),1)</f>
        <v>#VALUE!</v>
      </c>
      <c r="I111" s="2" t="e" cm="1" vm="2">
        <f t="array" aca="1" ref="I111" ca="1">INDEX($A$5:$A$56,COLUMN(H19),1)</f>
        <v>#VALUE!</v>
      </c>
      <c r="J111" s="2" t="e" cm="1" vm="2">
        <f t="array" aca="1" ref="J111" ca="1">INDEX($A$5:$A$56,COLUMN(I19),1)</f>
        <v>#VALUE!</v>
      </c>
      <c r="K111" s="2" t="e" cm="1" vm="2">
        <f t="array" aca="1" ref="K111" ca="1">INDEX($A$5:$A$56,COLUMN(J19),1)</f>
        <v>#VALUE!</v>
      </c>
      <c r="L111" s="2" t="e" cm="1" vm="2">
        <f t="array" aca="1" ref="L111" ca="1">INDEX($A$5:$A$56,COLUMN(K19),1)</f>
        <v>#VALUE!</v>
      </c>
      <c r="M111" s="2" t="e" cm="1" vm="2">
        <f t="array" aca="1" ref="M111" ca="1">INDEX($A$5:$A$56,COLUMN(L19),1)</f>
        <v>#VALUE!</v>
      </c>
      <c r="N111" s="2" t="e" cm="1" vm="2">
        <f t="array" aca="1" ref="N111" ca="1">INDEX($A$5:$A$56,COLUMN(M19),1)</f>
        <v>#VALUE!</v>
      </c>
      <c r="O111" s="2" t="e" cm="1" vm="2">
        <f t="array" aca="1" ref="O111" ca="1">INDEX($A$5:$A$56,COLUMN(N19),1)</f>
        <v>#VALUE!</v>
      </c>
      <c r="P111" s="2" t="e" cm="1" vm="2">
        <f t="array" aca="1" ref="P111" ca="1">INDEX($A$5:$A$56,COLUMN(O19),1)</f>
        <v>#VALUE!</v>
      </c>
      <c r="Q111" s="2" t="e" cm="1" vm="2">
        <f t="array" aca="1" ref="Q111" ca="1">INDEX($A$5:$A$56,COLUMN(P19),1)</f>
        <v>#VALUE!</v>
      </c>
      <c r="R111" s="2" t="e" cm="1" vm="2">
        <f t="array" aca="1" ref="R111" ca="1">INDEX($A$5:$A$56,COLUMN(Q19),1)</f>
        <v>#VALUE!</v>
      </c>
      <c r="S111" s="2" t="e" cm="1" vm="2">
        <f t="array" aca="1" ref="S111" ca="1">INDEX($A$5:$A$56,COLUMN(R19),1)</f>
        <v>#VALUE!</v>
      </c>
      <c r="T111" s="2" t="e" cm="1" vm="2">
        <f t="array" aca="1" ref="T111" ca="1">INDEX($A$5:$A$56,COLUMN(S19),1)</f>
        <v>#VALUE!</v>
      </c>
      <c r="U111" s="2" t="e" cm="1" vm="2">
        <f t="array" aca="1" ref="U111" ca="1">INDEX($A$5:$A$56,COLUMN(T19),1)</f>
        <v>#VALUE!</v>
      </c>
      <c r="V111" s="2" t="e" cm="1" vm="2">
        <f t="array" aca="1" ref="V111" ca="1">INDEX($A$5:$A$56,COLUMN(U19),1)</f>
        <v>#VALUE!</v>
      </c>
      <c r="W111" s="2" t="e" cm="1" vm="2">
        <f t="array" aca="1" ref="W111" ca="1">INDEX($A$5:$A$56,COLUMN(V19),1)</f>
        <v>#VALUE!</v>
      </c>
      <c r="X111" s="2" t="e" cm="1" vm="2">
        <f t="array" aca="1" ref="X111" ca="1">INDEX($A$5:$A$56,COLUMN(W19),1)</f>
        <v>#VALUE!</v>
      </c>
      <c r="Y111" s="2" t="e" cm="1" vm="2">
        <f t="array" aca="1" ref="Y111" ca="1">INDEX($A$5:$A$56,COLUMN(X19),1)</f>
        <v>#VALUE!</v>
      </c>
      <c r="Z111" s="2" t="e" cm="1" vm="2">
        <f t="array" aca="1" ref="Z111" ca="1">INDEX($A$5:$A$56,COLUMN(Y19),1)</f>
        <v>#VALUE!</v>
      </c>
      <c r="AA111" s="2" t="e" cm="1" vm="2">
        <f t="array" aca="1" ref="AA111" ca="1">INDEX($A$5:$A$56,COLUMN(Z19),1)</f>
        <v>#VALUE!</v>
      </c>
      <c r="AB111" s="2" t="e" cm="1" vm="2">
        <f t="array" aca="1" ref="AB111" ca="1">INDEX($A$5:$A$56,COLUMN(AA19),1)</f>
        <v>#VALUE!</v>
      </c>
      <c r="AC111" s="2" t="e" cm="1" vm="2">
        <f t="array" aca="1" ref="AC111" ca="1">INDEX($A$5:$A$56,COLUMN(AB19),1)</f>
        <v>#VALUE!</v>
      </c>
      <c r="AD111" s="2" t="e" cm="1" vm="2">
        <f t="array" aca="1" ref="AD111" ca="1">INDEX($A$5:$A$56,COLUMN(AC19),1)</f>
        <v>#VALUE!</v>
      </c>
      <c r="AE111" s="2" t="e" cm="1" vm="2">
        <f t="array" aca="1" ref="AE111" ca="1">INDEX($A$5:$A$56,COLUMN(AD19),1)</f>
        <v>#VALUE!</v>
      </c>
      <c r="AF111" s="2" t="e" cm="1" vm="2">
        <f t="array" aca="1" ref="AF111" ca="1">INDEX($A$5:$A$56,COLUMN(AE19),1)</f>
        <v>#VALUE!</v>
      </c>
      <c r="AG111" s="2" t="e" cm="1" vm="2">
        <f t="array" aca="1" ref="AG111" ca="1">INDEX($A$5:$A$56,COLUMN(AF19),1)</f>
        <v>#VALUE!</v>
      </c>
      <c r="AH111" s="2" t="e" cm="1" vm="2">
        <f t="array" aca="1" ref="AH111" ca="1">INDEX($A$5:$A$56,COLUMN(AG19),1)</f>
        <v>#VALUE!</v>
      </c>
      <c r="AI111" s="2" t="e" cm="1" vm="2">
        <f t="array" aca="1" ref="AI111" ca="1">INDEX($A$5:$A$56,COLUMN(AH19),1)</f>
        <v>#VALUE!</v>
      </c>
      <c r="AJ111" s="2" t="e" cm="1" vm="2">
        <f t="array" aca="1" ref="AJ111" ca="1">INDEX($A$5:$A$56,COLUMN(AI19),1)</f>
        <v>#VALUE!</v>
      </c>
      <c r="AK111" s="2" t="e" cm="1" vm="2">
        <f t="array" aca="1" ref="AK111" ca="1">INDEX($A$5:$A$56,COLUMN(AJ19),1)</f>
        <v>#VALUE!</v>
      </c>
      <c r="AL111" s="2" t="e" cm="1" vm="2">
        <f t="array" aca="1" ref="AL111" ca="1">INDEX($A$5:$A$56,COLUMN(AK19),1)</f>
        <v>#VALUE!</v>
      </c>
      <c r="AM111" s="2" t="e" cm="1" vm="2">
        <f t="array" aca="1" ref="AM111" ca="1">INDEX($A$5:$A$56,COLUMN(AL19),1)</f>
        <v>#VALUE!</v>
      </c>
      <c r="AN111" s="2" t="e" cm="1" vm="2">
        <f t="array" aca="1" ref="AN111" ca="1">INDEX($A$5:$A$56,COLUMN(AM19),1)</f>
        <v>#VALUE!</v>
      </c>
      <c r="AO111" s="2" t="e" cm="1" vm="2">
        <f t="array" aca="1" ref="AO111" ca="1">INDEX($A$5:$A$56,COLUMN(AN19),1)</f>
        <v>#VALUE!</v>
      </c>
      <c r="AP111" s="2" t="e" cm="1" vm="2">
        <f t="array" aca="1" ref="AP111" ca="1">INDEX($A$5:$A$56,COLUMN(AO19),1)</f>
        <v>#VALUE!</v>
      </c>
      <c r="AQ111" s="2" t="e" cm="1" vm="2">
        <f t="array" aca="1" ref="AQ111" ca="1">INDEX($A$5:$A$56,COLUMN(AP19),1)</f>
        <v>#VALUE!</v>
      </c>
      <c r="AR111" s="2" t="e" cm="1" vm="2">
        <f t="array" aca="1" ref="AR111" ca="1">INDEX($A$5:$A$56,COLUMN(AQ19),1)</f>
        <v>#VALUE!</v>
      </c>
      <c r="AS111" s="2" t="e" cm="1" vm="2">
        <f t="array" aca="1" ref="AS111" ca="1">INDEX($A$5:$A$56,COLUMN(AR19),1)</f>
        <v>#VALUE!</v>
      </c>
      <c r="AT111" s="2" t="e" cm="1" vm="2">
        <f t="array" aca="1" ref="AT111" ca="1">INDEX($A$5:$A$56,COLUMN(AS19),1)</f>
        <v>#VALUE!</v>
      </c>
      <c r="AU111" s="2" t="e" cm="1" vm="2">
        <f t="array" aca="1" ref="AU111" ca="1">INDEX($A$5:$A$56,COLUMN(AT19),1)</f>
        <v>#VALUE!</v>
      </c>
      <c r="AV111" s="2" t="e" cm="1" vm="2">
        <f t="array" aca="1" ref="AV111" ca="1">INDEX($A$5:$A$56,COLUMN(AU19),1)</f>
        <v>#VALUE!</v>
      </c>
      <c r="AW111" s="2" t="e" cm="1" vm="2">
        <f t="array" aca="1" ref="AW111" ca="1">INDEX($A$5:$A$56,COLUMN(AV19),1)</f>
        <v>#VALUE!</v>
      </c>
      <c r="AX111" s="2" t="e" cm="1" vm="2">
        <f t="array" aca="1" ref="AX111" ca="1">INDEX($A$5:$A$56,COLUMN(AW19),1)</f>
        <v>#VALUE!</v>
      </c>
      <c r="AY111" s="2" t="e" cm="1" vm="2">
        <f t="array" aca="1" ref="AY111" ca="1">INDEX($A$5:$A$56,COLUMN(AX19),1)</f>
        <v>#VALUE!</v>
      </c>
      <c r="AZ111" s="2" t="e" cm="1" vm="2">
        <f t="array" aca="1" ref="AZ111" ca="1">INDEX($A$5:$A$56,COLUMN(AY19),1)</f>
        <v>#VALUE!</v>
      </c>
      <c r="BA111" s="2" t="e" cm="1" vm="2">
        <f t="array" aca="1" ref="BA111" ca="1">INDEX($A$5:$A$56,COLUMN(AZ19),1)</f>
        <v>#VALUE!</v>
      </c>
      <c r="BC111" t="s">
        <v>140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si="12">SUM(B76,B94)</f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0</v>
      </c>
      <c r="J112">
        <f t="shared" si="12"/>
        <v>0</v>
      </c>
      <c r="K112">
        <f t="shared" si="12"/>
        <v>0</v>
      </c>
      <c r="L112">
        <f t="shared" si="12"/>
        <v>0</v>
      </c>
      <c r="M112">
        <f t="shared" si="12"/>
        <v>0</v>
      </c>
      <c r="N112">
        <f t="shared" si="12"/>
        <v>0</v>
      </c>
      <c r="O112">
        <f t="shared" si="12"/>
        <v>0</v>
      </c>
      <c r="P112">
        <f t="shared" si="12"/>
        <v>0</v>
      </c>
      <c r="Q112">
        <f t="shared" si="12"/>
        <v>0</v>
      </c>
      <c r="R112">
        <f t="shared" si="12"/>
        <v>0</v>
      </c>
      <c r="S112">
        <f t="shared" si="12"/>
        <v>0</v>
      </c>
      <c r="T112">
        <f t="shared" si="12"/>
        <v>0</v>
      </c>
      <c r="U112">
        <f t="shared" si="12"/>
        <v>0</v>
      </c>
      <c r="V112">
        <f t="shared" si="12"/>
        <v>0</v>
      </c>
      <c r="W112">
        <f t="shared" si="12"/>
        <v>0</v>
      </c>
      <c r="X112">
        <f t="shared" si="12"/>
        <v>0</v>
      </c>
      <c r="Y112">
        <f t="shared" si="12"/>
        <v>0</v>
      </c>
      <c r="Z112">
        <f t="shared" si="12"/>
        <v>0</v>
      </c>
      <c r="AA112">
        <f t="shared" si="12"/>
        <v>0</v>
      </c>
      <c r="AB112">
        <f t="shared" si="12"/>
        <v>0</v>
      </c>
      <c r="AC112">
        <f t="shared" si="12"/>
        <v>0</v>
      </c>
      <c r="AD112">
        <f t="shared" si="12"/>
        <v>0</v>
      </c>
      <c r="AE112">
        <f t="shared" si="12"/>
        <v>0</v>
      </c>
      <c r="AF112">
        <f t="shared" si="12"/>
        <v>0</v>
      </c>
      <c r="AG112">
        <f t="shared" si="12"/>
        <v>0</v>
      </c>
      <c r="AH112">
        <f t="shared" ref="AH112:BA112" si="13">SUM(AH76,AH94)</f>
        <v>0</v>
      </c>
      <c r="AI112">
        <f t="shared" si="13"/>
        <v>0</v>
      </c>
      <c r="AJ112">
        <f t="shared" si="13"/>
        <v>0</v>
      </c>
      <c r="AK112">
        <f t="shared" si="13"/>
        <v>0</v>
      </c>
      <c r="AL112">
        <f t="shared" si="13"/>
        <v>0</v>
      </c>
      <c r="AM112">
        <f t="shared" si="13"/>
        <v>0</v>
      </c>
      <c r="AN112">
        <f t="shared" si="13"/>
        <v>0</v>
      </c>
      <c r="AO112">
        <f t="shared" si="13"/>
        <v>0</v>
      </c>
      <c r="AP112">
        <f t="shared" si="13"/>
        <v>0</v>
      </c>
      <c r="AQ112">
        <f t="shared" si="13"/>
        <v>0</v>
      </c>
      <c r="AR112">
        <f t="shared" si="13"/>
        <v>0</v>
      </c>
      <c r="AS112">
        <f t="shared" si="13"/>
        <v>0</v>
      </c>
      <c r="AT112">
        <f t="shared" si="13"/>
        <v>0</v>
      </c>
      <c r="AU112">
        <f t="shared" si="13"/>
        <v>0</v>
      </c>
      <c r="AV112">
        <f t="shared" si="13"/>
        <v>0</v>
      </c>
      <c r="AW112">
        <f t="shared" si="13"/>
        <v>0</v>
      </c>
      <c r="AX112">
        <f t="shared" si="13"/>
        <v>0</v>
      </c>
      <c r="AY112">
        <f t="shared" si="13"/>
        <v>0</v>
      </c>
      <c r="AZ112">
        <f t="shared" si="13"/>
        <v>0</v>
      </c>
      <c r="BA112">
        <f t="shared" si="13"/>
        <v>0</v>
      </c>
      <c r="BC112">
        <f>AVERAGE(B112:BA112)</f>
        <v>0</v>
      </c>
    </row>
    <row r="113" spans="1:55" x14ac:dyDescent="0.35">
      <c r="A113" s="2" t="str" cm="1">
        <f t="array" ref="A113">INDEX('Data Validation (Hide)'!$B$2:$B$16,ROW(A2),1)</f>
        <v>Caseload 2</v>
      </c>
      <c r="B113">
        <f t="shared" ref="B113:AG113" si="14">SUM(B77,B95)</f>
        <v>0</v>
      </c>
      <c r="C113">
        <f t="shared" si="14"/>
        <v>0</v>
      </c>
      <c r="D113">
        <f t="shared" si="14"/>
        <v>0</v>
      </c>
      <c r="E113">
        <f t="shared" si="14"/>
        <v>0</v>
      </c>
      <c r="F113">
        <f t="shared" si="14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Q113">
        <f t="shared" si="14"/>
        <v>0</v>
      </c>
      <c r="R113">
        <f t="shared" si="14"/>
        <v>0</v>
      </c>
      <c r="S113">
        <f t="shared" si="14"/>
        <v>0</v>
      </c>
      <c r="T113">
        <f t="shared" si="14"/>
        <v>0</v>
      </c>
      <c r="U113">
        <f t="shared" si="14"/>
        <v>0</v>
      </c>
      <c r="V113">
        <f t="shared" si="14"/>
        <v>0</v>
      </c>
      <c r="W113">
        <f t="shared" si="14"/>
        <v>0</v>
      </c>
      <c r="X113">
        <f t="shared" si="14"/>
        <v>0</v>
      </c>
      <c r="Y113">
        <f t="shared" si="14"/>
        <v>0</v>
      </c>
      <c r="Z113">
        <f t="shared" si="14"/>
        <v>0</v>
      </c>
      <c r="AA113">
        <f t="shared" si="14"/>
        <v>0</v>
      </c>
      <c r="AB113">
        <f t="shared" si="14"/>
        <v>0</v>
      </c>
      <c r="AC113">
        <f t="shared" si="14"/>
        <v>0</v>
      </c>
      <c r="AD113">
        <f t="shared" si="14"/>
        <v>0</v>
      </c>
      <c r="AE113">
        <f t="shared" si="14"/>
        <v>0</v>
      </c>
      <c r="AF113">
        <f t="shared" si="14"/>
        <v>0</v>
      </c>
      <c r="AG113">
        <f t="shared" si="14"/>
        <v>0</v>
      </c>
      <c r="AH113">
        <f t="shared" ref="AH113:BA113" si="15">SUM(AH77,AH95)</f>
        <v>0</v>
      </c>
      <c r="AI113">
        <f t="shared" si="15"/>
        <v>0</v>
      </c>
      <c r="AJ113">
        <f t="shared" si="15"/>
        <v>0</v>
      </c>
      <c r="AK113">
        <f t="shared" si="15"/>
        <v>0</v>
      </c>
      <c r="AL113">
        <f t="shared" si="15"/>
        <v>0</v>
      </c>
      <c r="AM113">
        <f t="shared" si="15"/>
        <v>0</v>
      </c>
      <c r="AN113">
        <f t="shared" si="15"/>
        <v>0</v>
      </c>
      <c r="AO113">
        <f t="shared" si="15"/>
        <v>0</v>
      </c>
      <c r="AP113">
        <f t="shared" si="15"/>
        <v>0</v>
      </c>
      <c r="AQ113">
        <f t="shared" si="15"/>
        <v>0</v>
      </c>
      <c r="AR113">
        <f t="shared" si="15"/>
        <v>0</v>
      </c>
      <c r="AS113">
        <f t="shared" si="15"/>
        <v>0</v>
      </c>
      <c r="AT113">
        <f t="shared" si="15"/>
        <v>0</v>
      </c>
      <c r="AU113">
        <f t="shared" si="15"/>
        <v>0</v>
      </c>
      <c r="AV113">
        <f t="shared" si="15"/>
        <v>0</v>
      </c>
      <c r="AW113">
        <f t="shared" si="15"/>
        <v>0</v>
      </c>
      <c r="AX113">
        <f t="shared" si="15"/>
        <v>0</v>
      </c>
      <c r="AY113">
        <f t="shared" si="15"/>
        <v>0</v>
      </c>
      <c r="AZ113">
        <f t="shared" si="15"/>
        <v>0</v>
      </c>
      <c r="BA113">
        <f t="shared" si="15"/>
        <v>0</v>
      </c>
      <c r="BC113">
        <f t="shared" ref="BC113:BC126" si="16">AVERAGE(B113:BA113)</f>
        <v>0</v>
      </c>
    </row>
    <row r="114" spans="1:55" x14ac:dyDescent="0.35">
      <c r="A114" s="2" t="str" cm="1">
        <f t="array" ref="A114">INDEX('Data Validation (Hide)'!$B$2:$B$16,ROW(A3),1)</f>
        <v>Caseload 3</v>
      </c>
      <c r="B114">
        <f t="shared" ref="B114:AG114" si="17">SUM(B78,B96)</f>
        <v>0</v>
      </c>
      <c r="C114">
        <f t="shared" si="17"/>
        <v>0</v>
      </c>
      <c r="D114">
        <f t="shared" si="17"/>
        <v>0</v>
      </c>
      <c r="E114">
        <f t="shared" si="17"/>
        <v>0</v>
      </c>
      <c r="F114">
        <f t="shared" si="17"/>
        <v>0</v>
      </c>
      <c r="G114">
        <f t="shared" si="17"/>
        <v>0</v>
      </c>
      <c r="H114">
        <f t="shared" si="17"/>
        <v>0</v>
      </c>
      <c r="I114">
        <f t="shared" si="17"/>
        <v>0</v>
      </c>
      <c r="J114">
        <f t="shared" si="17"/>
        <v>0</v>
      </c>
      <c r="K114">
        <f t="shared" si="17"/>
        <v>0</v>
      </c>
      <c r="L114">
        <f t="shared" si="17"/>
        <v>0</v>
      </c>
      <c r="M114">
        <f t="shared" si="17"/>
        <v>0</v>
      </c>
      <c r="N114">
        <f t="shared" si="17"/>
        <v>0</v>
      </c>
      <c r="O114">
        <f t="shared" si="17"/>
        <v>0</v>
      </c>
      <c r="P114">
        <f t="shared" si="17"/>
        <v>0</v>
      </c>
      <c r="Q114">
        <f t="shared" si="17"/>
        <v>0</v>
      </c>
      <c r="R114">
        <f t="shared" si="17"/>
        <v>0</v>
      </c>
      <c r="S114">
        <f t="shared" si="17"/>
        <v>0</v>
      </c>
      <c r="T114">
        <f t="shared" si="17"/>
        <v>0</v>
      </c>
      <c r="U114">
        <f t="shared" si="17"/>
        <v>0</v>
      </c>
      <c r="V114">
        <f t="shared" si="17"/>
        <v>0</v>
      </c>
      <c r="W114">
        <f t="shared" si="17"/>
        <v>0</v>
      </c>
      <c r="X114">
        <f t="shared" si="17"/>
        <v>0</v>
      </c>
      <c r="Y114">
        <f t="shared" si="17"/>
        <v>0</v>
      </c>
      <c r="Z114">
        <f t="shared" si="17"/>
        <v>0</v>
      </c>
      <c r="AA114">
        <f t="shared" si="17"/>
        <v>0</v>
      </c>
      <c r="AB114">
        <f t="shared" si="17"/>
        <v>0</v>
      </c>
      <c r="AC114">
        <f t="shared" si="17"/>
        <v>0</v>
      </c>
      <c r="AD114">
        <f t="shared" si="17"/>
        <v>0</v>
      </c>
      <c r="AE114">
        <f t="shared" si="17"/>
        <v>0</v>
      </c>
      <c r="AF114">
        <f t="shared" si="17"/>
        <v>0</v>
      </c>
      <c r="AG114">
        <f t="shared" si="17"/>
        <v>0</v>
      </c>
      <c r="AH114">
        <f t="shared" ref="AH114:BA114" si="18">SUM(AH78,AH96)</f>
        <v>0</v>
      </c>
      <c r="AI114">
        <f t="shared" si="18"/>
        <v>0</v>
      </c>
      <c r="AJ114">
        <f t="shared" si="18"/>
        <v>0</v>
      </c>
      <c r="AK114">
        <f t="shared" si="18"/>
        <v>0</v>
      </c>
      <c r="AL114">
        <f t="shared" si="18"/>
        <v>0</v>
      </c>
      <c r="AM114">
        <f t="shared" si="18"/>
        <v>0</v>
      </c>
      <c r="AN114">
        <f t="shared" si="18"/>
        <v>0</v>
      </c>
      <c r="AO114">
        <f t="shared" si="18"/>
        <v>0</v>
      </c>
      <c r="AP114">
        <f t="shared" si="18"/>
        <v>0</v>
      </c>
      <c r="AQ114">
        <f t="shared" si="18"/>
        <v>0</v>
      </c>
      <c r="AR114">
        <f t="shared" si="18"/>
        <v>0</v>
      </c>
      <c r="AS114">
        <f t="shared" si="18"/>
        <v>0</v>
      </c>
      <c r="AT114">
        <f t="shared" si="18"/>
        <v>0</v>
      </c>
      <c r="AU114">
        <f t="shared" si="18"/>
        <v>0</v>
      </c>
      <c r="AV114">
        <f t="shared" si="18"/>
        <v>0</v>
      </c>
      <c r="AW114">
        <f t="shared" si="18"/>
        <v>0</v>
      </c>
      <c r="AX114">
        <f t="shared" si="18"/>
        <v>0</v>
      </c>
      <c r="AY114">
        <f t="shared" si="18"/>
        <v>0</v>
      </c>
      <c r="AZ114">
        <f t="shared" si="18"/>
        <v>0</v>
      </c>
      <c r="BA114">
        <f t="shared" si="18"/>
        <v>0</v>
      </c>
      <c r="BC114">
        <f t="shared" si="16"/>
        <v>0</v>
      </c>
    </row>
    <row r="115" spans="1:55" x14ac:dyDescent="0.35">
      <c r="A115" s="2" t="str" cm="1">
        <f t="array" ref="A115">INDEX('Data Validation (Hide)'!$B$2:$B$16,ROW(A4),1)</f>
        <v>Caseload 4</v>
      </c>
      <c r="B115">
        <f t="shared" ref="B115:AG115" si="19">SUM(B79,B97)</f>
        <v>0</v>
      </c>
      <c r="C115">
        <f t="shared" si="19"/>
        <v>0</v>
      </c>
      <c r="D115">
        <f t="shared" si="19"/>
        <v>0</v>
      </c>
      <c r="E115">
        <f t="shared" si="19"/>
        <v>0</v>
      </c>
      <c r="F115">
        <f t="shared" si="19"/>
        <v>0</v>
      </c>
      <c r="G115">
        <f t="shared" si="19"/>
        <v>0</v>
      </c>
      <c r="H115">
        <f t="shared" si="19"/>
        <v>0</v>
      </c>
      <c r="I115">
        <f t="shared" si="19"/>
        <v>0</v>
      </c>
      <c r="J115">
        <f t="shared" si="19"/>
        <v>0</v>
      </c>
      <c r="K115">
        <f t="shared" si="19"/>
        <v>0</v>
      </c>
      <c r="L115">
        <f t="shared" si="19"/>
        <v>0</v>
      </c>
      <c r="M115">
        <f t="shared" si="19"/>
        <v>0</v>
      </c>
      <c r="N115">
        <f t="shared" si="19"/>
        <v>0</v>
      </c>
      <c r="O115">
        <f t="shared" si="19"/>
        <v>0</v>
      </c>
      <c r="P115">
        <f t="shared" si="19"/>
        <v>0</v>
      </c>
      <c r="Q115">
        <f t="shared" si="19"/>
        <v>0</v>
      </c>
      <c r="R115">
        <f t="shared" si="19"/>
        <v>0</v>
      </c>
      <c r="S115">
        <f t="shared" si="19"/>
        <v>0</v>
      </c>
      <c r="T115">
        <f t="shared" si="19"/>
        <v>0</v>
      </c>
      <c r="U115">
        <f t="shared" si="19"/>
        <v>0</v>
      </c>
      <c r="V115">
        <f t="shared" si="19"/>
        <v>0</v>
      </c>
      <c r="W115">
        <f t="shared" si="19"/>
        <v>0</v>
      </c>
      <c r="X115">
        <f t="shared" si="19"/>
        <v>0</v>
      </c>
      <c r="Y115">
        <f t="shared" si="19"/>
        <v>0</v>
      </c>
      <c r="Z115">
        <f t="shared" si="19"/>
        <v>0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ref="AH115:BA115" si="20">SUM(AH79,AH97)</f>
        <v>0</v>
      </c>
      <c r="AI115">
        <f t="shared" si="20"/>
        <v>0</v>
      </c>
      <c r="AJ115">
        <f t="shared" si="20"/>
        <v>0</v>
      </c>
      <c r="AK115">
        <f t="shared" si="20"/>
        <v>0</v>
      </c>
      <c r="AL115">
        <f t="shared" si="20"/>
        <v>0</v>
      </c>
      <c r="AM115">
        <f t="shared" si="20"/>
        <v>0</v>
      </c>
      <c r="AN115">
        <f t="shared" si="20"/>
        <v>0</v>
      </c>
      <c r="AO115">
        <f t="shared" si="20"/>
        <v>0</v>
      </c>
      <c r="AP115">
        <f t="shared" si="20"/>
        <v>0</v>
      </c>
      <c r="AQ115">
        <f t="shared" si="20"/>
        <v>0</v>
      </c>
      <c r="AR115">
        <f t="shared" si="20"/>
        <v>0</v>
      </c>
      <c r="AS115">
        <f t="shared" si="20"/>
        <v>0</v>
      </c>
      <c r="AT115">
        <f t="shared" si="20"/>
        <v>0</v>
      </c>
      <c r="AU115">
        <f t="shared" si="20"/>
        <v>0</v>
      </c>
      <c r="AV115">
        <f t="shared" si="20"/>
        <v>0</v>
      </c>
      <c r="AW115">
        <f t="shared" si="20"/>
        <v>0</v>
      </c>
      <c r="AX115">
        <f t="shared" si="20"/>
        <v>0</v>
      </c>
      <c r="AY115">
        <f t="shared" si="20"/>
        <v>0</v>
      </c>
      <c r="AZ115">
        <f t="shared" si="20"/>
        <v>0</v>
      </c>
      <c r="BA115">
        <f t="shared" si="20"/>
        <v>0</v>
      </c>
      <c r="BC115">
        <f t="shared" si="16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si="21">SUM(B80,B98)</f>
        <v>0</v>
      </c>
      <c r="C116">
        <f t="shared" si="21"/>
        <v>0</v>
      </c>
      <c r="D116">
        <f t="shared" si="21"/>
        <v>0</v>
      </c>
      <c r="E116">
        <f t="shared" si="21"/>
        <v>0</v>
      </c>
      <c r="F116">
        <f t="shared" si="21"/>
        <v>0</v>
      </c>
      <c r="G116">
        <f t="shared" si="21"/>
        <v>0</v>
      </c>
      <c r="H116">
        <f t="shared" si="21"/>
        <v>0</v>
      </c>
      <c r="I116">
        <f t="shared" si="21"/>
        <v>0</v>
      </c>
      <c r="J116">
        <f t="shared" si="21"/>
        <v>0</v>
      </c>
      <c r="K116">
        <f t="shared" si="21"/>
        <v>0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1"/>
        <v>0</v>
      </c>
      <c r="Q116">
        <f t="shared" si="21"/>
        <v>0</v>
      </c>
      <c r="R116">
        <f t="shared" si="21"/>
        <v>0</v>
      </c>
      <c r="S116">
        <f t="shared" si="21"/>
        <v>0</v>
      </c>
      <c r="T116">
        <f t="shared" si="21"/>
        <v>0</v>
      </c>
      <c r="U116">
        <f t="shared" si="21"/>
        <v>0</v>
      </c>
      <c r="V116">
        <f t="shared" si="21"/>
        <v>0</v>
      </c>
      <c r="W116">
        <f t="shared" si="21"/>
        <v>0</v>
      </c>
      <c r="X116">
        <f t="shared" si="21"/>
        <v>0</v>
      </c>
      <c r="Y116">
        <f t="shared" si="21"/>
        <v>0</v>
      </c>
      <c r="Z116">
        <f t="shared" si="21"/>
        <v>0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ref="AH116:BA116" si="22">SUM(AH80,AH98)</f>
        <v>0</v>
      </c>
      <c r="AI116">
        <f t="shared" si="22"/>
        <v>0</v>
      </c>
      <c r="AJ116">
        <f t="shared" si="22"/>
        <v>0</v>
      </c>
      <c r="AK116">
        <f t="shared" si="22"/>
        <v>0</v>
      </c>
      <c r="AL116">
        <f t="shared" si="22"/>
        <v>0</v>
      </c>
      <c r="AM116">
        <f t="shared" si="22"/>
        <v>0</v>
      </c>
      <c r="AN116">
        <f t="shared" si="22"/>
        <v>0</v>
      </c>
      <c r="AO116">
        <f t="shared" si="22"/>
        <v>0</v>
      </c>
      <c r="AP116">
        <f t="shared" si="22"/>
        <v>0</v>
      </c>
      <c r="AQ116">
        <f t="shared" si="22"/>
        <v>0</v>
      </c>
      <c r="AR116">
        <f t="shared" si="22"/>
        <v>0</v>
      </c>
      <c r="AS116">
        <f t="shared" si="22"/>
        <v>0</v>
      </c>
      <c r="AT116">
        <f t="shared" si="22"/>
        <v>0</v>
      </c>
      <c r="AU116">
        <f t="shared" si="22"/>
        <v>0</v>
      </c>
      <c r="AV116">
        <f t="shared" si="22"/>
        <v>0</v>
      </c>
      <c r="AW116">
        <f t="shared" si="22"/>
        <v>0</v>
      </c>
      <c r="AX116">
        <f t="shared" si="22"/>
        <v>0</v>
      </c>
      <c r="AY116">
        <f t="shared" si="22"/>
        <v>0</v>
      </c>
      <c r="AZ116">
        <f t="shared" si="22"/>
        <v>0</v>
      </c>
      <c r="BA116">
        <f t="shared" si="22"/>
        <v>0</v>
      </c>
      <c r="BC116">
        <f t="shared" si="16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154</v>
      </c>
      <c r="B127">
        <f>SUM(B112:B126)</f>
        <v>0</v>
      </c>
      <c r="C127">
        <f t="shared" ref="C127:BA127" si="43">SUM(C112:C126)</f>
        <v>0</v>
      </c>
      <c r="D127">
        <f t="shared" si="43"/>
        <v>0</v>
      </c>
      <c r="E127">
        <f t="shared" si="43"/>
        <v>0</v>
      </c>
      <c r="F127">
        <f t="shared" si="43"/>
        <v>0</v>
      </c>
      <c r="G127">
        <f t="shared" si="43"/>
        <v>0</v>
      </c>
      <c r="H127">
        <f t="shared" si="43"/>
        <v>0</v>
      </c>
      <c r="I127">
        <f t="shared" si="43"/>
        <v>0</v>
      </c>
      <c r="J127">
        <f t="shared" si="43"/>
        <v>0</v>
      </c>
      <c r="K127">
        <f t="shared" si="43"/>
        <v>0</v>
      </c>
      <c r="L127">
        <f t="shared" si="43"/>
        <v>0</v>
      </c>
      <c r="M127">
        <f t="shared" si="43"/>
        <v>0</v>
      </c>
      <c r="N127">
        <f t="shared" si="43"/>
        <v>0</v>
      </c>
      <c r="O127">
        <f t="shared" si="43"/>
        <v>0</v>
      </c>
      <c r="P127">
        <f t="shared" si="43"/>
        <v>0</v>
      </c>
      <c r="Q127">
        <f t="shared" si="43"/>
        <v>0</v>
      </c>
      <c r="R127">
        <f t="shared" si="43"/>
        <v>0</v>
      </c>
      <c r="S127">
        <f t="shared" si="43"/>
        <v>0</v>
      </c>
      <c r="T127">
        <f t="shared" si="43"/>
        <v>0</v>
      </c>
      <c r="U127">
        <f t="shared" si="43"/>
        <v>0</v>
      </c>
      <c r="V127">
        <f t="shared" si="43"/>
        <v>0</v>
      </c>
      <c r="W127">
        <f t="shared" si="43"/>
        <v>0</v>
      </c>
      <c r="X127">
        <f t="shared" si="43"/>
        <v>0</v>
      </c>
      <c r="Y127">
        <f t="shared" si="43"/>
        <v>0</v>
      </c>
      <c r="Z127">
        <f t="shared" si="43"/>
        <v>0</v>
      </c>
      <c r="AA127">
        <f t="shared" si="43"/>
        <v>0</v>
      </c>
      <c r="AB127">
        <f t="shared" si="43"/>
        <v>0</v>
      </c>
      <c r="AC127">
        <f t="shared" si="43"/>
        <v>0</v>
      </c>
      <c r="AD127">
        <f t="shared" si="43"/>
        <v>0</v>
      </c>
      <c r="AE127">
        <f t="shared" si="43"/>
        <v>0</v>
      </c>
      <c r="AF127">
        <f t="shared" si="43"/>
        <v>0</v>
      </c>
      <c r="AG127">
        <f t="shared" si="43"/>
        <v>0</v>
      </c>
      <c r="AH127">
        <f t="shared" si="43"/>
        <v>0</v>
      </c>
      <c r="AI127">
        <f t="shared" si="43"/>
        <v>0</v>
      </c>
      <c r="AJ127">
        <f t="shared" si="43"/>
        <v>0</v>
      </c>
      <c r="AK127">
        <f t="shared" si="43"/>
        <v>0</v>
      </c>
      <c r="AL127">
        <f t="shared" si="43"/>
        <v>0</v>
      </c>
      <c r="AM127">
        <f t="shared" si="43"/>
        <v>0</v>
      </c>
      <c r="AN127">
        <f t="shared" si="43"/>
        <v>0</v>
      </c>
      <c r="AO127">
        <f t="shared" si="43"/>
        <v>0</v>
      </c>
      <c r="AP127">
        <f t="shared" si="43"/>
        <v>0</v>
      </c>
      <c r="AQ127">
        <f t="shared" si="43"/>
        <v>0</v>
      </c>
      <c r="AR127">
        <f t="shared" si="43"/>
        <v>0</v>
      </c>
      <c r="AS127">
        <f t="shared" si="43"/>
        <v>0</v>
      </c>
      <c r="AT127">
        <f t="shared" si="43"/>
        <v>0</v>
      </c>
      <c r="AU127">
        <f t="shared" si="43"/>
        <v>0</v>
      </c>
      <c r="AV127">
        <f t="shared" si="43"/>
        <v>0</v>
      </c>
      <c r="AW127">
        <f t="shared" si="43"/>
        <v>0</v>
      </c>
      <c r="AX127">
        <f t="shared" si="43"/>
        <v>0</v>
      </c>
      <c r="AY127">
        <f t="shared" si="43"/>
        <v>0</v>
      </c>
      <c r="AZ127">
        <f t="shared" si="43"/>
        <v>0</v>
      </c>
      <c r="BA127">
        <f t="shared" si="43"/>
        <v>0</v>
      </c>
    </row>
    <row r="128" spans="1:55" x14ac:dyDescent="0.35">
      <c r="A128" s="2"/>
    </row>
    <row r="131" spans="1:101" x14ac:dyDescent="0.35">
      <c r="A131" t="s">
        <v>134</v>
      </c>
    </row>
    <row r="132" spans="1:101" x14ac:dyDescent="0.35">
      <c r="A132" t="s">
        <v>79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78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18</v>
      </c>
    </row>
    <row r="135" spans="1:101" x14ac:dyDescent="0.35">
      <c r="A135" s="2" t="e" vm="2">
        <f ca="1">'Required Capacity (Hide)'!E5</f>
        <v>#VALUE!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 t="e" vm="2">
        <f ca="1">'Required Capacity (Hide)'!E6</f>
        <v>#VALUE!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 t="e" vm="2">
        <f ca="1">'Required Capacity (Hide)'!E7</f>
        <v>#VALUE!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 t="e" vm="2">
        <f ca="1">'Required Capacity (Hide)'!E8</f>
        <v>#VALUE!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 t="e" vm="2">
        <f ca="1">'Required Capacity (Hide)'!E9</f>
        <v>#VALUE!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 t="e" vm="2">
        <f ca="1">'Required Capacity (Hide)'!E10</f>
        <v>#VALUE!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 t="e" vm="2">
        <f ca="1">'Required Capacity (Hide)'!E11</f>
        <v>#VALUE!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 t="e" vm="2">
        <f ca="1">'Required Capacity (Hide)'!E12</f>
        <v>#VALUE!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 t="e" vm="2">
        <f ca="1">'Required Capacity (Hide)'!E13</f>
        <v>#VALUE!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 t="e" vm="2">
        <f ca="1">'Required Capacity (Hide)'!E14</f>
        <v>#VALUE!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 t="e" vm="2">
        <f ca="1">'Required Capacity (Hide)'!E15</f>
        <v>#VALUE!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 t="e" vm="2">
        <f ca="1">'Required Capacity (Hide)'!E16</f>
        <v>#VALUE!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 t="e" vm="2">
        <f ca="1">'Required Capacity (Hide)'!E17</f>
        <v>#VALUE!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 t="e" vm="2">
        <f ca="1">'Required Capacity (Hide)'!E18</f>
        <v>#VALUE!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 t="e" vm="2">
        <f ca="1">'Required Capacity (Hide)'!E19</f>
        <v>#VALUE!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 t="e" vm="2">
        <f ca="1">'Required Capacity (Hide)'!E20</f>
        <v>#VALUE!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 t="e" vm="2">
        <f ca="1">'Required Capacity (Hide)'!E21</f>
        <v>#VALUE!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 t="e" vm="2">
        <f ca="1">'Required Capacity (Hide)'!E22</f>
        <v>#VALUE!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 t="e" vm="2">
        <f ca="1">'Required Capacity (Hide)'!E23</f>
        <v>#VALUE!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 t="e" vm="2">
        <f ca="1">'Required Capacity (Hide)'!E24</f>
        <v>#VALUE!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 t="e" vm="2">
        <f ca="1">'Required Capacity (Hide)'!E25</f>
        <v>#VALUE!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 t="e" vm="2">
        <f ca="1">'Required Capacity (Hide)'!E26</f>
        <v>#VALUE!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 t="e" vm="2">
        <f ca="1">'Required Capacity (Hide)'!E27</f>
        <v>#VALUE!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 t="e" vm="2">
        <f ca="1">'Required Capacity (Hide)'!E28</f>
        <v>#VALUE!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 t="e" vm="2">
        <f ca="1">'Required Capacity (Hide)'!E29</f>
        <v>#VALUE!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 t="e" vm="2">
        <f ca="1">'Required Capacity (Hide)'!E30</f>
        <v>#VALUE!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 t="e" vm="2">
        <f ca="1">'Required Capacity (Hide)'!E31</f>
        <v>#VALUE!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 t="e" vm="2">
        <f ca="1">'Required Capacity (Hide)'!E32</f>
        <v>#VALUE!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 t="e" vm="2">
        <f ca="1">'Required Capacity (Hide)'!E33</f>
        <v>#VALUE!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 t="e" vm="2">
        <f ca="1">'Required Capacity (Hide)'!E34</f>
        <v>#VALUE!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 t="e" vm="2">
        <f ca="1">'Required Capacity (Hide)'!E35</f>
        <v>#VALUE!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 t="e" vm="2">
        <f ca="1">'Required Capacity (Hide)'!E36</f>
        <v>#VALUE!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 t="e" vm="2">
        <f ca="1">'Required Capacity (Hide)'!E37</f>
        <v>#VALUE!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 t="e" vm="2">
        <f ca="1">'Required Capacity (Hide)'!E38</f>
        <v>#VALUE!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 t="e" vm="2">
        <f ca="1">'Required Capacity (Hide)'!E39</f>
        <v>#VALUE!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 t="e" vm="2">
        <f ca="1">'Required Capacity (Hide)'!E40</f>
        <v>#VALUE!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 t="e" vm="2">
        <f ca="1">'Required Capacity (Hide)'!E41</f>
        <v>#VALUE!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 t="e" vm="2">
        <f ca="1">'Required Capacity (Hide)'!E42</f>
        <v>#VALUE!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 t="e" vm="2">
        <f ca="1">'Required Capacity (Hide)'!E43</f>
        <v>#VALUE!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 t="e" vm="2">
        <f ca="1">'Required Capacity (Hide)'!E44</f>
        <v>#VALUE!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 t="e" vm="2">
        <f ca="1">'Required Capacity (Hide)'!E45</f>
        <v>#VALUE!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 t="e" vm="2">
        <f ca="1">'Required Capacity (Hide)'!E46</f>
        <v>#VALUE!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 t="e" vm="2">
        <f ca="1">'Required Capacity (Hide)'!E47</f>
        <v>#VALUE!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 t="e" vm="2">
        <f ca="1">'Required Capacity (Hide)'!E48</f>
        <v>#VALUE!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 t="e" vm="2">
        <f ca="1">'Required Capacity (Hide)'!E49</f>
        <v>#VALUE!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 t="e" vm="2">
        <f ca="1">'Required Capacity (Hide)'!E50</f>
        <v>#VALUE!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 t="e" vm="2">
        <f ca="1">'Required Capacity (Hide)'!E51</f>
        <v>#VALUE!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 t="e" vm="2">
        <f ca="1">'Required Capacity (Hide)'!E52</f>
        <v>#VALUE!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 t="e" vm="2">
        <f ca="1">'Required Capacity (Hide)'!E53</f>
        <v>#VALUE!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 t="e" vm="2">
        <f ca="1">'Required Capacity (Hide)'!E54</f>
        <v>#VALUE!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 t="e" vm="2">
        <f ca="1">'Required Capacity (Hide)'!E55</f>
        <v>#VALUE!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 t="e" vm="2">
        <f ca="1">'Required Capacity (Hide)'!E56</f>
        <v>#VALUE!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80</v>
      </c>
    </row>
    <row r="189" spans="1:101" x14ac:dyDescent="0.35">
      <c r="A189" s="2" t="str" cm="1">
        <f t="array" ref="A189">INDEX('Data Validation (Hide)'!$B$2:$B$16,ROW(A1),1)</f>
        <v>Caseload 1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Caseload 2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Caseload 3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Caseload 4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59</v>
      </c>
      <c r="B205" s="2" t="e" cm="1" vm="2">
        <f t="array" aca="1" ref="B205" ca="1">INDEX($A$5:$A$56,COLUMN(A1),1)</f>
        <v>#VALUE!</v>
      </c>
      <c r="C205" s="2" t="e" cm="1" vm="2">
        <f t="array" aca="1" ref="C205" ca="1">INDEX($A$5:$A$56,COLUMN(B1),1)</f>
        <v>#VALUE!</v>
      </c>
      <c r="D205" s="2" t="e" cm="1" vm="2">
        <f t="array" aca="1" ref="D205" ca="1">INDEX($A$5:$A$56,COLUMN(C1),1)</f>
        <v>#VALUE!</v>
      </c>
      <c r="E205" s="2" t="e" cm="1" vm="2">
        <f t="array" aca="1" ref="E205" ca="1">INDEX($A$5:$A$56,COLUMN(D1),1)</f>
        <v>#VALUE!</v>
      </c>
      <c r="F205" s="2" t="e" cm="1" vm="2">
        <f t="array" aca="1" ref="F205" ca="1">INDEX($A$5:$A$56,COLUMN(E1),1)</f>
        <v>#VALUE!</v>
      </c>
      <c r="G205" s="2" t="e" cm="1" vm="2">
        <f t="array" aca="1" ref="G205" ca="1">INDEX($A$5:$A$56,COLUMN(F1),1)</f>
        <v>#VALUE!</v>
      </c>
      <c r="H205" s="2" t="e" cm="1" vm="2">
        <f t="array" aca="1" ref="H205" ca="1">INDEX($A$5:$A$56,COLUMN(G1),1)</f>
        <v>#VALUE!</v>
      </c>
      <c r="I205" s="2" t="e" cm="1" vm="2">
        <f t="array" aca="1" ref="I205" ca="1">INDEX($A$5:$A$56,COLUMN(H1),1)</f>
        <v>#VALUE!</v>
      </c>
      <c r="J205" s="2" t="e" cm="1" vm="2">
        <f t="array" aca="1" ref="J205" ca="1">INDEX($A$5:$A$56,COLUMN(I1),1)</f>
        <v>#VALUE!</v>
      </c>
      <c r="K205" s="2" t="e" cm="1" vm="2">
        <f t="array" aca="1" ref="K205" ca="1">INDEX($A$5:$A$56,COLUMN(J1),1)</f>
        <v>#VALUE!</v>
      </c>
      <c r="L205" s="2" t="e" cm="1" vm="2">
        <f t="array" aca="1" ref="L205" ca="1">INDEX($A$5:$A$56,COLUMN(K1),1)</f>
        <v>#VALUE!</v>
      </c>
      <c r="M205" s="2" t="e" cm="1" vm="2">
        <f t="array" aca="1" ref="M205" ca="1">INDEX($A$5:$A$56,COLUMN(L1),1)</f>
        <v>#VALUE!</v>
      </c>
      <c r="N205" s="2" t="e" cm="1" vm="2">
        <f t="array" aca="1" ref="N205" ca="1">INDEX($A$5:$A$56,COLUMN(M1),1)</f>
        <v>#VALUE!</v>
      </c>
      <c r="O205" s="2" t="e" cm="1" vm="2">
        <f t="array" aca="1" ref="O205" ca="1">INDEX($A$5:$A$56,COLUMN(N1),1)</f>
        <v>#VALUE!</v>
      </c>
      <c r="P205" s="2" t="e" cm="1" vm="2">
        <f t="array" aca="1" ref="P205" ca="1">INDEX($A$5:$A$56,COLUMN(O1),1)</f>
        <v>#VALUE!</v>
      </c>
      <c r="Q205" s="2" t="e" cm="1" vm="2">
        <f t="array" aca="1" ref="Q205" ca="1">INDEX($A$5:$A$56,COLUMN(P1),1)</f>
        <v>#VALUE!</v>
      </c>
      <c r="R205" s="2" t="e" cm="1" vm="2">
        <f t="array" aca="1" ref="R205" ca="1">INDEX($A$5:$A$56,COLUMN(Q1),1)</f>
        <v>#VALUE!</v>
      </c>
      <c r="S205" s="2" t="e" cm="1" vm="2">
        <f t="array" aca="1" ref="S205" ca="1">INDEX($A$5:$A$56,COLUMN(R1),1)</f>
        <v>#VALUE!</v>
      </c>
      <c r="T205" s="2" t="e" cm="1" vm="2">
        <f t="array" aca="1" ref="T205" ca="1">INDEX($A$5:$A$56,COLUMN(S1),1)</f>
        <v>#VALUE!</v>
      </c>
      <c r="U205" s="2" t="e" cm="1" vm="2">
        <f t="array" aca="1" ref="U205" ca="1">INDEX($A$5:$A$56,COLUMN(T1),1)</f>
        <v>#VALUE!</v>
      </c>
      <c r="V205" s="2" t="e" cm="1" vm="2">
        <f t="array" aca="1" ref="V205" ca="1">INDEX($A$5:$A$56,COLUMN(U1),1)</f>
        <v>#VALUE!</v>
      </c>
      <c r="W205" s="2" t="e" cm="1" vm="2">
        <f t="array" aca="1" ref="W205" ca="1">INDEX($A$5:$A$56,COLUMN(V1),1)</f>
        <v>#VALUE!</v>
      </c>
      <c r="X205" s="2" t="e" cm="1" vm="2">
        <f t="array" aca="1" ref="X205" ca="1">INDEX($A$5:$A$56,COLUMN(W1),1)</f>
        <v>#VALUE!</v>
      </c>
      <c r="Y205" s="2" t="e" cm="1" vm="2">
        <f t="array" aca="1" ref="Y205" ca="1">INDEX($A$5:$A$56,COLUMN(X1),1)</f>
        <v>#VALUE!</v>
      </c>
      <c r="Z205" s="2" t="e" cm="1" vm="2">
        <f t="array" aca="1" ref="Z205" ca="1">INDEX($A$5:$A$56,COLUMN(Y1),1)</f>
        <v>#VALUE!</v>
      </c>
      <c r="AA205" s="2" t="e" cm="1" vm="2">
        <f t="array" aca="1" ref="AA205" ca="1">INDEX($A$5:$A$56,COLUMN(Z1),1)</f>
        <v>#VALUE!</v>
      </c>
      <c r="AB205" s="2" t="e" cm="1" vm="2">
        <f t="array" aca="1" ref="AB205" ca="1">INDEX($A$5:$A$56,COLUMN(AA1),1)</f>
        <v>#VALUE!</v>
      </c>
      <c r="AC205" s="2" t="e" cm="1" vm="2">
        <f t="array" aca="1" ref="AC205" ca="1">INDEX($A$5:$A$56,COLUMN(AB1),1)</f>
        <v>#VALUE!</v>
      </c>
      <c r="AD205" s="2" t="e" cm="1" vm="2">
        <f t="array" aca="1" ref="AD205" ca="1">INDEX($A$5:$A$56,COLUMN(AC1),1)</f>
        <v>#VALUE!</v>
      </c>
      <c r="AE205" s="2" t="e" cm="1" vm="2">
        <f t="array" aca="1" ref="AE205" ca="1">INDEX($A$5:$A$56,COLUMN(AD1),1)</f>
        <v>#VALUE!</v>
      </c>
      <c r="AF205" s="2" t="e" cm="1" vm="2">
        <f t="array" aca="1" ref="AF205" ca="1">INDEX($A$5:$A$56,COLUMN(AE1),1)</f>
        <v>#VALUE!</v>
      </c>
      <c r="AG205" s="2" t="e" cm="1" vm="2">
        <f t="array" aca="1" ref="AG205" ca="1">INDEX($A$5:$A$56,COLUMN(AF1),1)</f>
        <v>#VALUE!</v>
      </c>
      <c r="AH205" s="2" t="e" cm="1" vm="2">
        <f t="array" aca="1" ref="AH205" ca="1">INDEX($A$5:$A$56,COLUMN(AG1),1)</f>
        <v>#VALUE!</v>
      </c>
      <c r="AI205" s="2" t="e" cm="1" vm="2">
        <f t="array" aca="1" ref="AI205" ca="1">INDEX($A$5:$A$56,COLUMN(AH1),1)</f>
        <v>#VALUE!</v>
      </c>
      <c r="AJ205" s="2" t="e" cm="1" vm="2">
        <f t="array" aca="1" ref="AJ205" ca="1">INDEX($A$5:$A$56,COLUMN(AI1),1)</f>
        <v>#VALUE!</v>
      </c>
      <c r="AK205" s="2" t="e" cm="1" vm="2">
        <f t="array" aca="1" ref="AK205" ca="1">INDEX($A$5:$A$56,COLUMN(AJ1),1)</f>
        <v>#VALUE!</v>
      </c>
      <c r="AL205" s="2" t="e" cm="1" vm="2">
        <f t="array" aca="1" ref="AL205" ca="1">INDEX($A$5:$A$56,COLUMN(AK1),1)</f>
        <v>#VALUE!</v>
      </c>
      <c r="AM205" s="2" t="e" cm="1" vm="2">
        <f t="array" aca="1" ref="AM205" ca="1">INDEX($A$5:$A$56,COLUMN(AL1),1)</f>
        <v>#VALUE!</v>
      </c>
      <c r="AN205" s="2" t="e" cm="1" vm="2">
        <f t="array" aca="1" ref="AN205" ca="1">INDEX($A$5:$A$56,COLUMN(AM1),1)</f>
        <v>#VALUE!</v>
      </c>
      <c r="AO205" s="2" t="e" cm="1" vm="2">
        <f t="array" aca="1" ref="AO205" ca="1">INDEX($A$5:$A$56,COLUMN(AN1),1)</f>
        <v>#VALUE!</v>
      </c>
      <c r="AP205" s="2" t="e" cm="1" vm="2">
        <f t="array" aca="1" ref="AP205" ca="1">INDEX($A$5:$A$56,COLUMN(AO1),1)</f>
        <v>#VALUE!</v>
      </c>
      <c r="AQ205" s="2" t="e" cm="1" vm="2">
        <f t="array" aca="1" ref="AQ205" ca="1">INDEX($A$5:$A$56,COLUMN(AP1),1)</f>
        <v>#VALUE!</v>
      </c>
      <c r="AR205" s="2" t="e" cm="1" vm="2">
        <f t="array" aca="1" ref="AR205" ca="1">INDEX($A$5:$A$56,COLUMN(AQ1),1)</f>
        <v>#VALUE!</v>
      </c>
      <c r="AS205" s="2" t="e" cm="1" vm="2">
        <f t="array" aca="1" ref="AS205" ca="1">INDEX($A$5:$A$56,COLUMN(AR1),1)</f>
        <v>#VALUE!</v>
      </c>
      <c r="AT205" s="2" t="e" cm="1" vm="2">
        <f t="array" aca="1" ref="AT205" ca="1">INDEX($A$5:$A$56,COLUMN(AS1),1)</f>
        <v>#VALUE!</v>
      </c>
      <c r="AU205" s="2" t="e" cm="1" vm="2">
        <f t="array" aca="1" ref="AU205" ca="1">INDEX($A$5:$A$56,COLUMN(AT1),1)</f>
        <v>#VALUE!</v>
      </c>
      <c r="AV205" s="2" t="e" cm="1" vm="2">
        <f t="array" aca="1" ref="AV205" ca="1">INDEX($A$5:$A$56,COLUMN(AU1),1)</f>
        <v>#VALUE!</v>
      </c>
      <c r="AW205" s="2" t="e" cm="1" vm="2">
        <f t="array" aca="1" ref="AW205" ca="1">INDEX($A$5:$A$56,COLUMN(AV1),1)</f>
        <v>#VALUE!</v>
      </c>
      <c r="AX205" s="2" t="e" cm="1" vm="2">
        <f t="array" aca="1" ref="AX205" ca="1">INDEX($A$5:$A$56,COLUMN(AW1),1)</f>
        <v>#VALUE!</v>
      </c>
      <c r="AY205" s="2" t="e" cm="1" vm="2">
        <f t="array" aca="1" ref="AY205" ca="1">INDEX($A$5:$A$56,COLUMN(AX1),1)</f>
        <v>#VALUE!</v>
      </c>
      <c r="AZ205" s="2" t="e" cm="1" vm="2">
        <f t="array" aca="1" ref="AZ205" ca="1">INDEX($A$5:$A$56,COLUMN(AY1),1)</f>
        <v>#VALUE!</v>
      </c>
      <c r="BA205" s="2" t="e" cm="1" vm="2">
        <f t="array" aca="1" ref="BA205" ca="1">INDEX($A$5:$A$56,COLUMN(AZ1),1)</f>
        <v>#VALUE!</v>
      </c>
      <c r="BC205" t="s">
        <v>140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Caseload 2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Caseload 3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Caseload 4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57</v>
      </c>
      <c r="B223" s="2" t="e" cm="1" vm="2">
        <f t="array" aca="1" ref="B223" ca="1">INDEX($A$5:$A$56,COLUMN(A149),1)</f>
        <v>#VALUE!</v>
      </c>
      <c r="C223" s="2" t="e" cm="1" vm="2">
        <f t="array" aca="1" ref="C223" ca="1">INDEX($A$5:$A$56,COLUMN(B149),1)</f>
        <v>#VALUE!</v>
      </c>
      <c r="D223" s="2" t="e" cm="1" vm="2">
        <f t="array" aca="1" ref="D223" ca="1">INDEX($A$5:$A$56,COLUMN(C149),1)</f>
        <v>#VALUE!</v>
      </c>
      <c r="E223" s="2" t="e" cm="1" vm="2">
        <f t="array" aca="1" ref="E223" ca="1">INDEX($A$5:$A$56,COLUMN(D149),1)</f>
        <v>#VALUE!</v>
      </c>
      <c r="F223" s="2" t="e" cm="1" vm="2">
        <f t="array" aca="1" ref="F223" ca="1">INDEX($A$5:$A$56,COLUMN(E149),1)</f>
        <v>#VALUE!</v>
      </c>
      <c r="G223" s="2" t="e" cm="1" vm="2">
        <f t="array" aca="1" ref="G223" ca="1">INDEX($A$5:$A$56,COLUMN(F149),1)</f>
        <v>#VALUE!</v>
      </c>
      <c r="H223" s="2" t="e" cm="1" vm="2">
        <f t="array" aca="1" ref="H223" ca="1">INDEX($A$5:$A$56,COLUMN(G149),1)</f>
        <v>#VALUE!</v>
      </c>
      <c r="I223" s="2" t="e" cm="1" vm="2">
        <f t="array" aca="1" ref="I223" ca="1">INDEX($A$5:$A$56,COLUMN(H149),1)</f>
        <v>#VALUE!</v>
      </c>
      <c r="J223" s="2" t="e" cm="1" vm="2">
        <f t="array" aca="1" ref="J223" ca="1">INDEX($A$5:$A$56,COLUMN(I149),1)</f>
        <v>#VALUE!</v>
      </c>
      <c r="K223" s="2" t="e" cm="1" vm="2">
        <f t="array" aca="1" ref="K223" ca="1">INDEX($A$5:$A$56,COLUMN(J149),1)</f>
        <v>#VALUE!</v>
      </c>
      <c r="L223" s="2" t="e" cm="1" vm="2">
        <f t="array" aca="1" ref="L223" ca="1">INDEX($A$5:$A$56,COLUMN(K149),1)</f>
        <v>#VALUE!</v>
      </c>
      <c r="M223" s="2" t="e" cm="1" vm="2">
        <f t="array" aca="1" ref="M223" ca="1">INDEX($A$5:$A$56,COLUMN(L149),1)</f>
        <v>#VALUE!</v>
      </c>
      <c r="N223" s="2" t="e" cm="1" vm="2">
        <f t="array" aca="1" ref="N223" ca="1">INDEX($A$5:$A$56,COLUMN(M149),1)</f>
        <v>#VALUE!</v>
      </c>
      <c r="O223" s="2" t="e" cm="1" vm="2">
        <f t="array" aca="1" ref="O223" ca="1">INDEX($A$5:$A$56,COLUMN(N149),1)</f>
        <v>#VALUE!</v>
      </c>
      <c r="P223" s="2" t="e" cm="1" vm="2">
        <f t="array" aca="1" ref="P223" ca="1">INDEX($A$5:$A$56,COLUMN(O149),1)</f>
        <v>#VALUE!</v>
      </c>
      <c r="Q223" s="2" t="e" cm="1" vm="2">
        <f t="array" aca="1" ref="Q223" ca="1">INDEX($A$5:$A$56,COLUMN(P149),1)</f>
        <v>#VALUE!</v>
      </c>
      <c r="R223" s="2" t="e" cm="1" vm="2">
        <f t="array" aca="1" ref="R223" ca="1">INDEX($A$5:$A$56,COLUMN(Q149),1)</f>
        <v>#VALUE!</v>
      </c>
      <c r="S223" s="2" t="e" cm="1" vm="2">
        <f t="array" aca="1" ref="S223" ca="1">INDEX($A$5:$A$56,COLUMN(R149),1)</f>
        <v>#VALUE!</v>
      </c>
      <c r="T223" s="2" t="e" cm="1" vm="2">
        <f t="array" aca="1" ref="T223" ca="1">INDEX($A$5:$A$56,COLUMN(S149),1)</f>
        <v>#VALUE!</v>
      </c>
      <c r="U223" s="2" t="e" cm="1" vm="2">
        <f t="array" aca="1" ref="U223" ca="1">INDEX($A$5:$A$56,COLUMN(T149),1)</f>
        <v>#VALUE!</v>
      </c>
      <c r="V223" s="2" t="e" cm="1" vm="2">
        <f t="array" aca="1" ref="V223" ca="1">INDEX($A$5:$A$56,COLUMN(U149),1)</f>
        <v>#VALUE!</v>
      </c>
      <c r="W223" s="2" t="e" cm="1" vm="2">
        <f t="array" aca="1" ref="W223" ca="1">INDEX($A$5:$A$56,COLUMN(V149),1)</f>
        <v>#VALUE!</v>
      </c>
      <c r="X223" s="2" t="e" cm="1" vm="2">
        <f t="array" aca="1" ref="X223" ca="1">INDEX($A$5:$A$56,COLUMN(W149),1)</f>
        <v>#VALUE!</v>
      </c>
      <c r="Y223" s="2" t="e" cm="1" vm="2">
        <f t="array" aca="1" ref="Y223" ca="1">INDEX($A$5:$A$56,COLUMN(X149),1)</f>
        <v>#VALUE!</v>
      </c>
      <c r="Z223" s="2" t="e" cm="1" vm="2">
        <f t="array" aca="1" ref="Z223" ca="1">INDEX($A$5:$A$56,COLUMN(Y149),1)</f>
        <v>#VALUE!</v>
      </c>
      <c r="AA223" s="2" t="e" cm="1" vm="2">
        <f t="array" aca="1" ref="AA223" ca="1">INDEX($A$5:$A$56,COLUMN(Z149),1)</f>
        <v>#VALUE!</v>
      </c>
      <c r="AB223" s="2" t="e" cm="1" vm="2">
        <f t="array" aca="1" ref="AB223" ca="1">INDEX($A$5:$A$56,COLUMN(AA149),1)</f>
        <v>#VALUE!</v>
      </c>
      <c r="AC223" s="2" t="e" cm="1" vm="2">
        <f t="array" aca="1" ref="AC223" ca="1">INDEX($A$5:$A$56,COLUMN(AB149),1)</f>
        <v>#VALUE!</v>
      </c>
      <c r="AD223" s="2" t="e" cm="1" vm="2">
        <f t="array" aca="1" ref="AD223" ca="1">INDEX($A$5:$A$56,COLUMN(AC149),1)</f>
        <v>#VALUE!</v>
      </c>
      <c r="AE223" s="2" t="e" cm="1" vm="2">
        <f t="array" aca="1" ref="AE223" ca="1">INDEX($A$5:$A$56,COLUMN(AD149),1)</f>
        <v>#VALUE!</v>
      </c>
      <c r="AF223" s="2" t="e" cm="1" vm="2">
        <f t="array" aca="1" ref="AF223" ca="1">INDEX($A$5:$A$56,COLUMN(AE149),1)</f>
        <v>#VALUE!</v>
      </c>
      <c r="AG223" s="2" t="e" cm="1" vm="2">
        <f t="array" aca="1" ref="AG223" ca="1">INDEX($A$5:$A$56,COLUMN(AF149),1)</f>
        <v>#VALUE!</v>
      </c>
      <c r="AH223" s="2" t="e" cm="1" vm="2">
        <f t="array" aca="1" ref="AH223" ca="1">INDEX($A$5:$A$56,COLUMN(AG149),1)</f>
        <v>#VALUE!</v>
      </c>
      <c r="AI223" s="2" t="e" cm="1" vm="2">
        <f t="array" aca="1" ref="AI223" ca="1">INDEX($A$5:$A$56,COLUMN(AH149),1)</f>
        <v>#VALUE!</v>
      </c>
      <c r="AJ223" s="2" t="e" cm="1" vm="2">
        <f t="array" aca="1" ref="AJ223" ca="1">INDEX($A$5:$A$56,COLUMN(AI149),1)</f>
        <v>#VALUE!</v>
      </c>
      <c r="AK223" s="2" t="e" cm="1" vm="2">
        <f t="array" aca="1" ref="AK223" ca="1">INDEX($A$5:$A$56,COLUMN(AJ149),1)</f>
        <v>#VALUE!</v>
      </c>
      <c r="AL223" s="2" t="e" cm="1" vm="2">
        <f t="array" aca="1" ref="AL223" ca="1">INDEX($A$5:$A$56,COLUMN(AK149),1)</f>
        <v>#VALUE!</v>
      </c>
      <c r="AM223" s="2" t="e" cm="1" vm="2">
        <f t="array" aca="1" ref="AM223" ca="1">INDEX($A$5:$A$56,COLUMN(AL149),1)</f>
        <v>#VALUE!</v>
      </c>
      <c r="AN223" s="2" t="e" cm="1" vm="2">
        <f t="array" aca="1" ref="AN223" ca="1">INDEX($A$5:$A$56,COLUMN(AM149),1)</f>
        <v>#VALUE!</v>
      </c>
      <c r="AO223" s="2" t="e" cm="1" vm="2">
        <f t="array" aca="1" ref="AO223" ca="1">INDEX($A$5:$A$56,COLUMN(AN149),1)</f>
        <v>#VALUE!</v>
      </c>
      <c r="AP223" s="2" t="e" cm="1" vm="2">
        <f t="array" aca="1" ref="AP223" ca="1">INDEX($A$5:$A$56,COLUMN(AO149),1)</f>
        <v>#VALUE!</v>
      </c>
      <c r="AQ223" s="2" t="e" cm="1" vm="2">
        <f t="array" aca="1" ref="AQ223" ca="1">INDEX($A$5:$A$56,COLUMN(AP149),1)</f>
        <v>#VALUE!</v>
      </c>
      <c r="AR223" s="2" t="e" cm="1" vm="2">
        <f t="array" aca="1" ref="AR223" ca="1">INDEX($A$5:$A$56,COLUMN(AQ149),1)</f>
        <v>#VALUE!</v>
      </c>
      <c r="AS223" s="2" t="e" cm="1" vm="2">
        <f t="array" aca="1" ref="AS223" ca="1">INDEX($A$5:$A$56,COLUMN(AR149),1)</f>
        <v>#VALUE!</v>
      </c>
      <c r="AT223" s="2" t="e" cm="1" vm="2">
        <f t="array" aca="1" ref="AT223" ca="1">INDEX($A$5:$A$56,COLUMN(AS149),1)</f>
        <v>#VALUE!</v>
      </c>
      <c r="AU223" s="2" t="e" cm="1" vm="2">
        <f t="array" aca="1" ref="AU223" ca="1">INDEX($A$5:$A$56,COLUMN(AT149),1)</f>
        <v>#VALUE!</v>
      </c>
      <c r="AV223" s="2" t="e" cm="1" vm="2">
        <f t="array" aca="1" ref="AV223" ca="1">INDEX($A$5:$A$56,COLUMN(AU149),1)</f>
        <v>#VALUE!</v>
      </c>
      <c r="AW223" s="2" t="e" cm="1" vm="2">
        <f t="array" aca="1" ref="AW223" ca="1">INDEX($A$5:$A$56,COLUMN(AV149),1)</f>
        <v>#VALUE!</v>
      </c>
      <c r="AX223" s="2" t="e" cm="1" vm="2">
        <f t="array" aca="1" ref="AX223" ca="1">INDEX($A$5:$A$56,COLUMN(AW149),1)</f>
        <v>#VALUE!</v>
      </c>
      <c r="AY223" s="2" t="e" cm="1" vm="2">
        <f t="array" aca="1" ref="AY223" ca="1">INDEX($A$5:$A$56,COLUMN(AX149),1)</f>
        <v>#VALUE!</v>
      </c>
      <c r="AZ223" s="2" t="e" cm="1" vm="2">
        <f t="array" aca="1" ref="AZ223" ca="1">INDEX($A$5:$A$56,COLUMN(AY149),1)</f>
        <v>#VALUE!</v>
      </c>
      <c r="BA223" s="2" t="e" cm="1" vm="2">
        <f t="array" aca="1" ref="BA223" ca="1">INDEX($A$5:$A$56,COLUMN(AZ149),1)</f>
        <v>#VALUE!</v>
      </c>
      <c r="BC223" t="s">
        <v>140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Caseload 2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Caseload 3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Caseload 4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70</v>
      </c>
      <c r="B241" s="2" t="e" cm="1" vm="2">
        <f t="array" aca="1" ref="B241" ca="1">INDEX($A$5:$A$56,COLUMN(A1),1)</f>
        <v>#VALUE!</v>
      </c>
      <c r="C241" s="2" t="e" cm="1" vm="2">
        <f t="array" aca="1" ref="C241" ca="1">INDEX($A$5:$A$56,COLUMN(B1),1)</f>
        <v>#VALUE!</v>
      </c>
      <c r="D241" s="2" t="e" cm="1" vm="2">
        <f t="array" aca="1" ref="D241" ca="1">INDEX($A$5:$A$56,COLUMN(C1),1)</f>
        <v>#VALUE!</v>
      </c>
      <c r="E241" s="2" t="e" cm="1" vm="2">
        <f t="array" aca="1" ref="E241" ca="1">INDEX($A$5:$A$56,COLUMN(D1),1)</f>
        <v>#VALUE!</v>
      </c>
      <c r="F241" s="2" t="e" cm="1" vm="2">
        <f t="array" aca="1" ref="F241" ca="1">INDEX($A$5:$A$56,COLUMN(E1),1)</f>
        <v>#VALUE!</v>
      </c>
      <c r="G241" s="2" t="e" cm="1" vm="2">
        <f t="array" aca="1" ref="G241" ca="1">INDEX($A$5:$A$56,COLUMN(F1),1)</f>
        <v>#VALUE!</v>
      </c>
      <c r="H241" s="2" t="e" cm="1" vm="2">
        <f t="array" aca="1" ref="H241" ca="1">INDEX($A$5:$A$56,COLUMN(G1),1)</f>
        <v>#VALUE!</v>
      </c>
      <c r="I241" s="2" t="e" cm="1" vm="2">
        <f t="array" aca="1" ref="I241" ca="1">INDEX($A$5:$A$56,COLUMN(H1),1)</f>
        <v>#VALUE!</v>
      </c>
      <c r="J241" s="2" t="e" cm="1" vm="2">
        <f t="array" aca="1" ref="J241" ca="1">INDEX($A$5:$A$56,COLUMN(I1),1)</f>
        <v>#VALUE!</v>
      </c>
      <c r="K241" s="2" t="e" cm="1" vm="2">
        <f t="array" aca="1" ref="K241" ca="1">INDEX($A$5:$A$56,COLUMN(J1),1)</f>
        <v>#VALUE!</v>
      </c>
      <c r="L241" s="2" t="e" cm="1" vm="2">
        <f t="array" aca="1" ref="L241" ca="1">INDEX($A$5:$A$56,COLUMN(K1),1)</f>
        <v>#VALUE!</v>
      </c>
      <c r="M241" s="2" t="e" cm="1" vm="2">
        <f t="array" aca="1" ref="M241" ca="1">INDEX($A$5:$A$56,COLUMN(L1),1)</f>
        <v>#VALUE!</v>
      </c>
      <c r="N241" s="2" t="e" cm="1" vm="2">
        <f t="array" aca="1" ref="N241" ca="1">INDEX($A$5:$A$56,COLUMN(M1),1)</f>
        <v>#VALUE!</v>
      </c>
      <c r="O241" s="2" t="e" cm="1" vm="2">
        <f t="array" aca="1" ref="O241" ca="1">INDEX($A$5:$A$56,COLUMN(N1),1)</f>
        <v>#VALUE!</v>
      </c>
      <c r="P241" s="2" t="e" cm="1" vm="2">
        <f t="array" aca="1" ref="P241" ca="1">INDEX($A$5:$A$56,COLUMN(O1),1)</f>
        <v>#VALUE!</v>
      </c>
      <c r="Q241" s="2" t="e" cm="1" vm="2">
        <f t="array" aca="1" ref="Q241" ca="1">INDEX($A$5:$A$56,COLUMN(P1),1)</f>
        <v>#VALUE!</v>
      </c>
      <c r="R241" s="2" t="e" cm="1" vm="2">
        <f t="array" aca="1" ref="R241" ca="1">INDEX($A$5:$A$56,COLUMN(Q1),1)</f>
        <v>#VALUE!</v>
      </c>
      <c r="S241" s="2" t="e" cm="1" vm="2">
        <f t="array" aca="1" ref="S241" ca="1">INDEX($A$5:$A$56,COLUMN(R1),1)</f>
        <v>#VALUE!</v>
      </c>
      <c r="T241" s="2" t="e" cm="1" vm="2">
        <f t="array" aca="1" ref="T241" ca="1">INDEX($A$5:$A$56,COLUMN(S1),1)</f>
        <v>#VALUE!</v>
      </c>
      <c r="U241" s="2" t="e" cm="1" vm="2">
        <f t="array" aca="1" ref="U241" ca="1">INDEX($A$5:$A$56,COLUMN(T1),1)</f>
        <v>#VALUE!</v>
      </c>
      <c r="V241" s="2" t="e" cm="1" vm="2">
        <f t="array" aca="1" ref="V241" ca="1">INDEX($A$5:$A$56,COLUMN(U1),1)</f>
        <v>#VALUE!</v>
      </c>
      <c r="W241" s="2" t="e" cm="1" vm="2">
        <f t="array" aca="1" ref="W241" ca="1">INDEX($A$5:$A$56,COLUMN(V1),1)</f>
        <v>#VALUE!</v>
      </c>
      <c r="X241" s="2" t="e" cm="1" vm="2">
        <f t="array" aca="1" ref="X241" ca="1">INDEX($A$5:$A$56,COLUMN(W1),1)</f>
        <v>#VALUE!</v>
      </c>
      <c r="Y241" s="2" t="e" cm="1" vm="2">
        <f t="array" aca="1" ref="Y241" ca="1">INDEX($A$5:$A$56,COLUMN(X1),1)</f>
        <v>#VALUE!</v>
      </c>
      <c r="Z241" s="2" t="e" cm="1" vm="2">
        <f t="array" aca="1" ref="Z241" ca="1">INDEX($A$5:$A$56,COLUMN(Y1),1)</f>
        <v>#VALUE!</v>
      </c>
      <c r="AA241" s="2" t="e" cm="1" vm="2">
        <f t="array" aca="1" ref="AA241" ca="1">INDEX($A$5:$A$56,COLUMN(Z1),1)</f>
        <v>#VALUE!</v>
      </c>
      <c r="AB241" s="2" t="e" cm="1" vm="2">
        <f t="array" aca="1" ref="AB241" ca="1">INDEX($A$5:$A$56,COLUMN(AA1),1)</f>
        <v>#VALUE!</v>
      </c>
      <c r="AC241" s="2" t="e" cm="1" vm="2">
        <f t="array" aca="1" ref="AC241" ca="1">INDEX($A$5:$A$56,COLUMN(AB1),1)</f>
        <v>#VALUE!</v>
      </c>
      <c r="AD241" s="2" t="e" cm="1" vm="2">
        <f t="array" aca="1" ref="AD241" ca="1">INDEX($A$5:$A$56,COLUMN(AC1),1)</f>
        <v>#VALUE!</v>
      </c>
      <c r="AE241" s="2" t="e" cm="1" vm="2">
        <f t="array" aca="1" ref="AE241" ca="1">INDEX($A$5:$A$56,COLUMN(AD1),1)</f>
        <v>#VALUE!</v>
      </c>
      <c r="AF241" s="2" t="e" cm="1" vm="2">
        <f t="array" aca="1" ref="AF241" ca="1">INDEX($A$5:$A$56,COLUMN(AE1),1)</f>
        <v>#VALUE!</v>
      </c>
      <c r="AG241" s="2" t="e" cm="1" vm="2">
        <f t="array" aca="1" ref="AG241" ca="1">INDEX($A$5:$A$56,COLUMN(AF1),1)</f>
        <v>#VALUE!</v>
      </c>
      <c r="AH241" s="2" t="e" cm="1" vm="2">
        <f t="array" aca="1" ref="AH241" ca="1">INDEX($A$5:$A$56,COLUMN(AG1),1)</f>
        <v>#VALUE!</v>
      </c>
      <c r="AI241" s="2" t="e" cm="1" vm="2">
        <f t="array" aca="1" ref="AI241" ca="1">INDEX($A$5:$A$56,COLUMN(AH1),1)</f>
        <v>#VALUE!</v>
      </c>
      <c r="AJ241" s="2" t="e" cm="1" vm="2">
        <f t="array" aca="1" ref="AJ241" ca="1">INDEX($A$5:$A$56,COLUMN(AI1),1)</f>
        <v>#VALUE!</v>
      </c>
      <c r="AK241" s="2" t="e" cm="1" vm="2">
        <f t="array" aca="1" ref="AK241" ca="1">INDEX($A$5:$A$56,COLUMN(AJ1),1)</f>
        <v>#VALUE!</v>
      </c>
      <c r="AL241" s="2" t="e" cm="1" vm="2">
        <f t="array" aca="1" ref="AL241" ca="1">INDEX($A$5:$A$56,COLUMN(AK1),1)</f>
        <v>#VALUE!</v>
      </c>
      <c r="AM241" s="2" t="e" cm="1" vm="2">
        <f t="array" aca="1" ref="AM241" ca="1">INDEX($A$5:$A$56,COLUMN(AL1),1)</f>
        <v>#VALUE!</v>
      </c>
      <c r="AN241" s="2" t="e" cm="1" vm="2">
        <f t="array" aca="1" ref="AN241" ca="1">INDEX($A$5:$A$56,COLUMN(AM1),1)</f>
        <v>#VALUE!</v>
      </c>
      <c r="AO241" s="2" t="e" cm="1" vm="2">
        <f t="array" aca="1" ref="AO241" ca="1">INDEX($A$5:$A$56,COLUMN(AN1),1)</f>
        <v>#VALUE!</v>
      </c>
      <c r="AP241" s="2" t="e" cm="1" vm="2">
        <f t="array" aca="1" ref="AP241" ca="1">INDEX($A$5:$A$56,COLUMN(AO1),1)</f>
        <v>#VALUE!</v>
      </c>
      <c r="AQ241" s="2" t="e" cm="1" vm="2">
        <f t="array" aca="1" ref="AQ241" ca="1">INDEX($A$5:$A$56,COLUMN(AP1),1)</f>
        <v>#VALUE!</v>
      </c>
      <c r="AR241" s="2" t="e" cm="1" vm="2">
        <f t="array" aca="1" ref="AR241" ca="1">INDEX($A$5:$A$56,COLUMN(AQ1),1)</f>
        <v>#VALUE!</v>
      </c>
      <c r="AS241" s="2" t="e" cm="1" vm="2">
        <f t="array" aca="1" ref="AS241" ca="1">INDEX($A$5:$A$56,COLUMN(AR1),1)</f>
        <v>#VALUE!</v>
      </c>
      <c r="AT241" s="2" t="e" cm="1" vm="2">
        <f t="array" aca="1" ref="AT241" ca="1">INDEX($A$5:$A$56,COLUMN(AS1),1)</f>
        <v>#VALUE!</v>
      </c>
      <c r="AU241" s="2" t="e" cm="1" vm="2">
        <f t="array" aca="1" ref="AU241" ca="1">INDEX($A$5:$A$56,COLUMN(AT1),1)</f>
        <v>#VALUE!</v>
      </c>
      <c r="AV241" s="2" t="e" cm="1" vm="2">
        <f t="array" aca="1" ref="AV241" ca="1">INDEX($A$5:$A$56,COLUMN(AU1),1)</f>
        <v>#VALUE!</v>
      </c>
      <c r="AW241" s="2" t="e" cm="1" vm="2">
        <f t="array" aca="1" ref="AW241" ca="1">INDEX($A$5:$A$56,COLUMN(AV1),1)</f>
        <v>#VALUE!</v>
      </c>
      <c r="AX241" s="2" t="e" cm="1" vm="2">
        <f t="array" aca="1" ref="AX241" ca="1">INDEX($A$5:$A$56,COLUMN(AW1),1)</f>
        <v>#VALUE!</v>
      </c>
      <c r="AY241" s="2" t="e" cm="1" vm="2">
        <f t="array" aca="1" ref="AY241" ca="1">INDEX($A$5:$A$56,COLUMN(AX1),1)</f>
        <v>#VALUE!</v>
      </c>
      <c r="AZ241" s="2" t="e" cm="1" vm="2">
        <f t="array" aca="1" ref="AZ241" ca="1">INDEX($A$5:$A$56,COLUMN(AY1),1)</f>
        <v>#VALUE!</v>
      </c>
      <c r="BA241" s="2" t="e" cm="1" vm="2">
        <f t="array" aca="1" ref="BA241" ca="1">INDEX($A$5:$A$56,COLUMN(AZ1),1)</f>
        <v>#VALUE!</v>
      </c>
      <c r="BC241" t="s">
        <v>140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Caseload 2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Caseload 3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Caseload 4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115</v>
      </c>
      <c r="B259" t="s">
        <v>141</v>
      </c>
      <c r="C259" t="s">
        <v>141</v>
      </c>
      <c r="D259" t="s">
        <v>141</v>
      </c>
      <c r="E259" t="s">
        <v>142</v>
      </c>
      <c r="F259" t="s">
        <v>142</v>
      </c>
      <c r="G259" t="s">
        <v>142</v>
      </c>
      <c r="H259" s="3" t="s">
        <v>154</v>
      </c>
      <c r="I259" s="3" t="s">
        <v>154</v>
      </c>
      <c r="J259" s="3" t="s">
        <v>154</v>
      </c>
    </row>
    <row r="260" spans="1:53" x14ac:dyDescent="0.35">
      <c r="B260" t="s">
        <v>59</v>
      </c>
      <c r="C260" t="s">
        <v>57</v>
      </c>
      <c r="D260" t="s">
        <v>70</v>
      </c>
      <c r="E260" t="s">
        <v>59</v>
      </c>
      <c r="F260" t="s">
        <v>57</v>
      </c>
      <c r="G260" t="s">
        <v>70</v>
      </c>
      <c r="H260" t="s">
        <v>59</v>
      </c>
      <c r="I260" t="s">
        <v>57</v>
      </c>
      <c r="J260" t="s">
        <v>70</v>
      </c>
    </row>
    <row r="261" spans="1:53" x14ac:dyDescent="0.35">
      <c r="A261" t="str" cm="1">
        <f t="array" ref="A261">INDEX('Data Validation (Hide)'!$B$2:$B$16,ROW(A1),1)</f>
        <v>Caseload 1</v>
      </c>
      <c r="B261">
        <f>BC76</f>
        <v>0</v>
      </c>
      <c r="C261">
        <f>BC94</f>
        <v>0</v>
      </c>
      <c r="D261">
        <f>BC112</f>
        <v>0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0</v>
      </c>
      <c r="J261">
        <f t="shared" si="73"/>
        <v>0</v>
      </c>
    </row>
    <row r="262" spans="1:53" x14ac:dyDescent="0.35">
      <c r="A262" t="str" cm="1">
        <f t="array" ref="A262">INDEX('Data Validation (Hide)'!$B$2:$B$16,ROW(A2),1)</f>
        <v>Caseload 2</v>
      </c>
      <c r="B262">
        <f t="shared" ref="B262:B275" si="74">BC77</f>
        <v>0</v>
      </c>
      <c r="C262">
        <f t="shared" ref="C262:C275" si="75">BC95</f>
        <v>0</v>
      </c>
      <c r="D262">
        <f t="shared" ref="D262:D275" si="76">BC113</f>
        <v>0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0</v>
      </c>
      <c r="J262">
        <f t="shared" ref="J262:J275" si="82">D262+G262</f>
        <v>0</v>
      </c>
    </row>
    <row r="263" spans="1:53" x14ac:dyDescent="0.35">
      <c r="A263" t="str" cm="1">
        <f t="array" ref="A263">INDEX('Data Validation (Hide)'!$B$2:$B$16,ROW(A3),1)</f>
        <v>Caseload 3</v>
      </c>
      <c r="B263">
        <f t="shared" si="74"/>
        <v>0</v>
      </c>
      <c r="C263">
        <f t="shared" si="75"/>
        <v>0</v>
      </c>
      <c r="D263">
        <f t="shared" si="76"/>
        <v>0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0</v>
      </c>
      <c r="J263">
        <f t="shared" si="82"/>
        <v>0</v>
      </c>
    </row>
    <row r="264" spans="1:53" x14ac:dyDescent="0.35">
      <c r="A264" t="str" cm="1">
        <f t="array" ref="A264">INDEX('Data Validation (Hide)'!$B$2:$B$16,ROW(A4),1)</f>
        <v>Caseload 4</v>
      </c>
      <c r="B264">
        <f t="shared" si="74"/>
        <v>0</v>
      </c>
      <c r="C264">
        <f t="shared" si="75"/>
        <v>0</v>
      </c>
      <c r="D264">
        <f t="shared" si="76"/>
        <v>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0</v>
      </c>
      <c r="I264">
        <f t="shared" si="81"/>
        <v>0</v>
      </c>
      <c r="J264">
        <f t="shared" si="82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si="74"/>
        <v>0</v>
      </c>
      <c r="C265">
        <f t="shared" si="75"/>
        <v>0</v>
      </c>
      <c r="D265">
        <f t="shared" si="76"/>
        <v>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0</v>
      </c>
      <c r="I265">
        <f t="shared" si="81"/>
        <v>0</v>
      </c>
      <c r="J265">
        <f t="shared" si="82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143</v>
      </c>
      <c r="B277" t="s">
        <v>141</v>
      </c>
      <c r="C277" t="s">
        <v>142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ref="B278">INDEX($B$261:$J$275,MATCH($A278,$A$261:$A$275,0),MATCH(1,(B$277=$B$259:$G$259)*(Summary!$B$5='Capacity Backing (Hide)'!$B$260:$G$260),0))</f>
        <v>0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Caseload 2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Caseload 3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Caseload 4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Caseload 5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9" sqref="B9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152</v>
      </c>
    </row>
    <row r="2" spans="1:5" ht="15" thickBot="1" x14ac:dyDescent="0.4"/>
    <row r="3" spans="1:5" ht="15" thickBot="1" x14ac:dyDescent="0.4">
      <c r="A3" s="37" t="s">
        <v>68</v>
      </c>
      <c r="B3" s="17" t="s">
        <v>114</v>
      </c>
      <c r="E3" t="str">
        <f>"Capacity summary ("&amp;LOWER(Summary!B7)&amp;") for "&amp;B3&amp;", "&amp;IF(B4="Total","all types of session", LOWER(B4)&amp;" sessions")</f>
        <v>Capacity summary (hours) for Caseload 1, all types of session</v>
      </c>
    </row>
    <row r="4" spans="1:5" ht="15" thickBot="1" x14ac:dyDescent="0.4">
      <c r="A4" s="55" t="s">
        <v>69</v>
      </c>
      <c r="B4" s="17" t="s">
        <v>70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23.5" x14ac:dyDescent="0.55000000000000004">
      <c r="A1" s="28" t="s">
        <v>153</v>
      </c>
    </row>
    <row r="2" spans="1:4" ht="15" customHeight="1" thickBot="1" x14ac:dyDescent="0.6">
      <c r="A2" s="28"/>
    </row>
    <row r="3" spans="1:4" ht="15" thickBot="1" x14ac:dyDescent="0.4">
      <c r="A3" s="37" t="s">
        <v>136</v>
      </c>
      <c r="B3" s="17" t="s">
        <v>156</v>
      </c>
    </row>
    <row r="4" spans="1:4" ht="15" thickBot="1" x14ac:dyDescent="0.4">
      <c r="A4" s="37" t="s">
        <v>68</v>
      </c>
      <c r="B4" s="17" t="s">
        <v>154</v>
      </c>
    </row>
    <row r="5" spans="1:4" ht="15" thickBot="1" x14ac:dyDescent="0.4">
      <c r="A5" s="37" t="s">
        <v>69</v>
      </c>
      <c r="B5" s="17" t="s">
        <v>70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98</v>
      </c>
      <c r="B7" s="17" t="s">
        <v>101</v>
      </c>
    </row>
    <row r="28" spans="1:4" x14ac:dyDescent="0.35">
      <c r="A28" s="63" t="s">
        <v>115</v>
      </c>
    </row>
    <row r="29" spans="1:4" x14ac:dyDescent="0.35">
      <c r="A29" s="63"/>
    </row>
    <row r="30" spans="1:4" ht="15" thickBot="1" x14ac:dyDescent="0.4">
      <c r="A30" s="63" t="s">
        <v>117</v>
      </c>
    </row>
    <row r="31" spans="1:4" ht="15" thickBot="1" x14ac:dyDescent="0.4">
      <c r="A31" s="64" t="s">
        <v>116</v>
      </c>
      <c r="B31" s="31" t="str">
        <f>TEXT('Required Capacity (Hide)'!CZ5,"0.0")&amp;" "&amp;B7</f>
        <v>0.0 Hours</v>
      </c>
      <c r="D31" t="s">
        <v>144</v>
      </c>
    </row>
    <row r="32" spans="1:4" ht="15" thickBot="1" x14ac:dyDescent="0.4">
      <c r="A32" s="64" t="str">
        <f>Setup!B13&amp;" Percentile:"</f>
        <v>65th Percentile:</v>
      </c>
      <c r="B32" s="10" t="str">
        <f>TEXT('Required Capacity (Hide)'!CY5,"0.0")&amp;" "&amp;B7</f>
        <v>0.0 Hours</v>
      </c>
      <c r="D32" t="s">
        <v>144</v>
      </c>
    </row>
    <row r="34" spans="1:1" x14ac:dyDescent="0.35">
      <c r="A34" s="63" t="s">
        <v>118</v>
      </c>
    </row>
    <row r="35" spans="1:1" x14ac:dyDescent="0.35">
      <c r="A35" t="s">
        <v>119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2020-11-27T11:08:47Z</dcterms:modified>
</cp:coreProperties>
</file>